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2025" sheetId="1" r:id="rId5"/>
    <sheet state="visible" name="PnL 2026" sheetId="2" r:id="rId6"/>
    <sheet state="visible" name="Datalist" sheetId="3" r:id="rId7"/>
  </sheets>
  <definedNames/>
  <calcPr/>
</workbook>
</file>

<file path=xl/sharedStrings.xml><?xml version="1.0" encoding="utf-8"?>
<sst xmlns="http://schemas.openxmlformats.org/spreadsheetml/2006/main" count="344" uniqueCount="148">
  <si>
    <t>Category</t>
  </si>
  <si>
    <t>Total</t>
  </si>
  <si>
    <t>Income</t>
  </si>
  <si>
    <t>Total revenue</t>
  </si>
  <si>
    <t>Cash collected (New costumers</t>
  </si>
  <si>
    <t>Total cash collected</t>
  </si>
  <si>
    <t>Expenses</t>
  </si>
  <si>
    <t>Ads Total</t>
  </si>
  <si>
    <t>Meta</t>
  </si>
  <si>
    <t>TikTok</t>
  </si>
  <si>
    <t>Youtube</t>
  </si>
  <si>
    <t>Google</t>
  </si>
  <si>
    <t>Closers/Setters Total</t>
  </si>
  <si>
    <t xml:space="preserve">Anton </t>
  </si>
  <si>
    <t>Håvard</t>
  </si>
  <si>
    <t>Miscellaneous Total</t>
  </si>
  <si>
    <t>Softwares</t>
  </si>
  <si>
    <t>Content expenses</t>
  </si>
  <si>
    <t>Total costs</t>
  </si>
  <si>
    <t xml:space="preserve"> </t>
  </si>
  <si>
    <t>Total profit (Revenue)</t>
  </si>
  <si>
    <t>Total profit (after stipe fees</t>
  </si>
  <si>
    <t>Newszn cut</t>
  </si>
  <si>
    <t>Hope cut</t>
  </si>
  <si>
    <t>Co-coach</t>
  </si>
  <si>
    <t>Name</t>
  </si>
  <si>
    <t>E-mail</t>
  </si>
  <si>
    <t>Date</t>
  </si>
  <si>
    <t>CASH COLLECTED</t>
  </si>
  <si>
    <t>Kate Jones</t>
  </si>
  <si>
    <t>kjjones12347@gmail.com</t>
  </si>
  <si>
    <t>miss chloe p vallence</t>
  </si>
  <si>
    <t>chloe.vallance@live.co.uk</t>
  </si>
  <si>
    <t>Mrs Emma L Murphy</t>
  </si>
  <si>
    <t>emma.murphy57@tiscali.co.uk</t>
  </si>
  <si>
    <t>Miss M C Clive</t>
  </si>
  <si>
    <t>miacharlotteclive@gmail.com</t>
  </si>
  <si>
    <t>Karen L McDougall</t>
  </si>
  <si>
    <t>karen.mcd0818@gmail.com</t>
  </si>
  <si>
    <t>Rhea j e roden</t>
  </si>
  <si>
    <t>rheabarnes@hotmail.com</t>
  </si>
  <si>
    <t>Miss L L Keily</t>
  </si>
  <si>
    <t>leannek673@gmail.com</t>
  </si>
  <si>
    <t>Aoife Mcmonagle</t>
  </si>
  <si>
    <t>aoifemcm@yahoo.com</t>
  </si>
  <si>
    <t>J l valentine</t>
  </si>
  <si>
    <t>jlb11@hotmail.co.uk</t>
  </si>
  <si>
    <t>Anamika Talwaria</t>
  </si>
  <si>
    <t>anamika_t@hotmail.com</t>
  </si>
  <si>
    <t>Miss S A Penrose</t>
  </si>
  <si>
    <t>saskiapenrose@rocketmail.com</t>
  </si>
  <si>
    <t>Anna Lloyd</t>
  </si>
  <si>
    <t>alloydy1@gmail.com</t>
  </si>
  <si>
    <t>Megan Ashby</t>
  </si>
  <si>
    <t>meganashby14@gmail.com</t>
  </si>
  <si>
    <t>Alice foster</t>
  </si>
  <si>
    <t>alicerosefoster95@gmail.com</t>
  </si>
  <si>
    <t>m l noble</t>
  </si>
  <si>
    <t>megnoble1998@gmail.com</t>
  </si>
  <si>
    <t>Paige grindrod</t>
  </si>
  <si>
    <t>paige.ellen98@gmail.com</t>
  </si>
  <si>
    <t>Elif Cabrera</t>
  </si>
  <si>
    <t>elifcabrera94@outlook.com</t>
  </si>
  <si>
    <t>mjiss g b mitchell</t>
  </si>
  <si>
    <t>gracebryony@outlook.com</t>
  </si>
  <si>
    <t>annabel busby</t>
  </si>
  <si>
    <t>annabel.busby@hotmail.co.uk</t>
  </si>
  <si>
    <t>Brianna Linzmeier</t>
  </si>
  <si>
    <t>blinzmeier22@gmail.com</t>
  </si>
  <si>
    <t>Laura Jones</t>
  </si>
  <si>
    <t>laurakatiejones@hotmail.co.uk</t>
  </si>
  <si>
    <t>Miss Rhea halley</t>
  </si>
  <si>
    <t>Rhea10@hotmail.co.uk</t>
  </si>
  <si>
    <t>Hannah Johnson</t>
  </si>
  <si>
    <t>hannahsophia067@gmail.com</t>
  </si>
  <si>
    <t>Ashleigh Wall</t>
  </si>
  <si>
    <t>ashleigh_wall@hotmail.co.uk</t>
  </si>
  <si>
    <t>miss emily l gascoyne</t>
  </si>
  <si>
    <t>Emily.gascoyne@hotmail.com</t>
  </si>
  <si>
    <t>Hannah Gibson</t>
  </si>
  <si>
    <t>hannah@gibsonfamily.co.uk</t>
  </si>
  <si>
    <t>Yasmin Cooper</t>
  </si>
  <si>
    <t>yasmin_cooper@hotmail.co.uk</t>
  </si>
  <si>
    <t>hannah k struges</t>
  </si>
  <si>
    <t>hkyliesturges@gmail.com</t>
  </si>
  <si>
    <t>Sarah tooke</t>
  </si>
  <si>
    <t>sarah.tooke@googlemail.com</t>
  </si>
  <si>
    <t>Rhea Roden</t>
  </si>
  <si>
    <t>victoria burden</t>
  </si>
  <si>
    <t>vburden2019@gmail.com</t>
  </si>
  <si>
    <t>Marie Brabazon</t>
  </si>
  <si>
    <t>marie.brabazon@hotmail.co.uk</t>
  </si>
  <si>
    <t>Lauren Amie Smith</t>
  </si>
  <si>
    <t>laurenamie31@googlemail.com</t>
  </si>
  <si>
    <t>shelby winn</t>
  </si>
  <si>
    <t>shelbywinn@gmail.com</t>
  </si>
  <si>
    <t>A G FOSTER</t>
  </si>
  <si>
    <t>amy.foster00@virginmedia.com</t>
  </si>
  <si>
    <t>miss rachel wright</t>
  </si>
  <si>
    <t>rachel.wright03@hotmail.co.uk</t>
  </si>
  <si>
    <t>Cristina Mendoza</t>
  </si>
  <si>
    <t>cmariemendoza16@gmail.com</t>
  </si>
  <si>
    <t>miss m a qamdar</t>
  </si>
  <si>
    <t>maya.qamdar2@gmail.com</t>
  </si>
  <si>
    <t>Hannah Moggridge</t>
  </si>
  <si>
    <t>hannahmaisie9@hotmail.co.uk</t>
  </si>
  <si>
    <t>Carys Lovell</t>
  </si>
  <si>
    <t>csjlovell21@gmail.com</t>
  </si>
  <si>
    <t>Sarah Moylan</t>
  </si>
  <si>
    <t>sarahmoylan@hotmail.co.uk</t>
  </si>
  <si>
    <t>Emma Morrison</t>
  </si>
  <si>
    <t>emmamorrison@live.co.uk</t>
  </si>
  <si>
    <t>miss t b sumbhoolaul</t>
  </si>
  <si>
    <t>trisha_bhavna@hotmail.co.uk</t>
  </si>
  <si>
    <t>parhar monisha</t>
  </si>
  <si>
    <t>mchwedding@hotmail.com</t>
  </si>
  <si>
    <t>genevieve conroy</t>
  </si>
  <si>
    <t>miss s h craige</t>
  </si>
  <si>
    <t>sophiehcraige@icloud.com</t>
  </si>
  <si>
    <t>Emily Coxhead</t>
  </si>
  <si>
    <t>emilycoxhead@msn.com</t>
  </si>
  <si>
    <t>Miss ruth l miller</t>
  </si>
  <si>
    <t>ruth_louise_miller@gmail.com</t>
  </si>
  <si>
    <t>Danielle Gorrie</t>
  </si>
  <si>
    <t>daniellemiller95@hotmail.com</t>
  </si>
  <si>
    <t>Maya Kamdar</t>
  </si>
  <si>
    <t>maya.kamdar2@gmail.com</t>
  </si>
  <si>
    <t>Kim Leyendeckers</t>
  </si>
  <si>
    <t>wuaprincess@gmail.com</t>
  </si>
  <si>
    <t>Adia Shane</t>
  </si>
  <si>
    <t>adia.shane@gmail.com</t>
  </si>
  <si>
    <t>Miss Charlotte m hill</t>
  </si>
  <si>
    <t>charlotte210198@gmail.com</t>
  </si>
  <si>
    <t>Tiffany horncastle</t>
  </si>
  <si>
    <t>eandt195@gmail.com</t>
  </si>
  <si>
    <t>Konstantina Kanari</t>
  </si>
  <si>
    <t>dinakan07@gmail.com</t>
  </si>
  <si>
    <t>genevievec_95@hotmail.com</t>
  </si>
  <si>
    <t>Elicia Hayer</t>
  </si>
  <si>
    <t>eliciahayer9@gmail.com</t>
  </si>
  <si>
    <t>Natasha Skinner</t>
  </si>
  <si>
    <t>natashaskinner96@gmail.com</t>
  </si>
  <si>
    <t>Jessica Cooper</t>
  </si>
  <si>
    <t>jessacooper95@hotmail.com</t>
  </si>
  <si>
    <t>Alexandra Cartmell</t>
  </si>
  <si>
    <t>alexandra.cartmell@gmail.com</t>
  </si>
  <si>
    <t>Miss Emily Williams</t>
  </si>
  <si>
    <t>emilykcwilliams@outlook.com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</si>
</sst>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d"/>
    <numFmt numFmtId="165" formatCode="[$€]#,##0.00"/>
    <numFmt numFmtId="166" formatCode="[$£]#,##0.00"/>
    <numFmt numFmtId="167" formatCode="yyyy-mm-dd h:mm:ss"/>
    <numFmt numFmtId="168" formatCode="mm/dd/yyyy"/>
    <numFmt numFmtId="169" formatCode="dd/mm/yyyy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6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3" fontId="0" numFmtId="166" xfId="0" applyFill="1" applyFont="1" applyNumberFormat="1"/>
    <xf borderId="1" fillId="0" fontId="5" numFmtId="0" xfId="0" applyAlignment="1" applyBorder="1" applyFont="1">
      <alignment readingOrder="0"/>
    </xf>
    <xf borderId="1" fillId="0" fontId="5" numFmtId="166" xfId="0" applyBorder="1" applyFont="1" applyNumberFormat="1"/>
    <xf borderId="1" fillId="0" fontId="4" numFmtId="166" xfId="0" applyBorder="1" applyFont="1" applyNumberFormat="1"/>
    <xf borderId="2" fillId="0" fontId="5" numFmtId="0" xfId="0" applyAlignment="1" applyBorder="1" applyFont="1">
      <alignment readingOrder="0"/>
    </xf>
    <xf borderId="2" fillId="0" fontId="5" numFmtId="166" xfId="0" applyBorder="1" applyFont="1" applyNumberFormat="1"/>
    <xf borderId="0" fillId="0" fontId="5" numFmtId="0" xfId="0" applyAlignment="1" applyFont="1">
      <alignment readingOrder="0"/>
    </xf>
    <xf borderId="0" fillId="0" fontId="4" numFmtId="10" xfId="0" applyFont="1" applyNumberFormat="1"/>
    <xf borderId="3" fillId="0" fontId="5" numFmtId="0" xfId="0" applyAlignment="1" applyBorder="1" applyFont="1">
      <alignment readingOrder="0"/>
    </xf>
    <xf borderId="3" fillId="0" fontId="5" numFmtId="166" xfId="0" applyBorder="1" applyFont="1" applyNumberFormat="1"/>
    <xf borderId="0" fillId="0" fontId="6" numFmtId="166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5" numFmtId="166" xfId="0" applyFont="1" applyNumberFormat="1"/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0" fillId="3" fontId="4" numFmtId="0" xfId="0" applyFont="1"/>
    <xf borderId="0" fillId="0" fontId="6" numFmtId="0" xfId="0" applyAlignment="1" applyFont="1">
      <alignment vertical="bottom"/>
    </xf>
    <xf borderId="0" fillId="0" fontId="7" numFmtId="167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3" fontId="7" numFmtId="4" xfId="0" applyAlignment="1" applyFont="1" applyNumberFormat="1">
      <alignment horizontal="right" vertical="bottom"/>
    </xf>
    <xf borderId="0" fillId="0" fontId="5" numFmtId="167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168" xfId="0" applyAlignment="1" applyFont="1" applyNumberFormat="1">
      <alignment horizontal="right" vertical="bottom"/>
    </xf>
    <xf borderId="0" fillId="3" fontId="6" numFmtId="166" xfId="0" applyAlignment="1" applyFont="1" applyNumberFormat="1">
      <alignment vertical="bottom"/>
    </xf>
    <xf borderId="0" fillId="0" fontId="6" numFmtId="169" xfId="0" applyAlignment="1" applyFont="1" applyNumberForma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167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23.5"/>
  </cols>
  <sheetData>
    <row r="1">
      <c r="A1" s="1" t="s">
        <v>0</v>
      </c>
      <c r="B1" s="1" t="s">
        <v>1</v>
      </c>
      <c r="C1" s="2">
        <v>45682.0</v>
      </c>
      <c r="D1" s="3">
        <v>45713.0</v>
      </c>
      <c r="E1" s="3">
        <v>45741.0</v>
      </c>
      <c r="F1" s="3">
        <v>45772.0</v>
      </c>
      <c r="G1" s="3">
        <v>45802.0</v>
      </c>
      <c r="H1" s="3">
        <v>45833.0</v>
      </c>
      <c r="I1" s="3">
        <v>45863.0</v>
      </c>
      <c r="J1" s="3">
        <v>45894.0</v>
      </c>
      <c r="K1" s="2">
        <v>45925.0</v>
      </c>
      <c r="L1" s="3">
        <v>45955.0</v>
      </c>
      <c r="M1" s="3">
        <v>45986.0</v>
      </c>
      <c r="N1" s="3">
        <v>46016.0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4" si="1">sum(C3:N3)</f>
        <v>41741</v>
      </c>
      <c r="C3" s="8">
        <f>SUM(C4)</f>
        <v>0</v>
      </c>
      <c r="D3" s="8">
        <f>sum(D4)</f>
        <v>0</v>
      </c>
      <c r="E3" s="8">
        <f>SUM(E4)</f>
        <v>0</v>
      </c>
      <c r="F3" s="8">
        <f>sum(F4)</f>
        <v>0</v>
      </c>
      <c r="G3" s="8">
        <f>SUM(G4)</f>
        <v>0</v>
      </c>
      <c r="H3" s="8">
        <f>sum(H4)</f>
        <v>0</v>
      </c>
      <c r="I3" s="8">
        <f>SUM(I4)</f>
        <v>0</v>
      </c>
      <c r="J3" s="8">
        <f>sum(J4)</f>
        <v>0</v>
      </c>
      <c r="K3" s="8">
        <f>SUM(K4)</f>
        <v>0</v>
      </c>
      <c r="L3" s="8">
        <f>sum(L4)</f>
        <v>13459</v>
      </c>
      <c r="M3" s="8">
        <f>SUM(M4)</f>
        <v>14233</v>
      </c>
      <c r="N3" s="8">
        <f>sum(N4)</f>
        <v>14049</v>
      </c>
    </row>
    <row r="4" outlineLevel="1">
      <c r="A4" s="6" t="s">
        <v>4</v>
      </c>
      <c r="B4" s="7">
        <f t="shared" si="1"/>
        <v>41741</v>
      </c>
      <c r="C4" s="9">
        <f>SUMIFS(Datalist!$D:$D, Datalist!$C:$C, "&gt;="&amp;DATE(2025,1,1), Datalist!$C:$C, "&lt;"&amp;DATE(2025,2,1))</f>
        <v>0</v>
      </c>
      <c r="D4" s="9">
        <f>SUMIFS(Datalist!$D:$D, Datalist!$C:$C, "&gt;="&amp;DATE(2025,2,1), Datalist!$C:$C, "&lt;"&amp;DATE(2025,3,1))</f>
        <v>0</v>
      </c>
      <c r="E4" s="9">
        <f>SUMIFS(Datalist!$D:$D, Datalist!$C:$C, "&gt;="&amp;DATE(2025,3,1), Datalist!$C:$C, "&lt;"&amp;DATE(2025,4,1))</f>
        <v>0</v>
      </c>
      <c r="F4" s="9">
        <f>SUMIFS(Datalist!$D:$D, Datalist!$C:$C, "&gt;="&amp;DATE(2025,4,1), Datalist!$C:$C, "&lt;"&amp;DATE(2025,5,1))</f>
        <v>0</v>
      </c>
      <c r="G4" s="9">
        <f>SUMIFS(Datalist!$D:$D, Datalist!$C:$C, "&gt;="&amp;DATE(2025,5,1), Datalist!$C:$C, "&lt;"&amp;DATE(2025,6,1))</f>
        <v>0</v>
      </c>
      <c r="H4" s="9">
        <f>SUMIFS(Datalist!$D:$D, Datalist!$C:$C, "&gt;="&amp;DATE(2025,6,1), Datalist!$C:$C, "&lt;"&amp;DATE(2025,7,1))</f>
        <v>0</v>
      </c>
      <c r="I4" s="9">
        <f>SUMIFS(Datalist!$D:$D, Datalist!$C:$C, "&gt;="&amp;DATE(2025,7,1), Datalist!$C:$C, "&lt;"&amp;DATE(2025,8,1))</f>
        <v>0</v>
      </c>
      <c r="J4" s="9">
        <f>SUMIFS(Datalist!$D:$D, Datalist!$C:$C, "&gt;="&amp;DATE(2025,8,1), Datalist!$C:$C, "&lt;"&amp;DATE(2025,9,1))</f>
        <v>0</v>
      </c>
      <c r="K4" s="9">
        <f>SUMIFS(Datalist!$D:$D, Datalist!$C:$C, "&gt;="&amp;DATE(2025,9,1), Datalist!$C:$C, "&lt;"&amp;DATE(2025,10,1))</f>
        <v>0</v>
      </c>
      <c r="L4" s="9">
        <f>SUMIFS(Datalist!$D:$D, Datalist!$C:$C, "&gt;="&amp;DATE(2025,10,1), Datalist!$C:$C, "&lt;"&amp;DATE(2025,11,1))</f>
        <v>13459</v>
      </c>
      <c r="M4" s="9">
        <f>SUMIFS(Datalist!$D:$D, Datalist!$C:$C, "&gt;="&amp;DATE(2025,11,1), Datalist!$C:$C, "&lt;"&amp;DATE(2025,12,1))</f>
        <v>14233</v>
      </c>
      <c r="N4" s="9">
        <f>SUMIFS(Datalist!$D:$D, Datalist!$C:$C, "&gt;="&amp;DATE(2025,12,1), Datalist!$C:$C, "&lt;"&amp;DATE(2026,1,1))</f>
        <v>14049</v>
      </c>
    </row>
    <row r="5" outlineLevel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outlineLevel="1">
      <c r="B6" s="7"/>
      <c r="C6" s="8"/>
      <c r="D6" s="7"/>
      <c r="E6" s="7"/>
      <c r="F6" s="8"/>
      <c r="G6" s="8"/>
      <c r="H6" s="7"/>
      <c r="I6" s="7"/>
      <c r="J6" s="7"/>
      <c r="K6" s="7"/>
      <c r="L6" s="7"/>
      <c r="M6" s="7"/>
      <c r="N6" s="7"/>
    </row>
    <row r="7">
      <c r="A7" s="10" t="s">
        <v>5</v>
      </c>
      <c r="B7" s="11">
        <f>sum(C7:N7)</f>
        <v>41741</v>
      </c>
      <c r="C7" s="12">
        <f t="shared" ref="C7:N7" si="2">SUM(C4:C6)</f>
        <v>0</v>
      </c>
      <c r="D7" s="12">
        <f t="shared" si="2"/>
        <v>0</v>
      </c>
      <c r="E7" s="12">
        <f t="shared" si="2"/>
        <v>0</v>
      </c>
      <c r="F7" s="12">
        <f t="shared" si="2"/>
        <v>0</v>
      </c>
      <c r="G7" s="12">
        <f t="shared" si="2"/>
        <v>0</v>
      </c>
      <c r="H7" s="12">
        <f t="shared" si="2"/>
        <v>0</v>
      </c>
      <c r="I7" s="12">
        <f t="shared" si="2"/>
        <v>0</v>
      </c>
      <c r="J7" s="12">
        <f t="shared" si="2"/>
        <v>0</v>
      </c>
      <c r="K7" s="12">
        <f t="shared" si="2"/>
        <v>0</v>
      </c>
      <c r="L7" s="12">
        <f t="shared" si="2"/>
        <v>13459</v>
      </c>
      <c r="M7" s="12">
        <f t="shared" si="2"/>
        <v>14233</v>
      </c>
      <c r="N7" s="12">
        <f t="shared" si="2"/>
        <v>14049</v>
      </c>
    </row>
    <row r="8">
      <c r="A8" s="4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ollapsed="1">
      <c r="A9" s="6" t="s">
        <v>7</v>
      </c>
      <c r="B9" s="7">
        <f>sum(C9:N9)</f>
        <v>4157.41</v>
      </c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1244.0</v>
      </c>
      <c r="M9" s="8">
        <v>1445.0</v>
      </c>
      <c r="N9" s="8">
        <v>1468.41</v>
      </c>
    </row>
    <row r="10" hidden="1" outlineLevel="1">
      <c r="A10" s="6" t="s">
        <v>8</v>
      </c>
      <c r="B10" s="7"/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</row>
    <row r="11" hidden="1" outlineLevel="1">
      <c r="A11" s="6" t="s">
        <v>9</v>
      </c>
      <c r="B11" s="7"/>
      <c r="C11" s="8">
        <v>0.0</v>
      </c>
      <c r="D11" s="8">
        <v>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</row>
    <row r="12" hidden="1" outlineLevel="1">
      <c r="A12" s="6" t="s">
        <v>10</v>
      </c>
      <c r="B12" s="7"/>
      <c r="C12" s="8">
        <v>0.0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</row>
    <row r="13" hidden="1" outlineLevel="1">
      <c r="A13" s="6" t="s">
        <v>11</v>
      </c>
      <c r="B13" s="7"/>
      <c r="C13" s="8">
        <v>0.0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</row>
    <row r="14" collapsed="1">
      <c r="A14" s="6" t="s">
        <v>12</v>
      </c>
      <c r="B14" s="7">
        <f>sum(C14:N14)</f>
        <v>1810</v>
      </c>
      <c r="C14" s="8">
        <v>0.0</v>
      </c>
      <c r="D14" s="8">
        <v>0.0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701.0</v>
      </c>
      <c r="M14" s="8">
        <v>701.0</v>
      </c>
      <c r="N14" s="8">
        <v>408.0</v>
      </c>
    </row>
    <row r="15" hidden="1" outlineLevel="1">
      <c r="A15" s="6" t="s">
        <v>13</v>
      </c>
      <c r="B15" s="7"/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</row>
    <row r="16" hidden="1" outlineLevel="1">
      <c r="A16" s="6" t="s">
        <v>14</v>
      </c>
      <c r="B16" s="7">
        <f t="shared" ref="B16:B23" si="3">sum(C16:N16)</f>
        <v>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</row>
    <row r="17" collapsed="1">
      <c r="A17" s="6" t="s">
        <v>15</v>
      </c>
      <c r="B17" s="7">
        <f t="shared" si="3"/>
        <v>2322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200.0</v>
      </c>
      <c r="M17" s="8">
        <v>200.0</v>
      </c>
      <c r="N17" s="8">
        <v>1922.0</v>
      </c>
    </row>
    <row r="18" hidden="1" outlineLevel="1">
      <c r="B18" s="7">
        <f t="shared" si="3"/>
        <v>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</row>
    <row r="19" hidden="1" outlineLevel="1">
      <c r="B19" s="7">
        <f t="shared" si="3"/>
        <v>0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</row>
    <row r="20" hidden="1" outlineLevel="1">
      <c r="B20" s="7">
        <f t="shared" si="3"/>
        <v>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</row>
    <row r="21">
      <c r="A21" s="6" t="s">
        <v>16</v>
      </c>
      <c r="B21" s="7">
        <f t="shared" si="3"/>
        <v>1494.74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454.0</v>
      </c>
      <c r="M21" s="8">
        <v>438.0</v>
      </c>
      <c r="N21" s="8">
        <v>602.74</v>
      </c>
    </row>
    <row r="22">
      <c r="A22" s="6" t="s">
        <v>17</v>
      </c>
      <c r="B22" s="7">
        <f t="shared" si="3"/>
        <v>150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150.0</v>
      </c>
    </row>
    <row r="23">
      <c r="A23" s="13" t="s">
        <v>18</v>
      </c>
      <c r="B23" s="14">
        <f t="shared" si="3"/>
        <v>9496.15</v>
      </c>
      <c r="C23" s="14">
        <f t="shared" ref="C23:K23" si="4">C9+C14+C17</f>
        <v>0</v>
      </c>
      <c r="D23" s="14">
        <f t="shared" si="4"/>
        <v>0</v>
      </c>
      <c r="E23" s="14">
        <f t="shared" si="4"/>
        <v>0</v>
      </c>
      <c r="F23" s="14">
        <f t="shared" si="4"/>
        <v>0</v>
      </c>
      <c r="G23" s="14">
        <f t="shared" si="4"/>
        <v>0</v>
      </c>
      <c r="H23" s="14">
        <f t="shared" si="4"/>
        <v>0</v>
      </c>
      <c r="I23" s="14">
        <f t="shared" si="4"/>
        <v>0</v>
      </c>
      <c r="J23" s="14">
        <f t="shared" si="4"/>
        <v>0</v>
      </c>
      <c r="K23" s="14">
        <f t="shared" si="4"/>
        <v>0</v>
      </c>
      <c r="L23" s="14">
        <f>SUM(L9:L22)</f>
        <v>2599</v>
      </c>
      <c r="M23" s="14">
        <f>M9+M14+M17</f>
        <v>2346</v>
      </c>
      <c r="N23" s="14">
        <f>N9+N14+N17+N21+N22</f>
        <v>4551.15</v>
      </c>
    </row>
    <row r="24">
      <c r="A24" s="15"/>
      <c r="B24" s="7"/>
      <c r="C24" s="7"/>
      <c r="D24" s="7"/>
      <c r="E24" s="7"/>
      <c r="F24" s="7"/>
      <c r="G24" s="8" t="s">
        <v>19</v>
      </c>
      <c r="H24" s="7"/>
      <c r="I24" s="7"/>
      <c r="J24" s="7"/>
      <c r="K24" s="7"/>
      <c r="L24" s="7"/>
      <c r="M24" s="7"/>
      <c r="N24" s="7"/>
    </row>
    <row r="25">
      <c r="A25" s="15" t="s">
        <v>20</v>
      </c>
      <c r="B25" s="7">
        <f t="shared" ref="B25:B26" si="8">sum(C25:N25)</f>
        <v>41741</v>
      </c>
      <c r="C25" s="7">
        <f t="shared" ref="C25:D25" si="5">C3</f>
        <v>0</v>
      </c>
      <c r="D25" s="7">
        <f t="shared" si="5"/>
        <v>0</v>
      </c>
      <c r="E25" s="7">
        <f t="shared" ref="E25:I25" si="6">E3-E23</f>
        <v>0</v>
      </c>
      <c r="F25" s="7">
        <f t="shared" si="6"/>
        <v>0</v>
      </c>
      <c r="G25" s="7">
        <f t="shared" si="6"/>
        <v>0</v>
      </c>
      <c r="H25" s="7">
        <f t="shared" si="6"/>
        <v>0</v>
      </c>
      <c r="I25" s="7">
        <f t="shared" si="6"/>
        <v>0</v>
      </c>
      <c r="J25" s="7">
        <f t="shared" ref="J25:N25" si="7">J3</f>
        <v>0</v>
      </c>
      <c r="K25" s="7">
        <f t="shared" si="7"/>
        <v>0</v>
      </c>
      <c r="L25" s="7">
        <f t="shared" si="7"/>
        <v>13459</v>
      </c>
      <c r="M25" s="7">
        <f t="shared" si="7"/>
        <v>14233</v>
      </c>
      <c r="N25" s="7">
        <f t="shared" si="7"/>
        <v>14049</v>
      </c>
    </row>
    <row r="26">
      <c r="A26" s="15" t="s">
        <v>21</v>
      </c>
      <c r="B26" s="7">
        <f t="shared" si="8"/>
        <v>30599.14689</v>
      </c>
      <c r="C26" s="7">
        <f t="shared" ref="C26:D26" si="9">C6+C4</f>
        <v>0</v>
      </c>
      <c r="D26" s="7">
        <f t="shared" si="9"/>
        <v>0</v>
      </c>
      <c r="E26" s="7">
        <f t="shared" ref="E26:H26" si="10">E25</f>
        <v>0</v>
      </c>
      <c r="F26" s="7">
        <f t="shared" si="10"/>
        <v>0</v>
      </c>
      <c r="G26" s="7">
        <f t="shared" si="10"/>
        <v>0</v>
      </c>
      <c r="H26" s="7">
        <f t="shared" si="10"/>
        <v>0</v>
      </c>
      <c r="I26" s="7">
        <f>I6+I4-I23</f>
        <v>0</v>
      </c>
      <c r="J26" s="7">
        <f t="shared" ref="J26:K26" si="11">J6+J4</f>
        <v>0</v>
      </c>
      <c r="K26" s="7">
        <f t="shared" si="11"/>
        <v>0</v>
      </c>
      <c r="L26" s="8">
        <f t="shared" ref="L26:M26" si="12">L25/1.03-L23</f>
        <v>10467.99029</v>
      </c>
      <c r="M26" s="8">
        <f t="shared" si="12"/>
        <v>11472.4466</v>
      </c>
      <c r="N26" s="8">
        <v>8658.71</v>
      </c>
    </row>
    <row r="27">
      <c r="A27" s="1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  <c r="N27" s="7"/>
    </row>
    <row r="28">
      <c r="A28" s="1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16"/>
      <c r="N28" s="7"/>
    </row>
    <row r="29">
      <c r="A29" s="17" t="s">
        <v>22</v>
      </c>
      <c r="B29" s="18">
        <f t="shared" ref="B29:K29" si="13">(B25)*0.3</f>
        <v>12522.3</v>
      </c>
      <c r="C29" s="18">
        <f t="shared" si="13"/>
        <v>0</v>
      </c>
      <c r="D29" s="18">
        <f t="shared" si="13"/>
        <v>0</v>
      </c>
      <c r="E29" s="18">
        <f t="shared" si="13"/>
        <v>0</v>
      </c>
      <c r="F29" s="18">
        <f t="shared" si="13"/>
        <v>0</v>
      </c>
      <c r="G29" s="18">
        <f t="shared" si="13"/>
        <v>0</v>
      </c>
      <c r="H29" s="18">
        <f t="shared" si="13"/>
        <v>0</v>
      </c>
      <c r="I29" s="18">
        <f t="shared" si="13"/>
        <v>0</v>
      </c>
      <c r="J29" s="18">
        <f t="shared" si="13"/>
        <v>0</v>
      </c>
      <c r="K29" s="18">
        <f t="shared" si="13"/>
        <v>0</v>
      </c>
      <c r="L29" s="18">
        <f t="shared" ref="L29:N29" si="14">(L26)*0.3</f>
        <v>3140.397087</v>
      </c>
      <c r="M29" s="18">
        <f t="shared" si="14"/>
        <v>3441.733981</v>
      </c>
      <c r="N29" s="18">
        <f t="shared" si="14"/>
        <v>2597.613</v>
      </c>
    </row>
    <row r="30">
      <c r="A30" s="13" t="s">
        <v>23</v>
      </c>
      <c r="B30" s="18">
        <f t="shared" ref="B30:L30" si="15">(B26)*0.7</f>
        <v>21419.40283</v>
      </c>
      <c r="C30" s="18">
        <f t="shared" si="15"/>
        <v>0</v>
      </c>
      <c r="D30" s="18">
        <f t="shared" si="15"/>
        <v>0</v>
      </c>
      <c r="E30" s="18">
        <f t="shared" si="15"/>
        <v>0</v>
      </c>
      <c r="F30" s="18">
        <f t="shared" si="15"/>
        <v>0</v>
      </c>
      <c r="G30" s="18">
        <f t="shared" si="15"/>
        <v>0</v>
      </c>
      <c r="H30" s="18">
        <f t="shared" si="15"/>
        <v>0</v>
      </c>
      <c r="I30" s="18">
        <f t="shared" si="15"/>
        <v>0</v>
      </c>
      <c r="J30" s="18">
        <f t="shared" si="15"/>
        <v>0</v>
      </c>
      <c r="K30" s="18">
        <f t="shared" si="15"/>
        <v>0</v>
      </c>
      <c r="L30" s="18">
        <f t="shared" si="15"/>
        <v>7327.593204</v>
      </c>
      <c r="M30" s="18">
        <f>(M26)*0.8</f>
        <v>9177.957282</v>
      </c>
      <c r="N30" s="18">
        <f>(N26)*0.7</f>
        <v>6061.097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18.0"/>
  </cols>
  <sheetData>
    <row r="1">
      <c r="A1" s="1" t="s">
        <v>0</v>
      </c>
      <c r="B1" s="1" t="s">
        <v>1</v>
      </c>
      <c r="C1" s="2">
        <v>45682.0</v>
      </c>
      <c r="D1" s="3">
        <v>45713.0</v>
      </c>
      <c r="E1" s="3">
        <v>45741.0</v>
      </c>
      <c r="F1" s="3">
        <v>45772.0</v>
      </c>
      <c r="G1" s="3">
        <v>45802.0</v>
      </c>
      <c r="H1" s="3">
        <v>45833.0</v>
      </c>
      <c r="I1" s="3">
        <v>45863.0</v>
      </c>
      <c r="J1" s="3">
        <v>45894.0</v>
      </c>
      <c r="K1" s="2">
        <v>45925.0</v>
      </c>
      <c r="L1" s="3">
        <v>45955.0</v>
      </c>
      <c r="M1" s="3">
        <v>45986.0</v>
      </c>
      <c r="N1" s="3">
        <v>46016.0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4" si="1">sum(C3:N3)</f>
        <v>88869</v>
      </c>
      <c r="C3" s="8">
        <f>SUM(C4)</f>
        <v>17216</v>
      </c>
      <c r="D3" s="8">
        <f>sum(D4)</f>
        <v>9115</v>
      </c>
      <c r="E3" s="8">
        <f>SUM(E4)</f>
        <v>20797</v>
      </c>
      <c r="F3" s="8">
        <f>sum(F4)</f>
        <v>0</v>
      </c>
      <c r="G3" s="8">
        <f>SUM(G4)</f>
        <v>0</v>
      </c>
      <c r="H3" s="8">
        <f>sum(H4)</f>
        <v>0</v>
      </c>
      <c r="I3" s="8">
        <f>SUM(I4)</f>
        <v>0</v>
      </c>
      <c r="J3" s="8">
        <f>sum(J4)</f>
        <v>0</v>
      </c>
      <c r="K3" s="8">
        <f>SUM(K4)</f>
        <v>0</v>
      </c>
      <c r="L3" s="8">
        <f>sum(L4)</f>
        <v>13459</v>
      </c>
      <c r="M3" s="8">
        <f>SUM(M4)</f>
        <v>14233</v>
      </c>
      <c r="N3" s="8">
        <f>sum(N4)</f>
        <v>14049</v>
      </c>
    </row>
    <row r="4" outlineLevel="1">
      <c r="A4" s="6" t="s">
        <v>4</v>
      </c>
      <c r="B4" s="7">
        <f t="shared" si="1"/>
        <v>88869</v>
      </c>
      <c r="C4" s="9">
        <f>SUMIFS(Datalist!$D:$D, Datalist!$C:$C, "&gt;="&amp;DATE(2026,1,1), Datalist!$C:$C, "&lt;"&amp;DATE(2026,2,1))</f>
        <v>17216</v>
      </c>
      <c r="D4" s="9">
        <f>SUMIFS(Datalist!$D:$D, Datalist!$C:$C, "&gt;="&amp;DATE(2026,2,1), Datalist!$C:$C, "&lt;"&amp;DATE(2026,3,1))</f>
        <v>9115</v>
      </c>
      <c r="E4" s="9">
        <f>SUMIFS(Datalist!$D:$D, Datalist!$C:$C, "&gt;="&amp;DATE(2026,3,1), Datalist!$C:$C, "&lt;"&amp;DATE(2026,4,1))</f>
        <v>20797</v>
      </c>
      <c r="F4" s="9">
        <f>SUMIFS(Datalist!$D:$D, Datalist!$C:$C, "&gt;="&amp;DATE(2025,4,1), Datalist!$C:$C, "&lt;"&amp;DATE(2025,5,1))</f>
        <v>0</v>
      </c>
      <c r="G4" s="9">
        <f>SUMIFS(Datalist!$D:$D, Datalist!$C:$C, "&gt;="&amp;DATE(2025,5,1), Datalist!$C:$C, "&lt;"&amp;DATE(2025,6,1))</f>
        <v>0</v>
      </c>
      <c r="H4" s="9">
        <f>SUMIFS(Datalist!$D:$D, Datalist!$C:$C, "&gt;="&amp;DATE(2025,6,1), Datalist!$C:$C, "&lt;"&amp;DATE(2025,7,1))</f>
        <v>0</v>
      </c>
      <c r="I4" s="9">
        <f>SUMIFS(Datalist!$D:$D, Datalist!$C:$C, "&gt;="&amp;DATE(2025,7,1), Datalist!$C:$C, "&lt;"&amp;DATE(2025,8,1))</f>
        <v>0</v>
      </c>
      <c r="J4" s="9">
        <f>SUMIFS(Datalist!$D:$D, Datalist!$C:$C, "&gt;="&amp;DATE(2025,8,1), Datalist!$C:$C, "&lt;"&amp;DATE(2025,9,1))</f>
        <v>0</v>
      </c>
      <c r="K4" s="9">
        <f>SUMIFS(Datalist!$D:$D, Datalist!$C:$C, "&gt;="&amp;DATE(2025,9,1), Datalist!$C:$C, "&lt;"&amp;DATE(2025,10,1))</f>
        <v>0</v>
      </c>
      <c r="L4" s="9">
        <f>SUMIFS(Datalist!$D:$D, Datalist!$C:$C, "&gt;="&amp;DATE(2025,10,1), Datalist!$C:$C, "&lt;"&amp;DATE(2025,11,1))</f>
        <v>13459</v>
      </c>
      <c r="M4" s="9">
        <f>SUMIFS(Datalist!$D:$D, Datalist!$C:$C, "&gt;="&amp;DATE(2025,11,1), Datalist!$C:$C, "&lt;"&amp;DATE(2025,12,1))</f>
        <v>14233</v>
      </c>
      <c r="N4" s="9">
        <f>SUMIFS(Datalist!$D:$D, Datalist!$C:$C, "&gt;="&amp;DATE(2025,12,1), Datalist!$C:$C, "&lt;"&amp;DATE(2026,1,1))</f>
        <v>14049</v>
      </c>
    </row>
    <row r="5" outlineLevel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outlineLevel="1">
      <c r="B6" s="7"/>
      <c r="C6" s="8"/>
      <c r="D6" s="7"/>
      <c r="E6" s="7"/>
      <c r="F6" s="8"/>
      <c r="G6" s="8"/>
      <c r="H6" s="7"/>
      <c r="I6" s="7"/>
      <c r="J6" s="7"/>
      <c r="K6" s="7"/>
      <c r="L6" s="7"/>
      <c r="M6" s="7"/>
      <c r="N6" s="7"/>
    </row>
    <row r="7">
      <c r="A7" s="10" t="s">
        <v>5</v>
      </c>
      <c r="B7" s="11">
        <f>sum(C7:N7)</f>
        <v>88869</v>
      </c>
      <c r="C7" s="12">
        <f t="shared" ref="C7:N7" si="2">SUM(C4:C6)</f>
        <v>17216</v>
      </c>
      <c r="D7" s="12">
        <f t="shared" si="2"/>
        <v>9115</v>
      </c>
      <c r="E7" s="12">
        <f t="shared" si="2"/>
        <v>20797</v>
      </c>
      <c r="F7" s="12">
        <f t="shared" si="2"/>
        <v>0</v>
      </c>
      <c r="G7" s="12">
        <f t="shared" si="2"/>
        <v>0</v>
      </c>
      <c r="H7" s="12">
        <f t="shared" si="2"/>
        <v>0</v>
      </c>
      <c r="I7" s="12">
        <f t="shared" si="2"/>
        <v>0</v>
      </c>
      <c r="J7" s="12">
        <f t="shared" si="2"/>
        <v>0</v>
      </c>
      <c r="K7" s="12">
        <f t="shared" si="2"/>
        <v>0</v>
      </c>
      <c r="L7" s="12">
        <f t="shared" si="2"/>
        <v>13459</v>
      </c>
      <c r="M7" s="12">
        <f t="shared" si="2"/>
        <v>14233</v>
      </c>
      <c r="N7" s="12">
        <f t="shared" si="2"/>
        <v>14049</v>
      </c>
    </row>
    <row r="8">
      <c r="A8" s="4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ollapsed="1">
      <c r="A9" s="6" t="s">
        <v>7</v>
      </c>
      <c r="B9" s="7">
        <f>sum(C9:N9)</f>
        <v>8703.97</v>
      </c>
      <c r="C9" s="8">
        <v>2111.56</v>
      </c>
      <c r="D9" s="8">
        <v>2435.0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1244.0</v>
      </c>
      <c r="M9" s="8">
        <v>1445.0</v>
      </c>
      <c r="N9" s="8">
        <v>1468.41</v>
      </c>
    </row>
    <row r="10" hidden="1" outlineLevel="1">
      <c r="A10" s="6" t="s">
        <v>8</v>
      </c>
      <c r="B10" s="7"/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</row>
    <row r="11" hidden="1" outlineLevel="1">
      <c r="A11" s="6" t="s">
        <v>9</v>
      </c>
      <c r="B11" s="7"/>
      <c r="C11" s="8">
        <v>0.0</v>
      </c>
      <c r="D11" s="8">
        <v>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</row>
    <row r="12" hidden="1" outlineLevel="1">
      <c r="A12" s="6" t="s">
        <v>10</v>
      </c>
      <c r="B12" s="7"/>
      <c r="C12" s="8">
        <v>0.0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</row>
    <row r="13" hidden="1" outlineLevel="1">
      <c r="A13" s="6" t="s">
        <v>11</v>
      </c>
      <c r="B13" s="7"/>
      <c r="C13" s="8">
        <v>0.0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</row>
    <row r="14" collapsed="1">
      <c r="A14" s="6" t="s">
        <v>12</v>
      </c>
      <c r="B14" s="7">
        <f>sum(C14:N14)</f>
        <v>3145</v>
      </c>
      <c r="C14" s="19">
        <v>418.3</v>
      </c>
      <c r="D14" s="8">
        <v>916.7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701.0</v>
      </c>
      <c r="M14" s="8">
        <v>701.0</v>
      </c>
      <c r="N14" s="8">
        <v>408.0</v>
      </c>
    </row>
    <row r="15" hidden="1" outlineLevel="1">
      <c r="A15" s="6" t="s">
        <v>13</v>
      </c>
      <c r="B15" s="7"/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</row>
    <row r="16" hidden="1" outlineLevel="1">
      <c r="A16" s="6" t="s">
        <v>14</v>
      </c>
      <c r="B16" s="7">
        <f t="shared" ref="B16:B23" si="3">sum(C16:N16)</f>
        <v>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</row>
    <row r="17" collapsed="1">
      <c r="A17" s="6" t="s">
        <v>15</v>
      </c>
      <c r="B17" s="7">
        <f t="shared" si="3"/>
        <v>2758</v>
      </c>
      <c r="C17" s="19">
        <v>436.0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200.0</v>
      </c>
      <c r="M17" s="8">
        <v>200.0</v>
      </c>
      <c r="N17" s="8">
        <v>1922.0</v>
      </c>
    </row>
    <row r="18" hidden="1" outlineLevel="1">
      <c r="B18" s="7">
        <f t="shared" si="3"/>
        <v>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</row>
    <row r="19" hidden="1" outlineLevel="1">
      <c r="B19" s="7">
        <f t="shared" si="3"/>
        <v>0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</row>
    <row r="20" hidden="1" outlineLevel="1">
      <c r="B20" s="7">
        <f t="shared" si="3"/>
        <v>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</row>
    <row r="21">
      <c r="A21" s="6" t="s">
        <v>16</v>
      </c>
      <c r="B21" s="7">
        <f t="shared" si="3"/>
        <v>2565.39</v>
      </c>
      <c r="C21" s="8">
        <v>574.15</v>
      </c>
      <c r="D21" s="8">
        <v>496.5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454.0</v>
      </c>
      <c r="M21" s="8">
        <v>438.0</v>
      </c>
      <c r="N21" s="8">
        <v>602.74</v>
      </c>
    </row>
    <row r="22">
      <c r="A22" s="6" t="s">
        <v>24</v>
      </c>
      <c r="B22" s="7">
        <f t="shared" si="3"/>
        <v>815.75</v>
      </c>
      <c r="C22" s="20">
        <v>330.75</v>
      </c>
      <c r="D22" s="8">
        <v>335.0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150.0</v>
      </c>
    </row>
    <row r="23">
      <c r="A23" s="13" t="s">
        <v>18</v>
      </c>
      <c r="B23" s="14">
        <f t="shared" si="3"/>
        <v>17550.11</v>
      </c>
      <c r="C23" s="14">
        <f>C9+C14+C17+C21+C22</f>
        <v>3870.76</v>
      </c>
      <c r="D23" s="14">
        <f>SUM(D9:D22)</f>
        <v>4183.2</v>
      </c>
      <c r="E23" s="14">
        <f t="shared" ref="E23:K23" si="4">E9+E14+E17</f>
        <v>0</v>
      </c>
      <c r="F23" s="14">
        <f t="shared" si="4"/>
        <v>0</v>
      </c>
      <c r="G23" s="14">
        <f t="shared" si="4"/>
        <v>0</v>
      </c>
      <c r="H23" s="14">
        <f t="shared" si="4"/>
        <v>0</v>
      </c>
      <c r="I23" s="14">
        <f t="shared" si="4"/>
        <v>0</v>
      </c>
      <c r="J23" s="14">
        <f t="shared" si="4"/>
        <v>0</v>
      </c>
      <c r="K23" s="14">
        <f t="shared" si="4"/>
        <v>0</v>
      </c>
      <c r="L23" s="14">
        <f>SUM(L9:L22)</f>
        <v>2599</v>
      </c>
      <c r="M23" s="14">
        <f>M9+M14+M17</f>
        <v>2346</v>
      </c>
      <c r="N23" s="14">
        <f>N9+N14+N17+N21+N22</f>
        <v>4551.15</v>
      </c>
    </row>
    <row r="24">
      <c r="A24" s="15"/>
      <c r="B24" s="7"/>
      <c r="C24" s="7"/>
      <c r="D24" s="7"/>
      <c r="E24" s="7"/>
      <c r="F24" s="7"/>
      <c r="G24" s="8" t="s">
        <v>19</v>
      </c>
      <c r="H24" s="7"/>
      <c r="I24" s="7"/>
      <c r="J24" s="7"/>
      <c r="K24" s="7"/>
      <c r="L24" s="7"/>
      <c r="M24" s="7"/>
      <c r="N24" s="7"/>
    </row>
    <row r="25">
      <c r="A25" s="15" t="s">
        <v>20</v>
      </c>
      <c r="B25" s="7">
        <f t="shared" ref="B25:B26" si="7">sum(C25:N25)</f>
        <v>84998.24</v>
      </c>
      <c r="C25" s="7">
        <f>C3-C23</f>
        <v>13345.24</v>
      </c>
      <c r="D25" s="7">
        <f>D3</f>
        <v>9115</v>
      </c>
      <c r="E25" s="7">
        <f t="shared" ref="E25:I25" si="5">E3-E23</f>
        <v>20797</v>
      </c>
      <c r="F25" s="7">
        <f t="shared" si="5"/>
        <v>0</v>
      </c>
      <c r="G25" s="7">
        <f t="shared" si="5"/>
        <v>0</v>
      </c>
      <c r="H25" s="7">
        <f t="shared" si="5"/>
        <v>0</v>
      </c>
      <c r="I25" s="7">
        <f t="shared" si="5"/>
        <v>0</v>
      </c>
      <c r="J25" s="7">
        <f t="shared" ref="J25:N25" si="6">J3</f>
        <v>0</v>
      </c>
      <c r="K25" s="7">
        <f t="shared" si="6"/>
        <v>0</v>
      </c>
      <c r="L25" s="7">
        <f t="shared" si="6"/>
        <v>13459</v>
      </c>
      <c r="M25" s="7">
        <f t="shared" si="6"/>
        <v>14233</v>
      </c>
      <c r="N25" s="7">
        <f t="shared" si="6"/>
        <v>14049</v>
      </c>
    </row>
    <row r="26">
      <c r="A26" s="15" t="s">
        <v>21</v>
      </c>
      <c r="B26" s="7">
        <f t="shared" si="7"/>
        <v>73897.63641</v>
      </c>
      <c r="C26" s="8">
        <f>C25/1.03</f>
        <v>12956.54369</v>
      </c>
      <c r="D26" s="7">
        <f>D6+D4</f>
        <v>9115</v>
      </c>
      <c r="E26" s="7">
        <f t="shared" ref="E26:H26" si="8">E25</f>
        <v>20797</v>
      </c>
      <c r="F26" s="7">
        <f t="shared" si="8"/>
        <v>0</v>
      </c>
      <c r="G26" s="7">
        <f t="shared" si="8"/>
        <v>0</v>
      </c>
      <c r="H26" s="7">
        <f t="shared" si="8"/>
        <v>0</v>
      </c>
      <c r="I26" s="7">
        <f>I6+I4-I23</f>
        <v>0</v>
      </c>
      <c r="J26" s="7">
        <f t="shared" ref="J26:K26" si="9">J6+J4</f>
        <v>0</v>
      </c>
      <c r="K26" s="7">
        <f t="shared" si="9"/>
        <v>0</v>
      </c>
      <c r="L26" s="8">
        <f t="shared" ref="L26:N26" si="10">L25/1.03-L23</f>
        <v>10467.99029</v>
      </c>
      <c r="M26" s="8">
        <f t="shared" si="10"/>
        <v>11472.4466</v>
      </c>
      <c r="N26" s="8">
        <f t="shared" si="10"/>
        <v>9088.655825</v>
      </c>
    </row>
    <row r="27">
      <c r="A27" s="1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  <c r="N27" s="7"/>
    </row>
    <row r="28">
      <c r="A28" s="1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16"/>
      <c r="N28" s="7"/>
    </row>
    <row r="29">
      <c r="A29" s="17" t="s">
        <v>22</v>
      </c>
      <c r="B29" s="18">
        <f>(B25)*0.3</f>
        <v>25499.472</v>
      </c>
      <c r="C29" s="18">
        <f>(C26)*0.3</f>
        <v>3886.963107</v>
      </c>
      <c r="D29" s="18">
        <f t="shared" ref="D29:K29" si="11">(D25)*0.3</f>
        <v>2734.5</v>
      </c>
      <c r="E29" s="18">
        <f t="shared" si="11"/>
        <v>6239.1</v>
      </c>
      <c r="F29" s="18">
        <f t="shared" si="11"/>
        <v>0</v>
      </c>
      <c r="G29" s="18">
        <f t="shared" si="11"/>
        <v>0</v>
      </c>
      <c r="H29" s="18">
        <f t="shared" si="11"/>
        <v>0</v>
      </c>
      <c r="I29" s="18">
        <f t="shared" si="11"/>
        <v>0</v>
      </c>
      <c r="J29" s="18">
        <f t="shared" si="11"/>
        <v>0</v>
      </c>
      <c r="K29" s="18">
        <f t="shared" si="11"/>
        <v>0</v>
      </c>
      <c r="L29" s="18">
        <f t="shared" ref="L29:N29" si="12">(L26)*0.3</f>
        <v>3140.397087</v>
      </c>
      <c r="M29" s="18">
        <f t="shared" si="12"/>
        <v>3441.733981</v>
      </c>
      <c r="N29" s="18">
        <f t="shared" si="12"/>
        <v>2726.596748</v>
      </c>
    </row>
    <row r="30">
      <c r="A30" s="13" t="s">
        <v>23</v>
      </c>
      <c r="B30" s="18">
        <f t="shared" ref="B30:N30" si="13">(B26)*0.7</f>
        <v>51728.34549</v>
      </c>
      <c r="C30" s="18">
        <f t="shared" si="13"/>
        <v>9069.580583</v>
      </c>
      <c r="D30" s="18">
        <f t="shared" si="13"/>
        <v>6380.5</v>
      </c>
      <c r="E30" s="18">
        <f t="shared" si="13"/>
        <v>14557.9</v>
      </c>
      <c r="F30" s="18">
        <f t="shared" si="13"/>
        <v>0</v>
      </c>
      <c r="G30" s="18">
        <f t="shared" si="13"/>
        <v>0</v>
      </c>
      <c r="H30" s="18">
        <f t="shared" si="13"/>
        <v>0</v>
      </c>
      <c r="I30" s="18">
        <f t="shared" si="13"/>
        <v>0</v>
      </c>
      <c r="J30" s="18">
        <f t="shared" si="13"/>
        <v>0</v>
      </c>
      <c r="K30" s="18">
        <f t="shared" si="13"/>
        <v>0</v>
      </c>
      <c r="L30" s="18">
        <f t="shared" si="13"/>
        <v>7327.593204</v>
      </c>
      <c r="M30" s="18">
        <f t="shared" si="13"/>
        <v>8030.712621</v>
      </c>
      <c r="N30" s="18">
        <f t="shared" si="13"/>
        <v>6362.059078</v>
      </c>
    </row>
    <row r="31">
      <c r="A31" s="15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>
      <c r="A32" s="15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>
      <c r="A33" s="1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>
      <c r="A34" s="1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>
      <c r="A35" s="15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>
      <c r="A36" s="15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>
      <c r="A37" s="15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>
      <c r="A38" s="15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>
      <c r="A39" s="15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>
      <c r="A40" s="15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>
      <c r="A41" s="15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>
      <c r="A42" s="15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>
      <c r="A43" s="15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>
      <c r="A44" s="15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>
      <c r="A45" s="15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>
      <c r="A46" s="15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1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>
      <c r="A48" s="15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15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>
      <c r="A50" s="15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>
      <c r="A51" s="15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>
      <c r="A52" s="15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>
      <c r="A53" s="15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>
      <c r="A54" s="15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>
      <c r="A55" s="15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>
      <c r="A56" s="15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>
      <c r="A57" s="15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>
      <c r="A58" s="15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>
      <c r="A59" s="15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>
      <c r="A60" s="15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>
      <c r="A61" s="15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>
      <c r="A62" s="15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>
      <c r="A63" s="15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>
      <c r="A64" s="15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>
      <c r="A65" s="15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>
      <c r="A66" s="15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>
      <c r="A67" s="15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>
      <c r="A68" s="15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>
      <c r="A69" s="15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>
      <c r="A70" s="15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>
      <c r="A71" s="15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>
      <c r="A72" s="15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>
      <c r="A73" s="15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>
      <c r="A74" s="15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>
      <c r="A75" s="15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>
      <c r="A76" s="15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>
      <c r="A77" s="15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>
      <c r="A78" s="15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>
      <c r="A79" s="15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>
      <c r="A80" s="15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A81" s="15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>
      <c r="A82" s="15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>
      <c r="A83" s="15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>
      <c r="A84" s="15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A85" s="15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A86" s="15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>
      <c r="A87" s="15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>
      <c r="A88" s="15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>
      <c r="A89" s="15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>
      <c r="A90" s="15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>
      <c r="A91" s="15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>
      <c r="A92" s="15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>
      <c r="A93" s="15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>
      <c r="A94" s="15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>
      <c r="A95" s="15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>
      <c r="A96" s="15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>
      <c r="A97" s="15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>
      <c r="A98" s="15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>
      <c r="A99" s="15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>
      <c r="A100" s="15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>
      <c r="A101" s="15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>
      <c r="A102" s="15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>
      <c r="A103" s="15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A104" s="15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A105" s="15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A106" s="15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A107" s="15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A108" s="15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A109" s="15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A110" s="15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A111" s="15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A112" s="15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A113" s="15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A114" s="15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A115" s="15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A116" s="15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A117" s="15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A118" s="15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A119" s="15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A120" s="15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A121" s="15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A122" s="15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A123" s="1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A124" s="15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A125" s="15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A126" s="15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A127" s="15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A128" s="15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A129" s="15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A130" s="15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A131" s="15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A132" s="15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A133" s="15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A134" s="15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A135" s="15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A136" s="15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A137" s="15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A138" s="15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A139" s="15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A140" s="15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A141" s="15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A142" s="15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A143" s="15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A144" s="15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A145" s="15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A146" s="15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A147" s="15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A148" s="15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A149" s="15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A150" s="15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A151" s="15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A152" s="15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A153" s="15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A154" s="15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A155" s="15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A156" s="15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A157" s="15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A158" s="15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15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A160" s="15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A161" s="15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A162" s="15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A163" s="15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A164" s="15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A165" s="15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A166" s="15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A167" s="15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A168" s="15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A169" s="15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A170" s="15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A171" s="15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A172" s="15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A173" s="15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A174" s="15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A175" s="15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A176" s="15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A177" s="15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A178" s="15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A179" s="15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A180" s="15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A181" s="15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A182" s="15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A183" s="15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A184" s="15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A185" s="15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A186" s="15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A187" s="15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A188" s="15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A189" s="15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A190" s="15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A191" s="15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A192" s="15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A193" s="15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A194" s="15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A195" s="15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A196" s="15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A197" s="15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A198" s="15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A199" s="15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A200" s="15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A201" s="15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>
      <c r="A202" s="15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>
      <c r="A203" s="15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>
      <c r="A204" s="15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>
      <c r="A205" s="15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>
      <c r="A206" s="15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>
      <c r="A207" s="15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15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15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15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15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15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15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15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15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15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15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15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15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15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15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15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15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15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15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15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15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15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15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15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15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15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15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15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15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15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15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15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15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15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15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15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15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15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15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15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15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15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15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15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15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15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15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15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15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15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15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15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15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15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15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15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15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15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15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15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15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15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15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15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15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15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15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15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15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15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15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15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15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15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15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15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15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15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15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15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15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15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15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15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15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15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15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15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15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15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15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15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15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15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15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15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15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15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15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15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15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15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15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15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15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15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15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15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15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15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15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15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15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15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15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15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15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15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15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15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15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15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15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15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15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15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15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15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15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15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15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15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15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15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15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15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15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15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15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15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15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15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15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15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15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15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15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15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15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15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15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15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15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15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15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15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15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15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15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15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15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15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15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15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15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15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15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15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15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15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15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15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15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15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15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15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15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15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15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15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15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15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15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15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15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15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15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15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15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15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15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15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15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15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15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15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15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15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15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15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15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15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15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15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15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15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15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15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15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15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15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15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15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15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15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15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15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15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15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15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15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15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15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15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15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15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15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15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15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15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15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15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15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15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15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15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15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15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15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15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15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15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15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15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15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15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15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15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15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15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15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15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15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15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15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15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15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15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15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15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15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15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15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15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15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15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15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15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15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15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15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15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15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15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15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15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15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15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15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15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15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15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15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15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15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15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15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15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15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15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15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15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15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15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15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15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15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15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15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15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15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15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15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15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15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15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15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15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15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15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15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15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15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15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15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15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15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15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15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15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15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15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15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15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15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15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15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15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15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15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15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15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15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15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15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15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15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15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15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15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15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15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15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15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15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15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15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15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15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15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15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15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15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15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15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15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15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15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15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15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15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15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15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15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15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15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15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15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15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15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15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15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15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15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15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15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15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15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15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15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15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15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15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15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15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15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15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15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15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15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15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15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15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15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15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15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15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15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15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15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15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15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15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15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15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15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15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15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15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15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15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15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15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15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15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15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15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15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15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15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15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15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15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15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15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15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15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15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15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15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15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15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15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15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15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15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15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15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15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15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15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15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15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15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15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15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15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15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15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15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15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15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15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15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15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15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15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15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15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15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15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15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15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15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15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15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15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15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15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15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15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15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15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15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15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15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15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15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15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15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15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15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15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15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15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15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15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15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15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15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15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15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15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15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15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15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15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15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15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15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15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15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15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15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15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15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15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15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15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15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15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15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15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15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15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15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15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15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15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15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15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15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15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15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15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15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15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15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15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15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15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15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15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15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15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15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15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15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15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15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15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15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15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15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15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15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15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15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15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15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15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15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15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15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15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15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15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15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15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15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15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15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15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15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15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15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15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15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15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15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15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15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15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15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15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15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15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15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15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15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15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15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15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15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15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15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15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15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15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15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15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15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15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15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15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15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15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15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15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15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15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15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15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15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15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15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15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15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15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15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15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15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15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15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15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15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15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15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15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15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15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15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15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15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15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15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15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15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15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15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15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15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15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15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15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15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15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15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15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15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15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15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15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15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15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15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15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15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15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15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15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15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15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15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15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15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15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15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15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15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15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15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15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15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15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15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15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15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15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15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15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15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15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15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15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15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15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15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15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15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15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15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15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15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15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15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15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15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15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15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15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15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15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15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15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15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15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15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15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15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15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15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15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15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15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15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15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15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15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15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15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15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15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15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15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15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15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15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15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15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15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15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15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15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15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15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15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15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15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15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15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15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15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15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15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15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15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15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15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15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15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15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15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15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15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15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15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15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15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15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15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15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15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15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15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15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15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15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15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15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15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15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15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15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15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15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15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15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15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15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15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15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15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15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15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15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15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A984" s="15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A985" s="15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A986" s="15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A987" s="15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A988" s="15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A989" s="15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A990" s="15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A991" s="15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A992" s="15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A993" s="15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A994" s="15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A995" s="15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A996" s="15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A997" s="15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A998" s="15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A999" s="15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A1000" s="15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  <row r="1001">
      <c r="A1001" s="15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</row>
    <row r="1002">
      <c r="A1002" s="15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</row>
    <row r="1003">
      <c r="A1003" s="15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</row>
    <row r="1004">
      <c r="A1004" s="15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</row>
    <row r="1005">
      <c r="A1005" s="15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</row>
    <row r="1006">
      <c r="A1006" s="15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</row>
    <row r="1007">
      <c r="A1007" s="15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</row>
    <row r="1008">
      <c r="A1008" s="15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</row>
    <row r="1009">
      <c r="A1009" s="15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</row>
    <row r="1010">
      <c r="A1010" s="15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</row>
    <row r="1011">
      <c r="A1011" s="15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</row>
    <row r="1012">
      <c r="A1012" s="15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</row>
    <row r="1013">
      <c r="A1013" s="15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</row>
    <row r="1014">
      <c r="A1014" s="15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</row>
    <row r="1015">
      <c r="A1015" s="15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</row>
    <row r="1016">
      <c r="A1016" s="15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</row>
    <row r="1017">
      <c r="A1017" s="15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</row>
    <row r="1018">
      <c r="A1018" s="15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</row>
    <row r="1019">
      <c r="A1019" s="15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</row>
    <row r="1020">
      <c r="A1020" s="15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</row>
    <row r="1021">
      <c r="A1021" s="15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</row>
    <row r="1022">
      <c r="A1022" s="15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</row>
    <row r="1023">
      <c r="A1023" s="15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</row>
    <row r="1024">
      <c r="A1024" s="15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</row>
    <row r="1025">
      <c r="A1025" s="15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</row>
    <row r="1026">
      <c r="A1026" s="15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</row>
    <row r="1027">
      <c r="A1027" s="15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</row>
    <row r="1028">
      <c r="A1028" s="15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</row>
    <row r="1029">
      <c r="A1029" s="15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</row>
    <row r="1030">
      <c r="A1030" s="15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3.0"/>
    <col customWidth="1" min="4" max="4" width="25.75"/>
    <col customWidth="1" min="5" max="5" width="31.13"/>
    <col customWidth="1" min="6" max="6" width="20.75"/>
    <col customWidth="1" min="7" max="7" width="23.0"/>
    <col customWidth="1" min="8" max="8" width="20.88"/>
  </cols>
  <sheetData>
    <row r="1">
      <c r="A1" s="22" t="s">
        <v>25</v>
      </c>
      <c r="B1" s="10" t="s">
        <v>26</v>
      </c>
      <c r="C1" s="10" t="s">
        <v>27</v>
      </c>
      <c r="D1" s="23" t="s">
        <v>28</v>
      </c>
      <c r="H1" s="24"/>
      <c r="I1" s="25"/>
    </row>
    <row r="2">
      <c r="A2" s="26"/>
      <c r="B2" s="26"/>
      <c r="C2" s="27">
        <v>45938.37061342593</v>
      </c>
      <c r="D2" s="28">
        <v>750.0</v>
      </c>
      <c r="H2" s="24"/>
      <c r="I2" s="25"/>
    </row>
    <row r="3">
      <c r="A3" s="26"/>
      <c r="B3" s="26"/>
      <c r="C3" s="27">
        <v>45938.37061342593</v>
      </c>
      <c r="D3" s="28">
        <v>200.0</v>
      </c>
      <c r="H3" s="24"/>
      <c r="I3" s="25"/>
    </row>
    <row r="4">
      <c r="A4" s="26"/>
      <c r="B4" s="26"/>
      <c r="C4" s="27">
        <v>45938.37061342593</v>
      </c>
      <c r="D4" s="29">
        <v>250.0</v>
      </c>
      <c r="H4" s="24"/>
      <c r="I4" s="25"/>
    </row>
    <row r="5">
      <c r="A5" s="26"/>
      <c r="B5" s="26"/>
      <c r="C5" s="27">
        <v>45938.37061342593</v>
      </c>
      <c r="D5" s="28">
        <v>300.0</v>
      </c>
      <c r="H5" s="24"/>
      <c r="I5" s="25"/>
    </row>
    <row r="6">
      <c r="A6" s="26"/>
      <c r="B6" s="26"/>
      <c r="C6" s="27">
        <v>45938.37061342593</v>
      </c>
      <c r="D6" s="29">
        <v>1800.0</v>
      </c>
      <c r="H6" s="24"/>
      <c r="I6" s="25"/>
    </row>
    <row r="7">
      <c r="A7" s="15"/>
      <c r="B7" s="15"/>
      <c r="C7" s="30">
        <v>45938.37061342593</v>
      </c>
      <c r="D7" s="15">
        <v>70.0</v>
      </c>
      <c r="H7" s="24"/>
      <c r="I7" s="25"/>
    </row>
    <row r="8">
      <c r="A8" s="15"/>
      <c r="B8" s="15"/>
      <c r="C8" s="30">
        <v>45940.42288194445</v>
      </c>
      <c r="D8" s="15">
        <v>2400.0</v>
      </c>
      <c r="H8" s="24"/>
      <c r="I8" s="25"/>
    </row>
    <row r="9">
      <c r="A9" s="15"/>
      <c r="B9" s="15"/>
      <c r="C9" s="30">
        <v>45940.503541666665</v>
      </c>
      <c r="D9" s="15">
        <v>100.0</v>
      </c>
      <c r="H9" s="24"/>
      <c r="I9" s="25"/>
    </row>
    <row r="10">
      <c r="A10" s="15"/>
      <c r="B10" s="15"/>
      <c r="C10" s="30">
        <v>45941.30784722222</v>
      </c>
      <c r="D10" s="15">
        <v>600.0</v>
      </c>
      <c r="H10" s="24"/>
      <c r="I10" s="25"/>
    </row>
    <row r="11">
      <c r="A11" s="15" t="s">
        <v>29</v>
      </c>
      <c r="B11" s="15" t="s">
        <v>30</v>
      </c>
      <c r="C11" s="30">
        <v>45941.83021990741</v>
      </c>
      <c r="D11" s="15">
        <v>250.0</v>
      </c>
      <c r="H11" s="24"/>
      <c r="I11" s="25"/>
    </row>
    <row r="12">
      <c r="A12" s="15"/>
      <c r="B12" s="15"/>
      <c r="C12" s="30">
        <v>45944.341678240744</v>
      </c>
      <c r="D12" s="15">
        <v>1500.0</v>
      </c>
      <c r="H12" s="24"/>
      <c r="I12" s="25"/>
    </row>
    <row r="13">
      <c r="A13" s="15" t="s">
        <v>31</v>
      </c>
      <c r="B13" s="15" t="s">
        <v>32</v>
      </c>
      <c r="C13" s="30">
        <v>45944.51210648148</v>
      </c>
      <c r="D13" s="15">
        <v>150.0</v>
      </c>
      <c r="H13" s="24"/>
      <c r="I13" s="25"/>
    </row>
    <row r="14">
      <c r="A14" s="15" t="s">
        <v>33</v>
      </c>
      <c r="B14" s="15" t="s">
        <v>34</v>
      </c>
      <c r="C14" s="30">
        <v>45945.04486111111</v>
      </c>
      <c r="D14" s="15">
        <v>141.0</v>
      </c>
      <c r="H14" s="24"/>
      <c r="I14" s="25"/>
    </row>
    <row r="15">
      <c r="A15" s="15"/>
      <c r="B15" s="15"/>
      <c r="C15" s="30">
        <v>45947.40429398148</v>
      </c>
      <c r="D15" s="15">
        <v>250.0</v>
      </c>
      <c r="H15" s="24"/>
      <c r="I15" s="25"/>
    </row>
    <row r="16">
      <c r="A16" s="15"/>
      <c r="B16" s="15"/>
      <c r="C16" s="30">
        <v>45951.36981481482</v>
      </c>
      <c r="D16" s="15">
        <v>300.0</v>
      </c>
      <c r="H16" s="24"/>
      <c r="I16" s="25"/>
    </row>
    <row r="17">
      <c r="A17" s="15" t="s">
        <v>35</v>
      </c>
      <c r="B17" s="15" t="s">
        <v>36</v>
      </c>
      <c r="C17" s="30">
        <v>45952.31202546296</v>
      </c>
      <c r="D17" s="15">
        <v>200.0</v>
      </c>
      <c r="H17" s="24"/>
      <c r="I17" s="25"/>
    </row>
    <row r="18">
      <c r="A18" s="15"/>
      <c r="B18" s="15"/>
      <c r="C18" s="30">
        <v>45956.49849537037</v>
      </c>
      <c r="D18" s="15">
        <v>3000.0</v>
      </c>
      <c r="H18" s="24"/>
      <c r="I18" s="25"/>
    </row>
    <row r="19">
      <c r="A19" s="15"/>
      <c r="B19" s="15"/>
      <c r="C19" s="30">
        <v>45957.49969907408</v>
      </c>
      <c r="D19" s="15">
        <v>500.0</v>
      </c>
      <c r="H19" s="24"/>
      <c r="I19" s="25"/>
    </row>
    <row r="20">
      <c r="A20" s="15" t="s">
        <v>37</v>
      </c>
      <c r="B20" s="15" t="s">
        <v>38</v>
      </c>
      <c r="C20" s="30">
        <v>45958.53498842593</v>
      </c>
      <c r="D20" s="15">
        <v>199.0</v>
      </c>
      <c r="H20" s="24"/>
      <c r="I20" s="25"/>
    </row>
    <row r="21">
      <c r="A21" s="15" t="s">
        <v>39</v>
      </c>
      <c r="B21" s="15" t="s">
        <v>40</v>
      </c>
      <c r="C21" s="30">
        <v>45960.49864583334</v>
      </c>
      <c r="D21" s="15">
        <v>50.0</v>
      </c>
      <c r="H21" s="24"/>
      <c r="I21" s="25"/>
    </row>
    <row r="22">
      <c r="A22" s="15" t="s">
        <v>41</v>
      </c>
      <c r="B22" s="15" t="s">
        <v>42</v>
      </c>
      <c r="C22" s="30">
        <v>45960.890081018515</v>
      </c>
      <c r="D22" s="15">
        <v>250.0</v>
      </c>
      <c r="H22" s="24"/>
      <c r="I22" s="25"/>
    </row>
    <row r="23">
      <c r="A23" s="15" t="s">
        <v>43</v>
      </c>
      <c r="B23" s="15" t="s">
        <v>44</v>
      </c>
      <c r="C23" s="30">
        <v>45961.00405092593</v>
      </c>
      <c r="D23" s="15">
        <v>199.0</v>
      </c>
      <c r="H23" s="24"/>
      <c r="I23" s="25"/>
    </row>
    <row r="24">
      <c r="A24" s="15" t="s">
        <v>45</v>
      </c>
      <c r="B24" s="15" t="s">
        <v>46</v>
      </c>
      <c r="C24" s="30">
        <v>45962.046261574076</v>
      </c>
      <c r="D24" s="15">
        <v>150.0</v>
      </c>
      <c r="H24" s="24"/>
      <c r="I24" s="25"/>
    </row>
    <row r="25">
      <c r="A25" s="15" t="s">
        <v>47</v>
      </c>
      <c r="B25" s="15" t="s">
        <v>48</v>
      </c>
      <c r="C25" s="30">
        <v>45962.047326388885</v>
      </c>
      <c r="D25" s="15">
        <v>300.0</v>
      </c>
      <c r="H25" s="24"/>
      <c r="I25" s="25"/>
    </row>
    <row r="26">
      <c r="A26" s="15" t="s">
        <v>49</v>
      </c>
      <c r="B26" s="15" t="s">
        <v>50</v>
      </c>
      <c r="C26" s="30">
        <v>45962.51513888889</v>
      </c>
      <c r="D26" s="15">
        <v>200.0</v>
      </c>
      <c r="H26" s="24"/>
      <c r="I26" s="25"/>
    </row>
    <row r="27">
      <c r="A27" s="15" t="s">
        <v>51</v>
      </c>
      <c r="B27" s="15" t="s">
        <v>52</v>
      </c>
      <c r="C27" s="30">
        <v>45964.397881944446</v>
      </c>
      <c r="D27" s="15">
        <v>160.0</v>
      </c>
      <c r="H27" s="24"/>
      <c r="I27" s="25"/>
    </row>
    <row r="28">
      <c r="A28" s="15" t="s">
        <v>53</v>
      </c>
      <c r="B28" s="15" t="s">
        <v>54</v>
      </c>
      <c r="C28" s="30">
        <v>45965.553877314815</v>
      </c>
      <c r="D28" s="15">
        <v>199.0</v>
      </c>
      <c r="H28" s="24"/>
      <c r="I28" s="25"/>
    </row>
    <row r="29">
      <c r="A29" s="15" t="s">
        <v>55</v>
      </c>
      <c r="B29" s="15" t="s">
        <v>56</v>
      </c>
      <c r="C29" s="30">
        <v>45965.671122685184</v>
      </c>
      <c r="D29" s="15">
        <v>250.0</v>
      </c>
      <c r="H29" s="24"/>
      <c r="I29" s="25"/>
    </row>
    <row r="30">
      <c r="A30" s="15" t="s">
        <v>57</v>
      </c>
      <c r="B30" s="15" t="s">
        <v>58</v>
      </c>
      <c r="C30" s="30">
        <v>45966.379895833335</v>
      </c>
      <c r="D30" s="15">
        <v>175.0</v>
      </c>
      <c r="H30" s="24"/>
      <c r="I30" s="25"/>
    </row>
    <row r="31">
      <c r="A31" s="15" t="s">
        <v>59</v>
      </c>
      <c r="B31" s="15" t="s">
        <v>60</v>
      </c>
      <c r="C31" s="30">
        <v>45966.679664351854</v>
      </c>
      <c r="D31" s="15">
        <v>500.0</v>
      </c>
      <c r="H31" s="24"/>
      <c r="I31" s="25"/>
    </row>
    <row r="32">
      <c r="A32" s="15" t="s">
        <v>61</v>
      </c>
      <c r="B32" s="15" t="s">
        <v>62</v>
      </c>
      <c r="C32" s="30">
        <v>45966.80042824074</v>
      </c>
      <c r="D32" s="15">
        <v>300.0</v>
      </c>
      <c r="H32" s="24"/>
      <c r="I32" s="25"/>
    </row>
    <row r="33">
      <c r="A33" s="15" t="s">
        <v>63</v>
      </c>
      <c r="B33" s="15" t="s">
        <v>64</v>
      </c>
      <c r="C33" s="30">
        <v>45967.608460648145</v>
      </c>
      <c r="D33" s="15">
        <v>250.0</v>
      </c>
      <c r="H33" s="24"/>
      <c r="I33" s="25"/>
    </row>
    <row r="34">
      <c r="A34" s="15" t="s">
        <v>65</v>
      </c>
      <c r="B34" s="15" t="s">
        <v>66</v>
      </c>
      <c r="C34" s="30">
        <v>45967.83696759259</v>
      </c>
      <c r="D34" s="15">
        <v>600.0</v>
      </c>
    </row>
    <row r="35">
      <c r="A35" s="15" t="s">
        <v>67</v>
      </c>
      <c r="B35" s="15" t="s">
        <v>68</v>
      </c>
      <c r="C35" s="30">
        <v>45969.61236111111</v>
      </c>
      <c r="D35" s="15">
        <v>300.0</v>
      </c>
    </row>
    <row r="36">
      <c r="A36" s="15" t="s">
        <v>69</v>
      </c>
      <c r="B36" s="15" t="s">
        <v>70</v>
      </c>
      <c r="C36" s="30">
        <v>45971.50355324074</v>
      </c>
      <c r="D36" s="15">
        <v>300.0</v>
      </c>
    </row>
    <row r="37">
      <c r="A37" s="15" t="s">
        <v>71</v>
      </c>
      <c r="B37" s="15" t="s">
        <v>72</v>
      </c>
      <c r="C37" s="30">
        <v>45971.65666666667</v>
      </c>
      <c r="D37" s="15">
        <v>1000.0</v>
      </c>
    </row>
    <row r="38">
      <c r="A38" s="15" t="s">
        <v>29</v>
      </c>
      <c r="B38" s="15" t="s">
        <v>30</v>
      </c>
      <c r="C38" s="30">
        <v>45972.8284375</v>
      </c>
      <c r="D38" s="15">
        <v>250.0</v>
      </c>
    </row>
    <row r="39">
      <c r="A39" s="15" t="s">
        <v>31</v>
      </c>
      <c r="B39" s="15" t="s">
        <v>32</v>
      </c>
      <c r="C39" s="30">
        <v>45975.55482638889</v>
      </c>
      <c r="D39" s="15">
        <v>150.0</v>
      </c>
    </row>
    <row r="40">
      <c r="A40" s="15" t="s">
        <v>73</v>
      </c>
      <c r="B40" s="15" t="s">
        <v>74</v>
      </c>
      <c r="C40" s="30">
        <v>45975.730625</v>
      </c>
      <c r="D40" s="15">
        <v>800.0</v>
      </c>
    </row>
    <row r="41">
      <c r="A41" s="15" t="s">
        <v>75</v>
      </c>
      <c r="B41" s="15" t="s">
        <v>76</v>
      </c>
      <c r="C41" s="30">
        <v>45978.350381944445</v>
      </c>
      <c r="D41" s="15">
        <v>200.0</v>
      </c>
    </row>
    <row r="42">
      <c r="A42" s="15" t="s">
        <v>77</v>
      </c>
      <c r="B42" s="15" t="s">
        <v>78</v>
      </c>
      <c r="C42" s="30">
        <v>45979.46376157407</v>
      </c>
      <c r="D42" s="15">
        <v>200.0</v>
      </c>
    </row>
    <row r="43">
      <c r="A43" s="15" t="s">
        <v>77</v>
      </c>
      <c r="B43" s="15" t="s">
        <v>78</v>
      </c>
      <c r="C43" s="30">
        <v>45979.46734953704</v>
      </c>
      <c r="D43" s="15">
        <v>1600.0</v>
      </c>
    </row>
    <row r="44">
      <c r="A44" s="15" t="s">
        <v>79</v>
      </c>
      <c r="B44" s="15" t="s">
        <v>80</v>
      </c>
      <c r="C44" s="30">
        <v>45979.668275462966</v>
      </c>
      <c r="D44" s="15">
        <v>250.0</v>
      </c>
    </row>
    <row r="45">
      <c r="A45" s="15" t="s">
        <v>81</v>
      </c>
      <c r="B45" s="15" t="s">
        <v>82</v>
      </c>
      <c r="C45" s="30">
        <v>45979.79305555556</v>
      </c>
      <c r="D45" s="15">
        <v>200.0</v>
      </c>
    </row>
    <row r="46">
      <c r="A46" s="15" t="s">
        <v>35</v>
      </c>
      <c r="B46" s="15" t="s">
        <v>36</v>
      </c>
      <c r="C46" s="30">
        <v>45983.3549537037</v>
      </c>
      <c r="D46" s="15">
        <v>200.0</v>
      </c>
    </row>
    <row r="47">
      <c r="A47" s="15" t="s">
        <v>83</v>
      </c>
      <c r="B47" s="15" t="s">
        <v>84</v>
      </c>
      <c r="C47" s="30">
        <v>45984.55535879629</v>
      </c>
      <c r="D47" s="15">
        <v>1800.0</v>
      </c>
    </row>
    <row r="48">
      <c r="A48" s="15" t="s">
        <v>85</v>
      </c>
      <c r="B48" s="15" t="s">
        <v>86</v>
      </c>
      <c r="C48" s="30">
        <v>45988.54085648148</v>
      </c>
      <c r="D48" s="15">
        <v>500.0</v>
      </c>
    </row>
    <row r="49">
      <c r="A49" s="15" t="s">
        <v>87</v>
      </c>
      <c r="B49" s="15" t="s">
        <v>40</v>
      </c>
      <c r="C49" s="30">
        <v>45988.59247685185</v>
      </c>
      <c r="D49" s="15">
        <v>300.0</v>
      </c>
    </row>
    <row r="50">
      <c r="A50" s="15" t="s">
        <v>35</v>
      </c>
      <c r="B50" s="15" t="s">
        <v>36</v>
      </c>
      <c r="C50" s="30">
        <v>45988.6184375</v>
      </c>
      <c r="D50" s="15">
        <v>200.0</v>
      </c>
    </row>
    <row r="51">
      <c r="A51" s="15"/>
      <c r="B51" s="15"/>
      <c r="C51" s="30">
        <v>45988.644166666665</v>
      </c>
      <c r="D51" s="15">
        <v>1500.0</v>
      </c>
    </row>
    <row r="52">
      <c r="A52" s="15" t="s">
        <v>61</v>
      </c>
      <c r="B52" s="15" t="s">
        <v>62</v>
      </c>
      <c r="C52" s="30">
        <v>45989.04261574074</v>
      </c>
      <c r="D52" s="15">
        <v>300.0</v>
      </c>
    </row>
    <row r="53">
      <c r="A53" s="15" t="s">
        <v>71</v>
      </c>
      <c r="B53" s="15" t="s">
        <v>72</v>
      </c>
      <c r="C53" s="30">
        <v>45989.04498842593</v>
      </c>
      <c r="D53" s="15">
        <v>200.0</v>
      </c>
    </row>
    <row r="54">
      <c r="A54" s="15" t="s">
        <v>88</v>
      </c>
      <c r="B54" s="15" t="s">
        <v>89</v>
      </c>
      <c r="C54" s="30">
        <v>45989.72006944445</v>
      </c>
      <c r="D54" s="15">
        <v>450.0</v>
      </c>
    </row>
    <row r="55">
      <c r="A55" s="15" t="s">
        <v>37</v>
      </c>
      <c r="B55" s="15" t="s">
        <v>38</v>
      </c>
      <c r="C55" s="30">
        <v>45989.53408564815</v>
      </c>
      <c r="D55" s="15">
        <v>199.0</v>
      </c>
    </row>
    <row r="56">
      <c r="A56" s="15" t="s">
        <v>41</v>
      </c>
      <c r="B56" s="15" t="s">
        <v>42</v>
      </c>
      <c r="C56" s="30">
        <v>45991.93274305556</v>
      </c>
      <c r="D56" s="15">
        <v>250.0</v>
      </c>
    </row>
    <row r="57">
      <c r="A57" s="15" t="s">
        <v>43</v>
      </c>
      <c r="B57" s="15" t="s">
        <v>44</v>
      </c>
      <c r="C57" s="30">
        <v>45992.00342592593</v>
      </c>
      <c r="D57" s="15">
        <v>199.0</v>
      </c>
    </row>
    <row r="58">
      <c r="A58" s="15" t="s">
        <v>65</v>
      </c>
      <c r="B58" s="15" t="s">
        <v>66</v>
      </c>
      <c r="C58" s="30">
        <v>45992.04461805556</v>
      </c>
      <c r="D58" s="15">
        <v>240.0</v>
      </c>
    </row>
    <row r="59">
      <c r="A59" s="15" t="s">
        <v>39</v>
      </c>
      <c r="B59" s="15" t="s">
        <v>40</v>
      </c>
      <c r="C59" s="30">
        <v>45992.047581018516</v>
      </c>
      <c r="D59" s="15">
        <v>250.0</v>
      </c>
    </row>
    <row r="60">
      <c r="A60" s="15" t="s">
        <v>45</v>
      </c>
      <c r="B60" s="15" t="s">
        <v>46</v>
      </c>
      <c r="C60" s="30">
        <v>45992.06631944444</v>
      </c>
      <c r="D60" s="15">
        <v>150.0</v>
      </c>
    </row>
    <row r="61">
      <c r="A61" s="15" t="s">
        <v>47</v>
      </c>
      <c r="B61" s="15" t="s">
        <v>48</v>
      </c>
      <c r="C61" s="30">
        <v>45992.18090277778</v>
      </c>
      <c r="D61" s="15">
        <v>300.0</v>
      </c>
    </row>
    <row r="62">
      <c r="A62" s="15" t="s">
        <v>90</v>
      </c>
      <c r="B62" s="15" t="s">
        <v>91</v>
      </c>
      <c r="C62" s="30">
        <v>45992.72493055555</v>
      </c>
      <c r="D62" s="15">
        <v>2200.0</v>
      </c>
    </row>
    <row r="63">
      <c r="A63" s="15"/>
      <c r="B63" s="15"/>
      <c r="C63" s="30">
        <v>45992.75445601852</v>
      </c>
      <c r="D63" s="15">
        <v>267.0</v>
      </c>
    </row>
    <row r="64">
      <c r="A64" s="15" t="s">
        <v>92</v>
      </c>
      <c r="B64" s="15" t="s">
        <v>93</v>
      </c>
      <c r="C64" s="30">
        <v>45993.75980324074</v>
      </c>
      <c r="D64" s="15">
        <v>1000.0</v>
      </c>
    </row>
    <row r="65">
      <c r="A65" s="15" t="s">
        <v>51</v>
      </c>
      <c r="B65" s="15" t="s">
        <v>52</v>
      </c>
      <c r="C65" s="30">
        <v>45994.44116898148</v>
      </c>
      <c r="D65" s="15">
        <v>160.0</v>
      </c>
    </row>
    <row r="66">
      <c r="A66" s="15" t="s">
        <v>94</v>
      </c>
      <c r="B66" s="15" t="s">
        <v>95</v>
      </c>
      <c r="C66" s="30">
        <v>45994.74833333334</v>
      </c>
      <c r="D66" s="15">
        <v>1000.0</v>
      </c>
    </row>
    <row r="67">
      <c r="A67" s="15" t="s">
        <v>94</v>
      </c>
      <c r="B67" s="15" t="s">
        <v>95</v>
      </c>
      <c r="C67" s="30">
        <v>45994.77658564815</v>
      </c>
      <c r="D67" s="15">
        <v>1000.0</v>
      </c>
    </row>
    <row r="68">
      <c r="A68" s="15" t="s">
        <v>94</v>
      </c>
      <c r="B68" s="15" t="s">
        <v>95</v>
      </c>
      <c r="C68" s="30">
        <v>45994.800416666665</v>
      </c>
      <c r="D68" s="15">
        <v>1000.0</v>
      </c>
    </row>
    <row r="69">
      <c r="A69" s="15" t="s">
        <v>53</v>
      </c>
      <c r="B69" s="15" t="s">
        <v>54</v>
      </c>
      <c r="C69" s="30">
        <v>45995.55627314815</v>
      </c>
      <c r="D69" s="15">
        <v>199.0</v>
      </c>
    </row>
    <row r="70">
      <c r="A70" s="15" t="s">
        <v>55</v>
      </c>
      <c r="B70" s="15" t="s">
        <v>56</v>
      </c>
      <c r="C70" s="30">
        <v>45995.6721412037</v>
      </c>
      <c r="D70" s="15">
        <v>250.0</v>
      </c>
    </row>
    <row r="71">
      <c r="A71" s="15" t="s">
        <v>59</v>
      </c>
      <c r="B71" s="15" t="s">
        <v>60</v>
      </c>
      <c r="C71" s="30">
        <v>45996.04219907407</v>
      </c>
      <c r="D71" s="15">
        <v>260.0</v>
      </c>
    </row>
    <row r="72">
      <c r="A72" s="15" t="s">
        <v>57</v>
      </c>
      <c r="B72" s="15" t="s">
        <v>58</v>
      </c>
      <c r="C72" s="30">
        <v>45996.37944444444</v>
      </c>
      <c r="D72" s="15">
        <v>175.0</v>
      </c>
    </row>
    <row r="73">
      <c r="A73" s="15" t="s">
        <v>63</v>
      </c>
      <c r="B73" s="15" t="s">
        <v>64</v>
      </c>
      <c r="C73" s="30">
        <v>45997.605844907404</v>
      </c>
      <c r="D73" s="15">
        <v>250.0</v>
      </c>
    </row>
    <row r="74">
      <c r="A74" s="15" t="s">
        <v>67</v>
      </c>
      <c r="B74" s="15" t="s">
        <v>68</v>
      </c>
      <c r="C74" s="30">
        <v>45999.65530092592</v>
      </c>
      <c r="D74" s="15">
        <v>300.0</v>
      </c>
    </row>
    <row r="75">
      <c r="A75" s="15" t="s">
        <v>69</v>
      </c>
      <c r="B75" s="15" t="s">
        <v>70</v>
      </c>
      <c r="C75" s="30">
        <v>46001.043032407404</v>
      </c>
      <c r="D75" s="15">
        <v>300.0</v>
      </c>
    </row>
    <row r="76">
      <c r="A76" s="15" t="s">
        <v>29</v>
      </c>
      <c r="B76" s="15" t="s">
        <v>30</v>
      </c>
      <c r="C76" s="30">
        <v>46002.82797453704</v>
      </c>
      <c r="D76" s="15">
        <v>250.0</v>
      </c>
    </row>
    <row r="77">
      <c r="A77" s="15" t="s">
        <v>31</v>
      </c>
      <c r="B77" s="15" t="s">
        <v>32</v>
      </c>
      <c r="C77" s="30">
        <v>46005.5544212963</v>
      </c>
      <c r="D77" s="15">
        <v>150.0</v>
      </c>
    </row>
    <row r="78">
      <c r="A78" s="15" t="s">
        <v>79</v>
      </c>
      <c r="B78" s="15" t="s">
        <v>80</v>
      </c>
      <c r="C78" s="30">
        <v>46009.7103125</v>
      </c>
      <c r="D78" s="15">
        <v>250.0</v>
      </c>
    </row>
    <row r="79">
      <c r="A79" s="15" t="s">
        <v>73</v>
      </c>
      <c r="B79" s="15" t="s">
        <v>74</v>
      </c>
      <c r="C79" s="30">
        <v>46015.044803240744</v>
      </c>
      <c r="D79" s="15">
        <v>200.0</v>
      </c>
    </row>
    <row r="80">
      <c r="A80" s="15" t="s">
        <v>87</v>
      </c>
      <c r="B80" s="15" t="s">
        <v>40</v>
      </c>
      <c r="C80" s="30">
        <v>46018.63611111111</v>
      </c>
      <c r="D80" s="15">
        <v>300.0</v>
      </c>
    </row>
    <row r="81">
      <c r="A81" s="15" t="s">
        <v>88</v>
      </c>
      <c r="B81" s="15" t="s">
        <v>89</v>
      </c>
      <c r="C81" s="30">
        <v>46019.76262731481</v>
      </c>
      <c r="D81" s="15">
        <v>450.0</v>
      </c>
    </row>
    <row r="82">
      <c r="A82" s="15" t="s">
        <v>96</v>
      </c>
      <c r="B82" s="15" t="s">
        <v>97</v>
      </c>
      <c r="C82" s="30">
        <v>46020.40445601852</v>
      </c>
      <c r="D82" s="15">
        <v>2500.0</v>
      </c>
    </row>
    <row r="83">
      <c r="A83" s="15" t="s">
        <v>41</v>
      </c>
      <c r="B83" s="15" t="s">
        <v>42</v>
      </c>
      <c r="C83" s="30">
        <v>46021.93293981482</v>
      </c>
      <c r="D83" s="15">
        <v>250.0</v>
      </c>
    </row>
    <row r="84">
      <c r="A84" s="15" t="s">
        <v>43</v>
      </c>
      <c r="B84" s="15" t="s">
        <v>44</v>
      </c>
      <c r="C84" s="30">
        <v>46022.002847222226</v>
      </c>
      <c r="D84" s="15">
        <v>199.0</v>
      </c>
    </row>
    <row r="85">
      <c r="A85" s="15" t="s">
        <v>39</v>
      </c>
      <c r="B85" s="15" t="s">
        <v>40</v>
      </c>
      <c r="C85" s="30">
        <v>46023.068125</v>
      </c>
      <c r="D85" s="15">
        <v>250.0</v>
      </c>
    </row>
    <row r="86">
      <c r="A86" s="15" t="s">
        <v>65</v>
      </c>
      <c r="B86" s="15" t="s">
        <v>66</v>
      </c>
      <c r="C86" s="30">
        <v>46023.070081018515</v>
      </c>
      <c r="D86" s="15">
        <v>240.0</v>
      </c>
    </row>
    <row r="87">
      <c r="A87" s="15" t="s">
        <v>47</v>
      </c>
      <c r="B87" s="15" t="s">
        <v>48</v>
      </c>
      <c r="C87" s="30">
        <v>46023.15045138889</v>
      </c>
      <c r="D87" s="15">
        <v>300.0</v>
      </c>
    </row>
    <row r="88">
      <c r="A88" s="15" t="s">
        <v>51</v>
      </c>
      <c r="B88" s="15" t="s">
        <v>52</v>
      </c>
      <c r="C88" s="30">
        <v>46025.441828703704</v>
      </c>
      <c r="D88" s="15">
        <v>160.0</v>
      </c>
    </row>
    <row r="89">
      <c r="A89" s="15" t="s">
        <v>92</v>
      </c>
      <c r="B89" s="15" t="s">
        <v>93</v>
      </c>
      <c r="C89" s="30">
        <v>46023.04405092593</v>
      </c>
      <c r="D89" s="15">
        <v>400.0</v>
      </c>
    </row>
    <row r="90">
      <c r="A90" s="15" t="s">
        <v>98</v>
      </c>
      <c r="B90" s="15" t="s">
        <v>99</v>
      </c>
      <c r="C90" s="30">
        <v>46026.58831018519</v>
      </c>
      <c r="D90" s="15">
        <v>1000.0</v>
      </c>
    </row>
    <row r="91">
      <c r="A91" s="15" t="s">
        <v>100</v>
      </c>
      <c r="B91" s="15" t="s">
        <v>101</v>
      </c>
      <c r="C91" s="30">
        <v>46026.66055555556</v>
      </c>
      <c r="D91" s="15">
        <v>2500.0</v>
      </c>
    </row>
    <row r="92">
      <c r="A92" s="15" t="s">
        <v>55</v>
      </c>
      <c r="B92" s="15" t="s">
        <v>56</v>
      </c>
      <c r="C92" s="30">
        <v>46026.67045138889</v>
      </c>
      <c r="D92" s="15">
        <v>250.0</v>
      </c>
    </row>
    <row r="93">
      <c r="A93" s="15" t="s">
        <v>59</v>
      </c>
      <c r="B93" s="15" t="s">
        <v>60</v>
      </c>
      <c r="C93" s="30">
        <v>46027.047314814816</v>
      </c>
      <c r="D93" s="15">
        <v>260.0</v>
      </c>
    </row>
    <row r="94">
      <c r="A94" s="15" t="s">
        <v>57</v>
      </c>
      <c r="B94" s="15" t="s">
        <v>58</v>
      </c>
      <c r="C94" s="30">
        <v>46027.38107638889</v>
      </c>
      <c r="D94" s="15">
        <v>175.0</v>
      </c>
    </row>
    <row r="95">
      <c r="A95" s="15" t="s">
        <v>102</v>
      </c>
      <c r="B95" s="15" t="s">
        <v>103</v>
      </c>
      <c r="C95" s="30">
        <v>46027.64925925926</v>
      </c>
      <c r="D95" s="15">
        <v>800.0</v>
      </c>
    </row>
    <row r="96">
      <c r="A96" s="15" t="s">
        <v>104</v>
      </c>
      <c r="B96" s="15" t="s">
        <v>105</v>
      </c>
      <c r="C96" s="30">
        <v>46028.503217592595</v>
      </c>
      <c r="D96" s="15">
        <v>2500.0</v>
      </c>
    </row>
    <row r="97">
      <c r="A97" s="15" t="s">
        <v>63</v>
      </c>
      <c r="B97" s="15" t="s">
        <v>64</v>
      </c>
      <c r="C97" s="30">
        <v>46028.60821759259</v>
      </c>
      <c r="D97" s="15">
        <v>250.0</v>
      </c>
    </row>
    <row r="98">
      <c r="A98" s="15" t="s">
        <v>106</v>
      </c>
      <c r="B98" s="15" t="s">
        <v>107</v>
      </c>
      <c r="C98" s="30">
        <v>46028.707662037035</v>
      </c>
      <c r="D98" s="15">
        <v>416.0</v>
      </c>
    </row>
    <row r="99">
      <c r="A99" s="15" t="s">
        <v>67</v>
      </c>
      <c r="B99" s="15" t="s">
        <v>68</v>
      </c>
      <c r="C99" s="30">
        <v>46030.65516203704</v>
      </c>
      <c r="D99" s="15">
        <v>300.0</v>
      </c>
    </row>
    <row r="100">
      <c r="A100" s="15" t="s">
        <v>69</v>
      </c>
      <c r="B100" s="15" t="s">
        <v>70</v>
      </c>
      <c r="C100" s="30">
        <v>46032.04938657407</v>
      </c>
      <c r="D100" s="15">
        <v>300.0</v>
      </c>
    </row>
    <row r="101">
      <c r="A101" s="15" t="s">
        <v>29</v>
      </c>
      <c r="B101" s="15" t="s">
        <v>30</v>
      </c>
      <c r="C101" s="30">
        <v>46033.83063657407</v>
      </c>
      <c r="D101" s="15">
        <v>250.0</v>
      </c>
    </row>
    <row r="102">
      <c r="A102" s="15"/>
      <c r="B102" s="15"/>
      <c r="C102" s="30">
        <v>46036.22398148148</v>
      </c>
      <c r="D102" s="15">
        <v>267.0</v>
      </c>
    </row>
    <row r="103">
      <c r="A103" s="15" t="s">
        <v>108</v>
      </c>
      <c r="B103" s="15" t="s">
        <v>109</v>
      </c>
      <c r="C103" s="30">
        <v>46040.50077546296</v>
      </c>
      <c r="D103" s="15">
        <v>2500.0</v>
      </c>
    </row>
    <row r="104">
      <c r="A104" s="15" t="s">
        <v>37</v>
      </c>
      <c r="B104" s="15" t="s">
        <v>38</v>
      </c>
      <c r="C104" s="30">
        <v>46043.610972222225</v>
      </c>
      <c r="D104" s="15">
        <v>199.0</v>
      </c>
    </row>
    <row r="105">
      <c r="A105" s="15" t="s">
        <v>73</v>
      </c>
      <c r="B105" s="15" t="s">
        <v>74</v>
      </c>
      <c r="C105" s="30">
        <v>46046.05217592593</v>
      </c>
      <c r="D105" s="15">
        <v>200.0</v>
      </c>
    </row>
    <row r="106">
      <c r="A106" s="15" t="s">
        <v>110</v>
      </c>
      <c r="B106" s="15" t="s">
        <v>111</v>
      </c>
      <c r="C106" s="30">
        <v>46047.44715277778</v>
      </c>
      <c r="D106" s="15">
        <v>200.0</v>
      </c>
    </row>
    <row r="107">
      <c r="A107" s="15" t="s">
        <v>110</v>
      </c>
      <c r="B107" s="15" t="s">
        <v>111</v>
      </c>
      <c r="C107" s="30">
        <v>46047.476122685184</v>
      </c>
      <c r="D107" s="15">
        <v>2300.0</v>
      </c>
    </row>
    <row r="108">
      <c r="A108" s="15" t="s">
        <v>87</v>
      </c>
      <c r="B108" s="15" t="s">
        <v>40</v>
      </c>
      <c r="C108" s="30">
        <v>46049.6365625</v>
      </c>
      <c r="D108" s="15">
        <v>300.0</v>
      </c>
    </row>
    <row r="109">
      <c r="A109" s="15" t="s">
        <v>88</v>
      </c>
      <c r="B109" s="15" t="s">
        <v>89</v>
      </c>
      <c r="C109" s="30">
        <v>46050.762337962966</v>
      </c>
      <c r="D109" s="15">
        <v>450.0</v>
      </c>
    </row>
    <row r="110">
      <c r="A110" s="15" t="s">
        <v>41</v>
      </c>
      <c r="B110" s="15" t="s">
        <v>42</v>
      </c>
      <c r="C110" s="30">
        <v>46052.93678240741</v>
      </c>
      <c r="D110" s="15">
        <v>250.0</v>
      </c>
    </row>
    <row r="111">
      <c r="A111" s="15" t="s">
        <v>43</v>
      </c>
      <c r="B111" s="15" t="s">
        <v>44</v>
      </c>
      <c r="C111" s="30">
        <v>46053.002337962964</v>
      </c>
      <c r="D111" s="15">
        <v>199.0</v>
      </c>
    </row>
    <row r="112">
      <c r="A112" s="15" t="s">
        <v>98</v>
      </c>
      <c r="B112" s="15" t="s">
        <v>99</v>
      </c>
      <c r="C112" s="30">
        <v>46054.04712962963</v>
      </c>
      <c r="D112" s="15">
        <v>300.0</v>
      </c>
    </row>
    <row r="113">
      <c r="A113" s="15" t="s">
        <v>102</v>
      </c>
      <c r="B113" s="15" t="s">
        <v>103</v>
      </c>
      <c r="C113" s="30">
        <v>46054.04864583333</v>
      </c>
      <c r="D113" s="15">
        <v>340.0</v>
      </c>
    </row>
    <row r="114">
      <c r="A114" s="15" t="s">
        <v>47</v>
      </c>
      <c r="B114" s="15" t="s">
        <v>48</v>
      </c>
      <c r="C114" s="30">
        <v>46054.07612268518</v>
      </c>
      <c r="D114" s="15">
        <v>300.0</v>
      </c>
    </row>
    <row r="115">
      <c r="A115" s="15" t="s">
        <v>39</v>
      </c>
      <c r="B115" s="15" t="s">
        <v>40</v>
      </c>
      <c r="C115" s="30">
        <v>46054.137511574074</v>
      </c>
      <c r="D115" s="15">
        <v>250.0</v>
      </c>
    </row>
    <row r="116">
      <c r="A116" s="15" t="s">
        <v>65</v>
      </c>
      <c r="B116" s="15" t="s">
        <v>66</v>
      </c>
      <c r="C116" s="30">
        <v>46054.144583333335</v>
      </c>
      <c r="D116" s="15">
        <v>240.0</v>
      </c>
    </row>
    <row r="117">
      <c r="A117" s="15" t="s">
        <v>92</v>
      </c>
      <c r="B117" s="15" t="s">
        <v>93</v>
      </c>
      <c r="C117" s="30">
        <v>46054.074895833335</v>
      </c>
      <c r="D117" s="15">
        <v>400.0</v>
      </c>
    </row>
    <row r="118">
      <c r="A118" s="15"/>
      <c r="B118" s="15"/>
      <c r="C118" s="30">
        <v>46056.3022337963</v>
      </c>
      <c r="D118" s="15">
        <v>267.0</v>
      </c>
    </row>
    <row r="119">
      <c r="A119" s="15" t="s">
        <v>51</v>
      </c>
      <c r="B119" s="15" t="s">
        <v>52</v>
      </c>
      <c r="C119" s="30">
        <v>46056.442777777775</v>
      </c>
      <c r="D119" s="15">
        <v>160.0</v>
      </c>
    </row>
    <row r="120">
      <c r="A120" s="15" t="s">
        <v>55</v>
      </c>
      <c r="B120" s="15" t="s">
        <v>56</v>
      </c>
      <c r="C120" s="30">
        <v>46057.671793981484</v>
      </c>
      <c r="D120" s="15">
        <v>250.0</v>
      </c>
    </row>
    <row r="121">
      <c r="A121" s="15" t="s">
        <v>59</v>
      </c>
      <c r="B121" s="15" t="s">
        <v>60</v>
      </c>
      <c r="C121" s="30">
        <v>46058.06071759259</v>
      </c>
      <c r="D121" s="15">
        <v>260.0</v>
      </c>
    </row>
    <row r="122">
      <c r="A122" s="15" t="s">
        <v>57</v>
      </c>
      <c r="B122" s="15" t="s">
        <v>58</v>
      </c>
      <c r="C122" s="30">
        <v>46058.38033564815</v>
      </c>
      <c r="D122" s="15">
        <v>175.0</v>
      </c>
    </row>
    <row r="123">
      <c r="A123" s="15" t="s">
        <v>112</v>
      </c>
      <c r="B123" s="15" t="s">
        <v>113</v>
      </c>
      <c r="C123" s="30">
        <v>46058.75837962963</v>
      </c>
      <c r="D123" s="15">
        <v>250.0</v>
      </c>
    </row>
    <row r="124">
      <c r="A124" s="15" t="s">
        <v>63</v>
      </c>
      <c r="B124" s="15" t="s">
        <v>64</v>
      </c>
      <c r="C124" s="30">
        <v>46059.607939814814</v>
      </c>
      <c r="D124" s="15">
        <v>250.0</v>
      </c>
    </row>
    <row r="125">
      <c r="A125" s="15" t="s">
        <v>67</v>
      </c>
      <c r="B125" s="15" t="s">
        <v>68</v>
      </c>
      <c r="C125" s="30">
        <v>46061.65635416667</v>
      </c>
      <c r="D125" s="15">
        <v>300.0</v>
      </c>
    </row>
    <row r="126">
      <c r="A126" s="15" t="s">
        <v>114</v>
      </c>
      <c r="B126" s="15" t="s">
        <v>115</v>
      </c>
      <c r="C126" s="30">
        <v>46064.63239583333</v>
      </c>
      <c r="D126" s="15">
        <v>800.0</v>
      </c>
    </row>
    <row r="127">
      <c r="A127" s="15" t="s">
        <v>116</v>
      </c>
      <c r="B127" s="15" t="s">
        <v>113</v>
      </c>
      <c r="C127" s="30">
        <v>46070.36201388889</v>
      </c>
      <c r="D127" s="15">
        <v>1250.0</v>
      </c>
    </row>
    <row r="128">
      <c r="A128" s="15" t="s">
        <v>73</v>
      </c>
      <c r="B128" s="15" t="s">
        <v>74</v>
      </c>
      <c r="C128" s="30">
        <v>46077.04740740741</v>
      </c>
      <c r="D128" s="15">
        <v>200.0</v>
      </c>
    </row>
    <row r="129">
      <c r="A129" s="15" t="s">
        <v>37</v>
      </c>
      <c r="B129" s="15" t="s">
        <v>38</v>
      </c>
      <c r="C129" s="30">
        <v>46074.659733796296</v>
      </c>
      <c r="D129" s="15">
        <v>199.0</v>
      </c>
    </row>
    <row r="130">
      <c r="A130" s="15" t="s">
        <v>117</v>
      </c>
      <c r="B130" s="15" t="s">
        <v>118</v>
      </c>
      <c r="C130" s="30">
        <v>46078.672997685186</v>
      </c>
      <c r="D130" s="15">
        <v>416.0</v>
      </c>
    </row>
    <row r="131">
      <c r="A131" s="15" t="s">
        <v>119</v>
      </c>
      <c r="B131" s="15" t="s">
        <v>120</v>
      </c>
      <c r="C131" s="30">
        <v>46079.717511574076</v>
      </c>
      <c r="D131" s="15">
        <v>833.0</v>
      </c>
    </row>
    <row r="132">
      <c r="A132" s="15" t="s">
        <v>43</v>
      </c>
      <c r="B132" s="15" t="s">
        <v>44</v>
      </c>
      <c r="C132" s="30">
        <v>46081.042129629626</v>
      </c>
      <c r="D132" s="15">
        <v>225.0</v>
      </c>
    </row>
    <row r="133">
      <c r="A133" s="15" t="s">
        <v>121</v>
      </c>
      <c r="B133" s="15" t="s">
        <v>122</v>
      </c>
      <c r="C133" s="30">
        <v>46081.52166666667</v>
      </c>
      <c r="D133" s="15">
        <v>1000.0</v>
      </c>
    </row>
    <row r="134">
      <c r="A134" s="15" t="s">
        <v>88</v>
      </c>
      <c r="B134" s="15" t="s">
        <v>89</v>
      </c>
      <c r="C134" s="30">
        <v>46081.79010416667</v>
      </c>
      <c r="D134" s="15">
        <v>450.0</v>
      </c>
    </row>
    <row r="135">
      <c r="A135" s="15" t="s">
        <v>41</v>
      </c>
      <c r="B135" s="15" t="s">
        <v>42</v>
      </c>
      <c r="C135" s="30">
        <v>46082.008726851855</v>
      </c>
      <c r="D135" s="15">
        <v>250.0</v>
      </c>
    </row>
    <row r="136">
      <c r="A136" s="15" t="s">
        <v>39</v>
      </c>
      <c r="B136" s="15" t="s">
        <v>40</v>
      </c>
      <c r="C136" s="30">
        <v>46082.19243055556</v>
      </c>
      <c r="D136" s="15">
        <v>250.0</v>
      </c>
    </row>
    <row r="137">
      <c r="A137" s="15" t="s">
        <v>47</v>
      </c>
      <c r="B137" s="15" t="s">
        <v>48</v>
      </c>
      <c r="C137" s="30">
        <v>46082.216840277775</v>
      </c>
      <c r="D137" s="15">
        <v>300.0</v>
      </c>
    </row>
    <row r="138">
      <c r="A138" s="15" t="s">
        <v>65</v>
      </c>
      <c r="B138" s="15" t="s">
        <v>66</v>
      </c>
      <c r="C138" s="30">
        <v>46082.22930555556</v>
      </c>
      <c r="D138" s="15">
        <v>240.0</v>
      </c>
    </row>
    <row r="139">
      <c r="A139" s="15" t="s">
        <v>98</v>
      </c>
      <c r="B139" s="15" t="s">
        <v>99</v>
      </c>
      <c r="C139" s="30">
        <v>46082.2569212963</v>
      </c>
      <c r="D139" s="15">
        <v>300.0</v>
      </c>
    </row>
    <row r="140">
      <c r="A140" s="15"/>
      <c r="B140" s="15"/>
      <c r="C140" s="30">
        <v>46082.56086805555</v>
      </c>
      <c r="D140" s="15">
        <v>267.0</v>
      </c>
    </row>
    <row r="141">
      <c r="A141" s="15" t="s">
        <v>123</v>
      </c>
      <c r="B141" s="15" t="s">
        <v>124</v>
      </c>
      <c r="C141" s="30">
        <v>46083.72209490741</v>
      </c>
      <c r="D141" s="15">
        <v>2500.0</v>
      </c>
    </row>
    <row r="142">
      <c r="A142" s="15" t="s">
        <v>125</v>
      </c>
      <c r="B142" s="15" t="s">
        <v>126</v>
      </c>
      <c r="C142" s="30">
        <v>46083.76153935185</v>
      </c>
      <c r="D142" s="15">
        <v>340.0</v>
      </c>
    </row>
    <row r="143">
      <c r="A143" s="15" t="s">
        <v>114</v>
      </c>
      <c r="B143" s="15" t="s">
        <v>115</v>
      </c>
      <c r="C143" s="30">
        <v>46084.0434375</v>
      </c>
      <c r="D143" s="15">
        <v>1700.0</v>
      </c>
    </row>
    <row r="144">
      <c r="A144" s="15" t="s">
        <v>51</v>
      </c>
      <c r="B144" s="15" t="s">
        <v>52</v>
      </c>
      <c r="C144" s="30">
        <v>46084.44138888889</v>
      </c>
      <c r="D144" s="15">
        <v>160.0</v>
      </c>
    </row>
    <row r="145">
      <c r="A145" s="15" t="s">
        <v>55</v>
      </c>
      <c r="B145" s="15" t="s">
        <v>56</v>
      </c>
      <c r="C145" s="30">
        <v>46085.04287037037</v>
      </c>
      <c r="D145" s="15">
        <v>250.0</v>
      </c>
    </row>
    <row r="146">
      <c r="A146" s="15" t="s">
        <v>92</v>
      </c>
      <c r="B146" s="15" t="s">
        <v>93</v>
      </c>
      <c r="C146" s="30">
        <v>46082.220925925925</v>
      </c>
      <c r="D146" s="15">
        <v>400.0</v>
      </c>
    </row>
    <row r="147">
      <c r="A147" s="15" t="s">
        <v>127</v>
      </c>
      <c r="B147" s="15" t="s">
        <v>128</v>
      </c>
      <c r="C147" s="30">
        <v>46085.49261574074</v>
      </c>
      <c r="D147" s="15">
        <v>300.0</v>
      </c>
    </row>
    <row r="148">
      <c r="A148" s="15" t="s">
        <v>59</v>
      </c>
      <c r="B148" s="15" t="s">
        <v>60</v>
      </c>
      <c r="C148" s="30">
        <v>46086.05287037037</v>
      </c>
      <c r="D148" s="15">
        <v>260.0</v>
      </c>
    </row>
    <row r="149">
      <c r="A149" s="15" t="s">
        <v>57</v>
      </c>
      <c r="B149" s="15" t="s">
        <v>58</v>
      </c>
      <c r="C149" s="30">
        <v>46086.380057870374</v>
      </c>
      <c r="D149" s="15">
        <v>175.0</v>
      </c>
    </row>
    <row r="150">
      <c r="A150" s="15" t="s">
        <v>63</v>
      </c>
      <c r="B150" s="15" t="s">
        <v>64</v>
      </c>
      <c r="C150" s="30">
        <v>46087.60637731481</v>
      </c>
      <c r="D150" s="15">
        <v>250.0</v>
      </c>
    </row>
    <row r="151">
      <c r="A151" s="15" t="s">
        <v>129</v>
      </c>
      <c r="B151" s="15" t="s">
        <v>130</v>
      </c>
      <c r="C151" s="30">
        <v>46088.48923611111</v>
      </c>
      <c r="D151" s="15">
        <v>416.0</v>
      </c>
    </row>
    <row r="152">
      <c r="A152" s="15" t="s">
        <v>67</v>
      </c>
      <c r="B152" s="15" t="s">
        <v>68</v>
      </c>
      <c r="C152" s="30">
        <v>46089.65508101852</v>
      </c>
      <c r="D152" s="15">
        <v>300.0</v>
      </c>
    </row>
    <row r="153">
      <c r="A153" s="15" t="s">
        <v>131</v>
      </c>
      <c r="B153" s="15" t="s">
        <v>132</v>
      </c>
      <c r="C153" s="30">
        <v>46090.49765046296</v>
      </c>
      <c r="D153" s="15">
        <v>400.0</v>
      </c>
    </row>
    <row r="154">
      <c r="A154" s="15" t="s">
        <v>133</v>
      </c>
      <c r="B154" s="15" t="s">
        <v>134</v>
      </c>
      <c r="C154" s="30">
        <v>46090.72793981482</v>
      </c>
      <c r="D154" s="15">
        <v>1250.0</v>
      </c>
    </row>
    <row r="155">
      <c r="A155" s="15" t="s">
        <v>135</v>
      </c>
      <c r="B155" s="15" t="s">
        <v>136</v>
      </c>
      <c r="C155" s="30">
        <v>46092.78435185185</v>
      </c>
      <c r="D155" s="15">
        <v>833.0</v>
      </c>
    </row>
    <row r="156">
      <c r="A156" s="15" t="s">
        <v>116</v>
      </c>
      <c r="B156" s="15" t="s">
        <v>137</v>
      </c>
      <c r="C156" s="30">
        <v>46098.404814814814</v>
      </c>
      <c r="D156" s="15">
        <v>1250.0</v>
      </c>
    </row>
    <row r="157">
      <c r="A157" s="15" t="s">
        <v>138</v>
      </c>
      <c r="B157" s="15" t="s">
        <v>139</v>
      </c>
      <c r="C157" s="30">
        <v>46100.500925925924</v>
      </c>
      <c r="D157" s="15">
        <v>833.0</v>
      </c>
    </row>
    <row r="158">
      <c r="A158" s="15" t="s">
        <v>140</v>
      </c>
      <c r="B158" s="15" t="s">
        <v>141</v>
      </c>
      <c r="C158" s="30">
        <v>46101.74787037037</v>
      </c>
      <c r="D158" s="15">
        <v>1200.0</v>
      </c>
    </row>
    <row r="159">
      <c r="A159" s="15" t="s">
        <v>88</v>
      </c>
      <c r="B159" s="15" t="s">
        <v>89</v>
      </c>
      <c r="C159" s="30">
        <v>46103.37572916667</v>
      </c>
      <c r="D159" s="15">
        <v>2250.0</v>
      </c>
    </row>
    <row r="160">
      <c r="A160" s="15" t="s">
        <v>142</v>
      </c>
      <c r="B160" s="15" t="s">
        <v>143</v>
      </c>
      <c r="C160" s="30">
        <v>46104.63222222222</v>
      </c>
      <c r="D160" s="15">
        <v>416.0</v>
      </c>
    </row>
    <row r="161">
      <c r="A161" s="15" t="s">
        <v>73</v>
      </c>
      <c r="B161" s="15" t="s">
        <v>74</v>
      </c>
      <c r="C161" s="30">
        <v>46105.04701388889</v>
      </c>
      <c r="D161" s="15">
        <v>200.0</v>
      </c>
    </row>
    <row r="162">
      <c r="A162" s="15" t="s">
        <v>144</v>
      </c>
      <c r="B162" s="15" t="s">
        <v>145</v>
      </c>
      <c r="C162" s="30">
        <v>46106.58460648148</v>
      </c>
      <c r="D162" s="15">
        <v>416.0</v>
      </c>
    </row>
    <row r="163">
      <c r="A163" s="15" t="s">
        <v>146</v>
      </c>
      <c r="B163" s="15" t="s">
        <v>147</v>
      </c>
      <c r="C163" s="30">
        <v>46106.80085648148</v>
      </c>
      <c r="D163" s="15">
        <v>1200.0</v>
      </c>
    </row>
    <row r="164">
      <c r="A164" s="15" t="s">
        <v>119</v>
      </c>
      <c r="B164" s="15" t="s">
        <v>120</v>
      </c>
      <c r="C164" s="30">
        <v>46107.76063657407</v>
      </c>
      <c r="D164" s="15">
        <v>833.0</v>
      </c>
    </row>
    <row r="165">
      <c r="A165" s="15" t="s">
        <v>119</v>
      </c>
      <c r="B165" s="15" t="s">
        <v>120</v>
      </c>
      <c r="C165" s="30">
        <v>46107.78619212963</v>
      </c>
      <c r="D165" s="15">
        <v>833.0</v>
      </c>
    </row>
    <row r="166">
      <c r="A166" s="15" t="s">
        <v>43</v>
      </c>
      <c r="B166" s="15" t="s">
        <v>44</v>
      </c>
      <c r="C166" s="30">
        <v>46109.05221064815</v>
      </c>
      <c r="D166" s="15">
        <v>225.0</v>
      </c>
    </row>
    <row r="169">
      <c r="A169" s="31"/>
      <c r="B169" s="31"/>
      <c r="C169" s="32"/>
      <c r="D169" s="33"/>
    </row>
    <row r="170">
      <c r="A170" s="31"/>
      <c r="B170" s="31"/>
      <c r="C170" s="32"/>
      <c r="D170" s="33"/>
    </row>
    <row r="171">
      <c r="A171" s="31"/>
      <c r="B171" s="31"/>
      <c r="C171" s="32"/>
      <c r="D171" s="33"/>
    </row>
    <row r="172">
      <c r="A172" s="31"/>
      <c r="B172" s="31"/>
      <c r="C172" s="32"/>
      <c r="D172" s="33"/>
    </row>
    <row r="173">
      <c r="A173" s="31"/>
      <c r="B173" s="31"/>
      <c r="C173" s="32"/>
      <c r="D173" s="33"/>
    </row>
    <row r="174">
      <c r="A174" s="31"/>
      <c r="B174" s="31"/>
      <c r="C174" s="32"/>
      <c r="D174" s="33"/>
    </row>
    <row r="175">
      <c r="A175" s="31"/>
      <c r="B175" s="31"/>
      <c r="C175" s="34"/>
      <c r="D175" s="35"/>
    </row>
    <row r="176">
      <c r="A176" s="31"/>
      <c r="B176" s="31"/>
      <c r="C176" s="34"/>
      <c r="D176" s="35"/>
    </row>
    <row r="177">
      <c r="A177" s="31"/>
      <c r="B177" s="31"/>
      <c r="C177" s="34"/>
      <c r="D177" s="35"/>
    </row>
    <row r="178">
      <c r="A178" s="31"/>
      <c r="B178" s="31"/>
      <c r="C178" s="34"/>
      <c r="D178" s="35"/>
    </row>
    <row r="179">
      <c r="A179" s="31"/>
      <c r="B179" s="31"/>
      <c r="C179" s="34"/>
      <c r="D179" s="35"/>
    </row>
    <row r="180">
      <c r="A180" s="31"/>
      <c r="B180" s="31"/>
      <c r="C180" s="34"/>
      <c r="D180" s="35"/>
    </row>
    <row r="181">
      <c r="A181" s="31"/>
      <c r="B181" s="31"/>
      <c r="C181" s="34"/>
      <c r="D181" s="35"/>
    </row>
    <row r="182">
      <c r="A182" s="31"/>
      <c r="B182" s="31"/>
      <c r="C182" s="34"/>
      <c r="D182" s="35"/>
    </row>
    <row r="183">
      <c r="A183" s="31"/>
      <c r="B183" s="31"/>
      <c r="C183" s="34"/>
      <c r="D183" s="35"/>
    </row>
    <row r="184">
      <c r="A184" s="31"/>
      <c r="B184" s="31"/>
      <c r="C184" s="34"/>
      <c r="D184" s="35"/>
    </row>
    <row r="185">
      <c r="A185" s="31"/>
      <c r="B185" s="31"/>
      <c r="C185" s="34"/>
      <c r="D185" s="35"/>
    </row>
    <row r="186">
      <c r="A186" s="31"/>
      <c r="B186" s="31"/>
      <c r="C186" s="34"/>
      <c r="D186" s="35"/>
    </row>
    <row r="187">
      <c r="A187" s="31"/>
      <c r="B187" s="31"/>
      <c r="C187" s="34"/>
      <c r="D187" s="35"/>
    </row>
    <row r="188">
      <c r="A188" s="31"/>
      <c r="B188" s="31"/>
      <c r="C188" s="34"/>
      <c r="D188" s="35"/>
    </row>
    <row r="189">
      <c r="A189" s="31"/>
      <c r="B189" s="31"/>
      <c r="C189" s="34"/>
      <c r="D189" s="35"/>
    </row>
    <row r="190">
      <c r="A190" s="31"/>
      <c r="B190" s="31"/>
      <c r="C190" s="34"/>
      <c r="D190" s="35"/>
    </row>
    <row r="191">
      <c r="A191" s="31"/>
      <c r="B191" s="31"/>
      <c r="C191" s="34"/>
      <c r="D191" s="35"/>
    </row>
    <row r="192">
      <c r="A192" s="26"/>
      <c r="B192" s="26"/>
      <c r="C192" s="34"/>
      <c r="D192" s="36"/>
    </row>
    <row r="193">
      <c r="A193" s="26"/>
      <c r="B193" s="26"/>
      <c r="C193" s="34"/>
      <c r="D193" s="36"/>
    </row>
    <row r="194">
      <c r="A194" s="26"/>
      <c r="B194" s="26"/>
      <c r="C194" s="34"/>
      <c r="D194" s="36"/>
    </row>
    <row r="195">
      <c r="A195" s="26"/>
      <c r="B195" s="26"/>
      <c r="C195" s="34"/>
      <c r="D195" s="36"/>
    </row>
    <row r="196">
      <c r="A196" s="26"/>
      <c r="B196" s="26"/>
      <c r="C196" s="34"/>
      <c r="D196" s="36"/>
    </row>
    <row r="197">
      <c r="A197" s="26"/>
      <c r="B197" s="26"/>
      <c r="C197" s="34"/>
      <c r="D197" s="36"/>
    </row>
    <row r="198">
      <c r="A198" s="26"/>
      <c r="B198" s="26"/>
      <c r="C198" s="34"/>
      <c r="D198" s="36"/>
    </row>
    <row r="199">
      <c r="A199" s="26"/>
      <c r="B199" s="26"/>
      <c r="C199" s="34"/>
      <c r="D199" s="36"/>
    </row>
    <row r="200">
      <c r="A200" s="26"/>
      <c r="B200" s="26"/>
      <c r="C200" s="34"/>
      <c r="D200" s="36"/>
    </row>
    <row r="201">
      <c r="A201" s="26"/>
      <c r="B201" s="26"/>
      <c r="C201" s="34"/>
      <c r="D201" s="36"/>
    </row>
    <row r="202">
      <c r="A202" s="26"/>
      <c r="B202" s="26"/>
      <c r="C202" s="34"/>
      <c r="D202" s="36"/>
    </row>
    <row r="203">
      <c r="A203" s="26"/>
      <c r="B203" s="26"/>
      <c r="C203" s="34"/>
      <c r="D203" s="36"/>
    </row>
    <row r="204">
      <c r="A204" s="26"/>
      <c r="B204" s="26"/>
      <c r="C204" s="34"/>
      <c r="D204" s="36"/>
    </row>
    <row r="205">
      <c r="A205" s="31"/>
      <c r="B205" s="31"/>
      <c r="C205" s="34"/>
      <c r="D205" s="35"/>
    </row>
    <row r="206">
      <c r="A206" s="26"/>
      <c r="B206" s="26"/>
      <c r="C206" s="34"/>
      <c r="D206" s="36"/>
    </row>
    <row r="207">
      <c r="A207" s="26"/>
      <c r="B207" s="26"/>
      <c r="C207" s="34"/>
      <c r="D207" s="36"/>
    </row>
    <row r="208">
      <c r="A208" s="26"/>
      <c r="B208" s="26"/>
      <c r="C208" s="34"/>
      <c r="D208" s="36"/>
    </row>
    <row r="209">
      <c r="A209" s="26"/>
      <c r="B209" s="26"/>
      <c r="C209" s="34"/>
      <c r="D209" s="36"/>
    </row>
    <row r="210">
      <c r="A210" s="26"/>
      <c r="B210" s="26"/>
      <c r="C210" s="34"/>
      <c r="D210" s="36"/>
    </row>
    <row r="211">
      <c r="A211" s="26"/>
      <c r="B211" s="26"/>
      <c r="C211" s="34"/>
      <c r="D211" s="36"/>
    </row>
    <row r="212">
      <c r="A212" s="26"/>
      <c r="B212" s="26"/>
      <c r="C212" s="34"/>
      <c r="D212" s="36"/>
    </row>
    <row r="213">
      <c r="A213" s="26"/>
      <c r="B213" s="26"/>
      <c r="C213" s="34"/>
      <c r="D213" s="36"/>
    </row>
    <row r="214">
      <c r="A214" s="26"/>
      <c r="B214" s="26"/>
      <c r="C214" s="34"/>
      <c r="D214" s="36"/>
    </row>
    <row r="215">
      <c r="A215" s="26"/>
      <c r="B215" s="26"/>
      <c r="C215" s="34"/>
      <c r="D215" s="20"/>
    </row>
    <row r="216">
      <c r="A216" s="37"/>
      <c r="B216" s="37"/>
      <c r="C216" s="34"/>
      <c r="D216" s="20"/>
    </row>
    <row r="217">
      <c r="C217" s="34"/>
    </row>
    <row r="218">
      <c r="C218" s="34"/>
    </row>
    <row r="219">
      <c r="C219" s="34"/>
    </row>
    <row r="220">
      <c r="C220" s="34"/>
    </row>
    <row r="221">
      <c r="C221" s="34"/>
    </row>
    <row r="222">
      <c r="C222" s="34"/>
    </row>
    <row r="223">
      <c r="C223" s="34"/>
    </row>
    <row r="224">
      <c r="C224" s="38"/>
    </row>
    <row r="225">
      <c r="C225" s="38"/>
    </row>
    <row r="226">
      <c r="C226" s="38"/>
    </row>
    <row r="227">
      <c r="C227" s="38"/>
    </row>
    <row r="228">
      <c r="C228" s="38"/>
    </row>
    <row r="229">
      <c r="C229" s="38"/>
    </row>
    <row r="230">
      <c r="C230" s="38"/>
    </row>
    <row r="231">
      <c r="C231" s="38"/>
    </row>
    <row r="232">
      <c r="C232" s="38"/>
    </row>
    <row r="233">
      <c r="C233" s="38"/>
    </row>
    <row r="234">
      <c r="C234" s="38"/>
    </row>
    <row r="235">
      <c r="C235" s="38"/>
    </row>
    <row r="236">
      <c r="C236" s="38"/>
    </row>
    <row r="237">
      <c r="C237" s="38"/>
    </row>
    <row r="238">
      <c r="C238" s="38"/>
    </row>
    <row r="239">
      <c r="C239" s="38"/>
    </row>
    <row r="240">
      <c r="C240" s="38"/>
    </row>
    <row r="241">
      <c r="C241" s="38"/>
    </row>
    <row r="242">
      <c r="C242" s="38"/>
    </row>
    <row r="243">
      <c r="C243" s="38"/>
    </row>
    <row r="244">
      <c r="C244" s="38"/>
    </row>
    <row r="245">
      <c r="C245" s="38"/>
    </row>
    <row r="246">
      <c r="C246" s="38"/>
    </row>
    <row r="247">
      <c r="C247" s="38"/>
    </row>
    <row r="248">
      <c r="C248" s="38"/>
    </row>
    <row r="249">
      <c r="C249" s="38"/>
    </row>
    <row r="250">
      <c r="C250" s="38"/>
    </row>
    <row r="251">
      <c r="C251" s="38"/>
    </row>
    <row r="252">
      <c r="C252" s="38"/>
    </row>
    <row r="253">
      <c r="C253" s="38"/>
    </row>
    <row r="254">
      <c r="C254" s="38"/>
    </row>
    <row r="255">
      <c r="C255" s="38"/>
    </row>
    <row r="256">
      <c r="C256" s="38"/>
    </row>
    <row r="257">
      <c r="C257" s="38"/>
    </row>
    <row r="258">
      <c r="C258" s="38"/>
    </row>
    <row r="259">
      <c r="C259" s="38"/>
    </row>
    <row r="260">
      <c r="C260" s="38"/>
    </row>
    <row r="261">
      <c r="C261" s="38"/>
    </row>
    <row r="262">
      <c r="C262" s="38"/>
    </row>
    <row r="263">
      <c r="C263" s="38"/>
    </row>
    <row r="264">
      <c r="C264" s="38"/>
    </row>
    <row r="265">
      <c r="C265" s="38"/>
    </row>
    <row r="266">
      <c r="C266" s="38"/>
    </row>
    <row r="267">
      <c r="C267" s="38"/>
    </row>
    <row r="268">
      <c r="C268" s="38"/>
    </row>
    <row r="269">
      <c r="C269" s="38"/>
    </row>
    <row r="270">
      <c r="C270" s="38"/>
    </row>
    <row r="271">
      <c r="C271" s="38"/>
    </row>
    <row r="272">
      <c r="C272" s="38"/>
    </row>
    <row r="273">
      <c r="C273" s="38"/>
    </row>
    <row r="274">
      <c r="C274" s="38"/>
    </row>
    <row r="275">
      <c r="C275" s="38"/>
    </row>
    <row r="276">
      <c r="C276" s="38"/>
    </row>
    <row r="277">
      <c r="C277" s="38"/>
    </row>
    <row r="278">
      <c r="C278" s="38"/>
    </row>
    <row r="279">
      <c r="C279" s="38"/>
    </row>
    <row r="280">
      <c r="C280" s="38"/>
    </row>
    <row r="281">
      <c r="C281" s="38"/>
    </row>
    <row r="282">
      <c r="C282" s="38"/>
    </row>
    <row r="283">
      <c r="C283" s="38"/>
    </row>
    <row r="284">
      <c r="C284" s="38"/>
    </row>
    <row r="285">
      <c r="C285" s="38"/>
    </row>
    <row r="286">
      <c r="C286" s="38"/>
    </row>
    <row r="287">
      <c r="C287" s="38"/>
    </row>
    <row r="288">
      <c r="C288" s="38"/>
    </row>
    <row r="289">
      <c r="C289" s="38"/>
    </row>
    <row r="290">
      <c r="C290" s="38"/>
    </row>
    <row r="291">
      <c r="C291" s="38"/>
    </row>
    <row r="292">
      <c r="C292" s="38"/>
    </row>
    <row r="293">
      <c r="C293" s="38"/>
    </row>
    <row r="294">
      <c r="C294" s="38"/>
    </row>
    <row r="295">
      <c r="C295" s="38"/>
    </row>
    <row r="296">
      <c r="C296" s="38"/>
    </row>
    <row r="297">
      <c r="C297" s="38"/>
    </row>
    <row r="298">
      <c r="C298" s="38"/>
    </row>
    <row r="299">
      <c r="C299" s="38"/>
    </row>
    <row r="300">
      <c r="C300" s="38"/>
    </row>
    <row r="301">
      <c r="C301" s="38"/>
    </row>
    <row r="302">
      <c r="C302" s="38"/>
    </row>
    <row r="303">
      <c r="C303" s="38"/>
    </row>
    <row r="304">
      <c r="C304" s="38"/>
    </row>
    <row r="305">
      <c r="C305" s="38"/>
    </row>
    <row r="306">
      <c r="C306" s="38"/>
    </row>
    <row r="307">
      <c r="C307" s="38"/>
    </row>
    <row r="308">
      <c r="C308" s="38"/>
    </row>
    <row r="309">
      <c r="C309" s="38"/>
    </row>
    <row r="310">
      <c r="C310" s="38"/>
    </row>
    <row r="311">
      <c r="C311" s="38"/>
    </row>
    <row r="312">
      <c r="C312" s="38"/>
    </row>
    <row r="313">
      <c r="C313" s="38"/>
    </row>
    <row r="314">
      <c r="C314" s="38"/>
    </row>
    <row r="315">
      <c r="C315" s="38"/>
    </row>
    <row r="316">
      <c r="C316" s="38"/>
    </row>
    <row r="317">
      <c r="C317" s="38"/>
    </row>
    <row r="318">
      <c r="C318" s="38"/>
    </row>
    <row r="319">
      <c r="C319" s="38"/>
    </row>
    <row r="320">
      <c r="C320" s="38"/>
    </row>
    <row r="321">
      <c r="C321" s="38"/>
    </row>
    <row r="322">
      <c r="C322" s="38"/>
    </row>
    <row r="323">
      <c r="C323" s="38"/>
    </row>
    <row r="324">
      <c r="C324" s="38"/>
    </row>
    <row r="325">
      <c r="C325" s="38"/>
    </row>
    <row r="326">
      <c r="C326" s="38"/>
    </row>
    <row r="327">
      <c r="C327" s="38"/>
    </row>
    <row r="328">
      <c r="C328" s="38"/>
    </row>
    <row r="329">
      <c r="C329" s="38"/>
    </row>
    <row r="330">
      <c r="C330" s="38"/>
    </row>
    <row r="331">
      <c r="C331" s="38"/>
    </row>
    <row r="332">
      <c r="C332" s="38"/>
    </row>
    <row r="333">
      <c r="C333" s="38"/>
    </row>
    <row r="334">
      <c r="C334" s="38"/>
    </row>
    <row r="335">
      <c r="C335" s="38"/>
    </row>
    <row r="336">
      <c r="C336" s="38"/>
    </row>
    <row r="337">
      <c r="C337" s="38"/>
    </row>
    <row r="338">
      <c r="C338" s="38"/>
    </row>
    <row r="339">
      <c r="C339" s="38"/>
    </row>
    <row r="340">
      <c r="C340" s="38"/>
    </row>
    <row r="341">
      <c r="C341" s="38"/>
    </row>
    <row r="342">
      <c r="C342" s="38"/>
    </row>
    <row r="343">
      <c r="C343" s="38"/>
    </row>
    <row r="344">
      <c r="C344" s="38"/>
    </row>
    <row r="345">
      <c r="C345" s="38"/>
    </row>
    <row r="346">
      <c r="C346" s="38"/>
    </row>
    <row r="347">
      <c r="C347" s="38"/>
    </row>
    <row r="348">
      <c r="C348" s="38"/>
    </row>
    <row r="349">
      <c r="C349" s="38"/>
    </row>
    <row r="350">
      <c r="C350" s="38"/>
    </row>
    <row r="351">
      <c r="C351" s="38"/>
    </row>
    <row r="352">
      <c r="C352" s="38"/>
    </row>
    <row r="353">
      <c r="C353" s="38"/>
    </row>
    <row r="354">
      <c r="C354" s="38"/>
    </row>
    <row r="355">
      <c r="C355" s="38"/>
    </row>
    <row r="356">
      <c r="C356" s="38"/>
    </row>
    <row r="357">
      <c r="C357" s="38"/>
    </row>
    <row r="358">
      <c r="C358" s="38"/>
    </row>
    <row r="359">
      <c r="C359" s="38"/>
    </row>
    <row r="360">
      <c r="C360" s="38"/>
    </row>
    <row r="361">
      <c r="C361" s="38"/>
    </row>
    <row r="362">
      <c r="C362" s="38"/>
    </row>
    <row r="363">
      <c r="C363" s="38"/>
    </row>
    <row r="364">
      <c r="C364" s="38"/>
    </row>
    <row r="365">
      <c r="C365" s="38"/>
    </row>
    <row r="366">
      <c r="C366" s="38"/>
    </row>
    <row r="367">
      <c r="C367" s="38"/>
    </row>
    <row r="368">
      <c r="C368" s="38"/>
    </row>
    <row r="369">
      <c r="C369" s="38"/>
    </row>
    <row r="370">
      <c r="C370" s="38"/>
    </row>
    <row r="371">
      <c r="C371" s="38"/>
    </row>
    <row r="372">
      <c r="C372" s="38"/>
    </row>
    <row r="373">
      <c r="C373" s="38"/>
    </row>
    <row r="374">
      <c r="C374" s="38"/>
    </row>
    <row r="375">
      <c r="C375" s="38"/>
    </row>
    <row r="376">
      <c r="C376" s="38"/>
    </row>
    <row r="377">
      <c r="C377" s="38"/>
    </row>
    <row r="378">
      <c r="C378" s="38"/>
    </row>
  </sheetData>
  <drawing r:id="rId1"/>
</worksheet>
</file>