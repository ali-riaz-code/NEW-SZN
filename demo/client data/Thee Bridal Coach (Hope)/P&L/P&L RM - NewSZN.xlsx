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" sheetId="1" r:id="rId5"/>
  </sheets>
  <definedNames/>
  <calcPr/>
</workbook>
</file>

<file path=xl/sharedStrings.xml><?xml version="1.0" encoding="utf-8"?>
<sst xmlns="http://schemas.openxmlformats.org/spreadsheetml/2006/main" count="28" uniqueCount="27">
  <si>
    <t>Category</t>
  </si>
  <si>
    <t>Total</t>
  </si>
  <si>
    <t>Income</t>
  </si>
  <si>
    <t>LIVEVENT</t>
  </si>
  <si>
    <t>Total expected revenue</t>
  </si>
  <si>
    <t>Cash collected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</si>
  <si>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</si>
  <si>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</si>
  <si>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</si>
  <si>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</si>
  <si>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</si>
  <si>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</si>
  <si>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</si>
  <si>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 total</t>
  </si>
  <si>
    <t xml:space="preserve">Anton </t>
  </si>
  <si>
    <t>Håvard</t>
  </si>
  <si>
    <t>Miscellaneous Total</t>
  </si>
  <si>
    <t>Payment fees total</t>
  </si>
  <si>
    <t>GHL (SMS % E-mail TOTAL</t>
  </si>
  <si>
    <t>Total costs</t>
  </si>
  <si>
    <t xml:space="preserve"> </t>
  </si>
  <si>
    <t>Total profit (Revenue)</t>
  </si>
  <si>
    <t>Total profit (Cash Collected)</t>
  </si>
  <si>
    <t>Newszn</t>
  </si>
  <si>
    <t>Real Magic</t>
  </si>
  <si>
    <t>Total Paid</t>
  </si>
  <si>
    <t>Remaining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</si>
</sst>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d"/>
    <numFmt numFmtId="165" formatCode="[$€]#,##0.00"/>
    <numFmt numFmtId="166" formatCode="[$$]#,##0.00"/>
    <numFmt numFmtId="167" formatCode="_(&quot;$&quot;* #,##0.00_);_(&quot;$&quot;* \(#,##0.00\);_(&quot;$&quot;* &quot;-&quot;??_);_(@_)"/>
    <numFmt numFmtId="168" formatCode="[$£]#,##0.00"/>
    <numFmt numFmtId="169" formatCode="&quot;$&quot;#,##0.00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5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166" xfId="0" applyFont="1" applyNumberFormat="1"/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3" fontId="0" numFmtId="167" xfId="0" applyAlignment="1" applyFill="1" applyFont="1" applyNumberFormat="1">
      <alignment readingOrder="0"/>
    </xf>
    <xf borderId="0" fillId="3" fontId="0" numFmtId="168" xfId="0" applyFont="1" applyNumberFormat="1"/>
    <xf borderId="0" fillId="0" fontId="4" numFmtId="168" xfId="0" applyFont="1" applyNumberFormat="1"/>
    <xf borderId="0" fillId="0" fontId="4" numFmtId="169" xfId="0" applyFont="1" applyNumberFormat="1"/>
    <xf borderId="1" fillId="0" fontId="5" numFmtId="0" xfId="0" applyAlignment="1" applyBorder="1" applyFont="1">
      <alignment readingOrder="0"/>
    </xf>
    <xf borderId="1" fillId="0" fontId="5" numFmtId="166" xfId="0" applyBorder="1" applyFont="1" applyNumberFormat="1"/>
    <xf borderId="1" fillId="0" fontId="4" numFmtId="166" xfId="0" applyAlignment="1" applyBorder="1" applyFont="1" applyNumberFormat="1">
      <alignment readingOrder="0"/>
    </xf>
    <xf borderId="1" fillId="0" fontId="4" numFmtId="166" xfId="0" applyBorder="1" applyFont="1" applyNumberFormat="1"/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2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0" fillId="0" fontId="5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6" xfId="0" applyBorder="1" applyFont="1" applyNumberFormat="1"/>
    <xf borderId="0" fillId="4" fontId="5" numFmtId="166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23.5"/>
  </cols>
  <sheetData>
    <row r="1">
      <c r="A1" s="1" t="s">
        <v>0</v>
      </c>
      <c r="B1" s="1" t="s">
        <v>1</v>
      </c>
      <c r="C1" s="2">
        <v>45986.0</v>
      </c>
      <c r="D1" s="2">
        <v>46048.0</v>
      </c>
      <c r="E1" s="3">
        <v>45714.0</v>
      </c>
      <c r="F1" s="3">
        <v>45742.0</v>
      </c>
      <c r="G1" s="3">
        <v>45773.0</v>
      </c>
      <c r="H1" s="3">
        <v>45803.0</v>
      </c>
      <c r="I1" s="3">
        <v>45834.0</v>
      </c>
      <c r="J1" s="3">
        <v>45864.0</v>
      </c>
      <c r="K1" s="2">
        <v>45895.0</v>
      </c>
      <c r="L1" s="3">
        <v>45926.0</v>
      </c>
      <c r="M1" s="3">
        <v>45956.0</v>
      </c>
    </row>
    <row r="2">
      <c r="A2" s="4" t="s">
        <v>2</v>
      </c>
      <c r="B2" s="5"/>
      <c r="C2" s="6" t="s">
        <v>3</v>
      </c>
      <c r="D2" s="6" t="s">
        <v>3</v>
      </c>
      <c r="E2" s="5"/>
      <c r="F2" s="5"/>
      <c r="G2" s="5"/>
      <c r="H2" s="5"/>
      <c r="I2" s="5"/>
      <c r="J2" s="5"/>
      <c r="K2" s="5"/>
      <c r="L2" s="5"/>
      <c r="M2" s="5"/>
    </row>
    <row r="3">
      <c r="A3" s="7" t="s">
        <v>4</v>
      </c>
      <c r="B3" s="8">
        <f t="shared" ref="B3:B4" si="1">sum(C3:M3)</f>
        <v>131996</v>
      </c>
      <c r="C3" s="9">
        <v>73498.0</v>
      </c>
      <c r="D3" s="9">
        <v>58498.0</v>
      </c>
      <c r="E3" s="10"/>
      <c r="F3" s="10"/>
      <c r="G3" s="10"/>
      <c r="H3" s="10"/>
      <c r="I3" s="10"/>
      <c r="J3" s="10"/>
      <c r="K3" s="10"/>
      <c r="L3" s="10"/>
      <c r="M3" s="10"/>
    </row>
    <row r="4" outlineLevel="1">
      <c r="A4" s="7" t="s">
        <v>5</v>
      </c>
      <c r="B4" s="8">
        <f t="shared" si="1"/>
        <v>111498</v>
      </c>
      <c r="C4" s="11">
        <v>64332.0</v>
      </c>
      <c r="D4" s="11">
        <v>47166.0</v>
      </c>
      <c r="E4" s="12"/>
      <c r="F4" s="12"/>
      <c r="G4" s="12"/>
      <c r="H4" s="12"/>
      <c r="I4" s="12"/>
      <c r="J4" s="12"/>
      <c r="K4" s="12"/>
      <c r="L4" s="12"/>
      <c r="M4" s="12"/>
    </row>
    <row r="5" outlineLevel="1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outlineLevel="1">
      <c r="B6" s="13"/>
      <c r="C6" s="14">
        <f t="shared" ref="C6:D6" si="2">C3-C4</f>
        <v>9166</v>
      </c>
      <c r="D6" s="14">
        <f t="shared" si="2"/>
        <v>11332</v>
      </c>
      <c r="E6" s="13"/>
      <c r="F6" s="10"/>
      <c r="G6" s="10"/>
      <c r="H6" s="13"/>
      <c r="I6" s="13"/>
      <c r="J6" s="13"/>
      <c r="K6" s="13"/>
      <c r="L6" s="13"/>
      <c r="M6" s="13"/>
    </row>
    <row r="7">
      <c r="A7" s="15" t="s">
        <v>6</v>
      </c>
      <c r="B7" s="16">
        <f>sum(C7:M7)</f>
        <v>89832</v>
      </c>
      <c r="C7" s="17">
        <v>58999.0</v>
      </c>
      <c r="D7" s="17">
        <v>30833.0</v>
      </c>
      <c r="E7" s="18">
        <f t="shared" ref="E7:M7" si="3">SUM(E4:E6)</f>
        <v>0</v>
      </c>
      <c r="F7" s="18">
        <f t="shared" si="3"/>
        <v>0</v>
      </c>
      <c r="G7" s="18">
        <f t="shared" si="3"/>
        <v>0</v>
      </c>
      <c r="H7" s="18">
        <f t="shared" si="3"/>
        <v>0</v>
      </c>
      <c r="I7" s="18">
        <f t="shared" si="3"/>
        <v>0</v>
      </c>
      <c r="J7" s="18">
        <f t="shared" si="3"/>
        <v>0</v>
      </c>
      <c r="K7" s="18">
        <f t="shared" si="3"/>
        <v>0</v>
      </c>
      <c r="L7" s="18">
        <f t="shared" si="3"/>
        <v>0</v>
      </c>
      <c r="M7" s="18">
        <f t="shared" si="3"/>
        <v>0</v>
      </c>
    </row>
    <row r="8">
      <c r="A8" s="4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collapsed="1">
      <c r="A9" s="7" t="s">
        <v>8</v>
      </c>
      <c r="B9" s="19">
        <f t="shared" ref="B9:B23" si="4">sum(C9:M9)</f>
        <v>11719</v>
      </c>
      <c r="C9" s="20">
        <v>5448.0</v>
      </c>
      <c r="D9" s="20">
        <v>6271.0</v>
      </c>
      <c r="E9" s="20">
        <v>0.0</v>
      </c>
      <c r="F9" s="20">
        <v>0.0</v>
      </c>
      <c r="G9" s="20">
        <v>0.0</v>
      </c>
      <c r="H9" s="20">
        <v>0.0</v>
      </c>
      <c r="I9" s="20">
        <v>0.0</v>
      </c>
      <c r="J9" s="20">
        <v>0.0</v>
      </c>
      <c r="K9" s="20">
        <v>0.0</v>
      </c>
      <c r="L9" s="20">
        <v>0.0</v>
      </c>
      <c r="M9" s="20">
        <v>0.0</v>
      </c>
    </row>
    <row r="10" hidden="1" outlineLevel="1">
      <c r="A10" s="7" t="s">
        <v>9</v>
      </c>
      <c r="B10" s="19">
        <f t="shared" si="4"/>
        <v>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0.0</v>
      </c>
      <c r="K10" s="20">
        <v>0.0</v>
      </c>
      <c r="L10" s="20">
        <v>0.0</v>
      </c>
      <c r="M10" s="20">
        <v>0.0</v>
      </c>
    </row>
    <row r="11" hidden="1" outlineLevel="1">
      <c r="A11" s="7" t="s">
        <v>10</v>
      </c>
      <c r="B11" s="19">
        <f t="shared" si="4"/>
        <v>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0.0</v>
      </c>
      <c r="L11" s="20">
        <v>0.0</v>
      </c>
      <c r="M11" s="20">
        <v>0.0</v>
      </c>
    </row>
    <row r="12" hidden="1" outlineLevel="1">
      <c r="A12" s="7" t="s">
        <v>11</v>
      </c>
      <c r="B12" s="19">
        <f t="shared" si="4"/>
        <v>0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0.0</v>
      </c>
      <c r="K12" s="20">
        <v>0.0</v>
      </c>
      <c r="L12" s="20">
        <v>0.0</v>
      </c>
      <c r="M12" s="20">
        <v>0.0</v>
      </c>
    </row>
    <row r="13" hidden="1" outlineLevel="1">
      <c r="A13" s="7" t="s">
        <v>12</v>
      </c>
      <c r="B13" s="19">
        <f t="shared" si="4"/>
        <v>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0.0</v>
      </c>
    </row>
    <row r="14" collapsed="1">
      <c r="A14" s="7" t="s">
        <v>13</v>
      </c>
      <c r="B14" s="19">
        <f t="shared" si="4"/>
        <v>11149.8</v>
      </c>
      <c r="C14" s="20">
        <v>6433.2</v>
      </c>
      <c r="D14" s="20">
        <v>4716.6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</row>
    <row r="15" hidden="1" outlineLevel="1">
      <c r="A15" s="7" t="s">
        <v>14</v>
      </c>
      <c r="B15" s="19">
        <f t="shared" si="4"/>
        <v>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</row>
    <row r="16" hidden="1" outlineLevel="1">
      <c r="A16" s="7" t="s">
        <v>15</v>
      </c>
      <c r="B16" s="19">
        <f t="shared" si="4"/>
        <v>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</row>
    <row r="17" collapsed="1">
      <c r="A17" s="7" t="s">
        <v>16</v>
      </c>
      <c r="B17" s="19">
        <f t="shared" si="4"/>
        <v>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</row>
    <row r="18" hidden="1" outlineLevel="1">
      <c r="B18" s="19">
        <f t="shared" si="4"/>
        <v>0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</row>
    <row r="19" hidden="1" outlineLevel="1">
      <c r="B19" s="19">
        <f t="shared" si="4"/>
        <v>0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</row>
    <row r="20" hidden="1" outlineLevel="1">
      <c r="B20" s="19">
        <f t="shared" si="4"/>
        <v>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</row>
    <row r="21">
      <c r="A21" s="7" t="s">
        <v>17</v>
      </c>
      <c r="B21" s="19">
        <f t="shared" si="4"/>
        <v>1293.65</v>
      </c>
      <c r="C21" s="20">
        <v>927.34</v>
      </c>
      <c r="D21" s="20">
        <v>366.31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</row>
    <row r="22">
      <c r="A22" s="7" t="s">
        <v>18</v>
      </c>
      <c r="B22" s="19">
        <f t="shared" si="4"/>
        <v>750</v>
      </c>
      <c r="C22" s="20">
        <v>500.0</v>
      </c>
      <c r="D22" s="20">
        <v>250.0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</row>
    <row r="23">
      <c r="A23" s="21" t="s">
        <v>19</v>
      </c>
      <c r="B23" s="22">
        <f t="shared" si="4"/>
        <v>24296.14</v>
      </c>
      <c r="C23" s="22">
        <f>C9+C14+C17+C21+C22</f>
        <v>13308.54</v>
      </c>
      <c r="D23" s="22">
        <f t="shared" ref="D23:K23" si="5">D9+D14+D17</f>
        <v>10987.6</v>
      </c>
      <c r="E23" s="22">
        <f t="shared" si="5"/>
        <v>0</v>
      </c>
      <c r="F23" s="22">
        <f t="shared" si="5"/>
        <v>0</v>
      </c>
      <c r="G23" s="22">
        <f t="shared" si="5"/>
        <v>0</v>
      </c>
      <c r="H23" s="22">
        <f t="shared" si="5"/>
        <v>0</v>
      </c>
      <c r="I23" s="22">
        <f t="shared" si="5"/>
        <v>0</v>
      </c>
      <c r="J23" s="22">
        <f t="shared" si="5"/>
        <v>0</v>
      </c>
      <c r="K23" s="22">
        <f t="shared" si="5"/>
        <v>0</v>
      </c>
      <c r="L23" s="22">
        <f>SUM(L9:L22)</f>
        <v>0</v>
      </c>
      <c r="M23" s="22">
        <f>M9+M14+M17</f>
        <v>0</v>
      </c>
    </row>
    <row r="24">
      <c r="A24" s="23"/>
      <c r="B24" s="19"/>
      <c r="C24" s="19"/>
      <c r="D24" s="19"/>
      <c r="E24" s="19"/>
      <c r="F24" s="19"/>
      <c r="G24" s="20" t="s">
        <v>20</v>
      </c>
      <c r="H24" s="19"/>
      <c r="I24" s="19"/>
      <c r="J24" s="19"/>
      <c r="K24" s="19"/>
      <c r="L24" s="19"/>
      <c r="M24" s="19"/>
    </row>
    <row r="25">
      <c r="A25" s="23" t="s">
        <v>21</v>
      </c>
      <c r="B25" s="19">
        <f t="shared" ref="B25:M25" si="6">B3-B23</f>
        <v>107699.86</v>
      </c>
      <c r="C25" s="19">
        <f t="shared" si="6"/>
        <v>60189.46</v>
      </c>
      <c r="D25" s="19">
        <f t="shared" si="6"/>
        <v>47510.4</v>
      </c>
      <c r="E25" s="19">
        <f t="shared" si="6"/>
        <v>0</v>
      </c>
      <c r="F25" s="19">
        <f t="shared" si="6"/>
        <v>0</v>
      </c>
      <c r="G25" s="19">
        <f t="shared" si="6"/>
        <v>0</v>
      </c>
      <c r="H25" s="19">
        <f t="shared" si="6"/>
        <v>0</v>
      </c>
      <c r="I25" s="19">
        <f t="shared" si="6"/>
        <v>0</v>
      </c>
      <c r="J25" s="19">
        <f t="shared" si="6"/>
        <v>0</v>
      </c>
      <c r="K25" s="19">
        <f t="shared" si="6"/>
        <v>0</v>
      </c>
      <c r="L25" s="19">
        <f t="shared" si="6"/>
        <v>0</v>
      </c>
      <c r="M25" s="19">
        <f t="shared" si="6"/>
        <v>0</v>
      </c>
    </row>
    <row r="26">
      <c r="A26" s="23" t="s">
        <v>22</v>
      </c>
      <c r="B26" s="19">
        <f t="shared" ref="B26:M26" si="7">B4-B23</f>
        <v>87201.86</v>
      </c>
      <c r="C26" s="19">
        <f t="shared" si="7"/>
        <v>51023.46</v>
      </c>
      <c r="D26" s="19">
        <f t="shared" si="7"/>
        <v>36178.4</v>
      </c>
      <c r="E26" s="19">
        <f t="shared" si="7"/>
        <v>0</v>
      </c>
      <c r="F26" s="19">
        <f t="shared" si="7"/>
        <v>0</v>
      </c>
      <c r="G26" s="19">
        <f t="shared" si="7"/>
        <v>0</v>
      </c>
      <c r="H26" s="19">
        <f t="shared" si="7"/>
        <v>0</v>
      </c>
      <c r="I26" s="19">
        <f t="shared" si="7"/>
        <v>0</v>
      </c>
      <c r="J26" s="19">
        <f t="shared" si="7"/>
        <v>0</v>
      </c>
      <c r="K26" s="19">
        <f t="shared" si="7"/>
        <v>0</v>
      </c>
      <c r="L26" s="19">
        <f t="shared" si="7"/>
        <v>0</v>
      </c>
      <c r="M26" s="19">
        <f t="shared" si="7"/>
        <v>0</v>
      </c>
    </row>
    <row r="27">
      <c r="A27" s="2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>
      <c r="A28" s="2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>
      <c r="A29" s="24" t="s">
        <v>23</v>
      </c>
      <c r="B29" s="25">
        <f t="shared" ref="B29:M29" si="8">(B26)*0.1</f>
        <v>8720.186</v>
      </c>
      <c r="C29" s="25">
        <f t="shared" si="8"/>
        <v>5102.346</v>
      </c>
      <c r="D29" s="25">
        <f t="shared" si="8"/>
        <v>3617.84</v>
      </c>
      <c r="E29" s="25">
        <f t="shared" si="8"/>
        <v>0</v>
      </c>
      <c r="F29" s="25">
        <f t="shared" si="8"/>
        <v>0</v>
      </c>
      <c r="G29" s="25">
        <f t="shared" si="8"/>
        <v>0</v>
      </c>
      <c r="H29" s="25">
        <f t="shared" si="8"/>
        <v>0</v>
      </c>
      <c r="I29" s="25">
        <f t="shared" si="8"/>
        <v>0</v>
      </c>
      <c r="J29" s="25">
        <f t="shared" si="8"/>
        <v>0</v>
      </c>
      <c r="K29" s="25">
        <f t="shared" si="8"/>
        <v>0</v>
      </c>
      <c r="L29" s="25">
        <f t="shared" si="8"/>
        <v>0</v>
      </c>
      <c r="M29" s="25">
        <f t="shared" si="8"/>
        <v>0</v>
      </c>
    </row>
    <row r="30">
      <c r="A30" s="21" t="s">
        <v>24</v>
      </c>
      <c r="B30" s="25">
        <f t="shared" ref="B30:M30" si="9">(B26)*0.9</f>
        <v>78481.674</v>
      </c>
      <c r="C30" s="25">
        <f t="shared" si="9"/>
        <v>45921.114</v>
      </c>
      <c r="D30" s="25">
        <f t="shared" si="9"/>
        <v>32560.56</v>
      </c>
      <c r="E30" s="25">
        <f t="shared" si="9"/>
        <v>0</v>
      </c>
      <c r="F30" s="25">
        <f t="shared" si="9"/>
        <v>0</v>
      </c>
      <c r="G30" s="25">
        <f t="shared" si="9"/>
        <v>0</v>
      </c>
      <c r="H30" s="25">
        <f t="shared" si="9"/>
        <v>0</v>
      </c>
      <c r="I30" s="25">
        <f t="shared" si="9"/>
        <v>0</v>
      </c>
      <c r="J30" s="25">
        <f t="shared" si="9"/>
        <v>0</v>
      </c>
      <c r="K30" s="25">
        <f t="shared" si="9"/>
        <v>0</v>
      </c>
      <c r="L30" s="25">
        <f t="shared" si="9"/>
        <v>0</v>
      </c>
      <c r="M30" s="25">
        <f t="shared" si="9"/>
        <v>0</v>
      </c>
    </row>
    <row r="31">
      <c r="A31" s="2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>
      <c r="A32" s="2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>
      <c r="A33" s="23" t="s">
        <v>25</v>
      </c>
      <c r="B33" s="26">
        <v>6785.37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>
      <c r="A34" s="23" t="s">
        <v>26</v>
      </c>
      <c r="B34" s="8">
        <f>SUM(B29-B33)</f>
        <v>1934.816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>
      <c r="A35" s="23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>
      <c r="A36" s="23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>
      <c r="A37" s="2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>
      <c r="A38" s="23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>
      <c r="A39" s="2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>
      <c r="A40" s="2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>
      <c r="A41" s="2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>
      <c r="A42" s="2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>
      <c r="A43" s="2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>
      <c r="A44" s="23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>
      <c r="A45" s="23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>
      <c r="A46" s="23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>
      <c r="A47" s="23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>
      <c r="A48" s="23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>
      <c r="A49" s="23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>
      <c r="A50" s="23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>
      <c r="A51" s="23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>
      <c r="A52" s="2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>
      <c r="A53" s="2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>
      <c r="A54" s="23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23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>
      <c r="A56" s="2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>
      <c r="A57" s="2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>
      <c r="A58" s="2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>
      <c r="A59" s="2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>
      <c r="A60" s="2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>
      <c r="A61" s="2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>
      <c r="A62" s="2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>
      <c r="A63" s="2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>
      <c r="A64" s="2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>
      <c r="A65" s="2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>
      <c r="A66" s="2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>
      <c r="A67" s="2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>
      <c r="A68" s="2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>
      <c r="A69" s="2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>
      <c r="A70" s="2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>
      <c r="A71" s="2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>
      <c r="A72" s="2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>
      <c r="A73" s="2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>
      <c r="A74" s="2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>
      <c r="A75" s="2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>
      <c r="A76" s="2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>
      <c r="A77" s="2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>
      <c r="A78" s="2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>
      <c r="A79" s="2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>
      <c r="A80" s="2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>
      <c r="A81" s="2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>
      <c r="A82" s="2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>
      <c r="A83" s="2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>
      <c r="A84" s="2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>
      <c r="A85" s="2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>
      <c r="A86" s="2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>
      <c r="A87" s="2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>
      <c r="A88" s="2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>
      <c r="A89" s="2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>
      <c r="A90" s="2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>
      <c r="A91" s="2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>
      <c r="A92" s="2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>
      <c r="A93" s="2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>
      <c r="A94" s="2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>
      <c r="A95" s="2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>
      <c r="A96" s="2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>
      <c r="A97" s="2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>
      <c r="A98" s="2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>
      <c r="A99" s="2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>
      <c r="A100" s="2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>
      <c r="A101" s="2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>
      <c r="A102" s="2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>
      <c r="A103" s="2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>
      <c r="A104" s="2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>
      <c r="A105" s="2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>
      <c r="A106" s="2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>
      <c r="A107" s="2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>
      <c r="A108" s="2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>
      <c r="A109" s="2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>
      <c r="A110" s="2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>
      <c r="A111" s="2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>
      <c r="A112" s="2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>
      <c r="A113" s="2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>
      <c r="A114" s="2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>
      <c r="A115" s="2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>
      <c r="A116" s="2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>
      <c r="A117" s="2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>
      <c r="A118" s="2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>
      <c r="A119" s="2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>
      <c r="A120" s="2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>
      <c r="A121" s="2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>
      <c r="A122" s="2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>
      <c r="A123" s="2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>
      <c r="A124" s="2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>
      <c r="A125" s="2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>
      <c r="A126" s="2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>
      <c r="A127" s="2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>
      <c r="A128" s="2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>
      <c r="A129" s="2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>
      <c r="A130" s="2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>
      <c r="A131" s="2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>
      <c r="A132" s="2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>
      <c r="A133" s="2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>
      <c r="A134" s="2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>
      <c r="A135" s="2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>
      <c r="A136" s="2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>
      <c r="A137" s="2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>
      <c r="A138" s="2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>
      <c r="A139" s="2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>
      <c r="A140" s="2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>
      <c r="A141" s="2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>
      <c r="A142" s="2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>
      <c r="A143" s="2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>
      <c r="A144" s="2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>
      <c r="A145" s="2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>
      <c r="A146" s="2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>
      <c r="A147" s="2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>
      <c r="A148" s="2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>
      <c r="A149" s="2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>
      <c r="A150" s="2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>
      <c r="A151" s="2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>
      <c r="A152" s="2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>
      <c r="A153" s="2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>
      <c r="A154" s="2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>
      <c r="A155" s="2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>
      <c r="A156" s="2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>
      <c r="A157" s="2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>
      <c r="A158" s="2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>
      <c r="A159" s="2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>
      <c r="A160" s="2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>
      <c r="A161" s="2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>
      <c r="A162" s="2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>
      <c r="A163" s="2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>
      <c r="A164" s="2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>
      <c r="A165" s="2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>
      <c r="A166" s="2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>
      <c r="A167" s="2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>
      <c r="A168" s="2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>
      <c r="A169" s="2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>
      <c r="A170" s="2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>
      <c r="A171" s="2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>
      <c r="A172" s="2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>
      <c r="A173" s="2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>
      <c r="A174" s="2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>
      <c r="A175" s="2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>
      <c r="A176" s="2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>
      <c r="A177" s="2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>
      <c r="A178" s="2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>
      <c r="A179" s="2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>
      <c r="A180" s="2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>
      <c r="A181" s="2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>
      <c r="A182" s="2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>
      <c r="A183" s="2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>
      <c r="A184" s="2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>
      <c r="A185" s="2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>
      <c r="A186" s="2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>
      <c r="A187" s="2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>
      <c r="A188" s="2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>
      <c r="A189" s="2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>
      <c r="A190" s="2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>
      <c r="A191" s="2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>
      <c r="A192" s="2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>
      <c r="A193" s="2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>
      <c r="A194" s="2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>
      <c r="A195" s="2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>
      <c r="A196" s="2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>
      <c r="A197" s="2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>
      <c r="A198" s="2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>
      <c r="A199" s="2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>
      <c r="A200" s="2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>
      <c r="A201" s="2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>
      <c r="A202" s="2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>
      <c r="A203" s="2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>
      <c r="A204" s="2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>
      <c r="A205" s="2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>
      <c r="A206" s="2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>
      <c r="A207" s="2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>
      <c r="A208" s="2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>
      <c r="A209" s="2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>
      <c r="A210" s="2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>
      <c r="A211" s="2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>
      <c r="A212" s="2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>
      <c r="A213" s="2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>
      <c r="A214" s="2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>
      <c r="A215" s="2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>
      <c r="A216" s="2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>
      <c r="A217" s="2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>
      <c r="A218" s="2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>
      <c r="A219" s="2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>
      <c r="A220" s="2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>
      <c r="A221" s="2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>
      <c r="A222" s="2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>
      <c r="A223" s="2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>
      <c r="A224" s="2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>
      <c r="A225" s="2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>
      <c r="A226" s="2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>
      <c r="A227" s="2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>
      <c r="A228" s="2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>
      <c r="A229" s="2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>
      <c r="A230" s="2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>
      <c r="A231" s="2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>
      <c r="A232" s="2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>
      <c r="A233" s="2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>
      <c r="A234" s="2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>
      <c r="A235" s="2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>
      <c r="A236" s="2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>
      <c r="A237" s="2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>
      <c r="A238" s="2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>
      <c r="A239" s="2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>
      <c r="A240" s="2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>
      <c r="A241" s="2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>
      <c r="A242" s="2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>
      <c r="A243" s="2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>
      <c r="A244" s="2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>
      <c r="A245" s="2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>
      <c r="A246" s="2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>
      <c r="A247" s="2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>
      <c r="A248" s="2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>
      <c r="A249" s="2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>
      <c r="A250" s="2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>
      <c r="A251" s="2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>
      <c r="A252" s="2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>
      <c r="A253" s="2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>
      <c r="A254" s="2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>
      <c r="A255" s="2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>
      <c r="A256" s="2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>
      <c r="A257" s="2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>
      <c r="A258" s="2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>
      <c r="A259" s="2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>
      <c r="A260" s="2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>
      <c r="A261" s="2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>
      <c r="A262" s="2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>
      <c r="A263" s="2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>
      <c r="A264" s="2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>
      <c r="A265" s="2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>
      <c r="A266" s="2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>
      <c r="A267" s="2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>
      <c r="A268" s="2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>
      <c r="A269" s="2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>
      <c r="A270" s="2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>
      <c r="A271" s="2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>
      <c r="A272" s="2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>
      <c r="A273" s="2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>
      <c r="A274" s="2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>
      <c r="A275" s="2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>
      <c r="A276" s="2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>
      <c r="A277" s="2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>
      <c r="A278" s="2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>
      <c r="A279" s="2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>
      <c r="A280" s="2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>
      <c r="A281" s="2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>
      <c r="A282" s="2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>
      <c r="A283" s="2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>
      <c r="A284" s="2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>
      <c r="A285" s="2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>
      <c r="A286" s="2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>
      <c r="A287" s="2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>
      <c r="A288" s="2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>
      <c r="A289" s="2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>
      <c r="A290" s="2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>
      <c r="A291" s="2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>
      <c r="A292" s="2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>
      <c r="A293" s="2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>
      <c r="A294" s="2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>
      <c r="A295" s="2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>
      <c r="A296" s="2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>
      <c r="A297" s="2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>
      <c r="A298" s="2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>
      <c r="A299" s="2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>
      <c r="A300" s="2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>
      <c r="A301" s="2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>
      <c r="A302" s="2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>
      <c r="A303" s="2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>
      <c r="A304" s="2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>
      <c r="A305" s="2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>
      <c r="A306" s="2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>
      <c r="A307" s="2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>
      <c r="A308" s="2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>
      <c r="A309" s="2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>
      <c r="A310" s="2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>
      <c r="A311" s="2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>
      <c r="A312" s="2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>
      <c r="A313" s="2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>
      <c r="A314" s="2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>
      <c r="A315" s="2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>
      <c r="A316" s="2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>
      <c r="A317" s="2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>
      <c r="A318" s="2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>
      <c r="A319" s="2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>
      <c r="A320" s="2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>
      <c r="A321" s="2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>
      <c r="A322" s="2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>
      <c r="A323" s="2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>
      <c r="A324" s="2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>
      <c r="A325" s="2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>
      <c r="A326" s="2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>
      <c r="A327" s="2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>
      <c r="A328" s="2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>
      <c r="A329" s="2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>
      <c r="A330" s="2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>
      <c r="A331" s="2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>
      <c r="A332" s="2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>
      <c r="A333" s="2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>
      <c r="A334" s="2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>
      <c r="A335" s="2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>
      <c r="A336" s="2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>
      <c r="A337" s="2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>
      <c r="A338" s="2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>
      <c r="A339" s="2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>
      <c r="A340" s="2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>
      <c r="A341" s="2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>
      <c r="A342" s="2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>
      <c r="A343" s="2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>
      <c r="A344" s="2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>
      <c r="A345" s="2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>
      <c r="A346" s="2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>
      <c r="A347" s="2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>
      <c r="A348" s="2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>
      <c r="A349" s="2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>
      <c r="A350" s="2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>
      <c r="A351" s="2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>
      <c r="A352" s="2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>
      <c r="A353" s="2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>
      <c r="A354" s="2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>
      <c r="A355" s="2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>
      <c r="A356" s="2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>
      <c r="A357" s="2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>
      <c r="A358" s="2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>
      <c r="A359" s="2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>
      <c r="A360" s="2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>
      <c r="A361" s="2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>
      <c r="A362" s="2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>
      <c r="A363" s="2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>
      <c r="A364" s="2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>
      <c r="A365" s="2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>
      <c r="A366" s="2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>
      <c r="A367" s="2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>
      <c r="A368" s="2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>
      <c r="A369" s="2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>
      <c r="A370" s="2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>
      <c r="A371" s="2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>
      <c r="A372" s="2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>
      <c r="A373" s="2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>
      <c r="A374" s="2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>
      <c r="A375" s="2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>
      <c r="A376" s="2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>
      <c r="A377" s="2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>
      <c r="A378" s="2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>
      <c r="A379" s="2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>
      <c r="A380" s="2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>
      <c r="A381" s="2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>
      <c r="A382" s="2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>
      <c r="A383" s="2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>
      <c r="A384" s="2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>
      <c r="A385" s="2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>
      <c r="A386" s="2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>
      <c r="A387" s="2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>
      <c r="A388" s="2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>
      <c r="A389" s="2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>
      <c r="A390" s="2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>
      <c r="A391" s="2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>
      <c r="A392" s="2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>
      <c r="A393" s="2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>
      <c r="A394" s="2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>
      <c r="A395" s="2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>
      <c r="A396" s="2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>
      <c r="A397" s="2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>
      <c r="A398" s="2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>
      <c r="A399" s="2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>
      <c r="A400" s="2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>
      <c r="A401" s="2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>
      <c r="A402" s="23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>
      <c r="A403" s="23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>
      <c r="A404" s="23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>
      <c r="A405" s="23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>
      <c r="A406" s="23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>
      <c r="A407" s="23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>
      <c r="A408" s="23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>
      <c r="A409" s="23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>
      <c r="A410" s="23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>
      <c r="A411" s="23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>
      <c r="A412" s="23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>
      <c r="A413" s="23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>
      <c r="A414" s="23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>
      <c r="A415" s="23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>
      <c r="A416" s="23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>
      <c r="A417" s="23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>
      <c r="A418" s="23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>
      <c r="A419" s="23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>
      <c r="A420" s="23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>
      <c r="A421" s="23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>
      <c r="A422" s="23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>
      <c r="A423" s="23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>
      <c r="A424" s="23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>
      <c r="A425" s="23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>
      <c r="A426" s="23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>
      <c r="A427" s="23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>
      <c r="A428" s="23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>
      <c r="A429" s="23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>
      <c r="A430" s="23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>
      <c r="A431" s="23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>
      <c r="A432" s="23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>
      <c r="A433" s="23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>
      <c r="A434" s="23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>
      <c r="A435" s="23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>
      <c r="A436" s="23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>
      <c r="A437" s="23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>
      <c r="A438" s="23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>
      <c r="A439" s="23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>
      <c r="A440" s="23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>
      <c r="A441" s="23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>
      <c r="A442" s="23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>
      <c r="A443" s="23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>
      <c r="A444" s="23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>
      <c r="A445" s="23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>
      <c r="A446" s="23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>
      <c r="A447" s="23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>
      <c r="A448" s="23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>
      <c r="A449" s="23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>
      <c r="A450" s="23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>
      <c r="A451" s="23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>
      <c r="A452" s="23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>
      <c r="A453" s="23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>
      <c r="A454" s="23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>
      <c r="A455" s="23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>
      <c r="A456" s="23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>
      <c r="A457" s="23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>
      <c r="A458" s="23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>
      <c r="A459" s="23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>
      <c r="A460" s="23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>
      <c r="A461" s="23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>
      <c r="A462" s="23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>
      <c r="A463" s="23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>
      <c r="A464" s="23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>
      <c r="A465" s="23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>
      <c r="A466" s="23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>
      <c r="A467" s="23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>
      <c r="A468" s="23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>
      <c r="A469" s="23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>
      <c r="A470" s="23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>
      <c r="A471" s="23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>
      <c r="A472" s="23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>
      <c r="A473" s="23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>
      <c r="A474" s="23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>
      <c r="A475" s="23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>
      <c r="A476" s="23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>
      <c r="A477" s="23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>
      <c r="A478" s="23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>
      <c r="A479" s="23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>
      <c r="A480" s="23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>
      <c r="A481" s="23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>
      <c r="A482" s="23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>
      <c r="A483" s="23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>
      <c r="A484" s="23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>
      <c r="A485" s="23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>
      <c r="A486" s="23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>
      <c r="A487" s="23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>
      <c r="A488" s="23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>
      <c r="A489" s="23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>
      <c r="A490" s="23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>
      <c r="A491" s="23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>
      <c r="A492" s="23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>
      <c r="A493" s="23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>
      <c r="A494" s="23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>
      <c r="A495" s="23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>
      <c r="A496" s="23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>
      <c r="A497" s="23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>
      <c r="A498" s="23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>
      <c r="A499" s="23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>
      <c r="A500" s="23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>
      <c r="A501" s="23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>
      <c r="A502" s="23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>
      <c r="A503" s="23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>
      <c r="A504" s="23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>
      <c r="A505" s="23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>
      <c r="A506" s="23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>
      <c r="A507" s="23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>
      <c r="A508" s="23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>
      <c r="A509" s="23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>
      <c r="A510" s="23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>
      <c r="A511" s="23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>
      <c r="A512" s="23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>
      <c r="A513" s="23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>
      <c r="A514" s="23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>
      <c r="A515" s="23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>
      <c r="A516" s="23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>
      <c r="A517" s="23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>
      <c r="A518" s="23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>
      <c r="A519" s="23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>
      <c r="A520" s="23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>
      <c r="A521" s="23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>
      <c r="A522" s="23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>
      <c r="A523" s="23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>
      <c r="A524" s="23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>
      <c r="A525" s="23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>
      <c r="A526" s="23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>
      <c r="A527" s="23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>
      <c r="A528" s="23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>
      <c r="A529" s="23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>
      <c r="A530" s="23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</row>
    <row r="531">
      <c r="A531" s="23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</row>
    <row r="532">
      <c r="A532" s="23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</row>
    <row r="533">
      <c r="A533" s="23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</row>
    <row r="534">
      <c r="A534" s="23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</row>
    <row r="535">
      <c r="A535" s="23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>
      <c r="A536" s="23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>
      <c r="A537" s="23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>
      <c r="A538" s="23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>
      <c r="A539" s="23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>
      <c r="A540" s="23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>
      <c r="A541" s="23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>
      <c r="A542" s="23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>
      <c r="A543" s="23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>
      <c r="A544" s="23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>
      <c r="A545" s="23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>
      <c r="A546" s="23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>
      <c r="A547" s="23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>
      <c r="A548" s="23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>
      <c r="A549" s="23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>
      <c r="A550" s="23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>
      <c r="A551" s="23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>
      <c r="A552" s="23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>
      <c r="A553" s="23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>
      <c r="A554" s="23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</row>
    <row r="555">
      <c r="A555" s="23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</row>
    <row r="556">
      <c r="A556" s="23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</row>
    <row r="557">
      <c r="A557" s="23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</row>
    <row r="558">
      <c r="A558" s="23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</row>
    <row r="559">
      <c r="A559" s="23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</row>
    <row r="560">
      <c r="A560" s="23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>
      <c r="A561" s="23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>
      <c r="A562" s="23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>
      <c r="A563" s="23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>
      <c r="A564" s="23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>
      <c r="A565" s="23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>
      <c r="A566" s="23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>
      <c r="A567" s="23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>
      <c r="A568" s="23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>
      <c r="A569" s="23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>
      <c r="A570" s="23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>
      <c r="A571" s="23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>
      <c r="A572" s="23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>
      <c r="A573" s="23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>
      <c r="A574" s="23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>
      <c r="A575" s="23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>
      <c r="A576" s="23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>
      <c r="A577" s="23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>
      <c r="A578" s="23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>
      <c r="A579" s="23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>
      <c r="A580" s="23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>
      <c r="A581" s="23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>
      <c r="A582" s="23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>
      <c r="A583" s="23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>
      <c r="A584" s="23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>
      <c r="A585" s="23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>
      <c r="A586" s="23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>
      <c r="A587" s="23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>
      <c r="A588" s="23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>
      <c r="A589" s="23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>
      <c r="A590" s="23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>
      <c r="A591" s="23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>
      <c r="A592" s="23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>
      <c r="A593" s="23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>
      <c r="A594" s="23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>
      <c r="A595" s="23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>
      <c r="A596" s="23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>
      <c r="A597" s="23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>
      <c r="A598" s="23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>
      <c r="A599" s="23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>
      <c r="A600" s="23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>
      <c r="A601" s="23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>
      <c r="A602" s="23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>
      <c r="A603" s="23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>
      <c r="A604" s="23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>
      <c r="A605" s="23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>
      <c r="A606" s="23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>
      <c r="A607" s="23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>
      <c r="A608" s="23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>
      <c r="A609" s="23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>
      <c r="A610" s="23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>
      <c r="A611" s="23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>
      <c r="A612" s="23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>
      <c r="A613" s="23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>
      <c r="A614" s="23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>
      <c r="A615" s="23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>
      <c r="A616" s="23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>
      <c r="A617" s="23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>
      <c r="A618" s="23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>
      <c r="A619" s="23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>
      <c r="A620" s="23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>
      <c r="A621" s="23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>
      <c r="A622" s="23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>
      <c r="A623" s="23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>
      <c r="A624" s="23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>
      <c r="A625" s="23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>
      <c r="A626" s="23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>
      <c r="A627" s="23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>
      <c r="A628" s="23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>
      <c r="A629" s="23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>
      <c r="A630" s="23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>
      <c r="A631" s="23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>
      <c r="A632" s="23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>
      <c r="A633" s="23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>
      <c r="A634" s="23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>
      <c r="A635" s="23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>
      <c r="A636" s="23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>
      <c r="A637" s="23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>
      <c r="A638" s="23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>
      <c r="A639" s="23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>
      <c r="A640" s="23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>
      <c r="A641" s="23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>
      <c r="A642" s="23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>
      <c r="A643" s="23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>
      <c r="A644" s="23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>
      <c r="A645" s="23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>
      <c r="A646" s="23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>
      <c r="A647" s="23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>
      <c r="A648" s="23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>
      <c r="A649" s="23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>
      <c r="A650" s="23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>
      <c r="A651" s="23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>
      <c r="A652" s="23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>
      <c r="A653" s="23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>
      <c r="A654" s="23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>
      <c r="A655" s="23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>
      <c r="A656" s="23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>
      <c r="A657" s="23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>
      <c r="A658" s="23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>
      <c r="A659" s="23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>
      <c r="A660" s="23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>
      <c r="A661" s="23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>
      <c r="A662" s="23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>
      <c r="A663" s="23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>
      <c r="A664" s="23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>
      <c r="A665" s="23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>
      <c r="A666" s="23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>
      <c r="A667" s="23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>
      <c r="A668" s="23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>
      <c r="A669" s="23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>
      <c r="A670" s="23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>
      <c r="A671" s="23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>
      <c r="A672" s="23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>
      <c r="A673" s="23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>
      <c r="A674" s="23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>
      <c r="A675" s="23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>
      <c r="A676" s="23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>
      <c r="A677" s="23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>
      <c r="A678" s="23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>
      <c r="A679" s="23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>
      <c r="A680" s="23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>
      <c r="A681" s="23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>
      <c r="A682" s="23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>
      <c r="A683" s="23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>
      <c r="A684" s="23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>
      <c r="A685" s="23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>
      <c r="A686" s="23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>
      <c r="A687" s="23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>
      <c r="A688" s="23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>
      <c r="A689" s="23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>
      <c r="A690" s="23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>
      <c r="A691" s="23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>
      <c r="A692" s="23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>
      <c r="A693" s="23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>
      <c r="A694" s="23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>
      <c r="A695" s="23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>
      <c r="A696" s="23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>
      <c r="A697" s="23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>
      <c r="A698" s="23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>
      <c r="A699" s="23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>
      <c r="A700" s="23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>
      <c r="A701" s="23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>
      <c r="A702" s="23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>
      <c r="A703" s="23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>
      <c r="A704" s="23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>
      <c r="A705" s="23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>
      <c r="A706" s="23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>
      <c r="A707" s="23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>
      <c r="A708" s="23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>
      <c r="A709" s="23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>
      <c r="A710" s="23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>
      <c r="A711" s="23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>
      <c r="A712" s="23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>
      <c r="A713" s="23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>
      <c r="A714" s="23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>
      <c r="A715" s="23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>
      <c r="A716" s="23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>
      <c r="A717" s="23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>
      <c r="A718" s="23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>
      <c r="A719" s="23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>
      <c r="A720" s="23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>
      <c r="A721" s="23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>
      <c r="A722" s="23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>
      <c r="A723" s="23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>
      <c r="A724" s="23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>
      <c r="A725" s="23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>
      <c r="A726" s="23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>
      <c r="A727" s="23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>
      <c r="A728" s="23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>
      <c r="A729" s="23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>
      <c r="A730" s="23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>
      <c r="A731" s="23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>
      <c r="A732" s="23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>
      <c r="A733" s="23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>
      <c r="A734" s="23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>
      <c r="A735" s="23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>
      <c r="A736" s="23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>
      <c r="A737" s="23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>
      <c r="A738" s="23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>
      <c r="A739" s="23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>
      <c r="A740" s="23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>
      <c r="A741" s="23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>
      <c r="A742" s="23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>
      <c r="A743" s="23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>
      <c r="A744" s="23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>
      <c r="A745" s="23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>
      <c r="A746" s="23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>
      <c r="A747" s="23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>
      <c r="A748" s="23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>
      <c r="A749" s="23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>
      <c r="A750" s="23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>
      <c r="A751" s="23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>
      <c r="A752" s="23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>
      <c r="A753" s="23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>
      <c r="A754" s="23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>
      <c r="A755" s="23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>
      <c r="A756" s="23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>
      <c r="A757" s="23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>
      <c r="A758" s="23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>
      <c r="A759" s="23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>
      <c r="A760" s="23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>
      <c r="A761" s="23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>
      <c r="A762" s="23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>
      <c r="A763" s="23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>
      <c r="A764" s="23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>
      <c r="A765" s="23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>
      <c r="A766" s="23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>
      <c r="A767" s="23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>
      <c r="A768" s="23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>
      <c r="A769" s="23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>
      <c r="A770" s="23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>
      <c r="A771" s="23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>
      <c r="A772" s="23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>
      <c r="A773" s="23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>
      <c r="A774" s="23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>
      <c r="A775" s="23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>
      <c r="A776" s="23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>
      <c r="A777" s="23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>
      <c r="A778" s="23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>
      <c r="A779" s="23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>
      <c r="A780" s="23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>
      <c r="A781" s="23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>
      <c r="A782" s="23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>
      <c r="A783" s="23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>
      <c r="A784" s="23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>
      <c r="A785" s="23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>
      <c r="A786" s="23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>
      <c r="A787" s="23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>
      <c r="A788" s="23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>
      <c r="A789" s="23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>
      <c r="A790" s="23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>
      <c r="A791" s="23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>
      <c r="A792" s="23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>
      <c r="A793" s="23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>
      <c r="A794" s="23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>
      <c r="A795" s="23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>
      <c r="A796" s="23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>
      <c r="A797" s="23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>
      <c r="A798" s="23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>
      <c r="A799" s="23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>
      <c r="A800" s="23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>
      <c r="A801" s="23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>
      <c r="A802" s="23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>
      <c r="A803" s="23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>
      <c r="A804" s="23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>
      <c r="A805" s="23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>
      <c r="A806" s="23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>
      <c r="A807" s="23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>
      <c r="A808" s="23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>
      <c r="A809" s="23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>
      <c r="A810" s="23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>
      <c r="A811" s="23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>
      <c r="A812" s="23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>
      <c r="A813" s="23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>
      <c r="A814" s="23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>
      <c r="A815" s="23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>
      <c r="A816" s="23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>
      <c r="A817" s="23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>
      <c r="A818" s="23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>
      <c r="A819" s="23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>
      <c r="A820" s="23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>
      <c r="A821" s="23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>
      <c r="A822" s="23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>
      <c r="A823" s="23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>
      <c r="A824" s="23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>
      <c r="A825" s="23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</row>
    <row r="826">
      <c r="A826" s="23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</row>
    <row r="827">
      <c r="A827" s="23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</row>
    <row r="828">
      <c r="A828" s="23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</row>
    <row r="829">
      <c r="A829" s="23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</row>
    <row r="830">
      <c r="A830" s="23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</row>
    <row r="831">
      <c r="A831" s="23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>
      <c r="A832" s="23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</row>
    <row r="833">
      <c r="A833" s="23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</row>
    <row r="834">
      <c r="A834" s="23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</row>
    <row r="835">
      <c r="A835" s="23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</row>
    <row r="836">
      <c r="A836" s="23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</row>
    <row r="837">
      <c r="A837" s="23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</row>
    <row r="838">
      <c r="A838" s="23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>
      <c r="A839" s="23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</row>
    <row r="840">
      <c r="A840" s="23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</row>
    <row r="841">
      <c r="A841" s="23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</row>
    <row r="842">
      <c r="A842" s="23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</row>
    <row r="843">
      <c r="A843" s="23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</row>
    <row r="844">
      <c r="A844" s="23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</row>
    <row r="845">
      <c r="A845" s="23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>
      <c r="A846" s="23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>
      <c r="A847" s="23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>
      <c r="A848" s="23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>
      <c r="A849" s="23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>
      <c r="A850" s="23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>
      <c r="A851" s="23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>
      <c r="A852" s="23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>
      <c r="A853" s="23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>
      <c r="A854" s="23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>
      <c r="A855" s="23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>
      <c r="A856" s="23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</row>
    <row r="857">
      <c r="A857" s="23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</row>
    <row r="858">
      <c r="A858" s="23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</row>
    <row r="859">
      <c r="A859" s="23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</row>
    <row r="860">
      <c r="A860" s="23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</row>
    <row r="861">
      <c r="A861" s="23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</row>
    <row r="862">
      <c r="A862" s="23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>
      <c r="A863" s="23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</row>
    <row r="864">
      <c r="A864" s="23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</row>
    <row r="865">
      <c r="A865" s="23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>
      <c r="A866" s="23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</row>
    <row r="867">
      <c r="A867" s="23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</row>
    <row r="868">
      <c r="A868" s="23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</row>
    <row r="869">
      <c r="A869" s="23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>
      <c r="A870" s="23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>
      <c r="A871" s="23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>
      <c r="A872" s="23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>
      <c r="A873" s="23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>
      <c r="A874" s="23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>
      <c r="A875" s="23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>
      <c r="A876" s="23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7">
      <c r="A877" s="23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</row>
    <row r="878">
      <c r="A878" s="23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</row>
    <row r="879">
      <c r="A879" s="23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</row>
    <row r="880">
      <c r="A880" s="23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</row>
    <row r="881">
      <c r="A881" s="23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</row>
    <row r="882">
      <c r="A882" s="23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</row>
    <row r="883">
      <c r="A883" s="23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</row>
    <row r="884">
      <c r="A884" s="23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</row>
    <row r="885">
      <c r="A885" s="23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</row>
    <row r="886">
      <c r="A886" s="23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</row>
    <row r="887">
      <c r="A887" s="23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</row>
    <row r="888">
      <c r="A888" s="23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</row>
    <row r="889">
      <c r="A889" s="23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>
      <c r="A890" s="23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</row>
    <row r="891">
      <c r="A891" s="23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</row>
    <row r="892">
      <c r="A892" s="23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</row>
    <row r="893">
      <c r="A893" s="23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</row>
    <row r="894">
      <c r="A894" s="23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</row>
    <row r="895">
      <c r="A895" s="23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>
      <c r="A896" s="23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</row>
    <row r="897">
      <c r="A897" s="23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</row>
    <row r="898">
      <c r="A898" s="23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</row>
    <row r="899">
      <c r="A899" s="23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</row>
    <row r="900">
      <c r="A900" s="23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</row>
    <row r="901">
      <c r="A901" s="23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</row>
    <row r="902">
      <c r="A902" s="23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>
      <c r="A903" s="23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</row>
    <row r="904">
      <c r="A904" s="23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</row>
    <row r="905">
      <c r="A905" s="23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</row>
    <row r="906">
      <c r="A906" s="23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</row>
    <row r="907">
      <c r="A907" s="23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</row>
    <row r="908">
      <c r="A908" s="23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</row>
    <row r="909">
      <c r="A909" s="23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</row>
    <row r="910">
      <c r="A910" s="23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</row>
    <row r="911">
      <c r="A911" s="23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</row>
    <row r="912">
      <c r="A912" s="23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</row>
    <row r="913">
      <c r="A913" s="23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</row>
    <row r="914">
      <c r="A914" s="23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</row>
    <row r="915">
      <c r="A915" s="23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</row>
    <row r="916">
      <c r="A916" s="23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</row>
    <row r="917">
      <c r="A917" s="23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</row>
    <row r="918">
      <c r="A918" s="23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</row>
    <row r="919">
      <c r="A919" s="23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</row>
    <row r="920">
      <c r="A920" s="23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</row>
    <row r="921">
      <c r="A921" s="23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</row>
    <row r="922">
      <c r="A922" s="23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</row>
    <row r="923">
      <c r="A923" s="23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>
      <c r="A924" s="23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</row>
    <row r="925">
      <c r="A925" s="23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</row>
    <row r="926">
      <c r="A926" s="23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>
      <c r="A927" s="23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</row>
    <row r="928">
      <c r="A928" s="23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</row>
    <row r="929">
      <c r="A929" s="23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</row>
    <row r="930">
      <c r="A930" s="23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</row>
    <row r="931">
      <c r="A931" s="23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</row>
    <row r="932">
      <c r="A932" s="23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</row>
    <row r="933">
      <c r="A933" s="23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</row>
    <row r="934">
      <c r="A934" s="23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</row>
    <row r="935">
      <c r="A935" s="23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</row>
    <row r="936">
      <c r="A936" s="23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</row>
    <row r="937">
      <c r="A937" s="23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</row>
    <row r="938">
      <c r="A938" s="23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</row>
    <row r="939">
      <c r="A939" s="23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>
      <c r="A940" s="23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</row>
    <row r="941">
      <c r="A941" s="23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</row>
    <row r="942">
      <c r="A942" s="23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</row>
    <row r="943">
      <c r="A943" s="23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</row>
    <row r="944">
      <c r="A944" s="23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</row>
    <row r="945">
      <c r="A945" s="23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</row>
    <row r="946">
      <c r="A946" s="23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</row>
    <row r="947">
      <c r="A947" s="23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</row>
    <row r="948">
      <c r="A948" s="23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</row>
    <row r="949">
      <c r="A949" s="23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>
      <c r="A950" s="23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>
      <c r="A951" s="23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>
      <c r="A952" s="23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>
      <c r="A953" s="23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>
      <c r="A954" s="23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>
      <c r="A955" s="23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>
      <c r="A956" s="23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>
      <c r="A957" s="23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>
      <c r="A958" s="23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>
      <c r="A959" s="23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>
      <c r="A960" s="23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>
      <c r="A961" s="23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>
      <c r="A962" s="23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</row>
    <row r="963">
      <c r="A963" s="23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</row>
    <row r="964">
      <c r="A964" s="23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</row>
    <row r="965">
      <c r="A965" s="23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>
      <c r="A966" s="23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</row>
    <row r="967">
      <c r="A967" s="23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</row>
    <row r="968">
      <c r="A968" s="23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</row>
    <row r="969">
      <c r="A969" s="23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</row>
    <row r="970">
      <c r="A970" s="23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</row>
    <row r="971">
      <c r="A971" s="23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</row>
    <row r="972">
      <c r="A972" s="23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</row>
    <row r="973">
      <c r="A973" s="23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</row>
    <row r="974">
      <c r="A974" s="23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</row>
    <row r="975">
      <c r="A975" s="23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>
      <c r="A976" s="23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</row>
    <row r="977">
      <c r="A977" s="23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</row>
    <row r="978">
      <c r="A978" s="23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</row>
    <row r="979">
      <c r="A979" s="23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</row>
    <row r="980">
      <c r="A980" s="23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</row>
    <row r="981">
      <c r="A981" s="23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</row>
    <row r="982">
      <c r="A982" s="23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</row>
    <row r="983">
      <c r="A983" s="23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</row>
    <row r="984">
      <c r="A984" s="23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</row>
    <row r="985">
      <c r="A985" s="23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</row>
    <row r="986">
      <c r="A986" s="23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</row>
    <row r="987">
      <c r="A987" s="23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</row>
    <row r="988">
      <c r="A988" s="23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</row>
    <row r="989">
      <c r="A989" s="23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</row>
    <row r="990">
      <c r="A990" s="23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>
      <c r="A991" s="23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</row>
    <row r="992">
      <c r="A992" s="23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</row>
    <row r="993">
      <c r="A993" s="23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</row>
    <row r="994">
      <c r="A994" s="23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</row>
    <row r="995">
      <c r="A995" s="23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</row>
    <row r="996">
      <c r="A996" s="23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</row>
    <row r="997">
      <c r="A997" s="23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</row>
    <row r="998">
      <c r="A998" s="23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</row>
    <row r="999">
      <c r="A999" s="23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</row>
    <row r="1000">
      <c r="A1000" s="23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</row>
    <row r="1001">
      <c r="A1001" s="23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</row>
    <row r="1002">
      <c r="A1002" s="23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</row>
    <row r="1003">
      <c r="A1003" s="23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</row>
    <row r="1004">
      <c r="A1004" s="23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</row>
    <row r="1005">
      <c r="A1005" s="23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</row>
    <row r="1006">
      <c r="A1006" s="23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</row>
    <row r="1007">
      <c r="A1007" s="23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</row>
    <row r="1008">
      <c r="A1008" s="23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</row>
    <row r="1009">
      <c r="A1009" s="23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</row>
    <row r="1010">
      <c r="A1010" s="23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</row>
    <row r="1011">
      <c r="A1011" s="23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</row>
    <row r="1012">
      <c r="A1012" s="23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</row>
    <row r="1013">
      <c r="A1013" s="23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</row>
    <row r="1014">
      <c r="A1014" s="23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</row>
    <row r="1015">
      <c r="A1015" s="23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</row>
    <row r="1016">
      <c r="A1016" s="23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</row>
    <row r="1017">
      <c r="A1017" s="23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</row>
    <row r="1018">
      <c r="A1018" s="23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</row>
    <row r="1019">
      <c r="A1019" s="23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</row>
    <row r="1020">
      <c r="A1020" s="23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</row>
    <row r="1021">
      <c r="A1021" s="23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</row>
    <row r="1022">
      <c r="A1022" s="23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</row>
    <row r="1023">
      <c r="A1023" s="23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</row>
    <row r="1024">
      <c r="A1024" s="23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</row>
    <row r="1025">
      <c r="A1025" s="23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</row>
    <row r="1026">
      <c r="A1026" s="23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</row>
    <row r="1027">
      <c r="A1027" s="23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</row>
    <row r="1028">
      <c r="A1028" s="23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</row>
    <row r="1029">
      <c r="A1029" s="23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</row>
    <row r="1030">
      <c r="A1030" s="23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</row>
  </sheetData>
  <drawing r:id="rId1"/>
</worksheet>
</file>