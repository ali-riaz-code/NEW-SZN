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Mar" sheetId="2" r:id="rId6"/>
    <sheet state="visible" name="Apr" sheetId="3" r:id="rId7"/>
    <sheet state="visible" name="May" sheetId="4" r:id="rId8"/>
    <sheet state="visible" name="Jun" sheetId="5" r:id="rId9"/>
    <sheet state="visible" name="Jul" sheetId="6" r:id="rId10"/>
    <sheet state="visible" name="Aug" sheetId="7" r:id="rId11"/>
    <sheet state="visible" name="Sep" sheetId="8" r:id="rId12"/>
    <sheet state="visible" name="Oct" sheetId="9" r:id="rId13"/>
    <sheet state="visible" name="Nov" sheetId="10" r:id="rId14"/>
    <sheet state="visible" name="Dec" sheetId="11" r:id="rId15"/>
    <sheet state="visible" name="Jan 26" sheetId="12" r:id="rId16"/>
    <sheet state="visible" name="Feb 26" sheetId="13" r:id="rId17"/>
    <sheet state="visible" name="Mar 26" sheetId="14" r:id="rId18"/>
    <sheet state="visible" name="Deposits" sheetId="15" r:id="rId19"/>
  </sheets>
  <definedNames>
    <definedName hidden="1" localSheetId="1" name="_xlnm._FilterDatabase">Mar!$A$12:$V$108</definedName>
    <definedName hidden="1" localSheetId="2" name="_xlnm._FilterDatabase">Apr!$A$12:$V$51</definedName>
    <definedName hidden="1" localSheetId="3" name="_xlnm._FilterDatabase">May!$A$12:$V$31</definedName>
    <definedName hidden="1" localSheetId="4" name="_xlnm._FilterDatabase">Jun!$A$12:$V$31</definedName>
    <definedName hidden="1" localSheetId="5" name="_xlnm._FilterDatabase">Jul!$A$12:$V$20</definedName>
    <definedName hidden="1" localSheetId="7" name="_xlnm._FilterDatabase">Sep!$A$12:$V$127</definedName>
    <definedName hidden="1" localSheetId="8" name="_xlnm._FilterDatabase">Oct!$A$12:$V$127</definedName>
    <definedName hidden="1" localSheetId="9" name="_xlnm._FilterDatabase">Nov!$A$12:$V$127</definedName>
    <definedName hidden="1" localSheetId="10" name="_xlnm._FilterDatabase">Dec!$A$12:$V$128</definedName>
    <definedName hidden="1" localSheetId="11" name="_xlnm._FilterDatabase">'Jan 26'!$A$12:$V$148</definedName>
    <definedName hidden="1" localSheetId="12" name="_xlnm._FilterDatabase">'Feb 26'!$A$12:$V$142</definedName>
    <definedName hidden="1" localSheetId="13" name="_xlnm._FilterDatabase">'Mar 26'!$A$12:$V$142</definedName>
    <definedName hidden="1" localSheetId="1" name="Z_FE509773_0638_41EB_A036_A8EE905B9B6D_.wvu.FilterData">Mar!$R$24</definedName>
    <definedName hidden="1" localSheetId="2" name="Z_FE509773_0638_41EB_A036_A8EE905B9B6D_.wvu.FilterData">Apr!$R$18</definedName>
    <definedName hidden="1" localSheetId="3" name="Z_FE509773_0638_41EB_A036_A8EE905B9B6D_.wvu.FilterData">May!$R$18:$R$21</definedName>
    <definedName hidden="1" localSheetId="4" name="Z_FE509773_0638_41EB_A036_A8EE905B9B6D_.wvu.FilterData">Jun!$R$18:$R$21</definedName>
    <definedName hidden="1" localSheetId="5" name="Z_FE509773_0638_41EB_A036_A8EE905B9B6D_.wvu.FilterData">Jul!$R$18:$R$19</definedName>
    <definedName hidden="1" localSheetId="6" name="Z_FE509773_0638_41EB_A036_A8EE905B9B6D_.wvu.FilterData">Aug!$R$24:$R$25</definedName>
    <definedName hidden="1" localSheetId="7" name="Z_FE509773_0638_41EB_A036_A8EE905B9B6D_.wvu.FilterData">Sep!$R$43:$R$44</definedName>
    <definedName hidden="1" localSheetId="8" name="Z_FE509773_0638_41EB_A036_A8EE905B9B6D_.wvu.FilterData">Oct!$R$43:$R$44</definedName>
    <definedName hidden="1" localSheetId="9" name="Z_FE509773_0638_41EB_A036_A8EE905B9B6D_.wvu.FilterData">Nov!$R$43:$R$44</definedName>
    <definedName hidden="1" localSheetId="10" name="Z_FE509773_0638_41EB_A036_A8EE905B9B6D_.wvu.FilterData">Dec!$R$44:$R$45</definedName>
    <definedName hidden="1" localSheetId="11" name="Z_FE509773_0638_41EB_A036_A8EE905B9B6D_.wvu.FilterData">'Jan 26'!$R$43:$R$44</definedName>
    <definedName hidden="1" localSheetId="12" name="Z_FE509773_0638_41EB_A036_A8EE905B9B6D_.wvu.FilterData">'Feb 26'!$R$43:$R$44</definedName>
    <definedName hidden="1" localSheetId="13" name="Z_FE509773_0638_41EB_A036_A8EE905B9B6D_.wvu.FilterData">'Mar 26'!$R$43:$R$44</definedName>
  </definedNames>
  <calcPr/>
  <customWorkbookViews>
    <customWorkbookView activeSheetId="0" maximized="1" windowHeight="0" windowWidth="0" guid="{FE509773-0638-41EB-A036-A8EE905B9B6D}"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sharedStrings.xml><?xml version="1.0" encoding="utf-8"?>
<sst xmlns="http://schemas.openxmlformats.org/spreadsheetml/2006/main" count="10266" uniqueCount="3649">
  <si>
    <t>Sales tracking</t>
  </si>
  <si>
    <t>Key Metrics</t>
  </si>
  <si>
    <t>YTD</t>
  </si>
  <si>
    <t>January</t>
  </si>
  <si>
    <t>February</t>
  </si>
  <si>
    <t>March</t>
  </si>
  <si>
    <t>April</t>
  </si>
  <si>
    <t>May</t>
  </si>
  <si>
    <t>June</t>
  </si>
  <si>
    <t>July</t>
  </si>
  <si>
    <t>August</t>
  </si>
  <si>
    <t>September</t>
  </si>
  <si>
    <t>October</t>
  </si>
  <si>
    <t>November</t>
  </si>
  <si>
    <t>December</t>
  </si>
  <si>
    <t>SPARKLINES</t>
  </si>
  <si>
    <t>Conversion Rate:</t>
  </si>
  <si>
    <t>Offer To Close Rate:</t>
  </si>
  <si>
    <t>Call To Offer Rate:</t>
  </si>
  <si>
    <t>Revenue:</t>
  </si>
  <si>
    <t>Cash:</t>
  </si>
  <si>
    <t>Bookings:</t>
  </si>
  <si>
    <t>Shows:</t>
  </si>
  <si>
    <t>Calls:</t>
  </si>
  <si>
    <t>Offers:</t>
  </si>
  <si>
    <t>Deals:</t>
  </si>
  <si>
    <t>Full-Pay:</t>
  </si>
  <si>
    <t>Split-Pay:</t>
  </si>
  <si>
    <t>Deposits:</t>
  </si>
  <si>
    <t>Show-Up Rate:</t>
  </si>
  <si>
    <t>Conducted Rate:</t>
  </si>
  <si>
    <t xml:space="preserve">Rep: </t>
  </si>
  <si>
    <t>Name</t>
  </si>
  <si>
    <t>Outcome</t>
  </si>
  <si>
    <t>KPIs%</t>
  </si>
  <si>
    <t>Show Rate</t>
  </si>
  <si>
    <t>Objections</t>
  </si>
  <si>
    <t>Source</t>
  </si>
  <si>
    <t>Tracking</t>
  </si>
  <si>
    <t>Rescheduling Rate:</t>
  </si>
  <si>
    <t xml:space="preserve">Think About It </t>
  </si>
  <si>
    <t>Setter</t>
  </si>
  <si>
    <t>Cold Call</t>
  </si>
  <si>
    <t xml:space="preserve">Revenue </t>
  </si>
  <si>
    <t>Cancellation Rate:</t>
  </si>
  <si>
    <t>Money</t>
  </si>
  <si>
    <t>IG</t>
  </si>
  <si>
    <t>Twitter</t>
  </si>
  <si>
    <t>Cash</t>
  </si>
  <si>
    <t>No-Shows Rate:</t>
  </si>
  <si>
    <t>Time</t>
  </si>
  <si>
    <t>YouTube</t>
  </si>
  <si>
    <t>Skool</t>
  </si>
  <si>
    <t>Offer &amp; Didn't Buy:</t>
  </si>
  <si>
    <t>Drag Over Rate:</t>
  </si>
  <si>
    <t>Partner</t>
  </si>
  <si>
    <t>Email</t>
  </si>
  <si>
    <t>Instagram</t>
  </si>
  <si>
    <t>Total Calls :</t>
  </si>
  <si>
    <t>Bad Fit &amp; No Offer:</t>
  </si>
  <si>
    <t>Fear</t>
  </si>
  <si>
    <t>Facebook</t>
  </si>
  <si>
    <t>TikTok</t>
  </si>
  <si>
    <t>Total Won :</t>
  </si>
  <si>
    <t>Drag Over &amp; Show:</t>
  </si>
  <si>
    <t>Value</t>
  </si>
  <si>
    <t>Facebook Ads</t>
  </si>
  <si>
    <t>Google</t>
  </si>
  <si>
    <t>Total Lost :</t>
  </si>
  <si>
    <t>Rescheduled:</t>
  </si>
  <si>
    <t>LinkedIn</t>
  </si>
  <si>
    <t>Referral</t>
  </si>
  <si>
    <t>Closing % :</t>
  </si>
  <si>
    <t>Cancelled:</t>
  </si>
  <si>
    <t>No-Show:</t>
  </si>
  <si>
    <t>Deals</t>
  </si>
  <si>
    <t>Date</t>
  </si>
  <si>
    <t>Phone No.</t>
  </si>
  <si>
    <t>IG Navn</t>
  </si>
  <si>
    <t>Revenue</t>
  </si>
  <si>
    <t>Objection</t>
  </si>
  <si>
    <t>Objection Notes</t>
  </si>
  <si>
    <t>Length</t>
  </si>
  <si>
    <t>Recording Link</t>
  </si>
  <si>
    <t>Follow Up/Next Steps</t>
  </si>
  <si>
    <t>Call Summary</t>
  </si>
  <si>
    <t>Lucas Lund</t>
  </si>
  <si>
    <t>Lucaslund11</t>
  </si>
  <si>
    <t>Offer &amp; Didn't Buy</t>
  </si>
  <si>
    <t>Han havde intet arbejde</t>
  </si>
  <si>
    <t>X</t>
  </si>
  <si>
    <t>Han var klar så snart der var penge i kassen</t>
  </si>
  <si>
    <t>Bilal</t>
  </si>
  <si>
    <t>biloo_elmoro</t>
  </si>
  <si>
    <t>Han blev lukket, men kunne først betale efter kaldet</t>
  </si>
  <si>
    <t>Han kunne først betale efter kaldet og hørte aldrig fra ham igen</t>
  </si>
  <si>
    <t>Adam Olsen</t>
  </si>
  <si>
    <t>ady.olsen</t>
  </si>
  <si>
    <t>Think About It</t>
  </si>
  <si>
    <t>Skulle snakke med sin mor</t>
  </si>
  <si>
    <t>Skulle snakke med sin mor og hørte aldrig fra ham</t>
  </si>
  <si>
    <t>Christian Sulkjaer</t>
  </si>
  <si>
    <t>chrsitiansulkjaer</t>
  </si>
  <si>
    <t>Full-Pay</t>
  </si>
  <si>
    <t>6 mdr</t>
  </si>
  <si>
    <t>Closed</t>
  </si>
  <si>
    <t xml:space="preserve">Gustav Mortensen
</t>
  </si>
  <si>
    <t>Mortensen_gustav</t>
  </si>
  <si>
    <t>Lukas Kjelgaard</t>
  </si>
  <si>
    <t>Lukas.kjelgaard</t>
  </si>
  <si>
    <t>Cancelled</t>
  </si>
  <si>
    <t>Ikke klar til at give den gas</t>
  </si>
  <si>
    <t>Personen var ikke klar til at hoppe på et kald alligevel, da han ikke følte sig klar endnu</t>
  </si>
  <si>
    <t>Ramazan Karali</t>
  </si>
  <si>
    <t>r</t>
  </si>
  <si>
    <t>Kostede for meget</t>
  </si>
  <si>
    <t>Personen synes det var for dyrt</t>
  </si>
  <si>
    <t>Markus Olsen</t>
  </si>
  <si>
    <t>markusriberolsen</t>
  </si>
  <si>
    <t>Lukas Pedersen</t>
  </si>
  <si>
    <t>Lukas_p63</t>
  </si>
  <si>
    <t>Sebastian Pedersen</t>
  </si>
  <si>
    <t>seb_mond_pedersen</t>
  </si>
  <si>
    <t>Han skulle tænke over det</t>
  </si>
  <si>
    <t>Hot Follow Up</t>
  </si>
  <si>
    <t>Han vender tilbage om han er ready eller ej</t>
  </si>
  <si>
    <t>Nicolas</t>
  </si>
  <si>
    <t>Nicolas.haestrup</t>
  </si>
  <si>
    <t>13/03/2025</t>
  </si>
  <si>
    <t>Arpen</t>
  </si>
  <si>
    <t>arpencc</t>
  </si>
  <si>
    <t>No-Show</t>
  </si>
  <si>
    <t>Erik Bjerregaard</t>
  </si>
  <si>
    <t>erikgbjerregaard</t>
  </si>
  <si>
    <t>10 mdr</t>
  </si>
  <si>
    <t>14/03/2025</t>
  </si>
  <si>
    <t>Christoffer</t>
  </si>
  <si>
    <t>christofferhellmann</t>
  </si>
  <si>
    <t>Jibril</t>
  </si>
  <si>
    <r>
      <rPr>
        <rFont val="Roboto, Arial, sans-serif"/>
        <color rgb="FF1155CC"/>
        <sz val="11.0"/>
        <u/>
      </rPr>
      <t>jibreel.ch</t>
    </r>
    <r>
      <rPr>
        <rFont val="Roboto, Arial, sans-serif"/>
        <color rgb="FF3C4043"/>
        <sz val="11.0"/>
      </rPr>
      <t>.j</t>
    </r>
  </si>
  <si>
    <t>Han vender tilbage</t>
  </si>
  <si>
    <t>15/03/2025</t>
  </si>
  <si>
    <t>Tobias Nillson</t>
  </si>
  <si>
    <t>toby_261006</t>
  </si>
  <si>
    <t>Han startede, men hoppede så fra</t>
  </si>
  <si>
    <t>William Oscar</t>
  </si>
  <si>
    <t>williamoscarjensen</t>
  </si>
  <si>
    <t>Han aflyste</t>
  </si>
  <si>
    <t>16/03/2025</t>
  </si>
  <si>
    <t>Magnus Johansen</t>
  </si>
  <si>
    <t>magnus___j</t>
  </si>
  <si>
    <t>Han startede ikke op pga penge</t>
  </si>
  <si>
    <t>Han kan snildt lukkes</t>
  </si>
  <si>
    <t>18/03/2025</t>
  </si>
  <si>
    <t>simon.dinitzen</t>
  </si>
  <si>
    <t>3 mdr</t>
  </si>
  <si>
    <t>Murad Adam</t>
  </si>
  <si>
    <t>over instagram</t>
  </si>
  <si>
    <t>murad__simsek</t>
  </si>
  <si>
    <t>19/03/2025</t>
  </si>
  <si>
    <t>Tobias Kirketerp</t>
  </si>
  <si>
    <t>tobias.kirketerp</t>
  </si>
  <si>
    <t>4 Mdr</t>
  </si>
  <si>
    <t>25/03/2025</t>
  </si>
  <si>
    <t>Mikkel Andreassen</t>
  </si>
  <si>
    <t>Over instagram</t>
  </si>
  <si>
    <t>Ingen ide</t>
  </si>
  <si>
    <t>Sylvester</t>
  </si>
  <si>
    <t>sylvester_e_schoier</t>
  </si>
  <si>
    <t>Han havde ikke penge</t>
  </si>
  <si>
    <t>Follow Up Set</t>
  </si>
  <si>
    <t>Manden havde ikke et arbejde og ingen penge</t>
  </si>
  <si>
    <t>25/03/2026</t>
  </si>
  <si>
    <t>Marcus Thiersen</t>
  </si>
  <si>
    <t>26/03/2027</t>
  </si>
  <si>
    <t>Casper Bess</t>
  </si>
  <si>
    <t>bess.casper</t>
  </si>
  <si>
    <t>Han synes det var dyrt</t>
  </si>
  <si>
    <t>Han har allerede haft anders trust som coach, men han synes det var dyrt</t>
  </si>
  <si>
    <t>Volkan Deniz</t>
  </si>
  <si>
    <t>volle_de</t>
  </si>
  <si>
    <t>Split-Pay</t>
  </si>
  <si>
    <t>Marvin Bøckel</t>
  </si>
  <si>
    <t>marvin_boeckel</t>
  </si>
  <si>
    <t>Han skulle snakke med sin mor</t>
  </si>
  <si>
    <t>Albert Trillingsgaard</t>
  </si>
  <si>
    <t>Albert.Trillingsgaard</t>
  </si>
  <si>
    <t>Bashar mageed</t>
  </si>
  <si>
    <t>Bashar.mageed</t>
  </si>
  <si>
    <t>27/03/2027</t>
  </si>
  <si>
    <t xml:space="preserve">Izain </t>
  </si>
  <si>
    <t>izainnazir</t>
  </si>
  <si>
    <t>Han skulle tænke over det og ville vende tilbage efter han havde undersøgt andre muligheder</t>
  </si>
  <si>
    <t>Vithushan</t>
  </si>
  <si>
    <t>vithuuu_s</t>
  </si>
  <si>
    <t>Han synes det kostede for meget</t>
  </si>
  <si>
    <t>Han var på SU og var ikke klar på at give den gas. Gav ham dog et tilbud og han vender tilbage</t>
  </si>
  <si>
    <t>Lukas Romanius</t>
  </si>
  <si>
    <t>Lukas.romanius</t>
  </si>
  <si>
    <t>29/03/2027</t>
  </si>
  <si>
    <t>Kornelius Pedersen</t>
  </si>
  <si>
    <t>kornelius.pedersen</t>
  </si>
  <si>
    <t>Han havde ikke penge til det</t>
  </si>
  <si>
    <t>Han var 17 år gammel, var tømrelærling og dyrkede kampsport. Han havde dog ikke penge til det</t>
  </si>
  <si>
    <t>Mads Reimer</t>
  </si>
  <si>
    <t>reimer1999</t>
  </si>
  <si>
    <t>Nicklas Jensen</t>
  </si>
  <si>
    <t>nicklas.ingemann</t>
  </si>
  <si>
    <t>Han havde ingen penge</t>
  </si>
  <si>
    <t>Raafat</t>
  </si>
  <si>
    <t>raafat_malla94</t>
  </si>
  <si>
    <t>Manden var på SU</t>
  </si>
  <si>
    <t>31 årige mand som var på SU</t>
  </si>
  <si>
    <t>Valdemar</t>
  </si>
  <si>
    <t>valdemar.dalhauge</t>
  </si>
  <si>
    <t>Manden havde ingen penge</t>
  </si>
  <si>
    <t>Han har allerede haft coach på før, men havde ikke penge til det nu</t>
  </si>
  <si>
    <t>bilal.rashiid</t>
  </si>
  <si>
    <t>Han skulle snakke med sin bror</t>
  </si>
  <si>
    <t>Han skulle snakke med sin bror som måske også var klar</t>
  </si>
  <si>
    <t>Gustav</t>
  </si>
  <si>
    <t>gustav_tue</t>
  </si>
  <si>
    <t>Skulle snakke med sin fam</t>
  </si>
  <si>
    <t>Malthe Trudslev</t>
  </si>
  <si>
    <t>malthe_trudslev</t>
  </si>
  <si>
    <t>Sebastian Rex</t>
  </si>
  <si>
    <t>Sebastian__rex</t>
  </si>
  <si>
    <t>Han venter lidt</t>
  </si>
  <si>
    <t>Han var super klar til at give den gas, men han venter til eksamen er done</t>
  </si>
  <si>
    <t>30/03/2027</t>
  </si>
  <si>
    <t>Jimmi Pedersen</t>
  </si>
  <si>
    <t>jimmip1987</t>
  </si>
  <si>
    <t>Deposit</t>
  </si>
  <si>
    <t>Han starter d 1 juni</t>
  </si>
  <si>
    <t>Ziad Nakad</t>
  </si>
  <si>
    <t>ziad_nakad</t>
  </si>
  <si>
    <t>Reschedule</t>
  </si>
  <si>
    <t>YouTube Ads</t>
  </si>
  <si>
    <t>Ig navn</t>
  </si>
  <si>
    <t>Sayed</t>
  </si>
  <si>
    <t>45 28 73 83 06</t>
  </si>
  <si>
    <t>Sayed_srh</t>
  </si>
  <si>
    <t>han havde ikke råd</t>
  </si>
  <si>
    <t>Oliver Jensen</t>
  </si>
  <si>
    <t>22 55 37 95</t>
  </si>
  <si>
    <t>olij06</t>
  </si>
  <si>
    <t>Mikkel Nielsen</t>
  </si>
  <si>
    <t>93 92 30 65</t>
  </si>
  <si>
    <t>mikkel.niels</t>
  </si>
  <si>
    <t>Jakob Voss</t>
  </si>
  <si>
    <t>61 42 42 32</t>
  </si>
  <si>
    <t>Hey Navn, jeg kom lige i tanke om dig og vores gode snak for ikke så længe siden, hvor vi aldrig kom igang pga økonomien stod i vejen - er det stadig det samme tilfælde?</t>
  </si>
  <si>
    <t>Emil</t>
  </si>
  <si>
    <t>26 46 69 55</t>
  </si>
  <si>
    <t>Emilbgqvist</t>
  </si>
  <si>
    <t>Andreas Tøndø</t>
  </si>
  <si>
    <t>53 53 86 56</t>
  </si>
  <si>
    <t>Andreas_t_a</t>
  </si>
  <si>
    <t xml:space="preserve">Noah </t>
  </si>
  <si>
    <t>noah_b.j</t>
  </si>
  <si>
    <t>Forældre sagde nej</t>
  </si>
  <si>
    <t>Han var sygt klar, men hans forældre sagde nej. Han ville gerne når han blev 18 år gammel til sep</t>
  </si>
  <si>
    <t>Jonas</t>
  </si>
  <si>
    <t>30 23 39 02</t>
  </si>
  <si>
    <t>joneswww_</t>
  </si>
  <si>
    <t>Han var sygt frisk, men pengene holdte ham tilbage</t>
  </si>
  <si>
    <t>Oliver Kolze</t>
  </si>
  <si>
    <t>53 80 23 77</t>
  </si>
  <si>
    <t>oliver_kolze</t>
  </si>
  <si>
    <t>Sebastian ladesea</t>
  </si>
  <si>
    <t>30 26 22 34</t>
  </si>
  <si>
    <t>Sebastianladesea</t>
  </si>
  <si>
    <t>Silas molter</t>
  </si>
  <si>
    <t>42 76 60 06</t>
  </si>
  <si>
    <t>Silasmolter</t>
  </si>
  <si>
    <t>Andreas arendal</t>
  </si>
  <si>
    <t>28 86 68 75</t>
  </si>
  <si>
    <t>Andreasarendal</t>
  </si>
  <si>
    <t>William Østergaard</t>
  </si>
  <si>
    <t>60 79 01 40</t>
  </si>
  <si>
    <t>williamostergaard</t>
  </si>
  <si>
    <t>Han var SYGT klar, men hans forældre sagde nej, da de synes det var for dyrt</t>
  </si>
  <si>
    <t>Lucas Andersen</t>
  </si>
  <si>
    <t>27 84 04 21</t>
  </si>
  <si>
    <t>Lucas_Andersen1</t>
  </si>
  <si>
    <t>hakim Bcheinia</t>
  </si>
  <si>
    <t>31 18 22 89</t>
  </si>
  <si>
    <t>hakimBcheinia</t>
  </si>
  <si>
    <t>Peter johansen</t>
  </si>
  <si>
    <t>29 12 40 55</t>
  </si>
  <si>
    <t>Peter_johansen_</t>
  </si>
  <si>
    <t>Søren</t>
  </si>
  <si>
    <t>60 53 62 65</t>
  </si>
  <si>
    <t>Soren456</t>
  </si>
  <si>
    <t>Penge holdte ham tilbage</t>
  </si>
  <si>
    <t>Han skal 100% kontaktes igen om nogen måneder, da han var ready</t>
  </si>
  <si>
    <t>Billy</t>
  </si>
  <si>
    <t>31 76 21 09</t>
  </si>
  <si>
    <t>Billylindeblad</t>
  </si>
  <si>
    <t>17 årige gut som ikke var 100% klar endnu</t>
  </si>
  <si>
    <t>Haris husedzinivic</t>
  </si>
  <si>
    <t>42 72 68 24</t>
  </si>
  <si>
    <t>Harishusedzinivic</t>
  </si>
  <si>
    <t>Jeppe Olsen</t>
  </si>
  <si>
    <t>27 52 00 60</t>
  </si>
  <si>
    <t>ingen ide</t>
  </si>
  <si>
    <t>Amien dahhak</t>
  </si>
  <si>
    <t>42 32 06 55</t>
  </si>
  <si>
    <t>Amiendahhak1</t>
  </si>
  <si>
    <t>Han var slet ikke der</t>
  </si>
  <si>
    <t>Anders</t>
  </si>
  <si>
    <t>42 66 41 68</t>
  </si>
  <si>
    <t>anders_staer</t>
  </si>
  <si>
    <t>Frederik sørensen</t>
  </si>
  <si>
    <t>21 30 07 40</t>
  </si>
  <si>
    <t>Sorensen_frederik129</t>
  </si>
  <si>
    <t>synes det var dyrt</t>
  </si>
  <si>
    <t>Frederik havde fuldtidsarbejde, havde pengene til det, men tror ikke jeg fik ham comitted nok og derfor ikke så værdien i det. rigtig godt follow up</t>
  </si>
  <si>
    <t>Lucas</t>
  </si>
  <si>
    <t>42 65 40 96</t>
  </si>
  <si>
    <t>lucas.2.7.4.0</t>
  </si>
  <si>
    <t>Han var også håndværker og er et rigtig godt follow up</t>
  </si>
  <si>
    <t>Jakob</t>
  </si>
  <si>
    <t>40 84 23 99</t>
  </si>
  <si>
    <t>Jakobjanum</t>
  </si>
  <si>
    <t>Han var ikke klar endnu</t>
  </si>
  <si>
    <t>Ham skal jeg ikke arbejde med</t>
  </si>
  <si>
    <t>Nikolai Louis Møllegaard</t>
  </si>
  <si>
    <t>42 23 75 41</t>
  </si>
  <si>
    <t>ungnico69</t>
  </si>
  <si>
    <t>Martin Hellesøe</t>
  </si>
  <si>
    <t>martin_hellese</t>
  </si>
  <si>
    <t>Ikke råd</t>
  </si>
  <si>
    <t>Rigtig godt lead som faktisk var 100%, havde fuldtidsjob, men da han skulle snakke med fruen, så blev det til et nej</t>
  </si>
  <si>
    <t>Anders Frederiksen</t>
  </si>
  <si>
    <t>anders_hf</t>
  </si>
  <si>
    <t>Rigtig godt lead, men ville gerne tjene lidt flere penge før han var klar</t>
  </si>
  <si>
    <t>malthe</t>
  </si>
  <si>
    <t>malthehj__</t>
  </si>
  <si>
    <t>han var klar</t>
  </si>
  <si>
    <t>Han var klar og sagde han ville betale efter kaldet, efter kaldet skriver han at hans mor sagde nej selvom han er 18 år gammel</t>
  </si>
  <si>
    <t>ramazan</t>
  </si>
  <si>
    <t>ramazan__bostanci__</t>
  </si>
  <si>
    <t>Han betaler først d 1 maj</t>
  </si>
  <si>
    <t>Mathias</t>
  </si>
  <si>
    <t>2630_privat</t>
  </si>
  <si>
    <t>Han var klar til at betale i den nye måned, man han ville klare det efter kaldet og hørte aldrig fra ham igen</t>
  </si>
  <si>
    <t>Gabi</t>
  </si>
  <si>
    <t>93 99 98 55</t>
  </si>
  <si>
    <t>gabi.s.p</t>
  </si>
  <si>
    <t>_lucasmissel_</t>
  </si>
  <si>
    <t>Han havde ikke nok penge</t>
  </si>
  <si>
    <t>Rigtig godt lead som er vvs, arbejder og træner meget. han havde et par regninger som han gerne ville klare først</t>
  </si>
  <si>
    <t>Enis</t>
  </si>
  <si>
    <t>enish0</t>
  </si>
  <si>
    <t>Oliver Valentin</t>
  </si>
  <si>
    <t>olivervalentin1</t>
  </si>
  <si>
    <t>4 mdr</t>
  </si>
  <si>
    <t>sutden2610</t>
  </si>
  <si>
    <t>Ung og ingen penge som 17 årige</t>
  </si>
  <si>
    <t>Frederik</t>
  </si>
  <si>
    <t>fredz1k0</t>
  </si>
  <si>
    <t>Han er en god alder, men pengene rækkede ikke</t>
  </si>
  <si>
    <t>Theis</t>
  </si>
  <si>
    <t>77 22 88 15</t>
  </si>
  <si>
    <t>t.rjorgensen</t>
  </si>
  <si>
    <t>Nicki</t>
  </si>
  <si>
    <t>31 32 56 05</t>
  </si>
  <si>
    <t>Nicki.henriksenn</t>
  </si>
  <si>
    <t>Han havde ikke pengene</t>
  </si>
  <si>
    <t>Han er en god alder, men har bare ikke pengene til det</t>
  </si>
  <si>
    <t>Nik</t>
  </si>
  <si>
    <t>42 94 02 78</t>
  </si>
  <si>
    <t>niktatoz</t>
  </si>
  <si>
    <t xml:space="preserve"> </t>
  </si>
  <si>
    <t>Han var klar over dm, men da vi kom til kaldet var han ikke klar</t>
  </si>
  <si>
    <t>Matthias</t>
  </si>
  <si>
    <t>52 97 06 28</t>
  </si>
  <si>
    <t>Mattiasfreij</t>
  </si>
  <si>
    <t>Zune</t>
  </si>
  <si>
    <t>71 70 59 76</t>
  </si>
  <si>
    <t>Zunebudal</t>
  </si>
  <si>
    <t>Snakke med sin far</t>
  </si>
  <si>
    <t>Follow Up</t>
  </si>
  <si>
    <t>Han skulle snakke med sin far</t>
  </si>
  <si>
    <t>Faisal</t>
  </si>
  <si>
    <t>28 78 27 88</t>
  </si>
  <si>
    <t>faisxxali</t>
  </si>
  <si>
    <t>Synes det var for mange penge</t>
  </si>
  <si>
    <t>Han kunne være god at følge op på, da han har fulgt mig længe og lød rigtig varm over kaldet</t>
  </si>
  <si>
    <t>Daniel</t>
  </si>
  <si>
    <t>22 55 54 42</t>
  </si>
  <si>
    <t>dani_mikus</t>
  </si>
  <si>
    <t>Patrick</t>
  </si>
  <si>
    <t>23 24 60 06</t>
  </si>
  <si>
    <t>Patrickhansen74</t>
  </si>
  <si>
    <t>Penge</t>
  </si>
  <si>
    <t>Mødet gik sygt godt og vi fik ham også på depositum, men lige efter kaldet ville han gerne hoppe fra</t>
  </si>
  <si>
    <t>Meklas</t>
  </si>
  <si>
    <t>61 46 08 60</t>
  </si>
  <si>
    <t>Meklas.barfoed</t>
  </si>
  <si>
    <t>Willas</t>
  </si>
  <si>
    <t>42 83 03 11</t>
  </si>
  <si>
    <t>willas_lantz</t>
  </si>
  <si>
    <t>Deposit (Follow Up Set)</t>
  </si>
  <si>
    <t>Han kan først starte op om 3 mdr, da han lige har fået en skade (Han meldte fra)</t>
  </si>
  <si>
    <t>Jimmy</t>
  </si>
  <si>
    <t>26 11 62 11</t>
  </si>
  <si>
    <t>Jimmyyghost48xx</t>
  </si>
  <si>
    <t>Manden var helt klar og han skulle betale efter kaldet da han ikke havde pung på sig og så meldte han fra efter</t>
  </si>
  <si>
    <t>Oliver</t>
  </si>
  <si>
    <t>60 81 77 18</t>
  </si>
  <si>
    <t>Oliver_skall</t>
  </si>
  <si>
    <t>42 66 57 30</t>
  </si>
  <si>
    <t>Emilgodsvig</t>
  </si>
  <si>
    <t>14/04/2025</t>
  </si>
  <si>
    <t>Musti</t>
  </si>
  <si>
    <t>42 49 52 85</t>
  </si>
  <si>
    <t>Musti.532</t>
  </si>
  <si>
    <t>31 33 80 24</t>
  </si>
  <si>
    <t>Emil munch</t>
  </si>
  <si>
    <t>Clent</t>
  </si>
  <si>
    <t>51 44 20 47</t>
  </si>
  <si>
    <t>Clent Dave</t>
  </si>
  <si>
    <t>Han var slet ikke et godt lead</t>
  </si>
  <si>
    <t>15/04/2025</t>
  </si>
  <si>
    <t>50 49 85 20</t>
  </si>
  <si>
    <t>Lykke_drage</t>
  </si>
  <si>
    <t>Nikolaj Merdan Vandrup</t>
  </si>
  <si>
    <t>28 44 06 96</t>
  </si>
  <si>
    <t>Lidt stramt</t>
  </si>
  <si>
    <t>Han er et rigtig godt og varmt lead. Han skal opfølges på igen til maj</t>
  </si>
  <si>
    <t>Wali hamidi</t>
  </si>
  <si>
    <t>51 18 46 12</t>
  </si>
  <si>
    <t>Rigtig dårligt lead og havde næsten ingen penge</t>
  </si>
  <si>
    <t>Max sandberg</t>
  </si>
  <si>
    <t>51 66 07 47</t>
  </si>
  <si>
    <t>16/04/2025</t>
  </si>
  <si>
    <t>Hamza</t>
  </si>
  <si>
    <t>60 54 09 43</t>
  </si>
  <si>
    <t>Hamzaxmunir</t>
  </si>
  <si>
    <t>Ville undersøge andre coaches</t>
  </si>
  <si>
    <t>Han ville tænke over det og lede efter andre coaches, men han vendte aldrig tilbage</t>
  </si>
  <si>
    <t>Rune</t>
  </si>
  <si>
    <t>29 91 97 07</t>
  </si>
  <si>
    <t>Fynboen_01</t>
  </si>
  <si>
    <t>Dalibor</t>
  </si>
  <si>
    <t>26 16 97 63</t>
  </si>
  <si>
    <t>Daliborcalavandic</t>
  </si>
  <si>
    <t>han skulle snakke med hans kone</t>
  </si>
  <si>
    <t>Han skulle snakke med konen og vi hørte aldrig fra ham igen</t>
  </si>
  <si>
    <t>Jonas bentsen</t>
  </si>
  <si>
    <t>27 51 28 81</t>
  </si>
  <si>
    <t>Jonas_bentsen</t>
  </si>
  <si>
    <t>Anton Løjstrup</t>
  </si>
  <si>
    <t>51 95 80 90</t>
  </si>
  <si>
    <t>Han var presset</t>
  </si>
  <si>
    <t>Han var presset med pengene og ville ikke starte op endnu</t>
  </si>
  <si>
    <t xml:space="preserve">Anton </t>
  </si>
  <si>
    <t>22 71 77 34</t>
  </si>
  <si>
    <t>Anton_m_ward</t>
  </si>
  <si>
    <t>17/04/2025</t>
  </si>
  <si>
    <t>Daniel scheppan</t>
  </si>
  <si>
    <t>30 42 67 40</t>
  </si>
  <si>
    <t>Marcus Poulsen</t>
  </si>
  <si>
    <t>53 70 41 15</t>
  </si>
  <si>
    <t>18/04/2025</t>
  </si>
  <si>
    <t>Oscar Bugge</t>
  </si>
  <si>
    <t>bugge.14</t>
  </si>
  <si>
    <t>bare penge</t>
  </si>
  <si>
    <t>Han lød meget frisk, men tror pengene holdte ham tilbage hvilket er træt</t>
  </si>
  <si>
    <t>19/04/2025</t>
  </si>
  <si>
    <t>Max Jacobsen</t>
  </si>
  <si>
    <t>51 41 05 92</t>
  </si>
  <si>
    <t>Leon</t>
  </si>
  <si>
    <t>93 86 51 71</t>
  </si>
  <si>
    <t>Leon ramic20</t>
  </si>
  <si>
    <t>Han var ready man!</t>
  </si>
  <si>
    <t>Manden var fkn ready og han skulle til at betale lige indtil han havde glemt sit kort på sit kontor, men så tog han den ikke da jeg ringede tilbage på et aftalt tidspunkt</t>
  </si>
  <si>
    <t>20/04/2025</t>
  </si>
  <si>
    <t xml:space="preserve">Mads </t>
  </si>
  <si>
    <t>71 52 31 01</t>
  </si>
  <si>
    <t>1312_mads</t>
  </si>
  <si>
    <t>Lukas</t>
  </si>
  <si>
    <t>60 78 88 68</t>
  </si>
  <si>
    <t>lukasgandrup</t>
  </si>
  <si>
    <t>Økonomi</t>
  </si>
  <si>
    <t>Ung fyr som var klar, men hans forældre var ikke for det</t>
  </si>
  <si>
    <t>Jakob Fernando Vingo Venø</t>
  </si>
  <si>
    <t>71 75 01 75</t>
  </si>
  <si>
    <t>Christian</t>
  </si>
  <si>
    <t>42 31 19 95</t>
  </si>
  <si>
    <t>chr_post12</t>
  </si>
  <si>
    <t>Ali</t>
  </si>
  <si>
    <t>971 50 942 497</t>
  </si>
  <si>
    <t>s60cph</t>
  </si>
  <si>
    <t>Han skulle tænke over det og endte med at finde en anden en. Han var også rimelig weitd</t>
  </si>
  <si>
    <t>Storm graversen</t>
  </si>
  <si>
    <t>61 41 87 07</t>
  </si>
  <si>
    <t>graversenstorm</t>
  </si>
  <si>
    <t>Blokering</t>
  </si>
  <si>
    <t>Manden var fuld ready lige indtil han blokere mig, men han har unblokeret mig nu</t>
  </si>
  <si>
    <t>Malthe højer</t>
  </si>
  <si>
    <t>20 55 44 53</t>
  </si>
  <si>
    <t>21/04/2025</t>
  </si>
  <si>
    <t>Jonas Astrup</t>
  </si>
  <si>
    <t>42 21 38 52</t>
  </si>
  <si>
    <t>Oscar Møller</t>
  </si>
  <si>
    <t>51 17 05 06</t>
  </si>
  <si>
    <t>ocar__moller06</t>
  </si>
  <si>
    <t>Blokering inden kaldet</t>
  </si>
  <si>
    <t>Mikkel touvdal</t>
  </si>
  <si>
    <t>71 78 98 52</t>
  </si>
  <si>
    <t>22/04/2025</t>
  </si>
  <si>
    <t>Simon</t>
  </si>
  <si>
    <t>29 90 34 92</t>
  </si>
  <si>
    <t>Hardy_07</t>
  </si>
  <si>
    <t>Gustave Tribondeau</t>
  </si>
  <si>
    <t>26 11 77 09</t>
  </si>
  <si>
    <t>Gustavtribondeau</t>
  </si>
  <si>
    <t>Cem</t>
  </si>
  <si>
    <t>27 60 55 54</t>
  </si>
  <si>
    <t>Cem.r_</t>
  </si>
  <si>
    <t>Adam blokere inden kaldet</t>
  </si>
  <si>
    <t>50 39 78 05</t>
  </si>
  <si>
    <t>Christian Veselinovski</t>
  </si>
  <si>
    <t>Mikkel Kildevang</t>
  </si>
  <si>
    <t>42 72 12 66</t>
  </si>
  <si>
    <t>kildevangmikkel</t>
  </si>
  <si>
    <t>Intet tid</t>
  </si>
  <si>
    <t>han er god at følge op på om nogen måneder</t>
  </si>
  <si>
    <t>Tobias</t>
  </si>
  <si>
    <t>27 99 53 10</t>
  </si>
  <si>
    <t>tobiaskhansson</t>
  </si>
  <si>
    <t>Bumsen blokere</t>
  </si>
  <si>
    <t>23/04/2025</t>
  </si>
  <si>
    <t>41 91 01 08</t>
  </si>
  <si>
    <t>Noah sølvsteen</t>
  </si>
  <si>
    <t>Thomas</t>
  </si>
  <si>
    <t>51 72 15 06</t>
  </si>
  <si>
    <t>thomastlausten</t>
  </si>
  <si>
    <t>Han lød faktisk super frisk, men sagde at opstartsgebyret var det som holdte ham tilbage</t>
  </si>
  <si>
    <t>25/04/2025</t>
  </si>
  <si>
    <t>Benjamin</t>
  </si>
  <si>
    <t>28 51 68 13</t>
  </si>
  <si>
    <t>Benjaminnymann0</t>
  </si>
  <si>
    <t>Ingen deposit da manden var på farten, men han betaler 1500 d 1 og 1200 hver måned</t>
  </si>
  <si>
    <t>26 70 37 63</t>
  </si>
  <si>
    <t>Gustavkarkov</t>
  </si>
  <si>
    <t>Ville prøve selv</t>
  </si>
  <si>
    <t>Manden var vold varm, men ville først prøve selv før han fik en coach på. God follow up om en måned eller 2</t>
  </si>
  <si>
    <t>Valdemar Drejer hansen</t>
  </si>
  <si>
    <t>42 72 12 78</t>
  </si>
  <si>
    <t>Vi starter d 17 maj, da han har skinne på fordi han er blevet opereret. Så vi giver den gas der</t>
  </si>
  <si>
    <t>Luca</t>
  </si>
  <si>
    <t>60 55 26 06</t>
  </si>
  <si>
    <t>luchi.gusto</t>
  </si>
  <si>
    <t>Havde ikke penge</t>
  </si>
  <si>
    <t>Han havde ikke pengene, men et fint follow up</t>
  </si>
  <si>
    <t>Magnus</t>
  </si>
  <si>
    <t>42 55 40 90</t>
  </si>
  <si>
    <t>Magnus.muhlig</t>
  </si>
  <si>
    <t>Han var ikke klar på at tage snakken, da han ikke ville have coach på endnu</t>
  </si>
  <si>
    <t>26/04/2025</t>
  </si>
  <si>
    <t>28 49 61 41</t>
  </si>
  <si>
    <t>tobias270806</t>
  </si>
  <si>
    <t>27/04/2025</t>
  </si>
  <si>
    <t>Mathias brønrumm</t>
  </si>
  <si>
    <t>60 57 90 07</t>
  </si>
  <si>
    <t>snakke med sin far</t>
  </si>
  <si>
    <t>han skulle snakke med sin far og hørte aldrig fra ham</t>
  </si>
  <si>
    <t>28/04/2025</t>
  </si>
  <si>
    <t>marcus rasmussen</t>
  </si>
  <si>
    <t>60 49 22 45</t>
  </si>
  <si>
    <t>marcusrasmussen00</t>
  </si>
  <si>
    <t>Resul amza</t>
  </si>
  <si>
    <t>42 76 91 91</t>
  </si>
  <si>
    <t>Patrick Nielsen</t>
  </si>
  <si>
    <t>91 99 55 51</t>
  </si>
  <si>
    <t>ikke brug for det</t>
  </si>
  <si>
    <t>han var godt kørende selv</t>
  </si>
  <si>
    <t>29/04/2025</t>
  </si>
  <si>
    <t>25 47 96 98</t>
  </si>
  <si>
    <t xml:space="preserve"> its_magnus_1</t>
  </si>
  <si>
    <t>penge</t>
  </si>
  <si>
    <t>ikke penge til det</t>
  </si>
  <si>
    <t>Nikolaj janderrsen</t>
  </si>
  <si>
    <t>23 29 24 21</t>
  </si>
  <si>
    <t>30/04/2025</t>
  </si>
  <si>
    <t>Ozkan Ayyildiz</t>
  </si>
  <si>
    <t>41 23 32 44</t>
  </si>
  <si>
    <t>Bad Fit &amp; No Offer</t>
  </si>
  <si>
    <t>William Jensen</t>
  </si>
  <si>
    <t>22 41 60 31</t>
  </si>
  <si>
    <t>IG-handle</t>
  </si>
  <si>
    <t>Jonas Clausen</t>
  </si>
  <si>
    <t>61 30 82 12</t>
  </si>
  <si>
    <t>Marcus</t>
  </si>
  <si>
    <t>42 78 43 25</t>
  </si>
  <si>
    <t>Marcushff</t>
  </si>
  <si>
    <t>han var i bund og grund klar, vi havde sat deposit op, men han hoppede fra. så han skal følges op på lønningsdag</t>
  </si>
  <si>
    <t>Jay</t>
  </si>
  <si>
    <t>22 27 04 20</t>
  </si>
  <si>
    <t>Jayegbach</t>
  </si>
  <si>
    <t>Elias Busk Hansen</t>
  </si>
  <si>
    <t>50 66 39 31</t>
  </si>
  <si>
    <t>Han er fin at følge op på, men penge holdte ham tilbage</t>
  </si>
  <si>
    <t>Christian Laursen</t>
  </si>
  <si>
    <t>31 39 48 18</t>
  </si>
  <si>
    <t>Stubbe</t>
  </si>
  <si>
    <t>42 16 64 76</t>
  </si>
  <si>
    <t>stubbe_junior</t>
  </si>
  <si>
    <t>Robert rankeberg</t>
  </si>
  <si>
    <t>24 21 00 94</t>
  </si>
  <si>
    <t>Sebastian pedersen</t>
  </si>
  <si>
    <t>42 25 01 01</t>
  </si>
  <si>
    <t>Mikkel</t>
  </si>
  <si>
    <t>20 43 74 48</t>
  </si>
  <si>
    <t>mikkel234s</t>
  </si>
  <si>
    <t>Han skulle snakke med fruen</t>
  </si>
  <si>
    <t>Skal snakke med ham igen imorgen!</t>
  </si>
  <si>
    <t>Faik</t>
  </si>
  <si>
    <t>71 49 17 44</t>
  </si>
  <si>
    <t>Faik_1206</t>
  </si>
  <si>
    <t>Jeppe</t>
  </si>
  <si>
    <t>28 18 80 17</t>
  </si>
  <si>
    <t>Jeppe S. Nymark</t>
  </si>
  <si>
    <t>Jannick</t>
  </si>
  <si>
    <t>50 42 52 26</t>
  </si>
  <si>
    <t>Jannickhalme</t>
  </si>
  <si>
    <t>Han var super frisk, men han havde for høje omkostninger</t>
  </si>
  <si>
    <t>52 81 55 82</t>
  </si>
  <si>
    <t>M.hc2620</t>
  </si>
  <si>
    <t>Han betaler og starter d 1 juni</t>
  </si>
  <si>
    <t>22 82 12 57</t>
  </si>
  <si>
    <t>oli13106</t>
  </si>
  <si>
    <t>John</t>
  </si>
  <si>
    <t>53 89 25 26</t>
  </si>
  <si>
    <t>johnsarfo04</t>
  </si>
  <si>
    <t>Jacob</t>
  </si>
  <si>
    <t>30 38 60 35</t>
  </si>
  <si>
    <t>_jacob_olsen</t>
  </si>
  <si>
    <t>Emil Jægershof Rudbeck</t>
  </si>
  <si>
    <t>25 70 00 74</t>
  </si>
  <si>
    <t>Han havde et fuldtids arbejde, boede ude og havde en del omkostninger, så han synes at prisen ikke lige passede ind, men ellers var han super varm!</t>
  </si>
  <si>
    <t>Frederik mogensen</t>
  </si>
  <si>
    <t>61 73 14 95</t>
  </si>
  <si>
    <t>tænke over det</t>
  </si>
  <si>
    <t>han lød super frisk, men lige da vi kom til prisen, så begyndte han at lagge, sagde han skulle give mig svar tilbage 30 min efter kaldet og vi hørte aldrig fra ham igen</t>
  </si>
  <si>
    <t>25 98 05 98</t>
  </si>
  <si>
    <t>frederik_norre_henriksen</t>
  </si>
  <si>
    <t>Adam blokere</t>
  </si>
  <si>
    <t>Lucas Sørensen</t>
  </si>
  <si>
    <t>42 64 43 17</t>
  </si>
  <si>
    <t>Niklas</t>
  </si>
  <si>
    <t>21 32 83 73</t>
  </si>
  <si>
    <t>Han var 17 år gammel og var super klar til at starte op. Lige da vi kommer til betalingen, så laggede han. tror det var fordi han troede det var 1500kr første måned og ikke 2800kr</t>
  </si>
  <si>
    <t>Samuel</t>
  </si>
  <si>
    <t>81 61 45 28</t>
  </si>
  <si>
    <t>Samuel_hanning</t>
  </si>
  <si>
    <t>Sefa</t>
  </si>
  <si>
    <t>42 76 15 68</t>
  </si>
  <si>
    <t>Sefo_bdk</t>
  </si>
  <si>
    <t>Lui</t>
  </si>
  <si>
    <t>61 54 42 55</t>
  </si>
  <si>
    <t>Lui_Clausen</t>
  </si>
  <si>
    <t>Han var super klar og skulle snart til at uddanne sig til mekaniker, så for nu havde han ikke penge til det</t>
  </si>
  <si>
    <t>Nicklas</t>
  </si>
  <si>
    <t>22 52 65 93</t>
  </si>
  <si>
    <t>Nicklas_schack</t>
  </si>
  <si>
    <t>20 10 07 76</t>
  </si>
  <si>
    <t>Han ville tænke over det</t>
  </si>
  <si>
    <t>En person som havde det hårdt økonomisk, men også ville tage sig sammen og komme i god form. Han ville rigtig gerne lige tænke over det. så han kunne give mig svar tilbage indenfor de næste par dage</t>
  </si>
  <si>
    <t>Denis</t>
  </si>
  <si>
    <t>71 70 21 78</t>
  </si>
  <si>
    <t>Denis_bukvic</t>
  </si>
  <si>
    <t>26 46 02 46</t>
  </si>
  <si>
    <t>Lasse</t>
  </si>
  <si>
    <t>61 51 79 58</t>
  </si>
  <si>
    <t>Lasse_oesterlid</t>
  </si>
  <si>
    <t>person som virkede super frisk, var tømre og var bare klar lige indtil han hørte prisen, så det er et fint follow up</t>
  </si>
  <si>
    <t>Ahmed</t>
  </si>
  <si>
    <t>71 59 84 41</t>
  </si>
  <si>
    <t>Ahmed.rm1</t>
  </si>
  <si>
    <t>Kristoffer</t>
  </si>
  <si>
    <t>20 80 90 51</t>
  </si>
  <si>
    <t>Kristoffer.ks</t>
  </si>
  <si>
    <t>han var tømre og fucking varm, men han synes det var mange penge da han boede ude osv osv</t>
  </si>
  <si>
    <t>91 53 01 07</t>
  </si>
  <si>
    <t>Luc_bahh</t>
  </si>
  <si>
    <t>Han var på deposit, men han hoppede fra da han ikke havde pengene til det</t>
  </si>
  <si>
    <t>Conrad</t>
  </si>
  <si>
    <t>22 58 03 09</t>
  </si>
  <si>
    <t>Conrad_gerhardt</t>
  </si>
  <si>
    <t>han gik på gym, 18 år gammel og havde ikke penge til det. dog var han super frisk og klar</t>
  </si>
  <si>
    <t>Guney</t>
  </si>
  <si>
    <t>23 96 93 28</t>
  </si>
  <si>
    <t>Guney_bb</t>
  </si>
  <si>
    <t>guney er 25, tømre men står rigtig dårligt økonomisk. han kommer 100% tilbage til sommer eller efter sommer</t>
  </si>
  <si>
    <t>93 92 15 28</t>
  </si>
  <si>
    <t>Nicklasdarlyng</t>
  </si>
  <si>
    <t>nicklas, 17 år gammel, tømre, vold klar men han havde ingen penge og er rigtig god at tage fat i ved lønningsdag</t>
  </si>
  <si>
    <t>22 81 89 70</t>
  </si>
  <si>
    <r>
      <rPr>
        <rFont val="-apple-system, &quot;system-ui&quot;, &quot;Segoe UI&quot;, Roboto, Helvetica, Arial, sans-serif"/>
        <color rgb="FF1155CC"/>
        <sz val="10.0"/>
        <u/>
      </rPr>
      <t>magnusgulloev</t>
    </r>
  </si>
  <si>
    <t>magnus 17 år gammel, arbejde fuldtid på burgerking, var vold klar og rigtig varmt lead, men han synes det var for mange penge</t>
  </si>
  <si>
    <t>25 60 26 50</t>
  </si>
  <si>
    <t>Mathias6710</t>
  </si>
  <si>
    <t>Yousef</t>
  </si>
  <si>
    <t>42 55 52 63</t>
  </si>
  <si>
    <t>Yousefali_al</t>
  </si>
  <si>
    <t>han har et fuldtidsarbejde, super frisk, lige da vi kommer til betaling siger han at han vil tænke over det og lige undersøge markedet</t>
  </si>
  <si>
    <t>61 65 58 52</t>
  </si>
  <si>
    <t>Christianm0ller</t>
  </si>
  <si>
    <t>Mohammed ali al-jab</t>
  </si>
  <si>
    <t>20 77 18 94</t>
  </si>
  <si>
    <t>fuldtidsarbejde, penge haltede og han var ellers super klar og frisk. han ledte efter det billige og derfor ville undersøge markedet. fint follow up</t>
  </si>
  <si>
    <r>
      <rPr>
        <rFont val="-apple-system, &quot;system-ui&quot;, &quot;Segoe UI&quot;, Roboto, Helvetica, Arial, sans-serif"/>
        <color rgb="FF1155CC"/>
        <sz val="10.0"/>
        <u/>
      </rPr>
      <t>Daniel Nielsen</t>
    </r>
  </si>
  <si>
    <t>31 48 90 08</t>
  </si>
  <si>
    <r>
      <rPr>
        <rFont val="-apple-system, &quot;system-ui&quot;, &quot;Segoe UI&quot;, Roboto, Helvetica, Arial, sans-serif"/>
        <color rgb="FF1155CC"/>
        <sz val="10.0"/>
        <u/>
      </rPr>
      <t>Daniel Nielsen</t>
    </r>
  </si>
  <si>
    <t>Miguel</t>
  </si>
  <si>
    <t>42 33 35 61</t>
  </si>
  <si>
    <t>Migu_vb</t>
  </si>
  <si>
    <t>fuld frisk</t>
  </si>
  <si>
    <t xml:space="preserve">han var fuld frisk, han skulle ordne betalingen da han kom hjem og skulle ringe til ham. jeg hørte aldrig fra ham igen og han tog ikke telefonen. </t>
  </si>
  <si>
    <t>Casper</t>
  </si>
  <si>
    <t>26 83 10 40</t>
  </si>
  <si>
    <t>Casper_med_c</t>
  </si>
  <si>
    <t>Noah</t>
  </si>
  <si>
    <t>60 52 06 98</t>
  </si>
  <si>
    <t>Noah.lindblom</t>
  </si>
  <si>
    <t>29 85 57 69</t>
  </si>
  <si>
    <t>Marcuslarsen3002</t>
  </si>
  <si>
    <t>han starter i slutningen af måneden d 30</t>
  </si>
  <si>
    <t>Sami</t>
  </si>
  <si>
    <t>22 85 55 17</t>
  </si>
  <si>
    <t>Samiouchrif</t>
  </si>
  <si>
    <t>han var super frisk. 25 år studere, vi fandt på en betalingsløsning som fungerede for ham, han betaler og smider sine oplysninger ind lige indtil jeg får en besked fra ham 30 min efter hvor han siger damen blev sur fordi de ikke har økonomien til det, men han kommer tilbage om nogen måneder sagde han</t>
  </si>
  <si>
    <t>52 19 07 12</t>
  </si>
  <si>
    <t>Jannick_emanu</t>
  </si>
  <si>
    <t>manden blokere mig</t>
  </si>
  <si>
    <t>52 40 24 38</t>
  </si>
  <si>
    <t>Patrick_jacobsen98</t>
  </si>
  <si>
    <t>Justhoel1</t>
  </si>
  <si>
    <t>31 38 23 40</t>
  </si>
  <si>
    <t>42 21 92 90</t>
  </si>
  <si>
    <t>Emil_rothemejer</t>
  </si>
  <si>
    <t>17 år, tømre, lige fået første paycheck, han var fuld klar og frisk, men han synes pengene var for mange og tilbød også andre måder men han ville vente, så det er et godt follow up lead</t>
  </si>
  <si>
    <t>49 40 47 20</t>
  </si>
  <si>
    <t>Emil.saaby</t>
  </si>
  <si>
    <t>21 år, arbejde i elgiganten + studere, pengene er ikke høje, men han var fuld frisk og ville vende tilbage når han var 100% klar - rigtig godt follow up lead</t>
  </si>
  <si>
    <t>42 20 27 57</t>
  </si>
  <si>
    <t>Jonas_niklasson18</t>
  </si>
  <si>
    <t>19 år gammel, tømre, vil gerne tabe sig, han var vold frisk og gerne ville igang også selv efter han hørte prisen, men så ville han snakke med sin mor om det og får 10 min efter en besked fra ham at han ikke er klar</t>
  </si>
  <si>
    <t>Mohammed</t>
  </si>
  <si>
    <t>93 60 78 12</t>
  </si>
  <si>
    <t>M_hugo1</t>
  </si>
  <si>
    <t>Valentin</t>
  </si>
  <si>
    <t>50 53 36 56</t>
  </si>
  <si>
    <t>Valentinmoljan</t>
  </si>
  <si>
    <t>40 årige mand, børn, vejer 120kg, ville gerne tabe sig og ville gerne igang. han har lige fået nyt job, så han ville vente til om nogen måneder hvor økonomien var stabil</t>
  </si>
  <si>
    <t>Silas ask hansen</t>
  </si>
  <si>
    <t>93 92 72 04</t>
  </si>
  <si>
    <t>16 årige dreng, 2000kr tjener han om måneden, vil gerne igang, men giver ikke mening for ham lige nu</t>
  </si>
  <si>
    <t>Ali Mohammed</t>
  </si>
  <si>
    <t>31 89 69 68</t>
  </si>
  <si>
    <t>_alimohammed05_</t>
  </si>
  <si>
    <t>no comment</t>
  </si>
  <si>
    <t>13/05/2025</t>
  </si>
  <si>
    <t>Stefan</t>
  </si>
  <si>
    <t>52 58 58 48</t>
  </si>
  <si>
    <t>StefanKeseric</t>
  </si>
  <si>
    <t>stefan, 19 år, elektriker, ville tabe sig og bygge muskelmasse op. han ville rigtig gerne igang, men pengene var hårde, så han ville vende tilbage til slut på måneden hvor han måske ville få løn forhøjelse</t>
  </si>
  <si>
    <t>Malthe</t>
  </si>
  <si>
    <t>25 79 20 71</t>
  </si>
  <si>
    <t>Malthe.n</t>
  </si>
  <si>
    <t>malthe 20 år, tømre lærling, bor ude, har ejen bil, vejer 127kg og vil gerne kommer under 100kg. Han var sygt klar og ville gerne igang, men han havde ikke råd til det om måneden, så han ville snakke med sine forældre for at hører om de gad hjælpe ham</t>
  </si>
  <si>
    <t>14/05/2025</t>
  </si>
  <si>
    <t>Mads</t>
  </si>
  <si>
    <t>60 87 46 34</t>
  </si>
  <si>
    <t>Madsbpedersrn</t>
  </si>
  <si>
    <t>51 14 71 14</t>
  </si>
  <si>
    <t>Olivermlindh</t>
  </si>
  <si>
    <t>5,400.00 kr.</t>
  </si>
  <si>
    <t>31 92 61 40</t>
  </si>
  <si>
    <t>Bergmanden</t>
  </si>
  <si>
    <t>konto spærret</t>
  </si>
  <si>
    <t>25 årige mand, arbejde 190 timer om måneden. han ville oprtigt gerne igang, men han kom med opjection inden betaling at hans konto var spærret og han lød oprigtig, så vi aftalte at tales ved 3 timer efter for at finde en løsning og hørta aldrig fra ham igen</t>
  </si>
  <si>
    <t>22 89 86 91</t>
  </si>
  <si>
    <t>Jakobfjord1</t>
  </si>
  <si>
    <t>Mads housgard</t>
  </si>
  <si>
    <t>31 79 20 51</t>
  </si>
  <si>
    <t>han skulle starte d 1 juni, men han valgte at springe fra, da han synes det ikke gav særlig god mening, så han skal bare kontaktes igen om nogen måneder!</t>
  </si>
  <si>
    <t>M.BAZI</t>
  </si>
  <si>
    <t>93 80 95 88</t>
  </si>
  <si>
    <t>25 årige mand, ville gerne shredde ned, han var ready, men han kunne først financielt i juni, da han kunne sælge en bil som ville give ham en masse penge.</t>
  </si>
  <si>
    <t>Ali Abedrazak</t>
  </si>
  <si>
    <t>46 76 086 35 51</t>
  </si>
  <si>
    <t>41 83 82 14</t>
  </si>
  <si>
    <t>Lukaswitek</t>
  </si>
  <si>
    <t>15/05/2025</t>
  </si>
  <si>
    <t>31 31 86 76</t>
  </si>
  <si>
    <t>Valdemarrb</t>
  </si>
  <si>
    <t>Adam</t>
  </si>
  <si>
    <t>50 92 96 28</t>
  </si>
  <si>
    <t>Adam.herskind</t>
  </si>
  <si>
    <t>60 87 08 19</t>
  </si>
  <si>
    <t>Jeppe_c_nielsen</t>
  </si>
  <si>
    <t>Fabian</t>
  </si>
  <si>
    <t>91 56 82 30</t>
  </si>
  <si>
    <t>Snakke med sin fam</t>
  </si>
  <si>
    <t>Jeppe, 20 år, mekaniker, rigtig varmt lead som gerne vil bygge muskelmasse op. han har lige købt bil, så han kan først d 1 og så ville han snakke med sine forældre</t>
  </si>
  <si>
    <t>30 48 78 82</t>
  </si>
  <si>
    <t>3229jacob</t>
  </si>
  <si>
    <t>Han var rigtigt på deposit, men han vaglte at hoppe fra da han ikke var 100% klar endnu</t>
  </si>
  <si>
    <t>53 50 08 80</t>
  </si>
  <si>
    <t>Nicklss_bramm_</t>
  </si>
  <si>
    <t>Onur</t>
  </si>
  <si>
    <t>31 42 76 26</t>
  </si>
  <si>
    <t>Onur.koybasi</t>
  </si>
  <si>
    <t>Onur, 18 år, går på gym, arbejder i 365, ville tabe sig og virkede rigtig klar, men han synes det var for dyrt, så ikke et godt follow up lige pt ihvertfald</t>
  </si>
  <si>
    <t>16/05/2025</t>
  </si>
  <si>
    <t>91 55 20 68</t>
  </si>
  <si>
    <t>Benjamin_stavnhoj</t>
  </si>
  <si>
    <t>han skulle snakke med komunnen</t>
  </si>
  <si>
    <t>han giver svar tilbage d 19, da han skulle snakke med kommunen, da det er noget med at de styre hans løn osv osv</t>
  </si>
  <si>
    <t>Hesham Alfakih</t>
  </si>
  <si>
    <t>30 49 42 77</t>
  </si>
  <si>
    <t>han lagde på da han skulle betale</t>
  </si>
  <si>
    <t>han var super varm, havde et fuldtidsarbejde og 18 år gammel. han skulle lige til at betale lige indtil manden lægger på!</t>
  </si>
  <si>
    <t>17/05/2025</t>
  </si>
  <si>
    <t>20 51 61 28</t>
  </si>
  <si>
    <t>Calman_17</t>
  </si>
  <si>
    <t>42 77 05 17</t>
  </si>
  <si>
    <t>Tobiasprivat4</t>
  </si>
  <si>
    <t>cutte til næste sommer</t>
  </si>
  <si>
    <t>super varm person, han ville først cutte til sommer og ikke noget nu, selvom jeg prøvede at overtale ham til at kører et minicut nu</t>
  </si>
  <si>
    <t>Kenan</t>
  </si>
  <si>
    <t>26 33 16 04</t>
  </si>
  <si>
    <t>Kenankau</t>
  </si>
  <si>
    <t>kenan, 37 år, kok, vil gerne tabe sig 10-15kg, da han var rigtig træt af at være ude af form. overall RIGTIG varm, men han kunne ikke helt comitte sig selv, selvom jeg prøvede. rigtig godt lead når der kommer løn ind og køres et offer på ham</t>
  </si>
  <si>
    <t>18/05/2025</t>
  </si>
  <si>
    <t>60 65 87 57</t>
  </si>
  <si>
    <t>Malthe.mortensen.3</t>
  </si>
  <si>
    <t>Hannibal</t>
  </si>
  <si>
    <t>42 71 32 23</t>
  </si>
  <si>
    <t>Hannibal130107</t>
  </si>
  <si>
    <t>19/05/2025</t>
  </si>
  <si>
    <t>Kim</t>
  </si>
  <si>
    <t>60 46 47 04</t>
  </si>
  <si>
    <t>Kimideppili69</t>
  </si>
  <si>
    <t>Alexander</t>
  </si>
  <si>
    <t>52 90 47 21</t>
  </si>
  <si>
    <t>Boellemis37</t>
  </si>
  <si>
    <t>Ciwan</t>
  </si>
  <si>
    <t>71 53 71 13</t>
  </si>
  <si>
    <t>Jowan.haji88</t>
  </si>
  <si>
    <t>Amir</t>
  </si>
  <si>
    <t>42 31 24 91</t>
  </si>
  <si>
    <t>kazicamii</t>
  </si>
  <si>
    <t>29 70 83 85</t>
  </si>
  <si>
    <t>_sejbjerg_</t>
  </si>
  <si>
    <t xml:space="preserve">Tænke over det </t>
  </si>
  <si>
    <t>Jonas, 32, håndværker, 2 børn, skilt, vil gerne tabe sig og bygge muskelmasse op, han var rigtig varm, men ville tænke over det selvom jeg pressede ham lidt, tag fat i ham ved lønningsdag</t>
  </si>
  <si>
    <t>20/05/2025</t>
  </si>
  <si>
    <t>51 36 91 61</t>
  </si>
  <si>
    <t>Jonas_skov09</t>
  </si>
  <si>
    <t>starter og betaler d 1 juni</t>
  </si>
  <si>
    <t>21/05/2025</t>
  </si>
  <si>
    <t>24 61 85 75</t>
  </si>
  <si>
    <t>fredsk1231</t>
  </si>
  <si>
    <t>Michael</t>
  </si>
  <si>
    <t>53 50 02 29</t>
  </si>
  <si>
    <t>Michaelchristiansen87</t>
  </si>
  <si>
    <t>22/05/2025</t>
  </si>
  <si>
    <t>50 72 08 10</t>
  </si>
  <si>
    <t>Jacobpoulsen00</t>
  </si>
  <si>
    <t>25 år, arbejder deltid, har udgifter, tjener ikke det store og ville gerne lige tænke over det</t>
  </si>
  <si>
    <t>Tristan</t>
  </si>
  <si>
    <t>42 23 13 39</t>
  </si>
  <si>
    <t>Tristian.storm</t>
  </si>
  <si>
    <t>24/05/2025</t>
  </si>
  <si>
    <t>Adriano</t>
  </si>
  <si>
    <t>42 23 30 07</t>
  </si>
  <si>
    <t>Adriano.oraha</t>
  </si>
  <si>
    <t>26/05/2025</t>
  </si>
  <si>
    <t>42 26 72 03</t>
  </si>
  <si>
    <t>simon_ra3</t>
  </si>
  <si>
    <t>Gabriel</t>
  </si>
  <si>
    <t>22 13 74 54</t>
  </si>
  <si>
    <t>Ghanem_gabriel</t>
  </si>
  <si>
    <t>27 år, bor ude, arbejde 12 timer dagligt, har en kæreste, vil rigtig gerne igang igen efter en skade han har haft, men han synes det var presset mht pengene, så han ville tænke over det</t>
  </si>
  <si>
    <t>24 43 55 17</t>
  </si>
  <si>
    <t>Daniielm1990</t>
  </si>
  <si>
    <t>27/05/2025</t>
  </si>
  <si>
    <t>Oscar</t>
  </si>
  <si>
    <t>27 28 24 09</t>
  </si>
  <si>
    <t>Oscarkristoffersen</t>
  </si>
  <si>
    <t>Var ikke klar til at comitte sig til det</t>
  </si>
  <si>
    <t>oscar har allerede været i forløb hos anders trust, han var fucking klar til at give den gas, men han virkede også tøvende. Han ville have 30 min til at tænke over det og han skrev så at han ikke følte sig 100% klar endnu. Rigtig godt follow up lead</t>
  </si>
  <si>
    <t>28/05/2025</t>
  </si>
  <si>
    <t>61 68 42 58</t>
  </si>
  <si>
    <t>Hugilago</t>
  </si>
  <si>
    <t>29/05/2025</t>
  </si>
  <si>
    <t>60 66 87 38</t>
  </si>
  <si>
    <t>Bundgaard_Mikkel</t>
  </si>
  <si>
    <t>Kristian</t>
  </si>
  <si>
    <t>50 15 03 56</t>
  </si>
  <si>
    <t>Kristiandrechsler</t>
  </si>
  <si>
    <t>kristian, 17 år, arbejde fuldtid i en tøj butik, han har været i forløb hos mig tilbage i 2021 under corona, han ville rigtig gerne igang, men han havde ikke pengene til det endnu, så han vender tilbage når han har pengene til det</t>
  </si>
  <si>
    <t>30/05/2025</t>
  </si>
  <si>
    <t>Snorre</t>
  </si>
  <si>
    <t>22 87 64 62</t>
  </si>
  <si>
    <t>Snorrema6</t>
  </si>
  <si>
    <t>22 31 35 16</t>
  </si>
  <si>
    <t>Augustnielsen_</t>
  </si>
  <si>
    <t>Rasmus</t>
  </si>
  <si>
    <t>28 25 16 00</t>
  </si>
  <si>
    <t>Rasmushaudrupjensen</t>
  </si>
  <si>
    <t>27 15 55 06</t>
  </si>
  <si>
    <t>Magnus.022</t>
  </si>
  <si>
    <t>Hans mor vil betale</t>
  </si>
  <si>
    <t>Afventer svar på at hans mor kan betale for det</t>
  </si>
  <si>
    <t>31/05/2025</t>
  </si>
  <si>
    <t>28 45 55 16</t>
  </si>
  <si>
    <t>Danieljensen1999</t>
  </si>
  <si>
    <t>snakke med andre coaches</t>
  </si>
  <si>
    <t>han skal lige snakke med nogen andre coaches før han melder tilbage</t>
  </si>
  <si>
    <t>22 32 23 10</t>
  </si>
  <si>
    <t>Magnus.rose</t>
  </si>
  <si>
    <t>mangler stadig betaling fra ham</t>
  </si>
  <si>
    <t>Maddy</t>
  </si>
  <si>
    <t>22 20 06 80</t>
  </si>
  <si>
    <t>Kongen_Maddy</t>
  </si>
  <si>
    <t>Adib</t>
  </si>
  <si>
    <t>50 51 95 58</t>
  </si>
  <si>
    <t>Adib_aa1912</t>
  </si>
  <si>
    <t>Ademir</t>
  </si>
  <si>
    <t>22 71 77 05</t>
  </si>
  <si>
    <t>Aboosabanoovic</t>
  </si>
  <si>
    <t>Økonomien</t>
  </si>
  <si>
    <t>ældre mand, fuldtidsarbejde, fodbold træner og havde meget travlt, han ville tænke over det for at finde ud af om det gav mening for ham</t>
  </si>
  <si>
    <t>Blerand</t>
  </si>
  <si>
    <t>50 70 13 41</t>
  </si>
  <si>
    <t>Bleroo_h</t>
  </si>
  <si>
    <t>42 91 62 43</t>
  </si>
  <si>
    <t>Frandsennn</t>
  </si>
  <si>
    <t>ung fyr som ikke havde pengene til det, men han var super varm!</t>
  </si>
  <si>
    <t>42 37 70 13</t>
  </si>
  <si>
    <t>Oscarbundgaard4</t>
  </si>
  <si>
    <t>Kasper</t>
  </si>
  <si>
    <t>42 43 53 66</t>
  </si>
  <si>
    <t>Kasperbg22</t>
  </si>
  <si>
    <t>Milan</t>
  </si>
  <si>
    <t>28 12 28 09</t>
  </si>
  <si>
    <t>Milan_ban</t>
  </si>
  <si>
    <t>ældre herre, fuldtidsarbejde, ville gerne tabe sig og stå skarpt, men han havde ikke besluttet sig, så han ville tænke over det</t>
  </si>
  <si>
    <t>60 56 59 26</t>
  </si>
  <si>
    <t>Mikkel.dencker</t>
  </si>
  <si>
    <t>50 11 64 65</t>
  </si>
  <si>
    <t>Noahstreett</t>
  </si>
  <si>
    <t>Han var vold klar lige indtil han fandt ud af at det var 1500+1200 første måned, så han skal kontaktes igen og give ham noget tilbud på opstart</t>
  </si>
  <si>
    <t>50 71 00 09</t>
  </si>
  <si>
    <t>Frederik_damsgaard_</t>
  </si>
  <si>
    <t>Han havde ikke pengene til det. en average gym dreng som arbejdede i ny og næ</t>
  </si>
  <si>
    <t>Linus</t>
  </si>
  <si>
    <t>61 41 58 45</t>
  </si>
  <si>
    <t>Linus_leffler</t>
  </si>
  <si>
    <t>han skulle på højskole</t>
  </si>
  <si>
    <t>Han var fkn ready, men han skulle på højskole så han er klar til dec senere i år</t>
  </si>
  <si>
    <t>31 15 04 52</t>
  </si>
  <si>
    <t>Madsdragsbaek</t>
  </si>
  <si>
    <t>Han var totalt klar, men pengene var ikke til det lige nu. han skrev at havde det været 700-800, så havde han været klar nu</t>
  </si>
  <si>
    <t>Gustav Poulsen</t>
  </si>
  <si>
    <t>22 22 08 73</t>
  </si>
  <si>
    <t>Han havde slet ikke penge til det, men han lød super varm</t>
  </si>
  <si>
    <t>42 83 54 48</t>
  </si>
  <si>
    <t>Jonas.Kyndesen</t>
  </si>
  <si>
    <t>Ikke comittet</t>
  </si>
  <si>
    <t>Han var slet ikke comittet og virkede totalt træls på en måde</t>
  </si>
  <si>
    <t>Sebastian</t>
  </si>
  <si>
    <t>Sebastianhalsted</t>
  </si>
  <si>
    <t>17 år, får arbejde d 1 august, så der skal han kontaktes igen, da han lige nu kun går på skole og rigtig varm gut</t>
  </si>
  <si>
    <t>30 31 72 07</t>
  </si>
  <si>
    <t>Noah_toft</t>
  </si>
  <si>
    <t>71 72 98 36</t>
  </si>
  <si>
    <t>Simon_nordbylino</t>
  </si>
  <si>
    <t>starter op d 5 august</t>
  </si>
  <si>
    <t>Artan</t>
  </si>
  <si>
    <t>42 83 74 78</t>
  </si>
  <si>
    <t>Artan_rmz</t>
  </si>
  <si>
    <t>Meget spøjs gut</t>
  </si>
  <si>
    <t>Kenneth</t>
  </si>
  <si>
    <t>22 54 10 67</t>
  </si>
  <si>
    <t>silva.beatbox</t>
  </si>
  <si>
    <t>50 25 93 38</t>
  </si>
  <si>
    <t>lucas_fussing</t>
  </si>
  <si>
    <t>Aleksander</t>
  </si>
  <si>
    <t>53 85 13 07</t>
  </si>
  <si>
    <t>Aleksander.kamp</t>
  </si>
  <si>
    <t>Bertram</t>
  </si>
  <si>
    <t>30 27 51 55</t>
  </si>
  <si>
    <t>Bertramlindrasmussen</t>
  </si>
  <si>
    <t>Han var vold varm, tømre, men skulle lige hjem og tjekke det hele igennem og så ville han give svar!</t>
  </si>
  <si>
    <t>42 25 38 49</t>
  </si>
  <si>
    <t>Magnus_martinus</t>
  </si>
  <si>
    <t>20 år, elektriker, super demotiveret og slet ikke comittet</t>
  </si>
  <si>
    <t>Sebatian</t>
  </si>
  <si>
    <t>31 34 84 44</t>
  </si>
  <si>
    <t>seb._.coleman</t>
  </si>
  <si>
    <t>den skal ikke gå igennem</t>
  </si>
  <si>
    <t>han var varm og klar til at betale, men den gad ikke gå igennem, så bedte ham om at ringe til sin bank og hørte ikke fra ham igen</t>
  </si>
  <si>
    <t>Boor</t>
  </si>
  <si>
    <t>61 37 19 02</t>
  </si>
  <si>
    <t>boor_nonsungnoen</t>
  </si>
  <si>
    <t>Simran</t>
  </si>
  <si>
    <t>31 34 24 70</t>
  </si>
  <si>
    <t>ss.alb_</t>
  </si>
  <si>
    <t>Tænke det igennem</t>
  </si>
  <si>
    <t>Super varm, synes ikke det var for mange penge, men han ville gerne tænke det hele igennem</t>
  </si>
  <si>
    <t>Nicolai</t>
  </si>
  <si>
    <t>42 77 09 13</t>
  </si>
  <si>
    <t>Nicolai_aastrup_</t>
  </si>
  <si>
    <t>52 74 49 72</t>
  </si>
  <si>
    <t>Jeppepetri</t>
  </si>
  <si>
    <t xml:space="preserve">ældre herre, 1 barn og kone, skulle tænke det hele igennem og arbejder med stilads. </t>
  </si>
  <si>
    <t>Vilum</t>
  </si>
  <si>
    <t>51 95 77 45</t>
  </si>
  <si>
    <t>Vilumhartvig</t>
  </si>
  <si>
    <t>han ville vente til efter hans ferie</t>
  </si>
  <si>
    <t>han skulle til afrika og ville være hjemme om lidt over en måned, prøvede at smide deposit på ham, men det gad han ikke og ville vente til at han var hjemme</t>
  </si>
  <si>
    <t>50 23 09 37</t>
  </si>
  <si>
    <t>Hr.kristensen7160</t>
  </si>
  <si>
    <t>81 53 73 69</t>
  </si>
  <si>
    <t>Patrickhagedorn.76</t>
  </si>
  <si>
    <t>Marco</t>
  </si>
  <si>
    <t>30 45 59 58</t>
  </si>
  <si>
    <t>Marcodang8</t>
  </si>
  <si>
    <t>Ikke råd til det</t>
  </si>
  <si>
    <t>17 år og gik stadig i skole. han ville godt når han ramte lærlinge løn</t>
  </si>
  <si>
    <t>Krisstoffer</t>
  </si>
  <si>
    <t>91 11 28 29</t>
  </si>
  <si>
    <t>Krisstoffer1789</t>
  </si>
  <si>
    <t>_.2424_</t>
  </si>
  <si>
    <t>50 19 73 41</t>
  </si>
  <si>
    <t>ikke kontakt ham igen</t>
  </si>
  <si>
    <t>53 62 83 72</t>
  </si>
  <si>
    <t>Noah_jensen_privat_</t>
  </si>
  <si>
    <t>Adreean</t>
  </si>
  <si>
    <t>951-565-6248</t>
  </si>
  <si>
    <t>Adreean.valencia</t>
  </si>
  <si>
    <t>Bor i usa, har vinduespudser firma og flytter snart hjem til danmark. han var ikke klar da han ikke havde pengene til det</t>
  </si>
  <si>
    <t>Carl</t>
  </si>
  <si>
    <t>30 22 10 96</t>
  </si>
  <si>
    <t>Carl.emil.privat</t>
  </si>
  <si>
    <t>21 80 50 26</t>
  </si>
  <si>
    <t>Madsmogensen_</t>
  </si>
  <si>
    <t>41 14 66 48</t>
  </si>
  <si>
    <t>Ascaniuskirk</t>
  </si>
  <si>
    <t>42 94 19 14</t>
  </si>
  <si>
    <t>Lord_nicolaia</t>
  </si>
  <si>
    <t>D.soegaard</t>
  </si>
  <si>
    <t>Lasse_7v52</t>
  </si>
  <si>
    <t>Mick</t>
  </si>
  <si>
    <t>Mickriis</t>
  </si>
  <si>
    <t>Starter og betaler d 1 juli</t>
  </si>
  <si>
    <t>Puriaan</t>
  </si>
  <si>
    <t>Han er slet ikke den klient jeg leder efter</t>
  </si>
  <si>
    <t>Silas</t>
  </si>
  <si>
    <t>53 59 88 27</t>
  </si>
  <si>
    <t>Christiansen.silas</t>
  </si>
  <si>
    <t>22 36 25 35</t>
  </si>
  <si>
    <t>Malthedm</t>
  </si>
  <si>
    <t>Rigtig godt follow up om nogen uger eller måneder</t>
  </si>
  <si>
    <t>42 50 40 69</t>
  </si>
  <si>
    <t>Fabian.gram123</t>
  </si>
  <si>
    <t>håndværker og arbejder meget. Han var flyttet ud og pengene var for lidt, så han ville vente lidt med det</t>
  </si>
  <si>
    <t>41 69 23 37</t>
  </si>
  <si>
    <t>nicolaikrusell</t>
  </si>
  <si>
    <t>Også håndværker, dog ville han gerne tænke over det, men var rigtig varm og ville gerne igang</t>
  </si>
  <si>
    <t>42 66 71 99</t>
  </si>
  <si>
    <t>Benjaminbrandhoj</t>
  </si>
  <si>
    <t>Håndværker og var sygt klar på at tabe sig. han var klar på at betale full, men hans pung lå i hans bil som hans mor lånte. så han ville betale så snart hun kom hjem og lidt efter fik jeg en besked hvor han synes det var mange penge</t>
  </si>
  <si>
    <t>max</t>
  </si>
  <si>
    <t>23 20 49 24</t>
  </si>
  <si>
    <t>max_leon_beller</t>
  </si>
  <si>
    <t>17 år og var i lære som murer, dog gik han kun i skole og tjente ingen penge endnu, så han havde ikke råd til det. dog rigtig varm</t>
  </si>
  <si>
    <t>Frank</t>
  </si>
  <si>
    <t>51 68 43 34</t>
  </si>
  <si>
    <t>franka_16</t>
  </si>
  <si>
    <t>ikke den klient jeg vil arbejde med</t>
  </si>
  <si>
    <t>Viktor</t>
  </si>
  <si>
    <t>23 72 00 70</t>
  </si>
  <si>
    <t>viktor_m_j</t>
  </si>
  <si>
    <t>60 15 44 91</t>
  </si>
  <si>
    <t>Frederikbrockjohansen</t>
  </si>
  <si>
    <t>slet ikke comittet</t>
  </si>
  <si>
    <t>han var slet ikke comittet nok, selvom det lød til at han gerne ville igang. fint lead at lave follow up på om nogen uger eller måneder</t>
  </si>
  <si>
    <t>22 44 92 29</t>
  </si>
  <si>
    <t>Mikkel_cipek</t>
  </si>
  <si>
    <t>heller ikke comittet</t>
  </si>
  <si>
    <t>også brug for hjælp, men slet ikke comittet og det var svært at rykke på ham, men han ville tænke over det</t>
  </si>
  <si>
    <t>51 16 72 58</t>
  </si>
  <si>
    <t>Simon_sanggaard_brink</t>
  </si>
  <si>
    <t>42 36 48 18</t>
  </si>
  <si>
    <t>nicolai_jorgensenn</t>
  </si>
  <si>
    <t>14/06/2025</t>
  </si>
  <si>
    <t>Anton</t>
  </si>
  <si>
    <t>93 60 58 56</t>
  </si>
  <si>
    <t>Anton.overgaard</t>
  </si>
  <si>
    <t>22 77 14 22</t>
  </si>
  <si>
    <t>_magzie_</t>
  </si>
  <si>
    <t>Rescheduled</t>
  </si>
  <si>
    <t>26 22 68 69</t>
  </si>
  <si>
    <t>Jeppe53773</t>
  </si>
  <si>
    <t>håndværker, frisk gut og var klar på at komme igang. dog ville han vente en måned da han lige var flyttet i hus med kæresten og vidste ikke hvordan budgettet var endnu</t>
  </si>
  <si>
    <t>22 22 05 70</t>
  </si>
  <si>
    <t>Oliverva10</t>
  </si>
  <si>
    <t>42 68 11 34</t>
  </si>
  <si>
    <t>Marcus_sondergaard06</t>
  </si>
  <si>
    <t>24 59 28 24</t>
  </si>
  <si>
    <t>Oscar.lillegaard.barrett</t>
  </si>
  <si>
    <t>15/06/2025</t>
  </si>
  <si>
    <t>Victor</t>
  </si>
  <si>
    <t>29 11 11 80</t>
  </si>
  <si>
    <t>Victor_edvardsen_</t>
  </si>
  <si>
    <t>29 11 41 44</t>
  </si>
  <si>
    <t>e_degn</t>
  </si>
  <si>
    <t>Peter</t>
  </si>
  <si>
    <t>53 73 93 33</t>
  </si>
  <si>
    <t>Peter_klitgaard_klausen</t>
  </si>
  <si>
    <t>93 85 42 45</t>
  </si>
  <si>
    <t>mr.bronke</t>
  </si>
  <si>
    <t>han fortød</t>
  </si>
  <si>
    <t>Super frisk gut som bare skulle igang. Han var klar på at starte næste måned, men sendte ham betalingslink og han ville klarer det efter kaldet, da han ikke havde pung på sig og efter skriver han at han har fortrudt, selvom han vejer 120kg og bruger 9k om måneden på junkfood</t>
  </si>
  <si>
    <t>Erikas</t>
  </si>
  <si>
    <t>50 29 18 33</t>
  </si>
  <si>
    <t>daddyerikas</t>
  </si>
  <si>
    <t>Betaler og starter d 28 august</t>
  </si>
  <si>
    <t>60 94 19 52</t>
  </si>
  <si>
    <t>jorgensen4503</t>
  </si>
  <si>
    <t>marcus_sondergaard06</t>
  </si>
  <si>
    <t>60 53 52 59</t>
  </si>
  <si>
    <t>mathias7.2</t>
  </si>
  <si>
    <t>16/06/2025</t>
  </si>
  <si>
    <t>E_degn</t>
  </si>
  <si>
    <t>peter, brolægger, arbejder meget men ville spare op til at gå selvstændig, så han var lidt tøvende. Han ville give svar tilbage imorgen og det ved vi godt hvad betyder</t>
  </si>
  <si>
    <t>30 22 74 89</t>
  </si>
  <si>
    <t>Lukas_p557</t>
  </si>
  <si>
    <t>61 67 71 81</t>
  </si>
  <si>
    <t>Kasper_winge</t>
  </si>
  <si>
    <t>super godt lead og er klar på at give den gas. lige nu er hans økonomi i vejen, men er nok klar på at starte op i her august eller sep når han har fået betalt hans bøder og alt spiller</t>
  </si>
  <si>
    <t>24 45 07 48</t>
  </si>
  <si>
    <t>Magnus.privaat</t>
  </si>
  <si>
    <t>han var totalt ready og vi starter også op, men han havde problemer med sit kort, så han får styr på det imorgen og så tager vi et opfølgende kald imorgen for at klare betalingen</t>
  </si>
  <si>
    <t>31 53 93 82</t>
  </si>
  <si>
    <t>Oliverhaahrv</t>
  </si>
  <si>
    <t>han var presset økonomisk, men var vold frisk og bedte ham om at vende tilbage samme dag</t>
  </si>
  <si>
    <t>42 61 30 31</t>
  </si>
  <si>
    <t>Rasmustc</t>
  </si>
  <si>
    <t>vold frisk gut og ville gerne igang, men ville også gerne snakke med andre coaches for at hører mulighederne!</t>
  </si>
  <si>
    <t>21 49 44 24</t>
  </si>
  <si>
    <t>madsbrunhoj</t>
  </si>
  <si>
    <t>8 mdr</t>
  </si>
  <si>
    <t>oscar</t>
  </si>
  <si>
    <t>23 81 85 52</t>
  </si>
  <si>
    <t>mads_boutrup</t>
  </si>
  <si>
    <t>han ville se budget igennem</t>
  </si>
  <si>
    <t>Super frisk gut som var inbound lead og var klar på at give den gas. Han ville tjekke budget igennem for at se om det gav mening og gav ham en time til at se det hele igennem</t>
  </si>
  <si>
    <t>17/06/2025</t>
  </si>
  <si>
    <t>93 84 14 16</t>
  </si>
  <si>
    <t>marcus_kj_olsen</t>
  </si>
  <si>
    <t>Han var super frisk, klar, men han ville vente til sep, da der vidste han at han ville være klar økonomisk også!</t>
  </si>
  <si>
    <t>22 67 21 60</t>
  </si>
  <si>
    <t>Patrick_kjaergaard</t>
  </si>
  <si>
    <t>Han starter d 1 juli, men han har ikke betalt endnu og eller er bundet, fordi der var problemer med stripe, men har lavet en betaling til ham nu og nu ghoster han</t>
  </si>
  <si>
    <t>25 70 17 14</t>
  </si>
  <si>
    <t>Emil.lemmer.3</t>
  </si>
  <si>
    <t>28 78 69 51</t>
  </si>
  <si>
    <t>pede.jensen</t>
  </si>
  <si>
    <t>Frygt</t>
  </si>
  <si>
    <t>Manden var helt klar og vi smed ham ind i systemet, men så kom jeg til betaling og så fuckede zenfit fordi de har stoppet adgang for at tilføje nye klienter, så min stripe fuckede, og så ghostede han efter...</t>
  </si>
  <si>
    <t>Magnus-privaat</t>
  </si>
  <si>
    <t>oscar.lillegaard.barett</t>
  </si>
  <si>
    <t>tømre, tjener penge, er frisk og var varm, men pengene holdte ham tilbage og han ville tænke over det</t>
  </si>
  <si>
    <t>18/06/2025</t>
  </si>
  <si>
    <t>31 70 97 85</t>
  </si>
  <si>
    <t>nicolas_christensen01</t>
  </si>
  <si>
    <t>starter og betaler d 1 juli</t>
  </si>
  <si>
    <t>31 33 96 91</t>
  </si>
  <si>
    <t>Simonebbe</t>
  </si>
  <si>
    <t>17 år, tjente ikke penge som tømre endnu, men det gør han til august sep, så der skal han bare kontaktes igen!</t>
  </si>
  <si>
    <t>42 40 87 23</t>
  </si>
  <si>
    <t>Mads.holtum</t>
  </si>
  <si>
    <t>tidsbegrænset</t>
  </si>
  <si>
    <t>super varmt lead som gerne ville igang, men han var begrænset på tid</t>
  </si>
  <si>
    <t>22 24 80 10</t>
  </si>
  <si>
    <t>emil.kupfer</t>
  </si>
  <si>
    <t>starter og betaler d 1 juli. han betalte d 30 juni</t>
  </si>
  <si>
    <t>42 40 46 13</t>
  </si>
  <si>
    <t>Niklasmelanchton</t>
  </si>
  <si>
    <t>50 57 73 43</t>
  </si>
  <si>
    <t>Oliversarto</t>
  </si>
  <si>
    <t>19/06/2025</t>
  </si>
  <si>
    <t>Skal snakke med ham d 25 juni, for at smide ham ind i systemet og få sat betaling op!</t>
  </si>
  <si>
    <t>30 48 83 83</t>
  </si>
  <si>
    <t>Emil_hjortkjaer</t>
  </si>
  <si>
    <t>20/06/2025</t>
  </si>
  <si>
    <t>Jeff</t>
  </si>
  <si>
    <t>60 21 92 27</t>
  </si>
  <si>
    <t>Jeff_santossss</t>
  </si>
  <si>
    <t>Andreas</t>
  </si>
  <si>
    <t>51 71 40 47</t>
  </si>
  <si>
    <t>Andreasnordbjrg</t>
  </si>
  <si>
    <t>Han var rimelig varm og ville gerne igang, men han ville godt tænke over det og sætte budget før han tog en beslutning</t>
  </si>
  <si>
    <t>23 20 18 12</t>
  </si>
  <si>
    <t>Sebastian_sadeghi</t>
  </si>
  <si>
    <t>Rene</t>
  </si>
  <si>
    <t>23 41 07 04</t>
  </si>
  <si>
    <t>Renelang1</t>
  </si>
  <si>
    <t>han synes det var alt for mange penge og ville selv kun investere 500-700kr månedligt, så rigtig dårligt fit</t>
  </si>
  <si>
    <t>50 62 28 20</t>
  </si>
  <si>
    <t>Christiankabore</t>
  </si>
  <si>
    <t>Ikke et godt fit...</t>
  </si>
  <si>
    <t>22/06/2025</t>
  </si>
  <si>
    <t>71 70 26 51</t>
  </si>
  <si>
    <t>jakob_lauritsen21</t>
  </si>
  <si>
    <t>27 juni starter vi og han betaler der</t>
  </si>
  <si>
    <t>54 34 67 32</t>
  </si>
  <si>
    <t>Emil Munch</t>
  </si>
  <si>
    <t>23/06/2025</t>
  </si>
  <si>
    <t>Alan</t>
  </si>
  <si>
    <t>53 34 73 39</t>
  </si>
  <si>
    <t>alan_666</t>
  </si>
  <si>
    <t>20 20 10 62</t>
  </si>
  <si>
    <t>jannick_holm</t>
  </si>
  <si>
    <t>snakke med fruen</t>
  </si>
  <si>
    <t>han skal snakke med fruen og så vender han tilbage</t>
  </si>
  <si>
    <t>24/06/2025</t>
  </si>
  <si>
    <t>42 32 00 70</t>
  </si>
  <si>
    <t>Oliver_Thyregod</t>
  </si>
  <si>
    <t>Starter d 7 juli og betaler d 1</t>
  </si>
  <si>
    <t>Simon_sanggard_brink</t>
  </si>
  <si>
    <t>Det var et inbound lead og møder ikke op</t>
  </si>
  <si>
    <t>Mohsin</t>
  </si>
  <si>
    <t>60 90 25 60</t>
  </si>
  <si>
    <t>m.mo.ta99</t>
  </si>
  <si>
    <t>snakket med ham før, lidt irrietende og ikke en type jeg normalt vil arbejde med, men nu må vi se</t>
  </si>
  <si>
    <t>Mirhan</t>
  </si>
  <si>
    <t>42 66 67 15</t>
  </si>
  <si>
    <t>mirhan_taha</t>
  </si>
  <si>
    <t>Sove på den</t>
  </si>
  <si>
    <t>super frisk, elektriker som bare skulle igang! Men manden ville sove på den og prøvede at trykke til ham.</t>
  </si>
  <si>
    <t>Emre</t>
  </si>
  <si>
    <t>40 32 01 99</t>
  </si>
  <si>
    <t>E_dmr1</t>
  </si>
  <si>
    <t>ghost</t>
  </si>
  <si>
    <t>manden var klar til at betale alt upfront og ville ringe ham op da han kom hjem og hørte aldrig fra ham og han ghostede mig</t>
  </si>
  <si>
    <t>manzur</t>
  </si>
  <si>
    <t>50 14 58 29</t>
  </si>
  <si>
    <t>muaaz.manzur</t>
  </si>
  <si>
    <t>25/06/2025</t>
  </si>
  <si>
    <t xml:space="preserve">ville vente </t>
  </si>
  <si>
    <t>inbound lead, han skulle lukkes og brugte 100kr på pizza hver anden dag, men gad ikke ivestere 40kr om dagen på coaching. han skal kontaktes igen</t>
  </si>
  <si>
    <t>23 36 81 71</t>
  </si>
  <si>
    <t>Simon_bak.k</t>
  </si>
  <si>
    <t>super frisk og skulle bare igang, men han ville vente til om et par uger, da han først skulle betale sin bil af og så var han ready</t>
  </si>
  <si>
    <t>22 48 48 01</t>
  </si>
  <si>
    <t>_Christian_clausen</t>
  </si>
  <si>
    <t>han var presset</t>
  </si>
  <si>
    <t>christian, brolægger, overvægtig og ville gerne tabe sig, han ville se budget igennem før han tog en beslutning</t>
  </si>
  <si>
    <t>Adail</t>
  </si>
  <si>
    <t>60 68 80 44</t>
  </si>
  <si>
    <t>Brinkadail</t>
  </si>
  <si>
    <t>Han var fkn klar, han var flyttemand men havde ikke stabile vagter, så han ville vente til august, der vidste han at han 100% ville kunne starte op</t>
  </si>
  <si>
    <t>Hubert</t>
  </si>
  <si>
    <t>50 20 00 43</t>
  </si>
  <si>
    <t>Hubertciastek</t>
  </si>
  <si>
    <t>28 69 37 84</t>
  </si>
  <si>
    <t>Renekvist94</t>
  </si>
  <si>
    <t>Theo¨</t>
  </si>
  <si>
    <t>40 97 46 43</t>
  </si>
  <si>
    <t>theo_hergott</t>
  </si>
  <si>
    <t>26/06/2025</t>
  </si>
  <si>
    <t>oliversarto</t>
  </si>
  <si>
    <t>betaler d 1 juli, men starter d 1 august</t>
  </si>
  <si>
    <t>40 35 08 52</t>
  </si>
  <si>
    <t>Mathiastolstrup_</t>
  </si>
  <si>
    <t>60 86 61 48</t>
  </si>
  <si>
    <t>Nikaswiltrup</t>
  </si>
  <si>
    <t>skulle på ferie</t>
  </si>
  <si>
    <t>HAN ER KLAR D 1 AUGUST!! han er booket på kald der</t>
  </si>
  <si>
    <t>27/06/2025</t>
  </si>
  <si>
    <t>Sander</t>
  </si>
  <si>
    <t>24 60 24 88</t>
  </si>
  <si>
    <t>Sandervikkelso</t>
  </si>
  <si>
    <t>Tænke over det</t>
  </si>
  <si>
    <t>Super frisk gut, skulle igang, men han var ikke helt 100% comittet og det var svært at lukke ham. så det er et fint follow up</t>
  </si>
  <si>
    <t>28/06/2025</t>
  </si>
  <si>
    <t>42 55 03 79</t>
  </si>
  <si>
    <t>scooby_offical</t>
  </si>
  <si>
    <t>$</t>
  </si>
  <si>
    <t>30 86 64 08</t>
  </si>
  <si>
    <t>Isakssonlukas</t>
  </si>
  <si>
    <t>William</t>
  </si>
  <si>
    <t>27 28 09 70</t>
  </si>
  <si>
    <t>william._garner</t>
  </si>
  <si>
    <t>16 år, havde ikke den store penge pung, men han ville 100% starte op når han havde flere penge på lommen</t>
  </si>
  <si>
    <t>Remzi</t>
  </si>
  <si>
    <t>53 35 61 69</t>
  </si>
  <si>
    <t>Rcankay08</t>
  </si>
  <si>
    <t>17 årige dude som gerne ville igang, men han ville tænke over prisen. Han ville tabe sig og bygge mere muskelmasse op, men han synes ikke prisen passede helt til ham fordi han ikke havde penge på lommen</t>
  </si>
  <si>
    <t>24 22 88 44</t>
  </si>
  <si>
    <t>Malthe_bested_viby</t>
  </si>
  <si>
    <t>Super frisk gut, som gerne ville komme i bedre form, men han sendte retur besked og synes det var for mange penge at bruge i forhold til hvad han tjente og det er fair</t>
  </si>
  <si>
    <t>Can</t>
  </si>
  <si>
    <t>23 90 70 08</t>
  </si>
  <si>
    <t>Cansalli</t>
  </si>
  <si>
    <t>Han var ready og var klar til at betale, men han troede at de 1500 var opstarten indtil han fandt ud af at opstart på 1500 skal betales samlet med 1500 af første måned, så han hoppede fra</t>
  </si>
  <si>
    <t>29/06/2025</t>
  </si>
  <si>
    <t>Kaspar</t>
  </si>
  <si>
    <t>28 18 36 14</t>
  </si>
  <si>
    <t>Kaspar_privat9</t>
  </si>
  <si>
    <t>30/06/2025</t>
  </si>
  <si>
    <t>20 94 44 80</t>
  </si>
  <si>
    <t>Frederik_nybo_</t>
  </si>
  <si>
    <t>Sean</t>
  </si>
  <si>
    <t>22 71 58 64</t>
  </si>
  <si>
    <t>Sean_baren_spring</t>
  </si>
  <si>
    <t>ville gerne blive større, fuldtidsarbejde, ville bare igang og han synes prisen var fair, men han ville lige tænke over den til imorgen</t>
  </si>
  <si>
    <t>53 76 08 80</t>
  </si>
  <si>
    <t>Benjamin_koch_andersen</t>
  </si>
  <si>
    <t>han skulle på ferie</t>
  </si>
  <si>
    <t>manden var 100% klar og ville bare gerne igang. sender ham payment link og lige inden siger han at han gerne vil vente med at betale til næste måned, da han også har snakket med andre coaces, så han vil gerne have sine kort åbne</t>
  </si>
  <si>
    <t>starter og betaler d 1 august</t>
  </si>
  <si>
    <t>26 33 45 46</t>
  </si>
  <si>
    <t>marcus_fredskilde_laursen</t>
  </si>
  <si>
    <t>51 80 24 74</t>
  </si>
  <si>
    <t>lykke.frederik</t>
  </si>
  <si>
    <t>starter op d 20 august</t>
  </si>
  <si>
    <t>parveenparshant@yahoo.com</t>
  </si>
  <si>
    <t>41 27 20 30</t>
  </si>
  <si>
    <t>Thomas_hampen_andersen</t>
  </si>
  <si>
    <t>28 51 05 94</t>
  </si>
  <si>
    <t>Mathiashvid12</t>
  </si>
  <si>
    <t>vold varmt lead som gerne ville stå skarpt til hans bryllup hvor ham og hans kone gerne ville blive coachet sammen og de var begge klar på at betale 9kx2 upfront, men han var først klar i det nye år hvilket er træls!</t>
  </si>
  <si>
    <t>Starter og betaler d 1 august!</t>
  </si>
  <si>
    <t>Phillip</t>
  </si>
  <si>
    <t>29 68 20 12</t>
  </si>
  <si>
    <t>Phillipolsen1</t>
  </si>
  <si>
    <t>Lucca</t>
  </si>
  <si>
    <t>60 48 53 55</t>
  </si>
  <si>
    <t>lucca_Breck</t>
  </si>
  <si>
    <t>60 48 47 15</t>
  </si>
  <si>
    <t>Oliverhallsvensson</t>
  </si>
  <si>
    <t>rigtig godt lead som gerne ville komme i bedre form, men lige gav det ikke mening penge mæssigt, men han var ready så snart der var styr på det hele!</t>
  </si>
  <si>
    <t>phillip</t>
  </si>
  <si>
    <t>Phillip_gre_gersen</t>
  </si>
  <si>
    <t>Nikolai</t>
  </si>
  <si>
    <t>29 39 13 98</t>
  </si>
  <si>
    <t>Nikolainissen_</t>
  </si>
  <si>
    <t>26 31 45 57</t>
  </si>
  <si>
    <t>oliver_groening</t>
  </si>
  <si>
    <t>starter og betaler d 11 august</t>
  </si>
  <si>
    <t>42 78 67 47</t>
  </si>
  <si>
    <t>Thomas.olsen9</t>
  </si>
  <si>
    <t>22 28 71 45</t>
  </si>
  <si>
    <t>Madsryttergaardjacobsen</t>
  </si>
  <si>
    <t>varmt lead som gerne ville i bedre form. Han vidste godt det ikke var mange penge, men han ville hellere skrive tilbage efter sommeren</t>
  </si>
  <si>
    <t>434 595 517</t>
  </si>
  <si>
    <t>Lasdalgaard</t>
  </si>
  <si>
    <t>Dominik</t>
  </si>
  <si>
    <t>25 77 80 77</t>
  </si>
  <si>
    <t>domcapik</t>
  </si>
  <si>
    <t>varmeste lead som ikke ture at tage springet. han ville gerne tabe sig og stå skarpere. snakkede med ham i 30 min kunne mærke han var klar til at købe, men han kunne bare ikke tage springet</t>
  </si>
  <si>
    <t>23 92 28 08</t>
  </si>
  <si>
    <t>malt2662</t>
  </si>
  <si>
    <t>Mike</t>
  </si>
  <si>
    <t>91 99 20 43</t>
  </si>
  <si>
    <t>ekelundmike</t>
  </si>
  <si>
    <t>28 71 73 16</t>
  </si>
  <si>
    <t>nicolas_iordanov</t>
  </si>
  <si>
    <t>rigtig varmt lead, men pengene var ikke store da han ikke tjente udlærte penge endnu, så han ville skrive når han var ready</t>
  </si>
  <si>
    <t>29 71 80 09</t>
  </si>
  <si>
    <t>Schwarz0106</t>
  </si>
  <si>
    <t>53 83 80 71</t>
  </si>
  <si>
    <t>sander_dam00</t>
  </si>
  <si>
    <t>han ville gerne igang og bygge mere muskelmasse op, men han var ikke klar til at investere det i forløbet</t>
  </si>
  <si>
    <t>30 23 05 92</t>
  </si>
  <si>
    <t>gustavhansen48</t>
  </si>
  <si>
    <t>Matin</t>
  </si>
  <si>
    <t>91 97 16 68</t>
  </si>
  <si>
    <t>Matin.assadi_</t>
  </si>
  <si>
    <t>Han var så klar og vi nåede endda også at lave en binding, men så skrev han dagen efter at det ikke passede så godt, fordi han havde en masse regninger</t>
  </si>
  <si>
    <t>Frey</t>
  </si>
  <si>
    <t>42 15 17 44</t>
  </si>
  <si>
    <t>freyager1</t>
  </si>
  <si>
    <t>Han var så klar og ville bare gerne give den gas og blive større, men han var ikke klar til at investere halvdelen af hans løn hver måned på det</t>
  </si>
  <si>
    <t>60 84 44 20</t>
  </si>
  <si>
    <t>gustav_lundgren13</t>
  </si>
  <si>
    <t>Milas</t>
  </si>
  <si>
    <t>53 29 66 36</t>
  </si>
  <si>
    <t>milas.dahlgaard1</t>
  </si>
  <si>
    <t>Han var klar og allerede haft coach på, men han ville snakke med sin mor først og hørte aldrig fra ham igen!</t>
  </si>
  <si>
    <t>50 41 11 65</t>
  </si>
  <si>
    <t>dr.dims</t>
  </si>
  <si>
    <t>23 56 09 56</t>
  </si>
  <si>
    <t>mathiasfuck8922</t>
  </si>
  <si>
    <t>Martin</t>
  </si>
  <si>
    <t>29 88 73 57</t>
  </si>
  <si>
    <t>martinhkjaer7</t>
  </si>
  <si>
    <t>frygt for at starte</t>
  </si>
  <si>
    <t>super varmt lead og vidste at han havde pengene, fordi han arbejdede meget. han var bare bange for at tage springet og bruge pengene på det, da han havde hørt meget om coaches</t>
  </si>
  <si>
    <t>Nicolaj</t>
  </si>
  <si>
    <t>91 83 50 35</t>
  </si>
  <si>
    <t>Nicolajbasland</t>
  </si>
  <si>
    <t>29 13 40 54</t>
  </si>
  <si>
    <t>_madsskov</t>
  </si>
  <si>
    <t>betaler 1 august og starter 1 sep</t>
  </si>
  <si>
    <t>28 97 33 54</t>
  </si>
  <si>
    <t>Daniel_moerz</t>
  </si>
  <si>
    <t>Gustav_lundgren123</t>
  </si>
  <si>
    <t>Laurits</t>
  </si>
  <si>
    <t>22 56 74 16</t>
  </si>
  <si>
    <t>laurits_viholt</t>
  </si>
  <si>
    <t>Viggo</t>
  </si>
  <si>
    <t>28 11 72 57</t>
  </si>
  <si>
    <t>viggo_mark</t>
  </si>
  <si>
    <t>røv varmt lead som rigtig gerne ville igang så snart hans sæson med amerikans fodbold startede, da han skulle cutte der, prøvede at presse men han ville vente</t>
  </si>
  <si>
    <t>51 78 48 10</t>
  </si>
  <si>
    <t>Williamjensen18</t>
  </si>
  <si>
    <t>52 17 82 58</t>
  </si>
  <si>
    <t>william.kjellberg</t>
  </si>
  <si>
    <t>han starter d 1 august, men betalte for opstartsgebyr nu</t>
  </si>
  <si>
    <t>60 52 43 24</t>
  </si>
  <si>
    <t>Williamtrz</t>
  </si>
  <si>
    <t>rigtig god mand, som gerne ville tabe sig og bygge muskelmasse op, men han var ikke klar på at bruge penge på det endnu</t>
  </si>
  <si>
    <t>Tais</t>
  </si>
  <si>
    <t>42 53 96 69</t>
  </si>
  <si>
    <t>tais_kjaer</t>
  </si>
  <si>
    <t>idk</t>
  </si>
  <si>
    <t>41 14 12 36</t>
  </si>
  <si>
    <t>J_h_zeerow</t>
  </si>
  <si>
    <t>williamjensen18</t>
  </si>
  <si>
    <t>40 70 99 83</t>
  </si>
  <si>
    <t>Marcus_lundager</t>
  </si>
  <si>
    <t>42 66 78 99</t>
  </si>
  <si>
    <t>Williamdylandef</t>
  </si>
  <si>
    <t>13/07/2025</t>
  </si>
  <si>
    <t>Thor</t>
  </si>
  <si>
    <t>42 92 70 43</t>
  </si>
  <si>
    <t>De_sousa2204</t>
  </si>
  <si>
    <t>14/07/2025</t>
  </si>
  <si>
    <t>Williamdylander</t>
  </si>
  <si>
    <t>Han ville gerne starte med at hører nærmere og var ikke bestemt på kaldet. Han ville tænke over det og give svar dagen efter</t>
  </si>
  <si>
    <t>53 25 50 15</t>
  </si>
  <si>
    <t>miguel_andersen</t>
  </si>
  <si>
    <t>Benedict</t>
  </si>
  <si>
    <t>50 59 72 18</t>
  </si>
  <si>
    <t>Benedict_sorensen</t>
  </si>
  <si>
    <t>Bjarke</t>
  </si>
  <si>
    <t>22 58 58 48</t>
  </si>
  <si>
    <t>Bjarkewinther6</t>
  </si>
  <si>
    <t>starter og betaler d 31 juli</t>
  </si>
  <si>
    <t>Cuno</t>
  </si>
  <si>
    <t>42 91 02 13</t>
  </si>
  <si>
    <t>Cuncokolbeck</t>
  </si>
  <si>
    <t>17 årige lærling som skulle snakke med sin mor omkring prisen, ellers super varm og klar til at give den maks gas!</t>
  </si>
  <si>
    <t>30 66 79 99</t>
  </si>
  <si>
    <t>Kimbandhitjorgensen</t>
  </si>
  <si>
    <t>en person som har fulgt mig i 2-3 år og har vist interesse for coaching flere gange, men han synes at prisen var for meget og prøvede også at skubbe til ham, men var stadig ikke klar</t>
  </si>
  <si>
    <t>Theodor</t>
  </si>
  <si>
    <t>25 37 83 30</t>
  </si>
  <si>
    <t>theodorwernberg_</t>
  </si>
  <si>
    <t>tiden</t>
  </si>
  <si>
    <t>vi tager en ny snak d 31 juli, da det er der han får løn og der han 100% er klar sagde han, så nu må vi se selvom at jeg prøvede at få et depositum</t>
  </si>
  <si>
    <t>15/07/2025</t>
  </si>
  <si>
    <t>42 34 46 40</t>
  </si>
  <si>
    <t>terp.lukas</t>
  </si>
  <si>
    <t>Miguel_andersen</t>
  </si>
  <si>
    <t xml:space="preserve">Rigtig varm og skulle bare igang, men han synes bare det var for dyrt hvilket er træls. </t>
  </si>
  <si>
    <t>Joachim</t>
  </si>
  <si>
    <t>42 43 05 79</t>
  </si>
  <si>
    <t>Joachimbp06</t>
  </si>
  <si>
    <t>gym bro</t>
  </si>
  <si>
    <t>Han var vold varm og skulle bare igang og det gav også mening for ham, men han ville alligevel tænke over den. Så han valgte at vente og prøve med sin gym bro og hvis ikke virkede, så ville han vende tilbage</t>
  </si>
  <si>
    <t>22 78 16 17</t>
  </si>
  <si>
    <t>olivermoelerelmegard</t>
  </si>
  <si>
    <t>Juan</t>
  </si>
  <si>
    <t>41 90 25 47</t>
  </si>
  <si>
    <t>_juanr98</t>
  </si>
  <si>
    <t>Bange</t>
  </si>
  <si>
    <t>Han var ready og har haft 2-3 coaches før, men da vi kom til betaling kunne han først da han fik fri og han tog den aldrig da jeg ringede. Fik følelsen af at han ikke var comittet nok</t>
  </si>
  <si>
    <t>27 28 26 03</t>
  </si>
  <si>
    <t>Frederikmolander</t>
  </si>
  <si>
    <t>16/07/2025</t>
  </si>
  <si>
    <t>Jens</t>
  </si>
  <si>
    <t>27 28 45 98</t>
  </si>
  <si>
    <t>Jensbrandt92</t>
  </si>
  <si>
    <t>28 55 44 51</t>
  </si>
  <si>
    <t>Tobias.bjerg</t>
  </si>
  <si>
    <t>Manden var klar og han sagde pengene ikke var noget problem, så blev lidt varm og sagde at 6 mdr kostede 10k og han var også ready, men han ville hellere betale det månedligt og så sagde jeg at der var opstartsgebyr på 1500 og det hoppede han af på. så det er gg</t>
  </si>
  <si>
    <t>31 21 60 16</t>
  </si>
  <si>
    <t>Nico.alex.o</t>
  </si>
  <si>
    <t>Forældre</t>
  </si>
  <si>
    <t>han var også totalt ready, men hans forældre var ikke fan og han kunne ikke overtale dem</t>
  </si>
  <si>
    <t>Terp.lukas</t>
  </si>
  <si>
    <t>Super varm, dog ville han tænke over det og vende tilbage</t>
  </si>
  <si>
    <t>18/07/2025</t>
  </si>
  <si>
    <t>25 70 17 03</t>
  </si>
  <si>
    <t>Lauritsgreig</t>
  </si>
  <si>
    <t>22 37 57 56</t>
  </si>
  <si>
    <t>Lucas.k176</t>
  </si>
  <si>
    <t>Scott</t>
  </si>
  <si>
    <t>30 14 41 81</t>
  </si>
  <si>
    <t>Scottjensen3882</t>
  </si>
  <si>
    <t>53 65 74 13</t>
  </si>
  <si>
    <t>Kris._.mikkelsen</t>
  </si>
  <si>
    <t>19/07/2025</t>
  </si>
  <si>
    <t>Nikolaj</t>
  </si>
  <si>
    <t>25 73 00 47</t>
  </si>
  <si>
    <t>nikolaj_christ</t>
  </si>
  <si>
    <t>ture ikke</t>
  </si>
  <si>
    <t>han ture slet ikke og var slet ikke comittet nok. Han ville komme tilbage hvis han følte sig 100% klar</t>
  </si>
  <si>
    <t>20/07/2025</t>
  </si>
  <si>
    <t>20 36 88 70</t>
  </si>
  <si>
    <t>Hr_refsgaard</t>
  </si>
  <si>
    <t>22 54 47 13</t>
  </si>
  <si>
    <t>b_ismailovski</t>
  </si>
  <si>
    <t>Benjamin ville gerne igang, men var ikke comittet nok inden kaldet og ville bare hører hvordan det hele fungerede til at starte med. han ville snakke med konen og vende tilbage</t>
  </si>
  <si>
    <t>23 93 91 44</t>
  </si>
  <si>
    <t>Magnus_stuhr</t>
  </si>
  <si>
    <t>20 19 59 60</t>
  </si>
  <si>
    <t>victorholm0204</t>
  </si>
  <si>
    <t>29 70 05 10</t>
  </si>
  <si>
    <t>Sander_lunddal</t>
  </si>
  <si>
    <t>Morten</t>
  </si>
  <si>
    <t>60 60 84 99</t>
  </si>
  <si>
    <t>lost_star89</t>
  </si>
  <si>
    <t>Villads</t>
  </si>
  <si>
    <t>60 13 68 39</t>
  </si>
  <si>
    <t>villads_anderskov</t>
  </si>
  <si>
    <t>Timmi</t>
  </si>
  <si>
    <t>77 17 32 83</t>
  </si>
  <si>
    <t>timmi900001</t>
  </si>
  <si>
    <t>20 49 15 10</t>
  </si>
  <si>
    <t>kasperkberbl</t>
  </si>
  <si>
    <t>21/07/2025</t>
  </si>
  <si>
    <t>Jonathan</t>
  </si>
  <si>
    <t>42 34 90 30</t>
  </si>
  <si>
    <t>jonathanwpedersen</t>
  </si>
  <si>
    <t>22 85 40 11</t>
  </si>
  <si>
    <t>mikkel_tp</t>
  </si>
  <si>
    <t>29 25 45 47</t>
  </si>
  <si>
    <t>mikkel8430</t>
  </si>
  <si>
    <t>kender ham og har coachet ham før og prisen holdte ham lidt tilbage, så han spare 1000kr på oprettelse og vi tager et kald d 31 for at få styr på betaling og oprettelse</t>
  </si>
  <si>
    <t>60 67 45 50</t>
  </si>
  <si>
    <t>Christianbjerggard</t>
  </si>
  <si>
    <t>Kasperkberbl</t>
  </si>
  <si>
    <t>23 84 31 01</t>
  </si>
  <si>
    <t>noah_mikkelsennn</t>
  </si>
  <si>
    <t>Harald</t>
  </si>
  <si>
    <t>53 62 01 91</t>
  </si>
  <si>
    <t>jernbol</t>
  </si>
  <si>
    <t>Ketil</t>
  </si>
  <si>
    <t>23 39 16 17</t>
  </si>
  <si>
    <t>Ketilbendixen</t>
  </si>
  <si>
    <t>22 71 67 53</t>
  </si>
  <si>
    <t>Brygmann4321</t>
  </si>
  <si>
    <t>Han er fuld ready, men han venter til d 31 når han får løn, så der har vi sat et kald op hvor alt bliver klaret</t>
  </si>
  <si>
    <t>53 38 15 94</t>
  </si>
  <si>
    <t>Magnusgregersen64</t>
  </si>
  <si>
    <t>Han var rigtig klar og ville gerne igang, men da han hørte prisen slog det ham tilbage, så han ville tænke over det og vende tilbage</t>
  </si>
  <si>
    <t>22 16 61 78</t>
  </si>
  <si>
    <t>Magnus._.lohse</t>
  </si>
  <si>
    <t>22/07/2025</t>
  </si>
  <si>
    <t>22 59 29 67</t>
  </si>
  <si>
    <t>victor.hoejen</t>
  </si>
  <si>
    <t>42 47 24 23</t>
  </si>
  <si>
    <t>emil_ladi7</t>
  </si>
  <si>
    <t>tid</t>
  </si>
  <si>
    <t>han var fuld klar, men han kunne ikke betale endnu, så der er sat et nyt kald op d 31 august, så vi kan starte ham op</t>
  </si>
  <si>
    <t>Ketin</t>
  </si>
  <si>
    <t>ketilbendixen</t>
  </si>
  <si>
    <t>magnus._.lohse</t>
  </si>
  <si>
    <t>22 80 06 89</t>
  </si>
  <si>
    <t>Oliver_b_heide</t>
  </si>
  <si>
    <t>93 88 07 45</t>
  </si>
  <si>
    <t>Nordjyden_9900</t>
  </si>
  <si>
    <t>23/07/2025</t>
  </si>
  <si>
    <t>Mack</t>
  </si>
  <si>
    <t>28 25 78 68</t>
  </si>
  <si>
    <t>Mackmainz</t>
  </si>
  <si>
    <t>Anden coach</t>
  </si>
  <si>
    <t>Han sagde han hellere ville starte op hos en anden coach hvor ham og hans kone kunne starte op sammen</t>
  </si>
  <si>
    <t>30 70 36 91</t>
  </si>
  <si>
    <t>_.sorenstephansen._</t>
  </si>
  <si>
    <t>Give det et forsøg</t>
  </si>
  <si>
    <t>Han var super varm og var klar til at give den gas, men han ville hellere give det et forsøg og hvis han ikke så nogen resultater, så ville han tage kontakt igen</t>
  </si>
  <si>
    <t>Loke</t>
  </si>
  <si>
    <t>93 52 20 08</t>
  </si>
  <si>
    <t>loke2384</t>
  </si>
  <si>
    <t>Bjørn</t>
  </si>
  <si>
    <t>29 87 02 82</t>
  </si>
  <si>
    <t>bjorn_berg_07</t>
  </si>
  <si>
    <t>Han var ready, men han havde simpelthen bare ikke pengene</t>
  </si>
  <si>
    <t>Mehmet</t>
  </si>
  <si>
    <t>27 24 22 31</t>
  </si>
  <si>
    <t>kerooz1</t>
  </si>
  <si>
    <t>25 75 80 81</t>
  </si>
  <si>
    <t>Lucasdamboj</t>
  </si>
  <si>
    <t>Han var rimelig klar, men han ville først starte op til efter sommer og han ville selv tage kontakt til mig når det var, så ja</t>
  </si>
  <si>
    <t>Marius</t>
  </si>
  <si>
    <t>51 41 21 91</t>
  </si>
  <si>
    <t>Marius.ahrensberg</t>
  </si>
  <si>
    <t>24/07/2025</t>
  </si>
  <si>
    <t>60 67 54 27</t>
  </si>
  <si>
    <t>Stephansen.l</t>
  </si>
  <si>
    <t>Loke2384</t>
  </si>
  <si>
    <t>25/07/2025</t>
  </si>
  <si>
    <t>81 73 71 67</t>
  </si>
  <si>
    <t>Frederiknielsen06</t>
  </si>
  <si>
    <t>operation</t>
  </si>
  <si>
    <t>Han var mega klar til at give den gas, men han havde en operation om 3 uger og han ville først vente til at komme igang når det var done</t>
  </si>
  <si>
    <t>Vi starter d 1 og han betaler d 1 (han sprang fra)</t>
  </si>
  <si>
    <t>Max</t>
  </si>
  <si>
    <t>23 11 86 23</t>
  </si>
  <si>
    <t>max_thybo_</t>
  </si>
  <si>
    <t>Han starter d 11 august og han betaler der</t>
  </si>
  <si>
    <t>30 24 09 89</t>
  </si>
  <si>
    <t>Samuelgertsen</t>
  </si>
  <si>
    <t>30 58 25 42</t>
  </si>
  <si>
    <t>Valentin_schiavuta</t>
  </si>
  <si>
    <t>ferie</t>
  </si>
  <si>
    <t>vi har sat et nyt kald op d 14 august for at oprette ham og self klare betaling</t>
  </si>
  <si>
    <t>26/07/2025</t>
  </si>
  <si>
    <t>Julius</t>
  </si>
  <si>
    <t>61 67 36 56</t>
  </si>
  <si>
    <t>julius_frederiksen</t>
  </si>
  <si>
    <t>52 58 50 84</t>
  </si>
  <si>
    <t>Madswissendorf</t>
  </si>
  <si>
    <t>31 12 20 88</t>
  </si>
  <si>
    <t>Caspern06</t>
  </si>
  <si>
    <t>27/07/2025</t>
  </si>
  <si>
    <t>50 24 92 40</t>
  </si>
  <si>
    <t>Phillip_egede</t>
  </si>
  <si>
    <t>Han var klar og skulle i bedre form. Han ville tænke over det med prisen og vende tilbage idag om aftenen</t>
  </si>
  <si>
    <t>42 37 31 37</t>
  </si>
  <si>
    <t>nrgaarden</t>
  </si>
  <si>
    <t>Han var vold varm og endda et inbound lead, men han var jyde og han ville tænke over prisen selvom at jeg pressede ham</t>
  </si>
  <si>
    <t>28/07/2025</t>
  </si>
  <si>
    <t>20 31 42 44</t>
  </si>
  <si>
    <t>christoffer_hagens</t>
  </si>
  <si>
    <t>Jullius</t>
  </si>
  <si>
    <t>Julius_frederiksen</t>
  </si>
  <si>
    <t>93 91 00 19</t>
  </si>
  <si>
    <t>freddyanker</t>
  </si>
  <si>
    <t>24 47 90 75</t>
  </si>
  <si>
    <t>Carl_borby</t>
  </si>
  <si>
    <t>Felix</t>
  </si>
  <si>
    <t>22 47 46 87</t>
  </si>
  <si>
    <t>felixbendix</t>
  </si>
  <si>
    <t>29/07/2025</t>
  </si>
  <si>
    <t>Nilas</t>
  </si>
  <si>
    <t>30 42 05 11</t>
  </si>
  <si>
    <r>
      <rPr>
        <color rgb="FF1155CC"/>
        <u/>
      </rPr>
      <t>nilas.fr</t>
    </r>
  </si>
  <si>
    <t>Han var super klar, men ville lige vente og ville gerne prøve at starte op med sine venner først hvilket er fair</t>
  </si>
  <si>
    <t>Conni</t>
  </si>
  <si>
    <t>50 41 17 95</t>
  </si>
  <si>
    <t>Conni_honey</t>
  </si>
  <si>
    <t>30 42 39 23</t>
  </si>
  <si>
    <t>Maxbejtrup</t>
  </si>
  <si>
    <t>Han var ikke klar og havde ikke pengene til det!</t>
  </si>
  <si>
    <t>Nrgaarden</t>
  </si>
  <si>
    <t>Walid</t>
  </si>
  <si>
    <t>71 63 41 03</t>
  </si>
  <si>
    <t>Ss_w748</t>
  </si>
  <si>
    <t>30/07/2025</t>
  </si>
  <si>
    <t>Aymen</t>
  </si>
  <si>
    <t>42 30 64 53</t>
  </si>
  <si>
    <t>Aymen_bm05</t>
  </si>
  <si>
    <t>Super varmt lead og ville faktisk gerne danne nogen gode vaner, da han arbejder en del! Dog ville han gerne tænke over det</t>
  </si>
  <si>
    <t>Lauritz</t>
  </si>
  <si>
    <t>23 83 20 11</t>
  </si>
  <si>
    <t>Lauritz_glerup</t>
  </si>
  <si>
    <t>Han var også super klar, men han havde ikke pengene til det da han kun arbejdede i rema som studie job</t>
  </si>
  <si>
    <t>23 96 08 35</t>
  </si>
  <si>
    <t>follesen</t>
  </si>
  <si>
    <t>Han var fin, dog var han slet ikke klar til at lock in, så det var lidt svært og han ville heller ikke investere i det</t>
  </si>
  <si>
    <t>Yazan</t>
  </si>
  <si>
    <t>52 73 78 34</t>
  </si>
  <si>
    <t>ymadi06</t>
  </si>
  <si>
    <t>26 33 05 88</t>
  </si>
  <si>
    <t>christianhuus</t>
  </si>
  <si>
    <t>Han er klar 31 august og der betaler han</t>
  </si>
  <si>
    <t>James</t>
  </si>
  <si>
    <t>71 51 56 86</t>
  </si>
  <si>
    <t>jamesmellemkjaer</t>
  </si>
  <si>
    <t>31/07/2025</t>
  </si>
  <si>
    <t>23 47 42 22</t>
  </si>
  <si>
    <t>Baun_176</t>
  </si>
  <si>
    <t>Meget spøjs person som ikke blev solgt til og ville heller ikke arbejde med ham</t>
  </si>
  <si>
    <t>brygmann4321</t>
  </si>
  <si>
    <t>Vold godt lead og han ville bare gerne igang, dog var det pengene som haltede da han har mistet kørekortet og fået en ordenlig bøde, så han skal ringes til igen om et par måneder</t>
  </si>
  <si>
    <t>26 46 94 34</t>
  </si>
  <si>
    <t>_mathias_clausen</t>
  </si>
  <si>
    <t>Said</t>
  </si>
  <si>
    <t>55 23 36 91</t>
  </si>
  <si>
    <t>Said_hussein_83</t>
  </si>
  <si>
    <t>42 25 99 58</t>
  </si>
  <si>
    <t>lasse_6710</t>
  </si>
  <si>
    <t>Super varmt lead og han ville bare gerne igang, men han synes ikke han var klar til at få det investeret i en coach og sådan er det</t>
  </si>
  <si>
    <t xml:space="preserve">David </t>
  </si>
  <si>
    <t>42 50 30 13</t>
  </si>
  <si>
    <t>daviddampe</t>
  </si>
  <si>
    <t>Anton KPI's</t>
  </si>
  <si>
    <t>Rev per call</t>
  </si>
  <si>
    <t>Cash per call</t>
  </si>
  <si>
    <t>Cash upfront %</t>
  </si>
  <si>
    <t>PIF %</t>
  </si>
  <si>
    <t>Average Binding</t>
  </si>
  <si>
    <t>Average deal</t>
  </si>
  <si>
    <t>Average cash</t>
  </si>
  <si>
    <t>Fik endelig betaling fra ham</t>
  </si>
  <si>
    <t>starter og betaler d 31 august, selvom meningen var at vi startede d 1 august</t>
  </si>
  <si>
    <t>starter og betaler d 1 august (Han svarer ikke på mine beskeder)</t>
  </si>
  <si>
    <t>betaler 1 august og starter 1 sep (Venter svar fra ham)</t>
  </si>
  <si>
    <t>starter og betaler d 1 august (bumsen har blokeret mig)</t>
  </si>
  <si>
    <t>starter og betaler d 31 juli (han har ikke råd, vi udskyder til 31 august istedet)</t>
  </si>
  <si>
    <t>Han betalte 500 sidste måned</t>
  </si>
  <si>
    <t xml:space="preserve">Han er klar 31 august og der betaler han </t>
  </si>
  <si>
    <t>31 95 58 15</t>
  </si>
  <si>
    <t>Martin.daoudd</t>
  </si>
  <si>
    <t>53 63 09 43</t>
  </si>
  <si>
    <t>madspc004</t>
  </si>
  <si>
    <t>Axel</t>
  </si>
  <si>
    <t>28 60 86 02</t>
  </si>
  <si>
    <t>axelhauerslev</t>
  </si>
  <si>
    <t>Han var super nice, men han ville slet ikke smide pengene i det</t>
  </si>
  <si>
    <t>23 86 09 52</t>
  </si>
  <si>
    <t>brunduss</t>
  </si>
  <si>
    <t>fin fyr, men han ville gerne tænke over det!</t>
  </si>
  <si>
    <t>21 16 82 88</t>
  </si>
  <si>
    <t>daniel.arnason00</t>
  </si>
  <si>
    <t>Han var frisk og klar, dog ville han tænke over det og vi aftalte et kald om mandagen og han mødte aldrig op</t>
  </si>
  <si>
    <t>42 33 80 96</t>
  </si>
  <si>
    <t>lucas-hansen_3914</t>
  </si>
  <si>
    <t>Han skulle på hospitalet</t>
  </si>
  <si>
    <t>30 11 53 98</t>
  </si>
  <si>
    <t>Alexsander.from</t>
  </si>
  <si>
    <t>Sygt frisk gut og det eneste som holdte ham tilbage var ækonomien. Gav ham et tilbud på 750 fra opstart og han var stadig for presset til det</t>
  </si>
  <si>
    <t>20 13 19 84</t>
  </si>
  <si>
    <t>Benjamin_rebmann</t>
  </si>
  <si>
    <t>Pung</t>
  </si>
  <si>
    <t>Han var klar og skulle til at betale, men han kunne ikke finde sin pung. Han ledte efter det og aftalte han skulle ordne betaling så snart han fandt pungen og så skulle han på hospitalet for at være hos sin far og hørte ikke fra ham siden</t>
  </si>
  <si>
    <t>David</t>
  </si>
  <si>
    <t>42 91 44 42</t>
  </si>
  <si>
    <t>Niklasudenc</t>
  </si>
  <si>
    <t>Super fint lead og ville gerne igang, men det var kun prisen som holdte ham tilbage</t>
  </si>
  <si>
    <t>Villas</t>
  </si>
  <si>
    <t>30 28 00 67</t>
  </si>
  <si>
    <t>Villas_mehlsen</t>
  </si>
  <si>
    <t>Har en snak med ham igen d 31 hvor vi får styr på betaling og opstart</t>
  </si>
  <si>
    <t>53 69 76 72</t>
  </si>
  <si>
    <t>frederikk_pedersen</t>
  </si>
  <si>
    <t>21 49 34 44</t>
  </si>
  <si>
    <t>victor_gammelvind</t>
  </si>
  <si>
    <t>Vitus</t>
  </si>
  <si>
    <t>93 89 61 06</t>
  </si>
  <si>
    <t>vitus_toft</t>
  </si>
  <si>
    <t>Ung dreng som gerne ville igang og havde egentlig penge til det, men hans forældre sagde nej</t>
  </si>
  <si>
    <t>30 96 29 25</t>
  </si>
  <si>
    <t>Simonblumpedersen</t>
  </si>
  <si>
    <t>22 56 64 82</t>
  </si>
  <si>
    <t>noahpettersson_</t>
  </si>
  <si>
    <t>92 43 34 92</t>
  </si>
  <si>
    <t>Lucas24m</t>
  </si>
  <si>
    <t>60 70 47 88</t>
  </si>
  <si>
    <t>Bonde420.01</t>
  </si>
  <si>
    <t>Onboarding kald d 31</t>
  </si>
  <si>
    <t>25 29 63 60</t>
  </si>
  <si>
    <t>patricksandberg1</t>
  </si>
  <si>
    <t xml:space="preserve">Han valgte en anden coach </t>
  </si>
  <si>
    <t>Balo</t>
  </si>
  <si>
    <t>55 23 06 00</t>
  </si>
  <si>
    <t>balo_huncho</t>
  </si>
  <si>
    <t>Fint lead, han arbejdede meget, men han ville tænke over det men ved godt det var pga pengene</t>
  </si>
  <si>
    <t>31 71 36 92</t>
  </si>
  <si>
    <t>toemrer.rasmus</t>
  </si>
  <si>
    <t>Super spøjs fyr. Han ville gerne tabe sig, han havde i bund og grund penge til det og så skulle han også snakke med rasmus sparholdt dagen efter</t>
  </si>
  <si>
    <t>40 58 21 01</t>
  </si>
  <si>
    <t>Rasmus_dworak</t>
  </si>
  <si>
    <t>44 16 40 12</t>
  </si>
  <si>
    <t>Madsbolmose</t>
  </si>
  <si>
    <t>Rolando</t>
  </si>
  <si>
    <t>42 75 79 56</t>
  </si>
  <si>
    <t>_ronaldo.rodriquez</t>
  </si>
  <si>
    <t>Han blokerede mig</t>
  </si>
  <si>
    <t>61 70 84 76</t>
  </si>
  <si>
    <t>peter_hjortkjær</t>
  </si>
  <si>
    <t>Manden var fucking klar til at give den gas og skulle endda også til at betale, men så sagde han at hans far ringede self. Så hvis man giver tilbud på opstart, så er han nok ready</t>
  </si>
  <si>
    <t>25 56 84 40</t>
  </si>
  <si>
    <t>Malthemunk_</t>
  </si>
  <si>
    <t>tid og penge</t>
  </si>
  <si>
    <t>han var fucking klar, men havde ikke pengene, så har smidt ham på onboarding kald d 31, så vi kan klare opstart + betaling</t>
  </si>
  <si>
    <t>29 84 43 16</t>
  </si>
  <si>
    <t>Gustav_espenhain</t>
  </si>
  <si>
    <t>Henrik</t>
  </si>
  <si>
    <t>27 11 09 29</t>
  </si>
  <si>
    <t>henrikbunchjensen</t>
  </si>
  <si>
    <t>61 66 41 13</t>
  </si>
  <si>
    <t>emil_olsen28</t>
  </si>
  <si>
    <t>ung knægt på 16 som bare ikke havde pengene til det</t>
  </si>
  <si>
    <t>Nicolas_iordanov</t>
  </si>
  <si>
    <t>23 34 11 69</t>
  </si>
  <si>
    <t>J_.drejer</t>
  </si>
  <si>
    <t xml:space="preserve"> 42 32 59 02</t>
  </si>
  <si>
    <t>mike.jacobsen.77</t>
  </si>
  <si>
    <t>fint lead, ville også igang, men han synes det var svært at smide 1500kr månedligt, da han bare var en blodhjertet nærig jyde haha</t>
  </si>
  <si>
    <t>22 76 06 27</t>
  </si>
  <si>
    <t>Frederik.andersen09_</t>
  </si>
  <si>
    <t>16 årige knægt uden penge på lommen</t>
  </si>
  <si>
    <t>91 88 73 44</t>
  </si>
  <si>
    <t>rasmuskristianhansen</t>
  </si>
  <si>
    <t>Umar</t>
  </si>
  <si>
    <t>49 176 24770125</t>
  </si>
  <si>
    <t>u.sbehi</t>
  </si>
  <si>
    <t>20 66 60 87</t>
  </si>
  <si>
    <t>magnus_zeuthen</t>
  </si>
  <si>
    <t>25 72 96 00</t>
  </si>
  <si>
    <t>Rasmuslk93</t>
  </si>
  <si>
    <t>tænke over det + penge</t>
  </si>
  <si>
    <t>rigtig godt lead og han skulle igang, men han synes penge var lidt stramme, da han var gået fra damen og lige flyttet i ny lejlighed</t>
  </si>
  <si>
    <t>U.sbehi</t>
  </si>
  <si>
    <t>han venter på at han får løn, så vi har aftalt at snuppe et kald d 31 for at få ham igang + betaling</t>
  </si>
  <si>
    <t>Sigurd</t>
  </si>
  <si>
    <t>21 33 08 21</t>
  </si>
  <si>
    <t>sigurd_gram</t>
  </si>
  <si>
    <t>VOLD VARM! Snakkede med ham dagen før og han skulle have snakket med banken, så vi aftalte at få styr på det hele dagen efter og hørte aldrig fra ham</t>
  </si>
  <si>
    <t>Murtada</t>
  </si>
  <si>
    <t>31 51 54 47</t>
  </si>
  <si>
    <t>murtradi_</t>
  </si>
  <si>
    <t>61 60 79 32</t>
  </si>
  <si>
    <t>Silasstoklund123</t>
  </si>
  <si>
    <t>Tænke over det + penge</t>
  </si>
  <si>
    <t>Han var også sygt klar, men han ville tænke over det selvom at jeg prøvede at presse ham, og nu hører jeg ikke fra ham</t>
  </si>
  <si>
    <t>Aske</t>
  </si>
  <si>
    <t>20 16 16 11</t>
  </si>
  <si>
    <t>Rumannaske</t>
  </si>
  <si>
    <t>Hjalte</t>
  </si>
  <si>
    <t>20 73 39 71</t>
  </si>
  <si>
    <t>skovbyhjalte</t>
  </si>
  <si>
    <t>silasstoklund123</t>
  </si>
  <si>
    <t>noahejorgensen</t>
  </si>
  <si>
    <t>Tog et kald da han hellere ville snakke med mig spontant. han er klar, men kan først betale og starte op d 31</t>
  </si>
  <si>
    <t>28 19 26 25</t>
  </si>
  <si>
    <t>jonas_romney</t>
  </si>
  <si>
    <t>Tog et kald med ham, da han hellere ville snakke med mig. har coachet ham før og han kunne først starte d 31 august, da han har penge der (han hoppede fra)</t>
  </si>
  <si>
    <t>14/08/2025</t>
  </si>
  <si>
    <t>52 90 95 00</t>
  </si>
  <si>
    <t>Mathias_s_hald</t>
  </si>
  <si>
    <t>Mazlum</t>
  </si>
  <si>
    <t>42 48 34 43</t>
  </si>
  <si>
    <t>han betaler bagud istedet for forud</t>
  </si>
  <si>
    <t>15/08/2025</t>
  </si>
  <si>
    <r>
      <rPr>
        <rFont val="Arial"/>
        <color rgb="FF000000"/>
        <sz val="10.0"/>
        <u/>
      </rPr>
      <t>handbergchristian</t>
    </r>
  </si>
  <si>
    <t>16/08/2025</t>
  </si>
  <si>
    <t>51 93 22 03</t>
  </si>
  <si>
    <t>Emilruchpadowan</t>
  </si>
  <si>
    <t>penge + tænke over det</t>
  </si>
  <si>
    <t>han var i bund og grund klar, men har smidt ham på deposit fordi jeg har planlagt et nyt kald med ham d 31 august</t>
  </si>
  <si>
    <t>60 17 23 52</t>
  </si>
  <si>
    <t>Oliverhestenng</t>
  </si>
  <si>
    <t>han var ready, men han skulle tænke over prisen og snakke med sine forældre</t>
  </si>
  <si>
    <t>40 68 00 49</t>
  </si>
  <si>
    <t>Soeren_maelkesnitte</t>
  </si>
  <si>
    <t>Lucas.hansen_3914</t>
  </si>
  <si>
    <t>17/08/2025</t>
  </si>
  <si>
    <t>TIden og frygt</t>
  </si>
  <si>
    <t>Super klar, han var dog i genoptræningsforløb, men ved godt det ikke var derfor han ikke startede. han var nok lidt bange og pengene. dog sagde han at han var 100% klar til december</t>
  </si>
  <si>
    <t>lukas_blond03</t>
  </si>
  <si>
    <t>19/08/2025</t>
  </si>
  <si>
    <t>29 60 17 50</t>
  </si>
  <si>
    <t>Mathiasrexrother</t>
  </si>
  <si>
    <t>Mathiastinglef</t>
  </si>
  <si>
    <t>Han starter og betaler d 29 august</t>
  </si>
  <si>
    <t>21/08/2025</t>
  </si>
  <si>
    <t>50 75 92 55</t>
  </si>
  <si>
    <t>Benjaminbjoernholt</t>
  </si>
  <si>
    <t>Han betaler 9k d 22 august</t>
  </si>
  <si>
    <t>25 75 28 24</t>
  </si>
  <si>
    <t>_victorjensenn_</t>
  </si>
  <si>
    <t>27 58 55 75</t>
  </si>
  <si>
    <t>Sebastian.jepsen.73</t>
  </si>
  <si>
    <t>25/08/2025</t>
  </si>
  <si>
    <t>Tobi.26hv</t>
  </si>
  <si>
    <t>Skal snakke med ham igen d 1 sep, da han ikke havde pengene</t>
  </si>
  <si>
    <t>Alfred</t>
  </si>
  <si>
    <t>23 24 41 29</t>
  </si>
  <si>
    <t>Alfredfriisa</t>
  </si>
  <si>
    <t>Penge og frygt</t>
  </si>
  <si>
    <t>Han var sygt varm og skulle bare igang, jeg sender ham payment link og så får han kolde fødder. Han skal 100% ringes op igen!</t>
  </si>
  <si>
    <t>26/08/2025</t>
  </si>
  <si>
    <t>61 69 09 75</t>
  </si>
  <si>
    <t>nicolai_fuglsang</t>
  </si>
  <si>
    <t>Han var syg og har ikke svaret tilbage på reschedule offer</t>
  </si>
  <si>
    <t>42 43 70 30</t>
  </si>
  <si>
    <t>Noah_fromsejer</t>
  </si>
  <si>
    <t>han ville gerne igang, men han ville hellere spare op til at flytte ud og så var han også lidt bange for at bruge penge på det</t>
  </si>
  <si>
    <t>22 20 46 39</t>
  </si>
  <si>
    <t>malthepetersen_</t>
  </si>
  <si>
    <t>Ludvig</t>
  </si>
  <si>
    <t>20 41 14 26</t>
  </si>
  <si>
    <t>Ludv0486</t>
  </si>
  <si>
    <t>Han var også rigtig klar og kunne godt se at det var pengene værd, dog ville han tænke over det og fik en besked efter med at hans bil var gået istykker osv osv</t>
  </si>
  <si>
    <t>Birk</t>
  </si>
  <si>
    <t>30 70 80 61</t>
  </si>
  <si>
    <t>birkno.9</t>
  </si>
  <si>
    <t>Ramazan</t>
  </si>
  <si>
    <t>93 87 27 34</t>
  </si>
  <si>
    <t>ramazan_dtas01</t>
  </si>
  <si>
    <t>Jody</t>
  </si>
  <si>
    <t>jodykurdo</t>
  </si>
  <si>
    <t>22 89 38 61</t>
  </si>
  <si>
    <t>mads_sorup97</t>
  </si>
  <si>
    <t>Super varm og han skulle bare igang og da vi kommer til penge, så sgade han at han ville skrive tilbage og gad ikke svarer på hvorfor, så tror han ikke havde kroner på lommen, så han skal bare ringes op igen asap nu hvor der er løn</t>
  </si>
  <si>
    <t>20 74 42 41</t>
  </si>
  <si>
    <t>mj_officel1</t>
  </si>
  <si>
    <t>han var varm og skulle igang, men hans budget var der ikke til det lige nu, så han skal ringes op igen!</t>
  </si>
  <si>
    <t>Topper</t>
  </si>
  <si>
    <t>25 79 22 16</t>
  </si>
  <si>
    <t>topperdamgaardharnk</t>
  </si>
  <si>
    <t>Han blokere mig midt call</t>
  </si>
  <si>
    <t>20 35 35 32</t>
  </si>
  <si>
    <t>mikkel_pgreve</t>
  </si>
  <si>
    <t>han var også en frisk gut og skulle igang, han ville tænke over det men hørte aldrig fra ham igen</t>
  </si>
  <si>
    <t>27/08/2025</t>
  </si>
  <si>
    <t>60 69 62 71</t>
  </si>
  <si>
    <t>madsjessennn</t>
  </si>
  <si>
    <t>cancel fordi han får forløb gratis hos en ven lol</t>
  </si>
  <si>
    <t>60 65 31 03</t>
  </si>
  <si>
    <t>dalsgaard97</t>
  </si>
  <si>
    <t>16 år gammel og ingen penge</t>
  </si>
  <si>
    <t>Sharmaarke</t>
  </si>
  <si>
    <t>91 16 17 07</t>
  </si>
  <si>
    <t>sharmaarke_bashir</t>
  </si>
  <si>
    <t>Super varm og nice, men han skulle spare op og ville maks kunne investere 800kr i coaching</t>
  </si>
  <si>
    <t>52 30 17 13</t>
  </si>
  <si>
    <t>oliversorensen16</t>
  </si>
  <si>
    <t>30 12 30 43</t>
  </si>
  <si>
    <t>wandersen_</t>
  </si>
  <si>
    <t>frygt</t>
  </si>
  <si>
    <t>Mande var fuld varm og skulle igang. han har mange para og aftalen var også at han skulle igang. dog kunne han først betale da han kom hjem og da han kom hjem kom han med en trash undskyldning for ikke at komme igang</t>
  </si>
  <si>
    <t>29 29 48 28</t>
  </si>
  <si>
    <t>Mortenwn_wn</t>
  </si>
  <si>
    <t>Han var vist interesse 3-4 gange og snakket med ham et par gange. Vi aftaler onboarding kald d 31 og møder ikke op</t>
  </si>
  <si>
    <t>42 33 22 35</t>
  </si>
  <si>
    <t>alan_omar26</t>
  </si>
  <si>
    <t>Manden sidder og får en fade og så sagde jeg ikke idag bro</t>
  </si>
  <si>
    <t>25 75 27 24</t>
  </si>
  <si>
    <t>sebastian__overgaard</t>
  </si>
  <si>
    <t>Underlig type</t>
  </si>
  <si>
    <t>Han var fuld ready og skulle igang. han arbejder meget og han skulle betale. kunne han ikke da han kørte bil og så blev han ved med at udskyde. underlig type tbh</t>
  </si>
  <si>
    <t>mikkel.schultz35</t>
  </si>
  <si>
    <t>sej ung 16 årige som ikke havde penge og skulle snakke med sine forældre. dog hørte jeg ikke fra ham</t>
  </si>
  <si>
    <t>Anas</t>
  </si>
  <si>
    <t>25 65 56 78</t>
  </si>
  <si>
    <t>Anas._.andersen</t>
  </si>
  <si>
    <t>28/08/2025</t>
  </si>
  <si>
    <t>29 83 99 77</t>
  </si>
  <si>
    <t>Soerensen_andreas04</t>
  </si>
  <si>
    <t>fkn varm og var også klar på at bruge penge, men han var en nærrigrøv og ville ikke på et forløb længere end 2 mdr. han skal ringes op igen!</t>
  </si>
  <si>
    <t>Bertil</t>
  </si>
  <si>
    <t>26 21 58 55</t>
  </si>
  <si>
    <t>Bertildelo</t>
  </si>
  <si>
    <t>faktisk super varm og flink. han ville tænke over det og mødte ikke op til onboarding kald 31. mikkel skal følge op på ham</t>
  </si>
  <si>
    <t>Johannes</t>
  </si>
  <si>
    <t>21 32 01 47</t>
  </si>
  <si>
    <t>jo_hannes_mei_ster</t>
  </si>
  <si>
    <t>super nice, havde ikke penge og han skal ringes op igen!</t>
  </si>
  <si>
    <t>Elias</t>
  </si>
  <si>
    <t>93 87 05 09</t>
  </si>
  <si>
    <t>emand12340</t>
  </si>
  <si>
    <t>42 47 37 19</t>
  </si>
  <si>
    <t>alex.bang7</t>
  </si>
  <si>
    <t>20 75 77 55</t>
  </si>
  <si>
    <t>William_merdan</t>
  </si>
  <si>
    <t>51 79 29 11</t>
  </si>
  <si>
    <t>lil.m201</t>
  </si>
  <si>
    <t>forældre</t>
  </si>
  <si>
    <t>forældre sagde nej og at det var for mange penge</t>
  </si>
  <si>
    <t>Ronni</t>
  </si>
  <si>
    <t>42 33 25 25</t>
  </si>
  <si>
    <t>Nori.rash3</t>
  </si>
  <si>
    <t>30/08/2025</t>
  </si>
  <si>
    <t>91 92 15 45</t>
  </si>
  <si>
    <t>Morten.wohlert</t>
  </si>
  <si>
    <t xml:space="preserve">manden var klar og det hele. han skal betale og så er hans kort spærret self </t>
  </si>
  <si>
    <t>31 45 71 00</t>
  </si>
  <si>
    <t>patrickvestergaard_15</t>
  </si>
  <si>
    <t>23 24 50 43</t>
  </si>
  <si>
    <t>therealoscarkarberg</t>
  </si>
  <si>
    <t>Inbound lead og møder ikke op lol</t>
  </si>
  <si>
    <t>31/08/2025</t>
  </si>
  <si>
    <t>A.motz1</t>
  </si>
  <si>
    <t>starter og betaler d 11 sep</t>
  </si>
  <si>
    <t>61 77 28 72</t>
  </si>
  <si>
    <t>Jacobjrgensen</t>
  </si>
  <si>
    <t>nyt kald d 7 sep</t>
  </si>
  <si>
    <t>Emil_ladi07</t>
  </si>
  <si>
    <t>61 28 73 58</t>
  </si>
  <si>
    <t>jeppesode</t>
  </si>
  <si>
    <t>alt for mange penge for ham og det er fair!</t>
  </si>
  <si>
    <t>22 63 72 90</t>
  </si>
  <si>
    <t>Kristian.nissen.soerensen</t>
  </si>
  <si>
    <t>sove på den</t>
  </si>
  <si>
    <t>nyt kald d 1 og snakke alt igennem</t>
  </si>
  <si>
    <t>42 24 74 00</t>
  </si>
  <si>
    <t>Jeppe_aalund</t>
  </si>
  <si>
    <t>Philip</t>
  </si>
  <si>
    <r>
      <rPr>
        <rFont val="-apple-system, &quot;system-ui&quot;, &quot;Segoe UI&quot;, Roboto, Helvetica, Arial, sans-serif"/>
        <color rgb="FF1155CC"/>
        <sz val="15.0"/>
        <u/>
      </rPr>
      <t>philipbehrmannn</t>
    </r>
  </si>
  <si>
    <r>
      <rPr>
        <rFont val="-apple-system, &quot;system-ui&quot;, &quot;Segoe UI&quot;, Roboto, Helvetica, Arial, sans-serif"/>
        <color rgb="FF1155CC"/>
        <sz val="15.0"/>
        <u/>
      </rPr>
      <t>mikkelorregaard</t>
    </r>
  </si>
  <si>
    <t>super frisk, men ville gerne sove på den</t>
  </si>
  <si>
    <r>
      <rPr>
        <rFont val="-apple-system, &quot;system-ui&quot;, &quot;Segoe UI&quot;, Roboto, Helvetica, Arial, sans-serif"/>
        <color rgb="FF1155CC"/>
        <sz val="15.0"/>
        <u/>
      </rPr>
      <t>mikkelorregaard</t>
    </r>
  </si>
  <si>
    <t>91 93 24 31</t>
  </si>
  <si>
    <t>tobi.26hv</t>
  </si>
  <si>
    <t>Det var en onboarding, men manden møder ikke op</t>
  </si>
  <si>
    <t>Idk</t>
  </si>
  <si>
    <t>han betaler bagud</t>
  </si>
  <si>
    <t>Max_leon_beller</t>
  </si>
  <si>
    <t>Gammelt lead og han fik det til gammel pris</t>
  </si>
  <si>
    <t>Laurids</t>
  </si>
  <si>
    <t>30 46 00 43</t>
  </si>
  <si>
    <t>Laurids_sj</t>
  </si>
  <si>
    <t>nicolai_palmelund</t>
  </si>
  <si>
    <t>61 72 66 83</t>
  </si>
  <si>
    <t>jonathan.schneider.lunden</t>
  </si>
  <si>
    <t>Manden var så klar og det var også et onboarding, men han havde ikke penge og efter skriver han at han ikke har penge selvom han havde penge.</t>
  </si>
  <si>
    <t>91 45 14 73</t>
  </si>
  <si>
    <t>Mikkelras203</t>
  </si>
  <si>
    <t>Godt lead, men ikke særligt investeret fra start. Men godt follow up lead</t>
  </si>
  <si>
    <t>61 41 68 35</t>
  </si>
  <si>
    <t>Jannick_laursen</t>
  </si>
  <si>
    <t>42 53 87 89</t>
  </si>
  <si>
    <t>Harald_gruner</t>
  </si>
  <si>
    <t>Han havde ikke penge og hans forældre gad ikke sponsorere</t>
  </si>
  <si>
    <t>49 90 82 83</t>
  </si>
  <si>
    <t>nicklashundrup</t>
  </si>
  <si>
    <t>oscabutt</t>
  </si>
  <si>
    <t>Han skulle tænke over det, men hørte aldrig tilbage fra ham. super fint lead at ringe op til igen</t>
  </si>
  <si>
    <t>Emin</t>
  </si>
  <si>
    <t>42 46 59 92</t>
  </si>
  <si>
    <t>Emin_muheljic06</t>
  </si>
  <si>
    <t>20 80 56 56</t>
  </si>
  <si>
    <t>marcus_holm_winther</t>
  </si>
  <si>
    <t>Han skal ringes op til igen og trykket til ham, fordi han var i klar men var en pussy</t>
  </si>
  <si>
    <t>Johan</t>
  </si>
  <si>
    <t>93 92 41 16</t>
  </si>
  <si>
    <t>johanerenskjold</t>
  </si>
  <si>
    <t>var klar til at komme igang, men havde ikke pengene nu, han var klar på løningsdag, så der skal søren ringe ham op</t>
  </si>
  <si>
    <t>27 21 30 25</t>
  </si>
  <si>
    <t>Victor.lundsgaard</t>
  </si>
  <si>
    <t>manden var også fkn klar og han skulle sove på den. han havde para. søren skal ringe ham op løningsdag!</t>
  </si>
  <si>
    <t>Dylan</t>
  </si>
  <si>
    <t>52 81 54 96</t>
  </si>
  <si>
    <t>dylan.galeano97</t>
  </si>
  <si>
    <t>Manden er fuld attitude på som om jeg havde tvunget ham på kald. ville bare høre pris og han ville ikke betale mere end 1000kr</t>
  </si>
  <si>
    <t>42 71 12 18</t>
  </si>
  <si>
    <t>Patrick_vedel_</t>
  </si>
  <si>
    <t>Carsten</t>
  </si>
  <si>
    <t>53 88 03 29</t>
  </si>
  <si>
    <t>Carstenflink</t>
  </si>
  <si>
    <t>Manden var fkn klar og skulle til at betale, men kom med dårlige undskyldninger for at udskyde. så har bedt søren om at ringe ham op idag!</t>
  </si>
  <si>
    <t>Tariq</t>
  </si>
  <si>
    <t>Ta.saf98</t>
  </si>
  <si>
    <t>45 42 66 72 72</t>
  </si>
  <si>
    <t>nicolai_boye_</t>
  </si>
  <si>
    <t>Omid</t>
  </si>
  <si>
    <t>53 80 53 29</t>
  </si>
  <si>
    <t>omid_gorgarbi</t>
  </si>
  <si>
    <t>Zofus</t>
  </si>
  <si>
    <t>26 84 78 26</t>
  </si>
  <si>
    <t>zofusvl</t>
  </si>
  <si>
    <t>21 33 59 33</t>
  </si>
  <si>
    <t>Kasper121a</t>
  </si>
  <si>
    <t>Manden var klar og siger han er fuld klar, men når vi kommer til prisen siger han at han kun har 500kr til overs hver måned hvilket er cap</t>
  </si>
  <si>
    <t>22 79 89 93</t>
  </si>
  <si>
    <t>nikolaj_braendekilde1337</t>
  </si>
  <si>
    <t>Han synes det var for dyrt til hans budget og det er hvad det er</t>
  </si>
  <si>
    <t>28 19 34 36</t>
  </si>
  <si>
    <t>0740_marcus</t>
  </si>
  <si>
    <t>Jacobbjrgensen</t>
  </si>
  <si>
    <t>22 76 09 45</t>
  </si>
  <si>
    <t>rasmus_tsp</t>
  </si>
  <si>
    <t>Snakkede med ham 2 gange og i lang tid. manden var på nippen og han ville hellere tage kontakt når han var klar. han skal ringes op om 1 måned!</t>
  </si>
  <si>
    <t>41 61 06 19</t>
  </si>
  <si>
    <t>Frederik.s.p</t>
  </si>
  <si>
    <t>Han sprang fra</t>
  </si>
  <si>
    <t>Nicklasgrass</t>
  </si>
  <si>
    <t>30 78 06 32</t>
  </si>
  <si>
    <t>madslorensen_</t>
  </si>
  <si>
    <t>23 92 27 50</t>
  </si>
  <si>
    <t>Emil_rasmussen_</t>
  </si>
  <si>
    <t>53 63 24 17</t>
  </si>
  <si>
    <t>Emil_thomsen_4700</t>
  </si>
  <si>
    <t>50 41 38 06</t>
  </si>
  <si>
    <t>theis.rosenbaum</t>
  </si>
  <si>
    <t>Han var et rigtig godt lead, men han havde en masse projekter kørende, som var med til at han ikke havde pengene til det</t>
  </si>
  <si>
    <t>26 46 97 55</t>
  </si>
  <si>
    <t>samuelhvid</t>
  </si>
  <si>
    <t>Manden var sat på deposit og var klar. han havde så ikke forstået at det var 3k først, så han ghostede efter han fandt ud af det</t>
  </si>
  <si>
    <t>26 35 55 17</t>
  </si>
  <si>
    <t>_emil_viborg_</t>
  </si>
  <si>
    <t>30 21 82 04</t>
  </si>
  <si>
    <t>Andreas.valentini</t>
  </si>
  <si>
    <t>50 71 52 32</t>
  </si>
  <si>
    <t>Emil_vejiling</t>
  </si>
  <si>
    <t>NOah</t>
  </si>
  <si>
    <t>61 60 85 16</t>
  </si>
  <si>
    <t>Noah_b.j</t>
  </si>
  <si>
    <t>Han starter og betaler d 30</t>
  </si>
  <si>
    <t>61 77 22 30</t>
  </si>
  <si>
    <t>amby_0108</t>
  </si>
  <si>
    <t>Penge og tænke over det</t>
  </si>
  <si>
    <t>Super godt lead og han ville gerne igang, men det der holdte ham tilbage var pengene og at han havde mabge udgifter i forevejen</t>
  </si>
  <si>
    <t>42 50 90 01</t>
  </si>
  <si>
    <t>Bertram0309</t>
  </si>
  <si>
    <t>Malte</t>
  </si>
  <si>
    <t>29 12 02 86</t>
  </si>
  <si>
    <t>Malte_molsted</t>
  </si>
  <si>
    <t>Prøvede at presse citronen, da han var et godt lead, men han var bare ikke comittet nok tbh</t>
  </si>
  <si>
    <t>42 40 55 85</t>
  </si>
  <si>
    <t>Marcus_k_m</t>
  </si>
  <si>
    <t>28 49 11 83</t>
  </si>
  <si>
    <t>Eliasschultzz</t>
  </si>
  <si>
    <t>Manden var så tæt på at betale 6k, men hans bank afviste og han fik helt sus på, så det mistede vi ham på</t>
  </si>
  <si>
    <t>51 50 73 06</t>
  </si>
  <si>
    <t>Thrane_s</t>
  </si>
  <si>
    <t>Super fint lead og han skulle bare igang! Men han valgte ikke at gide investere i det og pressede citronen</t>
  </si>
  <si>
    <t>61 66 42 72</t>
  </si>
  <si>
    <t>jeppe_gertz</t>
  </si>
  <si>
    <t>15/09/2025</t>
  </si>
  <si>
    <t>Manden var som deposit og var klar til at komme igang, men mødte aldrig op</t>
  </si>
  <si>
    <t>22/09/2025</t>
  </si>
  <si>
    <t>29 32 18 17</t>
  </si>
  <si>
    <t>Sebastianaerkjaer</t>
  </si>
  <si>
    <t>Albert</t>
  </si>
  <si>
    <t>52 24 02 04</t>
  </si>
  <si>
    <t>alberthelms3</t>
  </si>
  <si>
    <t>det passede alligevel ikke i hans budget</t>
  </si>
  <si>
    <t>23/09/2025</t>
  </si>
  <si>
    <t>27 97 31 86</t>
  </si>
  <si>
    <t>sebastian_beske_larsen</t>
  </si>
  <si>
    <t>ikke godt match</t>
  </si>
  <si>
    <t>manden ville have en der kunne lave krudt plan til ham</t>
  </si>
  <si>
    <t>60 72 87 30</t>
  </si>
  <si>
    <t>jonaszaatri_</t>
  </si>
  <si>
    <t>Sygt godt lead og skulle bare have sit fulde potentiale frem. men han skrev at hans mor ikke synes det var en god ide lige nu. God follow up</t>
  </si>
  <si>
    <t>24/09/2025</t>
  </si>
  <si>
    <t>60 52 10 21</t>
  </si>
  <si>
    <t>Elias_durak</t>
  </si>
  <si>
    <t>Han troede det kostede 500-600kr som var den pris han fik for nogen år siden. Så det var det som holdte ham tilbage</t>
  </si>
  <si>
    <t>Raman</t>
  </si>
  <si>
    <t>42 33 14 64</t>
  </si>
  <si>
    <t>raman1231</t>
  </si>
  <si>
    <t>93 97 00 68</t>
  </si>
  <si>
    <t>Lu_kas.2006</t>
  </si>
  <si>
    <t>dårlig timing</t>
  </si>
  <si>
    <t>Sygt godt follow up og han var klar igen om 1 måned fordi han lige skulle fikse nogen ting</t>
  </si>
  <si>
    <t>21 42 16 05</t>
  </si>
  <si>
    <t>Nicolai_gadegaard</t>
  </si>
  <si>
    <t>Han ville gerne vente med at komme igang og vente til han var udlært da pengene var større der</t>
  </si>
  <si>
    <t>28 19 40 13</t>
  </si>
  <si>
    <t>mikeyacoubi</t>
  </si>
  <si>
    <t>25/09/2025</t>
  </si>
  <si>
    <t>93 60 87 04</t>
  </si>
  <si>
    <t>jonashvid04</t>
  </si>
  <si>
    <t>51 93 47 36</t>
  </si>
  <si>
    <t>Mads_liltoft</t>
  </si>
  <si>
    <t>Mattis</t>
  </si>
  <si>
    <t>51 71 78 93</t>
  </si>
  <si>
    <t>Nygaardmattis</t>
  </si>
  <si>
    <t>Manden var 100% og vi havde sat et opfølgende kald på og han aflyser på dagen. han er en god follow up</t>
  </si>
  <si>
    <t>22 40 65 07</t>
  </si>
  <si>
    <t>Victor_weller_10</t>
  </si>
  <si>
    <t>ung fyr som var 17 og var i skole, så han havde ikke pengene til det</t>
  </si>
  <si>
    <t>61 41 55 12</t>
  </si>
  <si>
    <t>Thor_becker</t>
  </si>
  <si>
    <t>26/09/2025</t>
  </si>
  <si>
    <t>29 72 94 07</t>
  </si>
  <si>
    <t>nicklas_nielsen_</t>
  </si>
  <si>
    <t>Manden var klar om 6 mdr, så vi har sat et nyt kald op 6 mdr frem</t>
  </si>
  <si>
    <t>42 95 87 96</t>
  </si>
  <si>
    <t>s12kruse</t>
  </si>
  <si>
    <t>21 34 54 47</t>
  </si>
  <si>
    <t>Christian_sofus.privat</t>
  </si>
  <si>
    <t>Manden var fucking ready og ville bare igang. Da han skal betale, så skal han snakke med sin far om at overfører pengene og så skriver han at han glemte han skulle til værnepligt om 1 måned lol</t>
  </si>
  <si>
    <t>27/09/2025</t>
  </si>
  <si>
    <t>27 78 40 17</t>
  </si>
  <si>
    <t>Jonas_zeiler_frederiksen</t>
  </si>
  <si>
    <t>93 88 47 77</t>
  </si>
  <si>
    <t>Willadsbrandt</t>
  </si>
  <si>
    <t>Nyt kald d 31 da det var der han havde penge</t>
  </si>
  <si>
    <t>42 54 25 27</t>
  </si>
  <si>
    <t>Nick.espri</t>
  </si>
  <si>
    <t>28/09/2025</t>
  </si>
  <si>
    <t>peter</t>
  </si>
  <si>
    <t>25 74 49 41</t>
  </si>
  <si>
    <t>Peter_soenderhaven</t>
  </si>
  <si>
    <t>42 33 92 22</t>
  </si>
  <si>
    <t>david_gjerluff_madsen69</t>
  </si>
  <si>
    <t>28 56 13 89</t>
  </si>
  <si>
    <t>Nikolai_fth</t>
  </si>
  <si>
    <t>Mikail</t>
  </si>
  <si>
    <t>42 71 62 46</t>
  </si>
  <si>
    <t>Mikail_kizillkaya</t>
  </si>
  <si>
    <t>24 52 55 53</t>
  </si>
  <si>
    <t>slundjuhl</t>
  </si>
  <si>
    <t>Det gad han ikke bruge penge på</t>
  </si>
  <si>
    <t>29/09/2025</t>
  </si>
  <si>
    <t>22 99 35 80</t>
  </si>
  <si>
    <t>Kristiansipsen</t>
  </si>
  <si>
    <t>gad ikke</t>
  </si>
  <si>
    <t>Manden var vold klar på kaldet og lige efter skriver han at det ikke er for ham. Meget underligt</t>
  </si>
  <si>
    <t>Okan</t>
  </si>
  <si>
    <t>50 53 01 40</t>
  </si>
  <si>
    <t>okanpedersen</t>
  </si>
  <si>
    <t>han havde bare ikke pengene til det, ellers var han sej og gerne ville igang</t>
  </si>
  <si>
    <t>Miakel</t>
  </si>
  <si>
    <t>25 70 30 44</t>
  </si>
  <si>
    <t>Miakel_yako</t>
  </si>
  <si>
    <t>93 86 44 19</t>
  </si>
  <si>
    <t>Mathias.wallin</t>
  </si>
  <si>
    <t>Han var klar og ville give den gas, men han havde ikke pengene til et!</t>
  </si>
  <si>
    <t>Carl Emil</t>
  </si>
  <si>
    <t>Carl.emil_privat</t>
  </si>
  <si>
    <t>30/09/2025</t>
  </si>
  <si>
    <t>22 11 98 38</t>
  </si>
  <si>
    <t>Sebastian_sib_therkelsen</t>
  </si>
  <si>
    <t>han canceller lige inden kaldet og hører ikke fra ham igen</t>
  </si>
  <si>
    <t>Emanuel</t>
  </si>
  <si>
    <t>41 39 25 25</t>
  </si>
  <si>
    <t>emanuel.munch</t>
  </si>
  <si>
    <t>60 22 27 62</t>
  </si>
  <si>
    <t>lucabeckerh</t>
  </si>
  <si>
    <t>71 78 02 70</t>
  </si>
  <si>
    <t>byskovjonas</t>
  </si>
  <si>
    <t>Manden var vold klar i enten oktober eller november, da han skulle have pengene til det og hans bror var også ready</t>
  </si>
  <si>
    <t>h</t>
  </si>
  <si>
    <t>Victor_colberg</t>
  </si>
  <si>
    <t>En tidligere klient, som gerne ville starte igen og han sparede opstart fordi han har været på forløb før</t>
  </si>
  <si>
    <t>__mikkel__c</t>
  </si>
  <si>
    <t>PENGE</t>
  </si>
  <si>
    <t xml:space="preserve">Manden var ready og var sat på deposit og så skriver han på dagen at det var for dyrt </t>
  </si>
  <si>
    <t>malte_molsted</t>
  </si>
  <si>
    <t>hans dame</t>
  </si>
  <si>
    <t>også deposit og så tager han ikke telefonen på dagen fordi han har dame problemer</t>
  </si>
  <si>
    <t>20 60 02 88</t>
  </si>
  <si>
    <t>Mikkel_skerning</t>
  </si>
  <si>
    <t>Manden ville bare gerne igang, men han kunne ikke se behovet da jeg fortalte prisen selvom jeg prøvede at presse ham</t>
  </si>
  <si>
    <t>jacobjrgensen</t>
  </si>
  <si>
    <t>3329jacob</t>
  </si>
  <si>
    <t>han starter d 1 november</t>
  </si>
  <si>
    <t>20 63 76 31</t>
  </si>
  <si>
    <t>Emmanuelfuglsang</t>
  </si>
  <si>
    <t>snakekde med ham i 40 min og han kunne mærke behovet og synes det var en fair pris. Men da vi kommer til prisen vil han gerne betale efter og hører aldrig fra ham igen</t>
  </si>
  <si>
    <t>20 70 64 04</t>
  </si>
  <si>
    <t>andreas.storgaard</t>
  </si>
  <si>
    <t>24 23 39 35</t>
  </si>
  <si>
    <t>Vitusaaen</t>
  </si>
  <si>
    <t>Filip</t>
  </si>
  <si>
    <t>51 52 95 25</t>
  </si>
  <si>
    <t>filipdorf3</t>
  </si>
  <si>
    <t>TObias</t>
  </si>
  <si>
    <t>93 91 44 02</t>
  </si>
  <si>
    <t>Tobias_m4l</t>
  </si>
  <si>
    <t>Han synes det lød godt, men han var sælger og stilelde mig 100 spørgsmål og var sådan en lidt irriterende dude. Men hørte aldrig fra ham igen</t>
  </si>
  <si>
    <t>Oskar</t>
  </si>
  <si>
    <t>60 59 94 24</t>
  </si>
  <si>
    <t>oskarkirkeby_</t>
  </si>
  <si>
    <t>bro troede det var gratis</t>
  </si>
  <si>
    <t>Nichlas</t>
  </si>
  <si>
    <t>93 60 73 18</t>
  </si>
  <si>
    <t>nichlaskotter</t>
  </si>
  <si>
    <t>22 84 81 80</t>
  </si>
  <si>
    <t>V.sehested</t>
  </si>
  <si>
    <t>Alexsander</t>
  </si>
  <si>
    <t>93 91 19 01</t>
  </si>
  <si>
    <t>Alexsanderbogetoft</t>
  </si>
  <si>
    <t>Fint follow up da han synes pengene var det som holdte ham tilbage</t>
  </si>
  <si>
    <t>23 61 36 80</t>
  </si>
  <si>
    <t>Emilhm2001</t>
  </si>
  <si>
    <t>han aflyser lige inden kaldet</t>
  </si>
  <si>
    <t>61 70 39 23</t>
  </si>
  <si>
    <t>mart_insoerensen</t>
  </si>
  <si>
    <t>Tamim</t>
  </si>
  <si>
    <t>42 30 63 60</t>
  </si>
  <si>
    <t>tamim.alkheder</t>
  </si>
  <si>
    <t>81 73 86 96</t>
  </si>
  <si>
    <t>Patrickandersen51</t>
  </si>
  <si>
    <t>23 84 58 21</t>
  </si>
  <si>
    <t>Jegertobiasjensbydyrholm</t>
  </si>
  <si>
    <t>han betaler resten når han får løn</t>
  </si>
  <si>
    <t>Louis</t>
  </si>
  <si>
    <t>42 33 52 43</t>
  </si>
  <si>
    <t>Louis.haghfelt</t>
  </si>
  <si>
    <t>rigtig godt follow up som synes det lød godt og gerne ville igang, men han ville lige tænke over den og det gad han ikke. Han sagde også han var presset på økonomi</t>
  </si>
  <si>
    <t>29 29 50 12</t>
  </si>
  <si>
    <t>rosae.fontanus</t>
  </si>
  <si>
    <t>23 91 32 11</t>
  </si>
  <si>
    <t>oskar_thormann</t>
  </si>
  <si>
    <t>han var bange for scam</t>
  </si>
  <si>
    <t>han lød sygt klar og ville bare gerne igang, men lige da han hørte prisen så sagde han at det var bange for scam loool</t>
  </si>
  <si>
    <t>40 81 86 87</t>
  </si>
  <si>
    <t>joachimbarlev</t>
  </si>
  <si>
    <t>Timo</t>
  </si>
  <si>
    <t>20 90 62 90</t>
  </si>
  <si>
    <t>Timo_lauritzen</t>
  </si>
  <si>
    <t>60 94 61 87</t>
  </si>
  <si>
    <t>Jakob_lind93</t>
  </si>
  <si>
    <t>Han var vold varm og ville bare gerne igang, men han skulle snakke med konen da de også har børn og han vendte tilbage med at økonomien var stram, selvom jeg på kaldet sagde han havde råd til det hvis han prioriteret det</t>
  </si>
  <si>
    <t>Jannik</t>
  </si>
  <si>
    <t>81 61 64 51</t>
  </si>
  <si>
    <t>_jannik_harrison</t>
  </si>
  <si>
    <t>Han betaler resten når han får løn</t>
  </si>
  <si>
    <t>20 36 62 63</t>
  </si>
  <si>
    <t>emiloz__</t>
  </si>
  <si>
    <t>han starter og betaler d 1 (han blev indlagt på hospitalet)</t>
  </si>
  <si>
    <t>22 32 02 55</t>
  </si>
  <si>
    <t>christian_g_thorsen</t>
  </si>
  <si>
    <t>27 14 77 78</t>
  </si>
  <si>
    <t>elliedb__</t>
  </si>
  <si>
    <t>Manden var fucking klar og har haft 3 andre coaches før. vil have deposit fra ham og beder ham smide penge på kontoen og hørte ikke fra ham igen. Så han skal bare kontaktes igen</t>
  </si>
  <si>
    <t>53 53 20 57</t>
  </si>
  <si>
    <t>johan.kjae</t>
  </si>
  <si>
    <t>belmin</t>
  </si>
  <si>
    <t>42 51 04 33</t>
  </si>
  <si>
    <t>kasumovic_belmin</t>
  </si>
  <si>
    <t>25 40 72 34</t>
  </si>
  <si>
    <t>casperrosenkrantzgroth</t>
  </si>
  <si>
    <t>have det på skrift</t>
  </si>
  <si>
    <t>bro var klar, men ville have det på skrift og det fik han og så hørte jeg aldrig fra bro igen lol</t>
  </si>
  <si>
    <t>25 12 21 15</t>
  </si>
  <si>
    <t>mathias.sommerwivel</t>
  </si>
  <si>
    <t>Kunne høre det han ikke ture tage springet</t>
  </si>
  <si>
    <t>Rigtig godt follow up fordi han var sygt klar på kaldet og pengene lød også fint. Lige da han skal betale, så siger han at jeg kan ringe om 15 fordi han var ved at komme ombord på en båd. Så skriver han efter at han selv gerne vil forsøge</t>
  </si>
  <si>
    <t>91 56 28 40</t>
  </si>
  <si>
    <t>Pilotmads8</t>
  </si>
  <si>
    <t>mads_liltoft</t>
  </si>
  <si>
    <t>Får resten når han får løn</t>
  </si>
  <si>
    <t>53 82 05 18</t>
  </si>
  <si>
    <t>adam_hardt1</t>
  </si>
  <si>
    <t>han følte sig ikke klar</t>
  </si>
  <si>
    <t>han var super cool og også frisk til at komme igang, men han ville tænke over det og så skrev han at det ikke blev i den her omgang</t>
  </si>
  <si>
    <t>28 71 61 05</t>
  </si>
  <si>
    <t>lukas_plinius</t>
  </si>
  <si>
    <t>21 79 68 96</t>
  </si>
  <si>
    <t>dax4life</t>
  </si>
  <si>
    <t>Markus</t>
  </si>
  <si>
    <t>22 29 40 18</t>
  </si>
  <si>
    <t>markusgrave48</t>
  </si>
  <si>
    <t>bange</t>
  </si>
  <si>
    <t>manden var klar og har haft rene som coach og ville gerne betale pif, men han havde ikke pung på sig og vi aftaler at betale dagen efter og så vågner jeg til at han har blokeret mig lol</t>
  </si>
  <si>
    <t>21 86 26 32</t>
  </si>
  <si>
    <t>Felix_lundhof</t>
  </si>
  <si>
    <t>Super nice fyr, men det der holdte ham tilbage var ækonomien, så det blev ikke den her omgang</t>
  </si>
  <si>
    <t>42 46 73 74</t>
  </si>
  <si>
    <t>casper.fck</t>
  </si>
  <si>
    <t>betaler resten når han får løn</t>
  </si>
  <si>
    <t>Danni</t>
  </si>
  <si>
    <t>27 88 80 44</t>
  </si>
  <si>
    <t>dannielling</t>
  </si>
  <si>
    <t>det er et deposit som skulle betale som allerede har betalt 500kr. Han tog ikke telefonen?</t>
  </si>
  <si>
    <t>71 71 04 71</t>
  </si>
  <si>
    <t>oliver_w_petersen</t>
  </si>
  <si>
    <t>han var faktisk klar, men hans forældre sagde nej fordi han var under 18</t>
  </si>
  <si>
    <t>Gowsihan</t>
  </si>
  <si>
    <t>42 94 19 97</t>
  </si>
  <si>
    <t>Gowsighan_dk</t>
  </si>
  <si>
    <t>bange og penge</t>
  </si>
  <si>
    <t>Super cool fyr og ville gerne tabe sig. han var klar og da jeg kommer til at han også kan betale pif, så siger han at han vil have 30 min til at finde ud af hvordan han vil betale og så skriver han efter at han ikke vil starte op lol</t>
  </si>
  <si>
    <t>22 39 26 56</t>
  </si>
  <si>
    <t>noah_assenholt</t>
  </si>
  <si>
    <t>For mange penge for ham, men ellers super cool og han kunne godt se ideen i at betale for det og have coach på</t>
  </si>
  <si>
    <t>93 90 14 77</t>
  </si>
  <si>
    <t>Williamranders0</t>
  </si>
  <si>
    <t>han gad ikke bruge penge på det og så var han også 17, så pengene var ikke store</t>
  </si>
  <si>
    <t>42 45 40 54</t>
  </si>
  <si>
    <t>victormadsenlarsen</t>
  </si>
  <si>
    <t>Bange for at tage springet</t>
  </si>
  <si>
    <t>Han var sygt varm og han ville gerne igang, men han ville have tid til at tænke over det og så vendte han tilbage med et fear svar og det var at han ikke vidste om han var 100% klar til at gå all in</t>
  </si>
  <si>
    <t>61 12 00 87</t>
  </si>
  <si>
    <t>William.krarup_</t>
  </si>
  <si>
    <t>61 40 96 20</t>
  </si>
  <si>
    <t>valdemar_faber_madsen</t>
  </si>
  <si>
    <t>TÆnke over det</t>
  </si>
  <si>
    <t>Fint follow up lead. han var klar under kaldet, men kunne godt mærke at han ikke var 100% klar og han valgte at takke nej</t>
  </si>
  <si>
    <t>Mikey</t>
  </si>
  <si>
    <t>60 72 09 14</t>
  </si>
  <si>
    <t>mikey_hornbol_andersen</t>
  </si>
  <si>
    <t>28 91 80 24</t>
  </si>
  <si>
    <t>Magnus_hostrup03</t>
  </si>
  <si>
    <t>93 60 56 50</t>
  </si>
  <si>
    <t>victorbrixschmidt</t>
  </si>
  <si>
    <t>Skal snakke med ham d 31 for at få ham igang</t>
  </si>
  <si>
    <t>Micklas</t>
  </si>
  <si>
    <t>29 31 87 56</t>
  </si>
  <si>
    <t>micklas_dam</t>
  </si>
  <si>
    <t>Han var super cool, men slet ikke comittet nok under kaldet. Han ville tænke over det og så skrev han pænt nej tak</t>
  </si>
  <si>
    <t>41 98 04 80</t>
  </si>
  <si>
    <t>gustavboggild</t>
  </si>
  <si>
    <t>27 64 88 86</t>
  </si>
  <si>
    <t>lukashandrup</t>
  </si>
  <si>
    <t>Han havde ikke pengene til det. prøvede at opjection handle, men han kunne slet ikke komme igang</t>
  </si>
  <si>
    <t>42 42 31 88</t>
  </si>
  <si>
    <t>l.dalsten</t>
  </si>
  <si>
    <t>Manden ville kun hører prisen og så lagde jeg den bare fra starten og det fik ham self til at hoppe af</t>
  </si>
  <si>
    <t>50 11 32 75</t>
  </si>
  <si>
    <t>oliverfischer27</t>
  </si>
  <si>
    <t>42 25 10 75</t>
  </si>
  <si>
    <t>Jensen_42_</t>
  </si>
  <si>
    <t>Ikke økonomien til det</t>
  </si>
  <si>
    <t>Asger</t>
  </si>
  <si>
    <t>28 93 19 14</t>
  </si>
  <si>
    <t>Asgerdinesen</t>
  </si>
  <si>
    <t>han gad ikke tage snakken hvis det var over instagram</t>
  </si>
  <si>
    <t>22 83 13 77</t>
  </si>
  <si>
    <t>Magnus__j</t>
  </si>
  <si>
    <t>han ville igang og så ville han ikke igang. det var lidt underligt</t>
  </si>
  <si>
    <t>22 31 08 37</t>
  </si>
  <si>
    <t>Niklas_j.j</t>
  </si>
  <si>
    <t>93 83 31 85</t>
  </si>
  <si>
    <t>spurgt344</t>
  </si>
  <si>
    <t>Han ville igang og så ville han tage den d 31 da der var løn. så skrev han at han ikke kunne fordi han sofasurfede lige pt</t>
  </si>
  <si>
    <t>52 19 55 58</t>
  </si>
  <si>
    <t>Emil.thoring</t>
  </si>
  <si>
    <t>22 41 18 35</t>
  </si>
  <si>
    <t>jakob__gronfeldt</t>
  </si>
  <si>
    <t>sygt godt lead og super nice. han var god til at udskyde og vandt alle hans opjektions. Vi aftalte at få styr på det hele senere på dagen og så mødte han aldrig op til kaldet</t>
  </si>
  <si>
    <t>26 20 09 39</t>
  </si>
  <si>
    <t>farent91</t>
  </si>
  <si>
    <t>jule gaver osv osv</t>
  </si>
  <si>
    <t>han var super nice og var sådan set klar, men det var økonomien og frygt som holdte ham tilbage</t>
  </si>
  <si>
    <t>71 70 99 67</t>
  </si>
  <si>
    <t>Rasmus dalgaard4</t>
  </si>
  <si>
    <t>sygt nice fyr som skulle tabe sig så han kunne lave hud fjerning og betalte endda også 500kr i deposit. han skrev så nogen dage efter at han havde fået en fyreseddel og ikke kunne starte op alligevel</t>
  </si>
  <si>
    <t>Dan</t>
  </si>
  <si>
    <t>81 74 74 71</t>
  </si>
  <si>
    <t>dan_gutmann</t>
  </si>
  <si>
    <t>han havde slet ikke penge til at betale for forløbet, så vi rundede hurtigt af</t>
  </si>
  <si>
    <t>Asbjørn</t>
  </si>
  <si>
    <t>71 92 29 09</t>
  </si>
  <si>
    <t>Asbjorn_madsen</t>
  </si>
  <si>
    <t>50 57 08 44</t>
  </si>
  <si>
    <t>Simse_4311</t>
  </si>
  <si>
    <t>Personlige træninger</t>
  </si>
  <si>
    <t>Han ville ikke igang, fordi han ikke fik personlige træninger også</t>
  </si>
  <si>
    <t>42 26 45 71</t>
  </si>
  <si>
    <t>Christian_gadegaard</t>
  </si>
  <si>
    <t>Christian er tjener som boede ude med kæresten og kunne ikke finde økonomien til at betale for forløbet</t>
  </si>
  <si>
    <t>26 16 47 22</t>
  </si>
  <si>
    <t>dalleh43</t>
  </si>
  <si>
    <t>Skal snakke med ham d 6 november mht opstart og betaling</t>
  </si>
  <si>
    <t>27 80 15 30</t>
  </si>
  <si>
    <t>Hansen_amager</t>
  </si>
  <si>
    <t>ikke penge</t>
  </si>
  <si>
    <t>mikkel havde ikke pengene til at starte op, fordi han havde mange udgifter osv osv</t>
  </si>
  <si>
    <t>22 14 10 91</t>
  </si>
  <si>
    <t>_tossen_</t>
  </si>
  <si>
    <t>23 60 67 89</t>
  </si>
  <si>
    <t>mathiasalarsen1996</t>
  </si>
  <si>
    <t>skal snakke med ham d 31 (Han ville ikke have en ung coach som var lidt bro agtigt)</t>
  </si>
  <si>
    <t>25 67 20 08</t>
  </si>
  <si>
    <t>oliver.l.r.andersen</t>
  </si>
  <si>
    <t>han havde ikke så høj løn og så tror jeg bare ikke at jeg gav ham behovet som jeg gerne ville</t>
  </si>
  <si>
    <t>50 55 48 12</t>
  </si>
  <si>
    <t>Silas.tinndahl</t>
  </si>
  <si>
    <t>93 92 69 47</t>
  </si>
  <si>
    <t>Mikkelsand13</t>
  </si>
  <si>
    <t>super cool fyr faktisk og var sulten for at give den gas. han ville dog gerne tænke over det og har ikke ført fra ham siden</t>
  </si>
  <si>
    <t>29 17 45 75</t>
  </si>
  <si>
    <t>Simon_vinqvist</t>
  </si>
  <si>
    <t>har et kald med ham d 31 for at snakke alt igennem (manden aflyser lige inden kaldet)</t>
  </si>
  <si>
    <t>21 30 90 97</t>
  </si>
  <si>
    <t>frederik_lund22</t>
  </si>
  <si>
    <t>han var sygt varm og klar til at give den gas. vi aftalte også follow up, men så skriver han 2 dage før at han har travlt med fodbold og det var bare et tegn på at han gerne ville udskyde eller var bange for at komme igang</t>
  </si>
  <si>
    <t>20 30 16 33</t>
  </si>
  <si>
    <t>Kasper123w</t>
  </si>
  <si>
    <t>51 66 64 46</t>
  </si>
  <si>
    <t>Gustav_lybecker_</t>
  </si>
  <si>
    <t>han var slet ikke klar til at komme igang og slet ikke comittet, så der rundede jeg også hurtigt af</t>
  </si>
  <si>
    <t>25 13 23 51</t>
  </si>
  <si>
    <t>frederik_moeslund</t>
  </si>
  <si>
    <t>han aflyser lige før kaldet</t>
  </si>
  <si>
    <t>Rodi</t>
  </si>
  <si>
    <t>71 87 45 94</t>
  </si>
  <si>
    <t>Rodi.siso</t>
  </si>
  <si>
    <t>28 80 28 26</t>
  </si>
  <si>
    <t>Nikolaj23102004</t>
  </si>
  <si>
    <t>93 89 04 76</t>
  </si>
  <si>
    <t>Victor_sundwall</t>
  </si>
  <si>
    <t>super cool fyr og var bare straight up. Han ville gerne vente indtil han havde pengne og sådan er det</t>
  </si>
  <si>
    <t>60 60 44 69</t>
  </si>
  <si>
    <t>mads_fisker_</t>
  </si>
  <si>
    <t>Første års lærling</t>
  </si>
  <si>
    <t>super cool fyr og han var første års lærling, så han tjente ikke de fleste penge</t>
  </si>
  <si>
    <t>Mattias</t>
  </si>
  <si>
    <t>30 20 69 15</t>
  </si>
  <si>
    <t>mattiaschistensen</t>
  </si>
  <si>
    <t>han var slet ikke klar til at investere penge i det</t>
  </si>
  <si>
    <t>22 40 08 70</t>
  </si>
  <si>
    <t>Lucas_ravne</t>
  </si>
  <si>
    <t>42 33 22 11</t>
  </si>
  <si>
    <t>phillip_colding</t>
  </si>
  <si>
    <t>penge til det</t>
  </si>
  <si>
    <t>cool fyr og han havde bare ikke penge til det, så sådan er det</t>
  </si>
  <si>
    <t>20 82 33 00</t>
  </si>
  <si>
    <t>christianuhansen</t>
  </si>
  <si>
    <t>91 54 01 14</t>
  </si>
  <si>
    <t>knudsen4720</t>
  </si>
  <si>
    <t>Han var første års tømre, så han synes pengene var stramme</t>
  </si>
  <si>
    <t>81 71 25 02</t>
  </si>
  <si>
    <t>Mike_markussen</t>
  </si>
  <si>
    <t>Ikke plads i budgettet</t>
  </si>
  <si>
    <t>Han havde ikke plads i budgettet til at komme iagng</t>
  </si>
  <si>
    <t>Niclas</t>
  </si>
  <si>
    <t>23 86 49 64</t>
  </si>
  <si>
    <t>niclas_hermann_</t>
  </si>
  <si>
    <t>40 22 64 49</t>
  </si>
  <si>
    <t>nikolai_b_j</t>
  </si>
  <si>
    <t>han ville tænke den igennem og så tager vi det hele over et kald d 31 (aflyser inden kaldet, da han havde mange bolde i luften)</t>
  </si>
  <si>
    <t>30 31 30 09</t>
  </si>
  <si>
    <t>emil.lauritsen</t>
  </si>
  <si>
    <t>28 89 79 34</t>
  </si>
  <si>
    <t>Rasmusskjaldgaard</t>
  </si>
  <si>
    <t>Vi har et opfølgende kald d 31, da han skulle snakke med fruen omkring det (han følte sig stadig ikke klar til at give den gas)</t>
  </si>
  <si>
    <t>25 74 00 09</t>
  </si>
  <si>
    <t>villadskr</t>
  </si>
  <si>
    <t>42 15 47 08</t>
  </si>
  <si>
    <t>maltesydholm</t>
  </si>
  <si>
    <r>
      <rPr>
        <rFont val="-apple-system, &quot;system-ui&quot;, &quot;Segoe UI&quot;, Roboto, Helvetica, Arial, sans-serif"/>
        <b/>
        <color rgb="FF1155CC"/>
        <sz val="18.0"/>
        <u/>
      </rPr>
      <t>dybdahl.jonas</t>
    </r>
  </si>
  <si>
    <t>53 62 74 01</t>
  </si>
  <si>
    <t>bertram01234</t>
  </si>
  <si>
    <t>Marcell</t>
  </si>
  <si>
    <t>91 80 17 56</t>
  </si>
  <si>
    <t>marcell_bfk</t>
  </si>
  <si>
    <t>93 93 27 89</t>
  </si>
  <si>
    <t>sveistrup_</t>
  </si>
  <si>
    <t>55 26 44 56</t>
  </si>
  <si>
    <t>sebastianli_ig</t>
  </si>
  <si>
    <t>Jason</t>
  </si>
  <si>
    <t>4281rider_</t>
  </si>
  <si>
    <t>Han var sygt klar og vi havde også sat dato på hvornår han skulle betale og komme igang. lige før kaldet skriver han at han ikke vil alligevel. så han skal bare opfølges på!</t>
  </si>
  <si>
    <t>Iassemin</t>
  </si>
  <si>
    <t>22 55 93 69</t>
  </si>
  <si>
    <t>Iasseminflorim</t>
  </si>
  <si>
    <t>50 50 44 63</t>
  </si>
  <si>
    <t>Jakobpil</t>
  </si>
  <si>
    <t>61 60 95 68</t>
  </si>
  <si>
    <t>jeppe_kuskeren</t>
  </si>
  <si>
    <t>Manden var sygt klar i første omgang og fik også snakket ham varm, men til sidst sagde han at ikke ville bruge penge på det og mistede salget</t>
  </si>
  <si>
    <t>26 20 59 47</t>
  </si>
  <si>
    <t xml:space="preserve">asi.kjerulf06
</t>
  </si>
  <si>
    <t>81 71 68 60</t>
  </si>
  <si>
    <t>Danireymax9</t>
  </si>
  <si>
    <t>Chr_post12</t>
  </si>
  <si>
    <t>53 62 09 02</t>
  </si>
  <si>
    <t>dubndrive</t>
  </si>
  <si>
    <t>21 27 88 22</t>
  </si>
  <si>
    <t>kristian_broechner</t>
  </si>
  <si>
    <t>Skal snakke med ham igen d 20 og der er han ready!</t>
  </si>
  <si>
    <t>30 53 47 25</t>
  </si>
  <si>
    <r>
      <rPr>
        <color rgb="FF1155CC"/>
        <u/>
      </rPr>
      <t>f.r.e.d.e.r.i.k.lr</t>
    </r>
  </si>
  <si>
    <t>42 91 00 35</t>
  </si>
  <si>
    <t>oskarmuhring_</t>
  </si>
  <si>
    <t>Miles</t>
  </si>
  <si>
    <t>53 76 45 37</t>
  </si>
  <si>
    <t>Miles_staunsager</t>
  </si>
  <si>
    <t>ikke godt fit</t>
  </si>
  <si>
    <t>Ikke et godt match</t>
  </si>
  <si>
    <t>53 38 51 91</t>
  </si>
  <si>
    <t>Marcus_berner1304</t>
  </si>
  <si>
    <t>Kimal</t>
  </si>
  <si>
    <t>91 55 37 21</t>
  </si>
  <si>
    <t>Kimalnaji</t>
  </si>
  <si>
    <t>Han var okay, men typisk irriterende indvandre som ikke gad betale for det og ville tænke over det</t>
  </si>
  <si>
    <t>61 42 95 51</t>
  </si>
  <si>
    <t>N.lippert1</t>
  </si>
  <si>
    <t>Frygt og tænke over det</t>
  </si>
  <si>
    <t>Noah ved jeg er klar, men han skulle bare trykkes mere til hvilket jeg ikke gjorde dsv</t>
  </si>
  <si>
    <t>28 73 38 27</t>
  </si>
  <si>
    <t>lucas_gotke</t>
  </si>
  <si>
    <t>Lucas var klar til at give den gas, men han ville tænke over det og hørte aldrig fra ham igen</t>
  </si>
  <si>
    <t>Petere</t>
  </si>
  <si>
    <t>31 37 69 07</t>
  </si>
  <si>
    <t>peterkristianlarsen</t>
  </si>
  <si>
    <t>den mand havde så mange undskyldninger, men havde aura på kaldet og lukkede</t>
  </si>
  <si>
    <t>Marc</t>
  </si>
  <si>
    <t>21 12 38 26</t>
  </si>
  <si>
    <t>Marcnybo</t>
  </si>
  <si>
    <t>økonomisk</t>
  </si>
  <si>
    <t>rigtig god mand og var tynd og ville gerne til at bygge mere muskelmasse op, men han kørte på lærling løn og det gav ikke mening for ham økonomisk</t>
  </si>
  <si>
    <t>26 13 16 12</t>
  </si>
  <si>
    <t>rasmus_chf</t>
  </si>
  <si>
    <t>25 38 28 29</t>
  </si>
  <si>
    <t>_lucas_rasmussen</t>
  </si>
  <si>
    <t>ville prøve selv</t>
  </si>
  <si>
    <t>Snakkede med en mand der ville igang, men han var bange for at tage springet og fik den klassiske med at han selv ville prøve først</t>
  </si>
  <si>
    <t>53 81 61 98</t>
  </si>
  <si>
    <t>0liverskovbo</t>
  </si>
  <si>
    <t>timo_laurltzen</t>
  </si>
  <si>
    <t>25 34 35 41</t>
  </si>
  <si>
    <t>Mikejensen2111</t>
  </si>
  <si>
    <t>han starter og betaler d 14 nov</t>
  </si>
  <si>
    <t>24 52 54 02</t>
  </si>
  <si>
    <t>Mathias.nielsen12</t>
  </si>
  <si>
    <t>21 34 45 42</t>
  </si>
  <si>
    <t>nikolaj_nrfjand</t>
  </si>
  <si>
    <t>han ville selv prøve til at starte og på kaldet skulle han bare igang</t>
  </si>
  <si>
    <t>50 45 04 98</t>
  </si>
  <si>
    <t>Emil_hojris</t>
  </si>
  <si>
    <t>han havde ikke penge til opstartsgebyr, så det betaler han d 1</t>
  </si>
  <si>
    <t>Mads_fisker_</t>
  </si>
  <si>
    <t>93 93 21 20</t>
  </si>
  <si>
    <t>sebastian_wengel</t>
  </si>
  <si>
    <t>Claus</t>
  </si>
  <si>
    <t>50 55 23 81</t>
  </si>
  <si>
    <t>claus.pallesen</t>
  </si>
  <si>
    <t>52 30 12 94</t>
  </si>
  <si>
    <t>victor_krogh_hvidberg</t>
  </si>
  <si>
    <t>starter og betaler d 30 nov (han har betalt og startet)</t>
  </si>
  <si>
    <t>42 41 43 41</t>
  </si>
  <si>
    <t>malthethobo</t>
  </si>
  <si>
    <t>manden var ægte ready og han var klar og lige da han hørte at han var bundet, så hoppede han af selvom jeg prøvede at opjection handle</t>
  </si>
  <si>
    <t>53 77 43 03</t>
  </si>
  <si>
    <t>Officialceoofd</t>
  </si>
  <si>
    <t>perker som sagde det ikke var så slemt og da han skal til og betale ville han tænke over det lol</t>
  </si>
  <si>
    <t>Andre</t>
  </si>
  <si>
    <t>42 41 44 27</t>
  </si>
  <si>
    <t>Andrefriismunk</t>
  </si>
  <si>
    <t>91 53 83 12</t>
  </si>
  <si>
    <t>Kristoffer_brink_nielsen</t>
  </si>
  <si>
    <t>en loyal følger igennem tiden og han var så klar på at komme igang. Vi aftalte at tage et kald d 5 jan og fortalte ham at jeg skulle have et depositum på 500kr og så lukkede han den...</t>
  </si>
  <si>
    <t>42 45 75 59</t>
  </si>
  <si>
    <t>sebastian_pede</t>
  </si>
  <si>
    <t>60 53 08 07</t>
  </si>
  <si>
    <t>william_bay_</t>
  </si>
  <si>
    <t>42 17 17 55</t>
  </si>
  <si>
    <t>Kasper.soender</t>
  </si>
  <si>
    <t>53 89 12 13</t>
  </si>
  <si>
    <t>Philipvammen</t>
  </si>
  <si>
    <t>penge lige nu</t>
  </si>
  <si>
    <t>skal snakke med ham igen d 30 nov</t>
  </si>
  <si>
    <t>carl.houman</t>
  </si>
  <si>
    <t>Han aflyser inden kaldet og har fået et tilbud har hans brors ven om at blive coached, men det bliver ikke en succes fordi han enten lyver eller fordi det er gratis. Så han skal kontaktes igen!</t>
  </si>
  <si>
    <t>noah_jespersen123</t>
  </si>
  <si>
    <t>Han havde styr på det</t>
  </si>
  <si>
    <t>Han havde allerede styr på det hele og så gode resultater!</t>
  </si>
  <si>
    <t>Vi har en snak igen d 30 og manden skulle bare igang. Han ryger hver dag og er et dårligt sted i sit liv</t>
  </si>
  <si>
    <t>22 22 00 95</t>
  </si>
  <si>
    <t>tr7fit</t>
  </si>
  <si>
    <t>93 85 55 14</t>
  </si>
  <si>
    <t>daniel_johannesen85</t>
  </si>
  <si>
    <t>Han ville gerne igang og han er også i systemet. Han skulle finde ud af hvornår han kunne betale og har stadig ikke hørt fra ham</t>
  </si>
  <si>
    <t>Patrickmm17</t>
  </si>
  <si>
    <t>Han er super varn og endda også snakket med ham før. Han skrev at han kun ville have fokus på kosten og kunne godt lave et forløb kun udfra kost, så det er under snak</t>
  </si>
  <si>
    <t>29 11 63 37</t>
  </si>
  <si>
    <t>Lucasskaarup_</t>
  </si>
  <si>
    <t xml:space="preserve">han betaler opstartsgebyr d 30 </t>
  </si>
  <si>
    <t>Han canceller før kaldet da han gerne ville have en der kunne finde ud af at krudte</t>
  </si>
  <si>
    <t>28 40 01 42</t>
  </si>
  <si>
    <t>Magnus_andersen88</t>
  </si>
  <si>
    <t>Har et kald med ham d 30 hvor han starter og betaler (betalt)</t>
  </si>
  <si>
    <t>60 12 42 51</t>
  </si>
  <si>
    <t>bkronborg10</t>
  </si>
  <si>
    <t>Canceller lige før kaldet</t>
  </si>
  <si>
    <t>42 72 58 85</t>
  </si>
  <si>
    <t>noahbailum</t>
  </si>
  <si>
    <t>27 12 32 11</t>
  </si>
  <si>
    <t>rgaardsted</t>
  </si>
  <si>
    <t>Virlan</t>
  </si>
  <si>
    <t>50 23 94 37</t>
  </si>
  <si>
    <t>virlan.__.robert</t>
  </si>
  <si>
    <t>Han var rigtig varm og ville gerne igang, men pengene holdte ham tilbage, for ellers havde vi fået ham igang</t>
  </si>
  <si>
    <t>31 77 98 94</t>
  </si>
  <si>
    <t>nybergtjalfe01</t>
  </si>
  <si>
    <t>Vigtig varm og ville også igang, men han kunne ikke komme igang de næste 2 mdr pga økonomien</t>
  </si>
  <si>
    <t>26 70 34 46</t>
  </si>
  <si>
    <t>thomasolsen0901</t>
  </si>
  <si>
    <t>Aben møder ikke op</t>
  </si>
  <si>
    <t>31 67 50 25</t>
  </si>
  <si>
    <t>Oskaruldal</t>
  </si>
  <si>
    <t>53 37 73 60</t>
  </si>
  <si>
    <t>victorvalbjorn</t>
  </si>
  <si>
    <t>Snak d 30 og starter og betaler der (startet og betalt)</t>
  </si>
  <si>
    <t>29 40 65 03</t>
  </si>
  <si>
    <t>Tobias.2750</t>
  </si>
  <si>
    <t>Claus.pallesen</t>
  </si>
  <si>
    <t>28 90 18 69</t>
  </si>
  <si>
    <t>Kasper_vang_</t>
  </si>
  <si>
    <t>Han havde ikke økonomien til det</t>
  </si>
  <si>
    <t>21 85 46 10</t>
  </si>
  <si>
    <t>patrickamtkjaer_</t>
  </si>
  <si>
    <t>Adam møder ikke op</t>
  </si>
  <si>
    <t>53 83 88 44</t>
  </si>
  <si>
    <t>boisen000</t>
  </si>
  <si>
    <t>THomas</t>
  </si>
  <si>
    <t>30 43 09 92</t>
  </si>
  <si>
    <t>Thom368q</t>
  </si>
  <si>
    <t>21 13 36 59</t>
  </si>
  <si>
    <t>Nikolajmollerup</t>
  </si>
  <si>
    <t>Manden var ikke klar til at investere idet fordi han var bange for ikke at give den gas og spilde sine penge</t>
  </si>
  <si>
    <t>41 42 24 07</t>
  </si>
  <si>
    <t>Mikk964k</t>
  </si>
  <si>
    <t>tænke over dert</t>
  </si>
  <si>
    <t>Han ville mest af alt høre hvordan det foregik</t>
  </si>
  <si>
    <t>25 12 43 28</t>
  </si>
  <si>
    <t>davidstberg</t>
  </si>
  <si>
    <t>Han ville mig et svar slut på ugen</t>
  </si>
  <si>
    <t xml:space="preserve">ut </t>
  </si>
  <si>
    <t>29 91 43 00</t>
  </si>
  <si>
    <t>emilstenlund_dk</t>
  </si>
  <si>
    <t>Tænke over det og økonomien</t>
  </si>
  <si>
    <t>Det er 2 gang jeg snakker med ham og han var alligevel ikke klar</t>
  </si>
  <si>
    <t>21 69 35 99</t>
  </si>
  <si>
    <t>mikkelhorslevv</t>
  </si>
  <si>
    <t>han ville have en mental coach</t>
  </si>
  <si>
    <t>Han ville have en mental coach og det er jeg ikke</t>
  </si>
  <si>
    <t>20 61 04 58</t>
  </si>
  <si>
    <t>S.andersen.tylle</t>
  </si>
  <si>
    <t>han aflyser og skriver han ikke har penge og overskud til det</t>
  </si>
  <si>
    <t>60 86 46 69</t>
  </si>
  <si>
    <t>Kasperasbo</t>
  </si>
  <si>
    <t>Han var for nærig til at betale for det</t>
  </si>
  <si>
    <t>Sune</t>
  </si>
  <si>
    <t>61 78 97 87</t>
  </si>
  <si>
    <t>sune.pedersen</t>
  </si>
  <si>
    <t>Nærig</t>
  </si>
  <si>
    <t>Han var super klar, men var for nærig til at betale for det og han ville gerne købe en kostplan, men det kunne være ligemeget</t>
  </si>
  <si>
    <t>53 76 95 12</t>
  </si>
  <si>
    <t>Christoffer.fk</t>
  </si>
  <si>
    <t>starter d 30 og betaler der også (han hoppede fra)</t>
  </si>
  <si>
    <t>21 16 12 08</t>
  </si>
  <si>
    <t>h.28____</t>
  </si>
  <si>
    <t>dårligt lead</t>
  </si>
  <si>
    <t>16 år og var et helt andet sted i livet</t>
  </si>
  <si>
    <t>52 39 88 05</t>
  </si>
  <si>
    <t>klitgaard.david</t>
  </si>
  <si>
    <t>53 58 70 90</t>
  </si>
  <si>
    <t>Jonashoppe13</t>
  </si>
  <si>
    <t>for ung</t>
  </si>
  <si>
    <t>Han var kun 15 år gammel</t>
  </si>
  <si>
    <t>Mikki</t>
  </si>
  <si>
    <t>42 42 63 91</t>
  </si>
  <si>
    <t>Mikkipetersen21</t>
  </si>
  <si>
    <t>Jeg var tæt på at få ham på deposit, men så bakkede han ud lige før</t>
  </si>
  <si>
    <t>25 78 25 61</t>
  </si>
  <si>
    <t>mathias1649</t>
  </si>
  <si>
    <t>27 58 15 46</t>
  </si>
  <si>
    <t>Patrickstaak</t>
  </si>
  <si>
    <t>Manden var klar til at tabe sig og alt gav mening, men han var en pussy til ikke at komme igang</t>
  </si>
  <si>
    <t>61 77 29 63</t>
  </si>
  <si>
    <t>Andreas_moellgaard</t>
  </si>
  <si>
    <t>han var 17 og tjente ikke de vildeste penge, så det var økonomien</t>
  </si>
  <si>
    <t>30 13 47 20</t>
  </si>
  <si>
    <t>Andreasvaldimarsson</t>
  </si>
  <si>
    <t>Han var super klar og skulle give den gas! Jeg trykkede lidt til ham til sidst og så skrev han at jeg var ubehøvlet og derfor ikke gad igang og det var fordi jeg havde en hård opjection handling</t>
  </si>
  <si>
    <t>52 58 86 78</t>
  </si>
  <si>
    <t>August.fbd</t>
  </si>
  <si>
    <t>Super nice gut, men han kunne ikke sætte pengene til siden til forløbet og så ville han selv prøve at få sig selv på sporet</t>
  </si>
  <si>
    <t>299 24 31 93</t>
  </si>
  <si>
    <t>marciulaanngilaq</t>
  </si>
  <si>
    <t>Han ville gerne igang, men han havde ikke pengene til at betale på kaldet (betalt)</t>
  </si>
  <si>
    <t>40 37 17 79</t>
  </si>
  <si>
    <t>madsth27</t>
  </si>
  <si>
    <t>52 68 10 45</t>
  </si>
  <si>
    <t>hamzalatouf</t>
  </si>
  <si>
    <t>24 75 00 07</t>
  </si>
  <si>
    <t>oscar2608_</t>
  </si>
  <si>
    <t>Super cool fyr, dog var han kun 17 og han havde ikke økonomien til det</t>
  </si>
  <si>
    <t>28 29 51 52</t>
  </si>
  <si>
    <t>johanweinr</t>
  </si>
  <si>
    <t>tænke over det og pengene</t>
  </si>
  <si>
    <t>Han var også super nice og han ville også starte op og give den gas. Dog ville han lige tænke den ordenligt igennem før han tog en beslutning</t>
  </si>
  <si>
    <t>20 47 40 42</t>
  </si>
  <si>
    <t>david_christoffersen_</t>
  </si>
  <si>
    <t>28 96 38 98</t>
  </si>
  <si>
    <t>detbarethomasen</t>
  </si>
  <si>
    <t>Han havde ikke brug for hjælp</t>
  </si>
  <si>
    <t>Bro var allerede flyvende så kunne faktisk ikke hjælpe ham</t>
  </si>
  <si>
    <t>24 44 84 80</t>
  </si>
  <si>
    <t>rasmus_arndal</t>
  </si>
  <si>
    <t>Han ville ikke bruge pengene på det selvom han ville i bedre form</t>
  </si>
  <si>
    <t>31 12 39 27</t>
  </si>
  <si>
    <t>Shahnemann23</t>
  </si>
  <si>
    <t>Pengene</t>
  </si>
  <si>
    <t>Han ville også rigtig gerne igang, men økonomien var ikke til det</t>
  </si>
  <si>
    <t>42 31 21 48</t>
  </si>
  <si>
    <t>marcus_ostberg</t>
  </si>
  <si>
    <t>Han var 17 og tjente næsten ingen penge, så han havde heller ikke økonomien til det</t>
  </si>
  <si>
    <t>Davie</t>
  </si>
  <si>
    <t>71 75 59 93</t>
  </si>
  <si>
    <t>Davielindahl</t>
  </si>
  <si>
    <t>frygt og hans fam</t>
  </si>
  <si>
    <t>Manden var vold klar og hans fam støttede ham også i det og han ville vende tilbage. aftalte et nyt kald med ham, men han aflyste lige inden kaldet</t>
  </si>
  <si>
    <t>Calle</t>
  </si>
  <si>
    <t>51 80 79 49</t>
  </si>
  <si>
    <t>Callesternberg</t>
  </si>
  <si>
    <t>SUper nice gut dog 17 år og havde ikke de største penge på kontoen og det var derfor vi ikke gik videre</t>
  </si>
  <si>
    <t>40 42 16 46</t>
  </si>
  <si>
    <t>Frederiktranewriedt</t>
  </si>
  <si>
    <t>Han ville tænke over det og follow up kald d 30 er sat op</t>
  </si>
  <si>
    <t>23 49 68 30</t>
  </si>
  <si>
    <t>Sigurd_moller</t>
  </si>
  <si>
    <t>Nali</t>
  </si>
  <si>
    <t>52 58 19 98</t>
  </si>
  <si>
    <t>nalishwan</t>
  </si>
  <si>
    <t>21 87 01 44</t>
  </si>
  <si>
    <t>Lasse_clausen_</t>
  </si>
  <si>
    <t>53 34 36 00</t>
  </si>
  <si>
    <t>Lh.2630</t>
  </si>
  <si>
    <t>Kun kontanter</t>
  </si>
  <si>
    <t>Han havde kun kontanter, så har bedt ham at smide pengene på kontoen og fikse det hele d 30</t>
  </si>
  <si>
    <t>53 80 31 42</t>
  </si>
  <si>
    <t>Gravesenbenjamin</t>
  </si>
  <si>
    <t>han starter og betaler d 2 jan</t>
  </si>
  <si>
    <t>Bertramrasmussen</t>
  </si>
  <si>
    <t>starter og betaler d 1 dec</t>
  </si>
  <si>
    <t>Micas</t>
  </si>
  <si>
    <t>Micasserlangsen</t>
  </si>
  <si>
    <t>snakker med ham igen d 30 for at følge op på det hele</t>
  </si>
  <si>
    <t>20 31 68 05</t>
  </si>
  <si>
    <t>Christiansoerens</t>
  </si>
  <si>
    <t>Håndværker %</t>
  </si>
  <si>
    <t>Ikke Håndværker %</t>
  </si>
  <si>
    <t>Håndværker</t>
  </si>
  <si>
    <t>28 45 52 07</t>
  </si>
  <si>
    <t>Jk_714kristensen</t>
  </si>
  <si>
    <t>30 96 24 83</t>
  </si>
  <si>
    <t>Frederikaahauge</t>
  </si>
  <si>
    <t>60 12 69 88</t>
  </si>
  <si>
    <t>Hjortholiversvane</t>
  </si>
  <si>
    <t>Ikkehåndværker</t>
  </si>
  <si>
    <t>23 31 09 44</t>
  </si>
  <si>
    <t>Jakobnorager</t>
  </si>
  <si>
    <t>Han var super varm, allerede haft en coach, han var klar til at betale pif, men han ville gerne betale med faktura og vidste ikke om jeg kunne, så vi aftalte et nyt tidspunkt og han mødte aldrig op</t>
  </si>
  <si>
    <t>50 57 38 89</t>
  </si>
  <si>
    <t>mikkel.la0</t>
  </si>
  <si>
    <t>han havde set min vsl og ville bare snakke med mig, så den lukkede jeg hurtigt, fordi han legit bare snakkede</t>
  </si>
  <si>
    <t>Luckas</t>
  </si>
  <si>
    <t>31 32 39 76</t>
  </si>
  <si>
    <t>luckas.111</t>
  </si>
  <si>
    <t>Kald d 2 med betaling og onboarding</t>
  </si>
  <si>
    <t>51 92 29 41</t>
  </si>
  <si>
    <t>mikkel.boel_</t>
  </si>
  <si>
    <t>Fikse betaling</t>
  </si>
  <si>
    <t>Han skulle fikse betaling og så hørte jeg aldrig fra ham. han var sygt varm</t>
  </si>
  <si>
    <t>61 37 79 13</t>
  </si>
  <si>
    <t>elias_krogh_</t>
  </si>
  <si>
    <t>28 19 99 91</t>
  </si>
  <si>
    <t>mattis_kuhnau</t>
  </si>
  <si>
    <t>53 37 62 45</t>
  </si>
  <si>
    <t>patrick_hstt</t>
  </si>
  <si>
    <t>21 46 31 34</t>
  </si>
  <si>
    <t>Malthe_bistrup</t>
  </si>
  <si>
    <t>42 49 90 30</t>
  </si>
  <si>
    <t>Illummagnus</t>
  </si>
  <si>
    <t>gik med en anden coach</t>
  </si>
  <si>
    <t>Super cool fyr, men han valgte at gå med en anden coach</t>
  </si>
  <si>
    <t>61 31 99 07</t>
  </si>
  <si>
    <t>Phillip_mortensen</t>
  </si>
  <si>
    <t>21 29 22 68</t>
  </si>
  <si>
    <t>Sorensen_8722</t>
  </si>
  <si>
    <t>Hans mor mente at han ikke havde pengene til det</t>
  </si>
  <si>
    <t>42 17 37 41</t>
  </si>
  <si>
    <t>malthethiesen</t>
  </si>
  <si>
    <t>Hørte aldrig fra ham efter kaldet</t>
  </si>
  <si>
    <t>Super fin gut, som gerne ville igang og var landmand, men han var lidt nærig og sagde han ville tænke over det og hørte aldrig fra ham igen</t>
  </si>
  <si>
    <t>rasmus</t>
  </si>
  <si>
    <t>28 55 30 25</t>
  </si>
  <si>
    <t>Kjaer21</t>
  </si>
  <si>
    <t>20 99 09 86</t>
  </si>
  <si>
    <t>Oliver_soendergaard</t>
  </si>
  <si>
    <t>71 77 94 37</t>
  </si>
  <si>
    <t>Mikkelbasse_</t>
  </si>
  <si>
    <t>Han ville gerne tænke over det, men ellers sød</t>
  </si>
  <si>
    <t>53 83 25 19</t>
  </si>
  <si>
    <t>bertilmarcussen</t>
  </si>
  <si>
    <t>30 96 41 12</t>
  </si>
  <si>
    <t>bertramwass</t>
  </si>
  <si>
    <t>kald d 2 med betaling og onboarding</t>
  </si>
  <si>
    <t>Kian</t>
  </si>
  <si>
    <t>41 11 47 06</t>
  </si>
  <si>
    <t>kianmakholm</t>
  </si>
  <si>
    <t>42 44 60 15</t>
  </si>
  <si>
    <t>oscarhvarregaard</t>
  </si>
  <si>
    <t>Passsede ikke ind i hans økonomi</t>
  </si>
  <si>
    <t>31 50 20 54</t>
  </si>
  <si>
    <t>Mads_rodrigo</t>
  </si>
  <si>
    <t>Mange udgifter</t>
  </si>
  <si>
    <t>Super flink gut og ville bare igang, men han havde alt for mange udgifter</t>
  </si>
  <si>
    <t>40 42 10 41</t>
  </si>
  <si>
    <t>Lillegaardthomas</t>
  </si>
  <si>
    <t>Han ville vende tilbage efter jul, men ellers super nice og var færdigudlært</t>
  </si>
  <si>
    <t>Muhammed</t>
  </si>
  <si>
    <t>50 51 32 02</t>
  </si>
  <si>
    <t>onlymini2611</t>
  </si>
  <si>
    <t>Han gik på gym og havde ingen penge på kontoen. bedte ham skrive når han havde fundet et arbejde</t>
  </si>
  <si>
    <t>31 32 70 05</t>
  </si>
  <si>
    <t>lundnoah</t>
  </si>
  <si>
    <t>Penge lige nu</t>
  </si>
  <si>
    <t>Onboarding kald d 2 samt betaling</t>
  </si>
  <si>
    <t>22 57 39 50</t>
  </si>
  <si>
    <t>mikkeltyrrell_</t>
  </si>
  <si>
    <t>42 39 64 37</t>
  </si>
  <si>
    <t>jens657a</t>
  </si>
  <si>
    <t>Anthony</t>
  </si>
  <si>
    <t>42 30 04 23</t>
  </si>
  <si>
    <t>antonio_nielsson.69</t>
  </si>
  <si>
    <t>ingen penge nu</t>
  </si>
  <si>
    <t>Starter og betaler d 2 jan</t>
  </si>
  <si>
    <t>93 60 28 18</t>
  </si>
  <si>
    <t>Albertgerguri</t>
  </si>
  <si>
    <t>91 55 76 55</t>
  </si>
  <si>
    <t>mads_freundlich</t>
  </si>
  <si>
    <t>Han var sygt klar, men hans forældre gad ikke støtte ham i det, så han droppede det</t>
  </si>
  <si>
    <t>22 79 13 12</t>
  </si>
  <si>
    <t>Sebastianvielanderiksen</t>
  </si>
  <si>
    <t>starter og betaler d 2 jan</t>
  </si>
  <si>
    <t>52 55 50 60</t>
  </si>
  <si>
    <t>Trolle176</t>
  </si>
  <si>
    <t>Matias</t>
  </si>
  <si>
    <t>61 76 96 66</t>
  </si>
  <si>
    <t>matias_andersn</t>
  </si>
  <si>
    <t>starter og betaler forhåbenligt d 2 jan</t>
  </si>
  <si>
    <t>Ethan</t>
  </si>
  <si>
    <t>22 32 67 97</t>
  </si>
  <si>
    <t>ethanjessenn</t>
  </si>
  <si>
    <t>Han var sygt varm og ville bare igang, men så snart han hørte prisen, så hoppede han af</t>
  </si>
  <si>
    <t>42 27 60 20</t>
  </si>
  <si>
    <t>nikolajkm</t>
  </si>
  <si>
    <t>Manden var totalt varm og havde penge. da han hørte prisen var han også klar, men da vi kom til betalingen ville han gerne tænke over det og så blokerede han mig</t>
  </si>
  <si>
    <t>23 23 25 15</t>
  </si>
  <si>
    <t>jeppebauer</t>
  </si>
  <si>
    <t>21 81 44 22</t>
  </si>
  <si>
    <t>sunekildedal</t>
  </si>
  <si>
    <t>sygt varm og havde fuldtidsarbejde, men gad ikke starte op fordi han snart skulle flytte ud selvom det faktisk var ham der skrev coach til mig</t>
  </si>
  <si>
    <t>42 47 60 68</t>
  </si>
  <si>
    <t>Tobias_risvig_</t>
  </si>
  <si>
    <t>31 24 54 21</t>
  </si>
  <si>
    <t>Oliver.ulvsgaard</t>
  </si>
  <si>
    <t>26 43 86 96</t>
  </si>
  <si>
    <t>Asbjørnreventlow</t>
  </si>
  <si>
    <t>41 82 10 50</t>
  </si>
  <si>
    <t>m.post_205</t>
  </si>
  <si>
    <t>Albion</t>
  </si>
  <si>
    <t>Albion Peci</t>
  </si>
  <si>
    <t>Været hos mig i 2024</t>
  </si>
  <si>
    <t>frederikkoej</t>
  </si>
  <si>
    <t>Luckas.111</t>
  </si>
  <si>
    <t>Lundnoah</t>
  </si>
  <si>
    <t>Kalle</t>
  </si>
  <si>
    <t>Kalletimm07</t>
  </si>
  <si>
    <t>Antonio</t>
  </si>
  <si>
    <t>itsyourboysilas</t>
  </si>
  <si>
    <t>Blokeret os</t>
  </si>
  <si>
    <t>sebastianvielanderiksen</t>
  </si>
  <si>
    <t>Alush</t>
  </si>
  <si>
    <t>42 36 09 77</t>
  </si>
  <si>
    <t>Alushoow</t>
  </si>
  <si>
    <t>Kevin</t>
  </si>
  <si>
    <t>42 77 53 27</t>
  </si>
  <si>
    <t>S_k3vin</t>
  </si>
  <si>
    <t>Abden</t>
  </si>
  <si>
    <t>28 96 70 25</t>
  </si>
  <si>
    <t>Ak480_</t>
  </si>
  <si>
    <t>25 50 00 66</t>
  </si>
  <si>
    <t>victor.kamp</t>
  </si>
  <si>
    <r>
      <rPr>
        <rFont val="-apple-system, &quot;system-ui&quot;, &quot;Segoe UI&quot;, Roboto, Helvetica, Arial, sans-serif"/>
        <b/>
        <color rgb="FF1155CC"/>
        <sz val="8.0"/>
        <u/>
      </rPr>
      <t>mads_hogh_stadager</t>
    </r>
  </si>
  <si>
    <t>24 45 55 95</t>
  </si>
  <si>
    <t>mikkel_calundan_jensen</t>
  </si>
  <si>
    <t>60 51 77 28</t>
  </si>
  <si>
    <t>Peterbak11</t>
  </si>
  <si>
    <t>42 20 50 68</t>
  </si>
  <si>
    <t>nicklas_staack</t>
  </si>
  <si>
    <t>93 30 75 52</t>
  </si>
  <si>
    <t>mittag_karl</t>
  </si>
  <si>
    <t>Damir</t>
  </si>
  <si>
    <t>60 22 90 15</t>
  </si>
  <si>
    <t>damir_asimovic_</t>
  </si>
  <si>
    <t>Gajan</t>
  </si>
  <si>
    <t>24 89 19 90</t>
  </si>
  <si>
    <t>gajan_11</t>
  </si>
  <si>
    <t>42 77 74 02</t>
  </si>
  <si>
    <t>fitbyhaaning</t>
  </si>
  <si>
    <t>31 37 46 48</t>
  </si>
  <si>
    <t>Mathias.e.n.andersen</t>
  </si>
  <si>
    <t>29 83 71 70</t>
  </si>
  <si>
    <t>jeppe_bennedsen</t>
  </si>
  <si>
    <t>Mikkel.skovgaard</t>
  </si>
  <si>
    <t>Betaler bagud</t>
  </si>
  <si>
    <t>30 25 68 14</t>
  </si>
  <si>
    <t>tobias.m.nielsen</t>
  </si>
  <si>
    <t>22 79 33 08</t>
  </si>
  <si>
    <t>Arnswood321</t>
  </si>
  <si>
    <t>Ismet</t>
  </si>
  <si>
    <t>52 75 57 50</t>
  </si>
  <si>
    <t>Ismetcelikk_</t>
  </si>
  <si>
    <t>21 97 11 07</t>
  </si>
  <si>
    <t>noahfrederiksen._</t>
  </si>
  <si>
    <t>28 49 36 30</t>
  </si>
  <si>
    <t>kalleskovdalolsen</t>
  </si>
  <si>
    <t>51 44 79 06</t>
  </si>
  <si>
    <t>Siiggi.06</t>
  </si>
  <si>
    <t>27 58 15 11</t>
  </si>
  <si>
    <t>marcell_busch</t>
  </si>
  <si>
    <t>Opstart 28 feb</t>
  </si>
  <si>
    <t>71 78 35 26</t>
  </si>
  <si>
    <t>august__hertz</t>
  </si>
  <si>
    <t>93 80 84 45</t>
  </si>
  <si>
    <t>rasmus.werngreen</t>
  </si>
  <si>
    <t>28 59 49 29</t>
  </si>
  <si>
    <t>m.hanse26</t>
  </si>
  <si>
    <t>Opstart 21 feb</t>
  </si>
  <si>
    <t>51 79 74 37</t>
  </si>
  <si>
    <t>nicklas_matzen</t>
  </si>
  <si>
    <t>31 42 02 23</t>
  </si>
  <si>
    <t>Gustavdigmanm</t>
  </si>
  <si>
    <t>53 80 71 60</t>
  </si>
  <si>
    <t>nicolaiii_eh</t>
  </si>
  <si>
    <t>Adrian</t>
  </si>
  <si>
    <t>31 54 18 28</t>
  </si>
  <si>
    <t>adrianbomin</t>
  </si>
  <si>
    <t>91 56 85 99</t>
  </si>
  <si>
    <t>Casper_wulff</t>
  </si>
  <si>
    <t>22 58 55 05</t>
  </si>
  <si>
    <t>Nissendk</t>
  </si>
  <si>
    <t>Starter og betaler den 19 jan</t>
  </si>
  <si>
    <t>mikkel</t>
  </si>
  <si>
    <t>53 35 25 52</t>
  </si>
  <si>
    <t>mikkelg23</t>
  </si>
  <si>
    <t>nicolai</t>
  </si>
  <si>
    <t>40 30 71 12</t>
  </si>
  <si>
    <t>_o_23x</t>
  </si>
  <si>
    <t>Starter betaler 31 jan (manden mødte ikke op til deposit kald)</t>
  </si>
  <si>
    <t>Emil_iseni</t>
  </si>
  <si>
    <t>25 55 51 44</t>
  </si>
  <si>
    <t>Gabrielrossi05</t>
  </si>
  <si>
    <t>42 30 89 59</t>
  </si>
  <si>
    <t>Oscarchristiansen05</t>
  </si>
  <si>
    <t>Tomas</t>
  </si>
  <si>
    <t>Tomas_5s</t>
  </si>
  <si>
    <t>71 72 44 51</t>
  </si>
  <si>
    <t>nilaslindstroem</t>
  </si>
  <si>
    <t>31 12 41 77</t>
  </si>
  <si>
    <t>Mathiaseilso</t>
  </si>
  <si>
    <t>han har ikke fået løn endnu</t>
  </si>
  <si>
    <t>Mikkel skal skrive til ham løningsdag i jan, fordi han ville rigtig gerne, men han ville først give svar når han havde fået sin løn</t>
  </si>
  <si>
    <t>kadiryr</t>
  </si>
  <si>
    <t>22 55 87 37</t>
  </si>
  <si>
    <t>hår transplantation</t>
  </si>
  <si>
    <t>Han var super varm, men han kunne ikke starte op pga hår transplantation. så har sat et nyt kald op med ham d 1 feb</t>
  </si>
  <si>
    <t>22 99 06 49</t>
  </si>
  <si>
    <t>maxvallentinnielsen</t>
  </si>
  <si>
    <t>51 30 51 47</t>
  </si>
  <si>
    <t>nl_cph</t>
  </si>
  <si>
    <t>han starter og betaler d 21 feb</t>
  </si>
  <si>
    <t>25 77 30 06</t>
  </si>
  <si>
    <t>frederik.b.pedersen</t>
  </si>
  <si>
    <t>Penge og var nærig</t>
  </si>
  <si>
    <t>han var super nice og en grinder. han ville rigtig gerne sove på den og så har jeg sat et nyt kald op med ham d 12 jan</t>
  </si>
  <si>
    <t>21 77 15 28</t>
  </si>
  <si>
    <t>sorenbucca</t>
  </si>
  <si>
    <t>Han var super cool, men han vidste ikke helt hvad han havde brug for hjælp til. Så jeg bedte ham om sende mig en besked med hvad han helt præcist havde brug for hjælp til</t>
  </si>
  <si>
    <t>60 65 77 63</t>
  </si>
  <si>
    <t>noahskov_</t>
  </si>
  <si>
    <t>Han ville gerne igang, men kun med kostplan. Han ville tænke over det og han svarede mig senere på dagen at han gerne ville igang. Så har sat et nyt kald op med ham om 3 dage</t>
  </si>
  <si>
    <t>52 11 35 68</t>
  </si>
  <si>
    <t>lucasmortensgaard</t>
  </si>
  <si>
    <t xml:space="preserve">Han har vist interesse for coaching mange gange og den her gang nossede han sig sammen til at snakke med mig. vi snakker lidt sammen og han tøver, så jeg er lidt hård ved ham. Mid call, så bliver der banket på min dør og jeg siger han lige skal vente 10 sek og så lukker han den. </t>
  </si>
  <si>
    <t>71 72 00 82</t>
  </si>
  <si>
    <t>Olivertoft_</t>
  </si>
  <si>
    <t>51 73 70 23</t>
  </si>
  <si>
    <t>Niklas_kock1</t>
  </si>
  <si>
    <t>49 40 07 27</t>
  </si>
  <si>
    <t>oliverherlufklijnstra</t>
  </si>
  <si>
    <t>sygt godt kald og han var mega klar. han ville tænke over det fordi han synes det var mange penge</t>
  </si>
  <si>
    <t>71 72 94 29</t>
  </si>
  <si>
    <t>silas.nelin</t>
  </si>
  <si>
    <t>rigtig godt kald og manden var også solgt. han har trænet on and off i 5 år og har ingen resultater set. han kunne se værdien i det, men gad alligevel ikke starte op, fordi han selv ville prøve lol</t>
  </si>
  <si>
    <t>41 83 12 81</t>
  </si>
  <si>
    <t>alexanderreinholt</t>
  </si>
  <si>
    <t>han skulle snakke med en anden coach</t>
  </si>
  <si>
    <t>han var selvstændig og ville gerne igang og han var også klar. han sagde så til sidst at han også havde en anden aftale med en coach</t>
  </si>
  <si>
    <t>Michlas</t>
  </si>
  <si>
    <t>21 26 35 19</t>
  </si>
  <si>
    <t>michlasnybye</t>
  </si>
  <si>
    <t>25 21 68 25</t>
  </si>
  <si>
    <t>silas_gren</t>
  </si>
  <si>
    <t>starter og betaler d 28 jan</t>
  </si>
  <si>
    <t>bertram</t>
  </si>
  <si>
    <t>31 31 37 24</t>
  </si>
  <si>
    <t>Bertram.møeller</t>
  </si>
  <si>
    <t>han ville snakke med sin mor og vender tilbage senere</t>
  </si>
  <si>
    <t>jacob</t>
  </si>
  <si>
    <t>26 14 31 26</t>
  </si>
  <si>
    <t>Jacobjuul</t>
  </si>
  <si>
    <t>Antio</t>
  </si>
  <si>
    <t>60 56 16 32</t>
  </si>
  <si>
    <t>anto082007_____</t>
  </si>
  <si>
    <t>mor og far</t>
  </si>
  <si>
    <t>han skulle snakke med sine forældre, fordi det var dem som skulle betale for forløbet</t>
  </si>
  <si>
    <t>sebastian</t>
  </si>
  <si>
    <t>28 91 11 20</t>
  </si>
  <si>
    <t>sebastian_plumhoff</t>
  </si>
  <si>
    <t>jyde</t>
  </si>
  <si>
    <t>han ville gerne, men han var jyde og nærig sagde han gg</t>
  </si>
  <si>
    <t>20 93 32 22</t>
  </si>
  <si>
    <t>Anders_omann</t>
  </si>
  <si>
    <t>MANDEN var klar, men så skulle han have penge fra sin mor og har ikke hørt fra ham siden</t>
  </si>
  <si>
    <t>27 85 15 26</t>
  </si>
  <si>
    <t>Alexanderthingholm</t>
  </si>
  <si>
    <t>MANDEN FUCKING BETALTE 9K og fortrød en halv time efter....</t>
  </si>
  <si>
    <t>30 91 03 10</t>
  </si>
  <si>
    <t>odberg.simon_</t>
  </si>
  <si>
    <t>30 11 20 09</t>
  </si>
  <si>
    <t>marcuskrag</t>
  </si>
  <si>
    <t>manden var skeptisk og ville tænke over det og det kan jeg ikke bruge til noget</t>
  </si>
  <si>
    <t>21 66 13 07</t>
  </si>
  <si>
    <t>Magnus_raymond</t>
  </si>
  <si>
    <t>snakke med sine forældre</t>
  </si>
  <si>
    <t>17 årige gut som bare var sej, men skulle snakke med sine forældre</t>
  </si>
  <si>
    <t>konrad</t>
  </si>
  <si>
    <t>31 20 39 85</t>
  </si>
  <si>
    <t>k.l.j24</t>
  </si>
  <si>
    <t>23 86 08 90</t>
  </si>
  <si>
    <t>mikkel.callesen2</t>
  </si>
  <si>
    <t>tænke over det og penge</t>
  </si>
  <si>
    <t>han var klar, men hørte prisen og ville tænke over det</t>
  </si>
  <si>
    <t>malte_blo</t>
  </si>
  <si>
    <t>30 72 40 38</t>
  </si>
  <si>
    <t>Kockasper</t>
  </si>
  <si>
    <t>Han starter og betaler d 30 jan</t>
  </si>
  <si>
    <t>60 14 36 69</t>
  </si>
  <si>
    <t>mathiasebbesen_</t>
  </si>
  <si>
    <t>Nadine</t>
  </si>
  <si>
    <t>27 28 53 31</t>
  </si>
  <si>
    <t>Mikkel_munkholm</t>
  </si>
  <si>
    <t>Super sød fyr som faktisk hoppede på kaldet og ikke var intra i coaching. Så gjorde jeg ham varm og så ville han gerne, men synes det var lidt pricy. Follow up på ham</t>
  </si>
  <si>
    <t>40 27 05 02</t>
  </si>
  <si>
    <t>sebastian_pedersen27</t>
  </si>
  <si>
    <t>Maxvallentinnielsen</t>
  </si>
  <si>
    <t>penge og frygt</t>
  </si>
  <si>
    <t>Manden var fkn klar, brugte 3k på penge tanken og gad stadig ikke starte op. han skal bare følges op på</t>
  </si>
  <si>
    <t>Vilas</t>
  </si>
  <si>
    <t>22 20 48 81</t>
  </si>
  <si>
    <t>vilasvejdiksen</t>
  </si>
  <si>
    <t>snakke med mor</t>
  </si>
  <si>
    <t>Sej 17 årige som gerne ville igang og ville snakke med sin mor før han tog et valg. Han ville give svar i den nye måned</t>
  </si>
  <si>
    <t>40 61 07 62</t>
  </si>
  <si>
    <t>nielsen.gustav</t>
  </si>
  <si>
    <t>21 96 49 39</t>
  </si>
  <si>
    <t>nickifrederiksen</t>
  </si>
  <si>
    <t>25 21 02 62</t>
  </si>
  <si>
    <t>oliver.haugboelle</t>
  </si>
  <si>
    <t>Han starter og betaler imorgen (det var et deposit, men han hoppede fra)</t>
  </si>
  <si>
    <t>24 42 09 61</t>
  </si>
  <si>
    <t>martinschackk</t>
  </si>
  <si>
    <t>Follow up kald d 21 jan til upper level coaching</t>
  </si>
  <si>
    <t>22 16 09 15</t>
  </si>
  <si>
    <t>seb._thuesen</t>
  </si>
  <si>
    <t>han var på su og fik 1200kr om måneden</t>
  </si>
  <si>
    <t>40 14 29 56</t>
  </si>
  <si>
    <t>mikkeldettmannsorensen</t>
  </si>
  <si>
    <t>manden ville bare igang og skulle det ene og det andet. Men han ville tænke over det bla bla bla</t>
  </si>
  <si>
    <t>60 64 41 75</t>
  </si>
  <si>
    <t>lucasschristensen</t>
  </si>
  <si>
    <t>30 25 10 67</t>
  </si>
  <si>
    <t>hjaltebladttychsen</t>
  </si>
  <si>
    <t>betaler og starter op fredag</t>
  </si>
  <si>
    <t>Vincent</t>
  </si>
  <si>
    <t>30 26 65 06</t>
  </si>
  <si>
    <t>vincent_abenth</t>
  </si>
  <si>
    <t>starter og betaler d 31 jan</t>
  </si>
  <si>
    <t>53 83 46 63</t>
  </si>
  <si>
    <t>Sebastian_hugo_fonnesbech</t>
  </si>
  <si>
    <t>pengene</t>
  </si>
  <si>
    <t>super flink, den eneste grund til at han ikke startede op var pga opstartsgebyret</t>
  </si>
  <si>
    <t>22 62 44 52</t>
  </si>
  <si>
    <t>lucasherskindd</t>
  </si>
  <si>
    <t>51 74 80 83</t>
  </si>
  <si>
    <t>anton_privat35</t>
  </si>
  <si>
    <t>31 14 60 25</t>
  </si>
  <si>
    <t>noah1117273</t>
  </si>
  <si>
    <t>53 89 88 97</t>
  </si>
  <si>
    <t>louisthomsenn</t>
  </si>
  <si>
    <t>han var lidt underlig og fortalte ham slet ikke prisen</t>
  </si>
  <si>
    <t>23 45 04 34</t>
  </si>
  <si>
    <t>itsbernt</t>
  </si>
  <si>
    <t>blev lukket kun med kostplan</t>
  </si>
  <si>
    <t>61 42 75 87</t>
  </si>
  <si>
    <t>alberthein3</t>
  </si>
  <si>
    <t>han har fulgt mig længe og var klar. dog gav det ikke mening økonomisk da han skulle flytte ud. men han var klar til marts</t>
  </si>
  <si>
    <t>23 47 02 08</t>
  </si>
  <si>
    <t>nicolai_vad_svane</t>
  </si>
  <si>
    <t>betaler 6k lønningsdag</t>
  </si>
  <si>
    <t>93 86 96 06</t>
  </si>
  <si>
    <t>Ali_mahko23</t>
  </si>
  <si>
    <t>han var super cool og har fulgt mig længe. Han havde ikke pengene til det</t>
  </si>
  <si>
    <t>60 59 31 10</t>
  </si>
  <si>
    <t>malthe_weiss8</t>
  </si>
  <si>
    <t>manden havde pengene, men var bare træls og nærig</t>
  </si>
  <si>
    <t>42 80 22 05</t>
  </si>
  <si>
    <t>mariusmollersvenstrup</t>
  </si>
  <si>
    <t>22 22 35 09</t>
  </si>
  <si>
    <t>Rasmus_rimmer</t>
  </si>
  <si>
    <t>Penge også</t>
  </si>
  <si>
    <t>han var ready, men totalt nærig så kunne slet ikke få ham "overbevist"</t>
  </si>
  <si>
    <t>25 25 70 71</t>
  </si>
  <si>
    <t>kildegaardens_dressage_horses</t>
  </si>
  <si>
    <t>60 69 27 20</t>
  </si>
  <si>
    <t>seb_bojes</t>
  </si>
  <si>
    <t>Han starter og betaler d 30 (manden har blokeret mig)</t>
  </si>
  <si>
    <t>23 28 67 77</t>
  </si>
  <si>
    <t>soren_bak.olpik</t>
  </si>
  <si>
    <t>skal snakke med ham d 30 igen</t>
  </si>
  <si>
    <t>24 80 81 03</t>
  </si>
  <si>
    <t>patricknyvang</t>
  </si>
  <si>
    <t>29 60 22 77</t>
  </si>
  <si>
    <t>jakob_wegnerp</t>
  </si>
  <si>
    <t>starter og betaler d 30</t>
  </si>
  <si>
    <t>42 74 11 12</t>
  </si>
  <si>
    <t>Oliverschou07</t>
  </si>
  <si>
    <t>lille dreng</t>
  </si>
  <si>
    <t>lille dreng og havde ingen penge</t>
  </si>
  <si>
    <t>Adem</t>
  </si>
  <si>
    <t>42 74 57 09</t>
  </si>
  <si>
    <t>sibic.adem</t>
  </si>
  <si>
    <t>skal snakke med ham d 30</t>
  </si>
  <si>
    <t>60 55 95 82</t>
  </si>
  <si>
    <t>nybymagnus</t>
  </si>
  <si>
    <t>han var sygt varm og ville gerne tænke over det. så han skal 100% skrives til igen</t>
  </si>
  <si>
    <t>28 97 87 26</t>
  </si>
  <si>
    <t>emilwichmann</t>
  </si>
  <si>
    <t>manden havde pengene, men var bare slet ikke comittet. aben smaskede mig i ørene igennem hele kaldet</t>
  </si>
  <si>
    <t>Victor høyer</t>
  </si>
  <si>
    <t>Dzemil</t>
  </si>
  <si>
    <t>60 51 31 02</t>
  </si>
  <si>
    <t>Dzeba023</t>
  </si>
  <si>
    <t>starter og betaler d 31 jan (han valgte at hoppe fra)</t>
  </si>
  <si>
    <t>20 70 46 16</t>
  </si>
  <si>
    <t>meyermalthe</t>
  </si>
  <si>
    <t>Han var klar på at starte op, men han skulle først have løn. det får han d 6 feb og der skal vi snakke igen</t>
  </si>
  <si>
    <t>Tom</t>
  </si>
  <si>
    <t>55 23 84 26</t>
  </si>
  <si>
    <t>edvardtsentom</t>
  </si>
  <si>
    <t>Paywand</t>
  </si>
  <si>
    <t>71 31 34 99</t>
  </si>
  <si>
    <t>paywand_ch</t>
  </si>
  <si>
    <t>follow up kald d 30, der snakker vi det hele igennem og vi skal gå med det eller ej (han forsætter med hans egen coach)</t>
  </si>
  <si>
    <t>23 69 31 01</t>
  </si>
  <si>
    <t>Malthe_larsen_07</t>
  </si>
  <si>
    <t>Skal snakke med ham d 30 (det gav ikke mening for ham alligevel)</t>
  </si>
  <si>
    <t>23 91 25 14</t>
  </si>
  <si>
    <t>_.golle._</t>
  </si>
  <si>
    <t>22 77 09 40</t>
  </si>
  <si>
    <t>madshyldeqvist</t>
  </si>
  <si>
    <t>Yunus</t>
  </si>
  <si>
    <t>23 64 60 30</t>
  </si>
  <si>
    <t>yunuserman.larsen</t>
  </si>
  <si>
    <t>snakke med ham d 30 jan</t>
  </si>
  <si>
    <t>60 48 01 95</t>
  </si>
  <si>
    <t>emil_baastrup</t>
  </si>
  <si>
    <t>snakke d 30 jan og skulle snakke med sine forældre</t>
  </si>
  <si>
    <t>61 71 59 90</t>
  </si>
  <si>
    <t>Oliver_skovaa</t>
  </si>
  <si>
    <t>aben var klar og vælger at hoppe fra inden vores deposit kald</t>
  </si>
  <si>
    <t>31 39 85 48</t>
  </si>
  <si>
    <t>Gusse_mikkelsen</t>
  </si>
  <si>
    <t>21 31 43 70</t>
  </si>
  <si>
    <t>nico_skov</t>
  </si>
  <si>
    <t>skal snakke med ham igen d 30 jan (manden har blokeret mig)</t>
  </si>
  <si>
    <t>Maximus</t>
  </si>
  <si>
    <t>60 21 90 67</t>
  </si>
  <si>
    <t>officiel_nissenn</t>
  </si>
  <si>
    <t>betaler og starter d 30 jan</t>
  </si>
  <si>
    <t>60 63 43 83</t>
  </si>
  <si>
    <t>mads_thordrup</t>
  </si>
  <si>
    <t>Mega nice fyr, men det var pengene som holdte ham tilbage lige nu</t>
  </si>
  <si>
    <t>22 24 33 27</t>
  </si>
  <si>
    <t>Nicolai.skovgaard</t>
  </si>
  <si>
    <t>26 25 72 84</t>
  </si>
  <si>
    <t>emillyder_</t>
  </si>
  <si>
    <t>60 63 26 61</t>
  </si>
  <si>
    <t>Madsg28</t>
  </si>
  <si>
    <t>Han ville gerne prøve selv</t>
  </si>
  <si>
    <t>28 44 38 86</t>
  </si>
  <si>
    <t>Frederik_bentmann</t>
  </si>
  <si>
    <t>Han var super sød og nice. Han ville først starte op til marts da han ville få mere i løn der</t>
  </si>
  <si>
    <t>29 90 38 85</t>
  </si>
  <si>
    <t>Oliver_bolando</t>
  </si>
  <si>
    <t>Kadir</t>
  </si>
  <si>
    <t>x</t>
  </si>
  <si>
    <t>23 93 92 52</t>
  </si>
  <si>
    <t>Rasmus.lentfer</t>
  </si>
  <si>
    <t>Allan</t>
  </si>
  <si>
    <t>60 24 48 92</t>
  </si>
  <si>
    <t>Kclaf97</t>
  </si>
  <si>
    <t>kæresten</t>
  </si>
  <si>
    <t>Manden var fuld klar og er betjent. Han er klar til at starte op og betale og så kommer hans dame hjem mid call og han spørger om det er cool og hun slår hans ide ned. GG</t>
  </si>
  <si>
    <t>50 52 15 17</t>
  </si>
  <si>
    <t>Chrillemandeen</t>
  </si>
  <si>
    <t>Han havde ikke pengene til det</t>
  </si>
  <si>
    <t>20 27 43 46</t>
  </si>
  <si>
    <t>Marcus.finne07</t>
  </si>
  <si>
    <t>71 72 70 29</t>
  </si>
  <si>
    <t>vebs_5</t>
  </si>
  <si>
    <t>42 72 95 16</t>
  </si>
  <si>
    <t>Harbeck1283</t>
  </si>
  <si>
    <t>Nickolai</t>
  </si>
  <si>
    <t>26 23 44 10</t>
  </si>
  <si>
    <t>Nickolai.henriksen</t>
  </si>
  <si>
    <t>han kunne ikke starte op og så ville han også tænke det hele igennem. Jeg har sat et follow up kald d 6 feb</t>
  </si>
  <si>
    <t>22 26 27 66</t>
  </si>
  <si>
    <t>Feddersenmikkel</t>
  </si>
  <si>
    <t>61 401 997 598</t>
  </si>
  <si>
    <t>noah_dahl_nielsen</t>
  </si>
  <si>
    <t>helt ved siden af</t>
  </si>
  <si>
    <t>Han vidste slet ikke hvad han ville på kaldet så der var slet ikke noget offer</t>
  </si>
  <si>
    <t>Sirius</t>
  </si>
  <si>
    <t>53 88 00 87</t>
  </si>
  <si>
    <t>Siriusnl</t>
  </si>
  <si>
    <t>Ung knægt uden penge og totalt useriøs fra starten af</t>
  </si>
  <si>
    <t>53 79 30 30</t>
  </si>
  <si>
    <t>Benjamin_vernegren</t>
  </si>
  <si>
    <t>Manden prøvede og betale men han prøvede og betale men den gik ikke igennem</t>
  </si>
  <si>
    <t>30 86 54 19</t>
  </si>
  <si>
    <t>Andersras1311</t>
  </si>
  <si>
    <t>manden var bare slet ikke klar til at få investeret pengene i det som i slet ikke.</t>
  </si>
  <si>
    <t>42 15 02 50</t>
  </si>
  <si>
    <t>philip.iversen</t>
  </si>
  <si>
    <t>Gym dreng uden penge og lidt useriøs</t>
  </si>
  <si>
    <t>27 83 25 01</t>
  </si>
  <si>
    <t>oliver_meyer06</t>
  </si>
  <si>
    <t>20 15 09 06</t>
  </si>
  <si>
    <t>Nikolaj.horneman</t>
  </si>
  <si>
    <r>
      <rPr>
        <rFont val="-apple-system, &quot;system-ui&quot;, &quot;Segoe UI&quot;, Roboto, Helvetica, Arial, sans-serif"/>
        <b/>
        <color rgb="FF1155CC"/>
        <sz val="10.0"/>
        <u/>
      </rPr>
      <t>frederik_klitgaard125</t>
    </r>
  </si>
  <si>
    <t>42 47 16 47</t>
  </si>
  <si>
    <t>Jakob_kqhler</t>
  </si>
  <si>
    <t>er rimelig sikker på at han havde pengene, så ham skal vi give lidt tid og opfølge på igen!</t>
  </si>
  <si>
    <t>24 52 99 98</t>
  </si>
  <si>
    <t>nikolaj_weischenfeldt</t>
  </si>
  <si>
    <t>hans mor sagde nej</t>
  </si>
  <si>
    <t>han var sygt varm og ville bare gerne i god form. Han sagde at han skulle spørge sin mor midt call og hun sagde nej</t>
  </si>
  <si>
    <t>60 48 38 55</t>
  </si>
  <si>
    <t>_oliver_karlsen_</t>
  </si>
  <si>
    <t>26 81 51 57</t>
  </si>
  <si>
    <t>thomas_larsen07</t>
  </si>
  <si>
    <t>bange for at tage springet</t>
  </si>
  <si>
    <t>han var super cool og han manglede den der person han kunne stå til ansvar overfor. Men han valgte at hoppe fra</t>
  </si>
  <si>
    <t>60 52 21 76</t>
  </si>
  <si>
    <t>o.kongstedz</t>
  </si>
  <si>
    <t>25 83 07 52</t>
  </si>
  <si>
    <t>andreasrp06</t>
  </si>
  <si>
    <t>53 55 97 01</t>
  </si>
  <si>
    <t>sigurd_tol</t>
  </si>
  <si>
    <t>han var broke broke</t>
  </si>
  <si>
    <t>42 19 70 69</t>
  </si>
  <si>
    <t>christoffer.royal</t>
  </si>
  <si>
    <t>Dion</t>
  </si>
  <si>
    <t>53 63 83 42</t>
  </si>
  <si>
    <t>dion.cachola</t>
  </si>
  <si>
    <t>42 68 64 09</t>
  </si>
  <si>
    <t>sylvesterhusted</t>
  </si>
  <si>
    <t>han betaler og starter d 26 feb</t>
  </si>
  <si>
    <t>22 40 46 02</t>
  </si>
  <si>
    <t>lundstromsebastian</t>
  </si>
  <si>
    <t>22 36 04 90</t>
  </si>
  <si>
    <t>philip_hougard</t>
  </si>
  <si>
    <t>31 67 36 27</t>
  </si>
  <si>
    <t>Oskar_peter_</t>
  </si>
  <si>
    <t>Han var super nice men ville vente til at han var udlært hvilket er fari!</t>
  </si>
  <si>
    <t>22 20 06 64</t>
  </si>
  <si>
    <t>Rasmuskorsborg</t>
  </si>
  <si>
    <t>Far skulle tænke over det</t>
  </si>
  <si>
    <t>Han var super cool og ville bare igang men han skulle lige snakke med sin far om det</t>
  </si>
  <si>
    <t>93 92 69 78</t>
  </si>
  <si>
    <t>Gustav_kejser</t>
  </si>
  <si>
    <t>71 10 18 11</t>
  </si>
  <si>
    <t>Frederik_munkholm_</t>
  </si>
  <si>
    <t>manden var ægte klar og skriver coach og skal til at betale. så siger han at han betaler når han er hjjemme og får så en kedelig besked 2 min efter at han ikke har økonomi til det. så han skal bare have en opfølgning lønningsdag</t>
  </si>
  <si>
    <t>31 32 85 07</t>
  </si>
  <si>
    <t>johan_paaske</t>
  </si>
  <si>
    <t>51 82 38 44</t>
  </si>
  <si>
    <t>noah_korsholm</t>
  </si>
  <si>
    <t>17 år, håndværker, men synes det var for mange penge</t>
  </si>
  <si>
    <t>22 41 11 65</t>
  </si>
  <si>
    <t>emilkirchpedersen</t>
  </si>
  <si>
    <t>42 51 72 12</t>
  </si>
  <si>
    <t>jakobmk</t>
  </si>
  <si>
    <t>Rigtig god mand og han skal følges op på lønningsdsag, fordi han var 100% klar!</t>
  </si>
  <si>
    <t>71 72 93 45</t>
  </si>
  <si>
    <t>mads_26s</t>
  </si>
  <si>
    <t>han var et rigtig godt lead. skulle til at betale og begyndte at lyve om at han ikke kunne betale. så han var bare bange for at tage springet</t>
  </si>
  <si>
    <t>Frej</t>
  </si>
  <si>
    <t>51 92 79 52</t>
  </si>
  <si>
    <t>frej.horup</t>
  </si>
  <si>
    <t>arbejdede 3 steder, men havde ikke fået løn fra nogen af dem endnu. Så skriv løningsdag</t>
  </si>
  <si>
    <t>61 73 28 84</t>
  </si>
  <si>
    <t>Danniskytte</t>
  </si>
  <si>
    <t>25 78 14 45</t>
  </si>
  <si>
    <t>Gabriel_nielsen_2249</t>
  </si>
  <si>
    <t>han starter og betaler d 1 marts</t>
  </si>
  <si>
    <t>26 11 41 89</t>
  </si>
  <si>
    <t>patr_1515</t>
  </si>
  <si>
    <t>17 år og havde ikke de største penge mellem hænderne</t>
  </si>
  <si>
    <t>Frede</t>
  </si>
  <si>
    <t>91 25 38 11</t>
  </si>
  <si>
    <t>fredebeyer</t>
  </si>
  <si>
    <t>Han aflyste fordi han skrev hans onkel ville coache ham</t>
  </si>
  <si>
    <t>Mingus</t>
  </si>
  <si>
    <t>52 90 62 90</t>
  </si>
  <si>
    <t>Mingus.enger</t>
  </si>
  <si>
    <t>15 årig dreng som ikke havde penge eller noget</t>
  </si>
  <si>
    <t>30 74 28 89</t>
  </si>
  <si>
    <t>lasse_bm188</t>
  </si>
  <si>
    <t>jeg aflyste da han var 16 og magtede det ikke</t>
  </si>
  <si>
    <t>ASGER</t>
  </si>
  <si>
    <t>61 41 88 32</t>
  </si>
  <si>
    <t>asgerunebo</t>
  </si>
  <si>
    <t>17 år og var klar men når han tjente noget mere, så han ska 100% følges op på snart!</t>
  </si>
  <si>
    <t>22 97 20 68</t>
  </si>
  <si>
    <t>alsing0101</t>
  </si>
  <si>
    <t>Manden var helt flad, men ville rigtig gerne igang. han var klar om et par måneder, der havde han nemlig fundet et arb!</t>
  </si>
  <si>
    <t>Otto</t>
  </si>
  <si>
    <t>42 95 14 74</t>
  </si>
  <si>
    <t>Jakobsen132</t>
  </si>
  <si>
    <t>Mark</t>
  </si>
  <si>
    <t>29 32 13 01</t>
  </si>
  <si>
    <t>Minimark99</t>
  </si>
  <si>
    <t>42 36 76 39</t>
  </si>
  <si>
    <t>schoning._.4700</t>
  </si>
  <si>
    <t>tænke over detr</t>
  </si>
  <si>
    <t>Han var klar, men han var alt for nærig</t>
  </si>
  <si>
    <t>93 87 14 40</t>
  </si>
  <si>
    <t>Sebwlund</t>
  </si>
  <si>
    <t>skade</t>
  </si>
  <si>
    <t>han var klar og var sat som deposit men skriver til mig lige inden at vi skulle rykke det 4-6 uger, da han er kommet til skade</t>
  </si>
  <si>
    <t>60 51 97 40</t>
  </si>
  <si>
    <t>Nicklas_green01</t>
  </si>
  <si>
    <t>han var klar og ville også igang, men han ture ikke tage springet. han villee tænke over det og har ikke hørt fra ham siden</t>
  </si>
  <si>
    <t>28 72 52 67</t>
  </si>
  <si>
    <t>niko879e</t>
  </si>
  <si>
    <t>klar til juni</t>
  </si>
  <si>
    <t>han er klar til juni, der giver det bedst mening for ham</t>
  </si>
  <si>
    <t>91 54 13 14</t>
  </si>
  <si>
    <t>_mads.moeller_</t>
  </si>
  <si>
    <t>manden smaskede mig i ørene under hele kaldet</t>
  </si>
  <si>
    <t>30 63 17 40</t>
  </si>
  <si>
    <t>rasmusholm365</t>
  </si>
  <si>
    <t>han var klar, men skulle snakke med sine forældre og har ikke hørt fra ham siden</t>
  </si>
  <si>
    <t>frederik</t>
  </si>
  <si>
    <t>24 52 22 20</t>
  </si>
  <si>
    <t>Frederikloje4</t>
  </si>
  <si>
    <t>aben sad og spillede ps imens vi snakkede, men havde pengene til at investere i det, bare bange for at tage springet</t>
  </si>
  <si>
    <t>Nour</t>
  </si>
  <si>
    <t>60 73 32 65</t>
  </si>
  <si>
    <t>e1nur101</t>
  </si>
  <si>
    <t>super fyr, han gik i skole og havde ikke penge. han ville snakke med sine forældre men har ikke hørt fra ham</t>
  </si>
  <si>
    <t>31 68 26 26</t>
  </si>
  <si>
    <t>Tobivad</t>
  </si>
  <si>
    <t>starter og betaler 28 feb</t>
  </si>
  <si>
    <t>51 51 66 85</t>
  </si>
  <si>
    <t>gustavabkjaer</t>
  </si>
  <si>
    <t>30 27 30 46</t>
  </si>
  <si>
    <t>thimotheuskristianchristensen</t>
  </si>
  <si>
    <t>afluste lige inden kaldet</t>
  </si>
  <si>
    <t>Lasse johansen</t>
  </si>
  <si>
    <t>81 73 91 92</t>
  </si>
  <si>
    <t>61 22 96 86</t>
  </si>
  <si>
    <t>Kristian.hossy</t>
  </si>
  <si>
    <t>42 20 97 00</t>
  </si>
  <si>
    <t>oliver.norregaard_</t>
  </si>
  <si>
    <t>30 48 97 24</t>
  </si>
  <si>
    <t>magnus.b.w</t>
  </si>
  <si>
    <t>hørte aldrig fra ham</t>
  </si>
  <si>
    <t>det gav mening for ham, men han ville tænke over det og hørte aldrig fra ham igen</t>
  </si>
  <si>
    <t>53 17 27 07</t>
  </si>
  <si>
    <t>mikkellllarsen</t>
  </si>
  <si>
    <t>manden var 15-16 så wrapped den hurtigt op</t>
  </si>
  <si>
    <t>24 83 35 25</t>
  </si>
  <si>
    <t>simongilbergg</t>
  </si>
  <si>
    <t>30 13 98 96</t>
  </si>
  <si>
    <t>madsemil0508</t>
  </si>
  <si>
    <t>Villiam</t>
  </si>
  <si>
    <t>21 29 60 51</t>
  </si>
  <si>
    <t>villiamgivard</t>
  </si>
  <si>
    <t>Filipos</t>
  </si>
  <si>
    <t>53 64 58 90</t>
  </si>
  <si>
    <t>Filipos.haile</t>
  </si>
  <si>
    <t>Manden var klar og også ham som viste interesse for coaching, men han snakkede som en plastisk perker dsv</t>
  </si>
  <si>
    <t>25 57 27 94</t>
  </si>
  <si>
    <t>patrickkristensens</t>
  </si>
  <si>
    <t>93 98 28 71</t>
  </si>
  <si>
    <t>Malthe.hansen9</t>
  </si>
  <si>
    <t>markus</t>
  </si>
  <si>
    <t>60 49 02 42</t>
  </si>
  <si>
    <t>klovemarkus</t>
  </si>
  <si>
    <t>starter og betaler d 28 feb</t>
  </si>
  <si>
    <t>51 52 20 14</t>
  </si>
  <si>
    <t>Frederikikkelsen</t>
  </si>
  <si>
    <t>han havde lidt irri attitude. kommer på kaldet og vil mere høre om det og siger han ikke har brug for det. men han har brug for det, når han vil på kald. follow up om nogen ugern igen</t>
  </si>
  <si>
    <t>53 86 95 12</t>
  </si>
  <si>
    <t>Tristan.borris</t>
  </si>
  <si>
    <t>Carl loui</t>
  </si>
  <si>
    <t>22 53 33 69</t>
  </si>
  <si>
    <t>loui.hansen</t>
  </si>
  <si>
    <t>manden var klar og ville gerne igang. han var sat som deposit og skriver dagen før betaling, at han har fået en kæmpe regning så han ikke kanj starte op</t>
  </si>
  <si>
    <t>51 14 51 54</t>
  </si>
  <si>
    <t>michaelsennicolas</t>
  </si>
  <si>
    <t>21 22 72 45</t>
  </si>
  <si>
    <t>Alexander.overmans</t>
  </si>
  <si>
    <t>rigtig god mand og ville gerne igang, men han ville se om det var noget som gav mening for ham økonomisk og har ikke hørt fra ham siden</t>
  </si>
  <si>
    <t>28 78 47 44</t>
  </si>
  <si>
    <t>Anders.rosenbom</t>
  </si>
  <si>
    <t>tjekke budget</t>
  </si>
  <si>
    <t>snakker med ham d 28 for at se om det kan fungere</t>
  </si>
  <si>
    <t>60 74 22 55</t>
  </si>
  <si>
    <t>frederik_striegler_kjeldstrup</t>
  </si>
  <si>
    <t>super varm og skulle se godt ud til sommer, men han ville stadig gerne tænke over det</t>
  </si>
  <si>
    <t>25 11 30 09</t>
  </si>
  <si>
    <t>Andreas.torok.1</t>
  </si>
  <si>
    <t>starter og betaler d 1 april</t>
  </si>
  <si>
    <t>52 38 10 45</t>
  </si>
  <si>
    <t>nicolaj.hansen00</t>
  </si>
  <si>
    <t>manden var klar og prøvede at betale 6k og den gik ikke igennem og det gav ham kolde tær, så han hoppede fra</t>
  </si>
  <si>
    <t>Laus</t>
  </si>
  <si>
    <t>22 79 47 06</t>
  </si>
  <si>
    <t>Laussabroee</t>
  </si>
  <si>
    <t>Grim attitude og kom frem til at han skulle skrive når han gerne vil starte op og give den gas</t>
  </si>
  <si>
    <t>22 71 70 50</t>
  </si>
  <si>
    <t>fred_mw_madsen</t>
  </si>
  <si>
    <t>53 26 85 25</t>
  </si>
  <si>
    <t>julius.betnass.jensen</t>
  </si>
  <si>
    <t>Gammel klient som gerne ville igang igen, men han var bange for at tage springet, så follow up asap</t>
  </si>
  <si>
    <t>92 82 23 02</t>
  </si>
  <si>
    <t>_felixmortensson_</t>
  </si>
  <si>
    <t>Bastian</t>
  </si>
  <si>
    <t>29 13 15 16</t>
  </si>
  <si>
    <t>bastianbetak</t>
  </si>
  <si>
    <t>Han ville først prøve selv inden han fik hjælp</t>
  </si>
  <si>
    <t>brauer15</t>
  </si>
  <si>
    <t>Han betaler opstart på lønningsdag</t>
  </si>
  <si>
    <t>60 56 00 58</t>
  </si>
  <si>
    <t>Nikolaj_gang</t>
  </si>
  <si>
    <t xml:space="preserve"> Han ville have det billigste</t>
  </si>
  <si>
    <t>Tobias_hommel</t>
  </si>
  <si>
    <t>Han følte sig ikke klar</t>
  </si>
  <si>
    <t>60 48 50 64</t>
  </si>
  <si>
    <t>frederik.arp</t>
  </si>
  <si>
    <t>Festim</t>
  </si>
  <si>
    <t>25 12 48 47</t>
  </si>
  <si>
    <t>festim_vishi</t>
  </si>
  <si>
    <t>20 28 04 25</t>
  </si>
  <si>
    <t>lucas_bachmann_</t>
  </si>
  <si>
    <t>selv vist interesse for coaching og var også klar til at starte op. Men da vi kom til betalingen sgade han at der var noget galt med hans kort og har ikke hørt fra ham siden</t>
  </si>
  <si>
    <t>25 88 20 00</t>
  </si>
  <si>
    <t>Marcus_landberg</t>
  </si>
  <si>
    <t>Han var bare irriterende</t>
  </si>
  <si>
    <t>22 62 48 66</t>
  </si>
  <si>
    <t>M_thygesen</t>
  </si>
  <si>
    <t>51 78 25 68</t>
  </si>
  <si>
    <t>rasmusboeriis</t>
  </si>
  <si>
    <t>Rigtig god mand, men var ikke klar til at bruge pengene på det</t>
  </si>
  <si>
    <t>404 242 179</t>
  </si>
  <si>
    <t>fuglofrederik</t>
  </si>
  <si>
    <t xml:space="preserve">Han var lidt ved siden af </t>
  </si>
  <si>
    <t>42 91 11 31</t>
  </si>
  <si>
    <t>Nicklas_n_07</t>
  </si>
  <si>
    <t>25 74 68 62</t>
  </si>
  <si>
    <t>Nicklasladegaard</t>
  </si>
  <si>
    <t>53 86 19 01</t>
  </si>
  <si>
    <t>Albertkistrup</t>
  </si>
  <si>
    <t>Viladsmunk</t>
  </si>
  <si>
    <t>2ger og havde ikke pengene til det</t>
  </si>
  <si>
    <t>26 36 25 91</t>
  </si>
  <si>
    <t>kristoffer_lund1</t>
  </si>
  <si>
    <t>Rigtig god mand som ville tænke over det</t>
  </si>
  <si>
    <t>20 49 49 03</t>
  </si>
  <si>
    <t>jacob_fournaise</t>
  </si>
  <si>
    <t>frederik_munkholm_</t>
  </si>
  <si>
    <t>42 33 77 74</t>
  </si>
  <si>
    <t>Marcus.kofoed</t>
  </si>
  <si>
    <t>Snakker med ham igen d 2 april</t>
  </si>
  <si>
    <t>42 92 06 82</t>
  </si>
  <si>
    <t>Alexanderholsting</t>
  </si>
  <si>
    <t>25 34 90 45</t>
  </si>
  <si>
    <t>sommer_mathias</t>
  </si>
  <si>
    <t>53 60 76 07</t>
  </si>
  <si>
    <t>asgergreve</t>
  </si>
  <si>
    <t>Han gik på gym og havde ikke penge</t>
  </si>
  <si>
    <t>42 79 27 39</t>
  </si>
  <si>
    <t>Bjorndrachamann</t>
  </si>
  <si>
    <t>gik i skole</t>
  </si>
  <si>
    <t>Sygt varm og han var klar til at komme igang, men han gik i skole lige nu så han kunne ikke, men han er done til juni og der er han klar</t>
  </si>
  <si>
    <t>Rolf</t>
  </si>
  <si>
    <t>61 51 62 61</t>
  </si>
  <si>
    <t>Rolf_skjold</t>
  </si>
  <si>
    <t>Han havde styr på det hele og havde ikke brug for hjælp. Han ville bare høre hvordan det fungerede</t>
  </si>
  <si>
    <t>40 11 07 04</t>
  </si>
  <si>
    <t>Kasperalberts</t>
  </si>
  <si>
    <t>60 44 18 62</t>
  </si>
  <si>
    <t>andreas_karlskov</t>
  </si>
  <si>
    <t>jonas</t>
  </si>
  <si>
    <t>25 71 72 40</t>
  </si>
  <si>
    <t>jonas_jensen9</t>
  </si>
  <si>
    <t>malthe_storm</t>
  </si>
  <si>
    <t>Manden var sååå klar og skulle til at betale 6k og så lukker han den i hovedet på mig</t>
  </si>
  <si>
    <t>Amanuel</t>
  </si>
  <si>
    <t>30 22 47 84</t>
  </si>
  <si>
    <t>amanuel_tesfamariam_</t>
  </si>
  <si>
    <t>30 år, kunne ikke snakke så godt dansk og synes det var dyrt</t>
  </si>
  <si>
    <t>60 57 22 57</t>
  </si>
  <si>
    <t>nikooo_196</t>
  </si>
  <si>
    <t>skal snakke med ham d 31 kl 18</t>
  </si>
  <si>
    <t>61 69 91 95</t>
  </si>
  <si>
    <t>_noahandersen05_</t>
  </si>
  <si>
    <t>40 32 55 84</t>
  </si>
  <si>
    <t>Madsi01_hb</t>
  </si>
  <si>
    <t>60 70 16 03</t>
  </si>
  <si>
    <t>frooderik</t>
  </si>
  <si>
    <t>81 61 91 22</t>
  </si>
  <si>
    <t>Nicklas_anker</t>
  </si>
  <si>
    <t>61 26 40 14</t>
  </si>
  <si>
    <t>Eliasmbm2311</t>
  </si>
  <si>
    <t>53 70 31 75</t>
  </si>
  <si>
    <t>William_privat_13</t>
  </si>
  <si>
    <t>Deposit value</t>
  </si>
  <si>
    <t>Onboarding date</t>
  </si>
  <si>
    <t>Status</t>
  </si>
  <si>
    <t>Closed?</t>
  </si>
  <si>
    <t>Lost?</t>
  </si>
  <si>
    <t>Total deposits</t>
  </si>
  <si>
    <t>Won</t>
  </si>
  <si>
    <t>Lost</t>
  </si>
  <si>
    <t>Deposit closing %</t>
  </si>
  <si>
    <t>Bundet</t>
  </si>
  <si>
    <t>500 + bundet</t>
  </si>
  <si>
    <t>bundet + 100</t>
  </si>
  <si>
    <t>Jimmi pedersen</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</si>
</sst>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 kr.]"/>
    <numFmt numFmtId="165" formatCode="#,##0.00[$ kr.]"/>
    <numFmt numFmtId="166" formatCode="&quot;$&quot;#,##0"/>
    <numFmt numFmtId="167" formatCode="m&quot;/&quot;d&quot;/&quot;yy"/>
    <numFmt numFmtId="168" formatCode="mm/dd/yyyy"/>
    <numFmt numFmtId="169" formatCode="[$$]#,##0.00"/>
    <numFmt numFmtId="170" formatCode="dd&quot;/&quot;mmm&quot;/&quot;yy"/>
    <numFmt numFmtId="171" formatCode="&quot;$&quot;#,##0.00"/>
    <numFmt numFmtId="172" formatCode="mm/dd"/>
  </numFmts>
  <fonts count="50">
    <font>
      <sz val="10.0"/>
      <color rgb="FF000000"/>
      <name val="Arial"/>
      <scheme val="minor"/>
    </font>
    <font>
      <b/>
      <sz val="9.0"/>
      <color rgb="FFFFFFFF"/>
      <name val="Arial"/>
    </font>
    <font>
      <color theme="1"/>
      <name val="Arial"/>
    </font>
    <font>
      <sz val="9.0"/>
      <color theme="1"/>
      <name val="Arial"/>
    </font>
    <font>
      <b/>
      <color theme="1"/>
      <name val="Arial"/>
    </font>
    <font>
      <b/>
      <sz val="9.0"/>
      <color theme="1"/>
      <name val="Arial"/>
    </font>
    <font>
      <sz val="9.0"/>
      <color rgb="FFFFFFFF"/>
      <name val="Arial"/>
    </font>
    <font>
      <sz val="11.0"/>
      <color rgb="FF000000"/>
      <name val="Roboto"/>
    </font>
    <font>
      <sz val="11.0"/>
      <color rgb="FF3C4043"/>
      <name val="Roboto"/>
    </font>
    <font>
      <sz val="9.0"/>
      <color rgb="FF5F6368"/>
      <name val="Roboto"/>
    </font>
    <font>
      <u/>
      <sz val="11.0"/>
      <color rgb="FF3C4043"/>
      <name val="Roboto"/>
    </font>
    <font>
      <color theme="1"/>
      <name val="Arial"/>
      <scheme val="minor"/>
    </font>
    <font>
      <sz val="11.0"/>
      <color rgb="FF1F1F1F"/>
      <name val="&quot;Google Sans&quot;"/>
    </font>
    <font>
      <color rgb="FF000000"/>
      <name val="Arial"/>
    </font>
    <font>
      <sz val="11.0"/>
      <color rgb="FF3C4043"/>
      <name val="&quot;Google Sans&quot;"/>
    </font>
    <font>
      <sz val="9.0"/>
      <color rgb="FF1F1F1F"/>
      <name val="&quot;Google Sans&quot;"/>
    </font>
    <font>
      <sz val="11.0"/>
      <color rgb="FF000000"/>
      <name val="&quot;Google Sans&quot;"/>
    </font>
    <font>
      <sz val="11.0"/>
      <color rgb="FFD1D2D3"/>
      <name val="Arial"/>
    </font>
    <font>
      <u/>
      <sz val="15.0"/>
      <color rgb="FF0000FF"/>
    </font>
    <font>
      <sz val="15.0"/>
      <color rgb="FFF5F5F5"/>
      <name val="Arial"/>
    </font>
    <font>
      <sz val="10.0"/>
      <color theme="1"/>
      <name val="Arial"/>
    </font>
    <font>
      <b/>
      <sz val="10.0"/>
      <color rgb="FFFFFFFF"/>
      <name val="Arial"/>
    </font>
    <font>
      <b/>
      <sz val="10.0"/>
      <color theme="1"/>
      <name val="Arial"/>
    </font>
    <font>
      <sz val="10.0"/>
      <color rgb="FFFFFFFF"/>
      <name val="Arial"/>
    </font>
    <font>
      <sz val="10.0"/>
      <color rgb="FF1F1F1F"/>
      <name val="Arial"/>
    </font>
    <font>
      <sz val="10.0"/>
      <color rgb="FF1F1F1F"/>
      <name val="&quot;Google Sans&quot;"/>
    </font>
    <font>
      <u/>
      <sz val="10.0"/>
      <color rgb="FF0000FF"/>
    </font>
    <font>
      <sz val="10.0"/>
      <color rgb="FF3C4043"/>
      <name val="Arial"/>
    </font>
    <font>
      <u/>
      <color rgb="FF0000FF"/>
    </font>
    <font>
      <sz val="10.0"/>
      <color rgb="FF000000"/>
      <name val="Arial"/>
    </font>
    <font>
      <sz val="11.0"/>
      <color theme="1"/>
      <name val="Arial"/>
    </font>
    <font>
      <u/>
      <sz val="10.0"/>
      <color rgb="FF000000"/>
      <name val="Arial"/>
    </font>
    <font>
      <sz val="11.0"/>
      <color rgb="FF000000"/>
      <name val="System-ui"/>
    </font>
    <font>
      <sz val="17.0"/>
      <color rgb="FF1F1F1F"/>
      <name val="&quot;Google Sans&quot;"/>
    </font>
    <font>
      <u/>
      <sz val="11.0"/>
      <color rgb="FFF5F5F5"/>
      <name val="-apple-system"/>
    </font>
    <font>
      <sz val="11.0"/>
      <color rgb="FFF5F5F5"/>
      <name val="System-ui"/>
    </font>
    <font>
      <u/>
      <color rgb="FF1155CC"/>
      <name val="Arial"/>
    </font>
    <font>
      <b/>
      <sz val="12.0"/>
      <color rgb="FFFAFAFA"/>
      <name val="System-ui"/>
    </font>
    <font>
      <u/>
      <sz val="11.0"/>
      <color rgb="FF1F1F1F"/>
      <name val="&quot;Google Sans&quot;"/>
    </font>
    <font>
      <sz val="13.0"/>
      <color rgb="FF1F1F1F"/>
      <name val="&quot;Google Sans&quot;"/>
    </font>
    <font>
      <sz val="14.0"/>
      <color rgb="FF0C1014"/>
      <name val="System-ui"/>
    </font>
    <font>
      <sz val="12.0"/>
      <color rgb="FF1F1F1F"/>
      <name val="&quot;Google Sans&quot;"/>
    </font>
    <font>
      <color rgb="FF0C1014"/>
      <name val="System-ui"/>
    </font>
    <font>
      <sz val="14.0"/>
      <color rgb="FF0C1014"/>
      <name val="Arial"/>
    </font>
    <font>
      <u/>
      <sz val="8.0"/>
      <color rgb="FF0C1014"/>
      <name val="-apple-system"/>
    </font>
    <font>
      <sz val="11.0"/>
      <color rgb="FF0C1014"/>
      <name val="Arial"/>
    </font>
    <font>
      <sz val="13.0"/>
      <color rgb="FF0C1014"/>
      <name val="System-ui"/>
    </font>
    <font>
      <u/>
      <sz val="10.0"/>
      <color rgb="FF0C1014"/>
      <name val="-apple-system"/>
    </font>
    <font>
      <b/>
      <i/>
      <color theme="1"/>
      <name val="Arial"/>
    </font>
    <font>
      <color rgb="FF85200C"/>
      <name val="Arial"/>
    </font>
  </fonts>
  <fills count="16">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50E28C"/>
        <bgColor rgb="FF50E28C"/>
      </patternFill>
    </fill>
    <fill>
      <patternFill patternType="solid">
        <fgColor rgb="FFF0F4F9"/>
        <bgColor rgb="FFF0F4F9"/>
      </patternFill>
    </fill>
    <fill>
      <patternFill patternType="solid">
        <fgColor rgb="FF1A1D21"/>
        <bgColor rgb="FF1A1D21"/>
      </patternFill>
    </fill>
    <fill>
      <patternFill patternType="solid">
        <fgColor rgb="FF3C78D8"/>
        <bgColor rgb="FF3C78D8"/>
      </patternFill>
    </fill>
    <fill>
      <patternFill patternType="solid">
        <fgColor rgb="FF262626"/>
        <bgColor rgb="FF262626"/>
      </patternFill>
    </fill>
    <fill>
      <patternFill patternType="solid">
        <fgColor rgb="FFF3F5F7"/>
        <bgColor rgb="FFF3F5F7"/>
      </patternFill>
    </fill>
  </fills>
  <borders count="15">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dotted">
        <color rgb="FF000000"/>
      </right>
    </border>
    <border>
      <right style="dotted">
        <color rgb="FF000000"/>
      </right>
      <bottom style="thin">
        <color rgb="FF000000"/>
      </bottom>
    </border>
    <border>
      <top style="thin">
        <color rgb="FF000000"/>
      </top>
    </border>
    <border>
      <left style="thin">
        <color rgb="FF000000"/>
      </left>
      <bottom style="thin">
        <color rgb="FF000000"/>
      </bottom>
    </border>
    <border>
      <left style="thin">
        <color rgb="FF000000"/>
      </lef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7">
    <xf borderId="0" fillId="0" fontId="0" numFmtId="0" xfId="0" applyAlignment="1" applyFont="1">
      <alignment readingOrder="0" shrinkToFit="0" vertical="bottom" wrapText="0"/>
    </xf>
    <xf borderId="0" fillId="2" fontId="1" numFmtId="0" xfId="0" applyFill="1" applyFont="1"/>
    <xf borderId="0" fillId="2" fontId="2" numFmtId="0" xfId="0" applyFont="1"/>
    <xf borderId="0" fillId="2" fontId="2" numFmtId="0" xfId="0" applyFont="1"/>
    <xf borderId="0" fillId="2" fontId="1" numFmtId="0" xfId="0" applyAlignment="1" applyFont="1">
      <alignment vertical="bottom"/>
    </xf>
    <xf borderId="0" fillId="2" fontId="1" numFmtId="0" xfId="0" applyAlignment="1" applyFont="1">
      <alignment vertical="bottom"/>
    </xf>
    <xf borderId="0" fillId="2" fontId="1" numFmtId="0" xfId="0" applyAlignment="1" applyFont="1">
      <alignment horizontal="center" vertical="bottom"/>
    </xf>
    <xf borderId="1" fillId="0" fontId="3" numFmtId="0" xfId="0" applyAlignment="1" applyBorder="1" applyFont="1">
      <alignment vertical="bottom"/>
    </xf>
    <xf borderId="2" fillId="0" fontId="3" numFmtId="9" xfId="0" applyAlignment="1" applyBorder="1" applyFont="1" applyNumberFormat="1">
      <alignment horizontal="right" vertical="bottom"/>
    </xf>
    <xf borderId="0" fillId="0" fontId="3" numFmtId="9" xfId="0" applyAlignment="1" applyFont="1" applyNumberFormat="1">
      <alignment horizontal="right" vertical="bottom"/>
    </xf>
    <xf borderId="0" fillId="0" fontId="2" numFmtId="9" xfId="0" applyAlignment="1" applyFont="1" applyNumberFormat="1">
      <alignment horizontal="right" vertical="bottom"/>
    </xf>
    <xf borderId="0" fillId="0" fontId="2" numFmtId="9" xfId="0" applyAlignment="1" applyFont="1" applyNumberFormat="1">
      <alignment vertical="bottom"/>
    </xf>
    <xf borderId="3" fillId="0" fontId="2" numFmtId="9" xfId="0" applyAlignment="1" applyBorder="1" applyFont="1" applyNumberFormat="1">
      <alignment vertical="bottom"/>
    </xf>
    <xf borderId="3" fillId="0" fontId="2" numFmtId="0" xfId="0" applyAlignment="1" applyBorder="1" applyFont="1">
      <alignment vertical="bottom"/>
    </xf>
    <xf borderId="3" fillId="0" fontId="3" numFmtId="0" xfId="0" applyAlignment="1" applyBorder="1" applyFont="1">
      <alignment vertical="bottom"/>
    </xf>
    <xf borderId="3" fillId="0" fontId="3" numFmtId="9" xfId="0" applyAlignment="1" applyBorder="1" applyFont="1" applyNumberFormat="1">
      <alignment horizontal="right" vertical="bottom"/>
    </xf>
    <xf borderId="3" fillId="0" fontId="3" numFmtId="164" xfId="0" applyAlignment="1" applyBorder="1" applyFont="1" applyNumberFormat="1">
      <alignment horizontal="right" vertical="bottom"/>
    </xf>
    <xf borderId="0" fillId="0" fontId="3" numFmtId="164" xfId="0" applyAlignment="1" applyFont="1" applyNumberFormat="1">
      <alignment horizontal="right" vertical="bottom"/>
    </xf>
    <xf borderId="0" fillId="3" fontId="3" numFmtId="164" xfId="0" applyAlignment="1" applyFill="1" applyFont="1" applyNumberFormat="1">
      <alignment horizontal="right" vertical="bottom"/>
    </xf>
    <xf borderId="3" fillId="3" fontId="3" numFmtId="164" xfId="0" applyAlignment="1" applyBorder="1" applyFont="1" applyNumberFormat="1">
      <alignment horizontal="right" vertical="bottom"/>
    </xf>
    <xf borderId="3" fillId="0" fontId="3" numFmtId="0" xfId="0" applyAlignment="1" applyBorder="1" applyFont="1">
      <alignment horizontal="right" vertical="bottom"/>
    </xf>
    <xf borderId="0" fillId="0" fontId="3" numFmtId="1" xfId="0" applyAlignment="1" applyFont="1" applyNumberFormat="1">
      <alignment horizontal="right" vertical="bottom"/>
    </xf>
    <xf borderId="0" fillId="3" fontId="3" numFmtId="1" xfId="0" applyAlignment="1" applyFont="1" applyNumberFormat="1">
      <alignment horizontal="right" vertical="bottom"/>
    </xf>
    <xf borderId="3" fillId="3" fontId="3" numFmtId="1" xfId="0" applyAlignment="1" applyBorder="1" applyFont="1" applyNumberFormat="1">
      <alignment horizontal="right" vertical="bottom"/>
    </xf>
    <xf borderId="3" fillId="0" fontId="3" numFmtId="1" xfId="0" applyAlignment="1" applyBorder="1" applyFont="1" applyNumberFormat="1">
      <alignment horizontal="right" vertical="bottom"/>
    </xf>
    <xf borderId="3" fillId="3" fontId="3" numFmtId="0" xfId="0" applyAlignment="1" applyBorder="1" applyFont="1">
      <alignment vertical="bottom"/>
    </xf>
    <xf borderId="0" fillId="0" fontId="3" numFmtId="0" xfId="0" applyAlignment="1" applyFont="1">
      <alignment horizontal="right" vertical="bottom"/>
    </xf>
    <xf borderId="3" fillId="3" fontId="3" numFmtId="9" xfId="0" applyAlignment="1" applyBorder="1" applyFont="1" applyNumberFormat="1">
      <alignment horizontal="right" vertical="bottom"/>
    </xf>
    <xf borderId="0" fillId="3" fontId="3" numFmtId="9" xfId="0" applyAlignment="1" applyFont="1" applyNumberFormat="1">
      <alignment horizontal="right" vertical="bottom"/>
    </xf>
    <xf borderId="0" fillId="3" fontId="2" numFmtId="9" xfId="0" applyAlignment="1" applyFont="1" applyNumberFormat="1">
      <alignment vertical="bottom"/>
    </xf>
    <xf borderId="3" fillId="3" fontId="2" numFmtId="9" xfId="0" applyAlignment="1" applyBorder="1" applyFont="1" applyNumberFormat="1">
      <alignment vertical="bottom"/>
    </xf>
    <xf borderId="4" fillId="3" fontId="3" numFmtId="0" xfId="0" applyAlignment="1" applyBorder="1" applyFont="1">
      <alignment vertical="bottom"/>
    </xf>
    <xf borderId="4" fillId="3" fontId="3" numFmtId="9" xfId="0" applyAlignment="1" applyBorder="1" applyFont="1" applyNumberFormat="1">
      <alignment horizontal="right" vertical="bottom"/>
    </xf>
    <xf borderId="5" fillId="0" fontId="3" numFmtId="9" xfId="0" applyAlignment="1" applyBorder="1" applyFont="1" applyNumberFormat="1">
      <alignment horizontal="right" vertical="bottom"/>
    </xf>
    <xf borderId="5" fillId="3" fontId="3" numFmtId="9" xfId="0" applyAlignment="1" applyBorder="1" applyFont="1" applyNumberFormat="1">
      <alignment horizontal="right" vertical="bottom"/>
    </xf>
    <xf borderId="5" fillId="3" fontId="2" numFmtId="9" xfId="0" applyAlignment="1" applyBorder="1" applyFont="1" applyNumberFormat="1">
      <alignment vertical="bottom"/>
    </xf>
    <xf borderId="4" fillId="3" fontId="2" numFmtId="9" xfId="0" applyAlignment="1" applyBorder="1" applyFont="1" applyNumberFormat="1">
      <alignment vertical="bottom"/>
    </xf>
    <xf borderId="4" fillId="0" fontId="2" numFmtId="0" xfId="0" applyAlignment="1" applyBorder="1" applyFont="1">
      <alignment vertical="bottom"/>
    </xf>
    <xf borderId="0" fillId="0" fontId="2" numFmtId="0" xfId="0" applyAlignment="1" applyFont="1">
      <alignment readingOrder="0" vertical="bottom"/>
    </xf>
    <xf borderId="0" fillId="0" fontId="2" numFmtId="0" xfId="0" applyAlignment="1" applyFont="1">
      <alignment vertical="bottom"/>
    </xf>
    <xf borderId="5" fillId="2" fontId="1" numFmtId="0" xfId="0" applyAlignment="1" applyBorder="1" applyFont="1">
      <alignment vertical="bottom"/>
    </xf>
    <xf borderId="5" fillId="0" fontId="2" numFmtId="0" xfId="0" applyAlignment="1" applyBorder="1" applyFont="1">
      <alignment vertical="bottom"/>
    </xf>
    <xf borderId="6" fillId="2" fontId="1" numFmtId="0" xfId="0" applyAlignment="1" applyBorder="1" applyFont="1">
      <alignment vertical="bottom"/>
    </xf>
    <xf borderId="7" fillId="0" fontId="2" numFmtId="0" xfId="0" applyAlignment="1" applyBorder="1" applyFont="1">
      <alignment vertical="bottom"/>
    </xf>
    <xf borderId="5" fillId="0" fontId="2" numFmtId="0" xfId="0" applyAlignment="1" applyBorder="1" applyFont="1">
      <alignment shrinkToFit="0" vertical="bottom" wrapText="1"/>
    </xf>
    <xf borderId="5" fillId="0" fontId="2" numFmtId="9" xfId="0" applyAlignment="1" applyBorder="1" applyFont="1" applyNumberFormat="1">
      <alignment vertical="bottom"/>
    </xf>
    <xf borderId="8" fillId="4" fontId="3" numFmtId="0" xfId="0" applyAlignment="1" applyBorder="1" applyFill="1" applyFont="1">
      <alignment vertical="bottom"/>
    </xf>
    <xf borderId="3" fillId="4" fontId="3" numFmtId="0" xfId="0" applyAlignment="1" applyBorder="1" applyFont="1">
      <alignment horizontal="right" vertical="bottom"/>
    </xf>
    <xf borderId="0" fillId="5" fontId="3" numFmtId="0" xfId="0" applyAlignment="1" applyFill="1" applyFont="1">
      <alignment vertical="bottom"/>
    </xf>
    <xf borderId="3" fillId="5" fontId="2" numFmtId="9" xfId="0" applyAlignment="1" applyBorder="1" applyFont="1" applyNumberFormat="1">
      <alignment vertical="bottom"/>
    </xf>
    <xf borderId="0" fillId="6" fontId="3" numFmtId="0" xfId="0" applyAlignment="1" applyFill="1" applyFont="1">
      <alignment vertical="bottom"/>
    </xf>
    <xf borderId="3" fillId="6" fontId="2" numFmtId="9" xfId="0" applyAlignment="1" applyBorder="1" applyFont="1" applyNumberFormat="1">
      <alignment vertical="bottom"/>
    </xf>
    <xf borderId="0" fillId="7" fontId="3" numFmtId="0" xfId="0" applyAlignment="1" applyFill="1" applyFont="1">
      <alignment vertical="bottom"/>
    </xf>
    <xf borderId="3" fillId="7" fontId="2" numFmtId="0" xfId="0" applyAlignment="1" applyBorder="1" applyFont="1">
      <alignment horizontal="left" shrinkToFit="0" vertical="bottom" wrapText="1"/>
    </xf>
    <xf borderId="0" fillId="8" fontId="3" numFmtId="0" xfId="0" applyAlignment="1" applyFill="1" applyFont="1">
      <alignment readingOrder="0" vertical="bottom"/>
    </xf>
    <xf borderId="9" fillId="8" fontId="3" numFmtId="0" xfId="0" applyAlignment="1" applyBorder="1" applyFont="1">
      <alignment horizontal="left" vertical="bottom"/>
    </xf>
    <xf borderId="0" fillId="8" fontId="3" numFmtId="0" xfId="0" applyAlignment="1" applyFont="1">
      <alignment vertical="bottom"/>
    </xf>
    <xf borderId="3" fillId="8" fontId="3" numFmtId="0" xfId="0" applyAlignment="1" applyBorder="1" applyFont="1">
      <alignment horizontal="left" vertical="bottom"/>
    </xf>
    <xf borderId="0" fillId="3" fontId="2" numFmtId="0" xfId="0" applyAlignment="1" applyFont="1">
      <alignment vertical="bottom"/>
    </xf>
    <xf borderId="0" fillId="9" fontId="4" numFmtId="0" xfId="0" applyAlignment="1" applyFill="1" applyFont="1">
      <alignment vertical="bottom"/>
    </xf>
    <xf borderId="3" fillId="9" fontId="4" numFmtId="165" xfId="0" applyAlignment="1" applyBorder="1" applyFont="1" applyNumberFormat="1">
      <alignment horizontal="left" vertical="bottom"/>
    </xf>
    <xf borderId="3" fillId="0" fontId="2" numFmtId="166" xfId="0" applyAlignment="1" applyBorder="1" applyFont="1" applyNumberFormat="1">
      <alignment vertical="bottom"/>
    </xf>
    <xf borderId="3" fillId="7" fontId="3" numFmtId="0" xfId="0" applyAlignment="1" applyBorder="1" applyFont="1">
      <alignment horizontal="left" shrinkToFit="0" vertical="bottom" wrapText="1"/>
    </xf>
    <xf borderId="5" fillId="9" fontId="4" numFmtId="0" xfId="0" applyAlignment="1" applyBorder="1" applyFont="1">
      <alignment vertical="bottom"/>
    </xf>
    <xf borderId="4" fillId="9" fontId="4" numFmtId="165" xfId="0" applyAlignment="1" applyBorder="1" applyFont="1" applyNumberFormat="1">
      <alignment horizontal="left" vertical="bottom"/>
    </xf>
    <xf borderId="4" fillId="0" fontId="4" numFmtId="0" xfId="0" applyAlignment="1" applyBorder="1" applyFont="1">
      <alignment vertical="bottom"/>
    </xf>
    <xf borderId="4" fillId="0" fontId="4" numFmtId="0" xfId="0" applyAlignment="1" applyBorder="1" applyFont="1">
      <alignment horizontal="left" vertical="bottom"/>
    </xf>
    <xf borderId="3" fillId="5" fontId="3" numFmtId="0" xfId="0" applyAlignment="1" applyBorder="1" applyFont="1">
      <alignment horizontal="right" vertical="bottom"/>
    </xf>
    <xf borderId="0" fillId="6" fontId="5" numFmtId="0" xfId="0" applyAlignment="1" applyFont="1">
      <alignment vertical="bottom"/>
    </xf>
    <xf borderId="4" fillId="3" fontId="4" numFmtId="0" xfId="0" applyAlignment="1" applyBorder="1" applyFont="1">
      <alignment horizontal="left" vertical="bottom"/>
    </xf>
    <xf borderId="5" fillId="6" fontId="5" numFmtId="0" xfId="0" applyAlignment="1" applyBorder="1" applyFont="1">
      <alignment vertical="bottom"/>
    </xf>
    <xf borderId="4" fillId="6" fontId="2" numFmtId="9" xfId="0" applyAlignment="1" applyBorder="1" applyFont="1" applyNumberFormat="1">
      <alignment vertical="bottom"/>
    </xf>
    <xf borderId="5" fillId="7" fontId="3" numFmtId="0" xfId="0" applyAlignment="1" applyBorder="1" applyFont="1">
      <alignment vertical="bottom"/>
    </xf>
    <xf borderId="4" fillId="7" fontId="2" numFmtId="0" xfId="0" applyAlignment="1" applyBorder="1" applyFont="1">
      <alignment horizontal="left" shrinkToFit="0" vertical="bottom" wrapText="1"/>
    </xf>
    <xf borderId="4" fillId="0" fontId="4" numFmtId="3" xfId="0" applyAlignment="1" applyBorder="1" applyFont="1" applyNumberFormat="1">
      <alignment horizontal="left" vertical="bottom"/>
    </xf>
    <xf borderId="3" fillId="0" fontId="2" numFmtId="3" xfId="0" applyAlignment="1" applyBorder="1" applyFont="1" applyNumberFormat="1">
      <alignment vertical="bottom"/>
    </xf>
    <xf borderId="0" fillId="0" fontId="2" numFmtId="0" xfId="0" applyAlignment="1" applyFont="1">
      <alignment shrinkToFit="0" vertical="bottom" wrapText="1"/>
    </xf>
    <xf borderId="5" fillId="8" fontId="3" numFmtId="0" xfId="0" applyAlignment="1" applyBorder="1" applyFont="1">
      <alignment vertical="bottom"/>
    </xf>
    <xf borderId="10" fillId="8" fontId="3" numFmtId="0" xfId="0" applyAlignment="1" applyBorder="1" applyFont="1">
      <alignment horizontal="left" vertical="bottom"/>
    </xf>
    <xf borderId="4" fillId="8" fontId="3" numFmtId="0" xfId="0" applyAlignment="1" applyBorder="1" applyFont="1">
      <alignment horizontal="left" vertical="bottom"/>
    </xf>
    <xf borderId="3" fillId="0" fontId="4" numFmtId="0" xfId="0" applyAlignment="1" applyBorder="1" applyFont="1">
      <alignment vertical="bottom"/>
    </xf>
    <xf borderId="3" fillId="10" fontId="4" numFmtId="9" xfId="0" applyAlignment="1" applyBorder="1" applyFill="1" applyFont="1" applyNumberFormat="1">
      <alignment horizontal="left" vertical="bottom"/>
    </xf>
    <xf borderId="11" fillId="3" fontId="4" numFmtId="0" xfId="0" applyAlignment="1" applyBorder="1" applyFont="1">
      <alignment readingOrder="0" vertical="bottom"/>
    </xf>
    <xf borderId="0" fillId="0" fontId="2" numFmtId="165" xfId="0" applyAlignment="1" applyFont="1" applyNumberFormat="1">
      <alignment vertical="bottom"/>
    </xf>
    <xf borderId="12" fillId="4" fontId="3" numFmtId="0" xfId="0" applyAlignment="1" applyBorder="1" applyFont="1">
      <alignment vertical="bottom"/>
    </xf>
    <xf borderId="4" fillId="4" fontId="3" numFmtId="0" xfId="0" applyAlignment="1" applyBorder="1" applyFont="1">
      <alignment horizontal="right" vertical="bottom"/>
    </xf>
    <xf borderId="5" fillId="5" fontId="3" numFmtId="0" xfId="0" applyAlignment="1" applyBorder="1" applyFont="1">
      <alignment vertical="bottom"/>
    </xf>
    <xf borderId="4" fillId="5" fontId="3" numFmtId="0" xfId="0" applyAlignment="1" applyBorder="1" applyFont="1">
      <alignment horizontal="right" vertical="bottom"/>
    </xf>
    <xf borderId="0" fillId="2" fontId="6" numFmtId="0" xfId="0" applyAlignment="1" applyFont="1">
      <alignment horizontal="center" vertical="bottom"/>
    </xf>
    <xf borderId="0" fillId="2" fontId="1" numFmtId="0" xfId="0" applyAlignment="1" applyFont="1">
      <alignment horizontal="center" readingOrder="0" vertical="bottom"/>
    </xf>
    <xf borderId="0" fillId="2" fontId="1" numFmtId="0" xfId="0" applyAlignment="1" applyFont="1">
      <alignment horizontal="center" shrinkToFit="0" vertical="bottom" wrapText="1"/>
    </xf>
    <xf borderId="0" fillId="0" fontId="2" numFmtId="167" xfId="0" applyAlignment="1" applyFont="1" applyNumberFormat="1">
      <alignment horizontal="left" vertical="bottom"/>
    </xf>
    <xf borderId="0" fillId="3" fontId="3" numFmtId="168" xfId="0" applyAlignment="1" applyFont="1" applyNumberFormat="1">
      <alignment horizontal="left" readingOrder="0" vertical="bottom"/>
    </xf>
    <xf borderId="0" fillId="3" fontId="3" numFmtId="0" xfId="0" applyAlignment="1" applyFont="1">
      <alignment horizontal="left" readingOrder="0" vertical="bottom"/>
    </xf>
    <xf borderId="0" fillId="0" fontId="2" numFmtId="0" xfId="0" applyAlignment="1" applyFont="1">
      <alignment horizontal="left" vertical="bottom"/>
    </xf>
    <xf borderId="0" fillId="2" fontId="7" numFmtId="0" xfId="0" applyAlignment="1" applyFont="1">
      <alignment readingOrder="0"/>
    </xf>
    <xf borderId="0" fillId="3" fontId="8" numFmtId="0" xfId="0" applyAlignment="1" applyFont="1">
      <alignment horizontal="left" readingOrder="0" shrinkToFit="0" wrapText="0"/>
    </xf>
    <xf borderId="0" fillId="0" fontId="3" numFmtId="0" xfId="0" applyAlignment="1" applyFont="1">
      <alignment horizontal="left" readingOrder="0" vertical="bottom"/>
    </xf>
    <xf borderId="0" fillId="3" fontId="3" numFmtId="165" xfId="0" applyAlignment="1" applyFont="1" applyNumberFormat="1">
      <alignment horizontal="left" readingOrder="0" vertical="bottom"/>
    </xf>
    <xf borderId="0" fillId="0" fontId="2" numFmtId="166" xfId="0" applyAlignment="1" applyFont="1" applyNumberFormat="1">
      <alignment horizontal="left" vertical="bottom"/>
    </xf>
    <xf borderId="0" fillId="0" fontId="2" numFmtId="169" xfId="0" applyAlignment="1" applyFont="1" applyNumberFormat="1">
      <alignment horizontal="left" readingOrder="0" vertical="bottom"/>
    </xf>
    <xf borderId="0" fillId="0" fontId="2" numFmtId="0" xfId="0" applyAlignment="1" applyFont="1">
      <alignment horizontal="left" readingOrder="0" shrinkToFit="0" vertical="bottom" wrapText="1"/>
    </xf>
    <xf borderId="0" fillId="0" fontId="2" numFmtId="0" xfId="0" applyAlignment="1" applyFont="1">
      <alignment horizontal="left" readingOrder="0" vertical="bottom"/>
    </xf>
    <xf borderId="0" fillId="3" fontId="2" numFmtId="0" xfId="0" applyAlignment="1" applyFont="1">
      <alignment horizontal="left" readingOrder="0" vertical="bottom"/>
    </xf>
    <xf borderId="0" fillId="3" fontId="2" numFmtId="0" xfId="0" applyAlignment="1" applyFont="1">
      <alignment horizontal="left" vertical="bottom"/>
    </xf>
    <xf borderId="0" fillId="0" fontId="8" numFmtId="0" xfId="0" applyAlignment="1" applyFont="1">
      <alignment readingOrder="0"/>
    </xf>
    <xf borderId="0" fillId="3" fontId="2" numFmtId="0" xfId="0" applyAlignment="1" applyFont="1">
      <alignment horizontal="left" readingOrder="0" vertical="bottom"/>
    </xf>
    <xf borderId="0" fillId="3" fontId="3" numFmtId="170" xfId="0" applyAlignment="1" applyFont="1" applyNumberFormat="1">
      <alignment horizontal="left" readingOrder="0" vertical="bottom"/>
    </xf>
    <xf borderId="0" fillId="3" fontId="3" numFmtId="165" xfId="0" applyAlignment="1" applyFont="1" applyNumberFormat="1">
      <alignment horizontal="left" vertical="bottom"/>
    </xf>
    <xf borderId="0" fillId="0" fontId="2" numFmtId="21" xfId="0" applyAlignment="1" applyFont="1" applyNumberFormat="1">
      <alignment horizontal="left" readingOrder="0" vertical="bottom"/>
    </xf>
    <xf borderId="0" fillId="3" fontId="9" numFmtId="0" xfId="0" applyAlignment="1" applyFont="1">
      <alignment horizontal="left" readingOrder="0" shrinkToFit="0" wrapText="0"/>
    </xf>
    <xf borderId="0" fillId="0" fontId="2" numFmtId="169" xfId="0" applyAlignment="1" applyFont="1" applyNumberFormat="1">
      <alignment horizontal="left" vertical="bottom"/>
    </xf>
    <xf borderId="0" fillId="0" fontId="2" numFmtId="0" xfId="0" applyAlignment="1" applyFont="1">
      <alignment horizontal="left" shrinkToFit="0" vertical="bottom" wrapText="1"/>
    </xf>
    <xf borderId="0" fillId="3" fontId="2" numFmtId="46" xfId="0" applyAlignment="1" applyFont="1" applyNumberFormat="1">
      <alignment horizontal="left" vertical="bottom"/>
    </xf>
    <xf borderId="0" fillId="0" fontId="8" numFmtId="0" xfId="0" applyAlignment="1" applyFont="1">
      <alignment readingOrder="0"/>
    </xf>
    <xf borderId="0" fillId="0" fontId="10" numFmtId="0" xfId="0" applyAlignment="1" applyFont="1">
      <alignment readingOrder="0"/>
    </xf>
    <xf borderId="0" fillId="2" fontId="8" numFmtId="0" xfId="0" applyAlignment="1" applyFont="1">
      <alignment readingOrder="0"/>
    </xf>
    <xf borderId="0" fillId="0" fontId="2" numFmtId="46" xfId="0" applyAlignment="1" applyFont="1" applyNumberFormat="1">
      <alignment horizontal="left" readingOrder="0" vertical="bottom"/>
    </xf>
    <xf borderId="0" fillId="0" fontId="11" numFmtId="0" xfId="0" applyAlignment="1" applyFont="1">
      <alignment readingOrder="0"/>
    </xf>
    <xf borderId="0" fillId="0" fontId="8" numFmtId="0" xfId="0" applyAlignment="1" applyFont="1">
      <alignment horizontal="left" readingOrder="0"/>
    </xf>
    <xf borderId="0" fillId="0" fontId="2" numFmtId="46" xfId="0" applyAlignment="1" applyFont="1" applyNumberFormat="1">
      <alignment horizontal="left" vertical="bottom"/>
    </xf>
    <xf borderId="0" fillId="0" fontId="12" numFmtId="0" xfId="0" applyAlignment="1" applyFont="1">
      <alignment readingOrder="0"/>
    </xf>
    <xf borderId="0" fillId="0" fontId="8" numFmtId="0" xfId="0" applyAlignment="1" applyFont="1">
      <alignment horizontal="left" readingOrder="0" shrinkToFit="0" wrapText="0"/>
    </xf>
    <xf borderId="0" fillId="3" fontId="13" numFmtId="0" xfId="0" applyAlignment="1" applyFont="1">
      <alignment horizontal="left" readingOrder="0" vertical="bottom"/>
    </xf>
    <xf borderId="0" fillId="0" fontId="9" numFmtId="0" xfId="0" applyAlignment="1" applyFont="1">
      <alignment horizontal="left" readingOrder="0" shrinkToFit="0" wrapText="0"/>
    </xf>
    <xf borderId="0" fillId="3" fontId="3" numFmtId="171" xfId="0" applyAlignment="1" applyFont="1" applyNumberFormat="1">
      <alignment horizontal="left" readingOrder="0" vertical="bottom"/>
    </xf>
    <xf borderId="0" fillId="3" fontId="3" numFmtId="171" xfId="0" applyAlignment="1" applyFont="1" applyNumberFormat="1">
      <alignment horizontal="left" vertical="bottom"/>
    </xf>
    <xf borderId="0" fillId="0" fontId="7" numFmtId="0" xfId="0" applyAlignment="1" applyFont="1">
      <alignment readingOrder="0"/>
    </xf>
    <xf borderId="0" fillId="0" fontId="14" numFmtId="0" xfId="0" applyAlignment="1" applyFont="1">
      <alignment readingOrder="0"/>
    </xf>
    <xf borderId="0" fillId="3" fontId="9" numFmtId="0" xfId="0" applyAlignment="1" applyFont="1">
      <alignment horizontal="left" shrinkToFit="0" wrapText="0"/>
    </xf>
    <xf borderId="0" fillId="0" fontId="15" numFmtId="0" xfId="0" applyAlignment="1" applyFont="1">
      <alignment readingOrder="0"/>
    </xf>
    <xf borderId="0" fillId="3" fontId="3" numFmtId="170" xfId="0" applyAlignment="1" applyFont="1" applyNumberFormat="1">
      <alignment horizontal="left" vertical="bottom"/>
    </xf>
    <xf borderId="0" fillId="3" fontId="3" numFmtId="0" xfId="0" applyAlignment="1" applyFont="1">
      <alignment horizontal="left" vertical="bottom"/>
    </xf>
    <xf borderId="0" fillId="0" fontId="3" numFmtId="0" xfId="0" applyAlignment="1" applyFont="1">
      <alignment horizontal="left" vertical="bottom"/>
    </xf>
    <xf borderId="0" fillId="3" fontId="3" numFmtId="0" xfId="0" applyAlignment="1" applyFont="1">
      <alignment horizontal="left" shrinkToFit="0" vertical="bottom" wrapText="0"/>
    </xf>
    <xf borderId="0" fillId="3" fontId="2" numFmtId="166" xfId="0" applyAlignment="1" applyFont="1" applyNumberFormat="1">
      <alignment horizontal="left" vertical="bottom"/>
    </xf>
    <xf borderId="3" fillId="9" fontId="4" numFmtId="4" xfId="0" applyAlignment="1" applyBorder="1" applyFont="1" applyNumberFormat="1">
      <alignment horizontal="left" vertical="bottom"/>
    </xf>
    <xf borderId="4" fillId="9" fontId="4" numFmtId="4" xfId="0" applyAlignment="1" applyBorder="1" applyFont="1" applyNumberFormat="1">
      <alignment horizontal="left" vertical="bottom"/>
    </xf>
    <xf borderId="4" fillId="10" fontId="4" numFmtId="9" xfId="0" applyAlignment="1" applyBorder="1" applyFont="1" applyNumberFormat="1">
      <alignment horizontal="left" vertical="bottom"/>
    </xf>
    <xf borderId="0" fillId="11" fontId="12" numFmtId="0" xfId="0" applyAlignment="1" applyFill="1" applyFont="1">
      <alignment readingOrder="0"/>
    </xf>
    <xf borderId="0" fillId="2" fontId="16" numFmtId="0" xfId="0" applyAlignment="1" applyFont="1">
      <alignment readingOrder="0"/>
    </xf>
    <xf borderId="0" fillId="12" fontId="17" numFmtId="0" xfId="0" applyAlignment="1" applyFill="1" applyFont="1">
      <alignment horizontal="left" readingOrder="0"/>
    </xf>
    <xf borderId="0" fillId="3" fontId="2" numFmtId="165" xfId="0" applyAlignment="1" applyFont="1" applyNumberFormat="1">
      <alignment horizontal="left" vertical="bottom"/>
    </xf>
    <xf borderId="0" fillId="3" fontId="3" numFmtId="0" xfId="0" applyAlignment="1" applyFont="1">
      <alignment horizontal="left" readingOrder="0" shrinkToFit="0" vertical="bottom" wrapText="0"/>
    </xf>
    <xf borderId="0" fillId="3" fontId="2" numFmtId="165" xfId="0" applyAlignment="1" applyFont="1" applyNumberFormat="1">
      <alignment horizontal="left" readingOrder="0" vertical="bottom"/>
    </xf>
    <xf borderId="0" fillId="0" fontId="18" numFmtId="0" xfId="0" applyAlignment="1" applyFont="1">
      <alignment readingOrder="0"/>
    </xf>
    <xf borderId="0" fillId="2" fontId="19" numFmtId="0" xfId="0" applyAlignment="1" applyFont="1">
      <alignment readingOrder="0" shrinkToFit="0" wrapText="0"/>
    </xf>
    <xf borderId="0" fillId="0" fontId="20" numFmtId="0" xfId="0" applyAlignment="1" applyFont="1">
      <alignment vertical="bottom"/>
    </xf>
    <xf borderId="0" fillId="2" fontId="21" numFmtId="0" xfId="0" applyAlignment="1" applyFont="1">
      <alignment horizontal="center" vertical="bottom"/>
    </xf>
    <xf borderId="5" fillId="2" fontId="21" numFmtId="0" xfId="0" applyAlignment="1" applyBorder="1" applyFont="1">
      <alignment vertical="bottom"/>
    </xf>
    <xf borderId="5" fillId="0" fontId="20" numFmtId="0" xfId="0" applyAlignment="1" applyBorder="1" applyFont="1">
      <alignment vertical="bottom"/>
    </xf>
    <xf borderId="3" fillId="0" fontId="20" numFmtId="0" xfId="0" applyAlignment="1" applyBorder="1" applyFont="1">
      <alignment vertical="bottom"/>
    </xf>
    <xf borderId="6" fillId="2" fontId="21" numFmtId="0" xfId="0" applyAlignment="1" applyBorder="1" applyFont="1">
      <alignment vertical="bottom"/>
    </xf>
    <xf borderId="7" fillId="0" fontId="20" numFmtId="0" xfId="0" applyAlignment="1" applyBorder="1" applyFont="1">
      <alignment vertical="bottom"/>
    </xf>
    <xf borderId="5" fillId="0" fontId="20" numFmtId="0" xfId="0" applyAlignment="1" applyBorder="1" applyFont="1">
      <alignment shrinkToFit="0" vertical="bottom" wrapText="1"/>
    </xf>
    <xf borderId="5" fillId="0" fontId="20" numFmtId="9" xfId="0" applyAlignment="1" applyBorder="1" applyFont="1" applyNumberFormat="1">
      <alignment vertical="bottom"/>
    </xf>
    <xf borderId="8" fillId="4" fontId="20" numFmtId="0" xfId="0" applyAlignment="1" applyBorder="1" applyFont="1">
      <alignment vertical="bottom"/>
    </xf>
    <xf borderId="3" fillId="4" fontId="20" numFmtId="0" xfId="0" applyAlignment="1" applyBorder="1" applyFont="1">
      <alignment horizontal="right" vertical="bottom"/>
    </xf>
    <xf borderId="0" fillId="5" fontId="20" numFmtId="0" xfId="0" applyAlignment="1" applyFont="1">
      <alignment vertical="bottom"/>
    </xf>
    <xf borderId="3" fillId="5" fontId="20" numFmtId="9" xfId="0" applyAlignment="1" applyBorder="1" applyFont="1" applyNumberFormat="1">
      <alignment vertical="bottom"/>
    </xf>
    <xf borderId="3" fillId="0" fontId="20" numFmtId="9" xfId="0" applyAlignment="1" applyBorder="1" applyFont="1" applyNumberFormat="1">
      <alignment vertical="bottom"/>
    </xf>
    <xf borderId="0" fillId="6" fontId="20" numFmtId="0" xfId="0" applyAlignment="1" applyFont="1">
      <alignment vertical="bottom"/>
    </xf>
    <xf borderId="3" fillId="6" fontId="20" numFmtId="9" xfId="0" applyAlignment="1" applyBorder="1" applyFont="1" applyNumberFormat="1">
      <alignment vertical="bottom"/>
    </xf>
    <xf borderId="0" fillId="7" fontId="20" numFmtId="0" xfId="0" applyAlignment="1" applyFont="1">
      <alignment vertical="bottom"/>
    </xf>
    <xf borderId="3" fillId="7" fontId="20" numFmtId="0" xfId="0" applyAlignment="1" applyBorder="1" applyFont="1">
      <alignment horizontal="left" shrinkToFit="0" vertical="bottom" wrapText="1"/>
    </xf>
    <xf borderId="0" fillId="8" fontId="20" numFmtId="0" xfId="0" applyAlignment="1" applyFont="1">
      <alignment vertical="bottom"/>
    </xf>
    <xf borderId="9" fillId="8" fontId="20" numFmtId="0" xfId="0" applyAlignment="1" applyBorder="1" applyFont="1">
      <alignment horizontal="left" vertical="bottom"/>
    </xf>
    <xf borderId="3" fillId="8" fontId="20" numFmtId="0" xfId="0" applyAlignment="1" applyBorder="1" applyFont="1">
      <alignment horizontal="left" vertical="bottom"/>
    </xf>
    <xf borderId="0" fillId="3" fontId="20" numFmtId="0" xfId="0" applyAlignment="1" applyFont="1">
      <alignment vertical="bottom"/>
    </xf>
    <xf borderId="0" fillId="9" fontId="22" numFmtId="0" xfId="0" applyAlignment="1" applyFont="1">
      <alignment vertical="bottom"/>
    </xf>
    <xf borderId="3" fillId="9" fontId="22" numFmtId="165" xfId="0" applyAlignment="1" applyBorder="1" applyFont="1" applyNumberFormat="1">
      <alignment horizontal="left" vertical="bottom"/>
    </xf>
    <xf borderId="3" fillId="0" fontId="20" numFmtId="166" xfId="0" applyAlignment="1" applyBorder="1" applyFont="1" applyNumberFormat="1">
      <alignment vertical="bottom"/>
    </xf>
    <xf borderId="5" fillId="9" fontId="22" numFmtId="0" xfId="0" applyAlignment="1" applyBorder="1" applyFont="1">
      <alignment vertical="bottom"/>
    </xf>
    <xf borderId="4" fillId="9" fontId="22" numFmtId="165" xfId="0" applyAlignment="1" applyBorder="1" applyFont="1" applyNumberFormat="1">
      <alignment horizontal="left" vertical="bottom"/>
    </xf>
    <xf borderId="4" fillId="0" fontId="22" numFmtId="0" xfId="0" applyAlignment="1" applyBorder="1" applyFont="1">
      <alignment vertical="bottom"/>
    </xf>
    <xf borderId="4" fillId="0" fontId="22" numFmtId="0" xfId="0" applyAlignment="1" applyBorder="1" applyFont="1">
      <alignment horizontal="left" vertical="bottom"/>
    </xf>
    <xf borderId="3" fillId="5" fontId="20" numFmtId="0" xfId="0" applyAlignment="1" applyBorder="1" applyFont="1">
      <alignment horizontal="right" vertical="bottom"/>
    </xf>
    <xf borderId="0" fillId="6" fontId="22" numFmtId="0" xfId="0" applyAlignment="1" applyFont="1">
      <alignment vertical="bottom"/>
    </xf>
    <xf borderId="4" fillId="3" fontId="22" numFmtId="0" xfId="0" applyAlignment="1" applyBorder="1" applyFont="1">
      <alignment horizontal="left" vertical="bottom"/>
    </xf>
    <xf borderId="5" fillId="6" fontId="22" numFmtId="0" xfId="0" applyAlignment="1" applyBorder="1" applyFont="1">
      <alignment vertical="bottom"/>
    </xf>
    <xf borderId="4" fillId="6" fontId="20" numFmtId="9" xfId="0" applyAlignment="1" applyBorder="1" applyFont="1" applyNumberFormat="1">
      <alignment vertical="bottom"/>
    </xf>
    <xf borderId="5" fillId="7" fontId="20" numFmtId="0" xfId="0" applyAlignment="1" applyBorder="1" applyFont="1">
      <alignment vertical="bottom"/>
    </xf>
    <xf borderId="4" fillId="7" fontId="20" numFmtId="0" xfId="0" applyAlignment="1" applyBorder="1" applyFont="1">
      <alignment horizontal="left" shrinkToFit="0" vertical="bottom" wrapText="1"/>
    </xf>
    <xf borderId="4" fillId="0" fontId="22" numFmtId="3" xfId="0" applyAlignment="1" applyBorder="1" applyFont="1" applyNumberFormat="1">
      <alignment horizontal="left" vertical="bottom"/>
    </xf>
    <xf borderId="3" fillId="0" fontId="20" numFmtId="3" xfId="0" applyAlignment="1" applyBorder="1" applyFont="1" applyNumberFormat="1">
      <alignment vertical="bottom"/>
    </xf>
    <xf borderId="5" fillId="8" fontId="20" numFmtId="0" xfId="0" applyAlignment="1" applyBorder="1" applyFont="1">
      <alignment vertical="bottom"/>
    </xf>
    <xf borderId="10" fillId="8" fontId="20" numFmtId="0" xfId="0" applyAlignment="1" applyBorder="1" applyFont="1">
      <alignment horizontal="left" vertical="bottom"/>
    </xf>
    <xf borderId="4" fillId="10" fontId="22" numFmtId="9" xfId="0" applyAlignment="1" applyBorder="1" applyFont="1" applyNumberFormat="1">
      <alignment horizontal="left" vertical="bottom"/>
    </xf>
    <xf borderId="0" fillId="0" fontId="20" numFmtId="0" xfId="0" applyAlignment="1" applyFont="1">
      <alignment shrinkToFit="0" vertical="bottom" wrapText="1"/>
    </xf>
    <xf borderId="12" fillId="4" fontId="20" numFmtId="0" xfId="0" applyAlignment="1" applyBorder="1" applyFont="1">
      <alignment vertical="bottom"/>
    </xf>
    <xf borderId="4" fillId="4" fontId="20" numFmtId="0" xfId="0" applyAlignment="1" applyBorder="1" applyFont="1">
      <alignment horizontal="right" vertical="bottom"/>
    </xf>
    <xf borderId="5" fillId="5" fontId="20" numFmtId="0" xfId="0" applyAlignment="1" applyBorder="1" applyFont="1">
      <alignment vertical="bottom"/>
    </xf>
    <xf borderId="4" fillId="5" fontId="20" numFmtId="0" xfId="0" applyAlignment="1" applyBorder="1" applyFont="1">
      <alignment horizontal="right" vertical="bottom"/>
    </xf>
    <xf borderId="0" fillId="2" fontId="23" numFmtId="0" xfId="0" applyAlignment="1" applyFont="1">
      <alignment horizontal="center" vertical="bottom"/>
    </xf>
    <xf borderId="0" fillId="2" fontId="21" numFmtId="0" xfId="0" applyAlignment="1" applyFont="1">
      <alignment horizontal="center" readingOrder="0" vertical="bottom"/>
    </xf>
    <xf borderId="0" fillId="2" fontId="21" numFmtId="0" xfId="0" applyAlignment="1" applyFont="1">
      <alignment horizontal="center" shrinkToFit="0" vertical="bottom" wrapText="1"/>
    </xf>
    <xf borderId="0" fillId="0" fontId="20" numFmtId="167" xfId="0" applyAlignment="1" applyFont="1" applyNumberFormat="1">
      <alignment horizontal="left" vertical="bottom"/>
    </xf>
    <xf borderId="0" fillId="3" fontId="20" numFmtId="168" xfId="0" applyAlignment="1" applyFont="1" applyNumberFormat="1">
      <alignment horizontal="left" readingOrder="0" vertical="bottom"/>
    </xf>
    <xf borderId="0" fillId="3" fontId="20" numFmtId="0" xfId="0" applyAlignment="1" applyFont="1">
      <alignment horizontal="left" readingOrder="0" vertical="bottom"/>
    </xf>
    <xf borderId="0" fillId="0" fontId="20" numFmtId="0" xfId="0" applyAlignment="1" applyFont="1">
      <alignment horizontal="left" vertical="bottom"/>
    </xf>
    <xf borderId="0" fillId="11" fontId="24" numFmtId="0" xfId="0" applyAlignment="1" applyFont="1">
      <alignment readingOrder="0"/>
    </xf>
    <xf borderId="0" fillId="0" fontId="20" numFmtId="0" xfId="0" applyAlignment="1" applyFont="1">
      <alignment horizontal="left" readingOrder="0" vertical="bottom"/>
    </xf>
    <xf borderId="0" fillId="3" fontId="20" numFmtId="165" xfId="0" applyAlignment="1" applyFont="1" applyNumberFormat="1">
      <alignment horizontal="left" readingOrder="0" vertical="bottom"/>
    </xf>
    <xf borderId="0" fillId="0" fontId="20" numFmtId="166" xfId="0" applyAlignment="1" applyFont="1" applyNumberFormat="1">
      <alignment horizontal="left" vertical="bottom"/>
    </xf>
    <xf borderId="0" fillId="0" fontId="20" numFmtId="169" xfId="0" applyAlignment="1" applyFont="1" applyNumberFormat="1">
      <alignment horizontal="left" vertical="bottom"/>
    </xf>
    <xf borderId="0" fillId="0" fontId="20" numFmtId="0" xfId="0" applyAlignment="1" applyFont="1">
      <alignment horizontal="left" shrinkToFit="0" vertical="bottom" wrapText="1"/>
    </xf>
    <xf borderId="0" fillId="3" fontId="20" numFmtId="46" xfId="0" applyAlignment="1" applyFont="1" applyNumberFormat="1">
      <alignment horizontal="left" vertical="bottom"/>
    </xf>
    <xf borderId="0" fillId="3" fontId="20" numFmtId="0" xfId="0" applyAlignment="1" applyFont="1">
      <alignment horizontal="left" vertical="bottom"/>
    </xf>
    <xf borderId="0" fillId="0" fontId="20" numFmtId="0" xfId="0" applyFont="1"/>
    <xf borderId="0" fillId="3" fontId="20" numFmtId="166" xfId="0" applyAlignment="1" applyFont="1" applyNumberFormat="1">
      <alignment horizontal="left" vertical="bottom"/>
    </xf>
    <xf borderId="0" fillId="0" fontId="20" numFmtId="169" xfId="0" applyAlignment="1" applyFont="1" applyNumberFormat="1">
      <alignment horizontal="left" readingOrder="0" vertical="bottom"/>
    </xf>
    <xf borderId="0" fillId="0" fontId="20" numFmtId="0" xfId="0" applyAlignment="1" applyFont="1">
      <alignment horizontal="left" readingOrder="0" shrinkToFit="0" vertical="bottom" wrapText="1"/>
    </xf>
    <xf borderId="0" fillId="0" fontId="20" numFmtId="21" xfId="0" applyAlignment="1" applyFont="1" applyNumberFormat="1">
      <alignment horizontal="left" readingOrder="0" vertical="bottom"/>
    </xf>
    <xf borderId="0" fillId="3" fontId="20" numFmtId="0" xfId="0" applyAlignment="1" applyFont="1">
      <alignment horizontal="left" readingOrder="0" shrinkToFit="0" vertical="bottom" wrapText="0"/>
    </xf>
    <xf borderId="0" fillId="11" fontId="25" numFmtId="0" xfId="0" applyAlignment="1" applyFont="1">
      <alignment readingOrder="0"/>
    </xf>
    <xf borderId="0" fillId="0" fontId="20" numFmtId="46" xfId="0" applyAlignment="1" applyFont="1" applyNumberFormat="1">
      <alignment horizontal="left" vertical="bottom"/>
    </xf>
    <xf borderId="0" fillId="0" fontId="26" numFmtId="0" xfId="0" applyAlignment="1" applyFont="1">
      <alignment readingOrder="0"/>
    </xf>
    <xf borderId="0" fillId="0" fontId="11" numFmtId="0" xfId="0" applyFont="1"/>
    <xf borderId="0" fillId="3" fontId="20" numFmtId="170" xfId="0" applyAlignment="1" applyFont="1" applyNumberFormat="1">
      <alignment horizontal="left" vertical="bottom"/>
    </xf>
    <xf borderId="0" fillId="3" fontId="20" numFmtId="0" xfId="0" applyAlignment="1" applyFont="1">
      <alignment horizontal="left" shrinkToFit="0" vertical="bottom" wrapText="0"/>
    </xf>
    <xf borderId="4" fillId="8" fontId="20" numFmtId="0" xfId="0" applyAlignment="1" applyBorder="1" applyFont="1">
      <alignment horizontal="left" vertical="bottom"/>
    </xf>
    <xf borderId="0" fillId="0" fontId="27" numFmtId="0" xfId="0" applyAlignment="1" applyFont="1">
      <alignment readingOrder="0"/>
    </xf>
    <xf borderId="0" fillId="3" fontId="27" numFmtId="0" xfId="0" applyAlignment="1" applyFont="1">
      <alignment horizontal="left" readingOrder="0" shrinkToFit="0" wrapText="0"/>
    </xf>
    <xf borderId="0" fillId="3" fontId="3" numFmtId="166" xfId="0" applyAlignment="1" applyFont="1" applyNumberFormat="1">
      <alignment horizontal="left" vertical="bottom"/>
    </xf>
    <xf borderId="0" fillId="3" fontId="2" numFmtId="166" xfId="0" applyAlignment="1" applyFont="1" applyNumberFormat="1">
      <alignment horizontal="left" readingOrder="0" vertical="bottom"/>
    </xf>
    <xf borderId="0" fillId="0" fontId="28" numFmtId="0" xfId="0" applyAlignment="1" applyFont="1">
      <alignment readingOrder="0"/>
    </xf>
    <xf borderId="0" fillId="2" fontId="6" numFmtId="0" xfId="0" applyAlignment="1" applyFont="1">
      <alignment vertical="bottom"/>
    </xf>
    <xf borderId="13" fillId="13" fontId="3" numFmtId="0" xfId="0" applyAlignment="1" applyBorder="1" applyFill="1" applyFont="1">
      <alignment vertical="bottom"/>
    </xf>
    <xf borderId="1" fillId="13" fontId="3" numFmtId="165" xfId="0" applyAlignment="1" applyBorder="1" applyFont="1" applyNumberFormat="1">
      <alignment horizontal="right" vertical="bottom"/>
    </xf>
    <xf borderId="8" fillId="13" fontId="3" numFmtId="0" xfId="0" applyAlignment="1" applyBorder="1" applyFont="1">
      <alignment vertical="bottom"/>
    </xf>
    <xf borderId="3" fillId="13" fontId="3" numFmtId="165" xfId="0" applyAlignment="1" applyBorder="1" applyFont="1" applyNumberFormat="1">
      <alignment horizontal="right" vertical="bottom"/>
    </xf>
    <xf borderId="3" fillId="13" fontId="3" numFmtId="4" xfId="0" applyAlignment="1" applyBorder="1" applyFont="1" applyNumberFormat="1">
      <alignment horizontal="right" vertical="bottom"/>
    </xf>
    <xf borderId="3" fillId="13" fontId="3" numFmtId="0" xfId="0" applyAlignment="1" applyBorder="1" applyFont="1">
      <alignment horizontal="right" vertical="bottom"/>
    </xf>
    <xf borderId="3" fillId="13" fontId="3" numFmtId="2" xfId="0" applyAlignment="1" applyBorder="1" applyFont="1" applyNumberFormat="1">
      <alignment horizontal="right" vertical="bottom"/>
    </xf>
    <xf borderId="8" fillId="13" fontId="2" numFmtId="0" xfId="0" applyAlignment="1" applyBorder="1" applyFont="1">
      <alignment vertical="bottom"/>
    </xf>
    <xf borderId="3" fillId="13" fontId="2" numFmtId="0" xfId="0" applyAlignment="1" applyBorder="1" applyFont="1">
      <alignment vertical="bottom"/>
    </xf>
    <xf borderId="12" fillId="13" fontId="2" numFmtId="0" xfId="0" applyAlignment="1" applyBorder="1" applyFont="1">
      <alignment vertical="bottom"/>
    </xf>
    <xf borderId="4" fillId="13" fontId="2" numFmtId="0" xfId="0" applyAlignment="1" applyBorder="1" applyFont="1">
      <alignment vertical="bottom"/>
    </xf>
    <xf borderId="0" fillId="0" fontId="29" numFmtId="0" xfId="0" applyAlignment="1" applyFont="1">
      <alignment horizontal="left" readingOrder="0"/>
    </xf>
    <xf borderId="0" fillId="0" fontId="29" numFmtId="0" xfId="0" applyAlignment="1" applyFont="1">
      <alignment horizontal="left" readingOrder="0" shrinkToFit="0" wrapText="0"/>
    </xf>
    <xf borderId="0" fillId="0" fontId="30" numFmtId="0" xfId="0" applyAlignment="1" applyFont="1">
      <alignment horizontal="left" readingOrder="0" vertical="bottom"/>
    </xf>
    <xf borderId="0" fillId="0" fontId="4" numFmtId="0" xfId="0" applyAlignment="1" applyFont="1">
      <alignment horizontal="left" readingOrder="0" vertical="bottom"/>
    </xf>
    <xf borderId="0" fillId="0" fontId="31" numFmtId="0" xfId="0" applyAlignment="1" applyFont="1">
      <alignment horizontal="left" readingOrder="0"/>
    </xf>
    <xf borderId="0" fillId="0" fontId="29" numFmtId="0" xfId="0" applyAlignment="1" applyFont="1">
      <alignment horizontal="left" readingOrder="0" vertical="bottom"/>
    </xf>
    <xf borderId="0" fillId="0" fontId="32" numFmtId="0" xfId="0" applyAlignment="1" applyFont="1">
      <alignment readingOrder="0"/>
    </xf>
    <xf borderId="0" fillId="11" fontId="33" numFmtId="171" xfId="0" applyAlignment="1" applyFont="1" applyNumberFormat="1">
      <alignment readingOrder="0"/>
    </xf>
    <xf borderId="0" fillId="0" fontId="34" numFmtId="0" xfId="0" applyAlignment="1" applyFont="1">
      <alignment readingOrder="0"/>
    </xf>
    <xf borderId="0" fillId="0" fontId="29" numFmtId="0" xfId="0" applyAlignment="1" applyFont="1">
      <alignment horizontal="left" vertical="bottom"/>
    </xf>
    <xf borderId="0" fillId="0" fontId="29" numFmtId="0" xfId="0" applyAlignment="1" applyFont="1">
      <alignment horizontal="left" shrinkToFit="0" vertical="bottom" wrapText="0"/>
    </xf>
    <xf borderId="0" fillId="11" fontId="33" numFmtId="0" xfId="0" applyAlignment="1" applyFont="1">
      <alignment readingOrder="0"/>
    </xf>
    <xf borderId="0" fillId="14" fontId="35" numFmtId="0" xfId="0" applyAlignment="1" applyFill="1" applyFont="1">
      <alignment readingOrder="0"/>
    </xf>
    <xf borderId="0" fillId="3" fontId="20" numFmtId="165" xfId="0" applyAlignment="1" applyFont="1" applyNumberFormat="1">
      <alignment horizontal="left" vertical="bottom"/>
    </xf>
    <xf borderId="0" fillId="0" fontId="11" numFmtId="165" xfId="0" applyFont="1" applyNumberFormat="1"/>
    <xf borderId="0" fillId="0" fontId="29" numFmtId="0" xfId="0" applyAlignment="1" applyFont="1">
      <alignment horizontal="left" shrinkToFit="0" wrapText="0"/>
    </xf>
    <xf borderId="0" fillId="11" fontId="33" numFmtId="165" xfId="0" applyAlignment="1" applyFont="1" applyNumberFormat="1">
      <alignment readingOrder="0"/>
    </xf>
    <xf borderId="0" fillId="0" fontId="29" numFmtId="0" xfId="0" applyAlignment="1" applyFont="1">
      <alignment horizontal="left" readingOrder="0" shrinkToFit="0" wrapText="0"/>
    </xf>
    <xf borderId="4" fillId="3" fontId="4" numFmtId="0" xfId="0" applyAlignment="1" applyBorder="1" applyFont="1">
      <alignment horizontal="left" readingOrder="0" vertical="bottom"/>
    </xf>
    <xf borderId="0" fillId="0" fontId="3" numFmtId="0" xfId="0" applyAlignment="1" applyFont="1">
      <alignment vertical="bottom"/>
    </xf>
    <xf borderId="0" fillId="0" fontId="2" numFmtId="0" xfId="0" applyAlignment="1" applyFont="1">
      <alignment vertical="bottom"/>
    </xf>
    <xf borderId="0" fillId="0" fontId="36" numFmtId="0" xfId="0" applyAlignment="1" applyFont="1">
      <alignment vertical="bottom"/>
    </xf>
    <xf borderId="0" fillId="2" fontId="37" numFmtId="0" xfId="0" applyAlignment="1" applyFont="1">
      <alignment readingOrder="0"/>
    </xf>
    <xf borderId="0" fillId="11" fontId="38" numFmtId="0" xfId="0" applyAlignment="1" applyFont="1">
      <alignment readingOrder="0"/>
    </xf>
    <xf borderId="8" fillId="13" fontId="2" numFmtId="0" xfId="0" applyAlignment="1" applyBorder="1" applyFont="1">
      <alignment readingOrder="0" vertical="bottom"/>
    </xf>
    <xf borderId="12" fillId="13" fontId="2" numFmtId="0" xfId="0" applyAlignment="1" applyBorder="1" applyFont="1">
      <alignment readingOrder="0" vertical="bottom"/>
    </xf>
    <xf borderId="0" fillId="0" fontId="11" numFmtId="172" xfId="0" applyAlignment="1" applyFont="1" applyNumberFormat="1">
      <alignment readingOrder="0"/>
    </xf>
    <xf borderId="0" fillId="11" fontId="39" numFmtId="0" xfId="0" applyAlignment="1" applyFont="1">
      <alignment readingOrder="0"/>
    </xf>
    <xf borderId="0" fillId="3" fontId="3" numFmtId="172" xfId="0" applyAlignment="1" applyFont="1" applyNumberFormat="1">
      <alignment horizontal="left" readingOrder="0" vertical="bottom"/>
    </xf>
    <xf borderId="0" fillId="15" fontId="40" numFmtId="0" xfId="0" applyAlignment="1" applyFill="1" applyFont="1">
      <alignment readingOrder="0"/>
    </xf>
    <xf borderId="0" fillId="11" fontId="41" numFmtId="0" xfId="0" applyAlignment="1" applyFont="1">
      <alignment readingOrder="0"/>
    </xf>
    <xf borderId="0" fillId="11" fontId="15" numFmtId="172" xfId="0" applyAlignment="1" applyFont="1" applyNumberFormat="1">
      <alignment readingOrder="0"/>
    </xf>
    <xf borderId="0" fillId="15" fontId="42" numFmtId="0" xfId="0" applyAlignment="1" applyFont="1">
      <alignment readingOrder="0" shrinkToFit="0" wrapText="1"/>
    </xf>
    <xf borderId="0" fillId="15" fontId="43" numFmtId="0" xfId="0" applyAlignment="1" applyFont="1">
      <alignment readingOrder="0"/>
    </xf>
    <xf borderId="0" fillId="3" fontId="44" numFmtId="0" xfId="0" applyAlignment="1" applyFont="1">
      <alignment readingOrder="0"/>
    </xf>
    <xf borderId="0" fillId="3" fontId="20" numFmtId="172" xfId="0" applyAlignment="1" applyFont="1" applyNumberFormat="1">
      <alignment horizontal="left" readingOrder="0" vertical="bottom"/>
    </xf>
    <xf borderId="0" fillId="3" fontId="45" numFmtId="0" xfId="0" applyAlignment="1" applyFont="1">
      <alignment readingOrder="0"/>
    </xf>
    <xf borderId="0" fillId="0" fontId="11" numFmtId="165" xfId="0" applyAlignment="1" applyFont="1" applyNumberFormat="1">
      <alignment readingOrder="0"/>
    </xf>
    <xf borderId="0" fillId="15" fontId="46" numFmtId="0" xfId="0" applyAlignment="1" applyFont="1">
      <alignment readingOrder="0"/>
    </xf>
    <xf borderId="0" fillId="0" fontId="11" numFmtId="0" xfId="0" applyAlignment="1" applyFont="1">
      <alignment horizontal="center" readingOrder="0"/>
    </xf>
    <xf borderId="0" fillId="3" fontId="3" numFmtId="0" xfId="0" applyAlignment="1" applyFont="1">
      <alignment horizontal="center" readingOrder="0" vertical="bottom"/>
    </xf>
    <xf borderId="0" fillId="3" fontId="47" numFmtId="0" xfId="0" applyAlignment="1" applyFont="1">
      <alignment readingOrder="0"/>
    </xf>
    <xf borderId="14" fillId="0" fontId="4" numFmtId="0" xfId="0" applyAlignment="1" applyBorder="1" applyFont="1">
      <alignment vertical="bottom"/>
    </xf>
    <xf borderId="14" fillId="0" fontId="4" numFmtId="0" xfId="0" applyAlignment="1" applyBorder="1" applyFont="1">
      <alignment readingOrder="0" vertical="bottom"/>
    </xf>
    <xf borderId="14" fillId="0" fontId="48" numFmtId="0" xfId="0" applyAlignment="1" applyBorder="1" applyFont="1">
      <alignment vertical="bottom"/>
    </xf>
    <xf borderId="14" fillId="3" fontId="3" numFmtId="0" xfId="0" applyAlignment="1" applyBorder="1" applyFont="1">
      <alignment horizontal="left" readingOrder="0" vertical="bottom"/>
    </xf>
    <xf borderId="14" fillId="0" fontId="2" numFmtId="168" xfId="0" applyAlignment="1" applyBorder="1" applyFont="1" applyNumberFormat="1">
      <alignment readingOrder="0" vertical="bottom"/>
    </xf>
    <xf borderId="14" fillId="0" fontId="2" numFmtId="0" xfId="0" applyAlignment="1" applyBorder="1" applyFont="1">
      <alignment readingOrder="0" vertical="bottom"/>
    </xf>
    <xf borderId="0" fillId="0" fontId="2" numFmtId="0" xfId="0" applyAlignment="1" applyFont="1">
      <alignment horizontal="center" readingOrder="0"/>
    </xf>
    <xf borderId="0" fillId="0" fontId="49" numFmtId="0" xfId="0" applyAlignment="1" applyFont="1">
      <alignment horizontal="center" readingOrder="0"/>
    </xf>
    <xf borderId="14" fillId="0" fontId="2" numFmtId="0" xfId="0" applyAlignment="1" applyBorder="1" applyFont="1">
      <alignment horizontal="right" vertical="bottom"/>
    </xf>
    <xf borderId="14" fillId="0" fontId="2" numFmtId="10" xfId="0" applyAlignment="1" applyBorder="1" applyFont="1" applyNumberFormat="1">
      <alignment horizontal="right" vertical="bottom"/>
    </xf>
    <xf borderId="14" fillId="0" fontId="15" numFmtId="0" xfId="0" applyAlignment="1" applyBorder="1" applyFont="1">
      <alignment readingOrder="0"/>
    </xf>
    <xf borderId="14" fillId="0" fontId="2" numFmtId="0" xfId="0" applyAlignment="1" applyBorder="1" applyFont="1">
      <alignment vertical="bottom"/>
    </xf>
    <xf borderId="0" fillId="0" fontId="49" numFmtId="0" xfId="0" applyAlignment="1" applyFont="1">
      <alignment horizontal="center"/>
    </xf>
    <xf borderId="14" fillId="0" fontId="3" numFmtId="0" xfId="0" applyAlignment="1" applyBorder="1" applyFont="1">
      <alignment horizontal="left" readingOrder="0" vertical="bottom"/>
    </xf>
    <xf borderId="14" fillId="0" fontId="2" numFmtId="0" xfId="0" applyAlignment="1" applyBorder="1" applyFont="1">
      <alignment horizontal="right" readingOrder="0" vertical="bottom"/>
    </xf>
    <xf borderId="14" fillId="0" fontId="2" numFmtId="166" xfId="0" applyAlignment="1" applyBorder="1" applyFont="1" applyNumberFormat="1">
      <alignment horizontal="right" vertical="bottom"/>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jibreel.ch/"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instagram.com/kildevangmikkel/" TargetMode="External"/><Relationship Id="rId3" Type="http://schemas.openxmlformats.org/officeDocument/2006/relationships/drawing" Target="../drawings/drawing3.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instagram.com/magnusgulloev/" TargetMode="External"/><Relationship Id="rId3" Type="http://schemas.openxmlformats.org/officeDocument/2006/relationships/hyperlink" Target="https://www.instagram.com/daniel.a.l.nielsen/" TargetMode="External"/><Relationship Id="rId4" Type="http://schemas.openxmlformats.org/officeDocument/2006/relationships/hyperlink" Target="https://www.instagram.com/daniel.a.l.nielsen/" TargetMode="External"/><Relationship Id="rId5" Type="http://schemas.openxmlformats.org/officeDocument/2006/relationships/drawing" Target="../drawings/drawing4.xml"/><Relationship Id="rId6"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ww.google.com/url?q=http://nilas.fr&amp;sa=D&amp;source=calendar&amp;usd=2&amp;usg=AOvVaw0s8jdbY28a84raYL4hsLOJ" TargetMode="External"/><Relationship Id="rId3" Type="http://schemas.openxmlformats.org/officeDocument/2006/relationships/drawing" Target="../drawings/drawing6.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ww.instagram.com/handbergchristian/" TargetMode="External"/><Relationship Id="rId3" Type="http://schemas.openxmlformats.org/officeDocument/2006/relationships/hyperlink" Target="https://www.instagram.com/philipbehrmannn/" TargetMode="External"/><Relationship Id="rId4" Type="http://schemas.openxmlformats.org/officeDocument/2006/relationships/hyperlink" Target="https://www.instagram.com/mikkelorregaard/" TargetMode="External"/><Relationship Id="rId5" Type="http://schemas.openxmlformats.org/officeDocument/2006/relationships/drawing" Target="../drawings/drawing7.xml"/><Relationship Id="rId6"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ww.instagram.com/mikkelorregaard/" TargetMode="External"/><Relationship Id="rId3" Type="http://schemas.openxmlformats.org/officeDocument/2006/relationships/drawing" Target="../drawings/drawing8.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www.instagram.com/dybdahl.jonas/" TargetMode="External"/><Relationship Id="rId3" Type="http://schemas.openxmlformats.org/officeDocument/2006/relationships/drawing" Target="../drawings/drawing9.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www.google.com/url?q=http://f.r.e.d.e.r.i.k.lr&amp;sa=D&amp;source=calendar&amp;usd=2&amp;usg=AOvVaw0U1JcI_WGMxsZDrFQ2nrmw" TargetMode="External"/><Relationship Id="rId3" Type="http://schemas.openxmlformats.org/officeDocument/2006/relationships/hyperlink" Target="http://christoffer.fk" TargetMode="External"/><Relationship Id="rId4" Type="http://schemas.openxmlformats.org/officeDocument/2006/relationships/drawing" Target="../drawings/drawing10.xml"/><Relationship Id="rId5"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www.instagram.com/mads_hogh_stadager/" TargetMode="External"/><Relationship Id="rId3" Type="http://schemas.openxmlformats.org/officeDocument/2006/relationships/drawing" Target="../drawings/drawing12.xml"/><Relationship Id="rId4"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hyperlink" Target="https://www.instagram.com/frederik_klitgaard125/" TargetMode="External"/><Relationship Id="rId3" Type="http://schemas.openxmlformats.org/officeDocument/2006/relationships/drawing" Target="../drawings/drawing13.xml"/><Relationship Id="rId4"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4.xml"/><Relationship Id="rId3"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25"/>
    <col customWidth="1" min="2" max="2" width="11.25"/>
    <col customWidth="1" min="3" max="3" width="11.0"/>
    <col customWidth="1" min="4" max="4" width="11.5"/>
    <col customWidth="1" min="5" max="5" width="10.88"/>
    <col customWidth="1" min="6" max="6" width="10.25"/>
    <col customWidth="1" min="7" max="7" width="9.13"/>
    <col customWidth="1" min="8" max="8" width="8.75"/>
    <col customWidth="1" min="9" max="9" width="9.0"/>
    <col customWidth="1" min="10" max="10" width="9.5"/>
    <col customWidth="1" min="11" max="11" width="10.38"/>
    <col customWidth="1" min="12" max="12" width="9.63"/>
    <col customWidth="1" min="13" max="13" width="10.63"/>
    <col customWidth="1" min="14" max="14" width="11.0"/>
  </cols>
  <sheetData>
    <row r="1" ht="15.75" customHeight="1">
      <c r="A1" s="1" t="s">
        <v>0</v>
      </c>
      <c r="B1" s="2"/>
      <c r="C1" s="2"/>
      <c r="D1" s="2"/>
      <c r="E1" s="2"/>
      <c r="F1" s="2"/>
      <c r="G1" s="2"/>
      <c r="H1" s="2"/>
      <c r="I1" s="2"/>
      <c r="J1" s="2"/>
      <c r="K1" s="2"/>
      <c r="L1" s="2"/>
      <c r="M1" s="3"/>
      <c r="N1" s="2"/>
      <c r="O1" s="2"/>
    </row>
    <row r="2" ht="15.75" customHeight="1">
      <c r="A2" s="4" t="s">
        <v>1</v>
      </c>
      <c r="B2" s="4" t="s">
        <v>2</v>
      </c>
      <c r="C2" s="5" t="s">
        <v>3</v>
      </c>
      <c r="D2" s="5" t="s">
        <v>4</v>
      </c>
      <c r="E2" s="5" t="s">
        <v>5</v>
      </c>
      <c r="F2" s="5" t="s">
        <v>6</v>
      </c>
      <c r="G2" s="5" t="s">
        <v>7</v>
      </c>
      <c r="H2" s="5" t="s">
        <v>8</v>
      </c>
      <c r="I2" s="5" t="s">
        <v>9</v>
      </c>
      <c r="J2" s="5" t="s">
        <v>10</v>
      </c>
      <c r="K2" s="5" t="s">
        <v>11</v>
      </c>
      <c r="L2" s="5" t="s">
        <v>12</v>
      </c>
      <c r="M2" s="5" t="s">
        <v>13</v>
      </c>
      <c r="N2" s="5" t="s">
        <v>14</v>
      </c>
      <c r="O2" s="6" t="s">
        <v>15</v>
      </c>
    </row>
    <row r="3" ht="15.75" customHeight="1">
      <c r="A3" s="7" t="s">
        <v>16</v>
      </c>
      <c r="B3" s="8">
        <f>iferror(B12/B10,"")</f>
        <v>0.3936430318</v>
      </c>
      <c r="C3" s="9"/>
      <c r="D3" s="9" t="str">
        <f t="shared" ref="D3:D5" si="1">IFERROR(Feb!I2,"")</f>
        <v/>
      </c>
      <c r="E3" s="10">
        <f>Mar!I2</f>
        <v>0.4444444444</v>
      </c>
      <c r="F3" s="11">
        <f>IFERROR(Apr!I2,"")</f>
        <v>0.375</v>
      </c>
      <c r="G3" s="11">
        <f>IFERROR(May!I2,"")</f>
        <v>0.4725274725</v>
      </c>
      <c r="H3" s="11">
        <f>IFERROR(Jun!I2,"")</f>
        <v>0.3425925926</v>
      </c>
      <c r="I3" s="11">
        <f>IFERROR(Jul!I2,"")</f>
        <v>0.3723404255</v>
      </c>
      <c r="J3" s="11" t="str">
        <f t="shared" ref="J3:J5" si="2">IFERROR(Aug!I2,"")</f>
        <v/>
      </c>
      <c r="K3" s="11" t="str">
        <f t="shared" ref="K3:K5" si="3">IFERROR(Sep!I2,"")</f>
        <v/>
      </c>
      <c r="L3" s="11" t="str">
        <f t="shared" ref="L3:L5" si="4">IFERROR(Oct!I2,"")</f>
        <v/>
      </c>
      <c r="M3" s="11" t="str">
        <f t="shared" ref="M3:M5" si="5">IFERROR(Nov!I2,"")</f>
        <v/>
      </c>
      <c r="N3" s="12" t="str">
        <f t="shared" ref="N3:N5" si="6">IFERROR(Dec!I2,"")</f>
        <v/>
      </c>
      <c r="O3" s="13" t="str">
        <f>IFERROR(__xludf.DUMMYFUNCTION("IFERROR(SPARKLINE(C3:N3, {""chartype"", ""line""; ""color"", ""blue""}))
"),"")</f>
        <v/>
      </c>
    </row>
    <row r="4" ht="15.75" customHeight="1">
      <c r="A4" s="14" t="s">
        <v>17</v>
      </c>
      <c r="B4" s="8">
        <f>iferror(B12/B11,"")</f>
        <v>0.3965517241</v>
      </c>
      <c r="C4" s="9"/>
      <c r="D4" s="9" t="str">
        <f t="shared" si="1"/>
        <v/>
      </c>
      <c r="E4" s="10">
        <f>IFERROR(Mar!I3,"")</f>
        <v>0.4444444444</v>
      </c>
      <c r="F4" s="11">
        <f>IFERROR(Apr!I3,"")</f>
        <v>0.3797468354</v>
      </c>
      <c r="G4" s="11">
        <f>IFERROR(May!I3,"")</f>
        <v>0.4725274725</v>
      </c>
      <c r="H4" s="11">
        <f>IFERROR(Jun!I3,"")</f>
        <v>0.3457943925</v>
      </c>
      <c r="I4" s="11">
        <f>IFERROR(Jul!I3,"")</f>
        <v>0.376344086</v>
      </c>
      <c r="J4" s="11" t="str">
        <f t="shared" si="2"/>
        <v/>
      </c>
      <c r="K4" s="11" t="str">
        <f t="shared" si="3"/>
        <v/>
      </c>
      <c r="L4" s="11" t="str">
        <f t="shared" si="4"/>
        <v/>
      </c>
      <c r="M4" s="11" t="str">
        <f t="shared" si="5"/>
        <v/>
      </c>
      <c r="N4" s="12" t="str">
        <f t="shared" si="6"/>
        <v/>
      </c>
      <c r="O4" s="13" t="str">
        <f>IFERROR(__xludf.DUMMYFUNCTION("IFERROR(SPARKLINE(C4:N4, {""chartype"", ""line""; ""color"", ""blue""}))
"),"")</f>
        <v/>
      </c>
    </row>
    <row r="5" ht="15.75" customHeight="1">
      <c r="A5" s="14" t="s">
        <v>18</v>
      </c>
      <c r="B5" s="15">
        <f>IFERROR(B11/B10,"")</f>
        <v>0.9926650367</v>
      </c>
      <c r="C5" s="9"/>
      <c r="D5" s="9" t="str">
        <f t="shared" si="1"/>
        <v/>
      </c>
      <c r="E5" s="10">
        <f>IFERROR(Mar!I4,"")</f>
        <v>1</v>
      </c>
      <c r="F5" s="11">
        <f>IFERROR(Apr!I4,"")</f>
        <v>0.9875</v>
      </c>
      <c r="G5" s="11">
        <f>IFERROR(May!I4,"")</f>
        <v>1</v>
      </c>
      <c r="H5" s="11">
        <f>IFERROR(Jun!I4,"")</f>
        <v>0.9907407407</v>
      </c>
      <c r="I5" s="11">
        <f>IFERROR(Jul!I4,"")</f>
        <v>0.9893617021</v>
      </c>
      <c r="J5" s="11" t="str">
        <f t="shared" si="2"/>
        <v/>
      </c>
      <c r="K5" s="11" t="str">
        <f t="shared" si="3"/>
        <v/>
      </c>
      <c r="L5" s="11" t="str">
        <f t="shared" si="4"/>
        <v/>
      </c>
      <c r="M5" s="11" t="str">
        <f t="shared" si="5"/>
        <v/>
      </c>
      <c r="N5" s="12" t="str">
        <f t="shared" si="6"/>
        <v/>
      </c>
      <c r="O5" s="13" t="str">
        <f>IFERROR(__xludf.DUMMYFUNCTION("IFERROR(SPARKLINE(C5:N5, {""chartype"", ""line""; ""color"", ""blue""}))
"),"")</f>
        <v/>
      </c>
    </row>
    <row r="6" ht="15.75" customHeight="1">
      <c r="A6" s="14" t="s">
        <v>19</v>
      </c>
      <c r="B6" s="16">
        <f t="shared" ref="B6:B8" si="7">IFERROR(SUM(C6:N6),"")</f>
        <v>1285000</v>
      </c>
      <c r="C6" s="17"/>
      <c r="D6" s="17" t="str">
        <f t="shared" ref="D6:D7" si="8">IFERROR(Feb!C3,"")</f>
        <v/>
      </c>
      <c r="E6" s="18">
        <f>IFERROR(Mar!$C3,"")</f>
        <v>119400</v>
      </c>
      <c r="F6" s="18">
        <f>IFERROR(Apr!$C3,"")</f>
        <v>242800</v>
      </c>
      <c r="G6" s="18">
        <f>IFERROR(May!$C3,"")</f>
        <v>315000</v>
      </c>
      <c r="H6" s="18">
        <f>IFERROR(Jun!$C3,"")</f>
        <v>289200</v>
      </c>
      <c r="I6" s="18">
        <f>IFERROR(Jul!$C3,"")</f>
        <v>318600</v>
      </c>
      <c r="J6" s="18" t="str">
        <f t="shared" ref="J6:J7" si="9">IFERROR(Aug!$C3,"")</f>
        <v/>
      </c>
      <c r="K6" s="18" t="str">
        <f t="shared" ref="K6:K7" si="10">IFERROR(Sep!$C3,"")</f>
        <v/>
      </c>
      <c r="L6" s="18" t="str">
        <f t="shared" ref="L6:L7" si="11">IFERROR(Oct!$C3,"")</f>
        <v/>
      </c>
      <c r="M6" s="18" t="str">
        <f t="shared" ref="M6:M7" si="12">IFERROR(Nov!$C3,"")</f>
        <v/>
      </c>
      <c r="N6" s="19" t="str">
        <f t="shared" ref="N6:N7" si="13">IFERROR(Dec!$C3,"")</f>
        <v/>
      </c>
      <c r="O6" s="13" t="str">
        <f>IFERROR(__xludf.DUMMYFUNCTION("IFERROR(SPARKLINE(C6:N6, {""chartype"", ""line""; ""color"", ""blue""}))
"),"")</f>
        <v/>
      </c>
    </row>
    <row r="7" ht="15.75" customHeight="1">
      <c r="A7" s="14" t="s">
        <v>20</v>
      </c>
      <c r="B7" s="16">
        <f t="shared" si="7"/>
        <v>580400</v>
      </c>
      <c r="C7" s="17"/>
      <c r="D7" s="18" t="str">
        <f t="shared" si="8"/>
        <v/>
      </c>
      <c r="E7" s="18">
        <f>IFERROR(Mar!$C4,"")</f>
        <v>44800</v>
      </c>
      <c r="F7" s="18">
        <f>IFERROR(Apr!$C4,"")</f>
        <v>85700</v>
      </c>
      <c r="G7" s="18">
        <f>IFERROR(May!$C4,"")</f>
        <v>130600</v>
      </c>
      <c r="H7" s="18">
        <f>IFERROR(Jun!$C4,"")</f>
        <v>162400</v>
      </c>
      <c r="I7" s="18">
        <f>IFERROR(Jul!$C4,"")</f>
        <v>156900</v>
      </c>
      <c r="J7" s="18" t="str">
        <f t="shared" si="9"/>
        <v/>
      </c>
      <c r="K7" s="18" t="str">
        <f t="shared" si="10"/>
        <v/>
      </c>
      <c r="L7" s="18" t="str">
        <f t="shared" si="11"/>
        <v/>
      </c>
      <c r="M7" s="18" t="str">
        <f t="shared" si="12"/>
        <v/>
      </c>
      <c r="N7" s="19" t="str">
        <f t="shared" si="13"/>
        <v/>
      </c>
      <c r="O7" s="13" t="str">
        <f>IFERROR(__xludf.DUMMYFUNCTION("IFERROR(SPARKLINE(C7:N7, {""chartype"", ""line""; ""color"", ""blue""}))
"),"")</f>
        <v/>
      </c>
    </row>
    <row r="8" ht="15.75" customHeight="1">
      <c r="A8" s="14" t="s">
        <v>21</v>
      </c>
      <c r="B8" s="20">
        <f t="shared" si="7"/>
        <v>536</v>
      </c>
      <c r="C8" s="21"/>
      <c r="D8" s="22" t="str">
        <f>IFERROR(Feb!I6,"")</f>
        <v/>
      </c>
      <c r="E8" s="22">
        <f>IFERROR(Mar!$I6,"")</f>
        <v>40</v>
      </c>
      <c r="F8" s="22">
        <f>IFERROR(Apr!$I6,"")</f>
        <v>100</v>
      </c>
      <c r="G8" s="22">
        <f>IFERROR(May!$I6,"")</f>
        <v>110</v>
      </c>
      <c r="H8" s="22">
        <f>IFERROR(Jun!$I6,"")</f>
        <v>146</v>
      </c>
      <c r="I8" s="22">
        <f>IFERROR(Jul!$I6,"")</f>
        <v>140</v>
      </c>
      <c r="J8" s="22" t="str">
        <f>IFERROR(Aug!$I6,"")</f>
        <v/>
      </c>
      <c r="K8" s="22" t="str">
        <f>IFERROR(Sep!$I6,"")</f>
        <v/>
      </c>
      <c r="L8" s="22" t="str">
        <f>IFERROR(Oct!$I6,"")</f>
        <v/>
      </c>
      <c r="M8" s="22" t="str">
        <f>IFERROR(Nov!$I6,"")</f>
        <v/>
      </c>
      <c r="N8" s="23" t="str">
        <f>IFERROR(Dec!$I6,"")</f>
        <v/>
      </c>
      <c r="O8" s="13" t="str">
        <f>IFERROR(__xludf.DUMMYFUNCTION("IFERROR(SPARKLINE(C8:N8, {""chartype"", ""line""; ""color"", ""blue""}))
"),"")</f>
        <v/>
      </c>
    </row>
    <row r="9" ht="15.75" customHeight="1">
      <c r="A9" s="14" t="s">
        <v>22</v>
      </c>
      <c r="B9" s="24">
        <f>sum(C9:N9)</f>
        <v>409</v>
      </c>
      <c r="C9" s="21"/>
      <c r="D9" s="22" t="str">
        <f>IFERROR(Feb!$I$7,"")</f>
        <v/>
      </c>
      <c r="E9" s="22">
        <f>IFERROR(Mar!$I$7,"")</f>
        <v>36</v>
      </c>
      <c r="F9" s="22">
        <f>IFERROR(Apr!$I$7,"")</f>
        <v>80</v>
      </c>
      <c r="G9" s="22">
        <f>IFERROR(May!$I$7,"")</f>
        <v>91</v>
      </c>
      <c r="H9" s="22">
        <f>IFERROR(Jun!$I$7,"")</f>
        <v>108</v>
      </c>
      <c r="I9" s="22">
        <f>IFERROR(Jul!$I$7,"")</f>
        <v>94</v>
      </c>
      <c r="J9" s="22" t="str">
        <f>IFERROR(Aug!$I$7,"")</f>
        <v/>
      </c>
      <c r="K9" s="22" t="str">
        <f>IFERROR(Sep!$I$7,"")</f>
        <v/>
      </c>
      <c r="L9" s="22" t="str">
        <f>IFERROR(Oct!$I$7,"")</f>
        <v/>
      </c>
      <c r="M9" s="22" t="str">
        <f>IFERROR(Nov!$I$7,"")</f>
        <v/>
      </c>
      <c r="N9" s="23" t="str">
        <f>IFERROR(Dec!$I$7,"")</f>
        <v/>
      </c>
      <c r="O9" s="13" t="str">
        <f>IFERROR(__xludf.DUMMYFUNCTION("IFERROR(SPARKLINE(C9:N9, {""chartype"", ""line""; ""color"", ""blue""}))
"),"")</f>
        <v/>
      </c>
    </row>
    <row r="10" ht="15.75" customHeight="1">
      <c r="A10" s="14" t="s">
        <v>23</v>
      </c>
      <c r="B10" s="20">
        <f t="shared" ref="B10:B15" si="14">IFERROR(SUM(C10:N10),"")</f>
        <v>409</v>
      </c>
      <c r="C10" s="21"/>
      <c r="D10" s="22" t="str">
        <f t="shared" ref="D10:D12" si="15">IFERROR(Feb!I8,"")</f>
        <v/>
      </c>
      <c r="E10" s="22">
        <f>IFERROR(Mar!$I8,"")</f>
        <v>36</v>
      </c>
      <c r="F10" s="22">
        <f>IFERROR(Apr!$I8,"")</f>
        <v>80</v>
      </c>
      <c r="G10" s="22">
        <f>IFERROR(May!$I8,"")</f>
        <v>91</v>
      </c>
      <c r="H10" s="22">
        <f>IFERROR(Jun!$I8,"")</f>
        <v>108</v>
      </c>
      <c r="I10" s="22">
        <f>IFERROR(Jul!$I8,"")</f>
        <v>94</v>
      </c>
      <c r="J10" s="22" t="str">
        <f t="shared" ref="J10:J12" si="16">IFERROR(Aug!$I8,"")</f>
        <v/>
      </c>
      <c r="K10" s="22" t="str">
        <f t="shared" ref="K10:K12" si="17">IFERROR(Sep!$I8,"")</f>
        <v/>
      </c>
      <c r="L10" s="22" t="str">
        <f t="shared" ref="L10:L12" si="18">IFERROR(Oct!$I8,"")</f>
        <v/>
      </c>
      <c r="M10" s="22" t="str">
        <f t="shared" ref="M10:M12" si="19">IFERROR(Nov!$I8,"")</f>
        <v/>
      </c>
      <c r="N10" s="23" t="str">
        <f t="shared" ref="N10:N12" si="20">IFERROR(Dec!$I8,"")</f>
        <v/>
      </c>
      <c r="O10" s="13" t="str">
        <f>IFERROR(__xludf.DUMMYFUNCTION("IFERROR(SPARKLINE(C10:N10, {""chartype"", ""line""; ""color"", ""blue""}))
"),"")</f>
        <v/>
      </c>
    </row>
    <row r="11" ht="15.75" customHeight="1">
      <c r="A11" s="14" t="s">
        <v>24</v>
      </c>
      <c r="B11" s="20">
        <f t="shared" si="14"/>
        <v>406</v>
      </c>
      <c r="C11" s="21"/>
      <c r="D11" s="22" t="str">
        <f t="shared" si="15"/>
        <v/>
      </c>
      <c r="E11" s="22">
        <f>IFERROR(Mar!$I9,"")</f>
        <v>36</v>
      </c>
      <c r="F11" s="22">
        <f>IFERROR(Apr!$I9,"")</f>
        <v>79</v>
      </c>
      <c r="G11" s="22">
        <f>IFERROR(May!$I9,"")</f>
        <v>91</v>
      </c>
      <c r="H11" s="22">
        <f>IFERROR(Jun!$I9,"")</f>
        <v>107</v>
      </c>
      <c r="I11" s="22">
        <f>IFERROR(Jul!$I9,"")</f>
        <v>93</v>
      </c>
      <c r="J11" s="22" t="str">
        <f t="shared" si="16"/>
        <v/>
      </c>
      <c r="K11" s="22" t="str">
        <f t="shared" si="17"/>
        <v/>
      </c>
      <c r="L11" s="22" t="str">
        <f t="shared" si="18"/>
        <v/>
      </c>
      <c r="M11" s="22" t="str">
        <f t="shared" si="19"/>
        <v/>
      </c>
      <c r="N11" s="23" t="str">
        <f t="shared" si="20"/>
        <v/>
      </c>
      <c r="O11" s="13" t="str">
        <f>IFERROR(__xludf.DUMMYFUNCTION("IFERROR(SPARKLINE(C11:N11, {""chartype"", ""line""; ""color"", ""blue""}))
"),"")</f>
        <v/>
      </c>
    </row>
    <row r="12" ht="15.75" customHeight="1">
      <c r="A12" s="14" t="s">
        <v>25</v>
      </c>
      <c r="B12" s="20">
        <f t="shared" si="14"/>
        <v>161</v>
      </c>
      <c r="C12" s="21"/>
      <c r="D12" s="22" t="str">
        <f t="shared" si="15"/>
        <v/>
      </c>
      <c r="E12" s="22">
        <f>IFERROR(Mar!$I10,"")</f>
        <v>16</v>
      </c>
      <c r="F12" s="22">
        <f>IFERROR(Apr!$I10,"")</f>
        <v>30</v>
      </c>
      <c r="G12" s="22">
        <f>IFERROR(May!$I10,"")</f>
        <v>43</v>
      </c>
      <c r="H12" s="22">
        <f>IFERROR(Jun!$I10,"")</f>
        <v>37</v>
      </c>
      <c r="I12" s="22">
        <f>IFERROR(Jul!$I10,"")</f>
        <v>35</v>
      </c>
      <c r="J12" s="22" t="str">
        <f t="shared" si="16"/>
        <v/>
      </c>
      <c r="K12" s="22" t="str">
        <f t="shared" si="17"/>
        <v/>
      </c>
      <c r="L12" s="22" t="str">
        <f t="shared" si="18"/>
        <v/>
      </c>
      <c r="M12" s="22" t="str">
        <f t="shared" si="19"/>
        <v/>
      </c>
      <c r="N12" s="23" t="str">
        <f t="shared" si="20"/>
        <v/>
      </c>
      <c r="O12" s="13" t="str">
        <f>IFERROR(__xludf.DUMMYFUNCTION("IFERROR(SPARKLINE(C12:N12, {""chartype"", ""line""; ""color"", ""blue""}))
"),"")</f>
        <v/>
      </c>
    </row>
    <row r="13" ht="15.75" customHeight="1">
      <c r="A13" s="25" t="s">
        <v>26</v>
      </c>
      <c r="B13" s="20">
        <f t="shared" si="14"/>
        <v>72</v>
      </c>
      <c r="C13" s="21"/>
      <c r="D13" s="22" t="str">
        <f t="shared" ref="D13:D15" si="21">IFERROR(Feb!F2,"")</f>
        <v/>
      </c>
      <c r="E13" s="22">
        <f>IFERROR(Mar!$F2,"")</f>
        <v>14</v>
      </c>
      <c r="F13" s="22">
        <f>IFERROR(Apr!$F2,"")</f>
        <v>30</v>
      </c>
      <c r="G13" s="22">
        <f>IFERROR(May!$F2,"")</f>
        <v>4</v>
      </c>
      <c r="H13" s="22">
        <f>IFERROR(Jun!$F2,"")</f>
        <v>14</v>
      </c>
      <c r="I13" s="22">
        <f>IFERROR(Jul!$F2,"")</f>
        <v>10</v>
      </c>
      <c r="J13" s="22" t="str">
        <f t="shared" ref="J13:J15" si="22">IFERROR(Aug!$F2,"")</f>
        <v/>
      </c>
      <c r="K13" s="22" t="str">
        <f t="shared" ref="K13:K15" si="23">IFERROR(Sep!$F2,"")</f>
        <v/>
      </c>
      <c r="L13" s="22" t="str">
        <f t="shared" ref="L13:L15" si="24">IFERROR(Oct!$F2,"")</f>
        <v/>
      </c>
      <c r="M13" s="22" t="str">
        <f t="shared" ref="M13:M15" si="25">IFERROR(Nov!$F2,"")</f>
        <v/>
      </c>
      <c r="N13" s="23" t="str">
        <f t="shared" ref="N13:N15" si="26">IFERROR(Dec!$F2,"")</f>
        <v/>
      </c>
      <c r="O13" s="13" t="str">
        <f>IFERROR(__xludf.DUMMYFUNCTION("IFERROR(SPARKLINE(C13:N13, {""chartype"", ""line""; ""color"", ""blue""}))
"),"")</f>
        <v/>
      </c>
    </row>
    <row r="14" ht="15.75" customHeight="1">
      <c r="A14" s="25" t="s">
        <v>27</v>
      </c>
      <c r="B14" s="20">
        <f t="shared" si="14"/>
        <v>89</v>
      </c>
      <c r="C14" s="21"/>
      <c r="D14" s="21" t="str">
        <f t="shared" si="21"/>
        <v/>
      </c>
      <c r="E14" s="22">
        <f>IFERROR(Mar!$F3,"")</f>
        <v>2</v>
      </c>
      <c r="F14" s="22">
        <f>IFERROR(Apr!$F3,"")</f>
        <v>0</v>
      </c>
      <c r="G14" s="22">
        <f>IFERROR(May!$F3,"")</f>
        <v>39</v>
      </c>
      <c r="H14" s="22">
        <f>IFERROR(Jun!$F3,"")</f>
        <v>23</v>
      </c>
      <c r="I14" s="22">
        <f>IFERROR(Jul!$F3,"")</f>
        <v>25</v>
      </c>
      <c r="J14" s="22" t="str">
        <f t="shared" si="22"/>
        <v/>
      </c>
      <c r="K14" s="22" t="str">
        <f t="shared" si="23"/>
        <v/>
      </c>
      <c r="L14" s="22" t="str">
        <f t="shared" si="24"/>
        <v/>
      </c>
      <c r="M14" s="22" t="str">
        <f t="shared" si="25"/>
        <v/>
      </c>
      <c r="N14" s="23" t="str">
        <f t="shared" si="26"/>
        <v/>
      </c>
      <c r="O14" s="13" t="str">
        <f>IFERROR(__xludf.DUMMYFUNCTION("IFERROR(SPARKLINE(C14:N14, {""chartype"", ""line""; ""color"", ""blue""}))
"),"")</f>
        <v/>
      </c>
    </row>
    <row r="15" ht="15.75" customHeight="1">
      <c r="A15" s="25" t="s">
        <v>28</v>
      </c>
      <c r="B15" s="20">
        <f t="shared" si="14"/>
        <v>36</v>
      </c>
      <c r="C15" s="26"/>
      <c r="D15" s="21" t="str">
        <f t="shared" si="21"/>
        <v/>
      </c>
      <c r="E15" s="22">
        <f>IFERROR(Mar!$F4,"")</f>
        <v>1</v>
      </c>
      <c r="F15" s="22">
        <f>IFERROR(Apr!$F4,"")</f>
        <v>6</v>
      </c>
      <c r="G15" s="22">
        <f>IFERROR(May!$F4,"")</f>
        <v>4</v>
      </c>
      <c r="H15" s="22">
        <f>IFERROR(Jun!$F4,"")</f>
        <v>9</v>
      </c>
      <c r="I15" s="22">
        <f>IFERROR(Jul!$F4,"")</f>
        <v>16</v>
      </c>
      <c r="J15" s="22" t="str">
        <f t="shared" si="22"/>
        <v/>
      </c>
      <c r="K15" s="22" t="str">
        <f t="shared" si="23"/>
        <v/>
      </c>
      <c r="L15" s="22" t="str">
        <f t="shared" si="24"/>
        <v/>
      </c>
      <c r="M15" s="22" t="str">
        <f t="shared" si="25"/>
        <v/>
      </c>
      <c r="N15" s="23" t="str">
        <f t="shared" si="26"/>
        <v/>
      </c>
      <c r="O15" s="13" t="str">
        <f>IFERROR(__xludf.DUMMYFUNCTION("IFERROR(SPARKLINE(C15:N15, {""chartype"", ""line""; ""color"", ""blue""}))
"),"")</f>
        <v/>
      </c>
    </row>
    <row r="16" ht="15.75" customHeight="1">
      <c r="A16" s="25" t="s">
        <v>29</v>
      </c>
      <c r="B16" s="27">
        <f>B9/B8</f>
        <v>0.7630597015</v>
      </c>
      <c r="C16" s="9"/>
      <c r="D16" s="9" t="str">
        <f t="shared" ref="D16:D17" si="27">IFERROR(Feb!$L6,"")</f>
        <v/>
      </c>
      <c r="E16" s="28">
        <f>IFERROR(Mar!$L6,"")</f>
        <v>0.9</v>
      </c>
      <c r="F16" s="29">
        <f>IFERROR(Apr!$L6,"")</f>
        <v>0.8</v>
      </c>
      <c r="G16" s="29">
        <f>IFERROR(May!$L6,"")</f>
        <v>0.8272727273</v>
      </c>
      <c r="H16" s="29">
        <f>IFERROR(Jun!$L6,"")</f>
        <v>0.7397260274</v>
      </c>
      <c r="I16" s="29">
        <f>IFERROR(Jul!$L6,"")</f>
        <v>0.6714285714</v>
      </c>
      <c r="J16" s="29" t="str">
        <f t="shared" ref="J16:J17" si="28">IFERROR(Aug!$L6,"")</f>
        <v/>
      </c>
      <c r="K16" s="29" t="str">
        <f t="shared" ref="K16:K17" si="29">IFERROR(Sep!$L6,"")</f>
        <v/>
      </c>
      <c r="L16" s="29" t="str">
        <f t="shared" ref="L16:L17" si="30">IFERROR(Oct!$L6,"")</f>
        <v/>
      </c>
      <c r="M16" s="29" t="str">
        <f t="shared" ref="M16:M17" si="31">IFERROR(Nov!$L6,"")</f>
        <v/>
      </c>
      <c r="N16" s="30" t="str">
        <f t="shared" ref="N16:N17" si="32">IFERROR(Dec!$L6,"")</f>
        <v/>
      </c>
      <c r="O16" s="13" t="str">
        <f>IFERROR(__xludf.DUMMYFUNCTION("IFERROR(SPARKLINE(C16:N16, {""chartype"", ""line""; ""color"", ""blue""}))
"),"")</f>
        <v/>
      </c>
    </row>
    <row r="17" ht="15.75" customHeight="1">
      <c r="A17" s="31" t="s">
        <v>30</v>
      </c>
      <c r="B17" s="32">
        <f>B10/B8</f>
        <v>0.7630597015</v>
      </c>
      <c r="C17" s="33"/>
      <c r="D17" s="33" t="str">
        <f t="shared" si="27"/>
        <v/>
      </c>
      <c r="E17" s="34">
        <f>IFERROR(Mar!$L7,"")</f>
        <v>0.9</v>
      </c>
      <c r="F17" s="35">
        <f>IFERROR(Apr!$L7,"")</f>
        <v>0.8</v>
      </c>
      <c r="G17" s="35">
        <f>IFERROR(May!$L7,"")</f>
        <v>0.8272727273</v>
      </c>
      <c r="H17" s="35">
        <f>IFERROR(Jun!$L7,"")</f>
        <v>0.7397260274</v>
      </c>
      <c r="I17" s="35">
        <f>IFERROR(Jul!$L7,"")</f>
        <v>0.6714285714</v>
      </c>
      <c r="J17" s="35" t="str">
        <f t="shared" si="28"/>
        <v/>
      </c>
      <c r="K17" s="35" t="str">
        <f t="shared" si="29"/>
        <v/>
      </c>
      <c r="L17" s="35" t="str">
        <f t="shared" si="30"/>
        <v/>
      </c>
      <c r="M17" s="35" t="str">
        <f t="shared" si="31"/>
        <v/>
      </c>
      <c r="N17" s="36" t="str">
        <f t="shared" si="32"/>
        <v/>
      </c>
      <c r="O17" s="37" t="str">
        <f>IFERROR(__xludf.DUMMYFUNCTION("IFERROR(SPARKLINE(C17:N17, {""chartype"", ""line""; ""color"", ""blue""}))
"),"")</f>
        <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c r="B1" s="6" t="s">
        <v>31</v>
      </c>
      <c r="C1" s="6" t="s">
        <v>32</v>
      </c>
      <c r="D1" s="39"/>
      <c r="E1" s="40" t="s">
        <v>33</v>
      </c>
      <c r="F1" s="41"/>
      <c r="G1" s="39"/>
      <c r="H1" s="40" t="s">
        <v>34</v>
      </c>
      <c r="I1" s="41"/>
      <c r="J1" s="13"/>
      <c r="K1" s="42" t="s">
        <v>35</v>
      </c>
      <c r="L1" s="43"/>
      <c r="M1" s="13"/>
      <c r="N1" s="40" t="s">
        <v>36</v>
      </c>
      <c r="O1" s="44"/>
      <c r="P1" s="39"/>
      <c r="Q1" s="40" t="s">
        <v>37</v>
      </c>
      <c r="R1" s="45"/>
      <c r="S1" s="41"/>
      <c r="T1" s="41"/>
      <c r="U1" s="38" t="s">
        <v>38</v>
      </c>
      <c r="V1" s="39"/>
    </row>
    <row r="2">
      <c r="A2" s="39"/>
      <c r="B2" s="41"/>
      <c r="C2" s="41"/>
      <c r="D2" s="13"/>
      <c r="E2" s="46" t="s">
        <v>26</v>
      </c>
      <c r="F2" s="47">
        <f>IFERROR(COUNTIFS(I16:I292, "Full-Pay"),"")</f>
        <v>14</v>
      </c>
      <c r="G2" s="13"/>
      <c r="H2" s="48" t="s">
        <v>16</v>
      </c>
      <c r="I2" s="49">
        <f>iferror(I10/I8,"")</f>
        <v>0.4444444444</v>
      </c>
      <c r="J2" s="12"/>
      <c r="K2" s="50" t="s">
        <v>39</v>
      </c>
      <c r="L2" s="51">
        <f>iferror(F8/I6,"")</f>
        <v>0</v>
      </c>
      <c r="M2" s="12"/>
      <c r="N2" s="52" t="s">
        <v>40</v>
      </c>
      <c r="O2" s="53">
        <f>IFERROR(COUNTIFS(N16:N291, "think about it"),"")</f>
        <v>9</v>
      </c>
      <c r="P2" s="13"/>
      <c r="Q2" s="54" t="s">
        <v>41</v>
      </c>
      <c r="R2" s="55">
        <f>IFERROR(COUNTIF(H16:H291,"setter"),"")</f>
        <v>40</v>
      </c>
      <c r="S2" s="56" t="s">
        <v>42</v>
      </c>
      <c r="T2" s="57">
        <f>IFERROR(COUNTIF(H16:H291,S2),"")</f>
        <v>0</v>
      </c>
      <c r="U2" s="39"/>
      <c r="V2" s="58"/>
    </row>
    <row r="3">
      <c r="A3" s="13"/>
      <c r="B3" s="59" t="s">
        <v>43</v>
      </c>
      <c r="C3" s="60">
        <f>IFERROR(SUM(K16:K288),"")</f>
        <v>119400</v>
      </c>
      <c r="D3" s="61"/>
      <c r="E3" s="46" t="s">
        <v>27</v>
      </c>
      <c r="F3" s="47">
        <f>IFERROR(COUNTIFS(I16:I292, "Split-Pay"),"")</f>
        <v>2</v>
      </c>
      <c r="G3" s="13"/>
      <c r="H3" s="48" t="s">
        <v>17</v>
      </c>
      <c r="I3" s="49">
        <f>IFERROR(I10/I9,"")</f>
        <v>0.4444444444</v>
      </c>
      <c r="J3" s="12"/>
      <c r="K3" s="50" t="s">
        <v>44</v>
      </c>
      <c r="L3" s="51">
        <f>iferror(F9/I6,"")</f>
        <v>0.05</v>
      </c>
      <c r="M3" s="12"/>
      <c r="N3" s="52" t="s">
        <v>45</v>
      </c>
      <c r="O3" s="62">
        <f>IFERROR(COUNTIFS(N16:N291, "money"),"")</f>
        <v>11</v>
      </c>
      <c r="P3" s="13"/>
      <c r="Q3" s="54" t="s">
        <v>46</v>
      </c>
      <c r="R3" s="55">
        <f>IFERROR(COUNTIF(H16:H291,"IG"),"")</f>
        <v>0</v>
      </c>
      <c r="S3" s="56" t="s">
        <v>47</v>
      </c>
      <c r="T3" s="57">
        <f>IFERROR(COUNTIF(H16:H291,S3),"")</f>
        <v>0</v>
      </c>
      <c r="U3" s="39"/>
      <c r="V3" s="58"/>
    </row>
    <row r="4">
      <c r="A4" s="13"/>
      <c r="B4" s="63" t="s">
        <v>48</v>
      </c>
      <c r="C4" s="64">
        <f>IFERROR(SUM(L16:L289),"")</f>
        <v>44800</v>
      </c>
      <c r="D4" s="61"/>
      <c r="E4" s="46" t="s">
        <v>28</v>
      </c>
      <c r="F4" s="47">
        <f>IFERROR(COUNTIFS(I16:I292, "Deposit"),"")</f>
        <v>1</v>
      </c>
      <c r="G4" s="13"/>
      <c r="H4" s="48" t="s">
        <v>18</v>
      </c>
      <c r="I4" s="49">
        <f>IFERROR(I9/I8,"")</f>
        <v>1</v>
      </c>
      <c r="J4" s="12"/>
      <c r="K4" s="50" t="s">
        <v>49</v>
      </c>
      <c r="L4" s="51">
        <f>iferror(F10/I6,"")</f>
        <v>0.05</v>
      </c>
      <c r="M4" s="12"/>
      <c r="N4" s="52" t="s">
        <v>50</v>
      </c>
      <c r="O4" s="53">
        <f>IFERROR(COUNTIFS(N16:N291, "time"),"")</f>
        <v>1</v>
      </c>
      <c r="P4" s="13"/>
      <c r="Q4" s="54" t="s">
        <v>51</v>
      </c>
      <c r="R4" s="55">
        <f>IFERROR(COUNTIF(H16:H291,"youtube"),"")</f>
        <v>0</v>
      </c>
      <c r="S4" s="56" t="s">
        <v>52</v>
      </c>
      <c r="T4" s="57">
        <f>IFERROR(COUNTIF(H16:H291,S4),"")</f>
        <v>0</v>
      </c>
      <c r="U4" s="39"/>
      <c r="V4" s="39"/>
    </row>
    <row r="5">
      <c r="A5" s="39"/>
      <c r="B5" s="41"/>
      <c r="C5" s="41"/>
      <c r="D5" s="13"/>
      <c r="E5" s="46" t="s">
        <v>53</v>
      </c>
      <c r="F5" s="47">
        <f>IFERROR(COUNTIFS(I16:I292, "Offer &amp; Didn't Buy"),"")</f>
        <v>19</v>
      </c>
      <c r="G5" s="13"/>
      <c r="H5" s="48" t="s">
        <v>54</v>
      </c>
      <c r="I5" s="49">
        <f>IFERROR(F7/(C6+F7+F8),"")</f>
        <v>0</v>
      </c>
      <c r="J5" s="13"/>
      <c r="K5" s="50" t="s">
        <v>54</v>
      </c>
      <c r="L5" s="51">
        <f>iferror(F7/I6,"")</f>
        <v>0</v>
      </c>
      <c r="M5" s="12"/>
      <c r="N5" s="52" t="s">
        <v>55</v>
      </c>
      <c r="O5" s="53">
        <f>IFERROR(COUNTIFS(N16:N291, "partner"),"")</f>
        <v>1</v>
      </c>
      <c r="P5" s="13"/>
      <c r="Q5" s="56" t="s">
        <v>56</v>
      </c>
      <c r="R5" s="55">
        <f>IFERROR(COUNTIF(H16:H291,"email"),"")</f>
        <v>0</v>
      </c>
      <c r="S5" s="56" t="s">
        <v>57</v>
      </c>
      <c r="T5" s="57">
        <f>IFERROR(COUNTIF(H16:H291,S5),"")</f>
        <v>0</v>
      </c>
      <c r="U5" s="39"/>
      <c r="V5" s="58"/>
    </row>
    <row r="6">
      <c r="A6" s="13"/>
      <c r="B6" s="65" t="s">
        <v>58</v>
      </c>
      <c r="C6" s="66">
        <f>IFERROR(SUM(F2:F6),"")</f>
        <v>36</v>
      </c>
      <c r="D6" s="13"/>
      <c r="E6" s="46" t="s">
        <v>59</v>
      </c>
      <c r="F6" s="47">
        <f>IFERROR(COUNTIFS(I16:I292, "Bad Fit &amp; No Offer"),"")</f>
        <v>0</v>
      </c>
      <c r="G6" s="13"/>
      <c r="H6" s="48" t="s">
        <v>21</v>
      </c>
      <c r="I6" s="67">
        <f>IFERROR(SUM(F2:F10),"")</f>
        <v>40</v>
      </c>
      <c r="J6" s="13"/>
      <c r="K6" s="68" t="s">
        <v>29</v>
      </c>
      <c r="L6" s="51">
        <f>iferror(I7/I6,"")</f>
        <v>0.9</v>
      </c>
      <c r="M6" s="12"/>
      <c r="N6" s="52" t="s">
        <v>60</v>
      </c>
      <c r="O6" s="53">
        <f>IFERROR(COUNTIFS(N16:N291, "fear"),"")</f>
        <v>2</v>
      </c>
      <c r="P6" s="13"/>
      <c r="Q6" s="56" t="s">
        <v>61</v>
      </c>
      <c r="R6" s="55">
        <f>IFERROR(COUNTIF(H16:H291,"facebook"),"")</f>
        <v>0</v>
      </c>
      <c r="S6" s="56" t="s">
        <v>62</v>
      </c>
      <c r="T6" s="57">
        <f>IFERROR(COUNTIF(H16:H291,S6),"")</f>
        <v>0</v>
      </c>
      <c r="U6" s="39"/>
      <c r="V6" s="58"/>
    </row>
    <row r="7">
      <c r="A7" s="13"/>
      <c r="B7" s="65" t="s">
        <v>63</v>
      </c>
      <c r="C7" s="69">
        <f>IFERROR(F2+F3,"")</f>
        <v>16</v>
      </c>
      <c r="D7" s="13"/>
      <c r="E7" s="46" t="s">
        <v>64</v>
      </c>
      <c r="F7" s="47">
        <f>IFERROR(COUNTIFS(I16:I292, "Drag Over &amp; Show"),"")</f>
        <v>0</v>
      </c>
      <c r="G7" s="13"/>
      <c r="H7" s="48" t="s">
        <v>22</v>
      </c>
      <c r="I7" s="67">
        <f>IFERROR(SUM(F2:F7),"")</f>
        <v>36</v>
      </c>
      <c r="J7" s="13"/>
      <c r="K7" s="70" t="s">
        <v>30</v>
      </c>
      <c r="L7" s="71">
        <f>IFERROR(I8/I6,"")</f>
        <v>0.9</v>
      </c>
      <c r="M7" s="12"/>
      <c r="N7" s="72" t="s">
        <v>65</v>
      </c>
      <c r="O7" s="73">
        <f>IFERROR(COUNTIFS(N17:N292, "value"),"")</f>
        <v>0</v>
      </c>
      <c r="P7" s="13"/>
      <c r="Q7" s="56" t="s">
        <v>66</v>
      </c>
      <c r="R7" s="55">
        <f>IFERROR(COUNTIF(H16:H291,"facebook ads"),"")</f>
        <v>0</v>
      </c>
      <c r="S7" s="56" t="s">
        <v>67</v>
      </c>
      <c r="T7" s="57">
        <f>IFERROR(COUNTIF(H16:H291,S7),"")</f>
        <v>0</v>
      </c>
      <c r="U7" s="39"/>
      <c r="V7" s="39"/>
    </row>
    <row r="8">
      <c r="A8" s="13"/>
      <c r="B8" s="65" t="s">
        <v>68</v>
      </c>
      <c r="C8" s="74">
        <f>COUNTIF(I16:I291,"offer &amp; didn't buy")+countif(I16:I291,"deposit")+countif(I16:I291,"bad fit &amp; no offer")</f>
        <v>20</v>
      </c>
      <c r="D8" s="75"/>
      <c r="E8" s="46" t="s">
        <v>69</v>
      </c>
      <c r="F8" s="47">
        <f>IFERROR(COUNTIFS(I16:I292, "Rescheduled"),"")</f>
        <v>0</v>
      </c>
      <c r="G8" s="13"/>
      <c r="H8" s="48" t="s">
        <v>23</v>
      </c>
      <c r="I8" s="67">
        <f>IFERROR(SUM(F2:F6),"")</f>
        <v>36</v>
      </c>
      <c r="J8" s="39"/>
      <c r="K8" s="39"/>
      <c r="L8" s="39"/>
      <c r="M8" s="39"/>
      <c r="N8" s="39"/>
      <c r="O8" s="76"/>
      <c r="P8" s="13"/>
      <c r="Q8" s="77" t="s">
        <v>70</v>
      </c>
      <c r="R8" s="78">
        <f>IFERROR(COUNTIF(H16:H291,Q8),"")</f>
        <v>0</v>
      </c>
      <c r="S8" s="77" t="s">
        <v>71</v>
      </c>
      <c r="T8" s="79">
        <f>IFERROR(COUNTIF(H16:H291,S8),"")</f>
        <v>0</v>
      </c>
      <c r="U8" s="39"/>
      <c r="V8" s="39"/>
    </row>
    <row r="9">
      <c r="A9" s="13"/>
      <c r="B9" s="80" t="s">
        <v>72</v>
      </c>
      <c r="C9" s="81">
        <f>iferror(SUM(C7/C6),"")</f>
        <v>0.4444444444</v>
      </c>
      <c r="D9" s="12"/>
      <c r="E9" s="46" t="s">
        <v>73</v>
      </c>
      <c r="F9" s="47">
        <f>IFERROR(COUNTIFS(I16:I292, "Cancelled"),"")</f>
        <v>2</v>
      </c>
      <c r="G9" s="13"/>
      <c r="H9" s="48" t="s">
        <v>24</v>
      </c>
      <c r="I9" s="67">
        <f>IFERROR(sum(F2:F5),"")</f>
        <v>36</v>
      </c>
      <c r="J9" s="39"/>
      <c r="K9" s="39"/>
      <c r="L9" s="39"/>
      <c r="M9" s="39"/>
      <c r="N9" s="39"/>
      <c r="O9" s="76"/>
      <c r="P9" s="39"/>
      <c r="Q9" s="39"/>
      <c r="R9" s="39"/>
      <c r="S9" s="39"/>
      <c r="T9" s="39"/>
      <c r="V9" s="39"/>
    </row>
    <row r="10">
      <c r="A10" s="39"/>
      <c r="B10" s="82"/>
      <c r="C10" s="83">
        <f>C3/C6</f>
        <v>3316.666667</v>
      </c>
      <c r="D10" s="13"/>
      <c r="E10" s="84" t="s">
        <v>74</v>
      </c>
      <c r="F10" s="85">
        <f>IFERROR(COUNTIFS(I16:I292, "No-Show"),"")</f>
        <v>2</v>
      </c>
      <c r="G10" s="13"/>
      <c r="H10" s="86" t="s">
        <v>75</v>
      </c>
      <c r="I10" s="87">
        <f>F2+F3</f>
        <v>16</v>
      </c>
      <c r="J10" s="39"/>
      <c r="K10" s="39"/>
      <c r="L10" s="39"/>
      <c r="M10" s="39"/>
      <c r="N10" s="39"/>
      <c r="O10" s="76"/>
      <c r="P10" s="39"/>
      <c r="Q10" s="39"/>
      <c r="R10" s="39"/>
      <c r="S10" s="39"/>
      <c r="T10" s="39"/>
      <c r="V10" s="39"/>
    </row>
    <row r="11" ht="6.0" customHeight="1">
      <c r="A11" s="39"/>
      <c r="B11" s="39"/>
      <c r="C11" s="39"/>
      <c r="D11" s="39"/>
      <c r="E11" s="39"/>
      <c r="F11" s="39"/>
      <c r="G11" s="39"/>
      <c r="H11" s="39"/>
      <c r="I11" s="39"/>
      <c r="J11" s="39"/>
      <c r="K11" s="39"/>
      <c r="L11" s="39"/>
      <c r="M11" s="39"/>
      <c r="N11" s="39"/>
      <c r="O11" s="76"/>
      <c r="P11" s="39"/>
      <c r="Q11" s="39"/>
      <c r="R11" s="39"/>
      <c r="S11" s="39"/>
      <c r="T11" s="39"/>
      <c r="V11" s="39"/>
    </row>
    <row r="12">
      <c r="A12" s="39"/>
      <c r="B12" s="88" t="s">
        <v>76</v>
      </c>
      <c r="C12" s="88" t="s">
        <v>32</v>
      </c>
      <c r="D12" s="39"/>
      <c r="E12" s="6" t="s">
        <v>77</v>
      </c>
      <c r="F12" s="89" t="s">
        <v>78</v>
      </c>
      <c r="G12" s="39"/>
      <c r="H12" s="6" t="s">
        <v>37</v>
      </c>
      <c r="I12" s="6" t="s">
        <v>33</v>
      </c>
      <c r="J12" s="39"/>
      <c r="K12" s="6" t="s">
        <v>79</v>
      </c>
      <c r="L12" s="6" t="s">
        <v>48</v>
      </c>
      <c r="M12" s="39"/>
      <c r="N12" s="6" t="s">
        <v>80</v>
      </c>
      <c r="O12" s="90" t="s">
        <v>81</v>
      </c>
      <c r="P12" s="39"/>
      <c r="Q12" s="6" t="s">
        <v>82</v>
      </c>
      <c r="R12" s="6" t="s">
        <v>83</v>
      </c>
      <c r="S12" s="6" t="s">
        <v>84</v>
      </c>
      <c r="T12" s="6" t="s">
        <v>85</v>
      </c>
      <c r="V12" s="58"/>
    </row>
    <row r="13" ht="15.75" customHeight="1">
      <c r="A13" s="91"/>
      <c r="B13" s="92">
        <v>45841.0</v>
      </c>
      <c r="C13" s="93" t="s">
        <v>86</v>
      </c>
      <c r="D13" s="94"/>
      <c r="E13" s="95">
        <v>5.2640883E7</v>
      </c>
      <c r="F13" s="96" t="s">
        <v>87</v>
      </c>
      <c r="G13" s="94"/>
      <c r="H13" s="93" t="s">
        <v>41</v>
      </c>
      <c r="I13" s="97" t="s">
        <v>88</v>
      </c>
      <c r="J13" s="94"/>
      <c r="K13" s="98"/>
      <c r="L13" s="98"/>
      <c r="M13" s="99"/>
      <c r="N13" s="100" t="s">
        <v>45</v>
      </c>
      <c r="O13" s="101" t="s">
        <v>89</v>
      </c>
      <c r="P13" s="94"/>
      <c r="Q13" s="102"/>
      <c r="R13" s="103"/>
      <c r="S13" s="102" t="s">
        <v>90</v>
      </c>
      <c r="T13" s="103" t="s">
        <v>91</v>
      </c>
      <c r="U13" s="103"/>
      <c r="V13" s="104"/>
    </row>
    <row r="14" ht="15.75" customHeight="1">
      <c r="A14" s="91"/>
      <c r="B14" s="92">
        <v>45841.0</v>
      </c>
      <c r="C14" s="93" t="s">
        <v>92</v>
      </c>
      <c r="D14" s="94"/>
      <c r="E14" s="105">
        <v>4.2323092E7</v>
      </c>
      <c r="F14" s="96" t="s">
        <v>93</v>
      </c>
      <c r="G14" s="94"/>
      <c r="H14" s="93" t="s">
        <v>41</v>
      </c>
      <c r="I14" s="97" t="s">
        <v>88</v>
      </c>
      <c r="J14" s="94"/>
      <c r="K14" s="98"/>
      <c r="L14" s="98"/>
      <c r="M14" s="99"/>
      <c r="N14" s="100" t="s">
        <v>45</v>
      </c>
      <c r="O14" s="101" t="s">
        <v>94</v>
      </c>
      <c r="P14" s="94"/>
      <c r="Q14" s="102"/>
      <c r="R14" s="103"/>
      <c r="S14" s="102" t="s">
        <v>90</v>
      </c>
      <c r="T14" s="103" t="s">
        <v>95</v>
      </c>
      <c r="U14" s="103"/>
      <c r="V14" s="104"/>
    </row>
    <row r="15" ht="15.75" customHeight="1">
      <c r="A15" s="91"/>
      <c r="B15" s="92">
        <v>45841.0</v>
      </c>
      <c r="C15" s="93" t="s">
        <v>96</v>
      </c>
      <c r="D15" s="94"/>
      <c r="E15" s="105">
        <v>2.2776949E7</v>
      </c>
      <c r="F15" s="96" t="s">
        <v>97</v>
      </c>
      <c r="G15" s="94"/>
      <c r="H15" s="93" t="s">
        <v>41</v>
      </c>
      <c r="I15" s="97" t="s">
        <v>88</v>
      </c>
      <c r="J15" s="94"/>
      <c r="K15" s="98"/>
      <c r="L15" s="98"/>
      <c r="M15" s="99"/>
      <c r="N15" s="100" t="s">
        <v>98</v>
      </c>
      <c r="O15" s="101" t="s">
        <v>99</v>
      </c>
      <c r="P15" s="94"/>
      <c r="Q15" s="102"/>
      <c r="R15" s="103"/>
      <c r="S15" s="102" t="s">
        <v>90</v>
      </c>
      <c r="T15" s="103" t="s">
        <v>100</v>
      </c>
      <c r="U15" s="103"/>
      <c r="V15" s="104"/>
    </row>
    <row r="16" ht="15.75" customHeight="1">
      <c r="A16" s="91"/>
      <c r="B16" s="92">
        <v>45933.0</v>
      </c>
      <c r="C16" s="93" t="s">
        <v>101</v>
      </c>
      <c r="D16" s="94"/>
      <c r="E16" s="105">
        <v>2.2624099E7</v>
      </c>
      <c r="F16" s="96" t="s">
        <v>102</v>
      </c>
      <c r="G16" s="94"/>
      <c r="H16" s="93" t="s">
        <v>41</v>
      </c>
      <c r="I16" s="97" t="s">
        <v>103</v>
      </c>
      <c r="J16" s="94"/>
      <c r="K16" s="98">
        <v>8700.0</v>
      </c>
      <c r="L16" s="98">
        <v>2700.0</v>
      </c>
      <c r="M16" s="99"/>
      <c r="N16" s="100"/>
      <c r="O16" s="101"/>
      <c r="P16" s="94"/>
      <c r="Q16" s="102" t="s">
        <v>104</v>
      </c>
      <c r="R16" s="103"/>
      <c r="S16" s="102" t="s">
        <v>105</v>
      </c>
      <c r="T16" s="103"/>
      <c r="V16" s="104"/>
    </row>
    <row r="17" ht="15.75" customHeight="1">
      <c r="A17" s="91"/>
      <c r="B17" s="92">
        <v>45933.0</v>
      </c>
      <c r="C17" s="93" t="s">
        <v>106</v>
      </c>
      <c r="D17" s="102"/>
      <c r="E17" s="105">
        <v>2.3231943E7</v>
      </c>
      <c r="F17" s="96" t="s">
        <v>107</v>
      </c>
      <c r="G17" s="94"/>
      <c r="H17" s="93" t="s">
        <v>41</v>
      </c>
      <c r="I17" s="97" t="s">
        <v>103</v>
      </c>
      <c r="J17" s="94"/>
      <c r="K17" s="98">
        <v>8700.0</v>
      </c>
      <c r="L17" s="98">
        <v>2700.0</v>
      </c>
      <c r="M17" s="99"/>
      <c r="N17" s="100"/>
      <c r="O17" s="101"/>
      <c r="P17" s="94"/>
      <c r="Q17" s="102" t="s">
        <v>104</v>
      </c>
      <c r="R17" s="106"/>
      <c r="S17" s="102" t="s">
        <v>105</v>
      </c>
      <c r="T17" s="103"/>
      <c r="V17" s="104"/>
    </row>
    <row r="18" ht="15.75" customHeight="1">
      <c r="A18" s="94"/>
      <c r="B18" s="107">
        <v>45726.0</v>
      </c>
      <c r="C18" s="102" t="s">
        <v>108</v>
      </c>
      <c r="D18" s="94"/>
      <c r="E18" s="95">
        <v>2.9342904E7</v>
      </c>
      <c r="F18" s="96" t="s">
        <v>109</v>
      </c>
      <c r="G18" s="94"/>
      <c r="H18" s="93" t="s">
        <v>41</v>
      </c>
      <c r="I18" s="97" t="s">
        <v>110</v>
      </c>
      <c r="J18" s="94"/>
      <c r="K18" s="98"/>
      <c r="L18" s="98"/>
      <c r="M18" s="99"/>
      <c r="N18" s="100" t="s">
        <v>60</v>
      </c>
      <c r="O18" s="101" t="s">
        <v>111</v>
      </c>
      <c r="P18" s="94"/>
      <c r="Q18" s="102"/>
      <c r="R18" s="106"/>
      <c r="S18" s="102" t="s">
        <v>90</v>
      </c>
      <c r="T18" s="102" t="s">
        <v>112</v>
      </c>
      <c r="U18" s="102"/>
      <c r="V18" s="104"/>
    </row>
    <row r="19" ht="15.75" customHeight="1">
      <c r="A19" s="94"/>
      <c r="B19" s="107">
        <v>45726.0</v>
      </c>
      <c r="C19" s="102" t="s">
        <v>113</v>
      </c>
      <c r="D19" s="94"/>
      <c r="E19" s="95">
        <v>2.8255187E7</v>
      </c>
      <c r="F19" s="96" t="s">
        <v>114</v>
      </c>
      <c r="G19" s="94"/>
      <c r="H19" s="93" t="s">
        <v>41</v>
      </c>
      <c r="I19" s="97" t="s">
        <v>88</v>
      </c>
      <c r="J19" s="94"/>
      <c r="K19" s="98"/>
      <c r="L19" s="98"/>
      <c r="M19" s="99"/>
      <c r="N19" s="100" t="s">
        <v>45</v>
      </c>
      <c r="O19" s="101" t="s">
        <v>115</v>
      </c>
      <c r="P19" s="94"/>
      <c r="Q19" s="102"/>
      <c r="R19" s="106"/>
      <c r="S19" s="102" t="s">
        <v>90</v>
      </c>
      <c r="T19" s="102" t="s">
        <v>116</v>
      </c>
      <c r="U19" s="102"/>
      <c r="V19" s="104"/>
    </row>
    <row r="20" ht="15.75" customHeight="1">
      <c r="A20" s="94"/>
      <c r="B20" s="107">
        <v>45726.0</v>
      </c>
      <c r="C20" s="102" t="s">
        <v>117</v>
      </c>
      <c r="D20" s="94"/>
      <c r="E20" s="105">
        <v>3.0440961E7</v>
      </c>
      <c r="F20" s="102" t="s">
        <v>118</v>
      </c>
      <c r="G20" s="94"/>
      <c r="H20" s="93" t="s">
        <v>41</v>
      </c>
      <c r="I20" s="97" t="s">
        <v>88</v>
      </c>
      <c r="J20" s="94"/>
      <c r="K20" s="98"/>
      <c r="L20" s="98"/>
      <c r="M20" s="99"/>
      <c r="N20" s="100" t="s">
        <v>45</v>
      </c>
      <c r="O20" s="101" t="s">
        <v>115</v>
      </c>
      <c r="P20" s="94"/>
      <c r="Q20" s="102"/>
      <c r="R20" s="106"/>
      <c r="S20" s="102" t="s">
        <v>90</v>
      </c>
      <c r="T20" s="102" t="s">
        <v>116</v>
      </c>
      <c r="U20" s="102"/>
      <c r="V20" s="104"/>
    </row>
    <row r="21" ht="15.75" customHeight="1">
      <c r="A21" s="94"/>
      <c r="B21" s="107">
        <v>45727.0</v>
      </c>
      <c r="C21" s="102" t="s">
        <v>119</v>
      </c>
      <c r="D21" s="94"/>
      <c r="E21" s="105">
        <v>2.5127373E7</v>
      </c>
      <c r="F21" s="96" t="s">
        <v>120</v>
      </c>
      <c r="G21" s="94"/>
      <c r="H21" s="93" t="s">
        <v>41</v>
      </c>
      <c r="I21" s="97" t="s">
        <v>103</v>
      </c>
      <c r="J21" s="94"/>
      <c r="K21" s="98">
        <v>8700.0</v>
      </c>
      <c r="L21" s="98">
        <v>2700.0</v>
      </c>
      <c r="M21" s="99"/>
      <c r="N21" s="100"/>
      <c r="O21" s="101"/>
      <c r="P21" s="94"/>
      <c r="Q21" s="102" t="s">
        <v>104</v>
      </c>
      <c r="R21" s="106"/>
      <c r="S21" s="102" t="s">
        <v>105</v>
      </c>
      <c r="T21" s="102"/>
      <c r="V21" s="104"/>
    </row>
    <row r="22" ht="15.75" customHeight="1">
      <c r="A22" s="94"/>
      <c r="B22" s="92">
        <v>45994.0</v>
      </c>
      <c r="C22" s="102" t="s">
        <v>121</v>
      </c>
      <c r="D22" s="102"/>
      <c r="E22" s="105">
        <v>4.2250101E7</v>
      </c>
      <c r="F22" s="96" t="s">
        <v>122</v>
      </c>
      <c r="G22" s="94"/>
      <c r="H22" s="93" t="s">
        <v>41</v>
      </c>
      <c r="I22" s="97" t="s">
        <v>88</v>
      </c>
      <c r="J22" s="94"/>
      <c r="K22" s="108"/>
      <c r="L22" s="108"/>
      <c r="M22" s="99"/>
      <c r="N22" s="100" t="s">
        <v>98</v>
      </c>
      <c r="O22" s="101" t="s">
        <v>123</v>
      </c>
      <c r="P22" s="94"/>
      <c r="Q22" s="109"/>
      <c r="R22" s="103"/>
      <c r="S22" s="102" t="s">
        <v>124</v>
      </c>
      <c r="T22" s="102" t="s">
        <v>125</v>
      </c>
      <c r="V22" s="104"/>
    </row>
    <row r="23" ht="15.75" customHeight="1">
      <c r="A23" s="94"/>
      <c r="B23" s="92">
        <v>45994.0</v>
      </c>
      <c r="C23" s="102" t="s">
        <v>126</v>
      </c>
      <c r="D23" s="94"/>
      <c r="E23" s="105">
        <v>5.373001E7</v>
      </c>
      <c r="F23" s="96" t="s">
        <v>127</v>
      </c>
      <c r="G23" s="94"/>
      <c r="H23" s="93" t="s">
        <v>41</v>
      </c>
      <c r="I23" s="97" t="s">
        <v>88</v>
      </c>
      <c r="J23" s="94"/>
      <c r="K23" s="98"/>
      <c r="L23" s="98"/>
      <c r="M23" s="99"/>
      <c r="N23" s="100" t="s">
        <v>98</v>
      </c>
      <c r="O23" s="101" t="s">
        <v>123</v>
      </c>
      <c r="P23" s="94"/>
      <c r="Q23" s="109"/>
      <c r="R23" s="103"/>
      <c r="S23" s="102" t="s">
        <v>124</v>
      </c>
      <c r="T23" s="102" t="s">
        <v>125</v>
      </c>
      <c r="V23" s="104"/>
    </row>
    <row r="24" ht="15.75" customHeight="1">
      <c r="A24" s="94"/>
      <c r="B24" s="93" t="s">
        <v>128</v>
      </c>
      <c r="C24" s="102" t="s">
        <v>129</v>
      </c>
      <c r="D24" s="94"/>
      <c r="E24" s="105"/>
      <c r="F24" s="110" t="s">
        <v>130</v>
      </c>
      <c r="G24" s="94"/>
      <c r="H24" s="93" t="s">
        <v>41</v>
      </c>
      <c r="I24" s="97" t="s">
        <v>131</v>
      </c>
      <c r="J24" s="94"/>
      <c r="K24" s="108"/>
      <c r="L24" s="108"/>
      <c r="M24" s="99"/>
      <c r="N24" s="111"/>
      <c r="O24" s="112"/>
      <c r="P24" s="94"/>
      <c r="Q24" s="94"/>
      <c r="R24" s="113"/>
      <c r="S24" s="94"/>
      <c r="T24" s="94"/>
      <c r="V24" s="104"/>
    </row>
    <row r="25" ht="15.75" customHeight="1">
      <c r="A25" s="94"/>
      <c r="B25" s="93" t="s">
        <v>128</v>
      </c>
      <c r="C25" s="102" t="s">
        <v>132</v>
      </c>
      <c r="D25" s="94"/>
      <c r="E25" s="105">
        <v>2.5739488E7</v>
      </c>
      <c r="F25" s="96" t="s">
        <v>133</v>
      </c>
      <c r="G25" s="94"/>
      <c r="H25" s="93" t="s">
        <v>41</v>
      </c>
      <c r="I25" s="97" t="s">
        <v>103</v>
      </c>
      <c r="J25" s="94"/>
      <c r="K25" s="98">
        <v>13500.0</v>
      </c>
      <c r="L25" s="98">
        <v>2700.0</v>
      </c>
      <c r="M25" s="99"/>
      <c r="N25" s="111"/>
      <c r="O25" s="112"/>
      <c r="P25" s="94"/>
      <c r="Q25" s="102" t="s">
        <v>134</v>
      </c>
      <c r="R25" s="113"/>
      <c r="S25" s="102" t="s">
        <v>105</v>
      </c>
      <c r="T25" s="94"/>
      <c r="V25" s="104"/>
    </row>
    <row r="26" ht="15.75" customHeight="1">
      <c r="A26" s="94"/>
      <c r="B26" s="93" t="s">
        <v>135</v>
      </c>
      <c r="C26" s="102" t="s">
        <v>136</v>
      </c>
      <c r="D26" s="94"/>
      <c r="E26" s="93">
        <v>3.0425868E7</v>
      </c>
      <c r="F26" s="96" t="s">
        <v>137</v>
      </c>
      <c r="G26" s="94"/>
      <c r="H26" s="93" t="s">
        <v>41</v>
      </c>
      <c r="I26" s="97" t="s">
        <v>131</v>
      </c>
      <c r="J26" s="94"/>
      <c r="K26" s="108"/>
      <c r="L26" s="108"/>
      <c r="M26" s="99"/>
      <c r="N26" s="100" t="s">
        <v>98</v>
      </c>
      <c r="O26" s="112"/>
      <c r="P26" s="94"/>
      <c r="Q26" s="94"/>
      <c r="R26" s="113"/>
      <c r="S26" s="94"/>
      <c r="T26" s="94"/>
      <c r="V26" s="104"/>
    </row>
    <row r="27" ht="15.75" customHeight="1">
      <c r="A27" s="91"/>
      <c r="B27" s="93" t="s">
        <v>135</v>
      </c>
      <c r="C27" s="97" t="s">
        <v>138</v>
      </c>
      <c r="D27" s="94"/>
      <c r="E27" s="114">
        <v>3.135902E7</v>
      </c>
      <c r="F27" s="115" t="s">
        <v>139</v>
      </c>
      <c r="G27" s="94"/>
      <c r="H27" s="93" t="s">
        <v>41</v>
      </c>
      <c r="I27" s="97" t="s">
        <v>88</v>
      </c>
      <c r="J27" s="94"/>
      <c r="K27" s="98"/>
      <c r="L27" s="98"/>
      <c r="M27" s="99"/>
      <c r="N27" s="100" t="s">
        <v>98</v>
      </c>
      <c r="O27" s="101" t="s">
        <v>123</v>
      </c>
      <c r="P27" s="94"/>
      <c r="Q27" s="109"/>
      <c r="R27" s="105"/>
      <c r="S27" s="102" t="s">
        <v>90</v>
      </c>
      <c r="T27" s="102" t="s">
        <v>140</v>
      </c>
      <c r="V27" s="104"/>
    </row>
    <row r="28" ht="15.75" customHeight="1">
      <c r="A28" s="91"/>
      <c r="B28" s="93" t="s">
        <v>141</v>
      </c>
      <c r="C28" s="97" t="s">
        <v>142</v>
      </c>
      <c r="D28" s="94"/>
      <c r="E28" s="105">
        <v>4.272478E7</v>
      </c>
      <c r="F28" s="96" t="s">
        <v>143</v>
      </c>
      <c r="G28" s="94"/>
      <c r="H28" s="93" t="s">
        <v>41</v>
      </c>
      <c r="I28" s="97" t="s">
        <v>88</v>
      </c>
      <c r="J28" s="94"/>
      <c r="K28" s="98"/>
      <c r="L28" s="98"/>
      <c r="M28" s="99"/>
      <c r="N28" s="100" t="s">
        <v>45</v>
      </c>
      <c r="O28" s="101" t="s">
        <v>144</v>
      </c>
      <c r="P28" s="94"/>
      <c r="Q28" s="102"/>
      <c r="R28" s="113"/>
      <c r="S28" s="102" t="s">
        <v>124</v>
      </c>
      <c r="T28" s="102"/>
      <c r="V28" s="104"/>
    </row>
    <row r="29" ht="15.75" customHeight="1">
      <c r="A29" s="91"/>
      <c r="B29" s="93" t="s">
        <v>141</v>
      </c>
      <c r="C29" s="97" t="s">
        <v>145</v>
      </c>
      <c r="D29" s="94"/>
      <c r="E29" s="105">
        <v>2.785907E7</v>
      </c>
      <c r="F29" s="96" t="s">
        <v>146</v>
      </c>
      <c r="G29" s="94"/>
      <c r="H29" s="93" t="s">
        <v>41</v>
      </c>
      <c r="I29" s="102" t="s">
        <v>110</v>
      </c>
      <c r="J29" s="94"/>
      <c r="K29" s="98"/>
      <c r="L29" s="98"/>
      <c r="M29" s="99"/>
      <c r="N29" s="100" t="s">
        <v>60</v>
      </c>
      <c r="O29" s="101" t="s">
        <v>147</v>
      </c>
      <c r="P29" s="94"/>
      <c r="Q29" s="109"/>
      <c r="R29" s="103"/>
      <c r="S29" s="102" t="s">
        <v>90</v>
      </c>
      <c r="T29" s="102"/>
      <c r="V29" s="104"/>
    </row>
    <row r="30" ht="15.75" customHeight="1">
      <c r="A30" s="91"/>
      <c r="B30" s="93" t="s">
        <v>148</v>
      </c>
      <c r="C30" s="97" t="s">
        <v>149</v>
      </c>
      <c r="D30" s="94"/>
      <c r="E30" s="105">
        <v>4.2317712E7</v>
      </c>
      <c r="F30" s="96" t="s">
        <v>150</v>
      </c>
      <c r="G30" s="94"/>
      <c r="H30" s="93" t="s">
        <v>41</v>
      </c>
      <c r="I30" s="102" t="s">
        <v>88</v>
      </c>
      <c r="J30" s="94"/>
      <c r="K30" s="108"/>
      <c r="L30" s="108"/>
      <c r="M30" s="99"/>
      <c r="N30" s="100" t="s">
        <v>45</v>
      </c>
      <c r="O30" s="101" t="s">
        <v>151</v>
      </c>
      <c r="P30" s="94"/>
      <c r="Q30" s="94"/>
      <c r="R30" s="113"/>
      <c r="S30" s="102" t="s">
        <v>124</v>
      </c>
      <c r="T30" s="102" t="s">
        <v>152</v>
      </c>
      <c r="V30" s="104"/>
    </row>
    <row r="31" ht="15.75" customHeight="1">
      <c r="A31" s="91"/>
      <c r="B31" s="93" t="s">
        <v>153</v>
      </c>
      <c r="C31" s="97" t="s">
        <v>154</v>
      </c>
      <c r="D31" s="94"/>
      <c r="E31" s="105">
        <v>5.3810095E7</v>
      </c>
      <c r="F31" s="96" t="s">
        <v>154</v>
      </c>
      <c r="G31" s="94"/>
      <c r="H31" s="93" t="s">
        <v>41</v>
      </c>
      <c r="I31" s="102" t="s">
        <v>103</v>
      </c>
      <c r="J31" s="94"/>
      <c r="K31" s="98">
        <v>4600.0</v>
      </c>
      <c r="L31" s="98">
        <v>2200.0</v>
      </c>
      <c r="M31" s="99"/>
      <c r="N31" s="100"/>
      <c r="O31" s="101"/>
      <c r="P31" s="94"/>
      <c r="Q31" s="102" t="s">
        <v>155</v>
      </c>
      <c r="R31" s="103"/>
      <c r="S31" s="102" t="s">
        <v>105</v>
      </c>
      <c r="T31" s="102"/>
      <c r="V31" s="104"/>
    </row>
    <row r="32" ht="15.75" customHeight="1">
      <c r="A32" s="91"/>
      <c r="B32" s="93" t="s">
        <v>153</v>
      </c>
      <c r="C32" s="97" t="s">
        <v>156</v>
      </c>
      <c r="D32" s="94"/>
      <c r="E32" s="105" t="s">
        <v>157</v>
      </c>
      <c r="F32" s="97" t="s">
        <v>158</v>
      </c>
      <c r="G32" s="94"/>
      <c r="H32" s="93" t="s">
        <v>41</v>
      </c>
      <c r="I32" s="102" t="s">
        <v>103</v>
      </c>
      <c r="J32" s="94"/>
      <c r="K32" s="98">
        <v>8700.0</v>
      </c>
      <c r="L32" s="98">
        <v>2700.0</v>
      </c>
      <c r="M32" s="99"/>
      <c r="N32" s="100"/>
      <c r="O32" s="101"/>
      <c r="P32" s="94"/>
      <c r="Q32" s="102" t="s">
        <v>104</v>
      </c>
      <c r="R32" s="103"/>
      <c r="S32" s="102" t="s">
        <v>105</v>
      </c>
      <c r="T32" s="102"/>
      <c r="V32" s="104"/>
    </row>
    <row r="33" ht="15.75" customHeight="1">
      <c r="A33" s="91"/>
      <c r="B33" s="93" t="s">
        <v>159</v>
      </c>
      <c r="C33" s="97" t="s">
        <v>160</v>
      </c>
      <c r="D33" s="94"/>
      <c r="E33" s="105" t="s">
        <v>157</v>
      </c>
      <c r="F33" s="96" t="s">
        <v>161</v>
      </c>
      <c r="G33" s="94"/>
      <c r="H33" s="93" t="s">
        <v>41</v>
      </c>
      <c r="I33" s="102" t="s">
        <v>103</v>
      </c>
      <c r="J33" s="94"/>
      <c r="K33" s="98">
        <v>6300.0</v>
      </c>
      <c r="L33" s="98">
        <v>2700.0</v>
      </c>
      <c r="M33" s="99"/>
      <c r="N33" s="111"/>
      <c r="O33" s="112"/>
      <c r="P33" s="94"/>
      <c r="Q33" s="102" t="s">
        <v>162</v>
      </c>
      <c r="R33" s="113"/>
      <c r="S33" s="102" t="s">
        <v>105</v>
      </c>
      <c r="T33" s="94"/>
      <c r="V33" s="104"/>
    </row>
    <row r="34" ht="15.75" customHeight="1">
      <c r="A34" s="91"/>
      <c r="B34" s="93" t="s">
        <v>163</v>
      </c>
      <c r="C34" s="97" t="s">
        <v>164</v>
      </c>
      <c r="D34" s="94"/>
      <c r="E34" s="105" t="s">
        <v>165</v>
      </c>
      <c r="F34" s="96" t="s">
        <v>166</v>
      </c>
      <c r="G34" s="94"/>
      <c r="H34" s="93" t="s">
        <v>41</v>
      </c>
      <c r="I34" s="102" t="s">
        <v>103</v>
      </c>
      <c r="J34" s="94"/>
      <c r="K34" s="98">
        <v>6300.0</v>
      </c>
      <c r="L34" s="98">
        <v>2700.0</v>
      </c>
      <c r="M34" s="99"/>
      <c r="N34" s="100"/>
      <c r="O34" s="101"/>
      <c r="P34" s="94"/>
      <c r="Q34" s="102" t="s">
        <v>162</v>
      </c>
      <c r="R34" s="106"/>
      <c r="S34" s="102" t="s">
        <v>105</v>
      </c>
      <c r="T34" s="102"/>
      <c r="V34" s="104"/>
    </row>
    <row r="35" ht="15.75" customHeight="1">
      <c r="A35" s="91"/>
      <c r="B35" s="93" t="s">
        <v>163</v>
      </c>
      <c r="C35" s="102" t="s">
        <v>167</v>
      </c>
      <c r="D35" s="94"/>
      <c r="E35" s="105" t="s">
        <v>165</v>
      </c>
      <c r="F35" s="110" t="s">
        <v>168</v>
      </c>
      <c r="G35" s="94"/>
      <c r="H35" s="93" t="s">
        <v>41</v>
      </c>
      <c r="I35" s="102" t="s">
        <v>88</v>
      </c>
      <c r="J35" s="94"/>
      <c r="K35" s="98"/>
      <c r="L35" s="98"/>
      <c r="M35" s="99"/>
      <c r="N35" s="100" t="s">
        <v>45</v>
      </c>
      <c r="O35" s="101" t="s">
        <v>169</v>
      </c>
      <c r="P35" s="94"/>
      <c r="Q35" s="94"/>
      <c r="R35" s="113"/>
      <c r="S35" s="102" t="s">
        <v>170</v>
      </c>
      <c r="T35" s="102" t="s">
        <v>171</v>
      </c>
      <c r="V35" s="104"/>
    </row>
    <row r="36" ht="15.75" customHeight="1">
      <c r="A36" s="91"/>
      <c r="B36" s="93" t="s">
        <v>172</v>
      </c>
      <c r="C36" s="97" t="s">
        <v>173</v>
      </c>
      <c r="D36" s="94"/>
      <c r="E36" s="105" t="s">
        <v>165</v>
      </c>
      <c r="F36" s="96" t="s">
        <v>166</v>
      </c>
      <c r="G36" s="94"/>
      <c r="H36" s="93" t="s">
        <v>41</v>
      </c>
      <c r="I36" s="102" t="s">
        <v>103</v>
      </c>
      <c r="J36" s="94"/>
      <c r="K36" s="98">
        <v>8700.0</v>
      </c>
      <c r="L36" s="98">
        <v>2700.0</v>
      </c>
      <c r="M36" s="99"/>
      <c r="N36" s="100" t="s">
        <v>45</v>
      </c>
      <c r="O36" s="112"/>
      <c r="P36" s="94"/>
      <c r="Q36" s="94"/>
      <c r="R36" s="113"/>
      <c r="S36" s="102" t="s">
        <v>105</v>
      </c>
      <c r="T36" s="94"/>
      <c r="V36" s="104"/>
    </row>
    <row r="37" ht="15.75" customHeight="1">
      <c r="A37" s="91"/>
      <c r="B37" s="93" t="s">
        <v>174</v>
      </c>
      <c r="C37" s="97" t="s">
        <v>175</v>
      </c>
      <c r="D37" s="94"/>
      <c r="E37" s="116">
        <v>9.1544085E7</v>
      </c>
      <c r="F37" s="96" t="s">
        <v>176</v>
      </c>
      <c r="G37" s="94"/>
      <c r="H37" s="93" t="s">
        <v>41</v>
      </c>
      <c r="I37" s="102" t="s">
        <v>88</v>
      </c>
      <c r="J37" s="94"/>
      <c r="K37" s="98"/>
      <c r="L37" s="98"/>
      <c r="M37" s="99"/>
      <c r="N37" s="100" t="s">
        <v>98</v>
      </c>
      <c r="O37" s="101" t="s">
        <v>177</v>
      </c>
      <c r="P37" s="94"/>
      <c r="Q37" s="109"/>
      <c r="R37" s="103"/>
      <c r="S37" s="102" t="s">
        <v>124</v>
      </c>
      <c r="T37" s="102" t="s">
        <v>178</v>
      </c>
      <c r="V37" s="104"/>
    </row>
    <row r="38" ht="15.75" customHeight="1">
      <c r="A38" s="91"/>
      <c r="B38" s="93" t="s">
        <v>174</v>
      </c>
      <c r="C38" s="97" t="s">
        <v>179</v>
      </c>
      <c r="D38" s="94"/>
      <c r="E38" s="105" t="s">
        <v>157</v>
      </c>
      <c r="F38" s="96" t="s">
        <v>180</v>
      </c>
      <c r="G38" s="94"/>
      <c r="H38" s="93" t="s">
        <v>41</v>
      </c>
      <c r="I38" s="102" t="s">
        <v>181</v>
      </c>
      <c r="J38" s="94"/>
      <c r="K38" s="98">
        <v>6300.0</v>
      </c>
      <c r="L38" s="98">
        <v>2700.0</v>
      </c>
      <c r="M38" s="99"/>
      <c r="N38" s="100"/>
      <c r="O38" s="112"/>
      <c r="P38" s="94"/>
      <c r="Q38" s="102" t="s">
        <v>162</v>
      </c>
      <c r="R38" s="113"/>
      <c r="S38" s="102" t="s">
        <v>105</v>
      </c>
      <c r="T38" s="94"/>
      <c r="V38" s="104"/>
    </row>
    <row r="39" ht="15.75" customHeight="1">
      <c r="A39" s="91"/>
      <c r="B39" s="93" t="s">
        <v>174</v>
      </c>
      <c r="C39" s="97" t="s">
        <v>182</v>
      </c>
      <c r="D39" s="94"/>
      <c r="E39" s="105">
        <v>2.9833828E7</v>
      </c>
      <c r="F39" s="96" t="s">
        <v>183</v>
      </c>
      <c r="G39" s="94"/>
      <c r="H39" s="93" t="s">
        <v>41</v>
      </c>
      <c r="I39" s="102" t="s">
        <v>88</v>
      </c>
      <c r="J39" s="94"/>
      <c r="K39" s="108"/>
      <c r="L39" s="108"/>
      <c r="M39" s="99"/>
      <c r="N39" s="100" t="s">
        <v>98</v>
      </c>
      <c r="O39" s="101" t="s">
        <v>184</v>
      </c>
      <c r="P39" s="94"/>
      <c r="Q39" s="94"/>
      <c r="R39" s="113"/>
      <c r="S39" s="102" t="s">
        <v>124</v>
      </c>
      <c r="T39" s="102" t="s">
        <v>184</v>
      </c>
      <c r="V39" s="104"/>
    </row>
    <row r="40" ht="15.75" customHeight="1">
      <c r="A40" s="91"/>
      <c r="B40" s="93" t="s">
        <v>174</v>
      </c>
      <c r="C40" s="102" t="s">
        <v>185</v>
      </c>
      <c r="D40" s="94"/>
      <c r="E40" s="105">
        <v>5.3654401E7</v>
      </c>
      <c r="F40" s="96" t="s">
        <v>186</v>
      </c>
      <c r="G40" s="94"/>
      <c r="H40" s="93" t="s">
        <v>41</v>
      </c>
      <c r="I40" s="102" t="s">
        <v>103</v>
      </c>
      <c r="J40" s="94"/>
      <c r="K40" s="98">
        <v>5600.0</v>
      </c>
      <c r="L40" s="98">
        <v>2000.0</v>
      </c>
      <c r="M40" s="99"/>
      <c r="N40" s="100"/>
      <c r="O40" s="101"/>
      <c r="P40" s="94"/>
      <c r="Q40" s="102" t="s">
        <v>162</v>
      </c>
      <c r="R40" s="113"/>
      <c r="S40" s="102" t="s">
        <v>105</v>
      </c>
      <c r="T40" s="102"/>
      <c r="V40" s="104"/>
    </row>
    <row r="41" ht="15.75" customHeight="1">
      <c r="A41" s="91"/>
      <c r="B41" s="93" t="s">
        <v>174</v>
      </c>
      <c r="C41" s="102" t="s">
        <v>187</v>
      </c>
      <c r="D41" s="94"/>
      <c r="E41" s="105" t="s">
        <v>165</v>
      </c>
      <c r="F41" s="110" t="s">
        <v>188</v>
      </c>
      <c r="G41" s="94"/>
      <c r="H41" s="93" t="s">
        <v>41</v>
      </c>
      <c r="I41" s="102" t="s">
        <v>103</v>
      </c>
      <c r="J41" s="94"/>
      <c r="K41" s="98">
        <v>8700.0</v>
      </c>
      <c r="L41" s="98">
        <v>2700.0</v>
      </c>
      <c r="M41" s="99"/>
      <c r="N41" s="111"/>
      <c r="O41" s="112"/>
      <c r="P41" s="94"/>
      <c r="Q41" s="102" t="s">
        <v>104</v>
      </c>
      <c r="R41" s="113"/>
      <c r="S41" s="102" t="s">
        <v>105</v>
      </c>
      <c r="T41" s="102"/>
      <c r="V41" s="104"/>
    </row>
    <row r="42" ht="15.75" customHeight="1">
      <c r="A42" s="91"/>
      <c r="B42" s="93" t="s">
        <v>189</v>
      </c>
      <c r="C42" s="97" t="s">
        <v>190</v>
      </c>
      <c r="D42" s="94"/>
      <c r="E42" s="105">
        <v>2.789843E7</v>
      </c>
      <c r="F42" s="96" t="s">
        <v>191</v>
      </c>
      <c r="G42" s="94"/>
      <c r="H42" s="93" t="s">
        <v>41</v>
      </c>
      <c r="I42" s="102" t="s">
        <v>88</v>
      </c>
      <c r="J42" s="94"/>
      <c r="K42" s="98"/>
      <c r="L42" s="98"/>
      <c r="M42" s="99"/>
      <c r="N42" s="100" t="s">
        <v>98</v>
      </c>
      <c r="O42" s="101" t="s">
        <v>123</v>
      </c>
      <c r="P42" s="94"/>
      <c r="Q42" s="109"/>
      <c r="R42" s="103"/>
      <c r="S42" s="102" t="s">
        <v>124</v>
      </c>
      <c r="T42" s="102" t="s">
        <v>192</v>
      </c>
      <c r="V42" s="104"/>
    </row>
    <row r="43" ht="15.75" customHeight="1">
      <c r="A43" s="91"/>
      <c r="B43" s="93" t="s">
        <v>189</v>
      </c>
      <c r="C43" s="97" t="s">
        <v>193</v>
      </c>
      <c r="D43" s="94"/>
      <c r="E43" s="105">
        <v>4.2456593E7</v>
      </c>
      <c r="F43" s="96" t="s">
        <v>194</v>
      </c>
      <c r="G43" s="94"/>
      <c r="H43" s="93" t="s">
        <v>41</v>
      </c>
      <c r="I43" s="102" t="s">
        <v>88</v>
      </c>
      <c r="J43" s="94"/>
      <c r="K43" s="108"/>
      <c r="L43" s="108"/>
      <c r="M43" s="99"/>
      <c r="N43" s="100" t="s">
        <v>45</v>
      </c>
      <c r="O43" s="101" t="s">
        <v>195</v>
      </c>
      <c r="P43" s="94"/>
      <c r="Q43" s="117"/>
      <c r="R43" s="103"/>
      <c r="S43" s="102" t="s">
        <v>90</v>
      </c>
      <c r="T43" s="118" t="s">
        <v>196</v>
      </c>
      <c r="V43" s="104"/>
    </row>
    <row r="44" ht="15.75" customHeight="1">
      <c r="A44" s="91"/>
      <c r="B44" s="93" t="s">
        <v>189</v>
      </c>
      <c r="C44" s="97" t="s">
        <v>197</v>
      </c>
      <c r="D44" s="94"/>
      <c r="E44" s="105">
        <v>4.2232679E7</v>
      </c>
      <c r="F44" s="119" t="s">
        <v>198</v>
      </c>
      <c r="G44" s="94"/>
      <c r="H44" s="93" t="s">
        <v>41</v>
      </c>
      <c r="I44" s="102" t="s">
        <v>103</v>
      </c>
      <c r="J44" s="94"/>
      <c r="K44" s="98">
        <v>8700.0</v>
      </c>
      <c r="L44" s="98">
        <v>2700.0</v>
      </c>
      <c r="M44" s="99"/>
      <c r="N44" s="111"/>
      <c r="O44" s="112"/>
      <c r="P44" s="94"/>
      <c r="Q44" s="102" t="s">
        <v>104</v>
      </c>
      <c r="R44" s="103"/>
      <c r="S44" s="102" t="s">
        <v>105</v>
      </c>
      <c r="T44" s="102"/>
      <c r="V44" s="104"/>
    </row>
    <row r="45" ht="15.75" customHeight="1">
      <c r="A45" s="91"/>
      <c r="B45" s="93" t="s">
        <v>199</v>
      </c>
      <c r="C45" s="97" t="s">
        <v>200</v>
      </c>
      <c r="D45" s="94"/>
      <c r="E45" s="116">
        <v>2.1550741E7</v>
      </c>
      <c r="F45" s="96" t="s">
        <v>201</v>
      </c>
      <c r="G45" s="94"/>
      <c r="H45" s="93" t="s">
        <v>41</v>
      </c>
      <c r="I45" s="102" t="s">
        <v>88</v>
      </c>
      <c r="J45" s="94"/>
      <c r="K45" s="108"/>
      <c r="L45" s="108"/>
      <c r="M45" s="99"/>
      <c r="N45" s="100" t="s">
        <v>45</v>
      </c>
      <c r="O45" s="101" t="s">
        <v>202</v>
      </c>
      <c r="P45" s="94"/>
      <c r="Q45" s="109"/>
      <c r="R45" s="103"/>
      <c r="S45" s="102" t="s">
        <v>90</v>
      </c>
      <c r="T45" s="102" t="s">
        <v>203</v>
      </c>
      <c r="V45" s="104"/>
    </row>
    <row r="46" ht="15.75" customHeight="1">
      <c r="A46" s="91"/>
      <c r="B46" s="93" t="s">
        <v>199</v>
      </c>
      <c r="C46" s="97" t="s">
        <v>204</v>
      </c>
      <c r="D46" s="94"/>
      <c r="E46" s="93">
        <v>2.2550306E7</v>
      </c>
      <c r="F46" s="110" t="s">
        <v>205</v>
      </c>
      <c r="G46" s="94"/>
      <c r="H46" s="93" t="s">
        <v>41</v>
      </c>
      <c r="I46" s="102" t="s">
        <v>103</v>
      </c>
      <c r="J46" s="94"/>
      <c r="K46" s="98"/>
      <c r="L46" s="98">
        <v>7200.0</v>
      </c>
      <c r="M46" s="99"/>
      <c r="N46" s="111"/>
      <c r="O46" s="112"/>
      <c r="P46" s="94"/>
      <c r="Q46" s="102" t="s">
        <v>104</v>
      </c>
      <c r="R46" s="113"/>
      <c r="S46" s="102" t="s">
        <v>105</v>
      </c>
      <c r="T46" s="94"/>
      <c r="V46" s="104"/>
    </row>
    <row r="47" ht="15.75" customHeight="1">
      <c r="A47" s="91"/>
      <c r="B47" s="93" t="s">
        <v>199</v>
      </c>
      <c r="C47" s="102" t="s">
        <v>206</v>
      </c>
      <c r="D47" s="94"/>
      <c r="E47" s="116">
        <v>2.6237075E7</v>
      </c>
      <c r="F47" s="93" t="s">
        <v>207</v>
      </c>
      <c r="G47" s="94"/>
      <c r="H47" s="93" t="s">
        <v>41</v>
      </c>
      <c r="I47" s="102" t="s">
        <v>88</v>
      </c>
      <c r="J47" s="94"/>
      <c r="K47" s="108"/>
      <c r="L47" s="108"/>
      <c r="M47" s="99"/>
      <c r="N47" s="100" t="s">
        <v>45</v>
      </c>
      <c r="O47" s="101" t="s">
        <v>202</v>
      </c>
      <c r="P47" s="94"/>
      <c r="Q47" s="109"/>
      <c r="R47" s="103"/>
      <c r="S47" s="102" t="s">
        <v>170</v>
      </c>
      <c r="T47" s="102" t="s">
        <v>208</v>
      </c>
      <c r="V47" s="104"/>
    </row>
    <row r="48" ht="15.75" customHeight="1">
      <c r="A48" s="91"/>
      <c r="B48" s="93" t="s">
        <v>199</v>
      </c>
      <c r="C48" s="102" t="s">
        <v>209</v>
      </c>
      <c r="D48" s="94"/>
      <c r="E48" s="105">
        <v>2.0692072E7</v>
      </c>
      <c r="F48" s="96" t="s">
        <v>210</v>
      </c>
      <c r="G48" s="94"/>
      <c r="H48" s="93" t="s">
        <v>41</v>
      </c>
      <c r="I48" s="102" t="s">
        <v>88</v>
      </c>
      <c r="J48" s="94"/>
      <c r="K48" s="98"/>
      <c r="L48" s="98"/>
      <c r="M48" s="99"/>
      <c r="N48" s="100" t="s">
        <v>45</v>
      </c>
      <c r="O48" s="101" t="s">
        <v>211</v>
      </c>
      <c r="P48" s="94"/>
      <c r="Q48" s="120"/>
      <c r="R48" s="113"/>
      <c r="S48" s="102" t="s">
        <v>90</v>
      </c>
      <c r="T48" s="102" t="s">
        <v>212</v>
      </c>
      <c r="V48" s="104"/>
    </row>
    <row r="49" ht="15.75" customHeight="1">
      <c r="A49" s="91"/>
      <c r="B49" s="93" t="s">
        <v>199</v>
      </c>
      <c r="C49" s="102" t="s">
        <v>213</v>
      </c>
      <c r="D49" s="94"/>
      <c r="E49" s="105">
        <v>2.4665256E7</v>
      </c>
      <c r="F49" s="96" t="s">
        <v>214</v>
      </c>
      <c r="G49" s="94"/>
      <c r="H49" s="93" t="s">
        <v>41</v>
      </c>
      <c r="I49" s="102" t="s">
        <v>88</v>
      </c>
      <c r="J49" s="94"/>
      <c r="K49" s="108"/>
      <c r="L49" s="108"/>
      <c r="M49" s="99"/>
      <c r="N49" s="100" t="s">
        <v>45</v>
      </c>
      <c r="O49" s="101" t="s">
        <v>215</v>
      </c>
      <c r="P49" s="94"/>
      <c r="Q49" s="94"/>
      <c r="R49" s="113"/>
      <c r="S49" s="102" t="s">
        <v>90</v>
      </c>
      <c r="T49" s="102" t="s">
        <v>216</v>
      </c>
      <c r="V49" s="104"/>
    </row>
    <row r="50" ht="15.75" customHeight="1">
      <c r="A50" s="91"/>
      <c r="B50" s="93" t="s">
        <v>199</v>
      </c>
      <c r="C50" s="97" t="s">
        <v>92</v>
      </c>
      <c r="D50" s="94"/>
      <c r="E50" s="105">
        <v>5.2224087E7</v>
      </c>
      <c r="F50" s="96" t="s">
        <v>217</v>
      </c>
      <c r="G50" s="94"/>
      <c r="H50" s="93" t="s">
        <v>41</v>
      </c>
      <c r="I50" s="102" t="s">
        <v>88</v>
      </c>
      <c r="J50" s="94"/>
      <c r="K50" s="98"/>
      <c r="L50" s="98"/>
      <c r="M50" s="99"/>
      <c r="N50" s="100" t="s">
        <v>98</v>
      </c>
      <c r="O50" s="101" t="s">
        <v>218</v>
      </c>
      <c r="P50" s="94"/>
      <c r="Q50" s="94"/>
      <c r="R50" s="113"/>
      <c r="S50" s="102" t="s">
        <v>124</v>
      </c>
      <c r="T50" s="102" t="s">
        <v>219</v>
      </c>
      <c r="V50" s="104"/>
    </row>
    <row r="51" ht="15.75" customHeight="1">
      <c r="A51" s="91"/>
      <c r="B51" s="93" t="s">
        <v>199</v>
      </c>
      <c r="C51" s="97" t="s">
        <v>220</v>
      </c>
      <c r="D51" s="94"/>
      <c r="E51" s="105">
        <v>6.0511128E7</v>
      </c>
      <c r="F51" s="96" t="s">
        <v>221</v>
      </c>
      <c r="G51" s="94"/>
      <c r="H51" s="93" t="s">
        <v>41</v>
      </c>
      <c r="I51" s="102" t="s">
        <v>88</v>
      </c>
      <c r="J51" s="94"/>
      <c r="K51" s="108"/>
      <c r="L51" s="108"/>
      <c r="M51" s="99"/>
      <c r="N51" s="100" t="s">
        <v>55</v>
      </c>
      <c r="O51" s="101" t="s">
        <v>222</v>
      </c>
      <c r="P51" s="94"/>
      <c r="Q51" s="94"/>
      <c r="R51" s="113"/>
      <c r="S51" s="102" t="s">
        <v>124</v>
      </c>
      <c r="T51" s="102" t="s">
        <v>222</v>
      </c>
      <c r="V51" s="104"/>
    </row>
    <row r="52" ht="15.75" customHeight="1">
      <c r="A52" s="91"/>
      <c r="B52" s="93" t="s">
        <v>199</v>
      </c>
      <c r="C52" s="97" t="s">
        <v>223</v>
      </c>
      <c r="D52" s="94"/>
      <c r="E52" s="105">
        <v>6.1485599E7</v>
      </c>
      <c r="F52" s="96" t="s">
        <v>224</v>
      </c>
      <c r="G52" s="94"/>
      <c r="H52" s="93" t="s">
        <v>41</v>
      </c>
      <c r="I52" s="102" t="s">
        <v>181</v>
      </c>
      <c r="J52" s="94"/>
      <c r="K52" s="98">
        <v>7200.0</v>
      </c>
      <c r="L52" s="98">
        <v>1000.0</v>
      </c>
      <c r="M52" s="99"/>
      <c r="N52" s="100"/>
      <c r="O52" s="101"/>
      <c r="P52" s="94"/>
      <c r="Q52" s="109"/>
      <c r="R52" s="106"/>
      <c r="S52" s="102" t="s">
        <v>105</v>
      </c>
      <c r="T52" s="102"/>
      <c r="V52" s="104"/>
    </row>
    <row r="53" ht="15.75" customHeight="1">
      <c r="A53" s="91"/>
      <c r="B53" s="93" t="s">
        <v>199</v>
      </c>
      <c r="C53" s="97" t="s">
        <v>225</v>
      </c>
      <c r="D53" s="94"/>
      <c r="E53" s="116">
        <v>2.876306E7</v>
      </c>
      <c r="F53" s="96" t="s">
        <v>226</v>
      </c>
      <c r="G53" s="94"/>
      <c r="H53" s="93" t="s">
        <v>41</v>
      </c>
      <c r="I53" s="102" t="s">
        <v>88</v>
      </c>
      <c r="J53" s="94"/>
      <c r="K53" s="108"/>
      <c r="L53" s="108"/>
      <c r="M53" s="99"/>
      <c r="N53" s="100" t="s">
        <v>50</v>
      </c>
      <c r="O53" s="101" t="s">
        <v>227</v>
      </c>
      <c r="P53" s="94"/>
      <c r="Q53" s="117"/>
      <c r="R53" s="103"/>
      <c r="S53" s="102" t="s">
        <v>124</v>
      </c>
      <c r="T53" s="102" t="s">
        <v>228</v>
      </c>
      <c r="V53" s="104"/>
    </row>
    <row r="54" ht="15.75" customHeight="1">
      <c r="A54" s="91"/>
      <c r="B54" s="93" t="s">
        <v>229</v>
      </c>
      <c r="C54" s="97" t="s">
        <v>230</v>
      </c>
      <c r="D54" s="94"/>
      <c r="E54" s="116">
        <v>2.9834939E7</v>
      </c>
      <c r="F54" s="96" t="s">
        <v>231</v>
      </c>
      <c r="G54" s="94"/>
      <c r="H54" s="93" t="s">
        <v>41</v>
      </c>
      <c r="I54" s="102" t="s">
        <v>232</v>
      </c>
      <c r="J54" s="94"/>
      <c r="K54" s="98"/>
      <c r="L54" s="98"/>
      <c r="M54" s="99"/>
      <c r="N54" s="100" t="s">
        <v>98</v>
      </c>
      <c r="O54" s="101"/>
      <c r="P54" s="94"/>
      <c r="Q54" s="117"/>
      <c r="R54" s="103"/>
      <c r="S54" s="102" t="s">
        <v>105</v>
      </c>
      <c r="T54" s="102" t="s">
        <v>233</v>
      </c>
      <c r="V54" s="104"/>
    </row>
    <row r="55" ht="15.75" customHeight="1">
      <c r="A55" s="91"/>
      <c r="B55" s="93" t="s">
        <v>229</v>
      </c>
      <c r="C55" s="102" t="s">
        <v>234</v>
      </c>
      <c r="D55" s="94"/>
      <c r="E55" s="105" t="s">
        <v>166</v>
      </c>
      <c r="F55" s="110" t="s">
        <v>235</v>
      </c>
      <c r="G55" s="94"/>
      <c r="H55" s="93" t="s">
        <v>41</v>
      </c>
      <c r="I55" s="102" t="s">
        <v>103</v>
      </c>
      <c r="J55" s="94"/>
      <c r="K55" s="98">
        <v>8700.0</v>
      </c>
      <c r="L55" s="98">
        <v>2700.0</v>
      </c>
      <c r="M55" s="99"/>
      <c r="N55" s="111"/>
      <c r="O55" s="112"/>
      <c r="P55" s="94"/>
      <c r="Q55" s="102" t="s">
        <v>104</v>
      </c>
      <c r="R55" s="113"/>
      <c r="S55" s="102" t="s">
        <v>105</v>
      </c>
      <c r="T55" s="102"/>
      <c r="V55" s="104"/>
    </row>
    <row r="56" ht="15.75" customHeight="1">
      <c r="A56" s="91"/>
      <c r="B56" s="92"/>
      <c r="C56" s="97"/>
      <c r="D56" s="94"/>
      <c r="E56" s="121"/>
      <c r="F56" s="121"/>
      <c r="G56" s="94"/>
      <c r="H56" s="93"/>
      <c r="I56" s="102"/>
      <c r="J56" s="94"/>
      <c r="K56" s="98"/>
      <c r="L56" s="98"/>
      <c r="M56" s="99"/>
      <c r="N56" s="100"/>
      <c r="O56" s="101"/>
      <c r="P56" s="94"/>
      <c r="Q56" s="102"/>
      <c r="R56" s="113"/>
      <c r="S56" s="102"/>
      <c r="T56" s="102"/>
      <c r="V56" s="104"/>
    </row>
    <row r="57" ht="15.75" customHeight="1">
      <c r="A57" s="91"/>
      <c r="B57" s="92"/>
      <c r="C57" s="121"/>
      <c r="D57" s="94"/>
      <c r="E57" s="121"/>
      <c r="F57" s="122"/>
      <c r="G57" s="94"/>
      <c r="H57" s="93"/>
      <c r="I57" s="102"/>
      <c r="J57" s="94"/>
      <c r="K57" s="108"/>
      <c r="L57" s="108"/>
      <c r="M57" s="99"/>
      <c r="N57" s="100"/>
      <c r="O57" s="101"/>
      <c r="P57" s="94"/>
      <c r="Q57" s="120"/>
      <c r="R57" s="113"/>
      <c r="S57" s="102"/>
      <c r="T57" s="102"/>
      <c r="V57" s="104"/>
    </row>
    <row r="58" ht="15.75" customHeight="1">
      <c r="A58" s="91"/>
      <c r="B58" s="92"/>
      <c r="C58" s="97"/>
      <c r="D58" s="94"/>
      <c r="E58" s="121"/>
      <c r="F58" s="121"/>
      <c r="G58" s="94"/>
      <c r="H58" s="93"/>
      <c r="I58" s="102"/>
      <c r="J58" s="94"/>
      <c r="K58" s="98"/>
      <c r="L58" s="98"/>
      <c r="M58" s="99"/>
      <c r="N58" s="111"/>
      <c r="O58" s="112"/>
      <c r="P58" s="94"/>
      <c r="Q58" s="102"/>
      <c r="R58" s="103"/>
      <c r="S58" s="102"/>
      <c r="T58" s="102"/>
      <c r="V58" s="104"/>
    </row>
    <row r="59" ht="15.75" customHeight="1">
      <c r="A59" s="91"/>
      <c r="B59" s="92"/>
      <c r="C59" s="121"/>
      <c r="D59" s="94"/>
      <c r="E59" s="121"/>
      <c r="F59" s="122"/>
      <c r="G59" s="94"/>
      <c r="H59" s="93"/>
      <c r="I59" s="102"/>
      <c r="J59" s="94"/>
      <c r="K59" s="108"/>
      <c r="L59" s="108"/>
      <c r="M59" s="99"/>
      <c r="N59" s="100"/>
      <c r="O59" s="101"/>
      <c r="P59" s="94"/>
      <c r="Q59" s="117"/>
      <c r="R59" s="123"/>
      <c r="S59" s="102"/>
      <c r="T59" s="102"/>
      <c r="V59" s="104"/>
    </row>
    <row r="60" ht="15.75" customHeight="1">
      <c r="A60" s="91"/>
      <c r="B60" s="92"/>
      <c r="C60" s="97"/>
      <c r="D60" s="94"/>
      <c r="E60" s="121"/>
      <c r="F60" s="121"/>
      <c r="G60" s="94"/>
      <c r="H60" s="93"/>
      <c r="I60" s="102"/>
      <c r="J60" s="94"/>
      <c r="K60" s="98"/>
      <c r="L60" s="98"/>
      <c r="M60" s="99"/>
      <c r="N60" s="100"/>
      <c r="O60" s="101"/>
      <c r="P60" s="94"/>
      <c r="Q60" s="117"/>
      <c r="R60" s="103"/>
      <c r="S60" s="102"/>
      <c r="T60" s="102"/>
      <c r="V60" s="104"/>
    </row>
    <row r="61" ht="15.75" customHeight="1">
      <c r="A61" s="91"/>
      <c r="B61" s="92"/>
      <c r="C61" s="97"/>
      <c r="D61" s="94"/>
      <c r="E61" s="121"/>
      <c r="F61" s="122"/>
      <c r="G61" s="94"/>
      <c r="H61" s="93"/>
      <c r="I61" s="102"/>
      <c r="J61" s="94"/>
      <c r="K61" s="98"/>
      <c r="L61" s="98"/>
      <c r="M61" s="99"/>
      <c r="N61" s="111"/>
      <c r="O61" s="112"/>
      <c r="P61" s="94"/>
      <c r="Q61" s="102"/>
      <c r="R61" s="103"/>
      <c r="S61" s="102"/>
      <c r="T61" s="102"/>
      <c r="V61" s="104"/>
    </row>
    <row r="62" ht="15.75" customHeight="1">
      <c r="A62" s="91"/>
      <c r="B62" s="92"/>
      <c r="C62" s="97"/>
      <c r="D62" s="94"/>
      <c r="E62" s="105"/>
      <c r="F62" s="122"/>
      <c r="G62" s="94"/>
      <c r="H62" s="93"/>
      <c r="I62" s="102"/>
      <c r="J62" s="94"/>
      <c r="K62" s="98"/>
      <c r="L62" s="98"/>
      <c r="M62" s="99"/>
      <c r="N62" s="100"/>
      <c r="O62" s="101"/>
      <c r="P62" s="94"/>
      <c r="Q62" s="120"/>
      <c r="R62" s="113"/>
      <c r="S62" s="102"/>
      <c r="T62" s="102"/>
      <c r="V62" s="104"/>
    </row>
    <row r="63" ht="15.75" customHeight="1">
      <c r="A63" s="91"/>
      <c r="B63" s="92"/>
      <c r="C63" s="102"/>
      <c r="D63" s="94"/>
      <c r="E63" s="121"/>
      <c r="F63" s="122"/>
      <c r="G63" s="94"/>
      <c r="H63" s="93"/>
      <c r="I63" s="102"/>
      <c r="J63" s="94"/>
      <c r="K63" s="108"/>
      <c r="L63" s="108"/>
      <c r="M63" s="99"/>
      <c r="N63" s="100"/>
      <c r="O63" s="101"/>
      <c r="P63" s="94"/>
      <c r="Q63" s="109"/>
      <c r="R63" s="103"/>
      <c r="S63" s="102"/>
      <c r="T63" s="102"/>
      <c r="V63" s="104"/>
    </row>
    <row r="64" ht="15.75" customHeight="1">
      <c r="A64" s="91"/>
      <c r="B64" s="92"/>
      <c r="C64" s="121"/>
      <c r="D64" s="94"/>
      <c r="E64" s="121"/>
      <c r="F64" s="122"/>
      <c r="G64" s="94"/>
      <c r="H64" s="93"/>
      <c r="I64" s="102"/>
      <c r="J64" s="94"/>
      <c r="K64" s="98"/>
      <c r="L64" s="98"/>
      <c r="M64" s="99"/>
      <c r="N64" s="111"/>
      <c r="O64" s="112"/>
      <c r="P64" s="94"/>
      <c r="Q64" s="94"/>
      <c r="R64" s="113"/>
      <c r="S64" s="94"/>
      <c r="T64" s="94"/>
      <c r="V64" s="104"/>
    </row>
    <row r="65" ht="15.75" customHeight="1">
      <c r="A65" s="91"/>
      <c r="B65" s="92"/>
      <c r="C65" s="121"/>
      <c r="D65" s="94"/>
      <c r="E65" s="97"/>
      <c r="F65" s="121"/>
      <c r="G65" s="94"/>
      <c r="H65" s="93"/>
      <c r="I65" s="102"/>
      <c r="J65" s="94"/>
      <c r="K65" s="108"/>
      <c r="L65" s="108"/>
      <c r="M65" s="99"/>
      <c r="N65" s="111"/>
      <c r="O65" s="112"/>
      <c r="P65" s="94"/>
      <c r="Q65" s="109"/>
      <c r="R65" s="103"/>
      <c r="S65" s="94"/>
      <c r="T65" s="102"/>
      <c r="V65" s="104"/>
    </row>
    <row r="66" ht="15.75" customHeight="1">
      <c r="A66" s="91"/>
      <c r="B66" s="92"/>
      <c r="C66" s="121"/>
      <c r="D66" s="94"/>
      <c r="E66" s="121"/>
      <c r="F66" s="121"/>
      <c r="G66" s="94"/>
      <c r="H66" s="93"/>
      <c r="I66" s="102"/>
      <c r="J66" s="94"/>
      <c r="K66" s="98"/>
      <c r="L66" s="98"/>
      <c r="M66" s="99"/>
      <c r="N66" s="111"/>
      <c r="O66" s="112"/>
      <c r="P66" s="94"/>
      <c r="Q66" s="102"/>
      <c r="R66" s="113"/>
      <c r="S66" s="102"/>
      <c r="T66" s="94"/>
      <c r="V66" s="104"/>
    </row>
    <row r="67" ht="15.75" customHeight="1">
      <c r="A67" s="91"/>
      <c r="B67" s="92"/>
      <c r="C67" s="121"/>
      <c r="D67" s="94"/>
      <c r="E67" s="121"/>
      <c r="F67" s="121"/>
      <c r="G67" s="94"/>
      <c r="H67" s="93"/>
      <c r="I67" s="102"/>
      <c r="J67" s="94"/>
      <c r="K67" s="98"/>
      <c r="L67" s="98"/>
      <c r="M67" s="99"/>
      <c r="N67" s="111"/>
      <c r="O67" s="112"/>
      <c r="P67" s="94"/>
      <c r="Q67" s="102"/>
      <c r="R67" s="113"/>
      <c r="S67" s="102"/>
      <c r="T67" s="94"/>
      <c r="V67" s="104"/>
    </row>
    <row r="68" ht="15.75" customHeight="1">
      <c r="A68" s="91"/>
      <c r="B68" s="92"/>
      <c r="C68" s="121"/>
      <c r="D68" s="94"/>
      <c r="E68" s="105"/>
      <c r="F68" s="124"/>
      <c r="G68" s="94"/>
      <c r="H68" s="93"/>
      <c r="I68" s="102"/>
      <c r="J68" s="94"/>
      <c r="K68" s="125"/>
      <c r="L68" s="125"/>
      <c r="M68" s="99"/>
      <c r="N68" s="100"/>
      <c r="O68" s="101"/>
      <c r="P68" s="94"/>
      <c r="Q68" s="94"/>
      <c r="R68" s="113"/>
      <c r="S68" s="102"/>
      <c r="T68" s="102"/>
      <c r="V68" s="104"/>
    </row>
    <row r="69" ht="15.75" customHeight="1">
      <c r="A69" s="91"/>
      <c r="B69" s="92"/>
      <c r="C69" s="121"/>
      <c r="D69" s="94"/>
      <c r="E69" s="121"/>
      <c r="F69" s="121"/>
      <c r="G69" s="94"/>
      <c r="H69" s="93"/>
      <c r="I69" s="102"/>
      <c r="J69" s="94"/>
      <c r="K69" s="98"/>
      <c r="L69" s="98"/>
      <c r="M69" s="99"/>
      <c r="N69" s="100"/>
      <c r="O69" s="101"/>
      <c r="P69" s="94"/>
      <c r="Q69" s="102"/>
      <c r="R69" s="106"/>
      <c r="S69" s="102"/>
      <c r="T69" s="102"/>
      <c r="V69" s="104"/>
    </row>
    <row r="70" ht="15.75" customHeight="1">
      <c r="A70" s="91"/>
      <c r="B70" s="92"/>
      <c r="C70" s="121"/>
      <c r="D70" s="94"/>
      <c r="E70" s="121"/>
      <c r="F70" s="121"/>
      <c r="G70" s="94"/>
      <c r="H70" s="93"/>
      <c r="I70" s="102"/>
      <c r="J70" s="94"/>
      <c r="K70" s="125"/>
      <c r="L70" s="125"/>
      <c r="M70" s="99"/>
      <c r="N70" s="100"/>
      <c r="O70" s="101"/>
      <c r="P70" s="94"/>
      <c r="Q70" s="117"/>
      <c r="R70" s="106"/>
      <c r="S70" s="102"/>
      <c r="T70" s="102"/>
      <c r="V70" s="104"/>
    </row>
    <row r="71" ht="15.75" customHeight="1">
      <c r="A71" s="91"/>
      <c r="B71" s="92"/>
      <c r="C71" s="121"/>
      <c r="D71" s="94"/>
      <c r="E71" s="121"/>
      <c r="F71" s="121"/>
      <c r="G71" s="94"/>
      <c r="H71" s="93"/>
      <c r="I71" s="102"/>
      <c r="J71" s="94"/>
      <c r="K71" s="98"/>
      <c r="L71" s="98"/>
      <c r="M71" s="99"/>
      <c r="N71" s="111"/>
      <c r="O71" s="112"/>
      <c r="P71" s="94"/>
      <c r="Q71" s="102"/>
      <c r="R71" s="113"/>
      <c r="S71" s="102"/>
      <c r="T71" s="94"/>
      <c r="V71" s="104"/>
    </row>
    <row r="72" ht="15.75" customHeight="1">
      <c r="A72" s="91"/>
      <c r="B72" s="107"/>
      <c r="C72" s="102"/>
      <c r="D72" s="94"/>
      <c r="E72" s="97"/>
      <c r="F72" s="122"/>
      <c r="G72" s="94"/>
      <c r="H72" s="93"/>
      <c r="I72" s="102"/>
      <c r="J72" s="94"/>
      <c r="K72" s="125"/>
      <c r="L72" s="125"/>
      <c r="M72" s="99"/>
      <c r="N72" s="111"/>
      <c r="O72" s="112"/>
      <c r="P72" s="94"/>
      <c r="Q72" s="117"/>
      <c r="R72" s="103"/>
      <c r="S72" s="102"/>
      <c r="T72" s="102"/>
      <c r="V72" s="104"/>
    </row>
    <row r="73" ht="15.75" customHeight="1">
      <c r="A73" s="91"/>
      <c r="B73" s="107"/>
      <c r="C73" s="103"/>
      <c r="D73" s="94"/>
      <c r="E73" s="93"/>
      <c r="F73" s="96"/>
      <c r="G73" s="94"/>
      <c r="H73" s="93"/>
      <c r="I73" s="102"/>
      <c r="J73" s="94"/>
      <c r="K73" s="126"/>
      <c r="L73" s="126"/>
      <c r="M73" s="99"/>
      <c r="N73" s="111"/>
      <c r="O73" s="112"/>
      <c r="P73" s="94"/>
      <c r="Q73" s="117"/>
      <c r="R73" s="113"/>
      <c r="S73" s="94"/>
      <c r="T73" s="102"/>
      <c r="V73" s="104"/>
    </row>
    <row r="74" ht="15.75" customHeight="1">
      <c r="A74" s="91"/>
      <c r="B74" s="107"/>
      <c r="C74" s="93"/>
      <c r="D74" s="94"/>
      <c r="E74" s="93"/>
      <c r="F74" s="110"/>
      <c r="G74" s="94"/>
      <c r="H74" s="93"/>
      <c r="I74" s="102"/>
      <c r="J74" s="94"/>
      <c r="K74" s="125"/>
      <c r="L74" s="125"/>
      <c r="M74" s="99"/>
      <c r="N74" s="111"/>
      <c r="O74" s="112"/>
      <c r="P74" s="94"/>
      <c r="Q74" s="109"/>
      <c r="R74" s="103"/>
      <c r="S74" s="102"/>
      <c r="T74" s="102"/>
      <c r="V74" s="104"/>
    </row>
    <row r="75" ht="15.75" customHeight="1">
      <c r="A75" s="91"/>
      <c r="B75" s="107"/>
      <c r="C75" s="93"/>
      <c r="D75" s="94"/>
      <c r="E75" s="93"/>
      <c r="F75" s="96"/>
      <c r="G75" s="94"/>
      <c r="H75" s="93"/>
      <c r="I75" s="102"/>
      <c r="J75" s="94"/>
      <c r="K75" s="126"/>
      <c r="L75" s="126"/>
      <c r="M75" s="99"/>
      <c r="N75" s="111"/>
      <c r="O75" s="112"/>
      <c r="P75" s="94"/>
      <c r="Q75" s="120"/>
      <c r="R75" s="113"/>
      <c r="S75" s="94"/>
      <c r="T75" s="94"/>
      <c r="V75" s="104"/>
    </row>
    <row r="76" ht="15.75" customHeight="1">
      <c r="A76" s="91"/>
      <c r="B76" s="107"/>
      <c r="C76" s="93"/>
      <c r="D76" s="94"/>
      <c r="E76" s="93"/>
      <c r="F76" s="96"/>
      <c r="G76" s="94"/>
      <c r="H76" s="93"/>
      <c r="I76" s="102"/>
      <c r="J76" s="94"/>
      <c r="K76" s="125"/>
      <c r="L76" s="125"/>
      <c r="M76" s="99"/>
      <c r="N76" s="111"/>
      <c r="O76" s="112"/>
      <c r="P76" s="94"/>
      <c r="Q76" s="117"/>
      <c r="R76" s="103"/>
      <c r="S76" s="102"/>
      <c r="T76" s="102"/>
      <c r="V76" s="104"/>
    </row>
    <row r="77" ht="15.75" customHeight="1">
      <c r="A77" s="91"/>
      <c r="B77" s="107"/>
      <c r="C77" s="93"/>
      <c r="D77" s="94"/>
      <c r="E77" s="105"/>
      <c r="F77" s="96"/>
      <c r="G77" s="94"/>
      <c r="H77" s="93"/>
      <c r="I77" s="102"/>
      <c r="J77" s="94"/>
      <c r="K77" s="126"/>
      <c r="L77" s="126"/>
      <c r="M77" s="99"/>
      <c r="N77" s="100"/>
      <c r="O77" s="112"/>
      <c r="P77" s="94"/>
      <c r="Q77" s="117"/>
      <c r="R77" s="103"/>
      <c r="S77" s="102"/>
      <c r="T77" s="102"/>
      <c r="V77" s="104"/>
    </row>
    <row r="78" ht="15.75" customHeight="1">
      <c r="A78" s="91"/>
      <c r="B78" s="107"/>
      <c r="C78" s="93"/>
      <c r="D78" s="94"/>
      <c r="E78" s="105"/>
      <c r="F78" s="110"/>
      <c r="G78" s="94"/>
      <c r="H78" s="93"/>
      <c r="I78" s="102"/>
      <c r="J78" s="94"/>
      <c r="K78" s="125"/>
      <c r="L78" s="125"/>
      <c r="M78" s="99"/>
      <c r="N78" s="100"/>
      <c r="O78" s="112"/>
      <c r="P78" s="94"/>
      <c r="Q78" s="109"/>
      <c r="R78" s="103"/>
      <c r="S78" s="102"/>
      <c r="T78" s="102"/>
      <c r="V78" s="104"/>
    </row>
    <row r="79" ht="15.75" customHeight="1">
      <c r="A79" s="91"/>
      <c r="B79" s="107"/>
      <c r="C79" s="103"/>
      <c r="D79" s="94"/>
      <c r="E79" s="105"/>
      <c r="F79" s="96"/>
      <c r="G79" s="94"/>
      <c r="H79" s="93"/>
      <c r="I79" s="102"/>
      <c r="J79" s="94"/>
      <c r="K79" s="126"/>
      <c r="L79" s="126"/>
      <c r="M79" s="99"/>
      <c r="N79" s="100"/>
      <c r="O79" s="112"/>
      <c r="P79" s="94"/>
      <c r="Q79" s="109"/>
      <c r="R79" s="103"/>
      <c r="S79" s="102"/>
      <c r="T79" s="102"/>
      <c r="V79" s="104"/>
    </row>
    <row r="80" ht="15.75" customHeight="1">
      <c r="A80" s="91"/>
      <c r="B80" s="107"/>
      <c r="C80" s="103"/>
      <c r="D80" s="94"/>
      <c r="E80" s="105"/>
      <c r="F80" s="96"/>
      <c r="G80" s="94"/>
      <c r="H80" s="93"/>
      <c r="I80" s="102"/>
      <c r="J80" s="94"/>
      <c r="K80" s="125"/>
      <c r="L80" s="125"/>
      <c r="M80" s="99"/>
      <c r="N80" s="111"/>
      <c r="O80" s="112"/>
      <c r="P80" s="94"/>
      <c r="Q80" s="120"/>
      <c r="R80" s="113"/>
      <c r="S80" s="94"/>
      <c r="T80" s="94"/>
      <c r="V80" s="104"/>
    </row>
    <row r="81" ht="15.75" customHeight="1">
      <c r="A81" s="91"/>
      <c r="B81" s="107"/>
      <c r="C81" s="93"/>
      <c r="D81" s="94"/>
      <c r="E81" s="105"/>
      <c r="F81" s="96"/>
      <c r="G81" s="94"/>
      <c r="H81" s="93"/>
      <c r="I81" s="102"/>
      <c r="J81" s="94"/>
      <c r="K81" s="126"/>
      <c r="L81" s="126"/>
      <c r="M81" s="99"/>
      <c r="N81" s="100"/>
      <c r="O81" s="112"/>
      <c r="P81" s="94"/>
      <c r="Q81" s="109"/>
      <c r="R81" s="103"/>
      <c r="S81" s="102"/>
      <c r="T81" s="102"/>
      <c r="V81" s="104"/>
    </row>
    <row r="82" ht="15.75" customHeight="1">
      <c r="A82" s="91"/>
      <c r="B82" s="107"/>
      <c r="C82" s="93"/>
      <c r="D82" s="94"/>
      <c r="E82" s="93"/>
      <c r="F82" s="96"/>
      <c r="G82" s="94"/>
      <c r="H82" s="93"/>
      <c r="I82" s="102"/>
      <c r="J82" s="94"/>
      <c r="K82" s="125"/>
      <c r="L82" s="125"/>
      <c r="M82" s="99"/>
      <c r="N82" s="111"/>
      <c r="O82" s="112"/>
      <c r="P82" s="94"/>
      <c r="Q82" s="120"/>
      <c r="R82" s="113"/>
      <c r="S82" s="94"/>
      <c r="T82" s="94"/>
      <c r="V82" s="104"/>
    </row>
    <row r="83" ht="15.75" customHeight="1">
      <c r="A83" s="91"/>
      <c r="B83" s="107"/>
      <c r="C83" s="93"/>
      <c r="D83" s="94"/>
      <c r="E83" s="105"/>
      <c r="F83" s="96"/>
      <c r="G83" s="94"/>
      <c r="H83" s="93"/>
      <c r="I83" s="102"/>
      <c r="J83" s="94"/>
      <c r="K83" s="126"/>
      <c r="L83" s="126"/>
      <c r="M83" s="99"/>
      <c r="N83" s="100"/>
      <c r="O83" s="112"/>
      <c r="P83" s="94"/>
      <c r="Q83" s="109"/>
      <c r="R83" s="103"/>
      <c r="S83" s="102"/>
      <c r="T83" s="102"/>
      <c r="V83" s="104"/>
    </row>
    <row r="84" ht="15.75" customHeight="1">
      <c r="A84" s="91"/>
      <c r="B84" s="107"/>
      <c r="C84" s="93"/>
      <c r="D84" s="94"/>
      <c r="E84" s="105"/>
      <c r="F84" s="96"/>
      <c r="G84" s="94"/>
      <c r="H84" s="93"/>
      <c r="I84" s="102"/>
      <c r="J84" s="94"/>
      <c r="K84" s="125"/>
      <c r="L84" s="125"/>
      <c r="M84" s="99"/>
      <c r="N84" s="111"/>
      <c r="O84" s="112"/>
      <c r="P84" s="94"/>
      <c r="Q84" s="120"/>
      <c r="R84" s="113"/>
      <c r="S84" s="94"/>
      <c r="T84" s="94"/>
      <c r="V84" s="104"/>
    </row>
    <row r="85" ht="15.75" customHeight="1">
      <c r="A85" s="91"/>
      <c r="B85" s="107"/>
      <c r="C85" s="93"/>
      <c r="D85" s="94"/>
      <c r="E85" s="105"/>
      <c r="F85" s="96"/>
      <c r="G85" s="94"/>
      <c r="H85" s="93"/>
      <c r="I85" s="102"/>
      <c r="J85" s="94"/>
      <c r="K85" s="126"/>
      <c r="L85" s="126"/>
      <c r="M85" s="99"/>
      <c r="N85" s="100"/>
      <c r="O85" s="101"/>
      <c r="P85" s="94"/>
      <c r="Q85" s="117"/>
      <c r="R85" s="103"/>
      <c r="S85" s="102"/>
      <c r="T85" s="102"/>
      <c r="V85" s="104"/>
    </row>
    <row r="86" ht="15.75" customHeight="1">
      <c r="A86" s="91"/>
      <c r="B86" s="107"/>
      <c r="C86" s="103"/>
      <c r="D86" s="94"/>
      <c r="E86" s="105"/>
      <c r="F86" s="96"/>
      <c r="G86" s="94"/>
      <c r="H86" s="93"/>
      <c r="I86" s="102"/>
      <c r="J86" s="94"/>
      <c r="K86" s="125"/>
      <c r="L86" s="125"/>
      <c r="M86" s="99"/>
      <c r="N86" s="100"/>
      <c r="O86" s="101"/>
      <c r="P86" s="94"/>
      <c r="Q86" s="109"/>
      <c r="R86" s="127"/>
      <c r="S86" s="102"/>
      <c r="T86" s="102"/>
      <c r="V86" s="104"/>
    </row>
    <row r="87" ht="15.75" customHeight="1">
      <c r="A87" s="91"/>
      <c r="B87" s="107"/>
      <c r="C87" s="103"/>
      <c r="D87" s="94"/>
      <c r="E87" s="105"/>
      <c r="F87" s="96"/>
      <c r="G87" s="94"/>
      <c r="H87" s="93"/>
      <c r="I87" s="102"/>
      <c r="J87" s="94"/>
      <c r="K87" s="126"/>
      <c r="L87" s="126"/>
      <c r="M87" s="99"/>
      <c r="N87" s="100"/>
      <c r="O87" s="101"/>
      <c r="P87" s="94"/>
      <c r="Q87" s="109"/>
      <c r="R87" s="103"/>
      <c r="S87" s="102"/>
      <c r="T87" s="102"/>
      <c r="V87" s="104"/>
    </row>
    <row r="88" ht="15.75" customHeight="1">
      <c r="A88" s="91"/>
      <c r="B88" s="107"/>
      <c r="C88" s="93"/>
      <c r="D88" s="94"/>
      <c r="E88" s="105"/>
      <c r="F88" s="96"/>
      <c r="G88" s="94"/>
      <c r="H88" s="93"/>
      <c r="I88" s="102"/>
      <c r="J88" s="94"/>
      <c r="K88" s="125"/>
      <c r="L88" s="125"/>
      <c r="M88" s="99"/>
      <c r="N88" s="111"/>
      <c r="O88" s="112"/>
      <c r="P88" s="94"/>
      <c r="Q88" s="120"/>
      <c r="R88" s="113"/>
      <c r="S88" s="94"/>
      <c r="T88" s="94"/>
      <c r="V88" s="104"/>
    </row>
    <row r="89" ht="15.75" customHeight="1">
      <c r="A89" s="91"/>
      <c r="B89" s="107"/>
      <c r="C89" s="93"/>
      <c r="D89" s="94"/>
      <c r="E89" s="105"/>
      <c r="F89" s="96"/>
      <c r="G89" s="94"/>
      <c r="H89" s="93"/>
      <c r="I89" s="102"/>
      <c r="J89" s="94"/>
      <c r="K89" s="126"/>
      <c r="L89" s="126"/>
      <c r="M89" s="99"/>
      <c r="N89" s="111"/>
      <c r="O89" s="112"/>
      <c r="P89" s="94"/>
      <c r="Q89" s="94"/>
      <c r="R89" s="113"/>
      <c r="S89" s="94"/>
      <c r="T89" s="94"/>
      <c r="V89" s="104"/>
    </row>
    <row r="90" ht="15.75" customHeight="1">
      <c r="A90" s="91"/>
      <c r="B90" s="107"/>
      <c r="C90" s="128"/>
      <c r="D90" s="94"/>
      <c r="E90" s="105"/>
      <c r="F90" s="96"/>
      <c r="G90" s="94"/>
      <c r="H90" s="93"/>
      <c r="I90" s="102"/>
      <c r="J90" s="94"/>
      <c r="K90" s="125"/>
      <c r="L90" s="125"/>
      <c r="M90" s="99"/>
      <c r="N90" s="111"/>
      <c r="O90" s="112"/>
      <c r="P90" s="94"/>
      <c r="Q90" s="120"/>
      <c r="R90" s="113"/>
      <c r="S90" s="94"/>
      <c r="T90" s="94"/>
      <c r="V90" s="104"/>
    </row>
    <row r="91" ht="15.75" customHeight="1">
      <c r="A91" s="91"/>
      <c r="B91" s="107"/>
      <c r="C91" s="97"/>
      <c r="D91" s="94"/>
      <c r="E91" s="105"/>
      <c r="F91" s="96"/>
      <c r="G91" s="94"/>
      <c r="H91" s="93"/>
      <c r="I91" s="102"/>
      <c r="J91" s="94"/>
      <c r="K91" s="126"/>
      <c r="L91" s="126"/>
      <c r="M91" s="99"/>
      <c r="N91" s="100"/>
      <c r="O91" s="101"/>
      <c r="P91" s="94"/>
      <c r="Q91" s="117"/>
      <c r="R91" s="106"/>
      <c r="S91" s="102"/>
      <c r="T91" s="102"/>
      <c r="V91" s="104"/>
    </row>
    <row r="92" ht="15.75" customHeight="1">
      <c r="A92" s="91"/>
      <c r="B92" s="107"/>
      <c r="C92" s="93"/>
      <c r="D92" s="94"/>
      <c r="E92" s="105"/>
      <c r="F92" s="96"/>
      <c r="G92" s="94"/>
      <c r="H92" s="93"/>
      <c r="I92" s="102"/>
      <c r="J92" s="94"/>
      <c r="K92" s="125"/>
      <c r="L92" s="125"/>
      <c r="M92" s="99"/>
      <c r="N92" s="111"/>
      <c r="O92" s="101"/>
      <c r="P92" s="94"/>
      <c r="Q92" s="120"/>
      <c r="R92" s="103"/>
      <c r="S92" s="102"/>
      <c r="T92" s="102"/>
      <c r="V92" s="104"/>
    </row>
    <row r="93" ht="15.75" customHeight="1">
      <c r="A93" s="91"/>
      <c r="B93" s="107"/>
      <c r="C93" s="93"/>
      <c r="D93" s="94"/>
      <c r="E93" s="105"/>
      <c r="F93" s="96"/>
      <c r="G93" s="94"/>
      <c r="H93" s="93"/>
      <c r="I93" s="102"/>
      <c r="J93" s="94"/>
      <c r="K93" s="126"/>
      <c r="L93" s="126"/>
      <c r="M93" s="99"/>
      <c r="N93" s="100"/>
      <c r="O93" s="101"/>
      <c r="P93" s="94"/>
      <c r="Q93" s="109"/>
      <c r="R93" s="103"/>
      <c r="S93" s="102"/>
      <c r="T93" s="102"/>
      <c r="V93" s="104"/>
    </row>
    <row r="94" ht="15.75" customHeight="1">
      <c r="A94" s="91"/>
      <c r="B94" s="107"/>
      <c r="C94" s="93"/>
      <c r="D94" s="94"/>
      <c r="E94" s="105"/>
      <c r="F94" s="96"/>
      <c r="G94" s="94"/>
      <c r="H94" s="93"/>
      <c r="I94" s="102"/>
      <c r="J94" s="94"/>
      <c r="K94" s="125"/>
      <c r="L94" s="125"/>
      <c r="M94" s="99"/>
      <c r="N94" s="111"/>
      <c r="O94" s="112"/>
      <c r="P94" s="94"/>
      <c r="Q94" s="94"/>
      <c r="R94" s="113"/>
      <c r="S94" s="94"/>
      <c r="T94" s="94"/>
      <c r="V94" s="104"/>
    </row>
    <row r="95" ht="15.75" customHeight="1">
      <c r="A95" s="91"/>
      <c r="B95" s="107"/>
      <c r="C95" s="96"/>
      <c r="D95" s="94"/>
      <c r="E95" s="105"/>
      <c r="F95" s="129"/>
      <c r="G95" s="94"/>
      <c r="H95" s="93"/>
      <c r="I95" s="102"/>
      <c r="J95" s="94"/>
      <c r="K95" s="126"/>
      <c r="L95" s="126"/>
      <c r="M95" s="99"/>
      <c r="N95" s="100"/>
      <c r="O95" s="101"/>
      <c r="P95" s="94"/>
      <c r="Q95" s="102"/>
      <c r="R95" s="103"/>
      <c r="S95" s="102"/>
      <c r="T95" s="102"/>
      <c r="V95" s="104"/>
    </row>
    <row r="96" ht="15.75" customHeight="1">
      <c r="A96" s="91"/>
      <c r="B96" s="107"/>
      <c r="C96" s="110"/>
      <c r="D96" s="94"/>
      <c r="E96" s="105"/>
      <c r="F96" s="96"/>
      <c r="G96" s="94"/>
      <c r="H96" s="93"/>
      <c r="I96" s="102"/>
      <c r="J96" s="94"/>
      <c r="K96" s="125"/>
      <c r="L96" s="125"/>
      <c r="M96" s="99"/>
      <c r="N96" s="111"/>
      <c r="O96" s="112"/>
      <c r="P96" s="94"/>
      <c r="Q96" s="94"/>
      <c r="R96" s="113"/>
      <c r="S96" s="94"/>
      <c r="T96" s="94"/>
      <c r="V96" s="104"/>
    </row>
    <row r="97" ht="15.75" customHeight="1">
      <c r="A97" s="91"/>
      <c r="B97" s="107"/>
      <c r="C97" s="96"/>
      <c r="D97" s="94"/>
      <c r="E97" s="105"/>
      <c r="F97" s="96"/>
      <c r="G97" s="94"/>
      <c r="H97" s="93"/>
      <c r="I97" s="102"/>
      <c r="J97" s="94"/>
      <c r="K97" s="126"/>
      <c r="L97" s="126"/>
      <c r="M97" s="99"/>
      <c r="N97" s="100"/>
      <c r="O97" s="101"/>
      <c r="P97" s="94"/>
      <c r="Q97" s="117"/>
      <c r="R97" s="103"/>
      <c r="S97" s="102"/>
      <c r="T97" s="102"/>
      <c r="V97" s="104"/>
    </row>
    <row r="98" ht="15.75" customHeight="1">
      <c r="A98" s="91"/>
      <c r="B98" s="107"/>
      <c r="C98" s="110"/>
      <c r="D98" s="94"/>
      <c r="E98" s="96"/>
      <c r="F98" s="96"/>
      <c r="G98" s="94"/>
      <c r="H98" s="93"/>
      <c r="I98" s="102"/>
      <c r="J98" s="94"/>
      <c r="K98" s="125"/>
      <c r="L98" s="125"/>
      <c r="M98" s="99"/>
      <c r="N98" s="111"/>
      <c r="O98" s="112"/>
      <c r="P98" s="94"/>
      <c r="Q98" s="120"/>
      <c r="R98" s="113"/>
      <c r="S98" s="94"/>
      <c r="T98" s="94"/>
      <c r="V98" s="104"/>
    </row>
    <row r="99" ht="15.75" customHeight="1">
      <c r="A99" s="91"/>
      <c r="B99" s="107"/>
      <c r="C99" s="93"/>
      <c r="D99" s="94"/>
      <c r="E99" s="105"/>
      <c r="F99" s="96"/>
      <c r="G99" s="94"/>
      <c r="H99" s="93"/>
      <c r="I99" s="102"/>
      <c r="J99" s="94"/>
      <c r="K99" s="126"/>
      <c r="L99" s="126"/>
      <c r="M99" s="99"/>
      <c r="N99" s="111"/>
      <c r="O99" s="112"/>
      <c r="P99" s="94"/>
      <c r="Q99" s="94"/>
      <c r="R99" s="113"/>
      <c r="S99" s="94"/>
      <c r="T99" s="94"/>
      <c r="V99" s="104"/>
    </row>
    <row r="100" ht="15.75" customHeight="1">
      <c r="A100" s="91"/>
      <c r="B100" s="107"/>
      <c r="C100" s="93"/>
      <c r="D100" s="94"/>
      <c r="E100" s="105"/>
      <c r="F100" s="96"/>
      <c r="G100" s="94"/>
      <c r="H100" s="93"/>
      <c r="I100" s="102"/>
      <c r="J100" s="94"/>
      <c r="K100" s="125"/>
      <c r="L100" s="125"/>
      <c r="M100" s="99"/>
      <c r="N100" s="100"/>
      <c r="O100" s="101"/>
      <c r="P100" s="94"/>
      <c r="Q100" s="109"/>
      <c r="R100" s="103"/>
      <c r="S100" s="102"/>
      <c r="T100" s="102"/>
      <c r="V100" s="104"/>
    </row>
    <row r="101" ht="15.75" customHeight="1">
      <c r="A101" s="91"/>
      <c r="B101" s="107"/>
      <c r="C101" s="93"/>
      <c r="D101" s="94"/>
      <c r="E101" s="105"/>
      <c r="F101" s="96"/>
      <c r="G101" s="94"/>
      <c r="H101" s="93"/>
      <c r="I101" s="102"/>
      <c r="J101" s="94"/>
      <c r="K101" s="126"/>
      <c r="L101" s="126"/>
      <c r="M101" s="99"/>
      <c r="N101" s="111"/>
      <c r="O101" s="112"/>
      <c r="P101" s="94"/>
      <c r="Q101" s="94"/>
      <c r="R101" s="113"/>
      <c r="S101" s="94"/>
      <c r="T101" s="94"/>
      <c r="V101" s="104"/>
    </row>
    <row r="102" ht="15.75" customHeight="1">
      <c r="A102" s="91"/>
      <c r="B102" s="107"/>
      <c r="C102" s="93"/>
      <c r="D102" s="94"/>
      <c r="E102" s="130"/>
      <c r="F102" s="96"/>
      <c r="G102" s="94"/>
      <c r="H102" s="93"/>
      <c r="I102" s="102"/>
      <c r="J102" s="94"/>
      <c r="K102" s="125"/>
      <c r="L102" s="125"/>
      <c r="M102" s="99"/>
      <c r="N102" s="111"/>
      <c r="O102" s="112"/>
      <c r="P102" s="94"/>
      <c r="Q102" s="120"/>
      <c r="R102" s="113"/>
      <c r="S102" s="94"/>
      <c r="T102" s="94"/>
      <c r="V102" s="104"/>
    </row>
    <row r="103" ht="15.75" customHeight="1">
      <c r="A103" s="91"/>
      <c r="B103" s="107"/>
      <c r="C103" s="103"/>
      <c r="D103" s="94"/>
      <c r="E103" s="105"/>
      <c r="F103" s="96"/>
      <c r="G103" s="94"/>
      <c r="H103" s="93"/>
      <c r="I103" s="102"/>
      <c r="J103" s="94"/>
      <c r="K103" s="126"/>
      <c r="L103" s="126"/>
      <c r="M103" s="99"/>
      <c r="N103" s="111"/>
      <c r="O103" s="112"/>
      <c r="P103" s="94"/>
      <c r="Q103" s="117"/>
      <c r="R103" s="103"/>
      <c r="S103" s="94"/>
      <c r="T103" s="102"/>
      <c r="V103" s="104"/>
    </row>
    <row r="104" ht="15.75" customHeight="1">
      <c r="A104" s="91"/>
      <c r="B104" s="107"/>
      <c r="C104" s="103"/>
      <c r="D104" s="94"/>
      <c r="E104" s="105"/>
      <c r="F104" s="96"/>
      <c r="G104" s="94"/>
      <c r="H104" s="93"/>
      <c r="I104" s="102"/>
      <c r="J104" s="94"/>
      <c r="K104" s="125"/>
      <c r="L104" s="125"/>
      <c r="M104" s="99"/>
      <c r="N104" s="111"/>
      <c r="O104" s="112"/>
      <c r="P104" s="94"/>
      <c r="Q104" s="117"/>
      <c r="R104" s="103"/>
      <c r="S104" s="94"/>
      <c r="T104" s="102"/>
      <c r="V104" s="104"/>
    </row>
    <row r="105" ht="15.75" customHeight="1">
      <c r="A105" s="91"/>
      <c r="B105" s="107"/>
      <c r="C105" s="93"/>
      <c r="D105" s="94"/>
      <c r="E105" s="93"/>
      <c r="F105" s="110"/>
      <c r="G105" s="94"/>
      <c r="H105" s="93"/>
      <c r="I105" s="102"/>
      <c r="J105" s="94"/>
      <c r="K105" s="126"/>
      <c r="L105" s="126"/>
      <c r="M105" s="99"/>
      <c r="N105" s="111"/>
      <c r="O105" s="112"/>
      <c r="P105" s="94"/>
      <c r="Q105" s="120"/>
      <c r="R105" s="113"/>
      <c r="S105" s="94"/>
      <c r="T105" s="94"/>
      <c r="V105" s="104"/>
    </row>
    <row r="106" ht="15.75" customHeight="1">
      <c r="A106" s="91"/>
      <c r="B106" s="107"/>
      <c r="C106" s="93"/>
      <c r="D106" s="94"/>
      <c r="E106" s="105"/>
      <c r="F106" s="96"/>
      <c r="G106" s="94"/>
      <c r="H106" s="93"/>
      <c r="I106" s="102"/>
      <c r="J106" s="94"/>
      <c r="K106" s="125"/>
      <c r="L106" s="125"/>
      <c r="M106" s="99"/>
      <c r="N106" s="111"/>
      <c r="O106" s="112"/>
      <c r="P106" s="94"/>
      <c r="Q106" s="94"/>
      <c r="R106" s="113"/>
      <c r="S106" s="94"/>
      <c r="T106" s="94"/>
      <c r="V106" s="104"/>
    </row>
    <row r="107" ht="15.75" customHeight="1">
      <c r="A107" s="91"/>
      <c r="B107" s="107"/>
      <c r="C107" s="93"/>
      <c r="D107" s="94"/>
      <c r="E107" s="105"/>
      <c r="F107" s="96"/>
      <c r="G107" s="94"/>
      <c r="H107" s="93"/>
      <c r="I107" s="102"/>
      <c r="J107" s="94"/>
      <c r="K107" s="126"/>
      <c r="L107" s="126"/>
      <c r="M107" s="99"/>
      <c r="N107" s="100"/>
      <c r="O107" s="101"/>
      <c r="P107" s="94"/>
      <c r="Q107" s="109"/>
      <c r="R107" s="106"/>
      <c r="S107" s="102"/>
      <c r="T107" s="102"/>
      <c r="V107" s="104"/>
    </row>
    <row r="108" ht="15.75" customHeight="1">
      <c r="A108" s="91"/>
      <c r="B108" s="131"/>
      <c r="C108" s="132"/>
      <c r="D108" s="94"/>
      <c r="E108" s="132"/>
      <c r="F108" s="129"/>
      <c r="G108" s="94"/>
      <c r="H108" s="132"/>
      <c r="I108" s="94"/>
      <c r="J108" s="94"/>
      <c r="K108" s="125"/>
      <c r="L108" s="125"/>
      <c r="M108" s="99"/>
      <c r="N108" s="111"/>
      <c r="O108" s="112"/>
      <c r="P108" s="94"/>
      <c r="Q108" s="120"/>
      <c r="R108" s="113"/>
      <c r="S108" s="94"/>
      <c r="T108" s="94"/>
      <c r="V108" s="104"/>
    </row>
    <row r="109" ht="15.75" customHeight="1">
      <c r="A109" s="91"/>
      <c r="B109" s="131"/>
      <c r="C109" s="132"/>
      <c r="D109" s="94"/>
      <c r="E109" s="132"/>
      <c r="F109" s="132"/>
      <c r="G109" s="94"/>
      <c r="H109" s="132"/>
      <c r="I109" s="94"/>
      <c r="J109" s="94"/>
      <c r="K109" s="126"/>
      <c r="L109" s="126"/>
      <c r="M109" s="99"/>
      <c r="N109" s="111"/>
      <c r="O109" s="112"/>
      <c r="P109" s="94"/>
      <c r="Q109" s="94"/>
      <c r="R109" s="113"/>
      <c r="S109" s="94"/>
      <c r="T109" s="94"/>
      <c r="V109" s="104"/>
    </row>
    <row r="110" ht="15.75" customHeight="1">
      <c r="A110" s="91"/>
      <c r="B110" s="131"/>
      <c r="C110" s="104"/>
      <c r="D110" s="94"/>
      <c r="E110" s="132"/>
      <c r="F110" s="132"/>
      <c r="G110" s="94"/>
      <c r="H110" s="132"/>
      <c r="I110" s="133"/>
      <c r="J110" s="94"/>
      <c r="K110" s="125"/>
      <c r="L110" s="125"/>
      <c r="M110" s="99"/>
      <c r="N110" s="111"/>
      <c r="O110" s="112"/>
      <c r="P110" s="94"/>
      <c r="Q110" s="120"/>
      <c r="R110" s="113"/>
      <c r="S110" s="94"/>
      <c r="T110" s="94"/>
      <c r="V110" s="104"/>
    </row>
    <row r="111" ht="15.75" customHeight="1">
      <c r="A111" s="91"/>
      <c r="B111" s="131"/>
      <c r="C111" s="104"/>
      <c r="D111" s="94"/>
      <c r="E111" s="132"/>
      <c r="F111" s="132"/>
      <c r="G111" s="94"/>
      <c r="H111" s="132"/>
      <c r="I111" s="133"/>
      <c r="J111" s="94"/>
      <c r="K111" s="126"/>
      <c r="L111" s="126"/>
      <c r="M111" s="99"/>
      <c r="N111" s="111"/>
      <c r="O111" s="112"/>
      <c r="P111" s="94"/>
      <c r="Q111" s="120"/>
      <c r="R111" s="113"/>
      <c r="S111" s="94"/>
      <c r="T111" s="94"/>
      <c r="V111" s="104"/>
    </row>
    <row r="112" ht="15.75" customHeight="1">
      <c r="A112" s="91"/>
      <c r="B112" s="131"/>
      <c r="C112" s="132"/>
      <c r="D112" s="94"/>
      <c r="E112" s="132"/>
      <c r="F112" s="132"/>
      <c r="G112" s="94"/>
      <c r="H112" s="132"/>
      <c r="I112" s="133"/>
      <c r="J112" s="94"/>
      <c r="K112" s="125"/>
      <c r="L112" s="125"/>
      <c r="M112" s="99"/>
      <c r="N112" s="111"/>
      <c r="O112" s="112"/>
      <c r="P112" s="94"/>
      <c r="Q112" s="120"/>
      <c r="R112" s="113"/>
      <c r="S112" s="94"/>
      <c r="T112" s="94"/>
      <c r="V112" s="104"/>
    </row>
    <row r="113" ht="15.75" customHeight="1">
      <c r="A113" s="91"/>
      <c r="B113" s="131"/>
      <c r="C113" s="132"/>
      <c r="D113" s="94"/>
      <c r="E113" s="132"/>
      <c r="F113" s="132"/>
      <c r="G113" s="94"/>
      <c r="H113" s="132"/>
      <c r="I113" s="133"/>
      <c r="J113" s="94"/>
      <c r="K113" s="126"/>
      <c r="L113" s="126"/>
      <c r="M113" s="99"/>
      <c r="N113" s="111"/>
      <c r="O113" s="112"/>
      <c r="P113" s="94"/>
      <c r="Q113" s="94"/>
      <c r="R113" s="113"/>
      <c r="S113" s="94"/>
      <c r="T113" s="94"/>
      <c r="V113" s="104"/>
    </row>
    <row r="114" ht="15.75" customHeight="1">
      <c r="A114" s="91"/>
      <c r="B114" s="131"/>
      <c r="C114" s="132"/>
      <c r="D114" s="94"/>
      <c r="E114" s="132"/>
      <c r="F114" s="132"/>
      <c r="G114" s="94"/>
      <c r="H114" s="132"/>
      <c r="I114" s="133"/>
      <c r="J114" s="94"/>
      <c r="K114" s="125"/>
      <c r="L114" s="125"/>
      <c r="M114" s="99"/>
      <c r="N114" s="111"/>
      <c r="O114" s="112"/>
      <c r="P114" s="94"/>
      <c r="Q114" s="120"/>
      <c r="R114" s="113"/>
      <c r="S114" s="94"/>
      <c r="T114" s="94"/>
      <c r="V114" s="104"/>
    </row>
    <row r="115" ht="15.75" customHeight="1">
      <c r="A115" s="91"/>
      <c r="B115" s="131"/>
      <c r="C115" s="132"/>
      <c r="D115" s="94"/>
      <c r="E115" s="132"/>
      <c r="F115" s="132"/>
      <c r="G115" s="94"/>
      <c r="H115" s="132"/>
      <c r="I115" s="133"/>
      <c r="J115" s="94"/>
      <c r="K115" s="126"/>
      <c r="L115" s="126"/>
      <c r="M115" s="99"/>
      <c r="N115" s="111"/>
      <c r="O115" s="112"/>
      <c r="P115" s="94"/>
      <c r="Q115" s="94"/>
      <c r="R115" s="113"/>
      <c r="S115" s="94"/>
      <c r="T115" s="94"/>
      <c r="V115" s="104"/>
    </row>
    <row r="116" ht="15.75" customHeight="1">
      <c r="A116" s="91"/>
      <c r="B116" s="131"/>
      <c r="C116" s="132"/>
      <c r="D116" s="94"/>
      <c r="E116" s="132"/>
      <c r="F116" s="132"/>
      <c r="G116" s="94"/>
      <c r="H116" s="132"/>
      <c r="I116" s="94"/>
      <c r="J116" s="94"/>
      <c r="K116" s="125"/>
      <c r="L116" s="125"/>
      <c r="M116" s="99"/>
      <c r="N116" s="111"/>
      <c r="O116" s="112"/>
      <c r="P116" s="94"/>
      <c r="Q116" s="120"/>
      <c r="R116" s="113"/>
      <c r="S116" s="94"/>
      <c r="T116" s="94"/>
      <c r="V116" s="104"/>
    </row>
    <row r="117" ht="15.75" customHeight="1">
      <c r="A117" s="91"/>
      <c r="B117" s="131"/>
      <c r="C117" s="104"/>
      <c r="D117" s="94"/>
      <c r="E117" s="132"/>
      <c r="F117" s="132"/>
      <c r="G117" s="94"/>
      <c r="H117" s="132"/>
      <c r="I117" s="94"/>
      <c r="J117" s="94"/>
      <c r="K117" s="126"/>
      <c r="L117" s="126"/>
      <c r="M117" s="99"/>
      <c r="N117" s="111"/>
      <c r="O117" s="112"/>
      <c r="P117" s="94"/>
      <c r="Q117" s="94"/>
      <c r="R117" s="113"/>
      <c r="S117" s="94"/>
      <c r="T117" s="94"/>
      <c r="V117" s="104"/>
    </row>
    <row r="118" ht="15.75" customHeight="1">
      <c r="A118" s="91"/>
      <c r="B118" s="131"/>
      <c r="C118" s="104"/>
      <c r="D118" s="94"/>
      <c r="E118" s="132"/>
      <c r="F118" s="132"/>
      <c r="G118" s="94"/>
      <c r="H118" s="132"/>
      <c r="I118" s="94"/>
      <c r="J118" s="94"/>
      <c r="K118" s="125"/>
      <c r="L118" s="125"/>
      <c r="M118" s="99"/>
      <c r="N118" s="111"/>
      <c r="O118" s="112"/>
      <c r="P118" s="94"/>
      <c r="Q118" s="94"/>
      <c r="R118" s="113"/>
      <c r="S118" s="94"/>
      <c r="T118" s="94"/>
      <c r="V118" s="104"/>
    </row>
    <row r="119" ht="15.75" customHeight="1">
      <c r="A119" s="91"/>
      <c r="B119" s="131"/>
      <c r="C119" s="104"/>
      <c r="D119" s="94"/>
      <c r="E119" s="132"/>
      <c r="F119" s="132"/>
      <c r="G119" s="94"/>
      <c r="H119" s="132"/>
      <c r="I119" s="94"/>
      <c r="J119" s="94"/>
      <c r="K119" s="126"/>
      <c r="L119" s="126"/>
      <c r="M119" s="99"/>
      <c r="N119" s="111"/>
      <c r="O119" s="112"/>
      <c r="P119" s="94"/>
      <c r="Q119" s="94"/>
      <c r="R119" s="113"/>
      <c r="S119" s="94"/>
      <c r="T119" s="94"/>
      <c r="V119" s="104"/>
    </row>
    <row r="120" ht="15.75" customHeight="1">
      <c r="A120" s="91"/>
      <c r="B120" s="131"/>
      <c r="C120" s="132"/>
      <c r="D120" s="94"/>
      <c r="E120" s="132"/>
      <c r="F120" s="132"/>
      <c r="G120" s="94"/>
      <c r="H120" s="132"/>
      <c r="I120" s="94"/>
      <c r="J120" s="94"/>
      <c r="K120" s="125"/>
      <c r="L120" s="125"/>
      <c r="M120" s="99"/>
      <c r="N120" s="111"/>
      <c r="O120" s="112"/>
      <c r="P120" s="94"/>
      <c r="Q120" s="94"/>
      <c r="R120" s="113"/>
      <c r="S120" s="94"/>
      <c r="T120" s="94"/>
      <c r="V120" s="104"/>
    </row>
    <row r="121" ht="15.75" customHeight="1">
      <c r="A121" s="91"/>
      <c r="B121" s="131"/>
      <c r="C121" s="132"/>
      <c r="D121" s="94"/>
      <c r="E121" s="132"/>
      <c r="F121" s="132"/>
      <c r="G121" s="94"/>
      <c r="H121" s="132"/>
      <c r="I121" s="94"/>
      <c r="J121" s="94"/>
      <c r="K121" s="126"/>
      <c r="L121" s="126"/>
      <c r="M121" s="99"/>
      <c r="N121" s="111"/>
      <c r="O121" s="112"/>
      <c r="P121" s="94"/>
      <c r="Q121" s="94"/>
      <c r="R121" s="113"/>
      <c r="S121" s="94"/>
      <c r="T121" s="94"/>
      <c r="V121" s="104"/>
    </row>
    <row r="122" ht="15.75" customHeight="1">
      <c r="A122" s="91"/>
      <c r="B122" s="131"/>
      <c r="C122" s="132"/>
      <c r="D122" s="94"/>
      <c r="E122" s="132"/>
      <c r="F122" s="132"/>
      <c r="G122" s="94"/>
      <c r="H122" s="132"/>
      <c r="I122" s="94"/>
      <c r="J122" s="94"/>
      <c r="K122" s="125"/>
      <c r="L122" s="125"/>
      <c r="M122" s="99"/>
      <c r="N122" s="111"/>
      <c r="O122" s="112"/>
      <c r="P122" s="94"/>
      <c r="Q122" s="94"/>
      <c r="R122" s="113"/>
      <c r="S122" s="94"/>
      <c r="T122" s="94"/>
      <c r="V122" s="104"/>
    </row>
    <row r="123" ht="15.75" customHeight="1">
      <c r="A123" s="91"/>
      <c r="B123" s="131"/>
      <c r="C123" s="132"/>
      <c r="D123" s="94"/>
      <c r="E123" s="132"/>
      <c r="F123" s="132"/>
      <c r="G123" s="94"/>
      <c r="H123" s="132"/>
      <c r="I123" s="94"/>
      <c r="J123" s="94"/>
      <c r="K123" s="126"/>
      <c r="L123" s="126"/>
      <c r="M123" s="99"/>
      <c r="N123" s="111"/>
      <c r="O123" s="112"/>
      <c r="P123" s="94"/>
      <c r="Q123" s="94"/>
      <c r="R123" s="113"/>
      <c r="S123" s="94"/>
      <c r="T123" s="94"/>
      <c r="V123" s="104"/>
    </row>
    <row r="124" ht="15.75" customHeight="1">
      <c r="A124" s="91"/>
      <c r="B124" s="131"/>
      <c r="C124" s="132"/>
      <c r="D124" s="94"/>
      <c r="E124" s="132"/>
      <c r="F124" s="132"/>
      <c r="G124" s="94"/>
      <c r="H124" s="132"/>
      <c r="I124" s="94"/>
      <c r="J124" s="94"/>
      <c r="K124" s="125"/>
      <c r="L124" s="125"/>
      <c r="M124" s="99"/>
      <c r="N124" s="111"/>
      <c r="O124" s="112"/>
      <c r="P124" s="94"/>
      <c r="Q124" s="120"/>
      <c r="R124" s="113"/>
      <c r="S124" s="94"/>
      <c r="T124" s="94"/>
      <c r="V124" s="104"/>
    </row>
    <row r="125" ht="15.75" customHeight="1">
      <c r="A125" s="91"/>
      <c r="B125" s="131"/>
      <c r="C125" s="104"/>
      <c r="D125" s="94"/>
      <c r="E125" s="132"/>
      <c r="F125" s="132"/>
      <c r="G125" s="94"/>
      <c r="H125" s="132"/>
      <c r="I125" s="94"/>
      <c r="J125" s="94"/>
      <c r="K125" s="126"/>
      <c r="L125" s="126"/>
      <c r="M125" s="99"/>
      <c r="N125" s="111"/>
      <c r="O125" s="112"/>
      <c r="P125" s="94"/>
      <c r="Q125" s="94"/>
      <c r="R125" s="113"/>
      <c r="S125" s="94"/>
      <c r="T125" s="94"/>
      <c r="V125" s="104"/>
    </row>
    <row r="126" ht="15.75" customHeight="1">
      <c r="A126" s="91"/>
      <c r="B126" s="131"/>
      <c r="C126" s="104"/>
      <c r="D126" s="94"/>
      <c r="E126" s="132"/>
      <c r="F126" s="132"/>
      <c r="G126" s="94"/>
      <c r="H126" s="132"/>
      <c r="I126" s="94"/>
      <c r="J126" s="94"/>
      <c r="K126" s="125"/>
      <c r="L126" s="125"/>
      <c r="M126" s="99"/>
      <c r="N126" s="111"/>
      <c r="O126" s="112"/>
      <c r="P126" s="94"/>
      <c r="Q126" s="94"/>
      <c r="R126" s="113"/>
      <c r="S126" s="94"/>
      <c r="T126" s="94"/>
      <c r="V126" s="104"/>
    </row>
    <row r="127" ht="15.75" customHeight="1">
      <c r="A127" s="91"/>
      <c r="B127" s="131"/>
      <c r="C127" s="104"/>
      <c r="D127" s="94"/>
      <c r="E127" s="132"/>
      <c r="F127" s="132"/>
      <c r="G127" s="94"/>
      <c r="H127" s="132"/>
      <c r="I127" s="94"/>
      <c r="J127" s="94"/>
      <c r="K127" s="126"/>
      <c r="L127" s="126"/>
      <c r="M127" s="99"/>
      <c r="N127" s="111"/>
      <c r="O127" s="112"/>
      <c r="P127" s="94"/>
      <c r="Q127" s="120"/>
      <c r="R127" s="113"/>
      <c r="S127" s="94"/>
      <c r="T127" s="94"/>
      <c r="V127" s="104"/>
    </row>
    <row r="128" ht="15.75" customHeight="1">
      <c r="A128" s="91"/>
      <c r="B128" s="131"/>
      <c r="C128" s="132"/>
      <c r="D128" s="94"/>
      <c r="E128" s="132"/>
      <c r="F128" s="132"/>
      <c r="G128" s="94"/>
      <c r="H128" s="132"/>
      <c r="I128" s="94"/>
      <c r="J128" s="94"/>
      <c r="K128" s="125"/>
      <c r="L128" s="125"/>
      <c r="M128" s="99"/>
      <c r="N128" s="111"/>
      <c r="O128" s="112"/>
      <c r="P128" s="94"/>
      <c r="Q128" s="120"/>
      <c r="R128" s="113"/>
      <c r="S128" s="94"/>
      <c r="T128" s="94"/>
      <c r="V128" s="104"/>
    </row>
    <row r="129" ht="15.75" customHeight="1">
      <c r="A129" s="91"/>
      <c r="B129" s="131"/>
      <c r="C129" s="132"/>
      <c r="D129" s="94"/>
      <c r="E129" s="132"/>
      <c r="F129" s="132"/>
      <c r="G129" s="94"/>
      <c r="H129" s="132"/>
      <c r="I129" s="94"/>
      <c r="J129" s="94"/>
      <c r="K129" s="126"/>
      <c r="L129" s="126"/>
      <c r="M129" s="99"/>
      <c r="N129" s="111"/>
      <c r="O129" s="112"/>
      <c r="P129" s="94"/>
      <c r="Q129" s="120"/>
      <c r="R129" s="113"/>
      <c r="S129" s="94"/>
      <c r="T129" s="94"/>
      <c r="V129" s="104"/>
    </row>
    <row r="130" ht="15.75" customHeight="1">
      <c r="A130" s="91"/>
      <c r="B130" s="131"/>
      <c r="C130" s="132"/>
      <c r="D130" s="94"/>
      <c r="E130" s="132"/>
      <c r="F130" s="132"/>
      <c r="G130" s="94"/>
      <c r="H130" s="132"/>
      <c r="I130" s="94"/>
      <c r="J130" s="94"/>
      <c r="K130" s="125"/>
      <c r="L130" s="125"/>
      <c r="M130" s="99"/>
      <c r="N130" s="111"/>
      <c r="O130" s="112"/>
      <c r="P130" s="94"/>
      <c r="Q130" s="120"/>
      <c r="R130" s="113"/>
      <c r="S130" s="94"/>
      <c r="T130" s="94"/>
      <c r="V130" s="104"/>
    </row>
    <row r="131" ht="15.75" customHeight="1">
      <c r="A131" s="91"/>
      <c r="B131" s="131"/>
      <c r="C131" s="132"/>
      <c r="D131" s="94"/>
      <c r="E131" s="132"/>
      <c r="F131" s="132"/>
      <c r="G131" s="94"/>
      <c r="H131" s="132"/>
      <c r="I131" s="94"/>
      <c r="J131" s="94"/>
      <c r="K131" s="126"/>
      <c r="L131" s="126"/>
      <c r="M131" s="99"/>
      <c r="N131" s="111"/>
      <c r="O131" s="112"/>
      <c r="P131" s="94"/>
      <c r="Q131" s="120"/>
      <c r="R131" s="113"/>
      <c r="S131" s="94"/>
      <c r="T131" s="94"/>
      <c r="V131" s="104"/>
    </row>
    <row r="132" ht="15.75" customHeight="1">
      <c r="A132" s="91"/>
      <c r="B132" s="131"/>
      <c r="C132" s="132"/>
      <c r="D132" s="94"/>
      <c r="E132" s="132"/>
      <c r="F132" s="132"/>
      <c r="G132" s="94"/>
      <c r="H132" s="132"/>
      <c r="I132" s="94"/>
      <c r="J132" s="94"/>
      <c r="K132" s="125"/>
      <c r="L132" s="125"/>
      <c r="M132" s="99"/>
      <c r="N132" s="111"/>
      <c r="O132" s="112"/>
      <c r="P132" s="94"/>
      <c r="Q132" s="120"/>
      <c r="R132" s="113"/>
      <c r="S132" s="94"/>
      <c r="T132" s="94"/>
      <c r="V132" s="104"/>
    </row>
    <row r="133" ht="15.75" customHeight="1">
      <c r="A133" s="91"/>
      <c r="B133" s="131"/>
      <c r="C133" s="104"/>
      <c r="D133" s="94"/>
      <c r="E133" s="132"/>
      <c r="F133" s="132"/>
      <c r="G133" s="94"/>
      <c r="H133" s="132"/>
      <c r="I133" s="94"/>
      <c r="J133" s="94"/>
      <c r="K133" s="126"/>
      <c r="L133" s="126"/>
      <c r="M133" s="99"/>
      <c r="N133" s="111"/>
      <c r="O133" s="112"/>
      <c r="P133" s="94"/>
      <c r="Q133" s="94"/>
      <c r="R133" s="113"/>
      <c r="S133" s="94"/>
      <c r="T133" s="94"/>
      <c r="V133" s="104"/>
    </row>
    <row r="134" ht="15.75" customHeight="1">
      <c r="A134" s="91"/>
      <c r="B134" s="131"/>
      <c r="C134" s="104"/>
      <c r="D134" s="94"/>
      <c r="E134" s="132"/>
      <c r="F134" s="132"/>
      <c r="G134" s="94"/>
      <c r="H134" s="132"/>
      <c r="I134" s="94"/>
      <c r="J134" s="94"/>
      <c r="K134" s="125"/>
      <c r="L134" s="125"/>
      <c r="M134" s="99"/>
      <c r="N134" s="111"/>
      <c r="O134" s="112"/>
      <c r="P134" s="94"/>
      <c r="Q134" s="120"/>
      <c r="R134" s="113"/>
      <c r="S134" s="94"/>
      <c r="T134" s="94"/>
      <c r="V134" s="104"/>
    </row>
    <row r="135" ht="15.75" customHeight="1">
      <c r="A135" s="91"/>
      <c r="B135" s="131"/>
      <c r="C135" s="104"/>
      <c r="D135" s="94"/>
      <c r="E135" s="132"/>
      <c r="F135" s="132"/>
      <c r="G135" s="94"/>
      <c r="H135" s="132"/>
      <c r="I135" s="94"/>
      <c r="J135" s="94"/>
      <c r="K135" s="126"/>
      <c r="L135" s="126"/>
      <c r="M135" s="99"/>
      <c r="N135" s="111"/>
      <c r="O135" s="112"/>
      <c r="P135" s="94"/>
      <c r="Q135" s="94"/>
      <c r="R135" s="113"/>
      <c r="S135" s="94"/>
      <c r="T135" s="94"/>
      <c r="V135" s="104"/>
    </row>
    <row r="136" ht="15.75" customHeight="1">
      <c r="A136" s="91"/>
      <c r="B136" s="131"/>
      <c r="C136" s="132"/>
      <c r="D136" s="94"/>
      <c r="E136" s="132"/>
      <c r="F136" s="132"/>
      <c r="G136" s="94"/>
      <c r="H136" s="132"/>
      <c r="I136" s="94"/>
      <c r="J136" s="94"/>
      <c r="K136" s="125"/>
      <c r="L136" s="125"/>
      <c r="M136" s="99"/>
      <c r="N136" s="111"/>
      <c r="O136" s="112"/>
      <c r="P136" s="94"/>
      <c r="Q136" s="94"/>
      <c r="R136" s="113"/>
      <c r="S136" s="94"/>
      <c r="T136" s="94"/>
      <c r="V136" s="104"/>
    </row>
    <row r="137" ht="15.75" customHeight="1">
      <c r="A137" s="91"/>
      <c r="B137" s="131"/>
      <c r="C137" s="132"/>
      <c r="D137" s="94"/>
      <c r="E137" s="132"/>
      <c r="F137" s="132"/>
      <c r="G137" s="94"/>
      <c r="H137" s="132"/>
      <c r="I137" s="94"/>
      <c r="J137" s="94"/>
      <c r="K137" s="126"/>
      <c r="L137" s="126"/>
      <c r="M137" s="99"/>
      <c r="N137" s="111"/>
      <c r="O137" s="112"/>
      <c r="P137" s="94"/>
      <c r="Q137" s="120"/>
      <c r="R137" s="113"/>
      <c r="S137" s="94"/>
      <c r="T137" s="94"/>
      <c r="V137" s="104"/>
    </row>
    <row r="138" ht="15.75" customHeight="1">
      <c r="A138" s="91"/>
      <c r="B138" s="131"/>
      <c r="C138" s="132"/>
      <c r="D138" s="94"/>
      <c r="E138" s="132"/>
      <c r="F138" s="132"/>
      <c r="G138" s="94"/>
      <c r="H138" s="132"/>
      <c r="I138" s="94"/>
      <c r="J138" s="94"/>
      <c r="K138" s="125"/>
      <c r="L138" s="125"/>
      <c r="M138" s="99"/>
      <c r="N138" s="111"/>
      <c r="O138" s="112"/>
      <c r="P138" s="94"/>
      <c r="Q138" s="94"/>
      <c r="R138" s="113"/>
      <c r="S138" s="94"/>
      <c r="T138" s="94"/>
      <c r="V138" s="104"/>
    </row>
    <row r="139" ht="15.75" customHeight="1">
      <c r="A139" s="91"/>
      <c r="B139" s="131"/>
      <c r="C139" s="132"/>
      <c r="D139" s="94"/>
      <c r="E139" s="132"/>
      <c r="F139" s="132"/>
      <c r="G139" s="94"/>
      <c r="H139" s="132"/>
      <c r="I139" s="94"/>
      <c r="J139" s="94"/>
      <c r="K139" s="126"/>
      <c r="L139" s="126"/>
      <c r="M139" s="99"/>
      <c r="N139" s="111"/>
      <c r="O139" s="112"/>
      <c r="P139" s="94"/>
      <c r="Q139" s="94"/>
      <c r="R139" s="113"/>
      <c r="S139" s="94"/>
      <c r="T139" s="94"/>
      <c r="V139" s="104"/>
    </row>
    <row r="140" ht="15.75" customHeight="1">
      <c r="A140" s="91"/>
      <c r="B140" s="131"/>
      <c r="C140" s="132"/>
      <c r="D140" s="94"/>
      <c r="E140" s="132"/>
      <c r="F140" s="132"/>
      <c r="G140" s="94"/>
      <c r="H140" s="132"/>
      <c r="I140" s="94"/>
      <c r="J140" s="94"/>
      <c r="K140" s="125"/>
      <c r="L140" s="125"/>
      <c r="M140" s="99"/>
      <c r="N140" s="111"/>
      <c r="O140" s="112"/>
      <c r="P140" s="94"/>
      <c r="Q140" s="120"/>
      <c r="R140" s="113"/>
      <c r="S140" s="94"/>
      <c r="T140" s="94"/>
      <c r="V140" s="104"/>
    </row>
    <row r="141" ht="15.75" customHeight="1">
      <c r="A141" s="91"/>
      <c r="B141" s="131"/>
      <c r="C141" s="104"/>
      <c r="D141" s="94"/>
      <c r="E141" s="132"/>
      <c r="F141" s="132"/>
      <c r="G141" s="94"/>
      <c r="H141" s="132"/>
      <c r="I141" s="94"/>
      <c r="J141" s="94"/>
      <c r="K141" s="126"/>
      <c r="L141" s="126"/>
      <c r="M141" s="99"/>
      <c r="N141" s="111"/>
      <c r="O141" s="112"/>
      <c r="P141" s="94"/>
      <c r="Q141" s="94"/>
      <c r="R141" s="113"/>
      <c r="S141" s="94"/>
      <c r="T141" s="94"/>
      <c r="V141" s="104"/>
    </row>
    <row r="142" ht="15.75" customHeight="1">
      <c r="A142" s="91"/>
      <c r="B142" s="131"/>
      <c r="C142" s="104"/>
      <c r="D142" s="94"/>
      <c r="E142" s="132"/>
      <c r="F142" s="132"/>
      <c r="G142" s="94"/>
      <c r="H142" s="132"/>
      <c r="I142" s="94"/>
      <c r="J142" s="94"/>
      <c r="K142" s="125"/>
      <c r="L142" s="125"/>
      <c r="M142" s="99"/>
      <c r="N142" s="111"/>
      <c r="O142" s="112"/>
      <c r="P142" s="94"/>
      <c r="Q142" s="120"/>
      <c r="R142" s="113"/>
      <c r="S142" s="94"/>
      <c r="T142" s="94"/>
      <c r="V142" s="104"/>
    </row>
    <row r="143" ht="15.75" customHeight="1">
      <c r="A143" s="91"/>
      <c r="B143" s="131"/>
      <c r="C143" s="104"/>
      <c r="D143" s="94"/>
      <c r="E143" s="132"/>
      <c r="F143" s="132"/>
      <c r="G143" s="94"/>
      <c r="H143" s="132"/>
      <c r="I143" s="94"/>
      <c r="J143" s="94"/>
      <c r="K143" s="126"/>
      <c r="L143" s="126"/>
      <c r="M143" s="99"/>
      <c r="N143" s="111"/>
      <c r="O143" s="112"/>
      <c r="P143" s="94"/>
      <c r="Q143" s="120"/>
      <c r="R143" s="113"/>
      <c r="S143" s="94"/>
      <c r="T143" s="94"/>
      <c r="V143" s="104"/>
    </row>
    <row r="144" ht="15.75" customHeight="1">
      <c r="A144" s="91"/>
      <c r="B144" s="131"/>
      <c r="C144" s="132"/>
      <c r="D144" s="94"/>
      <c r="E144" s="132"/>
      <c r="F144" s="132"/>
      <c r="G144" s="94"/>
      <c r="H144" s="132"/>
      <c r="I144" s="94"/>
      <c r="J144" s="94"/>
      <c r="K144" s="125"/>
      <c r="L144" s="125"/>
      <c r="M144" s="99"/>
      <c r="N144" s="111"/>
      <c r="O144" s="112"/>
      <c r="P144" s="94"/>
      <c r="Q144" s="120"/>
      <c r="R144" s="113"/>
      <c r="S144" s="94"/>
      <c r="T144" s="94"/>
      <c r="V144" s="104"/>
    </row>
    <row r="145" ht="15.75" customHeight="1">
      <c r="A145" s="91"/>
      <c r="B145" s="131"/>
      <c r="C145" s="132"/>
      <c r="D145" s="94"/>
      <c r="E145" s="132"/>
      <c r="F145" s="132"/>
      <c r="G145" s="94"/>
      <c r="H145" s="132"/>
      <c r="I145" s="94"/>
      <c r="J145" s="94"/>
      <c r="K145" s="126"/>
      <c r="L145" s="126"/>
      <c r="M145" s="99"/>
      <c r="N145" s="111"/>
      <c r="O145" s="112"/>
      <c r="P145" s="94"/>
      <c r="Q145" s="94"/>
      <c r="R145" s="113"/>
      <c r="S145" s="94"/>
      <c r="T145" s="94"/>
      <c r="V145" s="104"/>
    </row>
    <row r="146" ht="15.75" customHeight="1">
      <c r="A146" s="91"/>
      <c r="B146" s="131"/>
      <c r="C146" s="132"/>
      <c r="D146" s="94"/>
      <c r="E146" s="132"/>
      <c r="F146" s="132"/>
      <c r="G146" s="94"/>
      <c r="H146" s="132"/>
      <c r="I146" s="94"/>
      <c r="J146" s="94"/>
      <c r="K146" s="125"/>
      <c r="L146" s="125"/>
      <c r="M146" s="99"/>
      <c r="N146" s="111"/>
      <c r="O146" s="112"/>
      <c r="P146" s="94"/>
      <c r="Q146" s="120"/>
      <c r="R146" s="113"/>
      <c r="S146" s="94"/>
      <c r="T146" s="94"/>
      <c r="V146" s="104"/>
    </row>
    <row r="147" ht="15.75" customHeight="1">
      <c r="A147" s="91"/>
      <c r="B147" s="131"/>
      <c r="C147" s="132"/>
      <c r="D147" s="94"/>
      <c r="E147" s="132"/>
      <c r="F147" s="132"/>
      <c r="G147" s="94"/>
      <c r="H147" s="132"/>
      <c r="I147" s="94"/>
      <c r="J147" s="94"/>
      <c r="K147" s="126"/>
      <c r="L147" s="126"/>
      <c r="M147" s="99"/>
      <c r="N147" s="111"/>
      <c r="O147" s="112"/>
      <c r="P147" s="94"/>
      <c r="Q147" s="94"/>
      <c r="R147" s="113"/>
      <c r="S147" s="94"/>
      <c r="T147" s="94"/>
      <c r="V147" s="104"/>
    </row>
    <row r="148" ht="15.75" customHeight="1">
      <c r="A148" s="91"/>
      <c r="B148" s="131"/>
      <c r="C148" s="132"/>
      <c r="D148" s="94"/>
      <c r="E148" s="132"/>
      <c r="F148" s="134"/>
      <c r="G148" s="94"/>
      <c r="H148" s="132"/>
      <c r="I148" s="94"/>
      <c r="J148" s="94"/>
      <c r="K148" s="125"/>
      <c r="L148" s="125"/>
      <c r="M148" s="99"/>
      <c r="N148" s="111"/>
      <c r="O148" s="112"/>
      <c r="P148" s="94"/>
      <c r="Q148" s="120"/>
      <c r="R148" s="113"/>
      <c r="S148" s="94"/>
      <c r="T148" s="94"/>
      <c r="V148" s="104"/>
    </row>
    <row r="149" ht="15.75" customHeight="1">
      <c r="A149" s="91"/>
      <c r="B149" s="131"/>
      <c r="C149" s="104"/>
      <c r="D149" s="94"/>
      <c r="E149" s="132"/>
      <c r="F149" s="132"/>
      <c r="G149" s="94"/>
      <c r="H149" s="132"/>
      <c r="I149" s="94"/>
      <c r="J149" s="94"/>
      <c r="K149" s="126"/>
      <c r="L149" s="126"/>
      <c r="M149" s="99"/>
      <c r="N149" s="111"/>
      <c r="O149" s="112"/>
      <c r="P149" s="94"/>
      <c r="Q149" s="94"/>
      <c r="R149" s="113"/>
      <c r="S149" s="94"/>
      <c r="T149" s="94"/>
      <c r="V149" s="104"/>
    </row>
    <row r="150" ht="15.75" customHeight="1">
      <c r="A150" s="91"/>
      <c r="B150" s="131"/>
      <c r="C150" s="104"/>
      <c r="D150" s="94"/>
      <c r="E150" s="132"/>
      <c r="F150" s="132"/>
      <c r="G150" s="94"/>
      <c r="H150" s="132"/>
      <c r="I150" s="94"/>
      <c r="J150" s="94"/>
      <c r="K150" s="125"/>
      <c r="L150" s="125"/>
      <c r="M150" s="99"/>
      <c r="N150" s="111"/>
      <c r="O150" s="112"/>
      <c r="P150" s="94"/>
      <c r="Q150" s="120"/>
      <c r="R150" s="113"/>
      <c r="S150" s="94"/>
      <c r="T150" s="94"/>
      <c r="V150" s="104"/>
    </row>
    <row r="151" ht="15.75" customHeight="1">
      <c r="A151" s="91"/>
      <c r="B151" s="131"/>
      <c r="C151" s="132"/>
      <c r="D151" s="94"/>
      <c r="E151" s="132"/>
      <c r="F151" s="132"/>
      <c r="G151" s="94"/>
      <c r="H151" s="132"/>
      <c r="I151" s="94"/>
      <c r="J151" s="94"/>
      <c r="K151" s="126"/>
      <c r="L151" s="126"/>
      <c r="M151" s="99"/>
      <c r="N151" s="111"/>
      <c r="O151" s="112"/>
      <c r="P151" s="94"/>
      <c r="Q151" s="120"/>
      <c r="R151" s="113"/>
      <c r="S151" s="94"/>
      <c r="T151" s="94"/>
      <c r="V151" s="104"/>
    </row>
    <row r="152" ht="15.75" customHeight="1">
      <c r="A152" s="91"/>
      <c r="B152" s="131"/>
      <c r="C152" s="132"/>
      <c r="D152" s="94"/>
      <c r="E152" s="132"/>
      <c r="F152" s="132"/>
      <c r="G152" s="94"/>
      <c r="H152" s="132"/>
      <c r="I152" s="94"/>
      <c r="J152" s="94"/>
      <c r="K152" s="125"/>
      <c r="L152" s="125"/>
      <c r="M152" s="99"/>
      <c r="N152" s="111"/>
      <c r="O152" s="112"/>
      <c r="P152" s="94"/>
      <c r="Q152" s="120"/>
      <c r="R152" s="113"/>
      <c r="S152" s="94"/>
      <c r="T152" s="94"/>
      <c r="V152" s="104"/>
    </row>
    <row r="153" ht="15.75" customHeight="1">
      <c r="A153" s="91"/>
      <c r="B153" s="131"/>
      <c r="C153" s="132"/>
      <c r="D153" s="94"/>
      <c r="E153" s="132"/>
      <c r="F153" s="132"/>
      <c r="G153" s="94"/>
      <c r="H153" s="132"/>
      <c r="I153" s="94"/>
      <c r="J153" s="94"/>
      <c r="K153" s="126"/>
      <c r="L153" s="126"/>
      <c r="M153" s="99"/>
      <c r="N153" s="111"/>
      <c r="O153" s="112"/>
      <c r="P153" s="94"/>
      <c r="Q153" s="120"/>
      <c r="R153" s="113"/>
      <c r="S153" s="94"/>
      <c r="T153" s="94"/>
      <c r="V153" s="104"/>
    </row>
    <row r="154" ht="15.75" customHeight="1">
      <c r="A154" s="91"/>
      <c r="B154" s="131"/>
      <c r="C154" s="132"/>
      <c r="D154" s="94"/>
      <c r="E154" s="132"/>
      <c r="F154" s="132"/>
      <c r="G154" s="94"/>
      <c r="H154" s="132"/>
      <c r="I154" s="94"/>
      <c r="J154" s="94"/>
      <c r="K154" s="125"/>
      <c r="L154" s="125"/>
      <c r="M154" s="99"/>
      <c r="N154" s="111"/>
      <c r="O154" s="112"/>
      <c r="P154" s="94"/>
      <c r="Q154" s="120"/>
      <c r="R154" s="113"/>
      <c r="S154" s="94"/>
      <c r="T154" s="94"/>
      <c r="V154" s="104"/>
    </row>
    <row r="155" ht="15.75" customHeight="1">
      <c r="A155" s="91"/>
      <c r="B155" s="131"/>
      <c r="C155" s="132"/>
      <c r="D155" s="94"/>
      <c r="E155" s="132"/>
      <c r="F155" s="132"/>
      <c r="G155" s="94"/>
      <c r="H155" s="132"/>
      <c r="I155" s="94"/>
      <c r="J155" s="94"/>
      <c r="K155" s="126"/>
      <c r="L155" s="126"/>
      <c r="M155" s="99"/>
      <c r="N155" s="111"/>
      <c r="O155" s="112"/>
      <c r="P155" s="94"/>
      <c r="Q155" s="120"/>
      <c r="R155" s="113"/>
      <c r="S155" s="94"/>
      <c r="T155" s="94"/>
      <c r="V155" s="104"/>
    </row>
    <row r="156" ht="15.75" customHeight="1">
      <c r="A156" s="91"/>
      <c r="B156" s="131"/>
      <c r="C156" s="104"/>
      <c r="D156" s="94"/>
      <c r="E156" s="132"/>
      <c r="F156" s="132"/>
      <c r="G156" s="94"/>
      <c r="H156" s="132"/>
      <c r="I156" s="94"/>
      <c r="J156" s="94"/>
      <c r="K156" s="125"/>
      <c r="L156" s="125"/>
      <c r="M156" s="99"/>
      <c r="N156" s="111"/>
      <c r="O156" s="112"/>
      <c r="P156" s="94"/>
      <c r="Q156" s="120"/>
      <c r="R156" s="113"/>
      <c r="S156" s="94"/>
      <c r="T156" s="94"/>
      <c r="V156" s="104"/>
    </row>
    <row r="157" ht="15.75" customHeight="1">
      <c r="A157" s="91"/>
      <c r="B157" s="131"/>
      <c r="C157" s="132"/>
      <c r="D157" s="94"/>
      <c r="E157" s="132"/>
      <c r="F157" s="132"/>
      <c r="G157" s="94"/>
      <c r="H157" s="132"/>
      <c r="I157" s="94"/>
      <c r="J157" s="94"/>
      <c r="K157" s="126"/>
      <c r="L157" s="126"/>
      <c r="M157" s="99"/>
      <c r="N157" s="111"/>
      <c r="O157" s="112"/>
      <c r="P157" s="94"/>
      <c r="Q157" s="120"/>
      <c r="R157" s="113"/>
      <c r="S157" s="94"/>
      <c r="T157" s="94"/>
      <c r="V157" s="104"/>
    </row>
    <row r="158" ht="15.75" customHeight="1">
      <c r="A158" s="91"/>
      <c r="B158" s="131"/>
      <c r="C158" s="132"/>
      <c r="D158" s="94"/>
      <c r="E158" s="132"/>
      <c r="F158" s="132"/>
      <c r="G158" s="94"/>
      <c r="H158" s="132"/>
      <c r="I158" s="94"/>
      <c r="J158" s="94"/>
      <c r="K158" s="125"/>
      <c r="L158" s="125"/>
      <c r="M158" s="99"/>
      <c r="N158" s="111"/>
      <c r="O158" s="112"/>
      <c r="P158" s="94"/>
      <c r="Q158" s="120"/>
      <c r="R158" s="113"/>
      <c r="S158" s="94"/>
      <c r="T158" s="94"/>
      <c r="V158" s="104"/>
    </row>
    <row r="159" ht="15.75" customHeight="1">
      <c r="A159" s="91"/>
      <c r="B159" s="131"/>
      <c r="C159" s="132"/>
      <c r="D159" s="94"/>
      <c r="E159" s="132"/>
      <c r="F159" s="132"/>
      <c r="G159" s="94"/>
      <c r="H159" s="132"/>
      <c r="I159" s="94"/>
      <c r="J159" s="94"/>
      <c r="K159" s="126"/>
      <c r="L159" s="126"/>
      <c r="M159" s="99"/>
      <c r="N159" s="111"/>
      <c r="O159" s="112"/>
      <c r="P159" s="94"/>
      <c r="Q159" s="120"/>
      <c r="R159" s="113"/>
      <c r="S159" s="94"/>
      <c r="T159" s="94"/>
      <c r="V159" s="104"/>
    </row>
    <row r="160" ht="15.75" customHeight="1">
      <c r="A160" s="91"/>
      <c r="B160" s="131"/>
      <c r="C160" s="132"/>
      <c r="D160" s="94"/>
      <c r="E160" s="132"/>
      <c r="F160" s="132"/>
      <c r="G160" s="94"/>
      <c r="H160" s="132"/>
      <c r="I160" s="94"/>
      <c r="J160" s="94"/>
      <c r="K160" s="125"/>
      <c r="L160" s="125"/>
      <c r="M160" s="99"/>
      <c r="N160" s="111"/>
      <c r="O160" s="112"/>
      <c r="P160" s="94"/>
      <c r="Q160" s="120"/>
      <c r="R160" s="113"/>
      <c r="S160" s="94"/>
      <c r="T160" s="94"/>
      <c r="V160" s="104"/>
    </row>
    <row r="161" ht="15.75" customHeight="1">
      <c r="A161" s="91"/>
      <c r="B161" s="131"/>
      <c r="C161" s="132"/>
      <c r="D161" s="94"/>
      <c r="E161" s="132"/>
      <c r="F161" s="132"/>
      <c r="G161" s="94"/>
      <c r="H161" s="132"/>
      <c r="I161" s="94"/>
      <c r="J161" s="94"/>
      <c r="K161" s="126"/>
      <c r="L161" s="126"/>
      <c r="M161" s="99"/>
      <c r="N161" s="111"/>
      <c r="O161" s="112"/>
      <c r="P161" s="94"/>
      <c r="Q161" s="120"/>
      <c r="R161" s="113"/>
      <c r="S161" s="94"/>
      <c r="T161" s="94"/>
      <c r="V161" s="104"/>
    </row>
    <row r="162" ht="15.75" customHeight="1">
      <c r="A162" s="91"/>
      <c r="B162" s="131"/>
      <c r="C162" s="104"/>
      <c r="D162" s="94"/>
      <c r="E162" s="132"/>
      <c r="F162" s="132"/>
      <c r="G162" s="94"/>
      <c r="H162" s="132"/>
      <c r="I162" s="94"/>
      <c r="J162" s="94"/>
      <c r="K162" s="125"/>
      <c r="L162" s="125"/>
      <c r="M162" s="99"/>
      <c r="N162" s="111"/>
      <c r="O162" s="112"/>
      <c r="P162" s="94"/>
      <c r="Q162" s="120"/>
      <c r="R162" s="113"/>
      <c r="S162" s="94"/>
      <c r="T162" s="94"/>
      <c r="V162" s="104"/>
    </row>
    <row r="163" ht="15.75" customHeight="1">
      <c r="A163" s="91"/>
      <c r="B163" s="131"/>
      <c r="C163" s="132"/>
      <c r="D163" s="94"/>
      <c r="E163" s="132"/>
      <c r="F163" s="132"/>
      <c r="G163" s="94"/>
      <c r="H163" s="132"/>
      <c r="I163" s="94"/>
      <c r="J163" s="94"/>
      <c r="K163" s="126"/>
      <c r="L163" s="126"/>
      <c r="M163" s="99"/>
      <c r="N163" s="111"/>
      <c r="O163" s="112"/>
      <c r="P163" s="94"/>
      <c r="Q163" s="120"/>
      <c r="R163" s="113"/>
      <c r="S163" s="94"/>
      <c r="T163" s="94"/>
      <c r="V163" s="104"/>
    </row>
    <row r="164" ht="15.75" customHeight="1">
      <c r="A164" s="91"/>
      <c r="B164" s="131"/>
      <c r="C164" s="132"/>
      <c r="D164" s="94"/>
      <c r="E164" s="132"/>
      <c r="F164" s="132"/>
      <c r="G164" s="94"/>
      <c r="H164" s="132"/>
      <c r="I164" s="94"/>
      <c r="J164" s="94"/>
      <c r="K164" s="125"/>
      <c r="L164" s="125"/>
      <c r="M164" s="99"/>
      <c r="N164" s="111"/>
      <c r="O164" s="112"/>
      <c r="P164" s="94"/>
      <c r="Q164" s="120"/>
      <c r="R164" s="113"/>
      <c r="S164" s="94"/>
      <c r="T164" s="94"/>
      <c r="V164" s="104"/>
    </row>
    <row r="165" ht="15.75" customHeight="1">
      <c r="A165" s="91"/>
      <c r="B165" s="131"/>
      <c r="C165" s="132"/>
      <c r="D165" s="94"/>
      <c r="E165" s="132"/>
      <c r="F165" s="132"/>
      <c r="G165" s="94"/>
      <c r="H165" s="132"/>
      <c r="I165" s="94"/>
      <c r="J165" s="94"/>
      <c r="K165" s="126"/>
      <c r="L165" s="126"/>
      <c r="M165" s="99"/>
      <c r="N165" s="111"/>
      <c r="O165" s="112"/>
      <c r="P165" s="94"/>
      <c r="Q165" s="120"/>
      <c r="R165" s="113"/>
      <c r="S165" s="94"/>
      <c r="T165" s="94"/>
      <c r="V165" s="104"/>
    </row>
    <row r="166" ht="15.75" customHeight="1">
      <c r="A166" s="91"/>
      <c r="B166" s="131"/>
      <c r="C166" s="132"/>
      <c r="D166" s="94"/>
      <c r="E166" s="132"/>
      <c r="F166" s="132"/>
      <c r="G166" s="94"/>
      <c r="H166" s="132"/>
      <c r="I166" s="94"/>
      <c r="J166" s="94"/>
      <c r="K166" s="125"/>
      <c r="L166" s="125"/>
      <c r="M166" s="99"/>
      <c r="N166" s="111"/>
      <c r="O166" s="112"/>
      <c r="P166" s="94"/>
      <c r="Q166" s="120"/>
      <c r="R166" s="113"/>
      <c r="S166" s="94"/>
      <c r="T166" s="94"/>
      <c r="V166" s="104"/>
    </row>
    <row r="167" ht="15.75" customHeight="1">
      <c r="A167" s="91"/>
      <c r="B167" s="131"/>
      <c r="C167" s="132"/>
      <c r="D167" s="94"/>
      <c r="E167" s="132"/>
      <c r="F167" s="132"/>
      <c r="G167" s="94"/>
      <c r="H167" s="132"/>
      <c r="I167" s="94"/>
      <c r="J167" s="94"/>
      <c r="K167" s="126"/>
      <c r="L167" s="126"/>
      <c r="M167" s="99"/>
      <c r="N167" s="111"/>
      <c r="O167" s="112"/>
      <c r="P167" s="94"/>
      <c r="Q167" s="120"/>
      <c r="R167" s="113"/>
      <c r="S167" s="94"/>
      <c r="T167" s="94"/>
      <c r="V167" s="104"/>
    </row>
    <row r="168" ht="15.75" customHeight="1">
      <c r="A168" s="91"/>
      <c r="B168" s="131"/>
      <c r="C168" s="104"/>
      <c r="D168" s="94"/>
      <c r="E168" s="132"/>
      <c r="F168" s="132"/>
      <c r="G168" s="94"/>
      <c r="H168" s="132"/>
      <c r="I168" s="94"/>
      <c r="J168" s="94"/>
      <c r="K168" s="125"/>
      <c r="L168" s="125"/>
      <c r="M168" s="99"/>
      <c r="N168" s="111"/>
      <c r="O168" s="112"/>
      <c r="P168" s="94"/>
      <c r="Q168" s="120"/>
      <c r="R168" s="113"/>
      <c r="S168" s="94"/>
      <c r="T168" s="94"/>
      <c r="V168" s="104"/>
    </row>
    <row r="169" ht="15.75" customHeight="1">
      <c r="A169" s="91"/>
      <c r="B169" s="131"/>
      <c r="C169" s="132"/>
      <c r="D169" s="94"/>
      <c r="E169" s="132"/>
      <c r="F169" s="132"/>
      <c r="G169" s="94"/>
      <c r="H169" s="132"/>
      <c r="I169" s="94"/>
      <c r="J169" s="94"/>
      <c r="K169" s="126"/>
      <c r="L169" s="126"/>
      <c r="M169" s="99"/>
      <c r="N169" s="111"/>
      <c r="O169" s="112"/>
      <c r="P169" s="94"/>
      <c r="Q169" s="120"/>
      <c r="R169" s="113"/>
      <c r="S169" s="94"/>
      <c r="T169" s="94"/>
      <c r="V169" s="104"/>
    </row>
    <row r="170" ht="15.75" customHeight="1">
      <c r="A170" s="91"/>
      <c r="B170" s="131"/>
      <c r="C170" s="132"/>
      <c r="D170" s="94"/>
      <c r="E170" s="132"/>
      <c r="F170" s="132"/>
      <c r="G170" s="94"/>
      <c r="H170" s="132"/>
      <c r="I170" s="94"/>
      <c r="J170" s="94"/>
      <c r="K170" s="125"/>
      <c r="L170" s="125"/>
      <c r="M170" s="99"/>
      <c r="N170" s="111"/>
      <c r="O170" s="112"/>
      <c r="P170" s="94"/>
      <c r="Q170" s="120"/>
      <c r="R170" s="113"/>
      <c r="S170" s="94"/>
      <c r="T170" s="94"/>
      <c r="V170" s="104"/>
    </row>
    <row r="171" ht="15.75" customHeight="1">
      <c r="A171" s="91"/>
      <c r="B171" s="131"/>
      <c r="C171" s="132"/>
      <c r="D171" s="94"/>
      <c r="E171" s="132"/>
      <c r="F171" s="132"/>
      <c r="G171" s="94"/>
      <c r="H171" s="132"/>
      <c r="I171" s="94"/>
      <c r="J171" s="94"/>
      <c r="K171" s="126"/>
      <c r="L171" s="126"/>
      <c r="M171" s="99"/>
      <c r="N171" s="111"/>
      <c r="O171" s="112"/>
      <c r="P171" s="94"/>
      <c r="Q171" s="120"/>
      <c r="R171" s="113"/>
      <c r="S171" s="94"/>
      <c r="T171" s="94"/>
      <c r="V171" s="104"/>
    </row>
    <row r="172" ht="15.75" customHeight="1">
      <c r="A172" s="91"/>
      <c r="B172" s="131"/>
      <c r="C172" s="132"/>
      <c r="D172" s="94"/>
      <c r="E172" s="132"/>
      <c r="F172" s="132"/>
      <c r="G172" s="94"/>
      <c r="H172" s="132"/>
      <c r="I172" s="94"/>
      <c r="J172" s="94"/>
      <c r="K172" s="125"/>
      <c r="L172" s="125"/>
      <c r="M172" s="99"/>
      <c r="N172" s="111"/>
      <c r="O172" s="112"/>
      <c r="P172" s="94"/>
      <c r="Q172" s="120"/>
      <c r="R172" s="113"/>
      <c r="S172" s="94"/>
      <c r="T172" s="94"/>
      <c r="V172" s="104"/>
    </row>
    <row r="173" ht="15.75" customHeight="1">
      <c r="A173" s="91"/>
      <c r="B173" s="131"/>
      <c r="C173" s="132"/>
      <c r="D173" s="94"/>
      <c r="E173" s="132"/>
      <c r="F173" s="132"/>
      <c r="G173" s="94"/>
      <c r="H173" s="132"/>
      <c r="I173" s="94"/>
      <c r="J173" s="94"/>
      <c r="K173" s="126"/>
      <c r="L173" s="126"/>
      <c r="M173" s="99"/>
      <c r="N173" s="111"/>
      <c r="O173" s="112"/>
      <c r="P173" s="94"/>
      <c r="Q173" s="120"/>
      <c r="R173" s="113"/>
      <c r="S173" s="94"/>
      <c r="T173" s="94"/>
      <c r="V173" s="104"/>
    </row>
    <row r="174" ht="15.75" customHeight="1">
      <c r="A174" s="91"/>
      <c r="B174" s="131"/>
      <c r="C174" s="104"/>
      <c r="D174" s="94"/>
      <c r="E174" s="132"/>
      <c r="F174" s="132"/>
      <c r="G174" s="94"/>
      <c r="H174" s="132"/>
      <c r="I174" s="94"/>
      <c r="J174" s="94"/>
      <c r="K174" s="125"/>
      <c r="L174" s="125"/>
      <c r="M174" s="99"/>
      <c r="N174" s="111"/>
      <c r="O174" s="112"/>
      <c r="P174" s="94"/>
      <c r="Q174" s="120"/>
      <c r="R174" s="113"/>
      <c r="S174" s="94"/>
      <c r="T174" s="94"/>
      <c r="V174" s="104"/>
    </row>
    <row r="175" ht="15.75" customHeight="1">
      <c r="A175" s="91"/>
      <c r="B175" s="131"/>
      <c r="C175" s="132"/>
      <c r="D175" s="94"/>
      <c r="E175" s="132"/>
      <c r="F175" s="132"/>
      <c r="G175" s="94"/>
      <c r="H175" s="132"/>
      <c r="I175" s="94"/>
      <c r="J175" s="94"/>
      <c r="K175" s="126"/>
      <c r="L175" s="126"/>
      <c r="M175" s="99"/>
      <c r="N175" s="111"/>
      <c r="O175" s="112"/>
      <c r="P175" s="94"/>
      <c r="Q175" s="120"/>
      <c r="R175" s="113"/>
      <c r="S175" s="94"/>
      <c r="T175" s="94"/>
      <c r="V175" s="104"/>
    </row>
    <row r="176" ht="15.75" customHeight="1">
      <c r="A176" s="91"/>
      <c r="B176" s="131"/>
      <c r="C176" s="132"/>
      <c r="D176" s="94"/>
      <c r="E176" s="132"/>
      <c r="F176" s="132"/>
      <c r="G176" s="94"/>
      <c r="H176" s="132"/>
      <c r="I176" s="94"/>
      <c r="J176" s="94"/>
      <c r="K176" s="125"/>
      <c r="L176" s="125"/>
      <c r="M176" s="99"/>
      <c r="N176" s="111"/>
      <c r="O176" s="112"/>
      <c r="P176" s="94"/>
      <c r="Q176" s="120"/>
      <c r="R176" s="113"/>
      <c r="S176" s="94"/>
      <c r="T176" s="94"/>
      <c r="V176" s="104"/>
    </row>
    <row r="177" ht="15.75" customHeight="1">
      <c r="A177" s="91"/>
      <c r="B177" s="131"/>
      <c r="C177" s="132"/>
      <c r="D177" s="94"/>
      <c r="E177" s="132"/>
      <c r="F177" s="132"/>
      <c r="G177" s="94"/>
      <c r="H177" s="132"/>
      <c r="I177" s="94"/>
      <c r="J177" s="94"/>
      <c r="K177" s="126"/>
      <c r="L177" s="126"/>
      <c r="M177" s="99"/>
      <c r="N177" s="111"/>
      <c r="O177" s="112"/>
      <c r="P177" s="94"/>
      <c r="Q177" s="120"/>
      <c r="R177" s="113"/>
      <c r="S177" s="94"/>
      <c r="T177" s="94"/>
      <c r="V177" s="104"/>
    </row>
    <row r="178" ht="15.75" customHeight="1">
      <c r="A178" s="91"/>
      <c r="B178" s="131"/>
      <c r="C178" s="132"/>
      <c r="D178" s="94"/>
      <c r="E178" s="132"/>
      <c r="F178" s="132"/>
      <c r="G178" s="94"/>
      <c r="H178" s="132"/>
      <c r="I178" s="94"/>
      <c r="J178" s="94"/>
      <c r="K178" s="125"/>
      <c r="L178" s="125"/>
      <c r="M178" s="99"/>
      <c r="N178" s="111"/>
      <c r="O178" s="112"/>
      <c r="P178" s="94"/>
      <c r="Q178" s="120"/>
      <c r="R178" s="113"/>
      <c r="S178" s="94"/>
      <c r="T178" s="94"/>
      <c r="V178" s="104"/>
    </row>
    <row r="179" ht="15.75" customHeight="1">
      <c r="A179" s="91"/>
      <c r="B179" s="131"/>
      <c r="C179" s="132"/>
      <c r="D179" s="94"/>
      <c r="E179" s="132"/>
      <c r="F179" s="132"/>
      <c r="G179" s="94"/>
      <c r="H179" s="132"/>
      <c r="I179" s="94"/>
      <c r="J179" s="94"/>
      <c r="K179" s="126"/>
      <c r="L179" s="126"/>
      <c r="M179" s="99"/>
      <c r="N179" s="111"/>
      <c r="O179" s="112"/>
      <c r="P179" s="94"/>
      <c r="Q179" s="120"/>
      <c r="R179" s="113"/>
      <c r="S179" s="94"/>
      <c r="T179" s="94"/>
      <c r="V179" s="104"/>
    </row>
    <row r="180" ht="15.75" customHeight="1">
      <c r="A180" s="91"/>
      <c r="B180" s="131"/>
      <c r="C180" s="104"/>
      <c r="D180" s="94"/>
      <c r="E180" s="132"/>
      <c r="F180" s="132"/>
      <c r="G180" s="94"/>
      <c r="H180" s="132"/>
      <c r="I180" s="94"/>
      <c r="J180" s="94"/>
      <c r="K180" s="125"/>
      <c r="L180" s="125"/>
      <c r="M180" s="99"/>
      <c r="N180" s="111"/>
      <c r="O180" s="112"/>
      <c r="P180" s="94"/>
      <c r="Q180" s="120"/>
      <c r="R180" s="113"/>
      <c r="S180" s="94"/>
      <c r="T180" s="94"/>
      <c r="V180" s="104"/>
    </row>
    <row r="181" ht="15.75" customHeight="1">
      <c r="A181" s="91"/>
      <c r="B181" s="131"/>
      <c r="C181" s="132"/>
      <c r="D181" s="94"/>
      <c r="E181" s="132"/>
      <c r="F181" s="132"/>
      <c r="G181" s="94"/>
      <c r="H181" s="132"/>
      <c r="I181" s="94"/>
      <c r="J181" s="94"/>
      <c r="K181" s="126"/>
      <c r="L181" s="126"/>
      <c r="M181" s="99"/>
      <c r="N181" s="111"/>
      <c r="O181" s="112"/>
      <c r="P181" s="94"/>
      <c r="Q181" s="120"/>
      <c r="R181" s="113"/>
      <c r="S181" s="94"/>
      <c r="T181" s="94"/>
      <c r="V181" s="104"/>
    </row>
    <row r="182" ht="15.75" customHeight="1">
      <c r="A182" s="91"/>
      <c r="B182" s="131"/>
      <c r="C182" s="132"/>
      <c r="D182" s="94"/>
      <c r="E182" s="132"/>
      <c r="F182" s="132"/>
      <c r="G182" s="94"/>
      <c r="H182" s="132"/>
      <c r="I182" s="94"/>
      <c r="J182" s="94"/>
      <c r="K182" s="125"/>
      <c r="L182" s="125"/>
      <c r="M182" s="99"/>
      <c r="N182" s="111"/>
      <c r="O182" s="112"/>
      <c r="P182" s="94"/>
      <c r="Q182" s="120"/>
      <c r="R182" s="113"/>
      <c r="S182" s="94"/>
      <c r="T182" s="94"/>
      <c r="V182" s="104"/>
    </row>
    <row r="183" ht="15.75" customHeight="1">
      <c r="A183" s="91"/>
      <c r="B183" s="131"/>
      <c r="C183" s="132"/>
      <c r="D183" s="94"/>
      <c r="E183" s="132"/>
      <c r="F183" s="132"/>
      <c r="G183" s="94"/>
      <c r="H183" s="132"/>
      <c r="I183" s="94"/>
      <c r="J183" s="94"/>
      <c r="K183" s="126"/>
      <c r="L183" s="126"/>
      <c r="M183" s="99"/>
      <c r="N183" s="111"/>
      <c r="O183" s="112"/>
      <c r="P183" s="94"/>
      <c r="Q183" s="120"/>
      <c r="R183" s="113"/>
      <c r="S183" s="94"/>
      <c r="T183" s="94"/>
      <c r="V183" s="104"/>
    </row>
    <row r="184" ht="15.75" customHeight="1">
      <c r="A184" s="91"/>
      <c r="B184" s="131"/>
      <c r="C184" s="132"/>
      <c r="D184" s="94"/>
      <c r="E184" s="132"/>
      <c r="F184" s="132"/>
      <c r="G184" s="94"/>
      <c r="H184" s="132"/>
      <c r="I184" s="94"/>
      <c r="J184" s="94"/>
      <c r="K184" s="125"/>
      <c r="L184" s="125"/>
      <c r="M184" s="99"/>
      <c r="N184" s="111"/>
      <c r="O184" s="112"/>
      <c r="P184" s="94"/>
      <c r="Q184" s="120"/>
      <c r="R184" s="113"/>
      <c r="S184" s="94"/>
      <c r="T184" s="94"/>
      <c r="V184" s="104"/>
    </row>
    <row r="185" ht="15.75" customHeight="1">
      <c r="A185" s="91"/>
      <c r="B185" s="131"/>
      <c r="C185" s="132"/>
      <c r="D185" s="94"/>
      <c r="E185" s="132"/>
      <c r="F185" s="132"/>
      <c r="G185" s="94"/>
      <c r="H185" s="132"/>
      <c r="I185" s="94"/>
      <c r="J185" s="94"/>
      <c r="K185" s="126"/>
      <c r="L185" s="126"/>
      <c r="M185" s="99"/>
      <c r="N185" s="111"/>
      <c r="O185" s="112"/>
      <c r="P185" s="94"/>
      <c r="Q185" s="120"/>
      <c r="R185" s="113"/>
      <c r="S185" s="94"/>
      <c r="T185" s="94"/>
      <c r="V185" s="104"/>
    </row>
    <row r="186" ht="15.75" customHeight="1">
      <c r="A186" s="91"/>
      <c r="B186" s="131"/>
      <c r="C186" s="104"/>
      <c r="D186" s="94"/>
      <c r="E186" s="132"/>
      <c r="F186" s="132"/>
      <c r="G186" s="94"/>
      <c r="H186" s="132"/>
      <c r="I186" s="94"/>
      <c r="J186" s="94"/>
      <c r="K186" s="125"/>
      <c r="L186" s="125"/>
      <c r="M186" s="99"/>
      <c r="N186" s="111"/>
      <c r="O186" s="112"/>
      <c r="P186" s="94"/>
      <c r="Q186" s="120"/>
      <c r="R186" s="113"/>
      <c r="S186" s="94"/>
      <c r="T186" s="94"/>
      <c r="V186" s="104"/>
    </row>
    <row r="187" ht="15.75" customHeight="1">
      <c r="A187" s="91"/>
      <c r="B187" s="131"/>
      <c r="C187" s="132"/>
      <c r="D187" s="94"/>
      <c r="E187" s="132"/>
      <c r="F187" s="132"/>
      <c r="G187" s="94"/>
      <c r="H187" s="132"/>
      <c r="I187" s="94"/>
      <c r="J187" s="94"/>
      <c r="K187" s="126"/>
      <c r="L187" s="126"/>
      <c r="M187" s="99"/>
      <c r="N187" s="111"/>
      <c r="O187" s="112"/>
      <c r="P187" s="94"/>
      <c r="Q187" s="120"/>
      <c r="R187" s="113"/>
      <c r="S187" s="94"/>
      <c r="T187" s="94"/>
      <c r="V187" s="104"/>
    </row>
    <row r="188" ht="15.75" customHeight="1">
      <c r="A188" s="91"/>
      <c r="B188" s="131"/>
      <c r="C188" s="132"/>
      <c r="D188" s="94"/>
      <c r="E188" s="132"/>
      <c r="F188" s="132"/>
      <c r="G188" s="94"/>
      <c r="H188" s="132"/>
      <c r="I188" s="94"/>
      <c r="J188" s="94"/>
      <c r="K188" s="125"/>
      <c r="L188" s="125"/>
      <c r="M188" s="99"/>
      <c r="N188" s="111"/>
      <c r="O188" s="112"/>
      <c r="P188" s="94"/>
      <c r="Q188" s="120"/>
      <c r="R188" s="113"/>
      <c r="S188" s="94"/>
      <c r="T188" s="94"/>
      <c r="V188" s="104"/>
    </row>
    <row r="189" ht="15.75" customHeight="1">
      <c r="A189" s="91"/>
      <c r="B189" s="131"/>
      <c r="C189" s="132"/>
      <c r="D189" s="94"/>
      <c r="E189" s="132"/>
      <c r="F189" s="132"/>
      <c r="G189" s="94"/>
      <c r="H189" s="132"/>
      <c r="I189" s="94"/>
      <c r="J189" s="94"/>
      <c r="K189" s="126"/>
      <c r="L189" s="126"/>
      <c r="M189" s="99"/>
      <c r="N189" s="111"/>
      <c r="O189" s="112"/>
      <c r="P189" s="94"/>
      <c r="Q189" s="120"/>
      <c r="R189" s="113"/>
      <c r="S189" s="94"/>
      <c r="T189" s="94"/>
      <c r="V189" s="104"/>
    </row>
    <row r="190" ht="15.75" customHeight="1">
      <c r="A190" s="91"/>
      <c r="B190" s="131"/>
      <c r="C190" s="132"/>
      <c r="D190" s="94"/>
      <c r="E190" s="132"/>
      <c r="F190" s="132"/>
      <c r="G190" s="94"/>
      <c r="H190" s="132"/>
      <c r="I190" s="94"/>
      <c r="J190" s="94"/>
      <c r="K190" s="125"/>
      <c r="L190" s="125"/>
      <c r="M190" s="99"/>
      <c r="N190" s="111"/>
      <c r="O190" s="112"/>
      <c r="P190" s="94"/>
      <c r="Q190" s="120"/>
      <c r="R190" s="113"/>
      <c r="S190" s="94"/>
      <c r="T190" s="94"/>
      <c r="V190" s="104"/>
    </row>
    <row r="191" ht="15.75" customHeight="1">
      <c r="A191" s="91"/>
      <c r="B191" s="131"/>
      <c r="C191" s="132"/>
      <c r="D191" s="94"/>
      <c r="E191" s="132"/>
      <c r="F191" s="132"/>
      <c r="G191" s="94"/>
      <c r="H191" s="132"/>
      <c r="I191" s="94"/>
      <c r="J191" s="94"/>
      <c r="K191" s="126"/>
      <c r="L191" s="126"/>
      <c r="M191" s="99"/>
      <c r="N191" s="111"/>
      <c r="O191" s="112"/>
      <c r="P191" s="94"/>
      <c r="Q191" s="120"/>
      <c r="R191" s="113"/>
      <c r="S191" s="94"/>
      <c r="T191" s="94"/>
      <c r="V191" s="104"/>
    </row>
    <row r="192" ht="15.75" customHeight="1">
      <c r="A192" s="91"/>
      <c r="B192" s="131"/>
      <c r="C192" s="104"/>
      <c r="D192" s="94"/>
      <c r="E192" s="132"/>
      <c r="F192" s="132"/>
      <c r="G192" s="94"/>
      <c r="H192" s="132"/>
      <c r="I192" s="94"/>
      <c r="J192" s="94"/>
      <c r="K192" s="125"/>
      <c r="L192" s="125"/>
      <c r="M192" s="99"/>
      <c r="N192" s="111"/>
      <c r="O192" s="112"/>
      <c r="P192" s="94"/>
      <c r="Q192" s="120"/>
      <c r="R192" s="113"/>
      <c r="S192" s="94"/>
      <c r="T192" s="94"/>
      <c r="V192" s="104"/>
    </row>
    <row r="193" ht="15.75" customHeight="1">
      <c r="A193" s="91"/>
      <c r="B193" s="131"/>
      <c r="C193" s="132"/>
      <c r="D193" s="94"/>
      <c r="E193" s="132"/>
      <c r="F193" s="132"/>
      <c r="G193" s="94"/>
      <c r="H193" s="132"/>
      <c r="I193" s="94"/>
      <c r="J193" s="94"/>
      <c r="K193" s="126"/>
      <c r="L193" s="126"/>
      <c r="M193" s="99"/>
      <c r="N193" s="111"/>
      <c r="O193" s="112"/>
      <c r="P193" s="94"/>
      <c r="Q193" s="120"/>
      <c r="R193" s="113"/>
      <c r="S193" s="94"/>
      <c r="T193" s="94"/>
      <c r="V193" s="104"/>
    </row>
    <row r="194" ht="15.75" customHeight="1">
      <c r="A194" s="91"/>
      <c r="B194" s="131"/>
      <c r="C194" s="132"/>
      <c r="D194" s="94"/>
      <c r="E194" s="132"/>
      <c r="F194" s="132"/>
      <c r="G194" s="94"/>
      <c r="H194" s="132"/>
      <c r="I194" s="94"/>
      <c r="J194" s="94"/>
      <c r="K194" s="125"/>
      <c r="L194" s="125"/>
      <c r="M194" s="99"/>
      <c r="N194" s="111"/>
      <c r="O194" s="112"/>
      <c r="P194" s="94"/>
      <c r="Q194" s="120"/>
      <c r="R194" s="113"/>
      <c r="S194" s="94"/>
      <c r="T194" s="94"/>
      <c r="V194" s="104"/>
    </row>
    <row r="195" ht="15.75" customHeight="1">
      <c r="A195" s="91"/>
      <c r="B195" s="131"/>
      <c r="C195" s="132"/>
      <c r="D195" s="94"/>
      <c r="E195" s="132"/>
      <c r="F195" s="132"/>
      <c r="G195" s="94"/>
      <c r="H195" s="132"/>
      <c r="I195" s="94"/>
      <c r="J195" s="94"/>
      <c r="K195" s="126"/>
      <c r="L195" s="126"/>
      <c r="M195" s="99"/>
      <c r="N195" s="111"/>
      <c r="O195" s="112"/>
      <c r="P195" s="94"/>
      <c r="Q195" s="120"/>
      <c r="R195" s="113"/>
      <c r="S195" s="94"/>
      <c r="T195" s="94"/>
      <c r="V195" s="104"/>
    </row>
    <row r="196" ht="15.75" customHeight="1">
      <c r="A196" s="91"/>
      <c r="B196" s="131"/>
      <c r="C196" s="132"/>
      <c r="D196" s="94"/>
      <c r="E196" s="132"/>
      <c r="F196" s="132"/>
      <c r="G196" s="94"/>
      <c r="H196" s="132"/>
      <c r="I196" s="94"/>
      <c r="J196" s="94"/>
      <c r="K196" s="125"/>
      <c r="L196" s="125"/>
      <c r="M196" s="99"/>
      <c r="N196" s="111"/>
      <c r="O196" s="112"/>
      <c r="P196" s="94"/>
      <c r="Q196" s="120"/>
      <c r="R196" s="113"/>
      <c r="S196" s="94"/>
      <c r="T196" s="94"/>
      <c r="V196" s="104"/>
    </row>
    <row r="197" ht="15.75" customHeight="1">
      <c r="A197" s="91"/>
      <c r="B197" s="131"/>
      <c r="C197" s="132"/>
      <c r="D197" s="94"/>
      <c r="E197" s="132"/>
      <c r="F197" s="132"/>
      <c r="G197" s="94"/>
      <c r="H197" s="132"/>
      <c r="I197" s="94"/>
      <c r="J197" s="94"/>
      <c r="K197" s="126"/>
      <c r="L197" s="126"/>
      <c r="M197" s="99"/>
      <c r="N197" s="111"/>
      <c r="O197" s="112"/>
      <c r="P197" s="94"/>
      <c r="Q197" s="120"/>
      <c r="R197" s="113"/>
      <c r="S197" s="94"/>
      <c r="T197" s="94"/>
      <c r="V197" s="104"/>
    </row>
    <row r="198" ht="15.75" customHeight="1">
      <c r="A198" s="91"/>
      <c r="B198" s="131"/>
      <c r="C198" s="104"/>
      <c r="D198" s="94"/>
      <c r="E198" s="132"/>
      <c r="F198" s="132"/>
      <c r="G198" s="94"/>
      <c r="H198" s="132"/>
      <c r="I198" s="94"/>
      <c r="J198" s="94"/>
      <c r="K198" s="125"/>
      <c r="L198" s="125"/>
      <c r="M198" s="99"/>
      <c r="N198" s="111"/>
      <c r="O198" s="112"/>
      <c r="P198" s="94"/>
      <c r="Q198" s="120"/>
      <c r="R198" s="113"/>
      <c r="S198" s="94"/>
      <c r="T198" s="94"/>
      <c r="V198" s="104"/>
    </row>
    <row r="199" ht="15.75" customHeight="1">
      <c r="A199" s="91"/>
      <c r="B199" s="131"/>
      <c r="C199" s="132"/>
      <c r="D199" s="94"/>
      <c r="E199" s="132"/>
      <c r="F199" s="132"/>
      <c r="G199" s="94"/>
      <c r="H199" s="132"/>
      <c r="I199" s="94"/>
      <c r="J199" s="94"/>
      <c r="K199" s="126"/>
      <c r="L199" s="126"/>
      <c r="M199" s="99"/>
      <c r="N199" s="111"/>
      <c r="O199" s="112"/>
      <c r="P199" s="94"/>
      <c r="Q199" s="120"/>
      <c r="R199" s="113"/>
      <c r="S199" s="94"/>
      <c r="T199" s="94"/>
      <c r="V199" s="104"/>
    </row>
    <row r="200" ht="15.75" customHeight="1">
      <c r="A200" s="91"/>
      <c r="B200" s="131"/>
      <c r="C200" s="132"/>
      <c r="D200" s="94"/>
      <c r="E200" s="132"/>
      <c r="F200" s="132"/>
      <c r="G200" s="94"/>
      <c r="H200" s="132"/>
      <c r="I200" s="94"/>
      <c r="J200" s="94"/>
      <c r="K200" s="125"/>
      <c r="L200" s="125"/>
      <c r="M200" s="99"/>
      <c r="N200" s="111"/>
      <c r="O200" s="112"/>
      <c r="P200" s="94"/>
      <c r="Q200" s="120"/>
      <c r="R200" s="113"/>
      <c r="S200" s="94"/>
      <c r="T200" s="94"/>
      <c r="V200" s="104"/>
    </row>
    <row r="201" ht="15.75" customHeight="1">
      <c r="A201" s="91"/>
      <c r="B201" s="131"/>
      <c r="C201" s="132"/>
      <c r="D201" s="94"/>
      <c r="E201" s="132"/>
      <c r="F201" s="132"/>
      <c r="G201" s="94"/>
      <c r="H201" s="132"/>
      <c r="I201" s="94"/>
      <c r="J201" s="94"/>
      <c r="K201" s="126"/>
      <c r="L201" s="126"/>
      <c r="M201" s="99"/>
      <c r="N201" s="111"/>
      <c r="O201" s="112"/>
      <c r="P201" s="94"/>
      <c r="Q201" s="120"/>
      <c r="R201" s="113"/>
      <c r="S201" s="94"/>
      <c r="T201" s="94"/>
      <c r="V201" s="104"/>
    </row>
    <row r="202" ht="15.75" customHeight="1">
      <c r="A202" s="91"/>
      <c r="B202" s="131"/>
      <c r="C202" s="132"/>
      <c r="D202" s="94"/>
      <c r="E202" s="132"/>
      <c r="F202" s="132"/>
      <c r="G202" s="94"/>
      <c r="H202" s="132"/>
      <c r="I202" s="94"/>
      <c r="J202" s="94"/>
      <c r="K202" s="125"/>
      <c r="L202" s="125"/>
      <c r="M202" s="99"/>
      <c r="N202" s="111"/>
      <c r="O202" s="112"/>
      <c r="P202" s="94"/>
      <c r="Q202" s="120"/>
      <c r="R202" s="113"/>
      <c r="S202" s="94"/>
      <c r="T202" s="94"/>
      <c r="V202" s="104"/>
    </row>
    <row r="203" ht="15.75" customHeight="1">
      <c r="A203" s="91"/>
      <c r="B203" s="131"/>
      <c r="C203" s="132"/>
      <c r="D203" s="94"/>
      <c r="E203" s="132"/>
      <c r="F203" s="132"/>
      <c r="G203" s="94"/>
      <c r="H203" s="132"/>
      <c r="I203" s="94"/>
      <c r="J203" s="94"/>
      <c r="K203" s="126"/>
      <c r="L203" s="126"/>
      <c r="M203" s="99"/>
      <c r="N203" s="111"/>
      <c r="O203" s="112"/>
      <c r="P203" s="94"/>
      <c r="Q203" s="120"/>
      <c r="R203" s="113"/>
      <c r="S203" s="94"/>
      <c r="T203" s="94"/>
      <c r="V203" s="104"/>
    </row>
    <row r="204" ht="15.75" customHeight="1">
      <c r="A204" s="91"/>
      <c r="B204" s="131"/>
      <c r="C204" s="104"/>
      <c r="D204" s="94"/>
      <c r="E204" s="132"/>
      <c r="F204" s="132"/>
      <c r="G204" s="94"/>
      <c r="H204" s="132"/>
      <c r="I204" s="94"/>
      <c r="J204" s="94"/>
      <c r="K204" s="125"/>
      <c r="L204" s="125"/>
      <c r="M204" s="99"/>
      <c r="N204" s="111"/>
      <c r="O204" s="112"/>
      <c r="P204" s="94"/>
      <c r="Q204" s="120"/>
      <c r="R204" s="113"/>
      <c r="S204" s="94"/>
      <c r="T204" s="94"/>
      <c r="V204" s="104"/>
    </row>
    <row r="205" ht="15.75" customHeight="1">
      <c r="A205" s="91"/>
      <c r="B205" s="131"/>
      <c r="C205" s="132"/>
      <c r="D205" s="94"/>
      <c r="E205" s="132"/>
      <c r="F205" s="132"/>
      <c r="G205" s="94"/>
      <c r="H205" s="132"/>
      <c r="I205" s="94"/>
      <c r="J205" s="94"/>
      <c r="K205" s="126"/>
      <c r="L205" s="126"/>
      <c r="M205" s="99"/>
      <c r="N205" s="111"/>
      <c r="O205" s="112"/>
      <c r="P205" s="94"/>
      <c r="Q205" s="120"/>
      <c r="R205" s="113"/>
      <c r="S205" s="94"/>
      <c r="T205" s="94"/>
      <c r="V205" s="104"/>
    </row>
    <row r="206" ht="15.75" customHeight="1">
      <c r="A206" s="91"/>
      <c r="B206" s="131"/>
      <c r="C206" s="132"/>
      <c r="D206" s="94"/>
      <c r="E206" s="132"/>
      <c r="F206" s="132"/>
      <c r="G206" s="94"/>
      <c r="H206" s="132"/>
      <c r="I206" s="94"/>
      <c r="J206" s="94"/>
      <c r="K206" s="125"/>
      <c r="L206" s="125"/>
      <c r="M206" s="99"/>
      <c r="N206" s="111"/>
      <c r="O206" s="112"/>
      <c r="P206" s="94"/>
      <c r="Q206" s="120"/>
      <c r="R206" s="113"/>
      <c r="S206" s="94"/>
      <c r="T206" s="94"/>
      <c r="V206" s="104"/>
    </row>
    <row r="207" ht="15.75" customHeight="1">
      <c r="A207" s="91"/>
      <c r="B207" s="131"/>
      <c r="C207" s="132"/>
      <c r="D207" s="94"/>
      <c r="E207" s="132"/>
      <c r="F207" s="132"/>
      <c r="G207" s="94"/>
      <c r="H207" s="132"/>
      <c r="I207" s="94"/>
      <c r="J207" s="94"/>
      <c r="K207" s="126"/>
      <c r="L207" s="126"/>
      <c r="M207" s="99"/>
      <c r="N207" s="111"/>
      <c r="O207" s="112"/>
      <c r="P207" s="94"/>
      <c r="Q207" s="120"/>
      <c r="R207" s="113"/>
      <c r="S207" s="94"/>
      <c r="T207" s="94"/>
      <c r="V207" s="104"/>
    </row>
    <row r="208" ht="15.75" customHeight="1">
      <c r="A208" s="91"/>
      <c r="B208" s="131"/>
      <c r="C208" s="132"/>
      <c r="D208" s="94"/>
      <c r="E208" s="132"/>
      <c r="F208" s="132"/>
      <c r="G208" s="94"/>
      <c r="H208" s="132"/>
      <c r="I208" s="94"/>
      <c r="J208" s="94"/>
      <c r="K208" s="125"/>
      <c r="L208" s="125"/>
      <c r="M208" s="99"/>
      <c r="N208" s="111"/>
      <c r="O208" s="112"/>
      <c r="P208" s="94"/>
      <c r="Q208" s="120"/>
      <c r="R208" s="113"/>
      <c r="S208" s="94"/>
      <c r="T208" s="94"/>
      <c r="V208" s="104"/>
    </row>
    <row r="209" ht="15.75" customHeight="1">
      <c r="A209" s="91"/>
      <c r="B209" s="131"/>
      <c r="C209" s="132"/>
      <c r="D209" s="94"/>
      <c r="E209" s="132"/>
      <c r="F209" s="132"/>
      <c r="G209" s="94"/>
      <c r="H209" s="132"/>
      <c r="I209" s="94"/>
      <c r="J209" s="94"/>
      <c r="K209" s="126"/>
      <c r="L209" s="126"/>
      <c r="M209" s="99"/>
      <c r="N209" s="111"/>
      <c r="O209" s="112"/>
      <c r="P209" s="94"/>
      <c r="Q209" s="120"/>
      <c r="R209" s="113"/>
      <c r="S209" s="94"/>
      <c r="T209" s="94"/>
      <c r="V209" s="104"/>
    </row>
    <row r="210" ht="15.75" customHeight="1">
      <c r="A210" s="91"/>
      <c r="B210" s="131"/>
      <c r="C210" s="104"/>
      <c r="D210" s="94"/>
      <c r="E210" s="132"/>
      <c r="F210" s="132"/>
      <c r="G210" s="94"/>
      <c r="H210" s="132"/>
      <c r="I210" s="94"/>
      <c r="J210" s="94"/>
      <c r="K210" s="125"/>
      <c r="L210" s="125"/>
      <c r="M210" s="99"/>
      <c r="N210" s="111"/>
      <c r="O210" s="112"/>
      <c r="P210" s="94"/>
      <c r="Q210" s="120"/>
      <c r="R210" s="113"/>
      <c r="S210" s="94"/>
      <c r="T210" s="94"/>
      <c r="V210" s="104"/>
    </row>
    <row r="211" ht="15.75" customHeight="1">
      <c r="A211" s="91"/>
      <c r="B211" s="131"/>
      <c r="C211" s="132"/>
      <c r="D211" s="94"/>
      <c r="E211" s="132"/>
      <c r="F211" s="132"/>
      <c r="G211" s="94"/>
      <c r="H211" s="132"/>
      <c r="I211" s="94"/>
      <c r="J211" s="94"/>
      <c r="K211" s="126"/>
      <c r="L211" s="126"/>
      <c r="M211" s="99"/>
      <c r="N211" s="111"/>
      <c r="O211" s="112"/>
      <c r="P211" s="94"/>
      <c r="Q211" s="120"/>
      <c r="R211" s="113"/>
      <c r="S211" s="94"/>
      <c r="T211" s="94"/>
      <c r="V211" s="104"/>
    </row>
    <row r="212" ht="15.75" customHeight="1">
      <c r="A212" s="91"/>
      <c r="B212" s="131"/>
      <c r="C212" s="132"/>
      <c r="D212" s="94"/>
      <c r="E212" s="132"/>
      <c r="F212" s="132"/>
      <c r="G212" s="94"/>
      <c r="H212" s="132"/>
      <c r="I212" s="94"/>
      <c r="J212" s="94"/>
      <c r="K212" s="125"/>
      <c r="L212" s="125"/>
      <c r="M212" s="99"/>
      <c r="N212" s="111"/>
      <c r="O212" s="112"/>
      <c r="P212" s="94"/>
      <c r="Q212" s="120"/>
      <c r="R212" s="113"/>
      <c r="S212" s="94"/>
      <c r="T212" s="94"/>
      <c r="V212" s="104"/>
    </row>
    <row r="213" ht="15.75" customHeight="1">
      <c r="A213" s="91"/>
      <c r="B213" s="131"/>
      <c r="C213" s="132"/>
      <c r="D213" s="94"/>
      <c r="E213" s="132"/>
      <c r="F213" s="132"/>
      <c r="G213" s="94"/>
      <c r="H213" s="132"/>
      <c r="I213" s="94"/>
      <c r="J213" s="94"/>
      <c r="K213" s="126"/>
      <c r="L213" s="126"/>
      <c r="M213" s="99"/>
      <c r="N213" s="111"/>
      <c r="O213" s="112"/>
      <c r="P213" s="94"/>
      <c r="Q213" s="120"/>
      <c r="R213" s="113"/>
      <c r="S213" s="94"/>
      <c r="T213" s="94"/>
      <c r="V213" s="104"/>
    </row>
    <row r="214" ht="15.75" customHeight="1">
      <c r="A214" s="91"/>
      <c r="B214" s="131"/>
      <c r="C214" s="132"/>
      <c r="D214" s="94"/>
      <c r="E214" s="132"/>
      <c r="F214" s="132"/>
      <c r="G214" s="94"/>
      <c r="H214" s="132"/>
      <c r="I214" s="94"/>
      <c r="J214" s="94"/>
      <c r="K214" s="125"/>
      <c r="L214" s="125"/>
      <c r="M214" s="99"/>
      <c r="N214" s="111"/>
      <c r="O214" s="112"/>
      <c r="P214" s="94"/>
      <c r="Q214" s="120"/>
      <c r="R214" s="113"/>
      <c r="S214" s="94"/>
      <c r="T214" s="94"/>
      <c r="V214" s="104"/>
    </row>
    <row r="215" ht="15.75" customHeight="1">
      <c r="A215" s="91"/>
      <c r="B215" s="131"/>
      <c r="C215" s="132"/>
      <c r="D215" s="94"/>
      <c r="E215" s="132"/>
      <c r="F215" s="132"/>
      <c r="G215" s="94"/>
      <c r="H215" s="132"/>
      <c r="I215" s="94"/>
      <c r="J215" s="94"/>
      <c r="K215" s="126"/>
      <c r="L215" s="126"/>
      <c r="M215" s="99"/>
      <c r="N215" s="111"/>
      <c r="O215" s="112"/>
      <c r="P215" s="94"/>
      <c r="Q215" s="120"/>
      <c r="R215" s="113"/>
      <c r="S215" s="94"/>
      <c r="T215" s="94"/>
      <c r="V215" s="104"/>
    </row>
    <row r="216" ht="15.75" customHeight="1">
      <c r="A216" s="91"/>
      <c r="B216" s="131"/>
      <c r="C216" s="104"/>
      <c r="D216" s="94"/>
      <c r="E216" s="132"/>
      <c r="F216" s="132"/>
      <c r="G216" s="94"/>
      <c r="H216" s="132"/>
      <c r="I216" s="94"/>
      <c r="J216" s="94"/>
      <c r="K216" s="125"/>
      <c r="L216" s="125"/>
      <c r="M216" s="99"/>
      <c r="N216" s="111"/>
      <c r="O216" s="112"/>
      <c r="P216" s="94"/>
      <c r="Q216" s="120"/>
      <c r="R216" s="113"/>
      <c r="S216" s="94"/>
      <c r="T216" s="94"/>
      <c r="V216" s="104"/>
    </row>
    <row r="217" ht="15.75" customHeight="1">
      <c r="A217" s="91"/>
      <c r="B217" s="131"/>
      <c r="C217" s="132"/>
      <c r="D217" s="94"/>
      <c r="E217" s="132"/>
      <c r="F217" s="132"/>
      <c r="G217" s="94"/>
      <c r="H217" s="132"/>
      <c r="I217" s="94"/>
      <c r="J217" s="94"/>
      <c r="K217" s="126"/>
      <c r="L217" s="126"/>
      <c r="M217" s="99"/>
      <c r="N217" s="111"/>
      <c r="O217" s="112"/>
      <c r="P217" s="94"/>
      <c r="Q217" s="120"/>
      <c r="R217" s="113"/>
      <c r="S217" s="94"/>
      <c r="T217" s="94"/>
      <c r="V217" s="104"/>
    </row>
    <row r="218" ht="15.75" customHeight="1">
      <c r="A218" s="91"/>
      <c r="B218" s="131"/>
      <c r="C218" s="132"/>
      <c r="D218" s="94"/>
      <c r="E218" s="132"/>
      <c r="F218" s="132"/>
      <c r="G218" s="94"/>
      <c r="H218" s="132"/>
      <c r="I218" s="94"/>
      <c r="J218" s="94"/>
      <c r="K218" s="125"/>
      <c r="L218" s="125"/>
      <c r="M218" s="99"/>
      <c r="N218" s="111"/>
      <c r="O218" s="112"/>
      <c r="P218" s="94"/>
      <c r="Q218" s="120"/>
      <c r="R218" s="113"/>
      <c r="S218" s="94"/>
      <c r="T218" s="94"/>
      <c r="V218" s="104"/>
    </row>
    <row r="219" ht="15.75" customHeight="1">
      <c r="A219" s="91"/>
      <c r="B219" s="131"/>
      <c r="C219" s="132"/>
      <c r="D219" s="94"/>
      <c r="E219" s="132"/>
      <c r="F219" s="132"/>
      <c r="G219" s="94"/>
      <c r="H219" s="132"/>
      <c r="I219" s="94"/>
      <c r="J219" s="94"/>
      <c r="K219" s="126"/>
      <c r="L219" s="126"/>
      <c r="M219" s="99"/>
      <c r="N219" s="111"/>
      <c r="O219" s="112"/>
      <c r="P219" s="94"/>
      <c r="Q219" s="120"/>
      <c r="R219" s="113"/>
      <c r="S219" s="94"/>
      <c r="T219" s="94"/>
      <c r="V219" s="104"/>
    </row>
    <row r="220" ht="15.75" customHeight="1">
      <c r="A220" s="91"/>
      <c r="B220" s="131"/>
      <c r="C220" s="132"/>
      <c r="D220" s="94"/>
      <c r="E220" s="132"/>
      <c r="F220" s="132"/>
      <c r="G220" s="94"/>
      <c r="H220" s="132"/>
      <c r="I220" s="94"/>
      <c r="J220" s="94"/>
      <c r="K220" s="125"/>
      <c r="L220" s="125"/>
      <c r="M220" s="99"/>
      <c r="N220" s="111"/>
      <c r="O220" s="112"/>
      <c r="P220" s="94"/>
      <c r="Q220" s="120"/>
      <c r="R220" s="113"/>
      <c r="S220" s="94"/>
      <c r="T220" s="94"/>
      <c r="V220" s="104"/>
    </row>
    <row r="221" ht="15.75" customHeight="1">
      <c r="A221" s="91"/>
      <c r="B221" s="131"/>
      <c r="C221" s="132"/>
      <c r="D221" s="94"/>
      <c r="E221" s="132"/>
      <c r="F221" s="132"/>
      <c r="G221" s="94"/>
      <c r="H221" s="132"/>
      <c r="I221" s="94"/>
      <c r="J221" s="94"/>
      <c r="K221" s="126"/>
      <c r="L221" s="126"/>
      <c r="M221" s="99"/>
      <c r="N221" s="111"/>
      <c r="O221" s="112"/>
      <c r="P221" s="94"/>
      <c r="Q221" s="120"/>
      <c r="R221" s="113"/>
      <c r="S221" s="94"/>
      <c r="T221" s="94"/>
      <c r="V221" s="104"/>
    </row>
    <row r="222" ht="15.75" customHeight="1">
      <c r="A222" s="91"/>
      <c r="B222" s="131"/>
      <c r="C222" s="104"/>
      <c r="D222" s="94"/>
      <c r="E222" s="132"/>
      <c r="F222" s="132"/>
      <c r="G222" s="94"/>
      <c r="H222" s="132"/>
      <c r="I222" s="94"/>
      <c r="J222" s="94"/>
      <c r="K222" s="125"/>
      <c r="L222" s="125"/>
      <c r="M222" s="99"/>
      <c r="N222" s="111"/>
      <c r="O222" s="112"/>
      <c r="P222" s="94"/>
      <c r="Q222" s="120"/>
      <c r="R222" s="113"/>
      <c r="S222" s="94"/>
      <c r="T222" s="94"/>
      <c r="V222" s="104"/>
    </row>
    <row r="223" ht="15.75" customHeight="1">
      <c r="A223" s="91"/>
      <c r="B223" s="131"/>
      <c r="C223" s="132"/>
      <c r="D223" s="94"/>
      <c r="E223" s="132"/>
      <c r="F223" s="132"/>
      <c r="G223" s="94"/>
      <c r="H223" s="132"/>
      <c r="I223" s="94"/>
      <c r="J223" s="94"/>
      <c r="K223" s="126"/>
      <c r="L223" s="126"/>
      <c r="M223" s="99"/>
      <c r="N223" s="111"/>
      <c r="O223" s="112"/>
      <c r="P223" s="94"/>
      <c r="Q223" s="120"/>
      <c r="R223" s="113"/>
      <c r="S223" s="94"/>
      <c r="T223" s="94"/>
      <c r="V223" s="104"/>
    </row>
    <row r="224" ht="15.75" customHeight="1">
      <c r="A224" s="91"/>
      <c r="B224" s="131"/>
      <c r="C224" s="132"/>
      <c r="D224" s="94"/>
      <c r="E224" s="132"/>
      <c r="F224" s="132"/>
      <c r="G224" s="94"/>
      <c r="H224" s="132"/>
      <c r="I224" s="94"/>
      <c r="J224" s="94"/>
      <c r="K224" s="125"/>
      <c r="L224" s="125"/>
      <c r="M224" s="99"/>
      <c r="N224" s="111"/>
      <c r="O224" s="112"/>
      <c r="P224" s="94"/>
      <c r="Q224" s="120"/>
      <c r="R224" s="113"/>
      <c r="S224" s="94"/>
      <c r="T224" s="94"/>
      <c r="V224" s="104"/>
    </row>
    <row r="225" ht="15.75" customHeight="1">
      <c r="A225" s="91"/>
      <c r="B225" s="131"/>
      <c r="C225" s="132"/>
      <c r="D225" s="94"/>
      <c r="E225" s="132"/>
      <c r="F225" s="132"/>
      <c r="G225" s="94"/>
      <c r="H225" s="132"/>
      <c r="I225" s="94"/>
      <c r="J225" s="94"/>
      <c r="K225" s="126"/>
      <c r="L225" s="126"/>
      <c r="M225" s="99"/>
      <c r="N225" s="111"/>
      <c r="O225" s="112"/>
      <c r="P225" s="94"/>
      <c r="Q225" s="120"/>
      <c r="R225" s="113"/>
      <c r="S225" s="94"/>
      <c r="T225" s="94"/>
      <c r="V225" s="104"/>
    </row>
    <row r="226" ht="15.75" customHeight="1">
      <c r="A226" s="91"/>
      <c r="B226" s="131"/>
      <c r="C226" s="132"/>
      <c r="D226" s="94"/>
      <c r="E226" s="132"/>
      <c r="F226" s="132"/>
      <c r="G226" s="94"/>
      <c r="H226" s="132"/>
      <c r="I226" s="94"/>
      <c r="J226" s="94"/>
      <c r="K226" s="125"/>
      <c r="L226" s="125"/>
      <c r="M226" s="99"/>
      <c r="N226" s="111"/>
      <c r="O226" s="112"/>
      <c r="P226" s="94"/>
      <c r="Q226" s="120"/>
      <c r="R226" s="113"/>
      <c r="S226" s="94"/>
      <c r="T226" s="94"/>
      <c r="V226" s="104"/>
    </row>
    <row r="227" ht="15.75" customHeight="1">
      <c r="A227" s="91"/>
      <c r="B227" s="131"/>
      <c r="C227" s="132"/>
      <c r="D227" s="94"/>
      <c r="E227" s="132"/>
      <c r="F227" s="132"/>
      <c r="G227" s="94"/>
      <c r="H227" s="132"/>
      <c r="I227" s="94"/>
      <c r="J227" s="94"/>
      <c r="K227" s="126"/>
      <c r="L227" s="126"/>
      <c r="M227" s="99"/>
      <c r="N227" s="111"/>
      <c r="O227" s="112"/>
      <c r="P227" s="94"/>
      <c r="Q227" s="120"/>
      <c r="R227" s="113"/>
      <c r="S227" s="94"/>
      <c r="T227" s="94"/>
      <c r="V227" s="104"/>
    </row>
    <row r="228" ht="15.75" customHeight="1">
      <c r="A228" s="91"/>
      <c r="B228" s="131"/>
      <c r="C228" s="104"/>
      <c r="D228" s="94"/>
      <c r="E228" s="132"/>
      <c r="F228" s="132"/>
      <c r="G228" s="94"/>
      <c r="H228" s="132"/>
      <c r="I228" s="94"/>
      <c r="J228" s="94"/>
      <c r="K228" s="125"/>
      <c r="L228" s="125"/>
      <c r="M228" s="99"/>
      <c r="N228" s="111"/>
      <c r="O228" s="112"/>
      <c r="P228" s="94"/>
      <c r="Q228" s="120"/>
      <c r="R228" s="113"/>
      <c r="S228" s="94"/>
      <c r="T228" s="94"/>
      <c r="V228" s="104"/>
    </row>
    <row r="229" ht="15.75" customHeight="1">
      <c r="A229" s="91"/>
      <c r="B229" s="131"/>
      <c r="C229" s="132"/>
      <c r="D229" s="94"/>
      <c r="E229" s="132"/>
      <c r="F229" s="132"/>
      <c r="G229" s="94"/>
      <c r="H229" s="132"/>
      <c r="I229" s="94"/>
      <c r="J229" s="94"/>
      <c r="K229" s="126"/>
      <c r="L229" s="126"/>
      <c r="M229" s="99"/>
      <c r="N229" s="111"/>
      <c r="O229" s="112"/>
      <c r="P229" s="94"/>
      <c r="Q229" s="120"/>
      <c r="R229" s="113"/>
      <c r="S229" s="94"/>
      <c r="T229" s="94"/>
      <c r="V229" s="104"/>
    </row>
    <row r="230" ht="15.75" customHeight="1">
      <c r="A230" s="91"/>
      <c r="B230" s="131"/>
      <c r="C230" s="132"/>
      <c r="D230" s="94"/>
      <c r="E230" s="132"/>
      <c r="F230" s="132"/>
      <c r="G230" s="94"/>
      <c r="H230" s="132"/>
      <c r="I230" s="94"/>
      <c r="J230" s="94"/>
      <c r="K230" s="125"/>
      <c r="L230" s="125"/>
      <c r="M230" s="99"/>
      <c r="N230" s="111"/>
      <c r="O230" s="112"/>
      <c r="P230" s="94"/>
      <c r="Q230" s="120"/>
      <c r="R230" s="113"/>
      <c r="S230" s="94"/>
      <c r="T230" s="94"/>
      <c r="V230" s="104"/>
    </row>
    <row r="231" ht="15.75" customHeight="1">
      <c r="A231" s="91"/>
      <c r="B231" s="131"/>
      <c r="C231" s="132"/>
      <c r="D231" s="94"/>
      <c r="E231" s="132"/>
      <c r="F231" s="132"/>
      <c r="G231" s="94"/>
      <c r="H231" s="132"/>
      <c r="I231" s="94"/>
      <c r="J231" s="94"/>
      <c r="K231" s="126"/>
      <c r="L231" s="126"/>
      <c r="M231" s="99"/>
      <c r="N231" s="111"/>
      <c r="O231" s="112"/>
      <c r="P231" s="94"/>
      <c r="Q231" s="120"/>
      <c r="R231" s="113"/>
      <c r="S231" s="94"/>
      <c r="T231" s="94"/>
      <c r="V231" s="104"/>
    </row>
    <row r="232" ht="15.75" customHeight="1">
      <c r="A232" s="91"/>
      <c r="B232" s="131"/>
      <c r="C232" s="132"/>
      <c r="D232" s="94"/>
      <c r="E232" s="132"/>
      <c r="F232" s="132"/>
      <c r="G232" s="94"/>
      <c r="H232" s="132"/>
      <c r="I232" s="94"/>
      <c r="J232" s="94"/>
      <c r="K232" s="125"/>
      <c r="L232" s="125"/>
      <c r="M232" s="99"/>
      <c r="N232" s="111"/>
      <c r="O232" s="112"/>
      <c r="P232" s="94"/>
      <c r="Q232" s="120"/>
      <c r="R232" s="113"/>
      <c r="S232" s="94"/>
      <c r="T232" s="94"/>
      <c r="V232" s="104"/>
    </row>
    <row r="233" ht="15.75" customHeight="1">
      <c r="A233" s="91"/>
      <c r="B233" s="131"/>
      <c r="C233" s="132"/>
      <c r="D233" s="94"/>
      <c r="E233" s="132"/>
      <c r="F233" s="132"/>
      <c r="G233" s="94"/>
      <c r="H233" s="132"/>
      <c r="I233" s="94"/>
      <c r="J233" s="94"/>
      <c r="K233" s="126"/>
      <c r="L233" s="126"/>
      <c r="M233" s="99"/>
      <c r="N233" s="111"/>
      <c r="O233" s="112"/>
      <c r="P233" s="94"/>
      <c r="Q233" s="120"/>
      <c r="R233" s="113"/>
      <c r="S233" s="94"/>
      <c r="T233" s="94"/>
      <c r="V233" s="104"/>
    </row>
    <row r="234" ht="15.75" customHeight="1">
      <c r="A234" s="91"/>
      <c r="B234" s="131"/>
      <c r="C234" s="104"/>
      <c r="D234" s="94"/>
      <c r="E234" s="132"/>
      <c r="F234" s="132"/>
      <c r="G234" s="94"/>
      <c r="H234" s="132"/>
      <c r="I234" s="94"/>
      <c r="J234" s="94"/>
      <c r="K234" s="125"/>
      <c r="L234" s="125"/>
      <c r="M234" s="99"/>
      <c r="N234" s="111"/>
      <c r="O234" s="112"/>
      <c r="P234" s="94"/>
      <c r="Q234" s="120"/>
      <c r="R234" s="113"/>
      <c r="S234" s="94"/>
      <c r="T234" s="94"/>
      <c r="V234" s="104"/>
    </row>
    <row r="235" ht="15.75" customHeight="1">
      <c r="A235" s="91"/>
      <c r="B235" s="131"/>
      <c r="C235" s="132"/>
      <c r="D235" s="94"/>
      <c r="E235" s="132"/>
      <c r="F235" s="132"/>
      <c r="G235" s="94"/>
      <c r="H235" s="132"/>
      <c r="I235" s="94"/>
      <c r="J235" s="94"/>
      <c r="K235" s="126"/>
      <c r="L235" s="126"/>
      <c r="M235" s="99"/>
      <c r="N235" s="111"/>
      <c r="O235" s="112"/>
      <c r="P235" s="94"/>
      <c r="Q235" s="120"/>
      <c r="R235" s="113"/>
      <c r="S235" s="94"/>
      <c r="T235" s="94"/>
      <c r="V235" s="104"/>
    </row>
    <row r="236" ht="15.75" customHeight="1">
      <c r="A236" s="91"/>
      <c r="B236" s="131"/>
      <c r="C236" s="132"/>
      <c r="D236" s="94"/>
      <c r="E236" s="132"/>
      <c r="F236" s="132"/>
      <c r="G236" s="94"/>
      <c r="H236" s="132"/>
      <c r="I236" s="94"/>
      <c r="J236" s="94"/>
      <c r="K236" s="125"/>
      <c r="L236" s="125"/>
      <c r="M236" s="99"/>
      <c r="N236" s="111"/>
      <c r="O236" s="112"/>
      <c r="P236" s="94"/>
      <c r="Q236" s="120"/>
      <c r="R236" s="113"/>
      <c r="S236" s="94"/>
      <c r="T236" s="94"/>
      <c r="V236" s="104"/>
    </row>
    <row r="237" ht="15.75" customHeight="1">
      <c r="A237" s="91"/>
      <c r="B237" s="131"/>
      <c r="C237" s="132"/>
      <c r="D237" s="94"/>
      <c r="E237" s="132"/>
      <c r="F237" s="132"/>
      <c r="G237" s="94"/>
      <c r="H237" s="132"/>
      <c r="I237" s="94"/>
      <c r="J237" s="94"/>
      <c r="K237" s="126"/>
      <c r="L237" s="126"/>
      <c r="M237" s="99"/>
      <c r="N237" s="111"/>
      <c r="O237" s="112"/>
      <c r="P237" s="94"/>
      <c r="Q237" s="120"/>
      <c r="R237" s="113"/>
      <c r="S237" s="94"/>
      <c r="T237" s="94"/>
      <c r="V237" s="104"/>
    </row>
    <row r="238" ht="15.75" customHeight="1">
      <c r="A238" s="91"/>
      <c r="B238" s="131"/>
      <c r="C238" s="132"/>
      <c r="D238" s="94"/>
      <c r="E238" s="132"/>
      <c r="F238" s="132"/>
      <c r="G238" s="94"/>
      <c r="H238" s="132"/>
      <c r="I238" s="94"/>
      <c r="J238" s="94"/>
      <c r="K238" s="125"/>
      <c r="L238" s="125"/>
      <c r="M238" s="99"/>
      <c r="N238" s="111"/>
      <c r="O238" s="112"/>
      <c r="P238" s="94"/>
      <c r="Q238" s="120"/>
      <c r="R238" s="113"/>
      <c r="S238" s="94"/>
      <c r="T238" s="94"/>
      <c r="V238" s="104"/>
    </row>
    <row r="239" ht="15.75" customHeight="1">
      <c r="A239" s="91"/>
      <c r="B239" s="131"/>
      <c r="C239" s="132"/>
      <c r="D239" s="94"/>
      <c r="E239" s="132"/>
      <c r="F239" s="132"/>
      <c r="G239" s="94"/>
      <c r="H239" s="132"/>
      <c r="I239" s="94"/>
      <c r="J239" s="94"/>
      <c r="K239" s="126"/>
      <c r="L239" s="126"/>
      <c r="M239" s="99"/>
      <c r="N239" s="111"/>
      <c r="O239" s="112"/>
      <c r="P239" s="94"/>
      <c r="Q239" s="120"/>
      <c r="R239" s="113"/>
      <c r="S239" s="94"/>
      <c r="T239" s="94"/>
      <c r="V239" s="104"/>
    </row>
    <row r="240" ht="15.75" customHeight="1">
      <c r="A240" s="91"/>
      <c r="B240" s="131"/>
      <c r="C240" s="104"/>
      <c r="D240" s="94"/>
      <c r="E240" s="132"/>
      <c r="F240" s="132"/>
      <c r="G240" s="94"/>
      <c r="H240" s="132"/>
      <c r="I240" s="94"/>
      <c r="J240" s="94"/>
      <c r="K240" s="125"/>
      <c r="L240" s="125"/>
      <c r="M240" s="99"/>
      <c r="N240" s="111"/>
      <c r="O240" s="112"/>
      <c r="P240" s="94"/>
      <c r="Q240" s="120"/>
      <c r="R240" s="113"/>
      <c r="S240" s="94"/>
      <c r="T240" s="94"/>
      <c r="V240" s="104"/>
    </row>
    <row r="241" ht="15.75" customHeight="1">
      <c r="A241" s="91"/>
      <c r="B241" s="131"/>
      <c r="C241" s="132"/>
      <c r="D241" s="94"/>
      <c r="E241" s="132"/>
      <c r="F241" s="132"/>
      <c r="G241" s="94"/>
      <c r="H241" s="132"/>
      <c r="I241" s="94"/>
      <c r="J241" s="94"/>
      <c r="K241" s="126"/>
      <c r="L241" s="126"/>
      <c r="M241" s="99"/>
      <c r="N241" s="111"/>
      <c r="O241" s="112"/>
      <c r="P241" s="94"/>
      <c r="Q241" s="120"/>
      <c r="R241" s="113"/>
      <c r="S241" s="94"/>
      <c r="T241" s="94"/>
      <c r="V241" s="104"/>
    </row>
    <row r="242" ht="15.75" customHeight="1">
      <c r="A242" s="91"/>
      <c r="B242" s="131"/>
      <c r="C242" s="132"/>
      <c r="D242" s="94"/>
      <c r="E242" s="132"/>
      <c r="F242" s="132"/>
      <c r="G242" s="94"/>
      <c r="H242" s="132"/>
      <c r="I242" s="94"/>
      <c r="J242" s="94"/>
      <c r="K242" s="125"/>
      <c r="L242" s="125"/>
      <c r="M242" s="99"/>
      <c r="N242" s="111"/>
      <c r="O242" s="112"/>
      <c r="P242" s="94"/>
      <c r="Q242" s="120"/>
      <c r="R242" s="113"/>
      <c r="S242" s="94"/>
      <c r="T242" s="94"/>
      <c r="V242" s="104"/>
    </row>
    <row r="243" ht="15.75" customHeight="1">
      <c r="A243" s="91"/>
      <c r="B243" s="131"/>
      <c r="C243" s="132"/>
      <c r="D243" s="94"/>
      <c r="E243" s="132"/>
      <c r="F243" s="132"/>
      <c r="G243" s="94"/>
      <c r="H243" s="132"/>
      <c r="I243" s="94"/>
      <c r="J243" s="94"/>
      <c r="K243" s="126"/>
      <c r="L243" s="126"/>
      <c r="M243" s="99"/>
      <c r="N243" s="111"/>
      <c r="O243" s="112"/>
      <c r="P243" s="94"/>
      <c r="Q243" s="120"/>
      <c r="R243" s="113"/>
      <c r="S243" s="94"/>
      <c r="T243" s="94"/>
      <c r="V243" s="104"/>
    </row>
    <row r="244" ht="15.75" customHeight="1">
      <c r="A244" s="91"/>
      <c r="B244" s="131"/>
      <c r="C244" s="132"/>
      <c r="D244" s="94"/>
      <c r="E244" s="132"/>
      <c r="F244" s="132"/>
      <c r="G244" s="94"/>
      <c r="H244" s="132"/>
      <c r="I244" s="94"/>
      <c r="J244" s="94"/>
      <c r="K244" s="125"/>
      <c r="L244" s="125"/>
      <c r="M244" s="99"/>
      <c r="N244" s="111"/>
      <c r="O244" s="112"/>
      <c r="P244" s="94"/>
      <c r="Q244" s="120"/>
      <c r="R244" s="113"/>
      <c r="S244" s="94"/>
      <c r="T244" s="94"/>
      <c r="V244" s="104"/>
    </row>
    <row r="245" ht="15.75" customHeight="1">
      <c r="A245" s="91"/>
      <c r="B245" s="131"/>
      <c r="C245" s="132"/>
      <c r="D245" s="94"/>
      <c r="E245" s="132"/>
      <c r="F245" s="132"/>
      <c r="G245" s="94"/>
      <c r="H245" s="132"/>
      <c r="I245" s="94"/>
      <c r="J245" s="94"/>
      <c r="K245" s="126"/>
      <c r="L245" s="126"/>
      <c r="M245" s="99"/>
      <c r="N245" s="111"/>
      <c r="O245" s="112"/>
      <c r="P245" s="94"/>
      <c r="Q245" s="120"/>
      <c r="R245" s="113"/>
      <c r="S245" s="94"/>
      <c r="T245" s="94"/>
      <c r="V245" s="104"/>
    </row>
    <row r="246" ht="15.75" customHeight="1">
      <c r="A246" s="91"/>
      <c r="B246" s="131"/>
      <c r="C246" s="104"/>
      <c r="D246" s="94"/>
      <c r="E246" s="132"/>
      <c r="F246" s="132"/>
      <c r="G246" s="94"/>
      <c r="H246" s="132"/>
      <c r="I246" s="94"/>
      <c r="J246" s="94"/>
      <c r="K246" s="125"/>
      <c r="L246" s="125"/>
      <c r="M246" s="99"/>
      <c r="N246" s="111"/>
      <c r="O246" s="112"/>
      <c r="P246" s="94"/>
      <c r="Q246" s="120"/>
      <c r="R246" s="113"/>
      <c r="S246" s="94"/>
      <c r="T246" s="94"/>
      <c r="V246" s="104"/>
    </row>
    <row r="247" ht="15.75" customHeight="1">
      <c r="A247" s="91"/>
      <c r="B247" s="131"/>
      <c r="C247" s="132"/>
      <c r="D247" s="94"/>
      <c r="E247" s="132"/>
      <c r="F247" s="132"/>
      <c r="G247" s="94"/>
      <c r="H247" s="132"/>
      <c r="I247" s="94"/>
      <c r="J247" s="94"/>
      <c r="K247" s="126"/>
      <c r="L247" s="126"/>
      <c r="M247" s="99"/>
      <c r="N247" s="111"/>
      <c r="O247" s="112"/>
      <c r="P247" s="94"/>
      <c r="Q247" s="120"/>
      <c r="R247" s="113"/>
      <c r="S247" s="94"/>
      <c r="T247" s="94"/>
      <c r="V247" s="104"/>
    </row>
    <row r="248" ht="15.75" customHeight="1">
      <c r="A248" s="91"/>
      <c r="B248" s="131"/>
      <c r="C248" s="132"/>
      <c r="D248" s="94"/>
      <c r="E248" s="132"/>
      <c r="F248" s="132"/>
      <c r="G248" s="94"/>
      <c r="H248" s="132"/>
      <c r="I248" s="94"/>
      <c r="J248" s="94"/>
      <c r="K248" s="125"/>
      <c r="L248" s="125"/>
      <c r="M248" s="99"/>
      <c r="N248" s="111"/>
      <c r="O248" s="112"/>
      <c r="P248" s="94"/>
      <c r="Q248" s="120"/>
      <c r="R248" s="113"/>
      <c r="S248" s="94"/>
      <c r="T248" s="94"/>
      <c r="V248" s="104"/>
    </row>
    <row r="249" ht="15.75" customHeight="1">
      <c r="A249" s="91"/>
      <c r="B249" s="131"/>
      <c r="C249" s="132"/>
      <c r="D249" s="94"/>
      <c r="E249" s="132"/>
      <c r="F249" s="132"/>
      <c r="G249" s="94"/>
      <c r="H249" s="132"/>
      <c r="I249" s="94"/>
      <c r="J249" s="94"/>
      <c r="K249" s="126"/>
      <c r="L249" s="126"/>
      <c r="M249" s="99"/>
      <c r="N249" s="111"/>
      <c r="O249" s="112"/>
      <c r="P249" s="94"/>
      <c r="Q249" s="120"/>
      <c r="R249" s="113"/>
      <c r="S249" s="94"/>
      <c r="T249" s="94"/>
      <c r="V249" s="104"/>
    </row>
    <row r="250" ht="15.75" customHeight="1">
      <c r="A250" s="91"/>
      <c r="B250" s="131"/>
      <c r="C250" s="132"/>
      <c r="D250" s="94"/>
      <c r="E250" s="132"/>
      <c r="F250" s="132"/>
      <c r="G250" s="94"/>
      <c r="H250" s="132"/>
      <c r="I250" s="94"/>
      <c r="J250" s="94"/>
      <c r="K250" s="125"/>
      <c r="L250" s="125"/>
      <c r="M250" s="99"/>
      <c r="N250" s="111"/>
      <c r="O250" s="112"/>
      <c r="P250" s="94"/>
      <c r="Q250" s="120"/>
      <c r="R250" s="113"/>
      <c r="S250" s="94"/>
      <c r="T250" s="94"/>
      <c r="V250" s="104"/>
    </row>
    <row r="251" ht="15.75" customHeight="1">
      <c r="A251" s="91"/>
      <c r="B251" s="131"/>
      <c r="C251" s="132"/>
      <c r="D251" s="94"/>
      <c r="E251" s="132"/>
      <c r="F251" s="132"/>
      <c r="G251" s="94"/>
      <c r="H251" s="132"/>
      <c r="I251" s="94"/>
      <c r="J251" s="94"/>
      <c r="K251" s="126"/>
      <c r="L251" s="126"/>
      <c r="M251" s="99"/>
      <c r="N251" s="111"/>
      <c r="O251" s="112"/>
      <c r="P251" s="94"/>
      <c r="Q251" s="120"/>
      <c r="R251" s="113"/>
      <c r="S251" s="94"/>
      <c r="T251" s="94"/>
      <c r="V251" s="104"/>
    </row>
    <row r="252" ht="15.75" customHeight="1">
      <c r="A252" s="91"/>
      <c r="B252" s="131"/>
      <c r="C252" s="104"/>
      <c r="D252" s="94"/>
      <c r="E252" s="132"/>
      <c r="F252" s="132"/>
      <c r="G252" s="94"/>
      <c r="H252" s="132"/>
      <c r="I252" s="94"/>
      <c r="J252" s="94"/>
      <c r="K252" s="125"/>
      <c r="L252" s="125"/>
      <c r="M252" s="99"/>
      <c r="N252" s="111"/>
      <c r="O252" s="112"/>
      <c r="P252" s="94"/>
      <c r="Q252" s="120"/>
      <c r="R252" s="113"/>
      <c r="S252" s="94"/>
      <c r="T252" s="94"/>
      <c r="V252" s="104"/>
    </row>
    <row r="253" ht="15.75" customHeight="1">
      <c r="A253" s="91"/>
      <c r="B253" s="131"/>
      <c r="C253" s="132"/>
      <c r="D253" s="94"/>
      <c r="E253" s="132"/>
      <c r="F253" s="132"/>
      <c r="G253" s="94"/>
      <c r="H253" s="132"/>
      <c r="I253" s="94"/>
      <c r="J253" s="94"/>
      <c r="K253" s="126"/>
      <c r="L253" s="126"/>
      <c r="M253" s="99"/>
      <c r="N253" s="111"/>
      <c r="O253" s="112"/>
      <c r="P253" s="94"/>
      <c r="Q253" s="120"/>
      <c r="R253" s="113"/>
      <c r="S253" s="94"/>
      <c r="T253" s="94"/>
      <c r="V253" s="104"/>
    </row>
    <row r="254" ht="15.75" customHeight="1">
      <c r="A254" s="91"/>
      <c r="B254" s="131"/>
      <c r="C254" s="132"/>
      <c r="D254" s="94"/>
      <c r="E254" s="132"/>
      <c r="F254" s="132"/>
      <c r="G254" s="94"/>
      <c r="H254" s="132"/>
      <c r="I254" s="94"/>
      <c r="J254" s="94"/>
      <c r="K254" s="125"/>
      <c r="L254" s="125"/>
      <c r="M254" s="99"/>
      <c r="N254" s="111"/>
      <c r="O254" s="112"/>
      <c r="P254" s="94"/>
      <c r="Q254" s="120"/>
      <c r="R254" s="113"/>
      <c r="S254" s="94"/>
      <c r="T254" s="94"/>
      <c r="V254" s="104"/>
    </row>
    <row r="255" ht="15.75" customHeight="1">
      <c r="A255" s="91"/>
      <c r="B255" s="131"/>
      <c r="C255" s="132"/>
      <c r="D255" s="94"/>
      <c r="E255" s="132"/>
      <c r="F255" s="132"/>
      <c r="G255" s="94"/>
      <c r="H255" s="132"/>
      <c r="I255" s="94"/>
      <c r="J255" s="94"/>
      <c r="K255" s="126"/>
      <c r="L255" s="126"/>
      <c r="M255" s="99"/>
      <c r="N255" s="111"/>
      <c r="O255" s="112"/>
      <c r="P255" s="94"/>
      <c r="Q255" s="120"/>
      <c r="R255" s="113"/>
      <c r="S255" s="94"/>
      <c r="T255" s="94"/>
      <c r="V255" s="104"/>
    </row>
    <row r="256" ht="15.75" customHeight="1">
      <c r="A256" s="91"/>
      <c r="B256" s="131"/>
      <c r="C256" s="132"/>
      <c r="D256" s="94"/>
      <c r="E256" s="132"/>
      <c r="F256" s="132"/>
      <c r="G256" s="94"/>
      <c r="H256" s="132"/>
      <c r="I256" s="94"/>
      <c r="J256" s="94"/>
      <c r="K256" s="125"/>
      <c r="L256" s="125"/>
      <c r="M256" s="99"/>
      <c r="N256" s="111"/>
      <c r="O256" s="112"/>
      <c r="P256" s="94"/>
      <c r="Q256" s="120"/>
      <c r="R256" s="113"/>
      <c r="S256" s="94"/>
      <c r="T256" s="94"/>
      <c r="V256" s="104"/>
    </row>
    <row r="257" ht="15.75" customHeight="1">
      <c r="A257" s="91"/>
      <c r="B257" s="131"/>
      <c r="C257" s="132"/>
      <c r="D257" s="94"/>
      <c r="E257" s="132"/>
      <c r="F257" s="132"/>
      <c r="G257" s="94"/>
      <c r="H257" s="132"/>
      <c r="I257" s="94"/>
      <c r="J257" s="94"/>
      <c r="K257" s="126"/>
      <c r="L257" s="126"/>
      <c r="M257" s="99"/>
      <c r="N257" s="111"/>
      <c r="O257" s="112"/>
      <c r="P257" s="94"/>
      <c r="Q257" s="120"/>
      <c r="R257" s="113"/>
      <c r="S257" s="94"/>
      <c r="T257" s="94"/>
      <c r="V257" s="104"/>
    </row>
    <row r="258" ht="15.75" customHeight="1">
      <c r="A258" s="91"/>
      <c r="B258" s="131"/>
      <c r="C258" s="104"/>
      <c r="D258" s="94"/>
      <c r="E258" s="132"/>
      <c r="F258" s="132"/>
      <c r="G258" s="94"/>
      <c r="H258" s="132"/>
      <c r="I258" s="94"/>
      <c r="J258" s="94"/>
      <c r="K258" s="125"/>
      <c r="L258" s="125"/>
      <c r="M258" s="99"/>
      <c r="N258" s="111"/>
      <c r="O258" s="112"/>
      <c r="P258" s="94"/>
      <c r="Q258" s="120"/>
      <c r="R258" s="113"/>
      <c r="S258" s="94"/>
      <c r="T258" s="94"/>
      <c r="V258" s="104"/>
    </row>
    <row r="259" ht="15.75" customHeight="1">
      <c r="A259" s="91"/>
      <c r="B259" s="131"/>
      <c r="C259" s="132"/>
      <c r="D259" s="94"/>
      <c r="E259" s="132"/>
      <c r="F259" s="132"/>
      <c r="G259" s="94"/>
      <c r="H259" s="132"/>
      <c r="I259" s="94"/>
      <c r="J259" s="94"/>
      <c r="K259" s="126"/>
      <c r="L259" s="126"/>
      <c r="M259" s="99"/>
      <c r="N259" s="111"/>
      <c r="O259" s="112"/>
      <c r="P259" s="94"/>
      <c r="Q259" s="120"/>
      <c r="R259" s="113"/>
      <c r="S259" s="94"/>
      <c r="T259" s="94"/>
      <c r="V259" s="104"/>
    </row>
    <row r="260" ht="15.75" customHeight="1">
      <c r="A260" s="91"/>
      <c r="B260" s="131"/>
      <c r="C260" s="132"/>
      <c r="D260" s="94"/>
      <c r="E260" s="132"/>
      <c r="F260" s="132"/>
      <c r="G260" s="94"/>
      <c r="H260" s="132"/>
      <c r="I260" s="94"/>
      <c r="J260" s="94"/>
      <c r="K260" s="125"/>
      <c r="L260" s="125"/>
      <c r="M260" s="99"/>
      <c r="N260" s="111"/>
      <c r="O260" s="112"/>
      <c r="P260" s="94"/>
      <c r="Q260" s="120"/>
      <c r="R260" s="113"/>
      <c r="S260" s="94"/>
      <c r="T260" s="94"/>
      <c r="V260" s="104"/>
    </row>
    <row r="261" ht="15.75" customHeight="1">
      <c r="A261" s="91"/>
      <c r="B261" s="131"/>
      <c r="C261" s="132"/>
      <c r="D261" s="94"/>
      <c r="E261" s="132"/>
      <c r="F261" s="132"/>
      <c r="G261" s="94"/>
      <c r="H261" s="132"/>
      <c r="I261" s="94"/>
      <c r="J261" s="94"/>
      <c r="K261" s="126"/>
      <c r="L261" s="126"/>
      <c r="M261" s="99"/>
      <c r="N261" s="111"/>
      <c r="O261" s="112"/>
      <c r="P261" s="94"/>
      <c r="Q261" s="120"/>
      <c r="R261" s="113"/>
      <c r="S261" s="94"/>
      <c r="T261" s="94"/>
      <c r="V261" s="104"/>
    </row>
    <row r="262" ht="15.75" customHeight="1">
      <c r="A262" s="91"/>
      <c r="B262" s="131"/>
      <c r="C262" s="132"/>
      <c r="D262" s="94"/>
      <c r="E262" s="132"/>
      <c r="F262" s="132"/>
      <c r="G262" s="94"/>
      <c r="H262" s="132"/>
      <c r="I262" s="94"/>
      <c r="J262" s="94"/>
      <c r="K262" s="125"/>
      <c r="L262" s="125"/>
      <c r="M262" s="99"/>
      <c r="N262" s="111"/>
      <c r="O262" s="112"/>
      <c r="P262" s="94"/>
      <c r="Q262" s="120"/>
      <c r="R262" s="113"/>
      <c r="S262" s="94"/>
      <c r="T262" s="94"/>
      <c r="V262" s="104"/>
    </row>
    <row r="263" ht="15.75" customHeight="1">
      <c r="A263" s="91"/>
      <c r="B263" s="131"/>
      <c r="C263" s="132"/>
      <c r="D263" s="94"/>
      <c r="E263" s="132"/>
      <c r="F263" s="132"/>
      <c r="G263" s="94"/>
      <c r="H263" s="132"/>
      <c r="I263" s="94"/>
      <c r="J263" s="94"/>
      <c r="K263" s="126"/>
      <c r="L263" s="126"/>
      <c r="M263" s="99"/>
      <c r="N263" s="111"/>
      <c r="O263" s="112"/>
      <c r="P263" s="94"/>
      <c r="Q263" s="120"/>
      <c r="R263" s="113"/>
      <c r="S263" s="94"/>
      <c r="T263" s="94"/>
      <c r="V263" s="104"/>
    </row>
    <row r="264" ht="15.75" customHeight="1">
      <c r="A264" s="91"/>
      <c r="B264" s="131"/>
      <c r="C264" s="104"/>
      <c r="D264" s="94"/>
      <c r="E264" s="132"/>
      <c r="F264" s="132"/>
      <c r="G264" s="94"/>
      <c r="H264" s="132"/>
      <c r="I264" s="94"/>
      <c r="J264" s="94"/>
      <c r="K264" s="125"/>
      <c r="L264" s="125"/>
      <c r="M264" s="99"/>
      <c r="N264" s="111"/>
      <c r="O264" s="112"/>
      <c r="P264" s="94"/>
      <c r="Q264" s="120"/>
      <c r="R264" s="113"/>
      <c r="S264" s="94"/>
      <c r="T264" s="94"/>
      <c r="V264" s="104"/>
    </row>
    <row r="265" ht="15.75" customHeight="1">
      <c r="A265" s="91"/>
      <c r="B265" s="131"/>
      <c r="C265" s="132"/>
      <c r="D265" s="94"/>
      <c r="E265" s="132"/>
      <c r="F265" s="132"/>
      <c r="G265" s="94"/>
      <c r="H265" s="132"/>
      <c r="I265" s="94"/>
      <c r="J265" s="94"/>
      <c r="K265" s="126"/>
      <c r="L265" s="126"/>
      <c r="M265" s="99"/>
      <c r="N265" s="111"/>
      <c r="O265" s="112"/>
      <c r="P265" s="94"/>
      <c r="Q265" s="120"/>
      <c r="R265" s="113"/>
      <c r="S265" s="94"/>
      <c r="T265" s="94"/>
      <c r="V265" s="104"/>
    </row>
    <row r="266" ht="15.75" customHeight="1">
      <c r="A266" s="91"/>
      <c r="B266" s="131"/>
      <c r="C266" s="132"/>
      <c r="D266" s="94"/>
      <c r="E266" s="132"/>
      <c r="F266" s="132"/>
      <c r="G266" s="94"/>
      <c r="H266" s="132"/>
      <c r="I266" s="94"/>
      <c r="J266" s="94"/>
      <c r="K266" s="125"/>
      <c r="L266" s="125"/>
      <c r="M266" s="99"/>
      <c r="N266" s="111"/>
      <c r="O266" s="112"/>
      <c r="P266" s="94"/>
      <c r="Q266" s="120"/>
      <c r="R266" s="113"/>
      <c r="S266" s="94"/>
      <c r="T266" s="94"/>
      <c r="V266" s="104"/>
    </row>
    <row r="267" ht="15.75" customHeight="1">
      <c r="A267" s="91"/>
      <c r="B267" s="131"/>
      <c r="C267" s="132"/>
      <c r="D267" s="94"/>
      <c r="E267" s="132"/>
      <c r="F267" s="132"/>
      <c r="G267" s="94"/>
      <c r="H267" s="132"/>
      <c r="I267" s="94"/>
      <c r="J267" s="94"/>
      <c r="K267" s="126"/>
      <c r="L267" s="126"/>
      <c r="M267" s="99"/>
      <c r="N267" s="111"/>
      <c r="O267" s="112"/>
      <c r="P267" s="94"/>
      <c r="Q267" s="120"/>
      <c r="R267" s="113"/>
      <c r="S267" s="94"/>
      <c r="T267" s="94"/>
      <c r="V267" s="104"/>
    </row>
    <row r="268" ht="15.75" customHeight="1">
      <c r="A268" s="91"/>
      <c r="B268" s="131"/>
      <c r="C268" s="132"/>
      <c r="D268" s="94"/>
      <c r="E268" s="132"/>
      <c r="F268" s="132"/>
      <c r="G268" s="94"/>
      <c r="H268" s="132"/>
      <c r="I268" s="94"/>
      <c r="J268" s="94"/>
      <c r="K268" s="125"/>
      <c r="L268" s="125"/>
      <c r="M268" s="99"/>
      <c r="N268" s="111"/>
      <c r="O268" s="112"/>
      <c r="P268" s="94"/>
      <c r="Q268" s="120"/>
      <c r="R268" s="113"/>
      <c r="S268" s="94"/>
      <c r="T268" s="94"/>
      <c r="V268" s="104"/>
    </row>
    <row r="269" ht="15.75" customHeight="1">
      <c r="A269" s="91"/>
      <c r="B269" s="131"/>
      <c r="C269" s="132"/>
      <c r="D269" s="94"/>
      <c r="E269" s="132"/>
      <c r="F269" s="132"/>
      <c r="G269" s="94"/>
      <c r="H269" s="132"/>
      <c r="I269" s="94"/>
      <c r="J269" s="94"/>
      <c r="K269" s="126"/>
      <c r="L269" s="126"/>
      <c r="M269" s="99"/>
      <c r="N269" s="111"/>
      <c r="O269" s="112"/>
      <c r="P269" s="94"/>
      <c r="Q269" s="120"/>
      <c r="R269" s="113"/>
      <c r="S269" s="94"/>
      <c r="T269" s="94"/>
      <c r="V269" s="104"/>
    </row>
    <row r="270" ht="15.75" customHeight="1">
      <c r="A270" s="91"/>
      <c r="B270" s="131"/>
      <c r="C270" s="104"/>
      <c r="D270" s="94"/>
      <c r="E270" s="132"/>
      <c r="F270" s="132"/>
      <c r="G270" s="94"/>
      <c r="H270" s="132"/>
      <c r="I270" s="94"/>
      <c r="J270" s="94"/>
      <c r="K270" s="125"/>
      <c r="L270" s="125"/>
      <c r="M270" s="99"/>
      <c r="N270" s="111"/>
      <c r="O270" s="112"/>
      <c r="P270" s="94"/>
      <c r="Q270" s="120"/>
      <c r="R270" s="113"/>
      <c r="S270" s="94"/>
      <c r="T270" s="94"/>
      <c r="V270" s="104"/>
    </row>
    <row r="271" ht="15.75" customHeight="1">
      <c r="A271" s="91"/>
      <c r="B271" s="131"/>
      <c r="C271" s="132"/>
      <c r="D271" s="94"/>
      <c r="E271" s="132"/>
      <c r="F271" s="132"/>
      <c r="G271" s="94"/>
      <c r="H271" s="132"/>
      <c r="I271" s="94"/>
      <c r="J271" s="94"/>
      <c r="K271" s="126"/>
      <c r="L271" s="126"/>
      <c r="M271" s="99"/>
      <c r="N271" s="111"/>
      <c r="O271" s="112"/>
      <c r="P271" s="94"/>
      <c r="Q271" s="120"/>
      <c r="R271" s="113"/>
      <c r="S271" s="94"/>
      <c r="T271" s="94"/>
      <c r="V271" s="104"/>
    </row>
    <row r="272" ht="15.75" customHeight="1">
      <c r="A272" s="91"/>
      <c r="B272" s="131"/>
      <c r="C272" s="132"/>
      <c r="D272" s="94"/>
      <c r="E272" s="132"/>
      <c r="F272" s="132"/>
      <c r="G272" s="94"/>
      <c r="H272" s="132"/>
      <c r="I272" s="94"/>
      <c r="J272" s="94"/>
      <c r="K272" s="125"/>
      <c r="L272" s="125"/>
      <c r="M272" s="99"/>
      <c r="N272" s="111"/>
      <c r="O272" s="112"/>
      <c r="P272" s="94"/>
      <c r="Q272" s="120"/>
      <c r="R272" s="113"/>
      <c r="S272" s="94"/>
      <c r="T272" s="94"/>
      <c r="V272" s="104"/>
    </row>
    <row r="273" ht="15.75" customHeight="1">
      <c r="A273" s="91"/>
      <c r="B273" s="131"/>
      <c r="C273" s="132"/>
      <c r="D273" s="94"/>
      <c r="E273" s="132"/>
      <c r="F273" s="132"/>
      <c r="G273" s="94"/>
      <c r="H273" s="132"/>
      <c r="I273" s="94"/>
      <c r="J273" s="94"/>
      <c r="K273" s="126"/>
      <c r="L273" s="126"/>
      <c r="M273" s="99"/>
      <c r="N273" s="111"/>
      <c r="O273" s="112"/>
      <c r="P273" s="94"/>
      <c r="Q273" s="120"/>
      <c r="R273" s="113"/>
      <c r="S273" s="94"/>
      <c r="T273" s="94"/>
      <c r="V273" s="104"/>
    </row>
    <row r="274" ht="15.75" customHeight="1">
      <c r="A274" s="91"/>
      <c r="B274" s="131"/>
      <c r="C274" s="132"/>
      <c r="D274" s="94"/>
      <c r="E274" s="132"/>
      <c r="F274" s="132"/>
      <c r="G274" s="94"/>
      <c r="H274" s="132"/>
      <c r="I274" s="94"/>
      <c r="J274" s="94"/>
      <c r="K274" s="125"/>
      <c r="L274" s="125"/>
      <c r="M274" s="99"/>
      <c r="N274" s="111"/>
      <c r="O274" s="112"/>
      <c r="P274" s="94"/>
      <c r="Q274" s="120"/>
      <c r="R274" s="113"/>
      <c r="S274" s="94"/>
      <c r="T274" s="94"/>
      <c r="V274" s="104"/>
    </row>
    <row r="275" ht="15.75" customHeight="1">
      <c r="A275" s="91"/>
      <c r="B275" s="131"/>
      <c r="C275" s="132"/>
      <c r="D275" s="94"/>
      <c r="E275" s="132"/>
      <c r="F275" s="132"/>
      <c r="G275" s="94"/>
      <c r="H275" s="132"/>
      <c r="I275" s="94"/>
      <c r="J275" s="94"/>
      <c r="K275" s="126"/>
      <c r="L275" s="126"/>
      <c r="M275" s="99"/>
      <c r="N275" s="111"/>
      <c r="O275" s="112"/>
      <c r="P275" s="94"/>
      <c r="Q275" s="120"/>
      <c r="R275" s="113"/>
      <c r="S275" s="94"/>
      <c r="T275" s="94"/>
      <c r="V275" s="104"/>
    </row>
    <row r="276" ht="15.75" customHeight="1">
      <c r="A276" s="91"/>
      <c r="B276" s="131"/>
      <c r="C276" s="104"/>
      <c r="D276" s="94"/>
      <c r="E276" s="132"/>
      <c r="F276" s="132"/>
      <c r="G276" s="94"/>
      <c r="H276" s="132"/>
      <c r="I276" s="94"/>
      <c r="J276" s="94"/>
      <c r="K276" s="125"/>
      <c r="L276" s="125"/>
      <c r="M276" s="99"/>
      <c r="N276" s="111"/>
      <c r="O276" s="112"/>
      <c r="P276" s="94"/>
      <c r="Q276" s="120"/>
      <c r="R276" s="113"/>
      <c r="S276" s="94"/>
      <c r="T276" s="94"/>
      <c r="V276" s="104"/>
    </row>
    <row r="277" ht="15.75" customHeight="1">
      <c r="A277" s="91"/>
      <c r="B277" s="131"/>
      <c r="C277" s="132"/>
      <c r="D277" s="94"/>
      <c r="E277" s="132"/>
      <c r="F277" s="132"/>
      <c r="G277" s="94"/>
      <c r="H277" s="132"/>
      <c r="I277" s="94"/>
      <c r="J277" s="94"/>
      <c r="K277" s="126"/>
      <c r="L277" s="126"/>
      <c r="M277" s="99"/>
      <c r="N277" s="111"/>
      <c r="O277" s="112"/>
      <c r="P277" s="94"/>
      <c r="Q277" s="120"/>
      <c r="R277" s="113"/>
      <c r="S277" s="94"/>
      <c r="T277" s="94"/>
      <c r="V277" s="104"/>
    </row>
    <row r="278" ht="15.75" customHeight="1">
      <c r="A278" s="91"/>
      <c r="B278" s="131"/>
      <c r="C278" s="132"/>
      <c r="D278" s="94"/>
      <c r="E278" s="132"/>
      <c r="F278" s="132"/>
      <c r="G278" s="94"/>
      <c r="H278" s="132"/>
      <c r="I278" s="94"/>
      <c r="J278" s="94"/>
      <c r="K278" s="125"/>
      <c r="L278" s="125"/>
      <c r="M278" s="99"/>
      <c r="N278" s="111"/>
      <c r="O278" s="112"/>
      <c r="P278" s="94"/>
      <c r="Q278" s="120"/>
      <c r="R278" s="113"/>
      <c r="S278" s="94"/>
      <c r="T278" s="94"/>
      <c r="V278" s="104"/>
    </row>
    <row r="279" ht="15.75" customHeight="1">
      <c r="A279" s="91"/>
      <c r="B279" s="131"/>
      <c r="C279" s="132"/>
      <c r="D279" s="94"/>
      <c r="E279" s="132"/>
      <c r="F279" s="132"/>
      <c r="G279" s="94"/>
      <c r="H279" s="132"/>
      <c r="I279" s="94"/>
      <c r="J279" s="94"/>
      <c r="K279" s="126"/>
      <c r="L279" s="126"/>
      <c r="M279" s="99"/>
      <c r="N279" s="111"/>
      <c r="O279" s="112"/>
      <c r="P279" s="94"/>
      <c r="Q279" s="120"/>
      <c r="R279" s="113"/>
      <c r="S279" s="94"/>
      <c r="T279" s="94"/>
      <c r="V279" s="104"/>
    </row>
    <row r="280" ht="15.75" customHeight="1">
      <c r="A280" s="91"/>
      <c r="B280" s="131"/>
      <c r="C280" s="132"/>
      <c r="D280" s="94"/>
      <c r="E280" s="132"/>
      <c r="F280" s="132"/>
      <c r="G280" s="94"/>
      <c r="H280" s="132"/>
      <c r="I280" s="94"/>
      <c r="J280" s="94"/>
      <c r="K280" s="125"/>
      <c r="L280" s="125"/>
      <c r="M280" s="99"/>
      <c r="N280" s="111"/>
      <c r="O280" s="112"/>
      <c r="P280" s="94"/>
      <c r="Q280" s="120"/>
      <c r="R280" s="113"/>
      <c r="S280" s="94"/>
      <c r="T280" s="94"/>
      <c r="V280" s="104"/>
    </row>
    <row r="281" ht="15.75" customHeight="1">
      <c r="A281" s="91"/>
      <c r="B281" s="131"/>
      <c r="C281" s="132"/>
      <c r="D281" s="94"/>
      <c r="E281" s="132"/>
      <c r="F281" s="132"/>
      <c r="G281" s="94"/>
      <c r="H281" s="132"/>
      <c r="I281" s="94"/>
      <c r="J281" s="94"/>
      <c r="K281" s="126"/>
      <c r="L281" s="126"/>
      <c r="M281" s="99"/>
      <c r="N281" s="111"/>
      <c r="O281" s="112"/>
      <c r="P281" s="94"/>
      <c r="Q281" s="120"/>
      <c r="R281" s="113"/>
      <c r="S281" s="94"/>
      <c r="T281" s="94"/>
      <c r="V281" s="104"/>
    </row>
    <row r="282" ht="15.75" customHeight="1">
      <c r="A282" s="91"/>
      <c r="B282" s="131"/>
      <c r="C282" s="104"/>
      <c r="D282" s="94"/>
      <c r="E282" s="132"/>
      <c r="F282" s="132"/>
      <c r="G282" s="94"/>
      <c r="H282" s="132"/>
      <c r="I282" s="94"/>
      <c r="J282" s="94"/>
      <c r="K282" s="125"/>
      <c r="L282" s="125"/>
      <c r="M282" s="99"/>
      <c r="N282" s="111"/>
      <c r="O282" s="112"/>
      <c r="P282" s="94"/>
      <c r="Q282" s="120"/>
      <c r="R282" s="113"/>
      <c r="S282" s="94"/>
      <c r="T282" s="94"/>
      <c r="V282" s="104"/>
    </row>
    <row r="283" ht="15.75" customHeight="1">
      <c r="A283" s="91"/>
      <c r="B283" s="131"/>
      <c r="C283" s="132"/>
      <c r="D283" s="94"/>
      <c r="E283" s="132"/>
      <c r="F283" s="132"/>
      <c r="G283" s="94"/>
      <c r="H283" s="132"/>
      <c r="I283" s="94"/>
      <c r="J283" s="94"/>
      <c r="K283" s="126"/>
      <c r="L283" s="126"/>
      <c r="M283" s="99"/>
      <c r="N283" s="111"/>
      <c r="O283" s="112"/>
      <c r="P283" s="94"/>
      <c r="Q283" s="120"/>
      <c r="R283" s="113"/>
      <c r="S283" s="94"/>
      <c r="T283" s="94"/>
      <c r="V283" s="104"/>
    </row>
    <row r="284" ht="15.75" customHeight="1">
      <c r="A284" s="91"/>
      <c r="B284" s="131"/>
      <c r="C284" s="132"/>
      <c r="D284" s="94"/>
      <c r="E284" s="132"/>
      <c r="F284" s="132"/>
      <c r="G284" s="94"/>
      <c r="H284" s="132"/>
      <c r="I284" s="94"/>
      <c r="J284" s="94"/>
      <c r="K284" s="125"/>
      <c r="L284" s="125"/>
      <c r="M284" s="99"/>
      <c r="N284" s="111"/>
      <c r="O284" s="112"/>
      <c r="P284" s="94"/>
      <c r="Q284" s="120"/>
      <c r="R284" s="113"/>
      <c r="S284" s="94"/>
      <c r="T284" s="94"/>
      <c r="V284" s="104"/>
    </row>
    <row r="285" ht="15.75" customHeight="1">
      <c r="A285" s="91"/>
      <c r="B285" s="131"/>
      <c r="C285" s="132"/>
      <c r="D285" s="94"/>
      <c r="E285" s="132"/>
      <c r="F285" s="132"/>
      <c r="G285" s="94"/>
      <c r="H285" s="132"/>
      <c r="I285" s="94"/>
      <c r="J285" s="94"/>
      <c r="K285" s="126"/>
      <c r="L285" s="126"/>
      <c r="M285" s="99"/>
      <c r="N285" s="111"/>
      <c r="O285" s="112"/>
      <c r="P285" s="94"/>
      <c r="Q285" s="120"/>
      <c r="R285" s="113"/>
      <c r="S285" s="94"/>
      <c r="T285" s="94"/>
      <c r="V285" s="104"/>
    </row>
    <row r="286" ht="15.75" customHeight="1">
      <c r="A286" s="91"/>
      <c r="B286" s="131"/>
      <c r="C286" s="132"/>
      <c r="D286" s="94"/>
      <c r="E286" s="132"/>
      <c r="F286" s="132"/>
      <c r="G286" s="94"/>
      <c r="H286" s="132"/>
      <c r="I286" s="94"/>
      <c r="J286" s="94"/>
      <c r="K286" s="125"/>
      <c r="L286" s="125"/>
      <c r="M286" s="99"/>
      <c r="N286" s="111"/>
      <c r="O286" s="112"/>
      <c r="P286" s="94"/>
      <c r="Q286" s="120"/>
      <c r="R286" s="113"/>
      <c r="S286" s="94"/>
      <c r="T286" s="94"/>
      <c r="V286" s="104"/>
    </row>
    <row r="287" ht="15.75" customHeight="1">
      <c r="A287" s="91"/>
      <c r="B287" s="131"/>
      <c r="C287" s="132"/>
      <c r="D287" s="94"/>
      <c r="E287" s="132"/>
      <c r="F287" s="132"/>
      <c r="G287" s="94"/>
      <c r="H287" s="132"/>
      <c r="I287" s="94"/>
      <c r="J287" s="94"/>
      <c r="K287" s="126"/>
      <c r="L287" s="126"/>
      <c r="M287" s="99"/>
      <c r="N287" s="111"/>
      <c r="O287" s="112"/>
      <c r="P287" s="94"/>
      <c r="Q287" s="120"/>
      <c r="R287" s="113"/>
      <c r="S287" s="94"/>
      <c r="T287" s="94"/>
      <c r="V287" s="104"/>
    </row>
    <row r="288" ht="15.75" customHeight="1">
      <c r="A288" s="91"/>
      <c r="B288" s="131"/>
      <c r="C288" s="104"/>
      <c r="D288" s="94"/>
      <c r="E288" s="132"/>
      <c r="F288" s="132"/>
      <c r="G288" s="94"/>
      <c r="H288" s="132"/>
      <c r="I288" s="94"/>
      <c r="J288" s="94"/>
      <c r="K288" s="125"/>
      <c r="L288" s="125"/>
      <c r="M288" s="99"/>
      <c r="N288" s="111"/>
      <c r="O288" s="112"/>
      <c r="P288" s="94"/>
      <c r="Q288" s="120"/>
      <c r="R288" s="113"/>
      <c r="S288" s="94"/>
      <c r="T288" s="94"/>
      <c r="V288" s="104"/>
    </row>
    <row r="289" ht="15.75" customHeight="1">
      <c r="A289" s="91"/>
      <c r="B289" s="131"/>
      <c r="C289" s="132"/>
      <c r="D289" s="94"/>
      <c r="E289" s="132"/>
      <c r="F289" s="132"/>
      <c r="G289" s="94"/>
      <c r="H289" s="132"/>
      <c r="I289" s="94"/>
      <c r="J289" s="94"/>
      <c r="K289" s="126"/>
      <c r="L289" s="126"/>
      <c r="M289" s="99"/>
      <c r="N289" s="111"/>
      <c r="O289" s="112"/>
      <c r="P289" s="94"/>
      <c r="Q289" s="120"/>
      <c r="R289" s="113"/>
      <c r="S289" s="94"/>
      <c r="T289" s="94"/>
      <c r="V289" s="104"/>
    </row>
    <row r="290" ht="15.75" customHeight="1">
      <c r="A290" s="91"/>
      <c r="B290" s="131"/>
      <c r="C290" s="132"/>
      <c r="D290" s="94"/>
      <c r="E290" s="132"/>
      <c r="F290" s="132"/>
      <c r="G290" s="94"/>
      <c r="H290" s="132"/>
      <c r="I290" s="94"/>
      <c r="J290" s="94"/>
      <c r="K290" s="125"/>
      <c r="L290" s="125"/>
      <c r="M290" s="99"/>
      <c r="N290" s="111"/>
      <c r="O290" s="112"/>
      <c r="P290" s="94"/>
      <c r="Q290" s="120"/>
      <c r="R290" s="113"/>
      <c r="S290" s="94"/>
      <c r="T290" s="94"/>
      <c r="V290" s="104"/>
    </row>
    <row r="291" ht="15.75" customHeight="1">
      <c r="A291" s="91"/>
      <c r="B291" s="131"/>
      <c r="C291" s="132"/>
      <c r="D291" s="94"/>
      <c r="E291" s="132"/>
      <c r="F291" s="132"/>
      <c r="G291" s="94"/>
      <c r="H291" s="132"/>
      <c r="I291" s="94"/>
      <c r="J291" s="94"/>
      <c r="K291" s="126"/>
      <c r="L291" s="126"/>
      <c r="M291" s="99"/>
      <c r="N291" s="111"/>
      <c r="O291" s="112"/>
      <c r="P291" s="94"/>
      <c r="Q291" s="120"/>
      <c r="R291" s="113"/>
      <c r="S291" s="94"/>
      <c r="T291" s="94"/>
      <c r="V291" s="104"/>
    </row>
    <row r="292" ht="15.75" customHeight="1">
      <c r="A292" s="91"/>
      <c r="B292" s="131"/>
      <c r="C292" s="132"/>
      <c r="D292" s="94"/>
      <c r="E292" s="132"/>
      <c r="F292" s="132"/>
      <c r="G292" s="94"/>
      <c r="H292" s="132"/>
      <c r="I292" s="94"/>
      <c r="J292" s="94"/>
      <c r="K292" s="125"/>
      <c r="L292" s="125"/>
      <c r="M292" s="99"/>
      <c r="N292" s="111"/>
      <c r="O292" s="112"/>
      <c r="P292" s="94"/>
      <c r="Q292" s="120"/>
      <c r="R292" s="113"/>
      <c r="S292" s="94"/>
      <c r="T292" s="94"/>
      <c r="V292" s="104"/>
    </row>
    <row r="293" ht="15.75" customHeight="1">
      <c r="A293" s="91"/>
      <c r="B293" s="131"/>
      <c r="C293" s="132"/>
      <c r="D293" s="94"/>
      <c r="E293" s="132"/>
      <c r="F293" s="132"/>
      <c r="G293" s="94"/>
      <c r="H293" s="132"/>
      <c r="I293" s="94"/>
      <c r="J293" s="94"/>
      <c r="K293" s="126"/>
      <c r="L293" s="126"/>
      <c r="M293" s="99"/>
      <c r="N293" s="111"/>
      <c r="O293" s="112"/>
      <c r="P293" s="94"/>
      <c r="Q293" s="120"/>
      <c r="R293" s="113"/>
      <c r="S293" s="94"/>
      <c r="T293" s="94"/>
      <c r="V293" s="104"/>
    </row>
    <row r="294" ht="15.75" customHeight="1">
      <c r="A294" s="91"/>
      <c r="B294" s="131"/>
      <c r="C294" s="104"/>
      <c r="D294" s="94"/>
      <c r="E294" s="132"/>
      <c r="F294" s="132"/>
      <c r="G294" s="94"/>
      <c r="H294" s="132"/>
      <c r="I294" s="94"/>
      <c r="J294" s="94"/>
      <c r="K294" s="125"/>
      <c r="L294" s="125"/>
      <c r="M294" s="99"/>
      <c r="N294" s="111"/>
      <c r="O294" s="112"/>
      <c r="P294" s="94"/>
      <c r="Q294" s="120"/>
      <c r="R294" s="113"/>
      <c r="S294" s="94"/>
      <c r="T294" s="94"/>
      <c r="V294" s="104"/>
    </row>
    <row r="295" ht="15.75" customHeight="1">
      <c r="A295" s="91"/>
      <c r="B295" s="131"/>
      <c r="C295" s="132"/>
      <c r="D295" s="94"/>
      <c r="E295" s="132"/>
      <c r="F295" s="132"/>
      <c r="G295" s="94"/>
      <c r="H295" s="132"/>
      <c r="I295" s="94"/>
      <c r="J295" s="94"/>
      <c r="K295" s="126"/>
      <c r="L295" s="126"/>
      <c r="M295" s="99"/>
      <c r="N295" s="111"/>
      <c r="O295" s="112"/>
      <c r="P295" s="94"/>
      <c r="Q295" s="120"/>
      <c r="R295" s="113"/>
      <c r="S295" s="94"/>
      <c r="T295" s="94"/>
      <c r="V295" s="104"/>
    </row>
    <row r="296" ht="15.75" customHeight="1">
      <c r="A296" s="91"/>
      <c r="B296" s="131"/>
      <c r="C296" s="132"/>
      <c r="D296" s="94"/>
      <c r="E296" s="132"/>
      <c r="F296" s="132"/>
      <c r="G296" s="94"/>
      <c r="H296" s="132"/>
      <c r="I296" s="94"/>
      <c r="J296" s="94"/>
      <c r="K296" s="125"/>
      <c r="L296" s="125"/>
      <c r="M296" s="99"/>
      <c r="N296" s="111"/>
      <c r="O296" s="112"/>
      <c r="P296" s="94"/>
      <c r="Q296" s="120"/>
      <c r="R296" s="113"/>
      <c r="S296" s="94"/>
      <c r="T296" s="94"/>
      <c r="V296" s="104"/>
    </row>
    <row r="297" ht="15.75" customHeight="1">
      <c r="A297" s="91"/>
      <c r="B297" s="131"/>
      <c r="C297" s="132"/>
      <c r="D297" s="94"/>
      <c r="E297" s="132"/>
      <c r="F297" s="132"/>
      <c r="G297" s="94"/>
      <c r="H297" s="132"/>
      <c r="I297" s="94"/>
      <c r="J297" s="94"/>
      <c r="K297" s="126"/>
      <c r="L297" s="126"/>
      <c r="M297" s="99"/>
      <c r="N297" s="111"/>
      <c r="O297" s="112"/>
      <c r="P297" s="94"/>
      <c r="Q297" s="120"/>
      <c r="R297" s="113"/>
      <c r="S297" s="94"/>
      <c r="T297" s="94"/>
      <c r="V297" s="104"/>
    </row>
    <row r="298" ht="15.75" customHeight="1">
      <c r="A298" s="91"/>
      <c r="B298" s="131"/>
      <c r="C298" s="132"/>
      <c r="D298" s="94"/>
      <c r="E298" s="132"/>
      <c r="F298" s="132"/>
      <c r="G298" s="94"/>
      <c r="H298" s="132"/>
      <c r="I298" s="94"/>
      <c r="J298" s="94"/>
      <c r="K298" s="125"/>
      <c r="L298" s="125"/>
      <c r="M298" s="99"/>
      <c r="N298" s="111"/>
      <c r="O298" s="112"/>
      <c r="P298" s="94"/>
      <c r="Q298" s="120"/>
      <c r="R298" s="113"/>
      <c r="S298" s="94"/>
      <c r="T298" s="94"/>
      <c r="V298" s="104"/>
    </row>
    <row r="299" ht="15.75" customHeight="1">
      <c r="A299" s="91"/>
      <c r="B299" s="131"/>
      <c r="C299" s="132"/>
      <c r="D299" s="94"/>
      <c r="E299" s="132"/>
      <c r="F299" s="132"/>
      <c r="G299" s="94"/>
      <c r="H299" s="132"/>
      <c r="I299" s="94"/>
      <c r="J299" s="94"/>
      <c r="K299" s="126"/>
      <c r="L299" s="126"/>
      <c r="M299" s="99"/>
      <c r="N299" s="111"/>
      <c r="O299" s="112"/>
      <c r="P299" s="94"/>
      <c r="Q299" s="120"/>
      <c r="R299" s="113"/>
      <c r="S299" s="94"/>
      <c r="T299" s="94"/>
      <c r="V299" s="104"/>
    </row>
    <row r="300" ht="15.75" customHeight="1">
      <c r="A300" s="91"/>
      <c r="B300" s="131"/>
      <c r="C300" s="104"/>
      <c r="D300" s="94"/>
      <c r="E300" s="132"/>
      <c r="F300" s="132"/>
      <c r="G300" s="94"/>
      <c r="H300" s="132"/>
      <c r="I300" s="94"/>
      <c r="J300" s="94"/>
      <c r="K300" s="125"/>
      <c r="L300" s="125"/>
      <c r="M300" s="99"/>
      <c r="N300" s="111"/>
      <c r="O300" s="112"/>
      <c r="P300" s="94"/>
      <c r="Q300" s="120"/>
      <c r="R300" s="113"/>
      <c r="S300" s="94"/>
      <c r="T300" s="94"/>
      <c r="V300" s="104"/>
    </row>
    <row r="301" ht="15.75" customHeight="1">
      <c r="A301" s="91"/>
      <c r="B301" s="131"/>
      <c r="C301" s="132"/>
      <c r="D301" s="94"/>
      <c r="E301" s="132"/>
      <c r="F301" s="132"/>
      <c r="G301" s="94"/>
      <c r="H301" s="132"/>
      <c r="I301" s="94"/>
      <c r="J301" s="94"/>
      <c r="K301" s="126"/>
      <c r="L301" s="126"/>
      <c r="M301" s="99"/>
      <c r="N301" s="111"/>
      <c r="O301" s="112"/>
      <c r="P301" s="94"/>
      <c r="Q301" s="120"/>
      <c r="R301" s="113"/>
      <c r="S301" s="94"/>
      <c r="T301" s="94"/>
      <c r="V301" s="104"/>
    </row>
    <row r="302" ht="15.75" customHeight="1">
      <c r="A302" s="91"/>
      <c r="B302" s="131"/>
      <c r="C302" s="132"/>
      <c r="D302" s="94"/>
      <c r="E302" s="132"/>
      <c r="F302" s="132"/>
      <c r="G302" s="94"/>
      <c r="H302" s="132"/>
      <c r="I302" s="94"/>
      <c r="J302" s="94"/>
      <c r="K302" s="125"/>
      <c r="L302" s="125"/>
      <c r="M302" s="99"/>
      <c r="N302" s="111"/>
      <c r="O302" s="112"/>
      <c r="P302" s="94"/>
      <c r="Q302" s="120"/>
      <c r="R302" s="113"/>
      <c r="S302" s="94"/>
      <c r="T302" s="94"/>
      <c r="V302" s="104"/>
    </row>
    <row r="303" ht="15.75" customHeight="1">
      <c r="A303" s="91"/>
      <c r="B303" s="131"/>
      <c r="C303" s="132"/>
      <c r="D303" s="94"/>
      <c r="E303" s="132"/>
      <c r="F303" s="132"/>
      <c r="G303" s="94"/>
      <c r="H303" s="132"/>
      <c r="I303" s="94"/>
      <c r="J303" s="94"/>
      <c r="K303" s="126"/>
      <c r="L303" s="126"/>
      <c r="M303" s="99"/>
      <c r="N303" s="111"/>
      <c r="O303" s="112"/>
      <c r="P303" s="94"/>
      <c r="Q303" s="120"/>
      <c r="R303" s="113"/>
      <c r="S303" s="94"/>
      <c r="T303" s="94"/>
      <c r="V303" s="104"/>
    </row>
    <row r="304" ht="15.75" customHeight="1">
      <c r="A304" s="91"/>
      <c r="B304" s="131"/>
      <c r="C304" s="132"/>
      <c r="D304" s="94"/>
      <c r="E304" s="132"/>
      <c r="F304" s="132"/>
      <c r="G304" s="94"/>
      <c r="H304" s="132"/>
      <c r="I304" s="94"/>
      <c r="J304" s="94"/>
      <c r="K304" s="125"/>
      <c r="L304" s="125"/>
      <c r="M304" s="99"/>
      <c r="N304" s="111"/>
      <c r="O304" s="112"/>
      <c r="P304" s="94"/>
      <c r="Q304" s="120"/>
      <c r="R304" s="113"/>
      <c r="S304" s="94"/>
      <c r="T304" s="94"/>
      <c r="V304" s="104"/>
    </row>
    <row r="305" ht="15.75" customHeight="1">
      <c r="A305" s="91"/>
      <c r="B305" s="131"/>
      <c r="C305" s="132"/>
      <c r="D305" s="94"/>
      <c r="E305" s="132"/>
      <c r="F305" s="132"/>
      <c r="G305" s="94"/>
      <c r="H305" s="132"/>
      <c r="I305" s="94"/>
      <c r="J305" s="94"/>
      <c r="K305" s="126"/>
      <c r="L305" s="126"/>
      <c r="M305" s="99"/>
      <c r="N305" s="111"/>
      <c r="O305" s="112"/>
      <c r="P305" s="94"/>
      <c r="Q305" s="120"/>
      <c r="R305" s="113"/>
      <c r="S305" s="94"/>
      <c r="T305" s="94"/>
      <c r="V305" s="104"/>
    </row>
    <row r="306" ht="15.75" customHeight="1">
      <c r="A306" s="91"/>
      <c r="B306" s="131"/>
      <c r="C306" s="104"/>
      <c r="D306" s="94"/>
      <c r="E306" s="132"/>
      <c r="F306" s="132"/>
      <c r="G306" s="94"/>
      <c r="H306" s="132"/>
      <c r="I306" s="94"/>
      <c r="J306" s="94"/>
      <c r="K306" s="125"/>
      <c r="L306" s="125"/>
      <c r="M306" s="99"/>
      <c r="N306" s="111"/>
      <c r="O306" s="112"/>
      <c r="P306" s="94"/>
      <c r="Q306" s="120"/>
      <c r="R306" s="113"/>
      <c r="S306" s="94"/>
      <c r="T306" s="94"/>
      <c r="V306" s="104"/>
    </row>
    <row r="307" ht="15.75" customHeight="1">
      <c r="A307" s="91"/>
      <c r="B307" s="131"/>
      <c r="C307" s="132"/>
      <c r="D307" s="94"/>
      <c r="E307" s="132"/>
      <c r="F307" s="132"/>
      <c r="G307" s="94"/>
      <c r="H307" s="132"/>
      <c r="I307" s="94"/>
      <c r="J307" s="94"/>
      <c r="K307" s="126"/>
      <c r="L307" s="126"/>
      <c r="M307" s="99"/>
      <c r="N307" s="111"/>
      <c r="O307" s="112"/>
      <c r="P307" s="94"/>
      <c r="Q307" s="120"/>
      <c r="R307" s="113"/>
      <c r="S307" s="94"/>
      <c r="T307" s="94"/>
      <c r="V307" s="104"/>
    </row>
    <row r="308" ht="15.75" customHeight="1">
      <c r="A308" s="91"/>
      <c r="B308" s="131"/>
      <c r="C308" s="132"/>
      <c r="D308" s="94"/>
      <c r="E308" s="132"/>
      <c r="F308" s="132"/>
      <c r="G308" s="94"/>
      <c r="H308" s="132"/>
      <c r="I308" s="94"/>
      <c r="J308" s="94"/>
      <c r="K308" s="125"/>
      <c r="L308" s="125"/>
      <c r="M308" s="99"/>
      <c r="N308" s="111"/>
      <c r="O308" s="112"/>
      <c r="P308" s="94"/>
      <c r="Q308" s="120"/>
      <c r="R308" s="113"/>
      <c r="S308" s="94"/>
      <c r="T308" s="94"/>
      <c r="V308" s="104"/>
    </row>
    <row r="309" ht="15.75" customHeight="1">
      <c r="A309" s="91"/>
      <c r="B309" s="131"/>
      <c r="C309" s="132"/>
      <c r="D309" s="94"/>
      <c r="E309" s="132"/>
      <c r="F309" s="132"/>
      <c r="G309" s="94"/>
      <c r="H309" s="132"/>
      <c r="I309" s="94"/>
      <c r="J309" s="94"/>
      <c r="K309" s="126"/>
      <c r="L309" s="126"/>
      <c r="M309" s="99"/>
      <c r="N309" s="111"/>
      <c r="O309" s="112"/>
      <c r="P309" s="94"/>
      <c r="Q309" s="120"/>
      <c r="R309" s="113"/>
      <c r="S309" s="94"/>
      <c r="T309" s="94"/>
      <c r="V309" s="104"/>
    </row>
    <row r="310" ht="15.75" customHeight="1">
      <c r="A310" s="91"/>
      <c r="B310" s="131"/>
      <c r="C310" s="132"/>
      <c r="D310" s="94"/>
      <c r="E310" s="132"/>
      <c r="F310" s="132"/>
      <c r="G310" s="94"/>
      <c r="H310" s="132"/>
      <c r="I310" s="94"/>
      <c r="J310" s="94"/>
      <c r="K310" s="125"/>
      <c r="L310" s="125"/>
      <c r="M310" s="99"/>
      <c r="N310" s="111"/>
      <c r="O310" s="112"/>
      <c r="P310" s="94"/>
      <c r="Q310" s="120"/>
      <c r="R310" s="113"/>
      <c r="S310" s="94"/>
      <c r="T310" s="94"/>
      <c r="V310" s="104"/>
    </row>
    <row r="311" ht="15.75" customHeight="1">
      <c r="A311" s="91"/>
      <c r="B311" s="131"/>
      <c r="C311" s="132"/>
      <c r="D311" s="94"/>
      <c r="E311" s="132"/>
      <c r="F311" s="132"/>
      <c r="G311" s="94"/>
      <c r="H311" s="132"/>
      <c r="I311" s="94"/>
      <c r="J311" s="94"/>
      <c r="K311" s="126"/>
      <c r="L311" s="126"/>
      <c r="M311" s="99"/>
      <c r="N311" s="111"/>
      <c r="O311" s="112"/>
      <c r="P311" s="94"/>
      <c r="Q311" s="120"/>
      <c r="R311" s="113"/>
      <c r="S311" s="94"/>
      <c r="T311" s="94"/>
      <c r="V311" s="104"/>
    </row>
    <row r="312" ht="15.75" customHeight="1">
      <c r="A312" s="91"/>
      <c r="B312" s="131"/>
      <c r="C312" s="104"/>
      <c r="D312" s="94"/>
      <c r="E312" s="132"/>
      <c r="F312" s="132"/>
      <c r="G312" s="94"/>
      <c r="H312" s="132"/>
      <c r="I312" s="94"/>
      <c r="J312" s="94"/>
      <c r="K312" s="125"/>
      <c r="L312" s="125"/>
      <c r="M312" s="99"/>
      <c r="N312" s="111"/>
      <c r="O312" s="112"/>
      <c r="P312" s="94"/>
      <c r="Q312" s="120"/>
      <c r="R312" s="113"/>
      <c r="S312" s="94"/>
      <c r="T312" s="94"/>
      <c r="V312" s="104"/>
    </row>
    <row r="313" ht="15.75" customHeight="1">
      <c r="A313" s="91"/>
      <c r="B313" s="131"/>
      <c r="C313" s="132"/>
      <c r="D313" s="94"/>
      <c r="E313" s="132"/>
      <c r="F313" s="132"/>
      <c r="G313" s="94"/>
      <c r="H313" s="132"/>
      <c r="I313" s="94"/>
      <c r="J313" s="94"/>
      <c r="K313" s="126"/>
      <c r="L313" s="126"/>
      <c r="M313" s="99"/>
      <c r="N313" s="111"/>
      <c r="O313" s="112"/>
      <c r="P313" s="94"/>
      <c r="Q313" s="120"/>
      <c r="R313" s="113"/>
      <c r="S313" s="94"/>
      <c r="T313" s="94"/>
      <c r="V313" s="104"/>
    </row>
    <row r="314" ht="15.75" customHeight="1">
      <c r="A314" s="91"/>
      <c r="B314" s="131"/>
      <c r="C314" s="132"/>
      <c r="D314" s="94"/>
      <c r="E314" s="132"/>
      <c r="F314" s="132"/>
      <c r="G314" s="94"/>
      <c r="H314" s="132"/>
      <c r="I314" s="94"/>
      <c r="J314" s="94"/>
      <c r="K314" s="125"/>
      <c r="L314" s="125"/>
      <c r="M314" s="99"/>
      <c r="N314" s="111"/>
      <c r="O314" s="112"/>
      <c r="P314" s="94"/>
      <c r="Q314" s="120"/>
      <c r="R314" s="113"/>
      <c r="S314" s="94"/>
      <c r="T314" s="94"/>
      <c r="V314" s="104"/>
    </row>
    <row r="315" ht="15.75" customHeight="1">
      <c r="A315" s="91"/>
      <c r="B315" s="131"/>
      <c r="C315" s="132"/>
      <c r="D315" s="94"/>
      <c r="E315" s="132"/>
      <c r="F315" s="132"/>
      <c r="G315" s="94"/>
      <c r="H315" s="132"/>
      <c r="I315" s="94"/>
      <c r="J315" s="94"/>
      <c r="K315" s="126"/>
      <c r="L315" s="126"/>
      <c r="M315" s="99"/>
      <c r="N315" s="111"/>
      <c r="O315" s="112"/>
      <c r="P315" s="94"/>
      <c r="Q315" s="120"/>
      <c r="R315" s="113"/>
      <c r="S315" s="94"/>
      <c r="T315" s="94"/>
      <c r="V315" s="104"/>
    </row>
    <row r="316" ht="15.75" customHeight="1">
      <c r="A316" s="91"/>
      <c r="B316" s="131"/>
      <c r="C316" s="132"/>
      <c r="D316" s="94"/>
      <c r="E316" s="132"/>
      <c r="F316" s="132"/>
      <c r="G316" s="94"/>
      <c r="H316" s="132"/>
      <c r="I316" s="94"/>
      <c r="J316" s="94"/>
      <c r="K316" s="125"/>
      <c r="L316" s="125"/>
      <c r="M316" s="99"/>
      <c r="N316" s="111"/>
      <c r="O316" s="112"/>
      <c r="P316" s="94"/>
      <c r="Q316" s="120"/>
      <c r="R316" s="113"/>
      <c r="S316" s="94"/>
      <c r="T316" s="94"/>
      <c r="V316" s="104"/>
    </row>
    <row r="317" ht="15.75" customHeight="1">
      <c r="A317" s="91"/>
      <c r="B317" s="131"/>
      <c r="C317" s="132"/>
      <c r="D317" s="94"/>
      <c r="E317" s="132"/>
      <c r="F317" s="132"/>
      <c r="G317" s="94"/>
      <c r="H317" s="132"/>
      <c r="I317" s="94"/>
      <c r="J317" s="94"/>
      <c r="K317" s="126"/>
      <c r="L317" s="126"/>
      <c r="M317" s="99"/>
      <c r="N317" s="111"/>
      <c r="O317" s="112"/>
      <c r="P317" s="94"/>
      <c r="Q317" s="120"/>
      <c r="R317" s="113"/>
      <c r="S317" s="94"/>
      <c r="T317" s="94"/>
      <c r="V317" s="104"/>
    </row>
    <row r="318" ht="15.75" customHeight="1">
      <c r="A318" s="91"/>
      <c r="B318" s="131"/>
      <c r="C318" s="104"/>
      <c r="D318" s="94"/>
      <c r="E318" s="132"/>
      <c r="F318" s="132"/>
      <c r="G318" s="94"/>
      <c r="H318" s="132"/>
      <c r="I318" s="94"/>
      <c r="J318" s="94"/>
      <c r="K318" s="125"/>
      <c r="L318" s="125"/>
      <c r="M318" s="99"/>
      <c r="N318" s="111"/>
      <c r="O318" s="112"/>
      <c r="P318" s="94"/>
      <c r="Q318" s="120"/>
      <c r="R318" s="113"/>
      <c r="S318" s="94"/>
      <c r="T318" s="94"/>
      <c r="V318" s="104"/>
    </row>
    <row r="319" ht="15.75" customHeight="1">
      <c r="A319" s="91"/>
      <c r="B319" s="131"/>
      <c r="C319" s="132"/>
      <c r="D319" s="94"/>
      <c r="E319" s="132"/>
      <c r="F319" s="132"/>
      <c r="G319" s="94"/>
      <c r="H319" s="132"/>
      <c r="I319" s="94"/>
      <c r="J319" s="94"/>
      <c r="K319" s="126"/>
      <c r="L319" s="126"/>
      <c r="M319" s="99"/>
      <c r="N319" s="111"/>
      <c r="O319" s="112"/>
      <c r="P319" s="94"/>
      <c r="Q319" s="120"/>
      <c r="R319" s="113"/>
      <c r="S319" s="94"/>
      <c r="T319" s="94"/>
      <c r="V319" s="104"/>
    </row>
    <row r="320" ht="15.75" customHeight="1">
      <c r="A320" s="91"/>
      <c r="B320" s="131"/>
      <c r="C320" s="132"/>
      <c r="D320" s="94"/>
      <c r="E320" s="132"/>
      <c r="F320" s="132"/>
      <c r="G320" s="94"/>
      <c r="H320" s="132"/>
      <c r="I320" s="94"/>
      <c r="J320" s="94"/>
      <c r="K320" s="125"/>
      <c r="L320" s="125"/>
      <c r="M320" s="99"/>
      <c r="N320" s="111"/>
      <c r="O320" s="112"/>
      <c r="P320" s="94"/>
      <c r="Q320" s="120"/>
      <c r="R320" s="113"/>
      <c r="S320" s="94"/>
      <c r="T320" s="94"/>
      <c r="V320" s="104"/>
    </row>
    <row r="321" ht="15.75" customHeight="1">
      <c r="A321" s="91"/>
      <c r="B321" s="131"/>
      <c r="C321" s="132"/>
      <c r="D321" s="94"/>
      <c r="E321" s="132"/>
      <c r="F321" s="132"/>
      <c r="G321" s="94"/>
      <c r="H321" s="132"/>
      <c r="I321" s="94"/>
      <c r="J321" s="94"/>
      <c r="K321" s="126"/>
      <c r="L321" s="126"/>
      <c r="M321" s="99"/>
      <c r="N321" s="111"/>
      <c r="O321" s="112"/>
      <c r="P321" s="94"/>
      <c r="Q321" s="120"/>
      <c r="R321" s="113"/>
      <c r="S321" s="94"/>
      <c r="T321" s="94"/>
      <c r="V321" s="104"/>
    </row>
    <row r="322" ht="15.75" customHeight="1">
      <c r="A322" s="91"/>
      <c r="B322" s="131"/>
      <c r="C322" s="132"/>
      <c r="D322" s="94"/>
      <c r="E322" s="132"/>
      <c r="F322" s="132"/>
      <c r="G322" s="94"/>
      <c r="H322" s="132"/>
      <c r="I322" s="94"/>
      <c r="J322" s="94"/>
      <c r="K322" s="125"/>
      <c r="L322" s="125"/>
      <c r="M322" s="99"/>
      <c r="N322" s="111"/>
      <c r="O322" s="112"/>
      <c r="P322" s="94"/>
      <c r="Q322" s="120"/>
      <c r="R322" s="113"/>
      <c r="S322" s="94"/>
      <c r="T322" s="94"/>
      <c r="V322" s="104"/>
    </row>
    <row r="323" ht="15.75" customHeight="1">
      <c r="A323" s="91"/>
      <c r="B323" s="131"/>
      <c r="C323" s="132"/>
      <c r="D323" s="94"/>
      <c r="E323" s="132"/>
      <c r="F323" s="132"/>
      <c r="G323" s="94"/>
      <c r="H323" s="132"/>
      <c r="I323" s="94"/>
      <c r="J323" s="94"/>
      <c r="K323" s="126"/>
      <c r="L323" s="126"/>
      <c r="M323" s="99"/>
      <c r="N323" s="111"/>
      <c r="O323" s="112"/>
      <c r="P323" s="94"/>
      <c r="Q323" s="120"/>
      <c r="R323" s="113"/>
      <c r="S323" s="94"/>
      <c r="T323" s="94"/>
      <c r="V323" s="104"/>
    </row>
    <row r="324" ht="15.75" customHeight="1">
      <c r="A324" s="91"/>
      <c r="B324" s="131"/>
      <c r="C324" s="104"/>
      <c r="D324" s="94"/>
      <c r="E324" s="132"/>
      <c r="F324" s="132"/>
      <c r="G324" s="94"/>
      <c r="H324" s="132"/>
      <c r="I324" s="94"/>
      <c r="J324" s="94"/>
      <c r="K324" s="125"/>
      <c r="L324" s="125"/>
      <c r="M324" s="99"/>
      <c r="N324" s="111"/>
      <c r="O324" s="112"/>
      <c r="P324" s="94"/>
      <c r="Q324" s="120"/>
      <c r="R324" s="113"/>
      <c r="S324" s="94"/>
      <c r="T324" s="94"/>
      <c r="V324" s="104"/>
    </row>
    <row r="325" ht="15.75" customHeight="1">
      <c r="A325" s="91"/>
      <c r="B325" s="131"/>
      <c r="C325" s="132"/>
      <c r="D325" s="94"/>
      <c r="E325" s="132"/>
      <c r="F325" s="132"/>
      <c r="G325" s="94"/>
      <c r="H325" s="132"/>
      <c r="I325" s="94"/>
      <c r="J325" s="94"/>
      <c r="K325" s="126"/>
      <c r="L325" s="126"/>
      <c r="M325" s="99"/>
      <c r="N325" s="111"/>
      <c r="O325" s="112"/>
      <c r="P325" s="94"/>
      <c r="Q325" s="120"/>
      <c r="R325" s="113"/>
      <c r="S325" s="94"/>
      <c r="T325" s="94"/>
      <c r="V325" s="104"/>
    </row>
    <row r="326" ht="15.75" customHeight="1">
      <c r="A326" s="91"/>
      <c r="B326" s="131"/>
      <c r="C326" s="132"/>
      <c r="D326" s="94"/>
      <c r="E326" s="132"/>
      <c r="F326" s="132"/>
      <c r="G326" s="94"/>
      <c r="H326" s="132"/>
      <c r="I326" s="94"/>
      <c r="J326" s="94"/>
      <c r="K326" s="125"/>
      <c r="L326" s="125"/>
      <c r="M326" s="99"/>
      <c r="N326" s="111"/>
      <c r="O326" s="112"/>
      <c r="P326" s="94"/>
      <c r="Q326" s="120"/>
      <c r="R326" s="113"/>
      <c r="S326" s="94"/>
      <c r="T326" s="94"/>
      <c r="V326" s="104"/>
    </row>
    <row r="327" ht="15.75" customHeight="1">
      <c r="A327" s="91"/>
      <c r="B327" s="131"/>
      <c r="C327" s="132"/>
      <c r="D327" s="94"/>
      <c r="E327" s="132"/>
      <c r="F327" s="132"/>
      <c r="G327" s="94"/>
      <c r="H327" s="132"/>
      <c r="I327" s="94"/>
      <c r="J327" s="94"/>
      <c r="K327" s="126"/>
      <c r="L327" s="126"/>
      <c r="M327" s="99"/>
      <c r="N327" s="111"/>
      <c r="O327" s="112"/>
      <c r="P327" s="94"/>
      <c r="Q327" s="120"/>
      <c r="R327" s="113"/>
      <c r="S327" s="94"/>
      <c r="T327" s="94"/>
      <c r="V327" s="104"/>
    </row>
    <row r="328" ht="15.75" customHeight="1">
      <c r="A328" s="91"/>
      <c r="B328" s="131"/>
      <c r="C328" s="132"/>
      <c r="D328" s="94"/>
      <c r="E328" s="132"/>
      <c r="F328" s="132"/>
      <c r="G328" s="94"/>
      <c r="H328" s="132"/>
      <c r="I328" s="94"/>
      <c r="J328" s="94"/>
      <c r="K328" s="125"/>
      <c r="L328" s="125"/>
      <c r="M328" s="99"/>
      <c r="N328" s="111"/>
      <c r="O328" s="112"/>
      <c r="P328" s="94"/>
      <c r="Q328" s="120"/>
      <c r="R328" s="113"/>
      <c r="S328" s="94"/>
      <c r="T328" s="94"/>
      <c r="V328" s="104"/>
    </row>
    <row r="329" ht="15.75" customHeight="1">
      <c r="A329" s="91"/>
      <c r="B329" s="131"/>
      <c r="C329" s="132"/>
      <c r="D329" s="94"/>
      <c r="E329" s="132"/>
      <c r="F329" s="132"/>
      <c r="G329" s="94"/>
      <c r="H329" s="132"/>
      <c r="I329" s="94"/>
      <c r="J329" s="94"/>
      <c r="K329" s="126"/>
      <c r="L329" s="126"/>
      <c r="M329" s="99"/>
      <c r="N329" s="111"/>
      <c r="O329" s="112"/>
      <c r="P329" s="94"/>
      <c r="Q329" s="120"/>
      <c r="R329" s="113"/>
      <c r="S329" s="94"/>
      <c r="T329" s="94"/>
      <c r="V329" s="104"/>
    </row>
    <row r="330" ht="15.75" customHeight="1">
      <c r="A330" s="91"/>
      <c r="B330" s="131"/>
      <c r="C330" s="104"/>
      <c r="D330" s="94"/>
      <c r="E330" s="132"/>
      <c r="F330" s="132"/>
      <c r="G330" s="94"/>
      <c r="H330" s="132"/>
      <c r="I330" s="94"/>
      <c r="J330" s="94"/>
      <c r="K330" s="125"/>
      <c r="L330" s="125"/>
      <c r="M330" s="99"/>
      <c r="N330" s="111"/>
      <c r="O330" s="112"/>
      <c r="P330" s="94"/>
      <c r="Q330" s="120"/>
      <c r="R330" s="113"/>
      <c r="S330" s="94"/>
      <c r="T330" s="94"/>
      <c r="V330" s="104"/>
    </row>
    <row r="331" ht="15.75" customHeight="1">
      <c r="A331" s="91"/>
      <c r="B331" s="131"/>
      <c r="C331" s="132"/>
      <c r="D331" s="94"/>
      <c r="E331" s="132"/>
      <c r="F331" s="132"/>
      <c r="G331" s="94"/>
      <c r="H331" s="132"/>
      <c r="I331" s="94"/>
      <c r="J331" s="94"/>
      <c r="K331" s="126"/>
      <c r="L331" s="126"/>
      <c r="M331" s="99"/>
      <c r="N331" s="111"/>
      <c r="O331" s="112"/>
      <c r="P331" s="94"/>
      <c r="Q331" s="120"/>
      <c r="R331" s="113"/>
      <c r="S331" s="94"/>
      <c r="T331" s="94"/>
      <c r="V331" s="104"/>
    </row>
    <row r="332" ht="15.75" customHeight="1">
      <c r="A332" s="91"/>
      <c r="B332" s="131"/>
      <c r="C332" s="132"/>
      <c r="D332" s="94"/>
      <c r="E332" s="132"/>
      <c r="F332" s="132"/>
      <c r="G332" s="94"/>
      <c r="H332" s="132"/>
      <c r="I332" s="94"/>
      <c r="J332" s="94"/>
      <c r="K332" s="125"/>
      <c r="L332" s="125"/>
      <c r="M332" s="99"/>
      <c r="N332" s="111"/>
      <c r="O332" s="112"/>
      <c r="P332" s="94"/>
      <c r="Q332" s="120"/>
      <c r="R332" s="113"/>
      <c r="S332" s="94"/>
      <c r="T332" s="94"/>
      <c r="V332" s="104"/>
    </row>
    <row r="333" ht="15.75" customHeight="1">
      <c r="A333" s="91"/>
      <c r="B333" s="131"/>
      <c r="C333" s="132"/>
      <c r="D333" s="94"/>
      <c r="E333" s="132"/>
      <c r="F333" s="132"/>
      <c r="G333" s="94"/>
      <c r="H333" s="132"/>
      <c r="I333" s="94"/>
      <c r="J333" s="94"/>
      <c r="K333" s="135"/>
      <c r="L333" s="135"/>
      <c r="M333" s="99"/>
      <c r="N333" s="111"/>
      <c r="O333" s="112"/>
      <c r="P333" s="94"/>
      <c r="Q333" s="120"/>
      <c r="R333" s="113"/>
      <c r="S333" s="94"/>
      <c r="T333" s="94"/>
      <c r="V333" s="104"/>
    </row>
    <row r="334" ht="15.75" customHeight="1">
      <c r="A334" s="91"/>
      <c r="B334" s="131"/>
      <c r="C334" s="132"/>
      <c r="D334" s="94"/>
      <c r="E334" s="132"/>
      <c r="F334" s="132"/>
      <c r="G334" s="94"/>
      <c r="H334" s="132"/>
      <c r="I334" s="94"/>
      <c r="J334" s="94"/>
      <c r="K334" s="135"/>
      <c r="L334" s="135"/>
      <c r="M334" s="99"/>
      <c r="N334" s="111"/>
      <c r="O334" s="112"/>
      <c r="P334" s="94"/>
      <c r="Q334" s="120"/>
      <c r="R334" s="113"/>
      <c r="S334" s="94"/>
      <c r="T334" s="94"/>
      <c r="V334" s="104"/>
    </row>
    <row r="335" ht="15.75" customHeight="1">
      <c r="A335" s="91"/>
      <c r="B335" s="131"/>
      <c r="C335" s="132"/>
      <c r="D335" s="94"/>
      <c r="E335" s="132"/>
      <c r="F335" s="132"/>
      <c r="G335" s="94"/>
      <c r="H335" s="132"/>
      <c r="I335" s="94"/>
      <c r="J335" s="94"/>
      <c r="K335" s="135"/>
      <c r="L335" s="135"/>
      <c r="M335" s="99"/>
      <c r="N335" s="111"/>
      <c r="O335" s="112"/>
      <c r="P335" s="94"/>
      <c r="Q335" s="120"/>
      <c r="R335" s="113"/>
      <c r="S335" s="94"/>
      <c r="T335" s="94"/>
      <c r="V335" s="104"/>
    </row>
    <row r="336" ht="15.75" customHeight="1">
      <c r="A336" s="91"/>
      <c r="B336" s="131"/>
      <c r="C336" s="104"/>
      <c r="D336" s="94"/>
      <c r="E336" s="132"/>
      <c r="F336" s="132"/>
      <c r="G336" s="94"/>
      <c r="H336" s="132"/>
      <c r="I336" s="94"/>
      <c r="J336" s="94"/>
      <c r="K336" s="135"/>
      <c r="L336" s="135"/>
      <c r="M336" s="99"/>
      <c r="N336" s="111"/>
      <c r="O336" s="112"/>
      <c r="P336" s="94"/>
      <c r="Q336" s="120"/>
      <c r="R336" s="113"/>
      <c r="S336" s="94"/>
      <c r="T336" s="94"/>
      <c r="V336" s="104"/>
    </row>
    <row r="337" ht="15.75" customHeight="1">
      <c r="A337" s="91"/>
      <c r="B337" s="131"/>
      <c r="C337" s="132"/>
      <c r="D337" s="94"/>
      <c r="E337" s="132"/>
      <c r="F337" s="132"/>
      <c r="G337" s="94"/>
      <c r="H337" s="132"/>
      <c r="I337" s="94"/>
      <c r="J337" s="94"/>
      <c r="K337" s="135"/>
      <c r="L337" s="135"/>
      <c r="M337" s="99"/>
      <c r="N337" s="111"/>
      <c r="O337" s="112"/>
      <c r="P337" s="94"/>
      <c r="Q337" s="120"/>
      <c r="R337" s="113"/>
      <c r="S337" s="94"/>
      <c r="T337" s="94"/>
      <c r="V337" s="104"/>
    </row>
    <row r="338" ht="15.75" customHeight="1">
      <c r="A338" s="91"/>
      <c r="B338" s="131"/>
      <c r="C338" s="132"/>
      <c r="D338" s="94"/>
      <c r="E338" s="132"/>
      <c r="F338" s="132"/>
      <c r="G338" s="94"/>
      <c r="H338" s="132"/>
      <c r="I338" s="94"/>
      <c r="J338" s="94"/>
      <c r="K338" s="135"/>
      <c r="L338" s="135"/>
      <c r="M338" s="99"/>
      <c r="N338" s="111"/>
      <c r="O338" s="112"/>
      <c r="P338" s="94"/>
      <c r="Q338" s="120"/>
      <c r="R338" s="113"/>
      <c r="S338" s="94"/>
      <c r="T338" s="94"/>
      <c r="V338" s="104"/>
    </row>
    <row r="339" ht="15.75" customHeight="1">
      <c r="A339" s="91"/>
      <c r="B339" s="131"/>
      <c r="C339" s="132"/>
      <c r="D339" s="94"/>
      <c r="E339" s="132"/>
      <c r="F339" s="132"/>
      <c r="G339" s="94"/>
      <c r="H339" s="132"/>
      <c r="I339" s="94"/>
      <c r="J339" s="94"/>
      <c r="K339" s="135"/>
      <c r="L339" s="135"/>
      <c r="M339" s="99"/>
      <c r="N339" s="111"/>
      <c r="O339" s="112"/>
      <c r="P339" s="94"/>
      <c r="Q339" s="120"/>
      <c r="R339" s="113"/>
      <c r="S339" s="94"/>
      <c r="T339" s="94"/>
      <c r="V339" s="104"/>
    </row>
    <row r="340" ht="15.75" customHeight="1">
      <c r="A340" s="91"/>
      <c r="B340" s="131"/>
      <c r="C340" s="132"/>
      <c r="D340" s="94"/>
      <c r="E340" s="132"/>
      <c r="F340" s="132"/>
      <c r="G340" s="94"/>
      <c r="H340" s="132"/>
      <c r="I340" s="94"/>
      <c r="J340" s="94"/>
      <c r="K340" s="135"/>
      <c r="L340" s="135"/>
      <c r="M340" s="99"/>
      <c r="N340" s="111"/>
      <c r="O340" s="112"/>
      <c r="P340" s="94"/>
      <c r="Q340" s="120"/>
      <c r="R340" s="113"/>
      <c r="S340" s="94"/>
      <c r="T340" s="94"/>
      <c r="V340" s="104"/>
    </row>
    <row r="341" ht="15.75" customHeight="1">
      <c r="A341" s="91"/>
      <c r="B341" s="131"/>
      <c r="C341" s="132"/>
      <c r="D341" s="94"/>
      <c r="E341" s="132"/>
      <c r="F341" s="132"/>
      <c r="G341" s="94"/>
      <c r="H341" s="132"/>
      <c r="I341" s="94"/>
      <c r="J341" s="94"/>
      <c r="K341" s="135"/>
      <c r="L341" s="135"/>
      <c r="M341" s="99"/>
      <c r="N341" s="111"/>
      <c r="O341" s="112"/>
      <c r="P341" s="94"/>
      <c r="Q341" s="120"/>
      <c r="R341" s="113"/>
      <c r="S341" s="94"/>
      <c r="T341" s="94"/>
      <c r="V341" s="104"/>
    </row>
    <row r="342" ht="15.75" customHeight="1">
      <c r="A342" s="91"/>
      <c r="B342" s="131"/>
      <c r="C342" s="104"/>
      <c r="D342" s="94"/>
      <c r="E342" s="132"/>
      <c r="F342" s="132"/>
      <c r="G342" s="94"/>
      <c r="H342" s="132"/>
      <c r="I342" s="94"/>
      <c r="J342" s="94"/>
      <c r="K342" s="135"/>
      <c r="L342" s="135"/>
      <c r="M342" s="99"/>
      <c r="N342" s="111"/>
      <c r="O342" s="112"/>
      <c r="P342" s="94"/>
      <c r="Q342" s="120"/>
      <c r="R342" s="113"/>
      <c r="S342" s="94"/>
      <c r="T342" s="94"/>
      <c r="V342" s="104"/>
    </row>
    <row r="343" ht="15.75" customHeight="1">
      <c r="A343" s="91"/>
      <c r="B343" s="131"/>
      <c r="C343" s="132"/>
      <c r="D343" s="94"/>
      <c r="E343" s="132"/>
      <c r="F343" s="132"/>
      <c r="G343" s="94"/>
      <c r="H343" s="132"/>
      <c r="I343" s="94"/>
      <c r="J343" s="94"/>
      <c r="K343" s="135"/>
      <c r="L343" s="135"/>
      <c r="M343" s="99"/>
      <c r="N343" s="111"/>
      <c r="O343" s="112"/>
      <c r="P343" s="94"/>
      <c r="Q343" s="120"/>
      <c r="R343" s="113"/>
      <c r="S343" s="94"/>
      <c r="T343" s="94"/>
      <c r="V343" s="104"/>
    </row>
    <row r="344" ht="15.75" customHeight="1">
      <c r="A344" s="91"/>
      <c r="B344" s="131"/>
      <c r="C344" s="132"/>
      <c r="D344" s="94"/>
      <c r="E344" s="132"/>
      <c r="F344" s="132"/>
      <c r="G344" s="94"/>
      <c r="H344" s="132"/>
      <c r="I344" s="94"/>
      <c r="J344" s="94"/>
      <c r="K344" s="135"/>
      <c r="L344" s="135"/>
      <c r="M344" s="99"/>
      <c r="N344" s="111"/>
      <c r="O344" s="112"/>
      <c r="P344" s="94"/>
      <c r="Q344" s="120"/>
      <c r="R344" s="113"/>
      <c r="S344" s="94"/>
      <c r="T344" s="94"/>
      <c r="V344" s="104"/>
    </row>
    <row r="345" ht="15.75" customHeight="1">
      <c r="A345" s="91"/>
      <c r="B345" s="131"/>
      <c r="C345" s="132"/>
      <c r="D345" s="94"/>
      <c r="E345" s="132"/>
      <c r="F345" s="132"/>
      <c r="G345" s="94"/>
      <c r="H345" s="132"/>
      <c r="I345" s="94"/>
      <c r="J345" s="94"/>
      <c r="K345" s="135"/>
      <c r="L345" s="135"/>
      <c r="M345" s="99"/>
      <c r="N345" s="111"/>
      <c r="O345" s="112"/>
      <c r="P345" s="94"/>
      <c r="Q345" s="120"/>
      <c r="R345" s="113"/>
      <c r="S345" s="94"/>
      <c r="T345" s="94"/>
      <c r="V345" s="104"/>
    </row>
    <row r="346" ht="15.75" customHeight="1">
      <c r="A346" s="91"/>
      <c r="B346" s="131"/>
      <c r="C346" s="132"/>
      <c r="D346" s="94"/>
      <c r="E346" s="132"/>
      <c r="F346" s="132"/>
      <c r="G346" s="94"/>
      <c r="H346" s="132"/>
      <c r="I346" s="94"/>
      <c r="J346" s="94"/>
      <c r="K346" s="135"/>
      <c r="L346" s="135"/>
      <c r="M346" s="99"/>
      <c r="N346" s="111"/>
      <c r="O346" s="112"/>
      <c r="P346" s="94"/>
      <c r="Q346" s="120"/>
      <c r="R346" s="113"/>
      <c r="S346" s="94"/>
      <c r="T346" s="94"/>
      <c r="V346" s="104"/>
    </row>
    <row r="347" ht="15.75" customHeight="1">
      <c r="A347" s="91"/>
      <c r="B347" s="131"/>
      <c r="C347" s="132"/>
      <c r="D347" s="94"/>
      <c r="E347" s="132"/>
      <c r="F347" s="132"/>
      <c r="G347" s="94"/>
      <c r="H347" s="132"/>
      <c r="I347" s="94"/>
      <c r="J347" s="94"/>
      <c r="K347" s="135"/>
      <c r="L347" s="135"/>
      <c r="M347" s="99"/>
      <c r="N347" s="111"/>
      <c r="O347" s="112"/>
      <c r="P347" s="94"/>
      <c r="Q347" s="120"/>
      <c r="R347" s="113"/>
      <c r="S347" s="94"/>
      <c r="T347" s="94"/>
      <c r="V347" s="104"/>
    </row>
    <row r="348" ht="15.75" customHeight="1">
      <c r="A348" s="91"/>
      <c r="B348" s="131"/>
      <c r="C348" s="104"/>
      <c r="D348" s="94"/>
      <c r="E348" s="132"/>
      <c r="F348" s="132"/>
      <c r="G348" s="94"/>
      <c r="H348" s="132"/>
      <c r="I348" s="94"/>
      <c r="J348" s="94"/>
      <c r="K348" s="135"/>
      <c r="L348" s="135"/>
      <c r="M348" s="99"/>
      <c r="N348" s="111"/>
      <c r="O348" s="112"/>
      <c r="P348" s="94"/>
      <c r="Q348" s="120"/>
      <c r="R348" s="113"/>
      <c r="S348" s="94"/>
      <c r="T348" s="94"/>
      <c r="V348" s="104"/>
    </row>
    <row r="349" ht="15.75" customHeight="1">
      <c r="A349" s="91"/>
      <c r="B349" s="131"/>
      <c r="C349" s="132"/>
      <c r="D349" s="94"/>
      <c r="E349" s="132"/>
      <c r="F349" s="132"/>
      <c r="G349" s="94"/>
      <c r="H349" s="132"/>
      <c r="I349" s="94"/>
      <c r="J349" s="94"/>
      <c r="K349" s="135"/>
      <c r="L349" s="135"/>
      <c r="M349" s="99"/>
      <c r="N349" s="111"/>
      <c r="O349" s="112"/>
      <c r="P349" s="94"/>
      <c r="Q349" s="120"/>
      <c r="R349" s="113"/>
      <c r="S349" s="94"/>
      <c r="T349" s="94"/>
      <c r="V349" s="104"/>
    </row>
    <row r="350" ht="15.75" customHeight="1">
      <c r="A350" s="91"/>
      <c r="B350" s="131"/>
      <c r="C350" s="132"/>
      <c r="D350" s="94"/>
      <c r="E350" s="132"/>
      <c r="F350" s="132"/>
      <c r="G350" s="94"/>
      <c r="H350" s="132"/>
      <c r="I350" s="94"/>
      <c r="J350" s="94"/>
      <c r="K350" s="135"/>
      <c r="L350" s="135"/>
      <c r="M350" s="99"/>
      <c r="N350" s="111"/>
      <c r="O350" s="112"/>
      <c r="P350" s="94"/>
      <c r="Q350" s="120"/>
      <c r="R350" s="113"/>
      <c r="S350" s="94"/>
      <c r="T350" s="94"/>
      <c r="V350" s="104"/>
    </row>
    <row r="351" ht="15.75" customHeight="1">
      <c r="A351" s="91"/>
      <c r="B351" s="131"/>
      <c r="C351" s="132"/>
      <c r="D351" s="94"/>
      <c r="E351" s="132"/>
      <c r="F351" s="132"/>
      <c r="G351" s="94"/>
      <c r="H351" s="132"/>
      <c r="I351" s="94"/>
      <c r="J351" s="94"/>
      <c r="K351" s="135"/>
      <c r="L351" s="135"/>
      <c r="M351" s="99"/>
      <c r="N351" s="111"/>
      <c r="O351" s="112"/>
      <c r="P351" s="94"/>
      <c r="Q351" s="120"/>
      <c r="R351" s="113"/>
      <c r="S351" s="94"/>
      <c r="T351" s="94"/>
      <c r="V351" s="104"/>
    </row>
    <row r="352" ht="15.75" customHeight="1">
      <c r="A352" s="91"/>
      <c r="B352" s="131"/>
      <c r="C352" s="132"/>
      <c r="D352" s="94"/>
      <c r="E352" s="132"/>
      <c r="F352" s="132"/>
      <c r="G352" s="94"/>
      <c r="H352" s="132"/>
      <c r="I352" s="94"/>
      <c r="J352" s="94"/>
      <c r="K352" s="135"/>
      <c r="L352" s="135"/>
      <c r="M352" s="99"/>
      <c r="N352" s="111"/>
      <c r="O352" s="112"/>
      <c r="P352" s="94"/>
      <c r="Q352" s="120"/>
      <c r="R352" s="113"/>
      <c r="S352" s="94"/>
      <c r="T352" s="94"/>
      <c r="V352" s="104"/>
    </row>
    <row r="353" ht="15.75" customHeight="1">
      <c r="A353" s="91"/>
      <c r="B353" s="131"/>
      <c r="C353" s="132"/>
      <c r="D353" s="94"/>
      <c r="E353" s="132"/>
      <c r="F353" s="132"/>
      <c r="G353" s="94"/>
      <c r="H353" s="132"/>
      <c r="I353" s="94"/>
      <c r="J353" s="94"/>
      <c r="K353" s="135"/>
      <c r="L353" s="135"/>
      <c r="M353" s="99"/>
      <c r="N353" s="111"/>
      <c r="O353" s="112"/>
      <c r="P353" s="94"/>
      <c r="Q353" s="120"/>
      <c r="R353" s="113"/>
      <c r="S353" s="94"/>
      <c r="T353" s="94"/>
      <c r="V353" s="104"/>
    </row>
    <row r="354" ht="15.75" customHeight="1">
      <c r="A354" s="91"/>
      <c r="B354" s="131"/>
      <c r="C354" s="104"/>
      <c r="D354" s="94"/>
      <c r="E354" s="132"/>
      <c r="F354" s="132"/>
      <c r="G354" s="94"/>
      <c r="H354" s="132"/>
      <c r="I354" s="94"/>
      <c r="J354" s="94"/>
      <c r="K354" s="135"/>
      <c r="L354" s="135"/>
      <c r="M354" s="99"/>
      <c r="N354" s="111"/>
      <c r="O354" s="112"/>
      <c r="P354" s="94"/>
      <c r="Q354" s="120"/>
      <c r="R354" s="113"/>
      <c r="S354" s="94"/>
      <c r="T354" s="94"/>
      <c r="V354" s="104"/>
    </row>
    <row r="355" ht="15.75" customHeight="1">
      <c r="A355" s="91"/>
      <c r="B355" s="131"/>
      <c r="C355" s="132"/>
      <c r="D355" s="94"/>
      <c r="E355" s="132"/>
      <c r="F355" s="132"/>
      <c r="G355" s="94"/>
      <c r="H355" s="132"/>
      <c r="I355" s="94"/>
      <c r="J355" s="94"/>
      <c r="K355" s="135"/>
      <c r="L355" s="135"/>
      <c r="M355" s="99"/>
      <c r="N355" s="111"/>
      <c r="O355" s="112"/>
      <c r="P355" s="94"/>
      <c r="Q355" s="120"/>
      <c r="R355" s="113"/>
      <c r="S355" s="94"/>
      <c r="T355" s="94"/>
      <c r="V355" s="104"/>
    </row>
    <row r="356" ht="15.75" customHeight="1">
      <c r="A356" s="91"/>
      <c r="B356" s="131"/>
      <c r="C356" s="132"/>
      <c r="D356" s="94"/>
      <c r="E356" s="132"/>
      <c r="F356" s="132"/>
      <c r="G356" s="94"/>
      <c r="H356" s="132"/>
      <c r="I356" s="94"/>
      <c r="J356" s="94"/>
      <c r="K356" s="135"/>
      <c r="L356" s="135"/>
      <c r="M356" s="99"/>
      <c r="N356" s="111"/>
      <c r="O356" s="112"/>
      <c r="P356" s="94"/>
      <c r="Q356" s="120"/>
      <c r="R356" s="113"/>
      <c r="S356" s="94"/>
      <c r="T356" s="94"/>
      <c r="V356" s="104"/>
    </row>
    <row r="357" ht="15.75" customHeight="1">
      <c r="A357" s="91"/>
      <c r="B357" s="131"/>
      <c r="C357" s="132"/>
      <c r="D357" s="94"/>
      <c r="E357" s="132"/>
      <c r="F357" s="132"/>
      <c r="G357" s="94"/>
      <c r="H357" s="132"/>
      <c r="I357" s="94"/>
      <c r="J357" s="94"/>
      <c r="K357" s="135"/>
      <c r="L357" s="135"/>
      <c r="M357" s="99"/>
      <c r="N357" s="111"/>
      <c r="O357" s="112"/>
      <c r="P357" s="94"/>
      <c r="Q357" s="120"/>
      <c r="R357" s="113"/>
      <c r="S357" s="94"/>
      <c r="T357" s="94"/>
      <c r="V357" s="104"/>
    </row>
    <row r="358" ht="15.75" customHeight="1">
      <c r="A358" s="91"/>
      <c r="B358" s="131"/>
      <c r="C358" s="132"/>
      <c r="D358" s="94"/>
      <c r="E358" s="132"/>
      <c r="F358" s="132"/>
      <c r="G358" s="94"/>
      <c r="H358" s="132"/>
      <c r="I358" s="94"/>
      <c r="J358" s="94"/>
      <c r="K358" s="135"/>
      <c r="L358" s="135"/>
      <c r="M358" s="99"/>
      <c r="N358" s="111"/>
      <c r="O358" s="112"/>
      <c r="P358" s="94"/>
      <c r="Q358" s="120"/>
      <c r="R358" s="113"/>
      <c r="S358" s="94"/>
      <c r="T358" s="94"/>
      <c r="V358" s="104"/>
    </row>
    <row r="359" ht="15.75" customHeight="1">
      <c r="A359" s="91"/>
      <c r="B359" s="131"/>
      <c r="C359" s="132"/>
      <c r="D359" s="94"/>
      <c r="E359" s="132"/>
      <c r="F359" s="132"/>
      <c r="G359" s="94"/>
      <c r="H359" s="132"/>
      <c r="I359" s="94"/>
      <c r="J359" s="94"/>
      <c r="K359" s="135"/>
      <c r="L359" s="135"/>
      <c r="M359" s="99"/>
      <c r="N359" s="111"/>
      <c r="O359" s="112"/>
      <c r="P359" s="94"/>
      <c r="Q359" s="120"/>
      <c r="R359" s="113"/>
      <c r="S359" s="94"/>
      <c r="T359" s="94"/>
      <c r="V359" s="104"/>
    </row>
    <row r="360" ht="15.75" customHeight="1">
      <c r="A360" s="91"/>
      <c r="B360" s="131"/>
      <c r="C360" s="104"/>
      <c r="D360" s="94"/>
      <c r="E360" s="132"/>
      <c r="F360" s="132"/>
      <c r="G360" s="94"/>
      <c r="H360" s="132"/>
      <c r="I360" s="94"/>
      <c r="J360" s="94"/>
      <c r="K360" s="135"/>
      <c r="L360" s="135"/>
      <c r="M360" s="99"/>
      <c r="N360" s="111"/>
      <c r="O360" s="112"/>
      <c r="P360" s="94"/>
      <c r="Q360" s="120"/>
      <c r="R360" s="113"/>
      <c r="S360" s="94"/>
      <c r="T360" s="94"/>
      <c r="V360" s="104"/>
    </row>
    <row r="361" ht="15.75" customHeight="1">
      <c r="A361" s="91"/>
      <c r="B361" s="131"/>
      <c r="C361" s="132"/>
      <c r="D361" s="94"/>
      <c r="E361" s="132"/>
      <c r="F361" s="132"/>
      <c r="G361" s="94"/>
      <c r="H361" s="132"/>
      <c r="I361" s="94"/>
      <c r="J361" s="94"/>
      <c r="K361" s="135"/>
      <c r="L361" s="135"/>
      <c r="M361" s="99"/>
      <c r="N361" s="111"/>
      <c r="O361" s="112"/>
      <c r="P361" s="94"/>
      <c r="Q361" s="120"/>
      <c r="R361" s="113"/>
      <c r="S361" s="94"/>
      <c r="T361" s="94"/>
      <c r="V361" s="104"/>
    </row>
    <row r="362" ht="15.75" customHeight="1">
      <c r="A362" s="91"/>
      <c r="B362" s="131"/>
      <c r="C362" s="132"/>
      <c r="D362" s="94"/>
      <c r="E362" s="132"/>
      <c r="F362" s="132"/>
      <c r="G362" s="94"/>
      <c r="H362" s="132"/>
      <c r="I362" s="94"/>
      <c r="J362" s="94"/>
      <c r="K362" s="135"/>
      <c r="L362" s="135"/>
      <c r="M362" s="99"/>
      <c r="N362" s="111"/>
      <c r="O362" s="112"/>
      <c r="P362" s="94"/>
      <c r="Q362" s="120"/>
      <c r="R362" s="113"/>
      <c r="S362" s="94"/>
      <c r="T362" s="94"/>
      <c r="V362" s="104"/>
    </row>
    <row r="363" ht="15.75" customHeight="1">
      <c r="A363" s="91"/>
      <c r="B363" s="131"/>
      <c r="C363" s="132"/>
      <c r="D363" s="94"/>
      <c r="E363" s="132"/>
      <c r="F363" s="132"/>
      <c r="G363" s="94"/>
      <c r="H363" s="132"/>
      <c r="I363" s="94"/>
      <c r="J363" s="94"/>
      <c r="K363" s="135"/>
      <c r="L363" s="135"/>
      <c r="M363" s="99"/>
      <c r="N363" s="111"/>
      <c r="O363" s="112"/>
      <c r="P363" s="94"/>
      <c r="Q363" s="120"/>
      <c r="R363" s="113"/>
      <c r="S363" s="94"/>
      <c r="T363" s="94"/>
      <c r="V363" s="104"/>
    </row>
    <row r="364" ht="15.75" customHeight="1">
      <c r="A364" s="91"/>
      <c r="B364" s="131"/>
      <c r="C364" s="132"/>
      <c r="D364" s="94"/>
      <c r="E364" s="132"/>
      <c r="F364" s="132"/>
      <c r="G364" s="94"/>
      <c r="H364" s="132"/>
      <c r="I364" s="94"/>
      <c r="J364" s="94"/>
      <c r="K364" s="135"/>
      <c r="L364" s="135"/>
      <c r="M364" s="99"/>
      <c r="N364" s="111"/>
      <c r="O364" s="112"/>
      <c r="P364" s="94"/>
      <c r="Q364" s="120"/>
      <c r="R364" s="113"/>
      <c r="S364" s="94"/>
      <c r="T364" s="94"/>
      <c r="V364" s="104"/>
    </row>
    <row r="365" ht="15.75" customHeight="1">
      <c r="A365" s="91"/>
      <c r="B365" s="131"/>
      <c r="C365" s="132"/>
      <c r="D365" s="94"/>
      <c r="E365" s="132"/>
      <c r="F365" s="132"/>
      <c r="G365" s="94"/>
      <c r="H365" s="132"/>
      <c r="I365" s="94"/>
      <c r="J365" s="94"/>
      <c r="K365" s="135"/>
      <c r="L365" s="135"/>
      <c r="M365" s="99"/>
      <c r="N365" s="111"/>
      <c r="O365" s="112"/>
      <c r="P365" s="94"/>
      <c r="Q365" s="120"/>
      <c r="R365" s="113"/>
      <c r="S365" s="94"/>
      <c r="T365" s="94"/>
      <c r="V365" s="104"/>
    </row>
  </sheetData>
  <autoFilter ref="$A$12:$V$108"/>
  <customSheetViews>
    <customSheetView guid="{FE509773-0638-41EB-A036-A8EE905B9B6D}" filter="1" showAutoFilter="1">
      <autoFilter ref="$R$24"/>
    </customSheetView>
  </customSheetViews>
  <mergeCells count="350">
    <mergeCell ref="T9:U9"/>
    <mergeCell ref="T10:U10"/>
    <mergeCell ref="T11:U11"/>
    <mergeCell ref="T12:U12"/>
    <mergeCell ref="T16:U16"/>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 ref="T359:U359"/>
    <mergeCell ref="T360:U360"/>
    <mergeCell ref="T361:U361"/>
    <mergeCell ref="T362:U362"/>
    <mergeCell ref="T363:U363"/>
    <mergeCell ref="T364:U364"/>
    <mergeCell ref="T365:U365"/>
    <mergeCell ref="T352:U352"/>
    <mergeCell ref="T353:U353"/>
    <mergeCell ref="T354:U354"/>
    <mergeCell ref="T355:U355"/>
    <mergeCell ref="T356:U356"/>
    <mergeCell ref="T357:U357"/>
    <mergeCell ref="T358:U358"/>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s>
  <dataValidations>
    <dataValidation type="list" allowBlank="1" showErrorMessage="1" sqref="N13:N107 N115:N365">
      <formula1>"Think About It,Money,Partner,Time,Fear,Value"</formula1>
    </dataValidation>
    <dataValidation type="list" allowBlank="1" showErrorMessage="1" sqref="J22">
      <formula1>"Option 1,Option 2"</formula1>
    </dataValidation>
    <dataValidation type="list" allowBlank="1" showErrorMessage="1" sqref="I13:J21 I22 I23:J40 I41 I42:J107 I115:J365">
      <formula1>"Full-Pay,Split-Pay,Deposit,Offer &amp; Didn't Buy,Bad Fit &amp; No Offer,Drag Over &amp; Show,Rescheduled,Cancelled,No-Show"</formula1>
    </dataValidation>
    <dataValidation type="list" allowBlank="1" showErrorMessage="1" sqref="S13:S107 S115:S365">
      <formula1>"Closed,Follow Up,Hot Follow Up,Deposit (Follow Up Set),Follow Up Set,X"</formula1>
    </dataValidation>
    <dataValidation type="list" allowBlank="1" showErrorMessage="1" sqref="J41">
      <formula1>"Full-Pay,Split-Pay,Deposit,Offer &amp; Didn't Buy,Bad Fit &amp; No Offer,Drag Over &amp; Show,Rescheduled,Cancelled,No-Show"</formula1>
    </dataValidation>
    <dataValidation type="list" allowBlank="1" sqref="H13:H16">
      <formula1>"IG,Setter,Ads,Email,Facebook,Facebook Ads,Youtube"</formula1>
    </dataValidation>
    <dataValidation type="list" allowBlank="1" sqref="H17:H107 H115:H365">
      <formula1>"IG,Setter,Ads,Email,Facebook,Facebook Ads"</formula1>
    </dataValidation>
  </dataValidations>
  <hyperlinks>
    <hyperlink r:id="rId2" ref="F27"/>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39"/>
      <c r="B1" s="6" t="s">
        <v>31</v>
      </c>
      <c r="C1" s="6" t="s">
        <v>32</v>
      </c>
      <c r="D1" s="39"/>
      <c r="E1" s="40" t="s">
        <v>33</v>
      </c>
      <c r="F1" s="41"/>
      <c r="G1" s="39"/>
      <c r="H1" s="40" t="s">
        <v>34</v>
      </c>
      <c r="I1" s="41"/>
      <c r="J1" s="13"/>
      <c r="K1" s="42" t="s">
        <v>35</v>
      </c>
      <c r="L1" s="43"/>
      <c r="M1" s="13"/>
      <c r="N1" s="40" t="s">
        <v>36</v>
      </c>
      <c r="O1" s="44"/>
      <c r="P1" s="39"/>
      <c r="Q1" s="40" t="s">
        <v>37</v>
      </c>
      <c r="R1" s="45"/>
      <c r="S1" s="41"/>
      <c r="T1" s="41"/>
      <c r="U1" s="39" t="s">
        <v>38</v>
      </c>
      <c r="V1" s="39"/>
    </row>
    <row r="2">
      <c r="A2" s="39"/>
      <c r="B2" s="41"/>
      <c r="C2" s="41"/>
      <c r="D2" s="13"/>
      <c r="E2" s="46" t="s">
        <v>26</v>
      </c>
      <c r="F2" s="47">
        <f>IFERROR(COUNTIFS(I13:I286, "Full-Pay"),"")</f>
        <v>30</v>
      </c>
      <c r="G2" s="13"/>
      <c r="H2" s="48" t="s">
        <v>16</v>
      </c>
      <c r="I2" s="49">
        <f>iferror(I10/I8,"")</f>
        <v>0.375</v>
      </c>
      <c r="J2" s="12"/>
      <c r="K2" s="50" t="s">
        <v>39</v>
      </c>
      <c r="L2" s="51">
        <f>iferror(F8/I6,"")</f>
        <v>0</v>
      </c>
      <c r="M2" s="12"/>
      <c r="N2" s="52" t="s">
        <v>40</v>
      </c>
      <c r="O2" s="53">
        <f>IFERROR(COUNTIFS(N13:N285, "think about it"),"")</f>
        <v>10</v>
      </c>
      <c r="P2" s="13"/>
      <c r="Q2" s="56" t="s">
        <v>236</v>
      </c>
      <c r="R2" s="55">
        <f>IFERROR(COUNTIF(H13:H285,Q2),"")</f>
        <v>0</v>
      </c>
      <c r="S2" s="56" t="s">
        <v>42</v>
      </c>
      <c r="T2" s="57">
        <f>IFERROR(COUNTIF(H13:H285,S2),"")</f>
        <v>0</v>
      </c>
      <c r="U2" s="39"/>
      <c r="V2" s="58"/>
    </row>
    <row r="3">
      <c r="A3" s="13"/>
      <c r="B3" s="59" t="s">
        <v>43</v>
      </c>
      <c r="C3" s="136">
        <f>IFERROR(SUM(K13:K282),"")</f>
        <v>242800</v>
      </c>
      <c r="D3" s="61"/>
      <c r="E3" s="46" t="s">
        <v>27</v>
      </c>
      <c r="F3" s="47">
        <f>IFERROR(COUNTIFS(I13:I286, "Split-Pay"),"")</f>
        <v>0</v>
      </c>
      <c r="G3" s="13"/>
      <c r="H3" s="48" t="s">
        <v>17</v>
      </c>
      <c r="I3" s="49">
        <f>IFERROR(I10/I9,"")</f>
        <v>0.3797468354</v>
      </c>
      <c r="J3" s="12"/>
      <c r="K3" s="50" t="s">
        <v>44</v>
      </c>
      <c r="L3" s="51">
        <f>iferror(F9/I6,"")</f>
        <v>0.08</v>
      </c>
      <c r="M3" s="12"/>
      <c r="N3" s="52" t="s">
        <v>45</v>
      </c>
      <c r="O3" s="62">
        <f>IFERROR(COUNTIFS(N13:N285, "money"),"")</f>
        <v>26</v>
      </c>
      <c r="P3" s="13"/>
      <c r="Q3" s="56" t="s">
        <v>51</v>
      </c>
      <c r="R3" s="55">
        <f>IFERROR(COUNTIF(H13:H285,Q3),"")</f>
        <v>0</v>
      </c>
      <c r="S3" s="56" t="s">
        <v>47</v>
      </c>
      <c r="T3" s="57">
        <f>IFERROR(COUNTIF(H13:H285,S3),"")</f>
        <v>0</v>
      </c>
      <c r="U3" s="39"/>
      <c r="V3" s="58"/>
    </row>
    <row r="4">
      <c r="A4" s="13"/>
      <c r="B4" s="63" t="s">
        <v>48</v>
      </c>
      <c r="C4" s="137">
        <f>IFERROR(SUM(L13:L283),"")</f>
        <v>85700</v>
      </c>
      <c r="D4" s="61"/>
      <c r="E4" s="46" t="s">
        <v>28</v>
      </c>
      <c r="F4" s="47">
        <f>IFERROR(COUNTIFS(I13:I286, "Deposit"),"")</f>
        <v>6</v>
      </c>
      <c r="G4" s="13"/>
      <c r="H4" s="48" t="s">
        <v>18</v>
      </c>
      <c r="I4" s="49">
        <f>IFERROR(I9/I8,"")</f>
        <v>0.9875</v>
      </c>
      <c r="J4" s="12"/>
      <c r="K4" s="50" t="s">
        <v>49</v>
      </c>
      <c r="L4" s="51">
        <f>iferror(F10/I6,"")</f>
        <v>0.12</v>
      </c>
      <c r="M4" s="12"/>
      <c r="N4" s="52" t="s">
        <v>50</v>
      </c>
      <c r="O4" s="53">
        <f>IFERROR(COUNTIFS(N13:N285, "time"),"")</f>
        <v>2</v>
      </c>
      <c r="P4" s="13"/>
      <c r="Q4" s="56" t="s">
        <v>237</v>
      </c>
      <c r="R4" s="55">
        <f>IFERROR(COUNTIF(H13:H285,Q4),"")</f>
        <v>0</v>
      </c>
      <c r="S4" s="56" t="s">
        <v>52</v>
      </c>
      <c r="T4" s="57">
        <f>IFERROR(COUNTIF(H13:H285,S4),"")</f>
        <v>0</v>
      </c>
      <c r="U4" s="39"/>
      <c r="V4" s="39"/>
    </row>
    <row r="5">
      <c r="A5" s="39"/>
      <c r="B5" s="41"/>
      <c r="C5" s="41"/>
      <c r="D5" s="13"/>
      <c r="E5" s="46" t="s">
        <v>53</v>
      </c>
      <c r="F5" s="47">
        <f>IFERROR(COUNTIFS(I13:I286, "Offer &amp; Didn't Buy"),"")</f>
        <v>43</v>
      </c>
      <c r="G5" s="13"/>
      <c r="H5" s="48" t="s">
        <v>54</v>
      </c>
      <c r="I5" s="49">
        <f>IFERROR(F7/(C6+F7+F8),"")</f>
        <v>0</v>
      </c>
      <c r="J5" s="13"/>
      <c r="K5" s="50" t="s">
        <v>54</v>
      </c>
      <c r="L5" s="51">
        <f>iferror(F7/I6,"")</f>
        <v>0</v>
      </c>
      <c r="M5" s="12"/>
      <c r="N5" s="52" t="s">
        <v>55</v>
      </c>
      <c r="O5" s="53">
        <f>IFERROR(COUNTIFS(N13:N285, "partner"),"")</f>
        <v>3</v>
      </c>
      <c r="P5" s="13"/>
      <c r="Q5" s="56" t="s">
        <v>56</v>
      </c>
      <c r="R5" s="55">
        <f>IFERROR(COUNTIF(H13:H285,Q5),"")</f>
        <v>0</v>
      </c>
      <c r="S5" s="56" t="s">
        <v>57</v>
      </c>
      <c r="T5" s="57">
        <f>IFERROR(COUNTIF(H13:H285,S5),"")</f>
        <v>0</v>
      </c>
      <c r="U5" s="39"/>
      <c r="V5" s="58"/>
    </row>
    <row r="6">
      <c r="A6" s="13"/>
      <c r="B6" s="65" t="s">
        <v>58</v>
      </c>
      <c r="C6" s="66">
        <f>IFERROR(SUM(F2:F6),"")</f>
        <v>80</v>
      </c>
      <c r="D6" s="13"/>
      <c r="E6" s="46" t="s">
        <v>59</v>
      </c>
      <c r="F6" s="47">
        <f>IFERROR(COUNTIFS(I13:I286, "Bad Fit &amp; No Offer"),"")</f>
        <v>1</v>
      </c>
      <c r="G6" s="13"/>
      <c r="H6" s="48" t="s">
        <v>21</v>
      </c>
      <c r="I6" s="67">
        <f>IFERROR(SUM(F2:F10),"")</f>
        <v>100</v>
      </c>
      <c r="J6" s="13"/>
      <c r="K6" s="68" t="s">
        <v>29</v>
      </c>
      <c r="L6" s="51">
        <f>iferror(I7/I6,"")</f>
        <v>0.8</v>
      </c>
      <c r="M6" s="12"/>
      <c r="N6" s="52" t="s">
        <v>60</v>
      </c>
      <c r="O6" s="53">
        <f>IFERROR(COUNTIFS(N13:N285, "fear"),"")</f>
        <v>2</v>
      </c>
      <c r="P6" s="13"/>
      <c r="Q6" s="56" t="s">
        <v>61</v>
      </c>
      <c r="R6" s="55">
        <f>IFERROR(COUNTIF(H13:H285,Q6),"")</f>
        <v>0</v>
      </c>
      <c r="S6" s="56" t="s">
        <v>62</v>
      </c>
      <c r="T6" s="57">
        <f>IFERROR(COUNTIF(H13:H285,S6),"")</f>
        <v>0</v>
      </c>
      <c r="U6" s="39"/>
      <c r="V6" s="58"/>
    </row>
    <row r="7">
      <c r="A7" s="13"/>
      <c r="B7" s="65" t="s">
        <v>63</v>
      </c>
      <c r="C7" s="69">
        <f>IFERROR(F2+F3,"")</f>
        <v>30</v>
      </c>
      <c r="D7" s="13"/>
      <c r="E7" s="46" t="s">
        <v>64</v>
      </c>
      <c r="F7" s="47">
        <f>IFERROR(COUNTIFS(I13:I286, "Drag Over &amp; Show"),"")</f>
        <v>0</v>
      </c>
      <c r="G7" s="13"/>
      <c r="H7" s="48" t="s">
        <v>22</v>
      </c>
      <c r="I7" s="67">
        <f>IFERROR(SUM(F2:F7),"")</f>
        <v>80</v>
      </c>
      <c r="J7" s="13"/>
      <c r="K7" s="70" t="s">
        <v>30</v>
      </c>
      <c r="L7" s="71">
        <f>IFERROR(I8/I6,"")</f>
        <v>0.8</v>
      </c>
      <c r="M7" s="12"/>
      <c r="N7" s="72" t="s">
        <v>65</v>
      </c>
      <c r="O7" s="73">
        <f>IFERROR(COUNTIFS(N14:N286, "value"),"")</f>
        <v>0</v>
      </c>
      <c r="P7" s="13"/>
      <c r="Q7" s="56" t="s">
        <v>66</v>
      </c>
      <c r="R7" s="55">
        <f>IFERROR(COUNTIF(H13:H285,Q7),"")</f>
        <v>0</v>
      </c>
      <c r="S7" s="56" t="s">
        <v>67</v>
      </c>
      <c r="T7" s="57">
        <f>IFERROR(COUNTIF(H13:H285,S7),"")</f>
        <v>0</v>
      </c>
      <c r="U7" s="39"/>
      <c r="V7" s="39"/>
    </row>
    <row r="8">
      <c r="A8" s="13"/>
      <c r="B8" s="65" t="s">
        <v>68</v>
      </c>
      <c r="C8" s="74">
        <f>COUNTIF(I13:I285,"offer &amp; didn't buy")+countif(I13:I285,"deposit")+countif(I13:I285,"bad fit &amp; no offer")</f>
        <v>50</v>
      </c>
      <c r="D8" s="75"/>
      <c r="E8" s="46" t="s">
        <v>69</v>
      </c>
      <c r="F8" s="47">
        <f>IFERROR(COUNTIFS(I13:I286, "Rescheduled"),"")</f>
        <v>0</v>
      </c>
      <c r="G8" s="13"/>
      <c r="H8" s="48" t="s">
        <v>23</v>
      </c>
      <c r="I8" s="67">
        <f>IFERROR(SUM(F2:F6),"")</f>
        <v>80</v>
      </c>
      <c r="J8" s="39"/>
      <c r="K8" s="39"/>
      <c r="L8" s="39"/>
      <c r="M8" s="39"/>
      <c r="N8" s="39"/>
      <c r="O8" s="76"/>
      <c r="P8" s="13"/>
      <c r="Q8" s="77" t="s">
        <v>70</v>
      </c>
      <c r="R8" s="78">
        <f>IFERROR(COUNTIF(H13:H285,Q8),"")</f>
        <v>0</v>
      </c>
      <c r="S8" s="77" t="s">
        <v>71</v>
      </c>
      <c r="T8" s="79">
        <f>IFERROR(COUNTIF(H13:H285,S8),"")</f>
        <v>0</v>
      </c>
      <c r="U8" s="39"/>
      <c r="V8" s="39"/>
    </row>
    <row r="9">
      <c r="A9" s="13"/>
      <c r="B9" s="65" t="s">
        <v>72</v>
      </c>
      <c r="C9" s="138">
        <f>iferror(SUM(C7/C6),"")</f>
        <v>0.375</v>
      </c>
      <c r="D9" s="12"/>
      <c r="E9" s="46" t="s">
        <v>73</v>
      </c>
      <c r="F9" s="47">
        <f>IFERROR(COUNTIFS(I13:I286, "Cancelled"),"")</f>
        <v>8</v>
      </c>
      <c r="G9" s="13"/>
      <c r="H9" s="48" t="s">
        <v>24</v>
      </c>
      <c r="I9" s="67">
        <f>IFERROR(sum(F2:F5),"")</f>
        <v>79</v>
      </c>
      <c r="J9" s="39"/>
      <c r="K9" s="39"/>
      <c r="L9" s="39"/>
      <c r="M9" s="39"/>
      <c r="N9" s="39"/>
      <c r="O9" s="76"/>
      <c r="P9" s="39"/>
      <c r="Q9" s="39"/>
      <c r="R9" s="39"/>
      <c r="S9" s="39"/>
      <c r="T9" s="39"/>
      <c r="V9" s="39"/>
    </row>
    <row r="10">
      <c r="A10" s="39"/>
      <c r="B10" s="39"/>
      <c r="C10" s="83">
        <f>C3/C6</f>
        <v>3035</v>
      </c>
      <c r="D10" s="13"/>
      <c r="E10" s="84" t="s">
        <v>74</v>
      </c>
      <c r="F10" s="85">
        <f>IFERROR(COUNTIFS(I13:I286, "No-Show"),"")</f>
        <v>12</v>
      </c>
      <c r="G10" s="13"/>
      <c r="H10" s="86" t="s">
        <v>75</v>
      </c>
      <c r="I10" s="87">
        <f>F2+F3</f>
        <v>30</v>
      </c>
      <c r="J10" s="39"/>
      <c r="K10" s="39"/>
      <c r="L10" s="39"/>
      <c r="M10" s="39"/>
      <c r="N10" s="39"/>
      <c r="O10" s="76"/>
      <c r="P10" s="39"/>
      <c r="Q10" s="39"/>
      <c r="R10" s="39"/>
      <c r="S10" s="39"/>
      <c r="T10" s="39"/>
      <c r="V10" s="39"/>
    </row>
    <row r="11" ht="6.0" customHeight="1">
      <c r="A11" s="39"/>
      <c r="B11" s="39"/>
      <c r="C11" s="39"/>
      <c r="D11" s="39"/>
      <c r="E11" s="39"/>
      <c r="F11" s="39"/>
      <c r="G11" s="39"/>
      <c r="H11" s="39"/>
      <c r="I11" s="39"/>
      <c r="J11" s="39"/>
      <c r="K11" s="39"/>
      <c r="L11" s="39"/>
      <c r="M11" s="39"/>
      <c r="N11" s="39"/>
      <c r="O11" s="76"/>
      <c r="P11" s="39"/>
      <c r="Q11" s="39"/>
      <c r="R11" s="39"/>
      <c r="S11" s="39"/>
      <c r="T11" s="39"/>
      <c r="V11" s="39"/>
    </row>
    <row r="12">
      <c r="A12" s="39"/>
      <c r="B12" s="88" t="s">
        <v>76</v>
      </c>
      <c r="C12" s="88" t="s">
        <v>32</v>
      </c>
      <c r="D12" s="39"/>
      <c r="E12" s="6" t="s">
        <v>77</v>
      </c>
      <c r="F12" s="89" t="s">
        <v>238</v>
      </c>
      <c r="G12" s="39"/>
      <c r="H12" s="6" t="s">
        <v>37</v>
      </c>
      <c r="I12" s="6" t="s">
        <v>33</v>
      </c>
      <c r="J12" s="39"/>
      <c r="K12" s="6" t="s">
        <v>79</v>
      </c>
      <c r="L12" s="6" t="s">
        <v>48</v>
      </c>
      <c r="M12" s="39"/>
      <c r="N12" s="6" t="s">
        <v>80</v>
      </c>
      <c r="O12" s="90" t="s">
        <v>81</v>
      </c>
      <c r="P12" s="39"/>
      <c r="Q12" s="6" t="s">
        <v>82</v>
      </c>
      <c r="R12" s="6" t="s">
        <v>83</v>
      </c>
      <c r="S12" s="6" t="s">
        <v>84</v>
      </c>
      <c r="T12" s="6" t="s">
        <v>85</v>
      </c>
      <c r="V12" s="58"/>
    </row>
    <row r="13" ht="15.75" customHeight="1">
      <c r="A13" s="91"/>
      <c r="B13" s="92">
        <v>45661.0</v>
      </c>
      <c r="C13" s="93" t="s">
        <v>239</v>
      </c>
      <c r="D13" s="94"/>
      <c r="E13" s="139" t="s">
        <v>240</v>
      </c>
      <c r="F13" s="139" t="s">
        <v>241</v>
      </c>
      <c r="G13" s="94"/>
      <c r="H13" s="93" t="s">
        <v>41</v>
      </c>
      <c r="I13" s="102" t="s">
        <v>103</v>
      </c>
      <c r="J13" s="94"/>
      <c r="K13" s="98">
        <v>10500.0</v>
      </c>
      <c r="L13" s="98">
        <v>3000.0</v>
      </c>
      <c r="M13" s="99"/>
      <c r="N13" s="100"/>
      <c r="O13" s="101" t="s">
        <v>242</v>
      </c>
      <c r="P13" s="94"/>
      <c r="Q13" s="102" t="s">
        <v>104</v>
      </c>
      <c r="R13" s="113"/>
      <c r="S13" s="102" t="s">
        <v>105</v>
      </c>
      <c r="T13" s="102"/>
      <c r="V13" s="104"/>
    </row>
    <row r="14" ht="15.75" customHeight="1">
      <c r="A14" s="91"/>
      <c r="B14" s="92">
        <v>45661.0</v>
      </c>
      <c r="C14" s="139" t="s">
        <v>243</v>
      </c>
      <c r="D14" s="94"/>
      <c r="E14" s="139" t="s">
        <v>244</v>
      </c>
      <c r="F14" s="96" t="s">
        <v>245</v>
      </c>
      <c r="G14" s="94"/>
      <c r="H14" s="93" t="s">
        <v>41</v>
      </c>
      <c r="I14" s="102" t="s">
        <v>88</v>
      </c>
      <c r="J14" s="94"/>
      <c r="K14" s="108"/>
      <c r="L14" s="108"/>
      <c r="M14" s="99"/>
      <c r="N14" s="100" t="s">
        <v>45</v>
      </c>
      <c r="P14" s="94"/>
      <c r="Q14" s="120"/>
      <c r="R14" s="113"/>
      <c r="S14" s="102" t="s">
        <v>124</v>
      </c>
      <c r="T14" s="102"/>
      <c r="V14" s="104"/>
    </row>
    <row r="15" ht="15.75" customHeight="1">
      <c r="A15" s="94"/>
      <c r="B15" s="92">
        <v>45661.0</v>
      </c>
      <c r="C15" s="97" t="s">
        <v>246</v>
      </c>
      <c r="D15" s="94"/>
      <c r="E15" s="139" t="s">
        <v>247</v>
      </c>
      <c r="F15" s="139" t="s">
        <v>248</v>
      </c>
      <c r="G15" s="94"/>
      <c r="H15" s="93" t="s">
        <v>41</v>
      </c>
      <c r="I15" s="102" t="s">
        <v>103</v>
      </c>
      <c r="J15" s="94"/>
      <c r="K15" s="98">
        <v>3750.0</v>
      </c>
      <c r="L15" s="98">
        <v>3750.0</v>
      </c>
      <c r="M15" s="99"/>
      <c r="N15" s="111"/>
      <c r="O15" s="112"/>
      <c r="P15" s="94"/>
      <c r="Q15" s="102" t="s">
        <v>155</v>
      </c>
      <c r="R15" s="103"/>
      <c r="S15" s="102" t="s">
        <v>105</v>
      </c>
      <c r="V15" s="104"/>
    </row>
    <row r="16" ht="15.75" customHeight="1">
      <c r="A16" s="94"/>
      <c r="B16" s="92">
        <v>45661.0</v>
      </c>
      <c r="C16" s="139" t="s">
        <v>249</v>
      </c>
      <c r="D16" s="94"/>
      <c r="E16" s="140" t="s">
        <v>250</v>
      </c>
      <c r="F16" s="141" t="s">
        <v>251</v>
      </c>
      <c r="G16" s="94"/>
      <c r="H16" s="93" t="s">
        <v>41</v>
      </c>
      <c r="I16" s="102" t="s">
        <v>88</v>
      </c>
      <c r="J16" s="94"/>
      <c r="K16" s="108"/>
      <c r="L16" s="108"/>
      <c r="M16" s="99"/>
      <c r="N16" s="100" t="s">
        <v>45</v>
      </c>
      <c r="O16" s="101" t="s">
        <v>242</v>
      </c>
      <c r="P16" s="94"/>
      <c r="Q16" s="117"/>
      <c r="R16" s="123"/>
      <c r="S16" s="102" t="s">
        <v>170</v>
      </c>
      <c r="T16" s="102" t="s">
        <v>202</v>
      </c>
      <c r="V16" s="104"/>
    </row>
    <row r="17" ht="15.75" customHeight="1">
      <c r="A17" s="94"/>
      <c r="B17" s="92">
        <v>45661.0</v>
      </c>
      <c r="C17" s="93" t="s">
        <v>252</v>
      </c>
      <c r="D17" s="94"/>
      <c r="E17" s="139" t="s">
        <v>253</v>
      </c>
      <c r="F17" s="139" t="s">
        <v>254</v>
      </c>
      <c r="G17" s="94"/>
      <c r="H17" s="93" t="s">
        <v>41</v>
      </c>
      <c r="I17" s="102" t="s">
        <v>131</v>
      </c>
      <c r="J17" s="94"/>
      <c r="K17" s="98"/>
      <c r="L17" s="98"/>
      <c r="M17" s="99"/>
      <c r="N17" s="100"/>
      <c r="O17" s="101"/>
      <c r="P17" s="94"/>
      <c r="Q17" s="117"/>
      <c r="R17" s="103"/>
      <c r="S17" s="102"/>
      <c r="T17" s="102"/>
      <c r="V17" s="104"/>
    </row>
    <row r="18" ht="15.75" customHeight="1">
      <c r="A18" s="94"/>
      <c r="B18" s="92">
        <v>45661.0</v>
      </c>
      <c r="C18" s="93" t="s">
        <v>255</v>
      </c>
      <c r="D18" s="94"/>
      <c r="E18" s="139" t="s">
        <v>256</v>
      </c>
      <c r="F18" s="96" t="s">
        <v>257</v>
      </c>
      <c r="G18" s="94"/>
      <c r="H18" s="93" t="s">
        <v>41</v>
      </c>
      <c r="I18" s="102" t="s">
        <v>103</v>
      </c>
      <c r="J18" s="94"/>
      <c r="K18" s="98">
        <v>8700.0</v>
      </c>
      <c r="L18" s="98">
        <v>2700.0</v>
      </c>
      <c r="M18" s="99"/>
      <c r="N18" s="111"/>
      <c r="O18" s="112"/>
      <c r="P18" s="94"/>
      <c r="Q18" s="102" t="s">
        <v>104</v>
      </c>
      <c r="R18" s="103"/>
      <c r="S18" s="102" t="s">
        <v>105</v>
      </c>
      <c r="T18" s="102"/>
      <c r="V18" s="104"/>
    </row>
    <row r="19" ht="15.75" customHeight="1">
      <c r="A19" s="94"/>
      <c r="B19" s="92">
        <v>45661.0</v>
      </c>
      <c r="C19" s="93" t="s">
        <v>258</v>
      </c>
      <c r="D19" s="94"/>
      <c r="E19" s="105">
        <v>6.1608516E7</v>
      </c>
      <c r="F19" s="96" t="s">
        <v>259</v>
      </c>
      <c r="G19" s="94"/>
      <c r="H19" s="93" t="s">
        <v>41</v>
      </c>
      <c r="I19" s="102" t="s">
        <v>88</v>
      </c>
      <c r="J19" s="94"/>
      <c r="K19" s="98"/>
      <c r="L19" s="98"/>
      <c r="M19" s="99"/>
      <c r="N19" s="100" t="s">
        <v>55</v>
      </c>
      <c r="O19" s="101" t="s">
        <v>260</v>
      </c>
      <c r="P19" s="94"/>
      <c r="Q19" s="120"/>
      <c r="R19" s="113"/>
      <c r="S19" s="102" t="s">
        <v>90</v>
      </c>
      <c r="T19" s="102" t="s">
        <v>261</v>
      </c>
      <c r="V19" s="104"/>
    </row>
    <row r="20" ht="15.75" customHeight="1">
      <c r="A20" s="94"/>
      <c r="B20" s="92">
        <v>45661.0</v>
      </c>
      <c r="C20" s="103" t="s">
        <v>262</v>
      </c>
      <c r="D20" s="94"/>
      <c r="E20" s="139" t="s">
        <v>263</v>
      </c>
      <c r="F20" s="96" t="s">
        <v>264</v>
      </c>
      <c r="G20" s="94"/>
      <c r="H20" s="93" t="s">
        <v>41</v>
      </c>
      <c r="I20" s="102" t="s">
        <v>88</v>
      </c>
      <c r="J20" s="94"/>
      <c r="K20" s="108"/>
      <c r="L20" s="108"/>
      <c r="M20" s="99"/>
      <c r="N20" s="100" t="s">
        <v>45</v>
      </c>
      <c r="O20" s="101" t="s">
        <v>115</v>
      </c>
      <c r="P20" s="94"/>
      <c r="Q20" s="109"/>
      <c r="R20" s="103"/>
      <c r="S20" s="102" t="s">
        <v>124</v>
      </c>
      <c r="T20" s="102" t="s">
        <v>265</v>
      </c>
      <c r="V20" s="104"/>
    </row>
    <row r="21" ht="15.75" customHeight="1">
      <c r="A21" s="91"/>
      <c r="B21" s="92">
        <v>45661.0</v>
      </c>
      <c r="C21" s="139" t="s">
        <v>266</v>
      </c>
      <c r="D21" s="94"/>
      <c r="E21" s="139" t="s">
        <v>267</v>
      </c>
      <c r="F21" s="96" t="s">
        <v>268</v>
      </c>
      <c r="G21" s="94"/>
      <c r="H21" s="93" t="s">
        <v>41</v>
      </c>
      <c r="I21" s="102" t="s">
        <v>131</v>
      </c>
      <c r="J21" s="94"/>
      <c r="K21" s="98"/>
      <c r="L21" s="98"/>
      <c r="M21" s="99"/>
      <c r="N21" s="111"/>
      <c r="O21" s="112"/>
      <c r="P21" s="94"/>
      <c r="Q21" s="94"/>
      <c r="R21" s="113"/>
      <c r="S21" s="94"/>
      <c r="T21" s="94"/>
      <c r="V21" s="104"/>
    </row>
    <row r="22" ht="15.75" customHeight="1">
      <c r="A22" s="91"/>
      <c r="B22" s="92">
        <v>45692.0</v>
      </c>
      <c r="C22" s="139" t="s">
        <v>269</v>
      </c>
      <c r="D22" s="94"/>
      <c r="E22" s="93" t="s">
        <v>270</v>
      </c>
      <c r="F22" s="139" t="s">
        <v>271</v>
      </c>
      <c r="G22" s="94"/>
      <c r="H22" s="93" t="s">
        <v>41</v>
      </c>
      <c r="I22" s="102" t="s">
        <v>131</v>
      </c>
      <c r="J22" s="94"/>
      <c r="K22" s="108"/>
      <c r="L22" s="108"/>
      <c r="M22" s="99"/>
      <c r="N22" s="111"/>
      <c r="O22" s="112"/>
      <c r="P22" s="94"/>
      <c r="Q22" s="109"/>
      <c r="R22" s="103"/>
      <c r="S22" s="94"/>
      <c r="T22" s="102"/>
      <c r="V22" s="104"/>
    </row>
    <row r="23" ht="15.75" customHeight="1">
      <c r="A23" s="91"/>
      <c r="B23" s="92">
        <v>45692.0</v>
      </c>
      <c r="C23" s="139" t="s">
        <v>272</v>
      </c>
      <c r="D23" s="94"/>
      <c r="E23" s="139" t="s">
        <v>273</v>
      </c>
      <c r="F23" s="139" t="s">
        <v>274</v>
      </c>
      <c r="G23" s="94"/>
      <c r="H23" s="93" t="s">
        <v>41</v>
      </c>
      <c r="I23" s="102" t="s">
        <v>103</v>
      </c>
      <c r="J23" s="94"/>
      <c r="K23" s="98">
        <v>8700.0</v>
      </c>
      <c r="L23" s="98">
        <v>2700.0</v>
      </c>
      <c r="M23" s="99"/>
      <c r="N23" s="111"/>
      <c r="O23" s="112"/>
      <c r="P23" s="94"/>
      <c r="Q23" s="102" t="s">
        <v>104</v>
      </c>
      <c r="R23" s="113"/>
      <c r="S23" s="102" t="s">
        <v>105</v>
      </c>
      <c r="T23" s="94"/>
      <c r="V23" s="104"/>
    </row>
    <row r="24" ht="15.75" customHeight="1">
      <c r="A24" s="91"/>
      <c r="B24" s="92">
        <v>45692.0</v>
      </c>
      <c r="C24" s="139" t="s">
        <v>275</v>
      </c>
      <c r="D24" s="94"/>
      <c r="E24" s="139" t="s">
        <v>276</v>
      </c>
      <c r="F24" s="139" t="s">
        <v>277</v>
      </c>
      <c r="G24" s="94"/>
      <c r="H24" s="93" t="s">
        <v>41</v>
      </c>
      <c r="I24" s="102" t="s">
        <v>103</v>
      </c>
      <c r="J24" s="94"/>
      <c r="K24" s="98">
        <v>8700.0</v>
      </c>
      <c r="L24" s="98">
        <v>2700.0</v>
      </c>
      <c r="M24" s="99"/>
      <c r="N24" s="111"/>
      <c r="O24" s="112"/>
      <c r="P24" s="94"/>
      <c r="Q24" s="102" t="s">
        <v>104</v>
      </c>
      <c r="R24" s="113"/>
      <c r="S24" s="102" t="s">
        <v>105</v>
      </c>
      <c r="T24" s="94"/>
      <c r="V24" s="104"/>
    </row>
    <row r="25" ht="15.75" customHeight="1">
      <c r="A25" s="91"/>
      <c r="B25" s="92">
        <v>45692.0</v>
      </c>
      <c r="C25" s="139" t="s">
        <v>278</v>
      </c>
      <c r="D25" s="94"/>
      <c r="E25" s="105" t="s">
        <v>279</v>
      </c>
      <c r="F25" s="110" t="s">
        <v>280</v>
      </c>
      <c r="G25" s="94"/>
      <c r="H25" s="93" t="s">
        <v>41</v>
      </c>
      <c r="I25" s="102" t="s">
        <v>88</v>
      </c>
      <c r="J25" s="94"/>
      <c r="K25" s="98"/>
      <c r="L25" s="98"/>
      <c r="M25" s="99"/>
      <c r="N25" s="100" t="s">
        <v>55</v>
      </c>
      <c r="O25" s="101" t="s">
        <v>260</v>
      </c>
      <c r="P25" s="94"/>
      <c r="Q25" s="94"/>
      <c r="R25" s="113"/>
      <c r="S25" s="102" t="s">
        <v>124</v>
      </c>
      <c r="T25" s="102" t="s">
        <v>281</v>
      </c>
      <c r="V25" s="104"/>
    </row>
    <row r="26" ht="15.75" customHeight="1">
      <c r="A26" s="91"/>
      <c r="B26" s="92">
        <v>45692.0</v>
      </c>
      <c r="C26" s="139" t="s">
        <v>282</v>
      </c>
      <c r="D26" s="94"/>
      <c r="E26" s="139" t="s">
        <v>283</v>
      </c>
      <c r="F26" s="139" t="s">
        <v>284</v>
      </c>
      <c r="G26" s="94"/>
      <c r="H26" s="93" t="s">
        <v>41</v>
      </c>
      <c r="I26" s="102" t="s">
        <v>103</v>
      </c>
      <c r="J26" s="94"/>
      <c r="K26" s="98">
        <v>5200.0</v>
      </c>
      <c r="L26" s="98">
        <v>2700.0</v>
      </c>
      <c r="M26" s="99"/>
      <c r="N26" s="100"/>
      <c r="O26" s="101"/>
      <c r="P26" s="94"/>
      <c r="Q26" s="102" t="s">
        <v>155</v>
      </c>
      <c r="R26" s="106"/>
      <c r="S26" s="102" t="s">
        <v>105</v>
      </c>
      <c r="T26" s="102"/>
      <c r="V26" s="104"/>
    </row>
    <row r="27" ht="15.75" customHeight="1">
      <c r="A27" s="91"/>
      <c r="B27" s="92">
        <v>45692.0</v>
      </c>
      <c r="C27" s="139" t="s">
        <v>285</v>
      </c>
      <c r="D27" s="94"/>
      <c r="E27" s="139" t="s">
        <v>286</v>
      </c>
      <c r="F27" s="139" t="s">
        <v>287</v>
      </c>
      <c r="G27" s="94"/>
      <c r="H27" s="93" t="s">
        <v>41</v>
      </c>
      <c r="I27" s="102" t="s">
        <v>131</v>
      </c>
      <c r="J27" s="94"/>
      <c r="K27" s="98"/>
      <c r="L27" s="98"/>
      <c r="M27" s="99"/>
      <c r="N27" s="100"/>
      <c r="O27" s="101"/>
      <c r="P27" s="94"/>
      <c r="Q27" s="117"/>
      <c r="R27" s="106"/>
      <c r="S27" s="102"/>
      <c r="T27" s="102"/>
      <c r="V27" s="104"/>
    </row>
    <row r="28" ht="15.75" customHeight="1">
      <c r="A28" s="91"/>
      <c r="B28" s="92">
        <v>45692.0</v>
      </c>
      <c r="C28" s="139" t="s">
        <v>288</v>
      </c>
      <c r="D28" s="94"/>
      <c r="E28" s="139" t="s">
        <v>289</v>
      </c>
      <c r="F28" s="139" t="s">
        <v>290</v>
      </c>
      <c r="G28" s="94"/>
      <c r="H28" s="93" t="s">
        <v>41</v>
      </c>
      <c r="I28" s="102" t="s">
        <v>103</v>
      </c>
      <c r="J28" s="94"/>
      <c r="K28" s="98">
        <v>8700.0</v>
      </c>
      <c r="L28" s="98">
        <v>2700.0</v>
      </c>
      <c r="M28" s="99"/>
      <c r="N28" s="111"/>
      <c r="O28" s="112"/>
      <c r="P28" s="94"/>
      <c r="Q28" s="102" t="s">
        <v>104</v>
      </c>
      <c r="R28" s="113"/>
      <c r="S28" s="102" t="s">
        <v>105</v>
      </c>
      <c r="T28" s="94"/>
      <c r="V28" s="104"/>
    </row>
    <row r="29" ht="15.75" customHeight="1">
      <c r="A29" s="91"/>
      <c r="B29" s="92">
        <v>45720.0</v>
      </c>
      <c r="C29" s="103" t="s">
        <v>291</v>
      </c>
      <c r="D29" s="94"/>
      <c r="E29" s="139" t="s">
        <v>292</v>
      </c>
      <c r="F29" s="139" t="s">
        <v>293</v>
      </c>
      <c r="G29" s="94"/>
      <c r="H29" s="93" t="s">
        <v>41</v>
      </c>
      <c r="I29" s="102" t="s">
        <v>88</v>
      </c>
      <c r="J29" s="94"/>
      <c r="K29" s="142"/>
      <c r="L29" s="142"/>
      <c r="M29" s="99"/>
      <c r="N29" s="100" t="s">
        <v>45</v>
      </c>
      <c r="O29" s="101" t="s">
        <v>294</v>
      </c>
      <c r="P29" s="94"/>
      <c r="Q29" s="94"/>
      <c r="R29" s="113"/>
      <c r="S29" s="102" t="s">
        <v>124</v>
      </c>
      <c r="T29" s="102" t="s">
        <v>295</v>
      </c>
      <c r="V29" s="104"/>
    </row>
    <row r="30" ht="15.75" customHeight="1">
      <c r="A30" s="91"/>
      <c r="B30" s="92">
        <v>45720.0</v>
      </c>
      <c r="C30" s="93" t="s">
        <v>296</v>
      </c>
      <c r="D30" s="94"/>
      <c r="E30" s="139" t="s">
        <v>297</v>
      </c>
      <c r="F30" s="139" t="s">
        <v>298</v>
      </c>
      <c r="G30" s="94"/>
      <c r="H30" s="93" t="s">
        <v>41</v>
      </c>
      <c r="I30" s="102" t="s">
        <v>88</v>
      </c>
      <c r="J30" s="94"/>
      <c r="K30" s="142"/>
      <c r="L30" s="142"/>
      <c r="M30" s="99"/>
      <c r="N30" s="100" t="s">
        <v>45</v>
      </c>
      <c r="O30" s="101" t="s">
        <v>294</v>
      </c>
      <c r="P30" s="94"/>
      <c r="Q30" s="94"/>
      <c r="R30" s="113"/>
      <c r="S30" s="102" t="s">
        <v>90</v>
      </c>
      <c r="T30" s="102" t="s">
        <v>299</v>
      </c>
      <c r="V30" s="104"/>
    </row>
    <row r="31" ht="15.75" customHeight="1">
      <c r="A31" s="91"/>
      <c r="B31" s="92">
        <v>45720.0</v>
      </c>
      <c r="C31" s="139" t="s">
        <v>300</v>
      </c>
      <c r="D31" s="94"/>
      <c r="E31" s="139" t="s">
        <v>301</v>
      </c>
      <c r="F31" s="139" t="s">
        <v>302</v>
      </c>
      <c r="G31" s="94"/>
      <c r="H31" s="93" t="s">
        <v>41</v>
      </c>
      <c r="I31" s="102" t="s">
        <v>103</v>
      </c>
      <c r="J31" s="94"/>
      <c r="K31" s="98">
        <v>8750.0</v>
      </c>
      <c r="L31" s="98">
        <v>2750.0</v>
      </c>
      <c r="M31" s="99"/>
      <c r="N31" s="111"/>
      <c r="O31" s="112"/>
      <c r="P31" s="94"/>
      <c r="Q31" s="102" t="s">
        <v>104</v>
      </c>
      <c r="R31" s="113"/>
      <c r="S31" s="102" t="s">
        <v>105</v>
      </c>
      <c r="T31" s="94"/>
      <c r="V31" s="104"/>
    </row>
    <row r="32" ht="15.75" customHeight="1">
      <c r="A32" s="91"/>
      <c r="B32" s="92">
        <v>45720.0</v>
      </c>
      <c r="C32" s="139" t="s">
        <v>303</v>
      </c>
      <c r="D32" s="94"/>
      <c r="E32" s="139" t="s">
        <v>304</v>
      </c>
      <c r="F32" s="143" t="s">
        <v>305</v>
      </c>
      <c r="G32" s="94"/>
      <c r="H32" s="93" t="s">
        <v>41</v>
      </c>
      <c r="I32" s="102" t="s">
        <v>103</v>
      </c>
      <c r="J32" s="94"/>
      <c r="K32" s="98">
        <v>8750.0</v>
      </c>
      <c r="L32" s="98">
        <v>2750.0</v>
      </c>
      <c r="M32" s="99"/>
      <c r="N32" s="111"/>
      <c r="O32" s="112"/>
      <c r="P32" s="94"/>
      <c r="Q32" s="102" t="s">
        <v>104</v>
      </c>
      <c r="R32" s="113"/>
      <c r="S32" s="102" t="s">
        <v>105</v>
      </c>
      <c r="T32" s="94"/>
      <c r="V32" s="104"/>
    </row>
    <row r="33" ht="15.75" customHeight="1">
      <c r="A33" s="91"/>
      <c r="B33" s="92">
        <v>45720.0</v>
      </c>
      <c r="C33" s="139" t="s">
        <v>306</v>
      </c>
      <c r="D33" s="94"/>
      <c r="E33" s="139" t="s">
        <v>307</v>
      </c>
      <c r="F33" s="139" t="s">
        <v>308</v>
      </c>
      <c r="G33" s="94"/>
      <c r="H33" s="93" t="s">
        <v>41</v>
      </c>
      <c r="I33" s="102" t="s">
        <v>88</v>
      </c>
      <c r="J33" s="94"/>
      <c r="K33" s="142"/>
      <c r="L33" s="142"/>
      <c r="M33" s="99"/>
      <c r="N33" s="100" t="s">
        <v>45</v>
      </c>
      <c r="O33" s="101" t="s">
        <v>294</v>
      </c>
      <c r="P33" s="94"/>
      <c r="Q33" s="94"/>
      <c r="R33" s="113"/>
      <c r="S33" s="102" t="s">
        <v>90</v>
      </c>
      <c r="T33" s="102" t="s">
        <v>309</v>
      </c>
      <c r="V33" s="104"/>
    </row>
    <row r="34" ht="15.75" customHeight="1">
      <c r="A34" s="91"/>
      <c r="B34" s="92">
        <v>45720.0</v>
      </c>
      <c r="C34" s="139" t="s">
        <v>310</v>
      </c>
      <c r="D34" s="94"/>
      <c r="E34" s="139" t="s">
        <v>311</v>
      </c>
      <c r="F34" s="93" t="s">
        <v>312</v>
      </c>
      <c r="G34" s="94"/>
      <c r="H34" s="93" t="s">
        <v>41</v>
      </c>
      <c r="I34" s="102" t="s">
        <v>103</v>
      </c>
      <c r="J34" s="94"/>
      <c r="K34" s="144">
        <v>5100.0</v>
      </c>
      <c r="L34" s="98">
        <v>2700.0</v>
      </c>
      <c r="M34" s="99"/>
      <c r="N34" s="111"/>
      <c r="O34" s="112"/>
      <c r="P34" s="94"/>
      <c r="Q34" s="102" t="s">
        <v>155</v>
      </c>
      <c r="R34" s="113"/>
      <c r="S34" s="102" t="s">
        <v>105</v>
      </c>
      <c r="T34" s="94"/>
      <c r="V34" s="104"/>
    </row>
    <row r="35" ht="15.75" customHeight="1">
      <c r="A35" s="91"/>
      <c r="B35" s="92">
        <v>45751.0</v>
      </c>
      <c r="C35" s="139" t="s">
        <v>313</v>
      </c>
      <c r="D35" s="94"/>
      <c r="E35" s="139" t="s">
        <v>314</v>
      </c>
      <c r="F35" s="139" t="s">
        <v>315</v>
      </c>
      <c r="G35" s="94"/>
      <c r="H35" s="93" t="s">
        <v>41</v>
      </c>
      <c r="I35" s="102" t="s">
        <v>88</v>
      </c>
      <c r="J35" s="94"/>
      <c r="K35" s="142"/>
      <c r="L35" s="142"/>
      <c r="M35" s="99"/>
      <c r="N35" s="100" t="s">
        <v>45</v>
      </c>
      <c r="O35" s="101" t="s">
        <v>316</v>
      </c>
      <c r="P35" s="94"/>
      <c r="Q35" s="94"/>
      <c r="R35" s="113"/>
      <c r="S35" s="102" t="s">
        <v>124</v>
      </c>
      <c r="T35" s="102" t="s">
        <v>317</v>
      </c>
      <c r="V35" s="104"/>
    </row>
    <row r="36" ht="15.75" customHeight="1">
      <c r="A36" s="91"/>
      <c r="B36" s="92">
        <v>45751.0</v>
      </c>
      <c r="C36" s="103" t="s">
        <v>318</v>
      </c>
      <c r="D36" s="94"/>
      <c r="E36" s="139" t="s">
        <v>319</v>
      </c>
      <c r="F36" s="139" t="s">
        <v>320</v>
      </c>
      <c r="G36" s="94"/>
      <c r="H36" s="93" t="s">
        <v>41</v>
      </c>
      <c r="I36" s="102" t="s">
        <v>88</v>
      </c>
      <c r="J36" s="94"/>
      <c r="K36" s="142"/>
      <c r="L36" s="142"/>
      <c r="M36" s="99"/>
      <c r="N36" s="100" t="s">
        <v>98</v>
      </c>
      <c r="O36" s="101" t="s">
        <v>123</v>
      </c>
      <c r="P36" s="94"/>
      <c r="Q36" s="94"/>
      <c r="R36" s="113"/>
      <c r="S36" s="102" t="s">
        <v>124</v>
      </c>
      <c r="T36" s="102" t="s">
        <v>321</v>
      </c>
      <c r="V36" s="104"/>
    </row>
    <row r="37" ht="15.75" customHeight="1">
      <c r="A37" s="91"/>
      <c r="B37" s="92">
        <v>45751.0</v>
      </c>
      <c r="C37" s="93" t="s">
        <v>322</v>
      </c>
      <c r="D37" s="94"/>
      <c r="E37" s="139" t="s">
        <v>323</v>
      </c>
      <c r="F37" s="139" t="s">
        <v>324</v>
      </c>
      <c r="G37" s="94"/>
      <c r="H37" s="93" t="s">
        <v>41</v>
      </c>
      <c r="I37" s="102" t="s">
        <v>88</v>
      </c>
      <c r="J37" s="94"/>
      <c r="K37" s="142"/>
      <c r="L37" s="142"/>
      <c r="M37" s="99"/>
      <c r="N37" s="100" t="s">
        <v>50</v>
      </c>
      <c r="O37" s="101" t="s">
        <v>325</v>
      </c>
      <c r="P37" s="94"/>
      <c r="Q37" s="94"/>
      <c r="R37" s="113"/>
      <c r="S37" s="102" t="s">
        <v>90</v>
      </c>
      <c r="T37" s="102" t="s">
        <v>326</v>
      </c>
      <c r="V37" s="104"/>
    </row>
    <row r="38" ht="15.75" customHeight="1">
      <c r="A38" s="91"/>
      <c r="B38" s="92">
        <v>45751.0</v>
      </c>
      <c r="C38" s="139" t="s">
        <v>327</v>
      </c>
      <c r="D38" s="94"/>
      <c r="E38" s="139" t="s">
        <v>328</v>
      </c>
      <c r="F38" s="93" t="s">
        <v>329</v>
      </c>
      <c r="G38" s="94"/>
      <c r="H38" s="93" t="s">
        <v>41</v>
      </c>
      <c r="I38" s="102" t="s">
        <v>103</v>
      </c>
      <c r="J38" s="94"/>
      <c r="K38" s="98">
        <v>8750.0</v>
      </c>
      <c r="L38" s="98">
        <v>2750.0</v>
      </c>
      <c r="M38" s="99"/>
      <c r="N38" s="111"/>
      <c r="O38" s="112"/>
      <c r="P38" s="94"/>
      <c r="Q38" s="102" t="s">
        <v>104</v>
      </c>
      <c r="R38" s="113"/>
      <c r="S38" s="102" t="s">
        <v>105</v>
      </c>
      <c r="T38" s="94"/>
      <c r="V38" s="104"/>
    </row>
    <row r="39" ht="15.75" customHeight="1">
      <c r="A39" s="91"/>
      <c r="B39" s="92">
        <v>45781.0</v>
      </c>
      <c r="C39" s="93" t="s">
        <v>330</v>
      </c>
      <c r="D39" s="94"/>
      <c r="E39" s="93" t="s">
        <v>165</v>
      </c>
      <c r="F39" s="93" t="s">
        <v>331</v>
      </c>
      <c r="G39" s="94"/>
      <c r="H39" s="93" t="s">
        <v>41</v>
      </c>
      <c r="I39" s="102" t="s">
        <v>88</v>
      </c>
      <c r="J39" s="94"/>
      <c r="K39" s="142"/>
      <c r="L39" s="142"/>
      <c r="M39" s="99"/>
      <c r="N39" s="100" t="s">
        <v>45</v>
      </c>
      <c r="O39" s="101" t="s">
        <v>332</v>
      </c>
      <c r="P39" s="94"/>
      <c r="Q39" s="94"/>
      <c r="R39" s="113"/>
      <c r="S39" s="102" t="s">
        <v>124</v>
      </c>
      <c r="T39" s="102" t="s">
        <v>333</v>
      </c>
      <c r="V39" s="104"/>
    </row>
    <row r="40" ht="15.75" customHeight="1">
      <c r="A40" s="91"/>
      <c r="B40" s="92">
        <v>45781.0</v>
      </c>
      <c r="C40" s="93" t="s">
        <v>334</v>
      </c>
      <c r="D40" s="94"/>
      <c r="E40" s="93">
        <v>2.4201093E7</v>
      </c>
      <c r="F40" s="93" t="s">
        <v>335</v>
      </c>
      <c r="G40" s="94"/>
      <c r="H40" s="93" t="s">
        <v>41</v>
      </c>
      <c r="I40" s="102" t="s">
        <v>88</v>
      </c>
      <c r="J40" s="94"/>
      <c r="K40" s="142"/>
      <c r="L40" s="142"/>
      <c r="M40" s="99"/>
      <c r="N40" s="100" t="s">
        <v>45</v>
      </c>
      <c r="O40" s="101" t="s">
        <v>332</v>
      </c>
      <c r="P40" s="94"/>
      <c r="Q40" s="94"/>
      <c r="R40" s="113"/>
      <c r="S40" s="102" t="s">
        <v>124</v>
      </c>
      <c r="T40" s="102" t="s">
        <v>336</v>
      </c>
      <c r="V40" s="104"/>
    </row>
    <row r="41" ht="15.75" customHeight="1">
      <c r="A41" s="91"/>
      <c r="B41" s="92">
        <v>45812.0</v>
      </c>
      <c r="C41" s="93" t="s">
        <v>337</v>
      </c>
      <c r="D41" s="94"/>
      <c r="E41" s="93">
        <v>2.2102612E7</v>
      </c>
      <c r="F41" s="93" t="s">
        <v>338</v>
      </c>
      <c r="G41" s="94"/>
      <c r="H41" s="93" t="s">
        <v>41</v>
      </c>
      <c r="I41" s="102" t="s">
        <v>88</v>
      </c>
      <c r="J41" s="94"/>
      <c r="K41" s="142"/>
      <c r="L41" s="142"/>
      <c r="M41" s="99"/>
      <c r="N41" s="100" t="s">
        <v>45</v>
      </c>
      <c r="O41" s="101" t="s">
        <v>339</v>
      </c>
      <c r="P41" s="94"/>
      <c r="Q41" s="94"/>
      <c r="R41" s="113"/>
      <c r="S41" s="102" t="s">
        <v>90</v>
      </c>
      <c r="T41" s="102" t="s">
        <v>340</v>
      </c>
      <c r="V41" s="104"/>
    </row>
    <row r="42" ht="15.75" customHeight="1">
      <c r="A42" s="91"/>
      <c r="B42" s="92">
        <v>45812.0</v>
      </c>
      <c r="C42" s="103" t="s">
        <v>341</v>
      </c>
      <c r="D42" s="102">
        <v>5.2224531E7</v>
      </c>
      <c r="E42" s="93">
        <v>5.2224531E7</v>
      </c>
      <c r="F42" s="93" t="s">
        <v>342</v>
      </c>
      <c r="G42" s="94"/>
      <c r="H42" s="93" t="s">
        <v>41</v>
      </c>
      <c r="I42" s="102" t="s">
        <v>88</v>
      </c>
      <c r="J42" s="94"/>
      <c r="K42" s="98"/>
      <c r="L42" s="98"/>
      <c r="M42" s="99"/>
      <c r="N42" s="111"/>
      <c r="O42" s="112"/>
      <c r="P42" s="94"/>
      <c r="Q42" s="102" t="s">
        <v>104</v>
      </c>
      <c r="R42" s="113"/>
      <c r="S42" s="102" t="s">
        <v>105</v>
      </c>
      <c r="T42" s="102" t="s">
        <v>343</v>
      </c>
      <c r="V42" s="104"/>
    </row>
    <row r="43" ht="15.75" customHeight="1">
      <c r="A43" s="91"/>
      <c r="B43" s="92">
        <v>45812.0</v>
      </c>
      <c r="C43" s="103" t="s">
        <v>344</v>
      </c>
      <c r="D43" s="94"/>
      <c r="E43" s="93">
        <v>3.1667525E7</v>
      </c>
      <c r="F43" s="93" t="s">
        <v>345</v>
      </c>
      <c r="G43" s="94"/>
      <c r="H43" s="93" t="s">
        <v>41</v>
      </c>
      <c r="I43" s="102" t="s">
        <v>88</v>
      </c>
      <c r="J43" s="94"/>
      <c r="K43" s="142"/>
      <c r="L43" s="142"/>
      <c r="M43" s="99"/>
      <c r="N43" s="100" t="s">
        <v>60</v>
      </c>
      <c r="O43" s="101" t="s">
        <v>339</v>
      </c>
      <c r="P43" s="94"/>
      <c r="Q43" s="120"/>
      <c r="R43" s="113"/>
      <c r="S43" s="102" t="s">
        <v>90</v>
      </c>
      <c r="T43" s="102" t="s">
        <v>346</v>
      </c>
      <c r="V43" s="104"/>
    </row>
    <row r="44" ht="15.75" customHeight="1">
      <c r="A44" s="91"/>
      <c r="B44" s="92">
        <v>45812.0</v>
      </c>
      <c r="C44" s="103" t="s">
        <v>347</v>
      </c>
      <c r="D44" s="94"/>
      <c r="E44" s="139" t="s">
        <v>348</v>
      </c>
      <c r="F44" s="143" t="s">
        <v>349</v>
      </c>
      <c r="G44" s="94"/>
      <c r="H44" s="93" t="s">
        <v>41</v>
      </c>
      <c r="I44" s="102" t="s">
        <v>103</v>
      </c>
      <c r="J44" s="94"/>
      <c r="K44" s="144">
        <v>3600.0</v>
      </c>
      <c r="L44" s="144">
        <v>3600.0</v>
      </c>
      <c r="M44" s="99"/>
      <c r="N44" s="111"/>
      <c r="O44" s="112"/>
      <c r="P44" s="94"/>
      <c r="Q44" s="102" t="s">
        <v>155</v>
      </c>
      <c r="R44" s="113"/>
      <c r="S44" s="102" t="s">
        <v>105</v>
      </c>
      <c r="T44" s="94"/>
      <c r="V44" s="104"/>
    </row>
    <row r="45" ht="15.75" customHeight="1">
      <c r="A45" s="91"/>
      <c r="B45" s="92">
        <v>45812.0</v>
      </c>
      <c r="C45" s="93" t="s">
        <v>318</v>
      </c>
      <c r="D45" s="94"/>
      <c r="E45" s="93">
        <v>2.6460246E7</v>
      </c>
      <c r="F45" s="93" t="s">
        <v>350</v>
      </c>
      <c r="G45" s="94"/>
      <c r="H45" s="93" t="s">
        <v>41</v>
      </c>
      <c r="I45" s="102" t="s">
        <v>88</v>
      </c>
      <c r="J45" s="94"/>
      <c r="K45" s="142"/>
      <c r="L45" s="142"/>
      <c r="M45" s="99"/>
      <c r="N45" s="100" t="s">
        <v>45</v>
      </c>
      <c r="O45" s="101" t="s">
        <v>351</v>
      </c>
      <c r="P45" s="94"/>
      <c r="Q45" s="94"/>
      <c r="R45" s="113"/>
      <c r="S45" s="102" t="s">
        <v>124</v>
      </c>
      <c r="T45" s="102" t="s">
        <v>352</v>
      </c>
      <c r="V45" s="104"/>
    </row>
    <row r="46" ht="15.75" customHeight="1">
      <c r="A46" s="91"/>
      <c r="B46" s="92">
        <v>45812.0</v>
      </c>
      <c r="C46" s="93" t="s">
        <v>353</v>
      </c>
      <c r="D46" s="94"/>
      <c r="E46" s="93">
        <v>4.2557383E7</v>
      </c>
      <c r="F46" s="93" t="s">
        <v>354</v>
      </c>
      <c r="G46" s="94"/>
      <c r="H46" s="93" t="s">
        <v>41</v>
      </c>
      <c r="I46" s="102" t="s">
        <v>103</v>
      </c>
      <c r="J46" s="94"/>
      <c r="K46" s="98">
        <v>8750.0</v>
      </c>
      <c r="L46" s="98">
        <v>2750.0</v>
      </c>
      <c r="M46" s="99"/>
      <c r="N46" s="111"/>
      <c r="O46" s="112"/>
      <c r="P46" s="94"/>
      <c r="Q46" s="102" t="s">
        <v>104</v>
      </c>
      <c r="R46" s="113"/>
      <c r="S46" s="102" t="s">
        <v>105</v>
      </c>
      <c r="T46" s="94"/>
      <c r="V46" s="104"/>
    </row>
    <row r="47" ht="15.75" customHeight="1">
      <c r="A47" s="91"/>
      <c r="B47" s="92">
        <v>45842.0</v>
      </c>
      <c r="C47" s="93" t="s">
        <v>355</v>
      </c>
      <c r="D47" s="94"/>
      <c r="E47" s="93">
        <v>4.2164136E7</v>
      </c>
      <c r="F47" s="93" t="s">
        <v>356</v>
      </c>
      <c r="G47" s="94"/>
      <c r="H47" s="93" t="s">
        <v>41</v>
      </c>
      <c r="I47" s="102" t="s">
        <v>103</v>
      </c>
      <c r="J47" s="94"/>
      <c r="K47" s="98">
        <f> 8750 - 1200 - 1200</f>
        <v>6350</v>
      </c>
      <c r="L47" s="144">
        <v>2700.0</v>
      </c>
      <c r="M47" s="99"/>
      <c r="N47" s="111"/>
      <c r="O47" s="112"/>
      <c r="P47" s="94"/>
      <c r="Q47" s="102" t="s">
        <v>357</v>
      </c>
      <c r="R47" s="113"/>
      <c r="S47" s="102" t="s">
        <v>105</v>
      </c>
      <c r="T47" s="94"/>
      <c r="V47" s="104"/>
    </row>
    <row r="48" ht="15.75" customHeight="1">
      <c r="A48" s="91"/>
      <c r="B48" s="92">
        <v>45842.0</v>
      </c>
      <c r="C48" s="93" t="s">
        <v>344</v>
      </c>
      <c r="D48" s="94"/>
      <c r="E48" s="93">
        <v>5.3825462E7</v>
      </c>
      <c r="F48" s="93" t="s">
        <v>358</v>
      </c>
      <c r="G48" s="94"/>
      <c r="H48" s="93" t="s">
        <v>41</v>
      </c>
      <c r="I48" s="102" t="s">
        <v>88</v>
      </c>
      <c r="J48" s="94"/>
      <c r="K48" s="108"/>
      <c r="L48" s="108"/>
      <c r="M48" s="99"/>
      <c r="N48" s="100" t="s">
        <v>45</v>
      </c>
      <c r="O48" s="101" t="s">
        <v>169</v>
      </c>
      <c r="P48" s="94"/>
      <c r="Q48" s="120"/>
      <c r="R48" s="113"/>
      <c r="S48" s="102" t="s">
        <v>90</v>
      </c>
      <c r="T48" s="102" t="s">
        <v>359</v>
      </c>
      <c r="V48" s="104"/>
    </row>
    <row r="49" ht="15.75" customHeight="1">
      <c r="A49" s="91"/>
      <c r="B49" s="92">
        <v>45842.0</v>
      </c>
      <c r="C49" s="93" t="s">
        <v>360</v>
      </c>
      <c r="D49" s="94"/>
      <c r="E49" s="139">
        <v>2.4607595E7</v>
      </c>
      <c r="F49" s="139" t="s">
        <v>361</v>
      </c>
      <c r="G49" s="94"/>
      <c r="H49" s="93" t="s">
        <v>41</v>
      </c>
      <c r="I49" s="102" t="s">
        <v>88</v>
      </c>
      <c r="J49" s="94"/>
      <c r="K49" s="108"/>
      <c r="L49" s="108"/>
      <c r="M49" s="99"/>
      <c r="N49" s="100" t="s">
        <v>45</v>
      </c>
      <c r="O49" s="101" t="s">
        <v>169</v>
      </c>
      <c r="P49" s="94"/>
      <c r="Q49" s="120"/>
      <c r="R49" s="113"/>
      <c r="S49" s="102" t="s">
        <v>124</v>
      </c>
      <c r="T49" s="102" t="s">
        <v>362</v>
      </c>
      <c r="V49" s="104"/>
    </row>
    <row r="50" ht="15.75" customHeight="1">
      <c r="A50" s="91"/>
      <c r="B50" s="92">
        <v>45842.0</v>
      </c>
      <c r="C50" s="103" t="s">
        <v>363</v>
      </c>
      <c r="D50" s="94"/>
      <c r="E50" s="139" t="s">
        <v>364</v>
      </c>
      <c r="F50" s="139" t="s">
        <v>365</v>
      </c>
      <c r="G50" s="94"/>
      <c r="H50" s="93" t="s">
        <v>41</v>
      </c>
      <c r="I50" s="102" t="s">
        <v>131</v>
      </c>
      <c r="J50" s="94"/>
      <c r="K50" s="108"/>
      <c r="L50" s="108"/>
      <c r="M50" s="99"/>
      <c r="N50" s="111"/>
      <c r="O50" s="112"/>
      <c r="P50" s="94"/>
      <c r="Q50" s="94"/>
      <c r="R50" s="113"/>
      <c r="S50" s="94"/>
      <c r="T50" s="94"/>
      <c r="V50" s="104"/>
    </row>
    <row r="51" ht="15.75" customHeight="1">
      <c r="A51" s="91"/>
      <c r="B51" s="92">
        <v>45873.0</v>
      </c>
      <c r="C51" s="103" t="s">
        <v>366</v>
      </c>
      <c r="D51" s="94"/>
      <c r="E51" s="139" t="s">
        <v>367</v>
      </c>
      <c r="F51" s="139" t="s">
        <v>368</v>
      </c>
      <c r="G51" s="94"/>
      <c r="H51" s="93" t="s">
        <v>41</v>
      </c>
      <c r="I51" s="102" t="s">
        <v>88</v>
      </c>
      <c r="J51" s="94"/>
      <c r="K51" s="108"/>
      <c r="L51" s="108"/>
      <c r="M51" s="99"/>
      <c r="N51" s="100" t="s">
        <v>45</v>
      </c>
      <c r="O51" s="101" t="s">
        <v>369</v>
      </c>
      <c r="P51" s="94"/>
      <c r="Q51" s="120"/>
      <c r="R51" s="113"/>
      <c r="S51" s="102" t="s">
        <v>124</v>
      </c>
      <c r="T51" s="102" t="s">
        <v>370</v>
      </c>
      <c r="V51" s="104"/>
    </row>
    <row r="52" ht="15.75" customHeight="1">
      <c r="A52" s="91"/>
      <c r="B52" s="92">
        <v>45873.0</v>
      </c>
      <c r="C52" s="103" t="s">
        <v>371</v>
      </c>
      <c r="D52" s="94"/>
      <c r="E52" s="139" t="s">
        <v>372</v>
      </c>
      <c r="F52" s="139" t="s">
        <v>373</v>
      </c>
      <c r="G52" s="94"/>
      <c r="H52" s="93" t="s">
        <v>41</v>
      </c>
      <c r="I52" s="102" t="s">
        <v>88</v>
      </c>
      <c r="J52" s="94"/>
      <c r="K52" s="108"/>
      <c r="L52" s="98" t="s">
        <v>374</v>
      </c>
      <c r="M52" s="99"/>
      <c r="N52" s="100" t="s">
        <v>45</v>
      </c>
      <c r="O52" s="101" t="s">
        <v>369</v>
      </c>
      <c r="P52" s="94"/>
      <c r="Q52" s="120"/>
      <c r="R52" s="113"/>
      <c r="S52" s="102" t="s">
        <v>90</v>
      </c>
      <c r="T52" s="102" t="s">
        <v>375</v>
      </c>
      <c r="V52" s="104"/>
    </row>
    <row r="53" ht="15.75" customHeight="1">
      <c r="A53" s="91"/>
      <c r="B53" s="92">
        <v>45873.0</v>
      </c>
      <c r="C53" s="93" t="s">
        <v>376</v>
      </c>
      <c r="D53" s="94"/>
      <c r="E53" s="139" t="s">
        <v>377</v>
      </c>
      <c r="F53" s="139" t="s">
        <v>378</v>
      </c>
      <c r="G53" s="94"/>
      <c r="H53" s="93" t="s">
        <v>41</v>
      </c>
      <c r="I53" s="102" t="s">
        <v>110</v>
      </c>
      <c r="J53" s="94"/>
      <c r="K53" s="142"/>
      <c r="L53" s="142"/>
      <c r="M53" s="99"/>
      <c r="N53" s="111"/>
      <c r="O53" s="112"/>
      <c r="P53" s="94"/>
      <c r="Q53" s="120"/>
      <c r="R53" s="113"/>
      <c r="S53" s="94"/>
      <c r="T53" s="94"/>
      <c r="V53" s="104"/>
    </row>
    <row r="54" ht="15.75" customHeight="1">
      <c r="A54" s="91"/>
      <c r="B54" s="92">
        <v>45873.0</v>
      </c>
      <c r="C54" s="93" t="s">
        <v>379</v>
      </c>
      <c r="D54" s="94"/>
      <c r="E54" s="139" t="s">
        <v>380</v>
      </c>
      <c r="F54" s="139" t="s">
        <v>381</v>
      </c>
      <c r="G54" s="94"/>
      <c r="H54" s="93" t="s">
        <v>41</v>
      </c>
      <c r="I54" s="102" t="s">
        <v>88</v>
      </c>
      <c r="J54" s="94"/>
      <c r="K54" s="142"/>
      <c r="L54" s="142"/>
      <c r="M54" s="99"/>
      <c r="N54" s="100" t="s">
        <v>98</v>
      </c>
      <c r="O54" s="101" t="s">
        <v>382</v>
      </c>
      <c r="P54" s="94"/>
      <c r="Q54" s="120"/>
      <c r="R54" s="113"/>
      <c r="S54" s="102" t="s">
        <v>383</v>
      </c>
      <c r="T54" s="102" t="s">
        <v>384</v>
      </c>
      <c r="V54" s="104"/>
    </row>
    <row r="55" ht="15.75" customHeight="1">
      <c r="A55" s="91"/>
      <c r="B55" s="92">
        <v>45904.0</v>
      </c>
      <c r="C55" s="93" t="s">
        <v>385</v>
      </c>
      <c r="D55" s="94"/>
      <c r="E55" s="139" t="s">
        <v>386</v>
      </c>
      <c r="F55" s="93" t="s">
        <v>387</v>
      </c>
      <c r="G55" s="94"/>
      <c r="H55" s="93" t="s">
        <v>41</v>
      </c>
      <c r="I55" s="102" t="s">
        <v>88</v>
      </c>
      <c r="J55" s="94"/>
      <c r="K55" s="142"/>
      <c r="L55" s="142"/>
      <c r="M55" s="99"/>
      <c r="N55" s="100" t="s">
        <v>60</v>
      </c>
      <c r="O55" s="101" t="s">
        <v>388</v>
      </c>
      <c r="P55" s="94"/>
      <c r="Q55" s="120"/>
      <c r="R55" s="113"/>
      <c r="S55" s="102" t="s">
        <v>383</v>
      </c>
      <c r="T55" s="102" t="s">
        <v>389</v>
      </c>
      <c r="V55" s="104"/>
    </row>
    <row r="56" ht="15.75" customHeight="1">
      <c r="A56" s="91"/>
      <c r="B56" s="92">
        <v>45904.0</v>
      </c>
      <c r="C56" s="93" t="s">
        <v>390</v>
      </c>
      <c r="D56" s="94"/>
      <c r="E56" s="139" t="s">
        <v>391</v>
      </c>
      <c r="F56" s="139" t="s">
        <v>392</v>
      </c>
      <c r="G56" s="94"/>
      <c r="H56" s="93" t="s">
        <v>41</v>
      </c>
      <c r="I56" s="102" t="s">
        <v>103</v>
      </c>
      <c r="J56" s="94"/>
      <c r="K56" s="98">
        <v>8700.0</v>
      </c>
      <c r="L56" s="98">
        <v>2700.0</v>
      </c>
      <c r="M56" s="99"/>
      <c r="N56" s="111"/>
      <c r="O56" s="112"/>
      <c r="P56" s="94"/>
      <c r="Q56" s="102" t="s">
        <v>104</v>
      </c>
      <c r="R56" s="113"/>
      <c r="S56" s="102" t="s">
        <v>105</v>
      </c>
      <c r="T56" s="94"/>
      <c r="V56" s="104"/>
    </row>
    <row r="57" ht="15.75" customHeight="1">
      <c r="A57" s="91"/>
      <c r="B57" s="92">
        <v>45904.0</v>
      </c>
      <c r="C57" s="93" t="s">
        <v>393</v>
      </c>
      <c r="D57" s="94"/>
      <c r="E57" s="139" t="s">
        <v>394</v>
      </c>
      <c r="F57" s="139" t="s">
        <v>395</v>
      </c>
      <c r="G57" s="94"/>
      <c r="H57" s="93" t="s">
        <v>41</v>
      </c>
      <c r="I57" s="102" t="s">
        <v>88</v>
      </c>
      <c r="J57" s="94"/>
      <c r="K57" s="142"/>
      <c r="L57" s="142"/>
      <c r="M57" s="99"/>
      <c r="N57" s="100" t="s">
        <v>45</v>
      </c>
      <c r="O57" s="101" t="s">
        <v>396</v>
      </c>
      <c r="P57" s="94"/>
      <c r="Q57" s="120"/>
      <c r="R57" s="113"/>
      <c r="S57" s="102" t="s">
        <v>383</v>
      </c>
      <c r="T57" s="102" t="s">
        <v>397</v>
      </c>
      <c r="V57" s="104"/>
    </row>
    <row r="58" ht="15.75" customHeight="1">
      <c r="A58" s="91"/>
      <c r="B58" s="92">
        <v>45965.0</v>
      </c>
      <c r="C58" s="103" t="s">
        <v>398</v>
      </c>
      <c r="D58" s="94"/>
      <c r="E58" s="139" t="s">
        <v>399</v>
      </c>
      <c r="F58" s="139" t="s">
        <v>400</v>
      </c>
      <c r="G58" s="94"/>
      <c r="H58" s="93" t="s">
        <v>41</v>
      </c>
      <c r="I58" s="102" t="s">
        <v>131</v>
      </c>
      <c r="J58" s="94"/>
      <c r="K58" s="142"/>
      <c r="L58" s="142"/>
      <c r="M58" s="99"/>
      <c r="N58" s="111"/>
      <c r="O58" s="112"/>
      <c r="P58" s="94"/>
      <c r="Q58" s="94"/>
      <c r="R58" s="113"/>
      <c r="S58" s="94"/>
      <c r="T58" s="94"/>
      <c r="V58" s="104"/>
    </row>
    <row r="59" ht="15.75" customHeight="1">
      <c r="A59" s="91"/>
      <c r="B59" s="92">
        <v>45965.0</v>
      </c>
      <c r="C59" s="139" t="s">
        <v>401</v>
      </c>
      <c r="D59" s="94"/>
      <c r="E59" s="139" t="s">
        <v>402</v>
      </c>
      <c r="F59" s="93" t="s">
        <v>403</v>
      </c>
      <c r="G59" s="94"/>
      <c r="H59" s="93" t="s">
        <v>41</v>
      </c>
      <c r="I59" s="102" t="s">
        <v>110</v>
      </c>
      <c r="J59" s="94"/>
      <c r="K59" s="98"/>
      <c r="L59" s="98"/>
      <c r="M59" s="99"/>
      <c r="N59" s="111"/>
      <c r="O59" s="112"/>
      <c r="P59" s="94"/>
      <c r="Q59" s="102" t="s">
        <v>104</v>
      </c>
      <c r="R59" s="113"/>
      <c r="S59" s="102" t="s">
        <v>404</v>
      </c>
      <c r="T59" s="102" t="s">
        <v>405</v>
      </c>
      <c r="V59" s="104"/>
    </row>
    <row r="60" ht="15.75" customHeight="1">
      <c r="A60" s="91"/>
      <c r="B60" s="92">
        <v>45965.0</v>
      </c>
      <c r="C60" s="103" t="s">
        <v>406</v>
      </c>
      <c r="D60" s="94"/>
      <c r="E60" s="139" t="s">
        <v>407</v>
      </c>
      <c r="F60" s="139" t="s">
        <v>408</v>
      </c>
      <c r="G60" s="94"/>
      <c r="H60" s="93" t="s">
        <v>41</v>
      </c>
      <c r="I60" s="102" t="s">
        <v>88</v>
      </c>
      <c r="J60" s="94"/>
      <c r="K60" s="142"/>
      <c r="L60" s="142"/>
      <c r="M60" s="99"/>
      <c r="N60" s="100" t="s">
        <v>45</v>
      </c>
      <c r="O60" s="101" t="s">
        <v>396</v>
      </c>
      <c r="P60" s="94"/>
      <c r="Q60" s="94"/>
      <c r="R60" s="113"/>
      <c r="S60" s="102" t="s">
        <v>383</v>
      </c>
      <c r="T60" s="102" t="s">
        <v>409</v>
      </c>
      <c r="V60" s="104"/>
    </row>
    <row r="61" ht="15.75" customHeight="1">
      <c r="A61" s="91"/>
      <c r="B61" s="92">
        <v>45965.0</v>
      </c>
      <c r="C61" s="93" t="s">
        <v>410</v>
      </c>
      <c r="D61" s="94"/>
      <c r="E61" s="139" t="s">
        <v>411</v>
      </c>
      <c r="F61" s="139" t="s">
        <v>412</v>
      </c>
      <c r="G61" s="94"/>
      <c r="H61" s="93" t="s">
        <v>41</v>
      </c>
      <c r="I61" s="102" t="s">
        <v>131</v>
      </c>
      <c r="J61" s="94"/>
      <c r="K61" s="142"/>
      <c r="L61" s="142"/>
      <c r="M61" s="99"/>
      <c r="N61" s="111"/>
      <c r="O61" s="112"/>
      <c r="P61" s="94"/>
      <c r="Q61" s="94"/>
      <c r="R61" s="113"/>
      <c r="S61" s="94"/>
      <c r="T61" s="94"/>
      <c r="V61" s="104"/>
    </row>
    <row r="62" ht="15.75" customHeight="1">
      <c r="A62" s="91"/>
      <c r="B62" s="92">
        <v>45965.0</v>
      </c>
      <c r="C62" s="93" t="s">
        <v>252</v>
      </c>
      <c r="D62" s="94"/>
      <c r="E62" s="139" t="s">
        <v>413</v>
      </c>
      <c r="F62" s="139" t="s">
        <v>414</v>
      </c>
      <c r="G62" s="94"/>
      <c r="H62" s="93" t="s">
        <v>41</v>
      </c>
      <c r="I62" s="102" t="s">
        <v>103</v>
      </c>
      <c r="J62" s="94"/>
      <c r="K62" s="98">
        <v>8700.0</v>
      </c>
      <c r="L62" s="98">
        <v>2700.0</v>
      </c>
      <c r="M62" s="99"/>
      <c r="N62" s="111"/>
      <c r="O62" s="112"/>
      <c r="P62" s="94"/>
      <c r="Q62" s="102" t="s">
        <v>104</v>
      </c>
      <c r="R62" s="113"/>
      <c r="S62" s="102" t="s">
        <v>105</v>
      </c>
      <c r="T62" s="94"/>
      <c r="V62" s="104"/>
    </row>
    <row r="63" ht="15.75" customHeight="1">
      <c r="A63" s="91"/>
      <c r="B63" s="93" t="s">
        <v>415</v>
      </c>
      <c r="C63" s="93" t="s">
        <v>416</v>
      </c>
      <c r="D63" s="94"/>
      <c r="E63" s="139" t="s">
        <v>417</v>
      </c>
      <c r="F63" s="139" t="s">
        <v>418</v>
      </c>
      <c r="G63" s="94"/>
      <c r="H63" s="93" t="s">
        <v>41</v>
      </c>
      <c r="I63" s="102" t="s">
        <v>131</v>
      </c>
      <c r="J63" s="94"/>
      <c r="K63" s="142"/>
      <c r="L63" s="142"/>
      <c r="M63" s="99"/>
      <c r="N63" s="111"/>
      <c r="O63" s="112"/>
      <c r="P63" s="94"/>
      <c r="Q63" s="94"/>
      <c r="R63" s="113"/>
      <c r="S63" s="94"/>
      <c r="T63" s="94"/>
      <c r="V63" s="104"/>
    </row>
    <row r="64" ht="15.75" customHeight="1">
      <c r="A64" s="91"/>
      <c r="B64" s="93" t="s">
        <v>415</v>
      </c>
      <c r="C64" s="93" t="s">
        <v>252</v>
      </c>
      <c r="D64" s="94"/>
      <c r="E64" s="139" t="s">
        <v>419</v>
      </c>
      <c r="F64" s="139" t="s">
        <v>420</v>
      </c>
      <c r="G64" s="94"/>
      <c r="H64" s="93" t="s">
        <v>41</v>
      </c>
      <c r="I64" s="102" t="s">
        <v>103</v>
      </c>
      <c r="J64" s="94"/>
      <c r="K64" s="98">
        <v>8700.0</v>
      </c>
      <c r="L64" s="98">
        <v>2700.0</v>
      </c>
      <c r="M64" s="99"/>
      <c r="N64" s="111"/>
      <c r="O64" s="112"/>
      <c r="P64" s="94"/>
      <c r="Q64" s="102" t="s">
        <v>104</v>
      </c>
      <c r="R64" s="113"/>
      <c r="S64" s="102" t="s">
        <v>105</v>
      </c>
      <c r="T64" s="94"/>
      <c r="V64" s="104"/>
    </row>
    <row r="65" ht="15.75" customHeight="1">
      <c r="A65" s="91"/>
      <c r="B65" s="93" t="s">
        <v>415</v>
      </c>
      <c r="C65" s="139" t="s">
        <v>421</v>
      </c>
      <c r="D65" s="94"/>
      <c r="E65" s="139" t="s">
        <v>422</v>
      </c>
      <c r="F65" s="93" t="s">
        <v>423</v>
      </c>
      <c r="G65" s="94"/>
      <c r="H65" s="93" t="s">
        <v>41</v>
      </c>
      <c r="I65" s="102" t="s">
        <v>88</v>
      </c>
      <c r="J65" s="94"/>
      <c r="K65" s="142"/>
      <c r="L65" s="142"/>
      <c r="M65" s="99"/>
      <c r="N65" s="100" t="s">
        <v>98</v>
      </c>
      <c r="O65" s="101" t="s">
        <v>396</v>
      </c>
      <c r="P65" s="94"/>
      <c r="Q65" s="120"/>
      <c r="R65" s="113"/>
      <c r="S65" s="102" t="s">
        <v>90</v>
      </c>
      <c r="T65" s="102" t="s">
        <v>424</v>
      </c>
      <c r="V65" s="104"/>
    </row>
    <row r="66" ht="15.75" customHeight="1">
      <c r="A66" s="91"/>
      <c r="B66" s="93" t="s">
        <v>425</v>
      </c>
      <c r="C66" s="103" t="s">
        <v>344</v>
      </c>
      <c r="D66" s="94"/>
      <c r="E66" s="139" t="s">
        <v>426</v>
      </c>
      <c r="F66" s="139" t="s">
        <v>427</v>
      </c>
      <c r="G66" s="94"/>
      <c r="H66" s="93" t="s">
        <v>41</v>
      </c>
      <c r="I66" s="102" t="s">
        <v>103</v>
      </c>
      <c r="J66" s="94"/>
      <c r="K66" s="98">
        <v>8700.0</v>
      </c>
      <c r="L66" s="98">
        <v>2700.0</v>
      </c>
      <c r="M66" s="99"/>
      <c r="N66" s="111"/>
      <c r="O66" s="112"/>
      <c r="P66" s="94"/>
      <c r="Q66" s="102" t="s">
        <v>104</v>
      </c>
      <c r="R66" s="113"/>
      <c r="S66" s="102" t="s">
        <v>105</v>
      </c>
      <c r="T66" s="94"/>
      <c r="V66" s="104"/>
    </row>
    <row r="67" ht="15.75" customHeight="1">
      <c r="A67" s="91"/>
      <c r="B67" s="93" t="s">
        <v>425</v>
      </c>
      <c r="C67" s="139" t="s">
        <v>428</v>
      </c>
      <c r="D67" s="94"/>
      <c r="E67" s="139" t="s">
        <v>429</v>
      </c>
      <c r="F67" s="139" t="s">
        <v>428</v>
      </c>
      <c r="G67" s="94"/>
      <c r="H67" s="93" t="s">
        <v>41</v>
      </c>
      <c r="I67" s="102" t="s">
        <v>88</v>
      </c>
      <c r="J67" s="94"/>
      <c r="K67" s="142"/>
      <c r="L67" s="142"/>
      <c r="M67" s="99"/>
      <c r="N67" s="100" t="s">
        <v>45</v>
      </c>
      <c r="O67" s="101" t="s">
        <v>430</v>
      </c>
      <c r="P67" s="94"/>
      <c r="Q67" s="94"/>
      <c r="R67" s="113"/>
      <c r="S67" s="102" t="s">
        <v>124</v>
      </c>
      <c r="T67" s="102" t="s">
        <v>431</v>
      </c>
      <c r="V67" s="104"/>
    </row>
    <row r="68" ht="15.75" customHeight="1">
      <c r="A68" s="91"/>
      <c r="B68" s="93" t="s">
        <v>425</v>
      </c>
      <c r="C68" s="139" t="s">
        <v>432</v>
      </c>
      <c r="D68" s="94"/>
      <c r="E68" s="139" t="s">
        <v>433</v>
      </c>
      <c r="F68" s="139" t="s">
        <v>432</v>
      </c>
      <c r="G68" s="94"/>
      <c r="H68" s="93" t="s">
        <v>41</v>
      </c>
      <c r="I68" s="102" t="s">
        <v>88</v>
      </c>
      <c r="J68" s="94"/>
      <c r="K68" s="142"/>
      <c r="L68" s="142"/>
      <c r="M68" s="99"/>
      <c r="N68" s="100" t="s">
        <v>45</v>
      </c>
      <c r="O68" s="101" t="s">
        <v>396</v>
      </c>
      <c r="P68" s="94"/>
      <c r="Q68" s="120"/>
      <c r="R68" s="113"/>
      <c r="S68" s="102" t="s">
        <v>90</v>
      </c>
      <c r="T68" s="102" t="s">
        <v>434</v>
      </c>
      <c r="V68" s="104"/>
    </row>
    <row r="69" ht="15.75" customHeight="1">
      <c r="A69" s="91"/>
      <c r="B69" s="93" t="s">
        <v>425</v>
      </c>
      <c r="C69" s="139" t="s">
        <v>435</v>
      </c>
      <c r="D69" s="94"/>
      <c r="E69" s="139" t="s">
        <v>436</v>
      </c>
      <c r="F69" s="139" t="s">
        <v>435</v>
      </c>
      <c r="G69" s="94"/>
      <c r="H69" s="93" t="s">
        <v>41</v>
      </c>
      <c r="I69" s="102" t="s">
        <v>103</v>
      </c>
      <c r="J69" s="94"/>
      <c r="K69" s="98">
        <v>8700.0</v>
      </c>
      <c r="L69" s="98">
        <v>2700.0</v>
      </c>
      <c r="M69" s="99"/>
      <c r="N69" s="111"/>
      <c r="O69" s="112"/>
      <c r="P69" s="94"/>
      <c r="Q69" s="102" t="s">
        <v>104</v>
      </c>
      <c r="R69" s="113"/>
      <c r="S69" s="102" t="s">
        <v>105</v>
      </c>
      <c r="T69" s="94"/>
      <c r="V69" s="104"/>
    </row>
    <row r="70" ht="15.75" customHeight="1">
      <c r="A70" s="91"/>
      <c r="B70" s="93" t="s">
        <v>437</v>
      </c>
      <c r="C70" s="93" t="s">
        <v>438</v>
      </c>
      <c r="D70" s="94"/>
      <c r="E70" s="139" t="s">
        <v>439</v>
      </c>
      <c r="F70" s="139" t="s">
        <v>440</v>
      </c>
      <c r="G70" s="94"/>
      <c r="H70" s="93" t="s">
        <v>41</v>
      </c>
      <c r="I70" s="102" t="s">
        <v>88</v>
      </c>
      <c r="J70" s="94"/>
      <c r="K70" s="142"/>
      <c r="L70" s="142"/>
      <c r="M70" s="99"/>
      <c r="N70" s="100" t="s">
        <v>98</v>
      </c>
      <c r="O70" s="101" t="s">
        <v>441</v>
      </c>
      <c r="P70" s="94"/>
      <c r="Q70" s="120"/>
      <c r="R70" s="113"/>
      <c r="S70" s="102" t="s">
        <v>124</v>
      </c>
      <c r="T70" s="102" t="s">
        <v>442</v>
      </c>
      <c r="V70" s="104"/>
    </row>
    <row r="71" ht="15.75" customHeight="1">
      <c r="A71" s="91"/>
      <c r="B71" s="93" t="s">
        <v>437</v>
      </c>
      <c r="C71" s="93" t="s">
        <v>443</v>
      </c>
      <c r="D71" s="94"/>
      <c r="E71" s="139" t="s">
        <v>444</v>
      </c>
      <c r="F71" s="139" t="s">
        <v>445</v>
      </c>
      <c r="G71" s="94"/>
      <c r="H71" s="93" t="s">
        <v>41</v>
      </c>
      <c r="I71" s="102" t="s">
        <v>232</v>
      </c>
      <c r="J71" s="94"/>
      <c r="K71" s="98"/>
      <c r="L71" s="98"/>
      <c r="M71" s="99"/>
      <c r="N71" s="111"/>
      <c r="O71" s="112"/>
      <c r="P71" s="94"/>
      <c r="Q71" s="102" t="s">
        <v>104</v>
      </c>
      <c r="R71" s="113"/>
      <c r="S71" s="102" t="s">
        <v>105</v>
      </c>
      <c r="T71" s="94"/>
      <c r="V71" s="104"/>
    </row>
    <row r="72" ht="15.75" customHeight="1">
      <c r="A72" s="91"/>
      <c r="B72" s="93" t="s">
        <v>437</v>
      </c>
      <c r="C72" s="93" t="s">
        <v>446</v>
      </c>
      <c r="D72" s="94"/>
      <c r="E72" s="139" t="s">
        <v>447</v>
      </c>
      <c r="F72" s="139" t="s">
        <v>448</v>
      </c>
      <c r="G72" s="94"/>
      <c r="H72" s="93" t="s">
        <v>41</v>
      </c>
      <c r="I72" s="102" t="s">
        <v>88</v>
      </c>
      <c r="J72" s="94"/>
      <c r="K72" s="142"/>
      <c r="L72" s="142"/>
      <c r="M72" s="99"/>
      <c r="N72" s="100" t="s">
        <v>98</v>
      </c>
      <c r="O72" s="101" t="s">
        <v>449</v>
      </c>
      <c r="P72" s="94"/>
      <c r="Q72" s="94"/>
      <c r="R72" s="113"/>
      <c r="S72" s="102" t="s">
        <v>90</v>
      </c>
      <c r="T72" s="102" t="s">
        <v>450</v>
      </c>
      <c r="V72" s="104"/>
    </row>
    <row r="73" ht="15.75" customHeight="1">
      <c r="A73" s="91"/>
      <c r="B73" s="93" t="s">
        <v>437</v>
      </c>
      <c r="C73" s="139" t="s">
        <v>451</v>
      </c>
      <c r="D73" s="94"/>
      <c r="E73" s="139" t="s">
        <v>452</v>
      </c>
      <c r="F73" s="139" t="s">
        <v>453</v>
      </c>
      <c r="G73" s="94"/>
      <c r="H73" s="93" t="s">
        <v>41</v>
      </c>
      <c r="I73" s="102" t="s">
        <v>131</v>
      </c>
      <c r="J73" s="94"/>
      <c r="K73" s="142"/>
      <c r="L73" s="142"/>
      <c r="M73" s="99"/>
      <c r="N73" s="111"/>
      <c r="O73" s="112"/>
      <c r="P73" s="94"/>
      <c r="Q73" s="94"/>
      <c r="R73" s="113"/>
      <c r="S73" s="94"/>
      <c r="T73" s="94"/>
      <c r="V73" s="104"/>
    </row>
    <row r="74" ht="15.75" customHeight="1">
      <c r="A74" s="91"/>
      <c r="B74" s="93" t="s">
        <v>437</v>
      </c>
      <c r="C74" s="139" t="s">
        <v>454</v>
      </c>
      <c r="D74" s="94"/>
      <c r="E74" s="139" t="s">
        <v>455</v>
      </c>
      <c r="F74" s="139" t="s">
        <v>454</v>
      </c>
      <c r="G74" s="94"/>
      <c r="H74" s="93" t="s">
        <v>41</v>
      </c>
      <c r="I74" s="102" t="s">
        <v>88</v>
      </c>
      <c r="J74" s="94"/>
      <c r="K74" s="142"/>
      <c r="L74" s="142"/>
      <c r="M74" s="99"/>
      <c r="N74" s="100" t="s">
        <v>45</v>
      </c>
      <c r="O74" s="101" t="s">
        <v>456</v>
      </c>
      <c r="P74" s="94"/>
      <c r="Q74" s="120"/>
      <c r="R74" s="113"/>
      <c r="S74" s="102" t="s">
        <v>124</v>
      </c>
      <c r="T74" s="102" t="s">
        <v>457</v>
      </c>
      <c r="V74" s="104"/>
    </row>
    <row r="75" ht="15.75" customHeight="1">
      <c r="A75" s="91"/>
      <c r="B75" s="93" t="s">
        <v>437</v>
      </c>
      <c r="C75" s="93" t="s">
        <v>458</v>
      </c>
      <c r="D75" s="94"/>
      <c r="E75" s="139" t="s">
        <v>459</v>
      </c>
      <c r="F75" s="139" t="s">
        <v>460</v>
      </c>
      <c r="G75" s="94"/>
      <c r="H75" s="93" t="s">
        <v>41</v>
      </c>
      <c r="I75" s="102" t="s">
        <v>103</v>
      </c>
      <c r="J75" s="94"/>
      <c r="K75" s="98">
        <v>8700.0</v>
      </c>
      <c r="L75" s="98">
        <v>2700.0</v>
      </c>
      <c r="M75" s="99"/>
      <c r="N75" s="111"/>
      <c r="O75" s="112"/>
      <c r="P75" s="94"/>
      <c r="Q75" s="102" t="s">
        <v>104</v>
      </c>
      <c r="R75" s="113"/>
      <c r="S75" s="102" t="s">
        <v>404</v>
      </c>
      <c r="T75" s="94"/>
      <c r="V75" s="104"/>
    </row>
    <row r="76" ht="15.75" customHeight="1">
      <c r="A76" s="91"/>
      <c r="B76" s="93" t="s">
        <v>461</v>
      </c>
      <c r="C76" s="139" t="s">
        <v>462</v>
      </c>
      <c r="D76" s="94"/>
      <c r="E76" s="139" t="s">
        <v>463</v>
      </c>
      <c r="F76" s="139" t="s">
        <v>462</v>
      </c>
      <c r="G76" s="94"/>
      <c r="H76" s="93" t="s">
        <v>41</v>
      </c>
      <c r="I76" s="102" t="s">
        <v>110</v>
      </c>
      <c r="J76" s="94"/>
      <c r="K76" s="144"/>
      <c r="L76" s="144">
        <v>1500.0</v>
      </c>
      <c r="M76" s="99"/>
      <c r="N76" s="111"/>
      <c r="O76" s="112"/>
      <c r="P76" s="94"/>
      <c r="Q76" s="102" t="s">
        <v>104</v>
      </c>
      <c r="R76" s="113"/>
      <c r="S76" s="102" t="s">
        <v>404</v>
      </c>
      <c r="T76" s="94"/>
      <c r="V76" s="104"/>
    </row>
    <row r="77" ht="15.75" customHeight="1">
      <c r="A77" s="91"/>
      <c r="B77" s="93" t="s">
        <v>461</v>
      </c>
      <c r="C77" s="139" t="s">
        <v>464</v>
      </c>
      <c r="D77" s="94"/>
      <c r="E77" s="139" t="s">
        <v>465</v>
      </c>
      <c r="F77" s="139" t="s">
        <v>464</v>
      </c>
      <c r="G77" s="94"/>
      <c r="H77" s="93" t="s">
        <v>41</v>
      </c>
      <c r="I77" s="102" t="s">
        <v>232</v>
      </c>
      <c r="J77" s="94"/>
      <c r="K77" s="98"/>
      <c r="L77" s="98"/>
      <c r="M77" s="99"/>
      <c r="N77" s="111"/>
      <c r="O77" s="112"/>
      <c r="P77" s="94"/>
      <c r="Q77" s="102" t="s">
        <v>104</v>
      </c>
      <c r="R77" s="113"/>
      <c r="S77" s="102" t="s">
        <v>404</v>
      </c>
      <c r="T77" s="94"/>
      <c r="V77" s="104"/>
    </row>
    <row r="78" ht="15.75" customHeight="1">
      <c r="A78" s="91"/>
      <c r="B78" s="93" t="s">
        <v>466</v>
      </c>
      <c r="C78" s="93" t="s">
        <v>467</v>
      </c>
      <c r="D78" s="94"/>
      <c r="E78" s="139">
        <v>6.0213149E7</v>
      </c>
      <c r="F78" s="139" t="s">
        <v>468</v>
      </c>
      <c r="G78" s="94"/>
      <c r="H78" s="93" t="s">
        <v>41</v>
      </c>
      <c r="I78" s="102" t="s">
        <v>88</v>
      </c>
      <c r="J78" s="94"/>
      <c r="K78" s="142"/>
      <c r="L78" s="142"/>
      <c r="M78" s="99"/>
      <c r="N78" s="100" t="s">
        <v>45</v>
      </c>
      <c r="O78" s="101" t="s">
        <v>469</v>
      </c>
      <c r="P78" s="94"/>
      <c r="Q78" s="120"/>
      <c r="R78" s="113"/>
      <c r="S78" s="102" t="s">
        <v>383</v>
      </c>
      <c r="T78" s="102" t="s">
        <v>470</v>
      </c>
      <c r="V78" s="104"/>
    </row>
    <row r="79" ht="15.75" customHeight="1">
      <c r="A79" s="91"/>
      <c r="B79" s="93" t="s">
        <v>471</v>
      </c>
      <c r="C79" s="139" t="s">
        <v>472</v>
      </c>
      <c r="D79" s="94"/>
      <c r="E79" s="139" t="s">
        <v>473</v>
      </c>
      <c r="F79" s="93" t="s">
        <v>435</v>
      </c>
      <c r="G79" s="94"/>
      <c r="H79" s="93" t="s">
        <v>41</v>
      </c>
      <c r="I79" s="102" t="s">
        <v>103</v>
      </c>
      <c r="J79" s="94"/>
      <c r="K79" s="98">
        <v>8700.0</v>
      </c>
      <c r="L79" s="98">
        <v>2700.0</v>
      </c>
      <c r="M79" s="99"/>
      <c r="N79" s="111"/>
      <c r="O79" s="112"/>
      <c r="P79" s="94"/>
      <c r="Q79" s="102" t="s">
        <v>104</v>
      </c>
      <c r="R79" s="113"/>
      <c r="S79" s="102" t="s">
        <v>105</v>
      </c>
      <c r="T79" s="94"/>
      <c r="V79" s="104"/>
    </row>
    <row r="80" ht="15.75" customHeight="1">
      <c r="A80" s="91"/>
      <c r="B80" s="93" t="s">
        <v>471</v>
      </c>
      <c r="C80" s="139" t="s">
        <v>474</v>
      </c>
      <c r="D80" s="94"/>
      <c r="E80" s="139" t="s">
        <v>475</v>
      </c>
      <c r="F80" s="139" t="s">
        <v>476</v>
      </c>
      <c r="G80" s="94"/>
      <c r="H80" s="93" t="s">
        <v>41</v>
      </c>
      <c r="I80" s="102" t="s">
        <v>88</v>
      </c>
      <c r="J80" s="94"/>
      <c r="K80" s="142"/>
      <c r="L80" s="142"/>
      <c r="M80" s="99"/>
      <c r="N80" s="100" t="s">
        <v>98</v>
      </c>
      <c r="O80" s="101" t="s">
        <v>477</v>
      </c>
      <c r="P80" s="94"/>
      <c r="Q80" s="94"/>
      <c r="R80" s="113"/>
      <c r="S80" s="102" t="s">
        <v>124</v>
      </c>
      <c r="T80" s="102" t="s">
        <v>478</v>
      </c>
      <c r="V80" s="104"/>
    </row>
    <row r="81" ht="15.75" customHeight="1">
      <c r="A81" s="91"/>
      <c r="B81" s="93" t="s">
        <v>479</v>
      </c>
      <c r="C81" s="103" t="s">
        <v>480</v>
      </c>
      <c r="D81" s="94"/>
      <c r="E81" s="139" t="s">
        <v>481</v>
      </c>
      <c r="F81" s="139" t="s">
        <v>482</v>
      </c>
      <c r="G81" s="94"/>
      <c r="H81" s="93" t="s">
        <v>41</v>
      </c>
      <c r="I81" s="102" t="s">
        <v>103</v>
      </c>
      <c r="J81" s="94"/>
      <c r="K81" s="98">
        <v>8700.0</v>
      </c>
      <c r="L81" s="98">
        <v>2700.0</v>
      </c>
      <c r="M81" s="99"/>
      <c r="N81" s="111"/>
      <c r="O81" s="112"/>
      <c r="P81" s="94"/>
      <c r="Q81" s="102" t="s">
        <v>104</v>
      </c>
      <c r="R81" s="113"/>
      <c r="S81" s="102" t="s">
        <v>105</v>
      </c>
      <c r="T81" s="94"/>
      <c r="V81" s="104"/>
    </row>
    <row r="82" ht="15.75" customHeight="1">
      <c r="A82" s="91"/>
      <c r="B82" s="93" t="s">
        <v>479</v>
      </c>
      <c r="C82" s="93" t="s">
        <v>483</v>
      </c>
      <c r="D82" s="94"/>
      <c r="E82" s="139" t="s">
        <v>484</v>
      </c>
      <c r="F82" s="93" t="s">
        <v>485</v>
      </c>
      <c r="G82" s="94"/>
      <c r="H82" s="93" t="s">
        <v>41</v>
      </c>
      <c r="I82" s="102" t="s">
        <v>88</v>
      </c>
      <c r="J82" s="94"/>
      <c r="K82" s="142"/>
      <c r="L82" s="142"/>
      <c r="M82" s="99"/>
      <c r="N82" s="100" t="s">
        <v>98</v>
      </c>
      <c r="O82" s="101" t="s">
        <v>486</v>
      </c>
      <c r="P82" s="94"/>
      <c r="Q82" s="120"/>
      <c r="R82" s="113"/>
      <c r="S82" s="102" t="s">
        <v>90</v>
      </c>
      <c r="T82" s="102" t="s">
        <v>487</v>
      </c>
      <c r="V82" s="104"/>
    </row>
    <row r="83" ht="15.75" customHeight="1">
      <c r="A83" s="91"/>
      <c r="B83" s="93" t="s">
        <v>479</v>
      </c>
      <c r="C83" s="139" t="s">
        <v>488</v>
      </c>
      <c r="D83" s="94"/>
      <c r="E83" s="93" t="s">
        <v>489</v>
      </c>
      <c r="F83" s="139" t="s">
        <v>488</v>
      </c>
      <c r="G83" s="94"/>
      <c r="H83" s="93" t="s">
        <v>41</v>
      </c>
      <c r="I83" s="102" t="s">
        <v>110</v>
      </c>
      <c r="J83" s="94"/>
      <c r="K83" s="142"/>
      <c r="L83" s="142"/>
      <c r="M83" s="99"/>
      <c r="N83" s="111"/>
      <c r="O83" s="112"/>
      <c r="P83" s="94"/>
      <c r="Q83" s="94"/>
      <c r="R83" s="113"/>
      <c r="S83" s="94"/>
      <c r="T83" s="94"/>
      <c r="V83" s="104"/>
    </row>
    <row r="84" ht="15.75" customHeight="1">
      <c r="A84" s="91"/>
      <c r="B84" s="93" t="s">
        <v>479</v>
      </c>
      <c r="C84" s="139" t="s">
        <v>490</v>
      </c>
      <c r="D84" s="94"/>
      <c r="E84" s="139" t="s">
        <v>491</v>
      </c>
      <c r="F84" s="139" t="s">
        <v>492</v>
      </c>
      <c r="G84" s="94"/>
      <c r="H84" s="93" t="s">
        <v>41</v>
      </c>
      <c r="I84" s="102" t="s">
        <v>131</v>
      </c>
      <c r="J84" s="94"/>
      <c r="K84" s="142"/>
      <c r="L84" s="142"/>
      <c r="M84" s="99"/>
      <c r="N84" s="111"/>
      <c r="O84" s="112"/>
      <c r="P84" s="94"/>
      <c r="Q84" s="120"/>
      <c r="R84" s="113"/>
      <c r="S84" s="94"/>
      <c r="T84" s="94"/>
      <c r="V84" s="104"/>
    </row>
    <row r="85" ht="15.75" customHeight="1">
      <c r="A85" s="91"/>
      <c r="B85" s="93" t="s">
        <v>479</v>
      </c>
      <c r="C85" s="93" t="s">
        <v>493</v>
      </c>
      <c r="D85" s="94"/>
      <c r="E85" s="139" t="s">
        <v>494</v>
      </c>
      <c r="F85" s="139" t="s">
        <v>495</v>
      </c>
      <c r="G85" s="94"/>
      <c r="H85" s="93" t="s">
        <v>41</v>
      </c>
      <c r="I85" s="102" t="s">
        <v>88</v>
      </c>
      <c r="J85" s="94"/>
      <c r="K85" s="142"/>
      <c r="L85" s="142"/>
      <c r="M85" s="99"/>
      <c r="N85" s="100" t="s">
        <v>98</v>
      </c>
      <c r="O85" s="101" t="s">
        <v>123</v>
      </c>
      <c r="P85" s="94"/>
      <c r="Q85" s="120"/>
      <c r="R85" s="113"/>
      <c r="S85" s="102" t="s">
        <v>90</v>
      </c>
      <c r="T85" s="102" t="s">
        <v>496</v>
      </c>
      <c r="V85" s="104"/>
    </row>
    <row r="86" ht="15.75" customHeight="1">
      <c r="A86" s="91"/>
      <c r="B86" s="93" t="s">
        <v>479</v>
      </c>
      <c r="C86" s="139" t="s">
        <v>497</v>
      </c>
      <c r="D86" s="94"/>
      <c r="E86" s="139" t="s">
        <v>498</v>
      </c>
      <c r="F86" s="139" t="s">
        <v>499</v>
      </c>
      <c r="G86" s="94"/>
      <c r="H86" s="93" t="s">
        <v>41</v>
      </c>
      <c r="I86" s="102" t="s">
        <v>88</v>
      </c>
      <c r="J86" s="94"/>
      <c r="K86" s="142"/>
      <c r="L86" s="142"/>
      <c r="M86" s="99"/>
      <c r="N86" s="100" t="s">
        <v>45</v>
      </c>
      <c r="O86" s="101" t="s">
        <v>500</v>
      </c>
      <c r="P86" s="94"/>
      <c r="Q86" s="120"/>
      <c r="R86" s="113"/>
      <c r="S86" s="102" t="s">
        <v>124</v>
      </c>
      <c r="T86" s="102" t="s">
        <v>501</v>
      </c>
      <c r="V86" s="104"/>
    </row>
    <row r="87" ht="15.75" customHeight="1">
      <c r="A87" s="91"/>
      <c r="B87" s="93" t="s">
        <v>479</v>
      </c>
      <c r="C87" s="139" t="s">
        <v>502</v>
      </c>
      <c r="D87" s="94"/>
      <c r="E87" s="139" t="s">
        <v>503</v>
      </c>
      <c r="F87" s="139" t="s">
        <v>502</v>
      </c>
      <c r="G87" s="94"/>
      <c r="H87" s="93" t="s">
        <v>41</v>
      </c>
      <c r="I87" s="102" t="s">
        <v>103</v>
      </c>
      <c r="J87" s="94"/>
      <c r="K87" s="98">
        <v>8700.0</v>
      </c>
      <c r="L87" s="98">
        <v>2700.0</v>
      </c>
      <c r="M87" s="99"/>
      <c r="N87" s="111"/>
      <c r="O87" s="112"/>
      <c r="P87" s="94"/>
      <c r="Q87" s="102" t="s">
        <v>104</v>
      </c>
      <c r="R87" s="113"/>
      <c r="S87" s="102" t="s">
        <v>105</v>
      </c>
      <c r="T87" s="94"/>
      <c r="V87" s="104"/>
    </row>
    <row r="88" ht="15.75" customHeight="1">
      <c r="A88" s="91"/>
      <c r="B88" s="93" t="s">
        <v>504</v>
      </c>
      <c r="C88" s="102" t="s">
        <v>505</v>
      </c>
      <c r="D88" s="94"/>
      <c r="E88" s="139" t="s">
        <v>506</v>
      </c>
      <c r="F88" s="139" t="s">
        <v>505</v>
      </c>
      <c r="G88" s="94"/>
      <c r="H88" s="93" t="s">
        <v>41</v>
      </c>
      <c r="I88" s="102" t="s">
        <v>103</v>
      </c>
      <c r="J88" s="94"/>
      <c r="K88" s="98">
        <v>8700.0</v>
      </c>
      <c r="L88" s="98">
        <v>2700.0</v>
      </c>
      <c r="M88" s="99"/>
      <c r="N88" s="111"/>
      <c r="O88" s="112"/>
      <c r="P88" s="94"/>
      <c r="Q88" s="102" t="s">
        <v>104</v>
      </c>
      <c r="R88" s="113"/>
      <c r="S88" s="102" t="s">
        <v>105</v>
      </c>
      <c r="T88" s="94"/>
      <c r="V88" s="104"/>
    </row>
    <row r="89" ht="15.75" customHeight="1">
      <c r="A89" s="91"/>
      <c r="B89" s="93" t="s">
        <v>504</v>
      </c>
      <c r="C89" s="139" t="s">
        <v>507</v>
      </c>
      <c r="D89" s="94"/>
      <c r="E89" s="139" t="s">
        <v>508</v>
      </c>
      <c r="F89" s="93" t="s">
        <v>509</v>
      </c>
      <c r="G89" s="94"/>
      <c r="H89" s="93" t="s">
        <v>41</v>
      </c>
      <c r="I89" s="102" t="s">
        <v>131</v>
      </c>
      <c r="J89" s="94"/>
      <c r="K89" s="142"/>
      <c r="L89" s="142"/>
      <c r="M89" s="99"/>
      <c r="N89" s="100" t="s">
        <v>45</v>
      </c>
      <c r="O89" s="101" t="s">
        <v>510</v>
      </c>
      <c r="P89" s="94"/>
      <c r="Q89" s="120"/>
      <c r="R89" s="113"/>
      <c r="S89" s="94"/>
      <c r="T89" s="94"/>
      <c r="V89" s="104"/>
    </row>
    <row r="90" ht="15.75" customHeight="1">
      <c r="A90" s="91"/>
      <c r="B90" s="93" t="s">
        <v>504</v>
      </c>
      <c r="C90" s="139" t="s">
        <v>511</v>
      </c>
      <c r="D90" s="94"/>
      <c r="E90" s="139" t="s">
        <v>512</v>
      </c>
      <c r="F90" s="139" t="s">
        <v>511</v>
      </c>
      <c r="G90" s="94"/>
      <c r="H90" s="93" t="s">
        <v>41</v>
      </c>
      <c r="I90" s="102" t="s">
        <v>232</v>
      </c>
      <c r="J90" s="94"/>
      <c r="K90" s="142"/>
      <c r="L90" s="144">
        <v>100.0</v>
      </c>
      <c r="M90" s="99"/>
      <c r="N90" s="111"/>
      <c r="O90" s="112"/>
      <c r="P90" s="94"/>
      <c r="Q90" s="102" t="s">
        <v>104</v>
      </c>
      <c r="R90" s="113"/>
      <c r="S90" s="102" t="s">
        <v>105</v>
      </c>
      <c r="T90" s="94"/>
      <c r="V90" s="104"/>
    </row>
    <row r="91" ht="15.75" customHeight="1">
      <c r="A91" s="91"/>
      <c r="B91" s="93" t="s">
        <v>513</v>
      </c>
      <c r="C91" s="93" t="s">
        <v>514</v>
      </c>
      <c r="D91" s="94"/>
      <c r="E91" s="139" t="s">
        <v>515</v>
      </c>
      <c r="F91" s="139" t="s">
        <v>516</v>
      </c>
      <c r="G91" s="94"/>
      <c r="H91" s="93" t="s">
        <v>41</v>
      </c>
      <c r="I91" s="102" t="s">
        <v>103</v>
      </c>
      <c r="J91" s="94"/>
      <c r="K91" s="98">
        <v>8700.0</v>
      </c>
      <c r="L91" s="98">
        <v>2700.0</v>
      </c>
      <c r="M91" s="99"/>
      <c r="N91" s="111"/>
      <c r="O91" s="112"/>
      <c r="P91" s="94"/>
      <c r="Q91" s="102" t="s">
        <v>104</v>
      </c>
      <c r="R91" s="113"/>
      <c r="S91" s="102" t="s">
        <v>105</v>
      </c>
      <c r="T91" s="94"/>
      <c r="V91" s="104"/>
    </row>
    <row r="92" ht="15.75" customHeight="1">
      <c r="A92" s="91"/>
      <c r="B92" s="93" t="s">
        <v>513</v>
      </c>
      <c r="C92" s="93" t="s">
        <v>517</v>
      </c>
      <c r="D92" s="94"/>
      <c r="E92" s="139" t="s">
        <v>518</v>
      </c>
      <c r="F92" s="139" t="s">
        <v>519</v>
      </c>
      <c r="G92" s="94"/>
      <c r="H92" s="93" t="s">
        <v>41</v>
      </c>
      <c r="I92" s="102" t="s">
        <v>103</v>
      </c>
      <c r="J92" s="94"/>
      <c r="K92" s="144">
        <v>7700.0</v>
      </c>
      <c r="L92" s="144">
        <v>1700.0</v>
      </c>
      <c r="M92" s="99"/>
      <c r="N92" s="111"/>
      <c r="O92" s="112"/>
      <c r="P92" s="94"/>
      <c r="Q92" s="102" t="s">
        <v>104</v>
      </c>
      <c r="R92" s="113"/>
      <c r="S92" s="102" t="s">
        <v>105</v>
      </c>
      <c r="T92" s="94"/>
      <c r="V92" s="104"/>
    </row>
    <row r="93" ht="15.75" customHeight="1">
      <c r="A93" s="91"/>
      <c r="B93" s="93" t="s">
        <v>513</v>
      </c>
      <c r="C93" s="139" t="s">
        <v>520</v>
      </c>
      <c r="D93" s="94"/>
      <c r="E93" s="139" t="s">
        <v>521</v>
      </c>
      <c r="F93" s="139" t="s">
        <v>522</v>
      </c>
      <c r="G93" s="94"/>
      <c r="H93" s="93" t="s">
        <v>41</v>
      </c>
      <c r="I93" s="102" t="s">
        <v>131</v>
      </c>
      <c r="J93" s="94"/>
      <c r="K93" s="142"/>
      <c r="L93" s="142"/>
      <c r="M93" s="99"/>
      <c r="N93" s="111"/>
      <c r="O93" s="101" t="s">
        <v>523</v>
      </c>
      <c r="P93" s="94"/>
      <c r="Q93" s="94"/>
      <c r="R93" s="113"/>
      <c r="S93" s="94"/>
      <c r="T93" s="94"/>
      <c r="V93" s="104"/>
    </row>
    <row r="94" ht="15.75" customHeight="1">
      <c r="A94" s="91"/>
      <c r="B94" s="93" t="s">
        <v>513</v>
      </c>
      <c r="C94" s="93" t="s">
        <v>490</v>
      </c>
      <c r="D94" s="94"/>
      <c r="E94" s="139" t="s">
        <v>524</v>
      </c>
      <c r="F94" s="139" t="s">
        <v>525</v>
      </c>
      <c r="G94" s="94"/>
      <c r="H94" s="93" t="s">
        <v>41</v>
      </c>
      <c r="I94" s="102" t="s">
        <v>232</v>
      </c>
      <c r="J94" s="94"/>
      <c r="K94" s="142"/>
      <c r="L94" s="144">
        <v>1500.0</v>
      </c>
      <c r="M94" s="99"/>
      <c r="N94" s="111"/>
      <c r="O94" s="112"/>
      <c r="P94" s="94"/>
      <c r="Q94" s="102" t="s">
        <v>357</v>
      </c>
      <c r="R94" s="113"/>
      <c r="S94" s="102" t="s">
        <v>105</v>
      </c>
      <c r="T94" s="94"/>
      <c r="V94" s="104"/>
    </row>
    <row r="95" ht="15.75" customHeight="1">
      <c r="A95" s="91"/>
      <c r="B95" s="93" t="s">
        <v>513</v>
      </c>
      <c r="C95" s="139" t="s">
        <v>526</v>
      </c>
      <c r="D95" s="94"/>
      <c r="E95" s="139" t="s">
        <v>527</v>
      </c>
      <c r="F95" s="145" t="s">
        <v>528</v>
      </c>
      <c r="G95" s="94"/>
      <c r="H95" s="93" t="s">
        <v>41</v>
      </c>
      <c r="I95" s="102" t="s">
        <v>88</v>
      </c>
      <c r="J95" s="94"/>
      <c r="K95" s="142"/>
      <c r="L95" s="142"/>
      <c r="M95" s="99"/>
      <c r="N95" s="100" t="s">
        <v>50</v>
      </c>
      <c r="O95" s="101" t="s">
        <v>529</v>
      </c>
      <c r="P95" s="94"/>
      <c r="Q95" s="102"/>
      <c r="R95" s="113"/>
      <c r="S95" s="102" t="s">
        <v>383</v>
      </c>
      <c r="T95" s="102" t="s">
        <v>530</v>
      </c>
      <c r="V95" s="104"/>
    </row>
    <row r="96" ht="15.75" customHeight="1">
      <c r="A96" s="91"/>
      <c r="B96" s="93" t="s">
        <v>513</v>
      </c>
      <c r="C96" s="93" t="s">
        <v>531</v>
      </c>
      <c r="D96" s="94"/>
      <c r="E96" s="139" t="s">
        <v>532</v>
      </c>
      <c r="F96" s="139" t="s">
        <v>533</v>
      </c>
      <c r="G96" s="94"/>
      <c r="H96" s="93" t="s">
        <v>41</v>
      </c>
      <c r="I96" s="102" t="s">
        <v>110</v>
      </c>
      <c r="J96" s="94"/>
      <c r="K96" s="142"/>
      <c r="L96" s="142"/>
      <c r="M96" s="99"/>
      <c r="N96" s="111"/>
      <c r="O96" s="101" t="s">
        <v>534</v>
      </c>
      <c r="P96" s="94"/>
      <c r="Q96" s="120"/>
      <c r="R96" s="113"/>
      <c r="S96" s="94"/>
      <c r="T96" s="94"/>
      <c r="V96" s="104"/>
    </row>
    <row r="97" ht="15.75" customHeight="1">
      <c r="A97" s="91"/>
      <c r="B97" s="93" t="s">
        <v>535</v>
      </c>
      <c r="C97" s="103" t="s">
        <v>258</v>
      </c>
      <c r="D97" s="94"/>
      <c r="E97" s="139" t="s">
        <v>536</v>
      </c>
      <c r="F97" s="139" t="s">
        <v>537</v>
      </c>
      <c r="G97" s="94"/>
      <c r="H97" s="93" t="s">
        <v>41</v>
      </c>
      <c r="I97" s="102" t="s">
        <v>103</v>
      </c>
      <c r="J97" s="94"/>
      <c r="K97" s="144">
        <v>9000.0</v>
      </c>
      <c r="L97" s="144">
        <v>2750.0</v>
      </c>
      <c r="M97" s="99"/>
      <c r="N97" s="111"/>
      <c r="O97" s="112"/>
      <c r="P97" s="94"/>
      <c r="Q97" s="102" t="s">
        <v>104</v>
      </c>
      <c r="R97" s="113"/>
      <c r="S97" s="102" t="s">
        <v>105</v>
      </c>
      <c r="T97" s="94"/>
      <c r="V97" s="104"/>
    </row>
    <row r="98" ht="15.75" customHeight="1">
      <c r="A98" s="91"/>
      <c r="B98" s="93" t="s">
        <v>535</v>
      </c>
      <c r="C98" s="103" t="s">
        <v>538</v>
      </c>
      <c r="D98" s="94"/>
      <c r="E98" s="139" t="s">
        <v>539</v>
      </c>
      <c r="F98" s="146" t="s">
        <v>540</v>
      </c>
      <c r="G98" s="94"/>
      <c r="H98" s="93" t="s">
        <v>41</v>
      </c>
      <c r="I98" s="102" t="s">
        <v>88</v>
      </c>
      <c r="J98" s="94"/>
      <c r="K98" s="142"/>
      <c r="L98" s="142"/>
      <c r="M98" s="99"/>
      <c r="N98" s="100" t="s">
        <v>45</v>
      </c>
      <c r="O98" s="101" t="s">
        <v>396</v>
      </c>
      <c r="P98" s="94"/>
      <c r="Q98" s="120"/>
      <c r="R98" s="113"/>
      <c r="S98" s="102" t="s">
        <v>383</v>
      </c>
      <c r="T98" s="102" t="s">
        <v>541</v>
      </c>
      <c r="V98" s="104"/>
    </row>
    <row r="99" ht="15.75" customHeight="1">
      <c r="A99" s="91"/>
      <c r="B99" s="93" t="s">
        <v>542</v>
      </c>
      <c r="C99" s="93" t="s">
        <v>543</v>
      </c>
      <c r="D99" s="94"/>
      <c r="E99" s="139" t="s">
        <v>544</v>
      </c>
      <c r="F99" s="139" t="s">
        <v>545</v>
      </c>
      <c r="G99" s="94"/>
      <c r="H99" s="93" t="s">
        <v>41</v>
      </c>
      <c r="I99" s="102" t="s">
        <v>232</v>
      </c>
      <c r="J99" s="94"/>
      <c r="K99" s="142"/>
      <c r="L99" s="142"/>
      <c r="M99" s="99"/>
      <c r="N99" s="111"/>
      <c r="O99" s="112"/>
      <c r="P99" s="94"/>
      <c r="Q99" s="102" t="s">
        <v>104</v>
      </c>
      <c r="R99" s="113"/>
      <c r="S99" s="102" t="s">
        <v>105</v>
      </c>
      <c r="T99" s="102" t="s">
        <v>546</v>
      </c>
      <c r="V99" s="104"/>
    </row>
    <row r="100" ht="15.75" customHeight="1">
      <c r="A100" s="91"/>
      <c r="B100" s="93" t="s">
        <v>542</v>
      </c>
      <c r="C100" s="93" t="s">
        <v>220</v>
      </c>
      <c r="D100" s="94"/>
      <c r="E100" s="139" t="s">
        <v>547</v>
      </c>
      <c r="F100" s="139" t="s">
        <v>548</v>
      </c>
      <c r="G100" s="94"/>
      <c r="H100" s="93" t="s">
        <v>41</v>
      </c>
      <c r="I100" s="102" t="s">
        <v>88</v>
      </c>
      <c r="J100" s="94"/>
      <c r="K100" s="142"/>
      <c r="L100" s="142"/>
      <c r="M100" s="99"/>
      <c r="N100" s="100" t="s">
        <v>98</v>
      </c>
      <c r="O100" s="101" t="s">
        <v>549</v>
      </c>
      <c r="P100" s="94"/>
      <c r="Q100" s="94"/>
      <c r="R100" s="113"/>
      <c r="S100" s="102" t="s">
        <v>124</v>
      </c>
      <c r="T100" s="102" t="s">
        <v>550</v>
      </c>
      <c r="V100" s="104"/>
    </row>
    <row r="101" ht="15.75" customHeight="1">
      <c r="A101" s="91"/>
      <c r="B101" s="93" t="s">
        <v>542</v>
      </c>
      <c r="C101" s="139" t="s">
        <v>551</v>
      </c>
      <c r="D101" s="94"/>
      <c r="E101" s="139" t="s">
        <v>552</v>
      </c>
      <c r="F101" s="139" t="s">
        <v>551</v>
      </c>
      <c r="G101" s="94"/>
      <c r="H101" s="93" t="s">
        <v>41</v>
      </c>
      <c r="I101" s="102" t="s">
        <v>232</v>
      </c>
      <c r="J101" s="94"/>
      <c r="K101" s="142"/>
      <c r="L101" s="144">
        <v>100.0</v>
      </c>
      <c r="M101" s="99"/>
      <c r="N101" s="111"/>
      <c r="O101" s="112"/>
      <c r="P101" s="94"/>
      <c r="Q101" s="102" t="s">
        <v>104</v>
      </c>
      <c r="R101" s="113"/>
      <c r="S101" s="102" t="s">
        <v>105</v>
      </c>
      <c r="T101" s="102" t="s">
        <v>553</v>
      </c>
      <c r="V101" s="104"/>
    </row>
    <row r="102" ht="15.75" customHeight="1">
      <c r="A102" s="91"/>
      <c r="B102" s="93" t="s">
        <v>542</v>
      </c>
      <c r="C102" s="93" t="s">
        <v>554</v>
      </c>
      <c r="D102" s="94"/>
      <c r="E102" s="139" t="s">
        <v>555</v>
      </c>
      <c r="F102" s="139" t="s">
        <v>556</v>
      </c>
      <c r="G102" s="94"/>
      <c r="H102" s="93" t="s">
        <v>41</v>
      </c>
      <c r="I102" s="102" t="s">
        <v>88</v>
      </c>
      <c r="J102" s="94"/>
      <c r="K102" s="142"/>
      <c r="L102" s="142"/>
      <c r="M102" s="99"/>
      <c r="N102" s="100" t="s">
        <v>45</v>
      </c>
      <c r="O102" s="101" t="s">
        <v>557</v>
      </c>
      <c r="P102" s="94"/>
      <c r="Q102" s="120"/>
      <c r="R102" s="113"/>
      <c r="S102" s="102" t="s">
        <v>383</v>
      </c>
      <c r="T102" s="102" t="s">
        <v>558</v>
      </c>
      <c r="V102" s="104"/>
    </row>
    <row r="103" ht="15.75" customHeight="1">
      <c r="A103" s="91"/>
      <c r="B103" s="93" t="s">
        <v>542</v>
      </c>
      <c r="C103" s="93" t="s">
        <v>559</v>
      </c>
      <c r="D103" s="94"/>
      <c r="E103" s="139" t="s">
        <v>560</v>
      </c>
      <c r="F103" s="139" t="s">
        <v>561</v>
      </c>
      <c r="G103" s="94"/>
      <c r="H103" s="93" t="s">
        <v>41</v>
      </c>
      <c r="I103" s="102" t="s">
        <v>110</v>
      </c>
      <c r="J103" s="94"/>
      <c r="K103" s="142"/>
      <c r="L103" s="142"/>
      <c r="M103" s="99"/>
      <c r="N103" s="111"/>
      <c r="O103" s="112"/>
      <c r="P103" s="94"/>
      <c r="Q103" s="94"/>
      <c r="R103" s="113"/>
      <c r="S103" s="94"/>
      <c r="T103" s="102" t="s">
        <v>562</v>
      </c>
      <c r="V103" s="104"/>
    </row>
    <row r="104" ht="15.75" customHeight="1">
      <c r="A104" s="91"/>
      <c r="B104" s="93" t="s">
        <v>563</v>
      </c>
      <c r="C104" s="103" t="s">
        <v>531</v>
      </c>
      <c r="D104" s="94"/>
      <c r="E104" s="139" t="s">
        <v>564</v>
      </c>
      <c r="F104" s="139" t="s">
        <v>565</v>
      </c>
      <c r="G104" s="94"/>
      <c r="H104" s="93" t="s">
        <v>41</v>
      </c>
      <c r="I104" s="97" t="s">
        <v>110</v>
      </c>
      <c r="J104" s="94"/>
      <c r="K104" s="142"/>
      <c r="L104" s="142"/>
      <c r="M104" s="99"/>
      <c r="N104" s="111"/>
      <c r="O104" s="112"/>
      <c r="P104" s="94"/>
      <c r="Q104" s="120"/>
      <c r="R104" s="113"/>
      <c r="S104" s="94"/>
      <c r="T104" s="102" t="s">
        <v>562</v>
      </c>
      <c r="V104" s="104"/>
    </row>
    <row r="105" ht="15.75" customHeight="1">
      <c r="A105" s="91"/>
      <c r="B105" s="93" t="s">
        <v>566</v>
      </c>
      <c r="C105" s="139" t="s">
        <v>567</v>
      </c>
      <c r="D105" s="94"/>
      <c r="E105" s="93" t="s">
        <v>568</v>
      </c>
      <c r="F105" s="139" t="s">
        <v>567</v>
      </c>
      <c r="G105" s="94"/>
      <c r="H105" s="93" t="s">
        <v>41</v>
      </c>
      <c r="I105" s="97" t="s">
        <v>88</v>
      </c>
      <c r="J105" s="94"/>
      <c r="K105" s="142"/>
      <c r="L105" s="142"/>
      <c r="M105" s="99"/>
      <c r="N105" s="100" t="s">
        <v>55</v>
      </c>
      <c r="O105" s="101" t="s">
        <v>569</v>
      </c>
      <c r="P105" s="94"/>
      <c r="Q105" s="120"/>
      <c r="R105" s="113"/>
      <c r="S105" s="94"/>
      <c r="T105" s="102" t="s">
        <v>570</v>
      </c>
      <c r="V105" s="104"/>
    </row>
    <row r="106" ht="15.75" customHeight="1">
      <c r="A106" s="91"/>
      <c r="B106" s="93" t="s">
        <v>571</v>
      </c>
      <c r="C106" s="93" t="s">
        <v>572</v>
      </c>
      <c r="D106" s="94"/>
      <c r="E106" s="139" t="s">
        <v>573</v>
      </c>
      <c r="F106" s="93" t="s">
        <v>574</v>
      </c>
      <c r="G106" s="94"/>
      <c r="H106" s="93" t="s">
        <v>41</v>
      </c>
      <c r="I106" s="97" t="s">
        <v>103</v>
      </c>
      <c r="J106" s="94"/>
      <c r="K106" s="98">
        <v>8700.0</v>
      </c>
      <c r="L106" s="98">
        <v>2700.0</v>
      </c>
      <c r="M106" s="99"/>
      <c r="N106" s="111"/>
      <c r="O106" s="112"/>
      <c r="P106" s="94"/>
      <c r="Q106" s="102" t="s">
        <v>104</v>
      </c>
      <c r="R106" s="113"/>
      <c r="S106" s="102" t="s">
        <v>105</v>
      </c>
      <c r="T106" s="94"/>
      <c r="V106" s="104"/>
    </row>
    <row r="107" ht="15.75" customHeight="1">
      <c r="A107" s="91"/>
      <c r="B107" s="93" t="s">
        <v>571</v>
      </c>
      <c r="C107" s="139" t="s">
        <v>575</v>
      </c>
      <c r="D107" s="94"/>
      <c r="E107" s="139" t="s">
        <v>576</v>
      </c>
      <c r="F107" s="139" t="s">
        <v>575</v>
      </c>
      <c r="G107" s="94"/>
      <c r="H107" s="93" t="s">
        <v>41</v>
      </c>
      <c r="I107" s="97" t="s">
        <v>103</v>
      </c>
      <c r="J107" s="94"/>
      <c r="K107" s="98">
        <v>8700.0</v>
      </c>
      <c r="L107" s="98">
        <v>2700.0</v>
      </c>
      <c r="M107" s="99"/>
      <c r="N107" s="111"/>
      <c r="O107" s="112"/>
      <c r="P107" s="94"/>
      <c r="Q107" s="102" t="s">
        <v>104</v>
      </c>
      <c r="R107" s="113"/>
      <c r="S107" s="102" t="s">
        <v>105</v>
      </c>
      <c r="T107" s="94"/>
      <c r="V107" s="104"/>
    </row>
    <row r="108" ht="15.75" customHeight="1">
      <c r="A108" s="91"/>
      <c r="B108" s="93" t="s">
        <v>571</v>
      </c>
      <c r="C108" s="139" t="s">
        <v>577</v>
      </c>
      <c r="D108" s="94"/>
      <c r="E108" s="139" t="s">
        <v>578</v>
      </c>
      <c r="F108" s="139" t="s">
        <v>577</v>
      </c>
      <c r="G108" s="94"/>
      <c r="H108" s="93" t="s">
        <v>41</v>
      </c>
      <c r="I108" s="97" t="s">
        <v>88</v>
      </c>
      <c r="J108" s="94"/>
      <c r="K108" s="142"/>
      <c r="L108" s="142"/>
      <c r="M108" s="99"/>
      <c r="N108" s="100" t="s">
        <v>98</v>
      </c>
      <c r="O108" s="101" t="s">
        <v>579</v>
      </c>
      <c r="P108" s="94"/>
      <c r="Q108" s="120"/>
      <c r="R108" s="113"/>
      <c r="S108" s="102" t="s">
        <v>90</v>
      </c>
      <c r="T108" s="102" t="s">
        <v>580</v>
      </c>
      <c r="V108" s="104"/>
    </row>
    <row r="109" ht="15.75" customHeight="1">
      <c r="A109" s="91"/>
      <c r="B109" s="93" t="s">
        <v>581</v>
      </c>
      <c r="C109" s="93" t="s">
        <v>559</v>
      </c>
      <c r="D109" s="94"/>
      <c r="E109" s="139" t="s">
        <v>582</v>
      </c>
      <c r="F109" s="93" t="s">
        <v>583</v>
      </c>
      <c r="G109" s="94"/>
      <c r="H109" s="93" t="s">
        <v>41</v>
      </c>
      <c r="I109" s="97" t="s">
        <v>88</v>
      </c>
      <c r="J109" s="94"/>
      <c r="K109" s="142"/>
      <c r="L109" s="142"/>
      <c r="M109" s="99"/>
      <c r="N109" s="100" t="s">
        <v>45</v>
      </c>
      <c r="O109" s="101" t="s">
        <v>584</v>
      </c>
      <c r="P109" s="94"/>
      <c r="Q109" s="94"/>
      <c r="R109" s="113"/>
      <c r="S109" s="102" t="s">
        <v>90</v>
      </c>
      <c r="T109" s="102" t="s">
        <v>585</v>
      </c>
      <c r="V109" s="104"/>
    </row>
    <row r="110" ht="15.75" customHeight="1">
      <c r="A110" s="91"/>
      <c r="B110" s="93" t="s">
        <v>581</v>
      </c>
      <c r="C110" s="139" t="s">
        <v>586</v>
      </c>
      <c r="D110" s="94"/>
      <c r="E110" s="139" t="s">
        <v>587</v>
      </c>
      <c r="F110" s="139" t="s">
        <v>586</v>
      </c>
      <c r="G110" s="94"/>
      <c r="H110" s="93" t="s">
        <v>41</v>
      </c>
      <c r="I110" s="102" t="s">
        <v>103</v>
      </c>
      <c r="J110" s="94"/>
      <c r="K110" s="98">
        <v>8700.0</v>
      </c>
      <c r="L110" s="98">
        <v>2700.0</v>
      </c>
      <c r="M110" s="99"/>
      <c r="N110" s="111"/>
      <c r="O110" s="112"/>
      <c r="P110" s="94"/>
      <c r="Q110" s="102" t="s">
        <v>104</v>
      </c>
      <c r="R110" s="113"/>
      <c r="S110" s="102" t="s">
        <v>105</v>
      </c>
      <c r="T110" s="94"/>
      <c r="V110" s="104"/>
    </row>
    <row r="111" ht="15.75" customHeight="1">
      <c r="A111" s="91"/>
      <c r="B111" s="93" t="s">
        <v>588</v>
      </c>
      <c r="C111" s="139" t="s">
        <v>589</v>
      </c>
      <c r="D111" s="94"/>
      <c r="E111" s="139" t="s">
        <v>590</v>
      </c>
      <c r="F111" s="139" t="s">
        <v>589</v>
      </c>
      <c r="G111" s="94"/>
      <c r="H111" s="93" t="s">
        <v>41</v>
      </c>
      <c r="I111" s="102" t="s">
        <v>591</v>
      </c>
      <c r="J111" s="94"/>
      <c r="K111" s="142"/>
      <c r="L111" s="142"/>
      <c r="M111" s="99"/>
      <c r="N111" s="111"/>
      <c r="O111" s="112"/>
      <c r="P111" s="94"/>
      <c r="Q111" s="94"/>
      <c r="R111" s="113"/>
      <c r="S111" s="94"/>
      <c r="T111" s="94"/>
      <c r="V111" s="104"/>
    </row>
    <row r="112" ht="15.75" customHeight="1">
      <c r="A112" s="91"/>
      <c r="B112" s="93" t="s">
        <v>588</v>
      </c>
      <c r="C112" s="139" t="s">
        <v>592</v>
      </c>
      <c r="D112" s="94"/>
      <c r="E112" s="139" t="s">
        <v>593</v>
      </c>
      <c r="F112" s="139" t="s">
        <v>592</v>
      </c>
      <c r="G112" s="94"/>
      <c r="H112" s="93" t="s">
        <v>41</v>
      </c>
      <c r="I112" s="102" t="s">
        <v>110</v>
      </c>
      <c r="J112" s="94"/>
      <c r="K112" s="142"/>
      <c r="L112" s="142"/>
      <c r="M112" s="99"/>
      <c r="N112" s="111"/>
      <c r="O112" s="112"/>
      <c r="P112" s="94"/>
      <c r="Q112" s="94"/>
      <c r="R112" s="113"/>
      <c r="S112" s="94"/>
      <c r="T112" s="94"/>
      <c r="V112" s="104"/>
    </row>
    <row r="113" ht="15.75" customHeight="1">
      <c r="A113" s="91"/>
      <c r="B113" s="131"/>
      <c r="C113" s="104"/>
      <c r="D113" s="94"/>
      <c r="E113" s="132"/>
      <c r="F113" s="132"/>
      <c r="G113" s="94"/>
      <c r="H113" s="93" t="s">
        <v>41</v>
      </c>
      <c r="I113" s="94"/>
      <c r="J113" s="94"/>
      <c r="K113" s="142"/>
      <c r="L113" s="142"/>
      <c r="M113" s="99"/>
      <c r="N113" s="111"/>
      <c r="O113" s="112"/>
      <c r="P113" s="94"/>
      <c r="Q113" s="94"/>
      <c r="R113" s="113"/>
      <c r="S113" s="94"/>
      <c r="T113" s="94"/>
      <c r="V113" s="104"/>
    </row>
    <row r="114" ht="15.75" customHeight="1">
      <c r="A114" s="91"/>
      <c r="B114" s="131"/>
      <c r="C114" s="132"/>
      <c r="D114" s="94"/>
      <c r="E114" s="132"/>
      <c r="F114" s="132"/>
      <c r="G114" s="94"/>
      <c r="H114" s="93" t="s">
        <v>41</v>
      </c>
      <c r="I114" s="94"/>
      <c r="J114" s="94"/>
      <c r="K114" s="142"/>
      <c r="L114" s="142"/>
      <c r="M114" s="99"/>
      <c r="N114" s="111"/>
      <c r="O114" s="112"/>
      <c r="P114" s="94"/>
      <c r="Q114" s="94"/>
      <c r="R114" s="113"/>
      <c r="S114" s="94"/>
      <c r="T114" s="94"/>
      <c r="V114" s="104"/>
    </row>
    <row r="115" ht="15.75" customHeight="1">
      <c r="A115" s="91"/>
      <c r="B115" s="131"/>
      <c r="C115" s="132"/>
      <c r="D115" s="94"/>
      <c r="E115" s="132"/>
      <c r="F115" s="132"/>
      <c r="G115" s="94"/>
      <c r="H115" s="93" t="s">
        <v>41</v>
      </c>
      <c r="I115" s="94"/>
      <c r="J115" s="94"/>
      <c r="K115" s="142"/>
      <c r="L115" s="142"/>
      <c r="M115" s="99"/>
      <c r="N115" s="111"/>
      <c r="O115" s="112"/>
      <c r="P115" s="94"/>
      <c r="Q115" s="94"/>
      <c r="R115" s="113"/>
      <c r="S115" s="94"/>
      <c r="T115" s="94"/>
      <c r="V115" s="104"/>
    </row>
    <row r="116" ht="15.75" customHeight="1">
      <c r="A116" s="91"/>
      <c r="B116" s="131"/>
      <c r="C116" s="132"/>
      <c r="D116" s="94"/>
      <c r="E116" s="132"/>
      <c r="F116" s="132"/>
      <c r="G116" s="94"/>
      <c r="H116" s="93" t="s">
        <v>41</v>
      </c>
      <c r="I116" s="94"/>
      <c r="J116" s="94"/>
      <c r="K116" s="142"/>
      <c r="L116" s="142"/>
      <c r="M116" s="99"/>
      <c r="N116" s="111"/>
      <c r="O116" s="112"/>
      <c r="P116" s="94"/>
      <c r="Q116" s="94"/>
      <c r="R116" s="113"/>
      <c r="S116" s="94"/>
      <c r="T116" s="94"/>
      <c r="V116" s="104"/>
    </row>
    <row r="117" ht="15.75" customHeight="1">
      <c r="A117" s="91"/>
      <c r="B117" s="131"/>
      <c r="C117" s="132"/>
      <c r="D117" s="94"/>
      <c r="E117" s="132"/>
      <c r="F117" s="132"/>
      <c r="G117" s="94"/>
      <c r="H117" s="132"/>
      <c r="I117" s="94"/>
      <c r="J117" s="94"/>
      <c r="K117" s="142"/>
      <c r="L117" s="142"/>
      <c r="M117" s="99"/>
      <c r="N117" s="111"/>
      <c r="O117" s="112"/>
      <c r="P117" s="94"/>
      <c r="Q117" s="94"/>
      <c r="R117" s="113"/>
      <c r="S117" s="94"/>
      <c r="T117" s="94"/>
      <c r="V117" s="104"/>
    </row>
    <row r="118" ht="15.75" customHeight="1">
      <c r="A118" s="91"/>
      <c r="B118" s="131"/>
      <c r="C118" s="132"/>
      <c r="D118" s="94"/>
      <c r="E118" s="132"/>
      <c r="F118" s="132"/>
      <c r="G118" s="94"/>
      <c r="H118" s="132"/>
      <c r="I118" s="94"/>
      <c r="J118" s="94"/>
      <c r="K118" s="142"/>
      <c r="L118" s="142"/>
      <c r="M118" s="99"/>
      <c r="N118" s="111"/>
      <c r="O118" s="112"/>
      <c r="P118" s="94"/>
      <c r="Q118" s="120"/>
      <c r="R118" s="113"/>
      <c r="S118" s="94"/>
      <c r="T118" s="94"/>
      <c r="V118" s="104"/>
    </row>
    <row r="119" ht="15.75" customHeight="1">
      <c r="A119" s="91"/>
      <c r="B119" s="131"/>
      <c r="C119" s="104"/>
      <c r="D119" s="94"/>
      <c r="E119" s="132"/>
      <c r="F119" s="132"/>
      <c r="G119" s="94"/>
      <c r="H119" s="132"/>
      <c r="I119" s="94"/>
      <c r="J119" s="94"/>
      <c r="K119" s="142"/>
      <c r="L119" s="142"/>
      <c r="M119" s="99"/>
      <c r="N119" s="111"/>
      <c r="O119" s="112"/>
      <c r="P119" s="94"/>
      <c r="Q119" s="94"/>
      <c r="R119" s="113"/>
      <c r="S119" s="94"/>
      <c r="T119" s="94"/>
      <c r="V119" s="104"/>
    </row>
    <row r="120" ht="15.75" customHeight="1">
      <c r="A120" s="91"/>
      <c r="B120" s="131"/>
      <c r="C120" s="104"/>
      <c r="D120" s="94"/>
      <c r="E120" s="132"/>
      <c r="F120" s="132"/>
      <c r="G120" s="94"/>
      <c r="H120" s="132"/>
      <c r="I120" s="94"/>
      <c r="J120" s="94"/>
      <c r="K120" s="142"/>
      <c r="L120" s="142"/>
      <c r="M120" s="99"/>
      <c r="N120" s="111"/>
      <c r="O120" s="112"/>
      <c r="P120" s="94"/>
      <c r="Q120" s="94"/>
      <c r="R120" s="113"/>
      <c r="S120" s="94"/>
      <c r="T120" s="94"/>
      <c r="V120" s="104"/>
    </row>
    <row r="121" ht="15.75" customHeight="1">
      <c r="A121" s="91"/>
      <c r="B121" s="131"/>
      <c r="C121" s="104"/>
      <c r="D121" s="94"/>
      <c r="E121" s="132"/>
      <c r="F121" s="132"/>
      <c r="G121" s="94"/>
      <c r="H121" s="132"/>
      <c r="I121" s="94"/>
      <c r="J121" s="94"/>
      <c r="K121" s="142"/>
      <c r="L121" s="142"/>
      <c r="M121" s="99"/>
      <c r="N121" s="111"/>
      <c r="O121" s="112"/>
      <c r="P121" s="94"/>
      <c r="Q121" s="120"/>
      <c r="R121" s="113"/>
      <c r="S121" s="94"/>
      <c r="T121" s="94"/>
      <c r="V121" s="104"/>
    </row>
    <row r="122" ht="15.75" customHeight="1">
      <c r="A122" s="91"/>
      <c r="B122" s="131"/>
      <c r="C122" s="132"/>
      <c r="D122" s="94"/>
      <c r="E122" s="132"/>
      <c r="F122" s="132"/>
      <c r="G122" s="94"/>
      <c r="H122" s="132"/>
      <c r="I122" s="94"/>
      <c r="J122" s="94"/>
      <c r="K122" s="142"/>
      <c r="L122" s="142"/>
      <c r="M122" s="99"/>
      <c r="N122" s="111"/>
      <c r="O122" s="112"/>
      <c r="P122" s="94"/>
      <c r="Q122" s="120"/>
      <c r="R122" s="113"/>
      <c r="S122" s="94"/>
      <c r="T122" s="94"/>
      <c r="V122" s="104"/>
    </row>
    <row r="123" ht="15.75" customHeight="1">
      <c r="A123" s="91"/>
      <c r="B123" s="131"/>
      <c r="C123" s="132"/>
      <c r="D123" s="94"/>
      <c r="E123" s="132"/>
      <c r="F123" s="132"/>
      <c r="G123" s="94"/>
      <c r="H123" s="132"/>
      <c r="I123" s="94"/>
      <c r="J123" s="94"/>
      <c r="K123" s="142"/>
      <c r="L123" s="142"/>
      <c r="M123" s="99"/>
      <c r="N123" s="111"/>
      <c r="O123" s="112"/>
      <c r="P123" s="94"/>
      <c r="Q123" s="120"/>
      <c r="R123" s="113"/>
      <c r="S123" s="94"/>
      <c r="T123" s="94"/>
      <c r="V123" s="104"/>
    </row>
    <row r="124" ht="15.75" customHeight="1">
      <c r="A124" s="91"/>
      <c r="B124" s="131"/>
      <c r="C124" s="132"/>
      <c r="D124" s="94"/>
      <c r="E124" s="132"/>
      <c r="F124" s="132"/>
      <c r="G124" s="94"/>
      <c r="H124" s="132"/>
      <c r="I124" s="94"/>
      <c r="J124" s="94"/>
      <c r="K124" s="142"/>
      <c r="L124" s="142"/>
      <c r="M124" s="99"/>
      <c r="N124" s="111"/>
      <c r="O124" s="112"/>
      <c r="P124" s="94"/>
      <c r="Q124" s="120"/>
      <c r="R124" s="113"/>
      <c r="S124" s="94"/>
      <c r="T124" s="94"/>
      <c r="V124" s="104"/>
    </row>
    <row r="125" ht="15.75" customHeight="1">
      <c r="A125" s="91"/>
      <c r="B125" s="131"/>
      <c r="C125" s="132"/>
      <c r="D125" s="94"/>
      <c r="E125" s="132"/>
      <c r="F125" s="132"/>
      <c r="G125" s="94"/>
      <c r="H125" s="132"/>
      <c r="I125" s="94"/>
      <c r="J125" s="94"/>
      <c r="K125" s="142"/>
      <c r="L125" s="142"/>
      <c r="M125" s="99"/>
      <c r="N125" s="111"/>
      <c r="O125" s="112"/>
      <c r="P125" s="94"/>
      <c r="Q125" s="120"/>
      <c r="R125" s="113"/>
      <c r="S125" s="94"/>
      <c r="T125" s="94"/>
      <c r="V125" s="104"/>
    </row>
    <row r="126" ht="15.75" customHeight="1">
      <c r="A126" s="91"/>
      <c r="B126" s="131"/>
      <c r="C126" s="132"/>
      <c r="D126" s="94"/>
      <c r="E126" s="132"/>
      <c r="F126" s="132"/>
      <c r="G126" s="94"/>
      <c r="H126" s="132"/>
      <c r="I126" s="94"/>
      <c r="J126" s="94"/>
      <c r="K126" s="142"/>
      <c r="L126" s="142"/>
      <c r="M126" s="99"/>
      <c r="N126" s="111"/>
      <c r="O126" s="112"/>
      <c r="P126" s="94"/>
      <c r="Q126" s="120"/>
      <c r="R126" s="113"/>
      <c r="S126" s="94"/>
      <c r="T126" s="94"/>
      <c r="V126" s="104"/>
    </row>
    <row r="127" ht="15.75" customHeight="1">
      <c r="A127" s="91"/>
      <c r="B127" s="131"/>
      <c r="C127" s="104"/>
      <c r="D127" s="94"/>
      <c r="E127" s="132"/>
      <c r="F127" s="132"/>
      <c r="G127" s="94"/>
      <c r="H127" s="132"/>
      <c r="I127" s="94"/>
      <c r="J127" s="94"/>
      <c r="K127" s="142"/>
      <c r="L127" s="142"/>
      <c r="M127" s="99"/>
      <c r="N127" s="111"/>
      <c r="O127" s="112"/>
      <c r="P127" s="94"/>
      <c r="Q127" s="94"/>
      <c r="R127" s="113"/>
      <c r="S127" s="94"/>
      <c r="T127" s="94"/>
      <c r="V127" s="104"/>
    </row>
    <row r="128" ht="15.75" customHeight="1">
      <c r="A128" s="91"/>
      <c r="B128" s="131"/>
      <c r="C128" s="104"/>
      <c r="D128" s="94"/>
      <c r="E128" s="132"/>
      <c r="F128" s="132"/>
      <c r="G128" s="94"/>
      <c r="H128" s="132"/>
      <c r="I128" s="94"/>
      <c r="J128" s="94"/>
      <c r="K128" s="142"/>
      <c r="L128" s="142"/>
      <c r="M128" s="99"/>
      <c r="N128" s="111"/>
      <c r="O128" s="112"/>
      <c r="P128" s="94"/>
      <c r="Q128" s="120"/>
      <c r="R128" s="113"/>
      <c r="S128" s="94"/>
      <c r="T128" s="94"/>
      <c r="V128" s="104"/>
    </row>
    <row r="129" ht="15.75" customHeight="1">
      <c r="A129" s="91"/>
      <c r="B129" s="131"/>
      <c r="C129" s="104"/>
      <c r="D129" s="94"/>
      <c r="E129" s="132"/>
      <c r="F129" s="132"/>
      <c r="G129" s="94"/>
      <c r="H129" s="132"/>
      <c r="I129" s="94"/>
      <c r="J129" s="94"/>
      <c r="K129" s="142"/>
      <c r="L129" s="142"/>
      <c r="M129" s="99"/>
      <c r="N129" s="111"/>
      <c r="O129" s="112"/>
      <c r="P129" s="94"/>
      <c r="Q129" s="94"/>
      <c r="R129" s="113"/>
      <c r="S129" s="94"/>
      <c r="T129" s="94"/>
      <c r="V129" s="104"/>
    </row>
    <row r="130" ht="15.75" customHeight="1">
      <c r="A130" s="91"/>
      <c r="B130" s="131"/>
      <c r="C130" s="132"/>
      <c r="D130" s="94"/>
      <c r="E130" s="132"/>
      <c r="F130" s="132"/>
      <c r="G130" s="94"/>
      <c r="H130" s="132"/>
      <c r="I130" s="94"/>
      <c r="J130" s="94"/>
      <c r="K130" s="142"/>
      <c r="L130" s="142"/>
      <c r="M130" s="99"/>
      <c r="N130" s="111"/>
      <c r="O130" s="112"/>
      <c r="P130" s="94"/>
      <c r="Q130" s="94"/>
      <c r="R130" s="113"/>
      <c r="S130" s="94"/>
      <c r="T130" s="94"/>
      <c r="V130" s="104"/>
    </row>
    <row r="131" ht="15.75" customHeight="1">
      <c r="A131" s="91"/>
      <c r="B131" s="131"/>
      <c r="C131" s="132"/>
      <c r="D131" s="94"/>
      <c r="E131" s="132"/>
      <c r="F131" s="132"/>
      <c r="G131" s="94"/>
      <c r="H131" s="132"/>
      <c r="I131" s="94"/>
      <c r="J131" s="94"/>
      <c r="K131" s="142"/>
      <c r="L131" s="142"/>
      <c r="M131" s="99"/>
      <c r="N131" s="111"/>
      <c r="O131" s="112"/>
      <c r="P131" s="94"/>
      <c r="Q131" s="120"/>
      <c r="R131" s="113"/>
      <c r="S131" s="94"/>
      <c r="T131" s="94"/>
      <c r="V131" s="104"/>
    </row>
    <row r="132" ht="15.75" customHeight="1">
      <c r="A132" s="91"/>
      <c r="B132" s="131"/>
      <c r="C132" s="132"/>
      <c r="D132" s="94"/>
      <c r="E132" s="132"/>
      <c r="F132" s="132"/>
      <c r="G132" s="94"/>
      <c r="H132" s="132"/>
      <c r="I132" s="94"/>
      <c r="J132" s="94"/>
      <c r="K132" s="142"/>
      <c r="L132" s="142"/>
      <c r="M132" s="99"/>
      <c r="N132" s="111"/>
      <c r="O132" s="112"/>
      <c r="P132" s="94"/>
      <c r="Q132" s="94"/>
      <c r="R132" s="113"/>
      <c r="S132" s="94"/>
      <c r="T132" s="94"/>
      <c r="V132" s="104"/>
    </row>
    <row r="133" ht="15.75" customHeight="1">
      <c r="A133" s="91"/>
      <c r="B133" s="131"/>
      <c r="C133" s="132"/>
      <c r="D133" s="94"/>
      <c r="E133" s="132"/>
      <c r="F133" s="132"/>
      <c r="G133" s="94"/>
      <c r="H133" s="132"/>
      <c r="I133" s="94"/>
      <c r="J133" s="94"/>
      <c r="K133" s="142"/>
      <c r="L133" s="142"/>
      <c r="M133" s="99"/>
      <c r="N133" s="111"/>
      <c r="O133" s="112"/>
      <c r="P133" s="94"/>
      <c r="Q133" s="94"/>
      <c r="R133" s="113"/>
      <c r="S133" s="94"/>
      <c r="T133" s="94"/>
      <c r="V133" s="104"/>
    </row>
    <row r="134" ht="15.75" customHeight="1">
      <c r="A134" s="91"/>
      <c r="B134" s="131"/>
      <c r="C134" s="132"/>
      <c r="D134" s="94"/>
      <c r="E134" s="132"/>
      <c r="F134" s="132"/>
      <c r="G134" s="94"/>
      <c r="H134" s="132"/>
      <c r="I134" s="94"/>
      <c r="J134" s="94"/>
      <c r="K134" s="142"/>
      <c r="L134" s="142"/>
      <c r="M134" s="99"/>
      <c r="N134" s="111"/>
      <c r="O134" s="112"/>
      <c r="P134" s="94"/>
      <c r="Q134" s="120"/>
      <c r="R134" s="113"/>
      <c r="S134" s="94"/>
      <c r="T134" s="94"/>
      <c r="V134" s="104"/>
    </row>
    <row r="135" ht="15.75" customHeight="1">
      <c r="A135" s="91"/>
      <c r="B135" s="131"/>
      <c r="C135" s="104"/>
      <c r="D135" s="94"/>
      <c r="E135" s="132"/>
      <c r="F135" s="132"/>
      <c r="G135" s="94"/>
      <c r="H135" s="132"/>
      <c r="I135" s="94"/>
      <c r="J135" s="94"/>
      <c r="K135" s="142"/>
      <c r="L135" s="142"/>
      <c r="M135" s="99"/>
      <c r="N135" s="111"/>
      <c r="O135" s="112"/>
      <c r="P135" s="94"/>
      <c r="Q135" s="94"/>
      <c r="R135" s="113"/>
      <c r="S135" s="94"/>
      <c r="T135" s="94"/>
      <c r="V135" s="104"/>
    </row>
    <row r="136" ht="15.75" customHeight="1">
      <c r="A136" s="91"/>
      <c r="B136" s="131"/>
      <c r="C136" s="104"/>
      <c r="D136" s="94"/>
      <c r="E136" s="132"/>
      <c r="F136" s="132"/>
      <c r="G136" s="94"/>
      <c r="H136" s="132"/>
      <c r="I136" s="94"/>
      <c r="J136" s="94"/>
      <c r="K136" s="142"/>
      <c r="L136" s="142"/>
      <c r="M136" s="99"/>
      <c r="N136" s="111"/>
      <c r="O136" s="112"/>
      <c r="P136" s="94"/>
      <c r="Q136" s="120"/>
      <c r="R136" s="113"/>
      <c r="S136" s="94"/>
      <c r="T136" s="94"/>
      <c r="V136" s="104"/>
    </row>
    <row r="137" ht="15.75" customHeight="1">
      <c r="A137" s="91"/>
      <c r="B137" s="131"/>
      <c r="C137" s="104"/>
      <c r="D137" s="94"/>
      <c r="E137" s="132"/>
      <c r="F137" s="132"/>
      <c r="G137" s="94"/>
      <c r="H137" s="132"/>
      <c r="I137" s="94"/>
      <c r="J137" s="94"/>
      <c r="K137" s="142"/>
      <c r="L137" s="142"/>
      <c r="M137" s="99"/>
      <c r="N137" s="111"/>
      <c r="O137" s="112"/>
      <c r="P137" s="94"/>
      <c r="Q137" s="120"/>
      <c r="R137" s="113"/>
      <c r="S137" s="94"/>
      <c r="T137" s="94"/>
      <c r="V137" s="104"/>
    </row>
    <row r="138" ht="15.75" customHeight="1">
      <c r="A138" s="91"/>
      <c r="B138" s="131"/>
      <c r="C138" s="132"/>
      <c r="D138" s="94"/>
      <c r="E138" s="132"/>
      <c r="F138" s="132"/>
      <c r="G138" s="94"/>
      <c r="H138" s="132"/>
      <c r="I138" s="94"/>
      <c r="J138" s="94"/>
      <c r="K138" s="142"/>
      <c r="L138" s="142"/>
      <c r="M138" s="99"/>
      <c r="N138" s="111"/>
      <c r="O138" s="112"/>
      <c r="P138" s="94"/>
      <c r="Q138" s="120"/>
      <c r="R138" s="113"/>
      <c r="S138" s="94"/>
      <c r="T138" s="94"/>
      <c r="V138" s="104"/>
    </row>
    <row r="139" ht="15.75" customHeight="1">
      <c r="A139" s="91"/>
      <c r="B139" s="131"/>
      <c r="C139" s="132"/>
      <c r="D139" s="94"/>
      <c r="E139" s="132"/>
      <c r="F139" s="132"/>
      <c r="G139" s="94"/>
      <c r="H139" s="132"/>
      <c r="I139" s="94"/>
      <c r="J139" s="94"/>
      <c r="K139" s="142"/>
      <c r="L139" s="142"/>
      <c r="M139" s="99"/>
      <c r="N139" s="111"/>
      <c r="O139" s="112"/>
      <c r="P139" s="94"/>
      <c r="Q139" s="94"/>
      <c r="R139" s="113"/>
      <c r="S139" s="94"/>
      <c r="T139" s="94"/>
      <c r="V139" s="104"/>
    </row>
    <row r="140" ht="15.75" customHeight="1">
      <c r="A140" s="91"/>
      <c r="B140" s="131"/>
      <c r="C140" s="132"/>
      <c r="D140" s="94"/>
      <c r="E140" s="132"/>
      <c r="F140" s="132"/>
      <c r="G140" s="94"/>
      <c r="H140" s="132"/>
      <c r="I140" s="94"/>
      <c r="J140" s="94"/>
      <c r="K140" s="142"/>
      <c r="L140" s="142"/>
      <c r="M140" s="99"/>
      <c r="N140" s="111"/>
      <c r="O140" s="112"/>
      <c r="P140" s="94"/>
      <c r="Q140" s="120"/>
      <c r="R140" s="113"/>
      <c r="S140" s="94"/>
      <c r="T140" s="94"/>
      <c r="V140" s="104"/>
    </row>
    <row r="141" ht="15.75" customHeight="1">
      <c r="A141" s="91"/>
      <c r="B141" s="131"/>
      <c r="C141" s="132"/>
      <c r="D141" s="94"/>
      <c r="E141" s="132"/>
      <c r="F141" s="132"/>
      <c r="G141" s="94"/>
      <c r="H141" s="132"/>
      <c r="I141" s="94"/>
      <c r="J141" s="94"/>
      <c r="K141" s="142"/>
      <c r="L141" s="142"/>
      <c r="M141" s="99"/>
      <c r="N141" s="111"/>
      <c r="O141" s="112"/>
      <c r="P141" s="94"/>
      <c r="Q141" s="94"/>
      <c r="R141" s="113"/>
      <c r="S141" s="94"/>
      <c r="T141" s="94"/>
      <c r="V141" s="104"/>
    </row>
    <row r="142" ht="15.75" customHeight="1">
      <c r="A142" s="91"/>
      <c r="B142" s="131"/>
      <c r="C142" s="132"/>
      <c r="D142" s="94"/>
      <c r="E142" s="132"/>
      <c r="F142" s="134"/>
      <c r="G142" s="94"/>
      <c r="H142" s="132"/>
      <c r="I142" s="94"/>
      <c r="J142" s="94"/>
      <c r="K142" s="142"/>
      <c r="L142" s="142"/>
      <c r="M142" s="99"/>
      <c r="N142" s="111"/>
      <c r="O142" s="112"/>
      <c r="P142" s="94"/>
      <c r="Q142" s="120"/>
      <c r="R142" s="113"/>
      <c r="S142" s="94"/>
      <c r="T142" s="94"/>
      <c r="V142" s="104"/>
    </row>
    <row r="143" ht="15.75" customHeight="1">
      <c r="A143" s="91"/>
      <c r="B143" s="131"/>
      <c r="C143" s="104"/>
      <c r="D143" s="94"/>
      <c r="E143" s="132"/>
      <c r="F143" s="132"/>
      <c r="G143" s="94"/>
      <c r="H143" s="132"/>
      <c r="I143" s="94"/>
      <c r="J143" s="94"/>
      <c r="K143" s="142"/>
      <c r="L143" s="142"/>
      <c r="M143" s="99"/>
      <c r="N143" s="111"/>
      <c r="O143" s="112"/>
      <c r="P143" s="94"/>
      <c r="Q143" s="94"/>
      <c r="R143" s="113"/>
      <c r="S143" s="94"/>
      <c r="T143" s="94"/>
      <c r="V143" s="104"/>
    </row>
    <row r="144" ht="15.75" customHeight="1">
      <c r="A144" s="91"/>
      <c r="B144" s="131"/>
      <c r="C144" s="104"/>
      <c r="D144" s="94"/>
      <c r="E144" s="132"/>
      <c r="F144" s="132"/>
      <c r="G144" s="94"/>
      <c r="H144" s="132"/>
      <c r="I144" s="94"/>
      <c r="J144" s="94"/>
      <c r="K144" s="142"/>
      <c r="L144" s="142"/>
      <c r="M144" s="99"/>
      <c r="N144" s="111"/>
      <c r="O144" s="112"/>
      <c r="P144" s="94"/>
      <c r="Q144" s="120"/>
      <c r="R144" s="113"/>
      <c r="S144" s="94"/>
      <c r="T144" s="94"/>
      <c r="V144" s="104"/>
    </row>
    <row r="145" ht="15.75" customHeight="1">
      <c r="A145" s="91"/>
      <c r="B145" s="131"/>
      <c r="C145" s="132"/>
      <c r="D145" s="94"/>
      <c r="E145" s="132"/>
      <c r="F145" s="132"/>
      <c r="G145" s="94"/>
      <c r="H145" s="132"/>
      <c r="I145" s="94"/>
      <c r="J145" s="94"/>
      <c r="K145" s="142"/>
      <c r="L145" s="142"/>
      <c r="M145" s="99"/>
      <c r="N145" s="111"/>
      <c r="O145" s="112"/>
      <c r="P145" s="94"/>
      <c r="Q145" s="120"/>
      <c r="R145" s="113"/>
      <c r="S145" s="94"/>
      <c r="T145" s="94"/>
      <c r="V145" s="104"/>
    </row>
    <row r="146" ht="15.75" customHeight="1">
      <c r="A146" s="91"/>
      <c r="B146" s="131"/>
      <c r="C146" s="132"/>
      <c r="D146" s="94"/>
      <c r="E146" s="132"/>
      <c r="F146" s="132"/>
      <c r="G146" s="94"/>
      <c r="H146" s="132"/>
      <c r="I146" s="94"/>
      <c r="J146" s="94"/>
      <c r="K146" s="142"/>
      <c r="L146" s="142"/>
      <c r="M146" s="99"/>
      <c r="N146" s="111"/>
      <c r="O146" s="112"/>
      <c r="P146" s="94"/>
      <c r="Q146" s="120"/>
      <c r="R146" s="113"/>
      <c r="S146" s="94"/>
      <c r="T146" s="94"/>
      <c r="V146" s="104"/>
    </row>
    <row r="147" ht="15.75" customHeight="1">
      <c r="A147" s="91"/>
      <c r="B147" s="131"/>
      <c r="C147" s="132"/>
      <c r="D147" s="94"/>
      <c r="E147" s="132"/>
      <c r="F147" s="132"/>
      <c r="G147" s="94"/>
      <c r="H147" s="132"/>
      <c r="I147" s="94"/>
      <c r="J147" s="94"/>
      <c r="K147" s="142"/>
      <c r="L147" s="142"/>
      <c r="M147" s="99"/>
      <c r="N147" s="111"/>
      <c r="O147" s="112"/>
      <c r="P147" s="94"/>
      <c r="Q147" s="120"/>
      <c r="R147" s="113"/>
      <c r="S147" s="94"/>
      <c r="T147" s="94"/>
      <c r="V147" s="104"/>
    </row>
    <row r="148" ht="15.75" customHeight="1">
      <c r="A148" s="91"/>
      <c r="B148" s="131"/>
      <c r="C148" s="132"/>
      <c r="D148" s="94"/>
      <c r="E148" s="132"/>
      <c r="F148" s="132"/>
      <c r="G148" s="94"/>
      <c r="H148" s="132"/>
      <c r="I148" s="94"/>
      <c r="J148" s="94"/>
      <c r="K148" s="142"/>
      <c r="L148" s="142"/>
      <c r="M148" s="99"/>
      <c r="N148" s="111"/>
      <c r="O148" s="112"/>
      <c r="P148" s="94"/>
      <c r="Q148" s="120"/>
      <c r="R148" s="113"/>
      <c r="S148" s="94"/>
      <c r="T148" s="94"/>
      <c r="V148" s="104"/>
    </row>
    <row r="149" ht="15.75" customHeight="1">
      <c r="A149" s="91"/>
      <c r="B149" s="131"/>
      <c r="C149" s="132"/>
      <c r="D149" s="94"/>
      <c r="E149" s="132"/>
      <c r="F149" s="132"/>
      <c r="G149" s="94"/>
      <c r="H149" s="132"/>
      <c r="I149" s="94"/>
      <c r="J149" s="94"/>
      <c r="K149" s="142"/>
      <c r="L149" s="142"/>
      <c r="M149" s="99"/>
      <c r="N149" s="111"/>
      <c r="O149" s="112"/>
      <c r="P149" s="94"/>
      <c r="Q149" s="120"/>
      <c r="R149" s="113"/>
      <c r="S149" s="94"/>
      <c r="T149" s="94"/>
      <c r="V149" s="104"/>
    </row>
    <row r="150" ht="15.75" customHeight="1">
      <c r="A150" s="91"/>
      <c r="B150" s="131"/>
      <c r="C150" s="104"/>
      <c r="D150" s="94"/>
      <c r="E150" s="132"/>
      <c r="F150" s="132"/>
      <c r="G150" s="94"/>
      <c r="H150" s="132"/>
      <c r="I150" s="94"/>
      <c r="J150" s="94"/>
      <c r="K150" s="142"/>
      <c r="L150" s="142"/>
      <c r="M150" s="99"/>
      <c r="N150" s="111"/>
      <c r="O150" s="112"/>
      <c r="P150" s="94"/>
      <c r="Q150" s="120"/>
      <c r="R150" s="113"/>
      <c r="S150" s="94"/>
      <c r="T150" s="94"/>
      <c r="V150" s="104"/>
    </row>
    <row r="151" ht="15.75" customHeight="1">
      <c r="A151" s="91"/>
      <c r="B151" s="131"/>
      <c r="C151" s="132"/>
      <c r="D151" s="94"/>
      <c r="E151" s="132"/>
      <c r="F151" s="132"/>
      <c r="G151" s="94"/>
      <c r="H151" s="132"/>
      <c r="I151" s="94"/>
      <c r="J151" s="94"/>
      <c r="K151" s="142"/>
      <c r="L151" s="142"/>
      <c r="M151" s="99"/>
      <c r="N151" s="111"/>
      <c r="O151" s="112"/>
      <c r="P151" s="94"/>
      <c r="Q151" s="120"/>
      <c r="R151" s="113"/>
      <c r="S151" s="94"/>
      <c r="T151" s="94"/>
      <c r="V151" s="104"/>
    </row>
    <row r="152" ht="15.75" customHeight="1">
      <c r="A152" s="91"/>
      <c r="B152" s="131"/>
      <c r="C152" s="132"/>
      <c r="D152" s="94"/>
      <c r="E152" s="132"/>
      <c r="F152" s="132"/>
      <c r="G152" s="94"/>
      <c r="H152" s="132"/>
      <c r="I152" s="94"/>
      <c r="J152" s="94"/>
      <c r="K152" s="142"/>
      <c r="L152" s="142"/>
      <c r="M152" s="99"/>
      <c r="N152" s="111"/>
      <c r="O152" s="112"/>
      <c r="P152" s="94"/>
      <c r="Q152" s="120"/>
      <c r="R152" s="113"/>
      <c r="S152" s="94"/>
      <c r="T152" s="94"/>
      <c r="V152" s="104"/>
    </row>
    <row r="153" ht="15.75" customHeight="1">
      <c r="A153" s="91"/>
      <c r="B153" s="131"/>
      <c r="C153" s="132"/>
      <c r="D153" s="94"/>
      <c r="E153" s="132"/>
      <c r="F153" s="132"/>
      <c r="G153" s="94"/>
      <c r="H153" s="132"/>
      <c r="I153" s="94"/>
      <c r="J153" s="94"/>
      <c r="K153" s="142"/>
      <c r="L153" s="142"/>
      <c r="M153" s="99"/>
      <c r="N153" s="111"/>
      <c r="O153" s="112"/>
      <c r="P153" s="94"/>
      <c r="Q153" s="120"/>
      <c r="R153" s="113"/>
      <c r="S153" s="94"/>
      <c r="T153" s="94"/>
      <c r="V153" s="104"/>
    </row>
    <row r="154" ht="15.75" customHeight="1">
      <c r="A154" s="91"/>
      <c r="B154" s="131"/>
      <c r="C154" s="132"/>
      <c r="D154" s="94"/>
      <c r="E154" s="132"/>
      <c r="F154" s="132"/>
      <c r="G154" s="94"/>
      <c r="H154" s="132"/>
      <c r="I154" s="94"/>
      <c r="J154" s="94"/>
      <c r="K154" s="142"/>
      <c r="L154" s="142"/>
      <c r="M154" s="99"/>
      <c r="N154" s="111"/>
      <c r="O154" s="112"/>
      <c r="P154" s="94"/>
      <c r="Q154" s="120"/>
      <c r="R154" s="113"/>
      <c r="S154" s="94"/>
      <c r="T154" s="94"/>
      <c r="V154" s="104"/>
    </row>
    <row r="155" ht="15.75" customHeight="1">
      <c r="A155" s="91"/>
      <c r="B155" s="131"/>
      <c r="C155" s="132"/>
      <c r="D155" s="94"/>
      <c r="E155" s="132"/>
      <c r="F155" s="132"/>
      <c r="G155" s="94"/>
      <c r="H155" s="132"/>
      <c r="I155" s="94"/>
      <c r="J155" s="94"/>
      <c r="K155" s="142"/>
      <c r="L155" s="142"/>
      <c r="M155" s="99"/>
      <c r="N155" s="111"/>
      <c r="O155" s="112"/>
      <c r="P155" s="94"/>
      <c r="Q155" s="120"/>
      <c r="R155" s="113"/>
      <c r="S155" s="94"/>
      <c r="T155" s="94"/>
      <c r="V155" s="104"/>
    </row>
    <row r="156" ht="15.75" customHeight="1">
      <c r="A156" s="91"/>
      <c r="B156" s="131"/>
      <c r="C156" s="104"/>
      <c r="D156" s="94"/>
      <c r="E156" s="132"/>
      <c r="F156" s="132"/>
      <c r="G156" s="94"/>
      <c r="H156" s="132"/>
      <c r="I156" s="94"/>
      <c r="J156" s="94"/>
      <c r="K156" s="142"/>
      <c r="L156" s="142"/>
      <c r="M156" s="99"/>
      <c r="N156" s="111"/>
      <c r="O156" s="112"/>
      <c r="P156" s="94"/>
      <c r="Q156" s="120"/>
      <c r="R156" s="113"/>
      <c r="S156" s="94"/>
      <c r="T156" s="94"/>
      <c r="V156" s="104"/>
    </row>
    <row r="157" ht="15.75" customHeight="1">
      <c r="A157" s="91"/>
      <c r="B157" s="131"/>
      <c r="C157" s="132"/>
      <c r="D157" s="94"/>
      <c r="E157" s="132"/>
      <c r="F157" s="132"/>
      <c r="G157" s="94"/>
      <c r="H157" s="132"/>
      <c r="I157" s="94"/>
      <c r="J157" s="94"/>
      <c r="K157" s="142"/>
      <c r="L157" s="142"/>
      <c r="M157" s="99"/>
      <c r="N157" s="111"/>
      <c r="O157" s="112"/>
      <c r="P157" s="94"/>
      <c r="Q157" s="120"/>
      <c r="R157" s="113"/>
      <c r="S157" s="94"/>
      <c r="T157" s="94"/>
      <c r="V157" s="104"/>
    </row>
    <row r="158" ht="15.75" customHeight="1">
      <c r="A158" s="91"/>
      <c r="B158" s="131"/>
      <c r="C158" s="132"/>
      <c r="D158" s="94"/>
      <c r="E158" s="132"/>
      <c r="F158" s="132"/>
      <c r="G158" s="94"/>
      <c r="H158" s="132"/>
      <c r="I158" s="94"/>
      <c r="J158" s="94"/>
      <c r="K158" s="142"/>
      <c r="L158" s="142"/>
      <c r="M158" s="99"/>
      <c r="N158" s="111"/>
      <c r="O158" s="112"/>
      <c r="P158" s="94"/>
      <c r="Q158" s="120"/>
      <c r="R158" s="113"/>
      <c r="S158" s="94"/>
      <c r="T158" s="94"/>
      <c r="V158" s="104"/>
    </row>
    <row r="159" ht="15.75" customHeight="1">
      <c r="A159" s="91"/>
      <c r="B159" s="131"/>
      <c r="C159" s="132"/>
      <c r="D159" s="94"/>
      <c r="E159" s="132"/>
      <c r="F159" s="132"/>
      <c r="G159" s="94"/>
      <c r="H159" s="132"/>
      <c r="I159" s="94"/>
      <c r="J159" s="94"/>
      <c r="K159" s="142"/>
      <c r="L159" s="142"/>
      <c r="M159" s="99"/>
      <c r="N159" s="111"/>
      <c r="O159" s="112"/>
      <c r="P159" s="94"/>
      <c r="Q159" s="120"/>
      <c r="R159" s="113"/>
      <c r="S159" s="94"/>
      <c r="T159" s="94"/>
      <c r="V159" s="104"/>
    </row>
    <row r="160" ht="15.75" customHeight="1">
      <c r="A160" s="91"/>
      <c r="B160" s="131"/>
      <c r="C160" s="132"/>
      <c r="D160" s="94"/>
      <c r="E160" s="132"/>
      <c r="F160" s="132"/>
      <c r="G160" s="94"/>
      <c r="H160" s="132"/>
      <c r="I160" s="94"/>
      <c r="J160" s="94"/>
      <c r="K160" s="142"/>
      <c r="L160" s="142"/>
      <c r="M160" s="99"/>
      <c r="N160" s="111"/>
      <c r="O160" s="112"/>
      <c r="P160" s="94"/>
      <c r="Q160" s="120"/>
      <c r="R160" s="113"/>
      <c r="S160" s="94"/>
      <c r="T160" s="94"/>
      <c r="V160" s="104"/>
    </row>
    <row r="161" ht="15.75" customHeight="1">
      <c r="A161" s="91"/>
      <c r="B161" s="131"/>
      <c r="C161" s="132"/>
      <c r="D161" s="94"/>
      <c r="E161" s="132"/>
      <c r="F161" s="132"/>
      <c r="G161" s="94"/>
      <c r="H161" s="132"/>
      <c r="I161" s="94"/>
      <c r="J161" s="94"/>
      <c r="K161" s="142"/>
      <c r="L161" s="142"/>
      <c r="M161" s="99"/>
      <c r="N161" s="111"/>
      <c r="O161" s="112"/>
      <c r="P161" s="94"/>
      <c r="Q161" s="120"/>
      <c r="R161" s="113"/>
      <c r="S161" s="94"/>
      <c r="T161" s="94"/>
      <c r="V161" s="104"/>
    </row>
    <row r="162" ht="15.75" customHeight="1">
      <c r="A162" s="91"/>
      <c r="B162" s="131"/>
      <c r="C162" s="104"/>
      <c r="D162" s="94"/>
      <c r="E162" s="132"/>
      <c r="F162" s="132"/>
      <c r="G162" s="94"/>
      <c r="H162" s="132"/>
      <c r="I162" s="94"/>
      <c r="J162" s="94"/>
      <c r="K162" s="142"/>
      <c r="L162" s="142"/>
      <c r="M162" s="99"/>
      <c r="N162" s="111"/>
      <c r="O162" s="112"/>
      <c r="P162" s="94"/>
      <c r="Q162" s="120"/>
      <c r="R162" s="113"/>
      <c r="S162" s="94"/>
      <c r="T162" s="94"/>
      <c r="V162" s="104"/>
    </row>
    <row r="163" ht="15.75" customHeight="1">
      <c r="A163" s="91"/>
      <c r="B163" s="131"/>
      <c r="C163" s="132"/>
      <c r="D163" s="94"/>
      <c r="E163" s="132"/>
      <c r="F163" s="132"/>
      <c r="G163" s="94"/>
      <c r="H163" s="132"/>
      <c r="I163" s="94"/>
      <c r="J163" s="94"/>
      <c r="K163" s="142"/>
      <c r="L163" s="142"/>
      <c r="M163" s="99"/>
      <c r="N163" s="111"/>
      <c r="O163" s="112"/>
      <c r="P163" s="94"/>
      <c r="Q163" s="120"/>
      <c r="R163" s="113"/>
      <c r="S163" s="94"/>
      <c r="T163" s="94"/>
      <c r="V163" s="104"/>
    </row>
    <row r="164" ht="15.75" customHeight="1">
      <c r="A164" s="91"/>
      <c r="B164" s="131"/>
      <c r="C164" s="132"/>
      <c r="D164" s="94"/>
      <c r="E164" s="132"/>
      <c r="F164" s="132"/>
      <c r="G164" s="94"/>
      <c r="H164" s="132"/>
      <c r="I164" s="94"/>
      <c r="J164" s="94"/>
      <c r="K164" s="142"/>
      <c r="L164" s="142"/>
      <c r="M164" s="99"/>
      <c r="N164" s="111"/>
      <c r="O164" s="112"/>
      <c r="P164" s="94"/>
      <c r="Q164" s="120"/>
      <c r="R164" s="113"/>
      <c r="S164" s="94"/>
      <c r="T164" s="94"/>
      <c r="V164" s="104"/>
    </row>
    <row r="165" ht="15.75" customHeight="1">
      <c r="A165" s="91"/>
      <c r="B165" s="131"/>
      <c r="C165" s="132"/>
      <c r="D165" s="94"/>
      <c r="E165" s="132"/>
      <c r="F165" s="132"/>
      <c r="G165" s="94"/>
      <c r="H165" s="132"/>
      <c r="I165" s="94"/>
      <c r="J165" s="94"/>
      <c r="K165" s="142"/>
      <c r="L165" s="142"/>
      <c r="M165" s="99"/>
      <c r="N165" s="111"/>
      <c r="O165" s="112"/>
      <c r="P165" s="94"/>
      <c r="Q165" s="120"/>
      <c r="R165" s="113"/>
      <c r="S165" s="94"/>
      <c r="T165" s="94"/>
      <c r="V165" s="104"/>
    </row>
    <row r="166" ht="15.75" customHeight="1">
      <c r="A166" s="91"/>
      <c r="B166" s="131"/>
      <c r="C166" s="132"/>
      <c r="D166" s="94"/>
      <c r="E166" s="132"/>
      <c r="F166" s="132"/>
      <c r="G166" s="94"/>
      <c r="H166" s="132"/>
      <c r="I166" s="94"/>
      <c r="J166" s="94"/>
      <c r="K166" s="142"/>
      <c r="L166" s="142"/>
      <c r="M166" s="99"/>
      <c r="N166" s="111"/>
      <c r="O166" s="112"/>
      <c r="P166" s="94"/>
      <c r="Q166" s="120"/>
      <c r="R166" s="113"/>
      <c r="S166" s="94"/>
      <c r="T166" s="94"/>
      <c r="V166" s="104"/>
    </row>
    <row r="167" ht="15.75" customHeight="1">
      <c r="A167" s="91"/>
      <c r="B167" s="131"/>
      <c r="C167" s="132"/>
      <c r="D167" s="94"/>
      <c r="E167" s="132"/>
      <c r="F167" s="132"/>
      <c r="G167" s="94"/>
      <c r="H167" s="132"/>
      <c r="I167" s="94"/>
      <c r="J167" s="94"/>
      <c r="K167" s="142"/>
      <c r="L167" s="142"/>
      <c r="M167" s="99"/>
      <c r="N167" s="111"/>
      <c r="O167" s="112"/>
      <c r="P167" s="94"/>
      <c r="Q167" s="120"/>
      <c r="R167" s="113"/>
      <c r="S167" s="94"/>
      <c r="T167" s="94"/>
      <c r="V167" s="104"/>
    </row>
    <row r="168" ht="15.75" customHeight="1">
      <c r="A168" s="91"/>
      <c r="B168" s="131"/>
      <c r="C168" s="104"/>
      <c r="D168" s="94"/>
      <c r="E168" s="132"/>
      <c r="F168" s="132"/>
      <c r="G168" s="94"/>
      <c r="H168" s="132"/>
      <c r="I168" s="94"/>
      <c r="J168" s="94"/>
      <c r="K168" s="142"/>
      <c r="L168" s="142"/>
      <c r="M168" s="99"/>
      <c r="N168" s="111"/>
      <c r="O168" s="112"/>
      <c r="P168" s="94"/>
      <c r="Q168" s="120"/>
      <c r="R168" s="113"/>
      <c r="S168" s="94"/>
      <c r="T168" s="94"/>
      <c r="V168" s="104"/>
    </row>
    <row r="169" ht="15.75" customHeight="1">
      <c r="A169" s="91"/>
      <c r="B169" s="131"/>
      <c r="C169" s="132"/>
      <c r="D169" s="94"/>
      <c r="E169" s="132"/>
      <c r="F169" s="132"/>
      <c r="G169" s="94"/>
      <c r="H169" s="132"/>
      <c r="I169" s="94"/>
      <c r="J169" s="94"/>
      <c r="K169" s="142"/>
      <c r="L169" s="142"/>
      <c r="M169" s="99"/>
      <c r="N169" s="111"/>
      <c r="O169" s="112"/>
      <c r="P169" s="94"/>
      <c r="Q169" s="120"/>
      <c r="R169" s="113"/>
      <c r="S169" s="94"/>
      <c r="T169" s="94"/>
      <c r="V169" s="104"/>
    </row>
    <row r="170" ht="15.75" customHeight="1">
      <c r="A170" s="91"/>
      <c r="B170" s="131"/>
      <c r="C170" s="132"/>
      <c r="D170" s="94"/>
      <c r="E170" s="132"/>
      <c r="F170" s="132"/>
      <c r="G170" s="94"/>
      <c r="H170" s="132"/>
      <c r="I170" s="94"/>
      <c r="J170" s="94"/>
      <c r="K170" s="142"/>
      <c r="L170" s="142"/>
      <c r="M170" s="99"/>
      <c r="N170" s="111"/>
      <c r="O170" s="112"/>
      <c r="P170" s="94"/>
      <c r="Q170" s="120"/>
      <c r="R170" s="113"/>
      <c r="S170" s="94"/>
      <c r="T170" s="94"/>
      <c r="V170" s="104"/>
    </row>
    <row r="171" ht="15.75" customHeight="1">
      <c r="A171" s="91"/>
      <c r="B171" s="131"/>
      <c r="C171" s="132"/>
      <c r="D171" s="94"/>
      <c r="E171" s="132"/>
      <c r="F171" s="132"/>
      <c r="G171" s="94"/>
      <c r="H171" s="132"/>
      <c r="I171" s="94"/>
      <c r="J171" s="94"/>
      <c r="K171" s="142"/>
      <c r="L171" s="142"/>
      <c r="M171" s="99"/>
      <c r="N171" s="111"/>
      <c r="O171" s="112"/>
      <c r="P171" s="94"/>
      <c r="Q171" s="120"/>
      <c r="R171" s="113"/>
      <c r="S171" s="94"/>
      <c r="T171" s="94"/>
      <c r="V171" s="104"/>
    </row>
    <row r="172" ht="15.75" customHeight="1">
      <c r="A172" s="91"/>
      <c r="B172" s="131"/>
      <c r="C172" s="132"/>
      <c r="D172" s="94"/>
      <c r="E172" s="132"/>
      <c r="F172" s="132"/>
      <c r="G172" s="94"/>
      <c r="H172" s="132"/>
      <c r="I172" s="94"/>
      <c r="J172" s="94"/>
      <c r="K172" s="142"/>
      <c r="L172" s="142"/>
      <c r="M172" s="99"/>
      <c r="N172" s="111"/>
      <c r="O172" s="112"/>
      <c r="P172" s="94"/>
      <c r="Q172" s="120"/>
      <c r="R172" s="113"/>
      <c r="S172" s="94"/>
      <c r="T172" s="94"/>
      <c r="V172" s="104"/>
    </row>
    <row r="173" ht="15.75" customHeight="1">
      <c r="A173" s="91"/>
      <c r="B173" s="131"/>
      <c r="C173" s="132"/>
      <c r="D173" s="94"/>
      <c r="E173" s="132"/>
      <c r="F173" s="132"/>
      <c r="G173" s="94"/>
      <c r="H173" s="132"/>
      <c r="I173" s="94"/>
      <c r="J173" s="94"/>
      <c r="K173" s="142"/>
      <c r="L173" s="142"/>
      <c r="M173" s="99"/>
      <c r="N173" s="111"/>
      <c r="O173" s="112"/>
      <c r="P173" s="94"/>
      <c r="Q173" s="120"/>
      <c r="R173" s="113"/>
      <c r="S173" s="94"/>
      <c r="T173" s="94"/>
      <c r="V173" s="104"/>
    </row>
    <row r="174" ht="15.75" customHeight="1">
      <c r="A174" s="91"/>
      <c r="B174" s="131"/>
      <c r="C174" s="104"/>
      <c r="D174" s="94"/>
      <c r="E174" s="132"/>
      <c r="F174" s="132"/>
      <c r="G174" s="94"/>
      <c r="H174" s="132"/>
      <c r="I174" s="94"/>
      <c r="J174" s="94"/>
      <c r="K174" s="142"/>
      <c r="L174" s="142"/>
      <c r="M174" s="99"/>
      <c r="N174" s="111"/>
      <c r="O174" s="112"/>
      <c r="P174" s="94"/>
      <c r="Q174" s="120"/>
      <c r="R174" s="113"/>
      <c r="S174" s="94"/>
      <c r="T174" s="94"/>
      <c r="V174" s="104"/>
    </row>
    <row r="175" ht="15.75" customHeight="1">
      <c r="A175" s="91"/>
      <c r="B175" s="131"/>
      <c r="C175" s="132"/>
      <c r="D175" s="94"/>
      <c r="E175" s="132"/>
      <c r="F175" s="132"/>
      <c r="G175" s="94"/>
      <c r="H175" s="132"/>
      <c r="I175" s="94"/>
      <c r="J175" s="94"/>
      <c r="K175" s="142"/>
      <c r="L175" s="142"/>
      <c r="M175" s="99"/>
      <c r="N175" s="111"/>
      <c r="O175" s="112"/>
      <c r="P175" s="94"/>
      <c r="Q175" s="120"/>
      <c r="R175" s="113"/>
      <c r="S175" s="94"/>
      <c r="T175" s="94"/>
      <c r="V175" s="104"/>
    </row>
    <row r="176" ht="15.75" customHeight="1">
      <c r="A176" s="91"/>
      <c r="B176" s="131"/>
      <c r="C176" s="132"/>
      <c r="D176" s="94"/>
      <c r="E176" s="132"/>
      <c r="F176" s="132"/>
      <c r="G176" s="94"/>
      <c r="H176" s="132"/>
      <c r="I176" s="94"/>
      <c r="J176" s="94"/>
      <c r="K176" s="142"/>
      <c r="L176" s="142"/>
      <c r="M176" s="99"/>
      <c r="N176" s="111"/>
      <c r="O176" s="112"/>
      <c r="P176" s="94"/>
      <c r="Q176" s="120"/>
      <c r="R176" s="113"/>
      <c r="S176" s="94"/>
      <c r="T176" s="94"/>
      <c r="V176" s="104"/>
    </row>
    <row r="177" ht="15.75" customHeight="1">
      <c r="A177" s="91"/>
      <c r="B177" s="131"/>
      <c r="C177" s="132"/>
      <c r="D177" s="94"/>
      <c r="E177" s="132"/>
      <c r="F177" s="132"/>
      <c r="G177" s="94"/>
      <c r="H177" s="132"/>
      <c r="I177" s="94"/>
      <c r="J177" s="94"/>
      <c r="K177" s="142"/>
      <c r="L177" s="142"/>
      <c r="M177" s="99"/>
      <c r="N177" s="111"/>
      <c r="O177" s="112"/>
      <c r="P177" s="94"/>
      <c r="Q177" s="120"/>
      <c r="R177" s="113"/>
      <c r="S177" s="94"/>
      <c r="T177" s="94"/>
      <c r="V177" s="104"/>
    </row>
    <row r="178" ht="15.75" customHeight="1">
      <c r="A178" s="91"/>
      <c r="B178" s="131"/>
      <c r="C178" s="132"/>
      <c r="D178" s="94"/>
      <c r="E178" s="132"/>
      <c r="F178" s="132"/>
      <c r="G178" s="94"/>
      <c r="H178" s="132"/>
      <c r="I178" s="94"/>
      <c r="J178" s="94"/>
      <c r="K178" s="142"/>
      <c r="L178" s="142"/>
      <c r="M178" s="99"/>
      <c r="N178" s="111"/>
      <c r="O178" s="112"/>
      <c r="P178" s="94"/>
      <c r="Q178" s="120"/>
      <c r="R178" s="113"/>
      <c r="S178" s="94"/>
      <c r="T178" s="94"/>
      <c r="V178" s="104"/>
    </row>
    <row r="179" ht="15.75" customHeight="1">
      <c r="A179" s="91"/>
      <c r="B179" s="131"/>
      <c r="C179" s="132"/>
      <c r="D179" s="94"/>
      <c r="E179" s="132"/>
      <c r="F179" s="132"/>
      <c r="G179" s="94"/>
      <c r="H179" s="132"/>
      <c r="I179" s="94"/>
      <c r="J179" s="94"/>
      <c r="K179" s="142"/>
      <c r="L179" s="142"/>
      <c r="M179" s="99"/>
      <c r="N179" s="111"/>
      <c r="O179" s="112"/>
      <c r="P179" s="94"/>
      <c r="Q179" s="120"/>
      <c r="R179" s="113"/>
      <c r="S179" s="94"/>
      <c r="T179" s="94"/>
      <c r="V179" s="104"/>
    </row>
    <row r="180" ht="15.75" customHeight="1">
      <c r="A180" s="91"/>
      <c r="B180" s="131"/>
      <c r="C180" s="104"/>
      <c r="D180" s="94"/>
      <c r="E180" s="132"/>
      <c r="F180" s="132"/>
      <c r="G180" s="94"/>
      <c r="H180" s="132"/>
      <c r="I180" s="94"/>
      <c r="J180" s="94"/>
      <c r="K180" s="142"/>
      <c r="L180" s="142"/>
      <c r="M180" s="99"/>
      <c r="N180" s="111"/>
      <c r="O180" s="112"/>
      <c r="P180" s="94"/>
      <c r="Q180" s="120"/>
      <c r="R180" s="113"/>
      <c r="S180" s="94"/>
      <c r="T180" s="94"/>
      <c r="V180" s="104"/>
    </row>
    <row r="181" ht="15.75" customHeight="1">
      <c r="A181" s="91"/>
      <c r="B181" s="131"/>
      <c r="C181" s="132"/>
      <c r="D181" s="94"/>
      <c r="E181" s="132"/>
      <c r="F181" s="132"/>
      <c r="G181" s="94"/>
      <c r="H181" s="132"/>
      <c r="I181" s="94"/>
      <c r="J181" s="94"/>
      <c r="K181" s="142"/>
      <c r="L181" s="142"/>
      <c r="M181" s="99"/>
      <c r="N181" s="111"/>
      <c r="O181" s="112"/>
      <c r="P181" s="94"/>
      <c r="Q181" s="120"/>
      <c r="R181" s="113"/>
      <c r="S181" s="94"/>
      <c r="T181" s="94"/>
      <c r="V181" s="104"/>
    </row>
    <row r="182" ht="15.75" customHeight="1">
      <c r="A182" s="91"/>
      <c r="B182" s="131"/>
      <c r="C182" s="132"/>
      <c r="D182" s="94"/>
      <c r="E182" s="132"/>
      <c r="F182" s="132"/>
      <c r="G182" s="94"/>
      <c r="H182" s="132"/>
      <c r="I182" s="94"/>
      <c r="J182" s="94"/>
      <c r="K182" s="142"/>
      <c r="L182" s="142"/>
      <c r="M182" s="99"/>
      <c r="N182" s="111"/>
      <c r="O182" s="112"/>
      <c r="P182" s="94"/>
      <c r="Q182" s="120"/>
      <c r="R182" s="113"/>
      <c r="S182" s="94"/>
      <c r="T182" s="94"/>
      <c r="V182" s="104"/>
    </row>
    <row r="183" ht="15.75" customHeight="1">
      <c r="A183" s="91"/>
      <c r="B183" s="131"/>
      <c r="C183" s="132"/>
      <c r="D183" s="94"/>
      <c r="E183" s="132"/>
      <c r="F183" s="132"/>
      <c r="G183" s="94"/>
      <c r="H183" s="132"/>
      <c r="I183" s="94"/>
      <c r="J183" s="94"/>
      <c r="K183" s="142"/>
      <c r="L183" s="142"/>
      <c r="M183" s="99"/>
      <c r="N183" s="111"/>
      <c r="O183" s="112"/>
      <c r="P183" s="94"/>
      <c r="Q183" s="120"/>
      <c r="R183" s="113"/>
      <c r="S183" s="94"/>
      <c r="T183" s="94"/>
      <c r="V183" s="104"/>
    </row>
    <row r="184" ht="15.75" customHeight="1">
      <c r="A184" s="91"/>
      <c r="B184" s="131"/>
      <c r="C184" s="132"/>
      <c r="D184" s="94"/>
      <c r="E184" s="132"/>
      <c r="F184" s="132"/>
      <c r="G184" s="94"/>
      <c r="H184" s="132"/>
      <c r="I184" s="94"/>
      <c r="J184" s="94"/>
      <c r="K184" s="142"/>
      <c r="L184" s="142"/>
      <c r="M184" s="99"/>
      <c r="N184" s="111"/>
      <c r="O184" s="112"/>
      <c r="P184" s="94"/>
      <c r="Q184" s="120"/>
      <c r="R184" s="113"/>
      <c r="S184" s="94"/>
      <c r="T184" s="94"/>
      <c r="V184" s="104"/>
    </row>
    <row r="185" ht="15.75" customHeight="1">
      <c r="A185" s="91"/>
      <c r="B185" s="131"/>
      <c r="C185" s="132"/>
      <c r="D185" s="94"/>
      <c r="E185" s="132"/>
      <c r="F185" s="132"/>
      <c r="G185" s="94"/>
      <c r="H185" s="132"/>
      <c r="I185" s="94"/>
      <c r="J185" s="94"/>
      <c r="K185" s="135"/>
      <c r="L185" s="135"/>
      <c r="M185" s="99"/>
      <c r="N185" s="111"/>
      <c r="O185" s="112"/>
      <c r="P185" s="94"/>
      <c r="Q185" s="120"/>
      <c r="R185" s="113"/>
      <c r="S185" s="94"/>
      <c r="T185" s="94"/>
      <c r="V185" s="104"/>
    </row>
    <row r="186" ht="15.75" customHeight="1">
      <c r="A186" s="91"/>
      <c r="B186" s="131"/>
      <c r="C186" s="104"/>
      <c r="D186" s="94"/>
      <c r="E186" s="132"/>
      <c r="F186" s="132"/>
      <c r="G186" s="94"/>
      <c r="H186" s="132"/>
      <c r="I186" s="94"/>
      <c r="J186" s="94"/>
      <c r="K186" s="135"/>
      <c r="L186" s="135"/>
      <c r="M186" s="99"/>
      <c r="N186" s="111"/>
      <c r="O186" s="112"/>
      <c r="P186" s="94"/>
      <c r="Q186" s="120"/>
      <c r="R186" s="113"/>
      <c r="S186" s="94"/>
      <c r="T186" s="94"/>
      <c r="V186" s="104"/>
    </row>
    <row r="187" ht="15.75" customHeight="1">
      <c r="A187" s="91"/>
      <c r="B187" s="131"/>
      <c r="C187" s="132"/>
      <c r="D187" s="94"/>
      <c r="E187" s="132"/>
      <c r="F187" s="132"/>
      <c r="G187" s="94"/>
      <c r="H187" s="132"/>
      <c r="I187" s="94"/>
      <c r="J187" s="94"/>
      <c r="K187" s="135"/>
      <c r="L187" s="135"/>
      <c r="M187" s="99"/>
      <c r="N187" s="111"/>
      <c r="O187" s="112"/>
      <c r="P187" s="94"/>
      <c r="Q187" s="120"/>
      <c r="R187" s="113"/>
      <c r="S187" s="94"/>
      <c r="T187" s="94"/>
      <c r="V187" s="104"/>
    </row>
    <row r="188" ht="15.75" customHeight="1">
      <c r="A188" s="91"/>
      <c r="B188" s="131"/>
      <c r="C188" s="132"/>
      <c r="D188" s="94"/>
      <c r="E188" s="132"/>
      <c r="F188" s="132"/>
      <c r="G188" s="94"/>
      <c r="H188" s="132"/>
      <c r="I188" s="94"/>
      <c r="J188" s="94"/>
      <c r="K188" s="135"/>
      <c r="L188" s="135"/>
      <c r="M188" s="99"/>
      <c r="N188" s="111"/>
      <c r="O188" s="112"/>
      <c r="P188" s="94"/>
      <c r="Q188" s="120"/>
      <c r="R188" s="113"/>
      <c r="S188" s="94"/>
      <c r="T188" s="94"/>
      <c r="V188" s="104"/>
    </row>
    <row r="189" ht="15.75" customHeight="1">
      <c r="A189" s="91"/>
      <c r="B189" s="131"/>
      <c r="C189" s="132"/>
      <c r="D189" s="94"/>
      <c r="E189" s="132"/>
      <c r="F189" s="132"/>
      <c r="G189" s="94"/>
      <c r="H189" s="132"/>
      <c r="I189" s="94"/>
      <c r="J189" s="94"/>
      <c r="K189" s="135"/>
      <c r="L189" s="135"/>
      <c r="M189" s="99"/>
      <c r="N189" s="111"/>
      <c r="O189" s="112"/>
      <c r="P189" s="94"/>
      <c r="Q189" s="120"/>
      <c r="R189" s="113"/>
      <c r="S189" s="94"/>
      <c r="T189" s="94"/>
      <c r="V189" s="104"/>
    </row>
    <row r="190" ht="15.75" customHeight="1">
      <c r="A190" s="91"/>
      <c r="B190" s="131"/>
      <c r="C190" s="132"/>
      <c r="D190" s="94"/>
      <c r="E190" s="132"/>
      <c r="F190" s="132"/>
      <c r="G190" s="94"/>
      <c r="H190" s="132"/>
      <c r="I190" s="94"/>
      <c r="J190" s="94"/>
      <c r="K190" s="135"/>
      <c r="L190" s="135"/>
      <c r="M190" s="99"/>
      <c r="N190" s="111"/>
      <c r="O190" s="112"/>
      <c r="P190" s="94"/>
      <c r="Q190" s="120"/>
      <c r="R190" s="113"/>
      <c r="S190" s="94"/>
      <c r="T190" s="94"/>
      <c r="V190" s="104"/>
    </row>
    <row r="191" ht="15.75" customHeight="1">
      <c r="A191" s="91"/>
      <c r="B191" s="131"/>
      <c r="C191" s="132"/>
      <c r="D191" s="94"/>
      <c r="E191" s="132"/>
      <c r="F191" s="132"/>
      <c r="G191" s="94"/>
      <c r="H191" s="132"/>
      <c r="I191" s="94"/>
      <c r="J191" s="94"/>
      <c r="K191" s="135"/>
      <c r="L191" s="135"/>
      <c r="M191" s="99"/>
      <c r="N191" s="111"/>
      <c r="O191" s="112"/>
      <c r="P191" s="94"/>
      <c r="Q191" s="120"/>
      <c r="R191" s="113"/>
      <c r="S191" s="94"/>
      <c r="T191" s="94"/>
      <c r="V191" s="104"/>
    </row>
    <row r="192" ht="15.75" customHeight="1">
      <c r="A192" s="91"/>
      <c r="B192" s="131"/>
      <c r="C192" s="104"/>
      <c r="D192" s="94"/>
      <c r="E192" s="132"/>
      <c r="F192" s="132"/>
      <c r="G192" s="94"/>
      <c r="H192" s="132"/>
      <c r="I192" s="94"/>
      <c r="J192" s="94"/>
      <c r="K192" s="135"/>
      <c r="L192" s="135"/>
      <c r="M192" s="99"/>
      <c r="N192" s="111"/>
      <c r="O192" s="112"/>
      <c r="P192" s="94"/>
      <c r="Q192" s="120"/>
      <c r="R192" s="113"/>
      <c r="S192" s="94"/>
      <c r="T192" s="94"/>
      <c r="V192" s="104"/>
    </row>
    <row r="193" ht="15.75" customHeight="1">
      <c r="A193" s="91"/>
      <c r="B193" s="131"/>
      <c r="C193" s="132"/>
      <c r="D193" s="94"/>
      <c r="E193" s="132"/>
      <c r="F193" s="132"/>
      <c r="G193" s="94"/>
      <c r="H193" s="132"/>
      <c r="I193" s="94"/>
      <c r="J193" s="94"/>
      <c r="K193" s="135"/>
      <c r="L193" s="135"/>
      <c r="M193" s="99"/>
      <c r="N193" s="111"/>
      <c r="O193" s="112"/>
      <c r="P193" s="94"/>
      <c r="Q193" s="120"/>
      <c r="R193" s="113"/>
      <c r="S193" s="94"/>
      <c r="T193" s="94"/>
      <c r="V193" s="104"/>
    </row>
    <row r="194" ht="15.75" customHeight="1">
      <c r="A194" s="91"/>
      <c r="B194" s="131"/>
      <c r="C194" s="132"/>
      <c r="D194" s="94"/>
      <c r="E194" s="132"/>
      <c r="F194" s="132"/>
      <c r="G194" s="94"/>
      <c r="H194" s="132"/>
      <c r="I194" s="94"/>
      <c r="J194" s="94"/>
      <c r="K194" s="135"/>
      <c r="L194" s="135"/>
      <c r="M194" s="99"/>
      <c r="N194" s="111"/>
      <c r="O194" s="112"/>
      <c r="P194" s="94"/>
      <c r="Q194" s="120"/>
      <c r="R194" s="113"/>
      <c r="S194" s="94"/>
      <c r="T194" s="94"/>
      <c r="V194" s="104"/>
    </row>
    <row r="195" ht="15.75" customHeight="1">
      <c r="A195" s="91"/>
      <c r="B195" s="131"/>
      <c r="C195" s="132"/>
      <c r="D195" s="94"/>
      <c r="E195" s="132"/>
      <c r="F195" s="132"/>
      <c r="G195" s="94"/>
      <c r="H195" s="132"/>
      <c r="I195" s="94"/>
      <c r="J195" s="94"/>
      <c r="K195" s="135"/>
      <c r="L195" s="135"/>
      <c r="M195" s="99"/>
      <c r="N195" s="111"/>
      <c r="O195" s="112"/>
      <c r="P195" s="94"/>
      <c r="Q195" s="120"/>
      <c r="R195" s="113"/>
      <c r="S195" s="94"/>
      <c r="T195" s="94"/>
      <c r="V195" s="104"/>
    </row>
    <row r="196" ht="15.75" customHeight="1">
      <c r="A196" s="91"/>
      <c r="B196" s="131"/>
      <c r="C196" s="132"/>
      <c r="D196" s="94"/>
      <c r="E196" s="132"/>
      <c r="F196" s="132"/>
      <c r="G196" s="94"/>
      <c r="H196" s="132"/>
      <c r="I196" s="94"/>
      <c r="J196" s="94"/>
      <c r="K196" s="135"/>
      <c r="L196" s="135"/>
      <c r="M196" s="99"/>
      <c r="N196" s="111"/>
      <c r="O196" s="112"/>
      <c r="P196" s="94"/>
      <c r="Q196" s="120"/>
      <c r="R196" s="113"/>
      <c r="S196" s="94"/>
      <c r="T196" s="94"/>
      <c r="V196" s="104"/>
    </row>
    <row r="197" ht="15.75" customHeight="1">
      <c r="A197" s="91"/>
      <c r="B197" s="131"/>
      <c r="C197" s="132"/>
      <c r="D197" s="94"/>
      <c r="E197" s="132"/>
      <c r="F197" s="132"/>
      <c r="G197" s="94"/>
      <c r="H197" s="132"/>
      <c r="I197" s="94"/>
      <c r="J197" s="94"/>
      <c r="K197" s="135"/>
      <c r="L197" s="135"/>
      <c r="M197" s="99"/>
      <c r="N197" s="111"/>
      <c r="O197" s="112"/>
      <c r="P197" s="94"/>
      <c r="Q197" s="120"/>
      <c r="R197" s="113"/>
      <c r="S197" s="94"/>
      <c r="T197" s="94"/>
      <c r="V197" s="104"/>
    </row>
    <row r="198" ht="15.75" customHeight="1">
      <c r="A198" s="91"/>
      <c r="B198" s="131"/>
      <c r="C198" s="104"/>
      <c r="D198" s="94"/>
      <c r="E198" s="132"/>
      <c r="F198" s="132"/>
      <c r="G198" s="94"/>
      <c r="H198" s="132"/>
      <c r="I198" s="94"/>
      <c r="J198" s="94"/>
      <c r="K198" s="135"/>
      <c r="L198" s="135"/>
      <c r="M198" s="99"/>
      <c r="N198" s="111"/>
      <c r="O198" s="112"/>
      <c r="P198" s="94"/>
      <c r="Q198" s="120"/>
      <c r="R198" s="113"/>
      <c r="S198" s="94"/>
      <c r="T198" s="94"/>
      <c r="V198" s="104"/>
    </row>
    <row r="199" ht="15.75" customHeight="1">
      <c r="A199" s="91"/>
      <c r="B199" s="131"/>
      <c r="C199" s="132"/>
      <c r="D199" s="94"/>
      <c r="E199" s="132"/>
      <c r="F199" s="132"/>
      <c r="G199" s="94"/>
      <c r="H199" s="132"/>
      <c r="I199" s="94"/>
      <c r="J199" s="94"/>
      <c r="K199" s="135"/>
      <c r="L199" s="135"/>
      <c r="M199" s="99"/>
      <c r="N199" s="111"/>
      <c r="O199" s="112"/>
      <c r="P199" s="94"/>
      <c r="Q199" s="120"/>
      <c r="R199" s="113"/>
      <c r="S199" s="94"/>
      <c r="T199" s="94"/>
      <c r="V199" s="104"/>
    </row>
    <row r="200" ht="15.75" customHeight="1">
      <c r="A200" s="91"/>
      <c r="B200" s="131"/>
      <c r="C200" s="132"/>
      <c r="D200" s="94"/>
      <c r="E200" s="132"/>
      <c r="F200" s="132"/>
      <c r="G200" s="94"/>
      <c r="H200" s="132"/>
      <c r="I200" s="94"/>
      <c r="J200" s="94"/>
      <c r="K200" s="135"/>
      <c r="L200" s="135"/>
      <c r="M200" s="99"/>
      <c r="N200" s="111"/>
      <c r="O200" s="112"/>
      <c r="P200" s="94"/>
      <c r="Q200" s="120"/>
      <c r="R200" s="113"/>
      <c r="S200" s="94"/>
      <c r="T200" s="94"/>
      <c r="V200" s="104"/>
    </row>
    <row r="201" ht="15.75" customHeight="1">
      <c r="A201" s="91"/>
      <c r="B201" s="131"/>
      <c r="C201" s="132"/>
      <c r="D201" s="94"/>
      <c r="E201" s="132"/>
      <c r="F201" s="132"/>
      <c r="G201" s="94"/>
      <c r="H201" s="132"/>
      <c r="I201" s="94"/>
      <c r="J201" s="94"/>
      <c r="K201" s="135"/>
      <c r="L201" s="135"/>
      <c r="M201" s="99"/>
      <c r="N201" s="111"/>
      <c r="O201" s="112"/>
      <c r="P201" s="94"/>
      <c r="Q201" s="120"/>
      <c r="R201" s="113"/>
      <c r="S201" s="94"/>
      <c r="T201" s="94"/>
      <c r="V201" s="104"/>
    </row>
    <row r="202" ht="15.75" customHeight="1">
      <c r="A202" s="91"/>
      <c r="B202" s="131"/>
      <c r="C202" s="132"/>
      <c r="D202" s="94"/>
      <c r="E202" s="132"/>
      <c r="F202" s="132"/>
      <c r="G202" s="94"/>
      <c r="H202" s="132"/>
      <c r="I202" s="94"/>
      <c r="J202" s="94"/>
      <c r="K202" s="135"/>
      <c r="L202" s="135"/>
      <c r="M202" s="99"/>
      <c r="N202" s="111"/>
      <c r="O202" s="112"/>
      <c r="P202" s="94"/>
      <c r="Q202" s="120"/>
      <c r="R202" s="113"/>
      <c r="S202" s="94"/>
      <c r="T202" s="94"/>
      <c r="V202" s="104"/>
    </row>
    <row r="203" ht="15.75" customHeight="1">
      <c r="A203" s="91"/>
      <c r="B203" s="131"/>
      <c r="C203" s="132"/>
      <c r="D203" s="94"/>
      <c r="E203" s="132"/>
      <c r="F203" s="132"/>
      <c r="G203" s="94"/>
      <c r="H203" s="132"/>
      <c r="I203" s="94"/>
      <c r="J203" s="94"/>
      <c r="K203" s="135"/>
      <c r="L203" s="135"/>
      <c r="M203" s="99"/>
      <c r="N203" s="111"/>
      <c r="O203" s="112"/>
      <c r="P203" s="94"/>
      <c r="Q203" s="120"/>
      <c r="R203" s="113"/>
      <c r="S203" s="94"/>
      <c r="T203" s="94"/>
      <c r="V203" s="104"/>
    </row>
    <row r="204" ht="15.75" customHeight="1">
      <c r="A204" s="91"/>
      <c r="B204" s="131"/>
      <c r="C204" s="104"/>
      <c r="D204" s="94"/>
      <c r="E204" s="132"/>
      <c r="F204" s="132"/>
      <c r="G204" s="94"/>
      <c r="H204" s="132"/>
      <c r="I204" s="94"/>
      <c r="J204" s="94"/>
      <c r="K204" s="135"/>
      <c r="L204" s="135"/>
      <c r="M204" s="99"/>
      <c r="N204" s="111"/>
      <c r="O204" s="112"/>
      <c r="P204" s="94"/>
      <c r="Q204" s="120"/>
      <c r="R204" s="113"/>
      <c r="S204" s="94"/>
      <c r="T204" s="94"/>
      <c r="V204" s="104"/>
    </row>
    <row r="205" ht="15.75" customHeight="1">
      <c r="A205" s="91"/>
      <c r="B205" s="131"/>
      <c r="C205" s="132"/>
      <c r="D205" s="94"/>
      <c r="E205" s="132"/>
      <c r="F205" s="132"/>
      <c r="G205" s="94"/>
      <c r="H205" s="132"/>
      <c r="I205" s="94"/>
      <c r="J205" s="94"/>
      <c r="K205" s="135"/>
      <c r="L205" s="135"/>
      <c r="M205" s="99"/>
      <c r="N205" s="111"/>
      <c r="O205" s="112"/>
      <c r="P205" s="94"/>
      <c r="Q205" s="120"/>
      <c r="R205" s="113"/>
      <c r="S205" s="94"/>
      <c r="T205" s="94"/>
      <c r="V205" s="104"/>
    </row>
    <row r="206" ht="15.75" customHeight="1">
      <c r="A206" s="91"/>
      <c r="B206" s="131"/>
      <c r="C206" s="132"/>
      <c r="D206" s="94"/>
      <c r="E206" s="132"/>
      <c r="F206" s="132"/>
      <c r="G206" s="94"/>
      <c r="H206" s="132"/>
      <c r="I206" s="94"/>
      <c r="J206" s="94"/>
      <c r="K206" s="135"/>
      <c r="L206" s="135"/>
      <c r="M206" s="99"/>
      <c r="N206" s="111"/>
      <c r="O206" s="112"/>
      <c r="P206" s="94"/>
      <c r="Q206" s="120"/>
      <c r="R206" s="113"/>
      <c r="S206" s="94"/>
      <c r="T206" s="94"/>
      <c r="V206" s="104"/>
    </row>
    <row r="207" ht="15.75" customHeight="1">
      <c r="A207" s="91"/>
      <c r="B207" s="131"/>
      <c r="C207" s="132"/>
      <c r="D207" s="94"/>
      <c r="E207" s="132"/>
      <c r="F207" s="132"/>
      <c r="G207" s="94"/>
      <c r="H207" s="132"/>
      <c r="I207" s="94"/>
      <c r="J207" s="94"/>
      <c r="K207" s="135"/>
      <c r="L207" s="135"/>
      <c r="M207" s="99"/>
      <c r="N207" s="111"/>
      <c r="O207" s="112"/>
      <c r="P207" s="94"/>
      <c r="Q207" s="120"/>
      <c r="R207" s="113"/>
      <c r="S207" s="94"/>
      <c r="T207" s="94"/>
      <c r="V207" s="104"/>
    </row>
    <row r="208" ht="15.75" customHeight="1">
      <c r="A208" s="91"/>
      <c r="B208" s="131"/>
      <c r="C208" s="132"/>
      <c r="D208" s="94"/>
      <c r="E208" s="132"/>
      <c r="F208" s="132"/>
      <c r="G208" s="94"/>
      <c r="H208" s="132"/>
      <c r="I208" s="94"/>
      <c r="J208" s="94"/>
      <c r="K208" s="135"/>
      <c r="L208" s="135"/>
      <c r="M208" s="99"/>
      <c r="N208" s="111"/>
      <c r="O208" s="112"/>
      <c r="P208" s="94"/>
      <c r="Q208" s="120"/>
      <c r="R208" s="113"/>
      <c r="S208" s="94"/>
      <c r="T208" s="94"/>
      <c r="V208" s="104"/>
    </row>
    <row r="209" ht="15.75" customHeight="1">
      <c r="A209" s="91"/>
      <c r="B209" s="131"/>
      <c r="C209" s="132"/>
      <c r="D209" s="94"/>
      <c r="E209" s="132"/>
      <c r="F209" s="132"/>
      <c r="G209" s="94"/>
      <c r="H209" s="132"/>
      <c r="I209" s="94"/>
      <c r="J209" s="94"/>
      <c r="K209" s="135"/>
      <c r="L209" s="135"/>
      <c r="M209" s="99"/>
      <c r="N209" s="111"/>
      <c r="O209" s="112"/>
      <c r="P209" s="94"/>
      <c r="Q209" s="120"/>
      <c r="R209" s="113"/>
      <c r="S209" s="94"/>
      <c r="T209" s="94"/>
      <c r="V209" s="104"/>
    </row>
    <row r="210" ht="15.75" customHeight="1">
      <c r="A210" s="91"/>
      <c r="B210" s="131"/>
      <c r="C210" s="104"/>
      <c r="D210" s="94"/>
      <c r="E210" s="132"/>
      <c r="F210" s="132"/>
      <c r="G210" s="94"/>
      <c r="H210" s="132"/>
      <c r="I210" s="94"/>
      <c r="J210" s="94"/>
      <c r="K210" s="135"/>
      <c r="L210" s="135"/>
      <c r="M210" s="99"/>
      <c r="N210" s="111"/>
      <c r="O210" s="112"/>
      <c r="P210" s="94"/>
      <c r="Q210" s="120"/>
      <c r="R210" s="113"/>
      <c r="S210" s="94"/>
      <c r="T210" s="94"/>
      <c r="V210" s="104"/>
    </row>
    <row r="211" ht="15.75" customHeight="1">
      <c r="A211" s="91"/>
      <c r="B211" s="131"/>
      <c r="C211" s="132"/>
      <c r="D211" s="94"/>
      <c r="E211" s="132"/>
      <c r="F211" s="132"/>
      <c r="G211" s="94"/>
      <c r="H211" s="132"/>
      <c r="I211" s="94"/>
      <c r="J211" s="94"/>
      <c r="K211" s="135"/>
      <c r="L211" s="135"/>
      <c r="M211" s="99"/>
      <c r="N211" s="111"/>
      <c r="O211" s="112"/>
      <c r="P211" s="94"/>
      <c r="Q211" s="120"/>
      <c r="R211" s="113"/>
      <c r="S211" s="94"/>
      <c r="T211" s="94"/>
      <c r="V211" s="104"/>
    </row>
    <row r="212" ht="15.75" customHeight="1">
      <c r="A212" s="91"/>
      <c r="B212" s="131"/>
      <c r="C212" s="132"/>
      <c r="D212" s="94"/>
      <c r="E212" s="132"/>
      <c r="F212" s="132"/>
      <c r="G212" s="94"/>
      <c r="H212" s="132"/>
      <c r="I212" s="94"/>
      <c r="J212" s="94"/>
      <c r="K212" s="135"/>
      <c r="L212" s="135"/>
      <c r="M212" s="99"/>
      <c r="N212" s="111"/>
      <c r="O212" s="112"/>
      <c r="P212" s="94"/>
      <c r="Q212" s="120"/>
      <c r="R212" s="113"/>
      <c r="S212" s="94"/>
      <c r="T212" s="94"/>
      <c r="V212" s="104"/>
    </row>
    <row r="213" ht="15.75" customHeight="1">
      <c r="A213" s="91"/>
      <c r="B213" s="131"/>
      <c r="C213" s="132"/>
      <c r="D213" s="94"/>
      <c r="E213" s="132"/>
      <c r="F213" s="132"/>
      <c r="G213" s="94"/>
      <c r="H213" s="132"/>
      <c r="I213" s="94"/>
      <c r="J213" s="94"/>
      <c r="K213" s="135"/>
      <c r="L213" s="135"/>
      <c r="M213" s="99"/>
      <c r="N213" s="111"/>
      <c r="O213" s="112"/>
      <c r="P213" s="94"/>
      <c r="Q213" s="120"/>
      <c r="R213" s="113"/>
      <c r="S213" s="94"/>
      <c r="T213" s="94"/>
      <c r="V213" s="104"/>
    </row>
    <row r="214" ht="15.75" customHeight="1">
      <c r="A214" s="91"/>
      <c r="B214" s="131"/>
      <c r="C214" s="132"/>
      <c r="D214" s="94"/>
      <c r="E214" s="132"/>
      <c r="F214" s="132"/>
      <c r="G214" s="94"/>
      <c r="H214" s="132"/>
      <c r="I214" s="94"/>
      <c r="J214" s="94"/>
      <c r="K214" s="135"/>
      <c r="L214" s="135"/>
      <c r="M214" s="99"/>
      <c r="N214" s="111"/>
      <c r="O214" s="112"/>
      <c r="P214" s="94"/>
      <c r="Q214" s="120"/>
      <c r="R214" s="113"/>
      <c r="S214" s="94"/>
      <c r="T214" s="94"/>
      <c r="V214" s="104"/>
    </row>
    <row r="215" ht="15.75" customHeight="1">
      <c r="A215" s="91"/>
      <c r="B215" s="131"/>
      <c r="C215" s="132"/>
      <c r="D215" s="94"/>
      <c r="E215" s="132"/>
      <c r="F215" s="132"/>
      <c r="G215" s="94"/>
      <c r="H215" s="132"/>
      <c r="I215" s="94"/>
      <c r="J215" s="94"/>
      <c r="K215" s="135"/>
      <c r="L215" s="135"/>
      <c r="M215" s="99"/>
      <c r="N215" s="111"/>
      <c r="O215" s="112"/>
      <c r="P215" s="94"/>
      <c r="Q215" s="120"/>
      <c r="R215" s="113"/>
      <c r="S215" s="94"/>
      <c r="T215" s="94"/>
      <c r="V215" s="104"/>
    </row>
    <row r="216" ht="15.75" customHeight="1">
      <c r="A216" s="91"/>
      <c r="B216" s="131"/>
      <c r="C216" s="104"/>
      <c r="D216" s="94"/>
      <c r="E216" s="132"/>
      <c r="F216" s="132"/>
      <c r="G216" s="94"/>
      <c r="H216" s="132"/>
      <c r="I216" s="94"/>
      <c r="J216" s="94"/>
      <c r="K216" s="135"/>
      <c r="L216" s="135"/>
      <c r="M216" s="99"/>
      <c r="N216" s="111"/>
      <c r="O216" s="112"/>
      <c r="P216" s="94"/>
      <c r="Q216" s="120"/>
      <c r="R216" s="113"/>
      <c r="S216" s="94"/>
      <c r="T216" s="94"/>
      <c r="V216" s="104"/>
    </row>
    <row r="217" ht="15.75" customHeight="1">
      <c r="A217" s="91"/>
      <c r="B217" s="131"/>
      <c r="C217" s="132"/>
      <c r="D217" s="94"/>
      <c r="E217" s="132"/>
      <c r="F217" s="132"/>
      <c r="G217" s="94"/>
      <c r="H217" s="132"/>
      <c r="I217" s="94"/>
      <c r="J217" s="94"/>
      <c r="K217" s="135"/>
      <c r="L217" s="135"/>
      <c r="M217" s="99"/>
      <c r="N217" s="111"/>
      <c r="O217" s="112"/>
      <c r="P217" s="94"/>
      <c r="Q217" s="120"/>
      <c r="R217" s="113"/>
      <c r="S217" s="94"/>
      <c r="T217" s="94"/>
      <c r="V217" s="104"/>
    </row>
    <row r="218" ht="15.75" customHeight="1">
      <c r="A218" s="91"/>
      <c r="B218" s="131"/>
      <c r="C218" s="132"/>
      <c r="D218" s="94"/>
      <c r="E218" s="132"/>
      <c r="F218" s="132"/>
      <c r="G218" s="94"/>
      <c r="H218" s="132"/>
      <c r="I218" s="94"/>
      <c r="J218" s="94"/>
      <c r="K218" s="135"/>
      <c r="L218" s="135"/>
      <c r="M218" s="99"/>
      <c r="N218" s="111"/>
      <c r="O218" s="112"/>
      <c r="P218" s="94"/>
      <c r="Q218" s="120"/>
      <c r="R218" s="113"/>
      <c r="S218" s="94"/>
      <c r="T218" s="94"/>
      <c r="V218" s="104"/>
    </row>
    <row r="219" ht="15.75" customHeight="1">
      <c r="A219" s="91"/>
      <c r="B219" s="131"/>
      <c r="C219" s="132"/>
      <c r="D219" s="94"/>
      <c r="E219" s="132"/>
      <c r="F219" s="132"/>
      <c r="G219" s="94"/>
      <c r="H219" s="132"/>
      <c r="I219" s="94"/>
      <c r="J219" s="94"/>
      <c r="K219" s="135"/>
      <c r="L219" s="135"/>
      <c r="M219" s="99"/>
      <c r="N219" s="111"/>
      <c r="O219" s="112"/>
      <c r="P219" s="94"/>
      <c r="Q219" s="120"/>
      <c r="R219" s="113"/>
      <c r="S219" s="94"/>
      <c r="T219" s="94"/>
      <c r="V219" s="104"/>
    </row>
    <row r="220" ht="15.75" customHeight="1">
      <c r="A220" s="91"/>
      <c r="B220" s="131"/>
      <c r="C220" s="132"/>
      <c r="D220" s="94"/>
      <c r="E220" s="132"/>
      <c r="F220" s="132"/>
      <c r="G220" s="94"/>
      <c r="H220" s="132"/>
      <c r="I220" s="94"/>
      <c r="J220" s="94"/>
      <c r="K220" s="135"/>
      <c r="L220" s="135"/>
      <c r="M220" s="99"/>
      <c r="N220" s="111"/>
      <c r="O220" s="112"/>
      <c r="P220" s="94"/>
      <c r="Q220" s="120"/>
      <c r="R220" s="113"/>
      <c r="S220" s="94"/>
      <c r="T220" s="94"/>
      <c r="V220" s="104"/>
    </row>
    <row r="221" ht="15.75" customHeight="1">
      <c r="A221" s="91"/>
      <c r="B221" s="131"/>
      <c r="C221" s="132"/>
      <c r="D221" s="94"/>
      <c r="E221" s="132"/>
      <c r="F221" s="132"/>
      <c r="G221" s="94"/>
      <c r="H221" s="132"/>
      <c r="I221" s="94"/>
      <c r="J221" s="94"/>
      <c r="K221" s="135"/>
      <c r="L221" s="135"/>
      <c r="M221" s="99"/>
      <c r="N221" s="111"/>
      <c r="O221" s="112"/>
      <c r="P221" s="94"/>
      <c r="Q221" s="120"/>
      <c r="R221" s="113"/>
      <c r="S221" s="94"/>
      <c r="T221" s="94"/>
      <c r="V221" s="104"/>
    </row>
    <row r="222" ht="15.75" customHeight="1">
      <c r="A222" s="91"/>
      <c r="B222" s="131"/>
      <c r="C222" s="104"/>
      <c r="D222" s="94"/>
      <c r="E222" s="132"/>
      <c r="F222" s="132"/>
      <c r="G222" s="94"/>
      <c r="H222" s="132"/>
      <c r="I222" s="94"/>
      <c r="J222" s="94"/>
      <c r="K222" s="135"/>
      <c r="L222" s="135"/>
      <c r="M222" s="99"/>
      <c r="N222" s="111"/>
      <c r="O222" s="112"/>
      <c r="P222" s="94"/>
      <c r="Q222" s="120"/>
      <c r="R222" s="113"/>
      <c r="S222" s="94"/>
      <c r="T222" s="94"/>
      <c r="V222" s="104"/>
    </row>
    <row r="223" ht="15.75" customHeight="1">
      <c r="A223" s="91"/>
      <c r="B223" s="131"/>
      <c r="C223" s="132"/>
      <c r="D223" s="94"/>
      <c r="E223" s="132"/>
      <c r="F223" s="132"/>
      <c r="G223" s="94"/>
      <c r="H223" s="132"/>
      <c r="I223" s="94"/>
      <c r="J223" s="94"/>
      <c r="K223" s="135"/>
      <c r="L223" s="135"/>
      <c r="M223" s="99"/>
      <c r="N223" s="111"/>
      <c r="O223" s="112"/>
      <c r="P223" s="94"/>
      <c r="Q223" s="120"/>
      <c r="R223" s="113"/>
      <c r="S223" s="94"/>
      <c r="T223" s="94"/>
      <c r="V223" s="104"/>
    </row>
    <row r="224" ht="15.75" customHeight="1">
      <c r="A224" s="91"/>
      <c r="B224" s="131"/>
      <c r="C224" s="132"/>
      <c r="D224" s="94"/>
      <c r="E224" s="132"/>
      <c r="F224" s="132"/>
      <c r="G224" s="94"/>
      <c r="H224" s="132"/>
      <c r="I224" s="94"/>
      <c r="J224" s="94"/>
      <c r="K224" s="135"/>
      <c r="L224" s="135"/>
      <c r="M224" s="99"/>
      <c r="N224" s="111"/>
      <c r="O224" s="112"/>
      <c r="P224" s="94"/>
      <c r="Q224" s="120"/>
      <c r="R224" s="113"/>
      <c r="S224" s="94"/>
      <c r="T224" s="94"/>
      <c r="V224" s="104"/>
    </row>
    <row r="225" ht="15.75" customHeight="1">
      <c r="A225" s="91"/>
      <c r="B225" s="131"/>
      <c r="C225" s="132"/>
      <c r="D225" s="94"/>
      <c r="E225" s="132"/>
      <c r="F225" s="132"/>
      <c r="G225" s="94"/>
      <c r="H225" s="132"/>
      <c r="I225" s="94"/>
      <c r="J225" s="94"/>
      <c r="K225" s="135"/>
      <c r="L225" s="135"/>
      <c r="M225" s="99"/>
      <c r="N225" s="111"/>
      <c r="O225" s="112"/>
      <c r="P225" s="94"/>
      <c r="Q225" s="120"/>
      <c r="R225" s="113"/>
      <c r="S225" s="94"/>
      <c r="T225" s="94"/>
      <c r="V225" s="104"/>
    </row>
    <row r="226" ht="15.75" customHeight="1">
      <c r="A226" s="91"/>
      <c r="B226" s="131"/>
      <c r="C226" s="132"/>
      <c r="D226" s="94"/>
      <c r="E226" s="132"/>
      <c r="F226" s="132"/>
      <c r="G226" s="94"/>
      <c r="H226" s="132"/>
      <c r="I226" s="94"/>
      <c r="J226" s="94"/>
      <c r="K226" s="135"/>
      <c r="L226" s="135"/>
      <c r="M226" s="99"/>
      <c r="N226" s="111"/>
      <c r="O226" s="112"/>
      <c r="P226" s="94"/>
      <c r="Q226" s="120"/>
      <c r="R226" s="113"/>
      <c r="S226" s="94"/>
      <c r="T226" s="94"/>
      <c r="V226" s="104"/>
    </row>
    <row r="227" ht="15.75" customHeight="1">
      <c r="A227" s="91"/>
      <c r="B227" s="131"/>
      <c r="C227" s="132"/>
      <c r="D227" s="94"/>
      <c r="E227" s="132"/>
      <c r="F227" s="132"/>
      <c r="G227" s="94"/>
      <c r="H227" s="132"/>
      <c r="I227" s="94"/>
      <c r="J227" s="94"/>
      <c r="K227" s="135"/>
      <c r="L227" s="135"/>
      <c r="M227" s="99"/>
      <c r="N227" s="111"/>
      <c r="O227" s="112"/>
      <c r="P227" s="94"/>
      <c r="Q227" s="120"/>
      <c r="R227" s="113"/>
      <c r="S227" s="94"/>
      <c r="T227" s="94"/>
      <c r="V227" s="104"/>
    </row>
    <row r="228" ht="15.75" customHeight="1">
      <c r="A228" s="91"/>
      <c r="B228" s="131"/>
      <c r="C228" s="104"/>
      <c r="D228" s="94"/>
      <c r="E228" s="132"/>
      <c r="F228" s="132"/>
      <c r="G228" s="94"/>
      <c r="H228" s="132"/>
      <c r="I228" s="94"/>
      <c r="J228" s="94"/>
      <c r="K228" s="135"/>
      <c r="L228" s="135"/>
      <c r="M228" s="99"/>
      <c r="N228" s="111"/>
      <c r="O228" s="112"/>
      <c r="P228" s="94"/>
      <c r="Q228" s="120"/>
      <c r="R228" s="113"/>
      <c r="S228" s="94"/>
      <c r="T228" s="94"/>
      <c r="V228" s="104"/>
    </row>
    <row r="229" ht="15.75" customHeight="1">
      <c r="A229" s="91"/>
      <c r="B229" s="131"/>
      <c r="C229" s="132"/>
      <c r="D229" s="94"/>
      <c r="E229" s="132"/>
      <c r="F229" s="132"/>
      <c r="G229" s="94"/>
      <c r="H229" s="132"/>
      <c r="I229" s="94"/>
      <c r="J229" s="94"/>
      <c r="K229" s="135"/>
      <c r="L229" s="135"/>
      <c r="M229" s="99"/>
      <c r="N229" s="111"/>
      <c r="O229" s="112"/>
      <c r="P229" s="94"/>
      <c r="Q229" s="120"/>
      <c r="R229" s="113"/>
      <c r="S229" s="94"/>
      <c r="T229" s="94"/>
      <c r="V229" s="104"/>
    </row>
    <row r="230" ht="15.75" customHeight="1">
      <c r="A230" s="91"/>
      <c r="B230" s="131"/>
      <c r="C230" s="132"/>
      <c r="D230" s="94"/>
      <c r="E230" s="132"/>
      <c r="F230" s="132"/>
      <c r="G230" s="94"/>
      <c r="H230" s="132"/>
      <c r="I230" s="94"/>
      <c r="J230" s="94"/>
      <c r="K230" s="135"/>
      <c r="L230" s="135"/>
      <c r="M230" s="99"/>
      <c r="N230" s="111"/>
      <c r="O230" s="112"/>
      <c r="P230" s="94"/>
      <c r="Q230" s="120"/>
      <c r="R230" s="113"/>
      <c r="S230" s="94"/>
      <c r="T230" s="94"/>
      <c r="V230" s="104"/>
    </row>
    <row r="231" ht="15.75" customHeight="1">
      <c r="A231" s="91"/>
      <c r="B231" s="131"/>
      <c r="C231" s="132"/>
      <c r="D231" s="94"/>
      <c r="E231" s="132"/>
      <c r="F231" s="132"/>
      <c r="G231" s="94"/>
      <c r="H231" s="132"/>
      <c r="I231" s="94"/>
      <c r="J231" s="94"/>
      <c r="K231" s="135"/>
      <c r="L231" s="135"/>
      <c r="M231" s="99"/>
      <c r="N231" s="111"/>
      <c r="O231" s="112"/>
      <c r="P231" s="94"/>
      <c r="Q231" s="120"/>
      <c r="R231" s="113"/>
      <c r="S231" s="94"/>
      <c r="T231" s="94"/>
      <c r="V231" s="104"/>
    </row>
    <row r="232" ht="15.75" customHeight="1">
      <c r="A232" s="91"/>
      <c r="B232" s="131"/>
      <c r="C232" s="132"/>
      <c r="D232" s="94"/>
      <c r="E232" s="132"/>
      <c r="F232" s="132"/>
      <c r="G232" s="94"/>
      <c r="H232" s="132"/>
      <c r="I232" s="94"/>
      <c r="J232" s="94"/>
      <c r="K232" s="135"/>
      <c r="L232" s="135"/>
      <c r="M232" s="99"/>
      <c r="N232" s="111"/>
      <c r="O232" s="112"/>
      <c r="P232" s="94"/>
      <c r="Q232" s="120"/>
      <c r="R232" s="113"/>
      <c r="S232" s="94"/>
      <c r="T232" s="94"/>
      <c r="V232" s="104"/>
    </row>
    <row r="233" ht="15.75" customHeight="1">
      <c r="A233" s="91"/>
      <c r="B233" s="131"/>
      <c r="C233" s="132"/>
      <c r="D233" s="94"/>
      <c r="E233" s="132"/>
      <c r="F233" s="132"/>
      <c r="G233" s="94"/>
      <c r="H233" s="132"/>
      <c r="I233" s="94"/>
      <c r="J233" s="94"/>
      <c r="K233" s="135"/>
      <c r="L233" s="135"/>
      <c r="M233" s="99"/>
      <c r="N233" s="111"/>
      <c r="O233" s="112"/>
      <c r="P233" s="94"/>
      <c r="Q233" s="120"/>
      <c r="R233" s="113"/>
      <c r="S233" s="94"/>
      <c r="T233" s="94"/>
      <c r="V233" s="104"/>
    </row>
    <row r="234" ht="15.75" customHeight="1">
      <c r="A234" s="91"/>
      <c r="B234" s="131"/>
      <c r="C234" s="104"/>
      <c r="D234" s="94"/>
      <c r="E234" s="132"/>
      <c r="F234" s="132"/>
      <c r="G234" s="94"/>
      <c r="H234" s="132"/>
      <c r="I234" s="94"/>
      <c r="J234" s="94"/>
      <c r="K234" s="135"/>
      <c r="L234" s="135"/>
      <c r="M234" s="99"/>
      <c r="N234" s="111"/>
      <c r="O234" s="112"/>
      <c r="P234" s="94"/>
      <c r="Q234" s="120"/>
      <c r="R234" s="113"/>
      <c r="S234" s="94"/>
      <c r="T234" s="94"/>
      <c r="V234" s="104"/>
    </row>
    <row r="235" ht="15.75" customHeight="1">
      <c r="A235" s="91"/>
      <c r="B235" s="131"/>
      <c r="C235" s="132"/>
      <c r="D235" s="94"/>
      <c r="E235" s="132"/>
      <c r="F235" s="132"/>
      <c r="G235" s="94"/>
      <c r="H235" s="132"/>
      <c r="I235" s="94"/>
      <c r="J235" s="94"/>
      <c r="K235" s="135"/>
      <c r="L235" s="135"/>
      <c r="M235" s="99"/>
      <c r="N235" s="111"/>
      <c r="O235" s="112"/>
      <c r="P235" s="94"/>
      <c r="Q235" s="120"/>
      <c r="R235" s="113"/>
      <c r="S235" s="94"/>
      <c r="T235" s="94"/>
      <c r="V235" s="104"/>
    </row>
    <row r="236" ht="15.75" customHeight="1">
      <c r="A236" s="91"/>
      <c r="B236" s="131"/>
      <c r="C236" s="132"/>
      <c r="D236" s="94"/>
      <c r="E236" s="132"/>
      <c r="F236" s="132"/>
      <c r="G236" s="94"/>
      <c r="H236" s="132"/>
      <c r="I236" s="94"/>
      <c r="J236" s="94"/>
      <c r="K236" s="135"/>
      <c r="L236" s="135"/>
      <c r="M236" s="99"/>
      <c r="N236" s="111"/>
      <c r="O236" s="112"/>
      <c r="P236" s="94"/>
      <c r="Q236" s="120"/>
      <c r="R236" s="113"/>
      <c r="S236" s="94"/>
      <c r="T236" s="94"/>
      <c r="V236" s="104"/>
    </row>
    <row r="237" ht="15.75" customHeight="1">
      <c r="A237" s="91"/>
      <c r="B237" s="131"/>
      <c r="C237" s="132"/>
      <c r="D237" s="94"/>
      <c r="E237" s="132"/>
      <c r="F237" s="132"/>
      <c r="G237" s="94"/>
      <c r="H237" s="132"/>
      <c r="I237" s="94"/>
      <c r="J237" s="94"/>
      <c r="K237" s="135"/>
      <c r="L237" s="135"/>
      <c r="M237" s="99"/>
      <c r="N237" s="111"/>
      <c r="O237" s="112"/>
      <c r="P237" s="94"/>
      <c r="Q237" s="120"/>
      <c r="R237" s="113"/>
      <c r="S237" s="94"/>
      <c r="T237" s="94"/>
      <c r="V237" s="104"/>
    </row>
    <row r="238" ht="15.75" customHeight="1">
      <c r="A238" s="91"/>
      <c r="B238" s="131"/>
      <c r="C238" s="132"/>
      <c r="D238" s="94"/>
      <c r="E238" s="132"/>
      <c r="F238" s="132"/>
      <c r="G238" s="94"/>
      <c r="H238" s="132"/>
      <c r="I238" s="94"/>
      <c r="J238" s="94"/>
      <c r="K238" s="135"/>
      <c r="L238" s="135"/>
      <c r="M238" s="99"/>
      <c r="N238" s="111"/>
      <c r="O238" s="112"/>
      <c r="P238" s="94"/>
      <c r="Q238" s="120"/>
      <c r="R238" s="113"/>
      <c r="S238" s="94"/>
      <c r="T238" s="94"/>
      <c r="V238" s="104"/>
    </row>
    <row r="239" ht="15.75" customHeight="1">
      <c r="A239" s="91"/>
      <c r="B239" s="131"/>
      <c r="C239" s="132"/>
      <c r="D239" s="94"/>
      <c r="E239" s="132"/>
      <c r="F239" s="132"/>
      <c r="G239" s="94"/>
      <c r="H239" s="132"/>
      <c r="I239" s="94"/>
      <c r="J239" s="94"/>
      <c r="K239" s="135"/>
      <c r="L239" s="135"/>
      <c r="M239" s="99"/>
      <c r="N239" s="111"/>
      <c r="O239" s="112"/>
      <c r="P239" s="94"/>
      <c r="Q239" s="120"/>
      <c r="R239" s="113"/>
      <c r="S239" s="94"/>
      <c r="T239" s="94"/>
      <c r="V239" s="104"/>
    </row>
    <row r="240" ht="15.75" customHeight="1">
      <c r="A240" s="91"/>
      <c r="B240" s="131"/>
      <c r="C240" s="104"/>
      <c r="D240" s="94"/>
      <c r="E240" s="132"/>
      <c r="F240" s="132"/>
      <c r="G240" s="94"/>
      <c r="H240" s="132"/>
      <c r="I240" s="94"/>
      <c r="J240" s="94"/>
      <c r="K240" s="135"/>
      <c r="L240" s="135"/>
      <c r="M240" s="99"/>
      <c r="N240" s="111"/>
      <c r="O240" s="112"/>
      <c r="P240" s="94"/>
      <c r="Q240" s="120"/>
      <c r="R240" s="113"/>
      <c r="S240" s="94"/>
      <c r="T240" s="94"/>
      <c r="V240" s="104"/>
    </row>
    <row r="241" ht="15.75" customHeight="1">
      <c r="A241" s="91"/>
      <c r="B241" s="131"/>
      <c r="C241" s="132"/>
      <c r="D241" s="94"/>
      <c r="E241" s="132"/>
      <c r="F241" s="132"/>
      <c r="G241" s="94"/>
      <c r="H241" s="132"/>
      <c r="I241" s="94"/>
      <c r="J241" s="94"/>
      <c r="K241" s="135"/>
      <c r="L241" s="135"/>
      <c r="M241" s="99"/>
      <c r="N241" s="111"/>
      <c r="O241" s="112"/>
      <c r="P241" s="94"/>
      <c r="Q241" s="120"/>
      <c r="R241" s="113"/>
      <c r="S241" s="94"/>
      <c r="T241" s="94"/>
      <c r="V241" s="104"/>
    </row>
    <row r="242" ht="15.75" customHeight="1">
      <c r="A242" s="91"/>
      <c r="B242" s="131"/>
      <c r="C242" s="132"/>
      <c r="D242" s="94"/>
      <c r="E242" s="132"/>
      <c r="F242" s="132"/>
      <c r="G242" s="94"/>
      <c r="H242" s="132"/>
      <c r="I242" s="94"/>
      <c r="J242" s="94"/>
      <c r="K242" s="135"/>
      <c r="L242" s="135"/>
      <c r="M242" s="99"/>
      <c r="N242" s="111"/>
      <c r="O242" s="112"/>
      <c r="P242" s="94"/>
      <c r="Q242" s="120"/>
      <c r="R242" s="113"/>
      <c r="S242" s="94"/>
      <c r="T242" s="94"/>
      <c r="V242" s="104"/>
    </row>
    <row r="243" ht="15.75" customHeight="1">
      <c r="A243" s="91"/>
      <c r="B243" s="131"/>
      <c r="C243" s="132"/>
      <c r="D243" s="94"/>
      <c r="E243" s="132"/>
      <c r="F243" s="132"/>
      <c r="G243" s="94"/>
      <c r="H243" s="132"/>
      <c r="I243" s="94"/>
      <c r="J243" s="94"/>
      <c r="K243" s="135"/>
      <c r="L243" s="135"/>
      <c r="M243" s="99"/>
      <c r="N243" s="111"/>
      <c r="O243" s="112"/>
      <c r="P243" s="94"/>
      <c r="Q243" s="120"/>
      <c r="R243" s="113"/>
      <c r="S243" s="94"/>
      <c r="T243" s="94"/>
      <c r="V243" s="104"/>
    </row>
    <row r="244" ht="15.75" customHeight="1">
      <c r="A244" s="91"/>
      <c r="B244" s="131"/>
      <c r="C244" s="132"/>
      <c r="D244" s="94"/>
      <c r="E244" s="132"/>
      <c r="F244" s="132"/>
      <c r="G244" s="94"/>
      <c r="H244" s="132"/>
      <c r="I244" s="94"/>
      <c r="J244" s="94"/>
      <c r="K244" s="135"/>
      <c r="L244" s="135"/>
      <c r="M244" s="99"/>
      <c r="N244" s="111"/>
      <c r="O244" s="112"/>
      <c r="P244" s="94"/>
      <c r="Q244" s="120"/>
      <c r="R244" s="113"/>
      <c r="S244" s="94"/>
      <c r="T244" s="94"/>
      <c r="V244" s="104"/>
    </row>
    <row r="245" ht="15.75" customHeight="1">
      <c r="A245" s="91"/>
      <c r="B245" s="131"/>
      <c r="C245" s="132"/>
      <c r="D245" s="94"/>
      <c r="E245" s="132"/>
      <c r="F245" s="132"/>
      <c r="G245" s="94"/>
      <c r="H245" s="132"/>
      <c r="I245" s="94"/>
      <c r="J245" s="94"/>
      <c r="K245" s="135"/>
      <c r="L245" s="135"/>
      <c r="M245" s="99"/>
      <c r="N245" s="111"/>
      <c r="O245" s="112"/>
      <c r="P245" s="94"/>
      <c r="Q245" s="120"/>
      <c r="R245" s="113"/>
      <c r="S245" s="94"/>
      <c r="T245" s="94"/>
      <c r="V245" s="104"/>
    </row>
    <row r="246" ht="15.75" customHeight="1">
      <c r="A246" s="91"/>
      <c r="B246" s="131"/>
      <c r="C246" s="104"/>
      <c r="D246" s="94"/>
      <c r="E246" s="132"/>
      <c r="F246" s="132"/>
      <c r="G246" s="94"/>
      <c r="H246" s="132"/>
      <c r="I246" s="94"/>
      <c r="J246" s="94"/>
      <c r="K246" s="135"/>
      <c r="L246" s="135"/>
      <c r="M246" s="99"/>
      <c r="N246" s="111"/>
      <c r="O246" s="112"/>
      <c r="P246" s="94"/>
      <c r="Q246" s="120"/>
      <c r="R246" s="113"/>
      <c r="S246" s="94"/>
      <c r="T246" s="94"/>
      <c r="V246" s="104"/>
    </row>
    <row r="247" ht="15.75" customHeight="1">
      <c r="A247" s="91"/>
      <c r="B247" s="131"/>
      <c r="C247" s="132"/>
      <c r="D247" s="94"/>
      <c r="E247" s="132"/>
      <c r="F247" s="132"/>
      <c r="G247" s="94"/>
      <c r="H247" s="132"/>
      <c r="I247" s="94"/>
      <c r="J247" s="94"/>
      <c r="K247" s="135"/>
      <c r="L247" s="135"/>
      <c r="M247" s="99"/>
      <c r="N247" s="111"/>
      <c r="O247" s="112"/>
      <c r="P247" s="94"/>
      <c r="Q247" s="120"/>
      <c r="R247" s="113"/>
      <c r="S247" s="94"/>
      <c r="T247" s="94"/>
      <c r="V247" s="104"/>
    </row>
    <row r="248" ht="15.75" customHeight="1">
      <c r="A248" s="91"/>
      <c r="B248" s="131"/>
      <c r="C248" s="132"/>
      <c r="D248" s="94"/>
      <c r="E248" s="132"/>
      <c r="F248" s="132"/>
      <c r="G248" s="94"/>
      <c r="H248" s="132"/>
      <c r="I248" s="94"/>
      <c r="J248" s="94"/>
      <c r="K248" s="135"/>
      <c r="L248" s="135"/>
      <c r="M248" s="99"/>
      <c r="N248" s="111"/>
      <c r="O248" s="112"/>
      <c r="P248" s="94"/>
      <c r="Q248" s="120"/>
      <c r="R248" s="113"/>
      <c r="S248" s="94"/>
      <c r="T248" s="94"/>
      <c r="V248" s="104"/>
    </row>
    <row r="249" ht="15.75" customHeight="1">
      <c r="A249" s="91"/>
      <c r="B249" s="131"/>
      <c r="C249" s="132"/>
      <c r="D249" s="94"/>
      <c r="E249" s="132"/>
      <c r="F249" s="132"/>
      <c r="G249" s="94"/>
      <c r="H249" s="132"/>
      <c r="I249" s="94"/>
      <c r="J249" s="94"/>
      <c r="K249" s="135"/>
      <c r="L249" s="135"/>
      <c r="M249" s="99"/>
      <c r="N249" s="111"/>
      <c r="O249" s="112"/>
      <c r="P249" s="94"/>
      <c r="Q249" s="120"/>
      <c r="R249" s="113"/>
      <c r="S249" s="94"/>
      <c r="T249" s="94"/>
      <c r="V249" s="104"/>
    </row>
    <row r="250" ht="15.75" customHeight="1">
      <c r="A250" s="91"/>
      <c r="B250" s="131"/>
      <c r="C250" s="132"/>
      <c r="D250" s="94"/>
      <c r="E250" s="132"/>
      <c r="F250" s="132"/>
      <c r="G250" s="94"/>
      <c r="H250" s="132"/>
      <c r="I250" s="94"/>
      <c r="J250" s="94"/>
      <c r="K250" s="135"/>
      <c r="L250" s="135"/>
      <c r="M250" s="99"/>
      <c r="N250" s="111"/>
      <c r="O250" s="112"/>
      <c r="P250" s="94"/>
      <c r="Q250" s="120"/>
      <c r="R250" s="113"/>
      <c r="S250" s="94"/>
      <c r="T250" s="94"/>
      <c r="V250" s="104"/>
    </row>
    <row r="251" ht="15.75" customHeight="1">
      <c r="A251" s="91"/>
      <c r="B251" s="131"/>
      <c r="C251" s="132"/>
      <c r="D251" s="94"/>
      <c r="E251" s="132"/>
      <c r="F251" s="132"/>
      <c r="G251" s="94"/>
      <c r="H251" s="132"/>
      <c r="I251" s="94"/>
      <c r="J251" s="94"/>
      <c r="K251" s="135"/>
      <c r="L251" s="135"/>
      <c r="M251" s="99"/>
      <c r="N251" s="111"/>
      <c r="O251" s="112"/>
      <c r="P251" s="94"/>
      <c r="Q251" s="120"/>
      <c r="R251" s="113"/>
      <c r="S251" s="94"/>
      <c r="T251" s="94"/>
      <c r="V251" s="104"/>
    </row>
    <row r="252" ht="15.75" customHeight="1">
      <c r="A252" s="91"/>
      <c r="B252" s="131"/>
      <c r="C252" s="104"/>
      <c r="D252" s="94"/>
      <c r="E252" s="132"/>
      <c r="F252" s="132"/>
      <c r="G252" s="94"/>
      <c r="H252" s="132"/>
      <c r="I252" s="94"/>
      <c r="J252" s="94"/>
      <c r="K252" s="135"/>
      <c r="L252" s="135"/>
      <c r="M252" s="99"/>
      <c r="N252" s="111"/>
      <c r="O252" s="112"/>
      <c r="P252" s="94"/>
      <c r="Q252" s="120"/>
      <c r="R252" s="113"/>
      <c r="S252" s="94"/>
      <c r="T252" s="94"/>
      <c r="V252" s="104"/>
    </row>
    <row r="253" ht="15.75" customHeight="1">
      <c r="A253" s="91"/>
      <c r="B253" s="131"/>
      <c r="C253" s="132"/>
      <c r="D253" s="94"/>
      <c r="E253" s="132"/>
      <c r="F253" s="132"/>
      <c r="G253" s="94"/>
      <c r="H253" s="132"/>
      <c r="I253" s="94"/>
      <c r="J253" s="94"/>
      <c r="K253" s="135"/>
      <c r="L253" s="135"/>
      <c r="M253" s="99"/>
      <c r="N253" s="111"/>
      <c r="O253" s="112"/>
      <c r="P253" s="94"/>
      <c r="Q253" s="120"/>
      <c r="R253" s="113"/>
      <c r="S253" s="94"/>
      <c r="T253" s="94"/>
      <c r="V253" s="104"/>
    </row>
    <row r="254" ht="15.75" customHeight="1">
      <c r="A254" s="91"/>
      <c r="B254" s="131"/>
      <c r="C254" s="132"/>
      <c r="D254" s="94"/>
      <c r="E254" s="132"/>
      <c r="F254" s="132"/>
      <c r="G254" s="94"/>
      <c r="H254" s="132"/>
      <c r="I254" s="94"/>
      <c r="J254" s="94"/>
      <c r="K254" s="135"/>
      <c r="L254" s="135"/>
      <c r="M254" s="99"/>
      <c r="N254" s="111"/>
      <c r="O254" s="112"/>
      <c r="P254" s="94"/>
      <c r="Q254" s="120"/>
      <c r="R254" s="113"/>
      <c r="S254" s="94"/>
      <c r="T254" s="94"/>
      <c r="V254" s="104"/>
    </row>
    <row r="255" ht="15.75" customHeight="1">
      <c r="A255" s="91"/>
      <c r="B255" s="131"/>
      <c r="C255" s="132"/>
      <c r="D255" s="94"/>
      <c r="E255" s="132"/>
      <c r="F255" s="132"/>
      <c r="G255" s="94"/>
      <c r="H255" s="132"/>
      <c r="I255" s="94"/>
      <c r="J255" s="94"/>
      <c r="K255" s="135"/>
      <c r="L255" s="135"/>
      <c r="M255" s="99"/>
      <c r="N255" s="111"/>
      <c r="O255" s="112"/>
      <c r="P255" s="94"/>
      <c r="Q255" s="120"/>
      <c r="R255" s="113"/>
      <c r="S255" s="94"/>
      <c r="T255" s="94"/>
      <c r="V255" s="104"/>
    </row>
    <row r="256" ht="15.75" customHeight="1">
      <c r="A256" s="91"/>
      <c r="B256" s="131"/>
      <c r="C256" s="132"/>
      <c r="D256" s="94"/>
      <c r="E256" s="132"/>
      <c r="F256" s="132"/>
      <c r="G256" s="94"/>
      <c r="H256" s="132"/>
      <c r="I256" s="94"/>
      <c r="J256" s="94"/>
      <c r="K256" s="135"/>
      <c r="L256" s="135"/>
      <c r="M256" s="99"/>
      <c r="N256" s="111"/>
      <c r="O256" s="112"/>
      <c r="P256" s="94"/>
      <c r="Q256" s="120"/>
      <c r="R256" s="113"/>
      <c r="S256" s="94"/>
      <c r="T256" s="94"/>
      <c r="V256" s="104"/>
    </row>
    <row r="257" ht="15.75" customHeight="1">
      <c r="A257" s="91"/>
      <c r="B257" s="131"/>
      <c r="C257" s="132"/>
      <c r="D257" s="94"/>
      <c r="E257" s="132"/>
      <c r="F257" s="132"/>
      <c r="G257" s="94"/>
      <c r="H257" s="132"/>
      <c r="I257" s="94"/>
      <c r="J257" s="94"/>
      <c r="K257" s="135"/>
      <c r="L257" s="135"/>
      <c r="M257" s="99"/>
      <c r="N257" s="111"/>
      <c r="O257" s="112"/>
      <c r="P257" s="94"/>
      <c r="Q257" s="120"/>
      <c r="R257" s="113"/>
      <c r="S257" s="94"/>
      <c r="T257" s="94"/>
      <c r="V257" s="104"/>
    </row>
    <row r="258" ht="15.75" customHeight="1">
      <c r="A258" s="91"/>
      <c r="B258" s="131"/>
      <c r="C258" s="104"/>
      <c r="D258" s="94"/>
      <c r="E258" s="132"/>
      <c r="F258" s="132"/>
      <c r="G258" s="94"/>
      <c r="H258" s="132"/>
      <c r="I258" s="94"/>
      <c r="J258" s="94"/>
      <c r="K258" s="135"/>
      <c r="L258" s="135"/>
      <c r="M258" s="99"/>
      <c r="N258" s="111"/>
      <c r="O258" s="112"/>
      <c r="P258" s="94"/>
      <c r="Q258" s="120"/>
      <c r="R258" s="113"/>
      <c r="S258" s="94"/>
      <c r="T258" s="94"/>
      <c r="V258" s="104"/>
    </row>
    <row r="259" ht="15.75" customHeight="1">
      <c r="A259" s="91"/>
      <c r="B259" s="131"/>
      <c r="C259" s="132"/>
      <c r="D259" s="94"/>
      <c r="E259" s="132"/>
      <c r="F259" s="132"/>
      <c r="G259" s="94"/>
      <c r="H259" s="132"/>
      <c r="I259" s="94"/>
      <c r="J259" s="94"/>
      <c r="K259" s="135"/>
      <c r="L259" s="135"/>
      <c r="M259" s="99"/>
      <c r="N259" s="111"/>
      <c r="O259" s="112"/>
      <c r="P259" s="94"/>
      <c r="Q259" s="120"/>
      <c r="R259" s="113"/>
      <c r="S259" s="94"/>
      <c r="T259" s="94"/>
      <c r="V259" s="104"/>
    </row>
    <row r="260" ht="15.75" customHeight="1">
      <c r="A260" s="91"/>
      <c r="B260" s="131"/>
      <c r="C260" s="132"/>
      <c r="D260" s="94"/>
      <c r="E260" s="132"/>
      <c r="F260" s="132"/>
      <c r="G260" s="94"/>
      <c r="H260" s="132"/>
      <c r="I260" s="94"/>
      <c r="J260" s="94"/>
      <c r="K260" s="135"/>
      <c r="L260" s="135"/>
      <c r="M260" s="99"/>
      <c r="N260" s="111"/>
      <c r="O260" s="112"/>
      <c r="P260" s="94"/>
      <c r="Q260" s="120"/>
      <c r="R260" s="113"/>
      <c r="S260" s="94"/>
      <c r="T260" s="94"/>
      <c r="V260" s="104"/>
    </row>
    <row r="261" ht="15.75" customHeight="1">
      <c r="A261" s="91"/>
      <c r="B261" s="131"/>
      <c r="C261" s="132"/>
      <c r="D261" s="94"/>
      <c r="E261" s="132"/>
      <c r="F261" s="132"/>
      <c r="G261" s="94"/>
      <c r="H261" s="132"/>
      <c r="I261" s="94"/>
      <c r="J261" s="94"/>
      <c r="K261" s="135"/>
      <c r="L261" s="135"/>
      <c r="M261" s="99"/>
      <c r="N261" s="111"/>
      <c r="O261" s="112"/>
      <c r="P261" s="94"/>
      <c r="Q261" s="120"/>
      <c r="R261" s="113"/>
      <c r="S261" s="94"/>
      <c r="T261" s="94"/>
      <c r="V261" s="104"/>
    </row>
    <row r="262" ht="15.75" customHeight="1">
      <c r="A262" s="91"/>
      <c r="B262" s="131"/>
      <c r="C262" s="132"/>
      <c r="D262" s="94"/>
      <c r="E262" s="132"/>
      <c r="F262" s="132"/>
      <c r="G262" s="94"/>
      <c r="H262" s="132"/>
      <c r="I262" s="94"/>
      <c r="J262" s="94"/>
      <c r="K262" s="135"/>
      <c r="L262" s="135"/>
      <c r="M262" s="99"/>
      <c r="N262" s="111"/>
      <c r="O262" s="112"/>
      <c r="P262" s="94"/>
      <c r="Q262" s="120"/>
      <c r="R262" s="113"/>
      <c r="S262" s="94"/>
      <c r="T262" s="94"/>
      <c r="V262" s="104"/>
    </row>
    <row r="263" ht="15.75" customHeight="1">
      <c r="A263" s="91"/>
      <c r="B263" s="131"/>
      <c r="C263" s="132"/>
      <c r="D263" s="94"/>
      <c r="E263" s="132"/>
      <c r="F263" s="132"/>
      <c r="G263" s="94"/>
      <c r="H263" s="132"/>
      <c r="I263" s="94"/>
      <c r="J263" s="94"/>
      <c r="K263" s="135"/>
      <c r="L263" s="135"/>
      <c r="M263" s="99"/>
      <c r="N263" s="111"/>
      <c r="O263" s="112"/>
      <c r="P263" s="94"/>
      <c r="Q263" s="120"/>
      <c r="R263" s="113"/>
      <c r="S263" s="94"/>
      <c r="T263" s="94"/>
      <c r="V263" s="104"/>
    </row>
    <row r="264" ht="15.75" customHeight="1">
      <c r="A264" s="91"/>
      <c r="B264" s="131"/>
      <c r="C264" s="104"/>
      <c r="D264" s="94"/>
      <c r="E264" s="132"/>
      <c r="F264" s="132"/>
      <c r="G264" s="94"/>
      <c r="H264" s="132"/>
      <c r="I264" s="94"/>
      <c r="J264" s="94"/>
      <c r="K264" s="135"/>
      <c r="L264" s="135"/>
      <c r="M264" s="99"/>
      <c r="N264" s="111"/>
      <c r="O264" s="112"/>
      <c r="P264" s="94"/>
      <c r="Q264" s="120"/>
      <c r="R264" s="113"/>
      <c r="S264" s="94"/>
      <c r="T264" s="94"/>
      <c r="V264" s="104"/>
    </row>
    <row r="265" ht="15.75" customHeight="1">
      <c r="A265" s="91"/>
      <c r="B265" s="131"/>
      <c r="C265" s="132"/>
      <c r="D265" s="94"/>
      <c r="E265" s="132"/>
      <c r="F265" s="132"/>
      <c r="G265" s="94"/>
      <c r="H265" s="132"/>
      <c r="I265" s="94"/>
      <c r="J265" s="94"/>
      <c r="K265" s="135"/>
      <c r="L265" s="135"/>
      <c r="M265" s="99"/>
      <c r="N265" s="111"/>
      <c r="O265" s="112"/>
      <c r="P265" s="94"/>
      <c r="Q265" s="120"/>
      <c r="R265" s="113"/>
      <c r="S265" s="94"/>
      <c r="T265" s="94"/>
      <c r="V265" s="104"/>
    </row>
    <row r="266" ht="15.75" customHeight="1">
      <c r="A266" s="91"/>
      <c r="B266" s="131"/>
      <c r="C266" s="132"/>
      <c r="D266" s="94"/>
      <c r="E266" s="132"/>
      <c r="F266" s="132"/>
      <c r="G266" s="94"/>
      <c r="H266" s="132"/>
      <c r="I266" s="94"/>
      <c r="J266" s="94"/>
      <c r="K266" s="135"/>
      <c r="L266" s="135"/>
      <c r="M266" s="99"/>
      <c r="N266" s="111"/>
      <c r="O266" s="112"/>
      <c r="P266" s="94"/>
      <c r="Q266" s="120"/>
      <c r="R266" s="113"/>
      <c r="S266" s="94"/>
      <c r="T266" s="94"/>
      <c r="V266" s="104"/>
    </row>
    <row r="267" ht="15.75" customHeight="1">
      <c r="A267" s="91"/>
      <c r="B267" s="131"/>
      <c r="C267" s="132"/>
      <c r="D267" s="94"/>
      <c r="E267" s="132"/>
      <c r="F267" s="132"/>
      <c r="G267" s="94"/>
      <c r="H267" s="132"/>
      <c r="I267" s="94"/>
      <c r="J267" s="94"/>
      <c r="K267" s="135"/>
      <c r="L267" s="135"/>
      <c r="M267" s="99"/>
      <c r="N267" s="111"/>
      <c r="O267" s="112"/>
      <c r="P267" s="94"/>
      <c r="Q267" s="120"/>
      <c r="R267" s="113"/>
      <c r="S267" s="94"/>
      <c r="T267" s="94"/>
      <c r="V267" s="104"/>
    </row>
    <row r="268" ht="15.75" customHeight="1">
      <c r="A268" s="91"/>
      <c r="B268" s="131"/>
      <c r="C268" s="132"/>
      <c r="D268" s="94"/>
      <c r="E268" s="132"/>
      <c r="F268" s="132"/>
      <c r="G268" s="94"/>
      <c r="H268" s="132"/>
      <c r="I268" s="94"/>
      <c r="J268" s="94"/>
      <c r="K268" s="135"/>
      <c r="L268" s="135"/>
      <c r="M268" s="99"/>
      <c r="N268" s="111"/>
      <c r="O268" s="112"/>
      <c r="P268" s="94"/>
      <c r="Q268" s="120"/>
      <c r="R268" s="113"/>
      <c r="S268" s="94"/>
      <c r="T268" s="94"/>
      <c r="V268" s="104"/>
    </row>
    <row r="269" ht="15.75" customHeight="1">
      <c r="A269" s="91"/>
      <c r="B269" s="131"/>
      <c r="C269" s="132"/>
      <c r="D269" s="94"/>
      <c r="E269" s="132"/>
      <c r="F269" s="132"/>
      <c r="G269" s="94"/>
      <c r="H269" s="132"/>
      <c r="I269" s="94"/>
      <c r="J269" s="94"/>
      <c r="K269" s="135"/>
      <c r="L269" s="135"/>
      <c r="M269" s="99"/>
      <c r="N269" s="111"/>
      <c r="O269" s="112"/>
      <c r="P269" s="94"/>
      <c r="Q269" s="120"/>
      <c r="R269" s="113"/>
      <c r="S269" s="94"/>
      <c r="T269" s="94"/>
      <c r="V269" s="104"/>
    </row>
    <row r="270" ht="15.75" customHeight="1">
      <c r="A270" s="91"/>
      <c r="B270" s="131"/>
      <c r="C270" s="104"/>
      <c r="D270" s="94"/>
      <c r="E270" s="132"/>
      <c r="F270" s="132"/>
      <c r="G270" s="94"/>
      <c r="H270" s="132"/>
      <c r="I270" s="94"/>
      <c r="J270" s="94"/>
      <c r="K270" s="135"/>
      <c r="L270" s="135"/>
      <c r="M270" s="99"/>
      <c r="N270" s="111"/>
      <c r="O270" s="112"/>
      <c r="P270" s="94"/>
      <c r="Q270" s="120"/>
      <c r="R270" s="113"/>
      <c r="S270" s="94"/>
      <c r="T270" s="94"/>
      <c r="V270" s="104"/>
    </row>
    <row r="271" ht="15.75" customHeight="1">
      <c r="A271" s="91"/>
      <c r="B271" s="131"/>
      <c r="C271" s="132"/>
      <c r="D271" s="94"/>
      <c r="E271" s="132"/>
      <c r="F271" s="132"/>
      <c r="G271" s="94"/>
      <c r="H271" s="132"/>
      <c r="I271" s="94"/>
      <c r="J271" s="94"/>
      <c r="K271" s="135"/>
      <c r="L271" s="135"/>
      <c r="M271" s="99"/>
      <c r="N271" s="111"/>
      <c r="O271" s="112"/>
      <c r="P271" s="94"/>
      <c r="Q271" s="120"/>
      <c r="R271" s="113"/>
      <c r="S271" s="94"/>
      <c r="T271" s="94"/>
      <c r="V271" s="104"/>
    </row>
    <row r="272" ht="15.75" customHeight="1">
      <c r="A272" s="91"/>
      <c r="B272" s="131"/>
      <c r="C272" s="132"/>
      <c r="D272" s="94"/>
      <c r="E272" s="132"/>
      <c r="F272" s="132"/>
      <c r="G272" s="94"/>
      <c r="H272" s="132"/>
      <c r="I272" s="94"/>
      <c r="J272" s="94"/>
      <c r="K272" s="135"/>
      <c r="L272" s="135"/>
      <c r="M272" s="99"/>
      <c r="N272" s="111"/>
      <c r="O272" s="112"/>
      <c r="P272" s="94"/>
      <c r="Q272" s="120"/>
      <c r="R272" s="113"/>
      <c r="S272" s="94"/>
      <c r="T272" s="94"/>
      <c r="V272" s="104"/>
    </row>
    <row r="273" ht="15.75" customHeight="1">
      <c r="A273" s="91"/>
      <c r="B273" s="131"/>
      <c r="C273" s="132"/>
      <c r="D273" s="94"/>
      <c r="E273" s="132"/>
      <c r="F273" s="132"/>
      <c r="G273" s="94"/>
      <c r="H273" s="132"/>
      <c r="I273" s="94"/>
      <c r="J273" s="94"/>
      <c r="K273" s="135"/>
      <c r="L273" s="135"/>
      <c r="M273" s="99"/>
      <c r="N273" s="111"/>
      <c r="O273" s="112"/>
      <c r="P273" s="94"/>
      <c r="Q273" s="120"/>
      <c r="R273" s="113"/>
      <c r="S273" s="94"/>
      <c r="T273" s="94"/>
      <c r="V273" s="104"/>
    </row>
    <row r="274" ht="15.75" customHeight="1">
      <c r="A274" s="91"/>
      <c r="B274" s="131"/>
      <c r="C274" s="132"/>
      <c r="D274" s="94"/>
      <c r="E274" s="132"/>
      <c r="F274" s="132"/>
      <c r="G274" s="94"/>
      <c r="H274" s="132"/>
      <c r="I274" s="94"/>
      <c r="J274" s="94"/>
      <c r="K274" s="135"/>
      <c r="L274" s="135"/>
      <c r="M274" s="99"/>
      <c r="N274" s="111"/>
      <c r="O274" s="112"/>
      <c r="P274" s="94"/>
      <c r="Q274" s="120"/>
      <c r="R274" s="113"/>
      <c r="S274" s="94"/>
      <c r="T274" s="94"/>
      <c r="V274" s="104"/>
    </row>
    <row r="275" ht="15.75" customHeight="1">
      <c r="A275" s="91"/>
      <c r="B275" s="131"/>
      <c r="C275" s="132"/>
      <c r="D275" s="94"/>
      <c r="E275" s="132"/>
      <c r="F275" s="132"/>
      <c r="G275" s="94"/>
      <c r="H275" s="132"/>
      <c r="I275" s="94"/>
      <c r="J275" s="94"/>
      <c r="K275" s="135"/>
      <c r="L275" s="135"/>
      <c r="M275" s="99"/>
      <c r="N275" s="111"/>
      <c r="O275" s="112"/>
      <c r="P275" s="94"/>
      <c r="Q275" s="120"/>
      <c r="R275" s="113"/>
      <c r="S275" s="94"/>
      <c r="T275" s="94"/>
      <c r="V275" s="104"/>
    </row>
    <row r="276" ht="15.75" customHeight="1">
      <c r="A276" s="91"/>
      <c r="B276" s="131"/>
      <c r="C276" s="104"/>
      <c r="D276" s="94"/>
      <c r="E276" s="132"/>
      <c r="F276" s="132"/>
      <c r="G276" s="94"/>
      <c r="H276" s="132"/>
      <c r="I276" s="94"/>
      <c r="J276" s="94"/>
      <c r="K276" s="135"/>
      <c r="L276" s="135"/>
      <c r="M276" s="99"/>
      <c r="N276" s="111"/>
      <c r="O276" s="112"/>
      <c r="P276" s="94"/>
      <c r="Q276" s="120"/>
      <c r="R276" s="113"/>
      <c r="S276" s="94"/>
      <c r="T276" s="94"/>
      <c r="V276" s="104"/>
    </row>
    <row r="277" ht="15.75" customHeight="1">
      <c r="A277" s="91"/>
      <c r="B277" s="131"/>
      <c r="C277" s="132"/>
      <c r="D277" s="94"/>
      <c r="E277" s="132"/>
      <c r="F277" s="132"/>
      <c r="G277" s="94"/>
      <c r="H277" s="132"/>
      <c r="I277" s="94"/>
      <c r="J277" s="94"/>
      <c r="K277" s="135"/>
      <c r="L277" s="135"/>
      <c r="M277" s="99"/>
      <c r="N277" s="111"/>
      <c r="O277" s="112"/>
      <c r="P277" s="94"/>
      <c r="Q277" s="120"/>
      <c r="R277" s="113"/>
      <c r="S277" s="94"/>
      <c r="T277" s="94"/>
      <c r="V277" s="104"/>
    </row>
    <row r="278" ht="15.75" customHeight="1">
      <c r="A278" s="91"/>
      <c r="B278" s="131"/>
      <c r="C278" s="132"/>
      <c r="D278" s="94"/>
      <c r="E278" s="132"/>
      <c r="F278" s="132"/>
      <c r="G278" s="94"/>
      <c r="H278" s="132"/>
      <c r="I278" s="94"/>
      <c r="J278" s="94"/>
      <c r="K278" s="135"/>
      <c r="L278" s="135"/>
      <c r="M278" s="99"/>
      <c r="N278" s="111"/>
      <c r="O278" s="112"/>
      <c r="P278" s="94"/>
      <c r="Q278" s="120"/>
      <c r="R278" s="113"/>
      <c r="S278" s="94"/>
      <c r="T278" s="94"/>
      <c r="V278" s="104"/>
    </row>
    <row r="279" ht="15.75" customHeight="1">
      <c r="A279" s="91"/>
      <c r="B279" s="131"/>
      <c r="C279" s="132"/>
      <c r="D279" s="94"/>
      <c r="E279" s="132"/>
      <c r="F279" s="132"/>
      <c r="G279" s="94"/>
      <c r="H279" s="132"/>
      <c r="I279" s="94"/>
      <c r="J279" s="94"/>
      <c r="K279" s="135"/>
      <c r="L279" s="135"/>
      <c r="M279" s="99"/>
      <c r="N279" s="111"/>
      <c r="O279" s="112"/>
      <c r="P279" s="94"/>
      <c r="Q279" s="120"/>
      <c r="R279" s="113"/>
      <c r="S279" s="94"/>
      <c r="T279" s="94"/>
      <c r="V279" s="104"/>
    </row>
    <row r="280" ht="15.75" customHeight="1">
      <c r="A280" s="91"/>
      <c r="B280" s="131"/>
      <c r="C280" s="132"/>
      <c r="D280" s="94"/>
      <c r="E280" s="132"/>
      <c r="F280" s="132"/>
      <c r="G280" s="94"/>
      <c r="H280" s="132"/>
      <c r="I280" s="94"/>
      <c r="J280" s="94"/>
      <c r="K280" s="135"/>
      <c r="L280" s="135"/>
      <c r="M280" s="99"/>
      <c r="N280" s="111"/>
      <c r="O280" s="112"/>
      <c r="P280" s="94"/>
      <c r="Q280" s="120"/>
      <c r="R280" s="113"/>
      <c r="S280" s="94"/>
      <c r="T280" s="94"/>
      <c r="V280" s="104"/>
    </row>
    <row r="281" ht="15.75" customHeight="1">
      <c r="A281" s="91"/>
      <c r="B281" s="131"/>
      <c r="C281" s="132"/>
      <c r="D281" s="94"/>
      <c r="E281" s="132"/>
      <c r="F281" s="132"/>
      <c r="G281" s="94"/>
      <c r="H281" s="132"/>
      <c r="I281" s="94"/>
      <c r="J281" s="94"/>
      <c r="K281" s="135"/>
      <c r="L281" s="135"/>
      <c r="M281" s="99"/>
      <c r="N281" s="111"/>
      <c r="O281" s="112"/>
      <c r="P281" s="94"/>
      <c r="Q281" s="120"/>
      <c r="R281" s="113"/>
      <c r="S281" s="94"/>
      <c r="T281" s="94"/>
      <c r="V281" s="104"/>
    </row>
    <row r="282" ht="15.75" customHeight="1">
      <c r="A282" s="91"/>
      <c r="B282" s="131"/>
      <c r="C282" s="104"/>
      <c r="D282" s="94"/>
      <c r="E282" s="132"/>
      <c r="F282" s="132"/>
      <c r="G282" s="94"/>
      <c r="H282" s="132"/>
      <c r="I282" s="94"/>
      <c r="J282" s="94"/>
      <c r="K282" s="135"/>
      <c r="L282" s="135"/>
      <c r="M282" s="99"/>
      <c r="N282" s="111"/>
      <c r="O282" s="112"/>
      <c r="P282" s="94"/>
      <c r="Q282" s="120"/>
      <c r="R282" s="113"/>
      <c r="S282" s="94"/>
      <c r="T282" s="94"/>
      <c r="V282" s="104"/>
    </row>
    <row r="283" ht="15.75" customHeight="1">
      <c r="A283" s="91"/>
      <c r="B283" s="131"/>
      <c r="C283" s="132"/>
      <c r="D283" s="94"/>
      <c r="E283" s="132"/>
      <c r="F283" s="132"/>
      <c r="G283" s="94"/>
      <c r="H283" s="132"/>
      <c r="I283" s="94"/>
      <c r="J283" s="94"/>
      <c r="K283" s="135"/>
      <c r="L283" s="135"/>
      <c r="M283" s="99"/>
      <c r="N283" s="111"/>
      <c r="O283" s="112"/>
      <c r="P283" s="94"/>
      <c r="Q283" s="120"/>
      <c r="R283" s="113"/>
      <c r="S283" s="94"/>
      <c r="T283" s="94"/>
      <c r="V283" s="104"/>
    </row>
    <row r="284" ht="15.75" customHeight="1">
      <c r="A284" s="91"/>
      <c r="B284" s="131"/>
      <c r="C284" s="132"/>
      <c r="D284" s="94"/>
      <c r="E284" s="132"/>
      <c r="F284" s="132"/>
      <c r="G284" s="94"/>
      <c r="H284" s="132"/>
      <c r="I284" s="94"/>
      <c r="J284" s="94"/>
      <c r="K284" s="135"/>
      <c r="L284" s="135"/>
      <c r="M284" s="99"/>
      <c r="N284" s="111"/>
      <c r="O284" s="112"/>
      <c r="P284" s="94"/>
      <c r="Q284" s="120"/>
      <c r="R284" s="113"/>
      <c r="S284" s="94"/>
      <c r="T284" s="94"/>
      <c r="V284" s="104"/>
    </row>
    <row r="285" ht="15.75" customHeight="1">
      <c r="A285" s="91"/>
      <c r="B285" s="131"/>
      <c r="C285" s="132"/>
      <c r="D285" s="94"/>
      <c r="E285" s="132"/>
      <c r="F285" s="132"/>
      <c r="G285" s="94"/>
      <c r="H285" s="132"/>
      <c r="I285" s="94"/>
      <c r="J285" s="94"/>
      <c r="K285" s="135"/>
      <c r="L285" s="135"/>
      <c r="M285" s="99"/>
      <c r="N285" s="111"/>
      <c r="O285" s="112"/>
      <c r="P285" s="94"/>
      <c r="Q285" s="120"/>
      <c r="R285" s="113"/>
      <c r="S285" s="94"/>
      <c r="T285" s="94"/>
      <c r="V285" s="104"/>
    </row>
    <row r="286" ht="15.75" customHeight="1">
      <c r="A286" s="91"/>
      <c r="B286" s="131"/>
      <c r="C286" s="132"/>
      <c r="D286" s="94"/>
      <c r="E286" s="132"/>
      <c r="F286" s="132"/>
      <c r="G286" s="94"/>
      <c r="H286" s="132"/>
      <c r="I286" s="94"/>
      <c r="J286" s="94"/>
      <c r="K286" s="135"/>
      <c r="L286" s="135"/>
      <c r="M286" s="99"/>
      <c r="N286" s="111"/>
      <c r="O286" s="112"/>
      <c r="P286" s="94"/>
      <c r="Q286" s="120"/>
      <c r="R286" s="113"/>
      <c r="S286" s="94"/>
      <c r="T286" s="94"/>
      <c r="V286" s="104"/>
    </row>
    <row r="287" ht="15.75" customHeight="1">
      <c r="A287" s="91"/>
      <c r="B287" s="131"/>
      <c r="C287" s="132"/>
      <c r="D287" s="94"/>
      <c r="E287" s="132"/>
      <c r="F287" s="132"/>
      <c r="G287" s="94"/>
      <c r="H287" s="132"/>
      <c r="I287" s="94"/>
      <c r="J287" s="94"/>
      <c r="K287" s="135"/>
      <c r="L287" s="135"/>
      <c r="M287" s="99"/>
      <c r="N287" s="111"/>
      <c r="O287" s="112"/>
      <c r="P287" s="94"/>
      <c r="Q287" s="120"/>
      <c r="R287" s="113"/>
      <c r="S287" s="94"/>
      <c r="T287" s="94"/>
      <c r="V287" s="104"/>
    </row>
    <row r="288" ht="15.75" customHeight="1">
      <c r="A288" s="91"/>
      <c r="B288" s="131"/>
      <c r="C288" s="104"/>
      <c r="D288" s="94"/>
      <c r="E288" s="132"/>
      <c r="F288" s="132"/>
      <c r="G288" s="94"/>
      <c r="H288" s="132"/>
      <c r="I288" s="94"/>
      <c r="J288" s="94"/>
      <c r="K288" s="135"/>
      <c r="L288" s="135"/>
      <c r="M288" s="99"/>
      <c r="N288" s="111"/>
      <c r="O288" s="112"/>
      <c r="P288" s="94"/>
      <c r="Q288" s="120"/>
      <c r="R288" s="113"/>
      <c r="S288" s="94"/>
      <c r="T288" s="94"/>
      <c r="V288" s="104"/>
    </row>
    <row r="289" ht="15.75" customHeight="1">
      <c r="A289" s="91"/>
      <c r="B289" s="131"/>
      <c r="C289" s="132"/>
      <c r="D289" s="94"/>
      <c r="E289" s="132"/>
      <c r="F289" s="132"/>
      <c r="G289" s="94"/>
      <c r="H289" s="132"/>
      <c r="I289" s="94"/>
      <c r="J289" s="94"/>
      <c r="K289" s="135"/>
      <c r="L289" s="135"/>
      <c r="M289" s="99"/>
      <c r="N289" s="111"/>
      <c r="O289" s="112"/>
      <c r="P289" s="94"/>
      <c r="Q289" s="120"/>
      <c r="R289" s="113"/>
      <c r="S289" s="94"/>
      <c r="T289" s="94"/>
      <c r="V289" s="104"/>
    </row>
    <row r="290" ht="15.75" customHeight="1">
      <c r="A290" s="91"/>
      <c r="B290" s="131"/>
      <c r="C290" s="132"/>
      <c r="D290" s="94"/>
      <c r="E290" s="132"/>
      <c r="F290" s="132"/>
      <c r="G290" s="94"/>
      <c r="H290" s="132"/>
      <c r="I290" s="94"/>
      <c r="J290" s="94"/>
      <c r="K290" s="135"/>
      <c r="L290" s="135"/>
      <c r="M290" s="99"/>
      <c r="N290" s="111"/>
      <c r="O290" s="112"/>
      <c r="P290" s="94"/>
      <c r="Q290" s="120"/>
      <c r="R290" s="113"/>
      <c r="S290" s="94"/>
      <c r="T290" s="94"/>
      <c r="V290" s="104"/>
    </row>
    <row r="291" ht="15.75" customHeight="1">
      <c r="A291" s="91"/>
      <c r="B291" s="131"/>
      <c r="C291" s="132"/>
      <c r="D291" s="94"/>
      <c r="E291" s="132"/>
      <c r="F291" s="132"/>
      <c r="G291" s="94"/>
      <c r="H291" s="132"/>
      <c r="I291" s="94"/>
      <c r="J291" s="94"/>
      <c r="K291" s="135"/>
      <c r="L291" s="135"/>
      <c r="M291" s="99"/>
      <c r="N291" s="111"/>
      <c r="O291" s="112"/>
      <c r="P291" s="94"/>
      <c r="Q291" s="120"/>
      <c r="R291" s="113"/>
      <c r="S291" s="94"/>
      <c r="T291" s="94"/>
      <c r="V291" s="104"/>
    </row>
    <row r="292" ht="15.75" customHeight="1">
      <c r="A292" s="91"/>
      <c r="B292" s="131"/>
      <c r="C292" s="132"/>
      <c r="D292" s="94"/>
      <c r="E292" s="132"/>
      <c r="F292" s="132"/>
      <c r="G292" s="94"/>
      <c r="H292" s="132"/>
      <c r="I292" s="94"/>
      <c r="J292" s="94"/>
      <c r="K292" s="135"/>
      <c r="L292" s="135"/>
      <c r="M292" s="99"/>
      <c r="N292" s="111"/>
      <c r="O292" s="112"/>
      <c r="P292" s="94"/>
      <c r="Q292" s="120"/>
      <c r="R292" s="113"/>
      <c r="S292" s="94"/>
      <c r="T292" s="94"/>
      <c r="V292" s="104"/>
    </row>
    <row r="293" ht="15.75" customHeight="1">
      <c r="A293" s="91"/>
      <c r="B293" s="131"/>
      <c r="C293" s="132"/>
      <c r="D293" s="94"/>
      <c r="E293" s="132"/>
      <c r="F293" s="132"/>
      <c r="G293" s="94"/>
      <c r="H293" s="132"/>
      <c r="I293" s="94"/>
      <c r="J293" s="94"/>
      <c r="K293" s="135"/>
      <c r="L293" s="135"/>
      <c r="M293" s="99"/>
      <c r="N293" s="111"/>
      <c r="O293" s="112"/>
      <c r="P293" s="94"/>
      <c r="Q293" s="120"/>
      <c r="R293" s="113"/>
      <c r="S293" s="94"/>
      <c r="T293" s="94"/>
      <c r="V293" s="104"/>
    </row>
    <row r="294" ht="15.75" customHeight="1">
      <c r="A294" s="91"/>
      <c r="B294" s="131"/>
      <c r="C294" s="104"/>
      <c r="D294" s="94"/>
      <c r="E294" s="132"/>
      <c r="F294" s="132"/>
      <c r="G294" s="94"/>
      <c r="H294" s="132"/>
      <c r="I294" s="94"/>
      <c r="J294" s="94"/>
      <c r="K294" s="135"/>
      <c r="L294" s="135"/>
      <c r="M294" s="99"/>
      <c r="N294" s="111"/>
      <c r="O294" s="112"/>
      <c r="P294" s="94"/>
      <c r="Q294" s="120"/>
      <c r="R294" s="113"/>
      <c r="S294" s="94"/>
      <c r="T294" s="94"/>
      <c r="V294" s="104"/>
    </row>
    <row r="295" ht="15.75" customHeight="1">
      <c r="A295" s="91"/>
      <c r="B295" s="131"/>
      <c r="C295" s="132"/>
      <c r="D295" s="94"/>
      <c r="E295" s="132"/>
      <c r="F295" s="132"/>
      <c r="G295" s="94"/>
      <c r="H295" s="132"/>
      <c r="I295" s="94"/>
      <c r="J295" s="94"/>
      <c r="K295" s="135"/>
      <c r="L295" s="135"/>
      <c r="M295" s="99"/>
      <c r="N295" s="111"/>
      <c r="O295" s="112"/>
      <c r="P295" s="94"/>
      <c r="Q295" s="120"/>
      <c r="R295" s="113"/>
      <c r="S295" s="94"/>
      <c r="T295" s="94"/>
      <c r="V295" s="104"/>
    </row>
    <row r="296" ht="15.75" customHeight="1">
      <c r="A296" s="91"/>
      <c r="B296" s="131"/>
      <c r="C296" s="132"/>
      <c r="D296" s="94"/>
      <c r="E296" s="132"/>
      <c r="F296" s="132"/>
      <c r="G296" s="94"/>
      <c r="H296" s="132"/>
      <c r="I296" s="94"/>
      <c r="J296" s="94"/>
      <c r="K296" s="135"/>
      <c r="L296" s="135"/>
      <c r="M296" s="99"/>
      <c r="N296" s="111"/>
      <c r="O296" s="112"/>
      <c r="P296" s="94"/>
      <c r="Q296" s="120"/>
      <c r="R296" s="113"/>
      <c r="S296" s="94"/>
      <c r="T296" s="94"/>
      <c r="V296" s="104"/>
    </row>
    <row r="297" ht="15.75" customHeight="1">
      <c r="A297" s="91"/>
      <c r="B297" s="131"/>
      <c r="C297" s="132"/>
      <c r="D297" s="94"/>
      <c r="E297" s="132"/>
      <c r="F297" s="132"/>
      <c r="G297" s="94"/>
      <c r="H297" s="132"/>
      <c r="I297" s="94"/>
      <c r="J297" s="94"/>
      <c r="K297" s="135"/>
      <c r="L297" s="135"/>
      <c r="M297" s="99"/>
      <c r="N297" s="111"/>
      <c r="O297" s="112"/>
      <c r="P297" s="94"/>
      <c r="Q297" s="120"/>
      <c r="R297" s="113"/>
      <c r="S297" s="94"/>
      <c r="T297" s="94"/>
      <c r="V297" s="104"/>
    </row>
    <row r="298" ht="15.75" customHeight="1">
      <c r="A298" s="91"/>
      <c r="B298" s="131"/>
      <c r="C298" s="132"/>
      <c r="D298" s="94"/>
      <c r="E298" s="132"/>
      <c r="F298" s="132"/>
      <c r="G298" s="94"/>
      <c r="H298" s="132"/>
      <c r="I298" s="94"/>
      <c r="J298" s="94"/>
      <c r="K298" s="135"/>
      <c r="L298" s="135"/>
      <c r="M298" s="99"/>
      <c r="N298" s="111"/>
      <c r="O298" s="112"/>
      <c r="P298" s="94"/>
      <c r="Q298" s="120"/>
      <c r="R298" s="113"/>
      <c r="S298" s="94"/>
      <c r="T298" s="94"/>
      <c r="V298" s="104"/>
    </row>
    <row r="299" ht="15.75" customHeight="1">
      <c r="A299" s="91"/>
      <c r="B299" s="131"/>
      <c r="C299" s="132"/>
      <c r="D299" s="94"/>
      <c r="E299" s="132"/>
      <c r="F299" s="132"/>
      <c r="G299" s="94"/>
      <c r="H299" s="132"/>
      <c r="I299" s="94"/>
      <c r="J299" s="94"/>
      <c r="K299" s="135"/>
      <c r="L299" s="135"/>
      <c r="M299" s="99"/>
      <c r="N299" s="111"/>
      <c r="O299" s="112"/>
      <c r="P299" s="94"/>
      <c r="Q299" s="120"/>
      <c r="R299" s="113"/>
      <c r="S299" s="94"/>
      <c r="T299" s="94"/>
      <c r="V299" s="104"/>
    </row>
    <row r="300" ht="15.75" customHeight="1">
      <c r="A300" s="91"/>
      <c r="B300" s="131"/>
      <c r="C300" s="104"/>
      <c r="D300" s="94"/>
      <c r="E300" s="132"/>
      <c r="F300" s="132"/>
      <c r="G300" s="94"/>
      <c r="H300" s="132"/>
      <c r="I300" s="94"/>
      <c r="J300" s="94"/>
      <c r="K300" s="135"/>
      <c r="L300" s="135"/>
      <c r="M300" s="99"/>
      <c r="N300" s="111"/>
      <c r="O300" s="112"/>
      <c r="P300" s="94"/>
      <c r="Q300" s="120"/>
      <c r="R300" s="113"/>
      <c r="S300" s="94"/>
      <c r="T300" s="94"/>
      <c r="V300" s="104"/>
    </row>
    <row r="301" ht="15.75" customHeight="1">
      <c r="A301" s="91"/>
      <c r="B301" s="131"/>
      <c r="C301" s="132"/>
      <c r="D301" s="94"/>
      <c r="E301" s="132"/>
      <c r="F301" s="132"/>
      <c r="G301" s="94"/>
      <c r="H301" s="132"/>
      <c r="I301" s="94"/>
      <c r="J301" s="94"/>
      <c r="K301" s="135"/>
      <c r="L301" s="135"/>
      <c r="M301" s="99"/>
      <c r="N301" s="111"/>
      <c r="O301" s="112"/>
      <c r="P301" s="94"/>
      <c r="Q301" s="120"/>
      <c r="R301" s="113"/>
      <c r="S301" s="94"/>
      <c r="T301" s="94"/>
      <c r="V301" s="104"/>
    </row>
    <row r="302" ht="15.75" customHeight="1">
      <c r="A302" s="91"/>
      <c r="B302" s="131"/>
      <c r="C302" s="132"/>
      <c r="D302" s="94"/>
      <c r="E302" s="132"/>
      <c r="F302" s="132"/>
      <c r="G302" s="94"/>
      <c r="H302" s="132"/>
      <c r="I302" s="94"/>
      <c r="J302" s="94"/>
      <c r="K302" s="135"/>
      <c r="L302" s="135"/>
      <c r="M302" s="99"/>
      <c r="N302" s="111"/>
      <c r="O302" s="112"/>
      <c r="P302" s="94"/>
      <c r="Q302" s="120"/>
      <c r="R302" s="113"/>
      <c r="S302" s="94"/>
      <c r="T302" s="94"/>
      <c r="V302" s="104"/>
    </row>
    <row r="303" ht="15.75" customHeight="1">
      <c r="A303" s="91"/>
      <c r="B303" s="131"/>
      <c r="C303" s="132"/>
      <c r="D303" s="94"/>
      <c r="E303" s="132"/>
      <c r="F303" s="132"/>
      <c r="G303" s="94"/>
      <c r="H303" s="132"/>
      <c r="I303" s="94"/>
      <c r="J303" s="94"/>
      <c r="K303" s="135"/>
      <c r="L303" s="135"/>
      <c r="M303" s="99"/>
      <c r="N303" s="111"/>
      <c r="O303" s="112"/>
      <c r="P303" s="94"/>
      <c r="Q303" s="120"/>
      <c r="R303" s="113"/>
      <c r="S303" s="94"/>
      <c r="T303" s="94"/>
      <c r="V303" s="104"/>
    </row>
    <row r="304" ht="15.75" customHeight="1">
      <c r="A304" s="91"/>
      <c r="B304" s="131"/>
      <c r="C304" s="132"/>
      <c r="D304" s="94"/>
      <c r="E304" s="132"/>
      <c r="F304" s="132"/>
      <c r="G304" s="94"/>
      <c r="H304" s="132"/>
      <c r="I304" s="94"/>
      <c r="J304" s="94"/>
      <c r="K304" s="135"/>
      <c r="L304" s="135"/>
      <c r="M304" s="99"/>
      <c r="N304" s="111"/>
      <c r="O304" s="112"/>
      <c r="P304" s="94"/>
      <c r="Q304" s="120"/>
      <c r="R304" s="113"/>
      <c r="S304" s="94"/>
      <c r="T304" s="94"/>
      <c r="V304" s="104"/>
    </row>
    <row r="305" ht="15.75" customHeight="1">
      <c r="A305" s="91"/>
      <c r="B305" s="131"/>
      <c r="C305" s="132"/>
      <c r="D305" s="94"/>
      <c r="E305" s="132"/>
      <c r="F305" s="132"/>
      <c r="G305" s="94"/>
      <c r="H305" s="132"/>
      <c r="I305" s="94"/>
      <c r="J305" s="94"/>
      <c r="K305" s="135"/>
      <c r="L305" s="135"/>
      <c r="M305" s="99"/>
      <c r="N305" s="111"/>
      <c r="O305" s="112"/>
      <c r="P305" s="94"/>
      <c r="Q305" s="120"/>
      <c r="R305" s="113"/>
      <c r="S305" s="94"/>
      <c r="T305" s="94"/>
      <c r="V305" s="104"/>
    </row>
    <row r="306" ht="15.75" customHeight="1">
      <c r="A306" s="91"/>
      <c r="B306" s="131"/>
      <c r="C306" s="104"/>
      <c r="D306" s="94"/>
      <c r="E306" s="132"/>
      <c r="F306" s="132"/>
      <c r="G306" s="94"/>
      <c r="H306" s="132"/>
      <c r="I306" s="94"/>
      <c r="J306" s="94"/>
      <c r="K306" s="135"/>
      <c r="L306" s="135"/>
      <c r="M306" s="99"/>
      <c r="N306" s="111"/>
      <c r="O306" s="112"/>
      <c r="P306" s="94"/>
      <c r="Q306" s="120"/>
      <c r="R306" s="113"/>
      <c r="S306" s="94"/>
      <c r="T306" s="94"/>
      <c r="V306" s="104"/>
    </row>
    <row r="307" ht="15.75" customHeight="1">
      <c r="A307" s="91"/>
      <c r="B307" s="131"/>
      <c r="C307" s="132"/>
      <c r="D307" s="94"/>
      <c r="E307" s="132"/>
      <c r="F307" s="132"/>
      <c r="G307" s="94"/>
      <c r="H307" s="132"/>
      <c r="I307" s="94"/>
      <c r="J307" s="94"/>
      <c r="K307" s="135"/>
      <c r="L307" s="135"/>
      <c r="M307" s="99"/>
      <c r="N307" s="111"/>
      <c r="O307" s="112"/>
      <c r="P307" s="94"/>
      <c r="Q307" s="120"/>
      <c r="R307" s="113"/>
      <c r="S307" s="94"/>
      <c r="T307" s="94"/>
      <c r="V307" s="104"/>
    </row>
    <row r="308" ht="15.75" customHeight="1">
      <c r="A308" s="91"/>
      <c r="B308" s="131"/>
      <c r="C308" s="132"/>
      <c r="D308" s="94"/>
      <c r="E308" s="132"/>
      <c r="F308" s="132"/>
      <c r="G308" s="94"/>
      <c r="H308" s="132"/>
      <c r="I308" s="94"/>
      <c r="J308" s="94"/>
      <c r="K308" s="135"/>
      <c r="L308" s="135"/>
      <c r="M308" s="99"/>
      <c r="N308" s="111"/>
      <c r="O308" s="112"/>
      <c r="P308" s="94"/>
      <c r="Q308" s="120"/>
      <c r="R308" s="113"/>
      <c r="S308" s="94"/>
      <c r="T308" s="94"/>
      <c r="V308" s="104"/>
    </row>
    <row r="309" ht="15.75" customHeight="1">
      <c r="A309" s="91"/>
      <c r="B309" s="131"/>
      <c r="C309" s="132"/>
      <c r="D309" s="94"/>
      <c r="E309" s="132"/>
      <c r="F309" s="132"/>
      <c r="G309" s="94"/>
      <c r="H309" s="132"/>
      <c r="I309" s="94"/>
      <c r="J309" s="94"/>
      <c r="K309" s="135"/>
      <c r="L309" s="135"/>
      <c r="M309" s="99"/>
      <c r="N309" s="111"/>
      <c r="O309" s="112"/>
      <c r="P309" s="94"/>
      <c r="Q309" s="120"/>
      <c r="R309" s="113"/>
      <c r="S309" s="94"/>
      <c r="T309" s="94"/>
      <c r="V309" s="104"/>
    </row>
    <row r="310" ht="15.75" customHeight="1">
      <c r="A310" s="91"/>
      <c r="B310" s="131"/>
      <c r="C310" s="132"/>
      <c r="D310" s="94"/>
      <c r="E310" s="132"/>
      <c r="F310" s="132"/>
      <c r="G310" s="94"/>
      <c r="H310" s="132"/>
      <c r="I310" s="94"/>
      <c r="J310" s="94"/>
      <c r="K310" s="135"/>
      <c r="L310" s="135"/>
      <c r="M310" s="99"/>
      <c r="N310" s="111"/>
      <c r="O310" s="112"/>
      <c r="P310" s="94"/>
      <c r="Q310" s="120"/>
      <c r="R310" s="113"/>
      <c r="S310" s="94"/>
      <c r="T310" s="94"/>
      <c r="V310" s="104"/>
    </row>
    <row r="311" ht="15.75" customHeight="1">
      <c r="A311" s="91"/>
      <c r="B311" s="131"/>
      <c r="C311" s="132"/>
      <c r="D311" s="94"/>
      <c r="E311" s="132"/>
      <c r="F311" s="132"/>
      <c r="G311" s="94"/>
      <c r="H311" s="132"/>
      <c r="I311" s="94"/>
      <c r="J311" s="94"/>
      <c r="K311" s="135"/>
      <c r="L311" s="135"/>
      <c r="M311" s="99"/>
      <c r="N311" s="111"/>
      <c r="O311" s="112"/>
      <c r="P311" s="94"/>
      <c r="Q311" s="120"/>
      <c r="R311" s="113"/>
      <c r="S311" s="94"/>
      <c r="T311" s="94"/>
      <c r="V311" s="104"/>
    </row>
    <row r="312" ht="15.75" customHeight="1">
      <c r="A312" s="91"/>
      <c r="B312" s="131"/>
      <c r="C312" s="104"/>
      <c r="D312" s="94"/>
      <c r="E312" s="132"/>
      <c r="F312" s="132"/>
      <c r="G312" s="94"/>
      <c r="H312" s="132"/>
      <c r="I312" s="94"/>
      <c r="J312" s="94"/>
      <c r="K312" s="135"/>
      <c r="L312" s="135"/>
      <c r="M312" s="99"/>
      <c r="N312" s="111"/>
      <c r="O312" s="112"/>
      <c r="P312" s="94"/>
      <c r="Q312" s="120"/>
      <c r="R312" s="113"/>
      <c r="S312" s="94"/>
      <c r="T312" s="94"/>
      <c r="V312" s="104"/>
    </row>
    <row r="313" ht="15.75" customHeight="1">
      <c r="A313" s="91"/>
      <c r="B313" s="131"/>
      <c r="C313" s="132"/>
      <c r="D313" s="94"/>
      <c r="E313" s="132"/>
      <c r="F313" s="132"/>
      <c r="G313" s="94"/>
      <c r="H313" s="132"/>
      <c r="I313" s="94"/>
      <c r="J313" s="94"/>
      <c r="K313" s="135"/>
      <c r="L313" s="135"/>
      <c r="M313" s="99"/>
      <c r="N313" s="111"/>
      <c r="O313" s="112"/>
      <c r="P313" s="94"/>
      <c r="Q313" s="120"/>
      <c r="R313" s="113"/>
      <c r="S313" s="94"/>
      <c r="T313" s="94"/>
      <c r="V313" s="104"/>
    </row>
    <row r="314" ht="15.75" customHeight="1">
      <c r="A314" s="91"/>
      <c r="B314" s="131"/>
      <c r="C314" s="132"/>
      <c r="D314" s="94"/>
      <c r="E314" s="132"/>
      <c r="F314" s="132"/>
      <c r="G314" s="94"/>
      <c r="H314" s="132"/>
      <c r="I314" s="94"/>
      <c r="J314" s="94"/>
      <c r="K314" s="135"/>
      <c r="L314" s="135"/>
      <c r="M314" s="99"/>
      <c r="N314" s="111"/>
      <c r="O314" s="112"/>
      <c r="P314" s="94"/>
      <c r="Q314" s="120"/>
      <c r="R314" s="113"/>
      <c r="S314" s="94"/>
      <c r="T314" s="94"/>
      <c r="V314" s="104"/>
    </row>
    <row r="315" ht="15.75" customHeight="1">
      <c r="A315" s="91"/>
      <c r="B315" s="131"/>
      <c r="C315" s="132"/>
      <c r="D315" s="94"/>
      <c r="E315" s="132"/>
      <c r="F315" s="132"/>
      <c r="G315" s="94"/>
      <c r="H315" s="132"/>
      <c r="I315" s="94"/>
      <c r="J315" s="94"/>
      <c r="K315" s="135"/>
      <c r="L315" s="135"/>
      <c r="M315" s="99"/>
      <c r="N315" s="111"/>
      <c r="O315" s="112"/>
      <c r="P315" s="94"/>
      <c r="Q315" s="120"/>
      <c r="R315" s="113"/>
      <c r="S315" s="94"/>
      <c r="T315" s="94"/>
      <c r="V315" s="104"/>
    </row>
    <row r="316" ht="15.75" customHeight="1">
      <c r="A316" s="91"/>
      <c r="B316" s="131"/>
      <c r="C316" s="132"/>
      <c r="D316" s="94"/>
      <c r="E316" s="132"/>
      <c r="F316" s="132"/>
      <c r="G316" s="94"/>
      <c r="H316" s="132"/>
      <c r="I316" s="94"/>
      <c r="J316" s="94"/>
      <c r="K316" s="135"/>
      <c r="L316" s="135"/>
      <c r="M316" s="99"/>
      <c r="N316" s="111"/>
      <c r="O316" s="112"/>
      <c r="P316" s="94"/>
      <c r="Q316" s="120"/>
      <c r="R316" s="113"/>
      <c r="S316" s="94"/>
      <c r="T316" s="94"/>
      <c r="V316" s="104"/>
    </row>
    <row r="317" ht="15.75" customHeight="1">
      <c r="A317" s="91"/>
      <c r="B317" s="131"/>
      <c r="C317" s="132"/>
      <c r="D317" s="94"/>
      <c r="E317" s="132"/>
      <c r="F317" s="132"/>
      <c r="G317" s="94"/>
      <c r="H317" s="132"/>
      <c r="I317" s="94"/>
      <c r="J317" s="94"/>
      <c r="K317" s="135"/>
      <c r="L317" s="135"/>
      <c r="M317" s="99"/>
      <c r="N317" s="111"/>
      <c r="O317" s="112"/>
      <c r="P317" s="94"/>
      <c r="Q317" s="120"/>
      <c r="R317" s="113"/>
      <c r="S317" s="94"/>
      <c r="T317" s="94"/>
      <c r="V317" s="104"/>
    </row>
    <row r="318" ht="15.75" customHeight="1">
      <c r="A318" s="91"/>
      <c r="B318" s="131"/>
      <c r="C318" s="104"/>
      <c r="D318" s="94"/>
      <c r="E318" s="132"/>
      <c r="F318" s="132"/>
      <c r="G318" s="94"/>
      <c r="H318" s="132"/>
      <c r="I318" s="94"/>
      <c r="J318" s="94"/>
      <c r="K318" s="135"/>
      <c r="L318" s="135"/>
      <c r="M318" s="99"/>
      <c r="N318" s="111"/>
      <c r="O318" s="112"/>
      <c r="P318" s="94"/>
      <c r="Q318" s="120"/>
      <c r="R318" s="113"/>
      <c r="S318" s="94"/>
      <c r="T318" s="94"/>
      <c r="V318" s="104"/>
    </row>
    <row r="319" ht="15.75" customHeight="1">
      <c r="A319" s="91"/>
      <c r="B319" s="131"/>
      <c r="C319" s="132"/>
      <c r="D319" s="94"/>
      <c r="E319" s="132"/>
      <c r="F319" s="132"/>
      <c r="G319" s="94"/>
      <c r="H319" s="132"/>
      <c r="I319" s="94"/>
      <c r="J319" s="94"/>
      <c r="K319" s="135"/>
      <c r="L319" s="135"/>
      <c r="M319" s="99"/>
      <c r="N319" s="111"/>
      <c r="O319" s="112"/>
      <c r="P319" s="94"/>
      <c r="Q319" s="120"/>
      <c r="R319" s="113"/>
      <c r="S319" s="94"/>
      <c r="T319" s="94"/>
      <c r="V319" s="104"/>
    </row>
    <row r="320" ht="15.75" customHeight="1">
      <c r="A320" s="91"/>
      <c r="B320" s="131"/>
      <c r="C320" s="132"/>
      <c r="D320" s="94"/>
      <c r="E320" s="132"/>
      <c r="F320" s="132"/>
      <c r="G320" s="94"/>
      <c r="H320" s="132"/>
      <c r="I320" s="94"/>
      <c r="J320" s="94"/>
      <c r="K320" s="135"/>
      <c r="L320" s="135"/>
      <c r="M320" s="99"/>
      <c r="N320" s="111"/>
      <c r="O320" s="112"/>
      <c r="P320" s="94"/>
      <c r="Q320" s="120"/>
      <c r="R320" s="113"/>
      <c r="S320" s="94"/>
      <c r="T320" s="94"/>
      <c r="V320" s="104"/>
    </row>
    <row r="321" ht="15.75" customHeight="1">
      <c r="A321" s="91"/>
      <c r="B321" s="131"/>
      <c r="C321" s="132"/>
      <c r="D321" s="94"/>
      <c r="E321" s="132"/>
      <c r="F321" s="132"/>
      <c r="G321" s="94"/>
      <c r="H321" s="132"/>
      <c r="I321" s="94"/>
      <c r="J321" s="94"/>
      <c r="K321" s="135"/>
      <c r="L321" s="135"/>
      <c r="M321" s="99"/>
      <c r="N321" s="111"/>
      <c r="O321" s="112"/>
      <c r="P321" s="94"/>
      <c r="Q321" s="120"/>
      <c r="R321" s="113"/>
      <c r="S321" s="94"/>
      <c r="T321" s="94"/>
      <c r="V321" s="104"/>
    </row>
    <row r="322" ht="15.75" customHeight="1">
      <c r="A322" s="91"/>
      <c r="B322" s="131"/>
      <c r="C322" s="132"/>
      <c r="D322" s="94"/>
      <c r="E322" s="132"/>
      <c r="F322" s="132"/>
      <c r="G322" s="94"/>
      <c r="H322" s="132"/>
      <c r="I322" s="94"/>
      <c r="J322" s="94"/>
      <c r="K322" s="135"/>
      <c r="L322" s="135"/>
      <c r="M322" s="99"/>
      <c r="N322" s="111"/>
      <c r="O322" s="112"/>
      <c r="P322" s="94"/>
      <c r="Q322" s="120"/>
      <c r="R322" s="113"/>
      <c r="S322" s="94"/>
      <c r="T322" s="94"/>
      <c r="V322" s="104"/>
    </row>
    <row r="323" ht="15.75" customHeight="1">
      <c r="A323" s="91"/>
      <c r="B323" s="131"/>
      <c r="C323" s="132"/>
      <c r="D323" s="94"/>
      <c r="E323" s="132"/>
      <c r="F323" s="132"/>
      <c r="G323" s="94"/>
      <c r="H323" s="132"/>
      <c r="I323" s="94"/>
      <c r="J323" s="94"/>
      <c r="K323" s="135"/>
      <c r="L323" s="135"/>
      <c r="M323" s="99"/>
      <c r="N323" s="111"/>
      <c r="O323" s="112"/>
      <c r="P323" s="94"/>
      <c r="Q323" s="120"/>
      <c r="R323" s="113"/>
      <c r="S323" s="94"/>
      <c r="T323" s="94"/>
      <c r="V323" s="104"/>
    </row>
    <row r="324" ht="15.75" customHeight="1">
      <c r="A324" s="91"/>
      <c r="B324" s="131"/>
      <c r="C324" s="104"/>
      <c r="D324" s="94"/>
      <c r="E324" s="132"/>
      <c r="F324" s="132"/>
      <c r="G324" s="94"/>
      <c r="H324" s="132"/>
      <c r="I324" s="94"/>
      <c r="J324" s="94"/>
      <c r="K324" s="135"/>
      <c r="L324" s="135"/>
      <c r="M324" s="99"/>
      <c r="N324" s="111"/>
      <c r="O324" s="112"/>
      <c r="P324" s="94"/>
      <c r="Q324" s="120"/>
      <c r="R324" s="113"/>
      <c r="S324" s="94"/>
      <c r="T324" s="94"/>
      <c r="V324" s="104"/>
    </row>
    <row r="325" ht="15.75" customHeight="1">
      <c r="A325" s="91"/>
      <c r="B325" s="131"/>
      <c r="C325" s="132"/>
      <c r="D325" s="94"/>
      <c r="E325" s="132"/>
      <c r="F325" s="132"/>
      <c r="G325" s="94"/>
      <c r="H325" s="132"/>
      <c r="I325" s="94"/>
      <c r="J325" s="94"/>
      <c r="K325" s="135"/>
      <c r="L325" s="135"/>
      <c r="M325" s="99"/>
      <c r="N325" s="111"/>
      <c r="O325" s="112"/>
      <c r="P325" s="94"/>
      <c r="Q325" s="120"/>
      <c r="R325" s="113"/>
      <c r="S325" s="94"/>
      <c r="T325" s="94"/>
      <c r="V325" s="104"/>
    </row>
    <row r="326" ht="15.75" customHeight="1">
      <c r="A326" s="91"/>
      <c r="B326" s="131"/>
      <c r="C326" s="132"/>
      <c r="D326" s="94"/>
      <c r="E326" s="132"/>
      <c r="F326" s="132"/>
      <c r="G326" s="94"/>
      <c r="H326" s="132"/>
      <c r="I326" s="94"/>
      <c r="J326" s="94"/>
      <c r="K326" s="135"/>
      <c r="L326" s="135"/>
      <c r="M326" s="99"/>
      <c r="N326" s="111"/>
      <c r="O326" s="112"/>
      <c r="P326" s="94"/>
      <c r="Q326" s="120"/>
      <c r="R326" s="113"/>
      <c r="S326" s="94"/>
      <c r="T326" s="94"/>
      <c r="V326" s="104"/>
    </row>
    <row r="327" ht="15.75" customHeight="1">
      <c r="A327" s="91"/>
      <c r="B327" s="131"/>
      <c r="C327" s="132"/>
      <c r="D327" s="94"/>
      <c r="E327" s="132"/>
      <c r="F327" s="132"/>
      <c r="G327" s="94"/>
      <c r="H327" s="132"/>
      <c r="I327" s="94"/>
      <c r="J327" s="94"/>
      <c r="K327" s="135"/>
      <c r="L327" s="135"/>
      <c r="M327" s="99"/>
      <c r="N327" s="111"/>
      <c r="O327" s="112"/>
      <c r="P327" s="94"/>
      <c r="Q327" s="120"/>
      <c r="R327" s="113"/>
      <c r="S327" s="94"/>
      <c r="T327" s="94"/>
      <c r="V327" s="104"/>
    </row>
    <row r="328" ht="15.75" customHeight="1">
      <c r="A328" s="91"/>
      <c r="B328" s="131"/>
      <c r="C328" s="132"/>
      <c r="D328" s="94"/>
      <c r="E328" s="132"/>
      <c r="F328" s="132"/>
      <c r="G328" s="94"/>
      <c r="H328" s="132"/>
      <c r="I328" s="94"/>
      <c r="J328" s="94"/>
      <c r="K328" s="135"/>
      <c r="L328" s="135"/>
      <c r="M328" s="99"/>
      <c r="N328" s="111"/>
      <c r="O328" s="112"/>
      <c r="P328" s="94"/>
      <c r="Q328" s="120"/>
      <c r="R328" s="113"/>
      <c r="S328" s="94"/>
      <c r="T328" s="94"/>
      <c r="V328" s="104"/>
    </row>
    <row r="329" ht="15.75" customHeight="1">
      <c r="A329" s="91"/>
      <c r="B329" s="131"/>
      <c r="C329" s="132"/>
      <c r="D329" s="94"/>
      <c r="E329" s="132"/>
      <c r="F329" s="132"/>
      <c r="G329" s="94"/>
      <c r="H329" s="132"/>
      <c r="I329" s="94"/>
      <c r="J329" s="94"/>
      <c r="K329" s="135"/>
      <c r="L329" s="135"/>
      <c r="M329" s="99"/>
      <c r="N329" s="111"/>
      <c r="O329" s="112"/>
      <c r="P329" s="94"/>
      <c r="Q329" s="120"/>
      <c r="R329" s="113"/>
      <c r="S329" s="94"/>
      <c r="T329" s="94"/>
      <c r="V329" s="104"/>
    </row>
    <row r="330" ht="15.75" customHeight="1">
      <c r="A330" s="91"/>
      <c r="B330" s="131"/>
      <c r="C330" s="104"/>
      <c r="D330" s="94"/>
      <c r="E330" s="132"/>
      <c r="F330" s="132"/>
      <c r="G330" s="94"/>
      <c r="H330" s="132"/>
      <c r="I330" s="94"/>
      <c r="J330" s="94"/>
      <c r="K330" s="135"/>
      <c r="L330" s="135"/>
      <c r="M330" s="99"/>
      <c r="N330" s="111"/>
      <c r="O330" s="112"/>
      <c r="P330" s="94"/>
      <c r="Q330" s="120"/>
      <c r="R330" s="113"/>
      <c r="S330" s="94"/>
      <c r="T330" s="94"/>
      <c r="V330" s="104"/>
    </row>
    <row r="331" ht="15.75" customHeight="1">
      <c r="A331" s="91"/>
      <c r="B331" s="131"/>
      <c r="C331" s="132"/>
      <c r="D331" s="94"/>
      <c r="E331" s="132"/>
      <c r="F331" s="132"/>
      <c r="G331" s="94"/>
      <c r="H331" s="132"/>
      <c r="I331" s="94"/>
      <c r="J331" s="94"/>
      <c r="K331" s="135"/>
      <c r="L331" s="135"/>
      <c r="M331" s="99"/>
      <c r="N331" s="111"/>
      <c r="O331" s="112"/>
      <c r="P331" s="94"/>
      <c r="Q331" s="120"/>
      <c r="R331" s="113"/>
      <c r="S331" s="94"/>
      <c r="T331" s="94"/>
      <c r="V331" s="104"/>
    </row>
    <row r="332" ht="15.75" customHeight="1">
      <c r="A332" s="91"/>
      <c r="B332" s="131"/>
      <c r="C332" s="132"/>
      <c r="D332" s="94"/>
      <c r="E332" s="132"/>
      <c r="F332" s="132"/>
      <c r="G332" s="94"/>
      <c r="H332" s="132"/>
      <c r="I332" s="94"/>
      <c r="J332" s="94"/>
      <c r="K332" s="135"/>
      <c r="L332" s="135"/>
      <c r="M332" s="99"/>
      <c r="N332" s="111"/>
      <c r="O332" s="112"/>
      <c r="P332" s="94"/>
      <c r="Q332" s="120"/>
      <c r="R332" s="113"/>
      <c r="S332" s="94"/>
      <c r="T332" s="94"/>
      <c r="V332" s="104"/>
    </row>
    <row r="333" ht="15.75" customHeight="1">
      <c r="A333" s="91"/>
      <c r="B333" s="131"/>
      <c r="C333" s="132"/>
      <c r="D333" s="94"/>
      <c r="E333" s="132"/>
      <c r="F333" s="132"/>
      <c r="G333" s="94"/>
      <c r="H333" s="132"/>
      <c r="I333" s="94"/>
      <c r="J333" s="94"/>
      <c r="K333" s="135"/>
      <c r="L333" s="135"/>
      <c r="M333" s="99"/>
      <c r="N333" s="111"/>
      <c r="O333" s="112"/>
      <c r="P333" s="94"/>
      <c r="Q333" s="120"/>
      <c r="R333" s="113"/>
      <c r="S333" s="94"/>
      <c r="T333" s="94"/>
      <c r="V333" s="104"/>
    </row>
    <row r="334" ht="15.75" customHeight="1">
      <c r="A334" s="91"/>
      <c r="B334" s="131"/>
      <c r="C334" s="132"/>
      <c r="D334" s="94"/>
      <c r="E334" s="132"/>
      <c r="F334" s="132"/>
      <c r="G334" s="94"/>
      <c r="H334" s="132"/>
      <c r="I334" s="94"/>
      <c r="J334" s="94"/>
      <c r="K334" s="135"/>
      <c r="L334" s="135"/>
      <c r="M334" s="99"/>
      <c r="N334" s="111"/>
      <c r="O334" s="112"/>
      <c r="P334" s="94"/>
      <c r="Q334" s="120"/>
      <c r="R334" s="113"/>
      <c r="S334" s="94"/>
      <c r="T334" s="94"/>
      <c r="V334" s="104"/>
    </row>
    <row r="335" ht="15.75" customHeight="1">
      <c r="A335" s="91"/>
      <c r="B335" s="131"/>
      <c r="C335" s="132"/>
      <c r="D335" s="94"/>
      <c r="E335" s="132"/>
      <c r="F335" s="132"/>
      <c r="G335" s="94"/>
      <c r="H335" s="132"/>
      <c r="I335" s="94"/>
      <c r="J335" s="94"/>
      <c r="K335" s="135"/>
      <c r="L335" s="135"/>
      <c r="M335" s="99"/>
      <c r="N335" s="111"/>
      <c r="O335" s="112"/>
      <c r="P335" s="94"/>
      <c r="Q335" s="120"/>
      <c r="R335" s="113"/>
      <c r="S335" s="94"/>
      <c r="T335" s="94"/>
      <c r="V335" s="104"/>
    </row>
    <row r="336" ht="15.75" customHeight="1">
      <c r="A336" s="91"/>
      <c r="B336" s="131"/>
      <c r="C336" s="104"/>
      <c r="D336" s="94"/>
      <c r="E336" s="132"/>
      <c r="F336" s="132"/>
      <c r="G336" s="94"/>
      <c r="H336" s="132"/>
      <c r="I336" s="94"/>
      <c r="J336" s="94"/>
      <c r="K336" s="135"/>
      <c r="L336" s="135"/>
      <c r="M336" s="99"/>
      <c r="N336" s="111"/>
      <c r="O336" s="112"/>
      <c r="P336" s="94"/>
      <c r="Q336" s="120"/>
      <c r="R336" s="113"/>
      <c r="S336" s="94"/>
      <c r="T336" s="94"/>
      <c r="V336" s="104"/>
    </row>
    <row r="337" ht="15.75" customHeight="1">
      <c r="A337" s="91"/>
      <c r="B337" s="131"/>
      <c r="C337" s="132"/>
      <c r="D337" s="94"/>
      <c r="E337" s="132"/>
      <c r="F337" s="132"/>
      <c r="G337" s="94"/>
      <c r="H337" s="132"/>
      <c r="I337" s="94"/>
      <c r="J337" s="94"/>
      <c r="K337" s="135"/>
      <c r="L337" s="135"/>
      <c r="M337" s="99"/>
      <c r="N337" s="111"/>
      <c r="O337" s="112"/>
      <c r="P337" s="94"/>
      <c r="Q337" s="120"/>
      <c r="R337" s="113"/>
      <c r="S337" s="94"/>
      <c r="T337" s="94"/>
      <c r="V337" s="104"/>
    </row>
    <row r="338" ht="15.75" customHeight="1">
      <c r="A338" s="91"/>
      <c r="B338" s="131"/>
      <c r="C338" s="132"/>
      <c r="D338" s="94"/>
      <c r="E338" s="132"/>
      <c r="F338" s="132"/>
      <c r="G338" s="94"/>
      <c r="H338" s="132"/>
      <c r="I338" s="94"/>
      <c r="J338" s="94"/>
      <c r="K338" s="135"/>
      <c r="L338" s="135"/>
      <c r="M338" s="99"/>
      <c r="N338" s="111"/>
      <c r="O338" s="112"/>
      <c r="P338" s="94"/>
      <c r="Q338" s="120"/>
      <c r="R338" s="113"/>
      <c r="S338" s="94"/>
      <c r="T338" s="94"/>
      <c r="V338" s="104"/>
    </row>
    <row r="339" ht="15.75" customHeight="1">
      <c r="A339" s="91"/>
      <c r="B339" s="131"/>
      <c r="C339" s="132"/>
      <c r="D339" s="94"/>
      <c r="E339" s="132"/>
      <c r="F339" s="132"/>
      <c r="G339" s="94"/>
      <c r="H339" s="132"/>
      <c r="I339" s="94"/>
      <c r="J339" s="94"/>
      <c r="K339" s="135"/>
      <c r="L339" s="135"/>
      <c r="M339" s="99"/>
      <c r="N339" s="111"/>
      <c r="O339" s="112"/>
      <c r="P339" s="94"/>
      <c r="Q339" s="120"/>
      <c r="R339" s="113"/>
      <c r="S339" s="94"/>
      <c r="T339" s="94"/>
      <c r="V339" s="104"/>
    </row>
    <row r="340" ht="15.75" customHeight="1">
      <c r="A340" s="91"/>
      <c r="B340" s="131"/>
      <c r="C340" s="132"/>
      <c r="D340" s="94"/>
      <c r="E340" s="132"/>
      <c r="F340" s="132"/>
      <c r="G340" s="94"/>
      <c r="H340" s="132"/>
      <c r="I340" s="94"/>
      <c r="J340" s="94"/>
      <c r="K340" s="135"/>
      <c r="L340" s="135"/>
      <c r="M340" s="99"/>
      <c r="N340" s="111"/>
      <c r="O340" s="112"/>
      <c r="P340" s="94"/>
      <c r="Q340" s="120"/>
      <c r="R340" s="113"/>
      <c r="S340" s="94"/>
      <c r="T340" s="94"/>
      <c r="V340" s="104"/>
    </row>
    <row r="341" ht="15.75" customHeight="1">
      <c r="A341" s="91"/>
      <c r="B341" s="131"/>
      <c r="C341" s="132"/>
      <c r="D341" s="94"/>
      <c r="E341" s="132"/>
      <c r="F341" s="132"/>
      <c r="G341" s="94"/>
      <c r="H341" s="132"/>
      <c r="I341" s="94"/>
      <c r="J341" s="94"/>
      <c r="K341" s="135"/>
      <c r="L341" s="135"/>
      <c r="M341" s="99"/>
      <c r="N341" s="111"/>
      <c r="O341" s="112"/>
      <c r="P341" s="94"/>
      <c r="Q341" s="120"/>
      <c r="R341" s="113"/>
      <c r="S341" s="94"/>
      <c r="T341" s="94"/>
      <c r="V341" s="104"/>
    </row>
    <row r="342" ht="15.75" customHeight="1">
      <c r="A342" s="91"/>
      <c r="B342" s="131"/>
      <c r="C342" s="104"/>
      <c r="D342" s="94"/>
      <c r="E342" s="132"/>
      <c r="F342" s="132"/>
      <c r="G342" s="94"/>
      <c r="H342" s="132"/>
      <c r="I342" s="94"/>
      <c r="J342" s="94"/>
      <c r="K342" s="135"/>
      <c r="L342" s="135"/>
      <c r="M342" s="99"/>
      <c r="N342" s="111"/>
      <c r="O342" s="112"/>
      <c r="P342" s="94"/>
      <c r="Q342" s="120"/>
      <c r="R342" s="113"/>
      <c r="S342" s="94"/>
      <c r="T342" s="94"/>
      <c r="V342" s="104"/>
    </row>
    <row r="343" ht="15.75" customHeight="1">
      <c r="A343" s="91"/>
      <c r="B343" s="131"/>
      <c r="C343" s="132"/>
      <c r="D343" s="94"/>
      <c r="E343" s="132"/>
      <c r="F343" s="132"/>
      <c r="G343" s="94"/>
      <c r="H343" s="132"/>
      <c r="I343" s="94"/>
      <c r="J343" s="94"/>
      <c r="K343" s="135"/>
      <c r="L343" s="135"/>
      <c r="M343" s="99"/>
      <c r="N343" s="111"/>
      <c r="O343" s="112"/>
      <c r="P343" s="94"/>
      <c r="Q343" s="120"/>
      <c r="R343" s="113"/>
      <c r="S343" s="94"/>
      <c r="T343" s="94"/>
      <c r="V343" s="104"/>
    </row>
    <row r="344" ht="15.75" customHeight="1">
      <c r="A344" s="91"/>
      <c r="B344" s="131"/>
      <c r="C344" s="132"/>
      <c r="D344" s="94"/>
      <c r="E344" s="132"/>
      <c r="F344" s="132"/>
      <c r="G344" s="94"/>
      <c r="H344" s="132"/>
      <c r="I344" s="94"/>
      <c r="J344" s="94"/>
      <c r="K344" s="135"/>
      <c r="L344" s="135"/>
      <c r="M344" s="99"/>
      <c r="N344" s="111"/>
      <c r="O344" s="112"/>
      <c r="P344" s="94"/>
      <c r="Q344" s="120"/>
      <c r="R344" s="113"/>
      <c r="S344" s="94"/>
      <c r="T344" s="94"/>
      <c r="V344" s="104"/>
    </row>
    <row r="345" ht="15.75" customHeight="1">
      <c r="A345" s="91"/>
      <c r="B345" s="131"/>
      <c r="C345" s="132"/>
      <c r="D345" s="94"/>
      <c r="E345" s="132"/>
      <c r="F345" s="132"/>
      <c r="G345" s="94"/>
      <c r="H345" s="132"/>
      <c r="I345" s="94"/>
      <c r="J345" s="94"/>
      <c r="K345" s="135"/>
      <c r="L345" s="135"/>
      <c r="M345" s="99"/>
      <c r="N345" s="111"/>
      <c r="O345" s="112"/>
      <c r="P345" s="94"/>
      <c r="Q345" s="120"/>
      <c r="R345" s="113"/>
      <c r="S345" s="94"/>
      <c r="T345" s="94"/>
      <c r="V345" s="104"/>
    </row>
    <row r="346" ht="15.75" customHeight="1">
      <c r="A346" s="91"/>
      <c r="B346" s="131"/>
      <c r="C346" s="132"/>
      <c r="D346" s="94"/>
      <c r="E346" s="132"/>
      <c r="F346" s="132"/>
      <c r="G346" s="94"/>
      <c r="H346" s="132"/>
      <c r="I346" s="94"/>
      <c r="J346" s="94"/>
      <c r="K346" s="135"/>
      <c r="L346" s="135"/>
      <c r="M346" s="99"/>
      <c r="N346" s="111"/>
      <c r="O346" s="112"/>
      <c r="P346" s="94"/>
      <c r="Q346" s="120"/>
      <c r="R346" s="113"/>
      <c r="S346" s="94"/>
      <c r="T346" s="94"/>
      <c r="V346" s="104"/>
    </row>
    <row r="347" ht="15.75" customHeight="1">
      <c r="A347" s="91"/>
      <c r="B347" s="131"/>
      <c r="C347" s="132"/>
      <c r="D347" s="94"/>
      <c r="E347" s="132"/>
      <c r="F347" s="132"/>
      <c r="G347" s="94"/>
      <c r="H347" s="132"/>
      <c r="I347" s="94"/>
      <c r="J347" s="94"/>
      <c r="K347" s="135"/>
      <c r="L347" s="135"/>
      <c r="M347" s="99"/>
      <c r="N347" s="111"/>
      <c r="O347" s="112"/>
      <c r="P347" s="94"/>
      <c r="Q347" s="120"/>
      <c r="R347" s="113"/>
      <c r="S347" s="94"/>
      <c r="T347" s="94"/>
      <c r="V347" s="104"/>
    </row>
    <row r="348" ht="15.75" customHeight="1">
      <c r="A348" s="91"/>
      <c r="B348" s="131"/>
      <c r="C348" s="104"/>
      <c r="D348" s="94"/>
      <c r="E348" s="132"/>
      <c r="F348" s="132"/>
      <c r="G348" s="94"/>
      <c r="H348" s="132"/>
      <c r="I348" s="94"/>
      <c r="J348" s="94"/>
      <c r="K348" s="135"/>
      <c r="L348" s="135"/>
      <c r="M348" s="99"/>
      <c r="N348" s="111"/>
      <c r="O348" s="112"/>
      <c r="P348" s="94"/>
      <c r="Q348" s="120"/>
      <c r="R348" s="113"/>
      <c r="S348" s="94"/>
      <c r="T348" s="94"/>
      <c r="V348" s="104"/>
    </row>
    <row r="349" ht="15.75" customHeight="1">
      <c r="A349" s="91"/>
      <c r="B349" s="131"/>
      <c r="C349" s="132"/>
      <c r="D349" s="94"/>
      <c r="E349" s="132"/>
      <c r="F349" s="132"/>
      <c r="G349" s="94"/>
      <c r="H349" s="132"/>
      <c r="I349" s="94"/>
      <c r="J349" s="94"/>
      <c r="K349" s="135"/>
      <c r="L349" s="135"/>
      <c r="M349" s="99"/>
      <c r="N349" s="111"/>
      <c r="O349" s="112"/>
      <c r="P349" s="94"/>
      <c r="Q349" s="120"/>
      <c r="R349" s="113"/>
      <c r="S349" s="94"/>
      <c r="T349" s="94"/>
      <c r="V349" s="104"/>
    </row>
    <row r="350" ht="15.75" customHeight="1">
      <c r="A350" s="91"/>
      <c r="B350" s="131"/>
      <c r="C350" s="132"/>
      <c r="D350" s="94"/>
      <c r="E350" s="132"/>
      <c r="F350" s="132"/>
      <c r="G350" s="94"/>
      <c r="H350" s="132"/>
      <c r="I350" s="94"/>
      <c r="J350" s="94"/>
      <c r="K350" s="135"/>
      <c r="L350" s="135"/>
      <c r="M350" s="99"/>
      <c r="N350" s="111"/>
      <c r="O350" s="112"/>
      <c r="P350" s="94"/>
      <c r="Q350" s="120"/>
      <c r="R350" s="113"/>
      <c r="S350" s="94"/>
      <c r="T350" s="94"/>
      <c r="V350" s="104"/>
    </row>
    <row r="351" ht="15.75" customHeight="1">
      <c r="A351" s="91"/>
      <c r="B351" s="131"/>
      <c r="C351" s="132"/>
      <c r="D351" s="94"/>
      <c r="E351" s="132"/>
      <c r="F351" s="132"/>
      <c r="G351" s="94"/>
      <c r="H351" s="132"/>
      <c r="I351" s="94"/>
      <c r="J351" s="94"/>
      <c r="K351" s="135"/>
      <c r="L351" s="135"/>
      <c r="M351" s="99"/>
      <c r="N351" s="111"/>
      <c r="O351" s="112"/>
      <c r="P351" s="94"/>
      <c r="Q351" s="120"/>
      <c r="R351" s="113"/>
      <c r="S351" s="94"/>
      <c r="T351" s="94"/>
      <c r="V351" s="104"/>
    </row>
    <row r="352" ht="15.75" customHeight="1">
      <c r="A352" s="91"/>
      <c r="B352" s="131"/>
      <c r="C352" s="132"/>
      <c r="D352" s="94"/>
      <c r="E352" s="132"/>
      <c r="F352" s="132"/>
      <c r="G352" s="94"/>
      <c r="H352" s="132"/>
      <c r="I352" s="94"/>
      <c r="J352" s="94"/>
      <c r="K352" s="135"/>
      <c r="L352" s="135"/>
      <c r="M352" s="99"/>
      <c r="N352" s="111"/>
      <c r="O352" s="112"/>
      <c r="P352" s="94"/>
      <c r="Q352" s="120"/>
      <c r="R352" s="113"/>
      <c r="S352" s="94"/>
      <c r="T352" s="94"/>
      <c r="V352" s="104"/>
    </row>
    <row r="353" ht="15.75" customHeight="1">
      <c r="A353" s="91"/>
      <c r="B353" s="131"/>
      <c r="C353" s="132"/>
      <c r="D353" s="94"/>
      <c r="E353" s="132"/>
      <c r="F353" s="132"/>
      <c r="G353" s="94"/>
      <c r="H353" s="132"/>
      <c r="I353" s="94"/>
      <c r="J353" s="94"/>
      <c r="K353" s="135"/>
      <c r="L353" s="135"/>
      <c r="M353" s="99"/>
      <c r="N353" s="111"/>
      <c r="O353" s="112"/>
      <c r="P353" s="94"/>
      <c r="Q353" s="120"/>
      <c r="R353" s="113"/>
      <c r="S353" s="94"/>
      <c r="T353" s="94"/>
      <c r="V353" s="104"/>
    </row>
    <row r="354" ht="15.75" customHeight="1">
      <c r="A354" s="91"/>
      <c r="B354" s="131"/>
      <c r="C354" s="104"/>
      <c r="D354" s="94"/>
      <c r="E354" s="132"/>
      <c r="F354" s="132"/>
      <c r="G354" s="94"/>
      <c r="H354" s="132"/>
      <c r="I354" s="94"/>
      <c r="J354" s="94"/>
      <c r="K354" s="135"/>
      <c r="L354" s="135"/>
      <c r="M354" s="99"/>
      <c r="N354" s="111"/>
      <c r="O354" s="112"/>
      <c r="P354" s="94"/>
      <c r="Q354" s="120"/>
      <c r="R354" s="113"/>
      <c r="S354" s="94"/>
      <c r="T354" s="94"/>
      <c r="V354" s="104"/>
    </row>
    <row r="355" ht="15.75" customHeight="1">
      <c r="A355" s="91"/>
      <c r="B355" s="131"/>
      <c r="C355" s="132"/>
      <c r="D355" s="94"/>
      <c r="E355" s="132"/>
      <c r="F355" s="132"/>
      <c r="G355" s="94"/>
      <c r="H355" s="132"/>
      <c r="I355" s="94"/>
      <c r="J355" s="94"/>
      <c r="K355" s="135"/>
      <c r="L355" s="135"/>
      <c r="M355" s="99"/>
      <c r="N355" s="111"/>
      <c r="O355" s="112"/>
      <c r="P355" s="94"/>
      <c r="Q355" s="120"/>
      <c r="R355" s="113"/>
      <c r="S355" s="94"/>
      <c r="T355" s="94"/>
      <c r="V355" s="104"/>
    </row>
    <row r="356" ht="15.75" customHeight="1">
      <c r="A356" s="91"/>
      <c r="B356" s="131"/>
      <c r="C356" s="132"/>
      <c r="D356" s="94"/>
      <c r="E356" s="132"/>
      <c r="F356" s="132"/>
      <c r="G356" s="94"/>
      <c r="H356" s="132"/>
      <c r="I356" s="94"/>
      <c r="J356" s="94"/>
      <c r="K356" s="135"/>
      <c r="L356" s="135"/>
      <c r="M356" s="99"/>
      <c r="N356" s="111"/>
      <c r="O356" s="112"/>
      <c r="P356" s="94"/>
      <c r="Q356" s="120"/>
      <c r="R356" s="113"/>
      <c r="S356" s="94"/>
      <c r="T356" s="94"/>
      <c r="V356" s="104"/>
    </row>
    <row r="357" ht="15.75" customHeight="1">
      <c r="A357" s="91"/>
      <c r="B357" s="131"/>
      <c r="C357" s="132"/>
      <c r="D357" s="94"/>
      <c r="E357" s="132"/>
      <c r="F357" s="132"/>
      <c r="G357" s="94"/>
      <c r="H357" s="132"/>
      <c r="I357" s="94"/>
      <c r="J357" s="94"/>
      <c r="K357" s="135"/>
      <c r="L357" s="135"/>
      <c r="M357" s="99"/>
      <c r="N357" s="111"/>
      <c r="O357" s="112"/>
      <c r="P357" s="94"/>
      <c r="Q357" s="120"/>
      <c r="R357" s="113"/>
      <c r="S357" s="94"/>
      <c r="T357" s="94"/>
      <c r="V357" s="104"/>
    </row>
    <row r="358" ht="15.75" customHeight="1">
      <c r="A358" s="91"/>
      <c r="B358" s="131"/>
      <c r="C358" s="132"/>
      <c r="D358" s="94"/>
      <c r="E358" s="132"/>
      <c r="F358" s="132"/>
      <c r="G358" s="94"/>
      <c r="H358" s="132"/>
      <c r="I358" s="94"/>
      <c r="J358" s="94"/>
      <c r="K358" s="135"/>
      <c r="L358" s="135"/>
      <c r="M358" s="99"/>
      <c r="N358" s="111"/>
      <c r="O358" s="112"/>
      <c r="P358" s="94"/>
      <c r="Q358" s="120"/>
      <c r="R358" s="113"/>
      <c r="S358" s="94"/>
      <c r="T358" s="94"/>
      <c r="V358" s="104"/>
    </row>
    <row r="359" ht="15.75" customHeight="1">
      <c r="A359" s="91"/>
      <c r="B359" s="131"/>
      <c r="C359" s="132"/>
      <c r="D359" s="94"/>
      <c r="E359" s="132"/>
      <c r="F359" s="132"/>
      <c r="G359" s="94"/>
      <c r="H359" s="132"/>
      <c r="I359" s="94"/>
      <c r="J359" s="94"/>
      <c r="K359" s="135"/>
      <c r="L359" s="135"/>
      <c r="M359" s="99"/>
      <c r="N359" s="111"/>
      <c r="O359" s="112"/>
      <c r="P359" s="94"/>
      <c r="Q359" s="120"/>
      <c r="R359" s="113"/>
      <c r="S359" s="94"/>
      <c r="T359" s="94"/>
      <c r="V359" s="104"/>
    </row>
  </sheetData>
  <autoFilter ref="$A$12:$V$51"/>
  <customSheetViews>
    <customSheetView guid="{FE509773-0638-41EB-A036-A8EE905B9B6D}" filter="1" showAutoFilter="1">
      <autoFilter ref="$R$18"/>
    </customSheetView>
  </customSheetViews>
  <mergeCells count="350">
    <mergeCell ref="T9:U9"/>
    <mergeCell ref="T10:U10"/>
    <mergeCell ref="T11:U11"/>
    <mergeCell ref="T12:U12"/>
    <mergeCell ref="T13:U13"/>
    <mergeCell ref="T14:U14"/>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46:U346"/>
    <mergeCell ref="T347:U347"/>
    <mergeCell ref="T348:U348"/>
    <mergeCell ref="T349:U349"/>
    <mergeCell ref="T350:U350"/>
    <mergeCell ref="T351:U351"/>
    <mergeCell ref="T352:U352"/>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s>
  <dataValidations>
    <dataValidation type="list" allowBlank="1" showErrorMessage="1" sqref="N13:N359">
      <formula1>"Think About It,Money,Partner,Time,Fear,Value"</formula1>
    </dataValidation>
    <dataValidation type="list" allowBlank="1" showErrorMessage="1" sqref="I13:J35 I36 I37:J359">
      <formula1>"Full-Pay,Split-Pay,Deposit,Offer &amp; Didn't Buy,Bad Fit &amp; No Offer,Drag Over &amp; Show,Rescheduled,Cancelled,No-Show"</formula1>
    </dataValidation>
    <dataValidation type="list" allowBlank="1" showErrorMessage="1" sqref="S13:S359">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29:H359">
      <formula1>"Reschedule,YouTube,YouTube Ads,Email,Facebook,Facebook Ads"</formula1>
    </dataValidation>
    <dataValidation type="list" allowBlank="1" sqref="H13:H28">
      <formula1>"IG,Setter,Ads,Email,Facebook,Facebook Ads"</formula1>
    </dataValidation>
  </dataValidations>
  <hyperlinks>
    <hyperlink r:id="rId2" ref="F95"/>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147"/>
      <c r="B1" s="148" t="s">
        <v>31</v>
      </c>
      <c r="C1" s="148" t="s">
        <v>32</v>
      </c>
      <c r="D1" s="147"/>
      <c r="E1" s="149" t="s">
        <v>33</v>
      </c>
      <c r="F1" s="150"/>
      <c r="G1" s="147"/>
      <c r="H1" s="149" t="s">
        <v>34</v>
      </c>
      <c r="I1" s="150"/>
      <c r="J1" s="151"/>
      <c r="K1" s="152" t="s">
        <v>35</v>
      </c>
      <c r="L1" s="153"/>
      <c r="M1" s="151"/>
      <c r="N1" s="149" t="s">
        <v>36</v>
      </c>
      <c r="O1" s="154"/>
      <c r="P1" s="147"/>
      <c r="Q1" s="149" t="s">
        <v>37</v>
      </c>
      <c r="R1" s="155"/>
      <c r="S1" s="150"/>
      <c r="T1" s="150"/>
      <c r="U1" s="147" t="s">
        <v>38</v>
      </c>
      <c r="V1" s="147"/>
    </row>
    <row r="2">
      <c r="A2" s="147"/>
      <c r="B2" s="150"/>
      <c r="C2" s="150"/>
      <c r="D2" s="151"/>
      <c r="E2" s="156" t="s">
        <v>26</v>
      </c>
      <c r="F2" s="157">
        <f>IFERROR(COUNTIFS(I13:I287, "Full-Pay"),"")</f>
        <v>4</v>
      </c>
      <c r="G2" s="151"/>
      <c r="H2" s="158" t="s">
        <v>16</v>
      </c>
      <c r="I2" s="159">
        <f>iferror(I10/I8,"")</f>
        <v>0.4725274725</v>
      </c>
      <c r="J2" s="160"/>
      <c r="K2" s="161" t="s">
        <v>39</v>
      </c>
      <c r="L2" s="162">
        <f>iferror(F8/I6,"")</f>
        <v>0</v>
      </c>
      <c r="M2" s="160"/>
      <c r="N2" s="163" t="s">
        <v>40</v>
      </c>
      <c r="O2" s="164">
        <f>IFERROR(COUNTIFS(N13:N286, "think about it"),"")</f>
        <v>10</v>
      </c>
      <c r="P2" s="151"/>
      <c r="Q2" s="165" t="s">
        <v>236</v>
      </c>
      <c r="R2" s="166">
        <f>IFERROR(COUNTIF(H13:H286,Q2),"")</f>
        <v>0</v>
      </c>
      <c r="S2" s="165" t="s">
        <v>42</v>
      </c>
      <c r="T2" s="167">
        <f>IFERROR(COUNTIF(H13:H286,S2),"")</f>
        <v>0</v>
      </c>
      <c r="U2" s="147"/>
      <c r="V2" s="168"/>
    </row>
    <row r="3">
      <c r="A3" s="151"/>
      <c r="B3" s="169" t="s">
        <v>43</v>
      </c>
      <c r="C3" s="170">
        <f>IFERROR(SUM(K13:K283),"")</f>
        <v>315000</v>
      </c>
      <c r="D3" s="171"/>
      <c r="E3" s="156" t="s">
        <v>27</v>
      </c>
      <c r="F3" s="157">
        <f>IFERROR(COUNTIFS(I13:I287, "Split-Pay"),"")</f>
        <v>39</v>
      </c>
      <c r="G3" s="151"/>
      <c r="H3" s="158" t="s">
        <v>17</v>
      </c>
      <c r="I3" s="159">
        <f>IFERROR(I10/I9,"")</f>
        <v>0.4725274725</v>
      </c>
      <c r="J3" s="160"/>
      <c r="K3" s="161" t="s">
        <v>44</v>
      </c>
      <c r="L3" s="162">
        <f>iferror(F9/I6,"")</f>
        <v>0.04545454545</v>
      </c>
      <c r="M3" s="160"/>
      <c r="N3" s="163" t="s">
        <v>45</v>
      </c>
      <c r="O3" s="164">
        <f>IFERROR(COUNTIFS(N13:N286, "money"),"")</f>
        <v>26</v>
      </c>
      <c r="P3" s="151"/>
      <c r="Q3" s="165" t="s">
        <v>51</v>
      </c>
      <c r="R3" s="166">
        <f>IFERROR(COUNTIF(H13:H286,Q3),"")</f>
        <v>0</v>
      </c>
      <c r="S3" s="165" t="s">
        <v>47</v>
      </c>
      <c r="T3" s="167">
        <f>IFERROR(COUNTIF(H13:H286,S3),"")</f>
        <v>0</v>
      </c>
      <c r="U3" s="147"/>
      <c r="V3" s="168"/>
    </row>
    <row r="4">
      <c r="A4" s="151"/>
      <c r="B4" s="172" t="s">
        <v>48</v>
      </c>
      <c r="C4" s="173">
        <f>IFERROR(SUM(L13:L284),"")</f>
        <v>130600</v>
      </c>
      <c r="D4" s="171"/>
      <c r="E4" s="156" t="s">
        <v>28</v>
      </c>
      <c r="F4" s="157">
        <f>IFERROR(COUNTIFS(I13:I287, "Deposit"),"")</f>
        <v>4</v>
      </c>
      <c r="G4" s="151"/>
      <c r="H4" s="158" t="s">
        <v>18</v>
      </c>
      <c r="I4" s="159">
        <f>IFERROR(I9/I8,"")</f>
        <v>1</v>
      </c>
      <c r="J4" s="160"/>
      <c r="K4" s="161" t="s">
        <v>49</v>
      </c>
      <c r="L4" s="162">
        <f>iferror(F10/I6,"")</f>
        <v>0.1272727273</v>
      </c>
      <c r="M4" s="160"/>
      <c r="N4" s="163" t="s">
        <v>50</v>
      </c>
      <c r="O4" s="164">
        <f>IFERROR(COUNTIFS(N13:N286, "time"),"")</f>
        <v>2</v>
      </c>
      <c r="P4" s="151"/>
      <c r="Q4" s="165" t="s">
        <v>237</v>
      </c>
      <c r="R4" s="166">
        <f>IFERROR(COUNTIF(H13:H286,Q4),"")</f>
        <v>0</v>
      </c>
      <c r="S4" s="165" t="s">
        <v>52</v>
      </c>
      <c r="T4" s="167">
        <f>IFERROR(COUNTIF(H13:H286,S4),"")</f>
        <v>0</v>
      </c>
      <c r="U4" s="147"/>
      <c r="V4" s="147"/>
    </row>
    <row r="5">
      <c r="A5" s="147"/>
      <c r="B5" s="150"/>
      <c r="C5" s="150"/>
      <c r="D5" s="151"/>
      <c r="E5" s="156" t="s">
        <v>53</v>
      </c>
      <c r="F5" s="157">
        <f>IFERROR(COUNTIFS(I13:I287, "Offer &amp; Didn't Buy"),"")</f>
        <v>44</v>
      </c>
      <c r="G5" s="151"/>
      <c r="H5" s="158" t="s">
        <v>54</v>
      </c>
      <c r="I5" s="159">
        <f>IFERROR(F7/(C6+F7+F8),"")</f>
        <v>0</v>
      </c>
      <c r="J5" s="151"/>
      <c r="K5" s="161" t="s">
        <v>54</v>
      </c>
      <c r="L5" s="162">
        <f>iferror(F7/I6,"")</f>
        <v>0</v>
      </c>
      <c r="M5" s="160"/>
      <c r="N5" s="163" t="s">
        <v>55</v>
      </c>
      <c r="O5" s="164">
        <f>IFERROR(COUNTIFS(N13:N286, "partner"),"")</f>
        <v>2</v>
      </c>
      <c r="P5" s="151"/>
      <c r="Q5" s="165" t="s">
        <v>56</v>
      </c>
      <c r="R5" s="166">
        <f>IFERROR(COUNTIF(H13:H286,Q5),"")</f>
        <v>0</v>
      </c>
      <c r="S5" s="165" t="s">
        <v>57</v>
      </c>
      <c r="T5" s="167">
        <f>IFERROR(COUNTIF(H13:H286,S5),"")</f>
        <v>0</v>
      </c>
      <c r="U5" s="147"/>
      <c r="V5" s="168"/>
    </row>
    <row r="6">
      <c r="A6" s="151"/>
      <c r="B6" s="174" t="s">
        <v>58</v>
      </c>
      <c r="C6" s="175">
        <f>IFERROR(SUM(F2:F6),"")</f>
        <v>91</v>
      </c>
      <c r="D6" s="151"/>
      <c r="E6" s="156" t="s">
        <v>59</v>
      </c>
      <c r="F6" s="157">
        <f>IFERROR(COUNTIFS(I13:I287, "Bad Fit &amp; No Offer"),"")</f>
        <v>0</v>
      </c>
      <c r="G6" s="151"/>
      <c r="H6" s="158" t="s">
        <v>21</v>
      </c>
      <c r="I6" s="176">
        <f>IFERROR(SUM(F2:F10),"")</f>
        <v>110</v>
      </c>
      <c r="J6" s="151"/>
      <c r="K6" s="177" t="s">
        <v>29</v>
      </c>
      <c r="L6" s="162">
        <f>iferror(I7/I6,"")</f>
        <v>0.8272727273</v>
      </c>
      <c r="M6" s="160"/>
      <c r="N6" s="163" t="s">
        <v>60</v>
      </c>
      <c r="O6" s="164">
        <f>IFERROR(COUNTIFS(N13:N286, "fear"),"")</f>
        <v>2</v>
      </c>
      <c r="P6" s="151"/>
      <c r="Q6" s="165" t="s">
        <v>61</v>
      </c>
      <c r="R6" s="166">
        <f>IFERROR(COUNTIF(H13:H286,Q6),"")</f>
        <v>0</v>
      </c>
      <c r="S6" s="165" t="s">
        <v>62</v>
      </c>
      <c r="T6" s="167">
        <f>IFERROR(COUNTIF(H13:H286,S6),"")</f>
        <v>0</v>
      </c>
      <c r="U6" s="147"/>
      <c r="V6" s="168"/>
    </row>
    <row r="7">
      <c r="A7" s="151"/>
      <c r="B7" s="174" t="s">
        <v>63</v>
      </c>
      <c r="C7" s="178">
        <f>IFERROR(F2+F3,"")</f>
        <v>43</v>
      </c>
      <c r="D7" s="151"/>
      <c r="E7" s="156" t="s">
        <v>64</v>
      </c>
      <c r="F7" s="157">
        <f>IFERROR(COUNTIFS(I13:I287, "Drag Over &amp; Show"),"")</f>
        <v>0</v>
      </c>
      <c r="G7" s="151"/>
      <c r="H7" s="158" t="s">
        <v>22</v>
      </c>
      <c r="I7" s="176">
        <f>IFERROR(SUM(F2:F7),"")</f>
        <v>91</v>
      </c>
      <c r="J7" s="151"/>
      <c r="K7" s="179" t="s">
        <v>30</v>
      </c>
      <c r="L7" s="180">
        <f>IFERROR(I8/I6,"")</f>
        <v>0.8272727273</v>
      </c>
      <c r="M7" s="160"/>
      <c r="N7" s="181" t="s">
        <v>65</v>
      </c>
      <c r="O7" s="182">
        <f>IFERROR(COUNTIFS(N14:N287, "value"),"")</f>
        <v>0</v>
      </c>
      <c r="P7" s="151"/>
      <c r="Q7" s="165" t="s">
        <v>66</v>
      </c>
      <c r="R7" s="166">
        <f>IFERROR(COUNTIF(H13:H286,Q7),"")</f>
        <v>0</v>
      </c>
      <c r="S7" s="165" t="s">
        <v>67</v>
      </c>
      <c r="T7" s="167">
        <f>IFERROR(COUNTIF(H13:H286,S7),"")</f>
        <v>0</v>
      </c>
      <c r="U7" s="147"/>
      <c r="V7" s="147"/>
    </row>
    <row r="8">
      <c r="A8" s="151"/>
      <c r="B8" s="174" t="s">
        <v>68</v>
      </c>
      <c r="C8" s="183">
        <f>COUNTIF(I13:I286,"offer &amp; didn't buy")+countif(I13:I286,"deposit")+countif(I13:I286,"bad fit &amp; no offer")</f>
        <v>48</v>
      </c>
      <c r="D8" s="184"/>
      <c r="E8" s="156" t="s">
        <v>69</v>
      </c>
      <c r="F8" s="157">
        <f>IFERROR(COUNTIFS(I13:I287, "Rescheduled"),"")</f>
        <v>0</v>
      </c>
      <c r="G8" s="151"/>
      <c r="H8" s="158" t="s">
        <v>23</v>
      </c>
      <c r="I8" s="176">
        <f>IFERROR(SUM(F2:F6),"")</f>
        <v>91</v>
      </c>
      <c r="J8" s="147"/>
      <c r="K8" s="147"/>
      <c r="L8" s="147"/>
      <c r="M8" s="147"/>
      <c r="N8" s="147"/>
      <c r="O8" s="147"/>
      <c r="P8" s="151"/>
      <c r="Q8" s="185" t="s">
        <v>70</v>
      </c>
      <c r="R8" s="186">
        <f>IFERROR(COUNTIF(H13:H286,Q8),"")</f>
        <v>0</v>
      </c>
      <c r="S8" s="185" t="s">
        <v>71</v>
      </c>
      <c r="T8" s="185" t="s">
        <v>71</v>
      </c>
      <c r="U8" s="147"/>
      <c r="V8" s="147"/>
    </row>
    <row r="9">
      <c r="A9" s="151"/>
      <c r="B9" s="174" t="s">
        <v>72</v>
      </c>
      <c r="C9" s="187">
        <f>iferror(SUM(C7/C6),"")</f>
        <v>0.4725274725</v>
      </c>
      <c r="D9" s="160"/>
      <c r="E9" s="156" t="s">
        <v>73</v>
      </c>
      <c r="F9" s="157">
        <f>IFERROR(COUNTIFS(I13:I287, "Cancelled"),"")</f>
        <v>5</v>
      </c>
      <c r="G9" s="151"/>
      <c r="H9" s="158" t="s">
        <v>24</v>
      </c>
      <c r="I9" s="176">
        <f>IFERROR(sum(F2:F5),"")</f>
        <v>91</v>
      </c>
      <c r="J9" s="147"/>
      <c r="K9" s="147"/>
      <c r="L9" s="147"/>
      <c r="M9" s="147"/>
      <c r="N9" s="147"/>
      <c r="O9" s="188"/>
      <c r="P9" s="147"/>
      <c r="Q9" s="147"/>
      <c r="R9" s="147"/>
      <c r="S9" s="147"/>
      <c r="T9" s="147"/>
      <c r="V9" s="147"/>
    </row>
    <row r="10">
      <c r="A10" s="147"/>
      <c r="B10" s="147"/>
      <c r="C10" s="83">
        <f>C3/C6</f>
        <v>3461.538462</v>
      </c>
      <c r="D10" s="151"/>
      <c r="E10" s="189" t="s">
        <v>74</v>
      </c>
      <c r="F10" s="190">
        <f>IFERROR(COUNTIFS(I13:I287, "No-Show"),"")</f>
        <v>14</v>
      </c>
      <c r="G10" s="151"/>
      <c r="H10" s="191" t="s">
        <v>75</v>
      </c>
      <c r="I10" s="192">
        <f>F2+F3</f>
        <v>43</v>
      </c>
      <c r="J10" s="147"/>
      <c r="K10" s="147"/>
      <c r="L10" s="147"/>
      <c r="M10" s="147"/>
      <c r="N10" s="147"/>
      <c r="O10" s="188"/>
      <c r="P10" s="147"/>
      <c r="Q10" s="147"/>
      <c r="R10" s="147"/>
      <c r="S10" s="147"/>
      <c r="T10" s="147"/>
      <c r="V10" s="147"/>
    </row>
    <row r="11" ht="6.0" customHeight="1">
      <c r="A11" s="147"/>
      <c r="B11" s="147"/>
      <c r="C11" s="147"/>
      <c r="D11" s="147"/>
      <c r="E11" s="147"/>
      <c r="F11" s="147"/>
      <c r="G11" s="147"/>
      <c r="H11" s="147"/>
      <c r="I11" s="147"/>
      <c r="J11" s="147"/>
      <c r="K11" s="147"/>
      <c r="L11" s="147"/>
      <c r="M11" s="147"/>
      <c r="N11" s="147"/>
      <c r="O11" s="188"/>
      <c r="P11" s="147"/>
      <c r="Q11" s="147"/>
      <c r="R11" s="147"/>
      <c r="S11" s="147"/>
      <c r="T11" s="147"/>
      <c r="V11" s="147"/>
    </row>
    <row r="12">
      <c r="A12" s="147"/>
      <c r="B12" s="193" t="s">
        <v>76</v>
      </c>
      <c r="C12" s="193" t="s">
        <v>32</v>
      </c>
      <c r="D12" s="147"/>
      <c r="E12" s="148" t="s">
        <v>77</v>
      </c>
      <c r="F12" s="194" t="s">
        <v>594</v>
      </c>
      <c r="G12" s="147"/>
      <c r="H12" s="148" t="s">
        <v>37</v>
      </c>
      <c r="I12" s="148" t="s">
        <v>33</v>
      </c>
      <c r="J12" s="147"/>
      <c r="K12" s="148" t="s">
        <v>79</v>
      </c>
      <c r="L12" s="148" t="s">
        <v>48</v>
      </c>
      <c r="M12" s="147"/>
      <c r="N12" s="148" t="s">
        <v>80</v>
      </c>
      <c r="O12" s="195" t="s">
        <v>81</v>
      </c>
      <c r="P12" s="147"/>
      <c r="Q12" s="148" t="s">
        <v>82</v>
      </c>
      <c r="R12" s="148" t="s">
        <v>83</v>
      </c>
      <c r="S12" s="148" t="s">
        <v>84</v>
      </c>
      <c r="T12" s="148" t="s">
        <v>85</v>
      </c>
      <c r="V12" s="168"/>
    </row>
    <row r="13" ht="15.75" customHeight="1">
      <c r="A13" s="196"/>
      <c r="B13" s="197">
        <v>45662.0</v>
      </c>
      <c r="C13" s="198" t="s">
        <v>443</v>
      </c>
      <c r="D13" s="199"/>
      <c r="E13" s="200" t="s">
        <v>444</v>
      </c>
      <c r="F13" s="200"/>
      <c r="G13" s="199"/>
      <c r="H13" s="198" t="s">
        <v>41</v>
      </c>
      <c r="I13" s="201" t="s">
        <v>181</v>
      </c>
      <c r="J13" s="199"/>
      <c r="K13" s="202">
        <v>8700.0</v>
      </c>
      <c r="L13" s="202">
        <v>2700.0</v>
      </c>
      <c r="M13" s="203"/>
      <c r="N13" s="204"/>
      <c r="O13" s="205"/>
      <c r="P13" s="199"/>
      <c r="Q13" s="201" t="s">
        <v>104</v>
      </c>
      <c r="R13" s="206"/>
      <c r="S13" s="201" t="s">
        <v>105</v>
      </c>
      <c r="T13" s="199"/>
      <c r="V13" s="207"/>
    </row>
    <row r="14" ht="15.75" customHeight="1">
      <c r="A14" s="196"/>
      <c r="B14" s="197">
        <v>45662.0</v>
      </c>
      <c r="C14" s="200" t="s">
        <v>464</v>
      </c>
      <c r="D14" s="199"/>
      <c r="E14" s="200" t="s">
        <v>465</v>
      </c>
      <c r="F14" s="200" t="s">
        <v>464</v>
      </c>
      <c r="G14" s="199"/>
      <c r="H14" s="198" t="s">
        <v>41</v>
      </c>
      <c r="I14" s="201" t="s">
        <v>181</v>
      </c>
      <c r="J14" s="199"/>
      <c r="K14" s="202">
        <v>8700.0</v>
      </c>
      <c r="L14" s="202">
        <v>2700.0</v>
      </c>
      <c r="M14" s="203"/>
      <c r="N14" s="204"/>
      <c r="O14" s="205"/>
      <c r="P14" s="199"/>
      <c r="Q14" s="201" t="s">
        <v>104</v>
      </c>
      <c r="R14" s="206"/>
      <c r="S14" s="201" t="s">
        <v>105</v>
      </c>
      <c r="T14" s="208"/>
      <c r="U14" s="208"/>
      <c r="V14" s="207"/>
    </row>
    <row r="15" ht="15.75" customHeight="1">
      <c r="A15" s="199"/>
      <c r="B15" s="197">
        <v>45662.0</v>
      </c>
      <c r="C15" s="200" t="s">
        <v>511</v>
      </c>
      <c r="D15" s="199"/>
      <c r="E15" s="200" t="s">
        <v>512</v>
      </c>
      <c r="F15" s="200" t="s">
        <v>511</v>
      </c>
      <c r="G15" s="199"/>
      <c r="H15" s="198" t="s">
        <v>41</v>
      </c>
      <c r="I15" s="201" t="s">
        <v>181</v>
      </c>
      <c r="J15" s="199"/>
      <c r="K15" s="202">
        <v>8700.0</v>
      </c>
      <c r="L15" s="202">
        <v>2700.0</v>
      </c>
      <c r="M15" s="203"/>
      <c r="N15" s="204"/>
      <c r="O15" s="205"/>
      <c r="P15" s="199"/>
      <c r="Q15" s="201" t="s">
        <v>104</v>
      </c>
      <c r="R15" s="206"/>
      <c r="S15" s="201" t="s">
        <v>105</v>
      </c>
      <c r="T15" s="208"/>
      <c r="U15" s="208"/>
      <c r="V15" s="207"/>
    </row>
    <row r="16" ht="15.75" customHeight="1">
      <c r="A16" s="199"/>
      <c r="B16" s="197">
        <v>45662.0</v>
      </c>
      <c r="C16" s="198" t="s">
        <v>490</v>
      </c>
      <c r="D16" s="199"/>
      <c r="E16" s="200" t="s">
        <v>524</v>
      </c>
      <c r="F16" s="200" t="s">
        <v>525</v>
      </c>
      <c r="G16" s="199"/>
      <c r="H16" s="198" t="s">
        <v>41</v>
      </c>
      <c r="I16" s="201" t="s">
        <v>181</v>
      </c>
      <c r="J16" s="199"/>
      <c r="K16" s="202">
        <v>5500.0</v>
      </c>
      <c r="L16" s="202">
        <v>2500.0</v>
      </c>
      <c r="M16" s="203"/>
      <c r="N16" s="204"/>
      <c r="O16" s="205"/>
      <c r="P16" s="199"/>
      <c r="Q16" s="201" t="s">
        <v>357</v>
      </c>
      <c r="R16" s="206"/>
      <c r="S16" s="201" t="s">
        <v>105</v>
      </c>
      <c r="T16" s="208"/>
      <c r="U16" s="208"/>
      <c r="V16" s="207"/>
    </row>
    <row r="17" ht="15.75" customHeight="1">
      <c r="A17" s="199"/>
      <c r="B17" s="197">
        <v>45662.0</v>
      </c>
      <c r="C17" s="198" t="s">
        <v>543</v>
      </c>
      <c r="D17" s="199"/>
      <c r="E17" s="200" t="s">
        <v>544</v>
      </c>
      <c r="F17" s="200" t="s">
        <v>545</v>
      </c>
      <c r="G17" s="199"/>
      <c r="H17" s="198" t="s">
        <v>41</v>
      </c>
      <c r="I17" s="201" t="s">
        <v>181</v>
      </c>
      <c r="J17" s="199"/>
      <c r="K17" s="202">
        <v>8700.0</v>
      </c>
      <c r="L17" s="202">
        <v>2700.0</v>
      </c>
      <c r="M17" s="203"/>
      <c r="N17" s="204"/>
      <c r="O17" s="205"/>
      <c r="P17" s="199"/>
      <c r="Q17" s="201" t="s">
        <v>104</v>
      </c>
      <c r="R17" s="206"/>
      <c r="S17" s="201" t="s">
        <v>105</v>
      </c>
      <c r="T17" s="201" t="s">
        <v>546</v>
      </c>
      <c r="V17" s="207"/>
    </row>
    <row r="18" ht="15.75" customHeight="1">
      <c r="A18" s="199"/>
      <c r="B18" s="197">
        <v>45662.0</v>
      </c>
      <c r="C18" s="200" t="s">
        <v>551</v>
      </c>
      <c r="D18" s="199"/>
      <c r="E18" s="200" t="s">
        <v>552</v>
      </c>
      <c r="F18" s="200" t="s">
        <v>551</v>
      </c>
      <c r="G18" s="199"/>
      <c r="H18" s="198" t="s">
        <v>41</v>
      </c>
      <c r="I18" s="201" t="s">
        <v>232</v>
      </c>
      <c r="J18" s="199"/>
      <c r="K18" s="205"/>
      <c r="L18" s="202">
        <v>100.0</v>
      </c>
      <c r="M18" s="203"/>
      <c r="N18" s="204"/>
      <c r="O18" s="205"/>
      <c r="P18" s="199"/>
      <c r="Q18" s="201" t="s">
        <v>104</v>
      </c>
      <c r="R18" s="206"/>
      <c r="S18" s="201" t="s">
        <v>105</v>
      </c>
      <c r="T18" s="201" t="s">
        <v>374</v>
      </c>
      <c r="V18" s="207"/>
    </row>
    <row r="19" ht="15.75" customHeight="1">
      <c r="A19" s="199"/>
      <c r="B19" s="197">
        <v>45662.0</v>
      </c>
      <c r="C19" s="200" t="s">
        <v>595</v>
      </c>
      <c r="D19" s="199"/>
      <c r="E19" s="200" t="s">
        <v>596</v>
      </c>
      <c r="F19" s="200" t="s">
        <v>595</v>
      </c>
      <c r="G19" s="199"/>
      <c r="H19" s="198" t="s">
        <v>41</v>
      </c>
      <c r="I19" s="201" t="s">
        <v>181</v>
      </c>
      <c r="J19" s="199"/>
      <c r="K19" s="202">
        <v>5100.0</v>
      </c>
      <c r="L19" s="202">
        <v>2700.0</v>
      </c>
      <c r="M19" s="203"/>
      <c r="N19" s="204"/>
      <c r="O19" s="205"/>
      <c r="P19" s="199"/>
      <c r="Q19" s="201" t="s">
        <v>155</v>
      </c>
      <c r="R19" s="198"/>
      <c r="S19" s="201" t="s">
        <v>105</v>
      </c>
      <c r="T19" s="201"/>
      <c r="V19" s="207"/>
    </row>
    <row r="20" ht="15.75" customHeight="1">
      <c r="A20" s="199"/>
      <c r="B20" s="197">
        <v>45662.0</v>
      </c>
      <c r="C20" s="201" t="s">
        <v>597</v>
      </c>
      <c r="D20" s="199"/>
      <c r="E20" s="200" t="s">
        <v>598</v>
      </c>
      <c r="F20" s="200" t="s">
        <v>599</v>
      </c>
      <c r="G20" s="199"/>
      <c r="H20" s="198" t="s">
        <v>41</v>
      </c>
      <c r="I20" s="201" t="s">
        <v>88</v>
      </c>
      <c r="J20" s="199"/>
      <c r="K20" s="209"/>
      <c r="L20" s="209"/>
      <c r="M20" s="203"/>
      <c r="N20" s="210" t="s">
        <v>45</v>
      </c>
      <c r="O20" s="211" t="s">
        <v>584</v>
      </c>
      <c r="P20" s="199"/>
      <c r="Q20" s="201"/>
      <c r="R20" s="198"/>
      <c r="S20" s="201" t="s">
        <v>124</v>
      </c>
      <c r="T20" s="201" t="s">
        <v>600</v>
      </c>
      <c r="V20" s="207"/>
    </row>
    <row r="21" ht="15.75" customHeight="1">
      <c r="A21" s="196"/>
      <c r="B21" s="197">
        <v>45662.0</v>
      </c>
      <c r="C21" s="201" t="s">
        <v>601</v>
      </c>
      <c r="D21" s="199"/>
      <c r="E21" s="200" t="s">
        <v>602</v>
      </c>
      <c r="F21" s="200" t="s">
        <v>603</v>
      </c>
      <c r="G21" s="199"/>
      <c r="H21" s="198" t="s">
        <v>41</v>
      </c>
      <c r="I21" s="201" t="s">
        <v>181</v>
      </c>
      <c r="J21" s="199"/>
      <c r="K21" s="202">
        <v>8700.0</v>
      </c>
      <c r="L21" s="202">
        <v>2700.0</v>
      </c>
      <c r="M21" s="203"/>
      <c r="N21" s="210"/>
      <c r="O21" s="211"/>
      <c r="P21" s="199"/>
      <c r="Q21" s="201" t="s">
        <v>104</v>
      </c>
      <c r="R21" s="198"/>
      <c r="S21" s="201" t="s">
        <v>105</v>
      </c>
      <c r="T21" s="201"/>
      <c r="V21" s="207"/>
    </row>
    <row r="22" ht="15.75" customHeight="1">
      <c r="A22" s="196"/>
      <c r="B22" s="197">
        <v>45662.0</v>
      </c>
      <c r="C22" s="200" t="s">
        <v>604</v>
      </c>
      <c r="D22" s="199"/>
      <c r="E22" s="200" t="s">
        <v>605</v>
      </c>
      <c r="F22" s="200" t="s">
        <v>604</v>
      </c>
      <c r="G22" s="199"/>
      <c r="H22" s="198" t="s">
        <v>41</v>
      </c>
      <c r="I22" s="201" t="s">
        <v>88</v>
      </c>
      <c r="J22" s="199"/>
      <c r="K22" s="209"/>
      <c r="L22" s="209"/>
      <c r="M22" s="203"/>
      <c r="N22" s="210" t="s">
        <v>45</v>
      </c>
      <c r="O22" s="211" t="s">
        <v>45</v>
      </c>
      <c r="P22" s="199"/>
      <c r="Q22" s="199"/>
      <c r="R22" s="206"/>
      <c r="S22" s="201" t="s">
        <v>383</v>
      </c>
      <c r="T22" s="201" t="s">
        <v>606</v>
      </c>
      <c r="V22" s="207"/>
    </row>
    <row r="23" ht="15.75" customHeight="1">
      <c r="A23" s="196"/>
      <c r="B23" s="197">
        <v>45662.0</v>
      </c>
      <c r="C23" s="200" t="s">
        <v>607</v>
      </c>
      <c r="D23" s="199"/>
      <c r="E23" s="200" t="s">
        <v>608</v>
      </c>
      <c r="F23" s="200" t="s">
        <v>607</v>
      </c>
      <c r="G23" s="199"/>
      <c r="H23" s="198" t="s">
        <v>41</v>
      </c>
      <c r="I23" s="201" t="s">
        <v>181</v>
      </c>
      <c r="J23" s="199"/>
      <c r="K23" s="202">
        <v>8700.0</v>
      </c>
      <c r="L23" s="202">
        <v>2700.0</v>
      </c>
      <c r="M23" s="203"/>
      <c r="N23" s="210"/>
      <c r="O23" s="211"/>
      <c r="P23" s="199"/>
      <c r="Q23" s="201" t="s">
        <v>104</v>
      </c>
      <c r="R23" s="198"/>
      <c r="S23" s="201" t="s">
        <v>105</v>
      </c>
      <c r="T23" s="201"/>
      <c r="V23" s="207"/>
    </row>
    <row r="24" ht="15.75" customHeight="1">
      <c r="A24" s="196"/>
      <c r="B24" s="197">
        <v>45662.0</v>
      </c>
      <c r="C24" s="200" t="s">
        <v>609</v>
      </c>
      <c r="D24" s="199"/>
      <c r="E24" s="200" t="s">
        <v>610</v>
      </c>
      <c r="F24" s="200" t="s">
        <v>611</v>
      </c>
      <c r="G24" s="199"/>
      <c r="H24" s="198" t="s">
        <v>41</v>
      </c>
      <c r="I24" s="201" t="s">
        <v>181</v>
      </c>
      <c r="J24" s="199"/>
      <c r="K24" s="202">
        <v>6300.0</v>
      </c>
      <c r="L24" s="202">
        <v>2700.0</v>
      </c>
      <c r="M24" s="203"/>
      <c r="N24" s="204"/>
      <c r="O24" s="205"/>
      <c r="P24" s="199"/>
      <c r="Q24" s="201" t="s">
        <v>357</v>
      </c>
      <c r="R24" s="206"/>
      <c r="S24" s="201" t="s">
        <v>105</v>
      </c>
      <c r="T24" s="199"/>
      <c r="V24" s="207"/>
    </row>
    <row r="25" ht="15.75" customHeight="1">
      <c r="A25" s="196"/>
      <c r="B25" s="197">
        <v>45662.0</v>
      </c>
      <c r="C25" s="200" t="s">
        <v>612</v>
      </c>
      <c r="D25" s="199"/>
      <c r="E25" s="200" t="s">
        <v>613</v>
      </c>
      <c r="F25" s="200" t="s">
        <v>612</v>
      </c>
      <c r="G25" s="199"/>
      <c r="H25" s="198" t="s">
        <v>41</v>
      </c>
      <c r="I25" s="201" t="s">
        <v>181</v>
      </c>
      <c r="J25" s="199"/>
      <c r="K25" s="202">
        <v>6300.0</v>
      </c>
      <c r="L25" s="202">
        <v>2700.0</v>
      </c>
      <c r="M25" s="203"/>
      <c r="N25" s="204"/>
      <c r="O25" s="205"/>
      <c r="P25" s="199"/>
      <c r="Q25" s="201" t="s">
        <v>357</v>
      </c>
      <c r="R25" s="206"/>
      <c r="S25" s="201" t="s">
        <v>105</v>
      </c>
      <c r="T25" s="199"/>
      <c r="V25" s="207"/>
    </row>
    <row r="26" ht="15.75" customHeight="1">
      <c r="A26" s="196"/>
      <c r="B26" s="197">
        <v>45662.0</v>
      </c>
      <c r="C26" s="200" t="s">
        <v>614</v>
      </c>
      <c r="D26" s="199"/>
      <c r="E26" s="200" t="s">
        <v>615</v>
      </c>
      <c r="F26" s="200" t="s">
        <v>614</v>
      </c>
      <c r="G26" s="199"/>
      <c r="H26" s="198" t="s">
        <v>41</v>
      </c>
      <c r="I26" s="201" t="s">
        <v>131</v>
      </c>
      <c r="J26" s="199"/>
      <c r="K26" s="209"/>
      <c r="L26" s="209"/>
      <c r="M26" s="203"/>
      <c r="N26" s="204"/>
      <c r="O26" s="205"/>
      <c r="P26" s="199"/>
      <c r="Q26" s="199"/>
      <c r="R26" s="206"/>
      <c r="S26" s="199"/>
      <c r="T26" s="199"/>
      <c r="V26" s="207"/>
    </row>
    <row r="27" ht="15.75" customHeight="1">
      <c r="A27" s="196"/>
      <c r="B27" s="197">
        <v>45693.0</v>
      </c>
      <c r="C27" s="201" t="s">
        <v>616</v>
      </c>
      <c r="D27" s="199"/>
      <c r="E27" s="200" t="s">
        <v>617</v>
      </c>
      <c r="F27" s="200" t="s">
        <v>618</v>
      </c>
      <c r="G27" s="199"/>
      <c r="H27" s="198" t="s">
        <v>41</v>
      </c>
      <c r="I27" s="201" t="s">
        <v>88</v>
      </c>
      <c r="J27" s="199"/>
      <c r="K27" s="209"/>
      <c r="L27" s="209"/>
      <c r="M27" s="203"/>
      <c r="N27" s="210" t="s">
        <v>55</v>
      </c>
      <c r="O27" s="211" t="s">
        <v>619</v>
      </c>
      <c r="P27" s="199"/>
      <c r="Q27" s="212"/>
      <c r="R27" s="198"/>
      <c r="S27" s="201" t="s">
        <v>124</v>
      </c>
      <c r="T27" s="201" t="s">
        <v>620</v>
      </c>
      <c r="V27" s="207"/>
    </row>
    <row r="28" ht="15.75" customHeight="1">
      <c r="A28" s="196"/>
      <c r="B28" s="197">
        <v>45693.0</v>
      </c>
      <c r="C28" s="201" t="s">
        <v>621</v>
      </c>
      <c r="D28" s="199"/>
      <c r="E28" s="200" t="s">
        <v>622</v>
      </c>
      <c r="F28" s="200" t="s">
        <v>623</v>
      </c>
      <c r="G28" s="199"/>
      <c r="H28" s="198" t="s">
        <v>41</v>
      </c>
      <c r="I28" s="201" t="s">
        <v>181</v>
      </c>
      <c r="J28" s="199"/>
      <c r="K28" s="202">
        <v>8700.0</v>
      </c>
      <c r="L28" s="202">
        <v>2700.0</v>
      </c>
      <c r="M28" s="203"/>
      <c r="N28" s="210"/>
      <c r="O28" s="205"/>
      <c r="P28" s="199"/>
      <c r="Q28" s="201" t="s">
        <v>104</v>
      </c>
      <c r="R28" s="206"/>
      <c r="S28" s="201" t="s">
        <v>105</v>
      </c>
      <c r="T28" s="199"/>
      <c r="V28" s="207"/>
    </row>
    <row r="29" ht="15.75" customHeight="1">
      <c r="A29" s="196"/>
      <c r="B29" s="197">
        <v>45693.0</v>
      </c>
      <c r="C29" s="201" t="s">
        <v>624</v>
      </c>
      <c r="D29" s="199"/>
      <c r="E29" s="200" t="s">
        <v>625</v>
      </c>
      <c r="F29" s="200" t="s">
        <v>626</v>
      </c>
      <c r="G29" s="199"/>
      <c r="H29" s="198" t="s">
        <v>41</v>
      </c>
      <c r="I29" s="201" t="s">
        <v>181</v>
      </c>
      <c r="J29" s="199"/>
      <c r="K29" s="202">
        <v>5100.0</v>
      </c>
      <c r="L29" s="202">
        <v>2700.0</v>
      </c>
      <c r="M29" s="203"/>
      <c r="N29" s="210"/>
      <c r="O29" s="205"/>
      <c r="P29" s="199"/>
      <c r="Q29" s="201" t="s">
        <v>155</v>
      </c>
      <c r="R29" s="206"/>
      <c r="S29" s="201" t="s">
        <v>105</v>
      </c>
      <c r="T29" s="199"/>
      <c r="V29" s="207"/>
    </row>
    <row r="30" ht="15.75" customHeight="1">
      <c r="A30" s="196"/>
      <c r="B30" s="197">
        <v>45693.0</v>
      </c>
      <c r="C30" s="201" t="s">
        <v>627</v>
      </c>
      <c r="D30" s="199"/>
      <c r="E30" s="200" t="s">
        <v>628</v>
      </c>
      <c r="F30" s="200" t="s">
        <v>629</v>
      </c>
      <c r="G30" s="199"/>
      <c r="H30" s="198" t="s">
        <v>41</v>
      </c>
      <c r="I30" s="201" t="s">
        <v>88</v>
      </c>
      <c r="J30" s="199"/>
      <c r="K30" s="209"/>
      <c r="L30" s="209"/>
      <c r="M30" s="203"/>
      <c r="N30" s="210" t="s">
        <v>45</v>
      </c>
      <c r="O30" s="211" t="s">
        <v>396</v>
      </c>
      <c r="P30" s="199"/>
      <c r="Q30" s="199"/>
      <c r="R30" s="206"/>
      <c r="S30" s="201" t="s">
        <v>124</v>
      </c>
      <c r="T30" s="201" t="s">
        <v>630</v>
      </c>
      <c r="V30" s="207"/>
    </row>
    <row r="31" ht="15.75" customHeight="1">
      <c r="A31" s="196"/>
      <c r="B31" s="197">
        <v>45693.0</v>
      </c>
      <c r="C31" s="201" t="s">
        <v>616</v>
      </c>
      <c r="D31" s="199"/>
      <c r="E31" s="200" t="s">
        <v>631</v>
      </c>
      <c r="F31" s="200" t="s">
        <v>632</v>
      </c>
      <c r="G31" s="199"/>
      <c r="H31" s="198" t="s">
        <v>41</v>
      </c>
      <c r="I31" s="201" t="s">
        <v>232</v>
      </c>
      <c r="J31" s="199"/>
      <c r="K31" s="202"/>
      <c r="L31" s="202"/>
      <c r="M31" s="203"/>
      <c r="N31" s="210"/>
      <c r="O31" s="205"/>
      <c r="P31" s="199"/>
      <c r="Q31" s="201" t="s">
        <v>155</v>
      </c>
      <c r="R31" s="206"/>
      <c r="S31" s="201" t="s">
        <v>404</v>
      </c>
      <c r="T31" s="201" t="s">
        <v>633</v>
      </c>
      <c r="V31" s="207"/>
    </row>
    <row r="32" ht="15.75" customHeight="1">
      <c r="A32" s="196"/>
      <c r="B32" s="197">
        <v>45693.0</v>
      </c>
      <c r="C32" s="201" t="s">
        <v>410</v>
      </c>
      <c r="D32" s="199"/>
      <c r="E32" s="200" t="s">
        <v>634</v>
      </c>
      <c r="F32" s="200" t="s">
        <v>635</v>
      </c>
      <c r="G32" s="199"/>
      <c r="H32" s="198" t="s">
        <v>41</v>
      </c>
      <c r="I32" s="201" t="s">
        <v>181</v>
      </c>
      <c r="J32" s="199"/>
      <c r="K32" s="202">
        <v>5100.0</v>
      </c>
      <c r="L32" s="202">
        <v>2700.0</v>
      </c>
      <c r="M32" s="203"/>
      <c r="N32" s="204"/>
      <c r="O32" s="205"/>
      <c r="P32" s="199"/>
      <c r="Q32" s="201" t="s">
        <v>155</v>
      </c>
      <c r="R32" s="206"/>
      <c r="S32" s="201" t="s">
        <v>105</v>
      </c>
      <c r="T32" s="199"/>
      <c r="V32" s="207"/>
    </row>
    <row r="33" ht="15.75" customHeight="1">
      <c r="A33" s="196"/>
      <c r="B33" s="197">
        <v>45693.0</v>
      </c>
      <c r="C33" s="201" t="s">
        <v>636</v>
      </c>
      <c r="D33" s="199"/>
      <c r="E33" s="200" t="s">
        <v>637</v>
      </c>
      <c r="F33" s="200" t="s">
        <v>638</v>
      </c>
      <c r="G33" s="199"/>
      <c r="H33" s="198" t="s">
        <v>41</v>
      </c>
      <c r="I33" s="201" t="s">
        <v>181</v>
      </c>
      <c r="J33" s="199"/>
      <c r="K33" s="202">
        <v>8700.0</v>
      </c>
      <c r="L33" s="202">
        <v>2700.0</v>
      </c>
      <c r="M33" s="203"/>
      <c r="N33" s="204"/>
      <c r="O33" s="205"/>
      <c r="P33" s="199"/>
      <c r="Q33" s="201" t="s">
        <v>104</v>
      </c>
      <c r="R33" s="206"/>
      <c r="S33" s="201" t="s">
        <v>105</v>
      </c>
      <c r="T33" s="199"/>
      <c r="V33" s="207"/>
    </row>
    <row r="34" ht="15.75" customHeight="1">
      <c r="A34" s="196"/>
      <c r="B34" s="197">
        <v>45693.0</v>
      </c>
      <c r="C34" s="201" t="s">
        <v>639</v>
      </c>
      <c r="D34" s="199"/>
      <c r="E34" s="200" t="s">
        <v>640</v>
      </c>
      <c r="F34" s="200" t="s">
        <v>641</v>
      </c>
      <c r="G34" s="199"/>
      <c r="H34" s="198" t="s">
        <v>41</v>
      </c>
      <c r="I34" s="201" t="s">
        <v>103</v>
      </c>
      <c r="J34" s="199"/>
      <c r="K34" s="202">
        <v>7200.0</v>
      </c>
      <c r="L34" s="202">
        <v>7200.0</v>
      </c>
      <c r="M34" s="203"/>
      <c r="N34" s="204"/>
      <c r="O34" s="205"/>
      <c r="P34" s="199"/>
      <c r="Q34" s="201" t="s">
        <v>104</v>
      </c>
      <c r="R34" s="206"/>
      <c r="S34" s="201" t="s">
        <v>105</v>
      </c>
      <c r="T34" s="199"/>
      <c r="V34" s="207"/>
    </row>
    <row r="35" ht="15.75" customHeight="1">
      <c r="A35" s="196"/>
      <c r="B35" s="197">
        <v>45721.0</v>
      </c>
      <c r="C35" s="200" t="s">
        <v>642</v>
      </c>
      <c r="D35" s="199"/>
      <c r="E35" s="200" t="s">
        <v>643</v>
      </c>
      <c r="F35" s="200" t="s">
        <v>642</v>
      </c>
      <c r="G35" s="199"/>
      <c r="H35" s="198" t="s">
        <v>41</v>
      </c>
      <c r="I35" s="201" t="s">
        <v>88</v>
      </c>
      <c r="J35" s="199"/>
      <c r="K35" s="209"/>
      <c r="L35" s="209"/>
      <c r="M35" s="203"/>
      <c r="N35" s="210" t="s">
        <v>45</v>
      </c>
      <c r="O35" s="211" t="s">
        <v>396</v>
      </c>
      <c r="P35" s="199"/>
      <c r="Q35" s="199"/>
      <c r="R35" s="206"/>
      <c r="S35" s="201" t="s">
        <v>383</v>
      </c>
      <c r="T35" s="201" t="s">
        <v>644</v>
      </c>
      <c r="V35" s="207"/>
    </row>
    <row r="36" ht="15.75" customHeight="1">
      <c r="A36" s="196"/>
      <c r="B36" s="197">
        <v>45721.0</v>
      </c>
      <c r="C36" s="200" t="s">
        <v>645</v>
      </c>
      <c r="D36" s="199"/>
      <c r="E36" s="198" t="s">
        <v>646</v>
      </c>
      <c r="F36" s="200" t="s">
        <v>645</v>
      </c>
      <c r="G36" s="199"/>
      <c r="H36" s="198" t="s">
        <v>41</v>
      </c>
      <c r="I36" s="201" t="s">
        <v>88</v>
      </c>
      <c r="J36" s="199"/>
      <c r="K36" s="209"/>
      <c r="L36" s="209"/>
      <c r="M36" s="203"/>
      <c r="N36" s="210" t="s">
        <v>98</v>
      </c>
      <c r="O36" s="211" t="s">
        <v>647</v>
      </c>
      <c r="P36" s="199"/>
      <c r="Q36" s="199"/>
      <c r="R36" s="206"/>
      <c r="S36" s="201" t="s">
        <v>383</v>
      </c>
      <c r="T36" s="201" t="s">
        <v>648</v>
      </c>
      <c r="V36" s="207"/>
    </row>
    <row r="37" ht="15.75" customHeight="1">
      <c r="A37" s="196"/>
      <c r="B37" s="197">
        <v>45721.0</v>
      </c>
      <c r="C37" s="201" t="s">
        <v>360</v>
      </c>
      <c r="D37" s="199"/>
      <c r="E37" s="200" t="s">
        <v>649</v>
      </c>
      <c r="F37" s="200" t="s">
        <v>650</v>
      </c>
      <c r="G37" s="199"/>
      <c r="H37" s="198" t="s">
        <v>41</v>
      </c>
      <c r="I37" s="201" t="s">
        <v>131</v>
      </c>
      <c r="J37" s="199"/>
      <c r="K37" s="209"/>
      <c r="L37" s="209"/>
      <c r="M37" s="203"/>
      <c r="N37" s="204"/>
      <c r="O37" s="211" t="s">
        <v>651</v>
      </c>
      <c r="P37" s="199"/>
      <c r="Q37" s="199"/>
      <c r="R37" s="206"/>
      <c r="S37" s="199"/>
      <c r="T37" s="199"/>
      <c r="V37" s="207"/>
    </row>
    <row r="38" ht="15.75" customHeight="1">
      <c r="A38" s="196"/>
      <c r="B38" s="197">
        <v>45721.0</v>
      </c>
      <c r="C38" s="200" t="s">
        <v>652</v>
      </c>
      <c r="D38" s="199"/>
      <c r="E38" s="200" t="s">
        <v>653</v>
      </c>
      <c r="F38" s="200" t="s">
        <v>652</v>
      </c>
      <c r="G38" s="199"/>
      <c r="H38" s="198" t="s">
        <v>41</v>
      </c>
      <c r="I38" s="201" t="s">
        <v>181</v>
      </c>
      <c r="J38" s="199"/>
      <c r="K38" s="202">
        <v>5400.0</v>
      </c>
      <c r="L38" s="202">
        <v>2800.0</v>
      </c>
      <c r="M38" s="203"/>
      <c r="N38" s="204"/>
      <c r="O38" s="205"/>
      <c r="P38" s="199"/>
      <c r="Q38" s="201" t="s">
        <v>155</v>
      </c>
      <c r="R38" s="206"/>
      <c r="S38" s="201" t="s">
        <v>105</v>
      </c>
      <c r="T38" s="199"/>
      <c r="V38" s="207"/>
    </row>
    <row r="39" ht="15.75" customHeight="1">
      <c r="A39" s="196"/>
      <c r="B39" s="197">
        <v>45721.0</v>
      </c>
      <c r="C39" s="201" t="s">
        <v>654</v>
      </c>
      <c r="D39" s="199"/>
      <c r="E39" s="200" t="s">
        <v>655</v>
      </c>
      <c r="F39" s="200" t="s">
        <v>655</v>
      </c>
      <c r="G39" s="199"/>
      <c r="H39" s="198" t="s">
        <v>41</v>
      </c>
      <c r="I39" s="201" t="s">
        <v>88</v>
      </c>
      <c r="J39" s="199"/>
      <c r="K39" s="209"/>
      <c r="L39" s="209"/>
      <c r="M39" s="203"/>
      <c r="N39" s="210" t="s">
        <v>98</v>
      </c>
      <c r="O39" s="211" t="s">
        <v>202</v>
      </c>
      <c r="P39" s="199"/>
      <c r="Q39" s="199"/>
      <c r="R39" s="206"/>
      <c r="S39" s="201" t="s">
        <v>383</v>
      </c>
      <c r="T39" s="201" t="s">
        <v>656</v>
      </c>
      <c r="V39" s="207"/>
    </row>
    <row r="40" ht="15.75" customHeight="1">
      <c r="A40" s="196"/>
      <c r="B40" s="197">
        <v>45721.0</v>
      </c>
      <c r="C40" s="201" t="s">
        <v>657</v>
      </c>
      <c r="D40" s="199"/>
      <c r="E40" s="200" t="s">
        <v>658</v>
      </c>
      <c r="F40" s="200" t="s">
        <v>659</v>
      </c>
      <c r="G40" s="199"/>
      <c r="H40" s="198" t="s">
        <v>41</v>
      </c>
      <c r="I40" s="201" t="s">
        <v>181</v>
      </c>
      <c r="J40" s="199"/>
      <c r="K40" s="202">
        <v>5400.0</v>
      </c>
      <c r="L40" s="202">
        <v>2800.0</v>
      </c>
      <c r="M40" s="203"/>
      <c r="N40" s="204"/>
      <c r="O40" s="205"/>
      <c r="P40" s="199"/>
      <c r="Q40" s="201" t="s">
        <v>155</v>
      </c>
      <c r="R40" s="206"/>
      <c r="S40" s="201" t="s">
        <v>105</v>
      </c>
      <c r="T40" s="199"/>
      <c r="V40" s="207"/>
    </row>
    <row r="41" ht="15.75" customHeight="1">
      <c r="A41" s="196"/>
      <c r="B41" s="197">
        <v>45752.0</v>
      </c>
      <c r="C41" s="201" t="s">
        <v>660</v>
      </c>
      <c r="D41" s="199"/>
      <c r="E41" s="200" t="s">
        <v>661</v>
      </c>
      <c r="F41" s="200" t="s">
        <v>662</v>
      </c>
      <c r="G41" s="199"/>
      <c r="H41" s="198" t="s">
        <v>41</v>
      </c>
      <c r="I41" s="201" t="s">
        <v>181</v>
      </c>
      <c r="J41" s="199"/>
      <c r="K41" s="202">
        <v>8700.0</v>
      </c>
      <c r="L41" s="202">
        <v>2700.0</v>
      </c>
      <c r="M41" s="203"/>
      <c r="N41" s="204"/>
      <c r="O41" s="205"/>
      <c r="P41" s="199"/>
      <c r="Q41" s="201" t="s">
        <v>104</v>
      </c>
      <c r="R41" s="206"/>
      <c r="S41" s="201" t="s">
        <v>105</v>
      </c>
      <c r="T41" s="199"/>
      <c r="V41" s="207"/>
    </row>
    <row r="42" ht="15.75" customHeight="1">
      <c r="A42" s="196"/>
      <c r="B42" s="197">
        <v>45782.0</v>
      </c>
      <c r="C42" s="201" t="s">
        <v>663</v>
      </c>
      <c r="D42" s="199"/>
      <c r="E42" s="200" t="s">
        <v>664</v>
      </c>
      <c r="F42" s="200" t="s">
        <v>665</v>
      </c>
      <c r="G42" s="199"/>
      <c r="H42" s="198" t="s">
        <v>41</v>
      </c>
      <c r="I42" s="201" t="s">
        <v>88</v>
      </c>
      <c r="J42" s="199"/>
      <c r="K42" s="209"/>
      <c r="L42" s="209"/>
      <c r="M42" s="203"/>
      <c r="N42" s="210" t="s">
        <v>45</v>
      </c>
      <c r="O42" s="211" t="s">
        <v>169</v>
      </c>
      <c r="P42" s="199"/>
      <c r="Q42" s="199"/>
      <c r="R42" s="206"/>
      <c r="S42" s="201" t="s">
        <v>383</v>
      </c>
      <c r="T42" s="201" t="s">
        <v>666</v>
      </c>
      <c r="V42" s="207"/>
    </row>
    <row r="43" ht="15.75" customHeight="1">
      <c r="A43" s="196"/>
      <c r="B43" s="197">
        <v>45782.0</v>
      </c>
      <c r="C43" s="201" t="s">
        <v>667</v>
      </c>
      <c r="D43" s="199"/>
      <c r="E43" s="200" t="s">
        <v>668</v>
      </c>
      <c r="F43" s="200" t="s">
        <v>669</v>
      </c>
      <c r="G43" s="199"/>
      <c r="H43" s="198" t="s">
        <v>41</v>
      </c>
      <c r="I43" s="201" t="s">
        <v>181</v>
      </c>
      <c r="J43" s="199"/>
      <c r="K43" s="202">
        <v>8700.0</v>
      </c>
      <c r="L43" s="202">
        <v>2700.0</v>
      </c>
      <c r="M43" s="203"/>
      <c r="N43" s="204"/>
      <c r="O43" s="205"/>
      <c r="P43" s="199"/>
      <c r="Q43" s="201" t="s">
        <v>104</v>
      </c>
      <c r="R43" s="206"/>
      <c r="S43" s="201" t="s">
        <v>105</v>
      </c>
      <c r="T43" s="199"/>
      <c r="V43" s="207"/>
    </row>
    <row r="44" ht="15.75" customHeight="1">
      <c r="A44" s="196"/>
      <c r="B44" s="197">
        <v>45782.0</v>
      </c>
      <c r="C44" s="201" t="s">
        <v>597</v>
      </c>
      <c r="D44" s="199"/>
      <c r="E44" s="200" t="s">
        <v>670</v>
      </c>
      <c r="F44" s="213" t="s">
        <v>597</v>
      </c>
      <c r="G44" s="199"/>
      <c r="H44" s="198" t="s">
        <v>41</v>
      </c>
      <c r="I44" s="201" t="s">
        <v>88</v>
      </c>
      <c r="J44" s="199"/>
      <c r="K44" s="209"/>
      <c r="L44" s="209"/>
      <c r="M44" s="203"/>
      <c r="N44" s="210" t="s">
        <v>98</v>
      </c>
      <c r="O44" s="211" t="s">
        <v>671</v>
      </c>
      <c r="P44" s="199"/>
      <c r="Q44" s="199"/>
      <c r="R44" s="206"/>
      <c r="S44" s="201" t="s">
        <v>383</v>
      </c>
      <c r="T44" s="201" t="s">
        <v>672</v>
      </c>
      <c r="V44" s="207"/>
    </row>
    <row r="45" ht="15.75" customHeight="1">
      <c r="A45" s="196"/>
      <c r="B45" s="197">
        <v>45782.0</v>
      </c>
      <c r="C45" s="201" t="s">
        <v>673</v>
      </c>
      <c r="D45" s="199"/>
      <c r="E45" s="200" t="s">
        <v>674</v>
      </c>
      <c r="F45" s="200" t="s">
        <v>675</v>
      </c>
      <c r="G45" s="199"/>
      <c r="H45" s="198" t="s">
        <v>41</v>
      </c>
      <c r="I45" s="201" t="s">
        <v>181</v>
      </c>
      <c r="J45" s="199"/>
      <c r="K45" s="202">
        <v>6300.0</v>
      </c>
      <c r="L45" s="202">
        <v>2700.0</v>
      </c>
      <c r="M45" s="203"/>
      <c r="N45" s="204"/>
      <c r="O45" s="205"/>
      <c r="P45" s="199"/>
      <c r="Q45" s="201" t="s">
        <v>357</v>
      </c>
      <c r="R45" s="206"/>
      <c r="S45" s="201" t="s">
        <v>105</v>
      </c>
      <c r="T45" s="199"/>
      <c r="V45" s="207"/>
    </row>
    <row r="46" ht="15.75" customHeight="1">
      <c r="A46" s="196"/>
      <c r="B46" s="197">
        <v>45782.0</v>
      </c>
      <c r="C46" s="201" t="s">
        <v>318</v>
      </c>
      <c r="D46" s="199"/>
      <c r="E46" s="200" t="s">
        <v>676</v>
      </c>
      <c r="F46" s="200" t="s">
        <v>350</v>
      </c>
      <c r="G46" s="199"/>
      <c r="H46" s="198" t="s">
        <v>41</v>
      </c>
      <c r="I46" s="201" t="s">
        <v>181</v>
      </c>
      <c r="J46" s="199"/>
      <c r="K46" s="202">
        <v>4100.0</v>
      </c>
      <c r="L46" s="202">
        <v>1700.0</v>
      </c>
      <c r="M46" s="203"/>
      <c r="N46" s="204"/>
      <c r="O46" s="205"/>
      <c r="P46" s="199"/>
      <c r="Q46" s="201" t="s">
        <v>155</v>
      </c>
      <c r="R46" s="206"/>
      <c r="S46" s="201" t="s">
        <v>105</v>
      </c>
      <c r="T46" s="199"/>
      <c r="V46" s="207"/>
    </row>
    <row r="47" ht="15.75" customHeight="1">
      <c r="A47" s="196"/>
      <c r="B47" s="197">
        <v>45813.0</v>
      </c>
      <c r="C47" s="201" t="s">
        <v>677</v>
      </c>
      <c r="D47" s="199"/>
      <c r="E47" s="198" t="s">
        <v>678</v>
      </c>
      <c r="F47" s="214" t="s">
        <v>679</v>
      </c>
      <c r="G47" s="199"/>
      <c r="H47" s="198" t="s">
        <v>41</v>
      </c>
      <c r="I47" s="201" t="s">
        <v>88</v>
      </c>
      <c r="J47" s="199"/>
      <c r="K47" s="209"/>
      <c r="L47" s="209"/>
      <c r="M47" s="203"/>
      <c r="N47" s="210" t="s">
        <v>98</v>
      </c>
      <c r="O47" s="205"/>
      <c r="P47" s="199"/>
      <c r="Q47" s="199"/>
      <c r="R47" s="206"/>
      <c r="S47" s="201" t="s">
        <v>90</v>
      </c>
      <c r="T47" s="201" t="s">
        <v>680</v>
      </c>
      <c r="V47" s="207"/>
    </row>
    <row r="48" ht="15.75" customHeight="1">
      <c r="A48" s="196"/>
      <c r="B48" s="197">
        <v>45813.0</v>
      </c>
      <c r="C48" s="201" t="s">
        <v>681</v>
      </c>
      <c r="D48" s="199"/>
      <c r="E48" s="214" t="s">
        <v>682</v>
      </c>
      <c r="F48" s="214" t="s">
        <v>683</v>
      </c>
      <c r="G48" s="199"/>
      <c r="H48" s="198" t="s">
        <v>41</v>
      </c>
      <c r="I48" s="201" t="s">
        <v>131</v>
      </c>
      <c r="J48" s="199"/>
      <c r="K48" s="209"/>
      <c r="L48" s="209"/>
      <c r="M48" s="203"/>
      <c r="N48" s="204"/>
      <c r="O48" s="205"/>
      <c r="P48" s="199"/>
      <c r="Q48" s="215"/>
      <c r="R48" s="206"/>
      <c r="S48" s="199"/>
      <c r="T48" s="199"/>
      <c r="V48" s="207"/>
    </row>
    <row r="49" ht="15.75" customHeight="1">
      <c r="A49" s="196"/>
      <c r="B49" s="197">
        <v>45813.0</v>
      </c>
      <c r="C49" s="201" t="s">
        <v>684</v>
      </c>
      <c r="D49" s="199"/>
      <c r="E49" s="214" t="s">
        <v>685</v>
      </c>
      <c r="F49" s="214" t="s">
        <v>686</v>
      </c>
      <c r="G49" s="199"/>
      <c r="H49" s="198" t="s">
        <v>41</v>
      </c>
      <c r="I49" s="201" t="s">
        <v>88</v>
      </c>
      <c r="J49" s="199"/>
      <c r="K49" s="209"/>
      <c r="L49" s="209"/>
      <c r="M49" s="203"/>
      <c r="N49" s="210" t="s">
        <v>45</v>
      </c>
      <c r="O49" s="211" t="s">
        <v>584</v>
      </c>
      <c r="P49" s="199"/>
      <c r="Q49" s="215"/>
      <c r="R49" s="206"/>
      <c r="S49" s="201" t="s">
        <v>124</v>
      </c>
      <c r="T49" s="201" t="s">
        <v>687</v>
      </c>
      <c r="V49" s="207"/>
    </row>
    <row r="50" ht="15.75" customHeight="1">
      <c r="A50" s="196"/>
      <c r="B50" s="197">
        <v>45813.0</v>
      </c>
      <c r="C50" s="201" t="s">
        <v>318</v>
      </c>
      <c r="D50" s="199"/>
      <c r="E50" s="214" t="s">
        <v>688</v>
      </c>
      <c r="F50" s="214" t="s">
        <v>689</v>
      </c>
      <c r="G50" s="199"/>
      <c r="H50" s="198" t="s">
        <v>41</v>
      </c>
      <c r="I50" s="201" t="s">
        <v>88</v>
      </c>
      <c r="J50" s="199"/>
      <c r="K50" s="209"/>
      <c r="L50" s="209"/>
      <c r="M50" s="203"/>
      <c r="N50" s="204"/>
      <c r="O50" s="211" t="s">
        <v>396</v>
      </c>
      <c r="P50" s="199"/>
      <c r="Q50" s="201"/>
      <c r="R50" s="206"/>
      <c r="S50" s="201" t="s">
        <v>90</v>
      </c>
      <c r="T50" s="201" t="s">
        <v>690</v>
      </c>
      <c r="V50" s="207"/>
    </row>
    <row r="51" ht="15.75" customHeight="1">
      <c r="A51" s="196"/>
      <c r="B51" s="197">
        <v>45843.0</v>
      </c>
      <c r="C51" s="201" t="s">
        <v>691</v>
      </c>
      <c r="D51" s="199"/>
      <c r="E51" s="214" t="s">
        <v>692</v>
      </c>
      <c r="F51" s="214" t="s">
        <v>693</v>
      </c>
      <c r="G51" s="199"/>
      <c r="H51" s="198" t="s">
        <v>41</v>
      </c>
      <c r="I51" s="201" t="s">
        <v>88</v>
      </c>
      <c r="J51" s="199"/>
      <c r="K51" s="209"/>
      <c r="L51" s="209"/>
      <c r="M51" s="203"/>
      <c r="N51" s="210" t="s">
        <v>45</v>
      </c>
      <c r="O51" s="211" t="s">
        <v>584</v>
      </c>
      <c r="P51" s="199"/>
      <c r="Q51" s="215"/>
      <c r="R51" s="206"/>
      <c r="S51" s="201" t="s">
        <v>90</v>
      </c>
      <c r="T51" s="201" t="s">
        <v>694</v>
      </c>
      <c r="V51" s="207"/>
    </row>
    <row r="52" ht="15.75" customHeight="1">
      <c r="A52" s="196"/>
      <c r="B52" s="197">
        <v>45843.0</v>
      </c>
      <c r="C52" s="201" t="s">
        <v>695</v>
      </c>
      <c r="D52" s="199"/>
      <c r="E52" s="214" t="s">
        <v>696</v>
      </c>
      <c r="F52" s="214" t="s">
        <v>697</v>
      </c>
      <c r="G52" s="199"/>
      <c r="H52" s="198" t="s">
        <v>41</v>
      </c>
      <c r="I52" s="201" t="s">
        <v>88</v>
      </c>
      <c r="J52" s="199"/>
      <c r="K52" s="209"/>
      <c r="L52" s="209"/>
      <c r="M52" s="203"/>
      <c r="N52" s="210" t="s">
        <v>45</v>
      </c>
      <c r="O52" s="211" t="s">
        <v>584</v>
      </c>
      <c r="P52" s="199"/>
      <c r="Q52" s="215"/>
      <c r="R52" s="206"/>
      <c r="S52" s="201" t="s">
        <v>124</v>
      </c>
      <c r="T52" s="201" t="s">
        <v>698</v>
      </c>
      <c r="V52" s="207"/>
    </row>
    <row r="53" ht="15.75" customHeight="1">
      <c r="A53" s="196"/>
      <c r="B53" s="197">
        <v>45843.0</v>
      </c>
      <c r="C53" s="201" t="s">
        <v>667</v>
      </c>
      <c r="D53" s="199"/>
      <c r="E53" s="214" t="s">
        <v>699</v>
      </c>
      <c r="F53" s="214" t="s">
        <v>700</v>
      </c>
      <c r="G53" s="199"/>
      <c r="H53" s="198" t="s">
        <v>41</v>
      </c>
      <c r="I53" s="201" t="s">
        <v>88</v>
      </c>
      <c r="J53" s="199"/>
      <c r="K53" s="209"/>
      <c r="L53" s="209"/>
      <c r="M53" s="203"/>
      <c r="N53" s="210" t="s">
        <v>45</v>
      </c>
      <c r="O53" s="211" t="s">
        <v>584</v>
      </c>
      <c r="P53" s="199"/>
      <c r="Q53" s="215"/>
      <c r="R53" s="206"/>
      <c r="S53" s="201" t="s">
        <v>124</v>
      </c>
      <c r="T53" s="201" t="s">
        <v>701</v>
      </c>
      <c r="V53" s="207"/>
    </row>
    <row r="54" ht="15.75" customHeight="1">
      <c r="A54" s="196"/>
      <c r="B54" s="197">
        <v>45843.0</v>
      </c>
      <c r="C54" s="201" t="s">
        <v>559</v>
      </c>
      <c r="D54" s="199"/>
      <c r="E54" s="214" t="s">
        <v>702</v>
      </c>
      <c r="F54" s="216" t="s">
        <v>703</v>
      </c>
      <c r="G54" s="199"/>
      <c r="H54" s="198" t="s">
        <v>41</v>
      </c>
      <c r="I54" s="201" t="s">
        <v>88</v>
      </c>
      <c r="J54" s="199"/>
      <c r="K54" s="209"/>
      <c r="L54" s="209"/>
      <c r="M54" s="203"/>
      <c r="N54" s="210" t="s">
        <v>45</v>
      </c>
      <c r="O54" s="211" t="s">
        <v>584</v>
      </c>
      <c r="P54" s="199"/>
      <c r="Q54" s="215"/>
      <c r="R54" s="206"/>
      <c r="S54" s="201" t="s">
        <v>124</v>
      </c>
      <c r="T54" s="201" t="s">
        <v>704</v>
      </c>
      <c r="V54" s="207"/>
    </row>
    <row r="55" ht="15.75" customHeight="1">
      <c r="A55" s="196"/>
      <c r="B55" s="197">
        <v>45843.0</v>
      </c>
      <c r="C55" s="201" t="s">
        <v>344</v>
      </c>
      <c r="D55" s="199"/>
      <c r="E55" s="214" t="s">
        <v>705</v>
      </c>
      <c r="F55" s="198" t="s">
        <v>706</v>
      </c>
      <c r="G55" s="199"/>
      <c r="H55" s="198" t="s">
        <v>41</v>
      </c>
      <c r="I55" s="201" t="s">
        <v>131</v>
      </c>
      <c r="J55" s="199"/>
      <c r="K55" s="209"/>
      <c r="L55" s="209"/>
      <c r="M55" s="203"/>
      <c r="N55" s="204"/>
      <c r="O55" s="205"/>
      <c r="P55" s="199"/>
      <c r="Q55" s="215"/>
      <c r="R55" s="206"/>
      <c r="S55" s="199"/>
      <c r="T55" s="199"/>
      <c r="V55" s="207"/>
    </row>
    <row r="56" ht="15.75" customHeight="1">
      <c r="A56" s="196"/>
      <c r="B56" s="197">
        <v>45843.0</v>
      </c>
      <c r="C56" s="201" t="s">
        <v>707</v>
      </c>
      <c r="D56" s="199"/>
      <c r="E56" s="214" t="s">
        <v>708</v>
      </c>
      <c r="F56" s="214" t="s">
        <v>709</v>
      </c>
      <c r="G56" s="199"/>
      <c r="H56" s="198" t="s">
        <v>41</v>
      </c>
      <c r="I56" s="201" t="s">
        <v>88</v>
      </c>
      <c r="J56" s="199"/>
      <c r="K56" s="209"/>
      <c r="L56" s="209"/>
      <c r="M56" s="203"/>
      <c r="N56" s="210" t="s">
        <v>98</v>
      </c>
      <c r="O56" s="211" t="s">
        <v>647</v>
      </c>
      <c r="P56" s="199"/>
      <c r="Q56" s="199"/>
      <c r="R56" s="206"/>
      <c r="S56" s="201" t="s">
        <v>124</v>
      </c>
      <c r="T56" s="201" t="s">
        <v>710</v>
      </c>
      <c r="V56" s="207"/>
    </row>
    <row r="57" ht="15.75" customHeight="1">
      <c r="A57" s="196"/>
      <c r="B57" s="197">
        <v>45874.0</v>
      </c>
      <c r="C57" s="201" t="s">
        <v>490</v>
      </c>
      <c r="D57" s="199"/>
      <c r="E57" s="214" t="s">
        <v>711</v>
      </c>
      <c r="F57" s="214" t="s">
        <v>712</v>
      </c>
      <c r="G57" s="199"/>
      <c r="H57" s="198" t="s">
        <v>41</v>
      </c>
      <c r="I57" s="201" t="s">
        <v>181</v>
      </c>
      <c r="J57" s="199"/>
      <c r="K57" s="202">
        <v>8700.0</v>
      </c>
      <c r="L57" s="202">
        <v>2700.0</v>
      </c>
      <c r="M57" s="203"/>
      <c r="N57" s="204"/>
      <c r="O57" s="205"/>
      <c r="P57" s="199"/>
      <c r="Q57" s="201" t="s">
        <v>104</v>
      </c>
      <c r="R57" s="206"/>
      <c r="S57" s="201" t="s">
        <v>105</v>
      </c>
      <c r="T57" s="199"/>
      <c r="V57" s="207"/>
    </row>
    <row r="58" ht="15.75" customHeight="1">
      <c r="A58" s="196"/>
      <c r="B58" s="197">
        <v>45874.0</v>
      </c>
      <c r="C58" s="214" t="s">
        <v>713</v>
      </c>
      <c r="D58" s="199"/>
      <c r="E58" s="214" t="s">
        <v>714</v>
      </c>
      <c r="F58" s="214" t="s">
        <v>713</v>
      </c>
      <c r="G58" s="199"/>
      <c r="H58" s="198" t="s">
        <v>41</v>
      </c>
      <c r="I58" s="201" t="s">
        <v>88</v>
      </c>
      <c r="J58" s="199"/>
      <c r="K58" s="209"/>
      <c r="L58" s="209"/>
      <c r="M58" s="203"/>
      <c r="N58" s="210" t="s">
        <v>45</v>
      </c>
      <c r="O58" s="211" t="s">
        <v>584</v>
      </c>
      <c r="P58" s="199"/>
      <c r="Q58" s="199"/>
      <c r="R58" s="206"/>
      <c r="S58" s="201" t="s">
        <v>383</v>
      </c>
      <c r="T58" s="201" t="s">
        <v>715</v>
      </c>
      <c r="V58" s="207"/>
    </row>
    <row r="59" ht="15.75" customHeight="1">
      <c r="A59" s="196"/>
      <c r="B59" s="197">
        <v>45874.0</v>
      </c>
      <c r="C59" s="216" t="s">
        <v>716</v>
      </c>
      <c r="D59" s="199"/>
      <c r="E59" s="214" t="s">
        <v>717</v>
      </c>
      <c r="F59" s="216" t="s">
        <v>718</v>
      </c>
      <c r="G59" s="199"/>
      <c r="H59" s="198" t="s">
        <v>41</v>
      </c>
      <c r="I59" s="201" t="s">
        <v>181</v>
      </c>
      <c r="J59" s="199"/>
      <c r="K59" s="202">
        <v>5400.0</v>
      </c>
      <c r="L59" s="202">
        <v>2700.0</v>
      </c>
      <c r="M59" s="203"/>
      <c r="N59" s="204"/>
      <c r="O59" s="205"/>
      <c r="P59" s="199"/>
      <c r="Q59" s="201" t="s">
        <v>155</v>
      </c>
      <c r="R59" s="206"/>
      <c r="S59" s="201" t="s">
        <v>105</v>
      </c>
      <c r="T59" s="199"/>
      <c r="V59" s="207"/>
    </row>
    <row r="60" ht="15.75" customHeight="1">
      <c r="A60" s="196"/>
      <c r="B60" s="197">
        <v>45905.0</v>
      </c>
      <c r="C60" s="201" t="s">
        <v>719</v>
      </c>
      <c r="D60" s="199"/>
      <c r="E60" s="214" t="s">
        <v>720</v>
      </c>
      <c r="F60" s="214" t="s">
        <v>721</v>
      </c>
      <c r="G60" s="199"/>
      <c r="H60" s="198" t="s">
        <v>41</v>
      </c>
      <c r="I60" s="201" t="s">
        <v>88</v>
      </c>
      <c r="J60" s="199"/>
      <c r="K60" s="209"/>
      <c r="L60" s="209"/>
      <c r="M60" s="203"/>
      <c r="N60" s="210" t="s">
        <v>98</v>
      </c>
      <c r="O60" s="211" t="s">
        <v>722</v>
      </c>
      <c r="P60" s="199"/>
      <c r="Q60" s="199"/>
      <c r="R60" s="206"/>
      <c r="S60" s="201" t="s">
        <v>124</v>
      </c>
      <c r="T60" s="201" t="s">
        <v>723</v>
      </c>
      <c r="V60" s="207"/>
    </row>
    <row r="61" ht="15.75" customHeight="1">
      <c r="A61" s="196"/>
      <c r="B61" s="197">
        <v>45905.0</v>
      </c>
      <c r="C61" s="201" t="s">
        <v>724</v>
      </c>
      <c r="D61" s="199"/>
      <c r="E61" s="214" t="s">
        <v>725</v>
      </c>
      <c r="F61" s="214" t="s">
        <v>726</v>
      </c>
      <c r="G61" s="199"/>
      <c r="H61" s="198" t="s">
        <v>41</v>
      </c>
      <c r="I61" s="201" t="s">
        <v>103</v>
      </c>
      <c r="J61" s="199"/>
      <c r="K61" s="202">
        <v>5000.0</v>
      </c>
      <c r="L61" s="202">
        <v>5000.0</v>
      </c>
      <c r="M61" s="203"/>
      <c r="N61" s="204"/>
      <c r="O61" s="205"/>
      <c r="P61" s="199"/>
      <c r="Q61" s="201" t="s">
        <v>357</v>
      </c>
      <c r="R61" s="206"/>
      <c r="S61" s="201" t="s">
        <v>105</v>
      </c>
      <c r="T61" s="199"/>
      <c r="V61" s="207"/>
    </row>
    <row r="62" ht="15.75" customHeight="1">
      <c r="A62" s="196"/>
      <c r="B62" s="197">
        <v>45935.0</v>
      </c>
      <c r="C62" s="201" t="s">
        <v>727</v>
      </c>
      <c r="D62" s="199"/>
      <c r="E62" s="214" t="s">
        <v>728</v>
      </c>
      <c r="F62" s="214" t="s">
        <v>729</v>
      </c>
      <c r="G62" s="199"/>
      <c r="H62" s="198" t="s">
        <v>41</v>
      </c>
      <c r="I62" s="201" t="s">
        <v>131</v>
      </c>
      <c r="J62" s="199"/>
      <c r="K62" s="209"/>
      <c r="L62" s="209"/>
      <c r="M62" s="203"/>
      <c r="N62" s="204"/>
      <c r="O62" s="205"/>
      <c r="P62" s="199"/>
      <c r="Q62" s="199"/>
      <c r="R62" s="206"/>
      <c r="S62" s="199"/>
      <c r="T62" s="199"/>
      <c r="V62" s="207"/>
    </row>
    <row r="63" ht="15.75" customHeight="1">
      <c r="A63" s="196"/>
      <c r="B63" s="197">
        <v>45935.0</v>
      </c>
      <c r="C63" s="201" t="s">
        <v>597</v>
      </c>
      <c r="D63" s="199"/>
      <c r="E63" s="214" t="s">
        <v>730</v>
      </c>
      <c r="F63" s="214" t="s">
        <v>731</v>
      </c>
      <c r="G63" s="199"/>
      <c r="H63" s="198" t="s">
        <v>41</v>
      </c>
      <c r="I63" s="201" t="s">
        <v>181</v>
      </c>
      <c r="J63" s="199"/>
      <c r="K63" s="202">
        <v>8700.0</v>
      </c>
      <c r="L63" s="202">
        <v>2700.0</v>
      </c>
      <c r="M63" s="203"/>
      <c r="N63" s="204"/>
      <c r="O63" s="205"/>
      <c r="P63" s="199"/>
      <c r="Q63" s="201" t="s">
        <v>104</v>
      </c>
      <c r="R63" s="206"/>
      <c r="S63" s="201" t="s">
        <v>105</v>
      </c>
      <c r="T63" s="201" t="s">
        <v>732</v>
      </c>
      <c r="V63" s="207"/>
    </row>
    <row r="64" ht="15.75" customHeight="1">
      <c r="A64" s="196"/>
      <c r="B64" s="197">
        <v>45935.0</v>
      </c>
      <c r="C64" s="201" t="s">
        <v>733</v>
      </c>
      <c r="D64" s="199"/>
      <c r="E64" s="214" t="s">
        <v>734</v>
      </c>
      <c r="F64" s="214" t="s">
        <v>735</v>
      </c>
      <c r="G64" s="199"/>
      <c r="H64" s="198" t="s">
        <v>41</v>
      </c>
      <c r="I64" s="201" t="s">
        <v>88</v>
      </c>
      <c r="J64" s="199"/>
      <c r="K64" s="209"/>
      <c r="L64" s="209"/>
      <c r="M64" s="203"/>
      <c r="N64" s="210" t="s">
        <v>45</v>
      </c>
      <c r="O64" s="211" t="s">
        <v>584</v>
      </c>
      <c r="P64" s="199"/>
      <c r="Q64" s="215"/>
      <c r="R64" s="206"/>
      <c r="S64" s="201" t="s">
        <v>383</v>
      </c>
      <c r="T64" s="201" t="s">
        <v>736</v>
      </c>
      <c r="V64" s="207"/>
    </row>
    <row r="65" ht="15.75" customHeight="1">
      <c r="A65" s="196"/>
      <c r="B65" s="197">
        <v>45966.0</v>
      </c>
      <c r="C65" s="201" t="s">
        <v>627</v>
      </c>
      <c r="D65" s="199"/>
      <c r="E65" s="214" t="s">
        <v>737</v>
      </c>
      <c r="F65" s="214" t="s">
        <v>738</v>
      </c>
      <c r="G65" s="199"/>
      <c r="H65" s="198" t="s">
        <v>41</v>
      </c>
      <c r="I65" s="201" t="s">
        <v>110</v>
      </c>
      <c r="J65" s="199"/>
      <c r="K65" s="209"/>
      <c r="L65" s="209"/>
      <c r="M65" s="203"/>
      <c r="N65" s="204"/>
      <c r="O65" s="211" t="s">
        <v>739</v>
      </c>
      <c r="P65" s="199"/>
      <c r="Q65" s="215"/>
      <c r="R65" s="206"/>
      <c r="S65" s="199"/>
      <c r="T65" s="199"/>
      <c r="V65" s="207"/>
    </row>
    <row r="66" ht="15.75" customHeight="1">
      <c r="A66" s="196"/>
      <c r="B66" s="197">
        <v>45966.0</v>
      </c>
      <c r="C66" s="201" t="s">
        <v>393</v>
      </c>
      <c r="D66" s="199"/>
      <c r="E66" s="214" t="s">
        <v>740</v>
      </c>
      <c r="F66" s="214" t="s">
        <v>741</v>
      </c>
      <c r="G66" s="199"/>
      <c r="H66" s="198" t="s">
        <v>41</v>
      </c>
      <c r="I66" s="201" t="s">
        <v>131</v>
      </c>
      <c r="J66" s="199"/>
      <c r="K66" s="209"/>
      <c r="L66" s="209"/>
      <c r="M66" s="203"/>
      <c r="N66" s="204"/>
      <c r="O66" s="205"/>
      <c r="P66" s="199"/>
      <c r="Q66" s="199"/>
      <c r="R66" s="206"/>
      <c r="S66" s="199"/>
      <c r="T66" s="199"/>
      <c r="V66" s="207"/>
    </row>
    <row r="67" ht="15.75" customHeight="1">
      <c r="A67" s="196"/>
      <c r="B67" s="197">
        <v>45966.0</v>
      </c>
      <c r="C67" s="214" t="s">
        <v>742</v>
      </c>
      <c r="D67" s="199"/>
      <c r="E67" s="214" t="s">
        <v>743</v>
      </c>
      <c r="F67" s="214" t="s">
        <v>742</v>
      </c>
      <c r="G67" s="199"/>
      <c r="H67" s="198" t="s">
        <v>41</v>
      </c>
      <c r="I67" s="201" t="s">
        <v>110</v>
      </c>
      <c r="J67" s="199"/>
      <c r="K67" s="209"/>
      <c r="L67" s="209"/>
      <c r="M67" s="203"/>
      <c r="N67" s="204"/>
      <c r="O67" s="205"/>
      <c r="P67" s="199"/>
      <c r="Q67" s="199"/>
      <c r="R67" s="206"/>
      <c r="S67" s="199"/>
      <c r="T67" s="199"/>
      <c r="V67" s="207"/>
    </row>
    <row r="68" ht="15.75" customHeight="1">
      <c r="A68" s="196"/>
      <c r="B68" s="197">
        <v>45966.0</v>
      </c>
      <c r="C68" s="201" t="s">
        <v>252</v>
      </c>
      <c r="D68" s="199"/>
      <c r="E68" s="214" t="s">
        <v>744</v>
      </c>
      <c r="F68" s="214" t="s">
        <v>745</v>
      </c>
      <c r="G68" s="199"/>
      <c r="H68" s="198" t="s">
        <v>41</v>
      </c>
      <c r="I68" s="201" t="s">
        <v>88</v>
      </c>
      <c r="J68" s="199"/>
      <c r="K68" s="209"/>
      <c r="L68" s="209"/>
      <c r="M68" s="203"/>
      <c r="N68" s="210" t="s">
        <v>45</v>
      </c>
      <c r="O68" s="211" t="s">
        <v>584</v>
      </c>
      <c r="P68" s="199"/>
      <c r="Q68" s="215"/>
      <c r="R68" s="206"/>
      <c r="S68" s="201" t="s">
        <v>124</v>
      </c>
      <c r="T68" s="201" t="s">
        <v>746</v>
      </c>
      <c r="V68" s="207"/>
    </row>
    <row r="69" ht="15.75" customHeight="1">
      <c r="A69" s="196"/>
      <c r="B69" s="197">
        <v>45966.0</v>
      </c>
      <c r="C69" s="201" t="s">
        <v>252</v>
      </c>
      <c r="D69" s="199"/>
      <c r="E69" s="214" t="s">
        <v>747</v>
      </c>
      <c r="F69" s="214" t="s">
        <v>748</v>
      </c>
      <c r="G69" s="199"/>
      <c r="H69" s="198" t="s">
        <v>41</v>
      </c>
      <c r="I69" s="201" t="s">
        <v>88</v>
      </c>
      <c r="J69" s="199"/>
      <c r="K69" s="209"/>
      <c r="L69" s="209"/>
      <c r="M69" s="203"/>
      <c r="N69" s="210" t="s">
        <v>45</v>
      </c>
      <c r="O69" s="211" t="s">
        <v>584</v>
      </c>
      <c r="P69" s="199"/>
      <c r="Q69" s="199"/>
      <c r="R69" s="206"/>
      <c r="S69" s="201" t="s">
        <v>124</v>
      </c>
      <c r="T69" s="201" t="s">
        <v>749</v>
      </c>
      <c r="V69" s="207"/>
    </row>
    <row r="70" ht="15.75" customHeight="1">
      <c r="A70" s="196"/>
      <c r="B70" s="197">
        <v>45996.0</v>
      </c>
      <c r="C70" s="214" t="s">
        <v>262</v>
      </c>
      <c r="D70" s="199"/>
      <c r="E70" s="214" t="s">
        <v>750</v>
      </c>
      <c r="F70" s="198" t="s">
        <v>751</v>
      </c>
      <c r="G70" s="199"/>
      <c r="H70" s="198" t="s">
        <v>41</v>
      </c>
      <c r="I70" s="201" t="s">
        <v>88</v>
      </c>
      <c r="J70" s="199"/>
      <c r="K70" s="209"/>
      <c r="L70" s="209"/>
      <c r="M70" s="203"/>
      <c r="N70" s="210" t="s">
        <v>45</v>
      </c>
      <c r="O70" s="211" t="s">
        <v>584</v>
      </c>
      <c r="P70" s="199"/>
      <c r="Q70" s="215"/>
      <c r="R70" s="206"/>
      <c r="S70" s="201" t="s">
        <v>124</v>
      </c>
      <c r="T70" s="201" t="s">
        <v>752</v>
      </c>
      <c r="V70" s="207"/>
    </row>
    <row r="71" ht="15.75" customHeight="1">
      <c r="A71" s="196"/>
      <c r="B71" s="197">
        <v>45996.0</v>
      </c>
      <c r="C71" s="201" t="s">
        <v>753</v>
      </c>
      <c r="D71" s="199"/>
      <c r="E71" s="214" t="s">
        <v>754</v>
      </c>
      <c r="F71" s="198" t="s">
        <v>755</v>
      </c>
      <c r="G71" s="199"/>
      <c r="H71" s="198" t="s">
        <v>41</v>
      </c>
      <c r="I71" s="201" t="s">
        <v>131</v>
      </c>
      <c r="J71" s="199"/>
      <c r="K71" s="209"/>
      <c r="L71" s="209"/>
      <c r="M71" s="203"/>
      <c r="N71" s="204"/>
      <c r="O71" s="205"/>
      <c r="P71" s="199"/>
      <c r="Q71" s="215"/>
      <c r="R71" s="206"/>
      <c r="S71" s="199"/>
      <c r="T71" s="199"/>
      <c r="V71" s="207"/>
    </row>
    <row r="72" ht="15.75" customHeight="1">
      <c r="A72" s="196"/>
      <c r="B72" s="197">
        <v>45996.0</v>
      </c>
      <c r="C72" s="201" t="s">
        <v>756</v>
      </c>
      <c r="D72" s="199"/>
      <c r="E72" s="214" t="s">
        <v>757</v>
      </c>
      <c r="F72" s="214" t="s">
        <v>758</v>
      </c>
      <c r="G72" s="199"/>
      <c r="H72" s="198" t="s">
        <v>41</v>
      </c>
      <c r="I72" s="201" t="s">
        <v>88</v>
      </c>
      <c r="J72" s="199"/>
      <c r="K72" s="209"/>
      <c r="L72" s="209"/>
      <c r="M72" s="203"/>
      <c r="N72" s="210" t="s">
        <v>45</v>
      </c>
      <c r="O72" s="211" t="s">
        <v>584</v>
      </c>
      <c r="P72" s="199"/>
      <c r="Q72" s="215"/>
      <c r="R72" s="206"/>
      <c r="S72" s="201" t="s">
        <v>383</v>
      </c>
      <c r="T72" s="201" t="s">
        <v>759</v>
      </c>
      <c r="V72" s="207"/>
    </row>
    <row r="73" ht="15.75" customHeight="1">
      <c r="A73" s="196"/>
      <c r="B73" s="197">
        <v>45996.0</v>
      </c>
      <c r="C73" s="214" t="s">
        <v>760</v>
      </c>
      <c r="D73" s="199"/>
      <c r="E73" s="214" t="s">
        <v>761</v>
      </c>
      <c r="F73" s="214" t="s">
        <v>760</v>
      </c>
      <c r="G73" s="199"/>
      <c r="H73" s="198" t="s">
        <v>41</v>
      </c>
      <c r="I73" s="201" t="s">
        <v>88</v>
      </c>
      <c r="J73" s="199"/>
      <c r="K73" s="209"/>
      <c r="L73" s="209"/>
      <c r="M73" s="203"/>
      <c r="N73" s="210" t="s">
        <v>45</v>
      </c>
      <c r="O73" s="211" t="s">
        <v>584</v>
      </c>
      <c r="P73" s="199"/>
      <c r="Q73" s="199"/>
      <c r="R73" s="206"/>
      <c r="S73" s="201" t="s">
        <v>383</v>
      </c>
      <c r="T73" s="201" t="s">
        <v>762</v>
      </c>
      <c r="V73" s="207"/>
    </row>
    <row r="74" ht="15.75" customHeight="1">
      <c r="A74" s="196"/>
      <c r="B74" s="197">
        <v>45996.0</v>
      </c>
      <c r="C74" s="214" t="s">
        <v>763</v>
      </c>
      <c r="D74" s="199"/>
      <c r="E74" s="214" t="s">
        <v>764</v>
      </c>
      <c r="F74" s="214" t="s">
        <v>765</v>
      </c>
      <c r="G74" s="199"/>
      <c r="H74" s="198" t="s">
        <v>41</v>
      </c>
      <c r="I74" s="201" t="s">
        <v>88</v>
      </c>
      <c r="J74" s="199"/>
      <c r="K74" s="209"/>
      <c r="L74" s="209"/>
      <c r="M74" s="203"/>
      <c r="N74" s="204"/>
      <c r="O74" s="211" t="s">
        <v>766</v>
      </c>
      <c r="P74" s="199"/>
      <c r="Q74" s="199"/>
      <c r="R74" s="206"/>
      <c r="S74" s="201" t="s">
        <v>90</v>
      </c>
      <c r="T74" s="201" t="s">
        <v>766</v>
      </c>
      <c r="V74" s="207"/>
    </row>
    <row r="75" ht="15.75" customHeight="1">
      <c r="A75" s="196"/>
      <c r="B75" s="198" t="s">
        <v>767</v>
      </c>
      <c r="C75" s="201" t="s">
        <v>768</v>
      </c>
      <c r="D75" s="199"/>
      <c r="E75" s="139" t="s">
        <v>769</v>
      </c>
      <c r="F75" s="139" t="s">
        <v>770</v>
      </c>
      <c r="G75" s="199"/>
      <c r="H75" s="198" t="s">
        <v>41</v>
      </c>
      <c r="I75" s="201" t="s">
        <v>88</v>
      </c>
      <c r="J75" s="199"/>
      <c r="K75" s="209"/>
      <c r="L75" s="209"/>
      <c r="M75" s="203"/>
      <c r="N75" s="210" t="s">
        <v>45</v>
      </c>
      <c r="O75" s="211" t="s">
        <v>584</v>
      </c>
      <c r="P75" s="199"/>
      <c r="Q75" s="215"/>
      <c r="R75" s="206"/>
      <c r="S75" s="201" t="s">
        <v>383</v>
      </c>
      <c r="T75" s="201" t="s">
        <v>771</v>
      </c>
      <c r="V75" s="207"/>
    </row>
    <row r="76" ht="15.75" customHeight="1">
      <c r="A76" s="196"/>
      <c r="B76" s="198" t="s">
        <v>767</v>
      </c>
      <c r="C76" s="201" t="s">
        <v>772</v>
      </c>
      <c r="D76" s="199"/>
      <c r="E76" s="139" t="s">
        <v>773</v>
      </c>
      <c r="F76" s="139" t="s">
        <v>774</v>
      </c>
      <c r="G76" s="199"/>
      <c r="H76" s="198" t="s">
        <v>41</v>
      </c>
      <c r="I76" s="201" t="s">
        <v>88</v>
      </c>
      <c r="J76" s="199"/>
      <c r="K76" s="209"/>
      <c r="L76" s="209"/>
      <c r="M76" s="203"/>
      <c r="N76" s="210" t="s">
        <v>45</v>
      </c>
      <c r="O76" s="211" t="s">
        <v>584</v>
      </c>
      <c r="P76" s="199"/>
      <c r="Q76" s="199"/>
      <c r="R76" s="206"/>
      <c r="S76" s="201" t="s">
        <v>383</v>
      </c>
      <c r="T76" s="201" t="s">
        <v>775</v>
      </c>
      <c r="V76" s="207"/>
    </row>
    <row r="77" ht="15.75" customHeight="1">
      <c r="A77" s="196"/>
      <c r="B77" s="198" t="s">
        <v>776</v>
      </c>
      <c r="C77" s="139" t="s">
        <v>777</v>
      </c>
      <c r="D77" s="199"/>
      <c r="E77" s="198" t="s">
        <v>778</v>
      </c>
      <c r="F77" s="139" t="s">
        <v>779</v>
      </c>
      <c r="G77" s="199"/>
      <c r="H77" s="198" t="s">
        <v>41</v>
      </c>
      <c r="I77" s="201" t="s">
        <v>181</v>
      </c>
      <c r="J77" s="199"/>
      <c r="K77" s="202">
        <v>8700.0</v>
      </c>
      <c r="L77" s="202">
        <v>2700.0</v>
      </c>
      <c r="M77" s="203"/>
      <c r="N77" s="204"/>
      <c r="O77" s="205"/>
      <c r="P77" s="199"/>
      <c r="Q77" s="201" t="s">
        <v>104</v>
      </c>
      <c r="R77" s="206"/>
      <c r="S77" s="201" t="s">
        <v>105</v>
      </c>
      <c r="T77" s="199"/>
      <c r="V77" s="207"/>
    </row>
    <row r="78" ht="15.75" customHeight="1">
      <c r="A78" s="196"/>
      <c r="B78" s="198" t="s">
        <v>776</v>
      </c>
      <c r="C78" s="201" t="s">
        <v>410</v>
      </c>
      <c r="D78" s="199"/>
      <c r="E78" s="139" t="s">
        <v>780</v>
      </c>
      <c r="F78" s="139" t="s">
        <v>781</v>
      </c>
      <c r="G78" s="199"/>
      <c r="H78" s="198" t="s">
        <v>41</v>
      </c>
      <c r="I78" s="201" t="s">
        <v>181</v>
      </c>
      <c r="J78" s="199"/>
      <c r="K78" s="202" t="s">
        <v>782</v>
      </c>
      <c r="L78" s="202">
        <v>2700.0</v>
      </c>
      <c r="M78" s="203"/>
      <c r="N78" s="204"/>
      <c r="O78" s="205"/>
      <c r="P78" s="199"/>
      <c r="Q78" s="201" t="s">
        <v>155</v>
      </c>
      <c r="R78" s="206"/>
      <c r="S78" s="201" t="s">
        <v>105</v>
      </c>
      <c r="T78" s="199"/>
      <c r="V78" s="207"/>
    </row>
    <row r="79" ht="15.75" customHeight="1">
      <c r="A79" s="196"/>
      <c r="B79" s="198" t="s">
        <v>776</v>
      </c>
      <c r="C79" s="201" t="s">
        <v>597</v>
      </c>
      <c r="D79" s="199"/>
      <c r="E79" s="139" t="s">
        <v>783</v>
      </c>
      <c r="F79" s="139" t="s">
        <v>784</v>
      </c>
      <c r="G79" s="199"/>
      <c r="H79" s="198" t="s">
        <v>41</v>
      </c>
      <c r="I79" s="201" t="s">
        <v>88</v>
      </c>
      <c r="J79" s="199"/>
      <c r="K79" s="209"/>
      <c r="L79" s="209"/>
      <c r="M79" s="203"/>
      <c r="N79" s="210" t="s">
        <v>45</v>
      </c>
      <c r="O79" s="211" t="s">
        <v>785</v>
      </c>
      <c r="P79" s="199"/>
      <c r="Q79" s="215"/>
      <c r="R79" s="206"/>
      <c r="S79" s="201" t="s">
        <v>124</v>
      </c>
      <c r="T79" s="201" t="s">
        <v>786</v>
      </c>
      <c r="V79" s="207"/>
    </row>
    <row r="80" ht="15.75" customHeight="1">
      <c r="A80" s="196"/>
      <c r="B80" s="198" t="s">
        <v>776</v>
      </c>
      <c r="C80" s="201" t="s">
        <v>322</v>
      </c>
      <c r="D80" s="199"/>
      <c r="E80" s="139" t="s">
        <v>787</v>
      </c>
      <c r="F80" s="139" t="s">
        <v>788</v>
      </c>
      <c r="G80" s="199"/>
      <c r="H80" s="198" t="s">
        <v>41</v>
      </c>
      <c r="I80" s="201" t="s">
        <v>131</v>
      </c>
      <c r="J80" s="199"/>
      <c r="K80" s="209"/>
      <c r="L80" s="209"/>
      <c r="M80" s="203"/>
      <c r="N80" s="204"/>
      <c r="O80" s="205"/>
      <c r="P80" s="199"/>
      <c r="Q80" s="215"/>
      <c r="R80" s="206"/>
      <c r="S80" s="199"/>
      <c r="T80" s="199"/>
      <c r="V80" s="207"/>
    </row>
    <row r="81" ht="15.75" customHeight="1">
      <c r="A81" s="196"/>
      <c r="B81" s="198" t="s">
        <v>776</v>
      </c>
      <c r="C81" s="201" t="s">
        <v>789</v>
      </c>
      <c r="D81" s="199"/>
      <c r="E81" s="139" t="s">
        <v>790</v>
      </c>
      <c r="F81" s="139" t="s">
        <v>789</v>
      </c>
      <c r="G81" s="199"/>
      <c r="H81" s="198" t="s">
        <v>41</v>
      </c>
      <c r="I81" s="201" t="s">
        <v>110</v>
      </c>
      <c r="J81" s="199"/>
      <c r="K81" s="209"/>
      <c r="L81" s="202">
        <v>100.0</v>
      </c>
      <c r="M81" s="203"/>
      <c r="N81" s="204"/>
      <c r="O81" s="205"/>
      <c r="P81" s="199"/>
      <c r="Q81" s="201"/>
      <c r="R81" s="206"/>
      <c r="S81" s="201" t="s">
        <v>124</v>
      </c>
      <c r="T81" s="201" t="s">
        <v>791</v>
      </c>
      <c r="V81" s="207"/>
    </row>
    <row r="82" ht="15.75" customHeight="1">
      <c r="A82" s="196"/>
      <c r="B82" s="198" t="s">
        <v>776</v>
      </c>
      <c r="C82" s="139" t="s">
        <v>792</v>
      </c>
      <c r="D82" s="199"/>
      <c r="E82" s="139" t="s">
        <v>793</v>
      </c>
      <c r="F82" s="139" t="s">
        <v>792</v>
      </c>
      <c r="G82" s="199"/>
      <c r="H82" s="198" t="s">
        <v>41</v>
      </c>
      <c r="I82" s="201" t="s">
        <v>88</v>
      </c>
      <c r="J82" s="199"/>
      <c r="K82" s="209"/>
      <c r="L82" s="209"/>
      <c r="M82" s="203"/>
      <c r="N82" s="210" t="s">
        <v>45</v>
      </c>
      <c r="O82" s="211" t="s">
        <v>584</v>
      </c>
      <c r="P82" s="199"/>
      <c r="Q82" s="199"/>
      <c r="R82" s="206"/>
      <c r="S82" s="201" t="s">
        <v>124</v>
      </c>
      <c r="T82" s="201" t="s">
        <v>794</v>
      </c>
      <c r="V82" s="207"/>
    </row>
    <row r="83" ht="15.75" customHeight="1">
      <c r="A83" s="196"/>
      <c r="B83" s="198" t="s">
        <v>776</v>
      </c>
      <c r="C83" s="139" t="s">
        <v>795</v>
      </c>
      <c r="D83" s="199"/>
      <c r="E83" s="139" t="s">
        <v>796</v>
      </c>
      <c r="F83" s="139" t="s">
        <v>795</v>
      </c>
      <c r="G83" s="199"/>
      <c r="H83" s="198" t="s">
        <v>41</v>
      </c>
      <c r="I83" s="201" t="s">
        <v>131</v>
      </c>
      <c r="J83" s="199"/>
      <c r="K83" s="209"/>
      <c r="L83" s="209"/>
      <c r="M83" s="203"/>
      <c r="N83" s="204"/>
      <c r="O83" s="205"/>
      <c r="P83" s="199"/>
      <c r="Q83" s="215"/>
      <c r="R83" s="206"/>
      <c r="S83" s="199"/>
      <c r="T83" s="199"/>
      <c r="V83" s="207"/>
    </row>
    <row r="84" ht="15.75" customHeight="1">
      <c r="A84" s="196"/>
      <c r="B84" s="198" t="s">
        <v>776</v>
      </c>
      <c r="C84" s="198" t="s">
        <v>483</v>
      </c>
      <c r="D84" s="199"/>
      <c r="E84" s="139" t="s">
        <v>797</v>
      </c>
      <c r="F84" s="139" t="s">
        <v>798</v>
      </c>
      <c r="G84" s="199"/>
      <c r="H84" s="198" t="s">
        <v>41</v>
      </c>
      <c r="I84" s="201" t="s">
        <v>181</v>
      </c>
      <c r="J84" s="199"/>
      <c r="K84" s="202">
        <v>8700.0</v>
      </c>
      <c r="L84" s="202">
        <v>2700.0</v>
      </c>
      <c r="M84" s="203"/>
      <c r="N84" s="204"/>
      <c r="O84" s="205"/>
      <c r="P84" s="199"/>
      <c r="Q84" s="201" t="s">
        <v>104</v>
      </c>
      <c r="R84" s="206"/>
      <c r="S84" s="201" t="s">
        <v>105</v>
      </c>
      <c r="T84" s="199"/>
      <c r="V84" s="207"/>
    </row>
    <row r="85" ht="15.75" customHeight="1">
      <c r="A85" s="196"/>
      <c r="B85" s="198" t="s">
        <v>799</v>
      </c>
      <c r="C85" s="198" t="s">
        <v>213</v>
      </c>
      <c r="D85" s="199"/>
      <c r="E85" s="139" t="s">
        <v>800</v>
      </c>
      <c r="F85" s="139" t="s">
        <v>801</v>
      </c>
      <c r="G85" s="199"/>
      <c r="H85" s="198" t="s">
        <v>41</v>
      </c>
      <c r="I85" s="201" t="s">
        <v>181</v>
      </c>
      <c r="J85" s="199"/>
      <c r="K85" s="202">
        <v>8700.0</v>
      </c>
      <c r="L85" s="202">
        <v>2700.0</v>
      </c>
      <c r="M85" s="203"/>
      <c r="N85" s="204"/>
      <c r="O85" s="205"/>
      <c r="P85" s="199"/>
      <c r="Q85" s="201" t="s">
        <v>104</v>
      </c>
      <c r="R85" s="206"/>
      <c r="S85" s="201" t="s">
        <v>105</v>
      </c>
      <c r="T85" s="199"/>
      <c r="V85" s="207"/>
    </row>
    <row r="86" ht="15.75" customHeight="1">
      <c r="A86" s="196"/>
      <c r="B86" s="198" t="s">
        <v>799</v>
      </c>
      <c r="C86" s="198" t="s">
        <v>802</v>
      </c>
      <c r="D86" s="199"/>
      <c r="E86" s="139" t="s">
        <v>803</v>
      </c>
      <c r="F86" s="139" t="s">
        <v>804</v>
      </c>
      <c r="G86" s="199"/>
      <c r="H86" s="198" t="s">
        <v>41</v>
      </c>
      <c r="I86" s="201" t="s">
        <v>181</v>
      </c>
      <c r="J86" s="199"/>
      <c r="K86" s="202">
        <v>8700.0</v>
      </c>
      <c r="L86" s="202">
        <v>2700.0</v>
      </c>
      <c r="M86" s="203"/>
      <c r="N86" s="210"/>
      <c r="O86" s="211"/>
      <c r="P86" s="199"/>
      <c r="Q86" s="201" t="s">
        <v>104</v>
      </c>
      <c r="R86" s="206"/>
      <c r="S86" s="201" t="s">
        <v>105</v>
      </c>
      <c r="T86" s="201"/>
      <c r="V86" s="207"/>
    </row>
    <row r="87" ht="15.75" customHeight="1">
      <c r="A87" s="196"/>
      <c r="B87" s="198" t="s">
        <v>799</v>
      </c>
      <c r="C87" s="198" t="s">
        <v>624</v>
      </c>
      <c r="D87" s="199"/>
      <c r="E87" s="139" t="s">
        <v>805</v>
      </c>
      <c r="F87" s="139" t="s">
        <v>806</v>
      </c>
      <c r="G87" s="199"/>
      <c r="H87" s="198" t="s">
        <v>41</v>
      </c>
      <c r="I87" s="201" t="s">
        <v>131</v>
      </c>
      <c r="L87" s="209"/>
      <c r="M87" s="203"/>
      <c r="N87" s="210"/>
      <c r="O87" s="211"/>
      <c r="P87" s="199"/>
      <c r="Q87" s="215"/>
      <c r="R87" s="206"/>
      <c r="S87" s="201"/>
      <c r="T87" s="201"/>
      <c r="V87" s="207"/>
    </row>
    <row r="88" ht="15.75" customHeight="1">
      <c r="A88" s="196"/>
      <c r="B88" s="198" t="s">
        <v>799</v>
      </c>
      <c r="C88" s="139" t="s">
        <v>807</v>
      </c>
      <c r="D88" s="199"/>
      <c r="E88" s="139" t="s">
        <v>808</v>
      </c>
      <c r="F88" s="139" t="s">
        <v>807</v>
      </c>
      <c r="G88" s="199"/>
      <c r="H88" s="198" t="s">
        <v>41</v>
      </c>
      <c r="I88" s="201" t="s">
        <v>88</v>
      </c>
      <c r="J88" s="217"/>
      <c r="L88" s="209"/>
      <c r="M88" s="203"/>
      <c r="N88" s="210" t="s">
        <v>98</v>
      </c>
      <c r="O88" s="211" t="s">
        <v>809</v>
      </c>
      <c r="P88" s="199"/>
      <c r="Q88" s="215"/>
      <c r="R88" s="206"/>
      <c r="S88" s="201" t="s">
        <v>124</v>
      </c>
      <c r="T88" s="201" t="s">
        <v>810</v>
      </c>
      <c r="V88" s="207"/>
    </row>
    <row r="89" ht="15.75" customHeight="1">
      <c r="A89" s="196"/>
      <c r="B89" s="198" t="s">
        <v>799</v>
      </c>
      <c r="C89" s="198" t="s">
        <v>639</v>
      </c>
      <c r="D89" s="199"/>
      <c r="E89" s="139" t="s">
        <v>811</v>
      </c>
      <c r="F89" s="139" t="s">
        <v>812</v>
      </c>
      <c r="G89" s="199"/>
      <c r="H89" s="198" t="s">
        <v>41</v>
      </c>
      <c r="I89" s="201" t="s">
        <v>88</v>
      </c>
      <c r="J89" s="199"/>
      <c r="K89" s="209"/>
      <c r="L89" s="209"/>
      <c r="M89" s="203"/>
      <c r="N89" s="210" t="s">
        <v>50</v>
      </c>
      <c r="O89" s="205"/>
      <c r="P89" s="199"/>
      <c r="Q89" s="201"/>
      <c r="R89" s="206"/>
      <c r="S89" s="201" t="s">
        <v>90</v>
      </c>
      <c r="T89" s="201" t="s">
        <v>813</v>
      </c>
      <c r="V89" s="207"/>
    </row>
    <row r="90" ht="15.75" customHeight="1">
      <c r="A90" s="196"/>
      <c r="B90" s="198" t="s">
        <v>799</v>
      </c>
      <c r="C90" s="198" t="s">
        <v>667</v>
      </c>
      <c r="D90" s="199"/>
      <c r="E90" s="139" t="s">
        <v>814</v>
      </c>
      <c r="F90" s="139" t="s">
        <v>815</v>
      </c>
      <c r="G90" s="199"/>
      <c r="H90" s="198" t="s">
        <v>41</v>
      </c>
      <c r="I90" s="201" t="s">
        <v>131</v>
      </c>
      <c r="J90" s="199"/>
      <c r="K90" s="209"/>
      <c r="L90" s="209"/>
      <c r="M90" s="203"/>
      <c r="N90" s="204"/>
      <c r="O90" s="205"/>
      <c r="P90" s="199"/>
      <c r="Q90" s="215"/>
      <c r="R90" s="206"/>
      <c r="S90" s="199"/>
      <c r="T90" s="199"/>
      <c r="V90" s="207"/>
    </row>
    <row r="91" ht="15.75" customHeight="1">
      <c r="A91" s="196"/>
      <c r="B91" s="198" t="s">
        <v>799</v>
      </c>
      <c r="C91" s="198" t="s">
        <v>816</v>
      </c>
      <c r="D91" s="199"/>
      <c r="E91" s="139" t="s">
        <v>817</v>
      </c>
      <c r="F91" s="139" t="s">
        <v>818</v>
      </c>
      <c r="G91" s="199"/>
      <c r="H91" s="198" t="s">
        <v>41</v>
      </c>
      <c r="I91" s="201" t="s">
        <v>88</v>
      </c>
      <c r="J91" s="199"/>
      <c r="K91" s="209"/>
      <c r="L91" s="209"/>
      <c r="M91" s="203"/>
      <c r="N91" s="210" t="s">
        <v>45</v>
      </c>
      <c r="O91" s="211" t="s">
        <v>396</v>
      </c>
      <c r="P91" s="199"/>
      <c r="Q91" s="199"/>
      <c r="R91" s="206"/>
      <c r="S91" s="201" t="s">
        <v>90</v>
      </c>
      <c r="T91" s="201" t="s">
        <v>819</v>
      </c>
      <c r="V91" s="207"/>
    </row>
    <row r="92" ht="15.75" customHeight="1">
      <c r="A92" s="196"/>
      <c r="B92" s="198" t="s">
        <v>820</v>
      </c>
      <c r="C92" s="198" t="s">
        <v>543</v>
      </c>
      <c r="D92" s="199"/>
      <c r="E92" s="139" t="s">
        <v>821</v>
      </c>
      <c r="F92" s="139" t="s">
        <v>822</v>
      </c>
      <c r="G92" s="199"/>
      <c r="H92" s="198" t="s">
        <v>41</v>
      </c>
      <c r="I92" s="201" t="s">
        <v>88</v>
      </c>
      <c r="J92" s="199"/>
      <c r="K92" s="209"/>
      <c r="L92" s="209"/>
      <c r="M92" s="203"/>
      <c r="N92" s="210" t="s">
        <v>98</v>
      </c>
      <c r="O92" s="211" t="s">
        <v>823</v>
      </c>
      <c r="P92" s="199"/>
      <c r="Q92" s="215"/>
      <c r="R92" s="206"/>
      <c r="S92" s="201" t="s">
        <v>124</v>
      </c>
      <c r="T92" s="201" t="s">
        <v>824</v>
      </c>
      <c r="V92" s="207"/>
    </row>
    <row r="93" ht="15.75" customHeight="1">
      <c r="A93" s="196"/>
      <c r="B93" s="198" t="s">
        <v>820</v>
      </c>
      <c r="C93" s="139" t="s">
        <v>825</v>
      </c>
      <c r="D93" s="199"/>
      <c r="E93" s="139" t="s">
        <v>826</v>
      </c>
      <c r="F93" s="139" t="s">
        <v>825</v>
      </c>
      <c r="G93" s="199"/>
      <c r="H93" s="198" t="s">
        <v>41</v>
      </c>
      <c r="I93" s="201" t="s">
        <v>88</v>
      </c>
      <c r="J93" s="199"/>
      <c r="K93" s="209"/>
      <c r="L93" s="209"/>
      <c r="M93" s="203"/>
      <c r="N93" s="210" t="s">
        <v>60</v>
      </c>
      <c r="O93" s="211" t="s">
        <v>827</v>
      </c>
      <c r="P93" s="199"/>
      <c r="Q93" s="215"/>
      <c r="R93" s="206"/>
      <c r="S93" s="201" t="s">
        <v>383</v>
      </c>
      <c r="T93" s="201" t="s">
        <v>828</v>
      </c>
      <c r="V93" s="207"/>
    </row>
    <row r="94" ht="15.75" customHeight="1">
      <c r="A94" s="196"/>
      <c r="B94" s="198" t="s">
        <v>829</v>
      </c>
      <c r="C94" s="198" t="s">
        <v>624</v>
      </c>
      <c r="D94" s="199"/>
      <c r="E94" s="139" t="s">
        <v>830</v>
      </c>
      <c r="F94" s="139" t="s">
        <v>831</v>
      </c>
      <c r="G94" s="199"/>
      <c r="H94" s="198" t="s">
        <v>41</v>
      </c>
      <c r="I94" s="201" t="s">
        <v>181</v>
      </c>
      <c r="J94" s="199"/>
      <c r="K94" s="202">
        <v>8700.0</v>
      </c>
      <c r="L94" s="202">
        <v>2700.0</v>
      </c>
      <c r="M94" s="203"/>
      <c r="N94" s="204"/>
      <c r="O94" s="205"/>
      <c r="P94" s="199"/>
      <c r="Q94" s="201" t="s">
        <v>104</v>
      </c>
      <c r="R94" s="206"/>
      <c r="S94" s="201" t="s">
        <v>105</v>
      </c>
      <c r="T94" s="199"/>
      <c r="V94" s="207"/>
    </row>
    <row r="95" ht="15.75" customHeight="1">
      <c r="A95" s="196"/>
      <c r="B95" s="198" t="s">
        <v>829</v>
      </c>
      <c r="C95" s="198" t="s">
        <v>531</v>
      </c>
      <c r="D95" s="199"/>
      <c r="E95" s="139" t="s">
        <v>832</v>
      </c>
      <c r="F95" s="139" t="s">
        <v>833</v>
      </c>
      <c r="G95" s="199"/>
      <c r="H95" s="198" t="s">
        <v>41</v>
      </c>
      <c r="I95" s="201" t="s">
        <v>88</v>
      </c>
      <c r="J95" s="199"/>
      <c r="K95" s="209"/>
      <c r="L95" s="209"/>
      <c r="M95" s="203"/>
      <c r="N95" s="210" t="s">
        <v>50</v>
      </c>
      <c r="O95" s="211" t="s">
        <v>834</v>
      </c>
      <c r="P95" s="199"/>
      <c r="Q95" s="215"/>
      <c r="R95" s="206"/>
      <c r="S95" s="201" t="s">
        <v>124</v>
      </c>
      <c r="T95" s="201" t="s">
        <v>835</v>
      </c>
      <c r="V95" s="207"/>
    </row>
    <row r="96" ht="15.75" customHeight="1">
      <c r="A96" s="196"/>
      <c r="B96" s="198" t="s">
        <v>829</v>
      </c>
      <c r="C96" s="198" t="s">
        <v>836</v>
      </c>
      <c r="D96" s="199"/>
      <c r="E96" s="139" t="s">
        <v>837</v>
      </c>
      <c r="F96" s="139" t="s">
        <v>838</v>
      </c>
      <c r="G96" s="199"/>
      <c r="H96" s="198" t="s">
        <v>41</v>
      </c>
      <c r="I96" s="201" t="s">
        <v>88</v>
      </c>
      <c r="J96" s="199"/>
      <c r="K96" s="209"/>
      <c r="L96" s="209"/>
      <c r="M96" s="203"/>
      <c r="N96" s="210" t="s">
        <v>45</v>
      </c>
      <c r="O96" s="211" t="s">
        <v>584</v>
      </c>
      <c r="P96" s="199"/>
      <c r="Q96" s="199"/>
      <c r="R96" s="206"/>
      <c r="S96" s="201" t="s">
        <v>124</v>
      </c>
      <c r="T96" s="201" t="s">
        <v>839</v>
      </c>
      <c r="V96" s="207"/>
    </row>
    <row r="97" ht="15.75" customHeight="1">
      <c r="A97" s="196"/>
      <c r="B97" s="198" t="s">
        <v>840</v>
      </c>
      <c r="C97" s="198" t="s">
        <v>772</v>
      </c>
      <c r="D97" s="199"/>
      <c r="E97" s="139" t="s">
        <v>841</v>
      </c>
      <c r="F97" s="139" t="s">
        <v>842</v>
      </c>
      <c r="G97" s="199"/>
      <c r="H97" s="198" t="s">
        <v>41</v>
      </c>
      <c r="I97" s="201" t="s">
        <v>181</v>
      </c>
      <c r="J97" s="199"/>
      <c r="K97" s="202">
        <v>8700.0</v>
      </c>
      <c r="L97" s="202">
        <v>2700.0</v>
      </c>
      <c r="M97" s="203"/>
      <c r="N97" s="204"/>
      <c r="O97" s="205"/>
      <c r="P97" s="199"/>
      <c r="Q97" s="201" t="s">
        <v>104</v>
      </c>
      <c r="R97" s="206"/>
      <c r="S97" s="201" t="s">
        <v>105</v>
      </c>
      <c r="T97" s="199"/>
      <c r="V97" s="207"/>
    </row>
    <row r="98" ht="15.75" customHeight="1">
      <c r="A98" s="196"/>
      <c r="B98" s="198" t="s">
        <v>840</v>
      </c>
      <c r="C98" s="198" t="s">
        <v>843</v>
      </c>
      <c r="D98" s="199"/>
      <c r="E98" s="139" t="s">
        <v>844</v>
      </c>
      <c r="F98" s="139" t="s">
        <v>845</v>
      </c>
      <c r="G98" s="199"/>
      <c r="H98" s="198" t="s">
        <v>41</v>
      </c>
      <c r="I98" s="201" t="s">
        <v>181</v>
      </c>
      <c r="J98" s="199"/>
      <c r="K98" s="202">
        <v>8200.0</v>
      </c>
      <c r="L98" s="202">
        <v>2200.0</v>
      </c>
      <c r="M98" s="203"/>
      <c r="N98" s="204"/>
      <c r="O98" s="205"/>
      <c r="P98" s="199"/>
      <c r="Q98" s="201" t="s">
        <v>104</v>
      </c>
      <c r="R98" s="206"/>
      <c r="S98" s="201" t="s">
        <v>105</v>
      </c>
      <c r="T98" s="199"/>
      <c r="V98" s="207"/>
    </row>
    <row r="99" ht="15.75" customHeight="1">
      <c r="A99" s="196"/>
      <c r="B99" s="198" t="s">
        <v>846</v>
      </c>
      <c r="C99" s="198" t="s">
        <v>847</v>
      </c>
      <c r="D99" s="199"/>
      <c r="E99" s="139" t="s">
        <v>848</v>
      </c>
      <c r="F99" s="139" t="s">
        <v>849</v>
      </c>
      <c r="G99" s="199"/>
      <c r="H99" s="198" t="s">
        <v>41</v>
      </c>
      <c r="I99" s="201" t="s">
        <v>181</v>
      </c>
      <c r="J99" s="199"/>
      <c r="K99" s="202">
        <v>8700.0</v>
      </c>
      <c r="L99" s="202">
        <v>2700.0</v>
      </c>
      <c r="M99" s="203"/>
      <c r="N99" s="204"/>
      <c r="O99" s="205"/>
      <c r="P99" s="199"/>
      <c r="Q99" s="201" t="s">
        <v>104</v>
      </c>
      <c r="R99" s="206"/>
      <c r="S99" s="201" t="s">
        <v>105</v>
      </c>
      <c r="T99" s="199"/>
      <c r="V99" s="207"/>
    </row>
    <row r="100" ht="15.75" customHeight="1">
      <c r="A100" s="196"/>
      <c r="B100" s="198" t="s">
        <v>846</v>
      </c>
      <c r="C100" s="198" t="s">
        <v>850</v>
      </c>
      <c r="D100" s="199"/>
      <c r="E100" s="139" t="s">
        <v>851</v>
      </c>
      <c r="F100" s="139" t="s">
        <v>852</v>
      </c>
      <c r="G100" s="199"/>
      <c r="H100" s="198" t="s">
        <v>41</v>
      </c>
      <c r="I100" s="201" t="s">
        <v>181</v>
      </c>
      <c r="J100" s="199"/>
      <c r="K100" s="202">
        <v>8700.0</v>
      </c>
      <c r="L100" s="202">
        <v>2700.0</v>
      </c>
      <c r="M100" s="203"/>
      <c r="N100" s="204"/>
      <c r="O100" s="205"/>
      <c r="P100" s="199"/>
      <c r="Q100" s="201" t="s">
        <v>104</v>
      </c>
      <c r="R100" s="206"/>
      <c r="S100" s="201" t="s">
        <v>105</v>
      </c>
      <c r="T100" s="199"/>
      <c r="V100" s="207"/>
    </row>
    <row r="101" ht="15.75" customHeight="1">
      <c r="A101" s="196"/>
      <c r="B101" s="198" t="s">
        <v>846</v>
      </c>
      <c r="C101" s="198" t="s">
        <v>853</v>
      </c>
      <c r="D101" s="199"/>
      <c r="E101" s="139" t="s">
        <v>854</v>
      </c>
      <c r="F101" s="139" t="s">
        <v>855</v>
      </c>
      <c r="G101" s="199"/>
      <c r="H101" s="198" t="s">
        <v>41</v>
      </c>
      <c r="I101" s="201" t="s">
        <v>110</v>
      </c>
      <c r="J101" s="199"/>
      <c r="K101" s="209"/>
      <c r="L101" s="209"/>
      <c r="M101" s="203"/>
      <c r="N101" s="204"/>
      <c r="O101" s="205"/>
      <c r="P101" s="199"/>
      <c r="Q101" s="199"/>
      <c r="R101" s="206"/>
      <c r="S101" s="199"/>
      <c r="T101" s="199"/>
      <c r="V101" s="207"/>
    </row>
    <row r="102" ht="15.75" customHeight="1">
      <c r="A102" s="196"/>
      <c r="B102" s="198" t="s">
        <v>846</v>
      </c>
      <c r="C102" s="198" t="s">
        <v>856</v>
      </c>
      <c r="D102" s="199"/>
      <c r="E102" s="139" t="s">
        <v>857</v>
      </c>
      <c r="F102" s="139" t="s">
        <v>858</v>
      </c>
      <c r="G102" s="199"/>
      <c r="H102" s="198" t="s">
        <v>41</v>
      </c>
      <c r="I102" s="201" t="s">
        <v>131</v>
      </c>
      <c r="J102" s="199"/>
      <c r="K102" s="209"/>
      <c r="L102" s="209"/>
      <c r="M102" s="203"/>
      <c r="N102" s="204"/>
      <c r="O102" s="205"/>
      <c r="P102" s="199"/>
      <c r="Q102" s="199"/>
      <c r="R102" s="206"/>
      <c r="S102" s="199"/>
      <c r="T102" s="199"/>
      <c r="V102" s="207"/>
    </row>
    <row r="103" ht="15.75" customHeight="1">
      <c r="A103" s="196"/>
      <c r="B103" s="198" t="s">
        <v>846</v>
      </c>
      <c r="C103" s="198" t="s">
        <v>262</v>
      </c>
      <c r="D103" s="199"/>
      <c r="E103" s="139" t="s">
        <v>859</v>
      </c>
      <c r="F103" s="139" t="s">
        <v>860</v>
      </c>
      <c r="G103" s="199"/>
      <c r="H103" s="198" t="s">
        <v>41</v>
      </c>
      <c r="I103" s="201" t="s">
        <v>88</v>
      </c>
      <c r="J103" s="199"/>
      <c r="K103" s="209"/>
      <c r="L103" s="209"/>
      <c r="M103" s="203"/>
      <c r="N103" s="210" t="s">
        <v>98</v>
      </c>
      <c r="O103" s="211" t="s">
        <v>861</v>
      </c>
      <c r="P103" s="199"/>
      <c r="Q103" s="215"/>
      <c r="R103" s="206"/>
      <c r="S103" s="201" t="s">
        <v>124</v>
      </c>
      <c r="T103" s="201" t="s">
        <v>862</v>
      </c>
      <c r="V103" s="207"/>
    </row>
    <row r="104" ht="15.75" customHeight="1">
      <c r="A104" s="196"/>
      <c r="B104" s="198" t="s">
        <v>863</v>
      </c>
      <c r="C104" s="198" t="s">
        <v>262</v>
      </c>
      <c r="D104" s="199"/>
      <c r="E104" s="139" t="s">
        <v>864</v>
      </c>
      <c r="F104" s="139" t="s">
        <v>865</v>
      </c>
      <c r="G104" s="199"/>
      <c r="H104" s="198" t="s">
        <v>41</v>
      </c>
      <c r="I104" s="201" t="s">
        <v>232</v>
      </c>
      <c r="J104" s="199"/>
      <c r="K104" s="209"/>
      <c r="L104" s="209"/>
      <c r="M104" s="203"/>
      <c r="N104" s="204"/>
      <c r="O104" s="205"/>
      <c r="P104" s="199"/>
      <c r="Q104" s="201" t="s">
        <v>104</v>
      </c>
      <c r="R104" s="206"/>
      <c r="S104" s="201" t="s">
        <v>404</v>
      </c>
      <c r="T104" s="201" t="s">
        <v>866</v>
      </c>
      <c r="V104" s="207"/>
    </row>
    <row r="105" ht="15.75" customHeight="1">
      <c r="A105" s="196"/>
      <c r="B105" s="198" t="s">
        <v>867</v>
      </c>
      <c r="C105" s="198" t="s">
        <v>360</v>
      </c>
      <c r="D105" s="199"/>
      <c r="E105" s="139" t="s">
        <v>868</v>
      </c>
      <c r="F105" s="139" t="s">
        <v>869</v>
      </c>
      <c r="G105" s="199"/>
      <c r="H105" s="198" t="s">
        <v>41</v>
      </c>
      <c r="I105" s="201" t="s">
        <v>181</v>
      </c>
      <c r="J105" s="199"/>
      <c r="K105" s="202">
        <v>8700.0</v>
      </c>
      <c r="L105" s="202">
        <v>2700.0</v>
      </c>
      <c r="M105" s="203"/>
      <c r="N105" s="204"/>
      <c r="O105" s="205"/>
      <c r="P105" s="199"/>
      <c r="Q105" s="201" t="s">
        <v>104</v>
      </c>
      <c r="R105" s="206"/>
      <c r="S105" s="201" t="s">
        <v>105</v>
      </c>
      <c r="T105" s="199"/>
      <c r="V105" s="207"/>
    </row>
    <row r="106" ht="15.75" customHeight="1">
      <c r="A106" s="196"/>
      <c r="B106" s="198" t="s">
        <v>867</v>
      </c>
      <c r="C106" s="198" t="s">
        <v>870</v>
      </c>
      <c r="D106" s="199"/>
      <c r="E106" s="139" t="s">
        <v>871</v>
      </c>
      <c r="F106" s="139" t="s">
        <v>872</v>
      </c>
      <c r="G106" s="199"/>
      <c r="H106" s="198" t="s">
        <v>41</v>
      </c>
      <c r="I106" s="201" t="s">
        <v>232</v>
      </c>
      <c r="J106" s="199"/>
      <c r="K106" s="209"/>
      <c r="L106" s="209"/>
      <c r="M106" s="203"/>
      <c r="N106" s="204"/>
      <c r="O106" s="205"/>
      <c r="P106" s="199"/>
      <c r="Q106" s="201" t="s">
        <v>104</v>
      </c>
      <c r="R106" s="206"/>
      <c r="S106" s="201" t="s">
        <v>404</v>
      </c>
      <c r="T106" s="201" t="s">
        <v>866</v>
      </c>
      <c r="V106" s="207"/>
    </row>
    <row r="107" ht="15.75" customHeight="1">
      <c r="A107" s="196"/>
      <c r="B107" s="198" t="s">
        <v>873</v>
      </c>
      <c r="C107" s="198" t="s">
        <v>639</v>
      </c>
      <c r="D107" s="199"/>
      <c r="E107" s="139" t="s">
        <v>874</v>
      </c>
      <c r="F107" s="139" t="s">
        <v>875</v>
      </c>
      <c r="G107" s="199"/>
      <c r="H107" s="198" t="s">
        <v>41</v>
      </c>
      <c r="I107" s="201" t="s">
        <v>88</v>
      </c>
      <c r="J107" s="199"/>
      <c r="K107" s="209"/>
      <c r="L107" s="209"/>
      <c r="M107" s="203"/>
      <c r="N107" s="210" t="s">
        <v>45</v>
      </c>
      <c r="O107" s="211" t="s">
        <v>396</v>
      </c>
      <c r="P107" s="199"/>
      <c r="Q107" s="215"/>
      <c r="R107" s="206"/>
      <c r="S107" s="201" t="s">
        <v>383</v>
      </c>
      <c r="T107" s="201" t="s">
        <v>876</v>
      </c>
      <c r="V107" s="207"/>
    </row>
    <row r="108" ht="15.75" customHeight="1">
      <c r="A108" s="196"/>
      <c r="B108" s="198" t="s">
        <v>873</v>
      </c>
      <c r="C108" s="198" t="s">
        <v>877</v>
      </c>
      <c r="D108" s="199"/>
      <c r="E108" s="139" t="s">
        <v>878</v>
      </c>
      <c r="F108" s="139" t="s">
        <v>879</v>
      </c>
      <c r="G108" s="199"/>
      <c r="H108" s="198" t="s">
        <v>41</v>
      </c>
      <c r="I108" s="201" t="s">
        <v>110</v>
      </c>
      <c r="J108" s="199"/>
      <c r="K108" s="209"/>
      <c r="L108" s="209"/>
      <c r="M108" s="203"/>
      <c r="N108" s="204"/>
      <c r="O108" s="205"/>
      <c r="P108" s="199"/>
      <c r="Q108" s="199"/>
      <c r="R108" s="206"/>
      <c r="S108" s="199"/>
      <c r="T108" s="199"/>
      <c r="V108" s="207"/>
    </row>
    <row r="109" ht="15.75" customHeight="1">
      <c r="A109" s="196"/>
      <c r="B109" s="198" t="s">
        <v>880</v>
      </c>
      <c r="C109" s="198" t="s">
        <v>881</v>
      </c>
      <c r="D109" s="199"/>
      <c r="E109" s="139" t="s">
        <v>882</v>
      </c>
      <c r="F109" s="139" t="s">
        <v>883</v>
      </c>
      <c r="G109" s="199"/>
      <c r="H109" s="198" t="s">
        <v>41</v>
      </c>
      <c r="I109" s="201" t="s">
        <v>103</v>
      </c>
      <c r="J109" s="199"/>
      <c r="K109" s="202">
        <v>7200.0</v>
      </c>
      <c r="L109" s="202">
        <v>7200.0</v>
      </c>
      <c r="M109" s="203"/>
      <c r="N109" s="204"/>
      <c r="O109" s="205"/>
      <c r="P109" s="199"/>
      <c r="Q109" s="201" t="s">
        <v>104</v>
      </c>
      <c r="R109" s="206"/>
      <c r="S109" s="201" t="s">
        <v>105</v>
      </c>
      <c r="T109" s="199"/>
      <c r="V109" s="207"/>
    </row>
    <row r="110" ht="15.75" customHeight="1">
      <c r="A110" s="196"/>
      <c r="B110" s="198" t="s">
        <v>884</v>
      </c>
      <c r="C110" s="198" t="s">
        <v>514</v>
      </c>
      <c r="D110" s="199"/>
      <c r="E110" s="139" t="s">
        <v>885</v>
      </c>
      <c r="F110" s="139" t="s">
        <v>886</v>
      </c>
      <c r="G110" s="199"/>
      <c r="H110" s="198" t="s">
        <v>41</v>
      </c>
      <c r="I110" s="201" t="s">
        <v>181</v>
      </c>
      <c r="J110" s="199"/>
      <c r="K110" s="202">
        <v>8700.0</v>
      </c>
      <c r="L110" s="202">
        <v>2700.0</v>
      </c>
      <c r="M110" s="203"/>
      <c r="N110" s="204"/>
      <c r="O110" s="205"/>
      <c r="P110" s="199"/>
      <c r="Q110" s="201" t="s">
        <v>104</v>
      </c>
      <c r="R110" s="206"/>
      <c r="S110" s="201" t="s">
        <v>105</v>
      </c>
      <c r="T110" s="199"/>
      <c r="V110" s="207"/>
    </row>
    <row r="111" ht="15.75" customHeight="1">
      <c r="A111" s="196"/>
      <c r="B111" s="198" t="s">
        <v>884</v>
      </c>
      <c r="C111" s="198" t="s">
        <v>887</v>
      </c>
      <c r="D111" s="199"/>
      <c r="E111" s="139" t="s">
        <v>888</v>
      </c>
      <c r="F111" s="139" t="s">
        <v>889</v>
      </c>
      <c r="G111" s="199"/>
      <c r="H111" s="198" t="s">
        <v>41</v>
      </c>
      <c r="I111" s="201" t="s">
        <v>88</v>
      </c>
      <c r="J111" s="199"/>
      <c r="K111" s="209"/>
      <c r="L111" s="209"/>
      <c r="M111" s="203"/>
      <c r="N111" s="210" t="s">
        <v>45</v>
      </c>
      <c r="O111" s="211" t="s">
        <v>396</v>
      </c>
      <c r="P111" s="199"/>
      <c r="Q111" s="215"/>
      <c r="R111" s="206"/>
      <c r="S111" s="201" t="s">
        <v>124</v>
      </c>
      <c r="T111" s="201" t="s">
        <v>890</v>
      </c>
      <c r="V111" s="207"/>
    </row>
    <row r="112" ht="15.75" customHeight="1">
      <c r="A112" s="196"/>
      <c r="B112" s="198" t="s">
        <v>884</v>
      </c>
      <c r="C112" s="198" t="s">
        <v>390</v>
      </c>
      <c r="D112" s="199"/>
      <c r="E112" s="139" t="s">
        <v>891</v>
      </c>
      <c r="F112" s="139" t="s">
        <v>892</v>
      </c>
      <c r="G112" s="199"/>
      <c r="H112" s="198" t="s">
        <v>41</v>
      </c>
      <c r="I112" s="201" t="s">
        <v>131</v>
      </c>
      <c r="J112" s="199"/>
      <c r="K112" s="209"/>
      <c r="L112" s="209"/>
      <c r="M112" s="203"/>
      <c r="N112" s="204"/>
      <c r="O112" s="205"/>
      <c r="P112" s="199"/>
      <c r="Q112" s="199"/>
      <c r="R112" s="206"/>
      <c r="S112" s="199"/>
      <c r="T112" s="199"/>
      <c r="V112" s="207"/>
    </row>
    <row r="113" ht="15.75" customHeight="1">
      <c r="A113" s="196"/>
      <c r="B113" s="198" t="s">
        <v>893</v>
      </c>
      <c r="C113" s="198" t="s">
        <v>894</v>
      </c>
      <c r="D113" s="199"/>
      <c r="E113" s="139" t="s">
        <v>895</v>
      </c>
      <c r="F113" s="139" t="s">
        <v>896</v>
      </c>
      <c r="G113" s="199"/>
      <c r="H113" s="198" t="s">
        <v>41</v>
      </c>
      <c r="I113" s="201" t="s">
        <v>88</v>
      </c>
      <c r="J113" s="199"/>
      <c r="K113" s="209"/>
      <c r="L113" s="209"/>
      <c r="M113" s="203"/>
      <c r="N113" s="210" t="s">
        <v>60</v>
      </c>
      <c r="O113" s="211" t="s">
        <v>897</v>
      </c>
      <c r="P113" s="199"/>
      <c r="Q113" s="199"/>
      <c r="R113" s="206"/>
      <c r="S113" s="201" t="s">
        <v>124</v>
      </c>
      <c r="T113" s="201" t="s">
        <v>898</v>
      </c>
      <c r="V113" s="207"/>
    </row>
    <row r="114" ht="15.75" customHeight="1">
      <c r="A114" s="196"/>
      <c r="B114" s="198" t="s">
        <v>899</v>
      </c>
      <c r="C114" s="198" t="s">
        <v>777</v>
      </c>
      <c r="D114" s="199"/>
      <c r="E114" s="139" t="s">
        <v>900</v>
      </c>
      <c r="F114" s="139" t="s">
        <v>901</v>
      </c>
      <c r="G114" s="199"/>
      <c r="H114" s="198" t="s">
        <v>41</v>
      </c>
      <c r="I114" s="201" t="s">
        <v>131</v>
      </c>
      <c r="J114" s="199"/>
      <c r="K114" s="209"/>
      <c r="L114" s="209"/>
      <c r="M114" s="203"/>
      <c r="N114" s="204"/>
      <c r="O114" s="205"/>
      <c r="P114" s="199"/>
      <c r="Q114" s="199"/>
      <c r="R114" s="206"/>
      <c r="S114" s="199"/>
      <c r="T114" s="199"/>
      <c r="V114" s="207"/>
    </row>
    <row r="115" ht="15.75" customHeight="1">
      <c r="A115" s="196"/>
      <c r="B115" s="198" t="s">
        <v>902</v>
      </c>
      <c r="C115" s="198" t="s">
        <v>616</v>
      </c>
      <c r="D115" s="199"/>
      <c r="E115" s="139" t="s">
        <v>903</v>
      </c>
      <c r="F115" s="139" t="s">
        <v>904</v>
      </c>
      <c r="G115" s="199"/>
      <c r="H115" s="198" t="s">
        <v>41</v>
      </c>
      <c r="I115" s="201" t="s">
        <v>181</v>
      </c>
      <c r="J115" s="199"/>
      <c r="K115" s="202">
        <v>8700.0</v>
      </c>
      <c r="L115" s="202">
        <v>2700.0</v>
      </c>
      <c r="M115" s="203"/>
      <c r="N115" s="204"/>
      <c r="O115" s="205"/>
      <c r="P115" s="199"/>
      <c r="Q115" s="201" t="s">
        <v>104</v>
      </c>
      <c r="R115" s="206"/>
      <c r="S115" s="201" t="s">
        <v>105</v>
      </c>
      <c r="T115" s="199"/>
      <c r="V115" s="207"/>
    </row>
    <row r="116" ht="15.75" customHeight="1">
      <c r="A116" s="196"/>
      <c r="B116" s="198" t="s">
        <v>902</v>
      </c>
      <c r="C116" s="198" t="s">
        <v>905</v>
      </c>
      <c r="D116" s="199"/>
      <c r="E116" s="139" t="s">
        <v>906</v>
      </c>
      <c r="F116" s="139" t="s">
        <v>907</v>
      </c>
      <c r="G116" s="199"/>
      <c r="H116" s="198" t="s">
        <v>41</v>
      </c>
      <c r="I116" s="201" t="s">
        <v>88</v>
      </c>
      <c r="J116" s="199"/>
      <c r="K116" s="209"/>
      <c r="L116" s="209"/>
      <c r="M116" s="203"/>
      <c r="N116" s="210" t="s">
        <v>45</v>
      </c>
      <c r="O116" s="211" t="s">
        <v>396</v>
      </c>
      <c r="P116" s="199"/>
      <c r="Q116" s="199"/>
      <c r="R116" s="206"/>
      <c r="S116" s="201" t="s">
        <v>383</v>
      </c>
      <c r="T116" s="201" t="s">
        <v>908</v>
      </c>
      <c r="V116" s="207"/>
    </row>
    <row r="117" ht="15.75" customHeight="1">
      <c r="A117" s="196"/>
      <c r="B117" s="198" t="s">
        <v>909</v>
      </c>
      <c r="C117" s="198" t="s">
        <v>910</v>
      </c>
      <c r="D117" s="199"/>
      <c r="E117" s="139" t="s">
        <v>911</v>
      </c>
      <c r="F117" s="139" t="s">
        <v>912</v>
      </c>
      <c r="G117" s="199"/>
      <c r="H117" s="198" t="s">
        <v>41</v>
      </c>
      <c r="I117" s="201" t="s">
        <v>181</v>
      </c>
      <c r="J117" s="199"/>
      <c r="K117" s="202">
        <v>5100.0</v>
      </c>
      <c r="L117" s="202">
        <v>2700.0</v>
      </c>
      <c r="M117" s="203"/>
      <c r="N117" s="204"/>
      <c r="O117" s="205"/>
      <c r="P117" s="199"/>
      <c r="Q117" s="201" t="s">
        <v>155</v>
      </c>
      <c r="R117" s="206"/>
      <c r="S117" s="201" t="s">
        <v>105</v>
      </c>
      <c r="T117" s="199"/>
      <c r="V117" s="207"/>
    </row>
    <row r="118" ht="15.75" customHeight="1">
      <c r="A118" s="196"/>
      <c r="B118" s="198" t="s">
        <v>909</v>
      </c>
      <c r="C118" s="198" t="s">
        <v>10</v>
      </c>
      <c r="D118" s="199"/>
      <c r="E118" s="139" t="s">
        <v>913</v>
      </c>
      <c r="F118" s="139" t="s">
        <v>914</v>
      </c>
      <c r="G118" s="199"/>
      <c r="H118" s="198" t="s">
        <v>41</v>
      </c>
      <c r="I118" s="201" t="s">
        <v>181</v>
      </c>
      <c r="J118" s="199"/>
      <c r="K118" s="202">
        <v>6300.0</v>
      </c>
      <c r="L118" s="202">
        <v>2700.0</v>
      </c>
      <c r="M118" s="203"/>
      <c r="N118" s="204"/>
      <c r="O118" s="205"/>
      <c r="P118" s="199"/>
      <c r="Q118" s="201" t="s">
        <v>357</v>
      </c>
      <c r="R118" s="206"/>
      <c r="S118" s="201" t="s">
        <v>105</v>
      </c>
      <c r="T118" s="199"/>
      <c r="V118" s="207"/>
    </row>
    <row r="119" ht="15.75" customHeight="1">
      <c r="A119" s="196"/>
      <c r="B119" s="198" t="s">
        <v>909</v>
      </c>
      <c r="C119" s="198" t="s">
        <v>915</v>
      </c>
      <c r="D119" s="199"/>
      <c r="E119" s="139" t="s">
        <v>916</v>
      </c>
      <c r="F119" s="139" t="s">
        <v>917</v>
      </c>
      <c r="G119" s="199"/>
      <c r="H119" s="198" t="s">
        <v>41</v>
      </c>
      <c r="I119" s="201" t="s">
        <v>103</v>
      </c>
      <c r="J119" s="199"/>
      <c r="K119" s="202">
        <v>7200.0</v>
      </c>
      <c r="L119" s="202">
        <v>7200.0</v>
      </c>
      <c r="M119" s="203"/>
      <c r="N119" s="204"/>
      <c r="O119" s="205"/>
      <c r="P119" s="199"/>
      <c r="Q119" s="201" t="s">
        <v>104</v>
      </c>
      <c r="R119" s="206"/>
      <c r="S119" s="201" t="s">
        <v>105</v>
      </c>
      <c r="T119" s="199"/>
      <c r="V119" s="207"/>
    </row>
    <row r="120" ht="15.75" customHeight="1">
      <c r="A120" s="196"/>
      <c r="B120" s="198" t="s">
        <v>909</v>
      </c>
      <c r="C120" s="198" t="s">
        <v>559</v>
      </c>
      <c r="D120" s="199"/>
      <c r="E120" s="139" t="s">
        <v>918</v>
      </c>
      <c r="F120" s="139" t="s">
        <v>919</v>
      </c>
      <c r="G120" s="199"/>
      <c r="H120" s="198" t="s">
        <v>41</v>
      </c>
      <c r="I120" s="201" t="s">
        <v>88</v>
      </c>
      <c r="J120" s="199"/>
      <c r="K120" s="209"/>
      <c r="L120" s="209"/>
      <c r="M120" s="203"/>
      <c r="N120" s="210" t="s">
        <v>55</v>
      </c>
      <c r="O120" s="211" t="s">
        <v>920</v>
      </c>
      <c r="P120" s="199"/>
      <c r="Q120" s="199"/>
      <c r="R120" s="206"/>
      <c r="S120" s="201" t="s">
        <v>124</v>
      </c>
      <c r="T120" s="201" t="s">
        <v>921</v>
      </c>
      <c r="V120" s="207"/>
    </row>
    <row r="121" ht="15.75" customHeight="1">
      <c r="A121" s="196"/>
      <c r="B121" s="198" t="s">
        <v>922</v>
      </c>
      <c r="C121" s="198" t="s">
        <v>390</v>
      </c>
      <c r="D121" s="199"/>
      <c r="E121" s="139" t="s">
        <v>923</v>
      </c>
      <c r="F121" s="139" t="s">
        <v>924</v>
      </c>
      <c r="G121" s="199"/>
      <c r="H121" s="198" t="s">
        <v>41</v>
      </c>
      <c r="I121" s="201" t="s">
        <v>88</v>
      </c>
      <c r="J121" s="199"/>
      <c r="K121" s="209"/>
      <c r="L121" s="209"/>
      <c r="M121" s="203"/>
      <c r="N121" s="210" t="s">
        <v>98</v>
      </c>
      <c r="O121" s="211" t="s">
        <v>925</v>
      </c>
      <c r="P121" s="199"/>
      <c r="Q121" s="199"/>
      <c r="R121" s="206"/>
      <c r="S121" s="201" t="s">
        <v>124</v>
      </c>
      <c r="T121" s="201" t="s">
        <v>926</v>
      </c>
      <c r="V121" s="207"/>
    </row>
    <row r="122" ht="15.75" customHeight="1">
      <c r="A122" s="196"/>
      <c r="B122" s="198" t="s">
        <v>922</v>
      </c>
      <c r="C122" s="198" t="s">
        <v>559</v>
      </c>
      <c r="D122" s="199"/>
      <c r="E122" s="139" t="s">
        <v>927</v>
      </c>
      <c r="F122" s="139" t="s">
        <v>928</v>
      </c>
      <c r="G122" s="199"/>
      <c r="H122" s="198" t="s">
        <v>41</v>
      </c>
      <c r="I122" s="201" t="s">
        <v>181</v>
      </c>
      <c r="J122" s="199"/>
      <c r="K122" s="202">
        <v>8700.0</v>
      </c>
      <c r="L122" s="202">
        <v>2700.0</v>
      </c>
      <c r="M122" s="203"/>
      <c r="N122" s="204"/>
      <c r="O122" s="205"/>
      <c r="P122" s="199"/>
      <c r="Q122" s="201" t="s">
        <v>104</v>
      </c>
      <c r="R122" s="206"/>
      <c r="S122" s="201" t="s">
        <v>105</v>
      </c>
      <c r="T122" s="199"/>
      <c r="V122" s="207"/>
    </row>
    <row r="123" ht="15.75" customHeight="1">
      <c r="A123" s="196"/>
      <c r="B123" s="218"/>
      <c r="C123" s="207"/>
      <c r="D123" s="199"/>
      <c r="E123" s="207"/>
      <c r="F123" s="207"/>
      <c r="G123" s="199"/>
      <c r="H123" s="207"/>
      <c r="I123" s="199"/>
      <c r="J123" s="199"/>
      <c r="K123" s="209"/>
      <c r="L123" s="209"/>
      <c r="M123" s="203"/>
      <c r="N123" s="204"/>
      <c r="O123" s="205"/>
      <c r="P123" s="199"/>
      <c r="Q123" s="215"/>
      <c r="R123" s="206"/>
      <c r="S123" s="199"/>
      <c r="T123" s="199"/>
      <c r="V123" s="207"/>
    </row>
    <row r="124" ht="15.75" customHeight="1">
      <c r="A124" s="196"/>
      <c r="B124" s="218"/>
      <c r="C124" s="207"/>
      <c r="D124" s="199"/>
      <c r="E124" s="207"/>
      <c r="F124" s="207"/>
      <c r="G124" s="199"/>
      <c r="H124" s="207"/>
      <c r="I124" s="199"/>
      <c r="J124" s="199"/>
      <c r="K124" s="209"/>
      <c r="L124" s="209"/>
      <c r="M124" s="203"/>
      <c r="N124" s="204"/>
      <c r="O124" s="205"/>
      <c r="P124" s="199"/>
      <c r="Q124" s="215"/>
      <c r="R124" s="206"/>
      <c r="S124" s="199"/>
      <c r="T124" s="199"/>
      <c r="V124" s="207"/>
    </row>
    <row r="125" ht="15.75" customHeight="1">
      <c r="A125" s="196"/>
      <c r="B125" s="218"/>
      <c r="C125" s="207"/>
      <c r="D125" s="199"/>
      <c r="E125" s="207"/>
      <c r="F125" s="207"/>
      <c r="G125" s="199"/>
      <c r="H125" s="207"/>
      <c r="I125" s="199"/>
      <c r="J125" s="199"/>
      <c r="K125" s="209"/>
      <c r="L125" s="209"/>
      <c r="M125" s="203"/>
      <c r="N125" s="204"/>
      <c r="O125" s="205"/>
      <c r="P125" s="199"/>
      <c r="Q125" s="215"/>
      <c r="R125" s="206"/>
      <c r="S125" s="199"/>
      <c r="T125" s="199"/>
      <c r="V125" s="207"/>
    </row>
    <row r="126" ht="15.75" customHeight="1">
      <c r="A126" s="196"/>
      <c r="B126" s="218"/>
      <c r="C126" s="207"/>
      <c r="D126" s="199"/>
      <c r="E126" s="207"/>
      <c r="F126" s="207"/>
      <c r="G126" s="199"/>
      <c r="H126" s="207"/>
      <c r="I126" s="199"/>
      <c r="J126" s="199"/>
      <c r="K126" s="209"/>
      <c r="L126" s="209"/>
      <c r="M126" s="203"/>
      <c r="N126" s="204"/>
      <c r="O126" s="205"/>
      <c r="P126" s="199"/>
      <c r="Q126" s="215"/>
      <c r="R126" s="206"/>
      <c r="S126" s="199"/>
      <c r="T126" s="199"/>
      <c r="V126" s="207"/>
    </row>
    <row r="127" ht="15.75" customHeight="1">
      <c r="A127" s="196"/>
      <c r="B127" s="218"/>
      <c r="C127" s="207"/>
      <c r="D127" s="199"/>
      <c r="E127" s="207"/>
      <c r="F127" s="207"/>
      <c r="G127" s="199"/>
      <c r="H127" s="207"/>
      <c r="I127" s="199"/>
      <c r="J127" s="199"/>
      <c r="K127" s="209"/>
      <c r="L127" s="209"/>
      <c r="M127" s="203"/>
      <c r="N127" s="204"/>
      <c r="O127" s="205"/>
      <c r="P127" s="199"/>
      <c r="Q127" s="215"/>
      <c r="R127" s="206"/>
      <c r="S127" s="199"/>
      <c r="T127" s="199"/>
      <c r="V127" s="207"/>
    </row>
    <row r="128" ht="15.75" customHeight="1">
      <c r="A128" s="196"/>
      <c r="B128" s="218"/>
      <c r="C128" s="207"/>
      <c r="D128" s="199"/>
      <c r="E128" s="207"/>
      <c r="F128" s="207"/>
      <c r="G128" s="199"/>
      <c r="H128" s="207"/>
      <c r="I128" s="199"/>
      <c r="J128" s="199"/>
      <c r="K128" s="209"/>
      <c r="L128" s="209"/>
      <c r="M128" s="203"/>
      <c r="N128" s="204"/>
      <c r="O128" s="205"/>
      <c r="P128" s="199"/>
      <c r="Q128" s="199"/>
      <c r="R128" s="206"/>
      <c r="S128" s="199"/>
      <c r="T128" s="199"/>
      <c r="V128" s="207"/>
    </row>
    <row r="129" ht="15.75" customHeight="1">
      <c r="A129" s="196"/>
      <c r="B129" s="218"/>
      <c r="C129" s="207"/>
      <c r="D129" s="199"/>
      <c r="E129" s="207"/>
      <c r="F129" s="207"/>
      <c r="G129" s="199"/>
      <c r="H129" s="207"/>
      <c r="I129" s="199"/>
      <c r="J129" s="199"/>
      <c r="K129" s="209"/>
      <c r="L129" s="209"/>
      <c r="M129" s="203"/>
      <c r="N129" s="204"/>
      <c r="O129" s="205"/>
      <c r="P129" s="199"/>
      <c r="Q129" s="215"/>
      <c r="R129" s="206"/>
      <c r="S129" s="199"/>
      <c r="T129" s="199"/>
      <c r="V129" s="207"/>
    </row>
    <row r="130" ht="15.75" customHeight="1">
      <c r="A130" s="196"/>
      <c r="B130" s="218"/>
      <c r="C130" s="207"/>
      <c r="D130" s="199"/>
      <c r="E130" s="207"/>
      <c r="F130" s="207"/>
      <c r="G130" s="199"/>
      <c r="H130" s="207"/>
      <c r="I130" s="199"/>
      <c r="J130" s="199"/>
      <c r="K130" s="209"/>
      <c r="L130" s="209"/>
      <c r="M130" s="203"/>
      <c r="N130" s="204"/>
      <c r="O130" s="205"/>
      <c r="P130" s="199"/>
      <c r="Q130" s="199"/>
      <c r="R130" s="206"/>
      <c r="S130" s="199"/>
      <c r="T130" s="199"/>
      <c r="V130" s="207"/>
    </row>
    <row r="131" ht="15.75" customHeight="1">
      <c r="A131" s="196"/>
      <c r="B131" s="218"/>
      <c r="C131" s="207"/>
      <c r="D131" s="199"/>
      <c r="E131" s="207"/>
      <c r="F131" s="207"/>
      <c r="G131" s="199"/>
      <c r="H131" s="207"/>
      <c r="I131" s="199"/>
      <c r="J131" s="199"/>
      <c r="K131" s="209"/>
      <c r="L131" s="209"/>
      <c r="M131" s="203"/>
      <c r="N131" s="204"/>
      <c r="O131" s="205"/>
      <c r="P131" s="199"/>
      <c r="Q131" s="199"/>
      <c r="R131" s="206"/>
      <c r="S131" s="199"/>
      <c r="T131" s="199"/>
      <c r="V131" s="207"/>
    </row>
    <row r="132" ht="15.75" customHeight="1">
      <c r="A132" s="196"/>
      <c r="B132" s="218"/>
      <c r="C132" s="207"/>
      <c r="D132" s="199"/>
      <c r="E132" s="207"/>
      <c r="F132" s="207"/>
      <c r="G132" s="199"/>
      <c r="H132" s="207"/>
      <c r="I132" s="199"/>
      <c r="J132" s="199"/>
      <c r="K132" s="209"/>
      <c r="L132" s="209"/>
      <c r="M132" s="203"/>
      <c r="N132" s="204"/>
      <c r="O132" s="205"/>
      <c r="P132" s="199"/>
      <c r="Q132" s="215"/>
      <c r="R132" s="206"/>
      <c r="S132" s="199"/>
      <c r="T132" s="199"/>
      <c r="V132" s="207"/>
    </row>
    <row r="133" ht="15.75" customHeight="1">
      <c r="A133" s="196"/>
      <c r="B133" s="218"/>
      <c r="C133" s="207"/>
      <c r="D133" s="199"/>
      <c r="E133" s="207"/>
      <c r="F133" s="207"/>
      <c r="G133" s="199"/>
      <c r="H133" s="207"/>
      <c r="I133" s="199"/>
      <c r="J133" s="199"/>
      <c r="K133" s="209"/>
      <c r="L133" s="209"/>
      <c r="M133" s="203"/>
      <c r="N133" s="204"/>
      <c r="O133" s="205"/>
      <c r="P133" s="199"/>
      <c r="Q133" s="199"/>
      <c r="R133" s="206"/>
      <c r="S133" s="199"/>
      <c r="T133" s="199"/>
      <c r="V133" s="207"/>
    </row>
    <row r="134" ht="15.75" customHeight="1">
      <c r="A134" s="196"/>
      <c r="B134" s="218"/>
      <c r="C134" s="207"/>
      <c r="D134" s="199"/>
      <c r="E134" s="207"/>
      <c r="F134" s="207"/>
      <c r="G134" s="199"/>
      <c r="H134" s="207"/>
      <c r="I134" s="199"/>
      <c r="J134" s="199"/>
      <c r="K134" s="209"/>
      <c r="L134" s="209"/>
      <c r="M134" s="203"/>
      <c r="N134" s="204"/>
      <c r="O134" s="205"/>
      <c r="P134" s="199"/>
      <c r="Q134" s="199"/>
      <c r="R134" s="206"/>
      <c r="S134" s="199"/>
      <c r="T134" s="199"/>
      <c r="V134" s="207"/>
    </row>
    <row r="135" ht="15.75" customHeight="1">
      <c r="A135" s="196"/>
      <c r="B135" s="218"/>
      <c r="C135" s="207"/>
      <c r="D135" s="199"/>
      <c r="E135" s="207"/>
      <c r="F135" s="207"/>
      <c r="G135" s="199"/>
      <c r="H135" s="207"/>
      <c r="I135" s="199"/>
      <c r="J135" s="199"/>
      <c r="K135" s="209"/>
      <c r="L135" s="209"/>
      <c r="M135" s="203"/>
      <c r="N135" s="204"/>
      <c r="O135" s="205"/>
      <c r="P135" s="199"/>
      <c r="Q135" s="215"/>
      <c r="R135" s="206"/>
      <c r="S135" s="199"/>
      <c r="T135" s="199"/>
      <c r="V135" s="207"/>
    </row>
    <row r="136" ht="15.75" customHeight="1">
      <c r="A136" s="196"/>
      <c r="B136" s="218"/>
      <c r="C136" s="207"/>
      <c r="D136" s="199"/>
      <c r="E136" s="207"/>
      <c r="F136" s="207"/>
      <c r="G136" s="199"/>
      <c r="H136" s="207"/>
      <c r="I136" s="199"/>
      <c r="J136" s="199"/>
      <c r="K136" s="209"/>
      <c r="L136" s="209"/>
      <c r="M136" s="203"/>
      <c r="N136" s="204"/>
      <c r="O136" s="205"/>
      <c r="P136" s="199"/>
      <c r="Q136" s="199"/>
      <c r="R136" s="206"/>
      <c r="S136" s="199"/>
      <c r="T136" s="199"/>
      <c r="V136" s="207"/>
    </row>
    <row r="137" ht="15.75" customHeight="1">
      <c r="A137" s="196"/>
      <c r="B137" s="218"/>
      <c r="C137" s="207"/>
      <c r="D137" s="199"/>
      <c r="E137" s="207"/>
      <c r="F137" s="207"/>
      <c r="G137" s="199"/>
      <c r="H137" s="207"/>
      <c r="I137" s="199"/>
      <c r="J137" s="199"/>
      <c r="K137" s="209"/>
      <c r="L137" s="209"/>
      <c r="M137" s="203"/>
      <c r="N137" s="204"/>
      <c r="O137" s="205"/>
      <c r="P137" s="199"/>
      <c r="Q137" s="215"/>
      <c r="R137" s="206"/>
      <c r="S137" s="199"/>
      <c r="T137" s="199"/>
      <c r="V137" s="207"/>
    </row>
    <row r="138" ht="15.75" customHeight="1">
      <c r="A138" s="196"/>
      <c r="B138" s="218"/>
      <c r="C138" s="207"/>
      <c r="D138" s="199"/>
      <c r="E138" s="207"/>
      <c r="F138" s="207"/>
      <c r="G138" s="199"/>
      <c r="H138" s="207"/>
      <c r="I138" s="199"/>
      <c r="J138" s="199"/>
      <c r="K138" s="209"/>
      <c r="L138" s="209"/>
      <c r="M138" s="203"/>
      <c r="N138" s="204"/>
      <c r="O138" s="205"/>
      <c r="P138" s="199"/>
      <c r="Q138" s="215"/>
      <c r="R138" s="206"/>
      <c r="S138" s="199"/>
      <c r="T138" s="199"/>
      <c r="V138" s="207"/>
    </row>
    <row r="139" ht="15.75" customHeight="1">
      <c r="A139" s="196"/>
      <c r="B139" s="218"/>
      <c r="C139" s="207"/>
      <c r="D139" s="199"/>
      <c r="E139" s="207"/>
      <c r="F139" s="207"/>
      <c r="G139" s="199"/>
      <c r="H139" s="207"/>
      <c r="I139" s="199"/>
      <c r="J139" s="199"/>
      <c r="K139" s="209"/>
      <c r="L139" s="209"/>
      <c r="M139" s="203"/>
      <c r="N139" s="204"/>
      <c r="O139" s="205"/>
      <c r="P139" s="199"/>
      <c r="Q139" s="215"/>
      <c r="R139" s="206"/>
      <c r="S139" s="199"/>
      <c r="T139" s="199"/>
      <c r="V139" s="207"/>
    </row>
    <row r="140" ht="15.75" customHeight="1">
      <c r="A140" s="196"/>
      <c r="B140" s="218"/>
      <c r="C140" s="207"/>
      <c r="D140" s="199"/>
      <c r="E140" s="207"/>
      <c r="F140" s="207"/>
      <c r="G140" s="199"/>
      <c r="H140" s="207"/>
      <c r="I140" s="199"/>
      <c r="J140" s="199"/>
      <c r="K140" s="209"/>
      <c r="L140" s="209"/>
      <c r="M140" s="203"/>
      <c r="N140" s="204"/>
      <c r="O140" s="205"/>
      <c r="P140" s="199"/>
      <c r="Q140" s="199"/>
      <c r="R140" s="206"/>
      <c r="S140" s="199"/>
      <c r="T140" s="199"/>
      <c r="V140" s="207"/>
    </row>
    <row r="141" ht="15.75" customHeight="1">
      <c r="A141" s="196"/>
      <c r="B141" s="218"/>
      <c r="C141" s="207"/>
      <c r="D141" s="199"/>
      <c r="E141" s="207"/>
      <c r="F141" s="207"/>
      <c r="G141" s="199"/>
      <c r="H141" s="207"/>
      <c r="I141" s="199"/>
      <c r="J141" s="199"/>
      <c r="K141" s="209"/>
      <c r="L141" s="209"/>
      <c r="M141" s="203"/>
      <c r="N141" s="204"/>
      <c r="O141" s="205"/>
      <c r="P141" s="199"/>
      <c r="Q141" s="215"/>
      <c r="R141" s="206"/>
      <c r="S141" s="199"/>
      <c r="T141" s="199"/>
      <c r="V141" s="207"/>
    </row>
    <row r="142" ht="15.75" customHeight="1">
      <c r="A142" s="196"/>
      <c r="B142" s="218"/>
      <c r="C142" s="207"/>
      <c r="D142" s="199"/>
      <c r="E142" s="207"/>
      <c r="F142" s="207"/>
      <c r="G142" s="199"/>
      <c r="H142" s="207"/>
      <c r="I142" s="199"/>
      <c r="J142" s="199"/>
      <c r="K142" s="209"/>
      <c r="L142" s="209"/>
      <c r="M142" s="203"/>
      <c r="N142" s="204"/>
      <c r="O142" s="205"/>
      <c r="P142" s="199"/>
      <c r="Q142" s="199"/>
      <c r="R142" s="206"/>
      <c r="S142" s="199"/>
      <c r="T142" s="199"/>
      <c r="V142" s="207"/>
    </row>
    <row r="143" ht="15.75" customHeight="1">
      <c r="A143" s="196"/>
      <c r="B143" s="218"/>
      <c r="C143" s="207"/>
      <c r="D143" s="199"/>
      <c r="E143" s="207"/>
      <c r="F143" s="219"/>
      <c r="G143" s="199"/>
      <c r="H143" s="207"/>
      <c r="I143" s="199"/>
      <c r="J143" s="199"/>
      <c r="K143" s="209"/>
      <c r="L143" s="209"/>
      <c r="M143" s="203"/>
      <c r="N143" s="204"/>
      <c r="O143" s="205"/>
      <c r="P143" s="199"/>
      <c r="Q143" s="215"/>
      <c r="R143" s="206"/>
      <c r="S143" s="199"/>
      <c r="T143" s="199"/>
      <c r="V143" s="207"/>
    </row>
    <row r="144" ht="15.75" customHeight="1">
      <c r="A144" s="196"/>
      <c r="B144" s="218"/>
      <c r="C144" s="207"/>
      <c r="D144" s="199"/>
      <c r="E144" s="207"/>
      <c r="F144" s="207"/>
      <c r="G144" s="199"/>
      <c r="H144" s="207"/>
      <c r="I144" s="199"/>
      <c r="J144" s="199"/>
      <c r="K144" s="209"/>
      <c r="L144" s="209"/>
      <c r="M144" s="203"/>
      <c r="N144" s="204"/>
      <c r="O144" s="205"/>
      <c r="P144" s="199"/>
      <c r="Q144" s="199"/>
      <c r="R144" s="206"/>
      <c r="S144" s="199"/>
      <c r="T144" s="199"/>
      <c r="V144" s="207"/>
    </row>
    <row r="145" ht="15.75" customHeight="1">
      <c r="A145" s="196"/>
      <c r="B145" s="218"/>
      <c r="C145" s="207"/>
      <c r="D145" s="199"/>
      <c r="E145" s="207"/>
      <c r="F145" s="207"/>
      <c r="G145" s="199"/>
      <c r="H145" s="207"/>
      <c r="I145" s="199"/>
      <c r="J145" s="199"/>
      <c r="K145" s="209"/>
      <c r="L145" s="209"/>
      <c r="M145" s="203"/>
      <c r="N145" s="204"/>
      <c r="O145" s="205"/>
      <c r="P145" s="199"/>
      <c r="Q145" s="215"/>
      <c r="R145" s="206"/>
      <c r="S145" s="199"/>
      <c r="T145" s="199"/>
      <c r="V145" s="207"/>
    </row>
    <row r="146" ht="15.75" customHeight="1">
      <c r="A146" s="196"/>
      <c r="B146" s="218"/>
      <c r="C146" s="207"/>
      <c r="D146" s="199"/>
      <c r="E146" s="207"/>
      <c r="F146" s="207"/>
      <c r="G146" s="199"/>
      <c r="H146" s="207"/>
      <c r="I146" s="199"/>
      <c r="J146" s="199"/>
      <c r="K146" s="209"/>
      <c r="L146" s="209"/>
      <c r="M146" s="203"/>
      <c r="N146" s="204"/>
      <c r="O146" s="205"/>
      <c r="P146" s="199"/>
      <c r="Q146" s="215"/>
      <c r="R146" s="206"/>
      <c r="S146" s="199"/>
      <c r="T146" s="199"/>
      <c r="V146" s="207"/>
    </row>
    <row r="147" ht="15.75" customHeight="1">
      <c r="A147" s="196"/>
      <c r="B147" s="218"/>
      <c r="C147" s="207"/>
      <c r="D147" s="199"/>
      <c r="E147" s="207"/>
      <c r="F147" s="207"/>
      <c r="G147" s="199"/>
      <c r="H147" s="207"/>
      <c r="I147" s="199"/>
      <c r="J147" s="199"/>
      <c r="K147" s="209"/>
      <c r="L147" s="209"/>
      <c r="M147" s="203"/>
      <c r="N147" s="204"/>
      <c r="O147" s="205"/>
      <c r="P147" s="199"/>
      <c r="Q147" s="215"/>
      <c r="R147" s="206"/>
      <c r="S147" s="199"/>
      <c r="T147" s="199"/>
      <c r="V147" s="207"/>
    </row>
    <row r="148" ht="15.75" customHeight="1">
      <c r="A148" s="196"/>
      <c r="B148" s="218"/>
      <c r="C148" s="207"/>
      <c r="D148" s="199"/>
      <c r="E148" s="207"/>
      <c r="F148" s="207"/>
      <c r="G148" s="199"/>
      <c r="H148" s="207"/>
      <c r="I148" s="199"/>
      <c r="J148" s="199"/>
      <c r="K148" s="209"/>
      <c r="L148" s="209"/>
      <c r="M148" s="203"/>
      <c r="N148" s="204"/>
      <c r="O148" s="205"/>
      <c r="P148" s="199"/>
      <c r="Q148" s="215"/>
      <c r="R148" s="206"/>
      <c r="S148" s="199"/>
      <c r="T148" s="199"/>
      <c r="V148" s="207"/>
    </row>
    <row r="149" ht="15.75" customHeight="1">
      <c r="A149" s="196"/>
      <c r="B149" s="218"/>
      <c r="C149" s="207"/>
      <c r="D149" s="199"/>
      <c r="E149" s="207"/>
      <c r="F149" s="207"/>
      <c r="G149" s="199"/>
      <c r="H149" s="207"/>
      <c r="I149" s="199"/>
      <c r="J149" s="199"/>
      <c r="K149" s="209"/>
      <c r="L149" s="209"/>
      <c r="M149" s="203"/>
      <c r="N149" s="204"/>
      <c r="O149" s="205"/>
      <c r="P149" s="199"/>
      <c r="Q149" s="215"/>
      <c r="R149" s="206"/>
      <c r="S149" s="199"/>
      <c r="T149" s="199"/>
      <c r="V149" s="207"/>
    </row>
    <row r="150" ht="15.75" customHeight="1">
      <c r="A150" s="196"/>
      <c r="B150" s="218"/>
      <c r="C150" s="207"/>
      <c r="D150" s="199"/>
      <c r="E150" s="207"/>
      <c r="F150" s="207"/>
      <c r="G150" s="199"/>
      <c r="H150" s="207"/>
      <c r="I150" s="199"/>
      <c r="J150" s="199"/>
      <c r="K150" s="209"/>
      <c r="L150" s="209"/>
      <c r="M150" s="203"/>
      <c r="N150" s="204"/>
      <c r="O150" s="205"/>
      <c r="P150" s="199"/>
      <c r="Q150" s="215"/>
      <c r="R150" s="206"/>
      <c r="S150" s="199"/>
      <c r="T150" s="199"/>
      <c r="V150" s="207"/>
    </row>
    <row r="151" ht="15.75" customHeight="1">
      <c r="A151" s="196"/>
      <c r="B151" s="218"/>
      <c r="C151" s="207"/>
      <c r="D151" s="199"/>
      <c r="E151" s="207"/>
      <c r="F151" s="207"/>
      <c r="G151" s="199"/>
      <c r="H151" s="207"/>
      <c r="I151" s="199"/>
      <c r="J151" s="199"/>
      <c r="K151" s="209"/>
      <c r="L151" s="209"/>
      <c r="M151" s="203"/>
      <c r="N151" s="204"/>
      <c r="O151" s="205"/>
      <c r="P151" s="199"/>
      <c r="Q151" s="215"/>
      <c r="R151" s="206"/>
      <c r="S151" s="199"/>
      <c r="T151" s="199"/>
      <c r="V151" s="207"/>
    </row>
    <row r="152" ht="15.75" customHeight="1">
      <c r="A152" s="196"/>
      <c r="B152" s="218"/>
      <c r="C152" s="207"/>
      <c r="D152" s="199"/>
      <c r="E152" s="207"/>
      <c r="F152" s="207"/>
      <c r="G152" s="199"/>
      <c r="H152" s="207"/>
      <c r="I152" s="199"/>
      <c r="J152" s="199"/>
      <c r="K152" s="209"/>
      <c r="L152" s="209"/>
      <c r="M152" s="203"/>
      <c r="N152" s="204"/>
      <c r="O152" s="205"/>
      <c r="P152" s="199"/>
      <c r="Q152" s="215"/>
      <c r="R152" s="206"/>
      <c r="S152" s="199"/>
      <c r="T152" s="199"/>
      <c r="V152" s="207"/>
    </row>
    <row r="153" ht="15.75" customHeight="1">
      <c r="A153" s="196"/>
      <c r="B153" s="218"/>
      <c r="C153" s="207"/>
      <c r="D153" s="199"/>
      <c r="E153" s="207"/>
      <c r="F153" s="207"/>
      <c r="G153" s="199"/>
      <c r="H153" s="207"/>
      <c r="I153" s="199"/>
      <c r="J153" s="199"/>
      <c r="K153" s="209"/>
      <c r="L153" s="209"/>
      <c r="M153" s="203"/>
      <c r="N153" s="204"/>
      <c r="O153" s="205"/>
      <c r="P153" s="199"/>
      <c r="Q153" s="215"/>
      <c r="R153" s="206"/>
      <c r="S153" s="199"/>
      <c r="T153" s="199"/>
      <c r="V153" s="207"/>
    </row>
    <row r="154" ht="15.75" customHeight="1">
      <c r="A154" s="196"/>
      <c r="B154" s="218"/>
      <c r="C154" s="207"/>
      <c r="D154" s="199"/>
      <c r="E154" s="207"/>
      <c r="F154" s="207"/>
      <c r="G154" s="199"/>
      <c r="H154" s="207"/>
      <c r="I154" s="199"/>
      <c r="J154" s="199"/>
      <c r="K154" s="209"/>
      <c r="L154" s="209"/>
      <c r="M154" s="203"/>
      <c r="N154" s="204"/>
      <c r="O154" s="205"/>
      <c r="P154" s="199"/>
      <c r="Q154" s="215"/>
      <c r="R154" s="206"/>
      <c r="S154" s="199"/>
      <c r="T154" s="199"/>
      <c r="V154" s="207"/>
    </row>
    <row r="155" ht="15.75" customHeight="1">
      <c r="A155" s="196"/>
      <c r="B155" s="218"/>
      <c r="C155" s="207"/>
      <c r="D155" s="199"/>
      <c r="E155" s="207"/>
      <c r="F155" s="207"/>
      <c r="G155" s="199"/>
      <c r="H155" s="207"/>
      <c r="I155" s="199"/>
      <c r="J155" s="199"/>
      <c r="K155" s="209"/>
      <c r="L155" s="209"/>
      <c r="M155" s="203"/>
      <c r="N155" s="204"/>
      <c r="O155" s="205"/>
      <c r="P155" s="199"/>
      <c r="Q155" s="215"/>
      <c r="R155" s="206"/>
      <c r="S155" s="199"/>
      <c r="T155" s="199"/>
      <c r="V155" s="207"/>
    </row>
    <row r="156" ht="15.75" customHeight="1">
      <c r="A156" s="196"/>
      <c r="B156" s="218"/>
      <c r="C156" s="207"/>
      <c r="D156" s="199"/>
      <c r="E156" s="207"/>
      <c r="F156" s="207"/>
      <c r="G156" s="199"/>
      <c r="H156" s="207"/>
      <c r="I156" s="199"/>
      <c r="J156" s="199"/>
      <c r="K156" s="209"/>
      <c r="L156" s="209"/>
      <c r="M156" s="203"/>
      <c r="N156" s="204"/>
      <c r="O156" s="205"/>
      <c r="P156" s="199"/>
      <c r="Q156" s="215"/>
      <c r="R156" s="206"/>
      <c r="S156" s="199"/>
      <c r="T156" s="199"/>
      <c r="V156" s="207"/>
    </row>
    <row r="157" ht="15.75" customHeight="1">
      <c r="A157" s="196"/>
      <c r="B157" s="218"/>
      <c r="C157" s="207"/>
      <c r="D157" s="199"/>
      <c r="E157" s="207"/>
      <c r="F157" s="207"/>
      <c r="G157" s="199"/>
      <c r="H157" s="207"/>
      <c r="I157" s="199"/>
      <c r="J157" s="199"/>
      <c r="K157" s="209"/>
      <c r="L157" s="209"/>
      <c r="M157" s="203"/>
      <c r="N157" s="204"/>
      <c r="O157" s="205"/>
      <c r="P157" s="199"/>
      <c r="Q157" s="215"/>
      <c r="R157" s="206"/>
      <c r="S157" s="199"/>
      <c r="T157" s="199"/>
      <c r="V157" s="207"/>
    </row>
    <row r="158" ht="15.75" customHeight="1">
      <c r="A158" s="196"/>
      <c r="B158" s="218"/>
      <c r="C158" s="207"/>
      <c r="D158" s="199"/>
      <c r="E158" s="207"/>
      <c r="F158" s="207"/>
      <c r="G158" s="199"/>
      <c r="H158" s="207"/>
      <c r="I158" s="199"/>
      <c r="J158" s="199"/>
      <c r="K158" s="209"/>
      <c r="L158" s="209"/>
      <c r="M158" s="203"/>
      <c r="N158" s="204"/>
      <c r="O158" s="205"/>
      <c r="P158" s="199"/>
      <c r="Q158" s="215"/>
      <c r="R158" s="206"/>
      <c r="S158" s="199"/>
      <c r="T158" s="199"/>
      <c r="V158" s="207"/>
    </row>
    <row r="159" ht="15.75" customHeight="1">
      <c r="A159" s="196"/>
      <c r="B159" s="218"/>
      <c r="C159" s="207"/>
      <c r="D159" s="199"/>
      <c r="E159" s="207"/>
      <c r="F159" s="207"/>
      <c r="G159" s="199"/>
      <c r="H159" s="207"/>
      <c r="I159" s="199"/>
      <c r="J159" s="199"/>
      <c r="K159" s="209"/>
      <c r="L159" s="209"/>
      <c r="M159" s="203"/>
      <c r="N159" s="204"/>
      <c r="O159" s="205"/>
      <c r="P159" s="199"/>
      <c r="Q159" s="215"/>
      <c r="R159" s="206"/>
      <c r="S159" s="199"/>
      <c r="T159" s="199"/>
      <c r="V159" s="207"/>
    </row>
    <row r="160" ht="15.75" customHeight="1">
      <c r="A160" s="196"/>
      <c r="B160" s="218"/>
      <c r="C160" s="207"/>
      <c r="D160" s="199"/>
      <c r="E160" s="207"/>
      <c r="F160" s="207"/>
      <c r="G160" s="199"/>
      <c r="H160" s="207"/>
      <c r="I160" s="199"/>
      <c r="J160" s="199"/>
      <c r="K160" s="209"/>
      <c r="L160" s="209"/>
      <c r="M160" s="203"/>
      <c r="N160" s="204"/>
      <c r="O160" s="205"/>
      <c r="P160" s="199"/>
      <c r="Q160" s="215"/>
      <c r="R160" s="206"/>
      <c r="S160" s="199"/>
      <c r="T160" s="199"/>
      <c r="V160" s="207"/>
    </row>
    <row r="161" ht="15.75" customHeight="1">
      <c r="A161" s="196"/>
      <c r="B161" s="218"/>
      <c r="C161" s="207"/>
      <c r="D161" s="199"/>
      <c r="E161" s="207"/>
      <c r="F161" s="207"/>
      <c r="G161" s="199"/>
      <c r="H161" s="207"/>
      <c r="I161" s="199"/>
      <c r="J161" s="199"/>
      <c r="K161" s="209"/>
      <c r="L161" s="209"/>
      <c r="M161" s="203"/>
      <c r="N161" s="204"/>
      <c r="O161" s="205"/>
      <c r="P161" s="199"/>
      <c r="Q161" s="215"/>
      <c r="R161" s="206"/>
      <c r="S161" s="199"/>
      <c r="T161" s="199"/>
      <c r="V161" s="207"/>
    </row>
    <row r="162" ht="15.75" customHeight="1">
      <c r="A162" s="196"/>
      <c r="B162" s="218"/>
      <c r="C162" s="207"/>
      <c r="D162" s="199"/>
      <c r="E162" s="207"/>
      <c r="F162" s="207"/>
      <c r="G162" s="199"/>
      <c r="H162" s="207"/>
      <c r="I162" s="199"/>
      <c r="J162" s="199"/>
      <c r="K162" s="209"/>
      <c r="L162" s="209"/>
      <c r="M162" s="203"/>
      <c r="N162" s="204"/>
      <c r="O162" s="205"/>
      <c r="P162" s="199"/>
      <c r="Q162" s="215"/>
      <c r="R162" s="206"/>
      <c r="S162" s="199"/>
      <c r="T162" s="199"/>
      <c r="V162" s="207"/>
    </row>
    <row r="163" ht="15.75" customHeight="1">
      <c r="A163" s="196"/>
      <c r="B163" s="218"/>
      <c r="C163" s="207"/>
      <c r="D163" s="199"/>
      <c r="E163" s="207"/>
      <c r="F163" s="207"/>
      <c r="G163" s="199"/>
      <c r="H163" s="207"/>
      <c r="I163" s="199"/>
      <c r="J163" s="199"/>
      <c r="K163" s="209"/>
      <c r="L163" s="209"/>
      <c r="M163" s="203"/>
      <c r="N163" s="204"/>
      <c r="O163" s="205"/>
      <c r="P163" s="199"/>
      <c r="Q163" s="215"/>
      <c r="R163" s="206"/>
      <c r="S163" s="199"/>
      <c r="T163" s="199"/>
      <c r="V163" s="207"/>
    </row>
    <row r="164" ht="15.75" customHeight="1">
      <c r="A164" s="196"/>
      <c r="B164" s="218"/>
      <c r="C164" s="207"/>
      <c r="D164" s="199"/>
      <c r="E164" s="207"/>
      <c r="F164" s="207"/>
      <c r="G164" s="199"/>
      <c r="H164" s="207"/>
      <c r="I164" s="199"/>
      <c r="J164" s="199"/>
      <c r="K164" s="209"/>
      <c r="L164" s="209"/>
      <c r="M164" s="203"/>
      <c r="N164" s="204"/>
      <c r="O164" s="205"/>
      <c r="P164" s="199"/>
      <c r="Q164" s="215"/>
      <c r="R164" s="206"/>
      <c r="S164" s="199"/>
      <c r="T164" s="199"/>
      <c r="V164" s="207"/>
    </row>
    <row r="165" ht="15.75" customHeight="1">
      <c r="A165" s="196"/>
      <c r="B165" s="218"/>
      <c r="C165" s="207"/>
      <c r="D165" s="199"/>
      <c r="E165" s="207"/>
      <c r="F165" s="207"/>
      <c r="G165" s="199"/>
      <c r="H165" s="207"/>
      <c r="I165" s="199"/>
      <c r="J165" s="199"/>
      <c r="K165" s="209"/>
      <c r="L165" s="209"/>
      <c r="M165" s="203"/>
      <c r="N165" s="204"/>
      <c r="O165" s="205"/>
      <c r="P165" s="199"/>
      <c r="Q165" s="215"/>
      <c r="R165" s="206"/>
      <c r="S165" s="199"/>
      <c r="T165" s="199"/>
      <c r="V165" s="207"/>
    </row>
    <row r="166" ht="15.75" customHeight="1">
      <c r="A166" s="196"/>
      <c r="B166" s="218"/>
      <c r="C166" s="207"/>
      <c r="D166" s="199"/>
      <c r="E166" s="207"/>
      <c r="F166" s="207"/>
      <c r="G166" s="199"/>
      <c r="H166" s="207"/>
      <c r="I166" s="199"/>
      <c r="J166" s="199"/>
      <c r="K166" s="209"/>
      <c r="L166" s="209"/>
      <c r="M166" s="203"/>
      <c r="N166" s="204"/>
      <c r="O166" s="205"/>
      <c r="P166" s="199"/>
      <c r="Q166" s="215"/>
      <c r="R166" s="206"/>
      <c r="S166" s="199"/>
      <c r="T166" s="199"/>
      <c r="V166" s="207"/>
    </row>
    <row r="167" ht="15.75" customHeight="1">
      <c r="A167" s="196"/>
      <c r="B167" s="218"/>
      <c r="C167" s="207"/>
      <c r="D167" s="199"/>
      <c r="E167" s="207"/>
      <c r="F167" s="207"/>
      <c r="G167" s="199"/>
      <c r="H167" s="207"/>
      <c r="I167" s="199"/>
      <c r="J167" s="199"/>
      <c r="K167" s="209"/>
      <c r="L167" s="209"/>
      <c r="M167" s="203"/>
      <c r="N167" s="204"/>
      <c r="O167" s="205"/>
      <c r="P167" s="199"/>
      <c r="Q167" s="215"/>
      <c r="R167" s="206"/>
      <c r="S167" s="199"/>
      <c r="T167" s="199"/>
      <c r="V167" s="207"/>
    </row>
    <row r="168" ht="15.75" customHeight="1">
      <c r="A168" s="196"/>
      <c r="B168" s="218"/>
      <c r="C168" s="207"/>
      <c r="D168" s="199"/>
      <c r="E168" s="207"/>
      <c r="F168" s="207"/>
      <c r="G168" s="199"/>
      <c r="H168" s="207"/>
      <c r="I168" s="199"/>
      <c r="J168" s="199"/>
      <c r="K168" s="209"/>
      <c r="L168" s="209"/>
      <c r="M168" s="203"/>
      <c r="N168" s="204"/>
      <c r="O168" s="205"/>
      <c r="P168" s="199"/>
      <c r="Q168" s="215"/>
      <c r="R168" s="206"/>
      <c r="S168" s="199"/>
      <c r="T168" s="199"/>
      <c r="V168" s="207"/>
    </row>
    <row r="169" ht="15.75" customHeight="1">
      <c r="A169" s="196"/>
      <c r="B169" s="218"/>
      <c r="C169" s="207"/>
      <c r="D169" s="199"/>
      <c r="E169" s="207"/>
      <c r="F169" s="207"/>
      <c r="G169" s="199"/>
      <c r="H169" s="207"/>
      <c r="I169" s="199"/>
      <c r="J169" s="199"/>
      <c r="K169" s="209"/>
      <c r="L169" s="209"/>
      <c r="M169" s="203"/>
      <c r="N169" s="204"/>
      <c r="O169" s="205"/>
      <c r="P169" s="199"/>
      <c r="Q169" s="215"/>
      <c r="R169" s="206"/>
      <c r="S169" s="199"/>
      <c r="T169" s="199"/>
      <c r="V169" s="207"/>
    </row>
    <row r="170" ht="15.75" customHeight="1">
      <c r="A170" s="196"/>
      <c r="B170" s="218"/>
      <c r="C170" s="207"/>
      <c r="D170" s="199"/>
      <c r="E170" s="207"/>
      <c r="F170" s="207"/>
      <c r="G170" s="199"/>
      <c r="H170" s="207"/>
      <c r="I170" s="199"/>
      <c r="J170" s="199"/>
      <c r="K170" s="209"/>
      <c r="L170" s="209"/>
      <c r="M170" s="203"/>
      <c r="N170" s="204"/>
      <c r="O170" s="205"/>
      <c r="P170" s="199"/>
      <c r="Q170" s="215"/>
      <c r="R170" s="206"/>
      <c r="S170" s="199"/>
      <c r="T170" s="199"/>
      <c r="V170" s="207"/>
    </row>
    <row r="171" ht="15.75" customHeight="1">
      <c r="A171" s="196"/>
      <c r="B171" s="218"/>
      <c r="C171" s="207"/>
      <c r="D171" s="199"/>
      <c r="E171" s="207"/>
      <c r="F171" s="207"/>
      <c r="G171" s="199"/>
      <c r="H171" s="207"/>
      <c r="I171" s="199"/>
      <c r="J171" s="199"/>
      <c r="K171" s="209"/>
      <c r="L171" s="209"/>
      <c r="M171" s="203"/>
      <c r="N171" s="204"/>
      <c r="O171" s="205"/>
      <c r="P171" s="199"/>
      <c r="Q171" s="215"/>
      <c r="R171" s="206"/>
      <c r="S171" s="199"/>
      <c r="T171" s="199"/>
      <c r="V171" s="207"/>
    </row>
    <row r="172" ht="15.75" customHeight="1">
      <c r="A172" s="196"/>
      <c r="B172" s="218"/>
      <c r="C172" s="207"/>
      <c r="D172" s="199"/>
      <c r="E172" s="207"/>
      <c r="F172" s="207"/>
      <c r="G172" s="199"/>
      <c r="H172" s="207"/>
      <c r="I172" s="199"/>
      <c r="J172" s="199"/>
      <c r="K172" s="209"/>
      <c r="L172" s="209"/>
      <c r="M172" s="203"/>
      <c r="N172" s="204"/>
      <c r="O172" s="205"/>
      <c r="P172" s="199"/>
      <c r="Q172" s="215"/>
      <c r="R172" s="206"/>
      <c r="S172" s="199"/>
      <c r="T172" s="199"/>
      <c r="V172" s="207"/>
    </row>
    <row r="173" ht="15.75" customHeight="1">
      <c r="A173" s="196"/>
      <c r="B173" s="218"/>
      <c r="C173" s="207"/>
      <c r="D173" s="199"/>
      <c r="E173" s="207"/>
      <c r="F173" s="207"/>
      <c r="G173" s="199"/>
      <c r="H173" s="207"/>
      <c r="I173" s="199"/>
      <c r="J173" s="199"/>
      <c r="K173" s="209"/>
      <c r="L173" s="209"/>
      <c r="M173" s="203"/>
      <c r="N173" s="204"/>
      <c r="O173" s="205"/>
      <c r="P173" s="199"/>
      <c r="Q173" s="215"/>
      <c r="R173" s="206"/>
      <c r="S173" s="199"/>
      <c r="T173" s="199"/>
      <c r="V173" s="207"/>
    </row>
    <row r="174" ht="15.75" customHeight="1">
      <c r="A174" s="196"/>
      <c r="B174" s="218"/>
      <c r="C174" s="207"/>
      <c r="D174" s="199"/>
      <c r="E174" s="207"/>
      <c r="F174" s="207"/>
      <c r="G174" s="199"/>
      <c r="H174" s="207"/>
      <c r="I174" s="199"/>
      <c r="J174" s="199"/>
      <c r="K174" s="209"/>
      <c r="L174" s="209"/>
      <c r="M174" s="203"/>
      <c r="N174" s="204"/>
      <c r="O174" s="205"/>
      <c r="P174" s="199"/>
      <c r="Q174" s="215"/>
      <c r="R174" s="206"/>
      <c r="S174" s="199"/>
      <c r="T174" s="199"/>
      <c r="V174" s="207"/>
    </row>
    <row r="175" ht="15.75" customHeight="1">
      <c r="A175" s="196"/>
      <c r="B175" s="218"/>
      <c r="C175" s="207"/>
      <c r="D175" s="199"/>
      <c r="E175" s="207"/>
      <c r="F175" s="207"/>
      <c r="G175" s="199"/>
      <c r="H175" s="207"/>
      <c r="I175" s="199"/>
      <c r="J175" s="199"/>
      <c r="K175" s="209"/>
      <c r="L175" s="209"/>
      <c r="M175" s="203"/>
      <c r="N175" s="204"/>
      <c r="O175" s="205"/>
      <c r="P175" s="199"/>
      <c r="Q175" s="215"/>
      <c r="R175" s="206"/>
      <c r="S175" s="199"/>
      <c r="T175" s="199"/>
      <c r="V175" s="207"/>
    </row>
    <row r="176" ht="15.75" customHeight="1">
      <c r="A176" s="196"/>
      <c r="B176" s="218"/>
      <c r="C176" s="207"/>
      <c r="D176" s="199"/>
      <c r="E176" s="207"/>
      <c r="F176" s="207"/>
      <c r="G176" s="199"/>
      <c r="H176" s="207"/>
      <c r="I176" s="199"/>
      <c r="J176" s="199"/>
      <c r="K176" s="209"/>
      <c r="L176" s="209"/>
      <c r="M176" s="203"/>
      <c r="N176" s="204"/>
      <c r="O176" s="205"/>
      <c r="P176" s="199"/>
      <c r="Q176" s="215"/>
      <c r="R176" s="206"/>
      <c r="S176" s="199"/>
      <c r="T176" s="199"/>
      <c r="V176" s="207"/>
    </row>
    <row r="177" ht="15.75" customHeight="1">
      <c r="A177" s="196"/>
      <c r="B177" s="218"/>
      <c r="C177" s="207"/>
      <c r="D177" s="199"/>
      <c r="E177" s="207"/>
      <c r="F177" s="207"/>
      <c r="G177" s="199"/>
      <c r="H177" s="207"/>
      <c r="I177" s="199"/>
      <c r="J177" s="199"/>
      <c r="K177" s="209"/>
      <c r="L177" s="209"/>
      <c r="M177" s="203"/>
      <c r="N177" s="204"/>
      <c r="O177" s="205"/>
      <c r="P177" s="199"/>
      <c r="Q177" s="215"/>
      <c r="R177" s="206"/>
      <c r="S177" s="199"/>
      <c r="T177" s="199"/>
      <c r="V177" s="207"/>
    </row>
    <row r="178" ht="15.75" customHeight="1">
      <c r="A178" s="196"/>
      <c r="B178" s="218"/>
      <c r="C178" s="207"/>
      <c r="D178" s="199"/>
      <c r="E178" s="207"/>
      <c r="F178" s="207"/>
      <c r="G178" s="199"/>
      <c r="H178" s="207"/>
      <c r="I178" s="199"/>
      <c r="J178" s="199"/>
      <c r="K178" s="209"/>
      <c r="L178" s="209"/>
      <c r="M178" s="203"/>
      <c r="N178" s="204"/>
      <c r="O178" s="205"/>
      <c r="P178" s="199"/>
      <c r="Q178" s="215"/>
      <c r="R178" s="206"/>
      <c r="S178" s="199"/>
      <c r="T178" s="199"/>
      <c r="V178" s="207"/>
    </row>
    <row r="179" ht="15.75" customHeight="1">
      <c r="A179" s="196"/>
      <c r="B179" s="218"/>
      <c r="C179" s="207"/>
      <c r="D179" s="199"/>
      <c r="E179" s="207"/>
      <c r="F179" s="207"/>
      <c r="G179" s="199"/>
      <c r="H179" s="207"/>
      <c r="I179" s="199"/>
      <c r="J179" s="199"/>
      <c r="K179" s="209"/>
      <c r="L179" s="209"/>
      <c r="M179" s="203"/>
      <c r="N179" s="204"/>
      <c r="O179" s="205"/>
      <c r="P179" s="199"/>
      <c r="Q179" s="215"/>
      <c r="R179" s="206"/>
      <c r="S179" s="199"/>
      <c r="T179" s="199"/>
      <c r="V179" s="207"/>
    </row>
    <row r="180" ht="15.75" customHeight="1">
      <c r="A180" s="196"/>
      <c r="B180" s="218"/>
      <c r="C180" s="207"/>
      <c r="D180" s="199"/>
      <c r="E180" s="207"/>
      <c r="F180" s="207"/>
      <c r="G180" s="199"/>
      <c r="H180" s="207"/>
      <c r="I180" s="199"/>
      <c r="J180" s="199"/>
      <c r="K180" s="209"/>
      <c r="L180" s="209"/>
      <c r="M180" s="203"/>
      <c r="N180" s="204"/>
      <c r="O180" s="205"/>
      <c r="P180" s="199"/>
      <c r="Q180" s="215"/>
      <c r="R180" s="206"/>
      <c r="S180" s="199"/>
      <c r="T180" s="199"/>
      <c r="V180" s="207"/>
    </row>
    <row r="181" ht="15.75" customHeight="1">
      <c r="A181" s="196"/>
      <c r="B181" s="218"/>
      <c r="C181" s="207"/>
      <c r="D181" s="199"/>
      <c r="E181" s="207"/>
      <c r="F181" s="207"/>
      <c r="G181" s="199"/>
      <c r="H181" s="207"/>
      <c r="I181" s="199"/>
      <c r="J181" s="199"/>
      <c r="K181" s="209"/>
      <c r="L181" s="209"/>
      <c r="M181" s="203"/>
      <c r="N181" s="204"/>
      <c r="O181" s="205"/>
      <c r="P181" s="199"/>
      <c r="Q181" s="215"/>
      <c r="R181" s="206"/>
      <c r="S181" s="199"/>
      <c r="T181" s="199"/>
      <c r="V181" s="207"/>
    </row>
    <row r="182" ht="15.75" customHeight="1">
      <c r="A182" s="196"/>
      <c r="B182" s="218"/>
      <c r="C182" s="207"/>
      <c r="D182" s="199"/>
      <c r="E182" s="207"/>
      <c r="F182" s="207"/>
      <c r="G182" s="199"/>
      <c r="H182" s="207"/>
      <c r="I182" s="199"/>
      <c r="J182" s="199"/>
      <c r="K182" s="209"/>
      <c r="L182" s="209"/>
      <c r="M182" s="203"/>
      <c r="N182" s="204"/>
      <c r="O182" s="205"/>
      <c r="P182" s="199"/>
      <c r="Q182" s="215"/>
      <c r="R182" s="206"/>
      <c r="S182" s="199"/>
      <c r="T182" s="199"/>
      <c r="V182" s="207"/>
    </row>
    <row r="183" ht="15.75" customHeight="1">
      <c r="A183" s="196"/>
      <c r="B183" s="218"/>
      <c r="C183" s="207"/>
      <c r="D183" s="199"/>
      <c r="E183" s="207"/>
      <c r="F183" s="207"/>
      <c r="G183" s="199"/>
      <c r="H183" s="207"/>
      <c r="I183" s="199"/>
      <c r="J183" s="199"/>
      <c r="K183" s="209"/>
      <c r="L183" s="209"/>
      <c r="M183" s="203"/>
      <c r="N183" s="204"/>
      <c r="O183" s="205"/>
      <c r="P183" s="199"/>
      <c r="Q183" s="215"/>
      <c r="R183" s="206"/>
      <c r="S183" s="199"/>
      <c r="T183" s="199"/>
      <c r="V183" s="207"/>
    </row>
    <row r="184" ht="15.75" customHeight="1">
      <c r="A184" s="196"/>
      <c r="B184" s="218"/>
      <c r="C184" s="207"/>
      <c r="D184" s="199"/>
      <c r="E184" s="207"/>
      <c r="F184" s="207"/>
      <c r="G184" s="199"/>
      <c r="H184" s="207"/>
      <c r="I184" s="199"/>
      <c r="J184" s="199"/>
      <c r="K184" s="209"/>
      <c r="L184" s="209"/>
      <c r="M184" s="203"/>
      <c r="N184" s="204"/>
      <c r="O184" s="205"/>
      <c r="P184" s="199"/>
      <c r="Q184" s="215"/>
      <c r="R184" s="206"/>
      <c r="S184" s="199"/>
      <c r="T184" s="199"/>
      <c r="V184" s="207"/>
    </row>
    <row r="185" ht="15.75" customHeight="1">
      <c r="A185" s="196"/>
      <c r="B185" s="218"/>
      <c r="C185" s="207"/>
      <c r="D185" s="199"/>
      <c r="E185" s="207"/>
      <c r="F185" s="207"/>
      <c r="G185" s="199"/>
      <c r="H185" s="207"/>
      <c r="I185" s="199"/>
      <c r="J185" s="199"/>
      <c r="K185" s="209"/>
      <c r="L185" s="209"/>
      <c r="M185" s="203"/>
      <c r="N185" s="204"/>
      <c r="O185" s="205"/>
      <c r="P185" s="199"/>
      <c r="Q185" s="215"/>
      <c r="R185" s="206"/>
      <c r="S185" s="199"/>
      <c r="T185" s="199"/>
      <c r="V185" s="207"/>
    </row>
    <row r="186" ht="15.75" customHeight="1">
      <c r="A186" s="196"/>
      <c r="B186" s="218"/>
      <c r="C186" s="207"/>
      <c r="D186" s="199"/>
      <c r="E186" s="207"/>
      <c r="F186" s="207"/>
      <c r="G186" s="199"/>
      <c r="H186" s="207"/>
      <c r="I186" s="199"/>
      <c r="J186" s="199"/>
      <c r="K186" s="209"/>
      <c r="L186" s="209"/>
      <c r="M186" s="203"/>
      <c r="N186" s="204"/>
      <c r="O186" s="205"/>
      <c r="P186" s="199"/>
      <c r="Q186" s="215"/>
      <c r="R186" s="206"/>
      <c r="S186" s="199"/>
      <c r="T186" s="199"/>
      <c r="V186" s="207"/>
    </row>
    <row r="187" ht="15.75" customHeight="1">
      <c r="A187" s="196"/>
      <c r="B187" s="218"/>
      <c r="C187" s="207"/>
      <c r="D187" s="199"/>
      <c r="E187" s="207"/>
      <c r="F187" s="207"/>
      <c r="G187" s="199"/>
      <c r="H187" s="207"/>
      <c r="I187" s="199"/>
      <c r="J187" s="199"/>
      <c r="K187" s="209"/>
      <c r="L187" s="209"/>
      <c r="M187" s="203"/>
      <c r="N187" s="204"/>
      <c r="O187" s="205"/>
      <c r="P187" s="199"/>
      <c r="Q187" s="215"/>
      <c r="R187" s="206"/>
      <c r="S187" s="199"/>
      <c r="T187" s="199"/>
      <c r="V187" s="207"/>
    </row>
    <row r="188" ht="15.75" customHeight="1">
      <c r="A188" s="196"/>
      <c r="B188" s="218"/>
      <c r="C188" s="207"/>
      <c r="D188" s="199"/>
      <c r="E188" s="207"/>
      <c r="F188" s="207"/>
      <c r="G188" s="199"/>
      <c r="H188" s="207"/>
      <c r="I188" s="199"/>
      <c r="J188" s="199"/>
      <c r="K188" s="209"/>
      <c r="L188" s="209"/>
      <c r="M188" s="203"/>
      <c r="N188" s="204"/>
      <c r="O188" s="205"/>
      <c r="P188" s="199"/>
      <c r="Q188" s="215"/>
      <c r="R188" s="206"/>
      <c r="S188" s="199"/>
      <c r="T188" s="199"/>
      <c r="V188" s="207"/>
    </row>
    <row r="189" ht="15.75" customHeight="1">
      <c r="A189" s="196"/>
      <c r="B189" s="218"/>
      <c r="C189" s="207"/>
      <c r="D189" s="199"/>
      <c r="E189" s="207"/>
      <c r="F189" s="207"/>
      <c r="G189" s="199"/>
      <c r="H189" s="207"/>
      <c r="I189" s="199"/>
      <c r="J189" s="199"/>
      <c r="K189" s="209"/>
      <c r="L189" s="209"/>
      <c r="M189" s="203"/>
      <c r="N189" s="204"/>
      <c r="O189" s="205"/>
      <c r="P189" s="199"/>
      <c r="Q189" s="215"/>
      <c r="R189" s="206"/>
      <c r="S189" s="199"/>
      <c r="T189" s="199"/>
      <c r="V189" s="207"/>
    </row>
    <row r="190" ht="15.75" customHeight="1">
      <c r="A190" s="196"/>
      <c r="B190" s="218"/>
      <c r="C190" s="207"/>
      <c r="D190" s="199"/>
      <c r="E190" s="207"/>
      <c r="F190" s="207"/>
      <c r="G190" s="199"/>
      <c r="H190" s="207"/>
      <c r="I190" s="199"/>
      <c r="J190" s="199"/>
      <c r="K190" s="209"/>
      <c r="L190" s="209"/>
      <c r="M190" s="203"/>
      <c r="N190" s="204"/>
      <c r="O190" s="205"/>
      <c r="P190" s="199"/>
      <c r="Q190" s="215"/>
      <c r="R190" s="206"/>
      <c r="S190" s="199"/>
      <c r="T190" s="199"/>
      <c r="V190" s="207"/>
    </row>
    <row r="191" ht="15.75" customHeight="1">
      <c r="A191" s="196"/>
      <c r="B191" s="218"/>
      <c r="C191" s="207"/>
      <c r="D191" s="199"/>
      <c r="E191" s="207"/>
      <c r="F191" s="207"/>
      <c r="G191" s="199"/>
      <c r="H191" s="207"/>
      <c r="I191" s="199"/>
      <c r="J191" s="199"/>
      <c r="K191" s="209"/>
      <c r="L191" s="209"/>
      <c r="M191" s="203"/>
      <c r="N191" s="204"/>
      <c r="O191" s="205"/>
      <c r="P191" s="199"/>
      <c r="Q191" s="215"/>
      <c r="R191" s="206"/>
      <c r="S191" s="199"/>
      <c r="T191" s="199"/>
      <c r="V191" s="207"/>
    </row>
    <row r="192" ht="15.75" customHeight="1">
      <c r="A192" s="196"/>
      <c r="B192" s="218"/>
      <c r="C192" s="207"/>
      <c r="D192" s="199"/>
      <c r="E192" s="207"/>
      <c r="F192" s="207"/>
      <c r="G192" s="199"/>
      <c r="H192" s="207"/>
      <c r="I192" s="199"/>
      <c r="J192" s="199"/>
      <c r="K192" s="209"/>
      <c r="L192" s="209"/>
      <c r="M192" s="203"/>
      <c r="N192" s="204"/>
      <c r="O192" s="205"/>
      <c r="P192" s="199"/>
      <c r="Q192" s="215"/>
      <c r="R192" s="206"/>
      <c r="S192" s="199"/>
      <c r="T192" s="199"/>
      <c r="V192" s="207"/>
    </row>
    <row r="193" ht="15.75" customHeight="1">
      <c r="A193" s="196"/>
      <c r="B193" s="218"/>
      <c r="C193" s="207"/>
      <c r="D193" s="199"/>
      <c r="E193" s="207"/>
      <c r="F193" s="207"/>
      <c r="G193" s="199"/>
      <c r="H193" s="207"/>
      <c r="I193" s="199"/>
      <c r="J193" s="199"/>
      <c r="K193" s="209"/>
      <c r="L193" s="209"/>
      <c r="M193" s="203"/>
      <c r="N193" s="204"/>
      <c r="O193" s="205"/>
      <c r="P193" s="199"/>
      <c r="Q193" s="215"/>
      <c r="R193" s="206"/>
      <c r="S193" s="199"/>
      <c r="T193" s="199"/>
      <c r="V193" s="207"/>
    </row>
    <row r="194" ht="15.75" customHeight="1">
      <c r="A194" s="196"/>
      <c r="B194" s="218"/>
      <c r="C194" s="207"/>
      <c r="D194" s="199"/>
      <c r="E194" s="207"/>
      <c r="F194" s="207"/>
      <c r="G194" s="199"/>
      <c r="H194" s="207"/>
      <c r="I194" s="199"/>
      <c r="J194" s="199"/>
      <c r="K194" s="209"/>
      <c r="L194" s="209"/>
      <c r="M194" s="203"/>
      <c r="N194" s="204"/>
      <c r="O194" s="205"/>
      <c r="P194" s="199"/>
      <c r="Q194" s="215"/>
      <c r="R194" s="206"/>
      <c r="S194" s="199"/>
      <c r="T194" s="199"/>
      <c r="V194" s="207"/>
    </row>
    <row r="195" ht="15.75" customHeight="1">
      <c r="A195" s="196"/>
      <c r="B195" s="218"/>
      <c r="C195" s="207"/>
      <c r="D195" s="199"/>
      <c r="E195" s="207"/>
      <c r="F195" s="207"/>
      <c r="G195" s="199"/>
      <c r="H195" s="207"/>
      <c r="I195" s="199"/>
      <c r="J195" s="199"/>
      <c r="K195" s="209"/>
      <c r="L195" s="209"/>
      <c r="M195" s="203"/>
      <c r="N195" s="204"/>
      <c r="O195" s="205"/>
      <c r="P195" s="199"/>
      <c r="Q195" s="215"/>
      <c r="R195" s="206"/>
      <c r="S195" s="199"/>
      <c r="T195" s="199"/>
      <c r="V195" s="207"/>
    </row>
    <row r="196" ht="15.75" customHeight="1">
      <c r="A196" s="196"/>
      <c r="B196" s="218"/>
      <c r="C196" s="207"/>
      <c r="D196" s="199"/>
      <c r="E196" s="207"/>
      <c r="F196" s="207"/>
      <c r="G196" s="199"/>
      <c r="H196" s="207"/>
      <c r="I196" s="199"/>
      <c r="J196" s="199"/>
      <c r="K196" s="209"/>
      <c r="L196" s="209"/>
      <c r="M196" s="203"/>
      <c r="N196" s="204"/>
      <c r="O196" s="205"/>
      <c r="P196" s="199"/>
      <c r="Q196" s="215"/>
      <c r="R196" s="206"/>
      <c r="S196" s="199"/>
      <c r="T196" s="199"/>
      <c r="V196" s="207"/>
    </row>
    <row r="197" ht="15.75" customHeight="1">
      <c r="A197" s="196"/>
      <c r="B197" s="218"/>
      <c r="C197" s="207"/>
      <c r="D197" s="199"/>
      <c r="E197" s="207"/>
      <c r="F197" s="207"/>
      <c r="G197" s="199"/>
      <c r="H197" s="207"/>
      <c r="I197" s="199"/>
      <c r="J197" s="199"/>
      <c r="K197" s="209"/>
      <c r="L197" s="209"/>
      <c r="M197" s="203"/>
      <c r="N197" s="204"/>
      <c r="O197" s="205"/>
      <c r="P197" s="199"/>
      <c r="Q197" s="215"/>
      <c r="R197" s="206"/>
      <c r="S197" s="199"/>
      <c r="T197" s="199"/>
      <c r="V197" s="207"/>
    </row>
    <row r="198" ht="15.75" customHeight="1">
      <c r="A198" s="196"/>
      <c r="B198" s="218"/>
      <c r="C198" s="207"/>
      <c r="D198" s="199"/>
      <c r="E198" s="207"/>
      <c r="F198" s="207"/>
      <c r="G198" s="199"/>
      <c r="H198" s="207"/>
      <c r="I198" s="199"/>
      <c r="J198" s="199"/>
      <c r="K198" s="209"/>
      <c r="L198" s="209"/>
      <c r="M198" s="203"/>
      <c r="N198" s="204"/>
      <c r="O198" s="205"/>
      <c r="P198" s="199"/>
      <c r="Q198" s="215"/>
      <c r="R198" s="206"/>
      <c r="S198" s="199"/>
      <c r="T198" s="199"/>
      <c r="V198" s="207"/>
    </row>
    <row r="199" ht="15.75" customHeight="1">
      <c r="A199" s="196"/>
      <c r="B199" s="218"/>
      <c r="C199" s="207"/>
      <c r="D199" s="199"/>
      <c r="E199" s="207"/>
      <c r="F199" s="207"/>
      <c r="G199" s="199"/>
      <c r="H199" s="207"/>
      <c r="I199" s="199"/>
      <c r="J199" s="199"/>
      <c r="K199" s="209"/>
      <c r="L199" s="209"/>
      <c r="M199" s="203"/>
      <c r="N199" s="204"/>
      <c r="O199" s="205"/>
      <c r="P199" s="199"/>
      <c r="Q199" s="215"/>
      <c r="R199" s="206"/>
      <c r="S199" s="199"/>
      <c r="T199" s="199"/>
      <c r="V199" s="207"/>
    </row>
    <row r="200" ht="15.75" customHeight="1">
      <c r="A200" s="196"/>
      <c r="B200" s="218"/>
      <c r="C200" s="207"/>
      <c r="D200" s="199"/>
      <c r="E200" s="207"/>
      <c r="F200" s="207"/>
      <c r="G200" s="199"/>
      <c r="H200" s="207"/>
      <c r="I200" s="199"/>
      <c r="J200" s="199"/>
      <c r="K200" s="209"/>
      <c r="L200" s="209"/>
      <c r="M200" s="203"/>
      <c r="N200" s="204"/>
      <c r="O200" s="205"/>
      <c r="P200" s="199"/>
      <c r="Q200" s="215"/>
      <c r="R200" s="206"/>
      <c r="S200" s="199"/>
      <c r="T200" s="199"/>
      <c r="V200" s="207"/>
    </row>
    <row r="201" ht="15.75" customHeight="1">
      <c r="A201" s="196"/>
      <c r="B201" s="218"/>
      <c r="C201" s="207"/>
      <c r="D201" s="199"/>
      <c r="E201" s="207"/>
      <c r="F201" s="207"/>
      <c r="G201" s="199"/>
      <c r="H201" s="207"/>
      <c r="I201" s="199"/>
      <c r="J201" s="199"/>
      <c r="K201" s="209"/>
      <c r="L201" s="209"/>
      <c r="M201" s="203"/>
      <c r="N201" s="204"/>
      <c r="O201" s="205"/>
      <c r="P201" s="199"/>
      <c r="Q201" s="215"/>
      <c r="R201" s="206"/>
      <c r="S201" s="199"/>
      <c r="T201" s="199"/>
      <c r="V201" s="207"/>
    </row>
    <row r="202" ht="15.75" customHeight="1">
      <c r="A202" s="196"/>
      <c r="B202" s="218"/>
      <c r="C202" s="207"/>
      <c r="D202" s="199"/>
      <c r="E202" s="207"/>
      <c r="F202" s="207"/>
      <c r="G202" s="199"/>
      <c r="H202" s="207"/>
      <c r="I202" s="199"/>
      <c r="J202" s="199"/>
      <c r="K202" s="209"/>
      <c r="L202" s="209"/>
      <c r="M202" s="203"/>
      <c r="N202" s="204"/>
      <c r="O202" s="205"/>
      <c r="P202" s="199"/>
      <c r="Q202" s="215"/>
      <c r="R202" s="206"/>
      <c r="S202" s="199"/>
      <c r="T202" s="199"/>
      <c r="V202" s="207"/>
    </row>
    <row r="203" ht="15.75" customHeight="1">
      <c r="A203" s="196"/>
      <c r="B203" s="218"/>
      <c r="C203" s="207"/>
      <c r="D203" s="199"/>
      <c r="E203" s="207"/>
      <c r="F203" s="207"/>
      <c r="G203" s="199"/>
      <c r="H203" s="207"/>
      <c r="I203" s="199"/>
      <c r="J203" s="199"/>
      <c r="K203" s="209"/>
      <c r="L203" s="209"/>
      <c r="M203" s="203"/>
      <c r="N203" s="204"/>
      <c r="O203" s="205"/>
      <c r="P203" s="199"/>
      <c r="Q203" s="215"/>
      <c r="R203" s="206"/>
      <c r="S203" s="199"/>
      <c r="T203" s="199"/>
      <c r="V203" s="207"/>
    </row>
    <row r="204" ht="15.75" customHeight="1">
      <c r="A204" s="196"/>
      <c r="B204" s="218"/>
      <c r="C204" s="207"/>
      <c r="D204" s="199"/>
      <c r="E204" s="207"/>
      <c r="F204" s="207"/>
      <c r="G204" s="199"/>
      <c r="H204" s="207"/>
      <c r="I204" s="199"/>
      <c r="J204" s="199"/>
      <c r="K204" s="209"/>
      <c r="L204" s="209"/>
      <c r="M204" s="203"/>
      <c r="N204" s="204"/>
      <c r="O204" s="205"/>
      <c r="P204" s="199"/>
      <c r="Q204" s="215"/>
      <c r="R204" s="206"/>
      <c r="S204" s="199"/>
      <c r="T204" s="199"/>
      <c r="V204" s="207"/>
    </row>
    <row r="205" ht="15.75" customHeight="1">
      <c r="A205" s="196"/>
      <c r="B205" s="218"/>
      <c r="C205" s="207"/>
      <c r="D205" s="199"/>
      <c r="E205" s="207"/>
      <c r="F205" s="207"/>
      <c r="G205" s="199"/>
      <c r="H205" s="207"/>
      <c r="I205" s="199"/>
      <c r="J205" s="199"/>
      <c r="K205" s="209"/>
      <c r="L205" s="209"/>
      <c r="M205" s="203"/>
      <c r="N205" s="204"/>
      <c r="O205" s="205"/>
      <c r="P205" s="199"/>
      <c r="Q205" s="215"/>
      <c r="R205" s="206"/>
      <c r="S205" s="199"/>
      <c r="T205" s="199"/>
      <c r="V205" s="207"/>
    </row>
    <row r="206" ht="15.75" customHeight="1">
      <c r="A206" s="196"/>
      <c r="B206" s="218"/>
      <c r="C206" s="207"/>
      <c r="D206" s="199"/>
      <c r="E206" s="207"/>
      <c r="F206" s="207"/>
      <c r="G206" s="199"/>
      <c r="H206" s="207"/>
      <c r="I206" s="199"/>
      <c r="J206" s="199"/>
      <c r="K206" s="209"/>
      <c r="L206" s="209"/>
      <c r="M206" s="203"/>
      <c r="N206" s="204"/>
      <c r="O206" s="205"/>
      <c r="P206" s="199"/>
      <c r="Q206" s="215"/>
      <c r="R206" s="206"/>
      <c r="S206" s="199"/>
      <c r="T206" s="199"/>
      <c r="V206" s="207"/>
    </row>
    <row r="207" ht="15.75" customHeight="1">
      <c r="A207" s="196"/>
      <c r="B207" s="218"/>
      <c r="C207" s="207"/>
      <c r="D207" s="199"/>
      <c r="E207" s="207"/>
      <c r="F207" s="207"/>
      <c r="G207" s="199"/>
      <c r="H207" s="207"/>
      <c r="I207" s="199"/>
      <c r="J207" s="199"/>
      <c r="K207" s="209"/>
      <c r="L207" s="209"/>
      <c r="M207" s="203"/>
      <c r="N207" s="204"/>
      <c r="O207" s="205"/>
      <c r="P207" s="199"/>
      <c r="Q207" s="215"/>
      <c r="R207" s="206"/>
      <c r="S207" s="199"/>
      <c r="T207" s="199"/>
      <c r="V207" s="207"/>
    </row>
    <row r="208" ht="15.75" customHeight="1">
      <c r="A208" s="196"/>
      <c r="B208" s="218"/>
      <c r="C208" s="207"/>
      <c r="D208" s="199"/>
      <c r="E208" s="207"/>
      <c r="F208" s="207"/>
      <c r="G208" s="199"/>
      <c r="H208" s="207"/>
      <c r="I208" s="199"/>
      <c r="J208" s="199"/>
      <c r="K208" s="209"/>
      <c r="L208" s="209"/>
      <c r="M208" s="203"/>
      <c r="N208" s="204"/>
      <c r="O208" s="205"/>
      <c r="P208" s="199"/>
      <c r="Q208" s="215"/>
      <c r="R208" s="206"/>
      <c r="S208" s="199"/>
      <c r="T208" s="199"/>
      <c r="V208" s="207"/>
    </row>
    <row r="209" ht="15.75" customHeight="1">
      <c r="A209" s="196"/>
      <c r="B209" s="218"/>
      <c r="C209" s="207"/>
      <c r="D209" s="199"/>
      <c r="E209" s="207"/>
      <c r="F209" s="207"/>
      <c r="G209" s="199"/>
      <c r="H209" s="207"/>
      <c r="I209" s="199"/>
      <c r="J209" s="199"/>
      <c r="K209" s="209"/>
      <c r="L209" s="209"/>
      <c r="M209" s="203"/>
      <c r="N209" s="204"/>
      <c r="O209" s="205"/>
      <c r="P209" s="199"/>
      <c r="Q209" s="215"/>
      <c r="R209" s="206"/>
      <c r="S209" s="199"/>
      <c r="T209" s="199"/>
      <c r="V209" s="207"/>
    </row>
    <row r="210" ht="15.75" customHeight="1">
      <c r="A210" s="196"/>
      <c r="B210" s="218"/>
      <c r="C210" s="207"/>
      <c r="D210" s="199"/>
      <c r="E210" s="207"/>
      <c r="F210" s="207"/>
      <c r="G210" s="199"/>
      <c r="H210" s="207"/>
      <c r="I210" s="199"/>
      <c r="J210" s="199"/>
      <c r="K210" s="209"/>
      <c r="L210" s="209"/>
      <c r="M210" s="203"/>
      <c r="N210" s="204"/>
      <c r="O210" s="205"/>
      <c r="P210" s="199"/>
      <c r="Q210" s="215"/>
      <c r="R210" s="206"/>
      <c r="S210" s="199"/>
      <c r="T210" s="199"/>
      <c r="V210" s="207"/>
    </row>
    <row r="211" ht="15.75" customHeight="1">
      <c r="A211" s="196"/>
      <c r="B211" s="218"/>
      <c r="C211" s="207"/>
      <c r="D211" s="199"/>
      <c r="E211" s="207"/>
      <c r="F211" s="207"/>
      <c r="G211" s="199"/>
      <c r="H211" s="207"/>
      <c r="I211" s="199"/>
      <c r="J211" s="199"/>
      <c r="K211" s="209"/>
      <c r="L211" s="209"/>
      <c r="M211" s="203"/>
      <c r="N211" s="204"/>
      <c r="O211" s="205"/>
      <c r="P211" s="199"/>
      <c r="Q211" s="215"/>
      <c r="R211" s="206"/>
      <c r="S211" s="199"/>
      <c r="T211" s="199"/>
      <c r="V211" s="207"/>
    </row>
    <row r="212" ht="15.75" customHeight="1">
      <c r="A212" s="196"/>
      <c r="B212" s="218"/>
      <c r="C212" s="207"/>
      <c r="D212" s="199"/>
      <c r="E212" s="207"/>
      <c r="F212" s="207"/>
      <c r="G212" s="199"/>
      <c r="H212" s="207"/>
      <c r="I212" s="199"/>
      <c r="J212" s="199"/>
      <c r="K212" s="209"/>
      <c r="L212" s="209"/>
      <c r="M212" s="203"/>
      <c r="N212" s="204"/>
      <c r="O212" s="205"/>
      <c r="P212" s="199"/>
      <c r="Q212" s="215"/>
      <c r="R212" s="206"/>
      <c r="S212" s="199"/>
      <c r="T212" s="199"/>
      <c r="V212" s="207"/>
    </row>
    <row r="213" ht="15.75" customHeight="1">
      <c r="A213" s="196"/>
      <c r="B213" s="218"/>
      <c r="C213" s="207"/>
      <c r="D213" s="199"/>
      <c r="E213" s="207"/>
      <c r="F213" s="207"/>
      <c r="G213" s="199"/>
      <c r="H213" s="207"/>
      <c r="I213" s="199"/>
      <c r="J213" s="199"/>
      <c r="K213" s="209"/>
      <c r="L213" s="209"/>
      <c r="M213" s="203"/>
      <c r="N213" s="204"/>
      <c r="O213" s="205"/>
      <c r="P213" s="199"/>
      <c r="Q213" s="215"/>
      <c r="R213" s="206"/>
      <c r="S213" s="199"/>
      <c r="T213" s="199"/>
      <c r="V213" s="207"/>
    </row>
    <row r="214" ht="15.75" customHeight="1">
      <c r="A214" s="196"/>
      <c r="B214" s="218"/>
      <c r="C214" s="207"/>
      <c r="D214" s="199"/>
      <c r="E214" s="207"/>
      <c r="F214" s="207"/>
      <c r="G214" s="199"/>
      <c r="H214" s="207"/>
      <c r="I214" s="199"/>
      <c r="J214" s="199"/>
      <c r="K214" s="209"/>
      <c r="L214" s="209"/>
      <c r="M214" s="203"/>
      <c r="N214" s="204"/>
      <c r="O214" s="205"/>
      <c r="P214" s="199"/>
      <c r="Q214" s="215"/>
      <c r="R214" s="206"/>
      <c r="S214" s="199"/>
      <c r="T214" s="199"/>
      <c r="V214" s="207"/>
    </row>
    <row r="215" ht="15.75" customHeight="1">
      <c r="A215" s="196"/>
      <c r="B215" s="218"/>
      <c r="C215" s="207"/>
      <c r="D215" s="199"/>
      <c r="E215" s="207"/>
      <c r="F215" s="207"/>
      <c r="G215" s="199"/>
      <c r="H215" s="207"/>
      <c r="I215" s="199"/>
      <c r="J215" s="199"/>
      <c r="K215" s="209"/>
      <c r="L215" s="209"/>
      <c r="M215" s="203"/>
      <c r="N215" s="204"/>
      <c r="O215" s="205"/>
      <c r="P215" s="199"/>
      <c r="Q215" s="215"/>
      <c r="R215" s="206"/>
      <c r="S215" s="199"/>
      <c r="T215" s="199"/>
      <c r="V215" s="207"/>
    </row>
    <row r="216" ht="15.75" customHeight="1">
      <c r="A216" s="196"/>
      <c r="B216" s="218"/>
      <c r="C216" s="207"/>
      <c r="D216" s="199"/>
      <c r="E216" s="207"/>
      <c r="F216" s="207"/>
      <c r="G216" s="199"/>
      <c r="H216" s="207"/>
      <c r="I216" s="199"/>
      <c r="J216" s="199"/>
      <c r="K216" s="209"/>
      <c r="L216" s="209"/>
      <c r="M216" s="203"/>
      <c r="N216" s="204"/>
      <c r="O216" s="205"/>
      <c r="P216" s="199"/>
      <c r="Q216" s="215"/>
      <c r="R216" s="206"/>
      <c r="S216" s="199"/>
      <c r="T216" s="199"/>
      <c r="V216" s="207"/>
    </row>
    <row r="217" ht="15.75" customHeight="1">
      <c r="A217" s="196"/>
      <c r="B217" s="218"/>
      <c r="C217" s="207"/>
      <c r="D217" s="199"/>
      <c r="E217" s="207"/>
      <c r="F217" s="207"/>
      <c r="G217" s="199"/>
      <c r="H217" s="207"/>
      <c r="I217" s="199"/>
      <c r="J217" s="199"/>
      <c r="K217" s="209"/>
      <c r="L217" s="209"/>
      <c r="M217" s="203"/>
      <c r="N217" s="204"/>
      <c r="O217" s="205"/>
      <c r="P217" s="199"/>
      <c r="Q217" s="215"/>
      <c r="R217" s="206"/>
      <c r="S217" s="199"/>
      <c r="T217" s="199"/>
      <c r="V217" s="207"/>
    </row>
    <row r="218" ht="15.75" customHeight="1">
      <c r="A218" s="196"/>
      <c r="B218" s="218"/>
      <c r="C218" s="207"/>
      <c r="D218" s="199"/>
      <c r="E218" s="207"/>
      <c r="F218" s="207"/>
      <c r="G218" s="199"/>
      <c r="H218" s="207"/>
      <c r="I218" s="199"/>
      <c r="J218" s="199"/>
      <c r="K218" s="209"/>
      <c r="L218" s="209"/>
      <c r="M218" s="203"/>
      <c r="N218" s="204"/>
      <c r="O218" s="205"/>
      <c r="P218" s="199"/>
      <c r="Q218" s="215"/>
      <c r="R218" s="206"/>
      <c r="S218" s="199"/>
      <c r="T218" s="199"/>
      <c r="V218" s="207"/>
    </row>
    <row r="219" ht="15.75" customHeight="1">
      <c r="A219" s="196"/>
      <c r="B219" s="218"/>
      <c r="C219" s="207"/>
      <c r="D219" s="199"/>
      <c r="E219" s="207"/>
      <c r="F219" s="207"/>
      <c r="G219" s="199"/>
      <c r="H219" s="207"/>
      <c r="I219" s="199"/>
      <c r="J219" s="199"/>
      <c r="K219" s="209"/>
      <c r="L219" s="209"/>
      <c r="M219" s="203"/>
      <c r="N219" s="204"/>
      <c r="O219" s="205"/>
      <c r="P219" s="199"/>
      <c r="Q219" s="215"/>
      <c r="R219" s="206"/>
      <c r="S219" s="199"/>
      <c r="T219" s="199"/>
      <c r="V219" s="207"/>
    </row>
    <row r="220" ht="15.75" customHeight="1">
      <c r="A220" s="196"/>
      <c r="B220" s="218"/>
      <c r="C220" s="207"/>
      <c r="D220" s="199"/>
      <c r="E220" s="207"/>
      <c r="F220" s="207"/>
      <c r="G220" s="199"/>
      <c r="H220" s="207"/>
      <c r="I220" s="199"/>
      <c r="J220" s="199"/>
      <c r="K220" s="209"/>
      <c r="L220" s="209"/>
      <c r="M220" s="203"/>
      <c r="N220" s="204"/>
      <c r="O220" s="205"/>
      <c r="P220" s="199"/>
      <c r="Q220" s="215"/>
      <c r="R220" s="206"/>
      <c r="S220" s="199"/>
      <c r="T220" s="199"/>
      <c r="V220" s="207"/>
    </row>
    <row r="221" ht="15.75" customHeight="1">
      <c r="A221" s="196"/>
      <c r="B221" s="218"/>
      <c r="C221" s="207"/>
      <c r="D221" s="199"/>
      <c r="E221" s="207"/>
      <c r="F221" s="207"/>
      <c r="G221" s="199"/>
      <c r="H221" s="207"/>
      <c r="I221" s="199"/>
      <c r="J221" s="199"/>
      <c r="K221" s="209"/>
      <c r="L221" s="209"/>
      <c r="M221" s="203"/>
      <c r="N221" s="204"/>
      <c r="O221" s="205"/>
      <c r="P221" s="199"/>
      <c r="Q221" s="215"/>
      <c r="R221" s="206"/>
      <c r="S221" s="199"/>
      <c r="T221" s="199"/>
      <c r="V221" s="207"/>
    </row>
    <row r="222" ht="15.75" customHeight="1">
      <c r="A222" s="196"/>
      <c r="B222" s="218"/>
      <c r="C222" s="207"/>
      <c r="D222" s="199"/>
      <c r="E222" s="207"/>
      <c r="F222" s="207"/>
      <c r="G222" s="199"/>
      <c r="H222" s="207"/>
      <c r="I222" s="199"/>
      <c r="J222" s="199"/>
      <c r="K222" s="209"/>
      <c r="L222" s="209"/>
      <c r="M222" s="203"/>
      <c r="N222" s="204"/>
      <c r="O222" s="205"/>
      <c r="P222" s="199"/>
      <c r="Q222" s="215"/>
      <c r="R222" s="206"/>
      <c r="S222" s="199"/>
      <c r="T222" s="199"/>
      <c r="V222" s="207"/>
    </row>
    <row r="223" ht="15.75" customHeight="1">
      <c r="A223" s="196"/>
      <c r="B223" s="218"/>
      <c r="C223" s="207"/>
      <c r="D223" s="199"/>
      <c r="E223" s="207"/>
      <c r="F223" s="207"/>
      <c r="G223" s="199"/>
      <c r="H223" s="207"/>
      <c r="I223" s="199"/>
      <c r="J223" s="199"/>
      <c r="K223" s="209"/>
      <c r="L223" s="209"/>
      <c r="M223" s="203"/>
      <c r="N223" s="204"/>
      <c r="O223" s="205"/>
      <c r="P223" s="199"/>
      <c r="Q223" s="215"/>
      <c r="R223" s="206"/>
      <c r="S223" s="199"/>
      <c r="T223" s="199"/>
      <c r="V223" s="207"/>
    </row>
    <row r="224" ht="15.75" customHeight="1">
      <c r="A224" s="196"/>
      <c r="B224" s="218"/>
      <c r="C224" s="207"/>
      <c r="D224" s="199"/>
      <c r="E224" s="207"/>
      <c r="F224" s="207"/>
      <c r="G224" s="199"/>
      <c r="H224" s="207"/>
      <c r="I224" s="199"/>
      <c r="J224" s="199"/>
      <c r="K224" s="209"/>
      <c r="L224" s="209"/>
      <c r="M224" s="203"/>
      <c r="N224" s="204"/>
      <c r="O224" s="205"/>
      <c r="P224" s="199"/>
      <c r="Q224" s="215"/>
      <c r="R224" s="206"/>
      <c r="S224" s="199"/>
      <c r="T224" s="199"/>
      <c r="V224" s="207"/>
    </row>
    <row r="225" ht="15.75" customHeight="1">
      <c r="A225" s="196"/>
      <c r="B225" s="218"/>
      <c r="C225" s="207"/>
      <c r="D225" s="199"/>
      <c r="E225" s="207"/>
      <c r="F225" s="207"/>
      <c r="G225" s="199"/>
      <c r="H225" s="207"/>
      <c r="I225" s="199"/>
      <c r="J225" s="199"/>
      <c r="K225" s="209"/>
      <c r="L225" s="209"/>
      <c r="M225" s="203"/>
      <c r="N225" s="204"/>
      <c r="O225" s="205"/>
      <c r="P225" s="199"/>
      <c r="Q225" s="215"/>
      <c r="R225" s="206"/>
      <c r="S225" s="199"/>
      <c r="T225" s="199"/>
      <c r="V225" s="207"/>
    </row>
    <row r="226" ht="15.75" customHeight="1">
      <c r="A226" s="196"/>
      <c r="B226" s="218"/>
      <c r="C226" s="207"/>
      <c r="D226" s="199"/>
      <c r="E226" s="207"/>
      <c r="F226" s="207"/>
      <c r="G226" s="199"/>
      <c r="H226" s="207"/>
      <c r="I226" s="199"/>
      <c r="J226" s="199"/>
      <c r="K226" s="209"/>
      <c r="L226" s="209"/>
      <c r="M226" s="203"/>
      <c r="N226" s="204"/>
      <c r="O226" s="205"/>
      <c r="P226" s="199"/>
      <c r="Q226" s="215"/>
      <c r="R226" s="206"/>
      <c r="S226" s="199"/>
      <c r="T226" s="199"/>
      <c r="V226" s="207"/>
    </row>
    <row r="227" ht="15.75" customHeight="1">
      <c r="A227" s="196"/>
      <c r="B227" s="218"/>
      <c r="C227" s="207"/>
      <c r="D227" s="199"/>
      <c r="E227" s="207"/>
      <c r="F227" s="207"/>
      <c r="G227" s="199"/>
      <c r="H227" s="207"/>
      <c r="I227" s="199"/>
      <c r="J227" s="199"/>
      <c r="K227" s="209"/>
      <c r="L227" s="209"/>
      <c r="M227" s="203"/>
      <c r="N227" s="204"/>
      <c r="O227" s="205"/>
      <c r="P227" s="199"/>
      <c r="Q227" s="215"/>
      <c r="R227" s="206"/>
      <c r="S227" s="199"/>
      <c r="T227" s="199"/>
      <c r="V227" s="207"/>
    </row>
    <row r="228" ht="15.75" customHeight="1">
      <c r="A228" s="196"/>
      <c r="B228" s="218"/>
      <c r="C228" s="207"/>
      <c r="D228" s="199"/>
      <c r="E228" s="207"/>
      <c r="F228" s="207"/>
      <c r="G228" s="199"/>
      <c r="H228" s="207"/>
      <c r="I228" s="199"/>
      <c r="J228" s="199"/>
      <c r="K228" s="209"/>
      <c r="L228" s="209"/>
      <c r="M228" s="203"/>
      <c r="N228" s="204"/>
      <c r="O228" s="205"/>
      <c r="P228" s="199"/>
      <c r="Q228" s="215"/>
      <c r="R228" s="206"/>
      <c r="S228" s="199"/>
      <c r="T228" s="199"/>
      <c r="V228" s="207"/>
    </row>
    <row r="229" ht="15.75" customHeight="1">
      <c r="A229" s="196"/>
      <c r="B229" s="218"/>
      <c r="C229" s="207"/>
      <c r="D229" s="199"/>
      <c r="E229" s="207"/>
      <c r="F229" s="207"/>
      <c r="G229" s="199"/>
      <c r="H229" s="207"/>
      <c r="I229" s="199"/>
      <c r="J229" s="199"/>
      <c r="K229" s="209"/>
      <c r="L229" s="209"/>
      <c r="M229" s="203"/>
      <c r="N229" s="204"/>
      <c r="O229" s="205"/>
      <c r="P229" s="199"/>
      <c r="Q229" s="215"/>
      <c r="R229" s="206"/>
      <c r="S229" s="199"/>
      <c r="T229" s="199"/>
      <c r="V229" s="207"/>
    </row>
    <row r="230" ht="15.75" customHeight="1">
      <c r="A230" s="196"/>
      <c r="B230" s="218"/>
      <c r="C230" s="207"/>
      <c r="D230" s="199"/>
      <c r="E230" s="207"/>
      <c r="F230" s="207"/>
      <c r="G230" s="199"/>
      <c r="H230" s="207"/>
      <c r="I230" s="199"/>
      <c r="J230" s="199"/>
      <c r="K230" s="209"/>
      <c r="L230" s="209"/>
      <c r="M230" s="203"/>
      <c r="N230" s="204"/>
      <c r="O230" s="205"/>
      <c r="P230" s="199"/>
      <c r="Q230" s="215"/>
      <c r="R230" s="206"/>
      <c r="S230" s="199"/>
      <c r="T230" s="199"/>
      <c r="V230" s="207"/>
    </row>
    <row r="231" ht="15.75" customHeight="1">
      <c r="A231" s="196"/>
      <c r="B231" s="218"/>
      <c r="C231" s="207"/>
      <c r="D231" s="199"/>
      <c r="E231" s="207"/>
      <c r="F231" s="207"/>
      <c r="G231" s="199"/>
      <c r="H231" s="207"/>
      <c r="I231" s="199"/>
      <c r="J231" s="199"/>
      <c r="K231" s="209"/>
      <c r="L231" s="209"/>
      <c r="M231" s="203"/>
      <c r="N231" s="204"/>
      <c r="O231" s="205"/>
      <c r="P231" s="199"/>
      <c r="Q231" s="215"/>
      <c r="R231" s="206"/>
      <c r="S231" s="199"/>
      <c r="T231" s="199"/>
      <c r="V231" s="207"/>
    </row>
    <row r="232" ht="15.75" customHeight="1">
      <c r="A232" s="196"/>
      <c r="B232" s="218"/>
      <c r="C232" s="207"/>
      <c r="D232" s="199"/>
      <c r="E232" s="207"/>
      <c r="F232" s="207"/>
      <c r="G232" s="199"/>
      <c r="H232" s="207"/>
      <c r="I232" s="199"/>
      <c r="J232" s="199"/>
      <c r="K232" s="209"/>
      <c r="L232" s="209"/>
      <c r="M232" s="203"/>
      <c r="N232" s="204"/>
      <c r="O232" s="205"/>
      <c r="P232" s="199"/>
      <c r="Q232" s="215"/>
      <c r="R232" s="206"/>
      <c r="S232" s="199"/>
      <c r="T232" s="199"/>
      <c r="V232" s="207"/>
    </row>
    <row r="233" ht="15.75" customHeight="1">
      <c r="A233" s="196"/>
      <c r="B233" s="218"/>
      <c r="C233" s="207"/>
      <c r="D233" s="199"/>
      <c r="E233" s="207"/>
      <c r="F233" s="207"/>
      <c r="G233" s="199"/>
      <c r="H233" s="207"/>
      <c r="I233" s="199"/>
      <c r="J233" s="199"/>
      <c r="K233" s="209"/>
      <c r="L233" s="209"/>
      <c r="M233" s="203"/>
      <c r="N233" s="204"/>
      <c r="O233" s="205"/>
      <c r="P233" s="199"/>
      <c r="Q233" s="215"/>
      <c r="R233" s="206"/>
      <c r="S233" s="199"/>
      <c r="T233" s="199"/>
      <c r="V233" s="207"/>
    </row>
    <row r="234" ht="15.75" customHeight="1">
      <c r="A234" s="196"/>
      <c r="B234" s="218"/>
      <c r="C234" s="207"/>
      <c r="D234" s="199"/>
      <c r="E234" s="207"/>
      <c r="F234" s="207"/>
      <c r="G234" s="199"/>
      <c r="H234" s="207"/>
      <c r="I234" s="199"/>
      <c r="J234" s="199"/>
      <c r="K234" s="209"/>
      <c r="L234" s="209"/>
      <c r="M234" s="203"/>
      <c r="N234" s="204"/>
      <c r="O234" s="205"/>
      <c r="P234" s="199"/>
      <c r="Q234" s="215"/>
      <c r="R234" s="206"/>
      <c r="S234" s="199"/>
      <c r="T234" s="199"/>
      <c r="V234" s="207"/>
    </row>
    <row r="235" ht="15.75" customHeight="1">
      <c r="A235" s="196"/>
      <c r="B235" s="218"/>
      <c r="C235" s="207"/>
      <c r="D235" s="199"/>
      <c r="E235" s="207"/>
      <c r="F235" s="207"/>
      <c r="G235" s="199"/>
      <c r="H235" s="207"/>
      <c r="I235" s="199"/>
      <c r="J235" s="199"/>
      <c r="K235" s="209"/>
      <c r="L235" s="209"/>
      <c r="M235" s="203"/>
      <c r="N235" s="204"/>
      <c r="O235" s="205"/>
      <c r="P235" s="199"/>
      <c r="Q235" s="215"/>
      <c r="R235" s="206"/>
      <c r="S235" s="199"/>
      <c r="T235" s="199"/>
      <c r="V235" s="207"/>
    </row>
    <row r="236" ht="15.75" customHeight="1">
      <c r="A236" s="196"/>
      <c r="B236" s="218"/>
      <c r="C236" s="207"/>
      <c r="D236" s="199"/>
      <c r="E236" s="207"/>
      <c r="F236" s="207"/>
      <c r="G236" s="199"/>
      <c r="H236" s="207"/>
      <c r="I236" s="199"/>
      <c r="J236" s="199"/>
      <c r="K236" s="209"/>
      <c r="L236" s="209"/>
      <c r="M236" s="203"/>
      <c r="N236" s="204"/>
      <c r="O236" s="205"/>
      <c r="P236" s="199"/>
      <c r="Q236" s="215"/>
      <c r="R236" s="206"/>
      <c r="S236" s="199"/>
      <c r="T236" s="199"/>
      <c r="V236" s="207"/>
    </row>
    <row r="237" ht="15.75" customHeight="1">
      <c r="A237" s="196"/>
      <c r="B237" s="218"/>
      <c r="C237" s="207"/>
      <c r="D237" s="199"/>
      <c r="E237" s="207"/>
      <c r="F237" s="207"/>
      <c r="G237" s="199"/>
      <c r="H237" s="207"/>
      <c r="I237" s="199"/>
      <c r="J237" s="199"/>
      <c r="K237" s="209"/>
      <c r="L237" s="209"/>
      <c r="M237" s="203"/>
      <c r="N237" s="204"/>
      <c r="O237" s="205"/>
      <c r="P237" s="199"/>
      <c r="Q237" s="215"/>
      <c r="R237" s="206"/>
      <c r="S237" s="199"/>
      <c r="T237" s="199"/>
      <c r="V237" s="207"/>
    </row>
    <row r="238" ht="15.75" customHeight="1">
      <c r="A238" s="196"/>
      <c r="B238" s="218"/>
      <c r="C238" s="207"/>
      <c r="D238" s="199"/>
      <c r="E238" s="207"/>
      <c r="F238" s="207"/>
      <c r="G238" s="199"/>
      <c r="H238" s="207"/>
      <c r="I238" s="199"/>
      <c r="J238" s="199"/>
      <c r="K238" s="209"/>
      <c r="L238" s="209"/>
      <c r="M238" s="203"/>
      <c r="N238" s="204"/>
      <c r="O238" s="205"/>
      <c r="P238" s="199"/>
      <c r="Q238" s="215"/>
      <c r="R238" s="206"/>
      <c r="S238" s="199"/>
      <c r="T238" s="199"/>
      <c r="V238" s="207"/>
    </row>
    <row r="239" ht="15.75" customHeight="1">
      <c r="A239" s="196"/>
      <c r="B239" s="218"/>
      <c r="C239" s="207"/>
      <c r="D239" s="199"/>
      <c r="E239" s="207"/>
      <c r="F239" s="207"/>
      <c r="G239" s="199"/>
      <c r="H239" s="207"/>
      <c r="I239" s="199"/>
      <c r="J239" s="199"/>
      <c r="K239" s="209"/>
      <c r="L239" s="209"/>
      <c r="M239" s="203"/>
      <c r="N239" s="204"/>
      <c r="O239" s="205"/>
      <c r="P239" s="199"/>
      <c r="Q239" s="215"/>
      <c r="R239" s="206"/>
      <c r="S239" s="199"/>
      <c r="T239" s="199"/>
      <c r="V239" s="207"/>
    </row>
    <row r="240" ht="15.75" customHeight="1">
      <c r="A240" s="196"/>
      <c r="B240" s="218"/>
      <c r="C240" s="207"/>
      <c r="D240" s="199"/>
      <c r="E240" s="207"/>
      <c r="F240" s="207"/>
      <c r="G240" s="199"/>
      <c r="H240" s="207"/>
      <c r="I240" s="199"/>
      <c r="J240" s="199"/>
      <c r="K240" s="209"/>
      <c r="L240" s="209"/>
      <c r="M240" s="203"/>
      <c r="N240" s="204"/>
      <c r="O240" s="205"/>
      <c r="P240" s="199"/>
      <c r="Q240" s="215"/>
      <c r="R240" s="206"/>
      <c r="S240" s="199"/>
      <c r="T240" s="199"/>
      <c r="V240" s="207"/>
    </row>
    <row r="241" ht="15.75" customHeight="1">
      <c r="A241" s="196"/>
      <c r="B241" s="218"/>
      <c r="C241" s="207"/>
      <c r="D241" s="199"/>
      <c r="E241" s="207"/>
      <c r="F241" s="207"/>
      <c r="G241" s="199"/>
      <c r="H241" s="207"/>
      <c r="I241" s="199"/>
      <c r="J241" s="199"/>
      <c r="K241" s="209"/>
      <c r="L241" s="209"/>
      <c r="M241" s="203"/>
      <c r="N241" s="204"/>
      <c r="O241" s="205"/>
      <c r="P241" s="199"/>
      <c r="Q241" s="215"/>
      <c r="R241" s="206"/>
      <c r="S241" s="199"/>
      <c r="T241" s="199"/>
      <c r="V241" s="207"/>
    </row>
    <row r="242" ht="15.75" customHeight="1">
      <c r="A242" s="196"/>
      <c r="B242" s="218"/>
      <c r="C242" s="207"/>
      <c r="D242" s="199"/>
      <c r="E242" s="207"/>
      <c r="F242" s="207"/>
      <c r="G242" s="199"/>
      <c r="H242" s="207"/>
      <c r="I242" s="199"/>
      <c r="J242" s="199"/>
      <c r="K242" s="209"/>
      <c r="L242" s="209"/>
      <c r="M242" s="203"/>
      <c r="N242" s="204"/>
      <c r="O242" s="205"/>
      <c r="P242" s="199"/>
      <c r="Q242" s="215"/>
      <c r="R242" s="206"/>
      <c r="S242" s="199"/>
      <c r="T242" s="199"/>
      <c r="V242" s="207"/>
    </row>
    <row r="243" ht="15.75" customHeight="1">
      <c r="A243" s="196"/>
      <c r="B243" s="218"/>
      <c r="C243" s="207"/>
      <c r="D243" s="199"/>
      <c r="E243" s="207"/>
      <c r="F243" s="207"/>
      <c r="G243" s="199"/>
      <c r="H243" s="207"/>
      <c r="I243" s="199"/>
      <c r="J243" s="199"/>
      <c r="K243" s="209"/>
      <c r="L243" s="209"/>
      <c r="M243" s="203"/>
      <c r="N243" s="204"/>
      <c r="O243" s="205"/>
      <c r="P243" s="199"/>
      <c r="Q243" s="215"/>
      <c r="R243" s="206"/>
      <c r="S243" s="199"/>
      <c r="T243" s="199"/>
      <c r="V243" s="207"/>
    </row>
    <row r="244" ht="15.75" customHeight="1">
      <c r="A244" s="196"/>
      <c r="B244" s="218"/>
      <c r="C244" s="207"/>
      <c r="D244" s="199"/>
      <c r="E244" s="207"/>
      <c r="F244" s="207"/>
      <c r="G244" s="199"/>
      <c r="H244" s="207"/>
      <c r="I244" s="199"/>
      <c r="J244" s="199"/>
      <c r="K244" s="209"/>
      <c r="L244" s="209"/>
      <c r="M244" s="203"/>
      <c r="N244" s="204"/>
      <c r="O244" s="205"/>
      <c r="P244" s="199"/>
      <c r="Q244" s="215"/>
      <c r="R244" s="206"/>
      <c r="S244" s="199"/>
      <c r="T244" s="199"/>
      <c r="V244" s="207"/>
    </row>
    <row r="245" ht="15.75" customHeight="1">
      <c r="A245" s="196"/>
      <c r="B245" s="218"/>
      <c r="C245" s="207"/>
      <c r="D245" s="199"/>
      <c r="E245" s="207"/>
      <c r="F245" s="207"/>
      <c r="G245" s="199"/>
      <c r="H245" s="207"/>
      <c r="I245" s="199"/>
      <c r="J245" s="199"/>
      <c r="K245" s="209"/>
      <c r="L245" s="209"/>
      <c r="M245" s="203"/>
      <c r="N245" s="204"/>
      <c r="O245" s="205"/>
      <c r="P245" s="199"/>
      <c r="Q245" s="215"/>
      <c r="R245" s="206"/>
      <c r="S245" s="199"/>
      <c r="T245" s="199"/>
      <c r="V245" s="207"/>
    </row>
    <row r="246" ht="15.75" customHeight="1">
      <c r="A246" s="196"/>
      <c r="B246" s="218"/>
      <c r="C246" s="207"/>
      <c r="D246" s="199"/>
      <c r="E246" s="207"/>
      <c r="F246" s="207"/>
      <c r="G246" s="199"/>
      <c r="H246" s="207"/>
      <c r="I246" s="199"/>
      <c r="J246" s="199"/>
      <c r="K246" s="209"/>
      <c r="L246" s="209"/>
      <c r="M246" s="203"/>
      <c r="N246" s="204"/>
      <c r="O246" s="205"/>
      <c r="P246" s="199"/>
      <c r="Q246" s="215"/>
      <c r="R246" s="206"/>
      <c r="S246" s="199"/>
      <c r="T246" s="199"/>
      <c r="V246" s="207"/>
    </row>
    <row r="247" ht="15.75" customHeight="1">
      <c r="A247" s="196"/>
      <c r="B247" s="218"/>
      <c r="C247" s="207"/>
      <c r="D247" s="199"/>
      <c r="E247" s="207"/>
      <c r="F247" s="207"/>
      <c r="G247" s="199"/>
      <c r="H247" s="207"/>
      <c r="I247" s="199"/>
      <c r="J247" s="199"/>
      <c r="K247" s="209"/>
      <c r="L247" s="209"/>
      <c r="M247" s="203"/>
      <c r="N247" s="204"/>
      <c r="O247" s="205"/>
      <c r="P247" s="199"/>
      <c r="Q247" s="215"/>
      <c r="R247" s="206"/>
      <c r="S247" s="199"/>
      <c r="T247" s="199"/>
      <c r="V247" s="207"/>
    </row>
    <row r="248" ht="15.75" customHeight="1">
      <c r="A248" s="196"/>
      <c r="B248" s="218"/>
      <c r="C248" s="207"/>
      <c r="D248" s="199"/>
      <c r="E248" s="207"/>
      <c r="F248" s="207"/>
      <c r="G248" s="199"/>
      <c r="H248" s="207"/>
      <c r="I248" s="199"/>
      <c r="J248" s="199"/>
      <c r="K248" s="209"/>
      <c r="L248" s="209"/>
      <c r="M248" s="203"/>
      <c r="N248" s="204"/>
      <c r="O248" s="205"/>
      <c r="P248" s="199"/>
      <c r="Q248" s="215"/>
      <c r="R248" s="206"/>
      <c r="S248" s="199"/>
      <c r="T248" s="199"/>
      <c r="V248" s="207"/>
    </row>
    <row r="249" ht="15.75" customHeight="1">
      <c r="A249" s="196"/>
      <c r="B249" s="218"/>
      <c r="C249" s="207"/>
      <c r="D249" s="199"/>
      <c r="E249" s="207"/>
      <c r="F249" s="207"/>
      <c r="G249" s="199"/>
      <c r="H249" s="207"/>
      <c r="I249" s="199"/>
      <c r="J249" s="199"/>
      <c r="K249" s="209"/>
      <c r="L249" s="209"/>
      <c r="M249" s="203"/>
      <c r="N249" s="204"/>
      <c r="O249" s="205"/>
      <c r="P249" s="199"/>
      <c r="Q249" s="215"/>
      <c r="R249" s="206"/>
      <c r="S249" s="199"/>
      <c r="T249" s="199"/>
      <c r="V249" s="207"/>
    </row>
    <row r="250" ht="15.75" customHeight="1">
      <c r="A250" s="196"/>
      <c r="B250" s="218"/>
      <c r="C250" s="207"/>
      <c r="D250" s="199"/>
      <c r="E250" s="207"/>
      <c r="F250" s="207"/>
      <c r="G250" s="199"/>
      <c r="H250" s="207"/>
      <c r="I250" s="199"/>
      <c r="J250" s="199"/>
      <c r="K250" s="209"/>
      <c r="L250" s="209"/>
      <c r="M250" s="203"/>
      <c r="N250" s="204"/>
      <c r="O250" s="205"/>
      <c r="P250" s="199"/>
      <c r="Q250" s="215"/>
      <c r="R250" s="206"/>
      <c r="S250" s="199"/>
      <c r="T250" s="199"/>
      <c r="V250" s="207"/>
    </row>
    <row r="251" ht="15.75" customHeight="1">
      <c r="A251" s="196"/>
      <c r="B251" s="218"/>
      <c r="C251" s="207"/>
      <c r="D251" s="199"/>
      <c r="E251" s="207"/>
      <c r="F251" s="207"/>
      <c r="G251" s="199"/>
      <c r="H251" s="207"/>
      <c r="I251" s="199"/>
      <c r="J251" s="199"/>
      <c r="K251" s="209"/>
      <c r="L251" s="209"/>
      <c r="M251" s="203"/>
      <c r="N251" s="204"/>
      <c r="O251" s="205"/>
      <c r="P251" s="199"/>
      <c r="Q251" s="215"/>
      <c r="R251" s="206"/>
      <c r="S251" s="199"/>
      <c r="T251" s="199"/>
      <c r="V251" s="207"/>
    </row>
    <row r="252" ht="15.75" customHeight="1">
      <c r="A252" s="196"/>
      <c r="B252" s="218"/>
      <c r="C252" s="207"/>
      <c r="D252" s="199"/>
      <c r="E252" s="207"/>
      <c r="F252" s="207"/>
      <c r="G252" s="199"/>
      <c r="H252" s="207"/>
      <c r="I252" s="199"/>
      <c r="J252" s="199"/>
      <c r="K252" s="209"/>
      <c r="L252" s="209"/>
      <c r="M252" s="203"/>
      <c r="N252" s="204"/>
      <c r="O252" s="205"/>
      <c r="P252" s="199"/>
      <c r="Q252" s="215"/>
      <c r="R252" s="206"/>
      <c r="S252" s="199"/>
      <c r="T252" s="199"/>
      <c r="V252" s="207"/>
    </row>
    <row r="253" ht="15.75" customHeight="1">
      <c r="A253" s="196"/>
      <c r="B253" s="218"/>
      <c r="C253" s="207"/>
      <c r="D253" s="199"/>
      <c r="E253" s="207"/>
      <c r="F253" s="207"/>
      <c r="G253" s="199"/>
      <c r="H253" s="207"/>
      <c r="I253" s="199"/>
      <c r="J253" s="199"/>
      <c r="K253" s="209"/>
      <c r="L253" s="209"/>
      <c r="M253" s="203"/>
      <c r="N253" s="204"/>
      <c r="O253" s="205"/>
      <c r="P253" s="199"/>
      <c r="Q253" s="215"/>
      <c r="R253" s="206"/>
      <c r="S253" s="199"/>
      <c r="T253" s="199"/>
      <c r="V253" s="207"/>
    </row>
    <row r="254" ht="15.75" customHeight="1">
      <c r="A254" s="196"/>
      <c r="B254" s="218"/>
      <c r="C254" s="207"/>
      <c r="D254" s="199"/>
      <c r="E254" s="207"/>
      <c r="F254" s="207"/>
      <c r="G254" s="199"/>
      <c r="H254" s="207"/>
      <c r="I254" s="199"/>
      <c r="J254" s="199"/>
      <c r="K254" s="209"/>
      <c r="L254" s="209"/>
      <c r="M254" s="203"/>
      <c r="N254" s="204"/>
      <c r="O254" s="205"/>
      <c r="P254" s="199"/>
      <c r="Q254" s="215"/>
      <c r="R254" s="206"/>
      <c r="S254" s="199"/>
      <c r="T254" s="199"/>
      <c r="V254" s="207"/>
    </row>
    <row r="255" ht="15.75" customHeight="1">
      <c r="A255" s="196"/>
      <c r="B255" s="218"/>
      <c r="C255" s="207"/>
      <c r="D255" s="199"/>
      <c r="E255" s="207"/>
      <c r="F255" s="207"/>
      <c r="G255" s="199"/>
      <c r="H255" s="207"/>
      <c r="I255" s="199"/>
      <c r="J255" s="199"/>
      <c r="K255" s="209"/>
      <c r="L255" s="209"/>
      <c r="M255" s="203"/>
      <c r="N255" s="204"/>
      <c r="O255" s="205"/>
      <c r="P255" s="199"/>
      <c r="Q255" s="215"/>
      <c r="R255" s="206"/>
      <c r="S255" s="199"/>
      <c r="T255" s="199"/>
      <c r="V255" s="207"/>
    </row>
    <row r="256" ht="15.75" customHeight="1">
      <c r="A256" s="196"/>
      <c r="B256" s="218"/>
      <c r="C256" s="207"/>
      <c r="D256" s="199"/>
      <c r="E256" s="207"/>
      <c r="F256" s="207"/>
      <c r="G256" s="199"/>
      <c r="H256" s="207"/>
      <c r="I256" s="199"/>
      <c r="J256" s="199"/>
      <c r="K256" s="209"/>
      <c r="L256" s="209"/>
      <c r="M256" s="203"/>
      <c r="N256" s="204"/>
      <c r="O256" s="205"/>
      <c r="P256" s="199"/>
      <c r="Q256" s="215"/>
      <c r="R256" s="206"/>
      <c r="S256" s="199"/>
      <c r="T256" s="199"/>
      <c r="V256" s="207"/>
    </row>
    <row r="257" ht="15.75" customHeight="1">
      <c r="A257" s="196"/>
      <c r="B257" s="218"/>
      <c r="C257" s="207"/>
      <c r="D257" s="199"/>
      <c r="E257" s="207"/>
      <c r="F257" s="207"/>
      <c r="G257" s="199"/>
      <c r="H257" s="207"/>
      <c r="I257" s="199"/>
      <c r="J257" s="199"/>
      <c r="K257" s="209"/>
      <c r="L257" s="209"/>
      <c r="M257" s="203"/>
      <c r="N257" s="204"/>
      <c r="O257" s="205"/>
      <c r="P257" s="199"/>
      <c r="Q257" s="215"/>
      <c r="R257" s="206"/>
      <c r="S257" s="199"/>
      <c r="T257" s="199"/>
      <c r="V257" s="207"/>
    </row>
    <row r="258" ht="15.75" customHeight="1">
      <c r="A258" s="196"/>
      <c r="B258" s="218"/>
      <c r="C258" s="207"/>
      <c r="D258" s="199"/>
      <c r="E258" s="207"/>
      <c r="F258" s="207"/>
      <c r="G258" s="199"/>
      <c r="H258" s="207"/>
      <c r="I258" s="199"/>
      <c r="J258" s="199"/>
      <c r="K258" s="209"/>
      <c r="L258" s="209"/>
      <c r="M258" s="203"/>
      <c r="N258" s="204"/>
      <c r="O258" s="205"/>
      <c r="P258" s="199"/>
      <c r="Q258" s="215"/>
      <c r="R258" s="206"/>
      <c r="S258" s="199"/>
      <c r="T258" s="199"/>
      <c r="V258" s="207"/>
    </row>
    <row r="259" ht="15.75" customHeight="1">
      <c r="A259" s="196"/>
      <c r="B259" s="218"/>
      <c r="C259" s="207"/>
      <c r="D259" s="199"/>
      <c r="E259" s="207"/>
      <c r="F259" s="207"/>
      <c r="G259" s="199"/>
      <c r="H259" s="207"/>
      <c r="I259" s="199"/>
      <c r="J259" s="199"/>
      <c r="K259" s="209"/>
      <c r="L259" s="209"/>
      <c r="M259" s="203"/>
      <c r="N259" s="204"/>
      <c r="O259" s="205"/>
      <c r="P259" s="199"/>
      <c r="Q259" s="215"/>
      <c r="R259" s="206"/>
      <c r="S259" s="199"/>
      <c r="T259" s="199"/>
      <c r="V259" s="207"/>
    </row>
    <row r="260" ht="15.75" customHeight="1">
      <c r="A260" s="196"/>
      <c r="B260" s="218"/>
      <c r="C260" s="207"/>
      <c r="D260" s="199"/>
      <c r="E260" s="207"/>
      <c r="F260" s="207"/>
      <c r="G260" s="199"/>
      <c r="H260" s="207"/>
      <c r="I260" s="199"/>
      <c r="J260" s="199"/>
      <c r="K260" s="209"/>
      <c r="L260" s="209"/>
      <c r="M260" s="203"/>
      <c r="N260" s="204"/>
      <c r="O260" s="205"/>
      <c r="P260" s="199"/>
      <c r="Q260" s="215"/>
      <c r="R260" s="206"/>
      <c r="S260" s="199"/>
      <c r="T260" s="199"/>
      <c r="V260" s="207"/>
    </row>
    <row r="261" ht="15.75" customHeight="1">
      <c r="A261" s="196"/>
      <c r="B261" s="218"/>
      <c r="C261" s="207"/>
      <c r="D261" s="199"/>
      <c r="E261" s="207"/>
      <c r="F261" s="207"/>
      <c r="G261" s="199"/>
      <c r="H261" s="207"/>
      <c r="I261" s="199"/>
      <c r="J261" s="199"/>
      <c r="K261" s="209"/>
      <c r="L261" s="209"/>
      <c r="M261" s="203"/>
      <c r="N261" s="204"/>
      <c r="O261" s="205"/>
      <c r="P261" s="199"/>
      <c r="Q261" s="215"/>
      <c r="R261" s="206"/>
      <c r="S261" s="199"/>
      <c r="T261" s="199"/>
      <c r="V261" s="207"/>
    </row>
    <row r="262" ht="15.75" customHeight="1">
      <c r="A262" s="196"/>
      <c r="B262" s="218"/>
      <c r="C262" s="207"/>
      <c r="D262" s="199"/>
      <c r="E262" s="207"/>
      <c r="F262" s="207"/>
      <c r="G262" s="199"/>
      <c r="H262" s="207"/>
      <c r="I262" s="199"/>
      <c r="J262" s="199"/>
      <c r="K262" s="209"/>
      <c r="L262" s="209"/>
      <c r="M262" s="203"/>
      <c r="N262" s="204"/>
      <c r="O262" s="205"/>
      <c r="P262" s="199"/>
      <c r="Q262" s="215"/>
      <c r="R262" s="206"/>
      <c r="S262" s="199"/>
      <c r="T262" s="199"/>
      <c r="V262" s="207"/>
    </row>
    <row r="263" ht="15.75" customHeight="1">
      <c r="A263" s="196"/>
      <c r="B263" s="218"/>
      <c r="C263" s="207"/>
      <c r="D263" s="199"/>
      <c r="E263" s="207"/>
      <c r="F263" s="207"/>
      <c r="G263" s="199"/>
      <c r="H263" s="207"/>
      <c r="I263" s="199"/>
      <c r="J263" s="199"/>
      <c r="K263" s="209"/>
      <c r="L263" s="209"/>
      <c r="M263" s="203"/>
      <c r="N263" s="204"/>
      <c r="O263" s="205"/>
      <c r="P263" s="199"/>
      <c r="Q263" s="215"/>
      <c r="R263" s="206"/>
      <c r="S263" s="199"/>
      <c r="T263" s="199"/>
      <c r="V263" s="207"/>
    </row>
    <row r="264" ht="15.75" customHeight="1">
      <c r="A264" s="196"/>
      <c r="B264" s="218"/>
      <c r="C264" s="207"/>
      <c r="D264" s="199"/>
      <c r="E264" s="207"/>
      <c r="F264" s="207"/>
      <c r="G264" s="199"/>
      <c r="H264" s="207"/>
      <c r="I264" s="199"/>
      <c r="J264" s="199"/>
      <c r="K264" s="209"/>
      <c r="L264" s="209"/>
      <c r="M264" s="203"/>
      <c r="N264" s="204"/>
      <c r="O264" s="205"/>
      <c r="P264" s="199"/>
      <c r="Q264" s="215"/>
      <c r="R264" s="206"/>
      <c r="S264" s="199"/>
      <c r="T264" s="199"/>
      <c r="V264" s="207"/>
    </row>
    <row r="265" ht="15.75" customHeight="1">
      <c r="A265" s="196"/>
      <c r="B265" s="218"/>
      <c r="C265" s="207"/>
      <c r="D265" s="199"/>
      <c r="E265" s="207"/>
      <c r="F265" s="207"/>
      <c r="G265" s="199"/>
      <c r="H265" s="207"/>
      <c r="I265" s="199"/>
      <c r="J265" s="199"/>
      <c r="K265" s="209"/>
      <c r="L265" s="209"/>
      <c r="M265" s="203"/>
      <c r="N265" s="204"/>
      <c r="O265" s="205"/>
      <c r="P265" s="199"/>
      <c r="Q265" s="215"/>
      <c r="R265" s="206"/>
      <c r="S265" s="199"/>
      <c r="T265" s="199"/>
      <c r="V265" s="207"/>
    </row>
    <row r="266" ht="15.75" customHeight="1">
      <c r="A266" s="196"/>
      <c r="B266" s="218"/>
      <c r="C266" s="207"/>
      <c r="D266" s="199"/>
      <c r="E266" s="207"/>
      <c r="F266" s="207"/>
      <c r="G266" s="199"/>
      <c r="H266" s="207"/>
      <c r="I266" s="199"/>
      <c r="J266" s="199"/>
      <c r="K266" s="209"/>
      <c r="L266" s="209"/>
      <c r="M266" s="203"/>
      <c r="N266" s="204"/>
      <c r="O266" s="205"/>
      <c r="P266" s="199"/>
      <c r="Q266" s="215"/>
      <c r="R266" s="206"/>
      <c r="S266" s="199"/>
      <c r="T266" s="199"/>
      <c r="V266" s="207"/>
    </row>
    <row r="267" ht="15.75" customHeight="1">
      <c r="A267" s="196"/>
      <c r="B267" s="218"/>
      <c r="C267" s="207"/>
      <c r="D267" s="199"/>
      <c r="E267" s="207"/>
      <c r="F267" s="207"/>
      <c r="G267" s="199"/>
      <c r="H267" s="207"/>
      <c r="I267" s="199"/>
      <c r="J267" s="199"/>
      <c r="K267" s="209"/>
      <c r="L267" s="209"/>
      <c r="M267" s="203"/>
      <c r="N267" s="204"/>
      <c r="O267" s="205"/>
      <c r="P267" s="199"/>
      <c r="Q267" s="215"/>
      <c r="R267" s="206"/>
      <c r="S267" s="199"/>
      <c r="T267" s="199"/>
      <c r="V267" s="207"/>
    </row>
    <row r="268" ht="15.75" customHeight="1">
      <c r="A268" s="196"/>
      <c r="B268" s="218"/>
      <c r="C268" s="207"/>
      <c r="D268" s="199"/>
      <c r="E268" s="207"/>
      <c r="F268" s="207"/>
      <c r="G268" s="199"/>
      <c r="H268" s="207"/>
      <c r="I268" s="199"/>
      <c r="J268" s="199"/>
      <c r="K268" s="209"/>
      <c r="L268" s="209"/>
      <c r="M268" s="203"/>
      <c r="N268" s="204"/>
      <c r="O268" s="205"/>
      <c r="P268" s="199"/>
      <c r="Q268" s="215"/>
      <c r="R268" s="206"/>
      <c r="S268" s="199"/>
      <c r="T268" s="199"/>
      <c r="V268" s="207"/>
    </row>
    <row r="269" ht="15.75" customHeight="1">
      <c r="A269" s="196"/>
      <c r="B269" s="218"/>
      <c r="C269" s="207"/>
      <c r="D269" s="199"/>
      <c r="E269" s="207"/>
      <c r="F269" s="207"/>
      <c r="G269" s="199"/>
      <c r="H269" s="207"/>
      <c r="I269" s="199"/>
      <c r="J269" s="199"/>
      <c r="K269" s="209"/>
      <c r="L269" s="209"/>
      <c r="M269" s="203"/>
      <c r="N269" s="204"/>
      <c r="O269" s="205"/>
      <c r="P269" s="199"/>
      <c r="Q269" s="215"/>
      <c r="R269" s="206"/>
      <c r="S269" s="199"/>
      <c r="T269" s="199"/>
      <c r="V269" s="207"/>
    </row>
    <row r="270" ht="15.75" customHeight="1">
      <c r="A270" s="196"/>
      <c r="B270" s="218"/>
      <c r="C270" s="207"/>
      <c r="D270" s="199"/>
      <c r="E270" s="207"/>
      <c r="F270" s="207"/>
      <c r="G270" s="199"/>
      <c r="H270" s="207"/>
      <c r="I270" s="199"/>
      <c r="J270" s="199"/>
      <c r="K270" s="209"/>
      <c r="L270" s="209"/>
      <c r="M270" s="203"/>
      <c r="N270" s="204"/>
      <c r="O270" s="205"/>
      <c r="P270" s="199"/>
      <c r="Q270" s="215"/>
      <c r="R270" s="206"/>
      <c r="S270" s="199"/>
      <c r="T270" s="199"/>
      <c r="V270" s="207"/>
    </row>
    <row r="271" ht="15.75" customHeight="1">
      <c r="A271" s="196"/>
      <c r="B271" s="218"/>
      <c r="C271" s="207"/>
      <c r="D271" s="199"/>
      <c r="E271" s="207"/>
      <c r="F271" s="207"/>
      <c r="G271" s="199"/>
      <c r="H271" s="207"/>
      <c r="I271" s="199"/>
      <c r="J271" s="199"/>
      <c r="K271" s="209"/>
      <c r="L271" s="209"/>
      <c r="M271" s="203"/>
      <c r="N271" s="204"/>
      <c r="O271" s="205"/>
      <c r="P271" s="199"/>
      <c r="Q271" s="215"/>
      <c r="R271" s="206"/>
      <c r="S271" s="199"/>
      <c r="T271" s="199"/>
      <c r="V271" s="207"/>
    </row>
    <row r="272" ht="15.75" customHeight="1">
      <c r="A272" s="196"/>
      <c r="B272" s="218"/>
      <c r="C272" s="207"/>
      <c r="D272" s="199"/>
      <c r="E272" s="207"/>
      <c r="F272" s="207"/>
      <c r="G272" s="199"/>
      <c r="H272" s="207"/>
      <c r="I272" s="199"/>
      <c r="J272" s="199"/>
      <c r="K272" s="209"/>
      <c r="L272" s="209"/>
      <c r="M272" s="203"/>
      <c r="N272" s="204"/>
      <c r="O272" s="205"/>
      <c r="P272" s="199"/>
      <c r="Q272" s="215"/>
      <c r="R272" s="206"/>
      <c r="S272" s="199"/>
      <c r="T272" s="199"/>
      <c r="V272" s="207"/>
    </row>
    <row r="273" ht="15.75" customHeight="1">
      <c r="A273" s="196"/>
      <c r="B273" s="218"/>
      <c r="C273" s="207"/>
      <c r="D273" s="199"/>
      <c r="E273" s="207"/>
      <c r="F273" s="207"/>
      <c r="G273" s="199"/>
      <c r="H273" s="207"/>
      <c r="I273" s="199"/>
      <c r="J273" s="199"/>
      <c r="K273" s="209"/>
      <c r="L273" s="209"/>
      <c r="M273" s="203"/>
      <c r="N273" s="204"/>
      <c r="O273" s="205"/>
      <c r="P273" s="199"/>
      <c r="Q273" s="215"/>
      <c r="R273" s="206"/>
      <c r="S273" s="199"/>
      <c r="T273" s="199"/>
      <c r="V273" s="207"/>
    </row>
    <row r="274" ht="15.75" customHeight="1">
      <c r="A274" s="196"/>
      <c r="B274" s="218"/>
      <c r="C274" s="207"/>
      <c r="D274" s="199"/>
      <c r="E274" s="207"/>
      <c r="F274" s="207"/>
      <c r="G274" s="199"/>
      <c r="H274" s="207"/>
      <c r="I274" s="199"/>
      <c r="J274" s="199"/>
      <c r="K274" s="209"/>
      <c r="L274" s="209"/>
      <c r="M274" s="203"/>
      <c r="N274" s="204"/>
      <c r="O274" s="205"/>
      <c r="P274" s="199"/>
      <c r="Q274" s="215"/>
      <c r="R274" s="206"/>
      <c r="S274" s="199"/>
      <c r="T274" s="199"/>
      <c r="V274" s="207"/>
    </row>
    <row r="275" ht="15.75" customHeight="1">
      <c r="A275" s="196"/>
      <c r="B275" s="218"/>
      <c r="C275" s="207"/>
      <c r="D275" s="199"/>
      <c r="E275" s="207"/>
      <c r="F275" s="207"/>
      <c r="G275" s="199"/>
      <c r="H275" s="207"/>
      <c r="I275" s="199"/>
      <c r="J275" s="199"/>
      <c r="K275" s="209"/>
      <c r="L275" s="209"/>
      <c r="M275" s="203"/>
      <c r="N275" s="204"/>
      <c r="O275" s="205"/>
      <c r="P275" s="199"/>
      <c r="Q275" s="215"/>
      <c r="R275" s="206"/>
      <c r="S275" s="199"/>
      <c r="T275" s="199"/>
      <c r="V275" s="207"/>
    </row>
    <row r="276" ht="15.75" customHeight="1">
      <c r="A276" s="196"/>
      <c r="B276" s="218"/>
      <c r="C276" s="207"/>
      <c r="D276" s="199"/>
      <c r="E276" s="207"/>
      <c r="F276" s="207"/>
      <c r="G276" s="199"/>
      <c r="H276" s="207"/>
      <c r="I276" s="199"/>
      <c r="J276" s="199"/>
      <c r="K276" s="209"/>
      <c r="L276" s="209"/>
      <c r="M276" s="203"/>
      <c r="N276" s="204"/>
      <c r="O276" s="205"/>
      <c r="P276" s="199"/>
      <c r="Q276" s="215"/>
      <c r="R276" s="206"/>
      <c r="S276" s="199"/>
      <c r="T276" s="199"/>
      <c r="V276" s="207"/>
    </row>
    <row r="277" ht="15.75" customHeight="1">
      <c r="A277" s="196"/>
      <c r="B277" s="218"/>
      <c r="C277" s="207"/>
      <c r="D277" s="199"/>
      <c r="E277" s="207"/>
      <c r="F277" s="207"/>
      <c r="G277" s="199"/>
      <c r="H277" s="207"/>
      <c r="I277" s="199"/>
      <c r="J277" s="199"/>
      <c r="K277" s="209"/>
      <c r="L277" s="209"/>
      <c r="M277" s="203"/>
      <c r="N277" s="204"/>
      <c r="O277" s="205"/>
      <c r="P277" s="199"/>
      <c r="Q277" s="215"/>
      <c r="R277" s="206"/>
      <c r="S277" s="199"/>
      <c r="T277" s="199"/>
      <c r="V277" s="207"/>
    </row>
    <row r="278" ht="15.75" customHeight="1">
      <c r="A278" s="196"/>
      <c r="B278" s="218"/>
      <c r="C278" s="207"/>
      <c r="D278" s="199"/>
      <c r="E278" s="207"/>
      <c r="F278" s="207"/>
      <c r="G278" s="199"/>
      <c r="H278" s="207"/>
      <c r="I278" s="199"/>
      <c r="J278" s="199"/>
      <c r="K278" s="209"/>
      <c r="L278" s="209"/>
      <c r="M278" s="203"/>
      <c r="N278" s="204"/>
      <c r="O278" s="205"/>
      <c r="P278" s="199"/>
      <c r="Q278" s="215"/>
      <c r="R278" s="206"/>
      <c r="S278" s="199"/>
      <c r="T278" s="199"/>
      <c r="V278" s="207"/>
    </row>
    <row r="279" ht="15.75" customHeight="1">
      <c r="A279" s="196"/>
      <c r="B279" s="218"/>
      <c r="C279" s="207"/>
      <c r="D279" s="199"/>
      <c r="E279" s="207"/>
      <c r="F279" s="207"/>
      <c r="G279" s="199"/>
      <c r="H279" s="207"/>
      <c r="I279" s="199"/>
      <c r="J279" s="199"/>
      <c r="K279" s="209"/>
      <c r="L279" s="209"/>
      <c r="M279" s="203"/>
      <c r="N279" s="204"/>
      <c r="O279" s="205"/>
      <c r="P279" s="199"/>
      <c r="Q279" s="215"/>
      <c r="R279" s="206"/>
      <c r="S279" s="199"/>
      <c r="T279" s="199"/>
      <c r="V279" s="207"/>
    </row>
    <row r="280" ht="15.75" customHeight="1">
      <c r="A280" s="196"/>
      <c r="B280" s="218"/>
      <c r="C280" s="207"/>
      <c r="D280" s="199"/>
      <c r="E280" s="207"/>
      <c r="F280" s="207"/>
      <c r="G280" s="199"/>
      <c r="H280" s="207"/>
      <c r="I280" s="199"/>
      <c r="J280" s="199"/>
      <c r="K280" s="209"/>
      <c r="L280" s="209"/>
      <c r="M280" s="203"/>
      <c r="N280" s="204"/>
      <c r="O280" s="205"/>
      <c r="P280" s="199"/>
      <c r="Q280" s="215"/>
      <c r="R280" s="206"/>
      <c r="S280" s="199"/>
      <c r="T280" s="199"/>
      <c r="V280" s="207"/>
    </row>
    <row r="281" ht="15.75" customHeight="1">
      <c r="A281" s="196"/>
      <c r="B281" s="218"/>
      <c r="C281" s="207"/>
      <c r="D281" s="199"/>
      <c r="E281" s="207"/>
      <c r="F281" s="207"/>
      <c r="G281" s="199"/>
      <c r="H281" s="207"/>
      <c r="I281" s="199"/>
      <c r="J281" s="199"/>
      <c r="K281" s="209"/>
      <c r="L281" s="209"/>
      <c r="M281" s="203"/>
      <c r="N281" s="204"/>
      <c r="O281" s="205"/>
      <c r="P281" s="199"/>
      <c r="Q281" s="215"/>
      <c r="R281" s="206"/>
      <c r="S281" s="199"/>
      <c r="T281" s="199"/>
      <c r="V281" s="207"/>
    </row>
    <row r="282" ht="15.75" customHeight="1">
      <c r="A282" s="196"/>
      <c r="B282" s="218"/>
      <c r="C282" s="207"/>
      <c r="D282" s="199"/>
      <c r="E282" s="207"/>
      <c r="F282" s="207"/>
      <c r="G282" s="199"/>
      <c r="H282" s="207"/>
      <c r="I282" s="199"/>
      <c r="J282" s="199"/>
      <c r="K282" s="209"/>
      <c r="L282" s="209"/>
      <c r="M282" s="203"/>
      <c r="N282" s="204"/>
      <c r="O282" s="205"/>
      <c r="P282" s="199"/>
      <c r="Q282" s="215"/>
      <c r="R282" s="206"/>
      <c r="S282" s="199"/>
      <c r="T282" s="199"/>
      <c r="V282" s="207"/>
    </row>
    <row r="283" ht="15.75" customHeight="1">
      <c r="A283" s="196"/>
      <c r="B283" s="218"/>
      <c r="C283" s="207"/>
      <c r="D283" s="199"/>
      <c r="E283" s="207"/>
      <c r="F283" s="207"/>
      <c r="G283" s="199"/>
      <c r="H283" s="207"/>
      <c r="I283" s="199"/>
      <c r="J283" s="199"/>
      <c r="K283" s="209"/>
      <c r="L283" s="209"/>
      <c r="M283" s="203"/>
      <c r="N283" s="204"/>
      <c r="O283" s="205"/>
      <c r="P283" s="199"/>
      <c r="Q283" s="215"/>
      <c r="R283" s="206"/>
      <c r="S283" s="199"/>
      <c r="T283" s="199"/>
      <c r="V283" s="207"/>
    </row>
    <row r="284" ht="15.75" customHeight="1">
      <c r="A284" s="196"/>
      <c r="B284" s="218"/>
      <c r="C284" s="207"/>
      <c r="D284" s="199"/>
      <c r="E284" s="207"/>
      <c r="F284" s="207"/>
      <c r="G284" s="199"/>
      <c r="H284" s="207"/>
      <c r="I284" s="199"/>
      <c r="J284" s="199"/>
      <c r="K284" s="209"/>
      <c r="L284" s="209"/>
      <c r="M284" s="203"/>
      <c r="N284" s="204"/>
      <c r="O284" s="205"/>
      <c r="P284" s="199"/>
      <c r="Q284" s="215"/>
      <c r="R284" s="206"/>
      <c r="S284" s="199"/>
      <c r="T284" s="199"/>
      <c r="V284" s="207"/>
    </row>
    <row r="285" ht="15.75" customHeight="1">
      <c r="A285" s="196"/>
      <c r="B285" s="218"/>
      <c r="C285" s="207"/>
      <c r="D285" s="199"/>
      <c r="E285" s="207"/>
      <c r="F285" s="207"/>
      <c r="G285" s="199"/>
      <c r="H285" s="207"/>
      <c r="I285" s="199"/>
      <c r="J285" s="199"/>
      <c r="K285" s="209"/>
      <c r="L285" s="209"/>
      <c r="M285" s="203"/>
      <c r="N285" s="204"/>
      <c r="O285" s="205"/>
      <c r="P285" s="199"/>
      <c r="Q285" s="215"/>
      <c r="R285" s="206"/>
      <c r="S285" s="199"/>
      <c r="T285" s="199"/>
      <c r="V285" s="207"/>
    </row>
    <row r="286" ht="15.75" customHeight="1">
      <c r="A286" s="196"/>
      <c r="B286" s="218"/>
      <c r="C286" s="207"/>
      <c r="D286" s="199"/>
      <c r="E286" s="207"/>
      <c r="F286" s="207"/>
      <c r="G286" s="199"/>
      <c r="H286" s="207"/>
      <c r="I286" s="199"/>
      <c r="J286" s="199"/>
      <c r="K286" s="209"/>
      <c r="L286" s="209"/>
      <c r="M286" s="203"/>
      <c r="N286" s="204"/>
      <c r="O286" s="205"/>
      <c r="P286" s="199"/>
      <c r="Q286" s="215"/>
      <c r="R286" s="206"/>
      <c r="S286" s="199"/>
      <c r="T286" s="199"/>
      <c r="V286" s="207"/>
    </row>
    <row r="287" ht="15.75" customHeight="1">
      <c r="A287" s="196"/>
      <c r="B287" s="218"/>
      <c r="C287" s="207"/>
      <c r="D287" s="199"/>
      <c r="E287" s="207"/>
      <c r="F287" s="207"/>
      <c r="G287" s="199"/>
      <c r="H287" s="207"/>
      <c r="I287" s="199"/>
      <c r="J287" s="199"/>
      <c r="K287" s="209"/>
      <c r="L287" s="209"/>
      <c r="M287" s="203"/>
      <c r="N287" s="204"/>
      <c r="O287" s="205"/>
      <c r="P287" s="199"/>
      <c r="Q287" s="215"/>
      <c r="R287" s="206"/>
      <c r="S287" s="199"/>
      <c r="T287" s="199"/>
      <c r="V287" s="207"/>
    </row>
    <row r="288" ht="15.75" customHeight="1">
      <c r="A288" s="196"/>
      <c r="B288" s="218"/>
      <c r="C288" s="207"/>
      <c r="D288" s="199"/>
      <c r="E288" s="207"/>
      <c r="F288" s="207"/>
      <c r="G288" s="199"/>
      <c r="H288" s="207"/>
      <c r="I288" s="199"/>
      <c r="J288" s="199"/>
      <c r="K288" s="209"/>
      <c r="L288" s="209"/>
      <c r="M288" s="203"/>
      <c r="N288" s="204"/>
      <c r="O288" s="205"/>
      <c r="P288" s="199"/>
      <c r="Q288" s="215"/>
      <c r="R288" s="206"/>
      <c r="S288" s="199"/>
      <c r="T288" s="199"/>
      <c r="V288" s="207"/>
    </row>
    <row r="289" ht="15.75" customHeight="1">
      <c r="A289" s="196"/>
      <c r="B289" s="218"/>
      <c r="C289" s="207"/>
      <c r="D289" s="199"/>
      <c r="E289" s="207"/>
      <c r="F289" s="207"/>
      <c r="G289" s="199"/>
      <c r="H289" s="207"/>
      <c r="I289" s="199"/>
      <c r="J289" s="199"/>
      <c r="K289" s="209"/>
      <c r="L289" s="209"/>
      <c r="M289" s="203"/>
      <c r="N289" s="204"/>
      <c r="O289" s="205"/>
      <c r="P289" s="199"/>
      <c r="Q289" s="215"/>
      <c r="R289" s="206"/>
      <c r="S289" s="199"/>
      <c r="T289" s="199"/>
      <c r="V289" s="207"/>
    </row>
    <row r="290" ht="15.75" customHeight="1">
      <c r="A290" s="196"/>
      <c r="B290" s="218"/>
      <c r="C290" s="207"/>
      <c r="D290" s="199"/>
      <c r="E290" s="207"/>
      <c r="F290" s="207"/>
      <c r="G290" s="199"/>
      <c r="H290" s="207"/>
      <c r="I290" s="199"/>
      <c r="J290" s="199"/>
      <c r="K290" s="209"/>
      <c r="L290" s="209"/>
      <c r="M290" s="203"/>
      <c r="N290" s="204"/>
      <c r="O290" s="205"/>
      <c r="P290" s="199"/>
      <c r="Q290" s="215"/>
      <c r="R290" s="206"/>
      <c r="S290" s="199"/>
      <c r="T290" s="199"/>
      <c r="V290" s="207"/>
    </row>
    <row r="291" ht="15.75" customHeight="1">
      <c r="A291" s="196"/>
      <c r="B291" s="218"/>
      <c r="C291" s="207"/>
      <c r="D291" s="199"/>
      <c r="E291" s="207"/>
      <c r="F291" s="207"/>
      <c r="G291" s="199"/>
      <c r="H291" s="207"/>
      <c r="I291" s="199"/>
      <c r="J291" s="199"/>
      <c r="K291" s="209"/>
      <c r="L291" s="209"/>
      <c r="M291" s="203"/>
      <c r="N291" s="204"/>
      <c r="O291" s="205"/>
      <c r="P291" s="199"/>
      <c r="Q291" s="215"/>
      <c r="R291" s="206"/>
      <c r="S291" s="199"/>
      <c r="T291" s="199"/>
      <c r="V291" s="207"/>
    </row>
    <row r="292" ht="15.75" customHeight="1">
      <c r="A292" s="196"/>
      <c r="B292" s="218"/>
      <c r="C292" s="207"/>
      <c r="D292" s="199"/>
      <c r="E292" s="207"/>
      <c r="F292" s="207"/>
      <c r="G292" s="199"/>
      <c r="H292" s="207"/>
      <c r="I292" s="199"/>
      <c r="J292" s="199"/>
      <c r="K292" s="209"/>
      <c r="L292" s="209"/>
      <c r="M292" s="203"/>
      <c r="N292" s="204"/>
      <c r="O292" s="205"/>
      <c r="P292" s="199"/>
      <c r="Q292" s="215"/>
      <c r="R292" s="206"/>
      <c r="S292" s="199"/>
      <c r="T292" s="199"/>
      <c r="V292" s="207"/>
    </row>
    <row r="293" ht="15.75" customHeight="1">
      <c r="A293" s="196"/>
      <c r="B293" s="218"/>
      <c r="C293" s="207"/>
      <c r="D293" s="199"/>
      <c r="E293" s="207"/>
      <c r="F293" s="207"/>
      <c r="G293" s="199"/>
      <c r="H293" s="207"/>
      <c r="I293" s="199"/>
      <c r="J293" s="199"/>
      <c r="K293" s="209"/>
      <c r="L293" s="209"/>
      <c r="M293" s="203"/>
      <c r="N293" s="204"/>
      <c r="O293" s="205"/>
      <c r="P293" s="199"/>
      <c r="Q293" s="215"/>
      <c r="R293" s="206"/>
      <c r="S293" s="199"/>
      <c r="T293" s="199"/>
      <c r="V293" s="207"/>
    </row>
    <row r="294" ht="15.75" customHeight="1">
      <c r="A294" s="196"/>
      <c r="B294" s="218"/>
      <c r="C294" s="207"/>
      <c r="D294" s="199"/>
      <c r="E294" s="207"/>
      <c r="F294" s="207"/>
      <c r="G294" s="199"/>
      <c r="H294" s="207"/>
      <c r="I294" s="199"/>
      <c r="J294" s="199"/>
      <c r="K294" s="209"/>
      <c r="L294" s="209"/>
      <c r="M294" s="203"/>
      <c r="N294" s="204"/>
      <c r="O294" s="205"/>
      <c r="P294" s="199"/>
      <c r="Q294" s="215"/>
      <c r="R294" s="206"/>
      <c r="S294" s="199"/>
      <c r="T294" s="199"/>
      <c r="V294" s="207"/>
    </row>
    <row r="295" ht="15.75" customHeight="1">
      <c r="A295" s="196"/>
      <c r="B295" s="218"/>
      <c r="C295" s="207"/>
      <c r="D295" s="199"/>
      <c r="E295" s="207"/>
      <c r="F295" s="207"/>
      <c r="G295" s="199"/>
      <c r="H295" s="207"/>
      <c r="I295" s="199"/>
      <c r="J295" s="199"/>
      <c r="K295" s="209"/>
      <c r="L295" s="209"/>
      <c r="M295" s="203"/>
      <c r="N295" s="204"/>
      <c r="O295" s="205"/>
      <c r="P295" s="199"/>
      <c r="Q295" s="215"/>
      <c r="R295" s="206"/>
      <c r="S295" s="199"/>
      <c r="T295" s="199"/>
      <c r="V295" s="207"/>
    </row>
    <row r="296" ht="15.75" customHeight="1">
      <c r="A296" s="196"/>
      <c r="B296" s="218"/>
      <c r="C296" s="207"/>
      <c r="D296" s="199"/>
      <c r="E296" s="207"/>
      <c r="F296" s="207"/>
      <c r="G296" s="199"/>
      <c r="H296" s="207"/>
      <c r="I296" s="199"/>
      <c r="J296" s="199"/>
      <c r="K296" s="209"/>
      <c r="L296" s="209"/>
      <c r="M296" s="203"/>
      <c r="N296" s="204"/>
      <c r="O296" s="205"/>
      <c r="P296" s="199"/>
      <c r="Q296" s="215"/>
      <c r="R296" s="206"/>
      <c r="S296" s="199"/>
      <c r="T296" s="199"/>
      <c r="V296" s="207"/>
    </row>
    <row r="297" ht="15.75" customHeight="1">
      <c r="A297" s="196"/>
      <c r="B297" s="218"/>
      <c r="C297" s="207"/>
      <c r="D297" s="199"/>
      <c r="E297" s="207"/>
      <c r="F297" s="207"/>
      <c r="G297" s="199"/>
      <c r="H297" s="207"/>
      <c r="I297" s="199"/>
      <c r="J297" s="199"/>
      <c r="K297" s="209"/>
      <c r="L297" s="209"/>
      <c r="M297" s="203"/>
      <c r="N297" s="204"/>
      <c r="O297" s="205"/>
      <c r="P297" s="199"/>
      <c r="Q297" s="215"/>
      <c r="R297" s="206"/>
      <c r="S297" s="199"/>
      <c r="T297" s="199"/>
      <c r="V297" s="207"/>
    </row>
    <row r="298" ht="15.75" customHeight="1">
      <c r="A298" s="196"/>
      <c r="B298" s="218"/>
      <c r="C298" s="207"/>
      <c r="D298" s="199"/>
      <c r="E298" s="207"/>
      <c r="F298" s="207"/>
      <c r="G298" s="199"/>
      <c r="H298" s="207"/>
      <c r="I298" s="199"/>
      <c r="J298" s="199"/>
      <c r="K298" s="209"/>
      <c r="L298" s="209"/>
      <c r="M298" s="203"/>
      <c r="N298" s="204"/>
      <c r="O298" s="205"/>
      <c r="P298" s="199"/>
      <c r="Q298" s="215"/>
      <c r="R298" s="206"/>
      <c r="S298" s="199"/>
      <c r="T298" s="199"/>
      <c r="V298" s="207"/>
    </row>
    <row r="299" ht="15.75" customHeight="1">
      <c r="A299" s="196"/>
      <c r="B299" s="218"/>
      <c r="C299" s="207"/>
      <c r="D299" s="199"/>
      <c r="E299" s="207"/>
      <c r="F299" s="207"/>
      <c r="G299" s="199"/>
      <c r="H299" s="207"/>
      <c r="I299" s="199"/>
      <c r="J299" s="199"/>
      <c r="K299" s="209"/>
      <c r="L299" s="209"/>
      <c r="M299" s="203"/>
      <c r="N299" s="204"/>
      <c r="O299" s="205"/>
      <c r="P299" s="199"/>
      <c r="Q299" s="215"/>
      <c r="R299" s="206"/>
      <c r="S299" s="199"/>
      <c r="T299" s="199"/>
      <c r="V299" s="207"/>
    </row>
    <row r="300" ht="15.75" customHeight="1">
      <c r="A300" s="196"/>
      <c r="B300" s="218"/>
      <c r="C300" s="207"/>
      <c r="D300" s="199"/>
      <c r="E300" s="207"/>
      <c r="F300" s="207"/>
      <c r="G300" s="199"/>
      <c r="H300" s="207"/>
      <c r="I300" s="199"/>
      <c r="J300" s="199"/>
      <c r="K300" s="209"/>
      <c r="L300" s="209"/>
      <c r="M300" s="203"/>
      <c r="N300" s="204"/>
      <c r="O300" s="205"/>
      <c r="P300" s="199"/>
      <c r="Q300" s="215"/>
      <c r="R300" s="206"/>
      <c r="S300" s="199"/>
      <c r="T300" s="199"/>
      <c r="V300" s="207"/>
    </row>
    <row r="301" ht="15.75" customHeight="1">
      <c r="A301" s="196"/>
      <c r="B301" s="218"/>
      <c r="C301" s="207"/>
      <c r="D301" s="199"/>
      <c r="E301" s="207"/>
      <c r="F301" s="207"/>
      <c r="G301" s="199"/>
      <c r="H301" s="207"/>
      <c r="I301" s="199"/>
      <c r="J301" s="199"/>
      <c r="K301" s="209"/>
      <c r="L301" s="209"/>
      <c r="M301" s="203"/>
      <c r="N301" s="204"/>
      <c r="O301" s="205"/>
      <c r="P301" s="199"/>
      <c r="Q301" s="215"/>
      <c r="R301" s="206"/>
      <c r="S301" s="199"/>
      <c r="T301" s="199"/>
      <c r="V301" s="207"/>
    </row>
    <row r="302" ht="15.75" customHeight="1">
      <c r="A302" s="196"/>
      <c r="B302" s="218"/>
      <c r="C302" s="207"/>
      <c r="D302" s="199"/>
      <c r="E302" s="207"/>
      <c r="F302" s="207"/>
      <c r="G302" s="199"/>
      <c r="H302" s="207"/>
      <c r="I302" s="199"/>
      <c r="J302" s="199"/>
      <c r="K302" s="209"/>
      <c r="L302" s="209"/>
      <c r="M302" s="203"/>
      <c r="N302" s="204"/>
      <c r="O302" s="205"/>
      <c r="P302" s="199"/>
      <c r="Q302" s="215"/>
      <c r="R302" s="206"/>
      <c r="S302" s="199"/>
      <c r="T302" s="199"/>
      <c r="V302" s="207"/>
    </row>
    <row r="303" ht="15.75" customHeight="1">
      <c r="A303" s="196"/>
      <c r="B303" s="218"/>
      <c r="C303" s="207"/>
      <c r="D303" s="199"/>
      <c r="E303" s="207"/>
      <c r="F303" s="207"/>
      <c r="G303" s="199"/>
      <c r="H303" s="207"/>
      <c r="I303" s="199"/>
      <c r="J303" s="199"/>
      <c r="K303" s="209"/>
      <c r="L303" s="209"/>
      <c r="M303" s="203"/>
      <c r="N303" s="204"/>
      <c r="O303" s="205"/>
      <c r="P303" s="199"/>
      <c r="Q303" s="215"/>
      <c r="R303" s="206"/>
      <c r="S303" s="199"/>
      <c r="T303" s="199"/>
      <c r="V303" s="207"/>
    </row>
    <row r="304" ht="15.75" customHeight="1">
      <c r="A304" s="196"/>
      <c r="B304" s="218"/>
      <c r="C304" s="207"/>
      <c r="D304" s="199"/>
      <c r="E304" s="207"/>
      <c r="F304" s="207"/>
      <c r="G304" s="199"/>
      <c r="H304" s="207"/>
      <c r="I304" s="199"/>
      <c r="J304" s="199"/>
      <c r="K304" s="209"/>
      <c r="L304" s="209"/>
      <c r="M304" s="203"/>
      <c r="N304" s="204"/>
      <c r="O304" s="205"/>
      <c r="P304" s="199"/>
      <c r="Q304" s="215"/>
      <c r="R304" s="206"/>
      <c r="S304" s="199"/>
      <c r="T304" s="199"/>
      <c r="V304" s="207"/>
    </row>
    <row r="305" ht="15.75" customHeight="1">
      <c r="A305" s="196"/>
      <c r="B305" s="218"/>
      <c r="C305" s="207"/>
      <c r="D305" s="199"/>
      <c r="E305" s="207"/>
      <c r="F305" s="207"/>
      <c r="G305" s="199"/>
      <c r="H305" s="207"/>
      <c r="I305" s="199"/>
      <c r="J305" s="199"/>
      <c r="K305" s="209"/>
      <c r="L305" s="209"/>
      <c r="M305" s="203"/>
      <c r="N305" s="204"/>
      <c r="O305" s="205"/>
      <c r="P305" s="199"/>
      <c r="Q305" s="215"/>
      <c r="R305" s="206"/>
      <c r="S305" s="199"/>
      <c r="T305" s="199"/>
      <c r="V305" s="207"/>
    </row>
    <row r="306" ht="15.75" customHeight="1">
      <c r="A306" s="196"/>
      <c r="B306" s="218"/>
      <c r="C306" s="207"/>
      <c r="D306" s="199"/>
      <c r="E306" s="207"/>
      <c r="F306" s="207"/>
      <c r="G306" s="199"/>
      <c r="H306" s="207"/>
      <c r="I306" s="199"/>
      <c r="J306" s="199"/>
      <c r="K306" s="209"/>
      <c r="L306" s="209"/>
      <c r="M306" s="203"/>
      <c r="N306" s="204"/>
      <c r="O306" s="205"/>
      <c r="P306" s="199"/>
      <c r="Q306" s="215"/>
      <c r="R306" s="206"/>
      <c r="S306" s="199"/>
      <c r="T306" s="199"/>
      <c r="V306" s="207"/>
    </row>
    <row r="307" ht="15.75" customHeight="1">
      <c r="A307" s="196"/>
      <c r="B307" s="218"/>
      <c r="C307" s="207"/>
      <c r="D307" s="199"/>
      <c r="E307" s="207"/>
      <c r="F307" s="207"/>
      <c r="G307" s="199"/>
      <c r="H307" s="207"/>
      <c r="I307" s="199"/>
      <c r="J307" s="199"/>
      <c r="K307" s="209"/>
      <c r="L307" s="209"/>
      <c r="M307" s="203"/>
      <c r="N307" s="204"/>
      <c r="O307" s="205"/>
      <c r="P307" s="199"/>
      <c r="Q307" s="215"/>
      <c r="R307" s="206"/>
      <c r="S307" s="199"/>
      <c r="T307" s="199"/>
      <c r="V307" s="207"/>
    </row>
    <row r="308" ht="15.75" customHeight="1">
      <c r="A308" s="196"/>
      <c r="B308" s="218"/>
      <c r="C308" s="207"/>
      <c r="D308" s="199"/>
      <c r="E308" s="207"/>
      <c r="F308" s="207"/>
      <c r="G308" s="199"/>
      <c r="H308" s="207"/>
      <c r="I308" s="199"/>
      <c r="J308" s="199"/>
      <c r="K308" s="209"/>
      <c r="L308" s="209"/>
      <c r="M308" s="203"/>
      <c r="N308" s="204"/>
      <c r="O308" s="205"/>
      <c r="P308" s="199"/>
      <c r="Q308" s="215"/>
      <c r="R308" s="206"/>
      <c r="S308" s="199"/>
      <c r="T308" s="199"/>
      <c r="V308" s="207"/>
    </row>
    <row r="309" ht="15.75" customHeight="1">
      <c r="A309" s="196"/>
      <c r="B309" s="218"/>
      <c r="C309" s="207"/>
      <c r="D309" s="199"/>
      <c r="E309" s="207"/>
      <c r="F309" s="207"/>
      <c r="G309" s="199"/>
      <c r="H309" s="207"/>
      <c r="I309" s="199"/>
      <c r="J309" s="199"/>
      <c r="K309" s="209"/>
      <c r="L309" s="209"/>
      <c r="M309" s="203"/>
      <c r="N309" s="204"/>
      <c r="O309" s="205"/>
      <c r="P309" s="199"/>
      <c r="Q309" s="215"/>
      <c r="R309" s="206"/>
      <c r="S309" s="199"/>
      <c r="T309" s="199"/>
      <c r="V309" s="207"/>
    </row>
    <row r="310" ht="15.75" customHeight="1">
      <c r="A310" s="196"/>
      <c r="B310" s="218"/>
      <c r="C310" s="207"/>
      <c r="D310" s="199"/>
      <c r="E310" s="207"/>
      <c r="F310" s="207"/>
      <c r="G310" s="199"/>
      <c r="H310" s="207"/>
      <c r="I310" s="199"/>
      <c r="J310" s="199"/>
      <c r="K310" s="209"/>
      <c r="L310" s="209"/>
      <c r="M310" s="203"/>
      <c r="N310" s="204"/>
      <c r="O310" s="205"/>
      <c r="P310" s="199"/>
      <c r="Q310" s="215"/>
      <c r="R310" s="206"/>
      <c r="S310" s="199"/>
      <c r="T310" s="199"/>
      <c r="V310" s="207"/>
    </row>
    <row r="311" ht="15.75" customHeight="1">
      <c r="A311" s="196"/>
      <c r="B311" s="218"/>
      <c r="C311" s="207"/>
      <c r="D311" s="199"/>
      <c r="E311" s="207"/>
      <c r="F311" s="207"/>
      <c r="G311" s="199"/>
      <c r="H311" s="207"/>
      <c r="I311" s="199"/>
      <c r="J311" s="199"/>
      <c r="K311" s="209"/>
      <c r="L311" s="209"/>
      <c r="M311" s="203"/>
      <c r="N311" s="204"/>
      <c r="O311" s="205"/>
      <c r="P311" s="199"/>
      <c r="Q311" s="215"/>
      <c r="R311" s="206"/>
      <c r="S311" s="199"/>
      <c r="T311" s="199"/>
      <c r="V311" s="207"/>
    </row>
    <row r="312" ht="15.75" customHeight="1">
      <c r="A312" s="196"/>
      <c r="B312" s="218"/>
      <c r="C312" s="207"/>
      <c r="D312" s="199"/>
      <c r="E312" s="207"/>
      <c r="F312" s="207"/>
      <c r="G312" s="199"/>
      <c r="H312" s="207"/>
      <c r="I312" s="199"/>
      <c r="J312" s="199"/>
      <c r="K312" s="209"/>
      <c r="L312" s="209"/>
      <c r="M312" s="203"/>
      <c r="N312" s="204"/>
      <c r="O312" s="205"/>
      <c r="P312" s="199"/>
      <c r="Q312" s="215"/>
      <c r="R312" s="206"/>
      <c r="S312" s="199"/>
      <c r="T312" s="199"/>
      <c r="V312" s="207"/>
    </row>
    <row r="313" ht="15.75" customHeight="1">
      <c r="A313" s="196"/>
      <c r="B313" s="218"/>
      <c r="C313" s="207"/>
      <c r="D313" s="199"/>
      <c r="E313" s="207"/>
      <c r="F313" s="207"/>
      <c r="G313" s="199"/>
      <c r="H313" s="207"/>
      <c r="I313" s="199"/>
      <c r="J313" s="199"/>
      <c r="K313" s="209"/>
      <c r="L313" s="209"/>
      <c r="M313" s="203"/>
      <c r="N313" s="204"/>
      <c r="O313" s="205"/>
      <c r="P313" s="199"/>
      <c r="Q313" s="215"/>
      <c r="R313" s="206"/>
      <c r="S313" s="199"/>
      <c r="T313" s="199"/>
      <c r="V313" s="207"/>
    </row>
    <row r="314" ht="15.75" customHeight="1">
      <c r="A314" s="196"/>
      <c r="B314" s="218"/>
      <c r="C314" s="207"/>
      <c r="D314" s="199"/>
      <c r="E314" s="207"/>
      <c r="F314" s="207"/>
      <c r="G314" s="199"/>
      <c r="H314" s="207"/>
      <c r="I314" s="199"/>
      <c r="J314" s="199"/>
      <c r="K314" s="209"/>
      <c r="L314" s="209"/>
      <c r="M314" s="203"/>
      <c r="N314" s="204"/>
      <c r="O314" s="205"/>
      <c r="P314" s="199"/>
      <c r="Q314" s="215"/>
      <c r="R314" s="206"/>
      <c r="S314" s="199"/>
      <c r="T314" s="199"/>
      <c r="V314" s="207"/>
    </row>
    <row r="315" ht="15.75" customHeight="1">
      <c r="A315" s="196"/>
      <c r="B315" s="218"/>
      <c r="C315" s="207"/>
      <c r="D315" s="199"/>
      <c r="E315" s="207"/>
      <c r="F315" s="207"/>
      <c r="G315" s="199"/>
      <c r="H315" s="207"/>
      <c r="I315" s="199"/>
      <c r="J315" s="199"/>
      <c r="K315" s="209"/>
      <c r="L315" s="209"/>
      <c r="M315" s="203"/>
      <c r="N315" s="204"/>
      <c r="O315" s="205"/>
      <c r="P315" s="199"/>
      <c r="Q315" s="215"/>
      <c r="R315" s="206"/>
      <c r="S315" s="199"/>
      <c r="T315" s="199"/>
      <c r="V315" s="207"/>
    </row>
    <row r="316" ht="15.75" customHeight="1">
      <c r="A316" s="196"/>
      <c r="B316" s="218"/>
      <c r="C316" s="207"/>
      <c r="D316" s="199"/>
      <c r="E316" s="207"/>
      <c r="F316" s="207"/>
      <c r="G316" s="199"/>
      <c r="H316" s="207"/>
      <c r="I316" s="199"/>
      <c r="J316" s="199"/>
      <c r="K316" s="209"/>
      <c r="L316" s="209"/>
      <c r="M316" s="203"/>
      <c r="N316" s="204"/>
      <c r="O316" s="205"/>
      <c r="P316" s="199"/>
      <c r="Q316" s="215"/>
      <c r="R316" s="206"/>
      <c r="S316" s="199"/>
      <c r="T316" s="199"/>
      <c r="V316" s="207"/>
    </row>
    <row r="317" ht="15.75" customHeight="1">
      <c r="A317" s="196"/>
      <c r="B317" s="218"/>
      <c r="C317" s="207"/>
      <c r="D317" s="199"/>
      <c r="E317" s="207"/>
      <c r="F317" s="207"/>
      <c r="G317" s="199"/>
      <c r="H317" s="207"/>
      <c r="I317" s="199"/>
      <c r="J317" s="199"/>
      <c r="K317" s="209"/>
      <c r="L317" s="209"/>
      <c r="M317" s="203"/>
      <c r="N317" s="204"/>
      <c r="O317" s="205"/>
      <c r="P317" s="199"/>
      <c r="Q317" s="215"/>
      <c r="R317" s="206"/>
      <c r="S317" s="199"/>
      <c r="T317" s="199"/>
      <c r="V317" s="207"/>
    </row>
    <row r="318" ht="15.75" customHeight="1">
      <c r="A318" s="196"/>
      <c r="B318" s="218"/>
      <c r="C318" s="207"/>
      <c r="D318" s="199"/>
      <c r="E318" s="207"/>
      <c r="F318" s="207"/>
      <c r="G318" s="199"/>
      <c r="H318" s="207"/>
      <c r="I318" s="199"/>
      <c r="J318" s="199"/>
      <c r="K318" s="209"/>
      <c r="L318" s="209"/>
      <c r="M318" s="203"/>
      <c r="N318" s="204"/>
      <c r="O318" s="205"/>
      <c r="P318" s="199"/>
      <c r="Q318" s="215"/>
      <c r="R318" s="206"/>
      <c r="S318" s="199"/>
      <c r="T318" s="199"/>
      <c r="V318" s="207"/>
    </row>
    <row r="319" ht="15.75" customHeight="1">
      <c r="A319" s="196"/>
      <c r="B319" s="218"/>
      <c r="C319" s="207"/>
      <c r="D319" s="199"/>
      <c r="E319" s="207"/>
      <c r="F319" s="207"/>
      <c r="G319" s="199"/>
      <c r="H319" s="207"/>
      <c r="I319" s="199"/>
      <c r="J319" s="199"/>
      <c r="K319" s="209"/>
      <c r="L319" s="209"/>
      <c r="M319" s="203"/>
      <c r="N319" s="204"/>
      <c r="O319" s="205"/>
      <c r="P319" s="199"/>
      <c r="Q319" s="215"/>
      <c r="R319" s="206"/>
      <c r="S319" s="199"/>
      <c r="T319" s="199"/>
      <c r="V319" s="207"/>
    </row>
    <row r="320" ht="15.75" customHeight="1">
      <c r="A320" s="196"/>
      <c r="B320" s="218"/>
      <c r="C320" s="207"/>
      <c r="D320" s="199"/>
      <c r="E320" s="207"/>
      <c r="F320" s="207"/>
      <c r="G320" s="199"/>
      <c r="H320" s="207"/>
      <c r="I320" s="199"/>
      <c r="J320" s="199"/>
      <c r="K320" s="209"/>
      <c r="L320" s="209"/>
      <c r="M320" s="203"/>
      <c r="N320" s="204"/>
      <c r="O320" s="205"/>
      <c r="P320" s="199"/>
      <c r="Q320" s="215"/>
      <c r="R320" s="206"/>
      <c r="S320" s="199"/>
      <c r="T320" s="199"/>
      <c r="V320" s="207"/>
    </row>
    <row r="321" ht="15.75" customHeight="1">
      <c r="A321" s="196"/>
      <c r="B321" s="218"/>
      <c r="C321" s="207"/>
      <c r="D321" s="199"/>
      <c r="E321" s="207"/>
      <c r="F321" s="207"/>
      <c r="G321" s="199"/>
      <c r="H321" s="207"/>
      <c r="I321" s="199"/>
      <c r="J321" s="199"/>
      <c r="K321" s="209"/>
      <c r="L321" s="209"/>
      <c r="M321" s="203"/>
      <c r="N321" s="204"/>
      <c r="O321" s="205"/>
      <c r="P321" s="199"/>
      <c r="Q321" s="215"/>
      <c r="R321" s="206"/>
      <c r="S321" s="199"/>
      <c r="T321" s="199"/>
      <c r="V321" s="207"/>
    </row>
    <row r="322" ht="15.75" customHeight="1">
      <c r="A322" s="196"/>
      <c r="B322" s="218"/>
      <c r="C322" s="207"/>
      <c r="D322" s="199"/>
      <c r="E322" s="207"/>
      <c r="F322" s="207"/>
      <c r="G322" s="199"/>
      <c r="H322" s="207"/>
      <c r="I322" s="199"/>
      <c r="J322" s="199"/>
      <c r="K322" s="209"/>
      <c r="L322" s="209"/>
      <c r="M322" s="203"/>
      <c r="N322" s="204"/>
      <c r="O322" s="205"/>
      <c r="P322" s="199"/>
      <c r="Q322" s="215"/>
      <c r="R322" s="206"/>
      <c r="S322" s="199"/>
      <c r="T322" s="199"/>
      <c r="V322" s="207"/>
    </row>
    <row r="323" ht="15.75" customHeight="1">
      <c r="A323" s="196"/>
      <c r="B323" s="218"/>
      <c r="C323" s="207"/>
      <c r="D323" s="199"/>
      <c r="E323" s="207"/>
      <c r="F323" s="207"/>
      <c r="G323" s="199"/>
      <c r="H323" s="207"/>
      <c r="I323" s="199"/>
      <c r="J323" s="199"/>
      <c r="K323" s="209"/>
      <c r="L323" s="209"/>
      <c r="M323" s="203"/>
      <c r="N323" s="204"/>
      <c r="O323" s="205"/>
      <c r="P323" s="199"/>
      <c r="Q323" s="215"/>
      <c r="R323" s="206"/>
      <c r="S323" s="199"/>
      <c r="T323" s="199"/>
      <c r="V323" s="207"/>
    </row>
    <row r="324" ht="15.75" customHeight="1">
      <c r="A324" s="196"/>
      <c r="B324" s="218"/>
      <c r="C324" s="207"/>
      <c r="D324" s="199"/>
      <c r="E324" s="207"/>
      <c r="F324" s="207"/>
      <c r="G324" s="199"/>
      <c r="H324" s="207"/>
      <c r="I324" s="199"/>
      <c r="J324" s="199"/>
      <c r="K324" s="209"/>
      <c r="L324" s="209"/>
      <c r="M324" s="203"/>
      <c r="N324" s="204"/>
      <c r="O324" s="205"/>
      <c r="P324" s="199"/>
      <c r="Q324" s="215"/>
      <c r="R324" s="206"/>
      <c r="S324" s="199"/>
      <c r="T324" s="199"/>
      <c r="V324" s="207"/>
    </row>
    <row r="325" ht="15.75" customHeight="1">
      <c r="A325" s="196"/>
      <c r="B325" s="218"/>
      <c r="C325" s="207"/>
      <c r="D325" s="199"/>
      <c r="E325" s="207"/>
      <c r="F325" s="207"/>
      <c r="G325" s="199"/>
      <c r="H325" s="207"/>
      <c r="I325" s="199"/>
      <c r="J325" s="199"/>
      <c r="K325" s="209"/>
      <c r="L325" s="209"/>
      <c r="M325" s="203"/>
      <c r="N325" s="204"/>
      <c r="O325" s="205"/>
      <c r="P325" s="199"/>
      <c r="Q325" s="215"/>
      <c r="R325" s="206"/>
      <c r="S325" s="199"/>
      <c r="T325" s="199"/>
      <c r="V325" s="207"/>
    </row>
    <row r="326" ht="15.75" customHeight="1">
      <c r="A326" s="196"/>
      <c r="B326" s="218"/>
      <c r="C326" s="207"/>
      <c r="D326" s="199"/>
      <c r="E326" s="207"/>
      <c r="F326" s="207"/>
      <c r="G326" s="199"/>
      <c r="H326" s="207"/>
      <c r="I326" s="199"/>
      <c r="J326" s="199"/>
      <c r="K326" s="209"/>
      <c r="L326" s="209"/>
      <c r="M326" s="203"/>
      <c r="N326" s="204"/>
      <c r="O326" s="205"/>
      <c r="P326" s="199"/>
      <c r="Q326" s="215"/>
      <c r="R326" s="206"/>
      <c r="S326" s="199"/>
      <c r="T326" s="199"/>
      <c r="V326" s="207"/>
    </row>
    <row r="327" ht="15.75" customHeight="1">
      <c r="A327" s="196"/>
      <c r="B327" s="218"/>
      <c r="C327" s="207"/>
      <c r="D327" s="199"/>
      <c r="E327" s="207"/>
      <c r="F327" s="207"/>
      <c r="G327" s="199"/>
      <c r="H327" s="207"/>
      <c r="I327" s="199"/>
      <c r="J327" s="199"/>
      <c r="K327" s="209"/>
      <c r="L327" s="209"/>
      <c r="M327" s="203"/>
      <c r="N327" s="204"/>
      <c r="O327" s="205"/>
      <c r="P327" s="199"/>
      <c r="Q327" s="215"/>
      <c r="R327" s="206"/>
      <c r="S327" s="199"/>
      <c r="T327" s="199"/>
      <c r="V327" s="207"/>
    </row>
    <row r="328" ht="15.75" customHeight="1">
      <c r="A328" s="196"/>
      <c r="B328" s="218"/>
      <c r="C328" s="207"/>
      <c r="D328" s="199"/>
      <c r="E328" s="207"/>
      <c r="F328" s="207"/>
      <c r="G328" s="199"/>
      <c r="H328" s="207"/>
      <c r="I328" s="199"/>
      <c r="J328" s="199"/>
      <c r="K328" s="209"/>
      <c r="L328" s="209"/>
      <c r="M328" s="203"/>
      <c r="N328" s="204"/>
      <c r="O328" s="205"/>
      <c r="P328" s="199"/>
      <c r="Q328" s="215"/>
      <c r="R328" s="206"/>
      <c r="S328" s="199"/>
      <c r="T328" s="199"/>
      <c r="V328" s="207"/>
    </row>
    <row r="329" ht="15.75" customHeight="1">
      <c r="A329" s="196"/>
      <c r="B329" s="218"/>
      <c r="C329" s="207"/>
      <c r="D329" s="199"/>
      <c r="E329" s="207"/>
      <c r="F329" s="207"/>
      <c r="G329" s="199"/>
      <c r="H329" s="207"/>
      <c r="I329" s="199"/>
      <c r="J329" s="199"/>
      <c r="K329" s="209"/>
      <c r="L329" s="209"/>
      <c r="M329" s="203"/>
      <c r="N329" s="204"/>
      <c r="O329" s="205"/>
      <c r="P329" s="199"/>
      <c r="Q329" s="215"/>
      <c r="R329" s="206"/>
      <c r="S329" s="199"/>
      <c r="T329" s="199"/>
      <c r="V329" s="207"/>
    </row>
    <row r="330" ht="15.75" customHeight="1">
      <c r="A330" s="196"/>
      <c r="B330" s="218"/>
      <c r="C330" s="207"/>
      <c r="D330" s="199"/>
      <c r="E330" s="207"/>
      <c r="F330" s="207"/>
      <c r="G330" s="199"/>
      <c r="H330" s="207"/>
      <c r="I330" s="199"/>
      <c r="J330" s="199"/>
      <c r="K330" s="209"/>
      <c r="L330" s="209"/>
      <c r="M330" s="203"/>
      <c r="N330" s="204"/>
      <c r="O330" s="205"/>
      <c r="P330" s="199"/>
      <c r="Q330" s="215"/>
      <c r="R330" s="206"/>
      <c r="S330" s="199"/>
      <c r="T330" s="199"/>
      <c r="V330" s="207"/>
    </row>
    <row r="331" ht="15.75" customHeight="1">
      <c r="A331" s="196"/>
      <c r="B331" s="218"/>
      <c r="C331" s="207"/>
      <c r="D331" s="199"/>
      <c r="E331" s="207"/>
      <c r="F331" s="207"/>
      <c r="G331" s="199"/>
      <c r="H331" s="207"/>
      <c r="I331" s="199"/>
      <c r="J331" s="199"/>
      <c r="K331" s="209"/>
      <c r="L331" s="209"/>
      <c r="M331" s="203"/>
      <c r="N331" s="204"/>
      <c r="O331" s="205"/>
      <c r="P331" s="199"/>
      <c r="Q331" s="215"/>
      <c r="R331" s="206"/>
      <c r="S331" s="199"/>
      <c r="T331" s="199"/>
      <c r="V331" s="207"/>
    </row>
    <row r="332" ht="15.75" customHeight="1">
      <c r="A332" s="196"/>
      <c r="B332" s="218"/>
      <c r="C332" s="207"/>
      <c r="D332" s="199"/>
      <c r="E332" s="207"/>
      <c r="F332" s="207"/>
      <c r="G332" s="199"/>
      <c r="H332" s="207"/>
      <c r="I332" s="199"/>
      <c r="J332" s="199"/>
      <c r="K332" s="209"/>
      <c r="L332" s="209"/>
      <c r="M332" s="203"/>
      <c r="N332" s="204"/>
      <c r="O332" s="205"/>
      <c r="P332" s="199"/>
      <c r="Q332" s="215"/>
      <c r="R332" s="206"/>
      <c r="S332" s="199"/>
      <c r="T332" s="199"/>
      <c r="V332" s="207"/>
    </row>
    <row r="333" ht="15.75" customHeight="1">
      <c r="A333" s="196"/>
      <c r="B333" s="218"/>
      <c r="C333" s="207"/>
      <c r="D333" s="199"/>
      <c r="E333" s="207"/>
      <c r="F333" s="207"/>
      <c r="G333" s="199"/>
      <c r="H333" s="207"/>
      <c r="I333" s="199"/>
      <c r="J333" s="199"/>
      <c r="K333" s="209"/>
      <c r="L333" s="209"/>
      <c r="M333" s="203"/>
      <c r="N333" s="204"/>
      <c r="O333" s="205"/>
      <c r="P333" s="199"/>
      <c r="Q333" s="215"/>
      <c r="R333" s="206"/>
      <c r="S333" s="199"/>
      <c r="T333" s="199"/>
      <c r="V333" s="207"/>
    </row>
    <row r="334" ht="15.75" customHeight="1">
      <c r="A334" s="196"/>
      <c r="B334" s="218"/>
      <c r="C334" s="207"/>
      <c r="D334" s="199"/>
      <c r="E334" s="207"/>
      <c r="F334" s="207"/>
      <c r="G334" s="199"/>
      <c r="H334" s="207"/>
      <c r="I334" s="199"/>
      <c r="J334" s="199"/>
      <c r="K334" s="209"/>
      <c r="L334" s="209"/>
      <c r="M334" s="203"/>
      <c r="N334" s="204"/>
      <c r="O334" s="205"/>
      <c r="P334" s="199"/>
      <c r="Q334" s="215"/>
      <c r="R334" s="206"/>
      <c r="S334" s="199"/>
      <c r="T334" s="199"/>
      <c r="V334" s="207"/>
    </row>
    <row r="335" ht="15.75" customHeight="1">
      <c r="A335" s="196"/>
      <c r="B335" s="218"/>
      <c r="C335" s="207"/>
      <c r="D335" s="199"/>
      <c r="E335" s="207"/>
      <c r="F335" s="207"/>
      <c r="G335" s="199"/>
      <c r="H335" s="207"/>
      <c r="I335" s="199"/>
      <c r="J335" s="199"/>
      <c r="K335" s="209"/>
      <c r="L335" s="209"/>
      <c r="M335" s="203"/>
      <c r="N335" s="204"/>
      <c r="O335" s="205"/>
      <c r="P335" s="199"/>
      <c r="Q335" s="215"/>
      <c r="R335" s="206"/>
      <c r="S335" s="199"/>
      <c r="T335" s="199"/>
      <c r="V335" s="207"/>
    </row>
    <row r="336" ht="15.75" customHeight="1">
      <c r="A336" s="196"/>
      <c r="B336" s="218"/>
      <c r="C336" s="207"/>
      <c r="D336" s="199"/>
      <c r="E336" s="207"/>
      <c r="F336" s="207"/>
      <c r="G336" s="199"/>
      <c r="H336" s="207"/>
      <c r="I336" s="199"/>
      <c r="J336" s="199"/>
      <c r="K336" s="209"/>
      <c r="L336" s="209"/>
      <c r="M336" s="203"/>
      <c r="N336" s="204"/>
      <c r="O336" s="205"/>
      <c r="P336" s="199"/>
      <c r="Q336" s="215"/>
      <c r="R336" s="206"/>
      <c r="S336" s="199"/>
      <c r="T336" s="199"/>
      <c r="V336" s="207"/>
    </row>
    <row r="337" ht="15.75" customHeight="1">
      <c r="A337" s="196"/>
      <c r="B337" s="218"/>
      <c r="C337" s="207"/>
      <c r="D337" s="199"/>
      <c r="E337" s="207"/>
      <c r="F337" s="207"/>
      <c r="G337" s="199"/>
      <c r="H337" s="207"/>
      <c r="I337" s="199"/>
      <c r="J337" s="199"/>
      <c r="K337" s="209"/>
      <c r="L337" s="209"/>
      <c r="M337" s="203"/>
      <c r="N337" s="204"/>
      <c r="O337" s="205"/>
      <c r="P337" s="199"/>
      <c r="Q337" s="215"/>
      <c r="R337" s="206"/>
      <c r="S337" s="199"/>
      <c r="T337" s="199"/>
      <c r="V337" s="207"/>
    </row>
    <row r="338" ht="15.75" customHeight="1">
      <c r="A338" s="196"/>
      <c r="B338" s="218"/>
      <c r="C338" s="207"/>
      <c r="D338" s="199"/>
      <c r="E338" s="207"/>
      <c r="F338" s="207"/>
      <c r="G338" s="199"/>
      <c r="H338" s="207"/>
      <c r="I338" s="199"/>
      <c r="J338" s="199"/>
      <c r="K338" s="209"/>
      <c r="L338" s="209"/>
      <c r="M338" s="203"/>
      <c r="N338" s="204"/>
      <c r="O338" s="205"/>
      <c r="P338" s="199"/>
      <c r="Q338" s="215"/>
      <c r="R338" s="206"/>
      <c r="S338" s="199"/>
      <c r="T338" s="199"/>
      <c r="V338" s="207"/>
    </row>
    <row r="339" ht="15.75" customHeight="1">
      <c r="A339" s="196"/>
      <c r="B339" s="218"/>
      <c r="C339" s="207"/>
      <c r="D339" s="199"/>
      <c r="E339" s="207"/>
      <c r="F339" s="207"/>
      <c r="G339" s="199"/>
      <c r="H339" s="207"/>
      <c r="I339" s="199"/>
      <c r="J339" s="199"/>
      <c r="K339" s="209"/>
      <c r="L339" s="209"/>
      <c r="M339" s="203"/>
      <c r="N339" s="204"/>
      <c r="O339" s="205"/>
      <c r="P339" s="199"/>
      <c r="Q339" s="215"/>
      <c r="R339" s="206"/>
      <c r="S339" s="199"/>
      <c r="T339" s="199"/>
      <c r="V339" s="207"/>
    </row>
    <row r="340" ht="15.75" customHeight="1">
      <c r="A340" s="196"/>
      <c r="B340" s="218"/>
      <c r="C340" s="207"/>
      <c r="D340" s="199"/>
      <c r="E340" s="207"/>
      <c r="F340" s="207"/>
      <c r="G340" s="199"/>
      <c r="H340" s="207"/>
      <c r="I340" s="199"/>
      <c r="J340" s="199"/>
      <c r="K340" s="209"/>
      <c r="L340" s="209"/>
      <c r="M340" s="203"/>
      <c r="N340" s="204"/>
      <c r="O340" s="205"/>
      <c r="P340" s="199"/>
      <c r="Q340" s="215"/>
      <c r="R340" s="206"/>
      <c r="S340" s="199"/>
      <c r="T340" s="199"/>
      <c r="V340" s="207"/>
    </row>
    <row r="341" ht="15.75" customHeight="1">
      <c r="A341" s="196"/>
      <c r="B341" s="218"/>
      <c r="C341" s="207"/>
      <c r="D341" s="199"/>
      <c r="E341" s="207"/>
      <c r="F341" s="207"/>
      <c r="G341" s="199"/>
      <c r="H341" s="207"/>
      <c r="I341" s="199"/>
      <c r="J341" s="199"/>
      <c r="K341" s="209"/>
      <c r="L341" s="209"/>
      <c r="M341" s="203"/>
      <c r="N341" s="204"/>
      <c r="O341" s="205"/>
      <c r="P341" s="199"/>
      <c r="Q341" s="215"/>
      <c r="R341" s="206"/>
      <c r="S341" s="199"/>
      <c r="T341" s="199"/>
      <c r="V341" s="207"/>
    </row>
    <row r="342" ht="15.75" customHeight="1">
      <c r="A342" s="196"/>
      <c r="B342" s="218"/>
      <c r="C342" s="207"/>
      <c r="D342" s="199"/>
      <c r="E342" s="207"/>
      <c r="F342" s="207"/>
      <c r="G342" s="199"/>
      <c r="H342" s="207"/>
      <c r="I342" s="199"/>
      <c r="J342" s="199"/>
      <c r="K342" s="209"/>
      <c r="L342" s="209"/>
      <c r="M342" s="203"/>
      <c r="N342" s="204"/>
      <c r="O342" s="205"/>
      <c r="P342" s="199"/>
      <c r="Q342" s="215"/>
      <c r="R342" s="206"/>
      <c r="S342" s="199"/>
      <c r="T342" s="199"/>
      <c r="V342" s="207"/>
    </row>
    <row r="343" ht="15.75" customHeight="1">
      <c r="A343" s="196"/>
      <c r="B343" s="218"/>
      <c r="C343" s="207"/>
      <c r="D343" s="199"/>
      <c r="E343" s="207"/>
      <c r="F343" s="207"/>
      <c r="G343" s="199"/>
      <c r="H343" s="207"/>
      <c r="I343" s="199"/>
      <c r="J343" s="199"/>
      <c r="K343" s="209"/>
      <c r="L343" s="209"/>
      <c r="M343" s="203"/>
      <c r="N343" s="204"/>
      <c r="O343" s="205"/>
      <c r="P343" s="199"/>
      <c r="Q343" s="215"/>
      <c r="R343" s="206"/>
      <c r="S343" s="199"/>
      <c r="T343" s="199"/>
      <c r="V343" s="207"/>
    </row>
    <row r="344" ht="15.75" customHeight="1">
      <c r="A344" s="196"/>
      <c r="B344" s="218"/>
      <c r="C344" s="207"/>
      <c r="D344" s="199"/>
      <c r="E344" s="207"/>
      <c r="F344" s="207"/>
      <c r="G344" s="199"/>
      <c r="H344" s="207"/>
      <c r="I344" s="199"/>
      <c r="J344" s="199"/>
      <c r="K344" s="209"/>
      <c r="L344" s="209"/>
      <c r="M344" s="203"/>
      <c r="N344" s="204"/>
      <c r="O344" s="205"/>
      <c r="P344" s="199"/>
      <c r="Q344" s="215"/>
      <c r="R344" s="206"/>
      <c r="S344" s="199"/>
      <c r="T344" s="199"/>
      <c r="V344" s="207"/>
    </row>
    <row r="345" ht="15.75" customHeight="1">
      <c r="A345" s="196"/>
      <c r="B345" s="218"/>
      <c r="C345" s="207"/>
      <c r="D345" s="199"/>
      <c r="E345" s="207"/>
      <c r="F345" s="207"/>
      <c r="G345" s="199"/>
      <c r="H345" s="207"/>
      <c r="I345" s="199"/>
      <c r="J345" s="199"/>
      <c r="K345" s="209"/>
      <c r="L345" s="209"/>
      <c r="M345" s="203"/>
      <c r="N345" s="204"/>
      <c r="O345" s="205"/>
      <c r="P345" s="199"/>
      <c r="Q345" s="215"/>
      <c r="R345" s="206"/>
      <c r="S345" s="199"/>
      <c r="T345" s="199"/>
      <c r="V345" s="207"/>
    </row>
    <row r="346" ht="15.75" customHeight="1">
      <c r="A346" s="196"/>
      <c r="B346" s="218"/>
      <c r="C346" s="207"/>
      <c r="D346" s="199"/>
      <c r="E346" s="207"/>
      <c r="F346" s="207"/>
      <c r="G346" s="199"/>
      <c r="H346" s="207"/>
      <c r="I346" s="199"/>
      <c r="J346" s="199"/>
      <c r="K346" s="209"/>
      <c r="L346" s="209"/>
      <c r="M346" s="203"/>
      <c r="N346" s="204"/>
      <c r="O346" s="205"/>
      <c r="P346" s="199"/>
      <c r="Q346" s="215"/>
      <c r="R346" s="206"/>
      <c r="S346" s="199"/>
      <c r="T346" s="199"/>
      <c r="V346" s="207"/>
    </row>
    <row r="347" ht="15.75" customHeight="1">
      <c r="A347" s="196"/>
      <c r="B347" s="218"/>
      <c r="C347" s="207"/>
      <c r="D347" s="199"/>
      <c r="E347" s="207"/>
      <c r="F347" s="207"/>
      <c r="G347" s="199"/>
      <c r="H347" s="207"/>
      <c r="I347" s="199"/>
      <c r="J347" s="199"/>
      <c r="K347" s="209"/>
      <c r="L347" s="209"/>
      <c r="M347" s="203"/>
      <c r="N347" s="204"/>
      <c r="O347" s="205"/>
      <c r="P347" s="199"/>
      <c r="Q347" s="215"/>
      <c r="R347" s="206"/>
      <c r="S347" s="199"/>
      <c r="T347" s="199"/>
      <c r="V347" s="207"/>
    </row>
    <row r="348" ht="15.75" customHeight="1">
      <c r="A348" s="196"/>
      <c r="B348" s="218"/>
      <c r="C348" s="207"/>
      <c r="D348" s="199"/>
      <c r="E348" s="207"/>
      <c r="F348" s="207"/>
      <c r="G348" s="199"/>
      <c r="H348" s="207"/>
      <c r="I348" s="199"/>
      <c r="J348" s="199"/>
      <c r="K348" s="209"/>
      <c r="L348" s="209"/>
      <c r="M348" s="203"/>
      <c r="N348" s="204"/>
      <c r="O348" s="205"/>
      <c r="P348" s="199"/>
      <c r="Q348" s="215"/>
      <c r="R348" s="206"/>
      <c r="S348" s="199"/>
      <c r="T348" s="199"/>
      <c r="V348" s="207"/>
    </row>
    <row r="349" ht="15.75" customHeight="1">
      <c r="A349" s="196"/>
      <c r="B349" s="218"/>
      <c r="C349" s="207"/>
      <c r="D349" s="199"/>
      <c r="E349" s="207"/>
      <c r="F349" s="207"/>
      <c r="G349" s="199"/>
      <c r="H349" s="207"/>
      <c r="I349" s="199"/>
      <c r="J349" s="199"/>
      <c r="K349" s="209"/>
      <c r="L349" s="209"/>
      <c r="M349" s="203"/>
      <c r="N349" s="204"/>
      <c r="O349" s="205"/>
      <c r="P349" s="199"/>
      <c r="Q349" s="215"/>
      <c r="R349" s="206"/>
      <c r="S349" s="199"/>
      <c r="T349" s="199"/>
      <c r="V349" s="207"/>
    </row>
    <row r="350" ht="15.75" customHeight="1">
      <c r="A350" s="196"/>
      <c r="B350" s="218"/>
      <c r="C350" s="207"/>
      <c r="D350" s="199"/>
      <c r="E350" s="207"/>
      <c r="F350" s="207"/>
      <c r="G350" s="199"/>
      <c r="H350" s="207"/>
      <c r="I350" s="199"/>
      <c r="J350" s="199"/>
      <c r="K350" s="209"/>
      <c r="L350" s="209"/>
      <c r="M350" s="203"/>
      <c r="N350" s="204"/>
      <c r="O350" s="205"/>
      <c r="P350" s="199"/>
      <c r="Q350" s="215"/>
      <c r="R350" s="206"/>
      <c r="S350" s="199"/>
      <c r="T350" s="199"/>
      <c r="V350" s="207"/>
    </row>
    <row r="351" ht="15.75" customHeight="1">
      <c r="A351" s="196"/>
      <c r="B351" s="218"/>
      <c r="C351" s="207"/>
      <c r="D351" s="199"/>
      <c r="E351" s="207"/>
      <c r="F351" s="207"/>
      <c r="G351" s="199"/>
      <c r="H351" s="207"/>
      <c r="I351" s="199"/>
      <c r="J351" s="199"/>
      <c r="K351" s="209"/>
      <c r="L351" s="209"/>
      <c r="M351" s="203"/>
      <c r="N351" s="204"/>
      <c r="O351" s="205"/>
      <c r="P351" s="199"/>
      <c r="Q351" s="215"/>
      <c r="R351" s="206"/>
      <c r="S351" s="199"/>
      <c r="T351" s="199"/>
      <c r="V351" s="207"/>
    </row>
    <row r="352" ht="15.75" customHeight="1">
      <c r="A352" s="196"/>
      <c r="B352" s="218"/>
      <c r="C352" s="207"/>
      <c r="D352" s="199"/>
      <c r="E352" s="207"/>
      <c r="F352" s="207"/>
      <c r="G352" s="199"/>
      <c r="H352" s="207"/>
      <c r="I352" s="199"/>
      <c r="J352" s="199"/>
      <c r="K352" s="209"/>
      <c r="L352" s="209"/>
      <c r="M352" s="203"/>
      <c r="N352" s="204"/>
      <c r="O352" s="205"/>
      <c r="P352" s="199"/>
      <c r="Q352" s="215"/>
      <c r="R352" s="206"/>
      <c r="S352" s="199"/>
      <c r="T352" s="199"/>
      <c r="V352" s="207"/>
    </row>
    <row r="353" ht="15.75" customHeight="1">
      <c r="A353" s="196"/>
      <c r="B353" s="218"/>
      <c r="C353" s="207"/>
      <c r="D353" s="199"/>
      <c r="E353" s="207"/>
      <c r="F353" s="207"/>
      <c r="G353" s="199"/>
      <c r="H353" s="207"/>
      <c r="I353" s="199"/>
      <c r="J353" s="199"/>
      <c r="K353" s="209"/>
      <c r="L353" s="209"/>
      <c r="M353" s="203"/>
      <c r="N353" s="204"/>
      <c r="O353" s="205"/>
      <c r="P353" s="199"/>
      <c r="Q353" s="215"/>
      <c r="R353" s="206"/>
      <c r="S353" s="199"/>
      <c r="T353" s="199"/>
      <c r="V353" s="207"/>
    </row>
    <row r="354" ht="15.75" customHeight="1">
      <c r="A354" s="196"/>
      <c r="B354" s="218"/>
      <c r="C354" s="207"/>
      <c r="D354" s="199"/>
      <c r="E354" s="207"/>
      <c r="F354" s="207"/>
      <c r="G354" s="199"/>
      <c r="H354" s="207"/>
      <c r="I354" s="199"/>
      <c r="J354" s="199"/>
      <c r="K354" s="209"/>
      <c r="L354" s="209"/>
      <c r="M354" s="203"/>
      <c r="N354" s="204"/>
      <c r="O354" s="205"/>
      <c r="P354" s="199"/>
      <c r="Q354" s="215"/>
      <c r="R354" s="206"/>
      <c r="S354" s="199"/>
      <c r="T354" s="199"/>
      <c r="V354" s="207"/>
    </row>
    <row r="355" ht="15.75" customHeight="1">
      <c r="A355" s="196"/>
      <c r="B355" s="218"/>
      <c r="C355" s="207"/>
      <c r="D355" s="199"/>
      <c r="E355" s="207"/>
      <c r="F355" s="207"/>
      <c r="G355" s="199"/>
      <c r="H355" s="207"/>
      <c r="I355" s="199"/>
      <c r="J355" s="199"/>
      <c r="K355" s="209"/>
      <c r="L355" s="209"/>
      <c r="M355" s="203"/>
      <c r="N355" s="204"/>
      <c r="O355" s="205"/>
      <c r="P355" s="199"/>
      <c r="Q355" s="215"/>
      <c r="R355" s="206"/>
      <c r="S355" s="199"/>
      <c r="T355" s="199"/>
      <c r="V355" s="207"/>
    </row>
    <row r="356" ht="15.75" customHeight="1">
      <c r="A356" s="196"/>
      <c r="B356" s="218"/>
      <c r="C356" s="207"/>
      <c r="D356" s="199"/>
      <c r="E356" s="207"/>
      <c r="F356" s="207"/>
      <c r="G356" s="199"/>
      <c r="H356" s="207"/>
      <c r="I356" s="199"/>
      <c r="J356" s="199"/>
      <c r="K356" s="209"/>
      <c r="L356" s="209"/>
      <c r="M356" s="203"/>
      <c r="N356" s="204"/>
      <c r="O356" s="205"/>
      <c r="P356" s="199"/>
      <c r="Q356" s="215"/>
      <c r="R356" s="206"/>
      <c r="S356" s="199"/>
      <c r="T356" s="199"/>
      <c r="V356" s="207"/>
    </row>
    <row r="357" ht="15.75" customHeight="1">
      <c r="A357" s="196"/>
      <c r="B357" s="218"/>
      <c r="C357" s="207"/>
      <c r="D357" s="199"/>
      <c r="E357" s="207"/>
      <c r="F357" s="207"/>
      <c r="G357" s="199"/>
      <c r="H357" s="207"/>
      <c r="I357" s="199"/>
      <c r="J357" s="199"/>
      <c r="K357" s="209"/>
      <c r="L357" s="209"/>
      <c r="M357" s="203"/>
      <c r="N357" s="204"/>
      <c r="O357" s="205"/>
      <c r="P357" s="199"/>
      <c r="Q357" s="215"/>
      <c r="R357" s="206"/>
      <c r="S357" s="199"/>
      <c r="T357" s="199"/>
      <c r="V357" s="207"/>
    </row>
    <row r="358" ht="15.75" customHeight="1">
      <c r="A358" s="196"/>
      <c r="B358" s="218"/>
      <c r="C358" s="207"/>
      <c r="D358" s="199"/>
      <c r="E358" s="207"/>
      <c r="F358" s="207"/>
      <c r="G358" s="199"/>
      <c r="H358" s="207"/>
      <c r="I358" s="199"/>
      <c r="J358" s="199"/>
      <c r="K358" s="209"/>
      <c r="L358" s="209"/>
      <c r="M358" s="203"/>
      <c r="N358" s="204"/>
      <c r="O358" s="205"/>
      <c r="P358" s="199"/>
      <c r="Q358" s="215"/>
      <c r="R358" s="206"/>
      <c r="S358" s="199"/>
      <c r="T358" s="199"/>
      <c r="V358" s="207"/>
    </row>
    <row r="359" ht="15.75" customHeight="1">
      <c r="A359" s="196"/>
      <c r="B359" s="218"/>
      <c r="C359" s="207"/>
      <c r="D359" s="199"/>
      <c r="E359" s="207"/>
      <c r="F359" s="207"/>
      <c r="G359" s="199"/>
      <c r="H359" s="207"/>
      <c r="I359" s="199"/>
      <c r="J359" s="199"/>
      <c r="K359" s="209"/>
      <c r="L359" s="209"/>
      <c r="M359" s="203"/>
      <c r="N359" s="204"/>
      <c r="O359" s="205"/>
      <c r="P359" s="199"/>
      <c r="Q359" s="215"/>
      <c r="R359" s="206"/>
      <c r="S359" s="199"/>
      <c r="T359" s="199"/>
      <c r="V359" s="207"/>
    </row>
    <row r="360" ht="15.75" customHeight="1">
      <c r="A360" s="196"/>
      <c r="B360" s="218"/>
      <c r="C360" s="207"/>
      <c r="D360" s="199"/>
      <c r="E360" s="207"/>
      <c r="F360" s="207"/>
      <c r="G360" s="199"/>
      <c r="H360" s="207"/>
      <c r="I360" s="199"/>
      <c r="J360" s="199"/>
      <c r="K360" s="209"/>
      <c r="L360" s="209"/>
      <c r="M360" s="203"/>
      <c r="N360" s="204"/>
      <c r="O360" s="205"/>
      <c r="P360" s="199"/>
      <c r="Q360" s="215"/>
      <c r="R360" s="206"/>
      <c r="S360" s="199"/>
      <c r="T360" s="199"/>
      <c r="V360" s="207"/>
    </row>
  </sheetData>
  <autoFilter ref="$A$12:$V$31"/>
  <customSheetViews>
    <customSheetView guid="{FE509773-0638-41EB-A036-A8EE905B9B6D}" filter="1" showAutoFilter="1">
      <autoFilter ref="$R$18:$R$21"/>
    </customSheetView>
  </customSheetViews>
  <mergeCells count="349">
    <mergeCell ref="T9:U9"/>
    <mergeCell ref="T10:U10"/>
    <mergeCell ref="T11:U11"/>
    <mergeCell ref="T12:U12"/>
    <mergeCell ref="T13:U13"/>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55:U355"/>
    <mergeCell ref="T356:U356"/>
    <mergeCell ref="T357:U357"/>
    <mergeCell ref="T358:U358"/>
    <mergeCell ref="T359:U359"/>
    <mergeCell ref="T360:U360"/>
    <mergeCell ref="T348:U348"/>
    <mergeCell ref="T349:U349"/>
    <mergeCell ref="T350:U350"/>
    <mergeCell ref="T351:U351"/>
    <mergeCell ref="T352:U352"/>
    <mergeCell ref="T353:U353"/>
    <mergeCell ref="T354:U354"/>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s>
  <dataValidations>
    <dataValidation type="list" allowBlank="1" showErrorMessage="1" sqref="N13:N360">
      <formula1>"Think About It,Money,Partner,Time,Fear,Value"</formula1>
    </dataValidation>
    <dataValidation type="list" allowBlank="1" showErrorMessage="1" sqref="I13:J27 I28:I31 I32:J35 I36 I37:J86 I87:I88 I89:J360">
      <formula1>"Full-Pay,Split-Pay,Deposit,Offer &amp; Didn't Buy,Bad Fit &amp; No Offer,Drag Over &amp; Show,Rescheduled,Cancelled,No-Show"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"Reschedule,YouTube,YouTube Ads,Email,Facebook,Facebook Ads"</formula1>
    </dataValidation>
  </dataValidations>
  <hyperlinks>
    <hyperlink r:id="rId2" ref="F54"/>
    <hyperlink r:id="rId3" ref="C59"/>
    <hyperlink r:id="rId4" ref="F59"/>
  </hyperlinks>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147"/>
      <c r="B1" s="148" t="s">
        <v>31</v>
      </c>
      <c r="C1" s="148" t="s">
        <v>32</v>
      </c>
      <c r="D1" s="147"/>
      <c r="E1" s="149" t="s">
        <v>33</v>
      </c>
      <c r="F1" s="150"/>
      <c r="G1" s="147"/>
      <c r="H1" s="149" t="s">
        <v>34</v>
      </c>
      <c r="I1" s="150"/>
      <c r="J1" s="151"/>
      <c r="K1" s="152" t="s">
        <v>35</v>
      </c>
      <c r="L1" s="153"/>
      <c r="M1" s="151"/>
      <c r="N1" s="149" t="s">
        <v>36</v>
      </c>
      <c r="O1" s="154"/>
      <c r="P1" s="147"/>
      <c r="Q1" s="149" t="s">
        <v>37</v>
      </c>
      <c r="R1" s="155"/>
      <c r="S1" s="150"/>
      <c r="T1" s="150"/>
      <c r="U1" s="147" t="s">
        <v>38</v>
      </c>
      <c r="V1" s="147"/>
    </row>
    <row r="2">
      <c r="A2" s="147"/>
      <c r="B2" s="150"/>
      <c r="C2" s="150"/>
      <c r="D2" s="151"/>
      <c r="E2" s="156" t="s">
        <v>26</v>
      </c>
      <c r="F2" s="157">
        <f>IFERROR(COUNTIFS(I13:I288, "Full-Pay"),"")</f>
        <v>14</v>
      </c>
      <c r="G2" s="151"/>
      <c r="H2" s="158" t="s">
        <v>16</v>
      </c>
      <c r="I2" s="159">
        <f>iferror(I10/I8,"")</f>
        <v>0.3425925926</v>
      </c>
      <c r="J2" s="160"/>
      <c r="K2" s="161" t="s">
        <v>39</v>
      </c>
      <c r="L2" s="162">
        <f>iferror(F8/I6,"")</f>
        <v>0.07534246575</v>
      </c>
      <c r="M2" s="160"/>
      <c r="N2" s="163" t="s">
        <v>40</v>
      </c>
      <c r="O2" s="164">
        <f>IFERROR(COUNTIFS(N13:N287, "think about it"),"")</f>
        <v>17</v>
      </c>
      <c r="P2" s="151"/>
      <c r="Q2" s="165" t="s">
        <v>236</v>
      </c>
      <c r="R2" s="166">
        <f>IFERROR(COUNTIF(H13:H287,Q2),"")</f>
        <v>0</v>
      </c>
      <c r="S2" s="165" t="s">
        <v>42</v>
      </c>
      <c r="T2" s="167">
        <f>IFERROR(COUNTIF(H13:H287,S2),"")</f>
        <v>0</v>
      </c>
      <c r="U2" s="147"/>
      <c r="V2" s="168"/>
    </row>
    <row r="3">
      <c r="A3" s="151"/>
      <c r="B3" s="169" t="s">
        <v>43</v>
      </c>
      <c r="C3" s="170">
        <f>IFERROR(SUM(K13:K284),"")</f>
        <v>289200</v>
      </c>
      <c r="D3" s="171"/>
      <c r="E3" s="156" t="s">
        <v>27</v>
      </c>
      <c r="F3" s="157">
        <f>IFERROR(COUNTIFS(I13:I288, "Split-Pay"),"")</f>
        <v>23</v>
      </c>
      <c r="G3" s="151"/>
      <c r="H3" s="158" t="s">
        <v>17</v>
      </c>
      <c r="I3" s="159">
        <f>IFERROR(I10/I9,"")</f>
        <v>0.3457943925</v>
      </c>
      <c r="J3" s="160"/>
      <c r="K3" s="161" t="s">
        <v>44</v>
      </c>
      <c r="L3" s="162">
        <f>iferror(F9/I6,"")</f>
        <v>0.02739726027</v>
      </c>
      <c r="M3" s="160"/>
      <c r="N3" s="163" t="s">
        <v>45</v>
      </c>
      <c r="O3" s="164">
        <f>IFERROR(COUNTIFS(N13:N287, "money"),"")</f>
        <v>31</v>
      </c>
      <c r="P3" s="151"/>
      <c r="Q3" s="165" t="s">
        <v>51</v>
      </c>
      <c r="R3" s="166">
        <f>IFERROR(COUNTIF(H13:H287,Q3),"")</f>
        <v>0</v>
      </c>
      <c r="S3" s="165" t="s">
        <v>47</v>
      </c>
      <c r="T3" s="167">
        <f>IFERROR(COUNTIF(H13:H287,S3),"")</f>
        <v>0</v>
      </c>
      <c r="U3" s="147"/>
      <c r="V3" s="168"/>
    </row>
    <row r="4">
      <c r="A4" s="151"/>
      <c r="B4" s="172" t="s">
        <v>48</v>
      </c>
      <c r="C4" s="173">
        <f>IFERROR(SUM(L13:L285),"")</f>
        <v>162400</v>
      </c>
      <c r="D4" s="171"/>
      <c r="E4" s="156" t="s">
        <v>28</v>
      </c>
      <c r="F4" s="157">
        <f>IFERROR(COUNTIFS(I13:I288, "Deposit"),"")</f>
        <v>9</v>
      </c>
      <c r="G4" s="151"/>
      <c r="H4" s="158" t="s">
        <v>18</v>
      </c>
      <c r="I4" s="159">
        <f>IFERROR(I9/I8,"")</f>
        <v>0.9907407407</v>
      </c>
      <c r="J4" s="160"/>
      <c r="K4" s="161" t="s">
        <v>49</v>
      </c>
      <c r="L4" s="162">
        <f>iferror(F10/I6,"")</f>
        <v>0.1575342466</v>
      </c>
      <c r="M4" s="160"/>
      <c r="N4" s="163" t="s">
        <v>50</v>
      </c>
      <c r="O4" s="164">
        <f>IFERROR(COUNTIFS(N13:N287, "time"),"")</f>
        <v>6</v>
      </c>
      <c r="P4" s="151"/>
      <c r="Q4" s="165" t="s">
        <v>237</v>
      </c>
      <c r="R4" s="166">
        <f>IFERROR(COUNTIF(H13:H287,Q4),"")</f>
        <v>0</v>
      </c>
      <c r="S4" s="165" t="s">
        <v>52</v>
      </c>
      <c r="T4" s="167">
        <f>IFERROR(COUNTIF(H13:H287,S4),"")</f>
        <v>0</v>
      </c>
      <c r="U4" s="147"/>
      <c r="V4" s="147"/>
    </row>
    <row r="5">
      <c r="A5" s="147"/>
      <c r="B5" s="150"/>
      <c r="C5" s="150"/>
      <c r="D5" s="151"/>
      <c r="E5" s="156" t="s">
        <v>53</v>
      </c>
      <c r="F5" s="157">
        <f>IFERROR(COUNTIFS(I13:I288, "Offer &amp; Didn't Buy"),"")</f>
        <v>61</v>
      </c>
      <c r="G5" s="151"/>
      <c r="H5" s="158" t="s">
        <v>54</v>
      </c>
      <c r="I5" s="159">
        <f>IFERROR(F7/(C6+F7+F8),"")</f>
        <v>0</v>
      </c>
      <c r="J5" s="151"/>
      <c r="K5" s="161" t="s">
        <v>54</v>
      </c>
      <c r="L5" s="162">
        <f>iferror(F7/I6,"")</f>
        <v>0</v>
      </c>
      <c r="M5" s="160"/>
      <c r="N5" s="163" t="s">
        <v>55</v>
      </c>
      <c r="O5" s="164">
        <f>IFERROR(COUNTIFS(N13:N287, "partner"),"")</f>
        <v>0</v>
      </c>
      <c r="P5" s="151"/>
      <c r="Q5" s="165" t="s">
        <v>56</v>
      </c>
      <c r="R5" s="166">
        <f>IFERROR(COUNTIF(H13:H287,Q5),"")</f>
        <v>0</v>
      </c>
      <c r="S5" s="165" t="s">
        <v>57</v>
      </c>
      <c r="T5" s="167">
        <f>IFERROR(COUNTIF(H13:H287,S5),"")</f>
        <v>0</v>
      </c>
      <c r="U5" s="147"/>
      <c r="V5" s="168"/>
    </row>
    <row r="6">
      <c r="A6" s="151"/>
      <c r="B6" s="174" t="s">
        <v>58</v>
      </c>
      <c r="C6" s="175">
        <f>IFERROR(SUM(F2:F6),"")</f>
        <v>108</v>
      </c>
      <c r="D6" s="151"/>
      <c r="E6" s="156" t="s">
        <v>59</v>
      </c>
      <c r="F6" s="157">
        <f>IFERROR(COUNTIFS(I13:I288, "Bad Fit &amp; No Offer"),"")</f>
        <v>1</v>
      </c>
      <c r="G6" s="151"/>
      <c r="H6" s="158" t="s">
        <v>21</v>
      </c>
      <c r="I6" s="176">
        <f>IFERROR(SUM(F2:F10),"")</f>
        <v>146</v>
      </c>
      <c r="J6" s="151"/>
      <c r="K6" s="177" t="s">
        <v>29</v>
      </c>
      <c r="L6" s="162">
        <f>iferror(I7/I6,"")</f>
        <v>0.7397260274</v>
      </c>
      <c r="M6" s="160"/>
      <c r="N6" s="163" t="s">
        <v>60</v>
      </c>
      <c r="O6" s="164">
        <f>IFERROR(COUNTIFS(N13:N287, "fear"),"")</f>
        <v>6</v>
      </c>
      <c r="P6" s="151"/>
      <c r="Q6" s="165" t="s">
        <v>61</v>
      </c>
      <c r="R6" s="166">
        <f>IFERROR(COUNTIF(H13:H287,Q6),"")</f>
        <v>0</v>
      </c>
      <c r="S6" s="165" t="s">
        <v>62</v>
      </c>
      <c r="T6" s="167">
        <f>IFERROR(COUNTIF(H13:H287,S6),"")</f>
        <v>0</v>
      </c>
      <c r="U6" s="147"/>
      <c r="V6" s="168"/>
    </row>
    <row r="7">
      <c r="A7" s="151"/>
      <c r="B7" s="174" t="s">
        <v>63</v>
      </c>
      <c r="C7" s="178">
        <f>IFERROR(F2+F3,"")</f>
        <v>37</v>
      </c>
      <c r="D7" s="151"/>
      <c r="E7" s="156" t="s">
        <v>64</v>
      </c>
      <c r="F7" s="157">
        <f>IFERROR(COUNTIFS(I13:I288, "Drag Over &amp; Show"),"")</f>
        <v>0</v>
      </c>
      <c r="G7" s="151"/>
      <c r="H7" s="158" t="s">
        <v>22</v>
      </c>
      <c r="I7" s="176">
        <f>IFERROR(SUM(F2:F7),"")</f>
        <v>108</v>
      </c>
      <c r="J7" s="151"/>
      <c r="K7" s="179" t="s">
        <v>30</v>
      </c>
      <c r="L7" s="180">
        <f>IFERROR(I8/I6,"")</f>
        <v>0.7397260274</v>
      </c>
      <c r="M7" s="160"/>
      <c r="N7" s="181" t="s">
        <v>65</v>
      </c>
      <c r="O7" s="182">
        <f>IFERROR(COUNTIFS(N14:N288, "value"),"")</f>
        <v>0</v>
      </c>
      <c r="P7" s="151"/>
      <c r="Q7" s="165" t="s">
        <v>66</v>
      </c>
      <c r="R7" s="166">
        <f>IFERROR(COUNTIF(H13:H287,Q7),"")</f>
        <v>0</v>
      </c>
      <c r="S7" s="165" t="s">
        <v>67</v>
      </c>
      <c r="T7" s="167">
        <f>IFERROR(COUNTIF(H13:H287,S7),"")</f>
        <v>0</v>
      </c>
      <c r="U7" s="147"/>
      <c r="V7" s="147"/>
    </row>
    <row r="8">
      <c r="A8" s="151"/>
      <c r="B8" s="174" t="s">
        <v>68</v>
      </c>
      <c r="C8" s="183">
        <f>COUNTIF(I13:I287,"offer &amp; didn't buy")+countif(I13:I287,"deposit")+countif(I13:I287,"bad fit &amp; no offer")</f>
        <v>71</v>
      </c>
      <c r="D8" s="184"/>
      <c r="E8" s="156" t="s">
        <v>69</v>
      </c>
      <c r="F8" s="157">
        <f>IFERROR(COUNTIFS(I13:I288, "Rescheduled"),"")</f>
        <v>11</v>
      </c>
      <c r="G8" s="151"/>
      <c r="H8" s="158" t="s">
        <v>23</v>
      </c>
      <c r="I8" s="176">
        <f>IFERROR(SUM(F2:F6),"")</f>
        <v>108</v>
      </c>
      <c r="J8" s="147"/>
      <c r="K8" s="147"/>
      <c r="L8" s="147"/>
      <c r="M8" s="147"/>
      <c r="N8" s="147"/>
      <c r="O8" s="188"/>
      <c r="P8" s="151"/>
      <c r="Q8" s="185" t="s">
        <v>70</v>
      </c>
      <c r="R8" s="186">
        <f>IFERROR(COUNTIF(H13:H287,Q8),"")</f>
        <v>0</v>
      </c>
      <c r="S8" s="185" t="s">
        <v>71</v>
      </c>
      <c r="T8" s="220">
        <f>IFERROR(COUNTIF(H13:H287,S8),"")</f>
        <v>0</v>
      </c>
      <c r="U8" s="147"/>
      <c r="V8" s="147"/>
    </row>
    <row r="9">
      <c r="A9" s="151"/>
      <c r="B9" s="174" t="s">
        <v>72</v>
      </c>
      <c r="C9" s="187">
        <f>iferror(SUM(C7/C6),"")</f>
        <v>0.3425925926</v>
      </c>
      <c r="D9" s="160"/>
      <c r="E9" s="156" t="s">
        <v>73</v>
      </c>
      <c r="F9" s="157">
        <f>IFERROR(COUNTIFS(I13:I288, "Cancelled"),"")</f>
        <v>4</v>
      </c>
      <c r="G9" s="151"/>
      <c r="H9" s="158" t="s">
        <v>24</v>
      </c>
      <c r="I9" s="176">
        <f>IFERROR(sum(F2:F5),"")</f>
        <v>107</v>
      </c>
      <c r="J9" s="147"/>
      <c r="K9" s="147"/>
      <c r="L9" s="147"/>
      <c r="M9" s="147"/>
      <c r="N9" s="147"/>
      <c r="O9" s="188"/>
      <c r="P9" s="147"/>
      <c r="Q9" s="147"/>
      <c r="R9" s="147"/>
      <c r="S9" s="147"/>
      <c r="T9" s="147"/>
      <c r="V9" s="147"/>
    </row>
    <row r="10">
      <c r="A10" s="147"/>
      <c r="B10" s="147"/>
      <c r="C10" s="83">
        <f>C3/C6</f>
        <v>2677.777778</v>
      </c>
      <c r="D10" s="151"/>
      <c r="E10" s="189" t="s">
        <v>74</v>
      </c>
      <c r="F10" s="190">
        <f>IFERROR(COUNTIFS(I13:I288, "No-Show"),"")</f>
        <v>23</v>
      </c>
      <c r="G10" s="151"/>
      <c r="H10" s="191" t="s">
        <v>75</v>
      </c>
      <c r="I10" s="192">
        <f>F2+F3</f>
        <v>37</v>
      </c>
      <c r="J10" s="147"/>
      <c r="K10" s="147"/>
      <c r="L10" s="147"/>
      <c r="M10" s="147"/>
      <c r="N10" s="147"/>
      <c r="O10" s="188"/>
      <c r="P10" s="147"/>
      <c r="Q10" s="147"/>
      <c r="R10" s="147"/>
      <c r="S10" s="147"/>
      <c r="T10" s="147"/>
      <c r="V10" s="147"/>
    </row>
    <row r="11" ht="6.0" customHeight="1">
      <c r="A11" s="147"/>
      <c r="B11" s="147"/>
      <c r="C11" s="147"/>
      <c r="D11" s="147"/>
      <c r="E11" s="147"/>
      <c r="F11" s="147"/>
      <c r="G11" s="147"/>
      <c r="H11" s="147"/>
      <c r="I11" s="147"/>
      <c r="J11" s="147"/>
      <c r="K11" s="147"/>
      <c r="L11" s="147"/>
      <c r="M11" s="147"/>
      <c r="N11" s="147"/>
      <c r="O11" s="188"/>
      <c r="P11" s="147"/>
      <c r="Q11" s="147"/>
      <c r="R11" s="147"/>
      <c r="S11" s="147"/>
      <c r="T11" s="147"/>
      <c r="V11" s="147"/>
    </row>
    <row r="12">
      <c r="A12" s="147"/>
      <c r="B12" s="193" t="s">
        <v>76</v>
      </c>
      <c r="C12" s="193" t="s">
        <v>32</v>
      </c>
      <c r="D12" s="147"/>
      <c r="E12" s="148" t="s">
        <v>77</v>
      </c>
      <c r="F12" s="148" t="s">
        <v>56</v>
      </c>
      <c r="G12" s="147"/>
      <c r="H12" s="148" t="s">
        <v>37</v>
      </c>
      <c r="I12" s="148" t="s">
        <v>33</v>
      </c>
      <c r="J12" s="147"/>
      <c r="K12" s="148" t="s">
        <v>79</v>
      </c>
      <c r="L12" s="148" t="s">
        <v>48</v>
      </c>
      <c r="M12" s="147"/>
      <c r="N12" s="148" t="s">
        <v>80</v>
      </c>
      <c r="O12" s="195" t="s">
        <v>81</v>
      </c>
      <c r="P12" s="147"/>
      <c r="Q12" s="148" t="s">
        <v>82</v>
      </c>
      <c r="R12" s="148" t="s">
        <v>83</v>
      </c>
      <c r="S12" s="148" t="s">
        <v>84</v>
      </c>
      <c r="T12" s="148" t="s">
        <v>85</v>
      </c>
      <c r="V12" s="168"/>
    </row>
    <row r="13" ht="15.75" customHeight="1">
      <c r="A13" s="196"/>
      <c r="B13" s="197">
        <v>45663.0</v>
      </c>
      <c r="C13" s="198" t="s">
        <v>870</v>
      </c>
      <c r="D13" s="199"/>
      <c r="E13" s="200" t="s">
        <v>871</v>
      </c>
      <c r="F13" s="200" t="s">
        <v>872</v>
      </c>
      <c r="G13" s="199"/>
      <c r="H13" s="198" t="s">
        <v>41</v>
      </c>
      <c r="I13" s="201" t="s">
        <v>181</v>
      </c>
      <c r="J13" s="199"/>
      <c r="K13" s="202">
        <v>8700.0</v>
      </c>
      <c r="L13" s="202">
        <v>2700.0</v>
      </c>
      <c r="M13" s="203"/>
      <c r="N13" s="204"/>
      <c r="O13" s="205"/>
      <c r="P13" s="199"/>
      <c r="Q13" s="201" t="s">
        <v>104</v>
      </c>
      <c r="R13" s="206"/>
      <c r="S13" s="201" t="s">
        <v>105</v>
      </c>
      <c r="T13" s="201" t="s">
        <v>866</v>
      </c>
      <c r="V13" s="207"/>
    </row>
    <row r="14" ht="15.75" customHeight="1">
      <c r="A14" s="196"/>
      <c r="B14" s="197">
        <v>45663.0</v>
      </c>
      <c r="C14" s="198" t="s">
        <v>262</v>
      </c>
      <c r="D14" s="199"/>
      <c r="E14" s="200" t="s">
        <v>864</v>
      </c>
      <c r="F14" s="200" t="s">
        <v>865</v>
      </c>
      <c r="G14" s="199"/>
      <c r="H14" s="198" t="s">
        <v>41</v>
      </c>
      <c r="I14" s="201" t="s">
        <v>181</v>
      </c>
      <c r="J14" s="199"/>
      <c r="K14" s="202">
        <v>8700.0</v>
      </c>
      <c r="L14" s="202">
        <v>2700.0</v>
      </c>
      <c r="M14" s="203"/>
      <c r="N14" s="204"/>
      <c r="O14" s="205"/>
      <c r="P14" s="199"/>
      <c r="Q14" s="201" t="s">
        <v>104</v>
      </c>
      <c r="R14" s="206"/>
      <c r="S14" s="201" t="s">
        <v>105</v>
      </c>
      <c r="T14" s="201" t="s">
        <v>866</v>
      </c>
      <c r="V14" s="207"/>
    </row>
    <row r="15" ht="15.75" customHeight="1">
      <c r="A15" s="199"/>
      <c r="B15" s="197">
        <v>45663.0</v>
      </c>
      <c r="C15" s="201" t="s">
        <v>616</v>
      </c>
      <c r="D15" s="199"/>
      <c r="E15" s="200" t="s">
        <v>631</v>
      </c>
      <c r="F15" s="200" t="s">
        <v>632</v>
      </c>
      <c r="G15" s="199"/>
      <c r="H15" s="198" t="s">
        <v>41</v>
      </c>
      <c r="I15" s="201" t="s">
        <v>181</v>
      </c>
      <c r="J15" s="199"/>
      <c r="K15" s="202">
        <v>5100.0</v>
      </c>
      <c r="L15" s="202">
        <v>2700.0</v>
      </c>
      <c r="M15" s="203"/>
      <c r="N15" s="210"/>
      <c r="O15" s="205"/>
      <c r="P15" s="199"/>
      <c r="Q15" s="201" t="s">
        <v>155</v>
      </c>
      <c r="R15" s="206"/>
      <c r="S15" s="201" t="s">
        <v>105</v>
      </c>
      <c r="T15" s="201" t="s">
        <v>633</v>
      </c>
      <c r="V15" s="207"/>
    </row>
    <row r="16" ht="15.75" customHeight="1">
      <c r="A16" s="199"/>
      <c r="B16" s="197">
        <v>45662.0</v>
      </c>
      <c r="C16" s="200" t="s">
        <v>551</v>
      </c>
      <c r="D16" s="199"/>
      <c r="E16" s="200" t="s">
        <v>552</v>
      </c>
      <c r="F16" s="200" t="s">
        <v>551</v>
      </c>
      <c r="G16" s="199"/>
      <c r="H16" s="198" t="s">
        <v>41</v>
      </c>
      <c r="I16" s="201" t="s">
        <v>232</v>
      </c>
      <c r="J16" s="199"/>
      <c r="K16" s="205"/>
      <c r="L16" s="202">
        <v>100.0</v>
      </c>
      <c r="M16" s="203"/>
      <c r="N16" s="204"/>
      <c r="O16" s="205"/>
      <c r="P16" s="199"/>
      <c r="Q16" s="201" t="s">
        <v>104</v>
      </c>
      <c r="R16" s="206"/>
      <c r="S16" s="201" t="s">
        <v>105</v>
      </c>
      <c r="T16" s="201" t="s">
        <v>929</v>
      </c>
      <c r="V16" s="207"/>
    </row>
    <row r="17" ht="15.75" customHeight="1">
      <c r="A17" s="199"/>
      <c r="B17" s="197">
        <v>45663.0</v>
      </c>
      <c r="C17" s="201" t="s">
        <v>230</v>
      </c>
      <c r="D17" s="199"/>
      <c r="E17" s="221">
        <v>2.9834939E7</v>
      </c>
      <c r="F17" s="222" t="s">
        <v>231</v>
      </c>
      <c r="G17" s="199"/>
      <c r="H17" s="198" t="s">
        <v>41</v>
      </c>
      <c r="I17" s="201" t="s">
        <v>181</v>
      </c>
      <c r="J17" s="199"/>
      <c r="K17" s="202">
        <v>8700.0</v>
      </c>
      <c r="L17" s="202">
        <v>2700.0</v>
      </c>
      <c r="M17" s="203"/>
      <c r="N17" s="210"/>
      <c r="O17" s="211"/>
      <c r="P17" s="199"/>
      <c r="Q17" s="201" t="s">
        <v>104</v>
      </c>
      <c r="R17" s="198"/>
      <c r="S17" s="201" t="s">
        <v>105</v>
      </c>
      <c r="T17" s="201" t="s">
        <v>233</v>
      </c>
      <c r="V17" s="207"/>
    </row>
    <row r="18" ht="15.75" customHeight="1">
      <c r="A18" s="199"/>
      <c r="B18" s="197">
        <v>45663.0</v>
      </c>
      <c r="C18" s="201" t="s">
        <v>930</v>
      </c>
      <c r="D18" s="199"/>
      <c r="E18" s="200" t="s">
        <v>931</v>
      </c>
      <c r="F18" s="200" t="s">
        <v>932</v>
      </c>
      <c r="G18" s="199"/>
      <c r="H18" s="198" t="s">
        <v>41</v>
      </c>
      <c r="I18" s="201" t="s">
        <v>131</v>
      </c>
      <c r="J18" s="199"/>
      <c r="K18" s="209"/>
      <c r="L18" s="209"/>
      <c r="M18" s="203"/>
      <c r="N18" s="204"/>
      <c r="O18" s="205"/>
      <c r="P18" s="199"/>
      <c r="Q18" s="199"/>
      <c r="R18" s="206"/>
      <c r="S18" s="199"/>
      <c r="T18" s="199"/>
      <c r="V18" s="207"/>
    </row>
    <row r="19" ht="15.75" customHeight="1">
      <c r="A19" s="199"/>
      <c r="B19" s="197">
        <v>45694.0</v>
      </c>
      <c r="C19" s="201" t="s">
        <v>933</v>
      </c>
      <c r="D19" s="199"/>
      <c r="E19" s="200" t="s">
        <v>934</v>
      </c>
      <c r="F19" s="200" t="s">
        <v>935</v>
      </c>
      <c r="G19" s="199"/>
      <c r="H19" s="198" t="s">
        <v>41</v>
      </c>
      <c r="I19" s="201" t="s">
        <v>103</v>
      </c>
      <c r="J19" s="199"/>
      <c r="K19" s="202">
        <v>7200.0</v>
      </c>
      <c r="L19" s="202">
        <v>7200.0</v>
      </c>
      <c r="M19" s="203"/>
      <c r="N19" s="204"/>
      <c r="O19" s="205"/>
      <c r="P19" s="199"/>
      <c r="Q19" s="201" t="s">
        <v>104</v>
      </c>
      <c r="R19" s="198"/>
      <c r="S19" s="201" t="s">
        <v>105</v>
      </c>
      <c r="T19" s="201"/>
      <c r="V19" s="207"/>
    </row>
    <row r="20" ht="15.75" customHeight="1">
      <c r="A20" s="199"/>
      <c r="B20" s="197">
        <v>45694.0</v>
      </c>
      <c r="C20" s="201" t="s">
        <v>936</v>
      </c>
      <c r="D20" s="199"/>
      <c r="E20" s="200" t="s">
        <v>937</v>
      </c>
      <c r="F20" s="200" t="s">
        <v>938</v>
      </c>
      <c r="G20" s="199"/>
      <c r="H20" s="198" t="s">
        <v>41</v>
      </c>
      <c r="I20" s="201" t="s">
        <v>88</v>
      </c>
      <c r="J20" s="199"/>
      <c r="K20" s="209"/>
      <c r="L20" s="209"/>
      <c r="M20" s="203"/>
      <c r="N20" s="210" t="s">
        <v>98</v>
      </c>
      <c r="O20" s="211" t="s">
        <v>939</v>
      </c>
      <c r="P20" s="199"/>
      <c r="Q20" s="212"/>
      <c r="R20" s="198"/>
      <c r="S20" s="201" t="s">
        <v>383</v>
      </c>
      <c r="T20" s="201" t="s">
        <v>940</v>
      </c>
      <c r="V20" s="207"/>
    </row>
    <row r="21" ht="15.75" customHeight="1">
      <c r="A21" s="196"/>
      <c r="B21" s="197">
        <v>45694.0</v>
      </c>
      <c r="C21" s="201" t="s">
        <v>941</v>
      </c>
      <c r="D21" s="199"/>
      <c r="E21" s="200" t="s">
        <v>942</v>
      </c>
      <c r="F21" s="200" t="s">
        <v>943</v>
      </c>
      <c r="G21" s="199"/>
      <c r="H21" s="198" t="s">
        <v>41</v>
      </c>
      <c r="I21" s="201" t="s">
        <v>103</v>
      </c>
      <c r="J21" s="199"/>
      <c r="K21" s="202">
        <v>7200.0</v>
      </c>
      <c r="L21" s="202">
        <v>7200.0</v>
      </c>
      <c r="M21" s="203"/>
      <c r="N21" s="210"/>
      <c r="O21" s="211"/>
      <c r="P21" s="199"/>
      <c r="Q21" s="201" t="s">
        <v>104</v>
      </c>
      <c r="R21" s="198"/>
      <c r="S21" s="201" t="s">
        <v>105</v>
      </c>
      <c r="T21" s="201"/>
      <c r="V21" s="207"/>
    </row>
    <row r="22" ht="15.75" customHeight="1">
      <c r="A22" s="196"/>
      <c r="B22" s="197">
        <v>45694.0</v>
      </c>
      <c r="C22" s="201" t="s">
        <v>616</v>
      </c>
      <c r="D22" s="199"/>
      <c r="E22" s="200" t="s">
        <v>944</v>
      </c>
      <c r="F22" s="200" t="s">
        <v>945</v>
      </c>
      <c r="G22" s="199"/>
      <c r="H22" s="198" t="s">
        <v>41</v>
      </c>
      <c r="I22" s="201" t="s">
        <v>88</v>
      </c>
      <c r="J22" s="199"/>
      <c r="K22" s="209"/>
      <c r="L22" s="209"/>
      <c r="M22" s="203"/>
      <c r="N22" s="210" t="s">
        <v>45</v>
      </c>
      <c r="O22" s="211" t="s">
        <v>396</v>
      </c>
      <c r="P22" s="199"/>
      <c r="Q22" s="199"/>
      <c r="R22" s="206"/>
      <c r="S22" s="201" t="s">
        <v>90</v>
      </c>
      <c r="T22" s="201" t="s">
        <v>946</v>
      </c>
      <c r="V22" s="207"/>
    </row>
    <row r="23" ht="15.75" customHeight="1">
      <c r="A23" s="196"/>
      <c r="B23" s="197">
        <v>45694.0</v>
      </c>
      <c r="C23" s="201" t="s">
        <v>559</v>
      </c>
      <c r="D23" s="199"/>
      <c r="E23" s="200" t="s">
        <v>918</v>
      </c>
      <c r="F23" s="200" t="s">
        <v>919</v>
      </c>
      <c r="G23" s="199"/>
      <c r="H23" s="198" t="s">
        <v>41</v>
      </c>
      <c r="I23" s="201" t="s">
        <v>131</v>
      </c>
      <c r="J23" s="199"/>
      <c r="K23" s="209"/>
      <c r="L23" s="209"/>
      <c r="M23" s="203"/>
      <c r="N23" s="210"/>
      <c r="O23" s="211"/>
      <c r="P23" s="199"/>
      <c r="Q23" s="212"/>
      <c r="R23" s="198"/>
      <c r="S23" s="201"/>
      <c r="T23" s="201"/>
      <c r="V23" s="207"/>
    </row>
    <row r="24" ht="15.75" customHeight="1">
      <c r="A24" s="196"/>
      <c r="B24" s="197">
        <v>45694.0</v>
      </c>
      <c r="C24" s="201" t="s">
        <v>894</v>
      </c>
      <c r="D24" s="199"/>
      <c r="E24" s="200" t="s">
        <v>947</v>
      </c>
      <c r="F24" s="200" t="s">
        <v>948</v>
      </c>
      <c r="G24" s="199"/>
      <c r="H24" s="198" t="s">
        <v>41</v>
      </c>
      <c r="I24" s="201" t="s">
        <v>181</v>
      </c>
      <c r="J24" s="199"/>
      <c r="K24" s="202">
        <v>6300.0</v>
      </c>
      <c r="L24" s="202">
        <v>2700.0</v>
      </c>
      <c r="M24" s="203"/>
      <c r="N24" s="204"/>
      <c r="O24" s="205"/>
      <c r="P24" s="199"/>
      <c r="Q24" s="201" t="s">
        <v>104</v>
      </c>
      <c r="R24" s="206"/>
      <c r="S24" s="201" t="s">
        <v>105</v>
      </c>
      <c r="T24" s="199"/>
      <c r="V24" s="207"/>
    </row>
    <row r="25" ht="15.75" customHeight="1">
      <c r="A25" s="196"/>
      <c r="B25" s="197">
        <v>45722.0</v>
      </c>
      <c r="C25" s="201" t="s">
        <v>949</v>
      </c>
      <c r="D25" s="199"/>
      <c r="E25" s="200" t="s">
        <v>950</v>
      </c>
      <c r="F25" s="200" t="s">
        <v>951</v>
      </c>
      <c r="G25" s="199"/>
      <c r="H25" s="198" t="s">
        <v>41</v>
      </c>
      <c r="I25" s="201" t="s">
        <v>181</v>
      </c>
      <c r="J25" s="199"/>
      <c r="K25" s="202">
        <v>5100.0</v>
      </c>
      <c r="L25" s="202">
        <v>2700.0</v>
      </c>
      <c r="M25" s="203"/>
      <c r="N25" s="204"/>
      <c r="O25" s="205"/>
      <c r="P25" s="199"/>
      <c r="Q25" s="201" t="s">
        <v>155</v>
      </c>
      <c r="R25" s="206"/>
      <c r="S25" s="201" t="s">
        <v>105</v>
      </c>
      <c r="T25" s="199"/>
      <c r="V25" s="207"/>
    </row>
    <row r="26" ht="15.75" customHeight="1">
      <c r="A26" s="196"/>
      <c r="B26" s="197">
        <v>45722.0</v>
      </c>
      <c r="C26" s="201" t="s">
        <v>952</v>
      </c>
      <c r="D26" s="199"/>
      <c r="E26" s="200" t="s">
        <v>953</v>
      </c>
      <c r="F26" s="200" t="s">
        <v>954</v>
      </c>
      <c r="G26" s="199"/>
      <c r="H26" s="198" t="s">
        <v>41</v>
      </c>
      <c r="I26" s="201" t="s">
        <v>88</v>
      </c>
      <c r="J26" s="199"/>
      <c r="K26" s="209"/>
      <c r="L26" s="209"/>
      <c r="M26" s="203"/>
      <c r="N26" s="210" t="s">
        <v>98</v>
      </c>
      <c r="O26" s="205"/>
      <c r="P26" s="199"/>
      <c r="Q26" s="199"/>
      <c r="R26" s="199"/>
      <c r="S26" s="201" t="s">
        <v>383</v>
      </c>
      <c r="T26" s="201" t="s">
        <v>955</v>
      </c>
      <c r="V26" s="207"/>
    </row>
    <row r="27" ht="15.75" customHeight="1">
      <c r="A27" s="196"/>
      <c r="B27" s="197">
        <v>45722.0</v>
      </c>
      <c r="C27" s="201" t="s">
        <v>616</v>
      </c>
      <c r="D27" s="199"/>
      <c r="E27" s="200" t="s">
        <v>956</v>
      </c>
      <c r="F27" s="200" t="s">
        <v>957</v>
      </c>
      <c r="G27" s="199"/>
      <c r="H27" s="198" t="s">
        <v>41</v>
      </c>
      <c r="I27" s="201" t="s">
        <v>131</v>
      </c>
      <c r="J27" s="199"/>
      <c r="K27" s="209"/>
      <c r="L27" s="209"/>
      <c r="M27" s="203"/>
      <c r="N27" s="210"/>
      <c r="O27" s="211"/>
      <c r="P27" s="199"/>
      <c r="Q27" s="212"/>
      <c r="R27" s="212"/>
      <c r="S27" s="201"/>
      <c r="T27" s="201"/>
      <c r="V27" s="207"/>
    </row>
    <row r="28" ht="15.75" customHeight="1">
      <c r="A28" s="196"/>
      <c r="B28" s="197">
        <v>45722.0</v>
      </c>
      <c r="C28" s="201" t="s">
        <v>727</v>
      </c>
      <c r="D28" s="199"/>
      <c r="E28" s="200" t="s">
        <v>958</v>
      </c>
      <c r="F28" s="200" t="s">
        <v>959</v>
      </c>
      <c r="G28" s="199"/>
      <c r="H28" s="198" t="s">
        <v>41</v>
      </c>
      <c r="I28" s="201" t="s">
        <v>88</v>
      </c>
      <c r="J28" s="199"/>
      <c r="K28" s="209"/>
      <c r="L28" s="209"/>
      <c r="M28" s="203"/>
      <c r="N28" s="210" t="s">
        <v>45</v>
      </c>
      <c r="O28" s="211" t="s">
        <v>396</v>
      </c>
      <c r="P28" s="199"/>
      <c r="Q28" s="199"/>
      <c r="R28" s="199"/>
      <c r="S28" s="201" t="s">
        <v>124</v>
      </c>
      <c r="T28" s="201" t="s">
        <v>960</v>
      </c>
      <c r="V28" s="207"/>
    </row>
    <row r="29" ht="15.75" customHeight="1">
      <c r="A29" s="196"/>
      <c r="B29" s="197">
        <v>45753.0</v>
      </c>
      <c r="C29" s="201" t="s">
        <v>360</v>
      </c>
      <c r="D29" s="199"/>
      <c r="E29" s="200" t="s">
        <v>961</v>
      </c>
      <c r="F29" s="200" t="s">
        <v>962</v>
      </c>
      <c r="G29" s="199"/>
      <c r="H29" s="198" t="s">
        <v>41</v>
      </c>
      <c r="I29" s="201" t="s">
        <v>88</v>
      </c>
      <c r="J29" s="199"/>
      <c r="K29" s="209"/>
      <c r="L29" s="209"/>
      <c r="M29" s="203"/>
      <c r="N29" s="210" t="s">
        <v>45</v>
      </c>
      <c r="O29" s="211" t="s">
        <v>584</v>
      </c>
      <c r="P29" s="199"/>
      <c r="Q29" s="199"/>
      <c r="R29" s="199"/>
      <c r="S29" s="201" t="s">
        <v>383</v>
      </c>
      <c r="T29" s="201" t="s">
        <v>963</v>
      </c>
      <c r="V29" s="207"/>
    </row>
    <row r="30" ht="15.75" customHeight="1">
      <c r="A30" s="196"/>
      <c r="B30" s="197">
        <v>45753.0</v>
      </c>
      <c r="C30" s="201" t="s">
        <v>964</v>
      </c>
      <c r="D30" s="199"/>
      <c r="E30" s="200" t="s">
        <v>965</v>
      </c>
      <c r="F30" s="200" t="s">
        <v>966</v>
      </c>
      <c r="G30" s="199"/>
      <c r="H30" s="198" t="s">
        <v>41</v>
      </c>
      <c r="I30" s="201" t="s">
        <v>88</v>
      </c>
      <c r="J30" s="199"/>
      <c r="K30" s="209"/>
      <c r="L30" s="209"/>
      <c r="M30" s="203"/>
      <c r="N30" s="210" t="s">
        <v>50</v>
      </c>
      <c r="O30" s="211" t="s">
        <v>967</v>
      </c>
      <c r="P30" s="199"/>
      <c r="Q30" s="199"/>
      <c r="R30" s="199"/>
      <c r="S30" s="201" t="s">
        <v>383</v>
      </c>
      <c r="T30" s="201" t="s">
        <v>968</v>
      </c>
      <c r="V30" s="207"/>
    </row>
    <row r="31" ht="15.75" customHeight="1">
      <c r="A31" s="196"/>
      <c r="B31" s="197">
        <v>45783.0</v>
      </c>
      <c r="C31" s="201" t="s">
        <v>777</v>
      </c>
      <c r="D31" s="199"/>
      <c r="E31" s="200" t="s">
        <v>969</v>
      </c>
      <c r="F31" s="200" t="s">
        <v>970</v>
      </c>
      <c r="G31" s="199"/>
      <c r="H31" s="198" t="s">
        <v>41</v>
      </c>
      <c r="I31" s="201" t="s">
        <v>88</v>
      </c>
      <c r="J31" s="199"/>
      <c r="K31" s="209"/>
      <c r="L31" s="209"/>
      <c r="M31" s="203"/>
      <c r="N31" s="210" t="s">
        <v>45</v>
      </c>
      <c r="O31" s="211" t="s">
        <v>396</v>
      </c>
      <c r="P31" s="199"/>
      <c r="Q31" s="199"/>
      <c r="R31" s="199"/>
      <c r="S31" s="201" t="s">
        <v>383</v>
      </c>
      <c r="T31" s="201" t="s">
        <v>971</v>
      </c>
      <c r="V31" s="207"/>
    </row>
    <row r="32" ht="15.75" customHeight="1">
      <c r="A32" s="196"/>
      <c r="B32" s="197">
        <v>45814.0</v>
      </c>
      <c r="C32" s="200" t="s">
        <v>972</v>
      </c>
      <c r="D32" s="199"/>
      <c r="E32" s="200" t="s">
        <v>973</v>
      </c>
      <c r="F32" s="200" t="s">
        <v>972</v>
      </c>
      <c r="G32" s="199"/>
      <c r="H32" s="198" t="s">
        <v>41</v>
      </c>
      <c r="I32" s="201" t="s">
        <v>88</v>
      </c>
      <c r="J32" s="199"/>
      <c r="K32" s="209"/>
      <c r="L32" s="209"/>
      <c r="M32" s="203"/>
      <c r="N32" s="210" t="s">
        <v>98</v>
      </c>
      <c r="O32" s="211" t="s">
        <v>584</v>
      </c>
      <c r="P32" s="199"/>
      <c r="Q32" s="199"/>
      <c r="R32" s="199"/>
      <c r="S32" s="201" t="s">
        <v>90</v>
      </c>
      <c r="T32" s="201" t="s">
        <v>974</v>
      </c>
      <c r="V32" s="207"/>
    </row>
    <row r="33" ht="15.75" customHeight="1">
      <c r="A33" s="196"/>
      <c r="B33" s="197">
        <v>45814.0</v>
      </c>
      <c r="C33" s="201" t="s">
        <v>262</v>
      </c>
      <c r="D33" s="199"/>
      <c r="E33" s="200" t="s">
        <v>975</v>
      </c>
      <c r="F33" s="200" t="s">
        <v>976</v>
      </c>
      <c r="G33" s="199"/>
      <c r="H33" s="198" t="s">
        <v>41</v>
      </c>
      <c r="I33" s="201" t="s">
        <v>88</v>
      </c>
      <c r="J33" s="199"/>
      <c r="K33" s="209"/>
      <c r="L33" s="209"/>
      <c r="M33" s="203"/>
      <c r="N33" s="210" t="s">
        <v>98</v>
      </c>
      <c r="O33" s="211" t="s">
        <v>977</v>
      </c>
      <c r="P33" s="199"/>
      <c r="Q33" s="199"/>
      <c r="R33" s="199"/>
      <c r="S33" s="201" t="s">
        <v>90</v>
      </c>
      <c r="T33" s="201" t="s">
        <v>978</v>
      </c>
      <c r="V33" s="207"/>
    </row>
    <row r="34" ht="15.75" customHeight="1">
      <c r="A34" s="196"/>
      <c r="B34" s="197">
        <v>45814.0</v>
      </c>
      <c r="C34" s="201" t="s">
        <v>979</v>
      </c>
      <c r="D34" s="199"/>
      <c r="E34" s="200">
        <v>5.3386494E7</v>
      </c>
      <c r="F34" s="200" t="s">
        <v>980</v>
      </c>
      <c r="G34" s="199"/>
      <c r="H34" s="198" t="s">
        <v>41</v>
      </c>
      <c r="I34" s="201" t="s">
        <v>88</v>
      </c>
      <c r="J34" s="199"/>
      <c r="K34" s="209"/>
      <c r="L34" s="209"/>
      <c r="M34" s="203"/>
      <c r="N34" s="210" t="s">
        <v>45</v>
      </c>
      <c r="O34" s="211" t="s">
        <v>584</v>
      </c>
      <c r="P34" s="199"/>
      <c r="Q34" s="199"/>
      <c r="R34" s="199"/>
      <c r="S34" s="201" t="s">
        <v>383</v>
      </c>
      <c r="T34" s="201" t="s">
        <v>981</v>
      </c>
      <c r="V34" s="207"/>
    </row>
    <row r="35" ht="15.75" customHeight="1">
      <c r="A35" s="196"/>
      <c r="B35" s="197">
        <v>45814.0</v>
      </c>
      <c r="C35" s="201" t="s">
        <v>727</v>
      </c>
      <c r="D35" s="199"/>
      <c r="E35" s="200" t="s">
        <v>982</v>
      </c>
      <c r="F35" s="200" t="s">
        <v>983</v>
      </c>
      <c r="G35" s="199"/>
      <c r="H35" s="198" t="s">
        <v>41</v>
      </c>
      <c r="I35" s="201" t="s">
        <v>181</v>
      </c>
      <c r="J35" s="199"/>
      <c r="K35" s="202">
        <v>8700.0</v>
      </c>
      <c r="L35" s="202">
        <v>2700.0</v>
      </c>
      <c r="M35" s="203"/>
      <c r="N35" s="204"/>
      <c r="O35" s="205"/>
      <c r="P35" s="199"/>
      <c r="Q35" s="201" t="s">
        <v>104</v>
      </c>
      <c r="R35" s="206"/>
      <c r="S35" s="201" t="s">
        <v>105</v>
      </c>
      <c r="T35" s="199"/>
      <c r="V35" s="207"/>
    </row>
    <row r="36" ht="15.75" customHeight="1">
      <c r="A36" s="196"/>
      <c r="B36" s="197">
        <v>45814.0</v>
      </c>
      <c r="C36" s="201" t="s">
        <v>514</v>
      </c>
      <c r="D36" s="199"/>
      <c r="E36" s="200" t="s">
        <v>984</v>
      </c>
      <c r="F36" s="200" t="s">
        <v>985</v>
      </c>
      <c r="G36" s="199"/>
      <c r="H36" s="198" t="s">
        <v>41</v>
      </c>
      <c r="I36" s="201" t="s">
        <v>232</v>
      </c>
      <c r="J36" s="199"/>
      <c r="K36" s="209"/>
      <c r="L36" s="209"/>
      <c r="M36" s="203"/>
      <c r="N36" s="204"/>
      <c r="O36" s="205"/>
      <c r="P36" s="199"/>
      <c r="Q36" s="201" t="s">
        <v>104</v>
      </c>
      <c r="R36" s="206"/>
      <c r="S36" s="201" t="s">
        <v>404</v>
      </c>
      <c r="T36" s="201" t="s">
        <v>986</v>
      </c>
      <c r="V36" s="207"/>
    </row>
    <row r="37" ht="15.75" customHeight="1">
      <c r="A37" s="196"/>
      <c r="B37" s="197">
        <v>45814.0</v>
      </c>
      <c r="C37" s="201" t="s">
        <v>987</v>
      </c>
      <c r="D37" s="199"/>
      <c r="E37" s="200" t="s">
        <v>988</v>
      </c>
      <c r="F37" s="200" t="s">
        <v>989</v>
      </c>
      <c r="G37" s="199"/>
      <c r="H37" s="198" t="s">
        <v>41</v>
      </c>
      <c r="I37" s="201" t="s">
        <v>88</v>
      </c>
      <c r="J37" s="199"/>
      <c r="K37" s="209"/>
      <c r="L37" s="209"/>
      <c r="M37" s="203"/>
      <c r="N37" s="210" t="s">
        <v>50</v>
      </c>
      <c r="O37" s="205"/>
      <c r="P37" s="199"/>
      <c r="Q37" s="199"/>
      <c r="R37" s="206"/>
      <c r="S37" s="201" t="s">
        <v>90</v>
      </c>
      <c r="T37" s="201" t="s">
        <v>990</v>
      </c>
      <c r="V37" s="207"/>
    </row>
    <row r="38" ht="15.75" customHeight="1">
      <c r="A38" s="196"/>
      <c r="B38" s="197">
        <v>45814.0</v>
      </c>
      <c r="C38" s="201" t="s">
        <v>991</v>
      </c>
      <c r="D38" s="199"/>
      <c r="E38" s="200" t="s">
        <v>992</v>
      </c>
      <c r="F38" s="200" t="s">
        <v>993</v>
      </c>
      <c r="G38" s="199"/>
      <c r="H38" s="198" t="s">
        <v>41</v>
      </c>
      <c r="I38" s="201" t="s">
        <v>103</v>
      </c>
      <c r="J38" s="199"/>
      <c r="K38" s="202">
        <v>7200.0</v>
      </c>
      <c r="L38" s="202">
        <v>7200.0</v>
      </c>
      <c r="M38" s="203"/>
      <c r="N38" s="204"/>
      <c r="O38" s="205"/>
      <c r="P38" s="199"/>
      <c r="Q38" s="201" t="s">
        <v>104</v>
      </c>
      <c r="R38" s="206"/>
      <c r="S38" s="201" t="s">
        <v>105</v>
      </c>
      <c r="T38" s="199"/>
      <c r="V38" s="207"/>
    </row>
    <row r="39" ht="15.75" customHeight="1">
      <c r="A39" s="196"/>
      <c r="B39" s="197">
        <v>45814.0</v>
      </c>
      <c r="C39" s="201" t="s">
        <v>318</v>
      </c>
      <c r="D39" s="199"/>
      <c r="E39" s="200" t="s">
        <v>994</v>
      </c>
      <c r="F39" s="200" t="s">
        <v>995</v>
      </c>
      <c r="G39" s="199"/>
      <c r="H39" s="198" t="s">
        <v>41</v>
      </c>
      <c r="I39" s="201" t="s">
        <v>103</v>
      </c>
      <c r="J39" s="199"/>
      <c r="K39" s="202">
        <v>7200.0</v>
      </c>
      <c r="L39" s="202">
        <v>7200.0</v>
      </c>
      <c r="M39" s="203"/>
      <c r="N39" s="204"/>
      <c r="O39" s="205"/>
      <c r="P39" s="199"/>
      <c r="Q39" s="201" t="s">
        <v>104</v>
      </c>
      <c r="R39" s="206"/>
      <c r="S39" s="201" t="s">
        <v>105</v>
      </c>
      <c r="T39" s="199"/>
      <c r="V39" s="207"/>
    </row>
    <row r="40" ht="15.75" customHeight="1">
      <c r="A40" s="196"/>
      <c r="B40" s="197">
        <v>45844.0</v>
      </c>
      <c r="C40" s="201" t="s">
        <v>996</v>
      </c>
      <c r="D40" s="199"/>
      <c r="E40" s="200" t="s">
        <v>997</v>
      </c>
      <c r="F40" s="200" t="s">
        <v>998</v>
      </c>
      <c r="G40" s="199"/>
      <c r="H40" s="198" t="s">
        <v>41</v>
      </c>
      <c r="I40" s="201" t="s">
        <v>103</v>
      </c>
      <c r="J40" s="199"/>
      <c r="K40" s="202">
        <v>7200.0</v>
      </c>
      <c r="L40" s="202">
        <v>7200.0</v>
      </c>
      <c r="M40" s="203"/>
      <c r="N40" s="204"/>
      <c r="O40" s="205"/>
      <c r="P40" s="199"/>
      <c r="Q40" s="201" t="s">
        <v>104</v>
      </c>
      <c r="R40" s="206"/>
      <c r="S40" s="201" t="s">
        <v>105</v>
      </c>
      <c r="T40" s="199"/>
      <c r="V40" s="207"/>
    </row>
    <row r="41" ht="15.75" customHeight="1">
      <c r="A41" s="196"/>
      <c r="B41" s="197">
        <v>45844.0</v>
      </c>
      <c r="C41" s="201" t="s">
        <v>999</v>
      </c>
      <c r="D41" s="199"/>
      <c r="E41" s="200" t="s">
        <v>1000</v>
      </c>
      <c r="F41" s="200" t="s">
        <v>1001</v>
      </c>
      <c r="G41" s="199"/>
      <c r="H41" s="198" t="s">
        <v>41</v>
      </c>
      <c r="I41" s="201" t="s">
        <v>88</v>
      </c>
      <c r="J41" s="199"/>
      <c r="K41" s="209"/>
      <c r="L41" s="209"/>
      <c r="M41" s="203"/>
      <c r="N41" s="210" t="s">
        <v>98</v>
      </c>
      <c r="O41" s="211" t="s">
        <v>647</v>
      </c>
      <c r="P41" s="199"/>
      <c r="Q41" s="199"/>
      <c r="R41" s="206"/>
      <c r="S41" s="201" t="s">
        <v>124</v>
      </c>
      <c r="T41" s="201" t="s">
        <v>1002</v>
      </c>
      <c r="V41" s="207"/>
    </row>
    <row r="42" ht="15.75" customHeight="1">
      <c r="A42" s="196"/>
      <c r="B42" s="197">
        <v>45844.0</v>
      </c>
      <c r="C42" s="201" t="s">
        <v>559</v>
      </c>
      <c r="D42" s="199"/>
      <c r="E42" s="200" t="s">
        <v>1003</v>
      </c>
      <c r="F42" s="200" t="s">
        <v>1004</v>
      </c>
      <c r="G42" s="199"/>
      <c r="H42" s="198" t="s">
        <v>41</v>
      </c>
      <c r="I42" s="201" t="s">
        <v>88</v>
      </c>
      <c r="J42" s="199"/>
      <c r="K42" s="209"/>
      <c r="L42" s="209"/>
      <c r="M42" s="203"/>
      <c r="N42" s="210" t="s">
        <v>45</v>
      </c>
      <c r="O42" s="211" t="s">
        <v>396</v>
      </c>
      <c r="P42" s="199"/>
      <c r="Q42" s="199"/>
      <c r="R42" s="206"/>
      <c r="S42" s="201" t="s">
        <v>383</v>
      </c>
      <c r="T42" s="201" t="s">
        <v>1005</v>
      </c>
      <c r="V42" s="207"/>
    </row>
    <row r="43" ht="15.75" customHeight="1">
      <c r="A43" s="196"/>
      <c r="B43" s="197">
        <v>45844.0</v>
      </c>
      <c r="C43" s="201" t="s">
        <v>1006</v>
      </c>
      <c r="D43" s="199"/>
      <c r="E43" s="200" t="s">
        <v>1007</v>
      </c>
      <c r="F43" s="200" t="s">
        <v>1008</v>
      </c>
      <c r="G43" s="199"/>
      <c r="H43" s="198" t="s">
        <v>41</v>
      </c>
      <c r="I43" s="201" t="s">
        <v>88</v>
      </c>
      <c r="J43" s="199"/>
      <c r="K43" s="209"/>
      <c r="L43" s="209"/>
      <c r="M43" s="203"/>
      <c r="N43" s="210" t="s">
        <v>45</v>
      </c>
      <c r="O43" s="211" t="s">
        <v>1009</v>
      </c>
      <c r="P43" s="199"/>
      <c r="Q43" s="215"/>
      <c r="R43" s="206"/>
      <c r="S43" s="201" t="s">
        <v>124</v>
      </c>
      <c r="T43" s="201" t="s">
        <v>1010</v>
      </c>
      <c r="V43" s="207"/>
    </row>
    <row r="44" ht="15.75" customHeight="1">
      <c r="A44" s="196"/>
      <c r="B44" s="197">
        <v>45844.0</v>
      </c>
      <c r="C44" s="201" t="s">
        <v>1011</v>
      </c>
      <c r="D44" s="199"/>
      <c r="E44" s="200" t="s">
        <v>1012</v>
      </c>
      <c r="F44" s="200" t="s">
        <v>1013</v>
      </c>
      <c r="G44" s="199"/>
      <c r="H44" s="198" t="s">
        <v>41</v>
      </c>
      <c r="I44" s="201" t="s">
        <v>181</v>
      </c>
      <c r="J44" s="199"/>
      <c r="K44" s="202">
        <v>8700.0</v>
      </c>
      <c r="L44" s="202">
        <v>2700.0</v>
      </c>
      <c r="M44" s="203"/>
      <c r="N44" s="204"/>
      <c r="O44" s="205"/>
      <c r="P44" s="199"/>
      <c r="Q44" s="201" t="s">
        <v>104</v>
      </c>
      <c r="R44" s="206"/>
      <c r="S44" s="201" t="s">
        <v>105</v>
      </c>
      <c r="T44" s="199"/>
      <c r="V44" s="207"/>
    </row>
    <row r="45" ht="15.75" customHeight="1">
      <c r="A45" s="196"/>
      <c r="B45" s="197">
        <v>45844.0</v>
      </c>
      <c r="C45" s="201" t="s">
        <v>1014</v>
      </c>
      <c r="D45" s="199"/>
      <c r="E45" s="200" t="s">
        <v>1015</v>
      </c>
      <c r="F45" s="200" t="s">
        <v>1016</v>
      </c>
      <c r="G45" s="199"/>
      <c r="H45" s="198" t="s">
        <v>41</v>
      </c>
      <c r="I45" s="201" t="s">
        <v>88</v>
      </c>
      <c r="J45" s="199"/>
      <c r="K45" s="209"/>
      <c r="L45" s="209"/>
      <c r="M45" s="203"/>
      <c r="N45" s="210" t="s">
        <v>98</v>
      </c>
      <c r="O45" s="211" t="s">
        <v>1017</v>
      </c>
      <c r="P45" s="199"/>
      <c r="Q45" s="199"/>
      <c r="R45" s="206"/>
      <c r="S45" s="201" t="s">
        <v>124</v>
      </c>
      <c r="T45" s="201" t="s">
        <v>1018</v>
      </c>
      <c r="V45" s="207"/>
    </row>
    <row r="46" ht="15.75" customHeight="1">
      <c r="A46" s="196"/>
      <c r="B46" s="197">
        <v>45844.0</v>
      </c>
      <c r="C46" s="201" t="s">
        <v>1019</v>
      </c>
      <c r="D46" s="199"/>
      <c r="E46" s="200" t="s">
        <v>1020</v>
      </c>
      <c r="F46" s="200" t="s">
        <v>1021</v>
      </c>
      <c r="G46" s="199"/>
      <c r="H46" s="198" t="s">
        <v>41</v>
      </c>
      <c r="I46" s="201" t="s">
        <v>131</v>
      </c>
      <c r="J46" s="199"/>
      <c r="K46" s="209"/>
      <c r="L46" s="209"/>
      <c r="M46" s="203"/>
      <c r="N46" s="204"/>
      <c r="O46" s="205"/>
      <c r="P46" s="199"/>
      <c r="Q46" s="199"/>
      <c r="R46" s="206"/>
      <c r="S46" s="199"/>
      <c r="T46" s="199"/>
      <c r="V46" s="207"/>
    </row>
    <row r="47" ht="15.75" customHeight="1">
      <c r="A47" s="196"/>
      <c r="B47" s="197">
        <v>45875.0</v>
      </c>
      <c r="C47" s="201" t="s">
        <v>624</v>
      </c>
      <c r="D47" s="199"/>
      <c r="E47" s="139" t="s">
        <v>1022</v>
      </c>
      <c r="F47" s="139" t="s">
        <v>1023</v>
      </c>
      <c r="G47" s="199"/>
      <c r="H47" s="198" t="s">
        <v>41</v>
      </c>
      <c r="I47" s="201" t="s">
        <v>88</v>
      </c>
      <c r="J47" s="199"/>
      <c r="K47" s="209"/>
      <c r="L47" s="209"/>
      <c r="M47" s="203"/>
      <c r="N47" s="210" t="s">
        <v>98</v>
      </c>
      <c r="O47" s="211" t="s">
        <v>647</v>
      </c>
      <c r="P47" s="199"/>
      <c r="Q47" s="199"/>
      <c r="R47" s="206"/>
      <c r="S47" s="201" t="s">
        <v>124</v>
      </c>
      <c r="T47" s="201" t="s">
        <v>1024</v>
      </c>
      <c r="V47" s="207"/>
    </row>
    <row r="48" ht="15.75" customHeight="1">
      <c r="A48" s="196"/>
      <c r="B48" s="197">
        <v>45875.0</v>
      </c>
      <c r="C48" s="201" t="s">
        <v>1025</v>
      </c>
      <c r="D48" s="199"/>
      <c r="E48" s="139" t="s">
        <v>1026</v>
      </c>
      <c r="F48" s="139" t="s">
        <v>1027</v>
      </c>
      <c r="G48" s="199"/>
      <c r="H48" s="198" t="s">
        <v>41</v>
      </c>
      <c r="I48" s="201" t="s">
        <v>88</v>
      </c>
      <c r="J48" s="199"/>
      <c r="K48" s="209"/>
      <c r="L48" s="209"/>
      <c r="M48" s="203"/>
      <c r="N48" s="210" t="s">
        <v>50</v>
      </c>
      <c r="O48" s="211" t="s">
        <v>1028</v>
      </c>
      <c r="P48" s="199"/>
      <c r="Q48" s="215"/>
      <c r="R48" s="206"/>
      <c r="S48" s="201" t="s">
        <v>124</v>
      </c>
      <c r="T48" s="201" t="s">
        <v>1029</v>
      </c>
      <c r="V48" s="207"/>
    </row>
    <row r="49" ht="15.75" customHeight="1">
      <c r="A49" s="196"/>
      <c r="B49" s="197">
        <v>45875.0</v>
      </c>
      <c r="C49" s="201" t="s">
        <v>262</v>
      </c>
      <c r="D49" s="199"/>
      <c r="E49" s="139" t="s">
        <v>1030</v>
      </c>
      <c r="F49" s="139" t="s">
        <v>1031</v>
      </c>
      <c r="G49" s="199"/>
      <c r="H49" s="198" t="s">
        <v>41</v>
      </c>
      <c r="I49" s="201" t="s">
        <v>181</v>
      </c>
      <c r="J49" s="199"/>
      <c r="K49" s="202">
        <v>8700.0</v>
      </c>
      <c r="L49" s="202">
        <v>2700.0</v>
      </c>
      <c r="M49" s="203"/>
      <c r="N49" s="204"/>
      <c r="O49" s="205"/>
      <c r="P49" s="199"/>
      <c r="Q49" s="201" t="s">
        <v>104</v>
      </c>
      <c r="R49" s="206"/>
      <c r="S49" s="201" t="s">
        <v>105</v>
      </c>
      <c r="T49" s="199"/>
      <c r="V49" s="207"/>
    </row>
    <row r="50" ht="15.75" customHeight="1">
      <c r="A50" s="196"/>
      <c r="B50" s="197">
        <v>45875.0</v>
      </c>
      <c r="C50" s="201" t="s">
        <v>393</v>
      </c>
      <c r="D50" s="199"/>
      <c r="E50" s="139" t="s">
        <v>1032</v>
      </c>
      <c r="F50" s="139" t="s">
        <v>1033</v>
      </c>
      <c r="G50" s="199"/>
      <c r="H50" s="198" t="s">
        <v>41</v>
      </c>
      <c r="I50" s="201" t="s">
        <v>110</v>
      </c>
      <c r="J50" s="199"/>
      <c r="K50" s="209"/>
      <c r="L50" s="209"/>
      <c r="M50" s="203"/>
      <c r="N50" s="204"/>
      <c r="O50" s="205"/>
      <c r="P50" s="199"/>
      <c r="Q50" s="199"/>
      <c r="R50" s="206"/>
      <c r="S50" s="199"/>
      <c r="T50" s="199"/>
      <c r="V50" s="207"/>
    </row>
    <row r="51" ht="15.75" customHeight="1">
      <c r="A51" s="196"/>
      <c r="B51" s="197">
        <v>45875.0</v>
      </c>
      <c r="C51" s="201" t="s">
        <v>1034</v>
      </c>
      <c r="D51" s="199"/>
      <c r="E51" s="139" t="s">
        <v>1035</v>
      </c>
      <c r="F51" s="139" t="s">
        <v>1036</v>
      </c>
      <c r="G51" s="199"/>
      <c r="H51" s="198" t="s">
        <v>41</v>
      </c>
      <c r="I51" s="201" t="s">
        <v>88</v>
      </c>
      <c r="J51" s="199"/>
      <c r="K51" s="209"/>
      <c r="L51" s="209"/>
      <c r="M51" s="203"/>
      <c r="N51" s="210" t="s">
        <v>45</v>
      </c>
      <c r="O51" s="211" t="s">
        <v>1037</v>
      </c>
      <c r="P51" s="199"/>
      <c r="Q51" s="215"/>
      <c r="R51" s="206"/>
      <c r="S51" s="201" t="s">
        <v>383</v>
      </c>
      <c r="T51" s="201" t="s">
        <v>1038</v>
      </c>
      <c r="V51" s="207"/>
    </row>
    <row r="52" ht="15.75" customHeight="1">
      <c r="A52" s="196"/>
      <c r="B52" s="197">
        <v>45875.0</v>
      </c>
      <c r="C52" s="201" t="s">
        <v>1039</v>
      </c>
      <c r="D52" s="199"/>
      <c r="E52" s="139" t="s">
        <v>1040</v>
      </c>
      <c r="F52" s="139" t="s">
        <v>1041</v>
      </c>
      <c r="G52" s="199"/>
      <c r="H52" s="198" t="s">
        <v>41</v>
      </c>
      <c r="I52" s="201" t="s">
        <v>131</v>
      </c>
      <c r="J52" s="199"/>
      <c r="K52" s="209"/>
      <c r="L52" s="209"/>
      <c r="M52" s="203"/>
      <c r="N52" s="204"/>
      <c r="O52" s="205"/>
      <c r="P52" s="199"/>
      <c r="Q52" s="215"/>
      <c r="R52" s="206"/>
      <c r="S52" s="199"/>
      <c r="T52" s="199"/>
      <c r="V52" s="207"/>
    </row>
    <row r="53" ht="15.75" customHeight="1">
      <c r="A53" s="196"/>
      <c r="B53" s="197">
        <v>45875.0</v>
      </c>
      <c r="C53" s="139" t="s">
        <v>1042</v>
      </c>
      <c r="D53" s="199"/>
      <c r="E53" s="139" t="s">
        <v>1043</v>
      </c>
      <c r="F53" s="139" t="s">
        <v>1042</v>
      </c>
      <c r="G53" s="199"/>
      <c r="H53" s="198" t="s">
        <v>41</v>
      </c>
      <c r="I53" s="201" t="s">
        <v>131</v>
      </c>
      <c r="J53" s="199"/>
      <c r="K53" s="209"/>
      <c r="L53" s="209"/>
      <c r="M53" s="203"/>
      <c r="N53" s="204"/>
      <c r="O53" s="205"/>
      <c r="P53" s="199"/>
      <c r="Q53" s="215"/>
      <c r="R53" s="206"/>
      <c r="S53" s="199"/>
      <c r="T53" s="201" t="s">
        <v>1044</v>
      </c>
      <c r="V53" s="207"/>
    </row>
    <row r="54" ht="15.75" customHeight="1">
      <c r="A54" s="196"/>
      <c r="B54" s="197">
        <v>45875.0</v>
      </c>
      <c r="C54" s="201" t="s">
        <v>727</v>
      </c>
      <c r="D54" s="199"/>
      <c r="E54" s="139" t="s">
        <v>1045</v>
      </c>
      <c r="F54" s="139" t="s">
        <v>1046</v>
      </c>
      <c r="G54" s="199"/>
      <c r="H54" s="198" t="s">
        <v>41</v>
      </c>
      <c r="I54" s="201" t="s">
        <v>181</v>
      </c>
      <c r="J54" s="199"/>
      <c r="K54" s="202">
        <v>7200.0</v>
      </c>
      <c r="L54" s="202">
        <v>3600.0</v>
      </c>
      <c r="M54" s="203"/>
      <c r="N54" s="204"/>
      <c r="O54" s="205"/>
      <c r="P54" s="199"/>
      <c r="Q54" s="201" t="s">
        <v>104</v>
      </c>
      <c r="R54" s="206"/>
      <c r="S54" s="201" t="s">
        <v>105</v>
      </c>
      <c r="T54" s="199"/>
      <c r="V54" s="207"/>
    </row>
    <row r="55" ht="15.75" customHeight="1">
      <c r="A55" s="196"/>
      <c r="B55" s="197">
        <v>45906.0</v>
      </c>
      <c r="C55" s="201" t="s">
        <v>1047</v>
      </c>
      <c r="D55" s="199"/>
      <c r="E55" s="139" t="s">
        <v>1048</v>
      </c>
      <c r="F55" s="139" t="s">
        <v>1049</v>
      </c>
      <c r="G55" s="199"/>
      <c r="H55" s="198" t="s">
        <v>41</v>
      </c>
      <c r="I55" s="201" t="s">
        <v>88</v>
      </c>
      <c r="J55" s="199"/>
      <c r="K55" s="209"/>
      <c r="L55" s="209"/>
      <c r="M55" s="203"/>
      <c r="N55" s="210" t="s">
        <v>45</v>
      </c>
      <c r="O55" s="211" t="s">
        <v>396</v>
      </c>
      <c r="P55" s="199"/>
      <c r="Q55" s="215"/>
      <c r="R55" s="206"/>
      <c r="S55" s="201" t="s">
        <v>383</v>
      </c>
      <c r="T55" s="201" t="s">
        <v>1050</v>
      </c>
      <c r="V55" s="207"/>
    </row>
    <row r="56" ht="15.75" customHeight="1">
      <c r="A56" s="196"/>
      <c r="B56" s="197">
        <v>45906.0</v>
      </c>
      <c r="C56" s="201" t="s">
        <v>1051</v>
      </c>
      <c r="D56" s="199"/>
      <c r="E56" s="139" t="s">
        <v>1052</v>
      </c>
      <c r="F56" s="139" t="s">
        <v>1053</v>
      </c>
      <c r="G56" s="199"/>
      <c r="H56" s="198" t="s">
        <v>41</v>
      </c>
      <c r="I56" s="201" t="s">
        <v>131</v>
      </c>
      <c r="J56" s="199"/>
      <c r="K56" s="209"/>
      <c r="L56" s="209"/>
      <c r="M56" s="203"/>
      <c r="N56" s="204"/>
      <c r="O56" s="205"/>
      <c r="P56" s="199"/>
      <c r="Q56" s="199"/>
      <c r="R56" s="206"/>
      <c r="S56" s="199"/>
      <c r="T56" s="199"/>
      <c r="V56" s="207"/>
    </row>
    <row r="57" ht="15.75" customHeight="1">
      <c r="A57" s="196"/>
      <c r="B57" s="197">
        <v>45906.0</v>
      </c>
      <c r="C57" s="139" t="s">
        <v>777</v>
      </c>
      <c r="D57" s="199"/>
      <c r="E57" s="139" t="s">
        <v>1054</v>
      </c>
      <c r="F57" s="139" t="s">
        <v>1055</v>
      </c>
      <c r="G57" s="199"/>
      <c r="H57" s="198" t="s">
        <v>41</v>
      </c>
      <c r="I57" s="201" t="s">
        <v>103</v>
      </c>
      <c r="J57" s="199"/>
      <c r="K57" s="202">
        <v>4800.0</v>
      </c>
      <c r="L57" s="202">
        <v>4800.0</v>
      </c>
      <c r="M57" s="203"/>
      <c r="N57" s="204"/>
      <c r="O57" s="205"/>
      <c r="P57" s="199"/>
      <c r="Q57" s="201" t="s">
        <v>357</v>
      </c>
      <c r="R57" s="206"/>
      <c r="S57" s="201" t="s">
        <v>105</v>
      </c>
      <c r="T57" s="199"/>
      <c r="V57" s="207"/>
    </row>
    <row r="58" ht="15.75" customHeight="1">
      <c r="A58" s="196"/>
      <c r="B58" s="197">
        <v>45906.0</v>
      </c>
      <c r="C58" s="201" t="s">
        <v>310</v>
      </c>
      <c r="D58" s="199"/>
      <c r="E58" s="139" t="s">
        <v>1056</v>
      </c>
      <c r="F58" s="139" t="s">
        <v>1057</v>
      </c>
      <c r="G58" s="199"/>
      <c r="H58" s="198" t="s">
        <v>41</v>
      </c>
      <c r="I58" s="201" t="s">
        <v>181</v>
      </c>
      <c r="J58" s="199"/>
      <c r="K58" s="202">
        <v>8700.0</v>
      </c>
      <c r="L58" s="202">
        <v>2700.0</v>
      </c>
      <c r="M58" s="203"/>
      <c r="N58" s="204"/>
      <c r="O58" s="205"/>
      <c r="P58" s="199"/>
      <c r="Q58" s="201" t="s">
        <v>104</v>
      </c>
      <c r="R58" s="206"/>
      <c r="S58" s="201" t="s">
        <v>105</v>
      </c>
      <c r="T58" s="199"/>
      <c r="V58" s="207"/>
    </row>
    <row r="59" ht="15.75" customHeight="1">
      <c r="A59" s="196"/>
      <c r="B59" s="197">
        <v>45936.0</v>
      </c>
      <c r="C59" s="201" t="s">
        <v>1019</v>
      </c>
      <c r="D59" s="199"/>
      <c r="E59" s="139" t="s">
        <v>1058</v>
      </c>
      <c r="F59" s="198" t="s">
        <v>1059</v>
      </c>
      <c r="G59" s="199"/>
      <c r="H59" s="198" t="s">
        <v>41</v>
      </c>
      <c r="I59" s="201" t="s">
        <v>181</v>
      </c>
      <c r="J59" s="199"/>
      <c r="K59" s="202">
        <v>8700.0</v>
      </c>
      <c r="L59" s="202">
        <v>2700.0</v>
      </c>
      <c r="M59" s="203"/>
      <c r="N59" s="204"/>
      <c r="O59" s="205"/>
      <c r="P59" s="199"/>
      <c r="Q59" s="201" t="s">
        <v>104</v>
      </c>
      <c r="R59" s="206"/>
      <c r="S59" s="201" t="s">
        <v>105</v>
      </c>
      <c r="T59" s="199"/>
      <c r="V59" s="207"/>
    </row>
    <row r="60" ht="15.75" customHeight="1">
      <c r="A60" s="196"/>
      <c r="B60" s="197">
        <v>45936.0</v>
      </c>
      <c r="C60" s="201" t="s">
        <v>390</v>
      </c>
      <c r="D60" s="199"/>
      <c r="E60" s="198" t="s">
        <v>311</v>
      </c>
      <c r="F60" s="213" t="s">
        <v>1060</v>
      </c>
      <c r="G60" s="199"/>
      <c r="H60" s="198" t="s">
        <v>41</v>
      </c>
      <c r="I60" s="201" t="s">
        <v>131</v>
      </c>
      <c r="J60" s="199"/>
      <c r="K60" s="209"/>
      <c r="L60" s="209"/>
      <c r="M60" s="203"/>
      <c r="N60" s="204"/>
      <c r="O60" s="205"/>
      <c r="P60" s="199"/>
      <c r="Q60" s="199"/>
      <c r="R60" s="206"/>
      <c r="S60" s="199"/>
      <c r="T60" s="199"/>
      <c r="V60" s="207"/>
    </row>
    <row r="61" ht="15.75" customHeight="1">
      <c r="A61" s="196"/>
      <c r="B61" s="197">
        <v>45936.0</v>
      </c>
      <c r="C61" s="201" t="s">
        <v>677</v>
      </c>
      <c r="D61" s="199"/>
      <c r="E61" s="198" t="s">
        <v>311</v>
      </c>
      <c r="F61" s="198" t="s">
        <v>1061</v>
      </c>
      <c r="G61" s="199"/>
      <c r="H61" s="198" t="s">
        <v>41</v>
      </c>
      <c r="I61" s="201" t="s">
        <v>131</v>
      </c>
      <c r="J61" s="199"/>
      <c r="K61" s="209"/>
      <c r="L61" s="209"/>
      <c r="M61" s="203"/>
      <c r="N61" s="204"/>
      <c r="O61" s="205"/>
      <c r="P61" s="199"/>
      <c r="Q61" s="199"/>
      <c r="R61" s="206"/>
      <c r="S61" s="199"/>
      <c r="T61" s="199"/>
      <c r="V61" s="207"/>
    </row>
    <row r="62" ht="15.75" customHeight="1">
      <c r="A62" s="196"/>
      <c r="B62" s="197">
        <v>45936.0</v>
      </c>
      <c r="C62" s="201" t="s">
        <v>1062</v>
      </c>
      <c r="D62" s="199"/>
      <c r="E62" s="198" t="s">
        <v>311</v>
      </c>
      <c r="F62" s="198" t="s">
        <v>1063</v>
      </c>
      <c r="G62" s="199"/>
      <c r="H62" s="198" t="s">
        <v>41</v>
      </c>
      <c r="I62" s="201" t="s">
        <v>232</v>
      </c>
      <c r="J62" s="199"/>
      <c r="K62" s="209"/>
      <c r="L62" s="209"/>
      <c r="M62" s="203"/>
      <c r="N62" s="204"/>
      <c r="O62" s="205"/>
      <c r="P62" s="199"/>
      <c r="Q62" s="201" t="s">
        <v>104</v>
      </c>
      <c r="R62" s="206"/>
      <c r="S62" s="201" t="s">
        <v>404</v>
      </c>
      <c r="T62" s="201" t="s">
        <v>1064</v>
      </c>
      <c r="V62" s="207"/>
    </row>
    <row r="63" ht="15.75" customHeight="1">
      <c r="A63" s="196"/>
      <c r="B63" s="197">
        <v>45936.0</v>
      </c>
      <c r="C63" s="201" t="s">
        <v>1065</v>
      </c>
      <c r="D63" s="199"/>
      <c r="E63" s="198" t="s">
        <v>311</v>
      </c>
      <c r="F63" s="213" t="s">
        <v>1065</v>
      </c>
      <c r="G63" s="199"/>
      <c r="H63" s="198" t="s">
        <v>41</v>
      </c>
      <c r="I63" s="201" t="s">
        <v>88</v>
      </c>
      <c r="J63" s="199"/>
      <c r="K63" s="209"/>
      <c r="L63" s="209"/>
      <c r="M63" s="203"/>
      <c r="N63" s="210" t="s">
        <v>45</v>
      </c>
      <c r="O63" s="211" t="s">
        <v>396</v>
      </c>
      <c r="P63" s="199"/>
      <c r="Q63" s="199"/>
      <c r="R63" s="206"/>
      <c r="S63" s="201" t="s">
        <v>90</v>
      </c>
      <c r="T63" s="201" t="s">
        <v>1066</v>
      </c>
      <c r="V63" s="207"/>
    </row>
    <row r="64" ht="15.75" customHeight="1">
      <c r="A64" s="196"/>
      <c r="B64" s="197">
        <v>45936.0</v>
      </c>
      <c r="C64" s="201" t="s">
        <v>1067</v>
      </c>
      <c r="D64" s="199"/>
      <c r="E64" s="198" t="s">
        <v>1068</v>
      </c>
      <c r="F64" s="198" t="s">
        <v>1069</v>
      </c>
      <c r="G64" s="199"/>
      <c r="H64" s="198" t="s">
        <v>41</v>
      </c>
      <c r="I64" s="201" t="s">
        <v>181</v>
      </c>
      <c r="J64" s="199"/>
      <c r="K64" s="202">
        <v>8700.0</v>
      </c>
      <c r="L64" s="202">
        <v>2700.0</v>
      </c>
      <c r="M64" s="203"/>
      <c r="N64" s="204"/>
      <c r="O64" s="205"/>
      <c r="P64" s="199"/>
      <c r="Q64" s="201" t="s">
        <v>104</v>
      </c>
      <c r="R64" s="206"/>
      <c r="S64" s="201" t="s">
        <v>105</v>
      </c>
      <c r="T64" s="199"/>
      <c r="V64" s="207"/>
    </row>
    <row r="65" ht="15.75" customHeight="1">
      <c r="A65" s="196"/>
      <c r="B65" s="197">
        <v>45936.0</v>
      </c>
      <c r="C65" s="201" t="s">
        <v>772</v>
      </c>
      <c r="D65" s="199"/>
      <c r="E65" s="198" t="s">
        <v>1070</v>
      </c>
      <c r="F65" s="198" t="s">
        <v>1071</v>
      </c>
      <c r="G65" s="199"/>
      <c r="H65" s="198" t="s">
        <v>41</v>
      </c>
      <c r="I65" s="201" t="s">
        <v>88</v>
      </c>
      <c r="J65" s="199"/>
      <c r="K65" s="209"/>
      <c r="L65" s="209"/>
      <c r="M65" s="203"/>
      <c r="N65" s="210" t="s">
        <v>45</v>
      </c>
      <c r="O65" s="211" t="s">
        <v>396</v>
      </c>
      <c r="P65" s="199"/>
      <c r="Q65" s="199"/>
      <c r="R65" s="206"/>
      <c r="S65" s="201" t="s">
        <v>383</v>
      </c>
      <c r="T65" s="201" t="s">
        <v>1072</v>
      </c>
      <c r="V65" s="207"/>
    </row>
    <row r="66" ht="15.75" customHeight="1">
      <c r="A66" s="196"/>
      <c r="B66" s="197">
        <v>45967.0</v>
      </c>
      <c r="C66" s="201" t="s">
        <v>807</v>
      </c>
      <c r="D66" s="199"/>
      <c r="E66" s="139" t="s">
        <v>1073</v>
      </c>
      <c r="F66" s="139" t="s">
        <v>1074</v>
      </c>
      <c r="G66" s="199"/>
      <c r="H66" s="198" t="s">
        <v>41</v>
      </c>
      <c r="I66" s="201" t="s">
        <v>88</v>
      </c>
      <c r="J66" s="199"/>
      <c r="K66" s="209"/>
      <c r="L66" s="209"/>
      <c r="M66" s="203"/>
      <c r="N66" s="210" t="s">
        <v>45</v>
      </c>
      <c r="O66" s="211" t="s">
        <v>584</v>
      </c>
      <c r="P66" s="199"/>
      <c r="Q66" s="199"/>
      <c r="R66" s="206"/>
      <c r="S66" s="201" t="s">
        <v>383</v>
      </c>
      <c r="T66" s="201" t="s">
        <v>1075</v>
      </c>
      <c r="V66" s="207"/>
    </row>
    <row r="67" ht="15.75" customHeight="1">
      <c r="A67" s="196"/>
      <c r="B67" s="197">
        <v>45967.0</v>
      </c>
      <c r="C67" s="201" t="s">
        <v>1019</v>
      </c>
      <c r="D67" s="199"/>
      <c r="E67" s="139" t="s">
        <v>1076</v>
      </c>
      <c r="F67" s="139" t="s">
        <v>1077</v>
      </c>
      <c r="G67" s="199"/>
      <c r="H67" s="198" t="s">
        <v>41</v>
      </c>
      <c r="I67" s="201" t="s">
        <v>88</v>
      </c>
      <c r="J67" s="199"/>
      <c r="K67" s="209"/>
      <c r="L67" s="209"/>
      <c r="M67" s="203"/>
      <c r="N67" s="210" t="s">
        <v>45</v>
      </c>
      <c r="O67" s="211" t="s">
        <v>396</v>
      </c>
      <c r="P67" s="199"/>
      <c r="Q67" s="199"/>
      <c r="R67" s="206"/>
      <c r="S67" s="201" t="s">
        <v>383</v>
      </c>
      <c r="T67" s="201" t="s">
        <v>1078</v>
      </c>
      <c r="V67" s="207"/>
    </row>
    <row r="68" ht="15.75" customHeight="1">
      <c r="A68" s="196"/>
      <c r="B68" s="197">
        <v>45967.0</v>
      </c>
      <c r="C68" s="201" t="s">
        <v>543</v>
      </c>
      <c r="D68" s="199"/>
      <c r="E68" s="139" t="s">
        <v>1079</v>
      </c>
      <c r="F68" s="139" t="s">
        <v>1080</v>
      </c>
      <c r="G68" s="199"/>
      <c r="H68" s="198" t="s">
        <v>41</v>
      </c>
      <c r="I68" s="201" t="s">
        <v>88</v>
      </c>
      <c r="J68" s="199"/>
      <c r="K68" s="209"/>
      <c r="L68" s="209"/>
      <c r="M68" s="203"/>
      <c r="N68" s="210" t="s">
        <v>45</v>
      </c>
      <c r="O68" s="211" t="s">
        <v>396</v>
      </c>
      <c r="P68" s="199"/>
      <c r="Q68" s="215"/>
      <c r="R68" s="206"/>
      <c r="S68" s="201" t="s">
        <v>124</v>
      </c>
      <c r="T68" s="201" t="s">
        <v>1081</v>
      </c>
      <c r="V68" s="207"/>
    </row>
    <row r="69" ht="15.75" customHeight="1">
      <c r="A69" s="196"/>
      <c r="B69" s="197">
        <v>45967.0</v>
      </c>
      <c r="C69" s="139" t="s">
        <v>1082</v>
      </c>
      <c r="D69" s="199"/>
      <c r="E69" s="139" t="s">
        <v>1083</v>
      </c>
      <c r="F69" s="139" t="s">
        <v>1084</v>
      </c>
      <c r="G69" s="199"/>
      <c r="H69" s="198" t="s">
        <v>41</v>
      </c>
      <c r="I69" s="201" t="s">
        <v>88</v>
      </c>
      <c r="J69" s="199"/>
      <c r="K69" s="209"/>
      <c r="L69" s="209"/>
      <c r="M69" s="203"/>
      <c r="N69" s="210" t="s">
        <v>45</v>
      </c>
      <c r="O69" s="211" t="s">
        <v>396</v>
      </c>
      <c r="P69" s="199"/>
      <c r="Q69" s="199"/>
      <c r="R69" s="206"/>
      <c r="S69" s="201" t="s">
        <v>383</v>
      </c>
      <c r="T69" s="201" t="s">
        <v>1085</v>
      </c>
      <c r="V69" s="207"/>
    </row>
    <row r="70" ht="15.75" customHeight="1">
      <c r="A70" s="196"/>
      <c r="B70" s="197">
        <v>45967.0</v>
      </c>
      <c r="C70" s="201" t="s">
        <v>1086</v>
      </c>
      <c r="D70" s="199"/>
      <c r="E70" s="139" t="s">
        <v>1087</v>
      </c>
      <c r="F70" s="139" t="s">
        <v>1088</v>
      </c>
      <c r="G70" s="199"/>
      <c r="H70" s="198" t="s">
        <v>41</v>
      </c>
      <c r="I70" s="201" t="s">
        <v>88</v>
      </c>
      <c r="J70" s="199"/>
      <c r="K70" s="209"/>
      <c r="L70" s="209"/>
      <c r="M70" s="203"/>
      <c r="N70" s="210" t="s">
        <v>45</v>
      </c>
      <c r="O70" s="211" t="s">
        <v>396</v>
      </c>
      <c r="P70" s="199"/>
      <c r="Q70" s="215"/>
      <c r="R70" s="206"/>
      <c r="S70" s="201" t="s">
        <v>90</v>
      </c>
      <c r="T70" s="201" t="s">
        <v>1089</v>
      </c>
      <c r="V70" s="207"/>
    </row>
    <row r="71" ht="15.75" customHeight="1">
      <c r="A71" s="196"/>
      <c r="B71" s="197">
        <v>45967.0</v>
      </c>
      <c r="C71" s="201" t="s">
        <v>1090</v>
      </c>
      <c r="D71" s="199"/>
      <c r="E71" s="139" t="s">
        <v>1091</v>
      </c>
      <c r="F71" s="139" t="s">
        <v>1092</v>
      </c>
      <c r="G71" s="199"/>
      <c r="H71" s="198" t="s">
        <v>41</v>
      </c>
      <c r="I71" s="201" t="s">
        <v>131</v>
      </c>
      <c r="J71" s="199"/>
      <c r="K71" s="209"/>
      <c r="L71" s="209"/>
      <c r="M71" s="203"/>
      <c r="N71" s="204"/>
      <c r="O71" s="205"/>
      <c r="P71" s="199"/>
      <c r="Q71" s="215"/>
      <c r="R71" s="206"/>
      <c r="S71" s="199"/>
      <c r="T71" s="199"/>
      <c r="V71" s="207"/>
    </row>
    <row r="72" ht="15.75" customHeight="1">
      <c r="A72" s="196"/>
      <c r="B72" s="197">
        <v>45967.0</v>
      </c>
      <c r="C72" s="201" t="s">
        <v>360</v>
      </c>
      <c r="D72" s="199"/>
      <c r="E72" s="139" t="s">
        <v>1093</v>
      </c>
      <c r="F72" s="198" t="s">
        <v>1094</v>
      </c>
      <c r="G72" s="199"/>
      <c r="H72" s="198" t="s">
        <v>41</v>
      </c>
      <c r="I72" s="201" t="s">
        <v>88</v>
      </c>
      <c r="J72" s="199"/>
      <c r="K72" s="209"/>
      <c r="L72" s="209"/>
      <c r="M72" s="203"/>
      <c r="N72" s="210" t="s">
        <v>60</v>
      </c>
      <c r="O72" s="211" t="s">
        <v>1095</v>
      </c>
      <c r="P72" s="199"/>
      <c r="Q72" s="215"/>
      <c r="R72" s="206"/>
      <c r="S72" s="201" t="s">
        <v>90</v>
      </c>
      <c r="T72" s="201" t="s">
        <v>1096</v>
      </c>
      <c r="V72" s="207"/>
    </row>
    <row r="73" ht="15.75" customHeight="1">
      <c r="A73" s="196"/>
      <c r="B73" s="197">
        <v>45967.0</v>
      </c>
      <c r="C73" s="201" t="s">
        <v>616</v>
      </c>
      <c r="D73" s="199"/>
      <c r="E73" s="139" t="s">
        <v>1097</v>
      </c>
      <c r="F73" s="139" t="s">
        <v>1098</v>
      </c>
      <c r="G73" s="199"/>
      <c r="H73" s="198" t="s">
        <v>41</v>
      </c>
      <c r="I73" s="201" t="s">
        <v>88</v>
      </c>
      <c r="J73" s="199"/>
      <c r="K73" s="209"/>
      <c r="L73" s="209"/>
      <c r="M73" s="203"/>
      <c r="N73" s="210" t="s">
        <v>60</v>
      </c>
      <c r="O73" s="211" t="s">
        <v>1099</v>
      </c>
      <c r="P73" s="199"/>
      <c r="Q73" s="199"/>
      <c r="R73" s="206"/>
      <c r="S73" s="201" t="s">
        <v>90</v>
      </c>
      <c r="T73" s="201" t="s">
        <v>1100</v>
      </c>
      <c r="V73" s="207"/>
    </row>
    <row r="74" ht="15.75" customHeight="1">
      <c r="A74" s="196"/>
      <c r="B74" s="197">
        <v>45997.0</v>
      </c>
      <c r="C74" s="201" t="s">
        <v>514</v>
      </c>
      <c r="D74" s="199"/>
      <c r="E74" s="139" t="s">
        <v>1101</v>
      </c>
      <c r="F74" s="139" t="s">
        <v>1102</v>
      </c>
      <c r="G74" s="199"/>
      <c r="H74" s="198" t="s">
        <v>41</v>
      </c>
      <c r="I74" s="201" t="s">
        <v>110</v>
      </c>
      <c r="J74" s="199"/>
      <c r="K74" s="209"/>
      <c r="L74" s="209"/>
      <c r="M74" s="203"/>
      <c r="N74" s="204"/>
      <c r="O74" s="205"/>
      <c r="P74" s="199"/>
      <c r="Q74" s="199"/>
      <c r="R74" s="206"/>
      <c r="S74" s="199"/>
      <c r="T74" s="199"/>
      <c r="V74" s="207"/>
    </row>
    <row r="75" ht="15.75" customHeight="1">
      <c r="A75" s="196"/>
      <c r="B75" s="197">
        <v>45997.0</v>
      </c>
      <c r="C75" s="201" t="s">
        <v>1019</v>
      </c>
      <c r="D75" s="199"/>
      <c r="E75" s="139" t="s">
        <v>1103</v>
      </c>
      <c r="F75" s="139" t="s">
        <v>1104</v>
      </c>
      <c r="G75" s="199"/>
      <c r="H75" s="198" t="s">
        <v>41</v>
      </c>
      <c r="I75" s="201" t="s">
        <v>131</v>
      </c>
      <c r="J75" s="199"/>
      <c r="K75" s="209"/>
      <c r="L75" s="209"/>
      <c r="M75" s="203"/>
      <c r="N75" s="204"/>
      <c r="O75" s="205"/>
      <c r="P75" s="199"/>
      <c r="Q75" s="215"/>
      <c r="R75" s="206"/>
      <c r="S75" s="199"/>
      <c r="T75" s="199"/>
      <c r="V75" s="207"/>
    </row>
    <row r="76" ht="15.75" customHeight="1">
      <c r="A76" s="196"/>
      <c r="B76" s="198" t="s">
        <v>1105</v>
      </c>
      <c r="C76" s="201" t="s">
        <v>1106</v>
      </c>
      <c r="D76" s="199"/>
      <c r="E76" s="139" t="s">
        <v>1107</v>
      </c>
      <c r="F76" s="139" t="s">
        <v>1108</v>
      </c>
      <c r="G76" s="199"/>
      <c r="H76" s="198" t="s">
        <v>41</v>
      </c>
      <c r="I76" s="201" t="s">
        <v>131</v>
      </c>
      <c r="J76" s="199"/>
      <c r="K76" s="209"/>
      <c r="L76" s="209"/>
      <c r="M76" s="203"/>
      <c r="N76" s="204"/>
      <c r="O76" s="205"/>
      <c r="P76" s="199"/>
      <c r="Q76" s="199"/>
      <c r="R76" s="206"/>
      <c r="S76" s="199"/>
      <c r="T76" s="199"/>
      <c r="V76" s="207"/>
    </row>
    <row r="77" ht="15.75" customHeight="1">
      <c r="A77" s="196"/>
      <c r="B77" s="198" t="s">
        <v>1105</v>
      </c>
      <c r="C77" s="201" t="s">
        <v>559</v>
      </c>
      <c r="D77" s="199"/>
      <c r="E77" s="139" t="s">
        <v>1109</v>
      </c>
      <c r="F77" s="139" t="s">
        <v>1110</v>
      </c>
      <c r="G77" s="199"/>
      <c r="H77" s="198" t="s">
        <v>41</v>
      </c>
      <c r="I77" s="201" t="s">
        <v>1111</v>
      </c>
      <c r="J77" s="199"/>
      <c r="K77" s="209"/>
      <c r="L77" s="209"/>
      <c r="M77" s="203"/>
      <c r="N77" s="204"/>
      <c r="O77" s="205"/>
      <c r="P77" s="199"/>
      <c r="Q77" s="215"/>
      <c r="R77" s="206"/>
      <c r="S77" s="199"/>
      <c r="T77" s="199"/>
      <c r="V77" s="207"/>
    </row>
    <row r="78" ht="15.75" customHeight="1">
      <c r="A78" s="196"/>
      <c r="B78" s="198" t="s">
        <v>1105</v>
      </c>
      <c r="C78" s="201" t="s">
        <v>624</v>
      </c>
      <c r="D78" s="199"/>
      <c r="E78" s="139" t="s">
        <v>1112</v>
      </c>
      <c r="F78" s="198" t="s">
        <v>1113</v>
      </c>
      <c r="G78" s="199"/>
      <c r="H78" s="198" t="s">
        <v>41</v>
      </c>
      <c r="I78" s="201" t="s">
        <v>88</v>
      </c>
      <c r="J78" s="199"/>
      <c r="K78" s="209"/>
      <c r="L78" s="209"/>
      <c r="M78" s="203"/>
      <c r="N78" s="210" t="s">
        <v>45</v>
      </c>
      <c r="O78" s="211" t="s">
        <v>396</v>
      </c>
      <c r="P78" s="199"/>
      <c r="Q78" s="215"/>
      <c r="R78" s="206"/>
      <c r="S78" s="201" t="s">
        <v>124</v>
      </c>
      <c r="T78" s="201" t="s">
        <v>1114</v>
      </c>
      <c r="V78" s="207"/>
    </row>
    <row r="79" ht="15.75" customHeight="1">
      <c r="A79" s="196"/>
      <c r="B79" s="198" t="s">
        <v>1105</v>
      </c>
      <c r="C79" s="201" t="s">
        <v>410</v>
      </c>
      <c r="D79" s="199"/>
      <c r="E79" s="139" t="s">
        <v>1115</v>
      </c>
      <c r="F79" s="139" t="s">
        <v>1116</v>
      </c>
      <c r="G79" s="199"/>
      <c r="H79" s="198" t="s">
        <v>41</v>
      </c>
      <c r="I79" s="201" t="s">
        <v>1111</v>
      </c>
      <c r="J79" s="199"/>
      <c r="K79" s="209"/>
      <c r="L79" s="209"/>
      <c r="M79" s="203"/>
      <c r="N79" s="204"/>
      <c r="O79" s="205"/>
      <c r="P79" s="199"/>
      <c r="Q79" s="215"/>
      <c r="R79" s="206"/>
      <c r="S79" s="199"/>
      <c r="T79" s="199"/>
      <c r="V79" s="207"/>
    </row>
    <row r="80" ht="15.75" customHeight="1">
      <c r="A80" s="196"/>
      <c r="B80" s="198" t="s">
        <v>1105</v>
      </c>
      <c r="C80" s="201" t="s">
        <v>597</v>
      </c>
      <c r="D80" s="199"/>
      <c r="E80" s="139" t="s">
        <v>1117</v>
      </c>
      <c r="F80" s="139" t="s">
        <v>1118</v>
      </c>
      <c r="G80" s="199"/>
      <c r="H80" s="198" t="s">
        <v>41</v>
      </c>
      <c r="I80" s="201" t="s">
        <v>1111</v>
      </c>
      <c r="J80" s="199"/>
      <c r="K80" s="209"/>
      <c r="L80" s="209"/>
      <c r="M80" s="203"/>
      <c r="N80" s="204"/>
      <c r="O80" s="205"/>
      <c r="P80" s="199"/>
      <c r="Q80" s="215"/>
      <c r="R80" s="206"/>
      <c r="S80" s="199"/>
      <c r="T80" s="199"/>
      <c r="V80" s="207"/>
    </row>
    <row r="81" ht="15.75" customHeight="1">
      <c r="A81" s="196"/>
      <c r="B81" s="198" t="s">
        <v>1105</v>
      </c>
      <c r="C81" s="201" t="s">
        <v>894</v>
      </c>
      <c r="D81" s="199"/>
      <c r="E81" s="139" t="s">
        <v>1119</v>
      </c>
      <c r="F81" s="139" t="s">
        <v>1120</v>
      </c>
      <c r="G81" s="199"/>
      <c r="H81" s="198" t="s">
        <v>41</v>
      </c>
      <c r="I81" s="201" t="s">
        <v>1111</v>
      </c>
      <c r="J81" s="199"/>
      <c r="K81" s="209"/>
      <c r="L81" s="209"/>
      <c r="M81" s="203"/>
      <c r="N81" s="204"/>
      <c r="O81" s="205"/>
      <c r="P81" s="199"/>
      <c r="Q81" s="199"/>
      <c r="R81" s="206"/>
      <c r="S81" s="199"/>
      <c r="T81" s="199"/>
      <c r="V81" s="207"/>
    </row>
    <row r="82" ht="15.75" customHeight="1">
      <c r="A82" s="196"/>
      <c r="B82" s="198" t="s">
        <v>1121</v>
      </c>
      <c r="C82" s="201" t="s">
        <v>1122</v>
      </c>
      <c r="D82" s="199"/>
      <c r="E82" s="139" t="s">
        <v>1123</v>
      </c>
      <c r="F82" s="139" t="s">
        <v>1124</v>
      </c>
      <c r="G82" s="199"/>
      <c r="H82" s="198" t="s">
        <v>41</v>
      </c>
      <c r="I82" s="201" t="s">
        <v>181</v>
      </c>
      <c r="J82" s="199"/>
      <c r="K82" s="202">
        <v>8700.0</v>
      </c>
      <c r="L82" s="202">
        <v>2700.0</v>
      </c>
      <c r="M82" s="203"/>
      <c r="N82" s="210"/>
      <c r="O82" s="211"/>
      <c r="P82" s="199"/>
      <c r="Q82" s="201" t="s">
        <v>104</v>
      </c>
      <c r="R82" s="206"/>
      <c r="S82" s="201" t="s">
        <v>105</v>
      </c>
      <c r="T82" s="199"/>
      <c r="V82" s="207"/>
    </row>
    <row r="83" ht="15.75" customHeight="1">
      <c r="A83" s="196"/>
      <c r="B83" s="198" t="s">
        <v>1121</v>
      </c>
      <c r="C83" s="139" t="s">
        <v>252</v>
      </c>
      <c r="D83" s="199"/>
      <c r="E83" s="139" t="s">
        <v>1125</v>
      </c>
      <c r="F83" s="139" t="s">
        <v>1126</v>
      </c>
      <c r="G83" s="199"/>
      <c r="H83" s="198" t="s">
        <v>41</v>
      </c>
      <c r="I83" s="201" t="s">
        <v>1111</v>
      </c>
      <c r="J83" s="199"/>
      <c r="K83" s="209"/>
      <c r="L83" s="209"/>
      <c r="M83" s="203"/>
      <c r="N83" s="204"/>
      <c r="O83" s="205"/>
      <c r="P83" s="199"/>
      <c r="Q83" s="215"/>
      <c r="R83" s="206"/>
      <c r="S83" s="199"/>
      <c r="T83" s="199"/>
      <c r="V83" s="207"/>
    </row>
    <row r="84" ht="15.75" customHeight="1">
      <c r="A84" s="196"/>
      <c r="B84" s="198" t="s">
        <v>1121</v>
      </c>
      <c r="C84" s="201" t="s">
        <v>559</v>
      </c>
      <c r="D84" s="199"/>
      <c r="E84" s="139" t="s">
        <v>1109</v>
      </c>
      <c r="F84" s="139" t="s">
        <v>1110</v>
      </c>
      <c r="G84" s="199"/>
      <c r="H84" s="198" t="s">
        <v>41</v>
      </c>
      <c r="I84" s="201" t="s">
        <v>131</v>
      </c>
      <c r="J84" s="199"/>
      <c r="K84" s="209"/>
      <c r="L84" s="209"/>
      <c r="M84" s="203"/>
      <c r="N84" s="204"/>
      <c r="O84" s="205"/>
      <c r="P84" s="199"/>
      <c r="Q84" s="199"/>
      <c r="R84" s="206"/>
      <c r="S84" s="199"/>
      <c r="T84" s="199"/>
      <c r="V84" s="207"/>
    </row>
    <row r="85" ht="15.75" customHeight="1">
      <c r="A85" s="196"/>
      <c r="B85" s="198" t="s">
        <v>1121</v>
      </c>
      <c r="C85" s="201" t="s">
        <v>597</v>
      </c>
      <c r="D85" s="199"/>
      <c r="E85" s="139" t="s">
        <v>1117</v>
      </c>
      <c r="F85" s="139" t="s">
        <v>1118</v>
      </c>
      <c r="G85" s="199"/>
      <c r="H85" s="198" t="s">
        <v>41</v>
      </c>
      <c r="I85" s="201" t="s">
        <v>1111</v>
      </c>
      <c r="J85" s="199"/>
      <c r="K85" s="209"/>
      <c r="L85" s="209"/>
      <c r="M85" s="203"/>
      <c r="N85" s="204"/>
      <c r="O85" s="205"/>
      <c r="P85" s="199"/>
      <c r="Q85" s="215"/>
      <c r="R85" s="206"/>
      <c r="S85" s="199"/>
      <c r="T85" s="199"/>
      <c r="V85" s="207"/>
    </row>
    <row r="86" ht="15.75" customHeight="1">
      <c r="A86" s="196"/>
      <c r="B86" s="198" t="s">
        <v>1121</v>
      </c>
      <c r="C86" s="201" t="s">
        <v>410</v>
      </c>
      <c r="D86" s="199"/>
      <c r="E86" s="139" t="s">
        <v>1115</v>
      </c>
      <c r="F86" s="139" t="s">
        <v>1116</v>
      </c>
      <c r="G86" s="199"/>
      <c r="H86" s="198" t="s">
        <v>41</v>
      </c>
      <c r="I86" s="201" t="s">
        <v>131</v>
      </c>
      <c r="J86" s="199"/>
      <c r="K86" s="209"/>
      <c r="L86" s="209"/>
      <c r="M86" s="203"/>
      <c r="N86" s="204"/>
      <c r="O86" s="205"/>
      <c r="P86" s="199"/>
      <c r="Q86" s="215"/>
      <c r="R86" s="206"/>
      <c r="S86" s="199"/>
      <c r="T86" s="199"/>
      <c r="V86" s="207"/>
    </row>
    <row r="87" ht="15.75" customHeight="1">
      <c r="A87" s="196"/>
      <c r="B87" s="198" t="s">
        <v>1121</v>
      </c>
      <c r="C87" s="201" t="s">
        <v>894</v>
      </c>
      <c r="D87" s="199"/>
      <c r="E87" s="139" t="s">
        <v>1119</v>
      </c>
      <c r="F87" s="139" t="s">
        <v>1120</v>
      </c>
      <c r="G87" s="199"/>
      <c r="H87" s="198" t="s">
        <v>41</v>
      </c>
      <c r="I87" s="201" t="s">
        <v>1111</v>
      </c>
      <c r="J87" s="199"/>
      <c r="K87" s="209"/>
      <c r="L87" s="209"/>
      <c r="M87" s="203"/>
      <c r="N87" s="204"/>
      <c r="O87" s="205"/>
      <c r="P87" s="199"/>
      <c r="Q87" s="215"/>
      <c r="R87" s="206"/>
      <c r="S87" s="199"/>
      <c r="T87" s="199"/>
      <c r="V87" s="207"/>
    </row>
    <row r="88" ht="15.75" customHeight="1">
      <c r="A88" s="196"/>
      <c r="B88" s="198" t="s">
        <v>1121</v>
      </c>
      <c r="C88" s="198" t="s">
        <v>1127</v>
      </c>
      <c r="D88" s="199"/>
      <c r="E88" s="139" t="s">
        <v>1128</v>
      </c>
      <c r="F88" s="139" t="s">
        <v>1129</v>
      </c>
      <c r="G88" s="199"/>
      <c r="H88" s="198" t="s">
        <v>41</v>
      </c>
      <c r="I88" s="201" t="s">
        <v>1111</v>
      </c>
      <c r="J88" s="199"/>
      <c r="K88" s="209"/>
      <c r="L88" s="209"/>
      <c r="M88" s="203"/>
      <c r="N88" s="204"/>
      <c r="O88" s="205"/>
      <c r="P88" s="199"/>
      <c r="Q88" s="199"/>
      <c r="R88" s="206"/>
      <c r="S88" s="199"/>
      <c r="T88" s="199"/>
      <c r="V88" s="207"/>
    </row>
    <row r="89" ht="15.75" customHeight="1">
      <c r="A89" s="196"/>
      <c r="B89" s="198" t="s">
        <v>1121</v>
      </c>
      <c r="C89" s="198" t="s">
        <v>1034</v>
      </c>
      <c r="D89" s="199"/>
      <c r="E89" s="139" t="s">
        <v>1130</v>
      </c>
      <c r="F89" s="139" t="s">
        <v>1131</v>
      </c>
      <c r="G89" s="199"/>
      <c r="H89" s="198" t="s">
        <v>41</v>
      </c>
      <c r="I89" s="201" t="s">
        <v>88</v>
      </c>
      <c r="J89" s="199"/>
      <c r="K89" s="209"/>
      <c r="L89" s="209"/>
      <c r="M89" s="203"/>
      <c r="N89" s="210" t="s">
        <v>60</v>
      </c>
      <c r="O89" s="211" t="s">
        <v>1132</v>
      </c>
      <c r="P89" s="199"/>
      <c r="Q89" s="199"/>
      <c r="R89" s="206"/>
      <c r="S89" s="201" t="s">
        <v>124</v>
      </c>
      <c r="T89" s="201" t="s">
        <v>1133</v>
      </c>
      <c r="V89" s="207"/>
    </row>
    <row r="90" ht="15.75" customHeight="1">
      <c r="A90" s="196"/>
      <c r="B90" s="198" t="s">
        <v>1121</v>
      </c>
      <c r="C90" s="198" t="s">
        <v>1134</v>
      </c>
      <c r="D90" s="199"/>
      <c r="E90" s="139" t="s">
        <v>1135</v>
      </c>
      <c r="F90" s="139" t="s">
        <v>1136</v>
      </c>
      <c r="G90" s="199"/>
      <c r="H90" s="198" t="s">
        <v>41</v>
      </c>
      <c r="I90" s="201" t="s">
        <v>88</v>
      </c>
      <c r="J90" s="199"/>
      <c r="K90" s="209"/>
      <c r="L90" s="209"/>
      <c r="M90" s="203"/>
      <c r="N90" s="204"/>
      <c r="O90" s="205"/>
      <c r="P90" s="199"/>
      <c r="Q90" s="201" t="s">
        <v>104</v>
      </c>
      <c r="R90" s="206"/>
      <c r="S90" s="201" t="s">
        <v>404</v>
      </c>
      <c r="T90" s="201" t="s">
        <v>1137</v>
      </c>
      <c r="V90" s="207"/>
    </row>
    <row r="91" ht="15.75" customHeight="1">
      <c r="A91" s="196"/>
      <c r="B91" s="198" t="s">
        <v>1121</v>
      </c>
      <c r="C91" s="198" t="s">
        <v>538</v>
      </c>
      <c r="D91" s="199"/>
      <c r="E91" s="139" t="s">
        <v>1138</v>
      </c>
      <c r="F91" s="139" t="s">
        <v>1139</v>
      </c>
      <c r="G91" s="199"/>
      <c r="H91" s="198" t="s">
        <v>41</v>
      </c>
      <c r="I91" s="201" t="s">
        <v>103</v>
      </c>
      <c r="J91" s="199"/>
      <c r="K91" s="202">
        <v>7200.0</v>
      </c>
      <c r="L91" s="202">
        <v>7200.0</v>
      </c>
      <c r="M91" s="203"/>
      <c r="N91" s="204"/>
      <c r="O91" s="205"/>
      <c r="P91" s="199"/>
      <c r="Q91" s="201" t="s">
        <v>104</v>
      </c>
      <c r="R91" s="206"/>
      <c r="S91" s="201" t="s">
        <v>105</v>
      </c>
      <c r="T91" s="199"/>
      <c r="V91" s="207"/>
    </row>
    <row r="92" ht="15.75" customHeight="1">
      <c r="A92" s="196"/>
      <c r="B92" s="198" t="s">
        <v>1121</v>
      </c>
      <c r="C92" s="198" t="s">
        <v>597</v>
      </c>
      <c r="D92" s="199"/>
      <c r="E92" s="139" t="s">
        <v>1117</v>
      </c>
      <c r="F92" s="139" t="s">
        <v>1140</v>
      </c>
      <c r="G92" s="199"/>
      <c r="H92" s="198" t="s">
        <v>41</v>
      </c>
      <c r="I92" s="201" t="s">
        <v>103</v>
      </c>
      <c r="J92" s="199"/>
      <c r="K92" s="202">
        <v>7200.0</v>
      </c>
      <c r="L92" s="202">
        <v>7200.0</v>
      </c>
      <c r="M92" s="203"/>
      <c r="N92" s="204"/>
      <c r="O92" s="205"/>
      <c r="P92" s="199"/>
      <c r="Q92" s="201" t="s">
        <v>104</v>
      </c>
      <c r="R92" s="206"/>
      <c r="S92" s="201" t="s">
        <v>105</v>
      </c>
      <c r="T92" s="199"/>
      <c r="V92" s="207"/>
    </row>
    <row r="93" ht="15.75" customHeight="1">
      <c r="A93" s="196"/>
      <c r="B93" s="198" t="s">
        <v>1121</v>
      </c>
      <c r="C93" s="198" t="s">
        <v>344</v>
      </c>
      <c r="D93" s="199"/>
      <c r="E93" s="198" t="s">
        <v>1141</v>
      </c>
      <c r="F93" s="198" t="s">
        <v>1142</v>
      </c>
      <c r="G93" s="199"/>
      <c r="H93" s="198" t="s">
        <v>41</v>
      </c>
      <c r="I93" s="201" t="s">
        <v>181</v>
      </c>
      <c r="J93" s="199"/>
      <c r="K93" s="202">
        <v>8700.0</v>
      </c>
      <c r="L93" s="202">
        <v>2700.0</v>
      </c>
      <c r="M93" s="203"/>
      <c r="N93" s="204"/>
      <c r="O93" s="205"/>
      <c r="P93" s="199"/>
      <c r="Q93" s="201" t="s">
        <v>104</v>
      </c>
      <c r="R93" s="206"/>
      <c r="S93" s="201" t="s">
        <v>105</v>
      </c>
      <c r="T93" s="199"/>
      <c r="V93" s="207"/>
    </row>
    <row r="94" ht="15.75" customHeight="1">
      <c r="A94" s="196"/>
      <c r="B94" s="198" t="s">
        <v>1143</v>
      </c>
      <c r="C94" s="198" t="s">
        <v>252</v>
      </c>
      <c r="D94" s="199"/>
      <c r="E94" s="139" t="s">
        <v>1125</v>
      </c>
      <c r="F94" s="139" t="s">
        <v>1144</v>
      </c>
      <c r="G94" s="199"/>
      <c r="H94" s="198" t="s">
        <v>41</v>
      </c>
      <c r="I94" s="201" t="s">
        <v>181</v>
      </c>
      <c r="J94" s="199"/>
      <c r="K94" s="202">
        <v>8700.0</v>
      </c>
      <c r="L94" s="202">
        <v>2700.0</v>
      </c>
      <c r="M94" s="203"/>
      <c r="N94" s="204"/>
      <c r="O94" s="205"/>
      <c r="P94" s="199"/>
      <c r="Q94" s="201" t="s">
        <v>104</v>
      </c>
      <c r="R94" s="206"/>
      <c r="S94" s="201" t="s">
        <v>105</v>
      </c>
      <c r="T94" s="201"/>
      <c r="V94" s="207"/>
    </row>
    <row r="95" ht="15.75" customHeight="1">
      <c r="A95" s="196"/>
      <c r="B95" s="198" t="s">
        <v>1143</v>
      </c>
      <c r="C95" s="198" t="s">
        <v>1127</v>
      </c>
      <c r="D95" s="199"/>
      <c r="E95" s="139" t="s">
        <v>1128</v>
      </c>
      <c r="F95" s="198" t="s">
        <v>1129</v>
      </c>
      <c r="G95" s="199"/>
      <c r="H95" s="198" t="s">
        <v>41</v>
      </c>
      <c r="I95" s="201" t="s">
        <v>88</v>
      </c>
      <c r="J95" s="199"/>
      <c r="K95" s="209"/>
      <c r="L95" s="209"/>
      <c r="M95" s="203"/>
      <c r="N95" s="210" t="s">
        <v>98</v>
      </c>
      <c r="O95" s="211" t="s">
        <v>647</v>
      </c>
      <c r="P95" s="199"/>
      <c r="Q95" s="215"/>
      <c r="R95" s="206"/>
      <c r="S95" s="201" t="s">
        <v>383</v>
      </c>
      <c r="T95" s="201" t="s">
        <v>1145</v>
      </c>
      <c r="V95" s="207"/>
    </row>
    <row r="96" ht="15.75" customHeight="1">
      <c r="A96" s="196"/>
      <c r="B96" s="198" t="s">
        <v>1143</v>
      </c>
      <c r="C96" s="139" t="s">
        <v>483</v>
      </c>
      <c r="D96" s="199"/>
      <c r="E96" s="139" t="s">
        <v>1146</v>
      </c>
      <c r="F96" s="139" t="s">
        <v>1147</v>
      </c>
      <c r="G96" s="199"/>
      <c r="H96" s="198" t="s">
        <v>41</v>
      </c>
      <c r="I96" s="201" t="s">
        <v>110</v>
      </c>
      <c r="J96" s="199"/>
      <c r="K96" s="209"/>
      <c r="L96" s="209"/>
      <c r="M96" s="203"/>
      <c r="N96" s="210"/>
      <c r="O96" s="211"/>
      <c r="P96" s="206"/>
      <c r="Q96" s="215"/>
      <c r="R96" s="206"/>
      <c r="S96" s="201"/>
      <c r="T96" s="201"/>
      <c r="V96" s="207"/>
    </row>
    <row r="97" ht="15.75" customHeight="1">
      <c r="A97" s="196"/>
      <c r="B97" s="198" t="s">
        <v>1143</v>
      </c>
      <c r="C97" s="139" t="s">
        <v>949</v>
      </c>
      <c r="D97" s="199"/>
      <c r="E97" s="139" t="s">
        <v>1148</v>
      </c>
      <c r="F97" s="139" t="s">
        <v>1149</v>
      </c>
      <c r="G97" s="199"/>
      <c r="H97" s="198" t="s">
        <v>41</v>
      </c>
      <c r="I97" s="201" t="s">
        <v>88</v>
      </c>
      <c r="J97" s="199"/>
      <c r="K97" s="209"/>
      <c r="L97" s="209"/>
      <c r="M97" s="203"/>
      <c r="N97" s="210" t="s">
        <v>45</v>
      </c>
      <c r="O97" s="211" t="s">
        <v>396</v>
      </c>
      <c r="P97" s="199"/>
      <c r="Q97" s="199"/>
      <c r="R97" s="206"/>
      <c r="S97" s="201" t="s">
        <v>383</v>
      </c>
      <c r="T97" s="201" t="s">
        <v>1150</v>
      </c>
      <c r="V97" s="207"/>
    </row>
    <row r="98" ht="15.75" customHeight="1">
      <c r="A98" s="196"/>
      <c r="B98" s="198" t="s">
        <v>1143</v>
      </c>
      <c r="C98" s="198" t="s">
        <v>559</v>
      </c>
      <c r="D98" s="199"/>
      <c r="E98" s="139" t="s">
        <v>1151</v>
      </c>
      <c r="F98" s="139" t="s">
        <v>1152</v>
      </c>
      <c r="G98" s="199"/>
      <c r="H98" s="198" t="s">
        <v>41</v>
      </c>
      <c r="I98" s="201" t="s">
        <v>88</v>
      </c>
      <c r="J98" s="199"/>
      <c r="K98" s="209"/>
      <c r="L98" s="209"/>
      <c r="M98" s="203"/>
      <c r="N98" s="204"/>
      <c r="O98" s="205"/>
      <c r="P98" s="199"/>
      <c r="Q98" s="201" t="s">
        <v>104</v>
      </c>
      <c r="R98" s="206"/>
      <c r="S98" s="201" t="s">
        <v>90</v>
      </c>
      <c r="T98" s="201" t="s">
        <v>1153</v>
      </c>
      <c r="V98" s="207"/>
    </row>
    <row r="99" ht="15.75" customHeight="1">
      <c r="A99" s="196"/>
      <c r="B99" s="198" t="s">
        <v>1143</v>
      </c>
      <c r="C99" s="198" t="s">
        <v>410</v>
      </c>
      <c r="D99" s="199"/>
      <c r="E99" s="139" t="s">
        <v>1154</v>
      </c>
      <c r="F99" s="139" t="s">
        <v>1155</v>
      </c>
      <c r="G99" s="199"/>
      <c r="H99" s="198" t="s">
        <v>41</v>
      </c>
      <c r="I99" s="201" t="s">
        <v>88</v>
      </c>
      <c r="J99" s="199"/>
      <c r="K99" s="209"/>
      <c r="L99" s="209"/>
      <c r="M99" s="203"/>
      <c r="N99" s="210" t="s">
        <v>98</v>
      </c>
      <c r="O99" s="211" t="s">
        <v>584</v>
      </c>
      <c r="P99" s="199"/>
      <c r="Q99" s="215"/>
      <c r="R99" s="206"/>
      <c r="S99" s="201" t="s">
        <v>383</v>
      </c>
      <c r="T99" s="201" t="s">
        <v>1156</v>
      </c>
      <c r="V99" s="207"/>
    </row>
    <row r="100" ht="15.75" customHeight="1">
      <c r="A100" s="196"/>
      <c r="B100" s="198" t="s">
        <v>1143</v>
      </c>
      <c r="C100" s="198" t="s">
        <v>915</v>
      </c>
      <c r="D100" s="199"/>
      <c r="E100" s="139" t="s">
        <v>1157</v>
      </c>
      <c r="F100" s="139" t="s">
        <v>1158</v>
      </c>
      <c r="G100" s="199"/>
      <c r="H100" s="198" t="s">
        <v>41</v>
      </c>
      <c r="I100" s="201" t="s">
        <v>88</v>
      </c>
      <c r="J100" s="199"/>
      <c r="K100" s="209"/>
      <c r="L100" s="209"/>
      <c r="M100" s="203"/>
      <c r="N100" s="210" t="s">
        <v>98</v>
      </c>
      <c r="O100" s="211" t="s">
        <v>925</v>
      </c>
      <c r="P100" s="199"/>
      <c r="Q100" s="215"/>
      <c r="R100" s="206"/>
      <c r="S100" s="201" t="s">
        <v>124</v>
      </c>
      <c r="T100" s="201" t="s">
        <v>1159</v>
      </c>
      <c r="V100" s="207"/>
    </row>
    <row r="101" ht="15.75" customHeight="1">
      <c r="A101" s="196"/>
      <c r="B101" s="198" t="s">
        <v>1143</v>
      </c>
      <c r="C101" s="198" t="s">
        <v>777</v>
      </c>
      <c r="D101" s="199"/>
      <c r="E101" s="139" t="s">
        <v>1160</v>
      </c>
      <c r="F101" s="139" t="s">
        <v>1161</v>
      </c>
      <c r="G101" s="199"/>
      <c r="H101" s="198" t="s">
        <v>41</v>
      </c>
      <c r="I101" s="201" t="s">
        <v>181</v>
      </c>
      <c r="J101" s="199"/>
      <c r="K101" s="202">
        <v>8700.0</v>
      </c>
      <c r="L101" s="202">
        <v>2700.0</v>
      </c>
      <c r="M101" s="203"/>
      <c r="N101" s="204"/>
      <c r="O101" s="205"/>
      <c r="P101" s="199"/>
      <c r="Q101" s="201" t="s">
        <v>1162</v>
      </c>
      <c r="R101" s="206"/>
      <c r="S101" s="201" t="s">
        <v>105</v>
      </c>
      <c r="T101" s="201"/>
      <c r="V101" s="207"/>
    </row>
    <row r="102" ht="15.75" customHeight="1">
      <c r="A102" s="196"/>
      <c r="B102" s="198" t="s">
        <v>1143</v>
      </c>
      <c r="C102" s="139" t="s">
        <v>1163</v>
      </c>
      <c r="D102" s="199"/>
      <c r="E102" s="139" t="s">
        <v>1119</v>
      </c>
      <c r="F102" s="139" t="s">
        <v>1120</v>
      </c>
      <c r="G102" s="199"/>
      <c r="H102" s="198" t="s">
        <v>41</v>
      </c>
      <c r="I102" s="201" t="s">
        <v>1111</v>
      </c>
      <c r="J102" s="199"/>
      <c r="K102" s="209"/>
      <c r="L102" s="209"/>
      <c r="M102" s="203"/>
      <c r="N102" s="204"/>
      <c r="O102" s="205"/>
      <c r="P102" s="199"/>
      <c r="Q102" s="199"/>
      <c r="R102" s="199"/>
      <c r="S102" s="199"/>
      <c r="T102" s="201"/>
      <c r="V102" s="207"/>
    </row>
    <row r="103" ht="15.75" customHeight="1">
      <c r="A103" s="196"/>
      <c r="B103" s="198" t="s">
        <v>1143</v>
      </c>
      <c r="C103" s="198" t="s">
        <v>410</v>
      </c>
      <c r="D103" s="199"/>
      <c r="E103" s="139" t="s">
        <v>1115</v>
      </c>
      <c r="F103" s="139" t="s">
        <v>1116</v>
      </c>
      <c r="G103" s="199"/>
      <c r="H103" s="198" t="s">
        <v>41</v>
      </c>
      <c r="I103" s="201" t="s">
        <v>131</v>
      </c>
      <c r="J103" s="199"/>
      <c r="K103" s="209"/>
      <c r="L103" s="209"/>
      <c r="M103" s="203"/>
      <c r="N103" s="204"/>
      <c r="O103" s="205"/>
      <c r="P103" s="199"/>
      <c r="Q103" s="199"/>
      <c r="R103" s="212"/>
      <c r="S103" s="199"/>
      <c r="T103" s="201"/>
      <c r="V103" s="207"/>
    </row>
    <row r="104" ht="15.75" customHeight="1">
      <c r="A104" s="196"/>
      <c r="B104" s="198" t="s">
        <v>1143</v>
      </c>
      <c r="C104" s="198" t="s">
        <v>777</v>
      </c>
      <c r="D104" s="199"/>
      <c r="E104" s="139" t="s">
        <v>1164</v>
      </c>
      <c r="F104" s="139" t="s">
        <v>1165</v>
      </c>
      <c r="G104" s="199"/>
      <c r="H104" s="198" t="s">
        <v>41</v>
      </c>
      <c r="I104" s="201" t="s">
        <v>88</v>
      </c>
      <c r="J104" s="199"/>
      <c r="K104" s="209"/>
      <c r="L104" s="209"/>
      <c r="M104" s="203"/>
      <c r="N104" s="210" t="s">
        <v>98</v>
      </c>
      <c r="O104" s="211" t="s">
        <v>1166</v>
      </c>
      <c r="P104" s="199"/>
      <c r="Q104" s="215"/>
      <c r="R104" s="199"/>
      <c r="S104" s="201" t="s">
        <v>124</v>
      </c>
      <c r="T104" s="201" t="s">
        <v>1167</v>
      </c>
      <c r="V104" s="207"/>
    </row>
    <row r="105" ht="15.75" customHeight="1">
      <c r="A105" s="196"/>
      <c r="B105" s="198" t="s">
        <v>1168</v>
      </c>
      <c r="C105" s="198" t="s">
        <v>597</v>
      </c>
      <c r="D105" s="199"/>
      <c r="E105" s="139" t="s">
        <v>1169</v>
      </c>
      <c r="F105" s="139" t="s">
        <v>1170</v>
      </c>
      <c r="G105" s="199"/>
      <c r="H105" s="198" t="s">
        <v>41</v>
      </c>
      <c r="I105" s="201" t="s">
        <v>88</v>
      </c>
      <c r="J105" s="199"/>
      <c r="K105" s="209"/>
      <c r="L105" s="209"/>
      <c r="M105" s="203"/>
      <c r="N105" s="210" t="s">
        <v>45</v>
      </c>
      <c r="O105" s="211" t="s">
        <v>396</v>
      </c>
      <c r="P105" s="199"/>
      <c r="Q105" s="199"/>
      <c r="R105" s="199"/>
      <c r="S105" s="201" t="s">
        <v>124</v>
      </c>
      <c r="T105" s="201" t="s">
        <v>1171</v>
      </c>
      <c r="V105" s="207"/>
    </row>
    <row r="106" ht="15.75" customHeight="1">
      <c r="A106" s="196"/>
      <c r="B106" s="198" t="s">
        <v>1168</v>
      </c>
      <c r="C106" s="198" t="s">
        <v>393</v>
      </c>
      <c r="D106" s="199"/>
      <c r="E106" s="139" t="s">
        <v>1172</v>
      </c>
      <c r="F106" s="198" t="s">
        <v>1173</v>
      </c>
      <c r="G106" s="199"/>
      <c r="H106" s="198" t="s">
        <v>41</v>
      </c>
      <c r="I106" s="201" t="s">
        <v>232</v>
      </c>
      <c r="J106" s="199"/>
      <c r="K106" s="209"/>
      <c r="L106" s="209"/>
      <c r="M106" s="203"/>
      <c r="N106" s="204"/>
      <c r="O106" s="205"/>
      <c r="P106" s="199"/>
      <c r="Q106" s="201" t="s">
        <v>104</v>
      </c>
      <c r="R106" s="199"/>
      <c r="S106" s="201" t="s">
        <v>404</v>
      </c>
      <c r="T106" s="201" t="s">
        <v>1174</v>
      </c>
      <c r="V106" s="207"/>
    </row>
    <row r="107" ht="15.75" customHeight="1">
      <c r="A107" s="196"/>
      <c r="B107" s="198" t="s">
        <v>1168</v>
      </c>
      <c r="C107" s="198" t="s">
        <v>252</v>
      </c>
      <c r="D107" s="199"/>
      <c r="E107" s="139" t="s">
        <v>1175</v>
      </c>
      <c r="F107" s="139" t="s">
        <v>1176</v>
      </c>
      <c r="G107" s="199"/>
      <c r="H107" s="198" t="s">
        <v>41</v>
      </c>
      <c r="I107" s="201" t="s">
        <v>131</v>
      </c>
      <c r="J107" s="199"/>
      <c r="K107" s="209"/>
      <c r="L107" s="209"/>
      <c r="M107" s="203"/>
      <c r="N107" s="204"/>
      <c r="O107" s="205"/>
      <c r="P107" s="199"/>
      <c r="Q107" s="215"/>
      <c r="R107" s="199"/>
      <c r="S107" s="199"/>
      <c r="T107" s="199"/>
      <c r="V107" s="207"/>
    </row>
    <row r="108" ht="15.75" customHeight="1">
      <c r="A108" s="196"/>
      <c r="B108" s="198" t="s">
        <v>1168</v>
      </c>
      <c r="C108" s="198" t="s">
        <v>1127</v>
      </c>
      <c r="D108" s="199"/>
      <c r="E108" s="139" t="s">
        <v>1177</v>
      </c>
      <c r="F108" s="139" t="s">
        <v>1178</v>
      </c>
      <c r="G108" s="199"/>
      <c r="H108" s="198" t="s">
        <v>41</v>
      </c>
      <c r="I108" s="201" t="s">
        <v>88</v>
      </c>
      <c r="J108" s="199"/>
      <c r="K108" s="209"/>
      <c r="L108" s="209"/>
      <c r="M108" s="203"/>
      <c r="N108" s="210" t="s">
        <v>60</v>
      </c>
      <c r="O108" s="211" t="s">
        <v>1179</v>
      </c>
      <c r="P108" s="199"/>
      <c r="Q108" s="215"/>
      <c r="R108" s="199"/>
      <c r="S108" s="201" t="s">
        <v>124</v>
      </c>
      <c r="T108" s="201" t="s">
        <v>1180</v>
      </c>
      <c r="V108" s="207"/>
    </row>
    <row r="109" ht="15.75" customHeight="1">
      <c r="A109" s="196"/>
      <c r="B109" s="198" t="s">
        <v>1168</v>
      </c>
      <c r="C109" s="198" t="s">
        <v>559</v>
      </c>
      <c r="D109" s="199"/>
      <c r="E109" s="139" t="s">
        <v>1151</v>
      </c>
      <c r="F109" s="139" t="s">
        <v>1181</v>
      </c>
      <c r="G109" s="199"/>
      <c r="H109" s="198" t="s">
        <v>41</v>
      </c>
      <c r="I109" s="201" t="s">
        <v>131</v>
      </c>
      <c r="J109" s="199"/>
      <c r="K109" s="209"/>
      <c r="L109" s="209"/>
      <c r="M109" s="203"/>
      <c r="N109" s="204"/>
      <c r="O109" s="205"/>
      <c r="P109" s="199"/>
      <c r="Q109" s="199"/>
      <c r="R109" s="199"/>
      <c r="S109" s="199"/>
      <c r="T109" s="199"/>
      <c r="V109" s="207"/>
    </row>
    <row r="110" ht="15.75" customHeight="1">
      <c r="A110" s="196"/>
      <c r="B110" s="198" t="s">
        <v>1168</v>
      </c>
      <c r="C110" s="198" t="s">
        <v>894</v>
      </c>
      <c r="D110" s="199"/>
      <c r="E110" s="139" t="s">
        <v>1119</v>
      </c>
      <c r="F110" s="139" t="s">
        <v>1182</v>
      </c>
      <c r="G110" s="199"/>
      <c r="H110" s="198" t="s">
        <v>41</v>
      </c>
      <c r="I110" s="201" t="s">
        <v>88</v>
      </c>
      <c r="J110" s="199"/>
      <c r="K110" s="209"/>
      <c r="L110" s="209"/>
      <c r="M110" s="203"/>
      <c r="N110" s="210" t="s">
        <v>45</v>
      </c>
      <c r="O110" s="211" t="s">
        <v>396</v>
      </c>
      <c r="P110" s="199"/>
      <c r="Q110" s="215"/>
      <c r="R110" s="199"/>
      <c r="S110" s="201" t="s">
        <v>124</v>
      </c>
      <c r="T110" s="201" t="s">
        <v>1183</v>
      </c>
      <c r="V110" s="207"/>
    </row>
    <row r="111" ht="15.75" customHeight="1">
      <c r="A111" s="196"/>
      <c r="B111" s="198" t="s">
        <v>1184</v>
      </c>
      <c r="C111" s="198" t="s">
        <v>126</v>
      </c>
      <c r="D111" s="199"/>
      <c r="E111" s="139" t="s">
        <v>1185</v>
      </c>
      <c r="F111" s="139" t="s">
        <v>1186</v>
      </c>
      <c r="G111" s="199"/>
      <c r="H111" s="198" t="s">
        <v>41</v>
      </c>
      <c r="I111" s="201" t="s">
        <v>232</v>
      </c>
      <c r="J111" s="199"/>
      <c r="K111" s="209"/>
      <c r="L111" s="209"/>
      <c r="M111" s="203"/>
      <c r="N111" s="204"/>
      <c r="O111" s="205"/>
      <c r="P111" s="199"/>
      <c r="Q111" s="201" t="s">
        <v>104</v>
      </c>
      <c r="R111" s="206"/>
      <c r="S111" s="201" t="s">
        <v>404</v>
      </c>
      <c r="T111" s="201" t="s">
        <v>1187</v>
      </c>
      <c r="V111" s="207"/>
    </row>
    <row r="112" ht="15.75" customHeight="1">
      <c r="A112" s="196"/>
      <c r="B112" s="198" t="s">
        <v>1184</v>
      </c>
      <c r="C112" s="198" t="s">
        <v>514</v>
      </c>
      <c r="D112" s="199"/>
      <c r="E112" s="139" t="s">
        <v>1188</v>
      </c>
      <c r="F112" s="139" t="s">
        <v>1189</v>
      </c>
      <c r="G112" s="199"/>
      <c r="H112" s="198" t="s">
        <v>41</v>
      </c>
      <c r="I112" s="201" t="s">
        <v>88</v>
      </c>
      <c r="J112" s="199"/>
      <c r="K112" s="209"/>
      <c r="L112" s="209"/>
      <c r="M112" s="203"/>
      <c r="N112" s="210" t="s">
        <v>45</v>
      </c>
      <c r="O112" s="211" t="s">
        <v>396</v>
      </c>
      <c r="P112" s="199"/>
      <c r="Q112" s="215"/>
      <c r="R112" s="206"/>
      <c r="S112" s="201" t="s">
        <v>383</v>
      </c>
      <c r="T112" s="201" t="s">
        <v>1190</v>
      </c>
      <c r="V112" s="207"/>
    </row>
    <row r="113" ht="15.75" customHeight="1">
      <c r="A113" s="196"/>
      <c r="B113" s="198" t="s">
        <v>1184</v>
      </c>
      <c r="C113" s="198" t="s">
        <v>777</v>
      </c>
      <c r="D113" s="199"/>
      <c r="E113" s="198" t="s">
        <v>1191</v>
      </c>
      <c r="F113" s="139" t="s">
        <v>1192</v>
      </c>
      <c r="G113" s="199"/>
      <c r="H113" s="198" t="s">
        <v>41</v>
      </c>
      <c r="I113" s="201" t="s">
        <v>88</v>
      </c>
      <c r="J113" s="199"/>
      <c r="K113" s="209"/>
      <c r="L113" s="209"/>
      <c r="M113" s="203"/>
      <c r="N113" s="210" t="s">
        <v>50</v>
      </c>
      <c r="O113" s="211" t="s">
        <v>1193</v>
      </c>
      <c r="P113" s="199"/>
      <c r="Q113" s="199"/>
      <c r="R113" s="206"/>
      <c r="S113" s="201" t="s">
        <v>124</v>
      </c>
      <c r="T113" s="201" t="s">
        <v>1194</v>
      </c>
      <c r="V113" s="207"/>
    </row>
    <row r="114" ht="15.75" customHeight="1">
      <c r="A114" s="196"/>
      <c r="B114" s="198" t="s">
        <v>1184</v>
      </c>
      <c r="C114" s="198" t="s">
        <v>252</v>
      </c>
      <c r="D114" s="199"/>
      <c r="E114" s="139" t="s">
        <v>1195</v>
      </c>
      <c r="F114" s="198" t="s">
        <v>1196</v>
      </c>
      <c r="G114" s="199"/>
      <c r="H114" s="198" t="s">
        <v>41</v>
      </c>
      <c r="I114" s="201" t="s">
        <v>103</v>
      </c>
      <c r="J114" s="199"/>
      <c r="K114" s="202">
        <v>3600.0</v>
      </c>
      <c r="L114" s="202">
        <v>3600.0</v>
      </c>
      <c r="M114" s="203"/>
      <c r="N114" s="204"/>
      <c r="O114" s="205"/>
      <c r="P114" s="199"/>
      <c r="Q114" s="201" t="s">
        <v>155</v>
      </c>
      <c r="R114" s="206"/>
      <c r="S114" s="201" t="s">
        <v>105</v>
      </c>
      <c r="T114" s="201" t="s">
        <v>1197</v>
      </c>
      <c r="V114" s="207"/>
    </row>
    <row r="115" ht="15.75" customHeight="1">
      <c r="A115" s="196"/>
      <c r="B115" s="198" t="s">
        <v>1184</v>
      </c>
      <c r="C115" s="198" t="s">
        <v>654</v>
      </c>
      <c r="D115" s="199"/>
      <c r="E115" s="139" t="s">
        <v>1198</v>
      </c>
      <c r="F115" s="139" t="s">
        <v>1199</v>
      </c>
      <c r="G115" s="199"/>
      <c r="H115" s="198" t="s">
        <v>41</v>
      </c>
      <c r="I115" s="201" t="s">
        <v>131</v>
      </c>
      <c r="J115" s="199"/>
      <c r="K115" s="209"/>
      <c r="L115" s="209"/>
      <c r="M115" s="203"/>
      <c r="N115" s="204"/>
      <c r="O115" s="205"/>
      <c r="P115" s="199"/>
      <c r="Q115" s="199"/>
      <c r="R115" s="206"/>
      <c r="S115" s="199"/>
      <c r="T115" s="199"/>
      <c r="V115" s="207"/>
    </row>
    <row r="116" ht="15.75" customHeight="1">
      <c r="A116" s="196"/>
      <c r="B116" s="198" t="s">
        <v>1184</v>
      </c>
      <c r="C116" s="198" t="s">
        <v>410</v>
      </c>
      <c r="D116" s="199"/>
      <c r="E116" s="139" t="s">
        <v>1200</v>
      </c>
      <c r="F116" s="139" t="s">
        <v>1201</v>
      </c>
      <c r="G116" s="199"/>
      <c r="H116" s="198" t="s">
        <v>41</v>
      </c>
      <c r="I116" s="201" t="s">
        <v>1111</v>
      </c>
      <c r="J116" s="199"/>
      <c r="K116" s="209"/>
      <c r="L116" s="209"/>
      <c r="M116" s="203"/>
      <c r="N116" s="204"/>
      <c r="O116" s="205"/>
      <c r="P116" s="199"/>
      <c r="Q116" s="199"/>
      <c r="R116" s="206"/>
      <c r="S116" s="199"/>
      <c r="T116" s="199"/>
      <c r="V116" s="207"/>
    </row>
    <row r="117" ht="15.75" customHeight="1">
      <c r="A117" s="196"/>
      <c r="B117" s="198" t="s">
        <v>1202</v>
      </c>
      <c r="C117" s="198" t="s">
        <v>410</v>
      </c>
      <c r="D117" s="199"/>
      <c r="E117" s="139" t="s">
        <v>1200</v>
      </c>
      <c r="F117" s="139" t="s">
        <v>1201</v>
      </c>
      <c r="G117" s="199"/>
      <c r="H117" s="198" t="s">
        <v>41</v>
      </c>
      <c r="I117" s="201" t="s">
        <v>88</v>
      </c>
      <c r="J117" s="199"/>
      <c r="K117" s="209"/>
      <c r="L117" s="209"/>
      <c r="M117" s="203"/>
      <c r="N117" s="210" t="s">
        <v>45</v>
      </c>
      <c r="O117" s="211" t="s">
        <v>396</v>
      </c>
      <c r="P117" s="199"/>
      <c r="Q117" s="199"/>
      <c r="R117" s="206"/>
      <c r="S117" s="201" t="s">
        <v>124</v>
      </c>
      <c r="T117" s="201" t="s">
        <v>1203</v>
      </c>
      <c r="V117" s="207"/>
    </row>
    <row r="118" ht="15.75" customHeight="1">
      <c r="A118" s="196"/>
      <c r="B118" s="198" t="s">
        <v>1202</v>
      </c>
      <c r="C118" s="198" t="s">
        <v>252</v>
      </c>
      <c r="D118" s="199"/>
      <c r="E118" s="139" t="s">
        <v>1204</v>
      </c>
      <c r="F118" s="139" t="s">
        <v>1205</v>
      </c>
      <c r="G118" s="199"/>
      <c r="H118" s="198" t="s">
        <v>41</v>
      </c>
      <c r="I118" s="201" t="s">
        <v>103</v>
      </c>
      <c r="J118" s="199"/>
      <c r="K118" s="202">
        <v>7200.0</v>
      </c>
      <c r="L118" s="202">
        <v>7200.0</v>
      </c>
      <c r="M118" s="203"/>
      <c r="N118" s="204"/>
      <c r="O118" s="205"/>
      <c r="P118" s="199"/>
      <c r="Q118" s="201" t="s">
        <v>104</v>
      </c>
      <c r="R118" s="206"/>
      <c r="S118" s="201" t="s">
        <v>105</v>
      </c>
      <c r="T118" s="199"/>
      <c r="V118" s="207"/>
    </row>
    <row r="119" ht="15.75" customHeight="1">
      <c r="A119" s="196"/>
      <c r="B119" s="198" t="s">
        <v>1206</v>
      </c>
      <c r="C119" s="198" t="s">
        <v>1207</v>
      </c>
      <c r="D119" s="199"/>
      <c r="E119" s="139" t="s">
        <v>1208</v>
      </c>
      <c r="F119" s="198" t="s">
        <v>1209</v>
      </c>
      <c r="G119" s="199"/>
      <c r="H119" s="198" t="s">
        <v>41</v>
      </c>
      <c r="I119" s="201" t="s">
        <v>131</v>
      </c>
      <c r="J119" s="199"/>
      <c r="K119" s="209"/>
      <c r="L119" s="209"/>
      <c r="M119" s="203"/>
      <c r="N119" s="204"/>
      <c r="O119" s="205"/>
      <c r="P119" s="199"/>
      <c r="Q119" s="199"/>
      <c r="R119" s="206"/>
      <c r="S119" s="199"/>
      <c r="T119" s="199"/>
      <c r="V119" s="207"/>
    </row>
    <row r="120" ht="15.75" customHeight="1">
      <c r="A120" s="196"/>
      <c r="B120" s="198" t="s">
        <v>1206</v>
      </c>
      <c r="C120" s="198" t="s">
        <v>1210</v>
      </c>
      <c r="D120" s="199"/>
      <c r="E120" s="139" t="s">
        <v>1211</v>
      </c>
      <c r="F120" s="139" t="s">
        <v>1212</v>
      </c>
      <c r="G120" s="199"/>
      <c r="H120" s="198" t="s">
        <v>41</v>
      </c>
      <c r="I120" s="201" t="s">
        <v>88</v>
      </c>
      <c r="J120" s="199"/>
      <c r="K120" s="209"/>
      <c r="L120" s="209"/>
      <c r="M120" s="203"/>
      <c r="N120" s="210" t="s">
        <v>98</v>
      </c>
      <c r="O120" s="211" t="s">
        <v>647</v>
      </c>
      <c r="P120" s="199"/>
      <c r="Q120" s="215"/>
      <c r="R120" s="206"/>
      <c r="S120" s="201" t="s">
        <v>383</v>
      </c>
      <c r="T120" s="201" t="s">
        <v>1213</v>
      </c>
      <c r="V120" s="207"/>
    </row>
    <row r="121" ht="15.75" customHeight="1">
      <c r="A121" s="196"/>
      <c r="B121" s="198" t="s">
        <v>1206</v>
      </c>
      <c r="C121" s="198" t="s">
        <v>979</v>
      </c>
      <c r="D121" s="199"/>
      <c r="E121" s="139" t="s">
        <v>1214</v>
      </c>
      <c r="F121" s="139" t="s">
        <v>1215</v>
      </c>
      <c r="G121" s="199"/>
      <c r="H121" s="198" t="s">
        <v>41</v>
      </c>
      <c r="I121" s="201" t="s">
        <v>103</v>
      </c>
      <c r="J121" s="199"/>
      <c r="K121" s="202">
        <v>7200.0</v>
      </c>
      <c r="L121" s="202">
        <v>7200.0</v>
      </c>
      <c r="M121" s="203"/>
      <c r="N121" s="204"/>
      <c r="O121" s="205"/>
      <c r="P121" s="199"/>
      <c r="Q121" s="201" t="s">
        <v>104</v>
      </c>
      <c r="R121" s="206"/>
      <c r="S121" s="201" t="s">
        <v>105</v>
      </c>
      <c r="T121" s="199"/>
      <c r="V121" s="207"/>
    </row>
    <row r="122" ht="15.75" customHeight="1">
      <c r="A122" s="196"/>
      <c r="B122" s="198" t="s">
        <v>1206</v>
      </c>
      <c r="C122" s="198" t="s">
        <v>1216</v>
      </c>
      <c r="D122" s="199"/>
      <c r="E122" s="198" t="s">
        <v>1217</v>
      </c>
      <c r="F122" s="139" t="s">
        <v>1218</v>
      </c>
      <c r="G122" s="199"/>
      <c r="H122" s="198" t="s">
        <v>41</v>
      </c>
      <c r="I122" s="201" t="s">
        <v>88</v>
      </c>
      <c r="J122" s="199"/>
      <c r="K122" s="209"/>
      <c r="L122" s="209"/>
      <c r="M122" s="203"/>
      <c r="N122" s="210" t="s">
        <v>45</v>
      </c>
      <c r="O122" s="211" t="s">
        <v>396</v>
      </c>
      <c r="P122" s="199"/>
      <c r="Q122" s="199"/>
      <c r="R122" s="206"/>
      <c r="S122" s="201" t="s">
        <v>90</v>
      </c>
      <c r="T122" s="201" t="s">
        <v>1219</v>
      </c>
      <c r="V122" s="207"/>
    </row>
    <row r="123" ht="15.75" customHeight="1">
      <c r="A123" s="196"/>
      <c r="B123" s="198" t="s">
        <v>1206</v>
      </c>
      <c r="C123" s="198" t="s">
        <v>490</v>
      </c>
      <c r="D123" s="199"/>
      <c r="E123" s="139" t="s">
        <v>1220</v>
      </c>
      <c r="F123" s="139" t="s">
        <v>1221</v>
      </c>
      <c r="G123" s="199"/>
      <c r="H123" s="198" t="s">
        <v>41</v>
      </c>
      <c r="I123" s="201" t="s">
        <v>591</v>
      </c>
      <c r="J123" s="199"/>
      <c r="K123" s="209"/>
      <c r="L123" s="209"/>
      <c r="M123" s="203"/>
      <c r="N123" s="210" t="s">
        <v>45</v>
      </c>
      <c r="O123" s="211" t="s">
        <v>396</v>
      </c>
      <c r="P123" s="199"/>
      <c r="Q123" s="215"/>
      <c r="R123" s="206"/>
      <c r="S123" s="201" t="s">
        <v>90</v>
      </c>
      <c r="T123" s="201" t="s">
        <v>1222</v>
      </c>
      <c r="V123" s="207"/>
    </row>
    <row r="124" ht="15.75" customHeight="1">
      <c r="A124" s="196"/>
      <c r="B124" s="198" t="s">
        <v>1223</v>
      </c>
      <c r="C124" s="198" t="s">
        <v>322</v>
      </c>
      <c r="D124" s="199"/>
      <c r="E124" s="139" t="s">
        <v>1224</v>
      </c>
      <c r="F124" s="139" t="s">
        <v>1225</v>
      </c>
      <c r="G124" s="199"/>
      <c r="H124" s="198" t="s">
        <v>41</v>
      </c>
      <c r="I124" s="201" t="s">
        <v>181</v>
      </c>
      <c r="J124" s="199"/>
      <c r="K124" s="202">
        <v>5100.0</v>
      </c>
      <c r="L124" s="202">
        <v>2700.0</v>
      </c>
      <c r="M124" s="203"/>
      <c r="N124" s="204"/>
      <c r="O124" s="205"/>
      <c r="P124" s="199"/>
      <c r="Q124" s="201" t="s">
        <v>155</v>
      </c>
      <c r="R124" s="206"/>
      <c r="S124" s="201" t="s">
        <v>105</v>
      </c>
      <c r="T124" s="201" t="s">
        <v>1226</v>
      </c>
      <c r="V124" s="207"/>
    </row>
    <row r="125" ht="15.75" customHeight="1">
      <c r="A125" s="196"/>
      <c r="B125" s="198" t="s">
        <v>1223</v>
      </c>
      <c r="C125" s="198" t="s">
        <v>252</v>
      </c>
      <c r="D125" s="199"/>
      <c r="E125" s="198" t="s">
        <v>1227</v>
      </c>
      <c r="F125" s="198" t="s">
        <v>1228</v>
      </c>
      <c r="G125" s="199"/>
      <c r="H125" s="198" t="s">
        <v>41</v>
      </c>
      <c r="I125" s="201" t="s">
        <v>232</v>
      </c>
      <c r="J125" s="199"/>
      <c r="K125" s="209"/>
      <c r="L125" s="209"/>
      <c r="M125" s="203"/>
      <c r="N125" s="204"/>
      <c r="O125" s="205"/>
      <c r="P125" s="199"/>
      <c r="Q125" s="201" t="s">
        <v>104</v>
      </c>
      <c r="R125" s="206"/>
      <c r="S125" s="201" t="s">
        <v>404</v>
      </c>
      <c r="T125" s="201" t="s">
        <v>1187</v>
      </c>
      <c r="V125" s="207"/>
    </row>
    <row r="126" ht="15.75" customHeight="1">
      <c r="A126" s="196"/>
      <c r="B126" s="198" t="s">
        <v>1229</v>
      </c>
      <c r="C126" s="198" t="s">
        <v>1230</v>
      </c>
      <c r="D126" s="199"/>
      <c r="E126" s="198" t="s">
        <v>1231</v>
      </c>
      <c r="F126" s="198" t="s">
        <v>1232</v>
      </c>
      <c r="G126" s="199"/>
      <c r="H126" s="198" t="s">
        <v>41</v>
      </c>
      <c r="I126" s="201" t="s">
        <v>181</v>
      </c>
      <c r="J126" s="199"/>
      <c r="K126" s="202">
        <v>8700.0</v>
      </c>
      <c r="L126" s="202">
        <v>2700.0</v>
      </c>
      <c r="M126" s="203"/>
      <c r="N126" s="204"/>
      <c r="O126" s="205"/>
      <c r="P126" s="199"/>
      <c r="Q126" s="201" t="s">
        <v>104</v>
      </c>
      <c r="R126" s="206"/>
      <c r="S126" s="201" t="s">
        <v>105</v>
      </c>
      <c r="T126" s="199"/>
      <c r="V126" s="207"/>
    </row>
    <row r="127" ht="15.75" customHeight="1">
      <c r="A127" s="196"/>
      <c r="B127" s="198" t="s">
        <v>1229</v>
      </c>
      <c r="C127" s="139" t="s">
        <v>627</v>
      </c>
      <c r="D127" s="199"/>
      <c r="E127" s="139" t="s">
        <v>1233</v>
      </c>
      <c r="F127" s="139" t="s">
        <v>1234</v>
      </c>
      <c r="G127" s="199"/>
      <c r="H127" s="198" t="s">
        <v>41</v>
      </c>
      <c r="I127" s="201" t="s">
        <v>88</v>
      </c>
      <c r="J127" s="199"/>
      <c r="K127" s="209"/>
      <c r="L127" s="209"/>
      <c r="M127" s="203"/>
      <c r="N127" s="210" t="s">
        <v>98</v>
      </c>
      <c r="O127" s="211" t="s">
        <v>1235</v>
      </c>
      <c r="P127" s="199"/>
      <c r="Q127" s="215"/>
      <c r="R127" s="206"/>
      <c r="S127" s="201" t="s">
        <v>124</v>
      </c>
      <c r="T127" s="201" t="s">
        <v>1236</v>
      </c>
      <c r="V127" s="207"/>
    </row>
    <row r="128" ht="15.75" customHeight="1">
      <c r="A128" s="196"/>
      <c r="B128" s="198" t="s">
        <v>1237</v>
      </c>
      <c r="C128" s="198" t="s">
        <v>410</v>
      </c>
      <c r="D128" s="199"/>
      <c r="E128" s="139" t="s">
        <v>1238</v>
      </c>
      <c r="F128" s="139" t="s">
        <v>1239</v>
      </c>
      <c r="G128" s="199"/>
      <c r="H128" s="198" t="s">
        <v>41</v>
      </c>
      <c r="I128" s="201" t="s">
        <v>232</v>
      </c>
      <c r="J128" s="199"/>
      <c r="K128" s="202"/>
      <c r="L128" s="202"/>
      <c r="M128" s="203"/>
      <c r="N128" s="204"/>
      <c r="O128" s="205"/>
      <c r="P128" s="199"/>
      <c r="Q128" s="201" t="s">
        <v>104</v>
      </c>
      <c r="R128" s="206"/>
      <c r="S128" s="201" t="s">
        <v>404</v>
      </c>
      <c r="T128" s="201" t="s">
        <v>1240</v>
      </c>
      <c r="V128" s="207"/>
    </row>
    <row r="129" ht="15.75" customHeight="1">
      <c r="A129" s="196"/>
      <c r="B129" s="198" t="s">
        <v>1237</v>
      </c>
      <c r="C129" s="198" t="s">
        <v>514</v>
      </c>
      <c r="D129" s="199"/>
      <c r="E129" s="139" t="s">
        <v>1101</v>
      </c>
      <c r="F129" s="139" t="s">
        <v>1241</v>
      </c>
      <c r="G129" s="199"/>
      <c r="H129" s="198" t="s">
        <v>41</v>
      </c>
      <c r="I129" s="201" t="s">
        <v>131</v>
      </c>
      <c r="J129" s="199"/>
      <c r="K129" s="209"/>
      <c r="L129" s="209"/>
      <c r="M129" s="203"/>
      <c r="N129" s="204"/>
      <c r="O129" s="205"/>
      <c r="P129" s="199"/>
      <c r="Q129" s="199"/>
      <c r="R129" s="206"/>
      <c r="S129" s="199"/>
      <c r="T129" s="201" t="s">
        <v>1242</v>
      </c>
      <c r="V129" s="207"/>
    </row>
    <row r="130" ht="15.75" customHeight="1">
      <c r="A130" s="196"/>
      <c r="B130" s="198" t="s">
        <v>1237</v>
      </c>
      <c r="C130" s="198" t="s">
        <v>1243</v>
      </c>
      <c r="D130" s="199"/>
      <c r="E130" s="139" t="s">
        <v>1244</v>
      </c>
      <c r="F130" s="139" t="s">
        <v>1245</v>
      </c>
      <c r="G130" s="199"/>
      <c r="H130" s="198" t="s">
        <v>41</v>
      </c>
      <c r="I130" s="201" t="s">
        <v>88</v>
      </c>
      <c r="J130" s="199"/>
      <c r="K130" s="209"/>
      <c r="L130" s="209"/>
      <c r="M130" s="203"/>
      <c r="N130" s="210" t="s">
        <v>98</v>
      </c>
      <c r="O130" s="211" t="s">
        <v>382</v>
      </c>
      <c r="P130" s="199"/>
      <c r="Q130" s="215"/>
      <c r="R130" s="206"/>
      <c r="S130" s="201" t="s">
        <v>383</v>
      </c>
      <c r="T130" s="201" t="s">
        <v>1246</v>
      </c>
      <c r="V130" s="207"/>
    </row>
    <row r="131" ht="15.75" customHeight="1">
      <c r="A131" s="196"/>
      <c r="B131" s="198" t="s">
        <v>1237</v>
      </c>
      <c r="C131" s="198" t="s">
        <v>1247</v>
      </c>
      <c r="D131" s="199"/>
      <c r="E131" s="139" t="s">
        <v>1248</v>
      </c>
      <c r="F131" s="139" t="s">
        <v>1249</v>
      </c>
      <c r="G131" s="199"/>
      <c r="H131" s="198" t="s">
        <v>41</v>
      </c>
      <c r="I131" s="201" t="s">
        <v>88</v>
      </c>
      <c r="J131" s="199"/>
      <c r="K131" s="209"/>
      <c r="L131" s="209"/>
      <c r="M131" s="203"/>
      <c r="N131" s="210" t="s">
        <v>98</v>
      </c>
      <c r="O131" s="211" t="s">
        <v>1250</v>
      </c>
      <c r="P131" s="199"/>
      <c r="Q131" s="199"/>
      <c r="R131" s="206"/>
      <c r="S131" s="201" t="s">
        <v>124</v>
      </c>
      <c r="T131" s="201" t="s">
        <v>1251</v>
      </c>
      <c r="V131" s="207"/>
    </row>
    <row r="132" ht="15.75" customHeight="1">
      <c r="A132" s="196"/>
      <c r="B132" s="198" t="s">
        <v>1237</v>
      </c>
      <c r="C132" s="198" t="s">
        <v>1252</v>
      </c>
      <c r="D132" s="199"/>
      <c r="E132" s="139" t="s">
        <v>1253</v>
      </c>
      <c r="F132" s="139" t="s">
        <v>1254</v>
      </c>
      <c r="G132" s="199"/>
      <c r="H132" s="198" t="s">
        <v>41</v>
      </c>
      <c r="I132" s="201" t="s">
        <v>88</v>
      </c>
      <c r="J132" s="199"/>
      <c r="K132" s="209"/>
      <c r="L132" s="209"/>
      <c r="M132" s="203"/>
      <c r="N132" s="210" t="s">
        <v>60</v>
      </c>
      <c r="O132" s="211" t="s">
        <v>1255</v>
      </c>
      <c r="P132" s="199"/>
      <c r="Q132" s="199"/>
      <c r="R132" s="206"/>
      <c r="S132" s="201" t="s">
        <v>90</v>
      </c>
      <c r="T132" s="201" t="s">
        <v>1256</v>
      </c>
      <c r="V132" s="207"/>
    </row>
    <row r="133" ht="15.75" customHeight="1">
      <c r="A133" s="196"/>
      <c r="B133" s="198" t="s">
        <v>1237</v>
      </c>
      <c r="C133" s="198" t="s">
        <v>1257</v>
      </c>
      <c r="D133" s="199"/>
      <c r="E133" s="198" t="s">
        <v>1258</v>
      </c>
      <c r="F133" s="139" t="s">
        <v>1259</v>
      </c>
      <c r="G133" s="199"/>
      <c r="H133" s="198" t="s">
        <v>41</v>
      </c>
      <c r="I133" s="201" t="s">
        <v>110</v>
      </c>
      <c r="J133" s="199"/>
      <c r="K133" s="209"/>
      <c r="L133" s="209"/>
      <c r="M133" s="203"/>
      <c r="N133" s="204"/>
      <c r="O133" s="205"/>
      <c r="P133" s="199"/>
      <c r="Q133" s="215"/>
      <c r="R133" s="206"/>
      <c r="S133" s="199"/>
      <c r="T133" s="199"/>
      <c r="V133" s="207"/>
    </row>
    <row r="134" ht="15.75" customHeight="1">
      <c r="A134" s="196"/>
      <c r="B134" s="198" t="s">
        <v>1260</v>
      </c>
      <c r="C134" s="198" t="s">
        <v>514</v>
      </c>
      <c r="D134" s="199"/>
      <c r="E134" s="139" t="s">
        <v>1101</v>
      </c>
      <c r="F134" s="198" t="s">
        <v>1102</v>
      </c>
      <c r="G134" s="199"/>
      <c r="H134" s="198" t="s">
        <v>41</v>
      </c>
      <c r="I134" s="201" t="s">
        <v>88</v>
      </c>
      <c r="J134" s="199"/>
      <c r="K134" s="209"/>
      <c r="L134" s="209"/>
      <c r="M134" s="203"/>
      <c r="N134" s="210" t="s">
        <v>60</v>
      </c>
      <c r="O134" s="211" t="s">
        <v>1261</v>
      </c>
      <c r="P134" s="199"/>
      <c r="Q134" s="199"/>
      <c r="R134" s="206"/>
      <c r="S134" s="201" t="s">
        <v>124</v>
      </c>
      <c r="T134" s="201" t="s">
        <v>1262</v>
      </c>
      <c r="V134" s="207"/>
    </row>
    <row r="135" ht="15.75" customHeight="1">
      <c r="A135" s="196"/>
      <c r="B135" s="198" t="s">
        <v>1260</v>
      </c>
      <c r="C135" s="198" t="s">
        <v>514</v>
      </c>
      <c r="D135" s="199"/>
      <c r="E135" s="139" t="s">
        <v>1263</v>
      </c>
      <c r="F135" s="139" t="s">
        <v>1264</v>
      </c>
      <c r="G135" s="199"/>
      <c r="H135" s="198" t="s">
        <v>41</v>
      </c>
      <c r="I135" s="201" t="s">
        <v>88</v>
      </c>
      <c r="J135" s="199"/>
      <c r="K135" s="209"/>
      <c r="L135" s="209"/>
      <c r="M135" s="203"/>
      <c r="N135" s="210" t="s">
        <v>45</v>
      </c>
      <c r="O135" s="211" t="s">
        <v>584</v>
      </c>
      <c r="P135" s="199"/>
      <c r="Q135" s="199"/>
      <c r="R135" s="206"/>
      <c r="S135" s="201" t="s">
        <v>124</v>
      </c>
      <c r="T135" s="201" t="s">
        <v>1265</v>
      </c>
      <c r="V135" s="207"/>
    </row>
    <row r="136" ht="15.75" customHeight="1">
      <c r="A136" s="196"/>
      <c r="B136" s="198" t="s">
        <v>1260</v>
      </c>
      <c r="C136" s="198" t="s">
        <v>490</v>
      </c>
      <c r="D136" s="199"/>
      <c r="E136" s="139" t="s">
        <v>1266</v>
      </c>
      <c r="F136" s="139" t="s">
        <v>1267</v>
      </c>
      <c r="G136" s="199"/>
      <c r="H136" s="198" t="s">
        <v>41</v>
      </c>
      <c r="I136" s="201" t="s">
        <v>88</v>
      </c>
      <c r="J136" s="199"/>
      <c r="K136" s="209"/>
      <c r="L136" s="209"/>
      <c r="M136" s="203"/>
      <c r="N136" s="210" t="s">
        <v>45</v>
      </c>
      <c r="O136" s="211" t="s">
        <v>1268</v>
      </c>
      <c r="P136" s="199"/>
      <c r="Q136" s="215"/>
      <c r="R136" s="206"/>
      <c r="S136" s="201" t="s">
        <v>124</v>
      </c>
      <c r="T136" s="201" t="s">
        <v>1269</v>
      </c>
      <c r="V136" s="207"/>
    </row>
    <row r="137" ht="15.75" customHeight="1">
      <c r="A137" s="196"/>
      <c r="B137" s="198" t="s">
        <v>1260</v>
      </c>
      <c r="C137" s="198" t="s">
        <v>1270</v>
      </c>
      <c r="D137" s="199"/>
      <c r="E137" s="139" t="s">
        <v>1271</v>
      </c>
      <c r="F137" s="139" t="s">
        <v>1272</v>
      </c>
      <c r="G137" s="199"/>
      <c r="H137" s="198" t="s">
        <v>41</v>
      </c>
      <c r="I137" s="201" t="s">
        <v>88</v>
      </c>
      <c r="J137" s="199"/>
      <c r="K137" s="209"/>
      <c r="L137" s="209"/>
      <c r="M137" s="203"/>
      <c r="N137" s="210" t="s">
        <v>45</v>
      </c>
      <c r="O137" s="211" t="s">
        <v>396</v>
      </c>
      <c r="P137" s="199"/>
      <c r="Q137" s="199"/>
      <c r="R137" s="206"/>
      <c r="S137" s="201" t="s">
        <v>383</v>
      </c>
      <c r="T137" s="201" t="s">
        <v>1273</v>
      </c>
      <c r="V137" s="207"/>
    </row>
    <row r="138" ht="15.75" customHeight="1">
      <c r="A138" s="196"/>
      <c r="B138" s="198" t="s">
        <v>1260</v>
      </c>
      <c r="C138" s="198" t="s">
        <v>1274</v>
      </c>
      <c r="D138" s="199"/>
      <c r="E138" s="139" t="s">
        <v>1275</v>
      </c>
      <c r="F138" s="139" t="s">
        <v>1276</v>
      </c>
      <c r="G138" s="199"/>
      <c r="H138" s="198" t="s">
        <v>41</v>
      </c>
      <c r="I138" s="201" t="s">
        <v>131</v>
      </c>
      <c r="J138" s="199"/>
      <c r="K138" s="209"/>
      <c r="L138" s="209"/>
      <c r="M138" s="203"/>
      <c r="N138" s="204"/>
      <c r="O138" s="205"/>
      <c r="P138" s="199"/>
      <c r="Q138" s="215"/>
      <c r="R138" s="206"/>
      <c r="S138" s="199"/>
      <c r="T138" s="199"/>
      <c r="V138" s="207"/>
    </row>
    <row r="139" ht="15.75" customHeight="1">
      <c r="A139" s="196"/>
      <c r="B139" s="198" t="s">
        <v>1260</v>
      </c>
      <c r="C139" s="198" t="s">
        <v>1216</v>
      </c>
      <c r="D139" s="199"/>
      <c r="E139" s="139" t="s">
        <v>1277</v>
      </c>
      <c r="F139" s="139" t="s">
        <v>1278</v>
      </c>
      <c r="G139" s="199"/>
      <c r="H139" s="198" t="s">
        <v>41</v>
      </c>
      <c r="I139" s="201" t="s">
        <v>181</v>
      </c>
      <c r="J139" s="199"/>
      <c r="K139" s="202">
        <v>8700.0</v>
      </c>
      <c r="L139" s="202">
        <v>2700.0</v>
      </c>
      <c r="M139" s="203"/>
      <c r="N139" s="204"/>
      <c r="O139" s="205"/>
      <c r="P139" s="199"/>
      <c r="Q139" s="201" t="s">
        <v>104</v>
      </c>
      <c r="R139" s="206"/>
      <c r="S139" s="201" t="s">
        <v>105</v>
      </c>
      <c r="T139" s="199"/>
      <c r="V139" s="207"/>
    </row>
    <row r="140" ht="15.75" customHeight="1">
      <c r="A140" s="196"/>
      <c r="B140" s="198" t="s">
        <v>1260</v>
      </c>
      <c r="C140" s="198" t="s">
        <v>1279</v>
      </c>
      <c r="D140" s="199"/>
      <c r="E140" s="198" t="s">
        <v>1280</v>
      </c>
      <c r="F140" s="198" t="s">
        <v>1281</v>
      </c>
      <c r="G140" s="199"/>
      <c r="H140" s="198" t="s">
        <v>41</v>
      </c>
      <c r="I140" s="201" t="s">
        <v>181</v>
      </c>
      <c r="J140" s="199"/>
      <c r="K140" s="202">
        <v>10500.0</v>
      </c>
      <c r="L140" s="202">
        <v>3000.0</v>
      </c>
      <c r="M140" s="203"/>
      <c r="N140" s="204"/>
      <c r="O140" s="205"/>
      <c r="P140" s="199"/>
      <c r="Q140" s="201" t="s">
        <v>104</v>
      </c>
      <c r="R140" s="206"/>
      <c r="S140" s="201" t="s">
        <v>105</v>
      </c>
      <c r="T140" s="199"/>
      <c r="V140" s="207"/>
    </row>
    <row r="141" ht="15.75" customHeight="1">
      <c r="A141" s="196"/>
      <c r="B141" s="198" t="s">
        <v>1282</v>
      </c>
      <c r="C141" s="198" t="s">
        <v>410</v>
      </c>
      <c r="D141" s="199"/>
      <c r="E141" s="139" t="s">
        <v>1200</v>
      </c>
      <c r="F141" s="139" t="s">
        <v>1283</v>
      </c>
      <c r="G141" s="199"/>
      <c r="H141" s="198" t="s">
        <v>41</v>
      </c>
      <c r="I141" s="201" t="s">
        <v>232</v>
      </c>
      <c r="J141" s="199"/>
      <c r="K141" s="209"/>
      <c r="L141" s="209"/>
      <c r="M141" s="203"/>
      <c r="N141" s="204"/>
      <c r="O141" s="205"/>
      <c r="P141" s="199"/>
      <c r="Q141" s="201" t="s">
        <v>104</v>
      </c>
      <c r="R141" s="206"/>
      <c r="S141" s="201" t="s">
        <v>404</v>
      </c>
      <c r="T141" s="201" t="s">
        <v>1284</v>
      </c>
      <c r="V141" s="207"/>
    </row>
    <row r="142" ht="15.75" customHeight="1">
      <c r="A142" s="196"/>
      <c r="B142" s="198" t="s">
        <v>1282</v>
      </c>
      <c r="C142" s="198" t="s">
        <v>344</v>
      </c>
      <c r="D142" s="199"/>
      <c r="E142" s="139" t="s">
        <v>1285</v>
      </c>
      <c r="F142" s="198" t="s">
        <v>1286</v>
      </c>
      <c r="G142" s="199"/>
      <c r="H142" s="198" t="s">
        <v>41</v>
      </c>
      <c r="I142" s="201" t="s">
        <v>103</v>
      </c>
      <c r="J142" s="199"/>
      <c r="K142" s="202">
        <v>7200.0</v>
      </c>
      <c r="L142" s="202">
        <v>7200.0</v>
      </c>
      <c r="M142" s="203"/>
      <c r="N142" s="204"/>
      <c r="O142" s="205"/>
      <c r="P142" s="199"/>
      <c r="Q142" s="201" t="s">
        <v>104</v>
      </c>
      <c r="R142" s="206"/>
      <c r="S142" s="201" t="s">
        <v>105</v>
      </c>
      <c r="T142" s="199"/>
      <c r="V142" s="207"/>
    </row>
    <row r="143" ht="15.75" customHeight="1">
      <c r="A143" s="196"/>
      <c r="B143" s="198" t="s">
        <v>1282</v>
      </c>
      <c r="C143" s="198" t="s">
        <v>654</v>
      </c>
      <c r="D143" s="199"/>
      <c r="E143" s="139" t="s">
        <v>1287</v>
      </c>
      <c r="F143" s="139" t="s">
        <v>1288</v>
      </c>
      <c r="G143" s="199"/>
      <c r="H143" s="198" t="s">
        <v>41</v>
      </c>
      <c r="I143" s="201" t="s">
        <v>88</v>
      </c>
      <c r="J143" s="199"/>
      <c r="K143" s="209"/>
      <c r="L143" s="209"/>
      <c r="M143" s="203"/>
      <c r="N143" s="210" t="s">
        <v>50</v>
      </c>
      <c r="O143" s="211" t="s">
        <v>1289</v>
      </c>
      <c r="P143" s="199"/>
      <c r="Q143" s="199"/>
      <c r="R143" s="206"/>
      <c r="S143" s="201" t="s">
        <v>124</v>
      </c>
      <c r="T143" s="201" t="s">
        <v>1290</v>
      </c>
      <c r="V143" s="207"/>
    </row>
    <row r="144" ht="15.75" customHeight="1">
      <c r="A144" s="196"/>
      <c r="B144" s="198" t="s">
        <v>1291</v>
      </c>
      <c r="C144" s="198" t="s">
        <v>1292</v>
      </c>
      <c r="D144" s="199"/>
      <c r="E144" s="198" t="s">
        <v>1293</v>
      </c>
      <c r="F144" s="139" t="s">
        <v>1294</v>
      </c>
      <c r="G144" s="199"/>
      <c r="H144" s="198" t="s">
        <v>41</v>
      </c>
      <c r="I144" s="201" t="s">
        <v>88</v>
      </c>
      <c r="J144" s="199"/>
      <c r="K144" s="209"/>
      <c r="L144" s="209"/>
      <c r="M144" s="203"/>
      <c r="N144" s="210" t="s">
        <v>98</v>
      </c>
      <c r="O144" s="211" t="s">
        <v>1295</v>
      </c>
      <c r="P144" s="199"/>
      <c r="Q144" s="215"/>
      <c r="R144" s="206"/>
      <c r="S144" s="201" t="s">
        <v>383</v>
      </c>
      <c r="T144" s="201" t="s">
        <v>1296</v>
      </c>
      <c r="V144" s="207"/>
    </row>
    <row r="145" ht="15.75" customHeight="1">
      <c r="A145" s="196"/>
      <c r="B145" s="198" t="s">
        <v>1297</v>
      </c>
      <c r="C145" s="198" t="s">
        <v>979</v>
      </c>
      <c r="D145" s="199"/>
      <c r="E145" s="139" t="s">
        <v>1298</v>
      </c>
      <c r="F145" s="139" t="s">
        <v>1299</v>
      </c>
      <c r="G145" s="199"/>
      <c r="H145" s="198" t="s">
        <v>41</v>
      </c>
      <c r="I145" s="201" t="s">
        <v>131</v>
      </c>
      <c r="J145" s="199"/>
      <c r="K145" s="209"/>
      <c r="L145" s="209"/>
      <c r="M145" s="203"/>
      <c r="N145" s="204"/>
      <c r="O145" s="205"/>
      <c r="P145" s="199"/>
      <c r="Q145" s="199"/>
      <c r="R145" s="206"/>
      <c r="S145" s="199"/>
      <c r="T145" s="199"/>
      <c r="V145" s="207"/>
    </row>
    <row r="146" ht="15.75" customHeight="1">
      <c r="A146" s="196"/>
      <c r="B146" s="198" t="s">
        <v>1297</v>
      </c>
      <c r="C146" s="198" t="s">
        <v>483</v>
      </c>
      <c r="D146" s="201" t="s">
        <v>1300</v>
      </c>
      <c r="E146" s="139" t="s">
        <v>1301</v>
      </c>
      <c r="F146" s="139" t="s">
        <v>1302</v>
      </c>
      <c r="G146" s="199"/>
      <c r="H146" s="198" t="s">
        <v>41</v>
      </c>
      <c r="I146" s="201" t="s">
        <v>103</v>
      </c>
      <c r="J146" s="199"/>
      <c r="K146" s="202">
        <v>9000.0</v>
      </c>
      <c r="L146" s="202">
        <v>9000.0</v>
      </c>
      <c r="M146" s="203"/>
      <c r="N146" s="204"/>
      <c r="O146" s="205"/>
      <c r="P146" s="199"/>
      <c r="Q146" s="201" t="s">
        <v>104</v>
      </c>
      <c r="R146" s="206"/>
      <c r="S146" s="201" t="s">
        <v>105</v>
      </c>
      <c r="T146" s="199"/>
      <c r="V146" s="207"/>
    </row>
    <row r="147" ht="15.75" customHeight="1">
      <c r="A147" s="196"/>
      <c r="B147" s="198" t="s">
        <v>1297</v>
      </c>
      <c r="C147" s="198" t="s">
        <v>1303</v>
      </c>
      <c r="D147" s="199"/>
      <c r="E147" s="139" t="s">
        <v>1304</v>
      </c>
      <c r="F147" s="139" t="s">
        <v>1305</v>
      </c>
      <c r="G147" s="199"/>
      <c r="H147" s="198" t="s">
        <v>41</v>
      </c>
      <c r="I147" s="201" t="s">
        <v>88</v>
      </c>
      <c r="J147" s="199"/>
      <c r="K147" s="209"/>
      <c r="L147" s="209"/>
      <c r="M147" s="203"/>
      <c r="N147" s="210" t="s">
        <v>45</v>
      </c>
      <c r="O147" s="211" t="s">
        <v>396</v>
      </c>
      <c r="P147" s="199"/>
      <c r="Q147" s="215"/>
      <c r="R147" s="206"/>
      <c r="S147" s="201" t="s">
        <v>383</v>
      </c>
      <c r="T147" s="201" t="s">
        <v>1306</v>
      </c>
      <c r="V147" s="207"/>
    </row>
    <row r="148" ht="15.75" customHeight="1">
      <c r="A148" s="196"/>
      <c r="B148" s="198" t="s">
        <v>1297</v>
      </c>
      <c r="C148" s="198" t="s">
        <v>1307</v>
      </c>
      <c r="D148" s="199"/>
      <c r="E148" s="139" t="s">
        <v>1308</v>
      </c>
      <c r="F148" s="139" t="s">
        <v>1309</v>
      </c>
      <c r="G148" s="199"/>
      <c r="H148" s="198" t="s">
        <v>41</v>
      </c>
      <c r="I148" s="201" t="s">
        <v>88</v>
      </c>
      <c r="J148" s="199"/>
      <c r="K148" s="209"/>
      <c r="L148" s="209"/>
      <c r="M148" s="203"/>
      <c r="N148" s="210" t="s">
        <v>45</v>
      </c>
      <c r="O148" s="211" t="s">
        <v>396</v>
      </c>
      <c r="P148" s="199"/>
      <c r="Q148" s="215"/>
      <c r="R148" s="206"/>
      <c r="S148" s="201" t="s">
        <v>124</v>
      </c>
      <c r="T148" s="201" t="s">
        <v>1310</v>
      </c>
      <c r="V148" s="207"/>
    </row>
    <row r="149" ht="15.75" customHeight="1">
      <c r="A149" s="196"/>
      <c r="B149" s="198" t="s">
        <v>1297</v>
      </c>
      <c r="C149" s="198" t="s">
        <v>772</v>
      </c>
      <c r="D149" s="199"/>
      <c r="E149" s="139" t="s">
        <v>1311</v>
      </c>
      <c r="F149" s="139" t="s">
        <v>1312</v>
      </c>
      <c r="G149" s="199"/>
      <c r="H149" s="198" t="s">
        <v>41</v>
      </c>
      <c r="I149" s="201" t="s">
        <v>88</v>
      </c>
      <c r="J149" s="199"/>
      <c r="K149" s="209"/>
      <c r="L149" s="209"/>
      <c r="M149" s="203"/>
      <c r="N149" s="210" t="s">
        <v>45</v>
      </c>
      <c r="O149" s="211" t="s">
        <v>396</v>
      </c>
      <c r="P149" s="199"/>
      <c r="Q149" s="215"/>
      <c r="R149" s="206"/>
      <c r="S149" s="201" t="s">
        <v>90</v>
      </c>
      <c r="T149" s="201" t="s">
        <v>1313</v>
      </c>
      <c r="V149" s="207"/>
    </row>
    <row r="150" ht="15.75" customHeight="1">
      <c r="A150" s="196"/>
      <c r="B150" s="198" t="s">
        <v>1297</v>
      </c>
      <c r="C150" s="198" t="s">
        <v>1314</v>
      </c>
      <c r="D150" s="199"/>
      <c r="E150" s="139" t="s">
        <v>1315</v>
      </c>
      <c r="F150" s="139" t="s">
        <v>1316</v>
      </c>
      <c r="G150" s="199"/>
      <c r="H150" s="198" t="s">
        <v>41</v>
      </c>
      <c r="I150" s="201" t="s">
        <v>88</v>
      </c>
      <c r="J150" s="199"/>
      <c r="K150" s="209"/>
      <c r="L150" s="209"/>
      <c r="M150" s="203"/>
      <c r="N150" s="210" t="s">
        <v>45</v>
      </c>
      <c r="O150" s="211" t="s">
        <v>396</v>
      </c>
      <c r="P150" s="199"/>
      <c r="Q150" s="215"/>
      <c r="R150" s="206"/>
      <c r="S150" s="201" t="s">
        <v>124</v>
      </c>
      <c r="T150" s="201" t="s">
        <v>1317</v>
      </c>
      <c r="V150" s="207"/>
    </row>
    <row r="151" ht="15.75" customHeight="1">
      <c r="A151" s="196"/>
      <c r="B151" s="198" t="s">
        <v>1318</v>
      </c>
      <c r="C151" s="198" t="s">
        <v>979</v>
      </c>
      <c r="D151" s="199"/>
      <c r="E151" s="139" t="s">
        <v>1298</v>
      </c>
      <c r="F151" s="139" t="s">
        <v>1299</v>
      </c>
      <c r="G151" s="199"/>
      <c r="H151" s="198" t="s">
        <v>41</v>
      </c>
      <c r="I151" s="201" t="s">
        <v>131</v>
      </c>
      <c r="J151" s="199"/>
      <c r="K151" s="209"/>
      <c r="L151" s="209"/>
      <c r="M151" s="203"/>
      <c r="N151" s="204"/>
      <c r="O151" s="205"/>
      <c r="P151" s="199"/>
      <c r="Q151" s="215"/>
      <c r="R151" s="206"/>
      <c r="S151" s="199"/>
      <c r="T151" s="199"/>
      <c r="V151" s="207"/>
    </row>
    <row r="152" ht="15.75" customHeight="1">
      <c r="A152" s="196"/>
      <c r="B152" s="198" t="s">
        <v>1318</v>
      </c>
      <c r="C152" s="198" t="s">
        <v>1319</v>
      </c>
      <c r="D152" s="199"/>
      <c r="E152" s="139" t="s">
        <v>1320</v>
      </c>
      <c r="F152" s="139" t="s">
        <v>1321</v>
      </c>
      <c r="G152" s="199"/>
      <c r="H152" s="198" t="s">
        <v>41</v>
      </c>
      <c r="I152" s="201" t="s">
        <v>1111</v>
      </c>
      <c r="J152" s="199"/>
      <c r="K152" s="209"/>
      <c r="L152" s="209"/>
      <c r="M152" s="203"/>
      <c r="N152" s="204"/>
      <c r="O152" s="205"/>
      <c r="P152" s="199"/>
      <c r="Q152" s="215"/>
      <c r="R152" s="206"/>
      <c r="S152" s="199"/>
      <c r="T152" s="199"/>
      <c r="V152" s="207"/>
    </row>
    <row r="153" ht="15.75" customHeight="1">
      <c r="A153" s="196"/>
      <c r="B153" s="198" t="s">
        <v>1322</v>
      </c>
      <c r="C153" s="198" t="s">
        <v>360</v>
      </c>
      <c r="D153" s="199"/>
      <c r="E153" s="139" t="s">
        <v>1323</v>
      </c>
      <c r="F153" s="139" t="s">
        <v>1324</v>
      </c>
      <c r="G153" s="199"/>
      <c r="H153" s="198" t="s">
        <v>41</v>
      </c>
      <c r="I153" s="201" t="s">
        <v>103</v>
      </c>
      <c r="J153" s="199"/>
      <c r="K153" s="202">
        <v>9000.0</v>
      </c>
      <c r="L153" s="202">
        <v>9000.0</v>
      </c>
      <c r="M153" s="203"/>
      <c r="N153" s="204"/>
      <c r="O153" s="205"/>
      <c r="P153" s="199"/>
      <c r="Q153" s="201" t="s">
        <v>104</v>
      </c>
      <c r="R153" s="206"/>
      <c r="S153" s="201" t="s">
        <v>105</v>
      </c>
      <c r="T153" s="199"/>
      <c r="V153" s="207"/>
    </row>
    <row r="154" ht="15.75" customHeight="1">
      <c r="A154" s="196"/>
      <c r="B154" s="198" t="s">
        <v>1322</v>
      </c>
      <c r="C154" s="198" t="s">
        <v>1325</v>
      </c>
      <c r="D154" s="199"/>
      <c r="E154" s="139" t="s">
        <v>1326</v>
      </c>
      <c r="F154" s="139" t="s">
        <v>1327</v>
      </c>
      <c r="G154" s="199"/>
      <c r="H154" s="198" t="s">
        <v>41</v>
      </c>
      <c r="I154" s="201" t="s">
        <v>88</v>
      </c>
      <c r="J154" s="199"/>
      <c r="K154" s="209"/>
      <c r="L154" s="209"/>
      <c r="M154" s="203"/>
      <c r="N154" s="210" t="s">
        <v>98</v>
      </c>
      <c r="O154" s="211" t="s">
        <v>647</v>
      </c>
      <c r="P154" s="199"/>
      <c r="Q154" s="215"/>
      <c r="R154" s="206"/>
      <c r="S154" s="201" t="s">
        <v>124</v>
      </c>
      <c r="T154" s="201" t="s">
        <v>1328</v>
      </c>
      <c r="V154" s="207"/>
    </row>
    <row r="155" ht="15.75" customHeight="1">
      <c r="A155" s="196"/>
      <c r="B155" s="198" t="s">
        <v>1322</v>
      </c>
      <c r="C155" s="198" t="s">
        <v>543</v>
      </c>
      <c r="D155" s="199"/>
      <c r="E155" s="139" t="s">
        <v>1329</v>
      </c>
      <c r="F155" s="139" t="s">
        <v>1330</v>
      </c>
      <c r="G155" s="199"/>
      <c r="H155" s="198" t="s">
        <v>41</v>
      </c>
      <c r="I155" s="201" t="s">
        <v>88</v>
      </c>
      <c r="J155" s="199"/>
      <c r="K155" s="209"/>
      <c r="L155" s="209"/>
      <c r="M155" s="203"/>
      <c r="N155" s="210" t="s">
        <v>50</v>
      </c>
      <c r="O155" s="211" t="s">
        <v>1331</v>
      </c>
      <c r="P155" s="199"/>
      <c r="Q155" s="215"/>
      <c r="R155" s="206"/>
      <c r="S155" s="201" t="s">
        <v>124</v>
      </c>
      <c r="T155" s="201" t="s">
        <v>1332</v>
      </c>
      <c r="V155" s="207"/>
    </row>
    <row r="156" ht="15.75" customHeight="1">
      <c r="A156" s="196"/>
      <c r="B156" s="198" t="s">
        <v>1322</v>
      </c>
      <c r="C156" s="198" t="s">
        <v>1319</v>
      </c>
      <c r="D156" s="199"/>
      <c r="E156" s="139" t="s">
        <v>1320</v>
      </c>
      <c r="F156" s="139" t="s">
        <v>1321</v>
      </c>
      <c r="G156" s="199"/>
      <c r="H156" s="198" t="s">
        <v>41</v>
      </c>
      <c r="I156" s="201" t="s">
        <v>232</v>
      </c>
      <c r="J156" s="199"/>
      <c r="K156" s="209"/>
      <c r="L156" s="209"/>
      <c r="M156" s="203"/>
      <c r="N156" s="204"/>
      <c r="O156" s="205"/>
      <c r="P156" s="199"/>
      <c r="Q156" s="201" t="s">
        <v>104</v>
      </c>
      <c r="R156" s="206"/>
      <c r="S156" s="201" t="s">
        <v>404</v>
      </c>
      <c r="T156" s="201" t="s">
        <v>1333</v>
      </c>
      <c r="V156" s="207"/>
    </row>
    <row r="157" ht="15.75" customHeight="1">
      <c r="A157" s="196"/>
      <c r="B157" s="198" t="s">
        <v>1322</v>
      </c>
      <c r="C157" s="198" t="s">
        <v>597</v>
      </c>
      <c r="D157" s="199"/>
      <c r="E157" s="139" t="s">
        <v>1334</v>
      </c>
      <c r="F157" s="139" t="s">
        <v>1335</v>
      </c>
      <c r="G157" s="199"/>
      <c r="H157" s="198" t="s">
        <v>41</v>
      </c>
      <c r="I157" s="201" t="s">
        <v>181</v>
      </c>
      <c r="J157" s="199"/>
      <c r="K157" s="202">
        <v>10500.0</v>
      </c>
      <c r="L157" s="202">
        <v>3000.0</v>
      </c>
      <c r="M157" s="203"/>
      <c r="N157" s="204"/>
      <c r="O157" s="205"/>
      <c r="P157" s="199"/>
      <c r="Q157" s="201" t="s">
        <v>104</v>
      </c>
      <c r="R157" s="206"/>
      <c r="S157" s="201" t="s">
        <v>105</v>
      </c>
      <c r="T157" s="199"/>
      <c r="V157" s="207"/>
    </row>
    <row r="158" ht="15.75" customHeight="1">
      <c r="A158" s="196"/>
      <c r="B158" s="198" t="s">
        <v>1322</v>
      </c>
      <c r="C158" s="198" t="s">
        <v>360</v>
      </c>
      <c r="D158" s="199"/>
      <c r="E158" s="139" t="s">
        <v>1336</v>
      </c>
      <c r="F158" s="198" t="s">
        <v>1337</v>
      </c>
      <c r="G158" s="199"/>
      <c r="H158" s="198" t="s">
        <v>41</v>
      </c>
      <c r="I158" s="201" t="s">
        <v>181</v>
      </c>
      <c r="J158" s="199"/>
      <c r="K158" s="202">
        <v>10500.0</v>
      </c>
      <c r="L158" s="202">
        <v>3000.0</v>
      </c>
      <c r="M158" s="203"/>
      <c r="N158" s="204"/>
      <c r="O158" s="205"/>
      <c r="P158" s="199"/>
      <c r="Q158" s="201" t="s">
        <v>104</v>
      </c>
      <c r="R158" s="206"/>
      <c r="S158" s="201" t="s">
        <v>105</v>
      </c>
      <c r="T158" s="199"/>
      <c r="V158" s="207"/>
    </row>
    <row r="159" ht="15.75" customHeight="1">
      <c r="A159" s="196"/>
      <c r="B159" s="218"/>
      <c r="C159" s="207"/>
      <c r="D159" s="199"/>
      <c r="E159" s="207"/>
      <c r="F159" s="207"/>
      <c r="G159" s="199"/>
      <c r="H159" s="207"/>
      <c r="I159" s="199"/>
      <c r="J159" s="199"/>
      <c r="K159" s="209"/>
      <c r="L159" s="209"/>
      <c r="M159" s="203"/>
      <c r="N159" s="204"/>
      <c r="O159" s="205"/>
      <c r="P159" s="199"/>
      <c r="Q159" s="215"/>
      <c r="R159" s="206"/>
      <c r="S159" s="199"/>
      <c r="T159" s="199"/>
      <c r="V159" s="207"/>
    </row>
    <row r="160" ht="15.75" customHeight="1">
      <c r="A160" s="196"/>
      <c r="B160" s="218"/>
      <c r="C160" s="207"/>
      <c r="D160" s="199"/>
      <c r="E160" s="207"/>
      <c r="F160" s="207"/>
      <c r="G160" s="199"/>
      <c r="H160" s="207"/>
      <c r="I160" s="199"/>
      <c r="J160" s="199"/>
      <c r="K160" s="209"/>
      <c r="L160" s="209"/>
      <c r="M160" s="203"/>
      <c r="N160" s="204"/>
      <c r="O160" s="205"/>
      <c r="P160" s="199"/>
      <c r="Q160" s="215"/>
      <c r="R160" s="206"/>
      <c r="S160" s="199"/>
      <c r="T160" s="199"/>
      <c r="V160" s="207"/>
    </row>
    <row r="161" ht="15.75" customHeight="1">
      <c r="A161" s="196"/>
      <c r="B161" s="218"/>
      <c r="C161" s="207"/>
      <c r="D161" s="199"/>
      <c r="E161" s="207"/>
      <c r="F161" s="207"/>
      <c r="G161" s="199"/>
      <c r="H161" s="207"/>
      <c r="I161" s="199"/>
      <c r="J161" s="199"/>
      <c r="K161" s="209"/>
      <c r="L161" s="209"/>
      <c r="M161" s="203"/>
      <c r="N161" s="204"/>
      <c r="O161" s="205"/>
      <c r="P161" s="199"/>
      <c r="Q161" s="215"/>
      <c r="R161" s="206"/>
      <c r="S161" s="199"/>
      <c r="T161" s="199"/>
      <c r="V161" s="207"/>
    </row>
    <row r="162" ht="15.75" customHeight="1">
      <c r="A162" s="196"/>
      <c r="B162" s="218"/>
      <c r="C162" s="207"/>
      <c r="D162" s="199"/>
      <c r="E162" s="207"/>
      <c r="F162" s="207"/>
      <c r="G162" s="199"/>
      <c r="H162" s="207"/>
      <c r="I162" s="199"/>
      <c r="J162" s="199"/>
      <c r="K162" s="209"/>
      <c r="L162" s="209"/>
      <c r="M162" s="203"/>
      <c r="N162" s="204"/>
      <c r="O162" s="205"/>
      <c r="P162" s="199"/>
      <c r="Q162" s="215"/>
      <c r="R162" s="206"/>
      <c r="S162" s="199"/>
      <c r="T162" s="199"/>
      <c r="V162" s="207"/>
    </row>
    <row r="163" ht="15.75" customHeight="1">
      <c r="A163" s="196"/>
      <c r="B163" s="218"/>
      <c r="C163" s="207"/>
      <c r="D163" s="199"/>
      <c r="E163" s="207"/>
      <c r="F163" s="207"/>
      <c r="G163" s="199"/>
      <c r="H163" s="207"/>
      <c r="I163" s="199"/>
      <c r="J163" s="199"/>
      <c r="K163" s="209"/>
      <c r="L163" s="209"/>
      <c r="M163" s="203"/>
      <c r="N163" s="204"/>
      <c r="O163" s="205"/>
      <c r="P163" s="199"/>
      <c r="Q163" s="215"/>
      <c r="R163" s="206"/>
      <c r="S163" s="199"/>
      <c r="T163" s="199"/>
      <c r="V163" s="207"/>
    </row>
    <row r="164" ht="15.75" customHeight="1">
      <c r="A164" s="196"/>
      <c r="B164" s="218"/>
      <c r="C164" s="207"/>
      <c r="D164" s="199"/>
      <c r="E164" s="207"/>
      <c r="F164" s="207"/>
      <c r="G164" s="199"/>
      <c r="H164" s="207"/>
      <c r="I164" s="199"/>
      <c r="J164" s="199"/>
      <c r="K164" s="209"/>
      <c r="L164" s="209"/>
      <c r="M164" s="203"/>
      <c r="N164" s="204"/>
      <c r="O164" s="205"/>
      <c r="P164" s="199"/>
      <c r="Q164" s="215"/>
      <c r="R164" s="206"/>
      <c r="S164" s="199"/>
      <c r="T164" s="199"/>
      <c r="V164" s="207"/>
    </row>
    <row r="165" ht="15.75" customHeight="1">
      <c r="A165" s="196"/>
      <c r="B165" s="218"/>
      <c r="C165" s="207"/>
      <c r="D165" s="199"/>
      <c r="E165" s="207"/>
      <c r="F165" s="207"/>
      <c r="G165" s="199"/>
      <c r="H165" s="207"/>
      <c r="I165" s="199"/>
      <c r="J165" s="199"/>
      <c r="K165" s="209"/>
      <c r="L165" s="209"/>
      <c r="M165" s="203"/>
      <c r="N165" s="204"/>
      <c r="O165" s="205"/>
      <c r="P165" s="199"/>
      <c r="Q165" s="215"/>
      <c r="R165" s="206"/>
      <c r="S165" s="199"/>
      <c r="T165" s="199"/>
      <c r="V165" s="207"/>
    </row>
    <row r="166" ht="15.75" customHeight="1">
      <c r="A166" s="196"/>
      <c r="B166" s="218"/>
      <c r="C166" s="207"/>
      <c r="D166" s="199"/>
      <c r="E166" s="207"/>
      <c r="F166" s="207"/>
      <c r="G166" s="199"/>
      <c r="H166" s="207"/>
      <c r="I166" s="199"/>
      <c r="J166" s="199"/>
      <c r="K166" s="209"/>
      <c r="L166" s="209"/>
      <c r="M166" s="203"/>
      <c r="N166" s="204"/>
      <c r="O166" s="205"/>
      <c r="P166" s="199"/>
      <c r="Q166" s="215"/>
      <c r="R166" s="206"/>
      <c r="S166" s="199"/>
      <c r="T166" s="199"/>
      <c r="V166" s="207"/>
    </row>
    <row r="167" ht="15.75" customHeight="1">
      <c r="A167" s="196"/>
      <c r="B167" s="218"/>
      <c r="C167" s="207"/>
      <c r="D167" s="199"/>
      <c r="E167" s="207"/>
      <c r="F167" s="207"/>
      <c r="G167" s="199"/>
      <c r="H167" s="207"/>
      <c r="I167" s="199"/>
      <c r="J167" s="199"/>
      <c r="K167" s="209"/>
      <c r="L167" s="209"/>
      <c r="M167" s="203"/>
      <c r="N167" s="204"/>
      <c r="O167" s="205"/>
      <c r="P167" s="199"/>
      <c r="Q167" s="215"/>
      <c r="R167" s="206"/>
      <c r="S167" s="199"/>
      <c r="T167" s="199"/>
      <c r="V167" s="207"/>
    </row>
    <row r="168" ht="15.75" customHeight="1">
      <c r="A168" s="196"/>
      <c r="B168" s="218"/>
      <c r="C168" s="207"/>
      <c r="D168" s="199"/>
      <c r="E168" s="207"/>
      <c r="F168" s="207"/>
      <c r="G168" s="199"/>
      <c r="H168" s="207"/>
      <c r="I168" s="199"/>
      <c r="J168" s="199"/>
      <c r="K168" s="209"/>
      <c r="L168" s="209"/>
      <c r="M168" s="203"/>
      <c r="N168" s="204"/>
      <c r="O168" s="205"/>
      <c r="P168" s="199"/>
      <c r="Q168" s="215"/>
      <c r="R168" s="206"/>
      <c r="S168" s="199"/>
      <c r="T168" s="199"/>
      <c r="V168" s="207"/>
    </row>
    <row r="169" ht="15.75" customHeight="1">
      <c r="A169" s="196"/>
      <c r="B169" s="218"/>
      <c r="C169" s="207"/>
      <c r="D169" s="199"/>
      <c r="E169" s="207"/>
      <c r="F169" s="207"/>
      <c r="G169" s="199"/>
      <c r="H169" s="207"/>
      <c r="I169" s="199"/>
      <c r="J169" s="199"/>
      <c r="K169" s="209"/>
      <c r="L169" s="209"/>
      <c r="M169" s="203"/>
      <c r="N169" s="204"/>
      <c r="O169" s="205"/>
      <c r="P169" s="199"/>
      <c r="Q169" s="215"/>
      <c r="R169" s="206"/>
      <c r="S169" s="199"/>
      <c r="T169" s="199"/>
      <c r="V169" s="207"/>
    </row>
    <row r="170" ht="15.75" customHeight="1">
      <c r="A170" s="196"/>
      <c r="B170" s="218"/>
      <c r="C170" s="207"/>
      <c r="D170" s="199"/>
      <c r="E170" s="207"/>
      <c r="F170" s="207"/>
      <c r="G170" s="199"/>
      <c r="H170" s="207"/>
      <c r="I170" s="199"/>
      <c r="J170" s="199"/>
      <c r="K170" s="209"/>
      <c r="L170" s="209"/>
      <c r="M170" s="203"/>
      <c r="N170" s="204"/>
      <c r="O170" s="205"/>
      <c r="P170" s="199"/>
      <c r="Q170" s="215"/>
      <c r="R170" s="206"/>
      <c r="S170" s="199"/>
      <c r="T170" s="199"/>
      <c r="V170" s="207"/>
    </row>
    <row r="171" ht="15.75" customHeight="1">
      <c r="A171" s="196"/>
      <c r="B171" s="218"/>
      <c r="C171" s="207"/>
      <c r="D171" s="199"/>
      <c r="E171" s="207"/>
      <c r="F171" s="207"/>
      <c r="G171" s="199"/>
      <c r="H171" s="207"/>
      <c r="I171" s="199"/>
      <c r="J171" s="199"/>
      <c r="K171" s="209"/>
      <c r="L171" s="209"/>
      <c r="M171" s="203"/>
      <c r="N171" s="204"/>
      <c r="O171" s="205"/>
      <c r="P171" s="199"/>
      <c r="Q171" s="215"/>
      <c r="R171" s="206"/>
      <c r="S171" s="199"/>
      <c r="T171" s="199"/>
      <c r="V171" s="207"/>
    </row>
    <row r="172" ht="15.75" customHeight="1">
      <c r="A172" s="196"/>
      <c r="B172" s="218"/>
      <c r="C172" s="207"/>
      <c r="D172" s="199"/>
      <c r="E172" s="207"/>
      <c r="F172" s="207"/>
      <c r="G172" s="199"/>
      <c r="H172" s="207"/>
      <c r="I172" s="199"/>
      <c r="J172" s="199"/>
      <c r="K172" s="209"/>
      <c r="L172" s="209"/>
      <c r="M172" s="203"/>
      <c r="N172" s="204"/>
      <c r="O172" s="205"/>
      <c r="P172" s="199"/>
      <c r="Q172" s="215"/>
      <c r="R172" s="206"/>
      <c r="S172" s="199"/>
      <c r="T172" s="199"/>
      <c r="V172" s="207"/>
    </row>
    <row r="173" ht="15.75" customHeight="1">
      <c r="A173" s="196"/>
      <c r="B173" s="218"/>
      <c r="C173" s="207"/>
      <c r="D173" s="199"/>
      <c r="E173" s="207"/>
      <c r="F173" s="207"/>
      <c r="G173" s="199"/>
      <c r="H173" s="207"/>
      <c r="I173" s="199"/>
      <c r="J173" s="199"/>
      <c r="K173" s="209"/>
      <c r="L173" s="209"/>
      <c r="M173" s="203"/>
      <c r="N173" s="204"/>
      <c r="O173" s="205"/>
      <c r="P173" s="199"/>
      <c r="Q173" s="215"/>
      <c r="R173" s="206"/>
      <c r="S173" s="199"/>
      <c r="T173" s="199"/>
      <c r="V173" s="207"/>
    </row>
    <row r="174" ht="15.75" customHeight="1">
      <c r="A174" s="196"/>
      <c r="B174" s="218"/>
      <c r="C174" s="207"/>
      <c r="D174" s="199"/>
      <c r="E174" s="207"/>
      <c r="F174" s="207"/>
      <c r="G174" s="199"/>
      <c r="H174" s="207"/>
      <c r="I174" s="199"/>
      <c r="J174" s="199"/>
      <c r="K174" s="209"/>
      <c r="L174" s="209"/>
      <c r="M174" s="203"/>
      <c r="N174" s="204"/>
      <c r="O174" s="205"/>
      <c r="P174" s="199"/>
      <c r="Q174" s="215"/>
      <c r="R174" s="206"/>
      <c r="S174" s="199"/>
      <c r="T174" s="199"/>
      <c r="V174" s="207"/>
    </row>
    <row r="175" ht="15.75" customHeight="1">
      <c r="A175" s="196"/>
      <c r="B175" s="218"/>
      <c r="C175" s="207"/>
      <c r="D175" s="199"/>
      <c r="E175" s="207"/>
      <c r="F175" s="207"/>
      <c r="G175" s="199"/>
      <c r="H175" s="207"/>
      <c r="I175" s="199"/>
      <c r="J175" s="199"/>
      <c r="K175" s="209"/>
      <c r="L175" s="209"/>
      <c r="M175" s="203"/>
      <c r="N175" s="204"/>
      <c r="O175" s="205"/>
      <c r="P175" s="199"/>
      <c r="Q175" s="215"/>
      <c r="R175" s="206"/>
      <c r="S175" s="199"/>
      <c r="T175" s="199"/>
      <c r="V175" s="207"/>
    </row>
    <row r="176" ht="15.75" customHeight="1">
      <c r="A176" s="196"/>
      <c r="B176" s="218"/>
      <c r="C176" s="207"/>
      <c r="D176" s="199"/>
      <c r="E176" s="207"/>
      <c r="F176" s="207"/>
      <c r="G176" s="199"/>
      <c r="H176" s="207"/>
      <c r="I176" s="199"/>
      <c r="J176" s="199"/>
      <c r="K176" s="209"/>
      <c r="L176" s="209"/>
      <c r="M176" s="203"/>
      <c r="N176" s="204"/>
      <c r="O176" s="205"/>
      <c r="P176" s="199"/>
      <c r="Q176" s="215"/>
      <c r="R176" s="206"/>
      <c r="S176" s="199"/>
      <c r="T176" s="199"/>
      <c r="V176" s="207"/>
    </row>
    <row r="177" ht="15.75" customHeight="1">
      <c r="A177" s="196"/>
      <c r="B177" s="218"/>
      <c r="C177" s="207"/>
      <c r="D177" s="199"/>
      <c r="E177" s="207"/>
      <c r="F177" s="207"/>
      <c r="G177" s="199"/>
      <c r="H177" s="207"/>
      <c r="I177" s="199"/>
      <c r="J177" s="199"/>
      <c r="K177" s="209"/>
      <c r="L177" s="209"/>
      <c r="M177" s="203"/>
      <c r="N177" s="204"/>
      <c r="O177" s="205"/>
      <c r="P177" s="199"/>
      <c r="Q177" s="215"/>
      <c r="R177" s="206"/>
      <c r="S177" s="199"/>
      <c r="T177" s="199"/>
      <c r="V177" s="207"/>
    </row>
    <row r="178" ht="15.75" customHeight="1">
      <c r="A178" s="196"/>
      <c r="B178" s="218"/>
      <c r="C178" s="207"/>
      <c r="D178" s="199"/>
      <c r="E178" s="207"/>
      <c r="F178" s="207"/>
      <c r="G178" s="199"/>
      <c r="H178" s="207"/>
      <c r="I178" s="199"/>
      <c r="J178" s="199"/>
      <c r="K178" s="209"/>
      <c r="L178" s="209"/>
      <c r="M178" s="203"/>
      <c r="N178" s="204"/>
      <c r="O178" s="205"/>
      <c r="P178" s="199"/>
      <c r="Q178" s="215"/>
      <c r="R178" s="206"/>
      <c r="S178" s="199"/>
      <c r="T178" s="199"/>
      <c r="V178" s="207"/>
    </row>
    <row r="179" ht="15.75" customHeight="1">
      <c r="A179" s="196"/>
      <c r="B179" s="218"/>
      <c r="C179" s="207"/>
      <c r="D179" s="199"/>
      <c r="E179" s="207"/>
      <c r="F179" s="207"/>
      <c r="G179" s="199"/>
      <c r="H179" s="207"/>
      <c r="I179" s="199"/>
      <c r="J179" s="199"/>
      <c r="K179" s="209"/>
      <c r="L179" s="209"/>
      <c r="M179" s="203"/>
      <c r="N179" s="204"/>
      <c r="O179" s="205"/>
      <c r="P179" s="199"/>
      <c r="Q179" s="215"/>
      <c r="R179" s="206"/>
      <c r="S179" s="199"/>
      <c r="T179" s="199"/>
      <c r="V179" s="207"/>
    </row>
    <row r="180" ht="15.75" customHeight="1">
      <c r="A180" s="196"/>
      <c r="B180" s="218"/>
      <c r="C180" s="207"/>
      <c r="D180" s="199"/>
      <c r="E180" s="207"/>
      <c r="F180" s="207"/>
      <c r="G180" s="199"/>
      <c r="H180" s="207"/>
      <c r="I180" s="199"/>
      <c r="J180" s="199"/>
      <c r="K180" s="209"/>
      <c r="L180" s="209"/>
      <c r="M180" s="203"/>
      <c r="N180" s="204"/>
      <c r="O180" s="205"/>
      <c r="P180" s="199"/>
      <c r="Q180" s="215"/>
      <c r="R180" s="206"/>
      <c r="S180" s="199"/>
      <c r="T180" s="199"/>
      <c r="V180" s="207"/>
    </row>
    <row r="181" ht="15.75" customHeight="1">
      <c r="A181" s="196"/>
      <c r="B181" s="218"/>
      <c r="C181" s="207"/>
      <c r="D181" s="199"/>
      <c r="E181" s="207"/>
      <c r="F181" s="207"/>
      <c r="G181" s="199"/>
      <c r="H181" s="207"/>
      <c r="I181" s="199"/>
      <c r="J181" s="199"/>
      <c r="K181" s="209"/>
      <c r="L181" s="209"/>
      <c r="M181" s="203"/>
      <c r="N181" s="204"/>
      <c r="O181" s="205"/>
      <c r="P181" s="199"/>
      <c r="Q181" s="215"/>
      <c r="R181" s="206"/>
      <c r="S181" s="199"/>
      <c r="T181" s="199"/>
      <c r="V181" s="207"/>
    </row>
    <row r="182" ht="15.75" customHeight="1">
      <c r="A182" s="196"/>
      <c r="B182" s="218"/>
      <c r="C182" s="207"/>
      <c r="D182" s="199"/>
      <c r="E182" s="207"/>
      <c r="F182" s="207"/>
      <c r="G182" s="199"/>
      <c r="H182" s="207"/>
      <c r="I182" s="199"/>
      <c r="J182" s="199"/>
      <c r="K182" s="209"/>
      <c r="L182" s="209"/>
      <c r="M182" s="203"/>
      <c r="N182" s="204"/>
      <c r="O182" s="205"/>
      <c r="P182" s="199"/>
      <c r="Q182" s="215"/>
      <c r="R182" s="206"/>
      <c r="S182" s="199"/>
      <c r="T182" s="199"/>
      <c r="V182" s="207"/>
    </row>
    <row r="183" ht="15.75" customHeight="1">
      <c r="A183" s="196"/>
      <c r="B183" s="218"/>
      <c r="C183" s="207"/>
      <c r="D183" s="199"/>
      <c r="E183" s="207"/>
      <c r="F183" s="207"/>
      <c r="G183" s="199"/>
      <c r="H183" s="207"/>
      <c r="I183" s="199"/>
      <c r="J183" s="199"/>
      <c r="K183" s="209"/>
      <c r="L183" s="209"/>
      <c r="M183" s="203"/>
      <c r="N183" s="204"/>
      <c r="O183" s="205"/>
      <c r="P183" s="199"/>
      <c r="Q183" s="215"/>
      <c r="R183" s="206"/>
      <c r="S183" s="199"/>
      <c r="T183" s="199"/>
      <c r="V183" s="207"/>
    </row>
    <row r="184" ht="15.75" customHeight="1">
      <c r="A184" s="196"/>
      <c r="B184" s="218"/>
      <c r="C184" s="207"/>
      <c r="D184" s="199"/>
      <c r="E184" s="207"/>
      <c r="F184" s="207"/>
      <c r="G184" s="199"/>
      <c r="H184" s="207"/>
      <c r="I184" s="199"/>
      <c r="J184" s="199"/>
      <c r="K184" s="209"/>
      <c r="L184" s="209"/>
      <c r="M184" s="203"/>
      <c r="N184" s="204"/>
      <c r="O184" s="205"/>
      <c r="P184" s="199"/>
      <c r="Q184" s="215"/>
      <c r="R184" s="206"/>
      <c r="S184" s="199"/>
      <c r="T184" s="199"/>
      <c r="V184" s="207"/>
    </row>
    <row r="185" ht="15.75" customHeight="1">
      <c r="A185" s="196"/>
      <c r="B185" s="218"/>
      <c r="C185" s="207"/>
      <c r="D185" s="199"/>
      <c r="E185" s="207"/>
      <c r="F185" s="207"/>
      <c r="G185" s="199"/>
      <c r="H185" s="207"/>
      <c r="I185" s="199"/>
      <c r="J185" s="199"/>
      <c r="K185" s="209"/>
      <c r="L185" s="209"/>
      <c r="M185" s="203"/>
      <c r="N185" s="204"/>
      <c r="O185" s="205"/>
      <c r="P185" s="199"/>
      <c r="Q185" s="215"/>
      <c r="R185" s="206"/>
      <c r="S185" s="199"/>
      <c r="T185" s="199"/>
      <c r="V185" s="207"/>
    </row>
    <row r="186" ht="15.75" customHeight="1">
      <c r="A186" s="196"/>
      <c r="B186" s="218"/>
      <c r="C186" s="207"/>
      <c r="D186" s="199"/>
      <c r="E186" s="207"/>
      <c r="F186" s="207"/>
      <c r="G186" s="199"/>
      <c r="H186" s="207"/>
      <c r="I186" s="199"/>
      <c r="J186" s="199"/>
      <c r="K186" s="209"/>
      <c r="L186" s="209"/>
      <c r="M186" s="203"/>
      <c r="N186" s="204"/>
      <c r="O186" s="205"/>
      <c r="P186" s="199"/>
      <c r="Q186" s="215"/>
      <c r="R186" s="206"/>
      <c r="S186" s="199"/>
      <c r="T186" s="199"/>
      <c r="V186" s="207"/>
    </row>
    <row r="187" ht="15.75" customHeight="1">
      <c r="A187" s="196"/>
      <c r="B187" s="218"/>
      <c r="C187" s="207"/>
      <c r="D187" s="199"/>
      <c r="E187" s="207"/>
      <c r="F187" s="207"/>
      <c r="G187" s="199"/>
      <c r="H187" s="207"/>
      <c r="I187" s="199"/>
      <c r="J187" s="199"/>
      <c r="K187" s="209"/>
      <c r="L187" s="209"/>
      <c r="M187" s="203"/>
      <c r="N187" s="204"/>
      <c r="O187" s="205"/>
      <c r="P187" s="199"/>
      <c r="Q187" s="215"/>
      <c r="R187" s="206"/>
      <c r="S187" s="199"/>
      <c r="T187" s="199"/>
      <c r="V187" s="207"/>
    </row>
    <row r="188" ht="15.75" customHeight="1">
      <c r="A188" s="196"/>
      <c r="B188" s="218"/>
      <c r="C188" s="207"/>
      <c r="D188" s="199"/>
      <c r="E188" s="207"/>
      <c r="F188" s="207"/>
      <c r="G188" s="199"/>
      <c r="H188" s="207"/>
      <c r="I188" s="199"/>
      <c r="J188" s="199"/>
      <c r="K188" s="209"/>
      <c r="L188" s="209"/>
      <c r="M188" s="203"/>
      <c r="N188" s="204"/>
      <c r="O188" s="205"/>
      <c r="P188" s="199"/>
      <c r="Q188" s="215"/>
      <c r="R188" s="206"/>
      <c r="S188" s="199"/>
      <c r="T188" s="199"/>
      <c r="V188" s="207"/>
    </row>
    <row r="189" ht="15.75" customHeight="1">
      <c r="A189" s="196"/>
      <c r="B189" s="218"/>
      <c r="C189" s="207"/>
      <c r="D189" s="199"/>
      <c r="E189" s="207"/>
      <c r="F189" s="207"/>
      <c r="G189" s="199"/>
      <c r="H189" s="207"/>
      <c r="I189" s="199"/>
      <c r="J189" s="199"/>
      <c r="K189" s="209"/>
      <c r="L189" s="209"/>
      <c r="M189" s="203"/>
      <c r="N189" s="204"/>
      <c r="O189" s="205"/>
      <c r="P189" s="199"/>
      <c r="Q189" s="215"/>
      <c r="R189" s="206"/>
      <c r="S189" s="199"/>
      <c r="T189" s="199"/>
      <c r="V189" s="207"/>
    </row>
    <row r="190" ht="15.75" customHeight="1">
      <c r="A190" s="196"/>
      <c r="B190" s="218"/>
      <c r="C190" s="207"/>
      <c r="D190" s="199"/>
      <c r="E190" s="207"/>
      <c r="F190" s="207"/>
      <c r="G190" s="199"/>
      <c r="H190" s="207"/>
      <c r="I190" s="199"/>
      <c r="J190" s="199"/>
      <c r="K190" s="209"/>
      <c r="L190" s="209"/>
      <c r="M190" s="203"/>
      <c r="N190" s="204"/>
      <c r="O190" s="205"/>
      <c r="P190" s="199"/>
      <c r="Q190" s="215"/>
      <c r="R190" s="206"/>
      <c r="S190" s="199"/>
      <c r="T190" s="199"/>
      <c r="V190" s="207"/>
    </row>
    <row r="191" ht="15.75" customHeight="1">
      <c r="A191" s="196"/>
      <c r="B191" s="218"/>
      <c r="C191" s="207"/>
      <c r="D191" s="199"/>
      <c r="E191" s="207"/>
      <c r="F191" s="207"/>
      <c r="G191" s="199"/>
      <c r="H191" s="207"/>
      <c r="I191" s="199"/>
      <c r="J191" s="199"/>
      <c r="K191" s="209"/>
      <c r="L191" s="209"/>
      <c r="M191" s="203"/>
      <c r="N191" s="204"/>
      <c r="O191" s="205"/>
      <c r="P191" s="199"/>
      <c r="Q191" s="215"/>
      <c r="R191" s="206"/>
      <c r="S191" s="199"/>
      <c r="T191" s="199"/>
      <c r="V191" s="207"/>
    </row>
    <row r="192" ht="15.75" customHeight="1">
      <c r="A192" s="196"/>
      <c r="B192" s="218"/>
      <c r="C192" s="207"/>
      <c r="D192" s="199"/>
      <c r="E192" s="207"/>
      <c r="F192" s="207"/>
      <c r="G192" s="199"/>
      <c r="H192" s="207"/>
      <c r="I192" s="199"/>
      <c r="J192" s="199"/>
      <c r="K192" s="209"/>
      <c r="L192" s="209"/>
      <c r="M192" s="203"/>
      <c r="N192" s="204"/>
      <c r="O192" s="205"/>
      <c r="P192" s="199"/>
      <c r="Q192" s="215"/>
      <c r="R192" s="206"/>
      <c r="S192" s="199"/>
      <c r="T192" s="199"/>
      <c r="V192" s="207"/>
    </row>
    <row r="193" ht="15.75" customHeight="1">
      <c r="A193" s="196"/>
      <c r="B193" s="218"/>
      <c r="C193" s="207"/>
      <c r="D193" s="199"/>
      <c r="E193" s="207"/>
      <c r="F193" s="207"/>
      <c r="G193" s="199"/>
      <c r="H193" s="207"/>
      <c r="I193" s="199"/>
      <c r="J193" s="199"/>
      <c r="K193" s="209"/>
      <c r="L193" s="209"/>
      <c r="M193" s="203"/>
      <c r="N193" s="204"/>
      <c r="O193" s="205"/>
      <c r="P193" s="199"/>
      <c r="Q193" s="215"/>
      <c r="R193" s="206"/>
      <c r="S193" s="199"/>
      <c r="T193" s="199"/>
      <c r="V193" s="207"/>
    </row>
    <row r="194" ht="15.75" customHeight="1">
      <c r="A194" s="196"/>
      <c r="B194" s="218"/>
      <c r="C194" s="207"/>
      <c r="D194" s="199"/>
      <c r="E194" s="207"/>
      <c r="F194" s="207"/>
      <c r="G194" s="199"/>
      <c r="H194" s="207"/>
      <c r="I194" s="199"/>
      <c r="J194" s="199"/>
      <c r="K194" s="209"/>
      <c r="L194" s="209"/>
      <c r="M194" s="203"/>
      <c r="N194" s="204"/>
      <c r="O194" s="205"/>
      <c r="P194" s="199"/>
      <c r="Q194" s="215"/>
      <c r="R194" s="206"/>
      <c r="S194" s="199"/>
      <c r="T194" s="199"/>
      <c r="V194" s="207"/>
    </row>
    <row r="195" ht="15.75" customHeight="1">
      <c r="A195" s="196"/>
      <c r="B195" s="218"/>
      <c r="C195" s="207"/>
      <c r="D195" s="199"/>
      <c r="E195" s="207"/>
      <c r="F195" s="207"/>
      <c r="G195" s="199"/>
      <c r="H195" s="207"/>
      <c r="I195" s="199"/>
      <c r="J195" s="199"/>
      <c r="K195" s="209"/>
      <c r="L195" s="209"/>
      <c r="M195" s="203"/>
      <c r="N195" s="204"/>
      <c r="O195" s="205"/>
      <c r="P195" s="199"/>
      <c r="Q195" s="215"/>
      <c r="R195" s="206"/>
      <c r="S195" s="199"/>
      <c r="T195" s="199"/>
      <c r="V195" s="207"/>
    </row>
    <row r="196" ht="15.75" customHeight="1">
      <c r="A196" s="196"/>
      <c r="B196" s="218"/>
      <c r="C196" s="207"/>
      <c r="D196" s="199"/>
      <c r="E196" s="207"/>
      <c r="F196" s="207"/>
      <c r="G196" s="199"/>
      <c r="H196" s="207"/>
      <c r="I196" s="199"/>
      <c r="J196" s="199"/>
      <c r="K196" s="209"/>
      <c r="L196" s="209"/>
      <c r="M196" s="203"/>
      <c r="N196" s="204"/>
      <c r="O196" s="205"/>
      <c r="P196" s="199"/>
      <c r="Q196" s="215"/>
      <c r="R196" s="206"/>
      <c r="S196" s="199"/>
      <c r="T196" s="199"/>
      <c r="V196" s="207"/>
    </row>
    <row r="197" ht="15.75" customHeight="1">
      <c r="A197" s="196"/>
      <c r="B197" s="218"/>
      <c r="C197" s="207"/>
      <c r="D197" s="199"/>
      <c r="E197" s="207"/>
      <c r="F197" s="207"/>
      <c r="G197" s="199"/>
      <c r="H197" s="207"/>
      <c r="I197" s="199"/>
      <c r="J197" s="199"/>
      <c r="K197" s="209"/>
      <c r="L197" s="209"/>
      <c r="M197" s="203"/>
      <c r="N197" s="204"/>
      <c r="O197" s="205"/>
      <c r="P197" s="199"/>
      <c r="Q197" s="215"/>
      <c r="R197" s="206"/>
      <c r="S197" s="199"/>
      <c r="T197" s="199"/>
      <c r="V197" s="207"/>
    </row>
    <row r="198" ht="15.75" customHeight="1">
      <c r="A198" s="196"/>
      <c r="B198" s="218"/>
      <c r="C198" s="207"/>
      <c r="D198" s="199"/>
      <c r="E198" s="207"/>
      <c r="F198" s="207"/>
      <c r="G198" s="199"/>
      <c r="H198" s="207"/>
      <c r="I198" s="199"/>
      <c r="J198" s="199"/>
      <c r="K198" s="209"/>
      <c r="L198" s="209"/>
      <c r="M198" s="203"/>
      <c r="N198" s="204"/>
      <c r="O198" s="205"/>
      <c r="P198" s="199"/>
      <c r="Q198" s="215"/>
      <c r="R198" s="206"/>
      <c r="S198" s="199"/>
      <c r="T198" s="199"/>
      <c r="V198" s="207"/>
    </row>
    <row r="199" ht="15.75" customHeight="1">
      <c r="A199" s="196"/>
      <c r="B199" s="218"/>
      <c r="C199" s="207"/>
      <c r="D199" s="199"/>
      <c r="E199" s="207"/>
      <c r="F199" s="207"/>
      <c r="G199" s="199"/>
      <c r="H199" s="207"/>
      <c r="I199" s="199"/>
      <c r="J199" s="199"/>
      <c r="K199" s="209"/>
      <c r="L199" s="209"/>
      <c r="M199" s="203"/>
      <c r="N199" s="204"/>
      <c r="O199" s="205"/>
      <c r="P199" s="199"/>
      <c r="Q199" s="215"/>
      <c r="R199" s="206"/>
      <c r="S199" s="199"/>
      <c r="T199" s="199"/>
      <c r="V199" s="207"/>
    </row>
    <row r="200" ht="15.75" customHeight="1">
      <c r="A200" s="196"/>
      <c r="B200" s="218"/>
      <c r="C200" s="207"/>
      <c r="D200" s="199"/>
      <c r="E200" s="207"/>
      <c r="F200" s="207"/>
      <c r="G200" s="199"/>
      <c r="H200" s="207"/>
      <c r="I200" s="199"/>
      <c r="J200" s="199"/>
      <c r="K200" s="209"/>
      <c r="L200" s="209"/>
      <c r="M200" s="203"/>
      <c r="N200" s="204"/>
      <c r="O200" s="205"/>
      <c r="P200" s="199"/>
      <c r="Q200" s="215"/>
      <c r="R200" s="206"/>
      <c r="S200" s="199"/>
      <c r="T200" s="199"/>
      <c r="V200" s="207"/>
    </row>
    <row r="201" ht="15.75" customHeight="1">
      <c r="A201" s="196"/>
      <c r="B201" s="218"/>
      <c r="C201" s="207"/>
      <c r="D201" s="199"/>
      <c r="E201" s="207"/>
      <c r="F201" s="207"/>
      <c r="G201" s="199"/>
      <c r="H201" s="207"/>
      <c r="I201" s="199"/>
      <c r="J201" s="199"/>
      <c r="K201" s="209"/>
      <c r="L201" s="209"/>
      <c r="M201" s="203"/>
      <c r="N201" s="204"/>
      <c r="O201" s="205"/>
      <c r="P201" s="199"/>
      <c r="Q201" s="215"/>
      <c r="R201" s="206"/>
      <c r="S201" s="199"/>
      <c r="T201" s="199"/>
      <c r="V201" s="207"/>
    </row>
    <row r="202" ht="15.75" customHeight="1">
      <c r="A202" s="196"/>
      <c r="B202" s="218"/>
      <c r="C202" s="207"/>
      <c r="D202" s="199"/>
      <c r="E202" s="207"/>
      <c r="F202" s="207"/>
      <c r="G202" s="199"/>
      <c r="H202" s="207"/>
      <c r="I202" s="199"/>
      <c r="J202" s="199"/>
      <c r="K202" s="209"/>
      <c r="L202" s="209"/>
      <c r="M202" s="203"/>
      <c r="N202" s="204"/>
      <c r="O202" s="205"/>
      <c r="P202" s="199"/>
      <c r="Q202" s="215"/>
      <c r="R202" s="206"/>
      <c r="S202" s="199"/>
      <c r="T202" s="199"/>
      <c r="V202" s="207"/>
    </row>
    <row r="203" ht="15.75" customHeight="1">
      <c r="A203" s="196"/>
      <c r="B203" s="218"/>
      <c r="C203" s="207"/>
      <c r="D203" s="199"/>
      <c r="E203" s="207"/>
      <c r="F203" s="207"/>
      <c r="G203" s="199"/>
      <c r="H203" s="207"/>
      <c r="I203" s="199"/>
      <c r="J203" s="199"/>
      <c r="K203" s="209"/>
      <c r="L203" s="209"/>
      <c r="M203" s="203"/>
      <c r="N203" s="204"/>
      <c r="O203" s="205"/>
      <c r="P203" s="199"/>
      <c r="Q203" s="215"/>
      <c r="R203" s="206"/>
      <c r="S203" s="199"/>
      <c r="T203" s="199"/>
      <c r="V203" s="207"/>
    </row>
    <row r="204" ht="15.75" customHeight="1">
      <c r="A204" s="196"/>
      <c r="B204" s="218"/>
      <c r="C204" s="207"/>
      <c r="D204" s="199"/>
      <c r="E204" s="207"/>
      <c r="F204" s="207"/>
      <c r="G204" s="199"/>
      <c r="H204" s="207"/>
      <c r="I204" s="199"/>
      <c r="J204" s="199"/>
      <c r="K204" s="209"/>
      <c r="L204" s="209"/>
      <c r="M204" s="203"/>
      <c r="N204" s="204"/>
      <c r="O204" s="205"/>
      <c r="P204" s="199"/>
      <c r="Q204" s="215"/>
      <c r="R204" s="206"/>
      <c r="S204" s="199"/>
      <c r="T204" s="199"/>
      <c r="V204" s="207"/>
    </row>
    <row r="205" ht="15.75" customHeight="1">
      <c r="A205" s="196"/>
      <c r="B205" s="218"/>
      <c r="C205" s="207"/>
      <c r="D205" s="199"/>
      <c r="E205" s="207"/>
      <c r="F205" s="207"/>
      <c r="G205" s="199"/>
      <c r="H205" s="207"/>
      <c r="I205" s="199"/>
      <c r="J205" s="199"/>
      <c r="K205" s="209"/>
      <c r="L205" s="209"/>
      <c r="M205" s="203"/>
      <c r="N205" s="204"/>
      <c r="O205" s="205"/>
      <c r="P205" s="199"/>
      <c r="Q205" s="215"/>
      <c r="R205" s="206"/>
      <c r="S205" s="199"/>
      <c r="T205" s="199"/>
      <c r="V205" s="207"/>
    </row>
    <row r="206" ht="15.75" customHeight="1">
      <c r="A206" s="196"/>
      <c r="B206" s="218"/>
      <c r="C206" s="207"/>
      <c r="D206" s="199"/>
      <c r="E206" s="207"/>
      <c r="F206" s="207"/>
      <c r="G206" s="199"/>
      <c r="H206" s="207"/>
      <c r="I206" s="199"/>
      <c r="J206" s="199"/>
      <c r="K206" s="209"/>
      <c r="L206" s="209"/>
      <c r="M206" s="203"/>
      <c r="N206" s="204"/>
      <c r="O206" s="205"/>
      <c r="P206" s="199"/>
      <c r="Q206" s="215"/>
      <c r="R206" s="206"/>
      <c r="S206" s="199"/>
      <c r="T206" s="199"/>
      <c r="V206" s="207"/>
    </row>
    <row r="207" ht="15.75" customHeight="1">
      <c r="A207" s="196"/>
      <c r="B207" s="218"/>
      <c r="C207" s="207"/>
      <c r="D207" s="199"/>
      <c r="E207" s="207"/>
      <c r="F207" s="207"/>
      <c r="G207" s="199"/>
      <c r="H207" s="207"/>
      <c r="I207" s="199"/>
      <c r="J207" s="199"/>
      <c r="K207" s="209"/>
      <c r="L207" s="209"/>
      <c r="M207" s="203"/>
      <c r="N207" s="204"/>
      <c r="O207" s="205"/>
      <c r="P207" s="199"/>
      <c r="Q207" s="215"/>
      <c r="R207" s="206"/>
      <c r="S207" s="199"/>
      <c r="T207" s="199"/>
      <c r="V207" s="207"/>
    </row>
    <row r="208" ht="15.75" customHeight="1">
      <c r="A208" s="196"/>
      <c r="B208" s="218"/>
      <c r="C208" s="207"/>
      <c r="D208" s="199"/>
      <c r="E208" s="207"/>
      <c r="F208" s="207"/>
      <c r="G208" s="199"/>
      <c r="H208" s="207"/>
      <c r="I208" s="199"/>
      <c r="J208" s="199"/>
      <c r="K208" s="209"/>
      <c r="L208" s="209"/>
      <c r="M208" s="203"/>
      <c r="N208" s="204"/>
      <c r="O208" s="205"/>
      <c r="P208" s="199"/>
      <c r="Q208" s="215"/>
      <c r="R208" s="206"/>
      <c r="S208" s="199"/>
      <c r="T208" s="199"/>
      <c r="V208" s="207"/>
    </row>
    <row r="209" ht="15.75" customHeight="1">
      <c r="A209" s="196"/>
      <c r="B209" s="218"/>
      <c r="C209" s="207"/>
      <c r="D209" s="199"/>
      <c r="E209" s="207"/>
      <c r="F209" s="207"/>
      <c r="G209" s="199"/>
      <c r="H209" s="207"/>
      <c r="I209" s="199"/>
      <c r="J209" s="199"/>
      <c r="K209" s="209"/>
      <c r="L209" s="209"/>
      <c r="M209" s="203"/>
      <c r="N209" s="204"/>
      <c r="O209" s="205"/>
      <c r="P209" s="199"/>
      <c r="Q209" s="215"/>
      <c r="R209" s="206"/>
      <c r="S209" s="199"/>
      <c r="T209" s="199"/>
      <c r="V209" s="207"/>
    </row>
    <row r="210" ht="15.75" customHeight="1">
      <c r="A210" s="196"/>
      <c r="B210" s="218"/>
      <c r="C210" s="207"/>
      <c r="D210" s="199"/>
      <c r="E210" s="207"/>
      <c r="F210" s="207"/>
      <c r="G210" s="199"/>
      <c r="H210" s="207"/>
      <c r="I210" s="199"/>
      <c r="J210" s="199"/>
      <c r="K210" s="209"/>
      <c r="L210" s="209"/>
      <c r="M210" s="203"/>
      <c r="N210" s="204"/>
      <c r="O210" s="205"/>
      <c r="P210" s="199"/>
      <c r="Q210" s="215"/>
      <c r="R210" s="206"/>
      <c r="S210" s="199"/>
      <c r="T210" s="199"/>
      <c r="V210" s="207"/>
    </row>
    <row r="211" ht="15.75" customHeight="1">
      <c r="A211" s="196"/>
      <c r="B211" s="218"/>
      <c r="C211" s="207"/>
      <c r="D211" s="199"/>
      <c r="E211" s="207"/>
      <c r="F211" s="207"/>
      <c r="G211" s="199"/>
      <c r="H211" s="207"/>
      <c r="I211" s="199"/>
      <c r="J211" s="199"/>
      <c r="K211" s="209"/>
      <c r="L211" s="209"/>
      <c r="M211" s="203"/>
      <c r="N211" s="204"/>
      <c r="O211" s="205"/>
      <c r="P211" s="199"/>
      <c r="Q211" s="215"/>
      <c r="R211" s="206"/>
      <c r="S211" s="199"/>
      <c r="T211" s="199"/>
      <c r="V211" s="207"/>
    </row>
    <row r="212" ht="15.75" customHeight="1">
      <c r="A212" s="196"/>
      <c r="B212" s="218"/>
      <c r="C212" s="207"/>
      <c r="D212" s="199"/>
      <c r="E212" s="207"/>
      <c r="F212" s="207"/>
      <c r="G212" s="199"/>
      <c r="H212" s="207"/>
      <c r="I212" s="199"/>
      <c r="J212" s="199"/>
      <c r="K212" s="209"/>
      <c r="L212" s="209"/>
      <c r="M212" s="203"/>
      <c r="N212" s="204"/>
      <c r="O212" s="205"/>
      <c r="P212" s="199"/>
      <c r="Q212" s="215"/>
      <c r="R212" s="206"/>
      <c r="S212" s="199"/>
      <c r="T212" s="199"/>
      <c r="V212" s="207"/>
    </row>
    <row r="213" ht="15.75" customHeight="1">
      <c r="A213" s="196"/>
      <c r="B213" s="218"/>
      <c r="C213" s="207"/>
      <c r="D213" s="199"/>
      <c r="E213" s="207"/>
      <c r="F213" s="207"/>
      <c r="G213" s="199"/>
      <c r="H213" s="207"/>
      <c r="I213" s="199"/>
      <c r="J213" s="199"/>
      <c r="K213" s="209"/>
      <c r="L213" s="209"/>
      <c r="M213" s="203"/>
      <c r="N213" s="204"/>
      <c r="O213" s="205"/>
      <c r="P213" s="199"/>
      <c r="Q213" s="215"/>
      <c r="R213" s="206"/>
      <c r="S213" s="199"/>
      <c r="T213" s="199"/>
      <c r="V213" s="207"/>
    </row>
    <row r="214" ht="15.75" customHeight="1">
      <c r="A214" s="196"/>
      <c r="B214" s="218"/>
      <c r="C214" s="207"/>
      <c r="D214" s="199"/>
      <c r="E214" s="207"/>
      <c r="F214" s="207"/>
      <c r="G214" s="199"/>
      <c r="H214" s="207"/>
      <c r="I214" s="199"/>
      <c r="J214" s="199"/>
      <c r="K214" s="209"/>
      <c r="L214" s="209"/>
      <c r="M214" s="203"/>
      <c r="N214" s="204"/>
      <c r="O214" s="205"/>
      <c r="P214" s="199"/>
      <c r="Q214" s="215"/>
      <c r="R214" s="206"/>
      <c r="S214" s="199"/>
      <c r="T214" s="199"/>
      <c r="V214" s="207"/>
    </row>
    <row r="215" ht="15.75" customHeight="1">
      <c r="A215" s="196"/>
      <c r="B215" s="218"/>
      <c r="C215" s="207"/>
      <c r="D215" s="199"/>
      <c r="E215" s="207"/>
      <c r="F215" s="207"/>
      <c r="G215" s="199"/>
      <c r="H215" s="207"/>
      <c r="I215" s="199"/>
      <c r="J215" s="199"/>
      <c r="K215" s="209"/>
      <c r="L215" s="209"/>
      <c r="M215" s="203"/>
      <c r="N215" s="204"/>
      <c r="O215" s="205"/>
      <c r="P215" s="199"/>
      <c r="Q215" s="215"/>
      <c r="R215" s="206"/>
      <c r="S215" s="199"/>
      <c r="T215" s="199"/>
      <c r="V215" s="207"/>
    </row>
    <row r="216" ht="15.75" customHeight="1">
      <c r="A216" s="196"/>
      <c r="B216" s="218"/>
      <c r="C216" s="207"/>
      <c r="D216" s="199"/>
      <c r="E216" s="207"/>
      <c r="F216" s="207"/>
      <c r="G216" s="199"/>
      <c r="H216" s="207"/>
      <c r="I216" s="199"/>
      <c r="J216" s="199"/>
      <c r="K216" s="209"/>
      <c r="L216" s="209"/>
      <c r="M216" s="203"/>
      <c r="N216" s="204"/>
      <c r="O216" s="205"/>
      <c r="P216" s="199"/>
      <c r="Q216" s="215"/>
      <c r="R216" s="206"/>
      <c r="S216" s="199"/>
      <c r="T216" s="199"/>
      <c r="V216" s="207"/>
    </row>
    <row r="217" ht="15.75" customHeight="1">
      <c r="A217" s="196"/>
      <c r="B217" s="218"/>
      <c r="C217" s="207"/>
      <c r="D217" s="199"/>
      <c r="E217" s="207"/>
      <c r="F217" s="207"/>
      <c r="G217" s="199"/>
      <c r="H217" s="207"/>
      <c r="I217" s="199"/>
      <c r="J217" s="199"/>
      <c r="K217" s="209"/>
      <c r="L217" s="209"/>
      <c r="M217" s="203"/>
      <c r="N217" s="204"/>
      <c r="O217" s="205"/>
      <c r="P217" s="199"/>
      <c r="Q217" s="215"/>
      <c r="R217" s="206"/>
      <c r="S217" s="199"/>
      <c r="T217" s="199"/>
      <c r="V217" s="207"/>
    </row>
    <row r="218" ht="15.75" customHeight="1">
      <c r="A218" s="196"/>
      <c r="B218" s="218"/>
      <c r="C218" s="207"/>
      <c r="D218" s="199"/>
      <c r="E218" s="207"/>
      <c r="F218" s="207"/>
      <c r="G218" s="199"/>
      <c r="H218" s="207"/>
      <c r="I218" s="199"/>
      <c r="J218" s="199"/>
      <c r="K218" s="209"/>
      <c r="L218" s="209"/>
      <c r="M218" s="203"/>
      <c r="N218" s="204"/>
      <c r="O218" s="205"/>
      <c r="P218" s="199"/>
      <c r="Q218" s="215"/>
      <c r="R218" s="206"/>
      <c r="S218" s="199"/>
      <c r="T218" s="199"/>
      <c r="V218" s="207"/>
    </row>
    <row r="219" ht="15.75" customHeight="1">
      <c r="A219" s="196"/>
      <c r="B219" s="218"/>
      <c r="C219" s="207"/>
      <c r="D219" s="199"/>
      <c r="E219" s="207"/>
      <c r="F219" s="207"/>
      <c r="G219" s="199"/>
      <c r="H219" s="207"/>
      <c r="I219" s="199"/>
      <c r="J219" s="199"/>
      <c r="K219" s="209"/>
      <c r="L219" s="209"/>
      <c r="M219" s="203"/>
      <c r="N219" s="204"/>
      <c r="O219" s="205"/>
      <c r="P219" s="199"/>
      <c r="Q219" s="215"/>
      <c r="R219" s="206"/>
      <c r="S219" s="199"/>
      <c r="T219" s="199"/>
      <c r="V219" s="207"/>
    </row>
    <row r="220" ht="15.75" customHeight="1">
      <c r="A220" s="196"/>
      <c r="B220" s="218"/>
      <c r="C220" s="207"/>
      <c r="D220" s="199"/>
      <c r="E220" s="207"/>
      <c r="F220" s="207"/>
      <c r="G220" s="199"/>
      <c r="H220" s="207"/>
      <c r="I220" s="199"/>
      <c r="J220" s="199"/>
      <c r="K220" s="209"/>
      <c r="L220" s="209"/>
      <c r="M220" s="203"/>
      <c r="N220" s="204"/>
      <c r="O220" s="205"/>
      <c r="P220" s="199"/>
      <c r="Q220" s="215"/>
      <c r="R220" s="206"/>
      <c r="S220" s="199"/>
      <c r="T220" s="199"/>
      <c r="V220" s="207"/>
    </row>
    <row r="221" ht="15.75" customHeight="1">
      <c r="A221" s="196"/>
      <c r="B221" s="218"/>
      <c r="C221" s="207"/>
      <c r="D221" s="199"/>
      <c r="E221" s="207"/>
      <c r="F221" s="207"/>
      <c r="G221" s="199"/>
      <c r="H221" s="207"/>
      <c r="I221" s="199"/>
      <c r="J221" s="199"/>
      <c r="K221" s="209"/>
      <c r="L221" s="209"/>
      <c r="M221" s="203"/>
      <c r="N221" s="204"/>
      <c r="O221" s="205"/>
      <c r="P221" s="199"/>
      <c r="Q221" s="215"/>
      <c r="R221" s="206"/>
      <c r="S221" s="199"/>
      <c r="T221" s="199"/>
      <c r="V221" s="207"/>
    </row>
    <row r="222" ht="15.75" customHeight="1">
      <c r="A222" s="196"/>
      <c r="B222" s="218"/>
      <c r="C222" s="207"/>
      <c r="D222" s="199"/>
      <c r="E222" s="207"/>
      <c r="F222" s="207"/>
      <c r="G222" s="199"/>
      <c r="H222" s="207"/>
      <c r="I222" s="199"/>
      <c r="J222" s="199"/>
      <c r="K222" s="209"/>
      <c r="L222" s="209"/>
      <c r="M222" s="203"/>
      <c r="N222" s="204"/>
      <c r="O222" s="205"/>
      <c r="P222" s="199"/>
      <c r="Q222" s="215"/>
      <c r="R222" s="206"/>
      <c r="S222" s="199"/>
      <c r="T222" s="199"/>
      <c r="V222" s="207"/>
    </row>
    <row r="223" ht="15.75" customHeight="1">
      <c r="A223" s="196"/>
      <c r="B223" s="218"/>
      <c r="C223" s="207"/>
      <c r="D223" s="199"/>
      <c r="E223" s="207"/>
      <c r="F223" s="207"/>
      <c r="G223" s="199"/>
      <c r="H223" s="207"/>
      <c r="I223" s="199"/>
      <c r="J223" s="199"/>
      <c r="K223" s="209"/>
      <c r="L223" s="209"/>
      <c r="M223" s="203"/>
      <c r="N223" s="204"/>
      <c r="O223" s="205"/>
      <c r="P223" s="199"/>
      <c r="Q223" s="215"/>
      <c r="R223" s="206"/>
      <c r="S223" s="199"/>
      <c r="T223" s="199"/>
      <c r="V223" s="207"/>
    </row>
    <row r="224" ht="15.75" customHeight="1">
      <c r="A224" s="196"/>
      <c r="B224" s="218"/>
      <c r="C224" s="207"/>
      <c r="D224" s="199"/>
      <c r="E224" s="207"/>
      <c r="F224" s="207"/>
      <c r="G224" s="199"/>
      <c r="H224" s="207"/>
      <c r="I224" s="199"/>
      <c r="J224" s="199"/>
      <c r="K224" s="209"/>
      <c r="L224" s="209"/>
      <c r="M224" s="203"/>
      <c r="N224" s="204"/>
      <c r="O224" s="205"/>
      <c r="P224" s="199"/>
      <c r="Q224" s="215"/>
      <c r="R224" s="206"/>
      <c r="S224" s="199"/>
      <c r="T224" s="199"/>
      <c r="V224" s="207"/>
    </row>
    <row r="225" ht="15.75" customHeight="1">
      <c r="A225" s="196"/>
      <c r="B225" s="218"/>
      <c r="C225" s="207"/>
      <c r="D225" s="199"/>
      <c r="E225" s="207"/>
      <c r="F225" s="207"/>
      <c r="G225" s="199"/>
      <c r="H225" s="207"/>
      <c r="I225" s="199"/>
      <c r="J225" s="199"/>
      <c r="K225" s="209"/>
      <c r="L225" s="209"/>
      <c r="M225" s="203"/>
      <c r="N225" s="204"/>
      <c r="O225" s="205"/>
      <c r="P225" s="199"/>
      <c r="Q225" s="215"/>
      <c r="R225" s="206"/>
      <c r="S225" s="199"/>
      <c r="T225" s="199"/>
      <c r="V225" s="207"/>
    </row>
    <row r="226" ht="15.75" customHeight="1">
      <c r="A226" s="196"/>
      <c r="B226" s="218"/>
      <c r="C226" s="207"/>
      <c r="D226" s="199"/>
      <c r="E226" s="207"/>
      <c r="F226" s="207"/>
      <c r="G226" s="199"/>
      <c r="H226" s="207"/>
      <c r="I226" s="199"/>
      <c r="J226" s="199"/>
      <c r="K226" s="209"/>
      <c r="L226" s="209"/>
      <c r="M226" s="203"/>
      <c r="N226" s="204"/>
      <c r="O226" s="205"/>
      <c r="P226" s="199"/>
      <c r="Q226" s="215"/>
      <c r="R226" s="206"/>
      <c r="S226" s="199"/>
      <c r="T226" s="199"/>
      <c r="V226" s="207"/>
    </row>
    <row r="227" ht="15.75" customHeight="1">
      <c r="A227" s="196"/>
      <c r="B227" s="218"/>
      <c r="C227" s="207"/>
      <c r="D227" s="199"/>
      <c r="E227" s="207"/>
      <c r="F227" s="207"/>
      <c r="G227" s="199"/>
      <c r="H227" s="207"/>
      <c r="I227" s="199"/>
      <c r="J227" s="199"/>
      <c r="K227" s="209"/>
      <c r="L227" s="209"/>
      <c r="M227" s="203"/>
      <c r="N227" s="204"/>
      <c r="O227" s="205"/>
      <c r="P227" s="199"/>
      <c r="Q227" s="215"/>
      <c r="R227" s="206"/>
      <c r="S227" s="199"/>
      <c r="T227" s="199"/>
      <c r="V227" s="207"/>
    </row>
    <row r="228" ht="15.75" customHeight="1">
      <c r="A228" s="196"/>
      <c r="B228" s="218"/>
      <c r="C228" s="207"/>
      <c r="D228" s="199"/>
      <c r="E228" s="207"/>
      <c r="F228" s="207"/>
      <c r="G228" s="199"/>
      <c r="H228" s="207"/>
      <c r="I228" s="199"/>
      <c r="J228" s="199"/>
      <c r="K228" s="209"/>
      <c r="L228" s="209"/>
      <c r="M228" s="203"/>
      <c r="N228" s="204"/>
      <c r="O228" s="205"/>
      <c r="P228" s="199"/>
      <c r="Q228" s="215"/>
      <c r="R228" s="206"/>
      <c r="S228" s="199"/>
      <c r="T228" s="199"/>
      <c r="V228" s="207"/>
    </row>
    <row r="229" ht="15.75" customHeight="1">
      <c r="A229" s="196"/>
      <c r="B229" s="218"/>
      <c r="C229" s="207"/>
      <c r="D229" s="199"/>
      <c r="E229" s="207"/>
      <c r="F229" s="207"/>
      <c r="G229" s="199"/>
      <c r="H229" s="207"/>
      <c r="I229" s="199"/>
      <c r="J229" s="199"/>
      <c r="K229" s="209"/>
      <c r="L229" s="209"/>
      <c r="M229" s="203"/>
      <c r="N229" s="204"/>
      <c r="O229" s="205"/>
      <c r="P229" s="199"/>
      <c r="Q229" s="215"/>
      <c r="R229" s="206"/>
      <c r="S229" s="199"/>
      <c r="T229" s="199"/>
      <c r="V229" s="207"/>
    </row>
    <row r="230" ht="15.75" customHeight="1">
      <c r="A230" s="196"/>
      <c r="B230" s="218"/>
      <c r="C230" s="207"/>
      <c r="D230" s="199"/>
      <c r="E230" s="207"/>
      <c r="F230" s="207"/>
      <c r="G230" s="199"/>
      <c r="H230" s="207"/>
      <c r="I230" s="199"/>
      <c r="J230" s="199"/>
      <c r="K230" s="209"/>
      <c r="L230" s="209"/>
      <c r="M230" s="203"/>
      <c r="N230" s="204"/>
      <c r="O230" s="205"/>
      <c r="P230" s="199"/>
      <c r="Q230" s="215"/>
      <c r="R230" s="206"/>
      <c r="S230" s="199"/>
      <c r="T230" s="199"/>
      <c r="V230" s="207"/>
    </row>
    <row r="231" ht="15.75" customHeight="1">
      <c r="A231" s="196"/>
      <c r="B231" s="218"/>
      <c r="C231" s="207"/>
      <c r="D231" s="199"/>
      <c r="E231" s="207"/>
      <c r="F231" s="207"/>
      <c r="G231" s="199"/>
      <c r="H231" s="207"/>
      <c r="I231" s="199"/>
      <c r="J231" s="199"/>
      <c r="K231" s="209"/>
      <c r="L231" s="209"/>
      <c r="M231" s="203"/>
      <c r="N231" s="204"/>
      <c r="O231" s="205"/>
      <c r="P231" s="199"/>
      <c r="Q231" s="215"/>
      <c r="R231" s="206"/>
      <c r="S231" s="199"/>
      <c r="T231" s="199"/>
      <c r="V231" s="207"/>
    </row>
    <row r="232" ht="15.75" customHeight="1">
      <c r="A232" s="196"/>
      <c r="B232" s="218"/>
      <c r="C232" s="207"/>
      <c r="D232" s="199"/>
      <c r="E232" s="207"/>
      <c r="F232" s="207"/>
      <c r="G232" s="199"/>
      <c r="H232" s="207"/>
      <c r="I232" s="199"/>
      <c r="J232" s="199"/>
      <c r="K232" s="209"/>
      <c r="L232" s="209"/>
      <c r="M232" s="203"/>
      <c r="N232" s="204"/>
      <c r="O232" s="205"/>
      <c r="P232" s="199"/>
      <c r="Q232" s="215"/>
      <c r="R232" s="206"/>
      <c r="S232" s="199"/>
      <c r="T232" s="199"/>
      <c r="V232" s="207"/>
    </row>
    <row r="233" ht="15.75" customHeight="1">
      <c r="A233" s="196"/>
      <c r="B233" s="218"/>
      <c r="C233" s="207"/>
      <c r="D233" s="199"/>
      <c r="E233" s="207"/>
      <c r="F233" s="207"/>
      <c r="G233" s="199"/>
      <c r="H233" s="207"/>
      <c r="I233" s="199"/>
      <c r="J233" s="199"/>
      <c r="K233" s="209"/>
      <c r="L233" s="209"/>
      <c r="M233" s="203"/>
      <c r="N233" s="204"/>
      <c r="O233" s="205"/>
      <c r="P233" s="199"/>
      <c r="Q233" s="215"/>
      <c r="R233" s="206"/>
      <c r="S233" s="199"/>
      <c r="T233" s="199"/>
      <c r="V233" s="207"/>
    </row>
    <row r="234" ht="15.75" customHeight="1">
      <c r="A234" s="196"/>
      <c r="B234" s="218"/>
      <c r="C234" s="207"/>
      <c r="D234" s="199"/>
      <c r="E234" s="207"/>
      <c r="F234" s="207"/>
      <c r="G234" s="199"/>
      <c r="H234" s="207"/>
      <c r="I234" s="199"/>
      <c r="J234" s="199"/>
      <c r="K234" s="209"/>
      <c r="L234" s="209"/>
      <c r="M234" s="203"/>
      <c r="N234" s="204"/>
      <c r="O234" s="205"/>
      <c r="P234" s="199"/>
      <c r="Q234" s="215"/>
      <c r="R234" s="206"/>
      <c r="S234" s="199"/>
      <c r="T234" s="199"/>
      <c r="V234" s="207"/>
    </row>
    <row r="235" ht="15.75" customHeight="1">
      <c r="A235" s="196"/>
      <c r="B235" s="218"/>
      <c r="C235" s="207"/>
      <c r="D235" s="199"/>
      <c r="E235" s="207"/>
      <c r="F235" s="207"/>
      <c r="G235" s="199"/>
      <c r="H235" s="207"/>
      <c r="I235" s="199"/>
      <c r="J235" s="199"/>
      <c r="K235" s="209"/>
      <c r="L235" s="209"/>
      <c r="M235" s="203"/>
      <c r="N235" s="204"/>
      <c r="O235" s="205"/>
      <c r="P235" s="199"/>
      <c r="Q235" s="215"/>
      <c r="R235" s="206"/>
      <c r="S235" s="199"/>
      <c r="T235" s="199"/>
      <c r="V235" s="207"/>
    </row>
    <row r="236" ht="15.75" customHeight="1">
      <c r="A236" s="196"/>
      <c r="B236" s="218"/>
      <c r="C236" s="207"/>
      <c r="D236" s="199"/>
      <c r="E236" s="207"/>
      <c r="F236" s="207"/>
      <c r="G236" s="199"/>
      <c r="H236" s="207"/>
      <c r="I236" s="199"/>
      <c r="J236" s="199"/>
      <c r="K236" s="209"/>
      <c r="L236" s="209"/>
      <c r="M236" s="203"/>
      <c r="N236" s="204"/>
      <c r="O236" s="205"/>
      <c r="P236" s="199"/>
      <c r="Q236" s="215"/>
      <c r="R236" s="206"/>
      <c r="S236" s="199"/>
      <c r="T236" s="199"/>
      <c r="V236" s="207"/>
    </row>
    <row r="237" ht="15.75" customHeight="1">
      <c r="A237" s="196"/>
      <c r="B237" s="218"/>
      <c r="C237" s="207"/>
      <c r="D237" s="199"/>
      <c r="E237" s="207"/>
      <c r="F237" s="207"/>
      <c r="G237" s="199"/>
      <c r="H237" s="207"/>
      <c r="I237" s="199"/>
      <c r="J237" s="199"/>
      <c r="K237" s="209"/>
      <c r="L237" s="209"/>
      <c r="M237" s="203"/>
      <c r="N237" s="204"/>
      <c r="O237" s="205"/>
      <c r="P237" s="199"/>
      <c r="Q237" s="215"/>
      <c r="R237" s="206"/>
      <c r="S237" s="199"/>
      <c r="T237" s="199"/>
      <c r="V237" s="207"/>
    </row>
    <row r="238" ht="15.75" customHeight="1">
      <c r="A238" s="196"/>
      <c r="B238" s="218"/>
      <c r="C238" s="207"/>
      <c r="D238" s="199"/>
      <c r="E238" s="207"/>
      <c r="F238" s="207"/>
      <c r="G238" s="199"/>
      <c r="H238" s="207"/>
      <c r="I238" s="199"/>
      <c r="J238" s="199"/>
      <c r="K238" s="209"/>
      <c r="L238" s="209"/>
      <c r="M238" s="203"/>
      <c r="N238" s="204"/>
      <c r="O238" s="205"/>
      <c r="P238" s="199"/>
      <c r="Q238" s="215"/>
      <c r="R238" s="206"/>
      <c r="S238" s="199"/>
      <c r="T238" s="199"/>
      <c r="V238" s="207"/>
    </row>
    <row r="239" ht="15.75" customHeight="1">
      <c r="A239" s="196"/>
      <c r="B239" s="218"/>
      <c r="C239" s="207"/>
      <c r="D239" s="199"/>
      <c r="E239" s="207"/>
      <c r="F239" s="207"/>
      <c r="G239" s="199"/>
      <c r="H239" s="207"/>
      <c r="I239" s="199"/>
      <c r="J239" s="199"/>
      <c r="K239" s="209"/>
      <c r="L239" s="209"/>
      <c r="M239" s="203"/>
      <c r="N239" s="204"/>
      <c r="O239" s="205"/>
      <c r="P239" s="199"/>
      <c r="Q239" s="215"/>
      <c r="R239" s="206"/>
      <c r="S239" s="199"/>
      <c r="T239" s="199"/>
      <c r="V239" s="207"/>
    </row>
    <row r="240" ht="15.75" customHeight="1">
      <c r="A240" s="196"/>
      <c r="B240" s="218"/>
      <c r="C240" s="207"/>
      <c r="D240" s="199"/>
      <c r="E240" s="207"/>
      <c r="F240" s="207"/>
      <c r="G240" s="199"/>
      <c r="H240" s="207"/>
      <c r="I240" s="199"/>
      <c r="J240" s="199"/>
      <c r="K240" s="209"/>
      <c r="L240" s="209"/>
      <c r="M240" s="203"/>
      <c r="N240" s="204"/>
      <c r="O240" s="205"/>
      <c r="P240" s="199"/>
      <c r="Q240" s="215"/>
      <c r="R240" s="206"/>
      <c r="S240" s="199"/>
      <c r="T240" s="199"/>
      <c r="V240" s="207"/>
    </row>
    <row r="241" ht="15.75" customHeight="1">
      <c r="A241" s="196"/>
      <c r="B241" s="218"/>
      <c r="C241" s="207"/>
      <c r="D241" s="199"/>
      <c r="E241" s="207"/>
      <c r="F241" s="207"/>
      <c r="G241" s="199"/>
      <c r="H241" s="207"/>
      <c r="I241" s="199"/>
      <c r="J241" s="199"/>
      <c r="K241" s="209"/>
      <c r="L241" s="209"/>
      <c r="M241" s="203"/>
      <c r="N241" s="204"/>
      <c r="O241" s="205"/>
      <c r="P241" s="199"/>
      <c r="Q241" s="215"/>
      <c r="R241" s="206"/>
      <c r="S241" s="199"/>
      <c r="T241" s="199"/>
      <c r="V241" s="207"/>
    </row>
    <row r="242" ht="15.75" customHeight="1">
      <c r="A242" s="196"/>
      <c r="B242" s="218"/>
      <c r="C242" s="207"/>
      <c r="D242" s="199"/>
      <c r="E242" s="207"/>
      <c r="F242" s="207"/>
      <c r="G242" s="199"/>
      <c r="H242" s="207"/>
      <c r="I242" s="199"/>
      <c r="J242" s="199"/>
      <c r="K242" s="209"/>
      <c r="L242" s="209"/>
      <c r="M242" s="203"/>
      <c r="N242" s="204"/>
      <c r="O242" s="205"/>
      <c r="P242" s="199"/>
      <c r="Q242" s="215"/>
      <c r="R242" s="206"/>
      <c r="S242" s="199"/>
      <c r="T242" s="199"/>
      <c r="V242" s="207"/>
    </row>
    <row r="243" ht="15.75" customHeight="1">
      <c r="A243" s="196"/>
      <c r="B243" s="218"/>
      <c r="C243" s="207"/>
      <c r="D243" s="199"/>
      <c r="E243" s="207"/>
      <c r="F243" s="207"/>
      <c r="G243" s="199"/>
      <c r="H243" s="207"/>
      <c r="I243" s="199"/>
      <c r="J243" s="199"/>
      <c r="K243" s="209"/>
      <c r="L243" s="209"/>
      <c r="M243" s="203"/>
      <c r="N243" s="204"/>
      <c r="O243" s="205"/>
      <c r="P243" s="199"/>
      <c r="Q243" s="215"/>
      <c r="R243" s="206"/>
      <c r="S243" s="199"/>
      <c r="T243" s="199"/>
      <c r="V243" s="207"/>
    </row>
    <row r="244" ht="15.75" customHeight="1">
      <c r="A244" s="196"/>
      <c r="B244" s="218"/>
      <c r="C244" s="207"/>
      <c r="D244" s="199"/>
      <c r="E244" s="207"/>
      <c r="F244" s="207"/>
      <c r="G244" s="199"/>
      <c r="H244" s="207"/>
      <c r="I244" s="199"/>
      <c r="J244" s="199"/>
      <c r="K244" s="209"/>
      <c r="L244" s="209"/>
      <c r="M244" s="203"/>
      <c r="N244" s="204"/>
      <c r="O244" s="205"/>
      <c r="P244" s="199"/>
      <c r="Q244" s="215"/>
      <c r="R244" s="206"/>
      <c r="S244" s="199"/>
      <c r="T244" s="199"/>
      <c r="V244" s="207"/>
    </row>
    <row r="245" ht="15.75" customHeight="1">
      <c r="A245" s="196"/>
      <c r="B245" s="218"/>
      <c r="C245" s="207"/>
      <c r="D245" s="199"/>
      <c r="E245" s="207"/>
      <c r="F245" s="207"/>
      <c r="G245" s="199"/>
      <c r="H245" s="207"/>
      <c r="I245" s="199"/>
      <c r="J245" s="199"/>
      <c r="K245" s="209"/>
      <c r="L245" s="209"/>
      <c r="M245" s="203"/>
      <c r="N245" s="204"/>
      <c r="O245" s="205"/>
      <c r="P245" s="199"/>
      <c r="Q245" s="215"/>
      <c r="R245" s="206"/>
      <c r="S245" s="199"/>
      <c r="T245" s="199"/>
      <c r="V245" s="207"/>
    </row>
    <row r="246" ht="15.75" customHeight="1">
      <c r="A246" s="196"/>
      <c r="B246" s="218"/>
      <c r="C246" s="207"/>
      <c r="D246" s="199"/>
      <c r="E246" s="207"/>
      <c r="F246" s="207"/>
      <c r="G246" s="199"/>
      <c r="H246" s="207"/>
      <c r="I246" s="199"/>
      <c r="J246" s="199"/>
      <c r="K246" s="209"/>
      <c r="L246" s="209"/>
      <c r="M246" s="203"/>
      <c r="N246" s="204"/>
      <c r="O246" s="205"/>
      <c r="P246" s="199"/>
      <c r="Q246" s="215"/>
      <c r="R246" s="206"/>
      <c r="S246" s="199"/>
      <c r="T246" s="199"/>
      <c r="V246" s="207"/>
    </row>
    <row r="247" ht="15.75" customHeight="1">
      <c r="A247" s="196"/>
      <c r="B247" s="218"/>
      <c r="C247" s="207"/>
      <c r="D247" s="199"/>
      <c r="E247" s="207"/>
      <c r="F247" s="207"/>
      <c r="G247" s="199"/>
      <c r="H247" s="207"/>
      <c r="I247" s="199"/>
      <c r="J247" s="199"/>
      <c r="K247" s="209"/>
      <c r="L247" s="209"/>
      <c r="M247" s="203"/>
      <c r="N247" s="204"/>
      <c r="O247" s="205"/>
      <c r="P247" s="199"/>
      <c r="Q247" s="215"/>
      <c r="R247" s="206"/>
      <c r="S247" s="199"/>
      <c r="T247" s="199"/>
      <c r="V247" s="207"/>
    </row>
    <row r="248" ht="15.75" customHeight="1">
      <c r="A248" s="196"/>
      <c r="B248" s="218"/>
      <c r="C248" s="207"/>
      <c r="D248" s="199"/>
      <c r="E248" s="207"/>
      <c r="F248" s="207"/>
      <c r="G248" s="199"/>
      <c r="H248" s="207"/>
      <c r="I248" s="199"/>
      <c r="J248" s="199"/>
      <c r="K248" s="209"/>
      <c r="L248" s="209"/>
      <c r="M248" s="203"/>
      <c r="N248" s="204"/>
      <c r="O248" s="205"/>
      <c r="P248" s="199"/>
      <c r="Q248" s="215"/>
      <c r="R248" s="206"/>
      <c r="S248" s="199"/>
      <c r="T248" s="199"/>
      <c r="V248" s="207"/>
    </row>
    <row r="249" ht="15.75" customHeight="1">
      <c r="A249" s="196"/>
      <c r="B249" s="218"/>
      <c r="C249" s="207"/>
      <c r="D249" s="199"/>
      <c r="E249" s="207"/>
      <c r="F249" s="207"/>
      <c r="G249" s="199"/>
      <c r="H249" s="207"/>
      <c r="I249" s="199"/>
      <c r="J249" s="199"/>
      <c r="K249" s="209"/>
      <c r="L249" s="209"/>
      <c r="M249" s="203"/>
      <c r="N249" s="204"/>
      <c r="O249" s="205"/>
      <c r="P249" s="199"/>
      <c r="Q249" s="215"/>
      <c r="R249" s="206"/>
      <c r="S249" s="199"/>
      <c r="T249" s="199"/>
      <c r="V249" s="207"/>
    </row>
    <row r="250" ht="15.75" customHeight="1">
      <c r="A250" s="196"/>
      <c r="B250" s="218"/>
      <c r="C250" s="207"/>
      <c r="D250" s="199"/>
      <c r="E250" s="207"/>
      <c r="F250" s="207"/>
      <c r="G250" s="199"/>
      <c r="H250" s="207"/>
      <c r="I250" s="199"/>
      <c r="J250" s="199"/>
      <c r="K250" s="209"/>
      <c r="L250" s="209"/>
      <c r="M250" s="203"/>
      <c r="N250" s="204"/>
      <c r="O250" s="205"/>
      <c r="P250" s="199"/>
      <c r="Q250" s="215"/>
      <c r="R250" s="206"/>
      <c r="S250" s="199"/>
      <c r="T250" s="199"/>
      <c r="V250" s="207"/>
    </row>
    <row r="251" ht="15.75" customHeight="1">
      <c r="A251" s="196"/>
      <c r="B251" s="218"/>
      <c r="C251" s="207"/>
      <c r="D251" s="199"/>
      <c r="E251" s="207"/>
      <c r="F251" s="207"/>
      <c r="G251" s="199"/>
      <c r="H251" s="207"/>
      <c r="I251" s="199"/>
      <c r="J251" s="199"/>
      <c r="K251" s="209"/>
      <c r="L251" s="209"/>
      <c r="M251" s="203"/>
      <c r="N251" s="204"/>
      <c r="O251" s="205"/>
      <c r="P251" s="199"/>
      <c r="Q251" s="215"/>
      <c r="R251" s="206"/>
      <c r="S251" s="199"/>
      <c r="T251" s="199"/>
      <c r="V251" s="207"/>
    </row>
    <row r="252" ht="15.75" customHeight="1">
      <c r="A252" s="196"/>
      <c r="B252" s="218"/>
      <c r="C252" s="207"/>
      <c r="D252" s="199"/>
      <c r="E252" s="207"/>
      <c r="F252" s="207"/>
      <c r="G252" s="199"/>
      <c r="H252" s="207"/>
      <c r="I252" s="199"/>
      <c r="J252" s="199"/>
      <c r="K252" s="209"/>
      <c r="L252" s="209"/>
      <c r="M252" s="203"/>
      <c r="N252" s="204"/>
      <c r="O252" s="205"/>
      <c r="P252" s="199"/>
      <c r="Q252" s="215"/>
      <c r="R252" s="206"/>
      <c r="S252" s="199"/>
      <c r="T252" s="199"/>
      <c r="V252" s="207"/>
    </row>
    <row r="253" ht="15.75" customHeight="1">
      <c r="A253" s="196"/>
      <c r="B253" s="218"/>
      <c r="C253" s="207"/>
      <c r="D253" s="199"/>
      <c r="E253" s="207"/>
      <c r="F253" s="207"/>
      <c r="G253" s="199"/>
      <c r="H253" s="207"/>
      <c r="I253" s="199"/>
      <c r="J253" s="199"/>
      <c r="K253" s="209"/>
      <c r="L253" s="209"/>
      <c r="M253" s="203"/>
      <c r="N253" s="204"/>
      <c r="O253" s="205"/>
      <c r="P253" s="199"/>
      <c r="Q253" s="215"/>
      <c r="R253" s="206"/>
      <c r="S253" s="199"/>
      <c r="T253" s="199"/>
      <c r="V253" s="207"/>
    </row>
    <row r="254" ht="15.75" customHeight="1">
      <c r="A254" s="196"/>
      <c r="B254" s="218"/>
      <c r="C254" s="207"/>
      <c r="D254" s="199"/>
      <c r="E254" s="207"/>
      <c r="F254" s="207"/>
      <c r="G254" s="199"/>
      <c r="H254" s="207"/>
      <c r="I254" s="199"/>
      <c r="J254" s="199"/>
      <c r="K254" s="209"/>
      <c r="L254" s="209"/>
      <c r="M254" s="203"/>
      <c r="N254" s="204"/>
      <c r="O254" s="205"/>
      <c r="P254" s="199"/>
      <c r="Q254" s="215"/>
      <c r="R254" s="206"/>
      <c r="S254" s="199"/>
      <c r="T254" s="199"/>
      <c r="V254" s="207"/>
    </row>
    <row r="255" ht="15.75" customHeight="1">
      <c r="A255" s="196"/>
      <c r="B255" s="218"/>
      <c r="C255" s="207"/>
      <c r="D255" s="199"/>
      <c r="E255" s="207"/>
      <c r="F255" s="207"/>
      <c r="G255" s="199"/>
      <c r="H255" s="207"/>
      <c r="I255" s="199"/>
      <c r="J255" s="199"/>
      <c r="K255" s="209"/>
      <c r="L255" s="209"/>
      <c r="M255" s="203"/>
      <c r="N255" s="204"/>
      <c r="O255" s="205"/>
      <c r="P255" s="199"/>
      <c r="Q255" s="215"/>
      <c r="R255" s="206"/>
      <c r="S255" s="199"/>
      <c r="T255" s="199"/>
      <c r="V255" s="207"/>
    </row>
    <row r="256" ht="15.75" customHeight="1">
      <c r="A256" s="196"/>
      <c r="B256" s="218"/>
      <c r="C256" s="207"/>
      <c r="D256" s="199"/>
      <c r="E256" s="207"/>
      <c r="F256" s="207"/>
      <c r="G256" s="199"/>
      <c r="H256" s="207"/>
      <c r="I256" s="199"/>
      <c r="J256" s="199"/>
      <c r="K256" s="209"/>
      <c r="L256" s="209"/>
      <c r="M256" s="203"/>
      <c r="N256" s="204"/>
      <c r="O256" s="205"/>
      <c r="P256" s="199"/>
      <c r="Q256" s="215"/>
      <c r="R256" s="206"/>
      <c r="S256" s="199"/>
      <c r="T256" s="199"/>
      <c r="V256" s="207"/>
    </row>
    <row r="257" ht="15.75" customHeight="1">
      <c r="A257" s="196"/>
      <c r="B257" s="218"/>
      <c r="C257" s="207"/>
      <c r="D257" s="199"/>
      <c r="E257" s="207"/>
      <c r="F257" s="207"/>
      <c r="G257" s="199"/>
      <c r="H257" s="207"/>
      <c r="I257" s="199"/>
      <c r="J257" s="199"/>
      <c r="K257" s="209"/>
      <c r="L257" s="209"/>
      <c r="M257" s="203"/>
      <c r="N257" s="204"/>
      <c r="O257" s="205"/>
      <c r="P257" s="199"/>
      <c r="Q257" s="215"/>
      <c r="R257" s="206"/>
      <c r="S257" s="199"/>
      <c r="T257" s="199"/>
      <c r="V257" s="207"/>
    </row>
    <row r="258" ht="15.75" customHeight="1">
      <c r="A258" s="196"/>
      <c r="B258" s="218"/>
      <c r="C258" s="207"/>
      <c r="D258" s="199"/>
      <c r="E258" s="207"/>
      <c r="F258" s="207"/>
      <c r="G258" s="199"/>
      <c r="H258" s="207"/>
      <c r="I258" s="199"/>
      <c r="J258" s="199"/>
      <c r="K258" s="209"/>
      <c r="L258" s="209"/>
      <c r="M258" s="203"/>
      <c r="N258" s="204"/>
      <c r="O258" s="205"/>
      <c r="P258" s="199"/>
      <c r="Q258" s="215"/>
      <c r="R258" s="206"/>
      <c r="S258" s="199"/>
      <c r="T258" s="199"/>
      <c r="V258" s="207"/>
    </row>
    <row r="259" ht="15.75" customHeight="1">
      <c r="A259" s="196"/>
      <c r="B259" s="218"/>
      <c r="C259" s="207"/>
      <c r="D259" s="199"/>
      <c r="E259" s="207"/>
      <c r="F259" s="207"/>
      <c r="G259" s="199"/>
      <c r="H259" s="207"/>
      <c r="I259" s="199"/>
      <c r="J259" s="199"/>
      <c r="K259" s="209"/>
      <c r="L259" s="209"/>
      <c r="M259" s="203"/>
      <c r="N259" s="204"/>
      <c r="O259" s="205"/>
      <c r="P259" s="199"/>
      <c r="Q259" s="215"/>
      <c r="R259" s="206"/>
      <c r="S259" s="199"/>
      <c r="T259" s="199"/>
      <c r="V259" s="207"/>
    </row>
    <row r="260" ht="15.75" customHeight="1">
      <c r="A260" s="196"/>
      <c r="B260" s="218"/>
      <c r="C260" s="207"/>
      <c r="D260" s="199"/>
      <c r="E260" s="207"/>
      <c r="F260" s="207"/>
      <c r="G260" s="199"/>
      <c r="H260" s="207"/>
      <c r="I260" s="199"/>
      <c r="J260" s="199"/>
      <c r="K260" s="209"/>
      <c r="L260" s="209"/>
      <c r="M260" s="203"/>
      <c r="N260" s="204"/>
      <c r="O260" s="205"/>
      <c r="P260" s="199"/>
      <c r="Q260" s="215"/>
      <c r="R260" s="206"/>
      <c r="S260" s="199"/>
      <c r="T260" s="199"/>
      <c r="V260" s="207"/>
    </row>
    <row r="261" ht="15.75" customHeight="1">
      <c r="A261" s="196"/>
      <c r="B261" s="218"/>
      <c r="C261" s="207"/>
      <c r="D261" s="199"/>
      <c r="E261" s="207"/>
      <c r="F261" s="207"/>
      <c r="G261" s="199"/>
      <c r="H261" s="207"/>
      <c r="I261" s="199"/>
      <c r="J261" s="199"/>
      <c r="K261" s="209"/>
      <c r="L261" s="209"/>
      <c r="M261" s="203"/>
      <c r="N261" s="204"/>
      <c r="O261" s="205"/>
      <c r="P261" s="199"/>
      <c r="Q261" s="215"/>
      <c r="R261" s="206"/>
      <c r="S261" s="199"/>
      <c r="T261" s="199"/>
      <c r="V261" s="207"/>
    </row>
    <row r="262" ht="15.75" customHeight="1">
      <c r="A262" s="196"/>
      <c r="B262" s="218"/>
      <c r="C262" s="207"/>
      <c r="D262" s="199"/>
      <c r="E262" s="207"/>
      <c r="F262" s="207"/>
      <c r="G262" s="199"/>
      <c r="H262" s="207"/>
      <c r="I262" s="199"/>
      <c r="J262" s="199"/>
      <c r="K262" s="209"/>
      <c r="L262" s="209"/>
      <c r="M262" s="203"/>
      <c r="N262" s="204"/>
      <c r="O262" s="205"/>
      <c r="P262" s="199"/>
      <c r="Q262" s="215"/>
      <c r="R262" s="206"/>
      <c r="S262" s="199"/>
      <c r="T262" s="199"/>
      <c r="V262" s="207"/>
    </row>
    <row r="263" ht="15.75" customHeight="1">
      <c r="A263" s="196"/>
      <c r="B263" s="218"/>
      <c r="C263" s="207"/>
      <c r="D263" s="199"/>
      <c r="E263" s="207"/>
      <c r="F263" s="207"/>
      <c r="G263" s="199"/>
      <c r="H263" s="207"/>
      <c r="I263" s="199"/>
      <c r="J263" s="199"/>
      <c r="K263" s="209"/>
      <c r="L263" s="209"/>
      <c r="M263" s="203"/>
      <c r="N263" s="204"/>
      <c r="O263" s="205"/>
      <c r="P263" s="199"/>
      <c r="Q263" s="215"/>
      <c r="R263" s="206"/>
      <c r="S263" s="199"/>
      <c r="T263" s="199"/>
      <c r="V263" s="207"/>
    </row>
    <row r="264" ht="15.75" customHeight="1">
      <c r="A264" s="196"/>
      <c r="B264" s="218"/>
      <c r="C264" s="207"/>
      <c r="D264" s="199"/>
      <c r="E264" s="207"/>
      <c r="F264" s="207"/>
      <c r="G264" s="199"/>
      <c r="H264" s="207"/>
      <c r="I264" s="199"/>
      <c r="J264" s="199"/>
      <c r="K264" s="209"/>
      <c r="L264" s="209"/>
      <c r="M264" s="203"/>
      <c r="N264" s="204"/>
      <c r="O264" s="205"/>
      <c r="P264" s="199"/>
      <c r="Q264" s="215"/>
      <c r="R264" s="206"/>
      <c r="S264" s="199"/>
      <c r="T264" s="199"/>
      <c r="V264" s="207"/>
    </row>
    <row r="265" ht="15.75" customHeight="1">
      <c r="A265" s="196"/>
      <c r="B265" s="218"/>
      <c r="C265" s="207"/>
      <c r="D265" s="199"/>
      <c r="E265" s="207"/>
      <c r="F265" s="207"/>
      <c r="G265" s="199"/>
      <c r="H265" s="207"/>
      <c r="I265" s="199"/>
      <c r="J265" s="199"/>
      <c r="K265" s="209"/>
      <c r="L265" s="209"/>
      <c r="M265" s="203"/>
      <c r="N265" s="204"/>
      <c r="O265" s="205"/>
      <c r="P265" s="199"/>
      <c r="Q265" s="215"/>
      <c r="R265" s="206"/>
      <c r="S265" s="199"/>
      <c r="T265" s="199"/>
      <c r="V265" s="207"/>
    </row>
    <row r="266" ht="15.75" customHeight="1">
      <c r="A266" s="196"/>
      <c r="B266" s="218"/>
      <c r="C266" s="207"/>
      <c r="D266" s="199"/>
      <c r="E266" s="207"/>
      <c r="F266" s="207"/>
      <c r="G266" s="199"/>
      <c r="H266" s="207"/>
      <c r="I266" s="199"/>
      <c r="J266" s="199"/>
      <c r="K266" s="209"/>
      <c r="L266" s="209"/>
      <c r="M266" s="203"/>
      <c r="N266" s="204"/>
      <c r="O266" s="205"/>
      <c r="P266" s="199"/>
      <c r="Q266" s="215"/>
      <c r="R266" s="206"/>
      <c r="S266" s="199"/>
      <c r="T266" s="199"/>
      <c r="V266" s="207"/>
    </row>
    <row r="267" ht="15.75" customHeight="1">
      <c r="A267" s="196"/>
      <c r="B267" s="218"/>
      <c r="C267" s="207"/>
      <c r="D267" s="199"/>
      <c r="E267" s="207"/>
      <c r="F267" s="207"/>
      <c r="G267" s="199"/>
      <c r="H267" s="207"/>
      <c r="I267" s="199"/>
      <c r="J267" s="199"/>
      <c r="K267" s="209"/>
      <c r="L267" s="209"/>
      <c r="M267" s="203"/>
      <c r="N267" s="204"/>
      <c r="O267" s="205"/>
      <c r="P267" s="199"/>
      <c r="Q267" s="215"/>
      <c r="R267" s="206"/>
      <c r="S267" s="199"/>
      <c r="T267" s="199"/>
      <c r="V267" s="207"/>
    </row>
    <row r="268" ht="15.75" customHeight="1">
      <c r="A268" s="196"/>
      <c r="B268" s="218"/>
      <c r="C268" s="207"/>
      <c r="D268" s="199"/>
      <c r="E268" s="207"/>
      <c r="F268" s="207"/>
      <c r="G268" s="199"/>
      <c r="H268" s="207"/>
      <c r="I268" s="199"/>
      <c r="J268" s="199"/>
      <c r="K268" s="209"/>
      <c r="L268" s="209"/>
      <c r="M268" s="203"/>
      <c r="N268" s="204"/>
      <c r="O268" s="205"/>
      <c r="P268" s="199"/>
      <c r="Q268" s="215"/>
      <c r="R268" s="206"/>
      <c r="S268" s="199"/>
      <c r="T268" s="199"/>
      <c r="V268" s="207"/>
    </row>
    <row r="269" ht="15.75" customHeight="1">
      <c r="A269" s="196"/>
      <c r="B269" s="218"/>
      <c r="C269" s="207"/>
      <c r="D269" s="199"/>
      <c r="E269" s="207"/>
      <c r="F269" s="207"/>
      <c r="G269" s="199"/>
      <c r="H269" s="207"/>
      <c r="I269" s="199"/>
      <c r="J269" s="199"/>
      <c r="K269" s="209"/>
      <c r="L269" s="209"/>
      <c r="M269" s="203"/>
      <c r="N269" s="204"/>
      <c r="O269" s="205"/>
      <c r="P269" s="199"/>
      <c r="Q269" s="215"/>
      <c r="R269" s="206"/>
      <c r="S269" s="199"/>
      <c r="T269" s="199"/>
      <c r="V269" s="207"/>
    </row>
    <row r="270" ht="15.75" customHeight="1">
      <c r="A270" s="196"/>
      <c r="B270" s="218"/>
      <c r="C270" s="207"/>
      <c r="D270" s="199"/>
      <c r="E270" s="207"/>
      <c r="F270" s="207"/>
      <c r="G270" s="199"/>
      <c r="H270" s="207"/>
      <c r="I270" s="199"/>
      <c r="J270" s="199"/>
      <c r="K270" s="209"/>
      <c r="L270" s="209"/>
      <c r="M270" s="203"/>
      <c r="N270" s="204"/>
      <c r="O270" s="205"/>
      <c r="P270" s="199"/>
      <c r="Q270" s="215"/>
      <c r="R270" s="206"/>
      <c r="S270" s="199"/>
      <c r="T270" s="199"/>
      <c r="V270" s="207"/>
    </row>
    <row r="271" ht="15.75" customHeight="1">
      <c r="A271" s="196"/>
      <c r="B271" s="218"/>
      <c r="C271" s="207"/>
      <c r="D271" s="199"/>
      <c r="E271" s="207"/>
      <c r="F271" s="207"/>
      <c r="G271" s="199"/>
      <c r="H271" s="207"/>
      <c r="I271" s="199"/>
      <c r="J271" s="199"/>
      <c r="K271" s="209"/>
      <c r="L271" s="209"/>
      <c r="M271" s="203"/>
      <c r="N271" s="204"/>
      <c r="O271" s="205"/>
      <c r="P271" s="199"/>
      <c r="Q271" s="215"/>
      <c r="R271" s="206"/>
      <c r="S271" s="199"/>
      <c r="T271" s="199"/>
      <c r="V271" s="207"/>
    </row>
    <row r="272" ht="15.75" customHeight="1">
      <c r="A272" s="196"/>
      <c r="B272" s="218"/>
      <c r="C272" s="207"/>
      <c r="D272" s="199"/>
      <c r="E272" s="207"/>
      <c r="F272" s="207"/>
      <c r="G272" s="199"/>
      <c r="H272" s="207"/>
      <c r="I272" s="199"/>
      <c r="J272" s="199"/>
      <c r="K272" s="209"/>
      <c r="L272" s="209"/>
      <c r="M272" s="203"/>
      <c r="N272" s="204"/>
      <c r="O272" s="205"/>
      <c r="P272" s="199"/>
      <c r="Q272" s="215"/>
      <c r="R272" s="206"/>
      <c r="S272" s="199"/>
      <c r="T272" s="199"/>
      <c r="V272" s="207"/>
    </row>
    <row r="273" ht="15.75" customHeight="1">
      <c r="A273" s="196"/>
      <c r="B273" s="218"/>
      <c r="C273" s="207"/>
      <c r="D273" s="199"/>
      <c r="E273" s="207"/>
      <c r="F273" s="207"/>
      <c r="G273" s="199"/>
      <c r="H273" s="207"/>
      <c r="I273" s="199"/>
      <c r="J273" s="199"/>
      <c r="K273" s="209"/>
      <c r="L273" s="209"/>
      <c r="M273" s="203"/>
      <c r="N273" s="204"/>
      <c r="O273" s="205"/>
      <c r="P273" s="199"/>
      <c r="Q273" s="215"/>
      <c r="R273" s="206"/>
      <c r="S273" s="199"/>
      <c r="T273" s="199"/>
      <c r="V273" s="207"/>
    </row>
    <row r="274" ht="15.75" customHeight="1">
      <c r="A274" s="196"/>
      <c r="B274" s="218"/>
      <c r="C274" s="207"/>
      <c r="D274" s="199"/>
      <c r="E274" s="207"/>
      <c r="F274" s="207"/>
      <c r="G274" s="199"/>
      <c r="H274" s="207"/>
      <c r="I274" s="199"/>
      <c r="J274" s="199"/>
      <c r="K274" s="209"/>
      <c r="L274" s="209"/>
      <c r="M274" s="203"/>
      <c r="N274" s="204"/>
      <c r="O274" s="205"/>
      <c r="P274" s="199"/>
      <c r="Q274" s="215"/>
      <c r="R274" s="206"/>
      <c r="S274" s="199"/>
      <c r="T274" s="199"/>
      <c r="V274" s="207"/>
    </row>
    <row r="275" ht="15.75" customHeight="1">
      <c r="A275" s="196"/>
      <c r="B275" s="218"/>
      <c r="C275" s="207"/>
      <c r="D275" s="199"/>
      <c r="E275" s="207"/>
      <c r="F275" s="207"/>
      <c r="G275" s="199"/>
      <c r="H275" s="207"/>
      <c r="I275" s="199"/>
      <c r="J275" s="199"/>
      <c r="K275" s="209"/>
      <c r="L275" s="209"/>
      <c r="M275" s="203"/>
      <c r="N275" s="204"/>
      <c r="O275" s="205"/>
      <c r="P275" s="199"/>
      <c r="Q275" s="215"/>
      <c r="R275" s="206"/>
      <c r="S275" s="199"/>
      <c r="T275" s="199"/>
      <c r="V275" s="207"/>
    </row>
    <row r="276" ht="15.75" customHeight="1">
      <c r="A276" s="196"/>
      <c r="B276" s="218"/>
      <c r="C276" s="207"/>
      <c r="D276" s="199"/>
      <c r="E276" s="207"/>
      <c r="F276" s="207"/>
      <c r="G276" s="199"/>
      <c r="H276" s="207"/>
      <c r="I276" s="199"/>
      <c r="J276" s="199"/>
      <c r="K276" s="209"/>
      <c r="L276" s="209"/>
      <c r="M276" s="203"/>
      <c r="N276" s="204"/>
      <c r="O276" s="205"/>
      <c r="P276" s="199"/>
      <c r="Q276" s="215"/>
      <c r="R276" s="206"/>
      <c r="S276" s="199"/>
      <c r="T276" s="199"/>
      <c r="V276" s="207"/>
    </row>
    <row r="277" ht="15.75" customHeight="1">
      <c r="A277" s="196"/>
      <c r="B277" s="218"/>
      <c r="C277" s="207"/>
      <c r="D277" s="199"/>
      <c r="E277" s="207"/>
      <c r="F277" s="207"/>
      <c r="G277" s="199"/>
      <c r="H277" s="207"/>
      <c r="I277" s="199"/>
      <c r="J277" s="199"/>
      <c r="K277" s="209"/>
      <c r="L277" s="209"/>
      <c r="M277" s="203"/>
      <c r="N277" s="204"/>
      <c r="O277" s="205"/>
      <c r="P277" s="199"/>
      <c r="Q277" s="215"/>
      <c r="R277" s="206"/>
      <c r="S277" s="199"/>
      <c r="T277" s="199"/>
      <c r="V277" s="207"/>
    </row>
    <row r="278" ht="15.75" customHeight="1">
      <c r="A278" s="196"/>
      <c r="B278" s="218"/>
      <c r="C278" s="207"/>
      <c r="D278" s="199"/>
      <c r="E278" s="207"/>
      <c r="F278" s="207"/>
      <c r="G278" s="199"/>
      <c r="H278" s="207"/>
      <c r="I278" s="199"/>
      <c r="J278" s="199"/>
      <c r="K278" s="209"/>
      <c r="L278" s="209"/>
      <c r="M278" s="203"/>
      <c r="N278" s="204"/>
      <c r="O278" s="205"/>
      <c r="P278" s="199"/>
      <c r="Q278" s="215"/>
      <c r="R278" s="206"/>
      <c r="S278" s="199"/>
      <c r="T278" s="199"/>
      <c r="V278" s="207"/>
    </row>
    <row r="279" ht="15.75" customHeight="1">
      <c r="A279" s="196"/>
      <c r="B279" s="218"/>
      <c r="C279" s="207"/>
      <c r="D279" s="199"/>
      <c r="E279" s="207"/>
      <c r="F279" s="207"/>
      <c r="G279" s="199"/>
      <c r="H279" s="207"/>
      <c r="I279" s="199"/>
      <c r="J279" s="199"/>
      <c r="K279" s="209"/>
      <c r="L279" s="209"/>
      <c r="M279" s="203"/>
      <c r="N279" s="204"/>
      <c r="O279" s="205"/>
      <c r="P279" s="199"/>
      <c r="Q279" s="215"/>
      <c r="R279" s="206"/>
      <c r="S279" s="199"/>
      <c r="T279" s="199"/>
      <c r="V279" s="207"/>
    </row>
    <row r="280" ht="15.75" customHeight="1">
      <c r="A280" s="196"/>
      <c r="B280" s="218"/>
      <c r="C280" s="207"/>
      <c r="D280" s="199"/>
      <c r="E280" s="207"/>
      <c r="F280" s="207"/>
      <c r="G280" s="199"/>
      <c r="H280" s="207"/>
      <c r="I280" s="199"/>
      <c r="J280" s="199"/>
      <c r="K280" s="209"/>
      <c r="L280" s="209"/>
      <c r="M280" s="203"/>
      <c r="N280" s="204"/>
      <c r="O280" s="205"/>
      <c r="P280" s="199"/>
      <c r="Q280" s="215"/>
      <c r="R280" s="206"/>
      <c r="S280" s="199"/>
      <c r="T280" s="199"/>
      <c r="V280" s="207"/>
    </row>
    <row r="281" ht="15.75" customHeight="1">
      <c r="A281" s="196"/>
      <c r="B281" s="218"/>
      <c r="C281" s="207"/>
      <c r="D281" s="199"/>
      <c r="E281" s="207"/>
      <c r="F281" s="207"/>
      <c r="G281" s="199"/>
      <c r="H281" s="207"/>
      <c r="I281" s="199"/>
      <c r="J281" s="199"/>
      <c r="K281" s="209"/>
      <c r="L281" s="209"/>
      <c r="M281" s="203"/>
      <c r="N281" s="204"/>
      <c r="O281" s="205"/>
      <c r="P281" s="199"/>
      <c r="Q281" s="215"/>
      <c r="R281" s="206"/>
      <c r="S281" s="199"/>
      <c r="T281" s="199"/>
      <c r="V281" s="207"/>
    </row>
    <row r="282" ht="15.75" customHeight="1">
      <c r="A282" s="196"/>
      <c r="B282" s="218"/>
      <c r="C282" s="207"/>
      <c r="D282" s="199"/>
      <c r="E282" s="207"/>
      <c r="F282" s="207"/>
      <c r="G282" s="199"/>
      <c r="H282" s="207"/>
      <c r="I282" s="199"/>
      <c r="J282" s="199"/>
      <c r="K282" s="209"/>
      <c r="L282" s="209"/>
      <c r="M282" s="203"/>
      <c r="N282" s="204"/>
      <c r="O282" s="205"/>
      <c r="P282" s="199"/>
      <c r="Q282" s="215"/>
      <c r="R282" s="206"/>
      <c r="S282" s="199"/>
      <c r="T282" s="199"/>
      <c r="V282" s="207"/>
    </row>
    <row r="283" ht="15.75" customHeight="1">
      <c r="A283" s="196"/>
      <c r="B283" s="218"/>
      <c r="C283" s="207"/>
      <c r="D283" s="199"/>
      <c r="E283" s="207"/>
      <c r="F283" s="207"/>
      <c r="G283" s="199"/>
      <c r="H283" s="207"/>
      <c r="I283" s="199"/>
      <c r="J283" s="199"/>
      <c r="K283" s="209"/>
      <c r="L283" s="209"/>
      <c r="M283" s="203"/>
      <c r="N283" s="204"/>
      <c r="O283" s="205"/>
      <c r="P283" s="199"/>
      <c r="Q283" s="215"/>
      <c r="R283" s="206"/>
      <c r="S283" s="199"/>
      <c r="T283" s="199"/>
      <c r="V283" s="207"/>
    </row>
    <row r="284" ht="15.75" customHeight="1">
      <c r="A284" s="196"/>
      <c r="B284" s="218"/>
      <c r="C284" s="207"/>
      <c r="D284" s="199"/>
      <c r="E284" s="207"/>
      <c r="F284" s="207"/>
      <c r="G284" s="199"/>
      <c r="H284" s="207"/>
      <c r="I284" s="199"/>
      <c r="J284" s="199"/>
      <c r="K284" s="209"/>
      <c r="L284" s="209"/>
      <c r="M284" s="203"/>
      <c r="N284" s="204"/>
      <c r="O284" s="205"/>
      <c r="P284" s="199"/>
      <c r="Q284" s="215"/>
      <c r="R284" s="206"/>
      <c r="S284" s="199"/>
      <c r="T284" s="199"/>
      <c r="V284" s="207"/>
    </row>
    <row r="285" ht="15.75" customHeight="1">
      <c r="A285" s="196"/>
      <c r="B285" s="218"/>
      <c r="C285" s="207"/>
      <c r="D285" s="199"/>
      <c r="E285" s="207"/>
      <c r="F285" s="207"/>
      <c r="G285" s="199"/>
      <c r="H285" s="207"/>
      <c r="I285" s="199"/>
      <c r="J285" s="199"/>
      <c r="K285" s="209"/>
      <c r="L285" s="209"/>
      <c r="M285" s="203"/>
      <c r="N285" s="204"/>
      <c r="O285" s="205"/>
      <c r="P285" s="199"/>
      <c r="Q285" s="215"/>
      <c r="R285" s="206"/>
      <c r="S285" s="199"/>
      <c r="T285" s="199"/>
      <c r="V285" s="207"/>
    </row>
    <row r="286" ht="15.75" customHeight="1">
      <c r="A286" s="196"/>
      <c r="B286" s="218"/>
      <c r="C286" s="207"/>
      <c r="D286" s="199"/>
      <c r="E286" s="207"/>
      <c r="F286" s="207"/>
      <c r="G286" s="199"/>
      <c r="H286" s="207"/>
      <c r="I286" s="199"/>
      <c r="J286" s="199"/>
      <c r="K286" s="209"/>
      <c r="L286" s="209"/>
      <c r="M286" s="203"/>
      <c r="N286" s="204"/>
      <c r="O286" s="205"/>
      <c r="P286" s="199"/>
      <c r="Q286" s="215"/>
      <c r="R286" s="206"/>
      <c r="S286" s="199"/>
      <c r="T286" s="199"/>
      <c r="V286" s="207"/>
    </row>
    <row r="287" ht="15.75" customHeight="1">
      <c r="A287" s="196"/>
      <c r="B287" s="218"/>
      <c r="C287" s="207"/>
      <c r="D287" s="199"/>
      <c r="E287" s="207"/>
      <c r="F287" s="207"/>
      <c r="G287" s="199"/>
      <c r="H287" s="207"/>
      <c r="I287" s="199"/>
      <c r="J287" s="199"/>
      <c r="K287" s="209"/>
      <c r="L287" s="209"/>
      <c r="M287" s="203"/>
      <c r="N287" s="204"/>
      <c r="O287" s="205"/>
      <c r="P287" s="199"/>
      <c r="Q287" s="215"/>
      <c r="R287" s="206"/>
      <c r="S287" s="199"/>
      <c r="T287" s="199"/>
      <c r="V287" s="207"/>
    </row>
    <row r="288" ht="15.75" customHeight="1">
      <c r="A288" s="196"/>
      <c r="B288" s="218"/>
      <c r="C288" s="207"/>
      <c r="D288" s="199"/>
      <c r="E288" s="207"/>
      <c r="F288" s="207"/>
      <c r="G288" s="199"/>
      <c r="H288" s="207"/>
      <c r="I288" s="199"/>
      <c r="J288" s="199"/>
      <c r="K288" s="209"/>
      <c r="L288" s="209"/>
      <c r="M288" s="203"/>
      <c r="N288" s="204"/>
      <c r="O288" s="205"/>
      <c r="P288" s="199"/>
      <c r="Q288" s="215"/>
      <c r="R288" s="206"/>
      <c r="S288" s="199"/>
      <c r="T288" s="199"/>
      <c r="V288" s="207"/>
    </row>
    <row r="289" ht="15.75" customHeight="1">
      <c r="A289" s="196"/>
      <c r="B289" s="218"/>
      <c r="C289" s="207"/>
      <c r="D289" s="199"/>
      <c r="E289" s="207"/>
      <c r="F289" s="207"/>
      <c r="G289" s="199"/>
      <c r="H289" s="207"/>
      <c r="I289" s="199"/>
      <c r="J289" s="199"/>
      <c r="K289" s="209"/>
      <c r="L289" s="209"/>
      <c r="M289" s="203"/>
      <c r="N289" s="204"/>
      <c r="O289" s="205"/>
      <c r="P289" s="199"/>
      <c r="Q289" s="215"/>
      <c r="R289" s="206"/>
      <c r="S289" s="199"/>
      <c r="T289" s="199"/>
      <c r="V289" s="207"/>
    </row>
    <row r="290" ht="15.75" customHeight="1">
      <c r="A290" s="196"/>
      <c r="B290" s="218"/>
      <c r="C290" s="207"/>
      <c r="D290" s="199"/>
      <c r="E290" s="207"/>
      <c r="F290" s="207"/>
      <c r="G290" s="199"/>
      <c r="H290" s="207"/>
      <c r="I290" s="199"/>
      <c r="J290" s="199"/>
      <c r="K290" s="209"/>
      <c r="L290" s="209"/>
      <c r="M290" s="203"/>
      <c r="N290" s="204"/>
      <c r="O290" s="205"/>
      <c r="P290" s="199"/>
      <c r="Q290" s="215"/>
      <c r="R290" s="206"/>
      <c r="S290" s="199"/>
      <c r="T290" s="199"/>
      <c r="V290" s="207"/>
    </row>
    <row r="291" ht="15.75" customHeight="1">
      <c r="A291" s="196"/>
      <c r="B291" s="218"/>
      <c r="C291" s="207"/>
      <c r="D291" s="199"/>
      <c r="E291" s="207"/>
      <c r="F291" s="207"/>
      <c r="G291" s="199"/>
      <c r="H291" s="207"/>
      <c r="I291" s="199"/>
      <c r="J291" s="199"/>
      <c r="K291" s="209"/>
      <c r="L291" s="209"/>
      <c r="M291" s="203"/>
      <c r="N291" s="204"/>
      <c r="O291" s="205"/>
      <c r="P291" s="199"/>
      <c r="Q291" s="215"/>
      <c r="R291" s="206"/>
      <c r="S291" s="199"/>
      <c r="T291" s="199"/>
      <c r="V291" s="207"/>
    </row>
    <row r="292" ht="15.75" customHeight="1">
      <c r="A292" s="196"/>
      <c r="B292" s="218"/>
      <c r="C292" s="207"/>
      <c r="D292" s="199"/>
      <c r="E292" s="207"/>
      <c r="F292" s="207"/>
      <c r="G292" s="199"/>
      <c r="H292" s="207"/>
      <c r="I292" s="199"/>
      <c r="J292" s="199"/>
      <c r="K292" s="209"/>
      <c r="L292" s="209"/>
      <c r="M292" s="203"/>
      <c r="N292" s="204"/>
      <c r="O292" s="205"/>
      <c r="P292" s="199"/>
      <c r="Q292" s="215"/>
      <c r="R292" s="206"/>
      <c r="S292" s="199"/>
      <c r="T292" s="199"/>
      <c r="V292" s="207"/>
    </row>
    <row r="293" ht="15.75" customHeight="1">
      <c r="A293" s="196"/>
      <c r="B293" s="218"/>
      <c r="C293" s="207"/>
      <c r="D293" s="199"/>
      <c r="E293" s="207"/>
      <c r="F293" s="207"/>
      <c r="G293" s="199"/>
      <c r="H293" s="207"/>
      <c r="I293" s="199"/>
      <c r="J293" s="199"/>
      <c r="K293" s="209"/>
      <c r="L293" s="209"/>
      <c r="M293" s="203"/>
      <c r="N293" s="204"/>
      <c r="O293" s="205"/>
      <c r="P293" s="199"/>
      <c r="Q293" s="215"/>
      <c r="R293" s="206"/>
      <c r="S293" s="199"/>
      <c r="T293" s="199"/>
      <c r="V293" s="207"/>
    </row>
    <row r="294" ht="15.75" customHeight="1">
      <c r="A294" s="196"/>
      <c r="B294" s="218"/>
      <c r="C294" s="207"/>
      <c r="D294" s="199"/>
      <c r="E294" s="207"/>
      <c r="F294" s="207"/>
      <c r="G294" s="199"/>
      <c r="H294" s="207"/>
      <c r="I294" s="199"/>
      <c r="J294" s="199"/>
      <c r="K294" s="209"/>
      <c r="L294" s="209"/>
      <c r="M294" s="203"/>
      <c r="N294" s="204"/>
      <c r="O294" s="205"/>
      <c r="P294" s="199"/>
      <c r="Q294" s="215"/>
      <c r="R294" s="206"/>
      <c r="S294" s="199"/>
      <c r="T294" s="199"/>
      <c r="V294" s="207"/>
    </row>
    <row r="295" ht="15.75" customHeight="1">
      <c r="A295" s="196"/>
      <c r="B295" s="218"/>
      <c r="C295" s="207"/>
      <c r="D295" s="199"/>
      <c r="E295" s="207"/>
      <c r="F295" s="207"/>
      <c r="G295" s="199"/>
      <c r="H295" s="207"/>
      <c r="I295" s="199"/>
      <c r="J295" s="199"/>
      <c r="K295" s="209"/>
      <c r="L295" s="209"/>
      <c r="M295" s="203"/>
      <c r="N295" s="204"/>
      <c r="O295" s="205"/>
      <c r="P295" s="199"/>
      <c r="Q295" s="215"/>
      <c r="R295" s="206"/>
      <c r="S295" s="199"/>
      <c r="T295" s="199"/>
      <c r="V295" s="207"/>
    </row>
    <row r="296" ht="15.75" customHeight="1">
      <c r="A296" s="196"/>
      <c r="B296" s="218"/>
      <c r="C296" s="207"/>
      <c r="D296" s="199"/>
      <c r="E296" s="207"/>
      <c r="F296" s="207"/>
      <c r="G296" s="199"/>
      <c r="H296" s="207"/>
      <c r="I296" s="199"/>
      <c r="J296" s="199"/>
      <c r="K296" s="209"/>
      <c r="L296" s="209"/>
      <c r="M296" s="203"/>
      <c r="N296" s="204"/>
      <c r="O296" s="205"/>
      <c r="P296" s="199"/>
      <c r="Q296" s="215"/>
      <c r="R296" s="206"/>
      <c r="S296" s="199"/>
      <c r="T296" s="199"/>
      <c r="V296" s="207"/>
    </row>
    <row r="297" ht="15.75" customHeight="1">
      <c r="A297" s="196"/>
      <c r="B297" s="218"/>
      <c r="C297" s="207"/>
      <c r="D297" s="199"/>
      <c r="E297" s="207"/>
      <c r="F297" s="207"/>
      <c r="G297" s="199"/>
      <c r="H297" s="207"/>
      <c r="I297" s="199"/>
      <c r="J297" s="199"/>
      <c r="K297" s="209"/>
      <c r="L297" s="209"/>
      <c r="M297" s="203"/>
      <c r="N297" s="204"/>
      <c r="O297" s="205"/>
      <c r="P297" s="199"/>
      <c r="Q297" s="215"/>
      <c r="R297" s="206"/>
      <c r="S297" s="199"/>
      <c r="T297" s="199"/>
      <c r="V297" s="207"/>
    </row>
    <row r="298" ht="15.75" customHeight="1">
      <c r="A298" s="196"/>
      <c r="B298" s="218"/>
      <c r="C298" s="207"/>
      <c r="D298" s="199"/>
      <c r="E298" s="207"/>
      <c r="F298" s="207"/>
      <c r="G298" s="199"/>
      <c r="H298" s="207"/>
      <c r="I298" s="199"/>
      <c r="J298" s="199"/>
      <c r="K298" s="209"/>
      <c r="L298" s="209"/>
      <c r="M298" s="203"/>
      <c r="N298" s="204"/>
      <c r="O298" s="205"/>
      <c r="P298" s="199"/>
      <c r="Q298" s="215"/>
      <c r="R298" s="206"/>
      <c r="S298" s="199"/>
      <c r="T298" s="199"/>
      <c r="V298" s="207"/>
    </row>
    <row r="299" ht="15.75" customHeight="1">
      <c r="A299" s="196"/>
      <c r="B299" s="218"/>
      <c r="C299" s="207"/>
      <c r="D299" s="199"/>
      <c r="E299" s="207"/>
      <c r="F299" s="207"/>
      <c r="G299" s="199"/>
      <c r="H299" s="207"/>
      <c r="I299" s="199"/>
      <c r="J299" s="199"/>
      <c r="K299" s="209"/>
      <c r="L299" s="209"/>
      <c r="M299" s="203"/>
      <c r="N299" s="204"/>
      <c r="O299" s="205"/>
      <c r="P299" s="199"/>
      <c r="Q299" s="215"/>
      <c r="R299" s="206"/>
      <c r="S299" s="199"/>
      <c r="T299" s="199"/>
      <c r="V299" s="207"/>
    </row>
    <row r="300" ht="15.75" customHeight="1">
      <c r="A300" s="196"/>
      <c r="B300" s="218"/>
      <c r="C300" s="207"/>
      <c r="D300" s="199"/>
      <c r="E300" s="207"/>
      <c r="F300" s="207"/>
      <c r="G300" s="199"/>
      <c r="H300" s="207"/>
      <c r="I300" s="199"/>
      <c r="J300" s="199"/>
      <c r="K300" s="209"/>
      <c r="L300" s="209"/>
      <c r="M300" s="203"/>
      <c r="N300" s="204"/>
      <c r="O300" s="205"/>
      <c r="P300" s="199"/>
      <c r="Q300" s="215"/>
      <c r="R300" s="206"/>
      <c r="S300" s="199"/>
      <c r="T300" s="199"/>
      <c r="V300" s="207"/>
    </row>
    <row r="301" ht="15.75" customHeight="1">
      <c r="A301" s="196"/>
      <c r="B301" s="218"/>
      <c r="C301" s="207"/>
      <c r="D301" s="199"/>
      <c r="E301" s="207"/>
      <c r="F301" s="207"/>
      <c r="G301" s="199"/>
      <c r="H301" s="207"/>
      <c r="I301" s="199"/>
      <c r="J301" s="199"/>
      <c r="K301" s="209"/>
      <c r="L301" s="209"/>
      <c r="M301" s="203"/>
      <c r="N301" s="204"/>
      <c r="O301" s="205"/>
      <c r="P301" s="199"/>
      <c r="Q301" s="215"/>
      <c r="R301" s="206"/>
      <c r="S301" s="199"/>
      <c r="T301" s="199"/>
      <c r="V301" s="207"/>
    </row>
    <row r="302" ht="15.75" customHeight="1">
      <c r="A302" s="196"/>
      <c r="B302" s="218"/>
      <c r="C302" s="207"/>
      <c r="D302" s="199"/>
      <c r="E302" s="207"/>
      <c r="F302" s="207"/>
      <c r="G302" s="199"/>
      <c r="H302" s="207"/>
      <c r="I302" s="199"/>
      <c r="J302" s="199"/>
      <c r="K302" s="209"/>
      <c r="L302" s="209"/>
      <c r="M302" s="203"/>
      <c r="N302" s="204"/>
      <c r="O302" s="205"/>
      <c r="P302" s="199"/>
      <c r="Q302" s="215"/>
      <c r="R302" s="206"/>
      <c r="S302" s="199"/>
      <c r="T302" s="199"/>
      <c r="V302" s="207"/>
    </row>
    <row r="303" ht="15.75" customHeight="1">
      <c r="A303" s="196"/>
      <c r="B303" s="218"/>
      <c r="C303" s="207"/>
      <c r="D303" s="199"/>
      <c r="E303" s="207"/>
      <c r="F303" s="207"/>
      <c r="G303" s="199"/>
      <c r="H303" s="207"/>
      <c r="I303" s="199"/>
      <c r="J303" s="199"/>
      <c r="K303" s="209"/>
      <c r="L303" s="209"/>
      <c r="M303" s="203"/>
      <c r="N303" s="204"/>
      <c r="O303" s="205"/>
      <c r="P303" s="199"/>
      <c r="Q303" s="215"/>
      <c r="R303" s="206"/>
      <c r="S303" s="199"/>
      <c r="T303" s="199"/>
      <c r="V303" s="207"/>
    </row>
    <row r="304" ht="15.75" customHeight="1">
      <c r="A304" s="196"/>
      <c r="B304" s="218"/>
      <c r="C304" s="207"/>
      <c r="D304" s="199"/>
      <c r="E304" s="207"/>
      <c r="F304" s="207"/>
      <c r="G304" s="199"/>
      <c r="H304" s="207"/>
      <c r="I304" s="199"/>
      <c r="J304" s="199"/>
      <c r="K304" s="209"/>
      <c r="L304" s="209"/>
      <c r="M304" s="203"/>
      <c r="N304" s="204"/>
      <c r="O304" s="205"/>
      <c r="P304" s="199"/>
      <c r="Q304" s="215"/>
      <c r="R304" s="206"/>
      <c r="S304" s="199"/>
      <c r="T304" s="199"/>
      <c r="V304" s="207"/>
    </row>
    <row r="305" ht="15.75" customHeight="1">
      <c r="A305" s="196"/>
      <c r="B305" s="218"/>
      <c r="C305" s="207"/>
      <c r="D305" s="199"/>
      <c r="E305" s="207"/>
      <c r="F305" s="207"/>
      <c r="G305" s="199"/>
      <c r="H305" s="207"/>
      <c r="I305" s="199"/>
      <c r="J305" s="199"/>
      <c r="K305" s="209"/>
      <c r="L305" s="209"/>
      <c r="M305" s="203"/>
      <c r="N305" s="204"/>
      <c r="O305" s="205"/>
      <c r="P305" s="199"/>
      <c r="Q305" s="215"/>
      <c r="R305" s="206"/>
      <c r="S305" s="199"/>
      <c r="T305" s="199"/>
      <c r="V305" s="207"/>
    </row>
    <row r="306" ht="15.75" customHeight="1">
      <c r="A306" s="196"/>
      <c r="B306" s="218"/>
      <c r="C306" s="207"/>
      <c r="D306" s="199"/>
      <c r="E306" s="207"/>
      <c r="F306" s="207"/>
      <c r="G306" s="199"/>
      <c r="H306" s="207"/>
      <c r="I306" s="199"/>
      <c r="J306" s="199"/>
      <c r="K306" s="209"/>
      <c r="L306" s="209"/>
      <c r="M306" s="203"/>
      <c r="N306" s="204"/>
      <c r="O306" s="205"/>
      <c r="P306" s="199"/>
      <c r="Q306" s="215"/>
      <c r="R306" s="206"/>
      <c r="S306" s="199"/>
      <c r="T306" s="199"/>
      <c r="V306" s="207"/>
    </row>
    <row r="307" ht="15.75" customHeight="1">
      <c r="A307" s="196"/>
      <c r="B307" s="218"/>
      <c r="C307" s="207"/>
      <c r="D307" s="199"/>
      <c r="E307" s="207"/>
      <c r="F307" s="207"/>
      <c r="G307" s="199"/>
      <c r="H307" s="207"/>
      <c r="I307" s="199"/>
      <c r="J307" s="199"/>
      <c r="K307" s="209"/>
      <c r="L307" s="209"/>
      <c r="M307" s="203"/>
      <c r="N307" s="204"/>
      <c r="O307" s="205"/>
      <c r="P307" s="199"/>
      <c r="Q307" s="215"/>
      <c r="R307" s="206"/>
      <c r="S307" s="199"/>
      <c r="T307" s="199"/>
      <c r="V307" s="207"/>
    </row>
    <row r="308" ht="15.75" customHeight="1">
      <c r="A308" s="196"/>
      <c r="B308" s="218"/>
      <c r="C308" s="207"/>
      <c r="D308" s="199"/>
      <c r="E308" s="207"/>
      <c r="F308" s="207"/>
      <c r="G308" s="199"/>
      <c r="H308" s="207"/>
      <c r="I308" s="199"/>
      <c r="J308" s="199"/>
      <c r="K308" s="209"/>
      <c r="L308" s="209"/>
      <c r="M308" s="203"/>
      <c r="N308" s="204"/>
      <c r="O308" s="205"/>
      <c r="P308" s="199"/>
      <c r="Q308" s="215"/>
      <c r="R308" s="206"/>
      <c r="S308" s="199"/>
      <c r="T308" s="199"/>
      <c r="V308" s="207"/>
    </row>
    <row r="309" ht="15.75" customHeight="1">
      <c r="A309" s="196"/>
      <c r="B309" s="218"/>
      <c r="C309" s="207"/>
      <c r="D309" s="199"/>
      <c r="E309" s="207"/>
      <c r="F309" s="207"/>
      <c r="G309" s="199"/>
      <c r="H309" s="207"/>
      <c r="I309" s="199"/>
      <c r="J309" s="199"/>
      <c r="K309" s="209"/>
      <c r="L309" s="209"/>
      <c r="M309" s="203"/>
      <c r="N309" s="204"/>
      <c r="O309" s="205"/>
      <c r="P309" s="199"/>
      <c r="Q309" s="215"/>
      <c r="R309" s="206"/>
      <c r="S309" s="199"/>
      <c r="T309" s="199"/>
      <c r="V309" s="207"/>
    </row>
    <row r="310" ht="15.75" customHeight="1">
      <c r="A310" s="196"/>
      <c r="B310" s="218"/>
      <c r="C310" s="207"/>
      <c r="D310" s="199"/>
      <c r="E310" s="207"/>
      <c r="F310" s="207"/>
      <c r="G310" s="199"/>
      <c r="H310" s="207"/>
      <c r="I310" s="199"/>
      <c r="J310" s="199"/>
      <c r="K310" s="209"/>
      <c r="L310" s="209"/>
      <c r="M310" s="203"/>
      <c r="N310" s="204"/>
      <c r="O310" s="205"/>
      <c r="P310" s="199"/>
      <c r="Q310" s="215"/>
      <c r="R310" s="206"/>
      <c r="S310" s="199"/>
      <c r="T310" s="199"/>
      <c r="V310" s="207"/>
    </row>
    <row r="311" ht="15.75" customHeight="1">
      <c r="A311" s="196"/>
      <c r="B311" s="218"/>
      <c r="C311" s="207"/>
      <c r="D311" s="199"/>
      <c r="E311" s="207"/>
      <c r="F311" s="207"/>
      <c r="G311" s="199"/>
      <c r="H311" s="207"/>
      <c r="I311" s="199"/>
      <c r="J311" s="199"/>
      <c r="K311" s="209"/>
      <c r="L311" s="209"/>
      <c r="M311" s="203"/>
      <c r="N311" s="204"/>
      <c r="O311" s="205"/>
      <c r="P311" s="199"/>
      <c r="Q311" s="215"/>
      <c r="R311" s="206"/>
      <c r="S311" s="199"/>
      <c r="T311" s="199"/>
      <c r="V311" s="207"/>
    </row>
    <row r="312" ht="15.75" customHeight="1">
      <c r="A312" s="196"/>
      <c r="B312" s="218"/>
      <c r="C312" s="207"/>
      <c r="D312" s="199"/>
      <c r="E312" s="207"/>
      <c r="F312" s="207"/>
      <c r="G312" s="199"/>
      <c r="H312" s="207"/>
      <c r="I312" s="199"/>
      <c r="J312" s="199"/>
      <c r="K312" s="209"/>
      <c r="L312" s="209"/>
      <c r="M312" s="203"/>
      <c r="N312" s="204"/>
      <c r="O312" s="205"/>
      <c r="P312" s="199"/>
      <c r="Q312" s="215"/>
      <c r="R312" s="206"/>
      <c r="S312" s="199"/>
      <c r="T312" s="199"/>
      <c r="V312" s="207"/>
    </row>
    <row r="313" ht="15.75" customHeight="1">
      <c r="A313" s="196"/>
      <c r="B313" s="218"/>
      <c r="C313" s="207"/>
      <c r="D313" s="199"/>
      <c r="E313" s="207"/>
      <c r="F313" s="207"/>
      <c r="G313" s="199"/>
      <c r="H313" s="207"/>
      <c r="I313" s="199"/>
      <c r="J313" s="199"/>
      <c r="K313" s="209"/>
      <c r="L313" s="209"/>
      <c r="M313" s="203"/>
      <c r="N313" s="204"/>
      <c r="O313" s="205"/>
      <c r="P313" s="199"/>
      <c r="Q313" s="215"/>
      <c r="R313" s="206"/>
      <c r="S313" s="199"/>
      <c r="T313" s="199"/>
      <c r="V313" s="207"/>
    </row>
    <row r="314" ht="15.75" customHeight="1">
      <c r="A314" s="196"/>
      <c r="B314" s="218"/>
      <c r="C314" s="207"/>
      <c r="D314" s="199"/>
      <c r="E314" s="207"/>
      <c r="F314" s="207"/>
      <c r="G314" s="199"/>
      <c r="H314" s="207"/>
      <c r="I314" s="199"/>
      <c r="J314" s="199"/>
      <c r="K314" s="209"/>
      <c r="L314" s="209"/>
      <c r="M314" s="203"/>
      <c r="N314" s="204"/>
      <c r="O314" s="205"/>
      <c r="P314" s="199"/>
      <c r="Q314" s="215"/>
      <c r="R314" s="206"/>
      <c r="S314" s="199"/>
      <c r="T314" s="199"/>
      <c r="V314" s="207"/>
    </row>
    <row r="315" ht="15.75" customHeight="1">
      <c r="A315" s="196"/>
      <c r="B315" s="218"/>
      <c r="C315" s="207"/>
      <c r="D315" s="199"/>
      <c r="E315" s="207"/>
      <c r="F315" s="207"/>
      <c r="G315" s="199"/>
      <c r="H315" s="207"/>
      <c r="I315" s="199"/>
      <c r="J315" s="199"/>
      <c r="K315" s="209"/>
      <c r="L315" s="209"/>
      <c r="M315" s="203"/>
      <c r="N315" s="204"/>
      <c r="O315" s="205"/>
      <c r="P315" s="199"/>
      <c r="Q315" s="215"/>
      <c r="R315" s="206"/>
      <c r="S315" s="199"/>
      <c r="T315" s="199"/>
      <c r="V315" s="207"/>
    </row>
    <row r="316" ht="15.75" customHeight="1">
      <c r="A316" s="196"/>
      <c r="B316" s="218"/>
      <c r="C316" s="207"/>
      <c r="D316" s="199"/>
      <c r="E316" s="207"/>
      <c r="F316" s="207"/>
      <c r="G316" s="199"/>
      <c r="H316" s="207"/>
      <c r="I316" s="199"/>
      <c r="J316" s="199"/>
      <c r="K316" s="209"/>
      <c r="L316" s="209"/>
      <c r="M316" s="203"/>
      <c r="N316" s="204"/>
      <c r="O316" s="205"/>
      <c r="P316" s="199"/>
      <c r="Q316" s="215"/>
      <c r="R316" s="206"/>
      <c r="S316" s="199"/>
      <c r="T316" s="199"/>
      <c r="V316" s="207"/>
    </row>
    <row r="317" ht="15.75" customHeight="1">
      <c r="A317" s="196"/>
      <c r="B317" s="218"/>
      <c r="C317" s="207"/>
      <c r="D317" s="199"/>
      <c r="E317" s="207"/>
      <c r="F317" s="207"/>
      <c r="G317" s="199"/>
      <c r="H317" s="207"/>
      <c r="I317" s="199"/>
      <c r="J317" s="199"/>
      <c r="K317" s="209"/>
      <c r="L317" s="209"/>
      <c r="M317" s="203"/>
      <c r="N317" s="204"/>
      <c r="O317" s="205"/>
      <c r="P317" s="199"/>
      <c r="Q317" s="215"/>
      <c r="R317" s="206"/>
      <c r="S317" s="199"/>
      <c r="T317" s="199"/>
      <c r="V317" s="207"/>
    </row>
    <row r="318" ht="15.75" customHeight="1">
      <c r="A318" s="196"/>
      <c r="B318" s="218"/>
      <c r="C318" s="207"/>
      <c r="D318" s="199"/>
      <c r="E318" s="207"/>
      <c r="F318" s="207"/>
      <c r="G318" s="199"/>
      <c r="H318" s="207"/>
      <c r="I318" s="199"/>
      <c r="J318" s="199"/>
      <c r="K318" s="209"/>
      <c r="L318" s="209"/>
      <c r="M318" s="203"/>
      <c r="N318" s="204"/>
      <c r="O318" s="205"/>
      <c r="P318" s="199"/>
      <c r="Q318" s="215"/>
      <c r="R318" s="206"/>
      <c r="S318" s="199"/>
      <c r="T318" s="199"/>
      <c r="V318" s="207"/>
    </row>
    <row r="319" ht="15.75" customHeight="1">
      <c r="A319" s="196"/>
      <c r="B319" s="218"/>
      <c r="C319" s="207"/>
      <c r="D319" s="199"/>
      <c r="E319" s="207"/>
      <c r="F319" s="207"/>
      <c r="G319" s="199"/>
      <c r="H319" s="207"/>
      <c r="I319" s="199"/>
      <c r="J319" s="199"/>
      <c r="K319" s="209"/>
      <c r="L319" s="209"/>
      <c r="M319" s="203"/>
      <c r="N319" s="204"/>
      <c r="O319" s="205"/>
      <c r="P319" s="199"/>
      <c r="Q319" s="215"/>
      <c r="R319" s="206"/>
      <c r="S319" s="199"/>
      <c r="T319" s="199"/>
      <c r="V319" s="207"/>
    </row>
    <row r="320" ht="15.75" customHeight="1">
      <c r="A320" s="196"/>
      <c r="B320" s="218"/>
      <c r="C320" s="207"/>
      <c r="D320" s="199"/>
      <c r="E320" s="207"/>
      <c r="F320" s="207"/>
      <c r="G320" s="199"/>
      <c r="H320" s="207"/>
      <c r="I320" s="199"/>
      <c r="J320" s="199"/>
      <c r="K320" s="209"/>
      <c r="L320" s="209"/>
      <c r="M320" s="203"/>
      <c r="N320" s="204"/>
      <c r="O320" s="205"/>
      <c r="P320" s="199"/>
      <c r="Q320" s="215"/>
      <c r="R320" s="206"/>
      <c r="S320" s="199"/>
      <c r="T320" s="199"/>
      <c r="V320" s="207"/>
    </row>
    <row r="321" ht="15.75" customHeight="1">
      <c r="A321" s="196"/>
      <c r="B321" s="218"/>
      <c r="C321" s="207"/>
      <c r="D321" s="199"/>
      <c r="E321" s="207"/>
      <c r="F321" s="207"/>
      <c r="G321" s="199"/>
      <c r="H321" s="207"/>
      <c r="I321" s="199"/>
      <c r="J321" s="199"/>
      <c r="K321" s="209"/>
      <c r="L321" s="209"/>
      <c r="M321" s="203"/>
      <c r="N321" s="204"/>
      <c r="O321" s="205"/>
      <c r="P321" s="199"/>
      <c r="Q321" s="215"/>
      <c r="R321" s="206"/>
      <c r="S321" s="199"/>
      <c r="T321" s="199"/>
      <c r="V321" s="207"/>
    </row>
    <row r="322" ht="15.75" customHeight="1">
      <c r="A322" s="196"/>
      <c r="B322" s="218"/>
      <c r="C322" s="207"/>
      <c r="D322" s="199"/>
      <c r="E322" s="207"/>
      <c r="F322" s="207"/>
      <c r="G322" s="199"/>
      <c r="H322" s="207"/>
      <c r="I322" s="199"/>
      <c r="J322" s="199"/>
      <c r="K322" s="209"/>
      <c r="L322" s="209"/>
      <c r="M322" s="203"/>
      <c r="N322" s="204"/>
      <c r="O322" s="205"/>
      <c r="P322" s="199"/>
      <c r="Q322" s="215"/>
      <c r="R322" s="206"/>
      <c r="S322" s="199"/>
      <c r="T322" s="199"/>
      <c r="V322" s="207"/>
    </row>
    <row r="323" ht="15.75" customHeight="1">
      <c r="A323" s="196"/>
      <c r="B323" s="218"/>
      <c r="C323" s="207"/>
      <c r="D323" s="199"/>
      <c r="E323" s="207"/>
      <c r="F323" s="207"/>
      <c r="G323" s="199"/>
      <c r="H323" s="207"/>
      <c r="I323" s="199"/>
      <c r="J323" s="199"/>
      <c r="K323" s="209"/>
      <c r="L323" s="209"/>
      <c r="M323" s="203"/>
      <c r="N323" s="204"/>
      <c r="O323" s="205"/>
      <c r="P323" s="199"/>
      <c r="Q323" s="215"/>
      <c r="R323" s="206"/>
      <c r="S323" s="199"/>
      <c r="T323" s="199"/>
      <c r="V323" s="207"/>
    </row>
    <row r="324" ht="15.75" customHeight="1">
      <c r="A324" s="196"/>
      <c r="B324" s="218"/>
      <c r="C324" s="207"/>
      <c r="D324" s="199"/>
      <c r="E324" s="207"/>
      <c r="F324" s="207"/>
      <c r="G324" s="199"/>
      <c r="H324" s="207"/>
      <c r="I324" s="199"/>
      <c r="J324" s="199"/>
      <c r="K324" s="209"/>
      <c r="L324" s="209"/>
      <c r="M324" s="203"/>
      <c r="N324" s="204"/>
      <c r="O324" s="205"/>
      <c r="P324" s="199"/>
      <c r="Q324" s="215"/>
      <c r="R324" s="206"/>
      <c r="S324" s="199"/>
      <c r="T324" s="199"/>
      <c r="V324" s="207"/>
    </row>
    <row r="325" ht="15.75" customHeight="1">
      <c r="A325" s="196"/>
      <c r="B325" s="218"/>
      <c r="C325" s="207"/>
      <c r="D325" s="199"/>
      <c r="E325" s="207"/>
      <c r="F325" s="207"/>
      <c r="G325" s="199"/>
      <c r="H325" s="207"/>
      <c r="I325" s="199"/>
      <c r="J325" s="199"/>
      <c r="K325" s="209"/>
      <c r="L325" s="209"/>
      <c r="M325" s="203"/>
      <c r="N325" s="204"/>
      <c r="O325" s="205"/>
      <c r="P325" s="199"/>
      <c r="Q325" s="215"/>
      <c r="R325" s="206"/>
      <c r="S325" s="199"/>
      <c r="T325" s="199"/>
      <c r="V325" s="207"/>
    </row>
    <row r="326" ht="15.75" customHeight="1">
      <c r="A326" s="196"/>
      <c r="B326" s="218"/>
      <c r="C326" s="207"/>
      <c r="D326" s="199"/>
      <c r="E326" s="207"/>
      <c r="F326" s="207"/>
      <c r="G326" s="199"/>
      <c r="H326" s="207"/>
      <c r="I326" s="199"/>
      <c r="J326" s="199"/>
      <c r="K326" s="209"/>
      <c r="L326" s="209"/>
      <c r="M326" s="203"/>
      <c r="N326" s="204"/>
      <c r="O326" s="205"/>
      <c r="P326" s="199"/>
      <c r="Q326" s="215"/>
      <c r="R326" s="206"/>
      <c r="S326" s="199"/>
      <c r="T326" s="199"/>
      <c r="V326" s="207"/>
    </row>
    <row r="327" ht="15.75" customHeight="1">
      <c r="A327" s="196"/>
      <c r="B327" s="218"/>
      <c r="C327" s="207"/>
      <c r="D327" s="199"/>
      <c r="E327" s="207"/>
      <c r="F327" s="207"/>
      <c r="G327" s="199"/>
      <c r="H327" s="207"/>
      <c r="I327" s="199"/>
      <c r="J327" s="199"/>
      <c r="K327" s="209"/>
      <c r="L327" s="209"/>
      <c r="M327" s="203"/>
      <c r="N327" s="204"/>
      <c r="O327" s="205"/>
      <c r="P327" s="199"/>
      <c r="Q327" s="215"/>
      <c r="R327" s="206"/>
      <c r="S327" s="199"/>
      <c r="T327" s="199"/>
      <c r="V327" s="207"/>
    </row>
    <row r="328" ht="15.75" customHeight="1">
      <c r="A328" s="196"/>
      <c r="B328" s="218"/>
      <c r="C328" s="207"/>
      <c r="D328" s="199"/>
      <c r="E328" s="207"/>
      <c r="F328" s="207"/>
      <c r="G328" s="199"/>
      <c r="H328" s="207"/>
      <c r="I328" s="199"/>
      <c r="J328" s="199"/>
      <c r="K328" s="209"/>
      <c r="L328" s="209"/>
      <c r="M328" s="203"/>
      <c r="N328" s="204"/>
      <c r="O328" s="205"/>
      <c r="P328" s="199"/>
      <c r="Q328" s="215"/>
      <c r="R328" s="206"/>
      <c r="S328" s="199"/>
      <c r="T328" s="199"/>
      <c r="V328" s="207"/>
    </row>
    <row r="329" ht="15.75" customHeight="1">
      <c r="A329" s="196"/>
      <c r="B329" s="218"/>
      <c r="C329" s="207"/>
      <c r="D329" s="199"/>
      <c r="E329" s="207"/>
      <c r="F329" s="207"/>
      <c r="G329" s="199"/>
      <c r="H329" s="207"/>
      <c r="I329" s="199"/>
      <c r="J329" s="199"/>
      <c r="K329" s="209"/>
      <c r="L329" s="209"/>
      <c r="M329" s="203"/>
      <c r="N329" s="204"/>
      <c r="O329" s="205"/>
      <c r="P329" s="199"/>
      <c r="Q329" s="215"/>
      <c r="R329" s="206"/>
      <c r="S329" s="199"/>
      <c r="T329" s="199"/>
      <c r="V329" s="207"/>
    </row>
    <row r="330" ht="15.75" customHeight="1">
      <c r="A330" s="196"/>
      <c r="B330" s="218"/>
      <c r="C330" s="207"/>
      <c r="D330" s="199"/>
      <c r="E330" s="207"/>
      <c r="F330" s="207"/>
      <c r="G330" s="199"/>
      <c r="H330" s="207"/>
      <c r="I330" s="199"/>
      <c r="J330" s="199"/>
      <c r="K330" s="209"/>
      <c r="L330" s="209"/>
      <c r="M330" s="203"/>
      <c r="N330" s="204"/>
      <c r="O330" s="205"/>
      <c r="P330" s="199"/>
      <c r="Q330" s="215"/>
      <c r="R330" s="206"/>
      <c r="S330" s="199"/>
      <c r="T330" s="199"/>
      <c r="V330" s="207"/>
    </row>
    <row r="331" ht="15.75" customHeight="1">
      <c r="A331" s="196"/>
      <c r="B331" s="218"/>
      <c r="C331" s="207"/>
      <c r="D331" s="199"/>
      <c r="E331" s="207"/>
      <c r="F331" s="207"/>
      <c r="G331" s="199"/>
      <c r="H331" s="207"/>
      <c r="I331" s="199"/>
      <c r="J331" s="199"/>
      <c r="K331" s="209"/>
      <c r="L331" s="209"/>
      <c r="M331" s="203"/>
      <c r="N331" s="204"/>
      <c r="O331" s="205"/>
      <c r="P331" s="199"/>
      <c r="Q331" s="215"/>
      <c r="R331" s="206"/>
      <c r="S331" s="199"/>
      <c r="T331" s="199"/>
      <c r="V331" s="207"/>
    </row>
    <row r="332" ht="15.75" customHeight="1">
      <c r="A332" s="196"/>
      <c r="B332" s="218"/>
      <c r="C332" s="207"/>
      <c r="D332" s="199"/>
      <c r="E332" s="207"/>
      <c r="F332" s="207"/>
      <c r="G332" s="199"/>
      <c r="H332" s="207"/>
      <c r="I332" s="199"/>
      <c r="J332" s="199"/>
      <c r="K332" s="209"/>
      <c r="L332" s="209"/>
      <c r="M332" s="203"/>
      <c r="N332" s="204"/>
      <c r="O332" s="205"/>
      <c r="P332" s="199"/>
      <c r="Q332" s="215"/>
      <c r="R332" s="206"/>
      <c r="S332" s="199"/>
      <c r="T332" s="199"/>
      <c r="V332" s="207"/>
    </row>
    <row r="333" ht="15.75" customHeight="1">
      <c r="A333" s="196"/>
      <c r="B333" s="218"/>
      <c r="C333" s="207"/>
      <c r="D333" s="199"/>
      <c r="E333" s="207"/>
      <c r="F333" s="207"/>
      <c r="G333" s="199"/>
      <c r="H333" s="207"/>
      <c r="I333" s="199"/>
      <c r="J333" s="199"/>
      <c r="K333" s="209"/>
      <c r="L333" s="209"/>
      <c r="M333" s="203"/>
      <c r="N333" s="204"/>
      <c r="O333" s="205"/>
      <c r="P333" s="199"/>
      <c r="Q333" s="215"/>
      <c r="R333" s="206"/>
      <c r="S333" s="199"/>
      <c r="T333" s="199"/>
      <c r="V333" s="207"/>
    </row>
    <row r="334" ht="15.75" customHeight="1">
      <c r="A334" s="196"/>
      <c r="B334" s="218"/>
      <c r="C334" s="207"/>
      <c r="D334" s="199"/>
      <c r="E334" s="207"/>
      <c r="F334" s="207"/>
      <c r="G334" s="199"/>
      <c r="H334" s="207"/>
      <c r="I334" s="199"/>
      <c r="J334" s="199"/>
      <c r="K334" s="209"/>
      <c r="L334" s="209"/>
      <c r="M334" s="203"/>
      <c r="N334" s="204"/>
      <c r="O334" s="205"/>
      <c r="P334" s="199"/>
      <c r="Q334" s="215"/>
      <c r="R334" s="206"/>
      <c r="S334" s="199"/>
      <c r="T334" s="199"/>
      <c r="V334" s="207"/>
    </row>
    <row r="335" ht="15.75" customHeight="1">
      <c r="A335" s="196"/>
      <c r="B335" s="218"/>
      <c r="C335" s="207"/>
      <c r="D335" s="199"/>
      <c r="E335" s="207"/>
      <c r="F335" s="207"/>
      <c r="G335" s="199"/>
      <c r="H335" s="207"/>
      <c r="I335" s="199"/>
      <c r="J335" s="199"/>
      <c r="K335" s="209"/>
      <c r="L335" s="209"/>
      <c r="M335" s="203"/>
      <c r="N335" s="204"/>
      <c r="O335" s="205"/>
      <c r="P335" s="199"/>
      <c r="Q335" s="215"/>
      <c r="R335" s="206"/>
      <c r="S335" s="199"/>
      <c r="T335" s="199"/>
      <c r="V335" s="207"/>
    </row>
    <row r="336" ht="15.75" customHeight="1">
      <c r="A336" s="196"/>
      <c r="B336" s="218"/>
      <c r="C336" s="207"/>
      <c r="D336" s="199"/>
      <c r="E336" s="207"/>
      <c r="F336" s="207"/>
      <c r="G336" s="199"/>
      <c r="H336" s="207"/>
      <c r="I336" s="199"/>
      <c r="J336" s="199"/>
      <c r="K336" s="209"/>
      <c r="L336" s="209"/>
      <c r="M336" s="203"/>
      <c r="N336" s="204"/>
      <c r="O336" s="205"/>
      <c r="P336" s="199"/>
      <c r="Q336" s="215"/>
      <c r="R336" s="206"/>
      <c r="S336" s="199"/>
      <c r="T336" s="199"/>
      <c r="V336" s="207"/>
    </row>
    <row r="337" ht="15.75" customHeight="1">
      <c r="A337" s="196"/>
      <c r="B337" s="218"/>
      <c r="C337" s="207"/>
      <c r="D337" s="199"/>
      <c r="E337" s="207"/>
      <c r="F337" s="207"/>
      <c r="G337" s="199"/>
      <c r="H337" s="207"/>
      <c r="I337" s="199"/>
      <c r="J337" s="199"/>
      <c r="K337" s="209"/>
      <c r="L337" s="209"/>
      <c r="M337" s="203"/>
      <c r="N337" s="204"/>
      <c r="O337" s="205"/>
      <c r="P337" s="199"/>
      <c r="Q337" s="215"/>
      <c r="R337" s="206"/>
      <c r="S337" s="199"/>
      <c r="T337" s="199"/>
      <c r="V337" s="207"/>
    </row>
    <row r="338" ht="15.75" customHeight="1">
      <c r="A338" s="196"/>
      <c r="B338" s="218"/>
      <c r="C338" s="207"/>
      <c r="D338" s="199"/>
      <c r="E338" s="207"/>
      <c r="F338" s="207"/>
      <c r="G338" s="199"/>
      <c r="H338" s="207"/>
      <c r="I338" s="199"/>
      <c r="J338" s="199"/>
      <c r="K338" s="209"/>
      <c r="L338" s="209"/>
      <c r="M338" s="203"/>
      <c r="N338" s="204"/>
      <c r="O338" s="205"/>
      <c r="P338" s="199"/>
      <c r="Q338" s="215"/>
      <c r="R338" s="206"/>
      <c r="S338" s="199"/>
      <c r="T338" s="199"/>
      <c r="V338" s="207"/>
    </row>
    <row r="339" ht="15.75" customHeight="1">
      <c r="A339" s="196"/>
      <c r="B339" s="218"/>
      <c r="C339" s="207"/>
      <c r="D339" s="199"/>
      <c r="E339" s="207"/>
      <c r="F339" s="207"/>
      <c r="G339" s="199"/>
      <c r="H339" s="207"/>
      <c r="I339" s="199"/>
      <c r="J339" s="199"/>
      <c r="K339" s="209"/>
      <c r="L339" s="209"/>
      <c r="M339" s="203"/>
      <c r="N339" s="204"/>
      <c r="O339" s="205"/>
      <c r="P339" s="199"/>
      <c r="Q339" s="215"/>
      <c r="R339" s="206"/>
      <c r="S339" s="199"/>
      <c r="T339" s="199"/>
      <c r="V339" s="207"/>
    </row>
    <row r="340" ht="15.75" customHeight="1">
      <c r="A340" s="196"/>
      <c r="B340" s="218"/>
      <c r="C340" s="207"/>
      <c r="D340" s="199"/>
      <c r="E340" s="207"/>
      <c r="F340" s="207"/>
      <c r="G340" s="199"/>
      <c r="H340" s="207"/>
      <c r="I340" s="199"/>
      <c r="J340" s="199"/>
      <c r="K340" s="209"/>
      <c r="L340" s="209"/>
      <c r="M340" s="203"/>
      <c r="N340" s="204"/>
      <c r="O340" s="205"/>
      <c r="P340" s="199"/>
      <c r="Q340" s="215"/>
      <c r="R340" s="206"/>
      <c r="S340" s="199"/>
      <c r="T340" s="199"/>
      <c r="V340" s="207"/>
    </row>
    <row r="341" ht="15.75" customHeight="1">
      <c r="A341" s="196"/>
      <c r="B341" s="218"/>
      <c r="C341" s="207"/>
      <c r="D341" s="199"/>
      <c r="E341" s="207"/>
      <c r="F341" s="207"/>
      <c r="G341" s="199"/>
      <c r="H341" s="207"/>
      <c r="I341" s="199"/>
      <c r="J341" s="199"/>
      <c r="K341" s="209"/>
      <c r="L341" s="209"/>
      <c r="M341" s="203"/>
      <c r="N341" s="204"/>
      <c r="O341" s="205"/>
      <c r="P341" s="199"/>
      <c r="Q341" s="215"/>
      <c r="R341" s="206"/>
      <c r="S341" s="199"/>
      <c r="T341" s="199"/>
      <c r="V341" s="207"/>
    </row>
    <row r="342" ht="15.75" customHeight="1">
      <c r="A342" s="196"/>
      <c r="B342" s="218"/>
      <c r="C342" s="207"/>
      <c r="D342" s="199"/>
      <c r="E342" s="207"/>
      <c r="F342" s="207"/>
      <c r="G342" s="199"/>
      <c r="H342" s="207"/>
      <c r="I342" s="199"/>
      <c r="J342" s="199"/>
      <c r="K342" s="209"/>
      <c r="L342" s="209"/>
      <c r="M342" s="203"/>
      <c r="N342" s="204"/>
      <c r="O342" s="205"/>
      <c r="P342" s="199"/>
      <c r="Q342" s="215"/>
      <c r="R342" s="206"/>
      <c r="S342" s="199"/>
      <c r="T342" s="199"/>
      <c r="V342" s="207"/>
    </row>
    <row r="343" ht="15.75" customHeight="1">
      <c r="A343" s="196"/>
      <c r="B343" s="218"/>
      <c r="C343" s="207"/>
      <c r="D343" s="199"/>
      <c r="E343" s="207"/>
      <c r="F343" s="207"/>
      <c r="G343" s="199"/>
      <c r="H343" s="207"/>
      <c r="I343" s="199"/>
      <c r="J343" s="199"/>
      <c r="K343" s="209"/>
      <c r="L343" s="209"/>
      <c r="M343" s="203"/>
      <c r="N343" s="204"/>
      <c r="O343" s="205"/>
      <c r="P343" s="199"/>
      <c r="Q343" s="215"/>
      <c r="R343" s="206"/>
      <c r="S343" s="199"/>
      <c r="T343" s="199"/>
      <c r="V343" s="207"/>
    </row>
    <row r="344" ht="15.75" customHeight="1">
      <c r="A344" s="196"/>
      <c r="B344" s="218"/>
      <c r="C344" s="207"/>
      <c r="D344" s="199"/>
      <c r="E344" s="207"/>
      <c r="F344" s="207"/>
      <c r="G344" s="199"/>
      <c r="H344" s="207"/>
      <c r="I344" s="199"/>
      <c r="J344" s="199"/>
      <c r="K344" s="209"/>
      <c r="L344" s="209"/>
      <c r="M344" s="203"/>
      <c r="N344" s="204"/>
      <c r="O344" s="205"/>
      <c r="P344" s="199"/>
      <c r="Q344" s="215"/>
      <c r="R344" s="206"/>
      <c r="S344" s="199"/>
      <c r="T344" s="199"/>
      <c r="V344" s="207"/>
    </row>
    <row r="345" ht="15.75" customHeight="1">
      <c r="A345" s="196"/>
      <c r="B345" s="218"/>
      <c r="C345" s="207"/>
      <c r="D345" s="199"/>
      <c r="E345" s="207"/>
      <c r="F345" s="207"/>
      <c r="G345" s="199"/>
      <c r="H345" s="207"/>
      <c r="I345" s="199"/>
      <c r="J345" s="199"/>
      <c r="K345" s="209"/>
      <c r="L345" s="209"/>
      <c r="M345" s="203"/>
      <c r="N345" s="204"/>
      <c r="O345" s="205"/>
      <c r="P345" s="199"/>
      <c r="Q345" s="215"/>
      <c r="R345" s="206"/>
      <c r="S345" s="199"/>
      <c r="T345" s="199"/>
      <c r="V345" s="207"/>
    </row>
    <row r="346" ht="15.75" customHeight="1">
      <c r="A346" s="196"/>
      <c r="B346" s="218"/>
      <c r="C346" s="207"/>
      <c r="D346" s="199"/>
      <c r="E346" s="207"/>
      <c r="F346" s="207"/>
      <c r="G346" s="199"/>
      <c r="H346" s="207"/>
      <c r="I346" s="199"/>
      <c r="J346" s="199"/>
      <c r="K346" s="209"/>
      <c r="L346" s="209"/>
      <c r="M346" s="203"/>
      <c r="N346" s="204"/>
      <c r="O346" s="205"/>
      <c r="P346" s="199"/>
      <c r="Q346" s="215"/>
      <c r="R346" s="206"/>
      <c r="S346" s="199"/>
      <c r="T346" s="199"/>
      <c r="V346" s="207"/>
    </row>
    <row r="347" ht="15.75" customHeight="1">
      <c r="A347" s="196"/>
      <c r="B347" s="218"/>
      <c r="C347" s="207"/>
      <c r="D347" s="199"/>
      <c r="E347" s="207"/>
      <c r="F347" s="207"/>
      <c r="G347" s="199"/>
      <c r="H347" s="207"/>
      <c r="I347" s="199"/>
      <c r="J347" s="199"/>
      <c r="K347" s="209"/>
      <c r="L347" s="209"/>
      <c r="M347" s="203"/>
      <c r="N347" s="204"/>
      <c r="O347" s="205"/>
      <c r="P347" s="199"/>
      <c r="Q347" s="215"/>
      <c r="R347" s="206"/>
      <c r="S347" s="199"/>
      <c r="T347" s="199"/>
      <c r="V347" s="207"/>
    </row>
    <row r="348" ht="15.75" customHeight="1">
      <c r="A348" s="196"/>
      <c r="B348" s="218"/>
      <c r="C348" s="207"/>
      <c r="D348" s="199"/>
      <c r="E348" s="207"/>
      <c r="F348" s="207"/>
      <c r="G348" s="199"/>
      <c r="H348" s="207"/>
      <c r="I348" s="199"/>
      <c r="J348" s="199"/>
      <c r="K348" s="209"/>
      <c r="L348" s="209"/>
      <c r="M348" s="203"/>
      <c r="N348" s="204"/>
      <c r="O348" s="205"/>
      <c r="P348" s="199"/>
      <c r="Q348" s="215"/>
      <c r="R348" s="206"/>
      <c r="S348" s="199"/>
      <c r="T348" s="199"/>
      <c r="V348" s="207"/>
    </row>
    <row r="349" ht="15.75" customHeight="1">
      <c r="A349" s="196"/>
      <c r="B349" s="218"/>
      <c r="C349" s="207"/>
      <c r="D349" s="199"/>
      <c r="E349" s="207"/>
      <c r="F349" s="207"/>
      <c r="G349" s="199"/>
      <c r="H349" s="207"/>
      <c r="I349" s="199"/>
      <c r="J349" s="199"/>
      <c r="K349" s="209"/>
      <c r="L349" s="209"/>
      <c r="M349" s="203"/>
      <c r="N349" s="204"/>
      <c r="O349" s="205"/>
      <c r="P349" s="199"/>
      <c r="Q349" s="215"/>
      <c r="R349" s="206"/>
      <c r="S349" s="199"/>
      <c r="T349" s="199"/>
      <c r="V349" s="207"/>
    </row>
    <row r="350" ht="15.75" customHeight="1">
      <c r="A350" s="196"/>
      <c r="B350" s="218"/>
      <c r="C350" s="207"/>
      <c r="D350" s="199"/>
      <c r="E350" s="207"/>
      <c r="F350" s="207"/>
      <c r="G350" s="199"/>
      <c r="H350" s="207"/>
      <c r="I350" s="199"/>
      <c r="J350" s="199"/>
      <c r="K350" s="209"/>
      <c r="L350" s="209"/>
      <c r="M350" s="203"/>
      <c r="N350" s="204"/>
      <c r="O350" s="205"/>
      <c r="P350" s="199"/>
      <c r="Q350" s="215"/>
      <c r="R350" s="206"/>
      <c r="S350" s="199"/>
      <c r="T350" s="199"/>
      <c r="V350" s="207"/>
    </row>
    <row r="351" ht="15.75" customHeight="1">
      <c r="A351" s="196"/>
      <c r="B351" s="218"/>
      <c r="C351" s="207"/>
      <c r="D351" s="199"/>
      <c r="E351" s="207"/>
      <c r="F351" s="207"/>
      <c r="G351" s="199"/>
      <c r="H351" s="207"/>
      <c r="I351" s="199"/>
      <c r="J351" s="199"/>
      <c r="K351" s="209"/>
      <c r="L351" s="209"/>
      <c r="M351" s="203"/>
      <c r="N351" s="204"/>
      <c r="O351" s="205"/>
      <c r="P351" s="199"/>
      <c r="Q351" s="215"/>
      <c r="R351" s="206"/>
      <c r="S351" s="199"/>
      <c r="T351" s="199"/>
      <c r="V351" s="207"/>
    </row>
    <row r="352" ht="15.75" customHeight="1">
      <c r="A352" s="196"/>
      <c r="B352" s="218"/>
      <c r="C352" s="207"/>
      <c r="D352" s="199"/>
      <c r="E352" s="207"/>
      <c r="F352" s="207"/>
      <c r="G352" s="199"/>
      <c r="H352" s="207"/>
      <c r="I352" s="199"/>
      <c r="J352" s="199"/>
      <c r="K352" s="209"/>
      <c r="L352" s="209"/>
      <c r="M352" s="203"/>
      <c r="N352" s="204"/>
      <c r="O352" s="205"/>
      <c r="P352" s="199"/>
      <c r="Q352" s="215"/>
      <c r="R352" s="206"/>
      <c r="S352" s="199"/>
      <c r="T352" s="199"/>
      <c r="V352" s="207"/>
    </row>
    <row r="353" ht="15.75" customHeight="1">
      <c r="A353" s="196"/>
      <c r="B353" s="218"/>
      <c r="C353" s="207"/>
      <c r="D353" s="199"/>
      <c r="E353" s="207"/>
      <c r="F353" s="207"/>
      <c r="G353" s="199"/>
      <c r="H353" s="207"/>
      <c r="I353" s="199"/>
      <c r="J353" s="199"/>
      <c r="K353" s="209"/>
      <c r="L353" s="209"/>
      <c r="M353" s="203"/>
      <c r="N353" s="204"/>
      <c r="O353" s="205"/>
      <c r="P353" s="199"/>
      <c r="Q353" s="215"/>
      <c r="R353" s="206"/>
      <c r="S353" s="199"/>
      <c r="T353" s="199"/>
      <c r="V353" s="207"/>
    </row>
    <row r="354" ht="15.75" customHeight="1">
      <c r="A354" s="196"/>
      <c r="B354" s="218"/>
      <c r="C354" s="207"/>
      <c r="D354" s="199"/>
      <c r="E354" s="207"/>
      <c r="F354" s="207"/>
      <c r="G354" s="199"/>
      <c r="H354" s="207"/>
      <c r="I354" s="199"/>
      <c r="J354" s="199"/>
      <c r="K354" s="209"/>
      <c r="L354" s="209"/>
      <c r="M354" s="203"/>
      <c r="N354" s="204"/>
      <c r="O354" s="205"/>
      <c r="P354" s="199"/>
      <c r="Q354" s="215"/>
      <c r="R354" s="206"/>
      <c r="S354" s="199"/>
      <c r="T354" s="199"/>
      <c r="V354" s="207"/>
    </row>
    <row r="355" ht="15.75" customHeight="1">
      <c r="A355" s="196"/>
      <c r="B355" s="218"/>
      <c r="C355" s="207"/>
      <c r="D355" s="199"/>
      <c r="E355" s="207"/>
      <c r="F355" s="207"/>
      <c r="G355" s="199"/>
      <c r="H355" s="207"/>
      <c r="I355" s="199"/>
      <c r="J355" s="199"/>
      <c r="K355" s="209"/>
      <c r="L355" s="209"/>
      <c r="M355" s="203"/>
      <c r="N355" s="204"/>
      <c r="O355" s="205"/>
      <c r="P355" s="199"/>
      <c r="Q355" s="215"/>
      <c r="R355" s="206"/>
      <c r="S355" s="199"/>
      <c r="T355" s="199"/>
      <c r="V355" s="207"/>
    </row>
    <row r="356" ht="15.75" customHeight="1">
      <c r="A356" s="196"/>
      <c r="B356" s="218"/>
      <c r="C356" s="207"/>
      <c r="D356" s="199"/>
      <c r="E356" s="207"/>
      <c r="F356" s="207"/>
      <c r="G356" s="199"/>
      <c r="H356" s="207"/>
      <c r="I356" s="199"/>
      <c r="J356" s="199"/>
      <c r="K356" s="209"/>
      <c r="L356" s="209"/>
      <c r="M356" s="203"/>
      <c r="N356" s="204"/>
      <c r="O356" s="205"/>
      <c r="P356" s="199"/>
      <c r="Q356" s="215"/>
      <c r="R356" s="206"/>
      <c r="S356" s="199"/>
      <c r="T356" s="199"/>
      <c r="V356" s="207"/>
    </row>
    <row r="357" ht="15.75" customHeight="1">
      <c r="A357" s="196"/>
      <c r="B357" s="218"/>
      <c r="C357" s="207"/>
      <c r="D357" s="199"/>
      <c r="E357" s="207"/>
      <c r="F357" s="207"/>
      <c r="G357" s="199"/>
      <c r="H357" s="207"/>
      <c r="I357" s="199"/>
      <c r="J357" s="199"/>
      <c r="K357" s="209"/>
      <c r="L357" s="209"/>
      <c r="M357" s="203"/>
      <c r="N357" s="204"/>
      <c r="O357" s="205"/>
      <c r="P357" s="199"/>
      <c r="Q357" s="215"/>
      <c r="R357" s="206"/>
      <c r="S357" s="199"/>
      <c r="T357" s="199"/>
      <c r="V357" s="207"/>
    </row>
    <row r="358" ht="15.75" customHeight="1">
      <c r="A358" s="196"/>
      <c r="B358" s="218"/>
      <c r="C358" s="207"/>
      <c r="D358" s="199"/>
      <c r="E358" s="207"/>
      <c r="F358" s="207"/>
      <c r="G358" s="199"/>
      <c r="H358" s="207"/>
      <c r="I358" s="199"/>
      <c r="J358" s="199"/>
      <c r="K358" s="209"/>
      <c r="L358" s="209"/>
      <c r="M358" s="203"/>
      <c r="N358" s="204"/>
      <c r="O358" s="205"/>
      <c r="P358" s="199"/>
      <c r="Q358" s="215"/>
      <c r="R358" s="206"/>
      <c r="S358" s="199"/>
      <c r="T358" s="199"/>
      <c r="V358" s="207"/>
    </row>
    <row r="359" ht="15.75" customHeight="1">
      <c r="A359" s="196"/>
      <c r="B359" s="218"/>
      <c r="C359" s="207"/>
      <c r="D359" s="199"/>
      <c r="E359" s="207"/>
      <c r="F359" s="207"/>
      <c r="G359" s="199"/>
      <c r="H359" s="207"/>
      <c r="I359" s="199"/>
      <c r="J359" s="199"/>
      <c r="K359" s="209"/>
      <c r="L359" s="209"/>
      <c r="M359" s="203"/>
      <c r="N359" s="204"/>
      <c r="O359" s="205"/>
      <c r="P359" s="199"/>
      <c r="Q359" s="215"/>
      <c r="R359" s="206"/>
      <c r="S359" s="199"/>
      <c r="T359" s="199"/>
      <c r="V359" s="207"/>
    </row>
    <row r="360" ht="15.75" customHeight="1">
      <c r="A360" s="196"/>
      <c r="B360" s="218"/>
      <c r="C360" s="207"/>
      <c r="D360" s="199"/>
      <c r="E360" s="207"/>
      <c r="F360" s="207"/>
      <c r="G360" s="199"/>
      <c r="H360" s="207"/>
      <c r="I360" s="199"/>
      <c r="J360" s="199"/>
      <c r="K360" s="209"/>
      <c r="L360" s="209"/>
      <c r="M360" s="203"/>
      <c r="N360" s="204"/>
      <c r="O360" s="205"/>
      <c r="P360" s="199"/>
      <c r="Q360" s="215"/>
      <c r="R360" s="206"/>
      <c r="S360" s="199"/>
      <c r="T360" s="199"/>
      <c r="V360" s="207"/>
    </row>
    <row r="361" ht="15.75" customHeight="1">
      <c r="A361" s="196"/>
      <c r="B361" s="218"/>
      <c r="C361" s="207"/>
      <c r="D361" s="199"/>
      <c r="E361" s="207"/>
      <c r="F361" s="207"/>
      <c r="G361" s="199"/>
      <c r="H361" s="207"/>
      <c r="I361" s="199"/>
      <c r="J361" s="199"/>
      <c r="K361" s="209"/>
      <c r="L361" s="209"/>
      <c r="M361" s="203"/>
      <c r="N361" s="204"/>
      <c r="O361" s="205"/>
      <c r="P361" s="199"/>
      <c r="Q361" s="215"/>
      <c r="R361" s="206"/>
      <c r="S361" s="199"/>
      <c r="T361" s="199"/>
      <c r="V361" s="207"/>
    </row>
  </sheetData>
  <autoFilter ref="$A$12:$V$31"/>
  <customSheetViews>
    <customSheetView guid="{FE509773-0638-41EB-A036-A8EE905B9B6D}" filter="1" showAutoFilter="1">
      <autoFilter ref="$R$18:$R$21"/>
    </customSheetView>
  </customSheetViews>
  <mergeCells count="353">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59:U359"/>
    <mergeCell ref="T360:U360"/>
    <mergeCell ref="T361:U361"/>
    <mergeCell ref="T352:U352"/>
    <mergeCell ref="T353:U353"/>
    <mergeCell ref="T354:U354"/>
    <mergeCell ref="T355:U355"/>
    <mergeCell ref="T356:U356"/>
    <mergeCell ref="T357:U357"/>
    <mergeCell ref="T358:U358"/>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s>
  <dataValidations>
    <dataValidation type="list" allowBlank="1" showErrorMessage="1" sqref="N13:N361">
      <formula1>"Think About It,Money,Partner,Time,Fear,Value"</formula1>
    </dataValidation>
    <dataValidation type="list" allowBlank="1" showErrorMessage="1" sqref="I13:J14 I15 I16:J27 I28:I31 I32:J35 I36 I37:J361">
      <formula1>"Full-Pay,Split-Pay,Deposit,Offer &amp; Didn't Buy,Bad Fit &amp; No Offer,Drag Over &amp; Show,Rescheduled,Cancelled,No-Show"</formula1>
    </dataValidation>
    <dataValidation type="list" allowBlank="1" showErrorMessage="1" sqref="S13:S361">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16 H18:H361">
      <formula1>"Reschedule,YouTube,YouTube Ads,Email,Facebook,Facebook Ads"</formula1>
    </dataValidation>
    <dataValidation type="list" allowBlank="1" sqref="H17">
      <formula1>"IG,Setter,Ads,Email,Facebook,Facebook Ads"</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39"/>
      <c r="B1" s="6" t="s">
        <v>31</v>
      </c>
      <c r="C1" s="6" t="s">
        <v>32</v>
      </c>
      <c r="D1" s="39"/>
      <c r="E1" s="40" t="s">
        <v>33</v>
      </c>
      <c r="F1" s="41"/>
      <c r="G1" s="39"/>
      <c r="H1" s="40" t="s">
        <v>34</v>
      </c>
      <c r="I1" s="41"/>
      <c r="J1" s="13"/>
      <c r="K1" s="42" t="s">
        <v>35</v>
      </c>
      <c r="L1" s="43"/>
      <c r="M1" s="13"/>
      <c r="N1" s="40" t="s">
        <v>36</v>
      </c>
      <c r="O1" s="44"/>
      <c r="P1" s="39"/>
      <c r="Q1" s="40" t="s">
        <v>37</v>
      </c>
      <c r="R1" s="45"/>
      <c r="S1" s="41"/>
      <c r="T1" s="41"/>
      <c r="U1" s="39" t="s">
        <v>38</v>
      </c>
      <c r="V1" s="39"/>
    </row>
    <row r="2">
      <c r="A2" s="39"/>
      <c r="B2" s="41"/>
      <c r="C2" s="41"/>
      <c r="D2" s="13"/>
      <c r="E2" s="46" t="s">
        <v>26</v>
      </c>
      <c r="F2" s="47">
        <f>IFERROR(COUNTIFS(I13:I287, "Full-Pay"),"")</f>
        <v>10</v>
      </c>
      <c r="G2" s="13"/>
      <c r="H2" s="48" t="s">
        <v>16</v>
      </c>
      <c r="I2" s="49">
        <f>iferror(I10/I8,"")</f>
        <v>0.3723404255</v>
      </c>
      <c r="J2" s="12"/>
      <c r="K2" s="50" t="s">
        <v>39</v>
      </c>
      <c r="L2" s="51">
        <f>iferror(F8/I6,"")</f>
        <v>0.08571428571</v>
      </c>
      <c r="M2" s="12"/>
      <c r="N2" s="52" t="s">
        <v>40</v>
      </c>
      <c r="O2" s="53">
        <f>IFERROR(COUNTIFS(N13:N286, "think about it"),"")</f>
        <v>6</v>
      </c>
      <c r="P2" s="13"/>
      <c r="Q2" s="56" t="s">
        <v>236</v>
      </c>
      <c r="R2" s="55">
        <f>IFERROR(COUNTIF(H13:H286,Q2),"")</f>
        <v>0</v>
      </c>
      <c r="S2" s="56" t="s">
        <v>42</v>
      </c>
      <c r="T2" s="57">
        <f>IFERROR(COUNTIF(H13:H286,S2),"")</f>
        <v>0</v>
      </c>
      <c r="U2" s="39"/>
      <c r="V2" s="58"/>
    </row>
    <row r="3">
      <c r="A3" s="13"/>
      <c r="B3" s="59" t="s">
        <v>43</v>
      </c>
      <c r="C3" s="60">
        <f>IFERROR(SUM(K13:K283),"")</f>
        <v>318600</v>
      </c>
      <c r="D3" s="61"/>
      <c r="E3" s="46" t="s">
        <v>27</v>
      </c>
      <c r="F3" s="47">
        <f>IFERROR(COUNTIFS(I13:I287, "Split-Pay"),"")</f>
        <v>25</v>
      </c>
      <c r="G3" s="13"/>
      <c r="H3" s="48" t="s">
        <v>17</v>
      </c>
      <c r="I3" s="49">
        <f>IFERROR(I10/I9,"")</f>
        <v>0.376344086</v>
      </c>
      <c r="J3" s="12"/>
      <c r="K3" s="50" t="s">
        <v>44</v>
      </c>
      <c r="L3" s="51">
        <f>iferror(F9/I6,"")</f>
        <v>0.07142857143</v>
      </c>
      <c r="M3" s="12"/>
      <c r="N3" s="52" t="s">
        <v>45</v>
      </c>
      <c r="O3" s="62">
        <f>IFERROR(COUNTIFS(N13:N286, "money"),"")</f>
        <v>23</v>
      </c>
      <c r="P3" s="13"/>
      <c r="Q3" s="56" t="s">
        <v>51</v>
      </c>
      <c r="R3" s="55">
        <f>IFERROR(COUNTIF(H13:H286,Q3),"")</f>
        <v>0</v>
      </c>
      <c r="S3" s="56" t="s">
        <v>47</v>
      </c>
      <c r="T3" s="57">
        <f>IFERROR(COUNTIF(H13:H286,S3),"")</f>
        <v>0</v>
      </c>
      <c r="U3" s="39"/>
      <c r="V3" s="58"/>
    </row>
    <row r="4">
      <c r="A4" s="13"/>
      <c r="B4" s="63" t="s">
        <v>48</v>
      </c>
      <c r="C4" s="64">
        <f>IFERROR(SUM(L13:L284),"")</f>
        <v>156900</v>
      </c>
      <c r="D4" s="61"/>
      <c r="E4" s="46" t="s">
        <v>28</v>
      </c>
      <c r="F4" s="47">
        <f>IFERROR(COUNTIFS(I13:I287, "Deposit"),"")</f>
        <v>16</v>
      </c>
      <c r="G4" s="13"/>
      <c r="H4" s="48" t="s">
        <v>18</v>
      </c>
      <c r="I4" s="49">
        <f>IFERROR(I9/I8,"")</f>
        <v>0.9893617021</v>
      </c>
      <c r="J4" s="12"/>
      <c r="K4" s="50" t="s">
        <v>49</v>
      </c>
      <c r="L4" s="51">
        <f>iferror(F10/I6,"")</f>
        <v>0.1714285714</v>
      </c>
      <c r="M4" s="12"/>
      <c r="N4" s="52" t="s">
        <v>50</v>
      </c>
      <c r="O4" s="53">
        <f>IFERROR(COUNTIFS(N13:N286, "time"),"")</f>
        <v>7</v>
      </c>
      <c r="P4" s="13"/>
      <c r="Q4" s="56" t="s">
        <v>237</v>
      </c>
      <c r="R4" s="55">
        <f>IFERROR(COUNTIF(H13:H286,Q4),"")</f>
        <v>0</v>
      </c>
      <c r="S4" s="56" t="s">
        <v>52</v>
      </c>
      <c r="T4" s="57">
        <f>IFERROR(COUNTIF(H13:H286,S4),"")</f>
        <v>0</v>
      </c>
      <c r="U4" s="39"/>
      <c r="V4" s="39"/>
    </row>
    <row r="5">
      <c r="A5" s="39"/>
      <c r="B5" s="41"/>
      <c r="C5" s="41"/>
      <c r="D5" s="13"/>
      <c r="E5" s="46" t="s">
        <v>53</v>
      </c>
      <c r="F5" s="47">
        <f>IFERROR(COUNTIFS(I13:I287, "Offer &amp; Didn't Buy"),"")</f>
        <v>42</v>
      </c>
      <c r="G5" s="13"/>
      <c r="H5" s="48" t="s">
        <v>54</v>
      </c>
      <c r="I5" s="49">
        <f>IFERROR(F7/(C6+F7+F8),"")</f>
        <v>0</v>
      </c>
      <c r="J5" s="13"/>
      <c r="K5" s="50" t="s">
        <v>54</v>
      </c>
      <c r="L5" s="51">
        <f>iferror(F7/I6,"")</f>
        <v>0</v>
      </c>
      <c r="M5" s="12"/>
      <c r="N5" s="52" t="s">
        <v>55</v>
      </c>
      <c r="O5" s="53">
        <f>IFERROR(COUNTIFS(N13:N286, "partner"),"")</f>
        <v>3</v>
      </c>
      <c r="P5" s="13"/>
      <c r="Q5" s="56" t="s">
        <v>56</v>
      </c>
      <c r="R5" s="55">
        <f>IFERROR(COUNTIF(H13:H286,Q5),"")</f>
        <v>0</v>
      </c>
      <c r="S5" s="56" t="s">
        <v>57</v>
      </c>
      <c r="T5" s="57">
        <f>IFERROR(COUNTIF(H13:H286,S5),"")</f>
        <v>0</v>
      </c>
      <c r="U5" s="39"/>
      <c r="V5" s="58"/>
    </row>
    <row r="6">
      <c r="A6" s="13"/>
      <c r="B6" s="65" t="s">
        <v>58</v>
      </c>
      <c r="C6" s="66">
        <f>IFERROR(SUM(F2:F6),"")</f>
        <v>94</v>
      </c>
      <c r="D6" s="13"/>
      <c r="E6" s="46" t="s">
        <v>59</v>
      </c>
      <c r="F6" s="47">
        <f>IFERROR(COUNTIFS(I13:I287, "Bad Fit &amp; No Offer"),"")</f>
        <v>1</v>
      </c>
      <c r="G6" s="13"/>
      <c r="H6" s="48" t="s">
        <v>21</v>
      </c>
      <c r="I6" s="67">
        <f>IFERROR(SUM(F2:F10),"")</f>
        <v>140</v>
      </c>
      <c r="J6" s="13"/>
      <c r="K6" s="68" t="s">
        <v>29</v>
      </c>
      <c r="L6" s="51">
        <f>iferror(I7/I6,"")</f>
        <v>0.6714285714</v>
      </c>
      <c r="M6" s="12"/>
      <c r="N6" s="52" t="s">
        <v>60</v>
      </c>
      <c r="O6" s="53">
        <f>IFERROR(COUNTIFS(N13:N286, "fear"),"")</f>
        <v>3</v>
      </c>
      <c r="P6" s="13"/>
      <c r="Q6" s="56" t="s">
        <v>61</v>
      </c>
      <c r="R6" s="55">
        <f>IFERROR(COUNTIF(H13:H286,Q6),"")</f>
        <v>0</v>
      </c>
      <c r="S6" s="56" t="s">
        <v>62</v>
      </c>
      <c r="T6" s="57">
        <f>IFERROR(COUNTIF(H13:H286,S6),"")</f>
        <v>0</v>
      </c>
      <c r="U6" s="39"/>
      <c r="V6" s="58"/>
    </row>
    <row r="7">
      <c r="A7" s="13"/>
      <c r="B7" s="65" t="s">
        <v>63</v>
      </c>
      <c r="C7" s="69">
        <f>IFERROR(F2+F3,"")</f>
        <v>35</v>
      </c>
      <c r="D7" s="13"/>
      <c r="E7" s="46" t="s">
        <v>64</v>
      </c>
      <c r="F7" s="47">
        <f>IFERROR(COUNTIFS(I13:I287, "Drag Over &amp; Show"),"")</f>
        <v>0</v>
      </c>
      <c r="G7" s="13"/>
      <c r="H7" s="48" t="s">
        <v>22</v>
      </c>
      <c r="I7" s="67">
        <f>IFERROR(SUM(F2:F7),"")</f>
        <v>94</v>
      </c>
      <c r="J7" s="13"/>
      <c r="K7" s="70" t="s">
        <v>30</v>
      </c>
      <c r="L7" s="71">
        <f>IFERROR(I8/I6,"")</f>
        <v>0.6714285714</v>
      </c>
      <c r="M7" s="12"/>
      <c r="N7" s="72" t="s">
        <v>65</v>
      </c>
      <c r="O7" s="73">
        <f>IFERROR(COUNTIFS(N14:N287, "value"),"")</f>
        <v>0</v>
      </c>
      <c r="P7" s="13"/>
      <c r="Q7" s="56" t="s">
        <v>66</v>
      </c>
      <c r="R7" s="55">
        <f>IFERROR(COUNTIF(H13:H286,Q7),"")</f>
        <v>0</v>
      </c>
      <c r="S7" s="56" t="s">
        <v>67</v>
      </c>
      <c r="T7" s="57">
        <f>IFERROR(COUNTIF(H13:H286,S7),"")</f>
        <v>0</v>
      </c>
      <c r="U7" s="39"/>
      <c r="V7" s="39"/>
    </row>
    <row r="8">
      <c r="A8" s="13"/>
      <c r="B8" s="65" t="s">
        <v>68</v>
      </c>
      <c r="C8" s="74">
        <f>COUNTIF(I13:I286,"offer &amp; didn't buy")+countif(I13:I286,"deposit")+countif(I13:I286,"bad fit &amp; no offer")</f>
        <v>59</v>
      </c>
      <c r="D8" s="75"/>
      <c r="E8" s="46" t="s">
        <v>69</v>
      </c>
      <c r="F8" s="47">
        <f>IFERROR(COUNTIFS(I13:I287, "Rescheduled"),"")</f>
        <v>12</v>
      </c>
      <c r="G8" s="13"/>
      <c r="H8" s="48" t="s">
        <v>23</v>
      </c>
      <c r="I8" s="67">
        <f>IFERROR(SUM(F2:F6),"")</f>
        <v>94</v>
      </c>
      <c r="J8" s="39"/>
      <c r="K8" s="39"/>
      <c r="L8" s="39"/>
      <c r="M8" s="39"/>
      <c r="N8" s="39"/>
      <c r="O8" s="76"/>
      <c r="P8" s="13"/>
      <c r="Q8" s="77" t="s">
        <v>70</v>
      </c>
      <c r="R8" s="78">
        <f>IFERROR(COUNTIF(H13:H286,Q8),"")</f>
        <v>0</v>
      </c>
      <c r="S8" s="77" t="s">
        <v>71</v>
      </c>
      <c r="T8" s="79">
        <f>IFERROR(COUNTIF(H13:H286,S8),"")</f>
        <v>0</v>
      </c>
      <c r="U8" s="39"/>
      <c r="V8" s="39"/>
    </row>
    <row r="9">
      <c r="A9" s="13"/>
      <c r="B9" s="65" t="s">
        <v>72</v>
      </c>
      <c r="C9" s="138">
        <f>iferror(SUM(C7/C6),"")</f>
        <v>0.3723404255</v>
      </c>
      <c r="D9" s="12"/>
      <c r="E9" s="46" t="s">
        <v>73</v>
      </c>
      <c r="F9" s="47">
        <f>IFERROR(COUNTIFS(I13:I287, "Cancelled"),"")</f>
        <v>10</v>
      </c>
      <c r="G9" s="13"/>
      <c r="H9" s="48" t="s">
        <v>24</v>
      </c>
      <c r="I9" s="67">
        <f>IFERROR(sum(F2:F5),"")</f>
        <v>93</v>
      </c>
      <c r="J9" s="39"/>
      <c r="K9" s="39"/>
      <c r="L9" s="39"/>
      <c r="M9" s="39"/>
      <c r="N9" s="39"/>
      <c r="O9" s="76"/>
      <c r="P9" s="39"/>
      <c r="Q9" s="39"/>
      <c r="R9" s="39"/>
      <c r="S9" s="39"/>
      <c r="T9" s="39"/>
      <c r="V9" s="39"/>
    </row>
    <row r="10">
      <c r="A10" s="39"/>
      <c r="B10" s="39"/>
      <c r="C10" s="83">
        <f>C3/C6</f>
        <v>3389.361702</v>
      </c>
      <c r="D10" s="13"/>
      <c r="E10" s="84" t="s">
        <v>74</v>
      </c>
      <c r="F10" s="85">
        <f>IFERROR(COUNTIFS(I13:I287, "No-Show"),"")</f>
        <v>24</v>
      </c>
      <c r="G10" s="13"/>
      <c r="H10" s="86" t="s">
        <v>75</v>
      </c>
      <c r="I10" s="87">
        <f>F2+F3</f>
        <v>35</v>
      </c>
      <c r="J10" s="39"/>
      <c r="K10" s="39"/>
      <c r="L10" s="39"/>
      <c r="M10" s="39"/>
      <c r="N10" s="39"/>
      <c r="O10" s="76"/>
      <c r="P10" s="39"/>
      <c r="Q10" s="39"/>
      <c r="R10" s="39"/>
      <c r="S10" s="39"/>
      <c r="T10" s="39"/>
      <c r="V10" s="39"/>
    </row>
    <row r="11" ht="6.0" customHeight="1">
      <c r="A11" s="39"/>
      <c r="B11" s="39"/>
      <c r="C11" s="39"/>
      <c r="D11" s="39"/>
      <c r="E11" s="39"/>
      <c r="F11" s="39"/>
      <c r="G11" s="39"/>
      <c r="H11" s="39"/>
      <c r="I11" s="39"/>
      <c r="J11" s="39"/>
      <c r="K11" s="39"/>
      <c r="L11" s="39"/>
      <c r="M11" s="39"/>
      <c r="N11" s="39"/>
      <c r="O11" s="76"/>
      <c r="P11" s="39"/>
      <c r="Q11" s="39"/>
      <c r="R11" s="39"/>
      <c r="S11" s="39"/>
      <c r="T11" s="39"/>
      <c r="V11" s="39"/>
    </row>
    <row r="12">
      <c r="A12" s="39"/>
      <c r="B12" s="88" t="s">
        <v>76</v>
      </c>
      <c r="C12" s="88" t="s">
        <v>32</v>
      </c>
      <c r="D12" s="39"/>
      <c r="E12" s="6" t="s">
        <v>77</v>
      </c>
      <c r="F12" s="6" t="s">
        <v>56</v>
      </c>
      <c r="G12" s="39"/>
      <c r="H12" s="6" t="s">
        <v>37</v>
      </c>
      <c r="I12" s="6" t="s">
        <v>33</v>
      </c>
      <c r="J12" s="39"/>
      <c r="K12" s="6" t="s">
        <v>79</v>
      </c>
      <c r="L12" s="6" t="s">
        <v>48</v>
      </c>
      <c r="M12" s="39"/>
      <c r="N12" s="6" t="s">
        <v>80</v>
      </c>
      <c r="O12" s="90" t="s">
        <v>81</v>
      </c>
      <c r="P12" s="39"/>
      <c r="Q12" s="6" t="s">
        <v>82</v>
      </c>
      <c r="R12" s="6" t="s">
        <v>83</v>
      </c>
      <c r="S12" s="6" t="s">
        <v>84</v>
      </c>
      <c r="T12" s="6" t="s">
        <v>85</v>
      </c>
      <c r="V12" s="58"/>
    </row>
    <row r="13" ht="15.75" customHeight="1">
      <c r="A13" s="91"/>
      <c r="B13" s="198" t="s">
        <v>374</v>
      </c>
      <c r="C13" s="200" t="s">
        <v>551</v>
      </c>
      <c r="D13" s="199"/>
      <c r="E13" s="200" t="s">
        <v>552</v>
      </c>
      <c r="F13" s="200" t="s">
        <v>551</v>
      </c>
      <c r="G13" s="199"/>
      <c r="H13" s="198" t="s">
        <v>41</v>
      </c>
      <c r="I13" s="201" t="s">
        <v>232</v>
      </c>
      <c r="J13" s="199"/>
      <c r="K13" s="205"/>
      <c r="L13" s="202">
        <v>100.0</v>
      </c>
      <c r="M13" s="203"/>
      <c r="N13" s="204"/>
      <c r="O13" s="205"/>
      <c r="P13" s="199"/>
      <c r="Q13" s="201" t="s">
        <v>104</v>
      </c>
      <c r="R13" s="206"/>
      <c r="S13" s="201" t="s">
        <v>404</v>
      </c>
      <c r="T13" s="201" t="s">
        <v>929</v>
      </c>
      <c r="V13" s="104"/>
    </row>
    <row r="14" ht="15.75" customHeight="1">
      <c r="A14" s="91"/>
      <c r="B14" s="197">
        <v>45664.0</v>
      </c>
      <c r="C14" s="201" t="s">
        <v>514</v>
      </c>
      <c r="D14" s="199"/>
      <c r="E14" s="200" t="s">
        <v>984</v>
      </c>
      <c r="F14" s="200" t="s">
        <v>985</v>
      </c>
      <c r="G14" s="199"/>
      <c r="H14" s="198" t="s">
        <v>41</v>
      </c>
      <c r="I14" s="201" t="s">
        <v>232</v>
      </c>
      <c r="J14" s="199"/>
      <c r="K14" s="209"/>
      <c r="L14" s="209"/>
      <c r="M14" s="203"/>
      <c r="N14" s="204"/>
      <c r="O14" s="205"/>
      <c r="P14" s="199"/>
      <c r="Q14" s="201" t="s">
        <v>104</v>
      </c>
      <c r="R14" s="206"/>
      <c r="S14" s="201" t="s">
        <v>404</v>
      </c>
      <c r="T14" s="201" t="s">
        <v>1338</v>
      </c>
      <c r="V14" s="104"/>
    </row>
    <row r="15" ht="15.75" customHeight="1">
      <c r="A15" s="94"/>
      <c r="B15" s="197">
        <v>45664.0</v>
      </c>
      <c r="C15" s="201" t="s">
        <v>1062</v>
      </c>
      <c r="D15" s="199"/>
      <c r="E15" s="198" t="s">
        <v>311</v>
      </c>
      <c r="F15" s="198" t="s">
        <v>1063</v>
      </c>
      <c r="G15" s="199"/>
      <c r="H15" s="198" t="s">
        <v>41</v>
      </c>
      <c r="I15" s="201" t="s">
        <v>181</v>
      </c>
      <c r="J15" s="199"/>
      <c r="K15" s="202">
        <v>8700.0</v>
      </c>
      <c r="L15" s="202">
        <v>2700.0</v>
      </c>
      <c r="M15" s="203"/>
      <c r="N15" s="204"/>
      <c r="O15" s="205"/>
      <c r="P15" s="199"/>
      <c r="Q15" s="201" t="s">
        <v>104</v>
      </c>
      <c r="R15" s="206"/>
      <c r="S15" s="201" t="s">
        <v>105</v>
      </c>
      <c r="T15" s="201" t="s">
        <v>1064</v>
      </c>
      <c r="V15" s="104"/>
    </row>
    <row r="16" ht="15.75" customHeight="1">
      <c r="A16" s="94"/>
      <c r="B16" s="197">
        <v>45664.0</v>
      </c>
      <c r="C16" s="198" t="s">
        <v>252</v>
      </c>
      <c r="D16" s="199"/>
      <c r="E16" s="198" t="s">
        <v>1227</v>
      </c>
      <c r="F16" s="198" t="s">
        <v>1228</v>
      </c>
      <c r="G16" s="199"/>
      <c r="H16" s="198" t="s">
        <v>41</v>
      </c>
      <c r="I16" s="201" t="s">
        <v>181</v>
      </c>
      <c r="J16" s="199"/>
      <c r="K16" s="202">
        <v>8700.0</v>
      </c>
      <c r="L16" s="202">
        <v>2700.0</v>
      </c>
      <c r="M16" s="203"/>
      <c r="N16" s="204"/>
      <c r="O16" s="205"/>
      <c r="P16" s="199"/>
      <c r="Q16" s="201" t="s">
        <v>104</v>
      </c>
      <c r="R16" s="206"/>
      <c r="S16" s="201" t="s">
        <v>105</v>
      </c>
      <c r="T16" s="201" t="s">
        <v>1187</v>
      </c>
      <c r="V16" s="96" t="s">
        <v>1339</v>
      </c>
    </row>
    <row r="17" ht="15.75" customHeight="1">
      <c r="A17" s="94"/>
      <c r="B17" s="197">
        <v>45664.0</v>
      </c>
      <c r="C17" s="198" t="s">
        <v>410</v>
      </c>
      <c r="D17" s="199"/>
      <c r="E17" s="139" t="s">
        <v>1238</v>
      </c>
      <c r="F17" s="139" t="s">
        <v>1239</v>
      </c>
      <c r="G17" s="199"/>
      <c r="H17" s="198" t="s">
        <v>41</v>
      </c>
      <c r="I17" s="201" t="s">
        <v>181</v>
      </c>
      <c r="J17" s="199"/>
      <c r="K17" s="202">
        <v>8700.0</v>
      </c>
      <c r="L17" s="202">
        <v>2700.0</v>
      </c>
      <c r="M17" s="203"/>
      <c r="N17" s="204"/>
      <c r="O17" s="205"/>
      <c r="P17" s="199"/>
      <c r="Q17" s="201" t="s">
        <v>104</v>
      </c>
      <c r="R17" s="206"/>
      <c r="S17" s="201" t="s">
        <v>105</v>
      </c>
      <c r="T17" s="201" t="s">
        <v>1240</v>
      </c>
      <c r="V17" s="129"/>
    </row>
    <row r="18" ht="15.75" customHeight="1">
      <c r="A18" s="94"/>
      <c r="B18" s="197">
        <v>45664.0</v>
      </c>
      <c r="C18" s="198" t="s">
        <v>410</v>
      </c>
      <c r="D18" s="199"/>
      <c r="E18" s="139" t="s">
        <v>1200</v>
      </c>
      <c r="F18" s="139" t="s">
        <v>1283</v>
      </c>
      <c r="G18" s="199"/>
      <c r="H18" s="198" t="s">
        <v>41</v>
      </c>
      <c r="I18" s="201" t="s">
        <v>232</v>
      </c>
      <c r="J18" s="199"/>
      <c r="K18" s="209"/>
      <c r="L18" s="209"/>
      <c r="M18" s="203"/>
      <c r="N18" s="204"/>
      <c r="O18" s="205"/>
      <c r="P18" s="199"/>
      <c r="Q18" s="201" t="s">
        <v>104</v>
      </c>
      <c r="R18" s="206"/>
      <c r="S18" s="201" t="s">
        <v>404</v>
      </c>
      <c r="T18" s="201" t="s">
        <v>1333</v>
      </c>
      <c r="V18" s="104"/>
    </row>
    <row r="19" ht="15.75" customHeight="1">
      <c r="A19" s="94"/>
      <c r="B19" s="197">
        <v>45664.0</v>
      </c>
      <c r="C19" s="198" t="s">
        <v>1319</v>
      </c>
      <c r="D19" s="199"/>
      <c r="E19" s="139" t="s">
        <v>1320</v>
      </c>
      <c r="F19" s="139" t="s">
        <v>1321</v>
      </c>
      <c r="G19" s="199"/>
      <c r="H19" s="198" t="s">
        <v>41</v>
      </c>
      <c r="I19" s="201" t="s">
        <v>232</v>
      </c>
      <c r="J19" s="199"/>
      <c r="K19" s="209"/>
      <c r="L19" s="209"/>
      <c r="M19" s="203"/>
      <c r="N19" s="204"/>
      <c r="O19" s="205"/>
      <c r="P19" s="199"/>
      <c r="Q19" s="201" t="s">
        <v>104</v>
      </c>
      <c r="R19" s="206"/>
      <c r="S19" s="201" t="s">
        <v>404</v>
      </c>
      <c r="T19" s="201" t="s">
        <v>1333</v>
      </c>
      <c r="V19" s="104"/>
    </row>
    <row r="20" ht="15.75" customHeight="1">
      <c r="A20" s="94"/>
      <c r="B20" s="197">
        <v>45664.0</v>
      </c>
      <c r="C20" s="102" t="s">
        <v>538</v>
      </c>
      <c r="D20" s="94"/>
      <c r="E20" s="139" t="s">
        <v>1340</v>
      </c>
      <c r="F20" s="139" t="s">
        <v>1341</v>
      </c>
      <c r="G20" s="94"/>
      <c r="H20" s="198" t="s">
        <v>41</v>
      </c>
      <c r="I20" s="97" t="s">
        <v>181</v>
      </c>
      <c r="J20" s="94"/>
      <c r="K20" s="202">
        <v>10500.0</v>
      </c>
      <c r="L20" s="202">
        <v>3000.0</v>
      </c>
      <c r="M20" s="99"/>
      <c r="N20" s="111"/>
      <c r="O20" s="112"/>
      <c r="P20" s="94"/>
      <c r="Q20" s="201" t="s">
        <v>104</v>
      </c>
      <c r="R20" s="113"/>
      <c r="S20" s="102" t="s">
        <v>105</v>
      </c>
      <c r="T20" s="94"/>
      <c r="V20" s="104"/>
    </row>
    <row r="21" ht="15.75" customHeight="1">
      <c r="A21" s="91"/>
      <c r="B21" s="197">
        <v>45664.0</v>
      </c>
      <c r="C21" s="93" t="s">
        <v>344</v>
      </c>
      <c r="D21" s="94"/>
      <c r="E21" s="139" t="s">
        <v>1342</v>
      </c>
      <c r="F21" s="139" t="s">
        <v>1343</v>
      </c>
      <c r="G21" s="94"/>
      <c r="H21" s="198" t="s">
        <v>41</v>
      </c>
      <c r="I21" s="97" t="s">
        <v>88</v>
      </c>
      <c r="J21" s="94"/>
      <c r="K21" s="135"/>
      <c r="L21" s="135"/>
      <c r="M21" s="99"/>
      <c r="N21" s="100" t="s">
        <v>50</v>
      </c>
      <c r="O21" s="112"/>
      <c r="P21" s="94"/>
      <c r="Q21" s="94"/>
      <c r="R21" s="113"/>
      <c r="S21" s="102" t="s">
        <v>124</v>
      </c>
      <c r="T21" s="102" t="s">
        <v>1344</v>
      </c>
      <c r="V21" s="104"/>
    </row>
    <row r="22" ht="15.75" customHeight="1">
      <c r="A22" s="91"/>
      <c r="B22" s="197">
        <v>45695.0</v>
      </c>
      <c r="C22" s="93" t="s">
        <v>905</v>
      </c>
      <c r="D22" s="94"/>
      <c r="E22" s="139" t="s">
        <v>906</v>
      </c>
      <c r="F22" s="139" t="s">
        <v>907</v>
      </c>
      <c r="G22" s="94"/>
      <c r="H22" s="198" t="s">
        <v>41</v>
      </c>
      <c r="I22" s="97" t="s">
        <v>232</v>
      </c>
      <c r="J22" s="94"/>
      <c r="K22" s="135"/>
      <c r="L22" s="135"/>
      <c r="M22" s="99"/>
      <c r="N22" s="111"/>
      <c r="O22" s="112"/>
      <c r="P22" s="94"/>
      <c r="Q22" s="201" t="s">
        <v>104</v>
      </c>
      <c r="R22" s="113"/>
      <c r="S22" s="102" t="s">
        <v>404</v>
      </c>
      <c r="T22" s="102" t="s">
        <v>1345</v>
      </c>
      <c r="V22" s="104"/>
    </row>
    <row r="23" ht="15.75" customHeight="1">
      <c r="A23" s="91"/>
      <c r="B23" s="197">
        <v>45695.0</v>
      </c>
      <c r="C23" s="93" t="s">
        <v>1346</v>
      </c>
      <c r="D23" s="94"/>
      <c r="E23" s="139" t="s">
        <v>1347</v>
      </c>
      <c r="F23" s="139" t="s">
        <v>1348</v>
      </c>
      <c r="G23" s="94"/>
      <c r="H23" s="198" t="s">
        <v>41</v>
      </c>
      <c r="I23" s="102" t="s">
        <v>181</v>
      </c>
      <c r="J23" s="94"/>
      <c r="K23" s="202">
        <v>10500.0</v>
      </c>
      <c r="L23" s="202">
        <v>3000.0</v>
      </c>
      <c r="M23" s="99"/>
      <c r="N23" s="111"/>
      <c r="O23" s="112"/>
      <c r="P23" s="94"/>
      <c r="Q23" s="201" t="s">
        <v>104</v>
      </c>
      <c r="R23" s="113"/>
      <c r="S23" s="102" t="s">
        <v>105</v>
      </c>
      <c r="T23" s="94"/>
      <c r="V23" s="104"/>
    </row>
    <row r="24" ht="15.75" customHeight="1">
      <c r="A24" s="91"/>
      <c r="B24" s="197">
        <v>45723.0</v>
      </c>
      <c r="C24" s="93" t="s">
        <v>1349</v>
      </c>
      <c r="D24" s="94"/>
      <c r="E24" s="139" t="s">
        <v>1350</v>
      </c>
      <c r="F24" s="139" t="s">
        <v>1351</v>
      </c>
      <c r="G24" s="94"/>
      <c r="H24" s="198" t="s">
        <v>41</v>
      </c>
      <c r="I24" s="102" t="s">
        <v>131</v>
      </c>
      <c r="J24" s="94"/>
      <c r="K24" s="135"/>
      <c r="L24" s="135"/>
      <c r="M24" s="99"/>
      <c r="N24" s="111"/>
      <c r="O24" s="112"/>
      <c r="P24" s="94"/>
      <c r="Q24" s="94"/>
      <c r="R24" s="113"/>
      <c r="S24" s="94"/>
      <c r="T24" s="94"/>
      <c r="V24" s="104"/>
    </row>
    <row r="25" ht="15.75" customHeight="1">
      <c r="A25" s="91"/>
      <c r="B25" s="197">
        <v>45723.0</v>
      </c>
      <c r="C25" s="93" t="s">
        <v>410</v>
      </c>
      <c r="D25" s="94"/>
      <c r="E25" s="139" t="s">
        <v>1352</v>
      </c>
      <c r="F25" s="139" t="s">
        <v>1353</v>
      </c>
      <c r="G25" s="94"/>
      <c r="H25" s="198" t="s">
        <v>41</v>
      </c>
      <c r="I25" s="102" t="s">
        <v>88</v>
      </c>
      <c r="J25" s="94"/>
      <c r="K25" s="135"/>
      <c r="L25" s="135"/>
      <c r="M25" s="99"/>
      <c r="N25" s="100" t="s">
        <v>45</v>
      </c>
      <c r="O25" s="101" t="s">
        <v>396</v>
      </c>
      <c r="P25" s="94"/>
      <c r="Q25" s="94"/>
      <c r="R25" s="113"/>
      <c r="S25" s="102" t="s">
        <v>124</v>
      </c>
      <c r="T25" s="102" t="s">
        <v>1354</v>
      </c>
      <c r="V25" s="104"/>
    </row>
    <row r="26" ht="15.75" customHeight="1">
      <c r="A26" s="91"/>
      <c r="B26" s="197">
        <v>45723.0</v>
      </c>
      <c r="C26" s="139" t="s">
        <v>1355</v>
      </c>
      <c r="D26" s="94"/>
      <c r="E26" s="139" t="s">
        <v>906</v>
      </c>
      <c r="F26" s="143" t="s">
        <v>1356</v>
      </c>
      <c r="G26" s="94"/>
      <c r="H26" s="198" t="s">
        <v>41</v>
      </c>
      <c r="I26" s="102" t="s">
        <v>110</v>
      </c>
      <c r="J26" s="94"/>
      <c r="K26" s="135"/>
      <c r="L26" s="135"/>
      <c r="M26" s="99"/>
      <c r="N26" s="111"/>
      <c r="O26" s="112"/>
      <c r="P26" s="94"/>
      <c r="Q26" s="94"/>
      <c r="R26" s="113"/>
      <c r="S26" s="94"/>
      <c r="T26" s="94"/>
      <c r="V26" s="104"/>
    </row>
    <row r="27" ht="15.75" customHeight="1">
      <c r="A27" s="91"/>
      <c r="B27" s="197">
        <v>45723.0</v>
      </c>
      <c r="C27" s="93" t="s">
        <v>1357</v>
      </c>
      <c r="D27" s="94"/>
      <c r="E27" s="139" t="s">
        <v>1358</v>
      </c>
      <c r="F27" s="139" t="s">
        <v>1359</v>
      </c>
      <c r="G27" s="94"/>
      <c r="H27" s="198" t="s">
        <v>41</v>
      </c>
      <c r="I27" s="102" t="s">
        <v>110</v>
      </c>
      <c r="J27" s="94"/>
      <c r="K27" s="135"/>
      <c r="L27" s="135"/>
      <c r="M27" s="99"/>
      <c r="N27" s="111"/>
      <c r="O27" s="112"/>
      <c r="P27" s="94"/>
      <c r="Q27" s="94"/>
      <c r="R27" s="113"/>
      <c r="S27" s="94"/>
      <c r="T27" s="94"/>
      <c r="V27" s="104"/>
    </row>
    <row r="28" ht="15.75" customHeight="1">
      <c r="A28" s="91"/>
      <c r="B28" s="197">
        <v>45723.0</v>
      </c>
      <c r="C28" s="103" t="s">
        <v>410</v>
      </c>
      <c r="D28" s="94"/>
      <c r="E28" s="139" t="s">
        <v>1360</v>
      </c>
      <c r="F28" s="139" t="s">
        <v>1361</v>
      </c>
      <c r="G28" s="94"/>
      <c r="H28" s="198" t="s">
        <v>41</v>
      </c>
      <c r="I28" s="102" t="s">
        <v>232</v>
      </c>
      <c r="J28" s="94"/>
      <c r="K28" s="135"/>
      <c r="L28" s="135"/>
      <c r="M28" s="99"/>
      <c r="N28" s="111"/>
      <c r="O28" s="112"/>
      <c r="P28" s="94"/>
      <c r="Q28" s="201" t="s">
        <v>104</v>
      </c>
      <c r="R28" s="113"/>
      <c r="S28" s="102" t="s">
        <v>404</v>
      </c>
      <c r="T28" s="102" t="s">
        <v>1362</v>
      </c>
      <c r="V28" s="104"/>
    </row>
    <row r="29" ht="15.75" customHeight="1">
      <c r="A29" s="91"/>
      <c r="B29" s="197">
        <v>45723.0</v>
      </c>
      <c r="C29" s="103" t="s">
        <v>538</v>
      </c>
      <c r="D29" s="94"/>
      <c r="E29" s="139" t="s">
        <v>1363</v>
      </c>
      <c r="F29" s="139" t="s">
        <v>1364</v>
      </c>
      <c r="G29" s="94"/>
      <c r="H29" s="198" t="s">
        <v>41</v>
      </c>
      <c r="I29" s="102" t="s">
        <v>181</v>
      </c>
      <c r="J29" s="94"/>
      <c r="K29" s="202">
        <v>10500.0</v>
      </c>
      <c r="L29" s="202">
        <v>3000.0</v>
      </c>
      <c r="M29" s="99"/>
      <c r="N29" s="111"/>
      <c r="O29" s="112"/>
      <c r="P29" s="94"/>
      <c r="Q29" s="201" t="s">
        <v>104</v>
      </c>
      <c r="R29" s="113"/>
      <c r="S29" s="102" t="s">
        <v>105</v>
      </c>
      <c r="T29" s="94"/>
      <c r="V29" s="104"/>
    </row>
    <row r="30" ht="15.75" customHeight="1">
      <c r="A30" s="91"/>
      <c r="B30" s="197">
        <v>45723.0</v>
      </c>
      <c r="C30" s="93" t="s">
        <v>777</v>
      </c>
      <c r="D30" s="94"/>
      <c r="E30" s="139" t="s">
        <v>1365</v>
      </c>
      <c r="F30" s="139" t="s">
        <v>1366</v>
      </c>
      <c r="G30" s="94"/>
      <c r="H30" s="198" t="s">
        <v>41</v>
      </c>
      <c r="I30" s="102" t="s">
        <v>88</v>
      </c>
      <c r="J30" s="94"/>
      <c r="K30" s="135"/>
      <c r="L30" s="135"/>
      <c r="M30" s="99"/>
      <c r="N30" s="100" t="s">
        <v>50</v>
      </c>
      <c r="O30" s="112"/>
      <c r="P30" s="94"/>
      <c r="Q30" s="94"/>
      <c r="R30" s="113"/>
      <c r="S30" s="102" t="s">
        <v>124</v>
      </c>
      <c r="T30" s="102" t="s">
        <v>1367</v>
      </c>
      <c r="V30" s="104"/>
    </row>
    <row r="31" ht="15.75" customHeight="1">
      <c r="A31" s="91"/>
      <c r="B31" s="197">
        <v>45754.0</v>
      </c>
      <c r="C31" s="93" t="s">
        <v>677</v>
      </c>
      <c r="D31" s="94"/>
      <c r="E31" s="139" t="s">
        <v>1368</v>
      </c>
      <c r="F31" s="139" t="s">
        <v>1369</v>
      </c>
      <c r="G31" s="94"/>
      <c r="H31" s="198" t="s">
        <v>41</v>
      </c>
      <c r="I31" s="102" t="s">
        <v>103</v>
      </c>
      <c r="J31" s="94"/>
      <c r="K31" s="202">
        <v>9000.0</v>
      </c>
      <c r="L31" s="202">
        <v>9000.0</v>
      </c>
      <c r="M31" s="99"/>
      <c r="N31" s="111"/>
      <c r="O31" s="112"/>
      <c r="P31" s="94"/>
      <c r="Q31" s="201" t="s">
        <v>104</v>
      </c>
      <c r="R31" s="113"/>
      <c r="S31" s="102" t="s">
        <v>105</v>
      </c>
      <c r="T31" s="94"/>
      <c r="V31" s="104"/>
    </row>
    <row r="32" ht="15.75" customHeight="1">
      <c r="A32" s="91"/>
      <c r="B32" s="197">
        <v>45754.0</v>
      </c>
      <c r="C32" s="93" t="s">
        <v>1370</v>
      </c>
      <c r="D32" s="94"/>
      <c r="E32" s="139" t="s">
        <v>1371</v>
      </c>
      <c r="F32" s="139" t="s">
        <v>1372</v>
      </c>
      <c r="G32" s="94"/>
      <c r="H32" s="198" t="s">
        <v>41</v>
      </c>
      <c r="I32" s="102" t="s">
        <v>88</v>
      </c>
      <c r="J32" s="94"/>
      <c r="K32" s="135"/>
      <c r="L32" s="135"/>
      <c r="M32" s="99"/>
      <c r="N32" s="100" t="s">
        <v>45</v>
      </c>
      <c r="O32" s="101" t="s">
        <v>396</v>
      </c>
      <c r="P32" s="94"/>
      <c r="Q32" s="94"/>
      <c r="R32" s="113"/>
      <c r="S32" s="102" t="s">
        <v>124</v>
      </c>
      <c r="T32" s="102" t="s">
        <v>1373</v>
      </c>
      <c r="V32" s="104"/>
    </row>
    <row r="33" ht="15.75" customHeight="1">
      <c r="A33" s="91"/>
      <c r="B33" s="197">
        <v>45754.0</v>
      </c>
      <c r="C33" s="93" t="s">
        <v>772</v>
      </c>
      <c r="D33" s="94"/>
      <c r="E33" s="139" t="s">
        <v>1374</v>
      </c>
      <c r="F33" s="139" t="s">
        <v>1375</v>
      </c>
      <c r="G33" s="94"/>
      <c r="H33" s="198" t="s">
        <v>41</v>
      </c>
      <c r="I33" s="102" t="s">
        <v>181</v>
      </c>
      <c r="J33" s="94"/>
      <c r="K33" s="202">
        <v>10500.0</v>
      </c>
      <c r="L33" s="202">
        <v>3000.0</v>
      </c>
      <c r="M33" s="99"/>
      <c r="N33" s="111"/>
      <c r="O33" s="112"/>
      <c r="P33" s="94"/>
      <c r="Q33" s="201" t="s">
        <v>104</v>
      </c>
      <c r="R33" s="113"/>
      <c r="S33" s="102" t="s">
        <v>105</v>
      </c>
      <c r="T33" s="94"/>
      <c r="V33" s="104"/>
    </row>
    <row r="34" ht="15.75" customHeight="1">
      <c r="A34" s="91"/>
      <c r="B34" s="197">
        <v>45754.0</v>
      </c>
      <c r="C34" s="93" t="s">
        <v>1376</v>
      </c>
      <c r="D34" s="94"/>
      <c r="E34" s="139" t="s">
        <v>1377</v>
      </c>
      <c r="F34" s="139" t="s">
        <v>1378</v>
      </c>
      <c r="G34" s="94"/>
      <c r="H34" s="198" t="s">
        <v>41</v>
      </c>
      <c r="I34" s="102" t="s">
        <v>131</v>
      </c>
      <c r="J34" s="94"/>
      <c r="K34" s="135"/>
      <c r="L34" s="135"/>
      <c r="M34" s="99"/>
      <c r="N34" s="111"/>
      <c r="O34" s="112"/>
      <c r="P34" s="94"/>
      <c r="Q34" s="94"/>
      <c r="R34" s="113"/>
      <c r="S34" s="94"/>
      <c r="T34" s="94"/>
      <c r="V34" s="104"/>
    </row>
    <row r="35" ht="15.75" customHeight="1">
      <c r="A35" s="91"/>
      <c r="B35" s="197">
        <v>45754.0</v>
      </c>
      <c r="C35" s="103" t="s">
        <v>126</v>
      </c>
      <c r="D35" s="94"/>
      <c r="E35" s="139" t="s">
        <v>1379</v>
      </c>
      <c r="F35" s="139" t="s">
        <v>1380</v>
      </c>
      <c r="G35" s="94"/>
      <c r="H35" s="198" t="s">
        <v>41</v>
      </c>
      <c r="I35" s="102" t="s">
        <v>88</v>
      </c>
      <c r="J35" s="94"/>
      <c r="K35" s="135"/>
      <c r="L35" s="135"/>
      <c r="M35" s="99"/>
      <c r="N35" s="100" t="s">
        <v>45</v>
      </c>
      <c r="O35" s="101" t="s">
        <v>584</v>
      </c>
      <c r="P35" s="94"/>
      <c r="Q35" s="94"/>
      <c r="R35" s="113"/>
      <c r="S35" s="102" t="s">
        <v>124</v>
      </c>
      <c r="T35" s="102" t="s">
        <v>1381</v>
      </c>
      <c r="V35" s="104"/>
    </row>
    <row r="36" ht="15.75" customHeight="1">
      <c r="A36" s="91"/>
      <c r="B36" s="197">
        <v>45754.0</v>
      </c>
      <c r="C36" s="103" t="s">
        <v>1122</v>
      </c>
      <c r="D36" s="94"/>
      <c r="E36" s="139" t="s">
        <v>1382</v>
      </c>
      <c r="F36" s="93" t="s">
        <v>1383</v>
      </c>
      <c r="G36" s="94"/>
      <c r="H36" s="198" t="s">
        <v>41</v>
      </c>
      <c r="I36" s="102" t="s">
        <v>181</v>
      </c>
      <c r="J36" s="94"/>
      <c r="K36" s="202">
        <v>10500.0</v>
      </c>
      <c r="L36" s="202">
        <v>3000.0</v>
      </c>
      <c r="M36" s="99"/>
      <c r="N36" s="111"/>
      <c r="O36" s="112"/>
      <c r="P36" s="94"/>
      <c r="Q36" s="201" t="s">
        <v>104</v>
      </c>
      <c r="R36" s="113"/>
      <c r="S36" s="102" t="s">
        <v>105</v>
      </c>
      <c r="T36" s="94"/>
      <c r="V36" s="104"/>
    </row>
    <row r="37" ht="15.75" customHeight="1">
      <c r="A37" s="91"/>
      <c r="B37" s="197">
        <v>45815.0</v>
      </c>
      <c r="C37" s="93" t="s">
        <v>1292</v>
      </c>
      <c r="D37" s="94"/>
      <c r="E37" s="139" t="s">
        <v>1384</v>
      </c>
      <c r="F37" s="139" t="s">
        <v>1385</v>
      </c>
      <c r="G37" s="94"/>
      <c r="H37" s="198" t="s">
        <v>41</v>
      </c>
      <c r="I37" s="102" t="s">
        <v>88</v>
      </c>
      <c r="J37" s="94"/>
      <c r="K37" s="135"/>
      <c r="L37" s="135"/>
      <c r="M37" s="99"/>
      <c r="N37" s="100" t="s">
        <v>45</v>
      </c>
      <c r="O37" s="101" t="s">
        <v>396</v>
      </c>
      <c r="P37" s="94"/>
      <c r="Q37" s="94"/>
      <c r="R37" s="113"/>
      <c r="S37" s="102" t="s">
        <v>383</v>
      </c>
      <c r="T37" s="102" t="s">
        <v>1386</v>
      </c>
      <c r="V37" s="104"/>
    </row>
    <row r="38" ht="15.75" customHeight="1">
      <c r="A38" s="91"/>
      <c r="B38" s="197">
        <v>45815.0</v>
      </c>
      <c r="C38" s="93" t="s">
        <v>220</v>
      </c>
      <c r="D38" s="94"/>
      <c r="E38" s="139" t="s">
        <v>1387</v>
      </c>
      <c r="F38" s="139" t="s">
        <v>1388</v>
      </c>
      <c r="G38" s="94"/>
      <c r="H38" s="198" t="s">
        <v>41</v>
      </c>
      <c r="I38" s="102" t="s">
        <v>110</v>
      </c>
      <c r="J38" s="94"/>
      <c r="K38" s="135"/>
      <c r="L38" s="135"/>
      <c r="M38" s="99"/>
      <c r="N38" s="111"/>
      <c r="O38" s="112"/>
      <c r="P38" s="94"/>
      <c r="Q38" s="94"/>
      <c r="R38" s="113"/>
      <c r="S38" s="94"/>
      <c r="T38" s="94"/>
      <c r="V38" s="104"/>
    </row>
    <row r="39" ht="15.75" customHeight="1">
      <c r="A39" s="91"/>
      <c r="B39" s="197">
        <v>45815.0</v>
      </c>
      <c r="C39" s="93" t="s">
        <v>1389</v>
      </c>
      <c r="D39" s="94"/>
      <c r="E39" s="139" t="s">
        <v>1390</v>
      </c>
      <c r="F39" s="93" t="s">
        <v>1391</v>
      </c>
      <c r="G39" s="94"/>
      <c r="H39" s="198" t="s">
        <v>41</v>
      </c>
      <c r="I39" s="102" t="s">
        <v>88</v>
      </c>
      <c r="J39" s="94"/>
      <c r="K39" s="135"/>
      <c r="L39" s="135"/>
      <c r="M39" s="99"/>
      <c r="N39" s="100" t="s">
        <v>45</v>
      </c>
      <c r="O39" s="101" t="s">
        <v>396</v>
      </c>
      <c r="P39" s="94"/>
      <c r="Q39" s="94"/>
      <c r="R39" s="113"/>
      <c r="S39" s="102" t="s">
        <v>124</v>
      </c>
      <c r="T39" s="102" t="s">
        <v>1392</v>
      </c>
      <c r="V39" s="104"/>
    </row>
    <row r="40" ht="15.75" customHeight="1">
      <c r="A40" s="91"/>
      <c r="B40" s="197">
        <v>45815.0</v>
      </c>
      <c r="C40" s="93" t="s">
        <v>1393</v>
      </c>
      <c r="D40" s="94"/>
      <c r="E40" s="139" t="s">
        <v>1394</v>
      </c>
      <c r="F40" s="139" t="s">
        <v>1395</v>
      </c>
      <c r="G40" s="94"/>
      <c r="H40" s="198" t="s">
        <v>41</v>
      </c>
      <c r="I40" s="102" t="s">
        <v>88</v>
      </c>
      <c r="J40" s="94"/>
      <c r="K40" s="135"/>
      <c r="L40" s="135"/>
      <c r="M40" s="99"/>
      <c r="N40" s="100" t="s">
        <v>45</v>
      </c>
      <c r="O40" s="101" t="s">
        <v>396</v>
      </c>
      <c r="P40" s="94"/>
      <c r="Q40" s="94"/>
      <c r="R40" s="113"/>
      <c r="S40" s="102" t="s">
        <v>124</v>
      </c>
      <c r="T40" s="102" t="s">
        <v>1396</v>
      </c>
      <c r="V40" s="104"/>
    </row>
    <row r="41" ht="15.75" customHeight="1">
      <c r="A41" s="91"/>
      <c r="B41" s="197">
        <v>45845.0</v>
      </c>
      <c r="C41" s="93" t="s">
        <v>220</v>
      </c>
      <c r="D41" s="94"/>
      <c r="E41" s="139" t="s">
        <v>1397</v>
      </c>
      <c r="F41" s="139" t="s">
        <v>1398</v>
      </c>
      <c r="G41" s="94"/>
      <c r="H41" s="198" t="s">
        <v>41</v>
      </c>
      <c r="I41" s="102" t="s">
        <v>110</v>
      </c>
      <c r="J41" s="94"/>
      <c r="K41" s="135"/>
      <c r="L41" s="135"/>
      <c r="M41" s="99"/>
      <c r="N41" s="111"/>
      <c r="O41" s="112"/>
      <c r="P41" s="94"/>
      <c r="Q41" s="94"/>
      <c r="R41" s="113"/>
      <c r="S41" s="94"/>
      <c r="T41" s="94"/>
      <c r="V41" s="104"/>
    </row>
    <row r="42" ht="15.75" customHeight="1">
      <c r="A42" s="91"/>
      <c r="B42" s="197">
        <v>45845.0</v>
      </c>
      <c r="C42" s="103" t="s">
        <v>1399</v>
      </c>
      <c r="D42" s="94"/>
      <c r="E42" s="93" t="s">
        <v>1400</v>
      </c>
      <c r="F42" s="139" t="s">
        <v>1401</v>
      </c>
      <c r="G42" s="94"/>
      <c r="H42" s="198" t="s">
        <v>41</v>
      </c>
      <c r="I42" s="102" t="s">
        <v>88</v>
      </c>
      <c r="J42" s="94"/>
      <c r="K42" s="135"/>
      <c r="L42" s="135"/>
      <c r="M42" s="99"/>
      <c r="N42" s="100" t="s">
        <v>45</v>
      </c>
      <c r="O42" s="101" t="s">
        <v>396</v>
      </c>
      <c r="P42" s="94"/>
      <c r="Q42" s="94"/>
      <c r="R42" s="113"/>
      <c r="S42" s="102" t="s">
        <v>124</v>
      </c>
      <c r="T42" s="102" t="s">
        <v>1402</v>
      </c>
      <c r="V42" s="104"/>
    </row>
    <row r="43" ht="15.75" customHeight="1">
      <c r="A43" s="91"/>
      <c r="B43" s="197">
        <v>45845.0</v>
      </c>
      <c r="C43" s="103" t="s">
        <v>1376</v>
      </c>
      <c r="D43" s="94"/>
      <c r="E43" s="93" t="s">
        <v>1403</v>
      </c>
      <c r="F43" s="139" t="s">
        <v>1404</v>
      </c>
      <c r="G43" s="94"/>
      <c r="H43" s="198" t="s">
        <v>41</v>
      </c>
      <c r="I43" s="102" t="s">
        <v>131</v>
      </c>
      <c r="J43" s="94"/>
      <c r="K43" s="135"/>
      <c r="L43" s="135"/>
      <c r="M43" s="99"/>
      <c r="N43" s="111"/>
      <c r="O43" s="112"/>
      <c r="P43" s="94"/>
      <c r="Q43" s="120"/>
      <c r="R43" s="113"/>
      <c r="S43" s="94"/>
      <c r="T43" s="94"/>
      <c r="V43" s="104"/>
    </row>
    <row r="44" ht="15.75" customHeight="1">
      <c r="A44" s="91"/>
      <c r="B44" s="197">
        <v>45845.0</v>
      </c>
      <c r="C44" s="103" t="s">
        <v>344</v>
      </c>
      <c r="D44" s="94"/>
      <c r="E44" s="139" t="s">
        <v>1405</v>
      </c>
      <c r="F44" s="139" t="s">
        <v>1406</v>
      </c>
      <c r="G44" s="94"/>
      <c r="H44" s="198" t="s">
        <v>41</v>
      </c>
      <c r="I44" s="102" t="s">
        <v>131</v>
      </c>
      <c r="J44" s="94"/>
      <c r="K44" s="135"/>
      <c r="L44" s="135"/>
      <c r="M44" s="99"/>
      <c r="N44" s="111"/>
      <c r="O44" s="112"/>
      <c r="P44" s="94"/>
      <c r="Q44" s="94"/>
      <c r="R44" s="113"/>
      <c r="S44" s="94"/>
      <c r="T44" s="94"/>
      <c r="V44" s="104"/>
    </row>
    <row r="45" ht="15.75" customHeight="1">
      <c r="A45" s="91"/>
      <c r="B45" s="197">
        <v>45845.0</v>
      </c>
      <c r="C45" s="93" t="s">
        <v>1407</v>
      </c>
      <c r="D45" s="94"/>
      <c r="E45" s="139" t="s">
        <v>1408</v>
      </c>
      <c r="F45" s="139" t="s">
        <v>1409</v>
      </c>
      <c r="G45" s="94"/>
      <c r="H45" s="198" t="s">
        <v>41</v>
      </c>
      <c r="I45" s="102" t="s">
        <v>88</v>
      </c>
      <c r="J45" s="94"/>
      <c r="K45" s="135"/>
      <c r="L45" s="135"/>
      <c r="M45" s="99"/>
      <c r="N45" s="100" t="s">
        <v>60</v>
      </c>
      <c r="O45" s="101" t="s">
        <v>1410</v>
      </c>
      <c r="P45" s="94"/>
      <c r="Q45" s="94"/>
      <c r="R45" s="113"/>
      <c r="S45" s="102" t="s">
        <v>383</v>
      </c>
      <c r="T45" s="102" t="s">
        <v>1411</v>
      </c>
      <c r="V45" s="104"/>
    </row>
    <row r="46" ht="15.75" customHeight="1">
      <c r="A46" s="91"/>
      <c r="B46" s="197">
        <v>45845.0</v>
      </c>
      <c r="C46" s="93" t="s">
        <v>1412</v>
      </c>
      <c r="D46" s="94"/>
      <c r="E46" s="139" t="s">
        <v>1413</v>
      </c>
      <c r="F46" s="139" t="s">
        <v>1414</v>
      </c>
      <c r="G46" s="94"/>
      <c r="H46" s="198" t="s">
        <v>41</v>
      </c>
      <c r="I46" s="102" t="s">
        <v>131</v>
      </c>
      <c r="J46" s="94"/>
      <c r="K46" s="135"/>
      <c r="L46" s="135"/>
      <c r="M46" s="99"/>
      <c r="N46" s="111"/>
      <c r="O46" s="112"/>
      <c r="P46" s="94"/>
      <c r="Q46" s="94"/>
      <c r="R46" s="113"/>
      <c r="S46" s="94"/>
      <c r="T46" s="94"/>
      <c r="V46" s="104"/>
    </row>
    <row r="47" ht="15.75" customHeight="1">
      <c r="A47" s="91"/>
      <c r="B47" s="197">
        <v>45845.0</v>
      </c>
      <c r="C47" s="93" t="s">
        <v>777</v>
      </c>
      <c r="D47" s="94"/>
      <c r="E47" s="139" t="s">
        <v>1415</v>
      </c>
      <c r="F47" s="139" t="s">
        <v>1416</v>
      </c>
      <c r="G47" s="94"/>
      <c r="H47" s="198" t="s">
        <v>41</v>
      </c>
      <c r="I47" s="102" t="s">
        <v>232</v>
      </c>
      <c r="J47" s="94"/>
      <c r="K47" s="135"/>
      <c r="L47" s="135"/>
      <c r="M47" s="99"/>
      <c r="N47" s="111"/>
      <c r="O47" s="112"/>
      <c r="P47" s="94"/>
      <c r="Q47" s="102" t="s">
        <v>104</v>
      </c>
      <c r="R47" s="113"/>
      <c r="S47" s="102" t="s">
        <v>404</v>
      </c>
      <c r="T47" s="102" t="s">
        <v>1417</v>
      </c>
      <c r="V47" s="104"/>
    </row>
    <row r="48" ht="15.75" customHeight="1">
      <c r="A48" s="91"/>
      <c r="B48" s="197">
        <v>45876.0</v>
      </c>
      <c r="C48" s="93" t="s">
        <v>390</v>
      </c>
      <c r="D48" s="94"/>
      <c r="E48" s="139" t="s">
        <v>1418</v>
      </c>
      <c r="F48" s="139" t="s">
        <v>1419</v>
      </c>
      <c r="G48" s="94"/>
      <c r="H48" s="198" t="s">
        <v>41</v>
      </c>
      <c r="I48" s="102" t="s">
        <v>181</v>
      </c>
      <c r="J48" s="94"/>
      <c r="K48" s="202">
        <v>10500.0</v>
      </c>
      <c r="L48" s="202">
        <v>3000.0</v>
      </c>
      <c r="M48" s="99"/>
      <c r="N48" s="111"/>
      <c r="O48" s="112"/>
      <c r="P48" s="94"/>
      <c r="Q48" s="102" t="s">
        <v>104</v>
      </c>
      <c r="R48" s="113"/>
      <c r="S48" s="102" t="s">
        <v>105</v>
      </c>
      <c r="T48" s="94"/>
      <c r="V48" s="104"/>
    </row>
    <row r="49" ht="15.75" customHeight="1">
      <c r="A49" s="91"/>
      <c r="B49" s="197">
        <v>45876.0</v>
      </c>
      <c r="C49" s="103" t="s">
        <v>220</v>
      </c>
      <c r="D49" s="94"/>
      <c r="E49" s="139" t="s">
        <v>1397</v>
      </c>
      <c r="F49" s="139" t="s">
        <v>1420</v>
      </c>
      <c r="G49" s="94"/>
      <c r="H49" s="198" t="s">
        <v>41</v>
      </c>
      <c r="I49" s="102" t="s">
        <v>131</v>
      </c>
      <c r="J49" s="94"/>
      <c r="K49" s="223"/>
      <c r="L49" s="223"/>
      <c r="M49" s="99"/>
      <c r="N49" s="111"/>
      <c r="O49" s="112"/>
      <c r="P49" s="94"/>
      <c r="Q49" s="94"/>
      <c r="R49" s="113"/>
      <c r="S49" s="94"/>
      <c r="T49" s="94"/>
      <c r="V49" s="104"/>
    </row>
    <row r="50" ht="15.75" customHeight="1">
      <c r="A50" s="91"/>
      <c r="B50" s="197">
        <v>45876.0</v>
      </c>
      <c r="C50" s="103" t="s">
        <v>1421</v>
      </c>
      <c r="D50" s="94"/>
      <c r="E50" s="139" t="s">
        <v>1422</v>
      </c>
      <c r="F50" s="139" t="s">
        <v>1423</v>
      </c>
      <c r="G50" s="94"/>
      <c r="H50" s="198" t="s">
        <v>41</v>
      </c>
      <c r="I50" s="102" t="s">
        <v>232</v>
      </c>
      <c r="J50" s="94"/>
      <c r="K50" s="223"/>
      <c r="L50" s="202">
        <v>100.0</v>
      </c>
      <c r="M50" s="99"/>
      <c r="N50" s="111"/>
      <c r="O50" s="112"/>
      <c r="P50" s="94"/>
      <c r="Q50" s="102" t="s">
        <v>104</v>
      </c>
      <c r="R50" s="113"/>
      <c r="S50" s="102" t="s">
        <v>404</v>
      </c>
      <c r="T50" s="102" t="s">
        <v>1333</v>
      </c>
      <c r="V50" s="104"/>
    </row>
    <row r="51" ht="15.75" customHeight="1">
      <c r="A51" s="91"/>
      <c r="B51" s="197">
        <v>45876.0</v>
      </c>
      <c r="C51" s="103" t="s">
        <v>1424</v>
      </c>
      <c r="D51" s="94"/>
      <c r="E51" s="139" t="s">
        <v>1425</v>
      </c>
      <c r="F51" s="139" t="s">
        <v>1426</v>
      </c>
      <c r="G51" s="94"/>
      <c r="H51" s="198" t="s">
        <v>41</v>
      </c>
      <c r="I51" s="102" t="s">
        <v>88</v>
      </c>
      <c r="J51" s="94"/>
      <c r="K51" s="223"/>
      <c r="L51" s="223"/>
      <c r="M51" s="99"/>
      <c r="N51" s="100" t="s">
        <v>50</v>
      </c>
      <c r="O51" s="112"/>
      <c r="P51" s="94"/>
      <c r="Q51" s="120"/>
      <c r="R51" s="113"/>
      <c r="S51" s="102" t="s">
        <v>124</v>
      </c>
      <c r="T51" s="102" t="s">
        <v>1427</v>
      </c>
      <c r="V51" s="104"/>
    </row>
    <row r="52" ht="15.75" customHeight="1">
      <c r="A52" s="91"/>
      <c r="B52" s="197">
        <v>45907.0</v>
      </c>
      <c r="C52" s="93" t="s">
        <v>1303</v>
      </c>
      <c r="D52" s="94"/>
      <c r="E52" s="139" t="s">
        <v>1428</v>
      </c>
      <c r="F52" s="139" t="s">
        <v>1429</v>
      </c>
      <c r="G52" s="94"/>
      <c r="H52" s="198" t="s">
        <v>41</v>
      </c>
      <c r="I52" s="102" t="s">
        <v>1111</v>
      </c>
      <c r="J52" s="94"/>
      <c r="K52" s="135"/>
      <c r="L52" s="135"/>
      <c r="M52" s="99"/>
      <c r="N52" s="111"/>
      <c r="O52" s="112"/>
      <c r="P52" s="94"/>
      <c r="Q52" s="120"/>
      <c r="R52" s="113"/>
      <c r="S52" s="94"/>
      <c r="T52" s="94"/>
      <c r="V52" s="104"/>
    </row>
    <row r="53" ht="15.75" customHeight="1">
      <c r="A53" s="91"/>
      <c r="B53" s="197">
        <v>45937.0</v>
      </c>
      <c r="C53" s="93" t="s">
        <v>1303</v>
      </c>
      <c r="D53" s="94"/>
      <c r="E53" s="139" t="s">
        <v>1430</v>
      </c>
      <c r="F53" s="139" t="s">
        <v>1431</v>
      </c>
      <c r="G53" s="94"/>
      <c r="H53" s="198" t="s">
        <v>41</v>
      </c>
      <c r="I53" s="102" t="s">
        <v>232</v>
      </c>
      <c r="J53" s="94"/>
      <c r="K53" s="135"/>
      <c r="L53" s="202">
        <v>1500.0</v>
      </c>
      <c r="M53" s="99"/>
      <c r="N53" s="111"/>
      <c r="O53" s="112"/>
      <c r="P53" s="94"/>
      <c r="Q53" s="102" t="s">
        <v>104</v>
      </c>
      <c r="R53" s="113"/>
      <c r="S53" s="102" t="s">
        <v>404</v>
      </c>
      <c r="T53" s="102" t="s">
        <v>1432</v>
      </c>
      <c r="V53" s="104"/>
    </row>
    <row r="54" ht="15.75" customHeight="1">
      <c r="A54" s="91"/>
      <c r="B54" s="197">
        <v>45937.0</v>
      </c>
      <c r="C54" s="93" t="s">
        <v>1303</v>
      </c>
      <c r="D54" s="94"/>
      <c r="E54" s="139" t="s">
        <v>1433</v>
      </c>
      <c r="F54" s="139" t="s">
        <v>1434</v>
      </c>
      <c r="G54" s="94"/>
      <c r="H54" s="198" t="s">
        <v>41</v>
      </c>
      <c r="I54" s="102" t="s">
        <v>88</v>
      </c>
      <c r="J54" s="94"/>
      <c r="K54" s="135"/>
      <c r="L54" s="135"/>
      <c r="M54" s="99"/>
      <c r="N54" s="100" t="s">
        <v>45</v>
      </c>
      <c r="O54" s="101" t="s">
        <v>584</v>
      </c>
      <c r="P54" s="94"/>
      <c r="Q54" s="120"/>
      <c r="R54" s="113"/>
      <c r="S54" s="102" t="s">
        <v>124</v>
      </c>
      <c r="T54" s="102" t="s">
        <v>1435</v>
      </c>
      <c r="V54" s="104"/>
    </row>
    <row r="55" ht="15.75" customHeight="1">
      <c r="A55" s="91"/>
      <c r="B55" s="197">
        <v>45937.0</v>
      </c>
      <c r="C55" s="93" t="s">
        <v>1436</v>
      </c>
      <c r="D55" s="94"/>
      <c r="E55" s="139" t="s">
        <v>1437</v>
      </c>
      <c r="F55" s="139" t="s">
        <v>1438</v>
      </c>
      <c r="G55" s="94"/>
      <c r="H55" s="198" t="s">
        <v>41</v>
      </c>
      <c r="I55" s="102" t="s">
        <v>131</v>
      </c>
      <c r="J55" s="94"/>
      <c r="K55" s="135"/>
      <c r="L55" s="135"/>
      <c r="M55" s="99"/>
      <c r="N55" s="111"/>
      <c r="O55" s="112"/>
      <c r="P55" s="94"/>
      <c r="Q55" s="94"/>
      <c r="R55" s="113"/>
      <c r="S55" s="94"/>
      <c r="T55" s="94"/>
      <c r="V55" s="104"/>
    </row>
    <row r="56" ht="15.75" customHeight="1">
      <c r="A56" s="91"/>
      <c r="B56" s="197">
        <v>45937.0</v>
      </c>
      <c r="C56" s="93" t="s">
        <v>1439</v>
      </c>
      <c r="D56" s="94"/>
      <c r="E56" s="139" t="s">
        <v>1440</v>
      </c>
      <c r="F56" s="139" t="s">
        <v>1441</v>
      </c>
      <c r="G56" s="94"/>
      <c r="H56" s="198" t="s">
        <v>41</v>
      </c>
      <c r="I56" s="102" t="s">
        <v>1111</v>
      </c>
      <c r="J56" s="94"/>
      <c r="K56" s="135"/>
      <c r="L56" s="135"/>
      <c r="M56" s="99"/>
      <c r="N56" s="111"/>
      <c r="O56" s="112"/>
      <c r="P56" s="94"/>
      <c r="Q56" s="120"/>
      <c r="R56" s="113"/>
      <c r="S56" s="94"/>
      <c r="T56" s="94"/>
      <c r="V56" s="104"/>
    </row>
    <row r="57" ht="15.75" customHeight="1">
      <c r="A57" s="91"/>
      <c r="B57" s="197">
        <v>45937.0</v>
      </c>
      <c r="C57" s="103" t="s">
        <v>1303</v>
      </c>
      <c r="D57" s="94"/>
      <c r="E57" s="139" t="s">
        <v>1428</v>
      </c>
      <c r="F57" s="139" t="s">
        <v>1442</v>
      </c>
      <c r="G57" s="94"/>
      <c r="H57" s="198" t="s">
        <v>41</v>
      </c>
      <c r="I57" s="102" t="s">
        <v>181</v>
      </c>
      <c r="J57" s="94"/>
      <c r="K57" s="202">
        <v>6000.0</v>
      </c>
      <c r="L57" s="202">
        <v>3000.0</v>
      </c>
      <c r="M57" s="99"/>
      <c r="N57" s="111"/>
      <c r="O57" s="112"/>
      <c r="P57" s="94"/>
      <c r="Q57" s="102" t="s">
        <v>155</v>
      </c>
      <c r="R57" s="113"/>
      <c r="S57" s="102" t="s">
        <v>105</v>
      </c>
      <c r="T57" s="94"/>
      <c r="V57" s="104"/>
    </row>
    <row r="58" ht="15.75" customHeight="1">
      <c r="A58" s="91"/>
      <c r="B58" s="197">
        <v>45937.0</v>
      </c>
      <c r="C58" s="103" t="s">
        <v>597</v>
      </c>
      <c r="D58" s="94"/>
      <c r="E58" s="139" t="s">
        <v>1443</v>
      </c>
      <c r="F58" s="93" t="s">
        <v>1444</v>
      </c>
      <c r="G58" s="94"/>
      <c r="H58" s="198" t="s">
        <v>41</v>
      </c>
      <c r="I58" s="102" t="s">
        <v>181</v>
      </c>
      <c r="J58" s="94"/>
      <c r="K58" s="202">
        <v>10500.0</v>
      </c>
      <c r="L58" s="202">
        <v>3000.0</v>
      </c>
      <c r="M58" s="99"/>
      <c r="N58" s="111"/>
      <c r="O58" s="112"/>
      <c r="P58" s="94"/>
      <c r="Q58" s="102" t="s">
        <v>104</v>
      </c>
      <c r="R58" s="113"/>
      <c r="S58" s="102" t="s">
        <v>105</v>
      </c>
      <c r="T58" s="94"/>
      <c r="V58" s="104"/>
    </row>
    <row r="59" ht="15.75" customHeight="1">
      <c r="A59" s="91"/>
      <c r="B59" s="197">
        <v>45968.0</v>
      </c>
      <c r="C59" s="103" t="s">
        <v>1303</v>
      </c>
      <c r="D59" s="94"/>
      <c r="E59" s="139" t="s">
        <v>1445</v>
      </c>
      <c r="F59" s="139" t="s">
        <v>1446</v>
      </c>
      <c r="G59" s="94"/>
      <c r="H59" s="198" t="s">
        <v>41</v>
      </c>
      <c r="I59" s="102" t="s">
        <v>1111</v>
      </c>
      <c r="J59" s="94"/>
      <c r="K59" s="135"/>
      <c r="L59" s="135"/>
      <c r="M59" s="99"/>
      <c r="N59" s="111"/>
      <c r="O59" s="112"/>
      <c r="P59" s="94"/>
      <c r="Q59" s="94"/>
      <c r="R59" s="113"/>
      <c r="S59" s="94"/>
      <c r="T59" s="94"/>
      <c r="V59" s="104"/>
    </row>
    <row r="60" ht="15.75" customHeight="1">
      <c r="A60" s="91"/>
      <c r="B60" s="198" t="s">
        <v>1447</v>
      </c>
      <c r="C60" s="93" t="s">
        <v>1448</v>
      </c>
      <c r="D60" s="94"/>
      <c r="E60" s="139" t="s">
        <v>1449</v>
      </c>
      <c r="F60" s="93" t="s">
        <v>1450</v>
      </c>
      <c r="G60" s="94"/>
      <c r="H60" s="198" t="s">
        <v>41</v>
      </c>
      <c r="I60" s="102" t="s">
        <v>103</v>
      </c>
      <c r="J60" s="94"/>
      <c r="K60" s="202">
        <v>9000.0</v>
      </c>
      <c r="L60" s="202">
        <v>9000.0</v>
      </c>
      <c r="M60" s="99"/>
      <c r="N60" s="111"/>
      <c r="O60" s="112"/>
      <c r="P60" s="94"/>
      <c r="Q60" s="102" t="s">
        <v>104</v>
      </c>
      <c r="R60" s="113"/>
      <c r="S60" s="102" t="s">
        <v>105</v>
      </c>
      <c r="T60" s="94"/>
      <c r="V60" s="104"/>
    </row>
    <row r="61" ht="15.75" customHeight="1">
      <c r="A61" s="91"/>
      <c r="B61" s="198" t="s">
        <v>1451</v>
      </c>
      <c r="C61" s="93" t="s">
        <v>1303</v>
      </c>
      <c r="D61" s="94"/>
      <c r="E61" s="139" t="s">
        <v>1445</v>
      </c>
      <c r="F61" s="93" t="s">
        <v>1452</v>
      </c>
      <c r="G61" s="94"/>
      <c r="H61" s="198" t="s">
        <v>41</v>
      </c>
      <c r="I61" s="102" t="s">
        <v>88</v>
      </c>
      <c r="J61" s="94"/>
      <c r="K61" s="135"/>
      <c r="L61" s="135"/>
      <c r="M61" s="99"/>
      <c r="N61" s="100" t="s">
        <v>98</v>
      </c>
      <c r="O61" s="101" t="s">
        <v>1295</v>
      </c>
      <c r="P61" s="94"/>
      <c r="Q61" s="94"/>
      <c r="R61" s="113"/>
      <c r="S61" s="102" t="s">
        <v>124</v>
      </c>
      <c r="T61" s="102" t="s">
        <v>1453</v>
      </c>
      <c r="V61" s="104"/>
    </row>
    <row r="62" ht="15.75" customHeight="1">
      <c r="A62" s="91"/>
      <c r="B62" s="198" t="s">
        <v>1451</v>
      </c>
      <c r="C62" s="93" t="s">
        <v>719</v>
      </c>
      <c r="D62" s="94"/>
      <c r="E62" s="139" t="s">
        <v>1454</v>
      </c>
      <c r="F62" s="139" t="s">
        <v>1455</v>
      </c>
      <c r="G62" s="94"/>
      <c r="H62" s="198" t="s">
        <v>41</v>
      </c>
      <c r="I62" s="102" t="s">
        <v>1111</v>
      </c>
      <c r="J62" s="94"/>
      <c r="K62" s="135"/>
      <c r="L62" s="135"/>
      <c r="M62" s="99"/>
      <c r="N62" s="111"/>
      <c r="O62" s="112"/>
      <c r="P62" s="94"/>
      <c r="Q62" s="94"/>
      <c r="R62" s="113"/>
      <c r="S62" s="94"/>
      <c r="T62" s="94"/>
      <c r="V62" s="104"/>
    </row>
    <row r="63" ht="15.75" customHeight="1">
      <c r="A63" s="91"/>
      <c r="B63" s="198" t="s">
        <v>1451</v>
      </c>
      <c r="C63" s="93" t="s">
        <v>1456</v>
      </c>
      <c r="D63" s="94"/>
      <c r="E63" s="139" t="s">
        <v>1457</v>
      </c>
      <c r="F63" s="139" t="s">
        <v>1458</v>
      </c>
      <c r="G63" s="94"/>
      <c r="H63" s="198" t="s">
        <v>41</v>
      </c>
      <c r="I63" s="102" t="s">
        <v>181</v>
      </c>
      <c r="J63" s="94"/>
      <c r="K63" s="202">
        <v>10500.0</v>
      </c>
      <c r="L63" s="202">
        <v>3000.0</v>
      </c>
      <c r="M63" s="99"/>
      <c r="N63" s="111"/>
      <c r="O63" s="112"/>
      <c r="P63" s="94"/>
      <c r="Q63" s="102" t="s">
        <v>104</v>
      </c>
      <c r="R63" s="113"/>
      <c r="S63" s="102" t="s">
        <v>105</v>
      </c>
      <c r="T63" s="94"/>
      <c r="V63" s="104"/>
    </row>
    <row r="64" ht="15.75" customHeight="1">
      <c r="A64" s="91"/>
      <c r="B64" s="198" t="s">
        <v>1451</v>
      </c>
      <c r="C64" s="93" t="s">
        <v>1459</v>
      </c>
      <c r="D64" s="94"/>
      <c r="E64" s="139" t="s">
        <v>1460</v>
      </c>
      <c r="F64" s="139" t="s">
        <v>1461</v>
      </c>
      <c r="G64" s="94"/>
      <c r="H64" s="198" t="s">
        <v>41</v>
      </c>
      <c r="I64" s="102" t="s">
        <v>232</v>
      </c>
      <c r="J64" s="94"/>
      <c r="K64" s="135"/>
      <c r="L64" s="202">
        <v>100.0</v>
      </c>
      <c r="M64" s="99"/>
      <c r="N64" s="111"/>
      <c r="O64" s="112"/>
      <c r="P64" s="94"/>
      <c r="Q64" s="120"/>
      <c r="R64" s="113"/>
      <c r="S64" s="102" t="s">
        <v>404</v>
      </c>
      <c r="T64" s="102" t="s">
        <v>1462</v>
      </c>
      <c r="V64" s="104"/>
    </row>
    <row r="65" ht="15.75" customHeight="1">
      <c r="A65" s="91"/>
      <c r="B65" s="198" t="s">
        <v>1451</v>
      </c>
      <c r="C65" s="103" t="s">
        <v>1463</v>
      </c>
      <c r="D65" s="94"/>
      <c r="E65" s="139" t="s">
        <v>1464</v>
      </c>
      <c r="F65" s="139" t="s">
        <v>1465</v>
      </c>
      <c r="G65" s="94"/>
      <c r="H65" s="198" t="s">
        <v>41</v>
      </c>
      <c r="I65" s="102" t="s">
        <v>88</v>
      </c>
      <c r="J65" s="94"/>
      <c r="K65" s="135"/>
      <c r="L65" s="135"/>
      <c r="M65" s="99"/>
      <c r="N65" s="100" t="s">
        <v>45</v>
      </c>
      <c r="O65" s="101" t="s">
        <v>396</v>
      </c>
      <c r="P65" s="94"/>
      <c r="Q65" s="94"/>
      <c r="R65" s="113"/>
      <c r="S65" s="102" t="s">
        <v>90</v>
      </c>
      <c r="T65" s="102" t="s">
        <v>1466</v>
      </c>
      <c r="V65" s="104"/>
    </row>
    <row r="66" ht="15.75" customHeight="1">
      <c r="A66" s="91"/>
      <c r="B66" s="198" t="s">
        <v>1451</v>
      </c>
      <c r="C66" s="103" t="s">
        <v>847</v>
      </c>
      <c r="D66" s="94"/>
      <c r="E66" s="139" t="s">
        <v>1467</v>
      </c>
      <c r="F66" s="93" t="s">
        <v>1468</v>
      </c>
      <c r="G66" s="94"/>
      <c r="H66" s="198" t="s">
        <v>41</v>
      </c>
      <c r="I66" s="102" t="s">
        <v>88</v>
      </c>
      <c r="J66" s="94"/>
      <c r="K66" s="135"/>
      <c r="L66" s="135"/>
      <c r="M66" s="99"/>
      <c r="N66" s="100" t="s">
        <v>45</v>
      </c>
      <c r="O66" s="101" t="s">
        <v>584</v>
      </c>
      <c r="P66" s="94"/>
      <c r="Q66" s="94"/>
      <c r="R66" s="113"/>
      <c r="S66" s="102" t="s">
        <v>124</v>
      </c>
      <c r="T66" s="102" t="s">
        <v>1469</v>
      </c>
      <c r="V66" s="104"/>
    </row>
    <row r="67" ht="15.75" customHeight="1">
      <c r="A67" s="91"/>
      <c r="B67" s="198" t="s">
        <v>1451</v>
      </c>
      <c r="C67" s="103" t="s">
        <v>1470</v>
      </c>
      <c r="D67" s="94"/>
      <c r="E67" s="139" t="s">
        <v>1471</v>
      </c>
      <c r="F67" s="139" t="s">
        <v>1472</v>
      </c>
      <c r="G67" s="94"/>
      <c r="H67" s="198" t="s">
        <v>41</v>
      </c>
      <c r="I67" s="102" t="s">
        <v>88</v>
      </c>
      <c r="J67" s="94"/>
      <c r="K67" s="135"/>
      <c r="L67" s="135"/>
      <c r="M67" s="99"/>
      <c r="N67" s="100" t="s">
        <v>50</v>
      </c>
      <c r="O67" s="101" t="s">
        <v>1473</v>
      </c>
      <c r="P67" s="94"/>
      <c r="Q67" s="120"/>
      <c r="R67" s="113"/>
      <c r="S67" s="102" t="s">
        <v>90</v>
      </c>
      <c r="T67" s="102" t="s">
        <v>1474</v>
      </c>
      <c r="V67" s="104"/>
    </row>
    <row r="68" ht="15.75" customHeight="1">
      <c r="A68" s="91"/>
      <c r="B68" s="198" t="s">
        <v>1475</v>
      </c>
      <c r="C68" s="93" t="s">
        <v>483</v>
      </c>
      <c r="D68" s="94"/>
      <c r="E68" s="139" t="s">
        <v>1476</v>
      </c>
      <c r="F68" s="139" t="s">
        <v>1477</v>
      </c>
      <c r="G68" s="94"/>
      <c r="H68" s="198" t="s">
        <v>41</v>
      </c>
      <c r="I68" s="102" t="s">
        <v>1111</v>
      </c>
      <c r="J68" s="94"/>
      <c r="K68" s="135"/>
      <c r="L68" s="135"/>
      <c r="M68" s="99"/>
      <c r="N68" s="111"/>
      <c r="O68" s="112"/>
      <c r="P68" s="94"/>
      <c r="Q68" s="94"/>
      <c r="R68" s="113"/>
      <c r="S68" s="94"/>
      <c r="T68" s="94"/>
      <c r="V68" s="104"/>
    </row>
    <row r="69" ht="15.75" customHeight="1">
      <c r="A69" s="91"/>
      <c r="B69" s="198" t="s">
        <v>1475</v>
      </c>
      <c r="C69" s="93" t="s">
        <v>719</v>
      </c>
      <c r="D69" s="94"/>
      <c r="E69" s="139" t="s">
        <v>1454</v>
      </c>
      <c r="F69" s="139" t="s">
        <v>1478</v>
      </c>
      <c r="G69" s="94"/>
      <c r="H69" s="198" t="s">
        <v>41</v>
      </c>
      <c r="I69" s="102" t="s">
        <v>88</v>
      </c>
      <c r="J69" s="94"/>
      <c r="K69" s="135"/>
      <c r="L69" s="135"/>
      <c r="M69" s="99"/>
      <c r="N69" s="100" t="s">
        <v>45</v>
      </c>
      <c r="O69" s="101" t="s">
        <v>396</v>
      </c>
      <c r="P69" s="94"/>
      <c r="Q69" s="120"/>
      <c r="R69" s="113"/>
      <c r="S69" s="102" t="s">
        <v>124</v>
      </c>
      <c r="T69" s="102" t="s">
        <v>1479</v>
      </c>
      <c r="V69" s="104"/>
    </row>
    <row r="70" ht="15.75" customHeight="1">
      <c r="A70" s="91"/>
      <c r="B70" s="198" t="s">
        <v>1475</v>
      </c>
      <c r="C70" s="93" t="s">
        <v>1480</v>
      </c>
      <c r="D70" s="94"/>
      <c r="E70" s="139" t="s">
        <v>1481</v>
      </c>
      <c r="F70" s="93" t="s">
        <v>1482</v>
      </c>
      <c r="G70" s="94"/>
      <c r="H70" s="198" t="s">
        <v>41</v>
      </c>
      <c r="I70" s="102" t="s">
        <v>88</v>
      </c>
      <c r="J70" s="94"/>
      <c r="K70" s="135"/>
      <c r="L70" s="135"/>
      <c r="M70" s="99"/>
      <c r="N70" s="100" t="s">
        <v>55</v>
      </c>
      <c r="O70" s="101" t="s">
        <v>1483</v>
      </c>
      <c r="P70" s="94"/>
      <c r="Q70" s="120"/>
      <c r="R70" s="113"/>
      <c r="S70" s="102" t="s">
        <v>124</v>
      </c>
      <c r="T70" s="102" t="s">
        <v>1484</v>
      </c>
      <c r="V70" s="104"/>
    </row>
    <row r="71" ht="15.75" customHeight="1">
      <c r="A71" s="91"/>
      <c r="B71" s="198" t="s">
        <v>1475</v>
      </c>
      <c r="C71" s="93" t="s">
        <v>410</v>
      </c>
      <c r="D71" s="94"/>
      <c r="E71" s="139" t="s">
        <v>1485</v>
      </c>
      <c r="F71" s="139" t="s">
        <v>1486</v>
      </c>
      <c r="G71" s="94"/>
      <c r="H71" s="198" t="s">
        <v>41</v>
      </c>
      <c r="I71" s="102" t="s">
        <v>103</v>
      </c>
      <c r="J71" s="94"/>
      <c r="K71" s="202">
        <v>9000.0</v>
      </c>
      <c r="L71" s="202">
        <v>9000.0</v>
      </c>
      <c r="M71" s="99"/>
      <c r="N71" s="111"/>
      <c r="O71" s="112"/>
      <c r="P71" s="94"/>
      <c r="Q71" s="102" t="s">
        <v>104</v>
      </c>
      <c r="R71" s="113"/>
      <c r="S71" s="102" t="s">
        <v>105</v>
      </c>
      <c r="T71" s="94"/>
      <c r="V71" s="104"/>
    </row>
    <row r="72" ht="15.75" customHeight="1">
      <c r="A72" s="91"/>
      <c r="B72" s="198" t="s">
        <v>1475</v>
      </c>
      <c r="C72" s="93" t="s">
        <v>1487</v>
      </c>
      <c r="D72" s="94"/>
      <c r="E72" s="139" t="s">
        <v>1488</v>
      </c>
      <c r="F72" s="139" t="s">
        <v>1489</v>
      </c>
      <c r="G72" s="94"/>
      <c r="H72" s="198" t="s">
        <v>41</v>
      </c>
      <c r="I72" s="102" t="s">
        <v>88</v>
      </c>
      <c r="J72" s="94"/>
      <c r="K72" s="135"/>
      <c r="L72" s="135"/>
      <c r="M72" s="99"/>
      <c r="N72" s="100" t="s">
        <v>60</v>
      </c>
      <c r="O72" s="101" t="s">
        <v>1490</v>
      </c>
      <c r="P72" s="94"/>
      <c r="Q72" s="94"/>
      <c r="R72" s="113"/>
      <c r="S72" s="102" t="s">
        <v>124</v>
      </c>
      <c r="T72" s="102" t="s">
        <v>1491</v>
      </c>
      <c r="V72" s="104"/>
    </row>
    <row r="73" ht="15.75" customHeight="1">
      <c r="A73" s="91"/>
      <c r="B73" s="198" t="s">
        <v>1475</v>
      </c>
      <c r="C73" s="103" t="s">
        <v>360</v>
      </c>
      <c r="D73" s="94"/>
      <c r="E73" s="139" t="s">
        <v>1492</v>
      </c>
      <c r="F73" s="139" t="s">
        <v>1493</v>
      </c>
      <c r="G73" s="94"/>
      <c r="H73" s="198" t="s">
        <v>41</v>
      </c>
      <c r="I73" s="102" t="s">
        <v>232</v>
      </c>
      <c r="J73" s="94"/>
      <c r="K73" s="135"/>
      <c r="L73" s="202">
        <v>500.0</v>
      </c>
      <c r="M73" s="99"/>
      <c r="N73" s="111"/>
      <c r="O73" s="112"/>
      <c r="P73" s="94"/>
      <c r="Q73" s="102" t="s">
        <v>104</v>
      </c>
      <c r="R73" s="113"/>
      <c r="S73" s="102" t="s">
        <v>404</v>
      </c>
      <c r="T73" s="94"/>
      <c r="V73" s="104"/>
    </row>
    <row r="74" ht="15.75" customHeight="1">
      <c r="A74" s="91"/>
      <c r="B74" s="198" t="s">
        <v>1494</v>
      </c>
      <c r="C74" s="103" t="s">
        <v>1495</v>
      </c>
      <c r="D74" s="94"/>
      <c r="E74" s="139" t="s">
        <v>1496</v>
      </c>
      <c r="F74" s="93" t="s">
        <v>1497</v>
      </c>
      <c r="G74" s="94"/>
      <c r="H74" s="198" t="s">
        <v>41</v>
      </c>
      <c r="I74" s="102" t="s">
        <v>131</v>
      </c>
      <c r="J74" s="94"/>
      <c r="K74" s="135"/>
      <c r="L74" s="135"/>
      <c r="M74" s="99"/>
      <c r="N74" s="111"/>
      <c r="O74" s="112"/>
      <c r="P74" s="94"/>
      <c r="Q74" s="120"/>
      <c r="R74" s="113"/>
      <c r="S74" s="94"/>
      <c r="T74" s="94"/>
      <c r="V74" s="104"/>
    </row>
    <row r="75" ht="15.75" customHeight="1">
      <c r="A75" s="91"/>
      <c r="B75" s="198" t="s">
        <v>1494</v>
      </c>
      <c r="C75" s="93" t="s">
        <v>531</v>
      </c>
      <c r="D75" s="94"/>
      <c r="E75" s="139" t="s">
        <v>1498</v>
      </c>
      <c r="F75" s="93" t="s">
        <v>1499</v>
      </c>
      <c r="G75" s="94"/>
      <c r="H75" s="198" t="s">
        <v>41</v>
      </c>
      <c r="I75" s="102" t="s">
        <v>88</v>
      </c>
      <c r="J75" s="94"/>
      <c r="K75" s="135"/>
      <c r="L75" s="135"/>
      <c r="M75" s="99"/>
      <c r="N75" s="100" t="s">
        <v>45</v>
      </c>
      <c r="O75" s="101" t="s">
        <v>396</v>
      </c>
      <c r="P75" s="94"/>
      <c r="Q75" s="120"/>
      <c r="R75" s="113"/>
      <c r="S75" s="102" t="s">
        <v>383</v>
      </c>
      <c r="T75" s="102" t="s">
        <v>1500</v>
      </c>
      <c r="V75" s="104"/>
    </row>
    <row r="76" ht="15.75" customHeight="1">
      <c r="A76" s="91"/>
      <c r="B76" s="198" t="s">
        <v>1494</v>
      </c>
      <c r="C76" s="93" t="s">
        <v>126</v>
      </c>
      <c r="D76" s="94"/>
      <c r="E76" s="139" t="s">
        <v>1501</v>
      </c>
      <c r="F76" s="139" t="s">
        <v>1502</v>
      </c>
      <c r="G76" s="94"/>
      <c r="H76" s="198" t="s">
        <v>41</v>
      </c>
      <c r="I76" s="102" t="s">
        <v>88</v>
      </c>
      <c r="J76" s="94"/>
      <c r="K76" s="135"/>
      <c r="L76" s="135"/>
      <c r="M76" s="99"/>
      <c r="N76" s="100" t="s">
        <v>55</v>
      </c>
      <c r="O76" s="101" t="s">
        <v>1503</v>
      </c>
      <c r="P76" s="94"/>
      <c r="R76" s="113"/>
      <c r="S76" s="102" t="s">
        <v>383</v>
      </c>
      <c r="T76" s="102" t="s">
        <v>1504</v>
      </c>
      <c r="V76" s="104"/>
    </row>
    <row r="77" ht="15.75" customHeight="1">
      <c r="A77" s="91"/>
      <c r="B77" s="198" t="s">
        <v>1494</v>
      </c>
      <c r="C77" s="93" t="s">
        <v>483</v>
      </c>
      <c r="D77" s="94"/>
      <c r="E77" s="139" t="s">
        <v>1476</v>
      </c>
      <c r="F77" s="93" t="s">
        <v>1505</v>
      </c>
      <c r="G77" s="94"/>
      <c r="H77" s="198" t="s">
        <v>41</v>
      </c>
      <c r="I77" s="102" t="s">
        <v>88</v>
      </c>
      <c r="J77" s="94"/>
      <c r="K77" s="135"/>
      <c r="L77" s="135"/>
      <c r="M77" s="99"/>
      <c r="N77" s="100" t="s">
        <v>98</v>
      </c>
      <c r="O77" s="101" t="s">
        <v>1295</v>
      </c>
      <c r="P77" s="94"/>
      <c r="Q77" s="120"/>
      <c r="R77" s="113"/>
      <c r="S77" s="102" t="s">
        <v>383</v>
      </c>
      <c r="T77" s="102" t="s">
        <v>1506</v>
      </c>
      <c r="V77" s="104"/>
    </row>
    <row r="78" ht="15.75" customHeight="1">
      <c r="A78" s="91"/>
      <c r="B78" s="198" t="s">
        <v>1507</v>
      </c>
      <c r="C78" s="93" t="s">
        <v>1421</v>
      </c>
      <c r="D78" s="94"/>
      <c r="E78" s="139" t="s">
        <v>1508</v>
      </c>
      <c r="F78" s="93" t="s">
        <v>1509</v>
      </c>
      <c r="G78" s="94"/>
      <c r="H78" s="198" t="s">
        <v>41</v>
      </c>
      <c r="I78" s="102" t="s">
        <v>110</v>
      </c>
      <c r="J78" s="94"/>
      <c r="K78" s="135"/>
      <c r="L78" s="135"/>
      <c r="M78" s="99"/>
      <c r="N78" s="111"/>
      <c r="O78" s="112"/>
      <c r="P78" s="94"/>
      <c r="Q78" s="120"/>
      <c r="R78" s="113"/>
      <c r="S78" s="94"/>
      <c r="T78" s="94"/>
      <c r="V78" s="104"/>
    </row>
    <row r="79" ht="15.75" customHeight="1">
      <c r="A79" s="91"/>
      <c r="B79" s="198" t="s">
        <v>1507</v>
      </c>
      <c r="C79" s="93" t="s">
        <v>318</v>
      </c>
      <c r="D79" s="94"/>
      <c r="E79" s="139" t="s">
        <v>1510</v>
      </c>
      <c r="F79" s="93" t="s">
        <v>1511</v>
      </c>
      <c r="G79" s="94"/>
      <c r="H79" s="198" t="s">
        <v>41</v>
      </c>
      <c r="I79" s="102" t="s">
        <v>181</v>
      </c>
      <c r="J79" s="94"/>
      <c r="K79" s="202">
        <v>10500.0</v>
      </c>
      <c r="L79" s="202">
        <v>3000.0</v>
      </c>
      <c r="M79" s="99"/>
      <c r="N79" s="111"/>
      <c r="O79" s="112"/>
      <c r="P79" s="94"/>
      <c r="Q79" s="102" t="s">
        <v>104</v>
      </c>
      <c r="R79" s="113"/>
      <c r="S79" s="102" t="s">
        <v>105</v>
      </c>
      <c r="T79" s="94"/>
      <c r="V79" s="104"/>
    </row>
    <row r="80" ht="15.75" customHeight="1">
      <c r="A80" s="91"/>
      <c r="B80" s="198" t="s">
        <v>1507</v>
      </c>
      <c r="C80" s="103" t="s">
        <v>1512</v>
      </c>
      <c r="D80" s="94"/>
      <c r="E80" s="139" t="s">
        <v>1513</v>
      </c>
      <c r="F80" s="139" t="s">
        <v>1514</v>
      </c>
      <c r="G80" s="94"/>
      <c r="H80" s="198" t="s">
        <v>41</v>
      </c>
      <c r="I80" s="102" t="s">
        <v>131</v>
      </c>
      <c r="J80" s="94"/>
      <c r="K80" s="135"/>
      <c r="L80" s="135"/>
      <c r="M80" s="99"/>
      <c r="N80" s="111"/>
      <c r="O80" s="112"/>
      <c r="P80" s="94"/>
      <c r="Q80" s="94"/>
      <c r="R80" s="113"/>
      <c r="S80" s="94"/>
      <c r="T80" s="94"/>
      <c r="V80" s="104"/>
    </row>
    <row r="81" ht="15.75" customHeight="1">
      <c r="A81" s="91"/>
      <c r="B81" s="198" t="s">
        <v>1507</v>
      </c>
      <c r="C81" s="103" t="s">
        <v>905</v>
      </c>
      <c r="D81" s="94"/>
      <c r="E81" s="139" t="s">
        <v>1515</v>
      </c>
      <c r="F81" s="139" t="s">
        <v>1516</v>
      </c>
      <c r="G81" s="94"/>
      <c r="H81" s="198" t="s">
        <v>41</v>
      </c>
      <c r="I81" s="102" t="s">
        <v>181</v>
      </c>
      <c r="J81" s="94"/>
      <c r="K81" s="202">
        <v>10500.0</v>
      </c>
      <c r="L81" s="202">
        <v>1500.0</v>
      </c>
      <c r="M81" s="99"/>
      <c r="N81" s="111"/>
      <c r="O81" s="112"/>
      <c r="P81" s="94"/>
      <c r="Q81" s="102" t="s">
        <v>104</v>
      </c>
      <c r="R81" s="113"/>
      <c r="S81" s="102" t="s">
        <v>105</v>
      </c>
      <c r="T81" s="94"/>
      <c r="V81" s="104"/>
    </row>
    <row r="82" ht="15.75" customHeight="1">
      <c r="A82" s="91"/>
      <c r="B82" s="198" t="s">
        <v>1517</v>
      </c>
      <c r="C82" s="93" t="s">
        <v>1518</v>
      </c>
      <c r="D82" s="94"/>
      <c r="E82" s="139" t="s">
        <v>1519</v>
      </c>
      <c r="F82" s="139" t="s">
        <v>1520</v>
      </c>
      <c r="G82" s="94"/>
      <c r="H82" s="198" t="s">
        <v>41</v>
      </c>
      <c r="I82" s="102" t="s">
        <v>88</v>
      </c>
      <c r="J82" s="94"/>
      <c r="K82" s="135"/>
      <c r="L82" s="224"/>
      <c r="M82" s="99"/>
      <c r="N82" s="100" t="s">
        <v>60</v>
      </c>
      <c r="O82" s="101" t="s">
        <v>1521</v>
      </c>
      <c r="P82" s="94"/>
      <c r="Q82" s="120"/>
      <c r="R82" s="113"/>
      <c r="S82" s="102" t="s">
        <v>90</v>
      </c>
      <c r="T82" s="102" t="s">
        <v>1522</v>
      </c>
      <c r="V82" s="104"/>
    </row>
    <row r="83" ht="15.75" customHeight="1">
      <c r="A83" s="91"/>
      <c r="B83" s="198" t="s">
        <v>1523</v>
      </c>
      <c r="C83" s="93" t="s">
        <v>616</v>
      </c>
      <c r="D83" s="94"/>
      <c r="E83" s="139" t="s">
        <v>1524</v>
      </c>
      <c r="F83" s="93" t="s">
        <v>1525</v>
      </c>
      <c r="G83" s="94"/>
      <c r="H83" s="198" t="s">
        <v>41</v>
      </c>
      <c r="I83" s="102" t="s">
        <v>110</v>
      </c>
      <c r="J83" s="94"/>
      <c r="K83" s="135"/>
      <c r="L83" s="135"/>
      <c r="M83" s="99"/>
      <c r="N83" s="111"/>
      <c r="O83" s="112"/>
      <c r="P83" s="94"/>
      <c r="Q83" s="94"/>
      <c r="R83" s="113"/>
      <c r="S83" s="94"/>
      <c r="T83" s="94"/>
      <c r="V83" s="104"/>
    </row>
    <row r="84" ht="15.75" customHeight="1">
      <c r="A84" s="91"/>
      <c r="B84" s="198" t="s">
        <v>1523</v>
      </c>
      <c r="C84" s="93" t="s">
        <v>543</v>
      </c>
      <c r="D84" s="94"/>
      <c r="E84" s="139" t="s">
        <v>1526</v>
      </c>
      <c r="F84" s="139" t="s">
        <v>1527</v>
      </c>
      <c r="G84" s="94"/>
      <c r="H84" s="198" t="s">
        <v>41</v>
      </c>
      <c r="I84" s="102" t="s">
        <v>88</v>
      </c>
      <c r="J84" s="94"/>
      <c r="K84" s="135"/>
      <c r="L84" s="135"/>
      <c r="M84" s="99"/>
      <c r="N84" s="100" t="s">
        <v>98</v>
      </c>
      <c r="O84" s="101" t="s">
        <v>1295</v>
      </c>
      <c r="P84" s="94"/>
      <c r="Q84" s="120"/>
      <c r="R84" s="113"/>
      <c r="S84" s="102" t="s">
        <v>124</v>
      </c>
      <c r="T84" s="102" t="s">
        <v>1528</v>
      </c>
      <c r="V84" s="104"/>
    </row>
    <row r="85" ht="15.75" customHeight="1">
      <c r="A85" s="91"/>
      <c r="B85" s="198" t="s">
        <v>1523</v>
      </c>
      <c r="C85" s="93" t="s">
        <v>559</v>
      </c>
      <c r="D85" s="94"/>
      <c r="E85" s="139" t="s">
        <v>1529</v>
      </c>
      <c r="F85" s="139" t="s">
        <v>1530</v>
      </c>
      <c r="G85" s="94"/>
      <c r="H85" s="198" t="s">
        <v>41</v>
      </c>
      <c r="I85" s="102" t="s">
        <v>181</v>
      </c>
      <c r="J85" s="94"/>
      <c r="K85" s="202">
        <v>6500.0</v>
      </c>
      <c r="L85" s="202">
        <v>3000.0</v>
      </c>
      <c r="M85" s="99"/>
      <c r="N85" s="111"/>
      <c r="O85" s="112"/>
      <c r="P85" s="94"/>
      <c r="Q85" s="102" t="s">
        <v>155</v>
      </c>
      <c r="R85" s="113"/>
      <c r="S85" s="102" t="s">
        <v>105</v>
      </c>
      <c r="T85" s="94"/>
      <c r="V85" s="104"/>
    </row>
    <row r="86" ht="15.75" customHeight="1">
      <c r="A86" s="91"/>
      <c r="B86" s="198" t="s">
        <v>1523</v>
      </c>
      <c r="C86" s="93" t="s">
        <v>1122</v>
      </c>
      <c r="D86" s="94"/>
      <c r="E86" s="139" t="s">
        <v>1531</v>
      </c>
      <c r="F86" s="139" t="s">
        <v>1532</v>
      </c>
      <c r="G86" s="94"/>
      <c r="H86" s="198" t="s">
        <v>41</v>
      </c>
      <c r="I86" s="102" t="s">
        <v>181</v>
      </c>
      <c r="J86" s="94"/>
      <c r="K86" s="202">
        <v>6500.0</v>
      </c>
      <c r="L86" s="202">
        <v>3000.0</v>
      </c>
      <c r="M86" s="99"/>
      <c r="N86" s="111"/>
      <c r="O86" s="112"/>
      <c r="P86" s="94"/>
      <c r="Q86" s="102" t="s">
        <v>155</v>
      </c>
      <c r="R86" s="113"/>
      <c r="S86" s="102" t="s">
        <v>105</v>
      </c>
      <c r="T86" s="94"/>
      <c r="V86" s="104"/>
    </row>
    <row r="87" ht="15.75" customHeight="1">
      <c r="A87" s="91"/>
      <c r="B87" s="198" t="s">
        <v>1523</v>
      </c>
      <c r="C87" s="93" t="s">
        <v>1292</v>
      </c>
      <c r="D87" s="94"/>
      <c r="E87" s="139" t="s">
        <v>1533</v>
      </c>
      <c r="F87" s="139" t="s">
        <v>1534</v>
      </c>
      <c r="G87" s="94"/>
      <c r="H87" s="198" t="s">
        <v>41</v>
      </c>
      <c r="I87" s="102" t="s">
        <v>131</v>
      </c>
      <c r="J87" s="94"/>
      <c r="K87" s="135"/>
      <c r="L87" s="135"/>
      <c r="M87" s="99"/>
      <c r="N87" s="111"/>
      <c r="O87" s="112"/>
      <c r="P87" s="94"/>
      <c r="Q87" s="94"/>
      <c r="R87" s="113"/>
      <c r="S87" s="94"/>
      <c r="T87" s="94"/>
      <c r="V87" s="104"/>
    </row>
    <row r="88" ht="15.75" customHeight="1">
      <c r="A88" s="91"/>
      <c r="B88" s="198" t="s">
        <v>1523</v>
      </c>
      <c r="C88" s="93" t="s">
        <v>1535</v>
      </c>
      <c r="D88" s="94"/>
      <c r="E88" s="139" t="s">
        <v>1536</v>
      </c>
      <c r="F88" s="139" t="s">
        <v>1537</v>
      </c>
      <c r="G88" s="94"/>
      <c r="H88" s="198" t="s">
        <v>41</v>
      </c>
      <c r="I88" s="102" t="s">
        <v>131</v>
      </c>
      <c r="J88" s="94"/>
      <c r="K88" s="135"/>
      <c r="L88" s="135"/>
      <c r="M88" s="99"/>
      <c r="N88" s="111"/>
      <c r="O88" s="112"/>
      <c r="P88" s="94"/>
      <c r="Q88" s="94"/>
      <c r="R88" s="113"/>
      <c r="S88" s="94"/>
      <c r="T88" s="94"/>
      <c r="V88" s="104"/>
    </row>
    <row r="89" ht="15.75" customHeight="1">
      <c r="A89" s="91"/>
      <c r="B89" s="198" t="s">
        <v>1523</v>
      </c>
      <c r="C89" s="93" t="s">
        <v>1538</v>
      </c>
      <c r="D89" s="94"/>
      <c r="E89" s="139" t="s">
        <v>1539</v>
      </c>
      <c r="F89" s="93" t="s">
        <v>1540</v>
      </c>
      <c r="G89" s="94"/>
      <c r="H89" s="198" t="s">
        <v>41</v>
      </c>
      <c r="I89" s="102" t="s">
        <v>181</v>
      </c>
      <c r="J89" s="94"/>
      <c r="K89" s="202">
        <v>6500.0</v>
      </c>
      <c r="L89" s="202">
        <v>3000.0</v>
      </c>
      <c r="M89" s="99"/>
      <c r="N89" s="111"/>
      <c r="O89" s="112"/>
      <c r="P89" s="94"/>
      <c r="Q89" s="102" t="s">
        <v>155</v>
      </c>
      <c r="R89" s="113"/>
      <c r="S89" s="102" t="s">
        <v>105</v>
      </c>
      <c r="T89" s="94"/>
      <c r="V89" s="104"/>
    </row>
    <row r="90" ht="15.75" customHeight="1">
      <c r="A90" s="91"/>
      <c r="B90" s="198" t="s">
        <v>1523</v>
      </c>
      <c r="C90" s="93" t="s">
        <v>1541</v>
      </c>
      <c r="D90" s="94"/>
      <c r="E90" s="139" t="s">
        <v>1542</v>
      </c>
      <c r="F90" s="139" t="s">
        <v>1543</v>
      </c>
      <c r="G90" s="94"/>
      <c r="H90" s="198" t="s">
        <v>41</v>
      </c>
      <c r="I90" s="102" t="s">
        <v>131</v>
      </c>
      <c r="J90" s="94"/>
      <c r="K90" s="135"/>
      <c r="L90" s="135"/>
      <c r="M90" s="99"/>
      <c r="N90" s="111"/>
      <c r="O90" s="112"/>
      <c r="P90" s="94"/>
      <c r="Q90" s="94"/>
      <c r="R90" s="113"/>
      <c r="S90" s="94"/>
      <c r="T90" s="94"/>
      <c r="V90" s="104"/>
    </row>
    <row r="91" ht="15.75" customHeight="1">
      <c r="A91" s="91"/>
      <c r="B91" s="198" t="s">
        <v>1523</v>
      </c>
      <c r="C91" s="93" t="s">
        <v>949</v>
      </c>
      <c r="D91" s="94"/>
      <c r="E91" s="139" t="s">
        <v>1544</v>
      </c>
      <c r="F91" s="93" t="s">
        <v>1545</v>
      </c>
      <c r="G91" s="94"/>
      <c r="H91" s="198" t="s">
        <v>41</v>
      </c>
      <c r="I91" s="102" t="s">
        <v>131</v>
      </c>
      <c r="J91" s="94"/>
      <c r="K91" s="135"/>
      <c r="L91" s="135"/>
      <c r="M91" s="99"/>
      <c r="N91" s="111"/>
      <c r="O91" s="112"/>
      <c r="P91" s="94"/>
      <c r="Q91" s="120"/>
      <c r="R91" s="113"/>
      <c r="S91" s="94"/>
      <c r="T91" s="94"/>
      <c r="V91" s="104"/>
    </row>
    <row r="92" ht="15.75" customHeight="1">
      <c r="A92" s="91"/>
      <c r="B92" s="198" t="s">
        <v>1546</v>
      </c>
      <c r="C92" s="93" t="s">
        <v>1547</v>
      </c>
      <c r="D92" s="94"/>
      <c r="E92" s="139" t="s">
        <v>1548</v>
      </c>
      <c r="F92" s="93" t="s">
        <v>1549</v>
      </c>
      <c r="G92" s="94"/>
      <c r="H92" s="198" t="s">
        <v>41</v>
      </c>
      <c r="I92" s="102" t="s">
        <v>181</v>
      </c>
      <c r="J92" s="94"/>
      <c r="K92" s="202">
        <v>10500.0</v>
      </c>
      <c r="L92" s="202">
        <v>3000.0</v>
      </c>
      <c r="M92" s="99"/>
      <c r="N92" s="111"/>
      <c r="O92" s="112"/>
      <c r="P92" s="94"/>
      <c r="Q92" s="102" t="s">
        <v>104</v>
      </c>
      <c r="R92" s="113"/>
      <c r="S92" s="102" t="s">
        <v>105</v>
      </c>
      <c r="T92" s="94"/>
      <c r="V92" s="104"/>
    </row>
    <row r="93" ht="15.75" customHeight="1">
      <c r="A93" s="91"/>
      <c r="B93" s="198" t="s">
        <v>1546</v>
      </c>
      <c r="C93" s="93" t="s">
        <v>616</v>
      </c>
      <c r="D93" s="94"/>
      <c r="E93" s="139" t="s">
        <v>1550</v>
      </c>
      <c r="F93" s="139" t="s">
        <v>1551</v>
      </c>
      <c r="G93" s="94"/>
      <c r="H93" s="198" t="s">
        <v>41</v>
      </c>
      <c r="I93" s="102" t="s">
        <v>181</v>
      </c>
      <c r="J93" s="94"/>
      <c r="K93" s="202">
        <v>10500.0</v>
      </c>
      <c r="L93" s="202">
        <v>3000.0</v>
      </c>
      <c r="M93" s="99"/>
      <c r="N93" s="111"/>
      <c r="O93" s="112"/>
      <c r="P93" s="94"/>
      <c r="Q93" s="102" t="s">
        <v>104</v>
      </c>
      <c r="R93" s="113"/>
      <c r="S93" s="102" t="s">
        <v>105</v>
      </c>
      <c r="T93" s="94"/>
      <c r="V93" s="104"/>
    </row>
    <row r="94" ht="15.75" customHeight="1">
      <c r="A94" s="91"/>
      <c r="B94" s="198" t="s">
        <v>1546</v>
      </c>
      <c r="C94" s="93" t="s">
        <v>616</v>
      </c>
      <c r="D94" s="94"/>
      <c r="E94" s="139" t="s">
        <v>1552</v>
      </c>
      <c r="F94" s="93" t="s">
        <v>1553</v>
      </c>
      <c r="G94" s="94"/>
      <c r="H94" s="198" t="s">
        <v>41</v>
      </c>
      <c r="I94" s="102" t="s">
        <v>232</v>
      </c>
      <c r="J94" s="94"/>
      <c r="K94" s="135"/>
      <c r="L94" s="135"/>
      <c r="M94" s="99"/>
      <c r="N94" s="111"/>
      <c r="O94" s="112"/>
      <c r="P94" s="94"/>
      <c r="Q94" s="120"/>
      <c r="R94" s="113"/>
      <c r="S94" s="102" t="s">
        <v>404</v>
      </c>
      <c r="T94" s="102" t="s">
        <v>1554</v>
      </c>
      <c r="V94" s="104"/>
    </row>
    <row r="95" ht="15.75" customHeight="1">
      <c r="A95" s="91"/>
      <c r="B95" s="198" t="s">
        <v>1546</v>
      </c>
      <c r="C95" s="93" t="s">
        <v>490</v>
      </c>
      <c r="D95" s="94"/>
      <c r="E95" s="139" t="s">
        <v>1555</v>
      </c>
      <c r="F95" s="93" t="s">
        <v>1556</v>
      </c>
      <c r="G95" s="94"/>
      <c r="H95" s="198" t="s">
        <v>41</v>
      </c>
      <c r="I95" s="102" t="s">
        <v>103</v>
      </c>
      <c r="J95" s="94"/>
      <c r="K95" s="202">
        <v>9000.0</v>
      </c>
      <c r="L95" s="202">
        <v>9000.0</v>
      </c>
      <c r="M95" s="99"/>
      <c r="N95" s="111"/>
      <c r="O95" s="112"/>
      <c r="P95" s="94"/>
      <c r="Q95" s="102" t="s">
        <v>104</v>
      </c>
      <c r="R95" s="113"/>
      <c r="S95" s="102" t="s">
        <v>105</v>
      </c>
      <c r="T95" s="94"/>
      <c r="V95" s="104"/>
    </row>
    <row r="96" ht="15.75" customHeight="1">
      <c r="A96" s="91"/>
      <c r="B96" s="198" t="s">
        <v>1546</v>
      </c>
      <c r="C96" s="93" t="s">
        <v>949</v>
      </c>
      <c r="D96" s="94"/>
      <c r="E96" s="139" t="s">
        <v>1544</v>
      </c>
      <c r="F96" s="93" t="s">
        <v>1557</v>
      </c>
      <c r="G96" s="94"/>
      <c r="H96" s="198" t="s">
        <v>41</v>
      </c>
      <c r="I96" s="102" t="s">
        <v>103</v>
      </c>
      <c r="J96" s="94"/>
      <c r="K96" s="202">
        <v>9000.0</v>
      </c>
      <c r="L96" s="202">
        <v>9000.0</v>
      </c>
      <c r="M96" s="99"/>
      <c r="N96" s="111"/>
      <c r="O96" s="112"/>
      <c r="P96" s="94"/>
      <c r="Q96" s="102" t="s">
        <v>104</v>
      </c>
      <c r="R96" s="113"/>
      <c r="S96" s="102" t="s">
        <v>105</v>
      </c>
      <c r="T96" s="94"/>
      <c r="V96" s="104"/>
    </row>
    <row r="97" ht="15.75" customHeight="1">
      <c r="A97" s="91"/>
      <c r="B97" s="198" t="s">
        <v>1546</v>
      </c>
      <c r="C97" s="103" t="s">
        <v>727</v>
      </c>
      <c r="D97" s="94"/>
      <c r="E97" s="139" t="s">
        <v>1558</v>
      </c>
      <c r="F97" s="93" t="s">
        <v>1559</v>
      </c>
      <c r="G97" s="94"/>
      <c r="H97" s="198" t="s">
        <v>41</v>
      </c>
      <c r="I97" s="102" t="s">
        <v>1111</v>
      </c>
      <c r="J97" s="94"/>
      <c r="K97" s="135"/>
      <c r="L97" s="135"/>
      <c r="M97" s="99"/>
      <c r="N97" s="111"/>
      <c r="O97" s="112"/>
      <c r="P97" s="94"/>
      <c r="Q97" s="120"/>
      <c r="R97" s="113"/>
      <c r="S97" s="94"/>
      <c r="T97" s="94"/>
      <c r="V97" s="104"/>
    </row>
    <row r="98" ht="15.75" customHeight="1">
      <c r="A98" s="91"/>
      <c r="B98" s="198" t="s">
        <v>1546</v>
      </c>
      <c r="C98" s="103" t="s">
        <v>1560</v>
      </c>
      <c r="D98" s="94"/>
      <c r="E98" s="139" t="s">
        <v>1561</v>
      </c>
      <c r="F98" s="93" t="s">
        <v>1562</v>
      </c>
      <c r="G98" s="94"/>
      <c r="H98" s="198" t="s">
        <v>41</v>
      </c>
      <c r="I98" s="102" t="s">
        <v>131</v>
      </c>
      <c r="J98" s="94"/>
      <c r="K98" s="135"/>
      <c r="L98" s="135"/>
      <c r="M98" s="99"/>
      <c r="N98" s="111"/>
      <c r="O98" s="112"/>
      <c r="P98" s="94"/>
      <c r="Q98" s="120"/>
      <c r="R98" s="113"/>
      <c r="S98" s="94"/>
      <c r="T98" s="94"/>
      <c r="V98" s="104"/>
    </row>
    <row r="99" ht="15.75" customHeight="1">
      <c r="A99" s="91"/>
      <c r="B99" s="198" t="s">
        <v>1546</v>
      </c>
      <c r="C99" s="93" t="s">
        <v>1563</v>
      </c>
      <c r="D99" s="94"/>
      <c r="E99" s="139" t="s">
        <v>1564</v>
      </c>
      <c r="F99" s="139" t="s">
        <v>1565</v>
      </c>
      <c r="G99" s="94"/>
      <c r="H99" s="198" t="s">
        <v>41</v>
      </c>
      <c r="I99" s="102" t="s">
        <v>1111</v>
      </c>
      <c r="J99" s="94"/>
      <c r="K99" s="135"/>
      <c r="L99" s="135"/>
      <c r="M99" s="99"/>
      <c r="N99" s="111"/>
      <c r="O99" s="112"/>
      <c r="P99" s="94"/>
      <c r="Q99" s="120"/>
      <c r="R99" s="113"/>
      <c r="S99" s="94"/>
      <c r="T99" s="94"/>
      <c r="V99" s="104"/>
    </row>
    <row r="100" ht="15.75" customHeight="1">
      <c r="A100" s="91"/>
      <c r="B100" s="198" t="s">
        <v>1546</v>
      </c>
      <c r="C100" s="93" t="s">
        <v>772</v>
      </c>
      <c r="D100" s="94"/>
      <c r="E100" s="139" t="s">
        <v>1566</v>
      </c>
      <c r="F100" s="139" t="s">
        <v>1567</v>
      </c>
      <c r="G100" s="94"/>
      <c r="H100" s="198" t="s">
        <v>41</v>
      </c>
      <c r="I100" s="102" t="s">
        <v>232</v>
      </c>
      <c r="J100" s="94"/>
      <c r="K100" s="135"/>
      <c r="L100" s="135"/>
      <c r="M100" s="99"/>
      <c r="N100" s="111"/>
      <c r="O100" s="112"/>
      <c r="P100" s="94"/>
      <c r="Q100" s="94"/>
      <c r="R100" s="113"/>
      <c r="S100" s="102" t="s">
        <v>404</v>
      </c>
      <c r="T100" s="102" t="s">
        <v>1568</v>
      </c>
      <c r="V100" s="104"/>
    </row>
    <row r="101" ht="15.75" customHeight="1">
      <c r="A101" s="91"/>
      <c r="B101" s="198" t="s">
        <v>1546</v>
      </c>
      <c r="C101" s="93" t="s">
        <v>559</v>
      </c>
      <c r="D101" s="94"/>
      <c r="E101" s="139" t="s">
        <v>1569</v>
      </c>
      <c r="F101" s="139" t="s">
        <v>1570</v>
      </c>
      <c r="G101" s="94"/>
      <c r="H101" s="198" t="s">
        <v>41</v>
      </c>
      <c r="I101" s="102" t="s">
        <v>88</v>
      </c>
      <c r="J101" s="94"/>
      <c r="K101" s="135"/>
      <c r="L101" s="135"/>
      <c r="M101" s="99"/>
      <c r="N101" s="100" t="s">
        <v>45</v>
      </c>
      <c r="O101" s="101" t="s">
        <v>396</v>
      </c>
      <c r="P101" s="94"/>
      <c r="Q101" s="94"/>
      <c r="R101" s="113"/>
      <c r="S101" s="102" t="s">
        <v>124</v>
      </c>
      <c r="T101" s="102" t="s">
        <v>1571</v>
      </c>
      <c r="V101" s="104"/>
    </row>
    <row r="102" ht="15.75" customHeight="1">
      <c r="A102" s="91"/>
      <c r="B102" s="198" t="s">
        <v>1546</v>
      </c>
      <c r="C102" s="93" t="s">
        <v>559</v>
      </c>
      <c r="D102" s="94"/>
      <c r="E102" s="139" t="s">
        <v>1572</v>
      </c>
      <c r="F102" s="93" t="s">
        <v>1573</v>
      </c>
      <c r="G102" s="94"/>
      <c r="H102" s="198" t="s">
        <v>41</v>
      </c>
      <c r="I102" s="102" t="s">
        <v>1111</v>
      </c>
      <c r="J102" s="94"/>
      <c r="K102" s="135"/>
      <c r="L102" s="135"/>
      <c r="M102" s="99"/>
      <c r="N102" s="111"/>
      <c r="O102" s="112"/>
      <c r="P102" s="94"/>
      <c r="Q102" s="120"/>
      <c r="R102" s="113"/>
      <c r="S102" s="94"/>
      <c r="T102" s="94"/>
      <c r="V102" s="104"/>
    </row>
    <row r="103" ht="15.75" customHeight="1">
      <c r="A103" s="91"/>
      <c r="B103" s="198" t="s">
        <v>1574</v>
      </c>
      <c r="C103" s="93" t="s">
        <v>1122</v>
      </c>
      <c r="D103" s="94"/>
      <c r="E103" s="139" t="s">
        <v>1575</v>
      </c>
      <c r="F103" s="139" t="s">
        <v>1576</v>
      </c>
      <c r="G103" s="94"/>
      <c r="H103" s="198" t="s">
        <v>41</v>
      </c>
      <c r="I103" s="102" t="s">
        <v>103</v>
      </c>
      <c r="J103" s="94"/>
      <c r="K103" s="202">
        <v>9000.0</v>
      </c>
      <c r="L103" s="202">
        <v>9000.0</v>
      </c>
      <c r="M103" s="99"/>
      <c r="N103" s="111"/>
      <c r="O103" s="112"/>
      <c r="P103" s="94"/>
      <c r="Q103" s="102" t="s">
        <v>104</v>
      </c>
      <c r="R103" s="113"/>
      <c r="S103" s="102" t="s">
        <v>105</v>
      </c>
      <c r="T103" s="94"/>
      <c r="U103" s="94"/>
      <c r="V103" s="104"/>
    </row>
    <row r="104" ht="15.75" customHeight="1">
      <c r="A104" s="91"/>
      <c r="B104" s="198" t="s">
        <v>1574</v>
      </c>
      <c r="C104" s="93" t="s">
        <v>727</v>
      </c>
      <c r="D104" s="94"/>
      <c r="E104" s="139" t="s">
        <v>1558</v>
      </c>
      <c r="F104" s="139" t="s">
        <v>1559</v>
      </c>
      <c r="G104" s="94"/>
      <c r="H104" s="198" t="s">
        <v>41</v>
      </c>
      <c r="I104" s="102" t="s">
        <v>110</v>
      </c>
      <c r="J104" s="94"/>
      <c r="K104" s="135"/>
      <c r="L104" s="135"/>
      <c r="M104" s="99"/>
      <c r="N104" s="111"/>
      <c r="O104" s="112"/>
      <c r="P104" s="94"/>
      <c r="Q104" s="94"/>
      <c r="R104" s="113"/>
      <c r="S104" s="94"/>
      <c r="T104" s="94"/>
      <c r="V104" s="104"/>
    </row>
    <row r="105" ht="15.75" customHeight="1">
      <c r="A105" s="91"/>
      <c r="B105" s="198" t="s">
        <v>1574</v>
      </c>
      <c r="C105" s="103" t="s">
        <v>252</v>
      </c>
      <c r="D105" s="94"/>
      <c r="E105" s="139" t="s">
        <v>1577</v>
      </c>
      <c r="F105" s="139" t="s">
        <v>1578</v>
      </c>
      <c r="G105" s="94"/>
      <c r="H105" s="198" t="s">
        <v>41</v>
      </c>
      <c r="I105" s="97" t="s">
        <v>88</v>
      </c>
      <c r="J105" s="94"/>
      <c r="K105" s="135"/>
      <c r="L105" s="135"/>
      <c r="M105" s="99"/>
      <c r="N105" s="100" t="s">
        <v>50</v>
      </c>
      <c r="O105" s="101" t="s">
        <v>1579</v>
      </c>
      <c r="P105" s="94"/>
      <c r="Q105" s="120"/>
      <c r="R105" s="113"/>
      <c r="S105" s="102" t="s">
        <v>124</v>
      </c>
      <c r="T105" s="102" t="s">
        <v>1580</v>
      </c>
      <c r="V105" s="104"/>
    </row>
    <row r="106" ht="15.75" customHeight="1">
      <c r="A106" s="91"/>
      <c r="B106" s="198" t="s">
        <v>1574</v>
      </c>
      <c r="C106" s="103" t="s">
        <v>1581</v>
      </c>
      <c r="D106" s="94"/>
      <c r="E106" s="139" t="s">
        <v>1564</v>
      </c>
      <c r="F106" s="139" t="s">
        <v>1582</v>
      </c>
      <c r="G106" s="94"/>
      <c r="H106" s="198" t="s">
        <v>41</v>
      </c>
      <c r="I106" s="97" t="s">
        <v>131</v>
      </c>
      <c r="J106" s="94"/>
      <c r="K106" s="135"/>
      <c r="L106" s="135"/>
      <c r="M106" s="99"/>
      <c r="N106" s="111"/>
      <c r="O106" s="112"/>
      <c r="P106" s="94"/>
      <c r="Q106" s="120"/>
      <c r="R106" s="113"/>
      <c r="S106" s="94"/>
      <c r="T106" s="94"/>
      <c r="V106" s="104"/>
    </row>
    <row r="107" ht="15.75" customHeight="1">
      <c r="A107" s="91"/>
      <c r="B107" s="198" t="s">
        <v>1574</v>
      </c>
      <c r="C107" s="93" t="s">
        <v>559</v>
      </c>
      <c r="D107" s="94"/>
      <c r="E107" s="139" t="s">
        <v>1572</v>
      </c>
      <c r="F107" s="139" t="s">
        <v>1583</v>
      </c>
      <c r="G107" s="94"/>
      <c r="H107" s="198" t="s">
        <v>41</v>
      </c>
      <c r="I107" s="97" t="s">
        <v>110</v>
      </c>
      <c r="J107" s="94"/>
      <c r="K107" s="135"/>
      <c r="L107" s="135"/>
      <c r="M107" s="99"/>
      <c r="N107" s="111"/>
      <c r="O107" s="112"/>
      <c r="P107" s="94"/>
      <c r="Q107" s="120"/>
      <c r="R107" s="113"/>
      <c r="S107" s="94"/>
      <c r="T107" s="94"/>
      <c r="V107" s="104"/>
    </row>
    <row r="108" ht="15.75" customHeight="1">
      <c r="A108" s="91"/>
      <c r="B108" s="198" t="s">
        <v>1574</v>
      </c>
      <c r="C108" s="93" t="s">
        <v>410</v>
      </c>
      <c r="D108" s="94"/>
      <c r="E108" s="139" t="s">
        <v>1584</v>
      </c>
      <c r="F108" s="139" t="s">
        <v>1585</v>
      </c>
      <c r="G108" s="94"/>
      <c r="H108" s="198" t="s">
        <v>41</v>
      </c>
      <c r="I108" s="97" t="s">
        <v>181</v>
      </c>
      <c r="J108" s="94"/>
      <c r="K108" s="202">
        <v>10500.0</v>
      </c>
      <c r="L108" s="202">
        <v>3000.0</v>
      </c>
      <c r="M108" s="99"/>
      <c r="N108" s="111"/>
      <c r="O108" s="112"/>
      <c r="P108" s="94"/>
      <c r="Q108" s="102" t="s">
        <v>104</v>
      </c>
      <c r="R108" s="113"/>
      <c r="S108" s="102" t="s">
        <v>105</v>
      </c>
      <c r="T108" s="94"/>
      <c r="V108" s="104"/>
    </row>
    <row r="109" ht="15.75" customHeight="1">
      <c r="A109" s="91"/>
      <c r="B109" s="198" t="s">
        <v>1574</v>
      </c>
      <c r="C109" s="93" t="s">
        <v>252</v>
      </c>
      <c r="D109" s="94"/>
      <c r="E109" s="139" t="s">
        <v>1586</v>
      </c>
      <c r="F109" s="93" t="s">
        <v>1587</v>
      </c>
      <c r="G109" s="94"/>
      <c r="H109" s="198" t="s">
        <v>41</v>
      </c>
      <c r="I109" s="97" t="s">
        <v>181</v>
      </c>
      <c r="J109" s="94"/>
      <c r="K109" s="202">
        <v>10500.0</v>
      </c>
      <c r="L109" s="202">
        <v>3000.0</v>
      </c>
      <c r="M109" s="99"/>
      <c r="N109" s="111"/>
      <c r="O109" s="112"/>
      <c r="P109" s="94"/>
      <c r="Q109" s="102" t="s">
        <v>104</v>
      </c>
      <c r="R109" s="113"/>
      <c r="S109" s="102" t="s">
        <v>105</v>
      </c>
      <c r="T109" s="94"/>
      <c r="V109" s="104"/>
    </row>
    <row r="110" ht="15.75" customHeight="1">
      <c r="A110" s="91"/>
      <c r="B110" s="198" t="s">
        <v>1588</v>
      </c>
      <c r="C110" s="93" t="s">
        <v>1589</v>
      </c>
      <c r="D110" s="94"/>
      <c r="E110" s="139" t="s">
        <v>1590</v>
      </c>
      <c r="F110" s="139" t="s">
        <v>1591</v>
      </c>
      <c r="G110" s="94"/>
      <c r="H110" s="198" t="s">
        <v>41</v>
      </c>
      <c r="I110" s="97" t="s">
        <v>88</v>
      </c>
      <c r="J110" s="94"/>
      <c r="K110" s="135"/>
      <c r="L110" s="135"/>
      <c r="M110" s="99"/>
      <c r="N110" s="100" t="s">
        <v>55</v>
      </c>
      <c r="O110" s="101" t="s">
        <v>1592</v>
      </c>
      <c r="P110" s="94"/>
      <c r="Q110" s="94"/>
      <c r="R110" s="113"/>
      <c r="S110" s="102" t="s">
        <v>90</v>
      </c>
      <c r="T110" s="102" t="s">
        <v>1593</v>
      </c>
      <c r="V110" s="104"/>
    </row>
    <row r="111" ht="15.75" customHeight="1">
      <c r="A111" s="91"/>
      <c r="B111" s="198" t="s">
        <v>1588</v>
      </c>
      <c r="C111" s="93" t="s">
        <v>291</v>
      </c>
      <c r="D111" s="94"/>
      <c r="E111" s="139" t="s">
        <v>1594</v>
      </c>
      <c r="F111" s="139" t="s">
        <v>1595</v>
      </c>
      <c r="G111" s="94"/>
      <c r="H111" s="198" t="s">
        <v>41</v>
      </c>
      <c r="I111" s="102" t="s">
        <v>88</v>
      </c>
      <c r="J111" s="94"/>
      <c r="K111" s="135"/>
      <c r="L111" s="135"/>
      <c r="M111" s="99"/>
      <c r="N111" s="100" t="s">
        <v>98</v>
      </c>
      <c r="O111" s="101" t="s">
        <v>1596</v>
      </c>
      <c r="P111" s="94"/>
      <c r="Q111" s="120"/>
      <c r="R111" s="113"/>
      <c r="S111" s="102" t="s">
        <v>124</v>
      </c>
      <c r="T111" s="102" t="s">
        <v>1597</v>
      </c>
      <c r="V111" s="104"/>
    </row>
    <row r="112" ht="15.75" customHeight="1">
      <c r="A112" s="91"/>
      <c r="B112" s="198" t="s">
        <v>1588</v>
      </c>
      <c r="C112" s="103" t="s">
        <v>1598</v>
      </c>
      <c r="D112" s="94"/>
      <c r="E112" s="139" t="s">
        <v>1599</v>
      </c>
      <c r="F112" s="139" t="s">
        <v>1600</v>
      </c>
      <c r="G112" s="94"/>
      <c r="H112" s="198" t="s">
        <v>41</v>
      </c>
      <c r="I112" s="102" t="s">
        <v>131</v>
      </c>
      <c r="J112" s="94"/>
      <c r="K112" s="135"/>
      <c r="L112" s="135"/>
      <c r="M112" s="99"/>
      <c r="N112" s="111"/>
      <c r="O112" s="112"/>
      <c r="P112" s="94"/>
      <c r="Q112" s="94"/>
      <c r="R112" s="113"/>
      <c r="S112" s="94"/>
      <c r="T112" s="94"/>
      <c r="V112" s="104"/>
    </row>
    <row r="113" ht="15.75" customHeight="1">
      <c r="A113" s="91"/>
      <c r="B113" s="198" t="s">
        <v>1588</v>
      </c>
      <c r="C113" s="103" t="s">
        <v>1601</v>
      </c>
      <c r="D113" s="94"/>
      <c r="E113" s="139" t="s">
        <v>1602</v>
      </c>
      <c r="F113" s="139" t="s">
        <v>1603</v>
      </c>
      <c r="G113" s="94"/>
      <c r="H113" s="198" t="s">
        <v>41</v>
      </c>
      <c r="I113" s="102" t="s">
        <v>88</v>
      </c>
      <c r="J113" s="94"/>
      <c r="K113" s="135"/>
      <c r="L113" s="135"/>
      <c r="M113" s="99"/>
      <c r="N113" s="100" t="s">
        <v>45</v>
      </c>
      <c r="O113" s="101" t="s">
        <v>396</v>
      </c>
      <c r="P113" s="94"/>
      <c r="Q113" s="94"/>
      <c r="R113" s="113"/>
      <c r="S113" s="102" t="s">
        <v>383</v>
      </c>
      <c r="T113" s="102" t="s">
        <v>1604</v>
      </c>
      <c r="V113" s="104"/>
    </row>
    <row r="114" ht="15.75" customHeight="1">
      <c r="A114" s="91"/>
      <c r="B114" s="198" t="s">
        <v>1588</v>
      </c>
      <c r="C114" s="103" t="s">
        <v>1605</v>
      </c>
      <c r="D114" s="94"/>
      <c r="E114" s="139" t="s">
        <v>1606</v>
      </c>
      <c r="F114" s="139" t="s">
        <v>1607</v>
      </c>
      <c r="G114" s="94"/>
      <c r="H114" s="198" t="s">
        <v>41</v>
      </c>
      <c r="I114" s="102" t="s">
        <v>131</v>
      </c>
      <c r="J114" s="94"/>
      <c r="K114" s="135"/>
      <c r="L114" s="135"/>
      <c r="M114" s="99"/>
      <c r="N114" s="111"/>
      <c r="O114" s="112"/>
      <c r="P114" s="94"/>
      <c r="Q114" s="94"/>
      <c r="R114" s="113"/>
      <c r="S114" s="94"/>
      <c r="T114" s="94"/>
      <c r="V114" s="104"/>
    </row>
    <row r="115" ht="15.75" customHeight="1">
      <c r="A115" s="91"/>
      <c r="B115" s="198" t="s">
        <v>1588</v>
      </c>
      <c r="C115" s="93" t="s">
        <v>318</v>
      </c>
      <c r="D115" s="94"/>
      <c r="E115" s="139" t="s">
        <v>1608</v>
      </c>
      <c r="F115" s="139" t="s">
        <v>1609</v>
      </c>
      <c r="G115" s="94"/>
      <c r="H115" s="198" t="s">
        <v>41</v>
      </c>
      <c r="I115" s="102" t="s">
        <v>88</v>
      </c>
      <c r="J115" s="94"/>
      <c r="K115" s="135"/>
      <c r="L115" s="135"/>
      <c r="M115" s="99"/>
      <c r="N115" s="100" t="s">
        <v>45</v>
      </c>
      <c r="O115" s="101" t="s">
        <v>396</v>
      </c>
      <c r="P115" s="94"/>
      <c r="Q115" s="94"/>
      <c r="R115" s="113"/>
      <c r="S115" s="102" t="s">
        <v>124</v>
      </c>
      <c r="T115" s="102" t="s">
        <v>1610</v>
      </c>
      <c r="V115" s="104"/>
    </row>
    <row r="116" ht="15.75" customHeight="1">
      <c r="A116" s="91"/>
      <c r="B116" s="198" t="s">
        <v>1588</v>
      </c>
      <c r="C116" s="93" t="s">
        <v>1611</v>
      </c>
      <c r="D116" s="94"/>
      <c r="E116" s="139" t="s">
        <v>1612</v>
      </c>
      <c r="F116" s="139" t="s">
        <v>1613</v>
      </c>
      <c r="G116" s="94"/>
      <c r="H116" s="198" t="s">
        <v>41</v>
      </c>
      <c r="I116" s="102" t="s">
        <v>1111</v>
      </c>
      <c r="J116" s="94"/>
      <c r="K116" s="135"/>
      <c r="L116" s="135"/>
      <c r="M116" s="99"/>
      <c r="N116" s="111"/>
      <c r="O116" s="112"/>
      <c r="P116" s="94"/>
      <c r="Q116" s="94"/>
      <c r="R116" s="113"/>
      <c r="S116" s="94"/>
      <c r="T116" s="94"/>
      <c r="V116" s="104"/>
    </row>
    <row r="117" ht="15.75" customHeight="1">
      <c r="A117" s="91"/>
      <c r="B117" s="198" t="s">
        <v>1614</v>
      </c>
      <c r="C117" s="93" t="s">
        <v>318</v>
      </c>
      <c r="D117" s="94"/>
      <c r="E117" s="139" t="s">
        <v>1615</v>
      </c>
      <c r="F117" s="139" t="s">
        <v>1616</v>
      </c>
      <c r="G117" s="94"/>
      <c r="H117" s="198" t="s">
        <v>41</v>
      </c>
      <c r="I117" s="102" t="s">
        <v>1111</v>
      </c>
      <c r="J117" s="94"/>
      <c r="K117" s="135"/>
      <c r="L117" s="135"/>
      <c r="M117" s="99"/>
      <c r="N117" s="111"/>
      <c r="O117" s="112"/>
      <c r="P117" s="94"/>
      <c r="Q117" s="94"/>
      <c r="R117" s="113"/>
      <c r="S117" s="94"/>
      <c r="T117" s="94"/>
      <c r="V117" s="104"/>
    </row>
    <row r="118" ht="15.75" customHeight="1">
      <c r="A118" s="91"/>
      <c r="B118" s="198" t="s">
        <v>1614</v>
      </c>
      <c r="C118" s="93" t="s">
        <v>1598</v>
      </c>
      <c r="D118" s="94"/>
      <c r="E118" s="139" t="s">
        <v>1599</v>
      </c>
      <c r="F118" s="139" t="s">
        <v>1617</v>
      </c>
      <c r="G118" s="94"/>
      <c r="H118" s="198" t="s">
        <v>41</v>
      </c>
      <c r="I118" s="102" t="s">
        <v>131</v>
      </c>
      <c r="J118" s="94"/>
      <c r="K118" s="135"/>
      <c r="L118" s="135"/>
      <c r="M118" s="99"/>
      <c r="N118" s="111"/>
      <c r="O118" s="112"/>
      <c r="P118" s="94"/>
      <c r="Q118" s="94"/>
      <c r="R118" s="113"/>
      <c r="S118" s="94"/>
      <c r="T118" s="94"/>
      <c r="V118" s="104"/>
    </row>
    <row r="119" ht="15.75" customHeight="1">
      <c r="A119" s="91"/>
      <c r="B119" s="198" t="s">
        <v>1614</v>
      </c>
      <c r="C119" s="93" t="s">
        <v>1611</v>
      </c>
      <c r="D119" s="94"/>
      <c r="E119" s="139" t="s">
        <v>1612</v>
      </c>
      <c r="F119" s="139" t="s">
        <v>1613</v>
      </c>
      <c r="G119" s="94"/>
      <c r="H119" s="198" t="s">
        <v>41</v>
      </c>
      <c r="I119" s="102" t="s">
        <v>131</v>
      </c>
      <c r="J119" s="94"/>
      <c r="K119" s="135"/>
      <c r="L119" s="135"/>
      <c r="M119" s="99"/>
      <c r="N119" s="111"/>
      <c r="O119" s="112"/>
      <c r="P119" s="94"/>
      <c r="Q119" s="120"/>
      <c r="R119" s="113"/>
      <c r="S119" s="94"/>
      <c r="T119" s="94"/>
      <c r="V119" s="104"/>
    </row>
    <row r="120" ht="15.75" customHeight="1">
      <c r="A120" s="91"/>
      <c r="B120" s="198" t="s">
        <v>1618</v>
      </c>
      <c r="C120" s="103" t="s">
        <v>360</v>
      </c>
      <c r="D120" s="94"/>
      <c r="E120" s="139" t="s">
        <v>1619</v>
      </c>
      <c r="F120" s="139" t="s">
        <v>1620</v>
      </c>
      <c r="G120" s="94"/>
      <c r="H120" s="198" t="s">
        <v>41</v>
      </c>
      <c r="I120" s="102" t="s">
        <v>88</v>
      </c>
      <c r="J120" s="94"/>
      <c r="K120" s="135"/>
      <c r="L120" s="135"/>
      <c r="M120" s="99"/>
      <c r="N120" s="100" t="s">
        <v>50</v>
      </c>
      <c r="O120" s="101" t="s">
        <v>1621</v>
      </c>
      <c r="P120" s="94"/>
      <c r="Q120" s="94"/>
      <c r="R120" s="113"/>
      <c r="S120" s="102" t="s">
        <v>124</v>
      </c>
      <c r="T120" s="102" t="s">
        <v>1622</v>
      </c>
      <c r="V120" s="104"/>
    </row>
    <row r="121" ht="15.75" customHeight="1">
      <c r="A121" s="91"/>
      <c r="B121" s="198" t="s">
        <v>1618</v>
      </c>
      <c r="C121" s="103" t="s">
        <v>318</v>
      </c>
      <c r="D121" s="94"/>
      <c r="E121" s="139" t="s">
        <v>1615</v>
      </c>
      <c r="F121" s="139" t="s">
        <v>1616</v>
      </c>
      <c r="G121" s="94"/>
      <c r="H121" s="198" t="s">
        <v>41</v>
      </c>
      <c r="I121" s="102" t="s">
        <v>232</v>
      </c>
      <c r="J121" s="94"/>
      <c r="K121" s="135"/>
      <c r="L121" s="135"/>
      <c r="M121" s="99"/>
      <c r="N121" s="111"/>
      <c r="O121" s="112"/>
      <c r="P121" s="94"/>
      <c r="Q121" s="102" t="s">
        <v>104</v>
      </c>
      <c r="R121" s="113"/>
      <c r="S121" s="102" t="s">
        <v>404</v>
      </c>
      <c r="T121" s="102" t="s">
        <v>1623</v>
      </c>
      <c r="V121" s="104"/>
    </row>
    <row r="122" ht="15.75" customHeight="1">
      <c r="A122" s="91"/>
      <c r="B122" s="198" t="s">
        <v>1618</v>
      </c>
      <c r="C122" s="103" t="s">
        <v>1624</v>
      </c>
      <c r="D122" s="94"/>
      <c r="E122" s="139" t="s">
        <v>1625</v>
      </c>
      <c r="F122" s="139" t="s">
        <v>1626</v>
      </c>
      <c r="G122" s="94"/>
      <c r="H122" s="198" t="s">
        <v>41</v>
      </c>
      <c r="I122" s="102" t="s">
        <v>232</v>
      </c>
      <c r="J122" s="94"/>
      <c r="K122" s="135"/>
      <c r="L122" s="135"/>
      <c r="M122" s="99"/>
      <c r="N122" s="111"/>
      <c r="O122" s="112"/>
      <c r="P122" s="94"/>
      <c r="Q122" s="102" t="s">
        <v>104</v>
      </c>
      <c r="R122" s="113"/>
      <c r="S122" s="102" t="s">
        <v>404</v>
      </c>
      <c r="T122" s="102" t="s">
        <v>1627</v>
      </c>
      <c r="V122" s="104"/>
    </row>
    <row r="123" ht="15.75" customHeight="1">
      <c r="A123" s="91"/>
      <c r="B123" s="198" t="s">
        <v>1618</v>
      </c>
      <c r="C123" s="93" t="s">
        <v>657</v>
      </c>
      <c r="D123" s="94"/>
      <c r="E123" s="139" t="s">
        <v>1628</v>
      </c>
      <c r="F123" s="139" t="s">
        <v>1629</v>
      </c>
      <c r="G123" s="94"/>
      <c r="H123" s="198" t="s">
        <v>41</v>
      </c>
      <c r="I123" s="102" t="s">
        <v>103</v>
      </c>
      <c r="J123" s="94"/>
      <c r="K123" s="202">
        <v>4500.0</v>
      </c>
      <c r="L123" s="202">
        <v>4500.0</v>
      </c>
      <c r="M123" s="99"/>
      <c r="N123" s="111"/>
      <c r="O123" s="112"/>
      <c r="P123" s="94"/>
      <c r="Q123" s="102" t="s">
        <v>155</v>
      </c>
      <c r="R123" s="113"/>
      <c r="S123" s="102" t="s">
        <v>105</v>
      </c>
      <c r="T123" s="94"/>
      <c r="V123" s="104"/>
    </row>
    <row r="124" ht="15.75" customHeight="1">
      <c r="A124" s="91"/>
      <c r="B124" s="198" t="s">
        <v>1618</v>
      </c>
      <c r="C124" s="93" t="s">
        <v>756</v>
      </c>
      <c r="D124" s="94"/>
      <c r="E124" s="139" t="s">
        <v>1630</v>
      </c>
      <c r="F124" s="139" t="s">
        <v>1631</v>
      </c>
      <c r="G124" s="94"/>
      <c r="H124" s="198" t="s">
        <v>41</v>
      </c>
      <c r="I124" s="102" t="s">
        <v>88</v>
      </c>
      <c r="J124" s="94"/>
      <c r="K124" s="135"/>
      <c r="L124" s="135"/>
      <c r="M124" s="99"/>
      <c r="N124" s="100" t="s">
        <v>50</v>
      </c>
      <c r="O124" s="101" t="s">
        <v>1632</v>
      </c>
      <c r="P124" s="94"/>
      <c r="Q124" s="120"/>
      <c r="R124" s="113"/>
      <c r="S124" s="102" t="s">
        <v>170</v>
      </c>
      <c r="T124" s="102" t="s">
        <v>1633</v>
      </c>
      <c r="V124" s="104"/>
    </row>
    <row r="125" ht="15.75" customHeight="1">
      <c r="A125" s="91"/>
      <c r="B125" s="198" t="s">
        <v>1634</v>
      </c>
      <c r="C125" s="93" t="s">
        <v>1635</v>
      </c>
      <c r="D125" s="94"/>
      <c r="E125" s="139" t="s">
        <v>1636</v>
      </c>
      <c r="F125" s="139" t="s">
        <v>1637</v>
      </c>
      <c r="G125" s="94"/>
      <c r="H125" s="198" t="s">
        <v>41</v>
      </c>
      <c r="I125" s="102" t="s">
        <v>1111</v>
      </c>
      <c r="J125" s="94"/>
      <c r="K125" s="135"/>
      <c r="L125" s="135"/>
      <c r="M125" s="99"/>
      <c r="N125" s="111"/>
      <c r="O125" s="112"/>
      <c r="P125" s="94"/>
      <c r="Q125" s="120"/>
      <c r="R125" s="113"/>
      <c r="S125" s="94"/>
      <c r="T125" s="94"/>
      <c r="V125" s="104"/>
    </row>
    <row r="126" ht="15.75" customHeight="1">
      <c r="A126" s="91"/>
      <c r="B126" s="198" t="s">
        <v>1634</v>
      </c>
      <c r="C126" s="93" t="s">
        <v>777</v>
      </c>
      <c r="D126" s="94"/>
      <c r="E126" s="139" t="s">
        <v>1638</v>
      </c>
      <c r="F126" s="139" t="s">
        <v>1639</v>
      </c>
      <c r="G126" s="94"/>
      <c r="H126" s="198" t="s">
        <v>41</v>
      </c>
      <c r="I126" s="102" t="s">
        <v>181</v>
      </c>
      <c r="J126" s="94"/>
      <c r="K126" s="202">
        <v>10500.0</v>
      </c>
      <c r="L126" s="202">
        <v>3000.0</v>
      </c>
      <c r="M126" s="99"/>
      <c r="N126" s="111"/>
      <c r="O126" s="112"/>
      <c r="P126" s="94"/>
      <c r="Q126" s="102" t="s">
        <v>104</v>
      </c>
      <c r="R126" s="113"/>
      <c r="S126" s="102" t="s">
        <v>105</v>
      </c>
      <c r="T126" s="94"/>
      <c r="V126" s="104"/>
    </row>
    <row r="127" ht="15.75" customHeight="1">
      <c r="A127" s="91"/>
      <c r="B127" s="198" t="s">
        <v>1634</v>
      </c>
      <c r="C127" s="93" t="s">
        <v>724</v>
      </c>
      <c r="D127" s="94"/>
      <c r="E127" s="139" t="s">
        <v>1640</v>
      </c>
      <c r="F127" s="93" t="s">
        <v>1641</v>
      </c>
      <c r="G127" s="94"/>
      <c r="H127" s="198" t="s">
        <v>41</v>
      </c>
      <c r="I127" s="102" t="s">
        <v>103</v>
      </c>
      <c r="J127" s="94"/>
      <c r="K127" s="202">
        <v>6500.0</v>
      </c>
      <c r="L127" s="202">
        <v>6500.0</v>
      </c>
      <c r="M127" s="99"/>
      <c r="N127" s="111"/>
      <c r="O127" s="112"/>
      <c r="P127" s="94"/>
      <c r="Q127" s="102" t="s">
        <v>357</v>
      </c>
      <c r="R127" s="113"/>
      <c r="S127" s="102" t="s">
        <v>105</v>
      </c>
      <c r="T127" s="94"/>
      <c r="V127" s="104"/>
    </row>
    <row r="128" ht="15.75" customHeight="1">
      <c r="A128" s="91"/>
      <c r="B128" s="198" t="s">
        <v>1642</v>
      </c>
      <c r="C128" s="103" t="s">
        <v>1346</v>
      </c>
      <c r="D128" s="94"/>
      <c r="E128" s="139" t="s">
        <v>1643</v>
      </c>
      <c r="F128" s="139" t="s">
        <v>1644</v>
      </c>
      <c r="G128" s="94"/>
      <c r="H128" s="198" t="s">
        <v>41</v>
      </c>
      <c r="I128" s="102" t="s">
        <v>88</v>
      </c>
      <c r="J128" s="94"/>
      <c r="K128" s="135"/>
      <c r="L128" s="135"/>
      <c r="M128" s="99"/>
      <c r="N128" s="100" t="s">
        <v>98</v>
      </c>
      <c r="O128" s="101" t="s">
        <v>647</v>
      </c>
      <c r="P128" s="94"/>
      <c r="Q128" s="94"/>
      <c r="R128" s="113"/>
      <c r="S128" s="102" t="s">
        <v>124</v>
      </c>
      <c r="T128" s="102" t="s">
        <v>1645</v>
      </c>
      <c r="V128" s="104"/>
    </row>
    <row r="129" ht="15.75" customHeight="1">
      <c r="A129" s="91"/>
      <c r="B129" s="198" t="s">
        <v>1642</v>
      </c>
      <c r="C129" s="103" t="s">
        <v>310</v>
      </c>
      <c r="D129" s="94"/>
      <c r="E129" s="139" t="s">
        <v>1646</v>
      </c>
      <c r="F129" s="139" t="s">
        <v>1647</v>
      </c>
      <c r="G129" s="94"/>
      <c r="H129" s="198" t="s">
        <v>41</v>
      </c>
      <c r="I129" s="102" t="s">
        <v>88</v>
      </c>
      <c r="J129" s="94"/>
      <c r="K129" s="135"/>
      <c r="L129" s="135"/>
      <c r="M129" s="99"/>
      <c r="N129" s="100" t="s">
        <v>45</v>
      </c>
      <c r="O129" s="101" t="s">
        <v>396</v>
      </c>
      <c r="P129" s="94"/>
      <c r="Q129" s="120"/>
      <c r="R129" s="113"/>
      <c r="S129" s="102" t="s">
        <v>124</v>
      </c>
      <c r="T129" s="102" t="s">
        <v>1648</v>
      </c>
      <c r="V129" s="104"/>
    </row>
    <row r="130" ht="15.75" customHeight="1">
      <c r="A130" s="91"/>
      <c r="B130" s="198" t="s">
        <v>1649</v>
      </c>
      <c r="C130" s="103" t="s">
        <v>136</v>
      </c>
      <c r="D130" s="94"/>
      <c r="E130" s="139" t="s">
        <v>1650</v>
      </c>
      <c r="F130" s="93" t="s">
        <v>1651</v>
      </c>
      <c r="G130" s="94"/>
      <c r="H130" s="198" t="s">
        <v>41</v>
      </c>
      <c r="I130" s="102" t="s">
        <v>103</v>
      </c>
      <c r="J130" s="94"/>
      <c r="K130" s="202">
        <v>9000.0</v>
      </c>
      <c r="L130" s="202">
        <v>9000.0</v>
      </c>
      <c r="M130" s="99"/>
      <c r="N130" s="111"/>
      <c r="O130" s="112"/>
      <c r="P130" s="94"/>
      <c r="Q130" s="102" t="s">
        <v>104</v>
      </c>
      <c r="R130" s="113"/>
      <c r="S130" s="102" t="s">
        <v>105</v>
      </c>
      <c r="T130" s="94"/>
      <c r="V130" s="104"/>
    </row>
    <row r="131" ht="15.75" customHeight="1">
      <c r="A131" s="91"/>
      <c r="B131" s="198" t="s">
        <v>1649</v>
      </c>
      <c r="C131" s="93" t="s">
        <v>1652</v>
      </c>
      <c r="D131" s="94"/>
      <c r="E131" s="139" t="s">
        <v>1636</v>
      </c>
      <c r="F131" s="139" t="s">
        <v>1653</v>
      </c>
      <c r="G131" s="94"/>
      <c r="H131" s="198" t="s">
        <v>41</v>
      </c>
      <c r="I131" s="102" t="s">
        <v>131</v>
      </c>
      <c r="J131" s="94"/>
      <c r="K131" s="202"/>
      <c r="L131" s="144"/>
      <c r="M131" s="99"/>
      <c r="N131" s="111"/>
      <c r="O131" s="112"/>
      <c r="P131" s="94"/>
      <c r="Q131" s="94"/>
      <c r="R131" s="113"/>
      <c r="S131" s="94"/>
      <c r="T131" s="94"/>
      <c r="V131" s="104"/>
    </row>
    <row r="132" ht="15.75" customHeight="1">
      <c r="A132" s="91"/>
      <c r="B132" s="198" t="s">
        <v>1649</v>
      </c>
      <c r="C132" s="93" t="s">
        <v>360</v>
      </c>
      <c r="D132" s="94"/>
      <c r="E132" s="139" t="s">
        <v>1654</v>
      </c>
      <c r="F132" s="139" t="s">
        <v>1655</v>
      </c>
      <c r="G132" s="94"/>
      <c r="H132" s="198" t="s">
        <v>41</v>
      </c>
      <c r="I132" s="102" t="s">
        <v>110</v>
      </c>
      <c r="J132" s="94"/>
      <c r="L132" s="144"/>
      <c r="M132" s="99"/>
      <c r="N132" s="111"/>
      <c r="O132" s="112"/>
      <c r="P132" s="94"/>
      <c r="Q132" s="120"/>
      <c r="R132" s="113"/>
      <c r="S132" s="94"/>
      <c r="T132" s="94"/>
      <c r="V132" s="104"/>
    </row>
    <row r="133" ht="15.75" customHeight="1">
      <c r="A133" s="91"/>
      <c r="B133" s="198" t="s">
        <v>1649</v>
      </c>
      <c r="C133" s="93" t="s">
        <v>1051</v>
      </c>
      <c r="D133" s="94"/>
      <c r="E133" s="139" t="s">
        <v>1656</v>
      </c>
      <c r="F133" s="139" t="s">
        <v>1657</v>
      </c>
      <c r="G133" s="94"/>
      <c r="H133" s="198" t="s">
        <v>41</v>
      </c>
      <c r="I133" s="102" t="s">
        <v>181</v>
      </c>
      <c r="J133" s="94"/>
      <c r="K133" s="202">
        <v>6500.0</v>
      </c>
      <c r="L133" s="202">
        <v>3000.0</v>
      </c>
      <c r="M133" s="99"/>
      <c r="N133" s="111"/>
      <c r="O133" s="112"/>
      <c r="P133" s="94"/>
      <c r="Q133" s="102" t="s">
        <v>155</v>
      </c>
      <c r="R133" s="113"/>
      <c r="S133" s="102" t="s">
        <v>105</v>
      </c>
      <c r="T133" s="94"/>
      <c r="V133" s="104"/>
    </row>
    <row r="134" ht="15.75" customHeight="1">
      <c r="A134" s="91"/>
      <c r="B134" s="198" t="s">
        <v>1649</v>
      </c>
      <c r="C134" s="93" t="s">
        <v>1658</v>
      </c>
      <c r="D134" s="94"/>
      <c r="E134" s="139" t="s">
        <v>1659</v>
      </c>
      <c r="F134" s="139" t="s">
        <v>1660</v>
      </c>
      <c r="G134" s="94"/>
      <c r="H134" s="198" t="s">
        <v>41</v>
      </c>
      <c r="I134" s="102" t="s">
        <v>131</v>
      </c>
      <c r="J134" s="94"/>
      <c r="K134" s="142"/>
      <c r="L134" s="142"/>
      <c r="M134" s="99"/>
      <c r="N134" s="111"/>
      <c r="O134" s="112"/>
      <c r="P134" s="94"/>
      <c r="Q134" s="94"/>
      <c r="R134" s="113"/>
      <c r="S134" s="94"/>
      <c r="T134" s="94"/>
      <c r="V134" s="104"/>
    </row>
    <row r="135" ht="15.75" customHeight="1">
      <c r="A135" s="91"/>
      <c r="B135" s="198" t="s">
        <v>1661</v>
      </c>
      <c r="C135" s="93" t="s">
        <v>1662</v>
      </c>
      <c r="D135" s="94"/>
      <c r="E135" s="139" t="s">
        <v>1663</v>
      </c>
      <c r="F135" s="225" t="s">
        <v>1664</v>
      </c>
      <c r="G135" s="94"/>
      <c r="H135" s="198" t="s">
        <v>41</v>
      </c>
      <c r="I135" s="102" t="s">
        <v>88</v>
      </c>
      <c r="J135" s="94"/>
      <c r="K135" s="142"/>
      <c r="L135" s="142"/>
      <c r="M135" s="99"/>
      <c r="N135" s="100" t="s">
        <v>45</v>
      </c>
      <c r="O135" s="101" t="s">
        <v>396</v>
      </c>
      <c r="P135" s="94"/>
      <c r="Q135" s="120"/>
      <c r="R135" s="113"/>
      <c r="S135" s="102" t="s">
        <v>383</v>
      </c>
      <c r="T135" s="102" t="s">
        <v>1665</v>
      </c>
      <c r="V135" s="104"/>
    </row>
    <row r="136" ht="15.75" customHeight="1">
      <c r="A136" s="91"/>
      <c r="B136" s="198" t="s">
        <v>1661</v>
      </c>
      <c r="C136" s="103" t="s">
        <v>1666</v>
      </c>
      <c r="D136" s="94"/>
      <c r="E136" s="139" t="s">
        <v>1667</v>
      </c>
      <c r="F136" s="139" t="s">
        <v>1668</v>
      </c>
      <c r="G136" s="94"/>
      <c r="H136" s="198" t="s">
        <v>41</v>
      </c>
      <c r="I136" s="102" t="s">
        <v>131</v>
      </c>
      <c r="J136" s="94"/>
      <c r="K136" s="142"/>
      <c r="L136" s="142"/>
      <c r="M136" s="99"/>
      <c r="N136" s="111"/>
      <c r="O136" s="112"/>
      <c r="P136" s="94"/>
      <c r="Q136" s="94"/>
      <c r="R136" s="113"/>
      <c r="S136" s="94"/>
      <c r="T136" s="94"/>
      <c r="V136" s="104"/>
    </row>
    <row r="137" ht="15.75" customHeight="1">
      <c r="A137" s="91"/>
      <c r="B137" s="198" t="s">
        <v>1661</v>
      </c>
      <c r="C137" s="103" t="s">
        <v>1624</v>
      </c>
      <c r="D137" s="94"/>
      <c r="E137" s="139" t="s">
        <v>1669</v>
      </c>
      <c r="F137" s="139" t="s">
        <v>1670</v>
      </c>
      <c r="G137" s="94"/>
      <c r="H137" s="198" t="s">
        <v>41</v>
      </c>
      <c r="I137" s="102" t="s">
        <v>88</v>
      </c>
      <c r="J137" s="94"/>
      <c r="K137" s="142"/>
      <c r="L137" s="142"/>
      <c r="M137" s="99"/>
      <c r="N137" s="100" t="s">
        <v>45</v>
      </c>
      <c r="O137" s="101" t="s">
        <v>584</v>
      </c>
      <c r="P137" s="94"/>
      <c r="Q137" s="120"/>
      <c r="R137" s="113"/>
      <c r="S137" s="102" t="s">
        <v>124</v>
      </c>
      <c r="T137" s="102" t="s">
        <v>1671</v>
      </c>
      <c r="V137" s="104"/>
    </row>
    <row r="138" ht="15.75" customHeight="1">
      <c r="A138" s="91"/>
      <c r="B138" s="198" t="s">
        <v>1661</v>
      </c>
      <c r="C138" s="139" t="s">
        <v>310</v>
      </c>
      <c r="D138" s="94"/>
      <c r="E138" s="139" t="s">
        <v>1646</v>
      </c>
      <c r="F138" s="139" t="s">
        <v>1672</v>
      </c>
      <c r="G138" s="94"/>
      <c r="H138" s="198" t="s">
        <v>41</v>
      </c>
      <c r="I138" s="102" t="s">
        <v>103</v>
      </c>
      <c r="J138" s="94"/>
      <c r="K138" s="202">
        <v>9000.0</v>
      </c>
      <c r="L138" s="202">
        <v>9000.0</v>
      </c>
      <c r="M138" s="99"/>
      <c r="N138" s="111"/>
      <c r="O138" s="112"/>
      <c r="P138" s="94"/>
      <c r="Q138" s="102" t="s">
        <v>104</v>
      </c>
      <c r="R138" s="113"/>
      <c r="S138" s="102" t="s">
        <v>105</v>
      </c>
      <c r="T138" s="94"/>
      <c r="V138" s="104"/>
    </row>
    <row r="139" ht="15.75" customHeight="1">
      <c r="A139" s="91"/>
      <c r="B139" s="198" t="s">
        <v>1661</v>
      </c>
      <c r="C139" s="93" t="s">
        <v>1673</v>
      </c>
      <c r="D139" s="94"/>
      <c r="E139" s="139" t="s">
        <v>1674</v>
      </c>
      <c r="F139" s="139" t="s">
        <v>1675</v>
      </c>
      <c r="G139" s="94"/>
      <c r="H139" s="198" t="s">
        <v>41</v>
      </c>
      <c r="I139" s="102" t="s">
        <v>131</v>
      </c>
      <c r="J139" s="94"/>
      <c r="K139" s="142"/>
      <c r="L139" s="142"/>
      <c r="M139" s="99"/>
      <c r="N139" s="111"/>
      <c r="O139" s="112"/>
      <c r="P139" s="94"/>
      <c r="Q139" s="120"/>
      <c r="R139" s="113"/>
      <c r="S139" s="94"/>
      <c r="T139" s="94"/>
      <c r="V139" s="104"/>
    </row>
    <row r="140" ht="15.75" customHeight="1">
      <c r="A140" s="91"/>
      <c r="B140" s="198" t="s">
        <v>1676</v>
      </c>
      <c r="C140" s="93" t="s">
        <v>1677</v>
      </c>
      <c r="D140" s="94"/>
      <c r="E140" s="139" t="s">
        <v>1678</v>
      </c>
      <c r="F140" s="139" t="s">
        <v>1679</v>
      </c>
      <c r="G140" s="94"/>
      <c r="H140" s="198" t="s">
        <v>41</v>
      </c>
      <c r="I140" s="102" t="s">
        <v>88</v>
      </c>
      <c r="J140" s="94"/>
      <c r="K140" s="142"/>
      <c r="L140" s="142"/>
      <c r="M140" s="99"/>
      <c r="N140" s="100" t="s">
        <v>98</v>
      </c>
      <c r="O140" s="101" t="s">
        <v>1295</v>
      </c>
      <c r="P140" s="94"/>
      <c r="Q140" s="94"/>
      <c r="R140" s="113"/>
      <c r="S140" s="102" t="s">
        <v>124</v>
      </c>
      <c r="T140" s="102" t="s">
        <v>1680</v>
      </c>
      <c r="V140" s="104"/>
    </row>
    <row r="141" ht="15.75" customHeight="1">
      <c r="A141" s="91"/>
      <c r="B141" s="198" t="s">
        <v>1676</v>
      </c>
      <c r="C141" s="93" t="s">
        <v>1681</v>
      </c>
      <c r="D141" s="94"/>
      <c r="E141" s="139" t="s">
        <v>1682</v>
      </c>
      <c r="F141" s="139" t="s">
        <v>1683</v>
      </c>
      <c r="G141" s="94"/>
      <c r="H141" s="198" t="s">
        <v>41</v>
      </c>
      <c r="I141" s="102" t="s">
        <v>88</v>
      </c>
      <c r="J141" s="94"/>
      <c r="K141" s="142"/>
      <c r="L141" s="142"/>
      <c r="M141" s="99"/>
      <c r="N141" s="100" t="s">
        <v>45</v>
      </c>
      <c r="O141" s="101" t="s">
        <v>396</v>
      </c>
      <c r="P141" s="94"/>
      <c r="Q141" s="120"/>
      <c r="R141" s="113"/>
      <c r="S141" s="102" t="s">
        <v>383</v>
      </c>
      <c r="T141" s="102" t="s">
        <v>1684</v>
      </c>
      <c r="V141" s="104"/>
    </row>
    <row r="142" ht="15.75" customHeight="1">
      <c r="A142" s="91"/>
      <c r="B142" s="198" t="s">
        <v>1676</v>
      </c>
      <c r="C142" s="93" t="s">
        <v>559</v>
      </c>
      <c r="D142" s="94"/>
      <c r="E142" s="139" t="s">
        <v>1685</v>
      </c>
      <c r="F142" s="139" t="s">
        <v>1686</v>
      </c>
      <c r="G142" s="94"/>
      <c r="H142" s="198" t="s">
        <v>41</v>
      </c>
      <c r="I142" s="102" t="s">
        <v>88</v>
      </c>
      <c r="J142" s="94"/>
      <c r="K142" s="142"/>
      <c r="L142" s="142"/>
      <c r="M142" s="99"/>
      <c r="N142" s="100" t="s">
        <v>45</v>
      </c>
      <c r="O142" s="101" t="s">
        <v>396</v>
      </c>
      <c r="P142" s="94"/>
      <c r="Q142" s="94"/>
      <c r="R142" s="113"/>
      <c r="S142" s="102" t="s">
        <v>383</v>
      </c>
      <c r="T142" s="102" t="s">
        <v>1687</v>
      </c>
      <c r="V142" s="104"/>
    </row>
    <row r="143" ht="15.75" customHeight="1">
      <c r="A143" s="91"/>
      <c r="B143" s="198" t="s">
        <v>1676</v>
      </c>
      <c r="C143" s="93" t="s">
        <v>1688</v>
      </c>
      <c r="D143" s="94"/>
      <c r="E143" s="139" t="s">
        <v>1689</v>
      </c>
      <c r="F143" s="139" t="s">
        <v>1690</v>
      </c>
      <c r="G143" s="94"/>
      <c r="H143" s="198" t="s">
        <v>41</v>
      </c>
      <c r="I143" s="102" t="s">
        <v>591</v>
      </c>
      <c r="J143" s="94"/>
      <c r="K143" s="142"/>
      <c r="L143" s="142"/>
      <c r="M143" s="99"/>
      <c r="N143" s="111"/>
      <c r="O143" s="112"/>
      <c r="P143" s="94"/>
      <c r="Q143" s="120"/>
      <c r="R143" s="113"/>
      <c r="S143" s="94"/>
      <c r="T143" s="94"/>
      <c r="V143" s="104"/>
    </row>
    <row r="144" ht="15.75" customHeight="1">
      <c r="A144" s="91"/>
      <c r="B144" s="198" t="s">
        <v>1676</v>
      </c>
      <c r="C144" s="103" t="s">
        <v>490</v>
      </c>
      <c r="D144" s="94"/>
      <c r="E144" s="139" t="s">
        <v>1691</v>
      </c>
      <c r="F144" s="139" t="s">
        <v>1692</v>
      </c>
      <c r="G144" s="94"/>
      <c r="H144" s="198" t="s">
        <v>41</v>
      </c>
      <c r="I144" s="102" t="s">
        <v>232</v>
      </c>
      <c r="J144" s="94"/>
      <c r="K144" s="142"/>
      <c r="L144" s="142"/>
      <c r="M144" s="99"/>
      <c r="N144" s="111"/>
      <c r="O144" s="112"/>
      <c r="P144" s="94"/>
      <c r="Q144" s="102" t="s">
        <v>104</v>
      </c>
      <c r="R144" s="113"/>
      <c r="S144" s="102" t="s">
        <v>404</v>
      </c>
      <c r="T144" s="102" t="s">
        <v>1693</v>
      </c>
      <c r="V144" s="104"/>
    </row>
    <row r="145" ht="15.75" customHeight="1">
      <c r="A145" s="91"/>
      <c r="B145" s="198" t="s">
        <v>1676</v>
      </c>
      <c r="C145" s="103" t="s">
        <v>1694</v>
      </c>
      <c r="D145" s="94"/>
      <c r="E145" s="139" t="s">
        <v>1695</v>
      </c>
      <c r="F145" s="93" t="s">
        <v>1696</v>
      </c>
      <c r="G145" s="94"/>
      <c r="H145" s="198" t="s">
        <v>41</v>
      </c>
      <c r="I145" s="102" t="s">
        <v>181</v>
      </c>
      <c r="J145" s="94"/>
      <c r="K145" s="202">
        <v>10500.0</v>
      </c>
      <c r="L145" s="202">
        <v>3000.0</v>
      </c>
      <c r="M145" s="99"/>
      <c r="N145" s="111"/>
      <c r="O145" s="112"/>
      <c r="P145" s="94"/>
      <c r="Q145" s="102" t="s">
        <v>104</v>
      </c>
      <c r="R145" s="113"/>
      <c r="S145" s="102" t="s">
        <v>105</v>
      </c>
      <c r="T145" s="94"/>
      <c r="V145" s="104"/>
    </row>
    <row r="146" ht="15.75" customHeight="1">
      <c r="A146" s="91"/>
      <c r="B146" s="198" t="s">
        <v>1697</v>
      </c>
      <c r="C146" s="93" t="s">
        <v>777</v>
      </c>
      <c r="D146" s="94"/>
      <c r="E146" s="139" t="s">
        <v>1698</v>
      </c>
      <c r="F146" s="139" t="s">
        <v>1699</v>
      </c>
      <c r="G146" s="94"/>
      <c r="H146" s="198" t="s">
        <v>41</v>
      </c>
      <c r="I146" s="102" t="s">
        <v>88</v>
      </c>
      <c r="J146" s="94"/>
      <c r="K146" s="142"/>
      <c r="L146" s="142"/>
      <c r="M146" s="99"/>
      <c r="N146" s="100" t="s">
        <v>45</v>
      </c>
      <c r="O146" s="101" t="s">
        <v>396</v>
      </c>
      <c r="P146" s="94"/>
      <c r="Q146" s="120"/>
      <c r="R146" s="113"/>
      <c r="S146" s="102" t="s">
        <v>90</v>
      </c>
      <c r="T146" s="102" t="s">
        <v>1700</v>
      </c>
      <c r="V146" s="104"/>
    </row>
    <row r="147" ht="15.75" customHeight="1">
      <c r="A147" s="91"/>
      <c r="B147" s="198" t="s">
        <v>1697</v>
      </c>
      <c r="C147" s="93" t="s">
        <v>616</v>
      </c>
      <c r="D147" s="94"/>
      <c r="E147" s="139" t="s">
        <v>1552</v>
      </c>
      <c r="F147" s="139" t="s">
        <v>1553</v>
      </c>
      <c r="G147" s="94"/>
      <c r="H147" s="198" t="s">
        <v>41</v>
      </c>
      <c r="I147" s="102" t="s">
        <v>181</v>
      </c>
      <c r="J147" s="94"/>
      <c r="K147" s="144">
        <v>9500.0</v>
      </c>
      <c r="L147" s="144">
        <v>2000.0</v>
      </c>
      <c r="M147" s="99"/>
      <c r="N147" s="111"/>
      <c r="O147" s="112"/>
      <c r="P147" s="94"/>
      <c r="Q147" s="102" t="s">
        <v>104</v>
      </c>
      <c r="R147" s="113"/>
      <c r="S147" s="102" t="s">
        <v>105</v>
      </c>
      <c r="T147" s="94"/>
      <c r="V147" s="104"/>
    </row>
    <row r="148" ht="15.75" customHeight="1">
      <c r="A148" s="91"/>
      <c r="B148" s="198" t="s">
        <v>1697</v>
      </c>
      <c r="C148" s="93" t="s">
        <v>772</v>
      </c>
      <c r="D148" s="94"/>
      <c r="E148" s="139" t="s">
        <v>1566</v>
      </c>
      <c r="F148" s="139" t="s">
        <v>1701</v>
      </c>
      <c r="G148" s="94"/>
      <c r="H148" s="198" t="s">
        <v>41</v>
      </c>
      <c r="I148" s="102" t="s">
        <v>88</v>
      </c>
      <c r="J148" s="94"/>
      <c r="K148" s="142"/>
      <c r="L148" s="142"/>
      <c r="M148" s="99"/>
      <c r="N148" s="100" t="s">
        <v>45</v>
      </c>
      <c r="O148" s="101" t="s">
        <v>396</v>
      </c>
      <c r="P148" s="94"/>
      <c r="Q148" s="120"/>
      <c r="R148" s="113"/>
      <c r="S148" s="102" t="s">
        <v>124</v>
      </c>
      <c r="T148" s="102" t="s">
        <v>1702</v>
      </c>
      <c r="V148" s="104"/>
    </row>
    <row r="149" ht="15.75" customHeight="1">
      <c r="A149" s="91"/>
      <c r="B149" s="198" t="s">
        <v>1697</v>
      </c>
      <c r="C149" s="93" t="s">
        <v>772</v>
      </c>
      <c r="D149" s="94"/>
      <c r="E149" s="139" t="s">
        <v>1703</v>
      </c>
      <c r="F149" s="139" t="s">
        <v>1704</v>
      </c>
      <c r="G149" s="94"/>
      <c r="H149" s="198" t="s">
        <v>41</v>
      </c>
      <c r="I149" s="102" t="s">
        <v>110</v>
      </c>
      <c r="J149" s="94"/>
      <c r="K149" s="142"/>
      <c r="L149" s="142"/>
      <c r="M149" s="99"/>
      <c r="N149" s="111"/>
      <c r="O149" s="112"/>
      <c r="P149" s="94"/>
      <c r="Q149" s="120"/>
      <c r="R149" s="113"/>
      <c r="S149" s="94"/>
      <c r="T149" s="94"/>
      <c r="V149" s="104"/>
    </row>
    <row r="150" ht="15.75" customHeight="1">
      <c r="A150" s="91"/>
      <c r="B150" s="198" t="s">
        <v>1697</v>
      </c>
      <c r="C150" s="93" t="s">
        <v>1705</v>
      </c>
      <c r="D150" s="94"/>
      <c r="E150" s="139" t="s">
        <v>1706</v>
      </c>
      <c r="F150" s="139" t="s">
        <v>1707</v>
      </c>
      <c r="G150" s="94"/>
      <c r="H150" s="198" t="s">
        <v>41</v>
      </c>
      <c r="I150" s="102" t="s">
        <v>131</v>
      </c>
      <c r="J150" s="94"/>
      <c r="K150" s="142"/>
      <c r="L150" s="142"/>
      <c r="M150" s="99"/>
      <c r="N150" s="111"/>
      <c r="O150" s="112"/>
      <c r="P150" s="94"/>
      <c r="Q150" s="120"/>
      <c r="R150" s="113"/>
      <c r="S150" s="94"/>
      <c r="T150" s="94"/>
      <c r="V150" s="104"/>
    </row>
    <row r="151" ht="15.75" customHeight="1">
      <c r="A151" s="91"/>
      <c r="B151" s="198" t="s">
        <v>1697</v>
      </c>
      <c r="C151" s="103" t="s">
        <v>677</v>
      </c>
      <c r="D151" s="94"/>
      <c r="E151" s="139" t="s">
        <v>1708</v>
      </c>
      <c r="F151" s="139" t="s">
        <v>1709</v>
      </c>
      <c r="G151" s="94"/>
      <c r="H151" s="198" t="s">
        <v>41</v>
      </c>
      <c r="I151" s="102" t="s">
        <v>88</v>
      </c>
      <c r="J151" s="94"/>
      <c r="K151" s="142"/>
      <c r="L151" s="142"/>
      <c r="M151" s="99"/>
      <c r="N151" s="100" t="s">
        <v>45</v>
      </c>
      <c r="O151" s="101" t="s">
        <v>396</v>
      </c>
      <c r="P151" s="94"/>
      <c r="Q151" s="120"/>
      <c r="R151" s="113"/>
      <c r="S151" s="102" t="s">
        <v>383</v>
      </c>
      <c r="T151" s="102" t="s">
        <v>1710</v>
      </c>
      <c r="V151" s="104"/>
    </row>
    <row r="152" ht="15.75" customHeight="1">
      <c r="A152" s="91"/>
      <c r="B152" s="198" t="s">
        <v>1697</v>
      </c>
      <c r="C152" s="93" t="s">
        <v>1711</v>
      </c>
      <c r="D152" s="94"/>
      <c r="E152" s="139" t="s">
        <v>1712</v>
      </c>
      <c r="F152" s="139" t="s">
        <v>1713</v>
      </c>
      <c r="G152" s="94"/>
      <c r="H152" s="198" t="s">
        <v>41</v>
      </c>
      <c r="I152" s="102" t="s">
        <v>1111</v>
      </c>
      <c r="J152" s="94"/>
      <c r="K152" s="142"/>
      <c r="L152" s="142"/>
      <c r="M152" s="99"/>
      <c r="N152" s="111"/>
      <c r="O152" s="112"/>
      <c r="P152" s="94"/>
      <c r="Q152" s="120"/>
      <c r="R152" s="113"/>
      <c r="S152" s="94"/>
      <c r="T152" s="94"/>
      <c r="V152" s="104"/>
    </row>
    <row r="153" ht="15.75" customHeight="1">
      <c r="A153" s="91"/>
      <c r="B153" s="131"/>
      <c r="C153" s="132"/>
      <c r="D153" s="94"/>
      <c r="E153" s="132"/>
      <c r="F153" s="132"/>
      <c r="G153" s="94"/>
      <c r="H153" s="198" t="s">
        <v>41</v>
      </c>
      <c r="I153" s="94"/>
      <c r="J153" s="94"/>
      <c r="K153" s="142"/>
      <c r="L153" s="142"/>
      <c r="M153" s="99"/>
      <c r="N153" s="111"/>
      <c r="O153" s="112"/>
      <c r="P153" s="94"/>
      <c r="Q153" s="120"/>
      <c r="R153" s="113"/>
      <c r="S153" s="94"/>
      <c r="T153" s="94"/>
      <c r="V153" s="104"/>
    </row>
    <row r="154" ht="15.75" customHeight="1">
      <c r="A154" s="91"/>
      <c r="B154" s="131"/>
      <c r="C154" s="132"/>
      <c r="D154" s="94"/>
      <c r="E154" s="132"/>
      <c r="F154" s="132"/>
      <c r="G154" s="94"/>
      <c r="H154" s="198" t="s">
        <v>41</v>
      </c>
      <c r="I154" s="94"/>
      <c r="J154" s="94"/>
      <c r="K154" s="142"/>
      <c r="L154" s="142"/>
      <c r="M154" s="99"/>
      <c r="N154" s="111"/>
      <c r="O154" s="112"/>
      <c r="P154" s="94"/>
      <c r="Q154" s="120"/>
      <c r="R154" s="113"/>
      <c r="S154" s="94"/>
      <c r="T154" s="94"/>
      <c r="V154" s="104"/>
    </row>
    <row r="155" ht="15.75" customHeight="1">
      <c r="A155" s="91"/>
      <c r="B155" s="131"/>
      <c r="C155" s="132"/>
      <c r="D155" s="94"/>
      <c r="E155" s="132"/>
      <c r="F155" s="132"/>
      <c r="G155" s="94"/>
      <c r="H155" s="132"/>
      <c r="I155" s="94"/>
      <c r="J155" s="94"/>
      <c r="K155" s="142"/>
      <c r="L155" s="142"/>
      <c r="M155" s="99"/>
      <c r="N155" s="111"/>
      <c r="O155" s="112"/>
      <c r="P155" s="94"/>
      <c r="Q155" s="120"/>
      <c r="R155" s="113"/>
      <c r="S155" s="94"/>
      <c r="T155" s="94"/>
      <c r="V155" s="104"/>
    </row>
    <row r="156" ht="15.75" customHeight="1">
      <c r="A156" s="91"/>
      <c r="B156" s="131"/>
      <c r="C156" s="132"/>
      <c r="D156" s="94"/>
      <c r="E156" s="132"/>
      <c r="F156" s="132"/>
      <c r="G156" s="94"/>
      <c r="H156" s="132"/>
      <c r="I156" s="94"/>
      <c r="J156" s="94"/>
      <c r="K156" s="142"/>
      <c r="L156" s="142"/>
      <c r="M156" s="99"/>
      <c r="N156" s="111"/>
      <c r="O156" s="112"/>
      <c r="P156" s="94"/>
      <c r="Q156" s="120"/>
      <c r="R156" s="113"/>
      <c r="S156" s="94"/>
      <c r="T156" s="94"/>
      <c r="V156" s="104"/>
    </row>
    <row r="157" ht="15.75" customHeight="1">
      <c r="A157" s="91"/>
      <c r="B157" s="131"/>
      <c r="C157" s="104"/>
      <c r="D157" s="94"/>
      <c r="E157" s="132"/>
      <c r="F157" s="132"/>
      <c r="G157" s="94"/>
      <c r="H157" s="132"/>
      <c r="I157" s="94"/>
      <c r="J157" s="94"/>
      <c r="K157" s="142"/>
      <c r="L157" s="142"/>
      <c r="M157" s="99"/>
      <c r="N157" s="111"/>
      <c r="O157" s="112"/>
      <c r="P157" s="94"/>
      <c r="Q157" s="120"/>
      <c r="R157" s="113"/>
      <c r="S157" s="94"/>
      <c r="T157" s="94"/>
      <c r="V157" s="104"/>
    </row>
    <row r="158" ht="15.75" customHeight="1">
      <c r="A158" s="91"/>
      <c r="B158" s="131"/>
      <c r="C158" s="132"/>
      <c r="D158" s="94"/>
      <c r="E158" s="132"/>
      <c r="F158" s="132"/>
      <c r="G158" s="94"/>
      <c r="H158" s="132"/>
      <c r="I158" s="94"/>
      <c r="J158" s="94"/>
      <c r="K158" s="142"/>
      <c r="L158" s="142"/>
      <c r="M158" s="99"/>
      <c r="N158" s="111"/>
      <c r="O158" s="112"/>
      <c r="P158" s="94"/>
      <c r="Q158" s="120"/>
      <c r="R158" s="113"/>
      <c r="S158" s="94"/>
      <c r="T158" s="94"/>
      <c r="V158" s="104"/>
    </row>
    <row r="159" ht="15.75" customHeight="1">
      <c r="A159" s="91"/>
      <c r="B159" s="131"/>
      <c r="C159" s="132"/>
      <c r="D159" s="94"/>
      <c r="E159" s="132"/>
      <c r="F159" s="132"/>
      <c r="G159" s="94"/>
      <c r="H159" s="132"/>
      <c r="I159" s="94"/>
      <c r="J159" s="94"/>
      <c r="K159" s="142"/>
      <c r="L159" s="142"/>
      <c r="M159" s="99"/>
      <c r="N159" s="111"/>
      <c r="O159" s="112"/>
      <c r="P159" s="94"/>
      <c r="Q159" s="120"/>
      <c r="R159" s="113"/>
      <c r="S159" s="94"/>
      <c r="T159" s="94"/>
      <c r="V159" s="104"/>
    </row>
    <row r="160" ht="15.75" customHeight="1">
      <c r="A160" s="91"/>
      <c r="B160" s="131"/>
      <c r="C160" s="132"/>
      <c r="D160" s="94"/>
      <c r="E160" s="132"/>
      <c r="F160" s="132"/>
      <c r="G160" s="94"/>
      <c r="H160" s="132"/>
      <c r="I160" s="94"/>
      <c r="J160" s="94"/>
      <c r="K160" s="142"/>
      <c r="L160" s="142"/>
      <c r="M160" s="99"/>
      <c r="N160" s="111"/>
      <c r="O160" s="112"/>
      <c r="P160" s="94"/>
      <c r="Q160" s="120"/>
      <c r="R160" s="113"/>
      <c r="S160" s="94"/>
      <c r="T160" s="94"/>
      <c r="V160" s="104"/>
    </row>
    <row r="161" ht="15.75" customHeight="1">
      <c r="A161" s="91"/>
      <c r="B161" s="131"/>
      <c r="C161" s="132"/>
      <c r="D161" s="94"/>
      <c r="E161" s="132"/>
      <c r="F161" s="132"/>
      <c r="G161" s="94"/>
      <c r="H161" s="132"/>
      <c r="I161" s="94"/>
      <c r="J161" s="94"/>
      <c r="K161" s="142"/>
      <c r="L161" s="142"/>
      <c r="M161" s="99"/>
      <c r="N161" s="111"/>
      <c r="O161" s="112"/>
      <c r="P161" s="94"/>
      <c r="Q161" s="120"/>
      <c r="R161" s="113"/>
      <c r="S161" s="94"/>
      <c r="T161" s="94"/>
      <c r="V161" s="104"/>
    </row>
    <row r="162" ht="15.75" customHeight="1">
      <c r="A162" s="91"/>
      <c r="B162" s="131"/>
      <c r="C162" s="132"/>
      <c r="D162" s="94"/>
      <c r="E162" s="132"/>
      <c r="F162" s="132"/>
      <c r="G162" s="94"/>
      <c r="H162" s="132"/>
      <c r="I162" s="94"/>
      <c r="J162" s="94"/>
      <c r="K162" s="142"/>
      <c r="L162" s="142"/>
      <c r="M162" s="99"/>
      <c r="N162" s="111"/>
      <c r="O162" s="112"/>
      <c r="P162" s="94"/>
      <c r="Q162" s="120"/>
      <c r="R162" s="113"/>
      <c r="S162" s="94"/>
      <c r="T162" s="94"/>
      <c r="V162" s="104"/>
    </row>
    <row r="163" ht="15.75" customHeight="1">
      <c r="A163" s="91"/>
      <c r="B163" s="131"/>
      <c r="C163" s="104"/>
      <c r="D163" s="94"/>
      <c r="E163" s="132"/>
      <c r="F163" s="132"/>
      <c r="G163" s="94"/>
      <c r="H163" s="132"/>
      <c r="I163" s="94"/>
      <c r="J163" s="94"/>
      <c r="K163" s="142"/>
      <c r="L163" s="142"/>
      <c r="M163" s="99"/>
      <c r="N163" s="111"/>
      <c r="O163" s="112"/>
      <c r="P163" s="94"/>
      <c r="Q163" s="120"/>
      <c r="R163" s="113"/>
      <c r="S163" s="94"/>
      <c r="T163" s="94"/>
      <c r="V163" s="104"/>
    </row>
    <row r="164" ht="15.75" customHeight="1">
      <c r="A164" s="91"/>
      <c r="B164" s="131"/>
      <c r="C164" s="132"/>
      <c r="D164" s="94"/>
      <c r="E164" s="132"/>
      <c r="F164" s="132"/>
      <c r="G164" s="94"/>
      <c r="H164" s="132"/>
      <c r="I164" s="94"/>
      <c r="J164" s="94"/>
      <c r="K164" s="142"/>
      <c r="L164" s="142"/>
      <c r="M164" s="99"/>
      <c r="N164" s="111"/>
      <c r="O164" s="112"/>
      <c r="P164" s="94"/>
      <c r="Q164" s="120"/>
      <c r="R164" s="113"/>
      <c r="S164" s="94"/>
      <c r="T164" s="94"/>
      <c r="V164" s="104"/>
    </row>
    <row r="165" ht="15.75" customHeight="1">
      <c r="A165" s="91"/>
      <c r="B165" s="131"/>
      <c r="C165" s="132"/>
      <c r="D165" s="94"/>
      <c r="E165" s="132"/>
      <c r="F165" s="132"/>
      <c r="G165" s="94"/>
      <c r="H165" s="132"/>
      <c r="I165" s="94"/>
      <c r="J165" s="94"/>
      <c r="K165" s="142"/>
      <c r="L165" s="142"/>
      <c r="M165" s="99"/>
      <c r="N165" s="111"/>
      <c r="O165" s="112"/>
      <c r="P165" s="94"/>
      <c r="Q165" s="120"/>
      <c r="R165" s="113"/>
      <c r="S165" s="94"/>
      <c r="T165" s="94"/>
      <c r="V165" s="104"/>
    </row>
    <row r="166" ht="15.75" customHeight="1">
      <c r="A166" s="91"/>
      <c r="B166" s="131"/>
      <c r="C166" s="132"/>
      <c r="D166" s="94"/>
      <c r="E166" s="132"/>
      <c r="F166" s="132"/>
      <c r="G166" s="94"/>
      <c r="H166" s="132"/>
      <c r="I166" s="94"/>
      <c r="J166" s="94"/>
      <c r="K166" s="142"/>
      <c r="L166" s="142"/>
      <c r="M166" s="99"/>
      <c r="N166" s="111"/>
      <c r="O166" s="112"/>
      <c r="P166" s="94"/>
      <c r="Q166" s="120"/>
      <c r="R166" s="113"/>
      <c r="S166" s="94"/>
      <c r="T166" s="94"/>
      <c r="V166" s="104"/>
    </row>
    <row r="167" ht="15.75" customHeight="1">
      <c r="A167" s="91"/>
      <c r="B167" s="131"/>
      <c r="C167" s="132"/>
      <c r="D167" s="94"/>
      <c r="E167" s="132"/>
      <c r="F167" s="132"/>
      <c r="G167" s="94"/>
      <c r="H167" s="132"/>
      <c r="I167" s="94"/>
      <c r="J167" s="94"/>
      <c r="K167" s="142"/>
      <c r="L167" s="142"/>
      <c r="M167" s="99"/>
      <c r="N167" s="111"/>
      <c r="O167" s="112"/>
      <c r="P167" s="94"/>
      <c r="Q167" s="120"/>
      <c r="R167" s="113"/>
      <c r="S167" s="94"/>
      <c r="T167" s="94"/>
      <c r="V167" s="104"/>
    </row>
    <row r="168" ht="15.75" customHeight="1">
      <c r="A168" s="91"/>
      <c r="B168" s="131"/>
      <c r="C168" s="132"/>
      <c r="D168" s="94"/>
      <c r="E168" s="132"/>
      <c r="F168" s="132"/>
      <c r="G168" s="94"/>
      <c r="H168" s="132"/>
      <c r="I168" s="94"/>
      <c r="J168" s="94"/>
      <c r="K168" s="142"/>
      <c r="L168" s="142"/>
      <c r="M168" s="99"/>
      <c r="N168" s="111"/>
      <c r="O168" s="112"/>
      <c r="P168" s="94"/>
      <c r="Q168" s="120"/>
      <c r="R168" s="113"/>
      <c r="S168" s="94"/>
      <c r="T168" s="94"/>
      <c r="V168" s="104"/>
    </row>
    <row r="169" ht="15.75" customHeight="1">
      <c r="A169" s="91"/>
      <c r="B169" s="131"/>
      <c r="C169" s="104"/>
      <c r="D169" s="94"/>
      <c r="E169" s="132"/>
      <c r="F169" s="132"/>
      <c r="G169" s="94"/>
      <c r="H169" s="132"/>
      <c r="I169" s="94"/>
      <c r="J169" s="94"/>
      <c r="K169" s="142"/>
      <c r="L169" s="142"/>
      <c r="M169" s="99"/>
      <c r="N169" s="111"/>
      <c r="O169" s="112"/>
      <c r="P169" s="94"/>
      <c r="Q169" s="120"/>
      <c r="R169" s="113"/>
      <c r="S169" s="94"/>
      <c r="T169" s="94"/>
      <c r="V169" s="104"/>
    </row>
    <row r="170" ht="15.75" customHeight="1">
      <c r="A170" s="91"/>
      <c r="B170" s="131"/>
      <c r="C170" s="132"/>
      <c r="D170" s="94"/>
      <c r="E170" s="132"/>
      <c r="F170" s="132"/>
      <c r="G170" s="94"/>
      <c r="H170" s="132"/>
      <c r="I170" s="94"/>
      <c r="J170" s="94"/>
      <c r="K170" s="142"/>
      <c r="L170" s="142"/>
      <c r="M170" s="99"/>
      <c r="N170" s="111"/>
      <c r="O170" s="112"/>
      <c r="P170" s="94"/>
      <c r="Q170" s="120"/>
      <c r="R170" s="113"/>
      <c r="S170" s="94"/>
      <c r="T170" s="94"/>
      <c r="V170" s="104"/>
    </row>
    <row r="171" ht="15.75" customHeight="1">
      <c r="A171" s="91"/>
      <c r="B171" s="131"/>
      <c r="C171" s="132"/>
      <c r="D171" s="94"/>
      <c r="E171" s="132"/>
      <c r="F171" s="132"/>
      <c r="G171" s="94"/>
      <c r="H171" s="132"/>
      <c r="I171" s="94"/>
      <c r="J171" s="94"/>
      <c r="K171" s="142"/>
      <c r="L171" s="142"/>
      <c r="M171" s="99"/>
      <c r="N171" s="111"/>
      <c r="O171" s="112"/>
      <c r="P171" s="94"/>
      <c r="Q171" s="120"/>
      <c r="R171" s="113"/>
      <c r="S171" s="94"/>
      <c r="T171" s="94"/>
      <c r="V171" s="104"/>
    </row>
    <row r="172" ht="15.75" customHeight="1">
      <c r="A172" s="91"/>
      <c r="B172" s="131"/>
      <c r="C172" s="132"/>
      <c r="D172" s="94"/>
      <c r="E172" s="132"/>
      <c r="F172" s="132"/>
      <c r="G172" s="94"/>
      <c r="H172" s="132"/>
      <c r="I172" s="94"/>
      <c r="J172" s="94"/>
      <c r="K172" s="142"/>
      <c r="L172" s="142"/>
      <c r="M172" s="99"/>
      <c r="N172" s="111"/>
      <c r="O172" s="112"/>
      <c r="P172" s="94"/>
      <c r="Q172" s="120"/>
      <c r="R172" s="113"/>
      <c r="S172" s="94"/>
      <c r="T172" s="94"/>
      <c r="V172" s="104"/>
    </row>
    <row r="173" ht="15.75" customHeight="1">
      <c r="A173" s="91"/>
      <c r="B173" s="131"/>
      <c r="C173" s="132"/>
      <c r="D173" s="94"/>
      <c r="E173" s="132"/>
      <c r="F173" s="132"/>
      <c r="G173" s="94"/>
      <c r="H173" s="132"/>
      <c r="I173" s="94"/>
      <c r="J173" s="94"/>
      <c r="K173" s="142"/>
      <c r="L173" s="142"/>
      <c r="M173" s="99"/>
      <c r="N173" s="111"/>
      <c r="O173" s="112"/>
      <c r="P173" s="94"/>
      <c r="Q173" s="120"/>
      <c r="R173" s="113"/>
      <c r="S173" s="94"/>
      <c r="T173" s="94"/>
      <c r="V173" s="104"/>
    </row>
    <row r="174" ht="15.75" customHeight="1">
      <c r="A174" s="91"/>
      <c r="B174" s="131"/>
      <c r="C174" s="132"/>
      <c r="D174" s="94"/>
      <c r="E174" s="132"/>
      <c r="F174" s="132"/>
      <c r="G174" s="94"/>
      <c r="H174" s="132"/>
      <c r="I174" s="94"/>
      <c r="J174" s="94"/>
      <c r="K174" s="142"/>
      <c r="L174" s="142"/>
      <c r="M174" s="99"/>
      <c r="N174" s="111"/>
      <c r="O174" s="112"/>
      <c r="P174" s="94"/>
      <c r="Q174" s="120"/>
      <c r="R174" s="113"/>
      <c r="S174" s="94"/>
      <c r="T174" s="94"/>
      <c r="V174" s="104"/>
    </row>
    <row r="175" ht="15.75" customHeight="1">
      <c r="A175" s="91"/>
      <c r="B175" s="131"/>
      <c r="C175" s="104"/>
      <c r="D175" s="94"/>
      <c r="E175" s="132"/>
      <c r="F175" s="132"/>
      <c r="G175" s="94"/>
      <c r="H175" s="132"/>
      <c r="I175" s="94"/>
      <c r="J175" s="94"/>
      <c r="K175" s="142"/>
      <c r="L175" s="142"/>
      <c r="M175" s="99"/>
      <c r="N175" s="111"/>
      <c r="O175" s="112"/>
      <c r="P175" s="94"/>
      <c r="Q175" s="120"/>
      <c r="R175" s="113"/>
      <c r="S175" s="94"/>
      <c r="T175" s="94"/>
      <c r="V175" s="104"/>
    </row>
    <row r="176" ht="15.75" customHeight="1">
      <c r="A176" s="91"/>
      <c r="B176" s="131"/>
      <c r="C176" s="132"/>
      <c r="D176" s="94"/>
      <c r="E176" s="132"/>
      <c r="F176" s="132"/>
      <c r="G176" s="94"/>
      <c r="H176" s="132"/>
      <c r="I176" s="94"/>
      <c r="J176" s="94"/>
      <c r="K176" s="142"/>
      <c r="L176" s="142"/>
      <c r="M176" s="99"/>
      <c r="N176" s="111"/>
      <c r="O176" s="112"/>
      <c r="P176" s="94"/>
      <c r="Q176" s="120"/>
      <c r="R176" s="113"/>
      <c r="S176" s="94"/>
      <c r="T176" s="94"/>
      <c r="V176" s="104"/>
    </row>
    <row r="177" ht="15.75" customHeight="1">
      <c r="A177" s="91"/>
      <c r="B177" s="131"/>
      <c r="C177" s="132"/>
      <c r="D177" s="94"/>
      <c r="E177" s="132"/>
      <c r="F177" s="132"/>
      <c r="G177" s="94"/>
      <c r="H177" s="132"/>
      <c r="I177" s="94"/>
      <c r="J177" s="94"/>
      <c r="K177" s="142"/>
      <c r="L177" s="142"/>
      <c r="M177" s="99"/>
      <c r="N177" s="111"/>
      <c r="O177" s="112"/>
      <c r="P177" s="94"/>
      <c r="Q177" s="120"/>
      <c r="R177" s="113"/>
      <c r="S177" s="94"/>
      <c r="T177" s="94"/>
      <c r="V177" s="104"/>
    </row>
    <row r="178" ht="15.75" customHeight="1">
      <c r="A178" s="91"/>
      <c r="B178" s="131"/>
      <c r="C178" s="132"/>
      <c r="D178" s="94"/>
      <c r="E178" s="132"/>
      <c r="F178" s="132"/>
      <c r="G178" s="94"/>
      <c r="H178" s="132"/>
      <c r="I178" s="94"/>
      <c r="J178" s="94"/>
      <c r="K178" s="142"/>
      <c r="L178" s="142"/>
      <c r="M178" s="99"/>
      <c r="N178" s="111"/>
      <c r="O178" s="112"/>
      <c r="P178" s="94"/>
      <c r="Q178" s="120"/>
      <c r="R178" s="113"/>
      <c r="S178" s="94"/>
      <c r="T178" s="94"/>
      <c r="V178" s="104"/>
    </row>
    <row r="179" ht="15.75" customHeight="1">
      <c r="A179" s="91"/>
      <c r="B179" s="131"/>
      <c r="C179" s="132"/>
      <c r="D179" s="94"/>
      <c r="E179" s="132"/>
      <c r="F179" s="132"/>
      <c r="G179" s="94"/>
      <c r="H179" s="132"/>
      <c r="I179" s="94"/>
      <c r="J179" s="94"/>
      <c r="K179" s="142"/>
      <c r="L179" s="142"/>
      <c r="M179" s="99"/>
      <c r="N179" s="111"/>
      <c r="O179" s="112"/>
      <c r="P179" s="94"/>
      <c r="Q179" s="120"/>
      <c r="R179" s="113"/>
      <c r="S179" s="94"/>
      <c r="T179" s="94"/>
      <c r="V179" s="104"/>
    </row>
    <row r="180" ht="15.75" customHeight="1">
      <c r="A180" s="91"/>
      <c r="B180" s="131"/>
      <c r="C180" s="132"/>
      <c r="D180" s="94"/>
      <c r="E180" s="132"/>
      <c r="F180" s="132"/>
      <c r="G180" s="94"/>
      <c r="H180" s="132"/>
      <c r="I180" s="94"/>
      <c r="J180" s="94"/>
      <c r="K180" s="142"/>
      <c r="L180" s="142"/>
      <c r="M180" s="99"/>
      <c r="N180" s="111"/>
      <c r="O180" s="112"/>
      <c r="P180" s="94"/>
      <c r="Q180" s="120"/>
      <c r="R180" s="113"/>
      <c r="S180" s="94"/>
      <c r="T180" s="94"/>
      <c r="V180" s="104"/>
    </row>
    <row r="181" ht="15.75" customHeight="1">
      <c r="A181" s="91"/>
      <c r="B181" s="131"/>
      <c r="C181" s="104"/>
      <c r="D181" s="94"/>
      <c r="E181" s="132"/>
      <c r="F181" s="132"/>
      <c r="G181" s="94"/>
      <c r="H181" s="132"/>
      <c r="I181" s="94"/>
      <c r="J181" s="94"/>
      <c r="K181" s="142"/>
      <c r="L181" s="142"/>
      <c r="M181" s="99"/>
      <c r="N181" s="111"/>
      <c r="O181" s="112"/>
      <c r="P181" s="94"/>
      <c r="Q181" s="120"/>
      <c r="R181" s="113"/>
      <c r="S181" s="94"/>
      <c r="T181" s="94"/>
      <c r="V181" s="104"/>
    </row>
    <row r="182" ht="15.75" customHeight="1">
      <c r="A182" s="91"/>
      <c r="B182" s="131"/>
      <c r="C182" s="132"/>
      <c r="D182" s="94"/>
      <c r="E182" s="132"/>
      <c r="F182" s="132"/>
      <c r="G182" s="94"/>
      <c r="H182" s="132"/>
      <c r="I182" s="94"/>
      <c r="J182" s="94"/>
      <c r="K182" s="142"/>
      <c r="L182" s="142"/>
      <c r="M182" s="99"/>
      <c r="N182" s="111"/>
      <c r="O182" s="112"/>
      <c r="P182" s="94"/>
      <c r="Q182" s="120"/>
      <c r="R182" s="113"/>
      <c r="S182" s="94"/>
      <c r="T182" s="94"/>
      <c r="V182" s="104"/>
    </row>
    <row r="183" ht="15.75" customHeight="1">
      <c r="A183" s="91"/>
      <c r="B183" s="131"/>
      <c r="C183" s="132"/>
      <c r="D183" s="94"/>
      <c r="E183" s="132"/>
      <c r="F183" s="132"/>
      <c r="G183" s="94"/>
      <c r="H183" s="132"/>
      <c r="I183" s="94"/>
      <c r="J183" s="94"/>
      <c r="K183" s="142"/>
      <c r="L183" s="142"/>
      <c r="M183" s="99"/>
      <c r="N183" s="111"/>
      <c r="O183" s="112"/>
      <c r="P183" s="94"/>
      <c r="Q183" s="120"/>
      <c r="R183" s="113"/>
      <c r="S183" s="94"/>
      <c r="T183" s="94"/>
      <c r="V183" s="104"/>
    </row>
    <row r="184" ht="15.75" customHeight="1">
      <c r="A184" s="91"/>
      <c r="B184" s="131"/>
      <c r="C184" s="132"/>
      <c r="D184" s="94"/>
      <c r="E184" s="132"/>
      <c r="F184" s="132"/>
      <c r="G184" s="94"/>
      <c r="H184" s="132"/>
      <c r="I184" s="94"/>
      <c r="J184" s="94"/>
      <c r="K184" s="142"/>
      <c r="L184" s="142"/>
      <c r="M184" s="99"/>
      <c r="N184" s="111"/>
      <c r="O184" s="112"/>
      <c r="P184" s="94"/>
      <c r="Q184" s="120"/>
      <c r="R184" s="113"/>
      <c r="S184" s="94"/>
      <c r="T184" s="94"/>
      <c r="V184" s="104"/>
    </row>
    <row r="185" ht="15.75" customHeight="1">
      <c r="A185" s="91"/>
      <c r="B185" s="131"/>
      <c r="C185" s="132"/>
      <c r="D185" s="94"/>
      <c r="E185" s="132"/>
      <c r="F185" s="132"/>
      <c r="G185" s="94"/>
      <c r="H185" s="132"/>
      <c r="I185" s="94"/>
      <c r="J185" s="94"/>
      <c r="K185" s="142"/>
      <c r="L185" s="142"/>
      <c r="M185" s="99"/>
      <c r="N185" s="111"/>
      <c r="O185" s="112"/>
      <c r="P185" s="94"/>
      <c r="Q185" s="120"/>
      <c r="R185" s="113"/>
      <c r="S185" s="94"/>
      <c r="T185" s="94"/>
      <c r="V185" s="104"/>
    </row>
    <row r="186" ht="15.75" customHeight="1">
      <c r="A186" s="91"/>
      <c r="B186" s="131"/>
      <c r="C186" s="132"/>
      <c r="D186" s="94"/>
      <c r="E186" s="132"/>
      <c r="F186" s="132"/>
      <c r="G186" s="94"/>
      <c r="H186" s="132"/>
      <c r="I186" s="94"/>
      <c r="J186" s="94"/>
      <c r="K186" s="142"/>
      <c r="L186" s="142"/>
      <c r="M186" s="99"/>
      <c r="N186" s="111"/>
      <c r="O186" s="112"/>
      <c r="P186" s="94"/>
      <c r="Q186" s="120"/>
      <c r="R186" s="113"/>
      <c r="S186" s="94"/>
      <c r="T186" s="94"/>
      <c r="V186" s="104"/>
    </row>
    <row r="187" ht="15.75" customHeight="1">
      <c r="A187" s="91"/>
      <c r="B187" s="131"/>
      <c r="C187" s="104"/>
      <c r="D187" s="94"/>
      <c r="E187" s="132"/>
      <c r="F187" s="132"/>
      <c r="G187" s="94"/>
      <c r="H187" s="132"/>
      <c r="I187" s="94"/>
      <c r="J187" s="94"/>
      <c r="K187" s="142"/>
      <c r="L187" s="142"/>
      <c r="M187" s="99"/>
      <c r="N187" s="111"/>
      <c r="O187" s="112"/>
      <c r="P187" s="94"/>
      <c r="Q187" s="120"/>
      <c r="R187" s="113"/>
      <c r="S187" s="94"/>
      <c r="T187" s="94"/>
      <c r="V187" s="104"/>
    </row>
    <row r="188" ht="15.75" customHeight="1">
      <c r="A188" s="91"/>
      <c r="B188" s="131"/>
      <c r="C188" s="132"/>
      <c r="D188" s="94"/>
      <c r="E188" s="132"/>
      <c r="F188" s="132"/>
      <c r="G188" s="94"/>
      <c r="H188" s="132"/>
      <c r="I188" s="94"/>
      <c r="J188" s="94"/>
      <c r="K188" s="142"/>
      <c r="L188" s="142"/>
      <c r="M188" s="99"/>
      <c r="N188" s="111"/>
      <c r="O188" s="112"/>
      <c r="P188" s="94"/>
      <c r="Q188" s="120"/>
      <c r="R188" s="113"/>
      <c r="S188" s="94"/>
      <c r="T188" s="94"/>
      <c r="V188" s="104"/>
    </row>
    <row r="189" ht="15.75" customHeight="1">
      <c r="A189" s="91"/>
      <c r="B189" s="131"/>
      <c r="C189" s="132"/>
      <c r="D189" s="94"/>
      <c r="E189" s="132"/>
      <c r="F189" s="132"/>
      <c r="G189" s="94"/>
      <c r="H189" s="132"/>
      <c r="I189" s="94"/>
      <c r="J189" s="94"/>
      <c r="K189" s="142"/>
      <c r="L189" s="142"/>
      <c r="M189" s="99"/>
      <c r="N189" s="111"/>
      <c r="O189" s="112"/>
      <c r="P189" s="94"/>
      <c r="Q189" s="120"/>
      <c r="R189" s="113"/>
      <c r="S189" s="94"/>
      <c r="T189" s="94"/>
      <c r="V189" s="104"/>
    </row>
    <row r="190" ht="15.75" customHeight="1">
      <c r="A190" s="91"/>
      <c r="B190" s="131"/>
      <c r="C190" s="132"/>
      <c r="D190" s="94"/>
      <c r="E190" s="132"/>
      <c r="F190" s="132"/>
      <c r="G190" s="94"/>
      <c r="H190" s="132"/>
      <c r="I190" s="94"/>
      <c r="J190" s="94"/>
      <c r="K190" s="142"/>
      <c r="L190" s="142"/>
      <c r="M190" s="99"/>
      <c r="N190" s="111"/>
      <c r="O190" s="112"/>
      <c r="P190" s="94"/>
      <c r="Q190" s="120"/>
      <c r="R190" s="113"/>
      <c r="S190" s="94"/>
      <c r="T190" s="94"/>
      <c r="V190" s="104"/>
    </row>
    <row r="191" ht="15.75" customHeight="1">
      <c r="A191" s="91"/>
      <c r="B191" s="131"/>
      <c r="C191" s="132"/>
      <c r="D191" s="94"/>
      <c r="E191" s="132"/>
      <c r="F191" s="132"/>
      <c r="G191" s="94"/>
      <c r="H191" s="132"/>
      <c r="I191" s="94"/>
      <c r="J191" s="94"/>
      <c r="K191" s="142"/>
      <c r="L191" s="142"/>
      <c r="M191" s="99"/>
      <c r="N191" s="111"/>
      <c r="O191" s="112"/>
      <c r="P191" s="94"/>
      <c r="Q191" s="120"/>
      <c r="R191" s="113"/>
      <c r="S191" s="94"/>
      <c r="T191" s="94"/>
      <c r="V191" s="104"/>
    </row>
    <row r="192" ht="15.75" customHeight="1">
      <c r="A192" s="91"/>
      <c r="B192" s="131"/>
      <c r="C192" s="132"/>
      <c r="D192" s="94"/>
      <c r="E192" s="132"/>
      <c r="F192" s="132"/>
      <c r="G192" s="94"/>
      <c r="H192" s="132"/>
      <c r="I192" s="94"/>
      <c r="J192" s="94"/>
      <c r="K192" s="142"/>
      <c r="L192" s="142"/>
      <c r="M192" s="99"/>
      <c r="N192" s="111"/>
      <c r="O192" s="112"/>
      <c r="P192" s="94"/>
      <c r="Q192" s="120"/>
      <c r="R192" s="113"/>
      <c r="S192" s="94"/>
      <c r="T192" s="94"/>
      <c r="V192" s="104"/>
    </row>
    <row r="193" ht="15.75" customHeight="1">
      <c r="A193" s="91"/>
      <c r="B193" s="131"/>
      <c r="C193" s="104"/>
      <c r="D193" s="94"/>
      <c r="E193" s="132"/>
      <c r="F193" s="132"/>
      <c r="G193" s="94"/>
      <c r="H193" s="132"/>
      <c r="I193" s="94"/>
      <c r="J193" s="94"/>
      <c r="K193" s="142"/>
      <c r="L193" s="142"/>
      <c r="M193" s="99"/>
      <c r="N193" s="111"/>
      <c r="O193" s="112"/>
      <c r="P193" s="94"/>
      <c r="Q193" s="120"/>
      <c r="R193" s="113"/>
      <c r="S193" s="94"/>
      <c r="T193" s="94"/>
      <c r="V193" s="104"/>
    </row>
    <row r="194" ht="15.75" customHeight="1">
      <c r="A194" s="91"/>
      <c r="B194" s="131"/>
      <c r="C194" s="132"/>
      <c r="D194" s="94"/>
      <c r="E194" s="132"/>
      <c r="F194" s="132"/>
      <c r="G194" s="94"/>
      <c r="H194" s="132"/>
      <c r="I194" s="94"/>
      <c r="J194" s="94"/>
      <c r="K194" s="142"/>
      <c r="L194" s="142"/>
      <c r="M194" s="99"/>
      <c r="N194" s="111"/>
      <c r="O194" s="112"/>
      <c r="P194" s="94"/>
      <c r="Q194" s="120"/>
      <c r="R194" s="113"/>
      <c r="S194" s="94"/>
      <c r="T194" s="94"/>
      <c r="V194" s="104"/>
    </row>
    <row r="195" ht="15.75" customHeight="1">
      <c r="A195" s="91"/>
      <c r="B195" s="131"/>
      <c r="C195" s="132"/>
      <c r="D195" s="94"/>
      <c r="E195" s="132"/>
      <c r="F195" s="132"/>
      <c r="G195" s="94"/>
      <c r="H195" s="132"/>
      <c r="I195" s="94"/>
      <c r="J195" s="94"/>
      <c r="K195" s="142"/>
      <c r="L195" s="142"/>
      <c r="M195" s="99"/>
      <c r="N195" s="111"/>
      <c r="O195" s="112"/>
      <c r="P195" s="94"/>
      <c r="Q195" s="120"/>
      <c r="R195" s="113"/>
      <c r="S195" s="94"/>
      <c r="T195" s="94"/>
      <c r="V195" s="104"/>
    </row>
    <row r="196" ht="15.75" customHeight="1">
      <c r="A196" s="91"/>
      <c r="B196" s="131"/>
      <c r="C196" s="132"/>
      <c r="D196" s="94"/>
      <c r="E196" s="132"/>
      <c r="F196" s="132"/>
      <c r="G196" s="94"/>
      <c r="H196" s="132"/>
      <c r="I196" s="94"/>
      <c r="J196" s="94"/>
      <c r="K196" s="142"/>
      <c r="L196" s="142"/>
      <c r="M196" s="99"/>
      <c r="N196" s="111"/>
      <c r="O196" s="112"/>
      <c r="P196" s="94"/>
      <c r="Q196" s="120"/>
      <c r="R196" s="113"/>
      <c r="S196" s="94"/>
      <c r="T196" s="94"/>
      <c r="V196" s="104"/>
    </row>
    <row r="197" ht="15.75" customHeight="1">
      <c r="A197" s="91"/>
      <c r="B197" s="131"/>
      <c r="C197" s="132"/>
      <c r="D197" s="94"/>
      <c r="E197" s="132"/>
      <c r="F197" s="132"/>
      <c r="G197" s="94"/>
      <c r="H197" s="132"/>
      <c r="I197" s="94"/>
      <c r="J197" s="94"/>
      <c r="K197" s="142"/>
      <c r="L197" s="142"/>
      <c r="M197" s="99"/>
      <c r="N197" s="111"/>
      <c r="O197" s="112"/>
      <c r="P197" s="94"/>
      <c r="Q197" s="120"/>
      <c r="R197" s="113"/>
      <c r="S197" s="94"/>
      <c r="T197" s="94"/>
      <c r="V197" s="104"/>
    </row>
    <row r="198" ht="15.75" customHeight="1">
      <c r="A198" s="91"/>
      <c r="B198" s="131"/>
      <c r="C198" s="132"/>
      <c r="D198" s="94"/>
      <c r="E198" s="132"/>
      <c r="F198" s="132"/>
      <c r="G198" s="94"/>
      <c r="H198" s="132"/>
      <c r="I198" s="94"/>
      <c r="J198" s="94"/>
      <c r="K198" s="142"/>
      <c r="L198" s="142"/>
      <c r="M198" s="99"/>
      <c r="N198" s="111"/>
      <c r="O198" s="112"/>
      <c r="P198" s="94"/>
      <c r="Q198" s="120"/>
      <c r="R198" s="113"/>
      <c r="S198" s="94"/>
      <c r="T198" s="94"/>
      <c r="V198" s="104"/>
    </row>
    <row r="199" ht="15.75" customHeight="1">
      <c r="A199" s="91"/>
      <c r="B199" s="131"/>
      <c r="C199" s="104"/>
      <c r="D199" s="94"/>
      <c r="E199" s="132"/>
      <c r="F199" s="132"/>
      <c r="G199" s="94"/>
      <c r="H199" s="132"/>
      <c r="I199" s="94"/>
      <c r="J199" s="94"/>
      <c r="K199" s="142"/>
      <c r="L199" s="142"/>
      <c r="M199" s="99"/>
      <c r="N199" s="111"/>
      <c r="O199" s="112"/>
      <c r="P199" s="94"/>
      <c r="Q199" s="120"/>
      <c r="R199" s="113"/>
      <c r="S199" s="94"/>
      <c r="T199" s="94"/>
      <c r="V199" s="104"/>
    </row>
    <row r="200" ht="15.75" customHeight="1">
      <c r="A200" s="91"/>
      <c r="B200" s="131"/>
      <c r="C200" s="132"/>
      <c r="D200" s="94"/>
      <c r="E200" s="132"/>
      <c r="F200" s="132"/>
      <c r="G200" s="94"/>
      <c r="H200" s="132"/>
      <c r="I200" s="94"/>
      <c r="J200" s="94"/>
      <c r="K200" s="142"/>
      <c r="L200" s="142"/>
      <c r="M200" s="99"/>
      <c r="N200" s="111"/>
      <c r="O200" s="112"/>
      <c r="P200" s="94"/>
      <c r="Q200" s="120"/>
      <c r="R200" s="113"/>
      <c r="S200" s="94"/>
      <c r="T200" s="94"/>
      <c r="V200" s="104"/>
    </row>
    <row r="201" ht="15.75" customHeight="1">
      <c r="A201" s="91"/>
      <c r="B201" s="131"/>
      <c r="C201" s="132"/>
      <c r="D201" s="94"/>
      <c r="E201" s="132"/>
      <c r="F201" s="132"/>
      <c r="G201" s="94"/>
      <c r="H201" s="132"/>
      <c r="I201" s="94"/>
      <c r="J201" s="94"/>
      <c r="K201" s="142"/>
      <c r="L201" s="142"/>
      <c r="M201" s="99"/>
      <c r="N201" s="111"/>
      <c r="O201" s="112"/>
      <c r="P201" s="94"/>
      <c r="Q201" s="120"/>
      <c r="R201" s="113"/>
      <c r="S201" s="94"/>
      <c r="T201" s="94"/>
      <c r="V201" s="104"/>
    </row>
    <row r="202" ht="15.75" customHeight="1">
      <c r="A202" s="91"/>
      <c r="B202" s="131"/>
      <c r="C202" s="132"/>
      <c r="D202" s="94"/>
      <c r="E202" s="132"/>
      <c r="F202" s="132"/>
      <c r="G202" s="94"/>
      <c r="H202" s="132"/>
      <c r="I202" s="94"/>
      <c r="J202" s="94"/>
      <c r="K202" s="142"/>
      <c r="L202" s="142"/>
      <c r="M202" s="99"/>
      <c r="N202" s="111"/>
      <c r="O202" s="112"/>
      <c r="P202" s="94"/>
      <c r="Q202" s="120"/>
      <c r="R202" s="113"/>
      <c r="S202" s="94"/>
      <c r="T202" s="94"/>
      <c r="V202" s="104"/>
    </row>
    <row r="203" ht="15.75" customHeight="1">
      <c r="A203" s="91"/>
      <c r="B203" s="131"/>
      <c r="C203" s="132"/>
      <c r="D203" s="94"/>
      <c r="E203" s="132"/>
      <c r="F203" s="132"/>
      <c r="G203" s="94"/>
      <c r="H203" s="132"/>
      <c r="I203" s="94"/>
      <c r="J203" s="94"/>
      <c r="K203" s="142"/>
      <c r="L203" s="142"/>
      <c r="M203" s="99"/>
      <c r="N203" s="111"/>
      <c r="O203" s="112"/>
      <c r="P203" s="94"/>
      <c r="Q203" s="120"/>
      <c r="R203" s="113"/>
      <c r="S203" s="94"/>
      <c r="T203" s="94"/>
      <c r="V203" s="104"/>
    </row>
    <row r="204" ht="15.75" customHeight="1">
      <c r="A204" s="91"/>
      <c r="B204" s="131"/>
      <c r="C204" s="132"/>
      <c r="D204" s="94"/>
      <c r="E204" s="132"/>
      <c r="F204" s="132"/>
      <c r="G204" s="94"/>
      <c r="H204" s="132"/>
      <c r="I204" s="94"/>
      <c r="J204" s="94"/>
      <c r="K204" s="142"/>
      <c r="L204" s="142"/>
      <c r="M204" s="99"/>
      <c r="N204" s="111"/>
      <c r="O204" s="112"/>
      <c r="P204" s="94"/>
      <c r="Q204" s="120"/>
      <c r="R204" s="113"/>
      <c r="S204" s="94"/>
      <c r="T204" s="94"/>
      <c r="V204" s="104"/>
    </row>
    <row r="205" ht="15.75" customHeight="1">
      <c r="A205" s="91"/>
      <c r="B205" s="131"/>
      <c r="C205" s="104"/>
      <c r="D205" s="94"/>
      <c r="E205" s="132"/>
      <c r="F205" s="132"/>
      <c r="G205" s="94"/>
      <c r="H205" s="132"/>
      <c r="I205" s="94"/>
      <c r="J205" s="94"/>
      <c r="K205" s="142"/>
      <c r="L205" s="142"/>
      <c r="M205" s="99"/>
      <c r="N205" s="111"/>
      <c r="O205" s="112"/>
      <c r="P205" s="94"/>
      <c r="Q205" s="120"/>
      <c r="R205" s="113"/>
      <c r="S205" s="94"/>
      <c r="T205" s="94"/>
      <c r="V205" s="104"/>
    </row>
    <row r="206" ht="15.75" customHeight="1">
      <c r="A206" s="91"/>
      <c r="B206" s="131"/>
      <c r="C206" s="132"/>
      <c r="D206" s="94"/>
      <c r="E206" s="132"/>
      <c r="F206" s="132"/>
      <c r="G206" s="94"/>
      <c r="H206" s="132"/>
      <c r="I206" s="94"/>
      <c r="J206" s="94"/>
      <c r="K206" s="142"/>
      <c r="L206" s="142"/>
      <c r="M206" s="99"/>
      <c r="N206" s="111"/>
      <c r="O206" s="112"/>
      <c r="P206" s="94"/>
      <c r="Q206" s="120"/>
      <c r="R206" s="113"/>
      <c r="S206" s="94"/>
      <c r="T206" s="94"/>
      <c r="V206" s="104"/>
    </row>
    <row r="207" ht="15.75" customHeight="1">
      <c r="A207" s="91"/>
      <c r="B207" s="131"/>
      <c r="C207" s="132"/>
      <c r="D207" s="94"/>
      <c r="E207" s="132"/>
      <c r="F207" s="132"/>
      <c r="G207" s="94"/>
      <c r="H207" s="132"/>
      <c r="I207" s="94"/>
      <c r="J207" s="94"/>
      <c r="K207" s="142"/>
      <c r="L207" s="142"/>
      <c r="M207" s="99"/>
      <c r="N207" s="111"/>
      <c r="O207" s="112"/>
      <c r="P207" s="94"/>
      <c r="Q207" s="120"/>
      <c r="R207" s="113"/>
      <c r="S207" s="94"/>
      <c r="T207" s="94"/>
      <c r="V207" s="104"/>
    </row>
    <row r="208" ht="15.75" customHeight="1">
      <c r="A208" s="91"/>
      <c r="B208" s="131"/>
      <c r="C208" s="132"/>
      <c r="D208" s="94"/>
      <c r="E208" s="132"/>
      <c r="F208" s="132"/>
      <c r="G208" s="94"/>
      <c r="H208" s="132"/>
      <c r="I208" s="94"/>
      <c r="J208" s="94"/>
      <c r="K208" s="142"/>
      <c r="L208" s="142"/>
      <c r="M208" s="99"/>
      <c r="N208" s="111"/>
      <c r="O208" s="112"/>
      <c r="P208" s="94"/>
      <c r="Q208" s="120"/>
      <c r="R208" s="113"/>
      <c r="S208" s="94"/>
      <c r="T208" s="94"/>
      <c r="V208" s="104"/>
    </row>
    <row r="209" ht="15.75" customHeight="1">
      <c r="A209" s="91"/>
      <c r="B209" s="131"/>
      <c r="C209" s="132"/>
      <c r="D209" s="94"/>
      <c r="E209" s="132"/>
      <c r="F209" s="132"/>
      <c r="G209" s="94"/>
      <c r="H209" s="132"/>
      <c r="I209" s="94"/>
      <c r="J209" s="94"/>
      <c r="K209" s="142"/>
      <c r="L209" s="142"/>
      <c r="M209" s="99"/>
      <c r="N209" s="111"/>
      <c r="O209" s="112"/>
      <c r="P209" s="94"/>
      <c r="Q209" s="120"/>
      <c r="R209" s="113"/>
      <c r="S209" s="94"/>
      <c r="T209" s="94"/>
      <c r="V209" s="104"/>
    </row>
    <row r="210" ht="15.75" customHeight="1">
      <c r="A210" s="91"/>
      <c r="B210" s="131"/>
      <c r="C210" s="132"/>
      <c r="D210" s="94"/>
      <c r="E210" s="132"/>
      <c r="F210" s="132"/>
      <c r="G210" s="94"/>
      <c r="H210" s="132"/>
      <c r="I210" s="94"/>
      <c r="J210" s="94"/>
      <c r="K210" s="142"/>
      <c r="L210" s="142"/>
      <c r="M210" s="99"/>
      <c r="N210" s="111"/>
      <c r="O210" s="112"/>
      <c r="P210" s="94"/>
      <c r="Q210" s="120"/>
      <c r="R210" s="113"/>
      <c r="S210" s="94"/>
      <c r="T210" s="94"/>
      <c r="V210" s="104"/>
    </row>
    <row r="211" ht="15.75" customHeight="1">
      <c r="A211" s="91"/>
      <c r="B211" s="131"/>
      <c r="C211" s="104"/>
      <c r="D211" s="94"/>
      <c r="E211" s="132"/>
      <c r="F211" s="132"/>
      <c r="G211" s="94"/>
      <c r="H211" s="132"/>
      <c r="I211" s="94"/>
      <c r="J211" s="94"/>
      <c r="K211" s="142"/>
      <c r="L211" s="142"/>
      <c r="M211" s="99"/>
      <c r="N211" s="111"/>
      <c r="O211" s="112"/>
      <c r="P211" s="94"/>
      <c r="Q211" s="120"/>
      <c r="R211" s="113"/>
      <c r="S211" s="94"/>
      <c r="T211" s="94"/>
      <c r="V211" s="104"/>
    </row>
    <row r="212" ht="15.75" customHeight="1">
      <c r="A212" s="91"/>
      <c r="B212" s="131"/>
      <c r="C212" s="132"/>
      <c r="D212" s="94"/>
      <c r="E212" s="132"/>
      <c r="F212" s="132"/>
      <c r="G212" s="94"/>
      <c r="H212" s="132"/>
      <c r="I212" s="94"/>
      <c r="J212" s="94"/>
      <c r="K212" s="142"/>
      <c r="L212" s="142"/>
      <c r="M212" s="99"/>
      <c r="N212" s="111"/>
      <c r="O212" s="112"/>
      <c r="P212" s="94"/>
      <c r="Q212" s="120"/>
      <c r="R212" s="113"/>
      <c r="S212" s="94"/>
      <c r="T212" s="94"/>
      <c r="V212" s="104"/>
    </row>
    <row r="213" ht="15.75" customHeight="1">
      <c r="A213" s="91"/>
      <c r="B213" s="131"/>
      <c r="C213" s="132"/>
      <c r="D213" s="94"/>
      <c r="E213" s="132"/>
      <c r="F213" s="132"/>
      <c r="G213" s="94"/>
      <c r="H213" s="132"/>
      <c r="I213" s="94"/>
      <c r="J213" s="94"/>
      <c r="K213" s="142"/>
      <c r="L213" s="142"/>
      <c r="M213" s="99"/>
      <c r="N213" s="111"/>
      <c r="O213" s="112"/>
      <c r="P213" s="94"/>
      <c r="Q213" s="120"/>
      <c r="R213" s="113"/>
      <c r="S213" s="94"/>
      <c r="T213" s="94"/>
      <c r="V213" s="104"/>
    </row>
    <row r="214" ht="15.75" customHeight="1">
      <c r="A214" s="91"/>
      <c r="B214" s="131"/>
      <c r="C214" s="132"/>
      <c r="D214" s="94"/>
      <c r="E214" s="132"/>
      <c r="F214" s="132"/>
      <c r="G214" s="94"/>
      <c r="H214" s="132"/>
      <c r="I214" s="94"/>
      <c r="J214" s="94"/>
      <c r="K214" s="142"/>
      <c r="L214" s="142"/>
      <c r="M214" s="99"/>
      <c r="N214" s="111"/>
      <c r="O214" s="112"/>
      <c r="P214" s="94"/>
      <c r="Q214" s="120"/>
      <c r="R214" s="113"/>
      <c r="S214" s="94"/>
      <c r="T214" s="94"/>
      <c r="V214" s="104"/>
    </row>
    <row r="215" ht="15.75" customHeight="1">
      <c r="A215" s="91"/>
      <c r="B215" s="131"/>
      <c r="C215" s="132"/>
      <c r="D215" s="94"/>
      <c r="E215" s="132"/>
      <c r="F215" s="132"/>
      <c r="G215" s="94"/>
      <c r="H215" s="132"/>
      <c r="I215" s="94"/>
      <c r="J215" s="94"/>
      <c r="K215" s="142"/>
      <c r="L215" s="142"/>
      <c r="M215" s="99"/>
      <c r="N215" s="111"/>
      <c r="O215" s="112"/>
      <c r="P215" s="94"/>
      <c r="Q215" s="120"/>
      <c r="R215" s="113"/>
      <c r="S215" s="94"/>
      <c r="T215" s="94"/>
      <c r="V215" s="104"/>
    </row>
    <row r="216" ht="15.75" customHeight="1">
      <c r="A216" s="91"/>
      <c r="B216" s="131"/>
      <c r="C216" s="132"/>
      <c r="D216" s="94"/>
      <c r="E216" s="132"/>
      <c r="F216" s="132"/>
      <c r="G216" s="94"/>
      <c r="H216" s="132"/>
      <c r="I216" s="94"/>
      <c r="J216" s="94"/>
      <c r="K216" s="142"/>
      <c r="L216" s="142"/>
      <c r="M216" s="99"/>
      <c r="N216" s="111"/>
      <c r="O216" s="112"/>
      <c r="P216" s="94"/>
      <c r="Q216" s="120"/>
      <c r="R216" s="113"/>
      <c r="S216" s="94"/>
      <c r="T216" s="94"/>
      <c r="V216" s="104"/>
    </row>
    <row r="217" ht="15.75" customHeight="1">
      <c r="A217" s="91"/>
      <c r="B217" s="131"/>
      <c r="C217" s="104"/>
      <c r="D217" s="94"/>
      <c r="E217" s="132"/>
      <c r="F217" s="132"/>
      <c r="G217" s="94"/>
      <c r="H217" s="132"/>
      <c r="I217" s="94"/>
      <c r="J217" s="94"/>
      <c r="K217" s="135"/>
      <c r="L217" s="135"/>
      <c r="M217" s="99"/>
      <c r="N217" s="111"/>
      <c r="O217" s="112"/>
      <c r="P217" s="94"/>
      <c r="Q217" s="120"/>
      <c r="R217" s="113"/>
      <c r="S217" s="94"/>
      <c r="T217" s="94"/>
      <c r="V217" s="104"/>
    </row>
    <row r="218" ht="15.75" customHeight="1">
      <c r="A218" s="91"/>
      <c r="B218" s="131"/>
      <c r="C218" s="132"/>
      <c r="D218" s="94"/>
      <c r="E218" s="132"/>
      <c r="F218" s="132"/>
      <c r="G218" s="94"/>
      <c r="H218" s="132"/>
      <c r="I218" s="94"/>
      <c r="J218" s="94"/>
      <c r="K218" s="135"/>
      <c r="L218" s="135"/>
      <c r="M218" s="99"/>
      <c r="N218" s="111"/>
      <c r="O218" s="112"/>
      <c r="P218" s="94"/>
      <c r="Q218" s="120"/>
      <c r="R218" s="113"/>
      <c r="S218" s="94"/>
      <c r="T218" s="94"/>
      <c r="V218" s="104"/>
    </row>
    <row r="219" ht="15.75" customHeight="1">
      <c r="A219" s="91"/>
      <c r="B219" s="131"/>
      <c r="C219" s="132"/>
      <c r="D219" s="94"/>
      <c r="E219" s="132"/>
      <c r="F219" s="132"/>
      <c r="G219" s="94"/>
      <c r="H219" s="132"/>
      <c r="I219" s="94"/>
      <c r="J219" s="94"/>
      <c r="K219" s="135"/>
      <c r="L219" s="135"/>
      <c r="M219" s="99"/>
      <c r="N219" s="111"/>
      <c r="O219" s="112"/>
      <c r="P219" s="94"/>
      <c r="Q219" s="120"/>
      <c r="R219" s="113"/>
      <c r="S219" s="94"/>
      <c r="T219" s="94"/>
      <c r="V219" s="104"/>
    </row>
    <row r="220" ht="15.75" customHeight="1">
      <c r="A220" s="91"/>
      <c r="B220" s="131"/>
      <c r="C220" s="132"/>
      <c r="D220" s="94"/>
      <c r="E220" s="132"/>
      <c r="F220" s="132"/>
      <c r="G220" s="94"/>
      <c r="H220" s="132"/>
      <c r="I220" s="94"/>
      <c r="J220" s="94"/>
      <c r="K220" s="135"/>
      <c r="L220" s="135"/>
      <c r="M220" s="99"/>
      <c r="N220" s="111"/>
      <c r="O220" s="112"/>
      <c r="P220" s="94"/>
      <c r="Q220" s="120"/>
      <c r="R220" s="113"/>
      <c r="S220" s="94"/>
      <c r="T220" s="94"/>
      <c r="V220" s="104"/>
    </row>
    <row r="221" ht="15.75" customHeight="1">
      <c r="A221" s="91"/>
      <c r="B221" s="131"/>
      <c r="C221" s="132"/>
      <c r="D221" s="94"/>
      <c r="E221" s="132"/>
      <c r="F221" s="132"/>
      <c r="G221" s="94"/>
      <c r="H221" s="132"/>
      <c r="I221" s="94"/>
      <c r="J221" s="94"/>
      <c r="K221" s="135"/>
      <c r="L221" s="135"/>
      <c r="M221" s="99"/>
      <c r="N221" s="111"/>
      <c r="O221" s="112"/>
      <c r="P221" s="94"/>
      <c r="Q221" s="120"/>
      <c r="R221" s="113"/>
      <c r="S221" s="94"/>
      <c r="T221" s="94"/>
      <c r="V221" s="104"/>
    </row>
    <row r="222" ht="15.75" customHeight="1">
      <c r="A222" s="91"/>
      <c r="B222" s="131"/>
      <c r="C222" s="132"/>
      <c r="D222" s="94"/>
      <c r="E222" s="132"/>
      <c r="F222" s="132"/>
      <c r="G222" s="94"/>
      <c r="H222" s="132"/>
      <c r="I222" s="94"/>
      <c r="J222" s="94"/>
      <c r="K222" s="135"/>
      <c r="L222" s="135"/>
      <c r="M222" s="99"/>
      <c r="N222" s="111"/>
      <c r="O222" s="112"/>
      <c r="P222" s="94"/>
      <c r="Q222" s="120"/>
      <c r="R222" s="113"/>
      <c r="S222" s="94"/>
      <c r="T222" s="94"/>
      <c r="V222" s="104"/>
    </row>
    <row r="223" ht="15.75" customHeight="1">
      <c r="A223" s="91"/>
      <c r="B223" s="131"/>
      <c r="C223" s="104"/>
      <c r="D223" s="94"/>
      <c r="E223" s="132"/>
      <c r="F223" s="132"/>
      <c r="G223" s="94"/>
      <c r="H223" s="132"/>
      <c r="I223" s="94"/>
      <c r="J223" s="94"/>
      <c r="K223" s="135"/>
      <c r="L223" s="135"/>
      <c r="M223" s="99"/>
      <c r="N223" s="111"/>
      <c r="O223" s="112"/>
      <c r="P223" s="94"/>
      <c r="Q223" s="120"/>
      <c r="R223" s="113"/>
      <c r="S223" s="94"/>
      <c r="T223" s="94"/>
      <c r="V223" s="104"/>
    </row>
    <row r="224" ht="15.75" customHeight="1">
      <c r="A224" s="91"/>
      <c r="B224" s="131"/>
      <c r="C224" s="132"/>
      <c r="D224" s="94"/>
      <c r="E224" s="132"/>
      <c r="F224" s="132"/>
      <c r="G224" s="94"/>
      <c r="H224" s="132"/>
      <c r="I224" s="94"/>
      <c r="J224" s="94"/>
      <c r="K224" s="135"/>
      <c r="L224" s="135"/>
      <c r="M224" s="99"/>
      <c r="N224" s="111"/>
      <c r="O224" s="112"/>
      <c r="P224" s="94"/>
      <c r="Q224" s="120"/>
      <c r="R224" s="113"/>
      <c r="S224" s="94"/>
      <c r="T224" s="94"/>
      <c r="V224" s="104"/>
    </row>
    <row r="225" ht="15.75" customHeight="1">
      <c r="A225" s="91"/>
      <c r="B225" s="131"/>
      <c r="C225" s="132"/>
      <c r="D225" s="94"/>
      <c r="E225" s="132"/>
      <c r="F225" s="132"/>
      <c r="G225" s="94"/>
      <c r="H225" s="132"/>
      <c r="I225" s="94"/>
      <c r="J225" s="94"/>
      <c r="K225" s="135"/>
      <c r="L225" s="135"/>
      <c r="M225" s="99"/>
      <c r="N225" s="111"/>
      <c r="O225" s="112"/>
      <c r="P225" s="94"/>
      <c r="Q225" s="120"/>
      <c r="R225" s="113"/>
      <c r="S225" s="94"/>
      <c r="T225" s="94"/>
      <c r="V225" s="104"/>
    </row>
    <row r="226" ht="15.75" customHeight="1">
      <c r="A226" s="91"/>
      <c r="B226" s="131"/>
      <c r="C226" s="132"/>
      <c r="D226" s="94"/>
      <c r="E226" s="132"/>
      <c r="F226" s="132"/>
      <c r="G226" s="94"/>
      <c r="H226" s="132"/>
      <c r="I226" s="94"/>
      <c r="J226" s="94"/>
      <c r="K226" s="135"/>
      <c r="L226" s="135"/>
      <c r="M226" s="99"/>
      <c r="N226" s="111"/>
      <c r="O226" s="112"/>
      <c r="P226" s="94"/>
      <c r="Q226" s="120"/>
      <c r="R226" s="113"/>
      <c r="S226" s="94"/>
      <c r="T226" s="94"/>
      <c r="V226" s="104"/>
    </row>
    <row r="227" ht="15.75" customHeight="1">
      <c r="A227" s="91"/>
      <c r="B227" s="131"/>
      <c r="C227" s="132"/>
      <c r="D227" s="94"/>
      <c r="E227" s="132"/>
      <c r="F227" s="132"/>
      <c r="G227" s="94"/>
      <c r="H227" s="132"/>
      <c r="I227" s="94"/>
      <c r="J227" s="94"/>
      <c r="K227" s="135"/>
      <c r="L227" s="135"/>
      <c r="M227" s="99"/>
      <c r="N227" s="111"/>
      <c r="O227" s="112"/>
      <c r="P227" s="94"/>
      <c r="Q227" s="120"/>
      <c r="R227" s="113"/>
      <c r="S227" s="94"/>
      <c r="T227" s="94"/>
      <c r="V227" s="104"/>
    </row>
    <row r="228" ht="15.75" customHeight="1">
      <c r="A228" s="91"/>
      <c r="B228" s="131"/>
      <c r="C228" s="132"/>
      <c r="D228" s="94"/>
      <c r="E228" s="132"/>
      <c r="F228" s="132"/>
      <c r="G228" s="94"/>
      <c r="H228" s="132"/>
      <c r="I228" s="94"/>
      <c r="J228" s="94"/>
      <c r="K228" s="135"/>
      <c r="L228" s="135"/>
      <c r="M228" s="99"/>
      <c r="N228" s="111"/>
      <c r="O228" s="112"/>
      <c r="P228" s="94"/>
      <c r="Q228" s="120"/>
      <c r="R228" s="113"/>
      <c r="S228" s="94"/>
      <c r="T228" s="94"/>
      <c r="V228" s="104"/>
    </row>
    <row r="229" ht="15.75" customHeight="1">
      <c r="A229" s="91"/>
      <c r="B229" s="131"/>
      <c r="C229" s="104"/>
      <c r="D229" s="94"/>
      <c r="E229" s="132"/>
      <c r="F229" s="132"/>
      <c r="G229" s="94"/>
      <c r="H229" s="132"/>
      <c r="I229" s="94"/>
      <c r="J229" s="94"/>
      <c r="K229" s="135"/>
      <c r="L229" s="135"/>
      <c r="M229" s="99"/>
      <c r="N229" s="111"/>
      <c r="O229" s="112"/>
      <c r="P229" s="94"/>
      <c r="Q229" s="120"/>
      <c r="R229" s="113"/>
      <c r="S229" s="94"/>
      <c r="T229" s="94"/>
      <c r="V229" s="104"/>
    </row>
    <row r="230" ht="15.75" customHeight="1">
      <c r="A230" s="91"/>
      <c r="B230" s="131"/>
      <c r="C230" s="132"/>
      <c r="D230" s="94"/>
      <c r="E230" s="132"/>
      <c r="F230" s="132"/>
      <c r="G230" s="94"/>
      <c r="H230" s="132"/>
      <c r="I230" s="94"/>
      <c r="J230" s="94"/>
      <c r="K230" s="135"/>
      <c r="L230" s="135"/>
      <c r="M230" s="99"/>
      <c r="N230" s="111"/>
      <c r="O230" s="112"/>
      <c r="P230" s="94"/>
      <c r="Q230" s="120"/>
      <c r="R230" s="113"/>
      <c r="S230" s="94"/>
      <c r="T230" s="94"/>
      <c r="V230" s="104"/>
    </row>
    <row r="231" ht="15.75" customHeight="1">
      <c r="A231" s="91"/>
      <c r="B231" s="131"/>
      <c r="C231" s="132"/>
      <c r="D231" s="94"/>
      <c r="E231" s="132"/>
      <c r="F231" s="132"/>
      <c r="G231" s="94"/>
      <c r="H231" s="132"/>
      <c r="I231" s="94"/>
      <c r="J231" s="94"/>
      <c r="K231" s="135"/>
      <c r="L231" s="135"/>
      <c r="M231" s="99"/>
      <c r="N231" s="111"/>
      <c r="O231" s="112"/>
      <c r="P231" s="94"/>
      <c r="Q231" s="120"/>
      <c r="R231" s="113"/>
      <c r="S231" s="94"/>
      <c r="T231" s="94"/>
      <c r="V231" s="104"/>
    </row>
    <row r="232" ht="15.75" customHeight="1">
      <c r="A232" s="91"/>
      <c r="B232" s="131"/>
      <c r="C232" s="132"/>
      <c r="D232" s="94"/>
      <c r="E232" s="132"/>
      <c r="F232" s="132"/>
      <c r="G232" s="94"/>
      <c r="H232" s="132"/>
      <c r="I232" s="94"/>
      <c r="J232" s="94"/>
      <c r="K232" s="135"/>
      <c r="L232" s="135"/>
      <c r="M232" s="99"/>
      <c r="N232" s="111"/>
      <c r="O232" s="112"/>
      <c r="P232" s="94"/>
      <c r="Q232" s="120"/>
      <c r="R232" s="113"/>
      <c r="S232" s="94"/>
      <c r="T232" s="94"/>
      <c r="V232" s="104"/>
    </row>
    <row r="233" ht="15.75" customHeight="1">
      <c r="A233" s="91"/>
      <c r="B233" s="131"/>
      <c r="C233" s="132"/>
      <c r="D233" s="94"/>
      <c r="E233" s="132"/>
      <c r="F233" s="132"/>
      <c r="G233" s="94"/>
      <c r="H233" s="132"/>
      <c r="I233" s="94"/>
      <c r="J233" s="94"/>
      <c r="K233" s="135"/>
      <c r="L233" s="135"/>
      <c r="M233" s="99"/>
      <c r="N233" s="111"/>
      <c r="O233" s="112"/>
      <c r="P233" s="94"/>
      <c r="Q233" s="120"/>
      <c r="R233" s="113"/>
      <c r="S233" s="94"/>
      <c r="T233" s="94"/>
      <c r="V233" s="104"/>
    </row>
    <row r="234" ht="15.75" customHeight="1">
      <c r="A234" s="91"/>
      <c r="B234" s="131"/>
      <c r="C234" s="132"/>
      <c r="D234" s="94"/>
      <c r="E234" s="132"/>
      <c r="F234" s="132"/>
      <c r="G234" s="94"/>
      <c r="H234" s="132"/>
      <c r="I234" s="94"/>
      <c r="J234" s="94"/>
      <c r="K234" s="135"/>
      <c r="L234" s="135"/>
      <c r="M234" s="99"/>
      <c r="N234" s="111"/>
      <c r="O234" s="112"/>
      <c r="P234" s="94"/>
      <c r="Q234" s="120"/>
      <c r="R234" s="113"/>
      <c r="S234" s="94"/>
      <c r="T234" s="94"/>
      <c r="V234" s="104"/>
    </row>
    <row r="235" ht="15.75" customHeight="1">
      <c r="A235" s="91"/>
      <c r="B235" s="131"/>
      <c r="C235" s="104"/>
      <c r="D235" s="94"/>
      <c r="E235" s="132"/>
      <c r="F235" s="132"/>
      <c r="G235" s="94"/>
      <c r="H235" s="132"/>
      <c r="I235" s="94"/>
      <c r="J235" s="94"/>
      <c r="K235" s="135"/>
      <c r="L235" s="135"/>
      <c r="M235" s="99"/>
      <c r="N235" s="111"/>
      <c r="O235" s="112"/>
      <c r="P235" s="94"/>
      <c r="Q235" s="120"/>
      <c r="R235" s="113"/>
      <c r="S235" s="94"/>
      <c r="T235" s="94"/>
      <c r="V235" s="104"/>
    </row>
    <row r="236" ht="15.75" customHeight="1">
      <c r="A236" s="91"/>
      <c r="B236" s="131"/>
      <c r="C236" s="132"/>
      <c r="D236" s="94"/>
      <c r="E236" s="132"/>
      <c r="F236" s="132"/>
      <c r="G236" s="94"/>
      <c r="H236" s="132"/>
      <c r="I236" s="94"/>
      <c r="J236" s="94"/>
      <c r="K236" s="135"/>
      <c r="L236" s="135"/>
      <c r="M236" s="99"/>
      <c r="N236" s="111"/>
      <c r="O236" s="112"/>
      <c r="P236" s="94"/>
      <c r="Q236" s="120"/>
      <c r="R236" s="113"/>
      <c r="S236" s="94"/>
      <c r="T236" s="94"/>
      <c r="V236" s="104"/>
    </row>
    <row r="237" ht="15.75" customHeight="1">
      <c r="A237" s="91"/>
      <c r="B237" s="131"/>
      <c r="C237" s="132"/>
      <c r="D237" s="94"/>
      <c r="E237" s="132"/>
      <c r="F237" s="132"/>
      <c r="G237" s="94"/>
      <c r="H237" s="132"/>
      <c r="I237" s="94"/>
      <c r="J237" s="94"/>
      <c r="K237" s="135"/>
      <c r="L237" s="135"/>
      <c r="M237" s="99"/>
      <c r="N237" s="111"/>
      <c r="O237" s="112"/>
      <c r="P237" s="94"/>
      <c r="Q237" s="120"/>
      <c r="R237" s="113"/>
      <c r="S237" s="94"/>
      <c r="T237" s="94"/>
      <c r="V237" s="104"/>
    </row>
    <row r="238" ht="15.75" customHeight="1">
      <c r="A238" s="91"/>
      <c r="B238" s="131"/>
      <c r="C238" s="132"/>
      <c r="D238" s="94"/>
      <c r="E238" s="132"/>
      <c r="F238" s="132"/>
      <c r="G238" s="94"/>
      <c r="H238" s="132"/>
      <c r="I238" s="94"/>
      <c r="J238" s="94"/>
      <c r="K238" s="135"/>
      <c r="L238" s="135"/>
      <c r="M238" s="99"/>
      <c r="N238" s="111"/>
      <c r="O238" s="112"/>
      <c r="P238" s="94"/>
      <c r="Q238" s="120"/>
      <c r="R238" s="113"/>
      <c r="S238" s="94"/>
      <c r="T238" s="94"/>
      <c r="V238" s="104"/>
    </row>
    <row r="239" ht="15.75" customHeight="1">
      <c r="A239" s="91"/>
      <c r="B239" s="131"/>
      <c r="C239" s="132"/>
      <c r="D239" s="94"/>
      <c r="E239" s="132"/>
      <c r="F239" s="132"/>
      <c r="G239" s="94"/>
      <c r="H239" s="132"/>
      <c r="I239" s="94"/>
      <c r="J239" s="94"/>
      <c r="K239" s="135"/>
      <c r="L239" s="135"/>
      <c r="M239" s="99"/>
      <c r="N239" s="111"/>
      <c r="O239" s="112"/>
      <c r="P239" s="94"/>
      <c r="Q239" s="120"/>
      <c r="R239" s="113"/>
      <c r="S239" s="94"/>
      <c r="T239" s="94"/>
      <c r="V239" s="104"/>
    </row>
    <row r="240" ht="15.75" customHeight="1">
      <c r="A240" s="91"/>
      <c r="B240" s="131"/>
      <c r="C240" s="132"/>
      <c r="D240" s="94"/>
      <c r="E240" s="132"/>
      <c r="F240" s="132"/>
      <c r="G240" s="94"/>
      <c r="H240" s="132"/>
      <c r="I240" s="94"/>
      <c r="J240" s="94"/>
      <c r="K240" s="135"/>
      <c r="L240" s="135"/>
      <c r="M240" s="99"/>
      <c r="N240" s="111"/>
      <c r="O240" s="112"/>
      <c r="P240" s="94"/>
      <c r="Q240" s="120"/>
      <c r="R240" s="113"/>
      <c r="S240" s="94"/>
      <c r="T240" s="94"/>
      <c r="V240" s="104"/>
    </row>
    <row r="241" ht="15.75" customHeight="1">
      <c r="A241" s="91"/>
      <c r="B241" s="131"/>
      <c r="C241" s="104"/>
      <c r="D241" s="94"/>
      <c r="E241" s="132"/>
      <c r="F241" s="132"/>
      <c r="G241" s="94"/>
      <c r="H241" s="132"/>
      <c r="I241" s="94"/>
      <c r="J241" s="94"/>
      <c r="K241" s="135"/>
      <c r="L241" s="135"/>
      <c r="M241" s="99"/>
      <c r="N241" s="111"/>
      <c r="O241" s="112"/>
      <c r="P241" s="94"/>
      <c r="Q241" s="120"/>
      <c r="R241" s="113"/>
      <c r="S241" s="94"/>
      <c r="T241" s="94"/>
      <c r="V241" s="104"/>
    </row>
    <row r="242" ht="15.75" customHeight="1">
      <c r="A242" s="91"/>
      <c r="B242" s="131"/>
      <c r="C242" s="132"/>
      <c r="D242" s="94"/>
      <c r="E242" s="132"/>
      <c r="F242" s="132"/>
      <c r="G242" s="94"/>
      <c r="H242" s="132"/>
      <c r="I242" s="94"/>
      <c r="J242" s="94"/>
      <c r="K242" s="135"/>
      <c r="L242" s="135"/>
      <c r="M242" s="99"/>
      <c r="N242" s="111"/>
      <c r="O242" s="112"/>
      <c r="P242" s="94"/>
      <c r="Q242" s="120"/>
      <c r="R242" s="113"/>
      <c r="S242" s="94"/>
      <c r="T242" s="94"/>
      <c r="V242" s="104"/>
    </row>
    <row r="243" ht="15.75" customHeight="1">
      <c r="A243" s="91"/>
      <c r="B243" s="131"/>
      <c r="C243" s="132"/>
      <c r="D243" s="94"/>
      <c r="E243" s="132"/>
      <c r="F243" s="132"/>
      <c r="G243" s="94"/>
      <c r="H243" s="132"/>
      <c r="I243" s="94"/>
      <c r="J243" s="94"/>
      <c r="K243" s="135"/>
      <c r="L243" s="135"/>
      <c r="M243" s="99"/>
      <c r="N243" s="111"/>
      <c r="O243" s="112"/>
      <c r="P243" s="94"/>
      <c r="Q243" s="120"/>
      <c r="R243" s="113"/>
      <c r="S243" s="94"/>
      <c r="T243" s="94"/>
      <c r="V243" s="104"/>
    </row>
    <row r="244" ht="15.75" customHeight="1">
      <c r="A244" s="91"/>
      <c r="B244" s="131"/>
      <c r="C244" s="132"/>
      <c r="D244" s="94"/>
      <c r="E244" s="132"/>
      <c r="F244" s="132"/>
      <c r="G244" s="94"/>
      <c r="H244" s="132"/>
      <c r="I244" s="94"/>
      <c r="J244" s="94"/>
      <c r="K244" s="135"/>
      <c r="L244" s="135"/>
      <c r="M244" s="99"/>
      <c r="N244" s="111"/>
      <c r="O244" s="112"/>
      <c r="P244" s="94"/>
      <c r="Q244" s="120"/>
      <c r="R244" s="113"/>
      <c r="S244" s="94"/>
      <c r="T244" s="94"/>
      <c r="V244" s="104"/>
    </row>
    <row r="245" ht="15.75" customHeight="1">
      <c r="A245" s="91"/>
      <c r="B245" s="131"/>
      <c r="C245" s="132"/>
      <c r="D245" s="94"/>
      <c r="E245" s="132"/>
      <c r="F245" s="132"/>
      <c r="G245" s="94"/>
      <c r="H245" s="132"/>
      <c r="I245" s="94"/>
      <c r="J245" s="94"/>
      <c r="K245" s="135"/>
      <c r="L245" s="135"/>
      <c r="M245" s="99"/>
      <c r="N245" s="111"/>
      <c r="O245" s="112"/>
      <c r="P245" s="94"/>
      <c r="Q245" s="120"/>
      <c r="R245" s="113"/>
      <c r="S245" s="94"/>
      <c r="T245" s="94"/>
      <c r="V245" s="104"/>
    </row>
    <row r="246" ht="15.75" customHeight="1">
      <c r="A246" s="91"/>
      <c r="B246" s="131"/>
      <c r="C246" s="132"/>
      <c r="D246" s="94"/>
      <c r="E246" s="132"/>
      <c r="F246" s="132"/>
      <c r="G246" s="94"/>
      <c r="H246" s="132"/>
      <c r="I246" s="94"/>
      <c r="J246" s="94"/>
      <c r="K246" s="135"/>
      <c r="L246" s="135"/>
      <c r="M246" s="99"/>
      <c r="N246" s="111"/>
      <c r="O246" s="112"/>
      <c r="P246" s="94"/>
      <c r="Q246" s="120"/>
      <c r="R246" s="113"/>
      <c r="S246" s="94"/>
      <c r="T246" s="94"/>
      <c r="V246" s="104"/>
    </row>
    <row r="247" ht="15.75" customHeight="1">
      <c r="A247" s="91"/>
      <c r="B247" s="131"/>
      <c r="C247" s="104"/>
      <c r="D247" s="94"/>
      <c r="E247" s="132"/>
      <c r="F247" s="132"/>
      <c r="G247" s="94"/>
      <c r="H247" s="132"/>
      <c r="I247" s="94"/>
      <c r="J247" s="94"/>
      <c r="K247" s="135"/>
      <c r="L247" s="135"/>
      <c r="M247" s="99"/>
      <c r="N247" s="111"/>
      <c r="O247" s="112"/>
      <c r="P247" s="94"/>
      <c r="Q247" s="120"/>
      <c r="R247" s="113"/>
      <c r="S247" s="94"/>
      <c r="T247" s="94"/>
      <c r="V247" s="104"/>
    </row>
    <row r="248" ht="15.75" customHeight="1">
      <c r="A248" s="91"/>
      <c r="B248" s="131"/>
      <c r="C248" s="132"/>
      <c r="D248" s="94"/>
      <c r="E248" s="132"/>
      <c r="F248" s="132"/>
      <c r="G248" s="94"/>
      <c r="H248" s="132"/>
      <c r="I248" s="94"/>
      <c r="J248" s="94"/>
      <c r="K248" s="135"/>
      <c r="L248" s="135"/>
      <c r="M248" s="99"/>
      <c r="N248" s="111"/>
      <c r="O248" s="112"/>
      <c r="P248" s="94"/>
      <c r="Q248" s="120"/>
      <c r="R248" s="113"/>
      <c r="S248" s="94"/>
      <c r="T248" s="94"/>
      <c r="V248" s="104"/>
    </row>
    <row r="249" ht="15.75" customHeight="1">
      <c r="A249" s="91"/>
      <c r="B249" s="131"/>
      <c r="C249" s="132"/>
      <c r="D249" s="94"/>
      <c r="E249" s="132"/>
      <c r="F249" s="132"/>
      <c r="G249" s="94"/>
      <c r="H249" s="132"/>
      <c r="I249" s="94"/>
      <c r="J249" s="94"/>
      <c r="K249" s="135"/>
      <c r="L249" s="135"/>
      <c r="M249" s="99"/>
      <c r="N249" s="111"/>
      <c r="O249" s="112"/>
      <c r="P249" s="94"/>
      <c r="Q249" s="120"/>
      <c r="R249" s="113"/>
      <c r="S249" s="94"/>
      <c r="T249" s="94"/>
      <c r="V249" s="104"/>
    </row>
    <row r="250" ht="15.75" customHeight="1">
      <c r="A250" s="91"/>
      <c r="B250" s="131"/>
      <c r="C250" s="132"/>
      <c r="D250" s="94"/>
      <c r="E250" s="132"/>
      <c r="F250" s="132"/>
      <c r="G250" s="94"/>
      <c r="H250" s="132"/>
      <c r="I250" s="94"/>
      <c r="J250" s="94"/>
      <c r="K250" s="135"/>
      <c r="L250" s="135"/>
      <c r="M250" s="99"/>
      <c r="N250" s="111"/>
      <c r="O250" s="112"/>
      <c r="P250" s="94"/>
      <c r="Q250" s="120"/>
      <c r="R250" s="113"/>
      <c r="S250" s="94"/>
      <c r="T250" s="94"/>
      <c r="V250" s="104"/>
    </row>
    <row r="251" ht="15.75" customHeight="1">
      <c r="A251" s="91"/>
      <c r="B251" s="131"/>
      <c r="C251" s="132"/>
      <c r="D251" s="94"/>
      <c r="E251" s="132"/>
      <c r="F251" s="132"/>
      <c r="G251" s="94"/>
      <c r="H251" s="132"/>
      <c r="I251" s="94"/>
      <c r="J251" s="94"/>
      <c r="K251" s="135"/>
      <c r="L251" s="135"/>
      <c r="M251" s="99"/>
      <c r="N251" s="111"/>
      <c r="O251" s="112"/>
      <c r="P251" s="94"/>
      <c r="Q251" s="120"/>
      <c r="R251" s="113"/>
      <c r="S251" s="94"/>
      <c r="T251" s="94"/>
      <c r="V251" s="104"/>
    </row>
    <row r="252" ht="15.75" customHeight="1">
      <c r="A252" s="91"/>
      <c r="B252" s="131"/>
      <c r="C252" s="132"/>
      <c r="D252" s="94"/>
      <c r="E252" s="132"/>
      <c r="F252" s="132"/>
      <c r="G252" s="94"/>
      <c r="H252" s="132"/>
      <c r="I252" s="94"/>
      <c r="J252" s="94"/>
      <c r="K252" s="135"/>
      <c r="L252" s="135"/>
      <c r="M252" s="99"/>
      <c r="N252" s="111"/>
      <c r="O252" s="112"/>
      <c r="P252" s="94"/>
      <c r="Q252" s="120"/>
      <c r="R252" s="113"/>
      <c r="S252" s="94"/>
      <c r="T252" s="94"/>
      <c r="V252" s="104"/>
    </row>
    <row r="253" ht="15.75" customHeight="1">
      <c r="A253" s="91"/>
      <c r="B253" s="131"/>
      <c r="C253" s="104"/>
      <c r="D253" s="94"/>
      <c r="E253" s="132"/>
      <c r="F253" s="132"/>
      <c r="G253" s="94"/>
      <c r="H253" s="132"/>
      <c r="I253" s="94"/>
      <c r="J253" s="94"/>
      <c r="K253" s="135"/>
      <c r="L253" s="135"/>
      <c r="M253" s="99"/>
      <c r="N253" s="111"/>
      <c r="O253" s="112"/>
      <c r="P253" s="94"/>
      <c r="Q253" s="120"/>
      <c r="R253" s="113"/>
      <c r="S253" s="94"/>
      <c r="T253" s="94"/>
      <c r="V253" s="104"/>
    </row>
    <row r="254" ht="15.75" customHeight="1">
      <c r="A254" s="91"/>
      <c r="B254" s="131"/>
      <c r="C254" s="132"/>
      <c r="D254" s="94"/>
      <c r="E254" s="132"/>
      <c r="F254" s="132"/>
      <c r="G254" s="94"/>
      <c r="H254" s="132"/>
      <c r="I254" s="94"/>
      <c r="J254" s="94"/>
      <c r="K254" s="135"/>
      <c r="L254" s="135"/>
      <c r="M254" s="99"/>
      <c r="N254" s="111"/>
      <c r="O254" s="112"/>
      <c r="P254" s="94"/>
      <c r="Q254" s="120"/>
      <c r="R254" s="113"/>
      <c r="S254" s="94"/>
      <c r="T254" s="94"/>
      <c r="V254" s="104"/>
    </row>
    <row r="255" ht="15.75" customHeight="1">
      <c r="A255" s="91"/>
      <c r="B255" s="131"/>
      <c r="C255" s="132"/>
      <c r="D255" s="94"/>
      <c r="E255" s="132"/>
      <c r="F255" s="132"/>
      <c r="G255" s="94"/>
      <c r="H255" s="132"/>
      <c r="I255" s="94"/>
      <c r="J255" s="94"/>
      <c r="K255" s="135"/>
      <c r="L255" s="135"/>
      <c r="M255" s="99"/>
      <c r="N255" s="111"/>
      <c r="O255" s="112"/>
      <c r="P255" s="94"/>
      <c r="Q255" s="120"/>
      <c r="R255" s="113"/>
      <c r="S255" s="94"/>
      <c r="T255" s="94"/>
      <c r="V255" s="104"/>
    </row>
    <row r="256" ht="15.75" customHeight="1">
      <c r="A256" s="91"/>
      <c r="B256" s="131"/>
      <c r="C256" s="132"/>
      <c r="D256" s="94"/>
      <c r="E256" s="132"/>
      <c r="F256" s="132"/>
      <c r="G256" s="94"/>
      <c r="H256" s="132"/>
      <c r="I256" s="94"/>
      <c r="J256" s="94"/>
      <c r="K256" s="135"/>
      <c r="L256" s="135"/>
      <c r="M256" s="99"/>
      <c r="N256" s="111"/>
      <c r="O256" s="112"/>
      <c r="P256" s="94"/>
      <c r="Q256" s="120"/>
      <c r="R256" s="113"/>
      <c r="S256" s="94"/>
      <c r="T256" s="94"/>
      <c r="V256" s="104"/>
    </row>
    <row r="257" ht="15.75" customHeight="1">
      <c r="A257" s="91"/>
      <c r="B257" s="131"/>
      <c r="C257" s="132"/>
      <c r="D257" s="94"/>
      <c r="E257" s="132"/>
      <c r="F257" s="132"/>
      <c r="G257" s="94"/>
      <c r="H257" s="132"/>
      <c r="I257" s="94"/>
      <c r="J257" s="94"/>
      <c r="K257" s="135"/>
      <c r="L257" s="135"/>
      <c r="M257" s="99"/>
      <c r="N257" s="111"/>
      <c r="O257" s="112"/>
      <c r="P257" s="94"/>
      <c r="Q257" s="120"/>
      <c r="R257" s="113"/>
      <c r="S257" s="94"/>
      <c r="T257" s="94"/>
      <c r="V257" s="104"/>
    </row>
    <row r="258" ht="15.75" customHeight="1">
      <c r="A258" s="91"/>
      <c r="B258" s="131"/>
      <c r="C258" s="132"/>
      <c r="D258" s="94"/>
      <c r="E258" s="132"/>
      <c r="F258" s="132"/>
      <c r="G258" s="94"/>
      <c r="H258" s="132"/>
      <c r="I258" s="94"/>
      <c r="J258" s="94"/>
      <c r="K258" s="135"/>
      <c r="L258" s="135"/>
      <c r="M258" s="99"/>
      <c r="N258" s="111"/>
      <c r="O258" s="112"/>
      <c r="P258" s="94"/>
      <c r="Q258" s="120"/>
      <c r="R258" s="113"/>
      <c r="S258" s="94"/>
      <c r="T258" s="94"/>
      <c r="V258" s="104"/>
    </row>
    <row r="259" ht="15.75" customHeight="1">
      <c r="A259" s="91"/>
      <c r="B259" s="131"/>
      <c r="C259" s="104"/>
      <c r="D259" s="94"/>
      <c r="E259" s="132"/>
      <c r="F259" s="132"/>
      <c r="G259" s="94"/>
      <c r="H259" s="132"/>
      <c r="I259" s="94"/>
      <c r="J259" s="94"/>
      <c r="K259" s="135"/>
      <c r="L259" s="135"/>
      <c r="M259" s="99"/>
      <c r="N259" s="111"/>
      <c r="O259" s="112"/>
      <c r="P259" s="94"/>
      <c r="Q259" s="120"/>
      <c r="R259" s="113"/>
      <c r="S259" s="94"/>
      <c r="T259" s="94"/>
      <c r="V259" s="104"/>
    </row>
    <row r="260" ht="15.75" customHeight="1">
      <c r="A260" s="91"/>
      <c r="B260" s="131"/>
      <c r="C260" s="132"/>
      <c r="D260" s="94"/>
      <c r="E260" s="132"/>
      <c r="F260" s="132"/>
      <c r="G260" s="94"/>
      <c r="H260" s="132"/>
      <c r="I260" s="94"/>
      <c r="J260" s="94"/>
      <c r="K260" s="135"/>
      <c r="L260" s="135"/>
      <c r="M260" s="99"/>
      <c r="N260" s="111"/>
      <c r="O260" s="112"/>
      <c r="P260" s="94"/>
      <c r="Q260" s="120"/>
      <c r="R260" s="113"/>
      <c r="S260" s="94"/>
      <c r="T260" s="94"/>
      <c r="V260" s="104"/>
    </row>
    <row r="261" ht="15.75" customHeight="1">
      <c r="A261" s="91"/>
      <c r="B261" s="131"/>
      <c r="C261" s="132"/>
      <c r="D261" s="94"/>
      <c r="E261" s="132"/>
      <c r="F261" s="132"/>
      <c r="G261" s="94"/>
      <c r="H261" s="132"/>
      <c r="I261" s="94"/>
      <c r="J261" s="94"/>
      <c r="K261" s="135"/>
      <c r="L261" s="135"/>
      <c r="M261" s="99"/>
      <c r="N261" s="111"/>
      <c r="O261" s="112"/>
      <c r="P261" s="94"/>
      <c r="Q261" s="120"/>
      <c r="R261" s="113"/>
      <c r="S261" s="94"/>
      <c r="T261" s="94"/>
      <c r="V261" s="104"/>
    </row>
    <row r="262" ht="15.75" customHeight="1">
      <c r="A262" s="91"/>
      <c r="B262" s="131"/>
      <c r="C262" s="132"/>
      <c r="D262" s="94"/>
      <c r="E262" s="132"/>
      <c r="F262" s="132"/>
      <c r="G262" s="94"/>
      <c r="H262" s="132"/>
      <c r="I262" s="94"/>
      <c r="J262" s="94"/>
      <c r="K262" s="135"/>
      <c r="L262" s="135"/>
      <c r="M262" s="99"/>
      <c r="N262" s="111"/>
      <c r="O262" s="112"/>
      <c r="P262" s="94"/>
      <c r="Q262" s="120"/>
      <c r="R262" s="113"/>
      <c r="S262" s="94"/>
      <c r="T262" s="94"/>
      <c r="V262" s="104"/>
    </row>
    <row r="263" ht="15.75" customHeight="1">
      <c r="A263" s="91"/>
      <c r="B263" s="131"/>
      <c r="C263" s="132"/>
      <c r="D263" s="94"/>
      <c r="E263" s="132"/>
      <c r="F263" s="132"/>
      <c r="G263" s="94"/>
      <c r="H263" s="132"/>
      <c r="I263" s="94"/>
      <c r="J263" s="94"/>
      <c r="K263" s="135"/>
      <c r="L263" s="135"/>
      <c r="M263" s="99"/>
      <c r="N263" s="111"/>
      <c r="O263" s="112"/>
      <c r="P263" s="94"/>
      <c r="Q263" s="120"/>
      <c r="R263" s="113"/>
      <c r="S263" s="94"/>
      <c r="T263" s="94"/>
      <c r="V263" s="104"/>
    </row>
    <row r="264" ht="15.75" customHeight="1">
      <c r="A264" s="91"/>
      <c r="B264" s="131"/>
      <c r="C264" s="132"/>
      <c r="D264" s="94"/>
      <c r="E264" s="132"/>
      <c r="F264" s="132"/>
      <c r="G264" s="94"/>
      <c r="H264" s="132"/>
      <c r="I264" s="94"/>
      <c r="J264" s="94"/>
      <c r="K264" s="135"/>
      <c r="L264" s="135"/>
      <c r="M264" s="99"/>
      <c r="N264" s="111"/>
      <c r="O264" s="112"/>
      <c r="P264" s="94"/>
      <c r="Q264" s="120"/>
      <c r="R264" s="113"/>
      <c r="S264" s="94"/>
      <c r="T264" s="94"/>
      <c r="V264" s="104"/>
    </row>
    <row r="265" ht="15.75" customHeight="1">
      <c r="A265" s="91"/>
      <c r="B265" s="131"/>
      <c r="C265" s="104"/>
      <c r="D265" s="94"/>
      <c r="E265" s="132"/>
      <c r="F265" s="132"/>
      <c r="G265" s="94"/>
      <c r="H265" s="132"/>
      <c r="I265" s="94"/>
      <c r="J265" s="94"/>
      <c r="K265" s="135"/>
      <c r="L265" s="135"/>
      <c r="M265" s="99"/>
      <c r="N265" s="111"/>
      <c r="O265" s="112"/>
      <c r="P265" s="94"/>
      <c r="Q265" s="120"/>
      <c r="R265" s="113"/>
      <c r="S265" s="94"/>
      <c r="T265" s="94"/>
      <c r="V265" s="104"/>
    </row>
    <row r="266" ht="15.75" customHeight="1">
      <c r="A266" s="91"/>
      <c r="B266" s="131"/>
      <c r="C266" s="132"/>
      <c r="D266" s="94"/>
      <c r="E266" s="132"/>
      <c r="F266" s="132"/>
      <c r="G266" s="94"/>
      <c r="H266" s="132"/>
      <c r="I266" s="94"/>
      <c r="J266" s="94"/>
      <c r="K266" s="135"/>
      <c r="L266" s="135"/>
      <c r="M266" s="99"/>
      <c r="N266" s="111"/>
      <c r="O266" s="112"/>
      <c r="P266" s="94"/>
      <c r="Q266" s="120"/>
      <c r="R266" s="113"/>
      <c r="S266" s="94"/>
      <c r="T266" s="94"/>
      <c r="V266" s="104"/>
    </row>
    <row r="267" ht="15.75" customHeight="1">
      <c r="A267" s="91"/>
      <c r="B267" s="131"/>
      <c r="C267" s="132"/>
      <c r="D267" s="94"/>
      <c r="E267" s="132"/>
      <c r="F267" s="132"/>
      <c r="G267" s="94"/>
      <c r="H267" s="132"/>
      <c r="I267" s="94"/>
      <c r="J267" s="94"/>
      <c r="K267" s="135"/>
      <c r="L267" s="135"/>
      <c r="M267" s="99"/>
      <c r="N267" s="111"/>
      <c r="O267" s="112"/>
      <c r="P267" s="94"/>
      <c r="Q267" s="120"/>
      <c r="R267" s="113"/>
      <c r="S267" s="94"/>
      <c r="T267" s="94"/>
      <c r="V267" s="104"/>
    </row>
    <row r="268" ht="15.75" customHeight="1">
      <c r="A268" s="91"/>
      <c r="B268" s="131"/>
      <c r="C268" s="132"/>
      <c r="D268" s="94"/>
      <c r="E268" s="132"/>
      <c r="F268" s="132"/>
      <c r="G268" s="94"/>
      <c r="H268" s="132"/>
      <c r="I268" s="94"/>
      <c r="J268" s="94"/>
      <c r="K268" s="135"/>
      <c r="L268" s="135"/>
      <c r="M268" s="99"/>
      <c r="N268" s="111"/>
      <c r="O268" s="112"/>
      <c r="P268" s="94"/>
      <c r="Q268" s="120"/>
      <c r="R268" s="113"/>
      <c r="S268" s="94"/>
      <c r="T268" s="94"/>
      <c r="V268" s="104"/>
    </row>
    <row r="269" ht="15.75" customHeight="1">
      <c r="A269" s="91"/>
      <c r="B269" s="131"/>
      <c r="C269" s="132"/>
      <c r="D269" s="94"/>
      <c r="E269" s="132"/>
      <c r="F269" s="132"/>
      <c r="G269" s="94"/>
      <c r="H269" s="132"/>
      <c r="I269" s="94"/>
      <c r="J269" s="94"/>
      <c r="K269" s="135"/>
      <c r="L269" s="135"/>
      <c r="M269" s="99"/>
      <c r="N269" s="111"/>
      <c r="O269" s="112"/>
      <c r="P269" s="94"/>
      <c r="Q269" s="120"/>
      <c r="R269" s="113"/>
      <c r="S269" s="94"/>
      <c r="T269" s="94"/>
      <c r="V269" s="104"/>
    </row>
    <row r="270" ht="15.75" customHeight="1">
      <c r="A270" s="91"/>
      <c r="B270" s="131"/>
      <c r="C270" s="132"/>
      <c r="D270" s="94"/>
      <c r="E270" s="132"/>
      <c r="F270" s="132"/>
      <c r="G270" s="94"/>
      <c r="H270" s="132"/>
      <c r="I270" s="94"/>
      <c r="J270" s="94"/>
      <c r="K270" s="135"/>
      <c r="L270" s="135"/>
      <c r="M270" s="99"/>
      <c r="N270" s="111"/>
      <c r="O270" s="112"/>
      <c r="P270" s="94"/>
      <c r="Q270" s="120"/>
      <c r="R270" s="113"/>
      <c r="S270" s="94"/>
      <c r="T270" s="94"/>
      <c r="V270" s="104"/>
    </row>
    <row r="271" ht="15.75" customHeight="1">
      <c r="A271" s="91"/>
      <c r="B271" s="131"/>
      <c r="C271" s="104"/>
      <c r="D271" s="94"/>
      <c r="E271" s="132"/>
      <c r="F271" s="132"/>
      <c r="G271" s="94"/>
      <c r="H271" s="132"/>
      <c r="I271" s="94"/>
      <c r="J271" s="94"/>
      <c r="K271" s="135"/>
      <c r="L271" s="135"/>
      <c r="M271" s="99"/>
      <c r="N271" s="111"/>
      <c r="O271" s="112"/>
      <c r="P271" s="94"/>
      <c r="Q271" s="120"/>
      <c r="R271" s="113"/>
      <c r="S271" s="94"/>
      <c r="T271" s="94"/>
      <c r="V271" s="104"/>
    </row>
    <row r="272" ht="15.75" customHeight="1">
      <c r="A272" s="91"/>
      <c r="B272" s="131"/>
      <c r="C272" s="132"/>
      <c r="D272" s="94"/>
      <c r="E272" s="132"/>
      <c r="F272" s="132"/>
      <c r="G272" s="94"/>
      <c r="H272" s="132"/>
      <c r="I272" s="94"/>
      <c r="J272" s="94"/>
      <c r="K272" s="135"/>
      <c r="L272" s="135"/>
      <c r="M272" s="99"/>
      <c r="N272" s="111"/>
      <c r="O272" s="112"/>
      <c r="P272" s="94"/>
      <c r="Q272" s="120"/>
      <c r="R272" s="113"/>
      <c r="S272" s="94"/>
      <c r="T272" s="94"/>
      <c r="V272" s="104"/>
    </row>
    <row r="273" ht="15.75" customHeight="1">
      <c r="A273" s="91"/>
      <c r="B273" s="131"/>
      <c r="C273" s="132"/>
      <c r="D273" s="94"/>
      <c r="E273" s="132"/>
      <c r="F273" s="132"/>
      <c r="G273" s="94"/>
      <c r="H273" s="132"/>
      <c r="I273" s="94"/>
      <c r="J273" s="94"/>
      <c r="K273" s="135"/>
      <c r="L273" s="135"/>
      <c r="M273" s="99"/>
      <c r="N273" s="111"/>
      <c r="O273" s="112"/>
      <c r="P273" s="94"/>
      <c r="Q273" s="120"/>
      <c r="R273" s="113"/>
      <c r="S273" s="94"/>
      <c r="T273" s="94"/>
      <c r="V273" s="104"/>
    </row>
    <row r="274" ht="15.75" customHeight="1">
      <c r="A274" s="91"/>
      <c r="B274" s="131"/>
      <c r="C274" s="132"/>
      <c r="D274" s="94"/>
      <c r="E274" s="132"/>
      <c r="F274" s="132"/>
      <c r="G274" s="94"/>
      <c r="H274" s="132"/>
      <c r="I274" s="94"/>
      <c r="J274" s="94"/>
      <c r="K274" s="135"/>
      <c r="L274" s="135"/>
      <c r="M274" s="99"/>
      <c r="N274" s="111"/>
      <c r="O274" s="112"/>
      <c r="P274" s="94"/>
      <c r="Q274" s="120"/>
      <c r="R274" s="113"/>
      <c r="S274" s="94"/>
      <c r="T274" s="94"/>
      <c r="V274" s="104"/>
    </row>
    <row r="275" ht="15.75" customHeight="1">
      <c r="A275" s="91"/>
      <c r="B275" s="131"/>
      <c r="C275" s="132"/>
      <c r="D275" s="94"/>
      <c r="E275" s="132"/>
      <c r="F275" s="132"/>
      <c r="G275" s="94"/>
      <c r="H275" s="132"/>
      <c r="I275" s="94"/>
      <c r="J275" s="94"/>
      <c r="K275" s="135"/>
      <c r="L275" s="135"/>
      <c r="M275" s="99"/>
      <c r="N275" s="111"/>
      <c r="O275" s="112"/>
      <c r="P275" s="94"/>
      <c r="Q275" s="120"/>
      <c r="R275" s="113"/>
      <c r="S275" s="94"/>
      <c r="T275" s="94"/>
      <c r="V275" s="104"/>
    </row>
    <row r="276" ht="15.75" customHeight="1">
      <c r="A276" s="91"/>
      <c r="B276" s="131"/>
      <c r="C276" s="132"/>
      <c r="D276" s="94"/>
      <c r="E276" s="132"/>
      <c r="F276" s="132"/>
      <c r="G276" s="94"/>
      <c r="H276" s="132"/>
      <c r="I276" s="94"/>
      <c r="J276" s="94"/>
      <c r="K276" s="135"/>
      <c r="L276" s="135"/>
      <c r="M276" s="99"/>
      <c r="N276" s="111"/>
      <c r="O276" s="112"/>
      <c r="P276" s="94"/>
      <c r="Q276" s="120"/>
      <c r="R276" s="113"/>
      <c r="S276" s="94"/>
      <c r="T276" s="94"/>
      <c r="V276" s="104"/>
    </row>
    <row r="277" ht="15.75" customHeight="1">
      <c r="A277" s="91"/>
      <c r="B277" s="131"/>
      <c r="C277" s="104"/>
      <c r="D277" s="94"/>
      <c r="E277" s="132"/>
      <c r="F277" s="132"/>
      <c r="G277" s="94"/>
      <c r="H277" s="132"/>
      <c r="I277" s="94"/>
      <c r="J277" s="94"/>
      <c r="K277" s="135"/>
      <c r="L277" s="135"/>
      <c r="M277" s="99"/>
      <c r="N277" s="111"/>
      <c r="O277" s="112"/>
      <c r="P277" s="94"/>
      <c r="Q277" s="120"/>
      <c r="R277" s="113"/>
      <c r="S277" s="94"/>
      <c r="T277" s="94"/>
      <c r="V277" s="104"/>
    </row>
    <row r="278" ht="15.75" customHeight="1">
      <c r="A278" s="91"/>
      <c r="B278" s="131"/>
      <c r="C278" s="132"/>
      <c r="D278" s="94"/>
      <c r="E278" s="132"/>
      <c r="F278" s="132"/>
      <c r="G278" s="94"/>
      <c r="H278" s="132"/>
      <c r="I278" s="94"/>
      <c r="J278" s="94"/>
      <c r="K278" s="135"/>
      <c r="L278" s="135"/>
      <c r="M278" s="99"/>
      <c r="N278" s="111"/>
      <c r="O278" s="112"/>
      <c r="P278" s="94"/>
      <c r="Q278" s="120"/>
      <c r="R278" s="113"/>
      <c r="S278" s="94"/>
      <c r="T278" s="94"/>
      <c r="V278" s="104"/>
    </row>
    <row r="279" ht="15.75" customHeight="1">
      <c r="A279" s="91"/>
      <c r="B279" s="131"/>
      <c r="C279" s="132"/>
      <c r="D279" s="94"/>
      <c r="E279" s="132"/>
      <c r="F279" s="132"/>
      <c r="G279" s="94"/>
      <c r="H279" s="132"/>
      <c r="I279" s="94"/>
      <c r="J279" s="94"/>
      <c r="K279" s="135"/>
      <c r="L279" s="135"/>
      <c r="M279" s="99"/>
      <c r="N279" s="111"/>
      <c r="O279" s="112"/>
      <c r="P279" s="94"/>
      <c r="Q279" s="120"/>
      <c r="R279" s="113"/>
      <c r="S279" s="94"/>
      <c r="T279" s="94"/>
      <c r="V279" s="104"/>
    </row>
    <row r="280" ht="15.75" customHeight="1">
      <c r="A280" s="91"/>
      <c r="B280" s="131"/>
      <c r="C280" s="132"/>
      <c r="D280" s="94"/>
      <c r="E280" s="132"/>
      <c r="F280" s="132"/>
      <c r="G280" s="94"/>
      <c r="H280" s="132"/>
      <c r="I280" s="94"/>
      <c r="J280" s="94"/>
      <c r="K280" s="135"/>
      <c r="L280" s="135"/>
      <c r="M280" s="99"/>
      <c r="N280" s="111"/>
      <c r="O280" s="112"/>
      <c r="P280" s="94"/>
      <c r="Q280" s="120"/>
      <c r="R280" s="113"/>
      <c r="S280" s="94"/>
      <c r="T280" s="94"/>
      <c r="V280" s="104"/>
    </row>
    <row r="281" ht="15.75" customHeight="1">
      <c r="A281" s="91"/>
      <c r="B281" s="131"/>
      <c r="C281" s="132"/>
      <c r="D281" s="94"/>
      <c r="E281" s="132"/>
      <c r="F281" s="132"/>
      <c r="G281" s="94"/>
      <c r="H281" s="132"/>
      <c r="I281" s="94"/>
      <c r="J281" s="94"/>
      <c r="K281" s="135"/>
      <c r="L281" s="135"/>
      <c r="M281" s="99"/>
      <c r="N281" s="111"/>
      <c r="O281" s="112"/>
      <c r="P281" s="94"/>
      <c r="Q281" s="120"/>
      <c r="R281" s="113"/>
      <c r="S281" s="94"/>
      <c r="T281" s="94"/>
      <c r="V281" s="104"/>
    </row>
    <row r="282" ht="15.75" customHeight="1">
      <c r="A282" s="91"/>
      <c r="B282" s="131"/>
      <c r="C282" s="132"/>
      <c r="D282" s="94"/>
      <c r="E282" s="132"/>
      <c r="F282" s="132"/>
      <c r="G282" s="94"/>
      <c r="H282" s="132"/>
      <c r="I282" s="94"/>
      <c r="J282" s="94"/>
      <c r="K282" s="135"/>
      <c r="L282" s="135"/>
      <c r="M282" s="99"/>
      <c r="N282" s="111"/>
      <c r="O282" s="112"/>
      <c r="P282" s="94"/>
      <c r="Q282" s="120"/>
      <c r="R282" s="113"/>
      <c r="S282" s="94"/>
      <c r="T282" s="94"/>
      <c r="V282" s="104"/>
    </row>
    <row r="283" ht="15.75" customHeight="1">
      <c r="A283" s="91"/>
      <c r="B283" s="131"/>
      <c r="C283" s="104"/>
      <c r="D283" s="94"/>
      <c r="E283" s="132"/>
      <c r="F283" s="132"/>
      <c r="G283" s="94"/>
      <c r="H283" s="132"/>
      <c r="I283" s="94"/>
      <c r="J283" s="94"/>
      <c r="K283" s="135"/>
      <c r="L283" s="135"/>
      <c r="M283" s="99"/>
      <c r="N283" s="111"/>
      <c r="O283" s="112"/>
      <c r="P283" s="94"/>
      <c r="Q283" s="120"/>
      <c r="R283" s="113"/>
      <c r="S283" s="94"/>
      <c r="T283" s="94"/>
      <c r="V283" s="104"/>
    </row>
    <row r="284" ht="15.75" customHeight="1">
      <c r="A284" s="91"/>
      <c r="B284" s="131"/>
      <c r="C284" s="132"/>
      <c r="D284" s="94"/>
      <c r="E284" s="132"/>
      <c r="F284" s="132"/>
      <c r="G284" s="94"/>
      <c r="H284" s="132"/>
      <c r="I284" s="94"/>
      <c r="J284" s="94"/>
      <c r="K284" s="135"/>
      <c r="L284" s="135"/>
      <c r="M284" s="99"/>
      <c r="N284" s="111"/>
      <c r="O284" s="112"/>
      <c r="P284" s="94"/>
      <c r="Q284" s="120"/>
      <c r="R284" s="113"/>
      <c r="S284" s="94"/>
      <c r="T284" s="94"/>
      <c r="V284" s="104"/>
    </row>
    <row r="285" ht="15.75" customHeight="1">
      <c r="A285" s="91"/>
      <c r="B285" s="131"/>
      <c r="C285" s="132"/>
      <c r="D285" s="94"/>
      <c r="E285" s="132"/>
      <c r="F285" s="132"/>
      <c r="G285" s="94"/>
      <c r="H285" s="132"/>
      <c r="I285" s="94"/>
      <c r="J285" s="94"/>
      <c r="K285" s="135"/>
      <c r="L285" s="135"/>
      <c r="M285" s="99"/>
      <c r="N285" s="111"/>
      <c r="O285" s="112"/>
      <c r="P285" s="94"/>
      <c r="Q285" s="120"/>
      <c r="R285" s="113"/>
      <c r="S285" s="94"/>
      <c r="T285" s="94"/>
      <c r="V285" s="104"/>
    </row>
    <row r="286" ht="15.75" customHeight="1">
      <c r="A286" s="91"/>
      <c r="B286" s="131"/>
      <c r="C286" s="132"/>
      <c r="D286" s="94"/>
      <c r="E286" s="132"/>
      <c r="F286" s="132"/>
      <c r="G286" s="94"/>
      <c r="H286" s="132"/>
      <c r="I286" s="94"/>
      <c r="J286" s="94"/>
      <c r="K286" s="135"/>
      <c r="L286" s="135"/>
      <c r="M286" s="99"/>
      <c r="N286" s="111"/>
      <c r="O286" s="112"/>
      <c r="P286" s="94"/>
      <c r="Q286" s="120"/>
      <c r="R286" s="113"/>
      <c r="S286" s="94"/>
      <c r="T286" s="94"/>
      <c r="V286" s="104"/>
    </row>
    <row r="287" ht="15.75" customHeight="1">
      <c r="A287" s="91"/>
      <c r="B287" s="131"/>
      <c r="C287" s="132"/>
      <c r="D287" s="94"/>
      <c r="E287" s="132"/>
      <c r="F287" s="132"/>
      <c r="G287" s="94"/>
      <c r="H287" s="132"/>
      <c r="I287" s="94"/>
      <c r="J287" s="94"/>
      <c r="K287" s="135"/>
      <c r="L287" s="135"/>
      <c r="M287" s="99"/>
      <c r="N287" s="111"/>
      <c r="O287" s="112"/>
      <c r="P287" s="94"/>
      <c r="Q287" s="120"/>
      <c r="R287" s="113"/>
      <c r="S287" s="94"/>
      <c r="T287" s="94"/>
      <c r="V287" s="104"/>
    </row>
    <row r="288" ht="15.75" customHeight="1">
      <c r="A288" s="91"/>
      <c r="B288" s="131"/>
      <c r="C288" s="132"/>
      <c r="D288" s="94"/>
      <c r="E288" s="132"/>
      <c r="F288" s="132"/>
      <c r="G288" s="94"/>
      <c r="H288" s="132"/>
      <c r="I288" s="94"/>
      <c r="J288" s="94"/>
      <c r="K288" s="135"/>
      <c r="L288" s="135"/>
      <c r="M288" s="99"/>
      <c r="N288" s="111"/>
      <c r="O288" s="112"/>
      <c r="P288" s="94"/>
      <c r="Q288" s="120"/>
      <c r="R288" s="113"/>
      <c r="S288" s="94"/>
      <c r="T288" s="94"/>
      <c r="V288" s="104"/>
    </row>
    <row r="289" ht="15.75" customHeight="1">
      <c r="A289" s="91"/>
      <c r="B289" s="131"/>
      <c r="C289" s="104"/>
      <c r="D289" s="94"/>
      <c r="E289" s="132"/>
      <c r="F289" s="132"/>
      <c r="G289" s="94"/>
      <c r="H289" s="132"/>
      <c r="I289" s="94"/>
      <c r="J289" s="94"/>
      <c r="K289" s="135"/>
      <c r="L289" s="135"/>
      <c r="M289" s="99"/>
      <c r="N289" s="111"/>
      <c r="O289" s="112"/>
      <c r="P289" s="94"/>
      <c r="Q289" s="120"/>
      <c r="R289" s="113"/>
      <c r="S289" s="94"/>
      <c r="T289" s="94"/>
      <c r="V289" s="104"/>
    </row>
    <row r="290" ht="15.75" customHeight="1">
      <c r="A290" s="91"/>
      <c r="B290" s="131"/>
      <c r="C290" s="132"/>
      <c r="D290" s="94"/>
      <c r="E290" s="132"/>
      <c r="F290" s="132"/>
      <c r="G290" s="94"/>
      <c r="H290" s="132"/>
      <c r="I290" s="94"/>
      <c r="J290" s="94"/>
      <c r="K290" s="135"/>
      <c r="L290" s="135"/>
      <c r="M290" s="99"/>
      <c r="N290" s="111"/>
      <c r="O290" s="112"/>
      <c r="P290" s="94"/>
      <c r="Q290" s="120"/>
      <c r="R290" s="113"/>
      <c r="S290" s="94"/>
      <c r="T290" s="94"/>
      <c r="V290" s="104"/>
    </row>
    <row r="291" ht="15.75" customHeight="1">
      <c r="A291" s="91"/>
      <c r="B291" s="131"/>
      <c r="C291" s="132"/>
      <c r="D291" s="94"/>
      <c r="E291" s="132"/>
      <c r="F291" s="132"/>
      <c r="G291" s="94"/>
      <c r="H291" s="132"/>
      <c r="I291" s="94"/>
      <c r="J291" s="94"/>
      <c r="K291" s="135"/>
      <c r="L291" s="135"/>
      <c r="M291" s="99"/>
      <c r="N291" s="111"/>
      <c r="O291" s="112"/>
      <c r="P291" s="94"/>
      <c r="Q291" s="120"/>
      <c r="R291" s="113"/>
      <c r="S291" s="94"/>
      <c r="T291" s="94"/>
      <c r="V291" s="104"/>
    </row>
    <row r="292" ht="15.75" customHeight="1">
      <c r="A292" s="91"/>
      <c r="B292" s="131"/>
      <c r="C292" s="132"/>
      <c r="D292" s="94"/>
      <c r="E292" s="132"/>
      <c r="F292" s="132"/>
      <c r="G292" s="94"/>
      <c r="H292" s="132"/>
      <c r="I292" s="94"/>
      <c r="J292" s="94"/>
      <c r="K292" s="135"/>
      <c r="L292" s="135"/>
      <c r="M292" s="99"/>
      <c r="N292" s="111"/>
      <c r="O292" s="112"/>
      <c r="P292" s="94"/>
      <c r="Q292" s="120"/>
      <c r="R292" s="113"/>
      <c r="S292" s="94"/>
      <c r="T292" s="94"/>
      <c r="V292" s="104"/>
    </row>
    <row r="293" ht="15.75" customHeight="1">
      <c r="A293" s="91"/>
      <c r="B293" s="131"/>
      <c r="C293" s="132"/>
      <c r="D293" s="94"/>
      <c r="E293" s="132"/>
      <c r="F293" s="132"/>
      <c r="G293" s="94"/>
      <c r="H293" s="132"/>
      <c r="I293" s="94"/>
      <c r="J293" s="94"/>
      <c r="K293" s="135"/>
      <c r="L293" s="135"/>
      <c r="M293" s="99"/>
      <c r="N293" s="111"/>
      <c r="O293" s="112"/>
      <c r="P293" s="94"/>
      <c r="Q293" s="120"/>
      <c r="R293" s="113"/>
      <c r="S293" s="94"/>
      <c r="T293" s="94"/>
      <c r="V293" s="104"/>
    </row>
    <row r="294" ht="15.75" customHeight="1">
      <c r="A294" s="91"/>
      <c r="B294" s="131"/>
      <c r="C294" s="132"/>
      <c r="D294" s="94"/>
      <c r="E294" s="132"/>
      <c r="F294" s="132"/>
      <c r="G294" s="94"/>
      <c r="H294" s="132"/>
      <c r="I294" s="94"/>
      <c r="J294" s="94"/>
      <c r="K294" s="135"/>
      <c r="L294" s="135"/>
      <c r="M294" s="99"/>
      <c r="N294" s="111"/>
      <c r="O294" s="112"/>
      <c r="P294" s="94"/>
      <c r="Q294" s="120"/>
      <c r="R294" s="113"/>
      <c r="S294" s="94"/>
      <c r="T294" s="94"/>
      <c r="V294" s="104"/>
    </row>
    <row r="295" ht="15.75" customHeight="1">
      <c r="A295" s="91"/>
      <c r="B295" s="131"/>
      <c r="C295" s="104"/>
      <c r="D295" s="94"/>
      <c r="E295" s="132"/>
      <c r="F295" s="132"/>
      <c r="G295" s="94"/>
      <c r="H295" s="132"/>
      <c r="I295" s="94"/>
      <c r="J295" s="94"/>
      <c r="K295" s="135"/>
      <c r="L295" s="135"/>
      <c r="M295" s="99"/>
      <c r="N295" s="111"/>
      <c r="O295" s="112"/>
      <c r="P295" s="94"/>
      <c r="Q295" s="120"/>
      <c r="R295" s="113"/>
      <c r="S295" s="94"/>
      <c r="T295" s="94"/>
      <c r="V295" s="104"/>
    </row>
    <row r="296" ht="15.75" customHeight="1">
      <c r="A296" s="91"/>
      <c r="B296" s="131"/>
      <c r="C296" s="132"/>
      <c r="D296" s="94"/>
      <c r="E296" s="132"/>
      <c r="F296" s="132"/>
      <c r="G296" s="94"/>
      <c r="H296" s="132"/>
      <c r="I296" s="94"/>
      <c r="J296" s="94"/>
      <c r="K296" s="135"/>
      <c r="L296" s="135"/>
      <c r="M296" s="99"/>
      <c r="N296" s="111"/>
      <c r="O296" s="112"/>
      <c r="P296" s="94"/>
      <c r="Q296" s="120"/>
      <c r="R296" s="113"/>
      <c r="S296" s="94"/>
      <c r="T296" s="94"/>
      <c r="V296" s="104"/>
    </row>
    <row r="297" ht="15.75" customHeight="1">
      <c r="A297" s="91"/>
      <c r="B297" s="131"/>
      <c r="C297" s="132"/>
      <c r="D297" s="94"/>
      <c r="E297" s="132"/>
      <c r="F297" s="132"/>
      <c r="G297" s="94"/>
      <c r="H297" s="132"/>
      <c r="I297" s="94"/>
      <c r="J297" s="94"/>
      <c r="K297" s="135"/>
      <c r="L297" s="135"/>
      <c r="M297" s="99"/>
      <c r="N297" s="111"/>
      <c r="O297" s="112"/>
      <c r="P297" s="94"/>
      <c r="Q297" s="120"/>
      <c r="R297" s="113"/>
      <c r="S297" s="94"/>
      <c r="T297" s="94"/>
      <c r="V297" s="104"/>
    </row>
    <row r="298" ht="15.75" customHeight="1">
      <c r="A298" s="91"/>
      <c r="B298" s="131"/>
      <c r="C298" s="132"/>
      <c r="D298" s="94"/>
      <c r="E298" s="132"/>
      <c r="F298" s="132"/>
      <c r="G298" s="94"/>
      <c r="H298" s="132"/>
      <c r="I298" s="94"/>
      <c r="J298" s="94"/>
      <c r="K298" s="135"/>
      <c r="L298" s="135"/>
      <c r="M298" s="99"/>
      <c r="N298" s="111"/>
      <c r="O298" s="112"/>
      <c r="P298" s="94"/>
      <c r="Q298" s="120"/>
      <c r="R298" s="113"/>
      <c r="S298" s="94"/>
      <c r="T298" s="94"/>
      <c r="V298" s="104"/>
    </row>
    <row r="299" ht="15.75" customHeight="1">
      <c r="A299" s="91"/>
      <c r="B299" s="131"/>
      <c r="C299" s="132"/>
      <c r="D299" s="94"/>
      <c r="E299" s="132"/>
      <c r="F299" s="132"/>
      <c r="G299" s="94"/>
      <c r="H299" s="132"/>
      <c r="I299" s="94"/>
      <c r="J299" s="94"/>
      <c r="K299" s="135"/>
      <c r="L299" s="135"/>
      <c r="M299" s="99"/>
      <c r="N299" s="111"/>
      <c r="O299" s="112"/>
      <c r="P299" s="94"/>
      <c r="Q299" s="120"/>
      <c r="R299" s="113"/>
      <c r="S299" s="94"/>
      <c r="T299" s="94"/>
      <c r="V299" s="104"/>
    </row>
    <row r="300" ht="15.75" customHeight="1">
      <c r="A300" s="91"/>
      <c r="B300" s="131"/>
      <c r="C300" s="132"/>
      <c r="D300" s="94"/>
      <c r="E300" s="132"/>
      <c r="F300" s="132"/>
      <c r="G300" s="94"/>
      <c r="H300" s="132"/>
      <c r="I300" s="94"/>
      <c r="J300" s="94"/>
      <c r="K300" s="135"/>
      <c r="L300" s="135"/>
      <c r="M300" s="99"/>
      <c r="N300" s="111"/>
      <c r="O300" s="112"/>
      <c r="P300" s="94"/>
      <c r="Q300" s="120"/>
      <c r="R300" s="113"/>
      <c r="S300" s="94"/>
      <c r="T300" s="94"/>
      <c r="V300" s="104"/>
    </row>
    <row r="301" ht="15.75" customHeight="1">
      <c r="A301" s="91"/>
      <c r="B301" s="131"/>
      <c r="C301" s="104"/>
      <c r="D301" s="94"/>
      <c r="E301" s="132"/>
      <c r="F301" s="132"/>
      <c r="G301" s="94"/>
      <c r="H301" s="132"/>
      <c r="I301" s="94"/>
      <c r="J301" s="94"/>
      <c r="K301" s="135"/>
      <c r="L301" s="135"/>
      <c r="M301" s="99"/>
      <c r="N301" s="111"/>
      <c r="O301" s="112"/>
      <c r="P301" s="94"/>
      <c r="Q301" s="120"/>
      <c r="R301" s="113"/>
      <c r="S301" s="94"/>
      <c r="T301" s="94"/>
      <c r="V301" s="104"/>
    </row>
    <row r="302" ht="15.75" customHeight="1">
      <c r="A302" s="91"/>
      <c r="B302" s="131"/>
      <c r="C302" s="132"/>
      <c r="D302" s="94"/>
      <c r="E302" s="132"/>
      <c r="F302" s="132"/>
      <c r="G302" s="94"/>
      <c r="H302" s="132"/>
      <c r="I302" s="94"/>
      <c r="J302" s="94"/>
      <c r="K302" s="135"/>
      <c r="L302" s="135"/>
      <c r="M302" s="99"/>
      <c r="N302" s="111"/>
      <c r="O302" s="112"/>
      <c r="P302" s="94"/>
      <c r="Q302" s="120"/>
      <c r="R302" s="113"/>
      <c r="S302" s="94"/>
      <c r="T302" s="94"/>
      <c r="V302" s="104"/>
    </row>
    <row r="303" ht="15.75" customHeight="1">
      <c r="A303" s="91"/>
      <c r="B303" s="131"/>
      <c r="C303" s="132"/>
      <c r="D303" s="94"/>
      <c r="E303" s="132"/>
      <c r="F303" s="132"/>
      <c r="G303" s="94"/>
      <c r="H303" s="132"/>
      <c r="I303" s="94"/>
      <c r="J303" s="94"/>
      <c r="K303" s="135"/>
      <c r="L303" s="135"/>
      <c r="M303" s="99"/>
      <c r="N303" s="111"/>
      <c r="O303" s="112"/>
      <c r="P303" s="94"/>
      <c r="Q303" s="120"/>
      <c r="R303" s="113"/>
      <c r="S303" s="94"/>
      <c r="T303" s="94"/>
      <c r="V303" s="104"/>
    </row>
    <row r="304" ht="15.75" customHeight="1">
      <c r="A304" s="91"/>
      <c r="B304" s="131"/>
      <c r="C304" s="132"/>
      <c r="D304" s="94"/>
      <c r="E304" s="132"/>
      <c r="F304" s="132"/>
      <c r="G304" s="94"/>
      <c r="H304" s="132"/>
      <c r="I304" s="94"/>
      <c r="J304" s="94"/>
      <c r="K304" s="135"/>
      <c r="L304" s="135"/>
      <c r="M304" s="99"/>
      <c r="N304" s="111"/>
      <c r="O304" s="112"/>
      <c r="P304" s="94"/>
      <c r="Q304" s="120"/>
      <c r="R304" s="113"/>
      <c r="S304" s="94"/>
      <c r="T304" s="94"/>
      <c r="V304" s="104"/>
    </row>
    <row r="305" ht="15.75" customHeight="1">
      <c r="A305" s="91"/>
      <c r="B305" s="131"/>
      <c r="C305" s="132"/>
      <c r="D305" s="94"/>
      <c r="E305" s="132"/>
      <c r="F305" s="132"/>
      <c r="G305" s="94"/>
      <c r="H305" s="132"/>
      <c r="I305" s="94"/>
      <c r="J305" s="94"/>
      <c r="K305" s="135"/>
      <c r="L305" s="135"/>
      <c r="M305" s="99"/>
      <c r="N305" s="111"/>
      <c r="O305" s="112"/>
      <c r="P305" s="94"/>
      <c r="Q305" s="120"/>
      <c r="R305" s="113"/>
      <c r="S305" s="94"/>
      <c r="T305" s="94"/>
      <c r="V305" s="104"/>
    </row>
    <row r="306" ht="15.75" customHeight="1">
      <c r="A306" s="91"/>
      <c r="B306" s="131"/>
      <c r="C306" s="132"/>
      <c r="D306" s="94"/>
      <c r="E306" s="132"/>
      <c r="F306" s="132"/>
      <c r="G306" s="94"/>
      <c r="H306" s="132"/>
      <c r="I306" s="94"/>
      <c r="J306" s="94"/>
      <c r="K306" s="135"/>
      <c r="L306" s="135"/>
      <c r="M306" s="99"/>
      <c r="N306" s="111"/>
      <c r="O306" s="112"/>
      <c r="P306" s="94"/>
      <c r="Q306" s="120"/>
      <c r="R306" s="113"/>
      <c r="S306" s="94"/>
      <c r="T306" s="94"/>
      <c r="V306" s="104"/>
    </row>
    <row r="307" ht="15.75" customHeight="1">
      <c r="A307" s="91"/>
      <c r="B307" s="131"/>
      <c r="C307" s="104"/>
      <c r="D307" s="94"/>
      <c r="E307" s="132"/>
      <c r="F307" s="132"/>
      <c r="G307" s="94"/>
      <c r="H307" s="132"/>
      <c r="I307" s="94"/>
      <c r="J307" s="94"/>
      <c r="K307" s="135"/>
      <c r="L307" s="135"/>
      <c r="M307" s="99"/>
      <c r="N307" s="111"/>
      <c r="O307" s="112"/>
      <c r="P307" s="94"/>
      <c r="Q307" s="120"/>
      <c r="R307" s="113"/>
      <c r="S307" s="94"/>
      <c r="T307" s="94"/>
      <c r="V307" s="104"/>
    </row>
    <row r="308" ht="15.75" customHeight="1">
      <c r="A308" s="91"/>
      <c r="B308" s="131"/>
      <c r="C308" s="132"/>
      <c r="D308" s="94"/>
      <c r="E308" s="132"/>
      <c r="F308" s="132"/>
      <c r="G308" s="94"/>
      <c r="H308" s="132"/>
      <c r="I308" s="94"/>
      <c r="J308" s="94"/>
      <c r="K308" s="135"/>
      <c r="L308" s="135"/>
      <c r="M308" s="99"/>
      <c r="N308" s="111"/>
      <c r="O308" s="112"/>
      <c r="P308" s="94"/>
      <c r="Q308" s="120"/>
      <c r="R308" s="113"/>
      <c r="S308" s="94"/>
      <c r="T308" s="94"/>
      <c r="V308" s="104"/>
    </row>
    <row r="309" ht="15.75" customHeight="1">
      <c r="A309" s="91"/>
      <c r="B309" s="131"/>
      <c r="C309" s="132"/>
      <c r="D309" s="94"/>
      <c r="E309" s="132"/>
      <c r="F309" s="132"/>
      <c r="G309" s="94"/>
      <c r="H309" s="132"/>
      <c r="I309" s="94"/>
      <c r="J309" s="94"/>
      <c r="K309" s="135"/>
      <c r="L309" s="135"/>
      <c r="M309" s="99"/>
      <c r="N309" s="111"/>
      <c r="O309" s="112"/>
      <c r="P309" s="94"/>
      <c r="Q309" s="120"/>
      <c r="R309" s="113"/>
      <c r="S309" s="94"/>
      <c r="T309" s="94"/>
      <c r="V309" s="104"/>
    </row>
    <row r="310" ht="15.75" customHeight="1">
      <c r="A310" s="91"/>
      <c r="B310" s="131"/>
      <c r="C310" s="132"/>
      <c r="D310" s="94"/>
      <c r="E310" s="132"/>
      <c r="F310" s="132"/>
      <c r="G310" s="94"/>
      <c r="H310" s="132"/>
      <c r="I310" s="94"/>
      <c r="J310" s="94"/>
      <c r="K310" s="135"/>
      <c r="L310" s="135"/>
      <c r="M310" s="99"/>
      <c r="N310" s="111"/>
      <c r="O310" s="112"/>
      <c r="P310" s="94"/>
      <c r="Q310" s="120"/>
      <c r="R310" s="113"/>
      <c r="S310" s="94"/>
      <c r="T310" s="94"/>
      <c r="V310" s="104"/>
    </row>
    <row r="311" ht="15.75" customHeight="1">
      <c r="A311" s="91"/>
      <c r="B311" s="131"/>
      <c r="C311" s="132"/>
      <c r="D311" s="94"/>
      <c r="E311" s="132"/>
      <c r="F311" s="132"/>
      <c r="G311" s="94"/>
      <c r="H311" s="132"/>
      <c r="I311" s="94"/>
      <c r="J311" s="94"/>
      <c r="K311" s="135"/>
      <c r="L311" s="135"/>
      <c r="M311" s="99"/>
      <c r="N311" s="111"/>
      <c r="O311" s="112"/>
      <c r="P311" s="94"/>
      <c r="Q311" s="120"/>
      <c r="R311" s="113"/>
      <c r="S311" s="94"/>
      <c r="T311" s="94"/>
      <c r="V311" s="104"/>
    </row>
    <row r="312" ht="15.75" customHeight="1">
      <c r="A312" s="91"/>
      <c r="B312" s="131"/>
      <c r="C312" s="132"/>
      <c r="D312" s="94"/>
      <c r="E312" s="132"/>
      <c r="F312" s="132"/>
      <c r="G312" s="94"/>
      <c r="H312" s="132"/>
      <c r="I312" s="94"/>
      <c r="J312" s="94"/>
      <c r="K312" s="135"/>
      <c r="L312" s="135"/>
      <c r="M312" s="99"/>
      <c r="N312" s="111"/>
      <c r="O312" s="112"/>
      <c r="P312" s="94"/>
      <c r="Q312" s="120"/>
      <c r="R312" s="113"/>
      <c r="S312" s="94"/>
      <c r="T312" s="94"/>
      <c r="V312" s="104"/>
    </row>
    <row r="313" ht="15.75" customHeight="1">
      <c r="A313" s="91"/>
      <c r="B313" s="131"/>
      <c r="C313" s="104"/>
      <c r="D313" s="94"/>
      <c r="E313" s="132"/>
      <c r="F313" s="132"/>
      <c r="G313" s="94"/>
      <c r="H313" s="132"/>
      <c r="I313" s="94"/>
      <c r="J313" s="94"/>
      <c r="K313" s="135"/>
      <c r="L313" s="135"/>
      <c r="M313" s="99"/>
      <c r="N313" s="111"/>
      <c r="O313" s="112"/>
      <c r="P313" s="94"/>
      <c r="Q313" s="120"/>
      <c r="R313" s="113"/>
      <c r="S313" s="94"/>
      <c r="T313" s="94"/>
      <c r="V313" s="104"/>
    </row>
    <row r="314" ht="15.75" customHeight="1">
      <c r="A314" s="91"/>
      <c r="B314" s="131"/>
      <c r="C314" s="132"/>
      <c r="D314" s="94"/>
      <c r="E314" s="132"/>
      <c r="F314" s="132"/>
      <c r="G314" s="94"/>
      <c r="H314" s="132"/>
      <c r="I314" s="94"/>
      <c r="J314" s="94"/>
      <c r="K314" s="135"/>
      <c r="L314" s="135"/>
      <c r="M314" s="99"/>
      <c r="N314" s="111"/>
      <c r="O314" s="112"/>
      <c r="P314" s="94"/>
      <c r="Q314" s="120"/>
      <c r="R314" s="113"/>
      <c r="S314" s="94"/>
      <c r="T314" s="94"/>
      <c r="V314" s="104"/>
    </row>
    <row r="315" ht="15.75" customHeight="1">
      <c r="A315" s="91"/>
      <c r="B315" s="131"/>
      <c r="C315" s="132"/>
      <c r="D315" s="94"/>
      <c r="E315" s="132"/>
      <c r="F315" s="132"/>
      <c r="G315" s="94"/>
      <c r="H315" s="132"/>
      <c r="I315" s="94"/>
      <c r="J315" s="94"/>
      <c r="K315" s="135"/>
      <c r="L315" s="135"/>
      <c r="M315" s="99"/>
      <c r="N315" s="111"/>
      <c r="O315" s="112"/>
      <c r="P315" s="94"/>
      <c r="Q315" s="120"/>
      <c r="R315" s="113"/>
      <c r="S315" s="94"/>
      <c r="T315" s="94"/>
      <c r="V315" s="104"/>
    </row>
    <row r="316" ht="15.75" customHeight="1">
      <c r="A316" s="91"/>
      <c r="B316" s="131"/>
      <c r="C316" s="132"/>
      <c r="D316" s="94"/>
      <c r="E316" s="132"/>
      <c r="F316" s="132"/>
      <c r="G316" s="94"/>
      <c r="H316" s="132"/>
      <c r="I316" s="94"/>
      <c r="J316" s="94"/>
      <c r="K316" s="135"/>
      <c r="L316" s="135"/>
      <c r="M316" s="99"/>
      <c r="N316" s="111"/>
      <c r="O316" s="112"/>
      <c r="P316" s="94"/>
      <c r="Q316" s="120"/>
      <c r="R316" s="113"/>
      <c r="S316" s="94"/>
      <c r="T316" s="94"/>
      <c r="V316" s="104"/>
    </row>
    <row r="317" ht="15.75" customHeight="1">
      <c r="A317" s="91"/>
      <c r="B317" s="131"/>
      <c r="C317" s="132"/>
      <c r="D317" s="94"/>
      <c r="E317" s="132"/>
      <c r="F317" s="132"/>
      <c r="G317" s="94"/>
      <c r="H317" s="132"/>
      <c r="I317" s="94"/>
      <c r="J317" s="94"/>
      <c r="K317" s="135"/>
      <c r="L317" s="135"/>
      <c r="M317" s="99"/>
      <c r="N317" s="111"/>
      <c r="O317" s="112"/>
      <c r="P317" s="94"/>
      <c r="Q317" s="120"/>
      <c r="R317" s="113"/>
      <c r="S317" s="94"/>
      <c r="T317" s="94"/>
      <c r="V317" s="104"/>
    </row>
    <row r="318" ht="15.75" customHeight="1">
      <c r="A318" s="91"/>
      <c r="B318" s="131"/>
      <c r="C318" s="132"/>
      <c r="D318" s="94"/>
      <c r="E318" s="132"/>
      <c r="F318" s="132"/>
      <c r="G318" s="94"/>
      <c r="H318" s="132"/>
      <c r="I318" s="94"/>
      <c r="J318" s="94"/>
      <c r="K318" s="135"/>
      <c r="L318" s="135"/>
      <c r="M318" s="99"/>
      <c r="N318" s="111"/>
      <c r="O318" s="112"/>
      <c r="P318" s="94"/>
      <c r="Q318" s="120"/>
      <c r="R318" s="113"/>
      <c r="S318" s="94"/>
      <c r="T318" s="94"/>
      <c r="V318" s="104"/>
    </row>
    <row r="319" ht="15.75" customHeight="1">
      <c r="A319" s="91"/>
      <c r="B319" s="131"/>
      <c r="C319" s="104"/>
      <c r="D319" s="94"/>
      <c r="E319" s="132"/>
      <c r="F319" s="132"/>
      <c r="G319" s="94"/>
      <c r="H319" s="132"/>
      <c r="I319" s="94"/>
      <c r="J319" s="94"/>
      <c r="K319" s="135"/>
      <c r="L319" s="135"/>
      <c r="M319" s="99"/>
      <c r="N319" s="111"/>
      <c r="O319" s="112"/>
      <c r="P319" s="94"/>
      <c r="Q319" s="120"/>
      <c r="R319" s="113"/>
      <c r="S319" s="94"/>
      <c r="T319" s="94"/>
      <c r="V319" s="104"/>
    </row>
    <row r="320" ht="15.75" customHeight="1">
      <c r="A320" s="91"/>
      <c r="B320" s="131"/>
      <c r="C320" s="132"/>
      <c r="D320" s="94"/>
      <c r="E320" s="132"/>
      <c r="F320" s="132"/>
      <c r="G320" s="94"/>
      <c r="H320" s="132"/>
      <c r="I320" s="94"/>
      <c r="J320" s="94"/>
      <c r="K320" s="135"/>
      <c r="L320" s="135"/>
      <c r="M320" s="99"/>
      <c r="N320" s="111"/>
      <c r="O320" s="112"/>
      <c r="P320" s="94"/>
      <c r="Q320" s="120"/>
      <c r="R320" s="113"/>
      <c r="S320" s="94"/>
      <c r="T320" s="94"/>
      <c r="V320" s="104"/>
    </row>
    <row r="321" ht="15.75" customHeight="1">
      <c r="A321" s="91"/>
      <c r="B321" s="131"/>
      <c r="C321" s="132"/>
      <c r="D321" s="94"/>
      <c r="E321" s="132"/>
      <c r="F321" s="132"/>
      <c r="G321" s="94"/>
      <c r="H321" s="132"/>
      <c r="I321" s="94"/>
      <c r="J321" s="94"/>
      <c r="K321" s="135"/>
      <c r="L321" s="135"/>
      <c r="M321" s="99"/>
      <c r="N321" s="111"/>
      <c r="O321" s="112"/>
      <c r="P321" s="94"/>
      <c r="Q321" s="120"/>
      <c r="R321" s="113"/>
      <c r="S321" s="94"/>
      <c r="T321" s="94"/>
      <c r="V321" s="104"/>
    </row>
    <row r="322" ht="15.75" customHeight="1">
      <c r="A322" s="91"/>
      <c r="B322" s="131"/>
      <c r="C322" s="132"/>
      <c r="D322" s="94"/>
      <c r="E322" s="132"/>
      <c r="F322" s="132"/>
      <c r="G322" s="94"/>
      <c r="H322" s="132"/>
      <c r="I322" s="94"/>
      <c r="J322" s="94"/>
      <c r="K322" s="135"/>
      <c r="L322" s="135"/>
      <c r="M322" s="99"/>
      <c r="N322" s="111"/>
      <c r="O322" s="112"/>
      <c r="P322" s="94"/>
      <c r="Q322" s="120"/>
      <c r="R322" s="113"/>
      <c r="S322" s="94"/>
      <c r="T322" s="94"/>
      <c r="V322" s="104"/>
    </row>
    <row r="323" ht="15.75" customHeight="1">
      <c r="A323" s="91"/>
      <c r="B323" s="131"/>
      <c r="C323" s="132"/>
      <c r="D323" s="94"/>
      <c r="E323" s="132"/>
      <c r="F323" s="132"/>
      <c r="G323" s="94"/>
      <c r="H323" s="132"/>
      <c r="I323" s="94"/>
      <c r="J323" s="94"/>
      <c r="K323" s="135"/>
      <c r="L323" s="135"/>
      <c r="M323" s="99"/>
      <c r="N323" s="111"/>
      <c r="O323" s="112"/>
      <c r="P323" s="94"/>
      <c r="Q323" s="120"/>
      <c r="R323" s="113"/>
      <c r="S323" s="94"/>
      <c r="T323" s="94"/>
      <c r="V323" s="104"/>
    </row>
    <row r="324" ht="15.75" customHeight="1">
      <c r="A324" s="91"/>
      <c r="B324" s="131"/>
      <c r="C324" s="132"/>
      <c r="D324" s="94"/>
      <c r="E324" s="132"/>
      <c r="F324" s="132"/>
      <c r="G324" s="94"/>
      <c r="H324" s="132"/>
      <c r="I324" s="94"/>
      <c r="J324" s="94"/>
      <c r="K324" s="135"/>
      <c r="L324" s="135"/>
      <c r="M324" s="99"/>
      <c r="N324" s="111"/>
      <c r="O324" s="112"/>
      <c r="P324" s="94"/>
      <c r="Q324" s="120"/>
      <c r="R324" s="113"/>
      <c r="S324" s="94"/>
      <c r="T324" s="94"/>
      <c r="V324" s="104"/>
    </row>
    <row r="325" ht="15.75" customHeight="1">
      <c r="A325" s="91"/>
      <c r="B325" s="131"/>
      <c r="C325" s="104"/>
      <c r="D325" s="94"/>
      <c r="E325" s="132"/>
      <c r="F325" s="132"/>
      <c r="G325" s="94"/>
      <c r="H325" s="132"/>
      <c r="I325" s="94"/>
      <c r="J325" s="94"/>
      <c r="K325" s="135"/>
      <c r="L325" s="135"/>
      <c r="M325" s="99"/>
      <c r="N325" s="111"/>
      <c r="O325" s="112"/>
      <c r="P325" s="94"/>
      <c r="Q325" s="120"/>
      <c r="R325" s="113"/>
      <c r="S325" s="94"/>
      <c r="T325" s="94"/>
      <c r="V325" s="104"/>
    </row>
    <row r="326" ht="15.75" customHeight="1">
      <c r="A326" s="91"/>
      <c r="B326" s="131"/>
      <c r="C326" s="132"/>
      <c r="D326" s="94"/>
      <c r="E326" s="132"/>
      <c r="F326" s="132"/>
      <c r="G326" s="94"/>
      <c r="H326" s="132"/>
      <c r="I326" s="94"/>
      <c r="J326" s="94"/>
      <c r="K326" s="135"/>
      <c r="L326" s="135"/>
      <c r="M326" s="99"/>
      <c r="N326" s="111"/>
      <c r="O326" s="112"/>
      <c r="P326" s="94"/>
      <c r="Q326" s="120"/>
      <c r="R326" s="113"/>
      <c r="S326" s="94"/>
      <c r="T326" s="94"/>
      <c r="V326" s="104"/>
    </row>
    <row r="327" ht="15.75" customHeight="1">
      <c r="A327" s="91"/>
      <c r="B327" s="131"/>
      <c r="C327" s="132"/>
      <c r="D327" s="94"/>
      <c r="E327" s="132"/>
      <c r="F327" s="132"/>
      <c r="G327" s="94"/>
      <c r="H327" s="132"/>
      <c r="I327" s="94"/>
      <c r="J327" s="94"/>
      <c r="K327" s="135"/>
      <c r="L327" s="135"/>
      <c r="M327" s="99"/>
      <c r="N327" s="111"/>
      <c r="O327" s="112"/>
      <c r="P327" s="94"/>
      <c r="Q327" s="120"/>
      <c r="R327" s="113"/>
      <c r="S327" s="94"/>
      <c r="T327" s="94"/>
      <c r="V327" s="104"/>
    </row>
    <row r="328" ht="15.75" customHeight="1">
      <c r="A328" s="91"/>
      <c r="B328" s="131"/>
      <c r="C328" s="132"/>
      <c r="D328" s="94"/>
      <c r="E328" s="132"/>
      <c r="F328" s="132"/>
      <c r="G328" s="94"/>
      <c r="H328" s="132"/>
      <c r="I328" s="94"/>
      <c r="J328" s="94"/>
      <c r="K328" s="135"/>
      <c r="L328" s="135"/>
      <c r="M328" s="99"/>
      <c r="N328" s="111"/>
      <c r="O328" s="112"/>
      <c r="P328" s="94"/>
      <c r="Q328" s="120"/>
      <c r="R328" s="113"/>
      <c r="S328" s="94"/>
      <c r="T328" s="94"/>
      <c r="V328" s="104"/>
    </row>
    <row r="329" ht="15.75" customHeight="1">
      <c r="A329" s="91"/>
      <c r="B329" s="131"/>
      <c r="C329" s="132"/>
      <c r="D329" s="94"/>
      <c r="E329" s="132"/>
      <c r="F329" s="132"/>
      <c r="G329" s="94"/>
      <c r="H329" s="132"/>
      <c r="I329" s="94"/>
      <c r="J329" s="94"/>
      <c r="K329" s="135"/>
      <c r="L329" s="135"/>
      <c r="M329" s="99"/>
      <c r="N329" s="111"/>
      <c r="O329" s="112"/>
      <c r="P329" s="94"/>
      <c r="Q329" s="120"/>
      <c r="R329" s="113"/>
      <c r="S329" s="94"/>
      <c r="T329" s="94"/>
      <c r="V329" s="104"/>
    </row>
    <row r="330" ht="15.75" customHeight="1">
      <c r="A330" s="91"/>
      <c r="B330" s="131"/>
      <c r="C330" s="132"/>
      <c r="D330" s="94"/>
      <c r="E330" s="132"/>
      <c r="F330" s="132"/>
      <c r="G330" s="94"/>
      <c r="H330" s="132"/>
      <c r="I330" s="94"/>
      <c r="J330" s="94"/>
      <c r="K330" s="135"/>
      <c r="L330" s="135"/>
      <c r="M330" s="99"/>
      <c r="N330" s="111"/>
      <c r="O330" s="112"/>
      <c r="P330" s="94"/>
      <c r="Q330" s="120"/>
      <c r="R330" s="113"/>
      <c r="S330" s="94"/>
      <c r="T330" s="94"/>
      <c r="V330" s="104"/>
    </row>
    <row r="331" ht="15.75" customHeight="1">
      <c r="A331" s="91"/>
      <c r="B331" s="131"/>
      <c r="C331" s="104"/>
      <c r="D331" s="94"/>
      <c r="E331" s="132"/>
      <c r="F331" s="132"/>
      <c r="G331" s="94"/>
      <c r="H331" s="132"/>
      <c r="I331" s="94"/>
      <c r="J331" s="94"/>
      <c r="K331" s="135"/>
      <c r="L331" s="135"/>
      <c r="M331" s="99"/>
      <c r="N331" s="111"/>
      <c r="O331" s="112"/>
      <c r="P331" s="94"/>
      <c r="Q331" s="120"/>
      <c r="R331" s="113"/>
      <c r="S331" s="94"/>
      <c r="T331" s="94"/>
      <c r="V331" s="104"/>
    </row>
    <row r="332" ht="15.75" customHeight="1">
      <c r="A332" s="91"/>
      <c r="B332" s="131"/>
      <c r="C332" s="132"/>
      <c r="D332" s="94"/>
      <c r="E332" s="132"/>
      <c r="F332" s="132"/>
      <c r="G332" s="94"/>
      <c r="H332" s="132"/>
      <c r="I332" s="94"/>
      <c r="J332" s="94"/>
      <c r="K332" s="135"/>
      <c r="L332" s="135"/>
      <c r="M332" s="99"/>
      <c r="N332" s="111"/>
      <c r="O332" s="112"/>
      <c r="P332" s="94"/>
      <c r="Q332" s="120"/>
      <c r="R332" s="113"/>
      <c r="S332" s="94"/>
      <c r="T332" s="94"/>
      <c r="V332" s="104"/>
    </row>
    <row r="333" ht="15.75" customHeight="1">
      <c r="A333" s="91"/>
      <c r="B333" s="131"/>
      <c r="C333" s="132"/>
      <c r="D333" s="94"/>
      <c r="E333" s="132"/>
      <c r="F333" s="132"/>
      <c r="G333" s="94"/>
      <c r="H333" s="132"/>
      <c r="I333" s="94"/>
      <c r="J333" s="94"/>
      <c r="K333" s="135"/>
      <c r="L333" s="135"/>
      <c r="M333" s="99"/>
      <c r="N333" s="111"/>
      <c r="O333" s="112"/>
      <c r="P333" s="94"/>
      <c r="Q333" s="120"/>
      <c r="R333" s="113"/>
      <c r="S333" s="94"/>
      <c r="T333" s="94"/>
      <c r="V333" s="104"/>
    </row>
    <row r="334" ht="15.75" customHeight="1">
      <c r="A334" s="91"/>
      <c r="B334" s="131"/>
      <c r="C334" s="132"/>
      <c r="D334" s="94"/>
      <c r="E334" s="132"/>
      <c r="F334" s="132"/>
      <c r="G334" s="94"/>
      <c r="H334" s="132"/>
      <c r="I334" s="94"/>
      <c r="J334" s="94"/>
      <c r="K334" s="135"/>
      <c r="L334" s="135"/>
      <c r="M334" s="99"/>
      <c r="N334" s="111"/>
      <c r="O334" s="112"/>
      <c r="P334" s="94"/>
      <c r="Q334" s="120"/>
      <c r="R334" s="113"/>
      <c r="S334" s="94"/>
      <c r="T334" s="94"/>
      <c r="V334" s="104"/>
    </row>
    <row r="335" ht="15.75" customHeight="1">
      <c r="A335" s="91"/>
      <c r="B335" s="131"/>
      <c r="C335" s="132"/>
      <c r="D335" s="94"/>
      <c r="E335" s="132"/>
      <c r="F335" s="132"/>
      <c r="G335" s="94"/>
      <c r="H335" s="132"/>
      <c r="I335" s="94"/>
      <c r="J335" s="94"/>
      <c r="K335" s="135"/>
      <c r="L335" s="135"/>
      <c r="M335" s="99"/>
      <c r="N335" s="111"/>
      <c r="O335" s="112"/>
      <c r="P335" s="94"/>
      <c r="Q335" s="120"/>
      <c r="R335" s="113"/>
      <c r="S335" s="94"/>
      <c r="T335" s="94"/>
      <c r="V335" s="104"/>
    </row>
    <row r="336" ht="15.75" customHeight="1">
      <c r="A336" s="91"/>
      <c r="B336" s="131"/>
      <c r="C336" s="132"/>
      <c r="D336" s="94"/>
      <c r="E336" s="132"/>
      <c r="F336" s="132"/>
      <c r="G336" s="94"/>
      <c r="H336" s="132"/>
      <c r="I336" s="94"/>
      <c r="J336" s="94"/>
      <c r="K336" s="135"/>
      <c r="L336" s="135"/>
      <c r="M336" s="99"/>
      <c r="N336" s="111"/>
      <c r="O336" s="112"/>
      <c r="P336" s="94"/>
      <c r="Q336" s="120"/>
      <c r="R336" s="113"/>
      <c r="S336" s="94"/>
      <c r="T336" s="94"/>
      <c r="V336" s="104"/>
    </row>
    <row r="337" ht="15.75" customHeight="1">
      <c r="A337" s="91"/>
      <c r="B337" s="131"/>
      <c r="C337" s="104"/>
      <c r="D337" s="94"/>
      <c r="E337" s="132"/>
      <c r="F337" s="132"/>
      <c r="G337" s="94"/>
      <c r="H337" s="132"/>
      <c r="I337" s="94"/>
      <c r="J337" s="94"/>
      <c r="K337" s="135"/>
      <c r="L337" s="135"/>
      <c r="M337" s="99"/>
      <c r="N337" s="111"/>
      <c r="O337" s="112"/>
      <c r="P337" s="94"/>
      <c r="Q337" s="120"/>
      <c r="R337" s="113"/>
      <c r="S337" s="94"/>
      <c r="T337" s="94"/>
      <c r="V337" s="104"/>
    </row>
    <row r="338" ht="15.75" customHeight="1">
      <c r="A338" s="91"/>
      <c r="B338" s="131"/>
      <c r="C338" s="132"/>
      <c r="D338" s="94"/>
      <c r="E338" s="132"/>
      <c r="F338" s="132"/>
      <c r="G338" s="94"/>
      <c r="H338" s="132"/>
      <c r="I338" s="94"/>
      <c r="J338" s="94"/>
      <c r="K338" s="135"/>
      <c r="L338" s="135"/>
      <c r="M338" s="99"/>
      <c r="N338" s="111"/>
      <c r="O338" s="112"/>
      <c r="P338" s="94"/>
      <c r="Q338" s="120"/>
      <c r="R338" s="113"/>
      <c r="S338" s="94"/>
      <c r="T338" s="94"/>
      <c r="V338" s="104"/>
    </row>
    <row r="339" ht="15.75" customHeight="1">
      <c r="A339" s="91"/>
      <c r="B339" s="131"/>
      <c r="C339" s="132"/>
      <c r="D339" s="94"/>
      <c r="E339" s="132"/>
      <c r="F339" s="132"/>
      <c r="G339" s="94"/>
      <c r="H339" s="132"/>
      <c r="I339" s="94"/>
      <c r="J339" s="94"/>
      <c r="K339" s="135"/>
      <c r="L339" s="135"/>
      <c r="M339" s="99"/>
      <c r="N339" s="111"/>
      <c r="O339" s="112"/>
      <c r="P339" s="94"/>
      <c r="Q339" s="120"/>
      <c r="R339" s="113"/>
      <c r="S339" s="94"/>
      <c r="T339" s="94"/>
      <c r="V339" s="104"/>
    </row>
    <row r="340" ht="15.75" customHeight="1">
      <c r="A340" s="91"/>
      <c r="B340" s="131"/>
      <c r="C340" s="132"/>
      <c r="D340" s="94"/>
      <c r="E340" s="132"/>
      <c r="F340" s="132"/>
      <c r="G340" s="94"/>
      <c r="H340" s="132"/>
      <c r="I340" s="94"/>
      <c r="J340" s="94"/>
      <c r="K340" s="135"/>
      <c r="L340" s="135"/>
      <c r="M340" s="99"/>
      <c r="N340" s="111"/>
      <c r="O340" s="112"/>
      <c r="P340" s="94"/>
      <c r="Q340" s="120"/>
      <c r="R340" s="113"/>
      <c r="S340" s="94"/>
      <c r="T340" s="94"/>
      <c r="V340" s="104"/>
    </row>
    <row r="341" ht="15.75" customHeight="1">
      <c r="A341" s="91"/>
      <c r="B341" s="131"/>
      <c r="C341" s="132"/>
      <c r="D341" s="94"/>
      <c r="E341" s="132"/>
      <c r="F341" s="132"/>
      <c r="G341" s="94"/>
      <c r="H341" s="132"/>
      <c r="I341" s="94"/>
      <c r="J341" s="94"/>
      <c r="K341" s="135"/>
      <c r="L341" s="135"/>
      <c r="M341" s="99"/>
      <c r="N341" s="111"/>
      <c r="O341" s="112"/>
      <c r="P341" s="94"/>
      <c r="Q341" s="120"/>
      <c r="R341" s="113"/>
      <c r="S341" s="94"/>
      <c r="T341" s="94"/>
      <c r="V341" s="104"/>
    </row>
    <row r="342" ht="15.75" customHeight="1">
      <c r="A342" s="91"/>
      <c r="B342" s="131"/>
      <c r="C342" s="132"/>
      <c r="D342" s="94"/>
      <c r="E342" s="132"/>
      <c r="F342" s="132"/>
      <c r="G342" s="94"/>
      <c r="H342" s="132"/>
      <c r="I342" s="94"/>
      <c r="J342" s="94"/>
      <c r="K342" s="135"/>
      <c r="L342" s="135"/>
      <c r="M342" s="99"/>
      <c r="N342" s="111"/>
      <c r="O342" s="112"/>
      <c r="P342" s="94"/>
      <c r="Q342" s="120"/>
      <c r="R342" s="113"/>
      <c r="S342" s="94"/>
      <c r="T342" s="94"/>
      <c r="V342" s="104"/>
    </row>
    <row r="343" ht="15.75" customHeight="1">
      <c r="A343" s="91"/>
      <c r="B343" s="131"/>
      <c r="C343" s="104"/>
      <c r="D343" s="94"/>
      <c r="E343" s="132"/>
      <c r="F343" s="132"/>
      <c r="G343" s="94"/>
      <c r="H343" s="132"/>
      <c r="I343" s="94"/>
      <c r="J343" s="94"/>
      <c r="K343" s="135"/>
      <c r="L343" s="135"/>
      <c r="M343" s="99"/>
      <c r="N343" s="111"/>
      <c r="O343" s="112"/>
      <c r="P343" s="94"/>
      <c r="Q343" s="120"/>
      <c r="R343" s="113"/>
      <c r="S343" s="94"/>
      <c r="T343" s="94"/>
      <c r="V343" s="104"/>
    </row>
    <row r="344" ht="15.75" customHeight="1">
      <c r="A344" s="91"/>
      <c r="B344" s="131"/>
      <c r="C344" s="132"/>
      <c r="D344" s="94"/>
      <c r="E344" s="132"/>
      <c r="F344" s="132"/>
      <c r="G344" s="94"/>
      <c r="H344" s="132"/>
      <c r="I344" s="94"/>
      <c r="J344" s="94"/>
      <c r="K344" s="135"/>
      <c r="L344" s="135"/>
      <c r="M344" s="99"/>
      <c r="N344" s="111"/>
      <c r="O344" s="112"/>
      <c r="P344" s="94"/>
      <c r="Q344" s="120"/>
      <c r="R344" s="113"/>
      <c r="S344" s="94"/>
      <c r="T344" s="94"/>
      <c r="V344" s="104"/>
    </row>
    <row r="345" ht="15.75" customHeight="1">
      <c r="A345" s="91"/>
      <c r="B345" s="131"/>
      <c r="C345" s="132"/>
      <c r="D345" s="94"/>
      <c r="E345" s="132"/>
      <c r="F345" s="132"/>
      <c r="G345" s="94"/>
      <c r="H345" s="132"/>
      <c r="I345" s="94"/>
      <c r="J345" s="94"/>
      <c r="K345" s="135"/>
      <c r="L345" s="135"/>
      <c r="M345" s="99"/>
      <c r="N345" s="111"/>
      <c r="O345" s="112"/>
      <c r="P345" s="94"/>
      <c r="Q345" s="120"/>
      <c r="R345" s="113"/>
      <c r="S345" s="94"/>
      <c r="T345" s="94"/>
      <c r="V345" s="104"/>
    </row>
    <row r="346" ht="15.75" customHeight="1">
      <c r="A346" s="91"/>
      <c r="B346" s="131"/>
      <c r="C346" s="132"/>
      <c r="D346" s="94"/>
      <c r="E346" s="132"/>
      <c r="F346" s="132"/>
      <c r="G346" s="94"/>
      <c r="H346" s="132"/>
      <c r="I346" s="94"/>
      <c r="J346" s="94"/>
      <c r="K346" s="135"/>
      <c r="L346" s="135"/>
      <c r="M346" s="99"/>
      <c r="N346" s="111"/>
      <c r="O346" s="112"/>
      <c r="P346" s="94"/>
      <c r="Q346" s="120"/>
      <c r="R346" s="113"/>
      <c r="S346" s="94"/>
      <c r="T346" s="94"/>
      <c r="V346" s="104"/>
    </row>
    <row r="347" ht="15.75" customHeight="1">
      <c r="A347" s="91"/>
      <c r="B347" s="131"/>
      <c r="C347" s="132"/>
      <c r="D347" s="94"/>
      <c r="E347" s="132"/>
      <c r="F347" s="132"/>
      <c r="G347" s="94"/>
      <c r="H347" s="132"/>
      <c r="I347" s="94"/>
      <c r="J347" s="94"/>
      <c r="K347" s="135"/>
      <c r="L347" s="135"/>
      <c r="M347" s="99"/>
      <c r="N347" s="111"/>
      <c r="O347" s="112"/>
      <c r="P347" s="94"/>
      <c r="Q347" s="120"/>
      <c r="R347" s="113"/>
      <c r="S347" s="94"/>
      <c r="T347" s="94"/>
      <c r="V347" s="104"/>
    </row>
    <row r="348" ht="15.75" customHeight="1">
      <c r="A348" s="91"/>
      <c r="B348" s="131"/>
      <c r="C348" s="132"/>
      <c r="D348" s="94"/>
      <c r="E348" s="132"/>
      <c r="F348" s="132"/>
      <c r="G348" s="94"/>
      <c r="H348" s="132"/>
      <c r="I348" s="94"/>
      <c r="J348" s="94"/>
      <c r="K348" s="135"/>
      <c r="L348" s="135"/>
      <c r="M348" s="99"/>
      <c r="N348" s="111"/>
      <c r="O348" s="112"/>
      <c r="P348" s="94"/>
      <c r="Q348" s="120"/>
      <c r="R348" s="113"/>
      <c r="S348" s="94"/>
      <c r="T348" s="94"/>
      <c r="V348" s="104"/>
    </row>
    <row r="349" ht="15.75" customHeight="1">
      <c r="A349" s="91"/>
      <c r="B349" s="131"/>
      <c r="C349" s="104"/>
      <c r="D349" s="94"/>
      <c r="E349" s="132"/>
      <c r="F349" s="132"/>
      <c r="G349" s="94"/>
      <c r="H349" s="132"/>
      <c r="I349" s="94"/>
      <c r="J349" s="94"/>
      <c r="K349" s="135"/>
      <c r="L349" s="135"/>
      <c r="M349" s="99"/>
      <c r="N349" s="111"/>
      <c r="O349" s="112"/>
      <c r="P349" s="94"/>
      <c r="Q349" s="120"/>
      <c r="R349" s="113"/>
      <c r="S349" s="94"/>
      <c r="T349" s="94"/>
      <c r="V349" s="104"/>
    </row>
    <row r="350" ht="15.75" customHeight="1">
      <c r="A350" s="91"/>
      <c r="B350" s="131"/>
      <c r="C350" s="132"/>
      <c r="D350" s="94"/>
      <c r="E350" s="132"/>
      <c r="F350" s="132"/>
      <c r="G350" s="94"/>
      <c r="H350" s="132"/>
      <c r="I350" s="94"/>
      <c r="J350" s="94"/>
      <c r="K350" s="135"/>
      <c r="L350" s="135"/>
      <c r="M350" s="99"/>
      <c r="N350" s="111"/>
      <c r="O350" s="112"/>
      <c r="P350" s="94"/>
      <c r="Q350" s="120"/>
      <c r="R350" s="113"/>
      <c r="S350" s="94"/>
      <c r="T350" s="94"/>
      <c r="V350" s="104"/>
    </row>
    <row r="351" ht="15.75" customHeight="1">
      <c r="A351" s="91"/>
      <c r="B351" s="131"/>
      <c r="C351" s="132"/>
      <c r="D351" s="94"/>
      <c r="E351" s="132"/>
      <c r="F351" s="132"/>
      <c r="G351" s="94"/>
      <c r="H351" s="132"/>
      <c r="I351" s="94"/>
      <c r="J351" s="94"/>
      <c r="K351" s="135"/>
      <c r="L351" s="135"/>
      <c r="M351" s="99"/>
      <c r="N351" s="111"/>
      <c r="O351" s="112"/>
      <c r="P351" s="94"/>
      <c r="Q351" s="120"/>
      <c r="R351" s="113"/>
      <c r="S351" s="94"/>
      <c r="T351" s="94"/>
      <c r="V351" s="104"/>
    </row>
    <row r="352" ht="15.75" customHeight="1">
      <c r="A352" s="91"/>
      <c r="B352" s="131"/>
      <c r="C352" s="132"/>
      <c r="D352" s="94"/>
      <c r="E352" s="132"/>
      <c r="F352" s="132"/>
      <c r="G352" s="94"/>
      <c r="H352" s="132"/>
      <c r="I352" s="94"/>
      <c r="J352" s="94"/>
      <c r="K352" s="135"/>
      <c r="L352" s="135"/>
      <c r="M352" s="99"/>
      <c r="N352" s="111"/>
      <c r="O352" s="112"/>
      <c r="P352" s="94"/>
      <c r="Q352" s="120"/>
      <c r="R352" s="113"/>
      <c r="S352" s="94"/>
      <c r="T352" s="94"/>
      <c r="V352" s="104"/>
    </row>
    <row r="353" ht="15.75" customHeight="1">
      <c r="A353" s="91"/>
      <c r="B353" s="131"/>
      <c r="C353" s="132"/>
      <c r="D353" s="94"/>
      <c r="E353" s="132"/>
      <c r="F353" s="132"/>
      <c r="G353" s="94"/>
      <c r="H353" s="132"/>
      <c r="I353" s="94"/>
      <c r="J353" s="94"/>
      <c r="K353" s="135"/>
      <c r="L353" s="135"/>
      <c r="M353" s="99"/>
      <c r="N353" s="111"/>
      <c r="O353" s="112"/>
      <c r="P353" s="94"/>
      <c r="Q353" s="120"/>
      <c r="R353" s="113"/>
      <c r="S353" s="94"/>
      <c r="T353" s="94"/>
      <c r="V353" s="104"/>
    </row>
    <row r="354" ht="15.75" customHeight="1">
      <c r="A354" s="91"/>
      <c r="B354" s="131"/>
      <c r="C354" s="132"/>
      <c r="D354" s="94"/>
      <c r="E354" s="132"/>
      <c r="F354" s="132"/>
      <c r="G354" s="94"/>
      <c r="H354" s="132"/>
      <c r="I354" s="94"/>
      <c r="J354" s="94"/>
      <c r="K354" s="135"/>
      <c r="L354" s="135"/>
      <c r="M354" s="99"/>
      <c r="N354" s="111"/>
      <c r="O354" s="112"/>
      <c r="P354" s="94"/>
      <c r="Q354" s="120"/>
      <c r="R354" s="113"/>
      <c r="S354" s="94"/>
      <c r="T354" s="94"/>
      <c r="V354" s="104"/>
    </row>
    <row r="355" ht="15.75" customHeight="1">
      <c r="A355" s="91"/>
      <c r="B355" s="131"/>
      <c r="C355" s="104"/>
      <c r="D355" s="94"/>
      <c r="E355" s="132"/>
      <c r="F355" s="132"/>
      <c r="G355" s="94"/>
      <c r="H355" s="132"/>
      <c r="I355" s="94"/>
      <c r="J355" s="94"/>
      <c r="K355" s="135"/>
      <c r="L355" s="135"/>
      <c r="M355" s="99"/>
      <c r="N355" s="111"/>
      <c r="O355" s="112"/>
      <c r="P355" s="94"/>
      <c r="Q355" s="120"/>
      <c r="R355" s="113"/>
      <c r="S355" s="94"/>
      <c r="T355" s="94"/>
      <c r="V355" s="104"/>
    </row>
    <row r="356" ht="15.75" customHeight="1">
      <c r="A356" s="91"/>
      <c r="B356" s="131"/>
      <c r="C356" s="132"/>
      <c r="D356" s="94"/>
      <c r="E356" s="132"/>
      <c r="F356" s="132"/>
      <c r="G356" s="94"/>
      <c r="H356" s="132"/>
      <c r="I356" s="94"/>
      <c r="J356" s="94"/>
      <c r="K356" s="135"/>
      <c r="L356" s="135"/>
      <c r="M356" s="99"/>
      <c r="N356" s="111"/>
      <c r="O356" s="112"/>
      <c r="P356" s="94"/>
      <c r="Q356" s="120"/>
      <c r="R356" s="113"/>
      <c r="S356" s="94"/>
      <c r="T356" s="94"/>
      <c r="V356" s="104"/>
    </row>
    <row r="357" ht="15.75" customHeight="1">
      <c r="A357" s="91"/>
      <c r="B357" s="131"/>
      <c r="C357" s="132"/>
      <c r="D357" s="94"/>
      <c r="E357" s="132"/>
      <c r="F357" s="132"/>
      <c r="G357" s="94"/>
      <c r="H357" s="132"/>
      <c r="I357" s="94"/>
      <c r="J357" s="94"/>
      <c r="K357" s="135"/>
      <c r="L357" s="135"/>
      <c r="M357" s="99"/>
      <c r="N357" s="111"/>
      <c r="O357" s="112"/>
      <c r="P357" s="94"/>
      <c r="Q357" s="120"/>
      <c r="R357" s="113"/>
      <c r="S357" s="94"/>
      <c r="T357" s="94"/>
      <c r="V357" s="104"/>
    </row>
    <row r="358" ht="15.75" customHeight="1">
      <c r="A358" s="91"/>
      <c r="B358" s="131"/>
      <c r="C358" s="132"/>
      <c r="D358" s="94"/>
      <c r="E358" s="132"/>
      <c r="F358" s="132"/>
      <c r="G358" s="94"/>
      <c r="H358" s="132"/>
      <c r="I358" s="94"/>
      <c r="J358" s="94"/>
      <c r="K358" s="135"/>
      <c r="L358" s="135"/>
      <c r="M358" s="99"/>
      <c r="N358" s="111"/>
      <c r="O358" s="112"/>
      <c r="P358" s="94"/>
      <c r="Q358" s="120"/>
      <c r="R358" s="113"/>
      <c r="S358" s="94"/>
      <c r="T358" s="94"/>
      <c r="V358" s="104"/>
    </row>
    <row r="359" ht="15.75" customHeight="1">
      <c r="A359" s="91"/>
      <c r="B359" s="131"/>
      <c r="C359" s="132"/>
      <c r="D359" s="94"/>
      <c r="E359" s="132"/>
      <c r="F359" s="132"/>
      <c r="G359" s="94"/>
      <c r="H359" s="132"/>
      <c r="I359" s="94"/>
      <c r="J359" s="94"/>
      <c r="K359" s="135"/>
      <c r="L359" s="135"/>
      <c r="M359" s="99"/>
      <c r="N359" s="111"/>
      <c r="O359" s="112"/>
      <c r="P359" s="94"/>
      <c r="Q359" s="120"/>
      <c r="R359" s="113"/>
      <c r="S359" s="94"/>
      <c r="T359" s="94"/>
      <c r="V359" s="104"/>
    </row>
    <row r="360" ht="15.75" customHeight="1">
      <c r="A360" s="91"/>
      <c r="B360" s="131"/>
      <c r="C360" s="132"/>
      <c r="D360" s="94"/>
      <c r="E360" s="132"/>
      <c r="F360" s="132"/>
      <c r="G360" s="94"/>
      <c r="H360" s="132"/>
      <c r="I360" s="94"/>
      <c r="J360" s="94"/>
      <c r="K360" s="135"/>
      <c r="L360" s="135"/>
      <c r="M360" s="99"/>
      <c r="N360" s="111"/>
      <c r="O360" s="112"/>
      <c r="P360" s="94"/>
      <c r="Q360" s="120"/>
      <c r="R360" s="113"/>
      <c r="S360" s="94"/>
      <c r="T360" s="94"/>
      <c r="V360" s="104"/>
    </row>
  </sheetData>
  <autoFilter ref="$A$12:$V$20"/>
  <customSheetViews>
    <customSheetView guid="{FE509773-0638-41EB-A036-A8EE905B9B6D}" filter="1" showAutoFilter="1">
      <autoFilter ref="$R$18:$R$19"/>
    </customSheetView>
  </customSheetViews>
  <mergeCells count="351">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s>
  <dataValidations>
    <dataValidation type="list" allowBlank="1" showErrorMessage="1" sqref="N13:N360">
      <formula1>"Think About It,Money,Partner,Time,Fear,Value"</formula1>
    </dataValidation>
    <dataValidation type="list" allowBlank="1" showErrorMessage="1" sqref="I13:J13 I14 I15:J35 I36 I37:J360">
      <formula1>"Full-Pay,Split-Pay,Deposit,Offer &amp; Didn't Buy,Bad Fit &amp; No Offer,Drag Over &amp; Show,Rescheduled,Cancelled,No-Show"</formula1>
    </dataValidation>
    <dataValidation type="list" allowBlank="1" showErrorMessage="1" sqref="S13:S360">
      <formula1>"Closed,Follow Up,Hot Follow Up,Deposit (Follow Up Set),Follow Up Set,X"</formula1>
    </dataValidation>
    <dataValidation type="list" allowBlank="1" showErrorMessage="1" sqref="J14 J36">
      <formula1>"Full-Pay,Split-Pay,Deposit,Offer &amp; Didn't Buy,Bad Fit &amp; No Offer,Drag Over &amp; Show,Rescheduled,Cancelled,No-Show"</formula1>
    </dataValidation>
    <dataValidation type="list" allowBlank="1" sqref="H13:H360">
      <formula1>"Reschedule,YouTube,YouTube Ads,Email,Facebook,Facebook Ads"</formula1>
    </dataValidation>
  </dataValidations>
  <hyperlinks>
    <hyperlink r:id="rId2" ref="F135"/>
  </hyperlinks>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0.38"/>
    <col customWidth="1" min="3" max="3" width="13.38"/>
    <col customWidth="1" min="4" max="4" width="0.38"/>
    <col customWidth="1" min="5" max="5" width="15.13"/>
    <col customWidth="1" min="6" max="6" width="16.38"/>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t="s">
        <v>1300</v>
      </c>
      <c r="B1" s="6" t="s">
        <v>31</v>
      </c>
      <c r="C1" s="6" t="s">
        <v>32</v>
      </c>
      <c r="D1" s="39"/>
      <c r="E1" s="226" t="s">
        <v>1714</v>
      </c>
      <c r="F1" s="39"/>
      <c r="H1" s="40" t="s">
        <v>33</v>
      </c>
      <c r="I1" s="41"/>
      <c r="J1" s="39"/>
      <c r="K1" s="40" t="s">
        <v>34</v>
      </c>
      <c r="L1" s="41"/>
      <c r="M1" s="13"/>
      <c r="N1" s="42" t="s">
        <v>35</v>
      </c>
      <c r="O1" s="43"/>
      <c r="P1" s="13"/>
      <c r="Q1" s="40" t="s">
        <v>36</v>
      </c>
      <c r="R1" s="44"/>
      <c r="S1" s="39"/>
      <c r="T1" s="40" t="s">
        <v>37</v>
      </c>
      <c r="U1" s="45"/>
      <c r="V1" s="39"/>
    </row>
    <row r="2">
      <c r="A2" s="39"/>
      <c r="B2" s="41"/>
      <c r="C2" s="41"/>
      <c r="D2" s="13"/>
      <c r="E2" s="227" t="s">
        <v>1715</v>
      </c>
      <c r="F2" s="228">
        <f>C3/C6</f>
        <v>3519.587629</v>
      </c>
      <c r="H2" s="46" t="s">
        <v>26</v>
      </c>
      <c r="I2" s="47">
        <f>IFERROR(COUNTIFS(I13:I311, "Full-Pay"),"")</f>
        <v>14</v>
      </c>
      <c r="J2" s="13"/>
      <c r="K2" s="48" t="s">
        <v>16</v>
      </c>
      <c r="L2" s="49">
        <f>iferror(L10/L8,"")</f>
        <v>0.3917525773</v>
      </c>
      <c r="M2" s="12"/>
      <c r="N2" s="50" t="s">
        <v>39</v>
      </c>
      <c r="O2" s="51">
        <f>iferror(I8/L6,"")</f>
        <v>0.008403361345</v>
      </c>
      <c r="P2" s="12"/>
      <c r="Q2" s="52" t="s">
        <v>40</v>
      </c>
      <c r="R2" s="53">
        <f>IFERROR(COUNTIFS(N35:N310, "think about it"),"")</f>
        <v>10</v>
      </c>
      <c r="S2" s="13"/>
      <c r="T2" s="54" t="s">
        <v>41</v>
      </c>
      <c r="U2" s="55">
        <f>IFERROR(COUNTIF(H16:H291,"setter"),"")</f>
        <v>116</v>
      </c>
      <c r="V2" s="58"/>
    </row>
    <row r="3">
      <c r="A3" s="13"/>
      <c r="B3" s="59" t="s">
        <v>43</v>
      </c>
      <c r="C3" s="60">
        <f>IFERROR(SUM(K13:K288),"")</f>
        <v>341400</v>
      </c>
      <c r="D3" s="61"/>
      <c r="E3" s="229" t="s">
        <v>1716</v>
      </c>
      <c r="F3" s="230">
        <f>C4/C6</f>
        <v>1800</v>
      </c>
      <c r="H3" s="46" t="s">
        <v>27</v>
      </c>
      <c r="I3" s="47">
        <f>IFERROR(COUNTIFS(I13:I311, "Split-Pay"),"")</f>
        <v>24</v>
      </c>
      <c r="J3" s="13"/>
      <c r="K3" s="48" t="s">
        <v>17</v>
      </c>
      <c r="L3" s="49">
        <f>IFERROR(L10/L9,"")</f>
        <v>0.4042553191</v>
      </c>
      <c r="M3" s="12"/>
      <c r="N3" s="50" t="s">
        <v>44</v>
      </c>
      <c r="O3" s="51">
        <f>iferror(I9/L6,"")</f>
        <v>0.05042016807</v>
      </c>
      <c r="P3" s="12"/>
      <c r="Q3" s="52" t="s">
        <v>45</v>
      </c>
      <c r="R3" s="62">
        <f>IFERROR(COUNTIFS(N35:N310, "money"),"")</f>
        <v>24</v>
      </c>
      <c r="S3" s="13"/>
      <c r="T3" s="54" t="s">
        <v>46</v>
      </c>
      <c r="U3" s="55">
        <f>IFERROR(COUNTIF(H16:H291,"IG"),"")</f>
        <v>0</v>
      </c>
      <c r="V3" s="58"/>
    </row>
    <row r="4">
      <c r="A4" s="13"/>
      <c r="B4" s="63" t="s">
        <v>48</v>
      </c>
      <c r="C4" s="64">
        <f>IFERROR(SUM(L13:L289),"")</f>
        <v>174600</v>
      </c>
      <c r="D4" s="61"/>
      <c r="E4" s="229" t="s">
        <v>1717</v>
      </c>
      <c r="F4" s="231">
        <f>C4/C3*100</f>
        <v>51.14235501</v>
      </c>
      <c r="H4" s="46" t="s">
        <v>28</v>
      </c>
      <c r="I4" s="47">
        <f>IFERROR(COUNTIFS(I13:I311, "Deposit"),"")</f>
        <v>11</v>
      </c>
      <c r="J4" s="13"/>
      <c r="K4" s="48" t="s">
        <v>18</v>
      </c>
      <c r="L4" s="49">
        <f>IFERROR(L9/L8,"")</f>
        <v>0.9690721649</v>
      </c>
      <c r="M4" s="12"/>
      <c r="N4" s="50" t="s">
        <v>49</v>
      </c>
      <c r="O4" s="51">
        <f>iferror(I10/L6,"")</f>
        <v>0.1260504202</v>
      </c>
      <c r="P4" s="12"/>
      <c r="Q4" s="52" t="s">
        <v>50</v>
      </c>
      <c r="R4" s="53">
        <f>IFERROR(COUNTIFS(N35:N310, "time"),"")</f>
        <v>3</v>
      </c>
      <c r="S4" s="13"/>
      <c r="T4" s="54" t="s">
        <v>51</v>
      </c>
      <c r="U4" s="55">
        <f>IFERROR(COUNTIF(H16:H291,"youtube"),"")</f>
        <v>0</v>
      </c>
      <c r="V4" s="39"/>
    </row>
    <row r="5">
      <c r="A5" s="39"/>
      <c r="B5" s="41"/>
      <c r="C5" s="41"/>
      <c r="D5" s="13"/>
      <c r="E5" s="229" t="s">
        <v>1718</v>
      </c>
      <c r="F5" s="232">
        <f>I2/C7*100</f>
        <v>36.84210526</v>
      </c>
      <c r="H5" s="46" t="s">
        <v>53</v>
      </c>
      <c r="I5" s="47">
        <f>IFERROR(COUNTIFS(I13:I311, "Offer &amp; Didn't Buy"),"")</f>
        <v>45</v>
      </c>
      <c r="J5" s="13"/>
      <c r="K5" s="48" t="s">
        <v>54</v>
      </c>
      <c r="L5" s="49">
        <f>IFERROR(I7/(C6+I7+I8),"")</f>
        <v>0</v>
      </c>
      <c r="M5" s="13"/>
      <c r="N5" s="50" t="s">
        <v>54</v>
      </c>
      <c r="O5" s="51">
        <f>iferror(I7/L6,"")</f>
        <v>0</v>
      </c>
      <c r="P5" s="12"/>
      <c r="Q5" s="52" t="s">
        <v>55</v>
      </c>
      <c r="R5" s="53">
        <f>IFERROR(COUNTIFS(N35:N310, "partner"),"")</f>
        <v>3</v>
      </c>
      <c r="S5" s="13"/>
      <c r="T5" s="56" t="s">
        <v>56</v>
      </c>
      <c r="U5" s="55">
        <f>IFERROR(COUNTIF(H16:H291,"email"),"")</f>
        <v>0</v>
      </c>
      <c r="V5" s="58"/>
    </row>
    <row r="6">
      <c r="A6" s="13"/>
      <c r="B6" s="65" t="s">
        <v>58</v>
      </c>
      <c r="C6" s="66">
        <f>IFERROR(SUM(I2:I6),"")</f>
        <v>97</v>
      </c>
      <c r="D6" s="13"/>
      <c r="E6" s="229" t="s">
        <v>1719</v>
      </c>
      <c r="F6" s="233">
        <f>AVERAGE(Q13:Q104)</f>
        <v>5.526315789</v>
      </c>
      <c r="H6" s="46" t="s">
        <v>59</v>
      </c>
      <c r="I6" s="47">
        <f>IFERROR(COUNTIFS(I13:I311, "Bad Fit &amp; No Offer"),"")</f>
        <v>3</v>
      </c>
      <c r="J6" s="13"/>
      <c r="K6" s="48" t="s">
        <v>21</v>
      </c>
      <c r="L6" s="67">
        <f>IFERROR(SUM(I2:I10),"")</f>
        <v>119</v>
      </c>
      <c r="M6" s="13"/>
      <c r="N6" s="68" t="s">
        <v>29</v>
      </c>
      <c r="O6" s="51">
        <f>iferror(L7/L6,"")</f>
        <v>0.8151260504</v>
      </c>
      <c r="P6" s="12"/>
      <c r="Q6" s="52" t="s">
        <v>60</v>
      </c>
      <c r="R6" s="53">
        <f>IFERROR(COUNTIFS(N35:N310, "fear"),"")</f>
        <v>1</v>
      </c>
      <c r="S6" s="13"/>
      <c r="T6" s="56" t="s">
        <v>61</v>
      </c>
      <c r="U6" s="55">
        <f>IFERROR(COUNTIF(H16:H291,"facebook"),"")</f>
        <v>0</v>
      </c>
      <c r="V6" s="58"/>
    </row>
    <row r="7">
      <c r="A7" s="13"/>
      <c r="B7" s="65" t="s">
        <v>63</v>
      </c>
      <c r="C7" s="69">
        <f>IFERROR(I2+I3,"")</f>
        <v>38</v>
      </c>
      <c r="D7" s="13"/>
      <c r="E7" s="229" t="s">
        <v>1720</v>
      </c>
      <c r="F7" s="230">
        <f>C3/C7</f>
        <v>8984.210526</v>
      </c>
      <c r="H7" s="46" t="s">
        <v>64</v>
      </c>
      <c r="I7" s="47">
        <f>IFERROR(COUNTIFS(I13:I311, "Drag Over &amp; Show"),"")</f>
        <v>0</v>
      </c>
      <c r="J7" s="13"/>
      <c r="K7" s="48" t="s">
        <v>22</v>
      </c>
      <c r="L7" s="67">
        <f>IFERROR(SUM(I2:I7),"")</f>
        <v>97</v>
      </c>
      <c r="M7" s="13"/>
      <c r="N7" s="70" t="s">
        <v>30</v>
      </c>
      <c r="O7" s="71">
        <f>IFERROR(L8/L6,"")</f>
        <v>0.8151260504</v>
      </c>
      <c r="P7" s="12"/>
      <c r="Q7" s="72" t="s">
        <v>65</v>
      </c>
      <c r="R7" s="73">
        <f>IFERROR(COUNTIFS(N36:N311, "value"),"")</f>
        <v>0</v>
      </c>
      <c r="S7" s="13"/>
      <c r="T7" s="56" t="s">
        <v>66</v>
      </c>
      <c r="U7" s="55">
        <f>IFERROR(COUNTIF(H16:H291,"facebook ads"),"")</f>
        <v>0</v>
      </c>
      <c r="V7" s="39"/>
    </row>
    <row r="8">
      <c r="A8" s="13"/>
      <c r="B8" s="65" t="s">
        <v>68</v>
      </c>
      <c r="C8" s="74">
        <f>COUNTIF(I13:I291,"offer &amp; didn't buy")+COUNTIF(I16:I291,"deposit")+COUNTIF(I16:I291,"bad fit &amp; no offer")</f>
        <v>57</v>
      </c>
      <c r="D8" s="75"/>
      <c r="E8" s="229" t="s">
        <v>1721</v>
      </c>
      <c r="F8" s="230">
        <f>C4/C7</f>
        <v>4594.736842</v>
      </c>
      <c r="H8" s="46" t="s">
        <v>69</v>
      </c>
      <c r="I8" s="47">
        <f>IFERROR(COUNTIFS(I13:I311, "Rescheduled"),"")</f>
        <v>1</v>
      </c>
      <c r="J8" s="13"/>
      <c r="K8" s="48" t="s">
        <v>23</v>
      </c>
      <c r="L8" s="67">
        <f>IFERROR(SUM(I2:I6),"")</f>
        <v>97</v>
      </c>
      <c r="M8" s="39"/>
      <c r="N8" s="39"/>
      <c r="O8" s="39"/>
      <c r="P8" s="39"/>
      <c r="Q8" s="39"/>
      <c r="R8" s="76"/>
      <c r="S8" s="13"/>
      <c r="T8" s="77" t="s">
        <v>70</v>
      </c>
      <c r="U8" s="78">
        <f>IFERROR(COUNTIF(H16:H291,T8),"")</f>
        <v>0</v>
      </c>
      <c r="V8" s="39"/>
    </row>
    <row r="9">
      <c r="A9" s="13"/>
      <c r="B9" s="80" t="s">
        <v>72</v>
      </c>
      <c r="C9" s="81">
        <f>iferror(SUM(C7/C6),"")</f>
        <v>0.3917525773</v>
      </c>
      <c r="D9" s="12"/>
      <c r="E9" s="234"/>
      <c r="F9" s="235"/>
      <c r="H9" s="46" t="s">
        <v>73</v>
      </c>
      <c r="I9" s="47">
        <f>IFERROR(COUNTIFS(I13:I311, "Cancelled"),"")</f>
        <v>6</v>
      </c>
      <c r="J9" s="13"/>
      <c r="K9" s="48" t="s">
        <v>24</v>
      </c>
      <c r="L9" s="67">
        <f>IFERROR(sum(I2:I5),"")</f>
        <v>94</v>
      </c>
      <c r="M9" s="39"/>
      <c r="N9" s="39"/>
      <c r="O9" s="39"/>
      <c r="P9" s="39"/>
      <c r="Q9" s="39"/>
      <c r="R9" s="76"/>
      <c r="S9" s="39"/>
      <c r="T9" s="39"/>
      <c r="U9" s="39"/>
      <c r="V9" s="39"/>
    </row>
    <row r="10">
      <c r="A10" s="39"/>
      <c r="B10" s="82"/>
      <c r="C10" s="83">
        <f>C3/C6</f>
        <v>3519.587629</v>
      </c>
      <c r="D10" s="13"/>
      <c r="E10" s="236"/>
      <c r="F10" s="237"/>
      <c r="H10" s="84" t="s">
        <v>74</v>
      </c>
      <c r="I10" s="85">
        <f>IFERROR(COUNTIFS(I13:I311, "No-Show"),"")</f>
        <v>15</v>
      </c>
      <c r="J10" s="13"/>
      <c r="K10" s="86" t="s">
        <v>75</v>
      </c>
      <c r="L10" s="87">
        <f>I2+I3</f>
        <v>38</v>
      </c>
      <c r="M10" s="39"/>
      <c r="N10" s="39"/>
      <c r="O10" s="39"/>
      <c r="P10" s="39"/>
      <c r="Q10" s="39"/>
      <c r="R10" s="76"/>
      <c r="S10" s="39"/>
      <c r="T10" s="39"/>
      <c r="U10" s="39"/>
      <c r="V10" s="39"/>
    </row>
    <row r="11" ht="6.0" customHeight="1">
      <c r="A11" s="39"/>
      <c r="B11" s="39"/>
      <c r="C11" s="39"/>
      <c r="D11" s="39"/>
      <c r="E11" s="39"/>
      <c r="F11" s="39"/>
      <c r="G11" s="39"/>
      <c r="H11" s="39"/>
      <c r="I11" s="39"/>
      <c r="J11" s="39"/>
      <c r="K11" s="39"/>
      <c r="L11" s="39"/>
      <c r="M11" s="39"/>
      <c r="N11" s="39"/>
      <c r="O11" s="76"/>
      <c r="P11" s="39"/>
      <c r="Q11" s="39"/>
      <c r="R11" s="39"/>
      <c r="S11" s="39"/>
      <c r="T11" s="39"/>
      <c r="V11" s="39"/>
    </row>
    <row r="12">
      <c r="A12" s="39"/>
      <c r="B12" s="88" t="s">
        <v>76</v>
      </c>
      <c r="C12" s="88" t="s">
        <v>32</v>
      </c>
      <c r="D12" s="39"/>
      <c r="E12" s="6" t="s">
        <v>77</v>
      </c>
      <c r="F12" s="89" t="s">
        <v>78</v>
      </c>
      <c r="G12" s="39"/>
      <c r="H12" s="6" t="s">
        <v>37</v>
      </c>
      <c r="I12" s="6" t="s">
        <v>33</v>
      </c>
      <c r="J12" s="39"/>
      <c r="K12" s="6" t="s">
        <v>79</v>
      </c>
      <c r="L12" s="6" t="s">
        <v>48</v>
      </c>
      <c r="M12" s="39"/>
      <c r="N12" s="6" t="s">
        <v>80</v>
      </c>
      <c r="O12" s="90" t="s">
        <v>81</v>
      </c>
      <c r="P12" s="39"/>
      <c r="Q12" s="6" t="s">
        <v>82</v>
      </c>
      <c r="R12" s="6" t="s">
        <v>83</v>
      </c>
      <c r="S12" s="6" t="s">
        <v>84</v>
      </c>
      <c r="T12" s="6" t="s">
        <v>85</v>
      </c>
      <c r="V12" s="58"/>
    </row>
    <row r="13" ht="15.75" customHeight="1">
      <c r="A13" s="91"/>
      <c r="B13" s="197">
        <v>45665.0</v>
      </c>
      <c r="C13" s="200" t="s">
        <v>551</v>
      </c>
      <c r="D13" s="199"/>
      <c r="E13" s="238" t="s">
        <v>552</v>
      </c>
      <c r="F13" s="238" t="s">
        <v>551</v>
      </c>
      <c r="G13" s="199"/>
      <c r="H13" s="198" t="s">
        <v>41</v>
      </c>
      <c r="I13" s="201" t="s">
        <v>181</v>
      </c>
      <c r="J13" s="199"/>
      <c r="K13" s="202">
        <v>8700.0</v>
      </c>
      <c r="L13" s="202">
        <v>2700.0</v>
      </c>
      <c r="M13" s="203"/>
      <c r="N13" s="204"/>
      <c r="O13" s="205"/>
      <c r="P13" s="199"/>
      <c r="Q13" s="201">
        <v>6.0</v>
      </c>
      <c r="R13" s="206"/>
      <c r="S13" s="201" t="s">
        <v>105</v>
      </c>
      <c r="T13" s="201" t="s">
        <v>1722</v>
      </c>
      <c r="V13" s="104"/>
    </row>
    <row r="14" ht="15.75" customHeight="1">
      <c r="A14" s="91"/>
      <c r="B14" s="197">
        <v>45665.0</v>
      </c>
      <c r="C14" s="201" t="s">
        <v>514</v>
      </c>
      <c r="D14" s="199"/>
      <c r="E14" s="238" t="s">
        <v>984</v>
      </c>
      <c r="F14" s="238" t="s">
        <v>985</v>
      </c>
      <c r="G14" s="199"/>
      <c r="H14" s="198" t="s">
        <v>41</v>
      </c>
      <c r="I14" s="201" t="s">
        <v>232</v>
      </c>
      <c r="J14" s="199"/>
      <c r="K14" s="209"/>
      <c r="L14" s="209"/>
      <c r="M14" s="203"/>
      <c r="N14" s="204"/>
      <c r="O14" s="205"/>
      <c r="P14" s="199"/>
      <c r="Q14" s="201">
        <v>6.0</v>
      </c>
      <c r="R14" s="206"/>
      <c r="S14" s="201" t="s">
        <v>404</v>
      </c>
      <c r="T14" s="201" t="s">
        <v>1338</v>
      </c>
      <c r="V14" s="104"/>
    </row>
    <row r="15" ht="15.75" customHeight="1">
      <c r="A15" s="91"/>
      <c r="B15" s="197">
        <v>45665.0</v>
      </c>
      <c r="C15" s="198" t="s">
        <v>410</v>
      </c>
      <c r="D15" s="199"/>
      <c r="E15" s="238" t="s">
        <v>1200</v>
      </c>
      <c r="F15" s="238" t="s">
        <v>1283</v>
      </c>
      <c r="G15" s="199"/>
      <c r="H15" s="198" t="s">
        <v>41</v>
      </c>
      <c r="I15" s="201" t="s">
        <v>232</v>
      </c>
      <c r="J15" s="199"/>
      <c r="K15" s="209"/>
      <c r="L15" s="209"/>
      <c r="M15" s="203"/>
      <c r="N15" s="204"/>
      <c r="O15" s="205"/>
      <c r="P15" s="199"/>
      <c r="Q15" s="201">
        <v>6.0</v>
      </c>
      <c r="R15" s="206"/>
      <c r="S15" s="201" t="s">
        <v>404</v>
      </c>
      <c r="T15" s="201" t="s">
        <v>1723</v>
      </c>
      <c r="V15" s="104"/>
    </row>
    <row r="16" ht="15.75" customHeight="1">
      <c r="A16" s="91"/>
      <c r="B16" s="197">
        <v>45665.0</v>
      </c>
      <c r="C16" s="198" t="s">
        <v>1319</v>
      </c>
      <c r="D16" s="199"/>
      <c r="E16" s="238" t="s">
        <v>1320</v>
      </c>
      <c r="F16" s="238" t="s">
        <v>1321</v>
      </c>
      <c r="G16" s="199"/>
      <c r="H16" s="198" t="s">
        <v>41</v>
      </c>
      <c r="I16" s="201" t="s">
        <v>131</v>
      </c>
      <c r="J16" s="199"/>
      <c r="K16" s="209"/>
      <c r="L16" s="209"/>
      <c r="M16" s="203"/>
      <c r="N16" s="204"/>
      <c r="O16" s="205"/>
      <c r="P16" s="199"/>
      <c r="Q16" s="201">
        <v>6.0</v>
      </c>
      <c r="R16" s="206"/>
      <c r="S16" s="201" t="s">
        <v>404</v>
      </c>
      <c r="T16" s="201" t="s">
        <v>1724</v>
      </c>
      <c r="V16" s="104"/>
    </row>
    <row r="17" ht="15.75" customHeight="1">
      <c r="A17" s="91"/>
      <c r="B17" s="197">
        <v>45665.0</v>
      </c>
      <c r="C17" s="93" t="s">
        <v>905</v>
      </c>
      <c r="D17" s="94"/>
      <c r="E17" s="238" t="s">
        <v>906</v>
      </c>
      <c r="F17" s="238" t="s">
        <v>907</v>
      </c>
      <c r="G17" s="94"/>
      <c r="H17" s="198" t="s">
        <v>41</v>
      </c>
      <c r="I17" s="97" t="s">
        <v>181</v>
      </c>
      <c r="J17" s="94"/>
      <c r="K17" s="202">
        <v>7700.0</v>
      </c>
      <c r="L17" s="202">
        <v>1700.0</v>
      </c>
      <c r="M17" s="99"/>
      <c r="N17" s="111"/>
      <c r="O17" s="112"/>
      <c r="P17" s="94"/>
      <c r="Q17" s="201">
        <v>6.0</v>
      </c>
      <c r="R17" s="113"/>
      <c r="S17" s="102" t="s">
        <v>105</v>
      </c>
      <c r="T17" s="102" t="s">
        <v>1345</v>
      </c>
      <c r="V17" s="104"/>
    </row>
    <row r="18" ht="15.75" customHeight="1">
      <c r="A18" s="94"/>
      <c r="B18" s="197">
        <v>45665.0</v>
      </c>
      <c r="C18" s="103" t="s">
        <v>410</v>
      </c>
      <c r="D18" s="94"/>
      <c r="E18" s="238" t="s">
        <v>1360</v>
      </c>
      <c r="F18" s="238" t="s">
        <v>1361</v>
      </c>
      <c r="G18" s="94"/>
      <c r="H18" s="198" t="s">
        <v>41</v>
      </c>
      <c r="I18" s="102" t="s">
        <v>232</v>
      </c>
      <c r="J18" s="94"/>
      <c r="K18" s="135"/>
      <c r="L18" s="135"/>
      <c r="M18" s="99"/>
      <c r="N18" s="111"/>
      <c r="O18" s="112"/>
      <c r="P18" s="94"/>
      <c r="Q18" s="201">
        <v>6.0</v>
      </c>
      <c r="R18" s="113"/>
      <c r="S18" s="102" t="s">
        <v>404</v>
      </c>
      <c r="T18" s="102" t="s">
        <v>1362</v>
      </c>
      <c r="V18" s="104"/>
    </row>
    <row r="19" ht="15.75" customHeight="1">
      <c r="A19" s="94"/>
      <c r="B19" s="197">
        <v>45665.0</v>
      </c>
      <c r="C19" s="93" t="s">
        <v>777</v>
      </c>
      <c r="D19" s="94"/>
      <c r="E19" s="238" t="s">
        <v>1415</v>
      </c>
      <c r="F19" s="238" t="s">
        <v>1416</v>
      </c>
      <c r="G19" s="94"/>
      <c r="H19" s="198" t="s">
        <v>41</v>
      </c>
      <c r="I19" s="102" t="s">
        <v>181</v>
      </c>
      <c r="J19" s="94"/>
      <c r="K19" s="98">
        <v>10500.0</v>
      </c>
      <c r="L19" s="98">
        <v>3000.0</v>
      </c>
      <c r="M19" s="99"/>
      <c r="N19" s="111"/>
      <c r="O19" s="112"/>
      <c r="P19" s="94"/>
      <c r="Q19" s="201">
        <v>6.0</v>
      </c>
      <c r="R19" s="113"/>
      <c r="S19" s="102" t="s">
        <v>404</v>
      </c>
      <c r="T19" s="102" t="s">
        <v>1725</v>
      </c>
      <c r="V19" s="104"/>
    </row>
    <row r="20" ht="15.75" customHeight="1">
      <c r="A20" s="94"/>
      <c r="B20" s="197">
        <v>45665.0</v>
      </c>
      <c r="C20" s="103" t="s">
        <v>1421</v>
      </c>
      <c r="D20" s="94"/>
      <c r="E20" s="238" t="s">
        <v>1422</v>
      </c>
      <c r="F20" s="238" t="s">
        <v>1423</v>
      </c>
      <c r="G20" s="94"/>
      <c r="H20" s="198" t="s">
        <v>41</v>
      </c>
      <c r="I20" s="102" t="s">
        <v>232</v>
      </c>
      <c r="J20" s="94"/>
      <c r="K20" s="223"/>
      <c r="L20" s="202">
        <v>100.0</v>
      </c>
      <c r="M20" s="99"/>
      <c r="N20" s="111"/>
      <c r="O20" s="112"/>
      <c r="P20" s="94"/>
      <c r="Q20" s="201">
        <v>6.0</v>
      </c>
      <c r="R20" s="113"/>
      <c r="S20" s="102" t="s">
        <v>404</v>
      </c>
      <c r="T20" s="102" t="s">
        <v>1726</v>
      </c>
      <c r="V20" s="104"/>
    </row>
    <row r="21" ht="15.75" customHeight="1">
      <c r="A21" s="94"/>
      <c r="B21" s="197">
        <v>45665.0</v>
      </c>
      <c r="C21" s="93" t="s">
        <v>1303</v>
      </c>
      <c r="D21" s="94"/>
      <c r="E21" s="238" t="s">
        <v>1430</v>
      </c>
      <c r="F21" s="238" t="s">
        <v>1431</v>
      </c>
      <c r="G21" s="94"/>
      <c r="H21" s="198" t="s">
        <v>41</v>
      </c>
      <c r="I21" s="102" t="s">
        <v>181</v>
      </c>
      <c r="J21" s="94"/>
      <c r="K21" s="202">
        <v>10500.0</v>
      </c>
      <c r="L21" s="202">
        <v>1500.0</v>
      </c>
      <c r="M21" s="99"/>
      <c r="N21" s="111"/>
      <c r="O21" s="112"/>
      <c r="P21" s="94"/>
      <c r="Q21" s="201">
        <v>6.0</v>
      </c>
      <c r="R21" s="113"/>
      <c r="S21" s="102" t="s">
        <v>105</v>
      </c>
      <c r="T21" s="102" t="s">
        <v>1432</v>
      </c>
      <c r="V21" s="104"/>
    </row>
    <row r="22" ht="15.75" customHeight="1">
      <c r="A22" s="94"/>
      <c r="B22" s="197">
        <v>45665.0</v>
      </c>
      <c r="C22" s="93" t="s">
        <v>1459</v>
      </c>
      <c r="D22" s="94"/>
      <c r="E22" s="238" t="s">
        <v>1460</v>
      </c>
      <c r="F22" s="238" t="s">
        <v>1461</v>
      </c>
      <c r="G22" s="94"/>
      <c r="H22" s="198" t="s">
        <v>41</v>
      </c>
      <c r="I22" s="102" t="s">
        <v>232</v>
      </c>
      <c r="J22" s="94"/>
      <c r="K22" s="135"/>
      <c r="L22" s="202">
        <v>100.0</v>
      </c>
      <c r="M22" s="99"/>
      <c r="N22" s="111"/>
      <c r="O22" s="112"/>
      <c r="P22" s="94"/>
      <c r="Q22" s="120"/>
      <c r="R22" s="113"/>
      <c r="S22" s="102" t="s">
        <v>404</v>
      </c>
      <c r="T22" s="102" t="s">
        <v>1727</v>
      </c>
      <c r="V22" s="104"/>
    </row>
    <row r="23" ht="15.75" customHeight="1">
      <c r="A23" s="94"/>
      <c r="B23" s="197">
        <v>45665.0</v>
      </c>
      <c r="C23" s="103" t="s">
        <v>360</v>
      </c>
      <c r="D23" s="94"/>
      <c r="E23" s="238" t="s">
        <v>1492</v>
      </c>
      <c r="F23" s="238" t="s">
        <v>1493</v>
      </c>
      <c r="G23" s="94"/>
      <c r="H23" s="198" t="s">
        <v>41</v>
      </c>
      <c r="I23" s="102" t="s">
        <v>181</v>
      </c>
      <c r="J23" s="94"/>
      <c r="K23" s="202">
        <v>10500.0</v>
      </c>
      <c r="L23" s="202">
        <v>2500.0</v>
      </c>
      <c r="M23" s="99"/>
      <c r="N23" s="111"/>
      <c r="O23" s="112"/>
      <c r="P23" s="94"/>
      <c r="Q23" s="201">
        <v>6.0</v>
      </c>
      <c r="R23" s="113"/>
      <c r="S23" s="102" t="s">
        <v>105</v>
      </c>
      <c r="T23" s="102" t="s">
        <v>1728</v>
      </c>
      <c r="V23" s="104"/>
    </row>
    <row r="24" ht="15.75" customHeight="1">
      <c r="A24" s="94"/>
      <c r="B24" s="197">
        <v>45665.0</v>
      </c>
      <c r="C24" s="103" t="s">
        <v>1624</v>
      </c>
      <c r="D24" s="94"/>
      <c r="E24" s="238" t="s">
        <v>1625</v>
      </c>
      <c r="F24" s="238" t="s">
        <v>1626</v>
      </c>
      <c r="G24" s="94"/>
      <c r="H24" s="198" t="s">
        <v>41</v>
      </c>
      <c r="I24" s="102" t="s">
        <v>181</v>
      </c>
      <c r="J24" s="94"/>
      <c r="K24" s="98">
        <v>10500.0</v>
      </c>
      <c r="L24" s="98">
        <v>3000.0</v>
      </c>
      <c r="M24" s="99"/>
      <c r="N24" s="111"/>
      <c r="O24" s="112"/>
      <c r="P24" s="94"/>
      <c r="Q24" s="201">
        <v>6.0</v>
      </c>
      <c r="R24" s="113"/>
      <c r="S24" s="102" t="s">
        <v>105</v>
      </c>
      <c r="T24" s="102" t="s">
        <v>1627</v>
      </c>
      <c r="V24" s="104"/>
    </row>
    <row r="25" ht="15.75" customHeight="1">
      <c r="A25" s="94"/>
      <c r="B25" s="197">
        <v>45665.0</v>
      </c>
      <c r="C25" s="103" t="s">
        <v>490</v>
      </c>
      <c r="D25" s="94"/>
      <c r="E25" s="238" t="s">
        <v>1691</v>
      </c>
      <c r="F25" s="238" t="s">
        <v>1692</v>
      </c>
      <c r="G25" s="94"/>
      <c r="H25" s="198" t="s">
        <v>41</v>
      </c>
      <c r="I25" s="102" t="s">
        <v>232</v>
      </c>
      <c r="J25" s="94"/>
      <c r="K25" s="142"/>
      <c r="L25" s="142"/>
      <c r="M25" s="99"/>
      <c r="N25" s="111"/>
      <c r="O25" s="112"/>
      <c r="P25" s="94"/>
      <c r="Q25" s="201">
        <v>6.0</v>
      </c>
      <c r="R25" s="113"/>
      <c r="S25" s="102" t="s">
        <v>404</v>
      </c>
      <c r="T25" s="102" t="s">
        <v>1729</v>
      </c>
      <c r="V25" s="102"/>
    </row>
    <row r="26" ht="15.75" customHeight="1">
      <c r="A26" s="94"/>
      <c r="B26" s="197">
        <v>45665.0</v>
      </c>
      <c r="C26" s="102" t="s">
        <v>1407</v>
      </c>
      <c r="D26" s="94"/>
      <c r="E26" s="238" t="s">
        <v>1730</v>
      </c>
      <c r="F26" s="239" t="s">
        <v>1731</v>
      </c>
      <c r="G26" s="94"/>
      <c r="H26" s="198" t="s">
        <v>41</v>
      </c>
      <c r="I26" s="97" t="s">
        <v>103</v>
      </c>
      <c r="J26" s="94"/>
      <c r="K26" s="98">
        <v>4500.0</v>
      </c>
      <c r="L26" s="98">
        <v>4500.0</v>
      </c>
      <c r="M26" s="99"/>
      <c r="N26" s="100"/>
      <c r="O26" s="112"/>
      <c r="P26" s="94"/>
      <c r="Q26" s="102">
        <v>4.0</v>
      </c>
      <c r="R26" s="113"/>
      <c r="S26" s="102" t="s">
        <v>105</v>
      </c>
      <c r="T26" s="94"/>
      <c r="V26" s="104"/>
    </row>
    <row r="27" ht="15.75" customHeight="1">
      <c r="A27" s="91"/>
      <c r="B27" s="197">
        <v>45665.0</v>
      </c>
      <c r="C27" s="97" t="s">
        <v>777</v>
      </c>
      <c r="D27" s="94"/>
      <c r="E27" s="238" t="s">
        <v>1732</v>
      </c>
      <c r="F27" s="238" t="s">
        <v>1733</v>
      </c>
      <c r="G27" s="94"/>
      <c r="H27" s="198" t="s">
        <v>41</v>
      </c>
      <c r="I27" s="97" t="s">
        <v>591</v>
      </c>
      <c r="J27" s="94"/>
      <c r="K27" s="98"/>
      <c r="L27" s="98"/>
      <c r="M27" s="99"/>
      <c r="N27" s="100"/>
      <c r="O27" s="101"/>
      <c r="P27" s="94"/>
      <c r="Q27" s="109"/>
      <c r="R27" s="105"/>
      <c r="S27" s="102"/>
      <c r="T27" s="102"/>
      <c r="V27" s="104"/>
    </row>
    <row r="28" ht="15.75" customHeight="1">
      <c r="A28" s="91"/>
      <c r="B28" s="197">
        <v>45665.0</v>
      </c>
      <c r="C28" s="97" t="s">
        <v>1734</v>
      </c>
      <c r="D28" s="94"/>
      <c r="E28" s="238" t="s">
        <v>1735</v>
      </c>
      <c r="F28" s="238" t="s">
        <v>1736</v>
      </c>
      <c r="G28" s="94"/>
      <c r="H28" s="198" t="s">
        <v>41</v>
      </c>
      <c r="I28" s="97" t="s">
        <v>88</v>
      </c>
      <c r="J28" s="94"/>
      <c r="K28" s="98"/>
      <c r="L28" s="98"/>
      <c r="M28" s="99"/>
      <c r="N28" s="100" t="s">
        <v>45</v>
      </c>
      <c r="O28" s="101" t="s">
        <v>396</v>
      </c>
      <c r="P28" s="94"/>
      <c r="Q28" s="102"/>
      <c r="R28" s="113"/>
      <c r="S28" s="102" t="s">
        <v>383</v>
      </c>
      <c r="T28" s="102" t="s">
        <v>1737</v>
      </c>
      <c r="V28" s="104"/>
    </row>
    <row r="29" ht="15.75" customHeight="1">
      <c r="A29" s="91"/>
      <c r="B29" s="197">
        <v>45665.0</v>
      </c>
      <c r="C29" s="97" t="s">
        <v>262</v>
      </c>
      <c r="D29" s="94"/>
      <c r="E29" s="238" t="s">
        <v>1738</v>
      </c>
      <c r="F29" s="238" t="s">
        <v>1739</v>
      </c>
      <c r="G29" s="94"/>
      <c r="H29" s="198" t="s">
        <v>41</v>
      </c>
      <c r="I29" s="102" t="s">
        <v>88</v>
      </c>
      <c r="J29" s="94"/>
      <c r="K29" s="98"/>
      <c r="L29" s="98"/>
      <c r="M29" s="99"/>
      <c r="N29" s="100" t="s">
        <v>98</v>
      </c>
      <c r="O29" s="101" t="s">
        <v>647</v>
      </c>
      <c r="P29" s="94"/>
      <c r="Q29" s="109"/>
      <c r="R29" s="103"/>
      <c r="S29" s="102" t="s">
        <v>383</v>
      </c>
      <c r="T29" s="102" t="s">
        <v>1740</v>
      </c>
      <c r="V29" s="104"/>
    </row>
    <row r="30" ht="15.75" customHeight="1">
      <c r="A30" s="91"/>
      <c r="B30" s="197">
        <v>45665.0</v>
      </c>
      <c r="C30" s="97" t="s">
        <v>390</v>
      </c>
      <c r="D30" s="94"/>
      <c r="E30" s="238" t="s">
        <v>1741</v>
      </c>
      <c r="F30" s="239" t="s">
        <v>1742</v>
      </c>
      <c r="G30" s="94"/>
      <c r="H30" s="198" t="s">
        <v>41</v>
      </c>
      <c r="I30" s="102" t="s">
        <v>88</v>
      </c>
      <c r="J30" s="94"/>
      <c r="K30" s="108"/>
      <c r="L30" s="108"/>
      <c r="M30" s="99"/>
      <c r="N30" s="100" t="s">
        <v>98</v>
      </c>
      <c r="O30" s="101" t="s">
        <v>1295</v>
      </c>
      <c r="P30" s="94"/>
      <c r="Q30" s="94"/>
      <c r="R30" s="113"/>
      <c r="S30" s="102" t="s">
        <v>124</v>
      </c>
      <c r="T30" s="102" t="s">
        <v>1743</v>
      </c>
      <c r="V30" s="104"/>
    </row>
    <row r="31" ht="15.75" customHeight="1">
      <c r="A31" s="91"/>
      <c r="B31" s="197">
        <v>45665.0</v>
      </c>
      <c r="C31" s="97" t="s">
        <v>318</v>
      </c>
      <c r="D31" s="94"/>
      <c r="E31" s="238" t="s">
        <v>1744</v>
      </c>
      <c r="F31" s="238" t="s">
        <v>1745</v>
      </c>
      <c r="G31" s="94"/>
      <c r="H31" s="198" t="s">
        <v>41</v>
      </c>
      <c r="I31" s="102" t="s">
        <v>110</v>
      </c>
      <c r="J31" s="94"/>
      <c r="K31" s="98"/>
      <c r="L31" s="98"/>
      <c r="M31" s="99"/>
      <c r="N31" s="100"/>
      <c r="O31" s="101"/>
      <c r="P31" s="94"/>
      <c r="Q31" s="102"/>
      <c r="R31" s="103"/>
      <c r="S31" s="102"/>
      <c r="T31" s="102" t="s">
        <v>1746</v>
      </c>
      <c r="V31" s="104"/>
    </row>
    <row r="32" ht="15.75" customHeight="1">
      <c r="A32" s="91"/>
      <c r="B32" s="197">
        <v>45665.0</v>
      </c>
      <c r="C32" s="97" t="s">
        <v>996</v>
      </c>
      <c r="D32" s="94"/>
      <c r="E32" s="238" t="s">
        <v>1747</v>
      </c>
      <c r="F32" s="238" t="s">
        <v>1748</v>
      </c>
      <c r="G32" s="94"/>
      <c r="H32" s="198" t="s">
        <v>41</v>
      </c>
      <c r="I32" s="102" t="s">
        <v>88</v>
      </c>
      <c r="J32" s="94"/>
      <c r="K32" s="98"/>
      <c r="L32" s="98"/>
      <c r="M32" s="99"/>
      <c r="N32" s="100" t="s">
        <v>45</v>
      </c>
      <c r="O32" s="101" t="s">
        <v>396</v>
      </c>
      <c r="P32" s="94"/>
      <c r="Q32" s="102"/>
      <c r="R32" s="103"/>
      <c r="S32" s="102" t="s">
        <v>124</v>
      </c>
      <c r="T32" s="102" t="s">
        <v>1749</v>
      </c>
      <c r="V32" s="104"/>
    </row>
    <row r="33" ht="15.75" customHeight="1">
      <c r="A33" s="91"/>
      <c r="B33" s="197">
        <v>45665.0</v>
      </c>
      <c r="C33" s="97" t="s">
        <v>543</v>
      </c>
      <c r="D33" s="94"/>
      <c r="E33" s="238" t="s">
        <v>1750</v>
      </c>
      <c r="F33" s="238" t="s">
        <v>1751</v>
      </c>
      <c r="G33" s="94"/>
      <c r="H33" s="198" t="s">
        <v>41</v>
      </c>
      <c r="I33" s="102" t="s">
        <v>88</v>
      </c>
      <c r="J33" s="94"/>
      <c r="K33" s="98"/>
      <c r="L33" s="98"/>
      <c r="M33" s="99"/>
      <c r="N33" s="100" t="s">
        <v>50</v>
      </c>
      <c r="O33" s="101" t="s">
        <v>1752</v>
      </c>
      <c r="P33" s="94"/>
      <c r="Q33" s="102"/>
      <c r="R33" s="113"/>
      <c r="S33" s="102" t="s">
        <v>124</v>
      </c>
      <c r="T33" s="102" t="s">
        <v>1753</v>
      </c>
      <c r="V33" s="104"/>
    </row>
    <row r="34" ht="15.75" customHeight="1">
      <c r="A34" s="91"/>
      <c r="B34" s="197">
        <v>45665.0</v>
      </c>
      <c r="C34" s="97" t="s">
        <v>1754</v>
      </c>
      <c r="D34" s="94"/>
      <c r="E34" s="238" t="s">
        <v>1712</v>
      </c>
      <c r="F34" s="239" t="s">
        <v>1713</v>
      </c>
      <c r="G34" s="94"/>
      <c r="H34" s="198" t="s">
        <v>41</v>
      </c>
      <c r="I34" s="102" t="s">
        <v>181</v>
      </c>
      <c r="J34" s="94"/>
      <c r="K34" s="98">
        <v>10500.0</v>
      </c>
      <c r="L34" s="98">
        <v>3000.0</v>
      </c>
      <c r="M34" s="99"/>
      <c r="N34" s="100"/>
      <c r="O34" s="101"/>
      <c r="P34" s="94"/>
      <c r="Q34" s="201">
        <v>6.0</v>
      </c>
      <c r="R34" s="106"/>
      <c r="S34" s="102" t="s">
        <v>105</v>
      </c>
      <c r="T34" s="102"/>
      <c r="V34" s="104"/>
    </row>
    <row r="35" ht="15.75" customHeight="1">
      <c r="A35" s="91"/>
      <c r="B35" s="197">
        <v>45665.0</v>
      </c>
      <c r="C35" s="102" t="s">
        <v>654</v>
      </c>
      <c r="D35" s="94"/>
      <c r="E35" s="238" t="s">
        <v>1755</v>
      </c>
      <c r="F35" s="238" t="s">
        <v>1756</v>
      </c>
      <c r="G35" s="94"/>
      <c r="H35" s="198" t="s">
        <v>41</v>
      </c>
      <c r="I35" s="102" t="s">
        <v>88</v>
      </c>
      <c r="J35" s="94"/>
      <c r="K35" s="98"/>
      <c r="L35" s="98"/>
      <c r="M35" s="99"/>
      <c r="N35" s="100" t="s">
        <v>45</v>
      </c>
      <c r="O35" s="101" t="s">
        <v>396</v>
      </c>
      <c r="P35" s="94"/>
      <c r="Q35" s="94"/>
      <c r="R35" s="113"/>
      <c r="S35" s="102" t="s">
        <v>383</v>
      </c>
      <c r="T35" s="102" t="s">
        <v>1757</v>
      </c>
      <c r="V35" s="104"/>
    </row>
    <row r="36" ht="15.75" customHeight="1">
      <c r="A36" s="91"/>
      <c r="B36" s="197">
        <v>45665.0</v>
      </c>
      <c r="C36" s="97" t="s">
        <v>1758</v>
      </c>
      <c r="D36" s="94"/>
      <c r="E36" s="238" t="s">
        <v>1759</v>
      </c>
      <c r="F36" s="239" t="s">
        <v>1760</v>
      </c>
      <c r="G36" s="94"/>
      <c r="H36" s="198" t="s">
        <v>41</v>
      </c>
      <c r="I36" s="102" t="s">
        <v>232</v>
      </c>
      <c r="J36" s="94"/>
      <c r="K36" s="98"/>
      <c r="L36" s="98"/>
      <c r="M36" s="99"/>
      <c r="N36" s="100"/>
      <c r="O36" s="112"/>
      <c r="P36" s="94"/>
      <c r="Q36" s="201">
        <v>6.0</v>
      </c>
      <c r="R36" s="113"/>
      <c r="S36" s="102" t="s">
        <v>404</v>
      </c>
      <c r="T36" s="102" t="s">
        <v>1761</v>
      </c>
      <c r="V36" s="104"/>
    </row>
    <row r="37" ht="15.75" customHeight="1">
      <c r="A37" s="91"/>
      <c r="B37" s="197">
        <v>45696.0</v>
      </c>
      <c r="C37" s="97" t="s">
        <v>360</v>
      </c>
      <c r="D37" s="94"/>
      <c r="E37" s="238" t="s">
        <v>1762</v>
      </c>
      <c r="F37" s="238" t="s">
        <v>1763</v>
      </c>
      <c r="G37" s="94"/>
      <c r="H37" s="198" t="s">
        <v>41</v>
      </c>
      <c r="I37" s="102" t="s">
        <v>131</v>
      </c>
      <c r="J37" s="94"/>
      <c r="K37" s="98"/>
      <c r="L37" s="98"/>
      <c r="M37" s="99"/>
      <c r="N37" s="100"/>
      <c r="O37" s="101"/>
      <c r="P37" s="94"/>
      <c r="Q37" s="109"/>
      <c r="R37" s="103"/>
      <c r="S37" s="102"/>
      <c r="T37" s="102"/>
      <c r="V37" s="104"/>
    </row>
    <row r="38" ht="15.75" customHeight="1">
      <c r="A38" s="91"/>
      <c r="B38" s="197">
        <v>45724.0</v>
      </c>
      <c r="C38" s="97" t="s">
        <v>1122</v>
      </c>
      <c r="D38" s="94"/>
      <c r="E38" s="238" t="s">
        <v>1764</v>
      </c>
      <c r="F38" s="238" t="s">
        <v>1765</v>
      </c>
      <c r="G38" s="94"/>
      <c r="H38" s="198" t="s">
        <v>41</v>
      </c>
      <c r="I38" s="102" t="s">
        <v>181</v>
      </c>
      <c r="J38" s="94"/>
      <c r="K38" s="98">
        <v>10500.0</v>
      </c>
      <c r="L38" s="98">
        <v>3000.0</v>
      </c>
      <c r="M38" s="99"/>
      <c r="N38" s="100"/>
      <c r="O38" s="112"/>
      <c r="P38" s="94"/>
      <c r="Q38" s="201">
        <v>6.0</v>
      </c>
      <c r="R38" s="113"/>
      <c r="S38" s="102" t="s">
        <v>105</v>
      </c>
      <c r="T38" s="94"/>
      <c r="V38" s="104"/>
    </row>
    <row r="39" ht="15.75" customHeight="1">
      <c r="A39" s="91"/>
      <c r="B39" s="197">
        <v>45724.0</v>
      </c>
      <c r="C39" s="97" t="s">
        <v>1766</v>
      </c>
      <c r="D39" s="94"/>
      <c r="E39" s="238" t="s">
        <v>1767</v>
      </c>
      <c r="F39" s="238" t="s">
        <v>1768</v>
      </c>
      <c r="G39" s="94"/>
      <c r="H39" s="198" t="s">
        <v>41</v>
      </c>
      <c r="I39" s="102" t="s">
        <v>88</v>
      </c>
      <c r="J39" s="94"/>
      <c r="K39" s="108"/>
      <c r="L39" s="108"/>
      <c r="M39" s="99"/>
      <c r="N39" s="100" t="s">
        <v>55</v>
      </c>
      <c r="O39" s="101" t="s">
        <v>1503</v>
      </c>
      <c r="P39" s="94"/>
      <c r="Q39" s="94"/>
      <c r="R39" s="113"/>
      <c r="S39" s="102" t="s">
        <v>383</v>
      </c>
      <c r="T39" s="102" t="s">
        <v>1769</v>
      </c>
      <c r="V39" s="104"/>
    </row>
    <row r="40" ht="15.75" customHeight="1">
      <c r="A40" s="91"/>
      <c r="B40" s="197">
        <v>45724.0</v>
      </c>
      <c r="C40" s="102" t="s">
        <v>514</v>
      </c>
      <c r="D40" s="94"/>
      <c r="E40" s="238" t="s">
        <v>1770</v>
      </c>
      <c r="F40" s="238" t="s">
        <v>1771</v>
      </c>
      <c r="G40" s="94"/>
      <c r="H40" s="198" t="s">
        <v>41</v>
      </c>
      <c r="I40" s="102" t="s">
        <v>103</v>
      </c>
      <c r="J40" s="94"/>
      <c r="K40" s="98">
        <v>9000.0</v>
      </c>
      <c r="L40" s="98">
        <v>9000.0</v>
      </c>
      <c r="M40" s="99"/>
      <c r="N40" s="100"/>
      <c r="O40" s="101"/>
      <c r="P40" s="94"/>
      <c r="Q40" s="201">
        <v>6.0</v>
      </c>
      <c r="R40" s="113"/>
      <c r="S40" s="102" t="s">
        <v>105</v>
      </c>
      <c r="T40" s="102"/>
      <c r="V40" s="104"/>
    </row>
    <row r="41" ht="15.75" customHeight="1">
      <c r="A41" s="91"/>
      <c r="B41" s="197">
        <v>45724.0</v>
      </c>
      <c r="C41" s="102" t="s">
        <v>727</v>
      </c>
      <c r="D41" s="94"/>
      <c r="E41" s="238" t="s">
        <v>1772</v>
      </c>
      <c r="F41" s="238" t="s">
        <v>1773</v>
      </c>
      <c r="G41" s="94"/>
      <c r="H41" s="198" t="s">
        <v>41</v>
      </c>
      <c r="I41" s="102" t="s">
        <v>131</v>
      </c>
      <c r="J41" s="94"/>
      <c r="K41" s="98"/>
      <c r="L41" s="98"/>
      <c r="M41" s="99"/>
      <c r="N41" s="111"/>
      <c r="O41" s="112"/>
      <c r="P41" s="94"/>
      <c r="Q41" s="102"/>
      <c r="R41" s="113"/>
      <c r="S41" s="102"/>
      <c r="T41" s="102"/>
      <c r="V41" s="104"/>
    </row>
    <row r="42" ht="15.75" customHeight="1">
      <c r="A42" s="91"/>
      <c r="B42" s="197">
        <v>45724.0</v>
      </c>
      <c r="C42" s="97" t="s">
        <v>318</v>
      </c>
      <c r="D42" s="94"/>
      <c r="E42" s="238" t="s">
        <v>1774</v>
      </c>
      <c r="F42" s="238" t="s">
        <v>1775</v>
      </c>
      <c r="G42" s="94"/>
      <c r="H42" s="198" t="s">
        <v>41</v>
      </c>
      <c r="I42" s="102" t="s">
        <v>103</v>
      </c>
      <c r="J42" s="94"/>
      <c r="K42" s="98">
        <v>9000.0</v>
      </c>
      <c r="L42" s="98">
        <v>9000.0</v>
      </c>
      <c r="M42" s="99"/>
      <c r="N42" s="100"/>
      <c r="O42" s="101"/>
      <c r="P42" s="94"/>
      <c r="Q42" s="201">
        <v>6.0</v>
      </c>
      <c r="R42" s="103"/>
      <c r="S42" s="102" t="s">
        <v>105</v>
      </c>
      <c r="T42" s="102"/>
      <c r="V42" s="104"/>
    </row>
    <row r="43" ht="15.75" customHeight="1">
      <c r="A43" s="91"/>
      <c r="B43" s="197">
        <v>45724.0</v>
      </c>
      <c r="C43" s="97" t="s">
        <v>1210</v>
      </c>
      <c r="D43" s="94"/>
      <c r="E43" s="238" t="s">
        <v>1776</v>
      </c>
      <c r="F43" s="238" t="s">
        <v>1777</v>
      </c>
      <c r="G43" s="94"/>
      <c r="H43" s="198" t="s">
        <v>41</v>
      </c>
      <c r="I43" s="102" t="s">
        <v>232</v>
      </c>
      <c r="J43" s="94"/>
      <c r="K43" s="98"/>
      <c r="L43" s="108"/>
      <c r="M43" s="99"/>
      <c r="N43" s="100"/>
      <c r="O43" s="101"/>
      <c r="P43" s="94"/>
      <c r="Q43" s="201">
        <v>6.0</v>
      </c>
      <c r="R43" s="103"/>
      <c r="S43" s="102" t="s">
        <v>404</v>
      </c>
      <c r="T43" s="118" t="s">
        <v>1778</v>
      </c>
      <c r="V43" s="104"/>
    </row>
    <row r="44" ht="15.75" customHeight="1">
      <c r="A44" s="91"/>
      <c r="B44" s="197">
        <v>45724.0</v>
      </c>
      <c r="C44" s="97" t="s">
        <v>393</v>
      </c>
      <c r="D44" s="94"/>
      <c r="E44" s="238" t="s">
        <v>1779</v>
      </c>
      <c r="F44" s="238" t="s">
        <v>1780</v>
      </c>
      <c r="G44" s="94"/>
      <c r="H44" s="198" t="s">
        <v>41</v>
      </c>
      <c r="I44" s="102" t="s">
        <v>88</v>
      </c>
      <c r="J44" s="94"/>
      <c r="L44" s="98"/>
      <c r="M44" s="99"/>
      <c r="N44" s="100" t="s">
        <v>98</v>
      </c>
      <c r="O44" s="101" t="s">
        <v>1592</v>
      </c>
      <c r="P44" s="94"/>
      <c r="Q44" s="102"/>
      <c r="R44" s="103"/>
      <c r="S44" s="102" t="s">
        <v>90</v>
      </c>
      <c r="T44" s="102" t="s">
        <v>1781</v>
      </c>
      <c r="V44" s="104"/>
    </row>
    <row r="45" ht="15.75" customHeight="1">
      <c r="A45" s="91"/>
      <c r="B45" s="197">
        <v>45724.0</v>
      </c>
      <c r="C45" s="97" t="s">
        <v>1782</v>
      </c>
      <c r="D45" s="94"/>
      <c r="E45" s="238" t="s">
        <v>1783</v>
      </c>
      <c r="F45" s="239" t="s">
        <v>1784</v>
      </c>
      <c r="G45" s="94"/>
      <c r="H45" s="198" t="s">
        <v>41</v>
      </c>
      <c r="I45" s="102" t="s">
        <v>88</v>
      </c>
      <c r="J45" s="94"/>
      <c r="K45" s="108"/>
      <c r="L45" s="108"/>
      <c r="M45" s="99"/>
      <c r="N45" s="100" t="s">
        <v>98</v>
      </c>
      <c r="O45" s="101" t="s">
        <v>1295</v>
      </c>
      <c r="P45" s="94"/>
      <c r="Q45" s="109"/>
      <c r="R45" s="103"/>
      <c r="S45" s="102" t="s">
        <v>383</v>
      </c>
      <c r="T45" s="102" t="s">
        <v>1785</v>
      </c>
      <c r="V45" s="104"/>
    </row>
    <row r="46" ht="15.75" customHeight="1">
      <c r="A46" s="91"/>
      <c r="B46" s="197">
        <v>45724.0</v>
      </c>
      <c r="C46" s="97" t="s">
        <v>915</v>
      </c>
      <c r="D46" s="94"/>
      <c r="E46" s="238" t="s">
        <v>1786</v>
      </c>
      <c r="F46" s="238" t="s">
        <v>1787</v>
      </c>
      <c r="G46" s="94"/>
      <c r="H46" s="198" t="s">
        <v>41</v>
      </c>
      <c r="I46" s="102" t="s">
        <v>88</v>
      </c>
      <c r="J46" s="94"/>
      <c r="K46" s="98"/>
      <c r="L46" s="98"/>
      <c r="M46" s="99"/>
      <c r="N46" s="100" t="s">
        <v>45</v>
      </c>
      <c r="O46" s="101" t="s">
        <v>486</v>
      </c>
      <c r="P46" s="94"/>
      <c r="Q46" s="102"/>
      <c r="R46" s="113"/>
      <c r="S46" s="102" t="s">
        <v>383</v>
      </c>
      <c r="T46" s="102" t="s">
        <v>1788</v>
      </c>
      <c r="V46" s="104"/>
    </row>
    <row r="47" ht="15.75" customHeight="1">
      <c r="A47" s="91"/>
      <c r="B47" s="197">
        <v>45724.0</v>
      </c>
      <c r="C47" s="102" t="s">
        <v>915</v>
      </c>
      <c r="D47" s="94"/>
      <c r="E47" s="238" t="s">
        <v>1789</v>
      </c>
      <c r="F47" s="238" t="s">
        <v>1790</v>
      </c>
      <c r="G47" s="94"/>
      <c r="H47" s="198" t="s">
        <v>41</v>
      </c>
      <c r="I47" s="102" t="s">
        <v>181</v>
      </c>
      <c r="J47" s="94"/>
      <c r="K47" s="98">
        <v>10500.0</v>
      </c>
      <c r="L47" s="98">
        <v>3000.0</v>
      </c>
      <c r="M47" s="99"/>
      <c r="N47" s="100"/>
      <c r="O47" s="101"/>
      <c r="P47" s="94"/>
      <c r="Q47" s="201">
        <v>6.0</v>
      </c>
      <c r="R47" s="103"/>
      <c r="S47" s="102" t="s">
        <v>105</v>
      </c>
      <c r="T47" s="102"/>
      <c r="V47" s="104"/>
    </row>
    <row r="48" ht="15.75" customHeight="1">
      <c r="A48" s="91"/>
      <c r="B48" s="197">
        <v>45755.0</v>
      </c>
      <c r="C48" s="102" t="s">
        <v>777</v>
      </c>
      <c r="D48" s="94"/>
      <c r="E48" s="238" t="s">
        <v>1791</v>
      </c>
      <c r="F48" s="238" t="s">
        <v>1792</v>
      </c>
      <c r="G48" s="94"/>
      <c r="H48" s="198" t="s">
        <v>41</v>
      </c>
      <c r="I48" s="102" t="s">
        <v>103</v>
      </c>
      <c r="J48" s="94"/>
      <c r="K48" s="98">
        <v>9000.0</v>
      </c>
      <c r="L48" s="98">
        <v>9000.0</v>
      </c>
      <c r="M48" s="99"/>
      <c r="N48" s="100"/>
      <c r="O48" s="101"/>
      <c r="P48" s="94"/>
      <c r="Q48" s="201">
        <v>6.0</v>
      </c>
      <c r="R48" s="113"/>
      <c r="S48" s="102" t="s">
        <v>105</v>
      </c>
      <c r="T48" s="102"/>
      <c r="V48" s="104"/>
    </row>
    <row r="49" ht="15.75" customHeight="1">
      <c r="A49" s="91"/>
      <c r="B49" s="197">
        <v>45755.0</v>
      </c>
      <c r="C49" s="102" t="s">
        <v>390</v>
      </c>
      <c r="D49" s="94"/>
      <c r="E49" s="238" t="s">
        <v>1741</v>
      </c>
      <c r="F49" s="238" t="s">
        <v>1742</v>
      </c>
      <c r="G49" s="94"/>
      <c r="H49" s="198" t="s">
        <v>41</v>
      </c>
      <c r="I49" s="102" t="s">
        <v>131</v>
      </c>
      <c r="J49" s="94"/>
      <c r="K49" s="108"/>
      <c r="L49" s="108"/>
      <c r="M49" s="99"/>
      <c r="N49" s="100"/>
      <c r="O49" s="101"/>
      <c r="P49" s="94"/>
      <c r="Q49" s="94"/>
      <c r="R49" s="113"/>
      <c r="S49" s="102"/>
      <c r="T49" s="102"/>
      <c r="V49" s="104"/>
    </row>
    <row r="50" ht="15.75" customHeight="1">
      <c r="A50" s="91"/>
      <c r="B50" s="197">
        <v>45785.0</v>
      </c>
      <c r="C50" s="97" t="s">
        <v>1793</v>
      </c>
      <c r="D50" s="94"/>
      <c r="E50" s="238" t="s">
        <v>1794</v>
      </c>
      <c r="F50" s="238" t="s">
        <v>1795</v>
      </c>
      <c r="G50" s="94"/>
      <c r="H50" s="198" t="s">
        <v>41</v>
      </c>
      <c r="I50" s="102" t="s">
        <v>131</v>
      </c>
      <c r="J50" s="94"/>
      <c r="K50" s="98"/>
      <c r="L50" s="98"/>
      <c r="M50" s="99"/>
      <c r="N50" s="100"/>
      <c r="O50" s="101"/>
      <c r="P50" s="94"/>
      <c r="Q50" s="94"/>
      <c r="R50" s="113"/>
      <c r="S50" s="102"/>
      <c r="T50" s="102" t="s">
        <v>1796</v>
      </c>
      <c r="V50" s="104"/>
    </row>
    <row r="51" ht="15.75" customHeight="1">
      <c r="A51" s="91"/>
      <c r="B51" s="197">
        <v>45785.0</v>
      </c>
      <c r="C51" s="97" t="s">
        <v>1127</v>
      </c>
      <c r="D51" s="94"/>
      <c r="E51" s="238" t="s">
        <v>1797</v>
      </c>
      <c r="F51" s="238" t="s">
        <v>1798</v>
      </c>
      <c r="G51" s="94"/>
      <c r="H51" s="198" t="s">
        <v>41</v>
      </c>
      <c r="I51" s="102" t="s">
        <v>88</v>
      </c>
      <c r="J51" s="94"/>
      <c r="K51" s="108"/>
      <c r="L51" s="108"/>
      <c r="M51" s="99"/>
      <c r="N51" s="100" t="s">
        <v>45</v>
      </c>
      <c r="O51" s="101" t="s">
        <v>396</v>
      </c>
      <c r="P51" s="94"/>
      <c r="Q51" s="94"/>
      <c r="R51" s="113"/>
      <c r="S51" s="102" t="s">
        <v>124</v>
      </c>
      <c r="T51" s="102" t="s">
        <v>1799</v>
      </c>
      <c r="V51" s="104"/>
    </row>
    <row r="52" ht="15.75" customHeight="1">
      <c r="A52" s="91"/>
      <c r="B52" s="197">
        <v>45785.0</v>
      </c>
      <c r="C52" s="97" t="s">
        <v>772</v>
      </c>
      <c r="D52" s="94"/>
      <c r="E52" s="238" t="s">
        <v>1800</v>
      </c>
      <c r="F52" s="238" t="s">
        <v>1801</v>
      </c>
      <c r="G52" s="94"/>
      <c r="H52" s="198" t="s">
        <v>41</v>
      </c>
      <c r="I52" s="102" t="s">
        <v>88</v>
      </c>
      <c r="J52" s="94"/>
      <c r="K52" s="98"/>
      <c r="L52" s="98"/>
      <c r="M52" s="99"/>
      <c r="N52" s="100" t="s">
        <v>50</v>
      </c>
      <c r="O52" s="101" t="s">
        <v>1802</v>
      </c>
      <c r="P52" s="94"/>
      <c r="Q52" s="109"/>
      <c r="R52" s="106"/>
      <c r="S52" s="102" t="s">
        <v>170</v>
      </c>
      <c r="T52" s="102" t="s">
        <v>1803</v>
      </c>
      <c r="V52" s="104"/>
    </row>
    <row r="53" ht="15.75" customHeight="1">
      <c r="A53" s="91"/>
      <c r="B53" s="197">
        <v>45785.0</v>
      </c>
      <c r="C53" s="97" t="s">
        <v>220</v>
      </c>
      <c r="D53" s="94"/>
      <c r="E53" s="238" t="s">
        <v>1804</v>
      </c>
      <c r="F53" s="238" t="s">
        <v>1805</v>
      </c>
      <c r="G53" s="94"/>
      <c r="H53" s="198" t="s">
        <v>41</v>
      </c>
      <c r="I53" s="102" t="s">
        <v>131</v>
      </c>
      <c r="J53" s="94"/>
      <c r="K53" s="108"/>
      <c r="L53" s="108"/>
      <c r="M53" s="99"/>
      <c r="N53" s="100"/>
      <c r="O53" s="101"/>
      <c r="P53" s="94"/>
      <c r="Q53" s="117"/>
      <c r="R53" s="103"/>
      <c r="S53" s="102"/>
      <c r="T53" s="102"/>
      <c r="V53" s="104"/>
    </row>
    <row r="54" ht="15.75" customHeight="1">
      <c r="A54" s="91"/>
      <c r="B54" s="197">
        <v>45785.0</v>
      </c>
      <c r="C54" s="97" t="s">
        <v>1806</v>
      </c>
      <c r="D54" s="94"/>
      <c r="E54" s="238" t="s">
        <v>1807</v>
      </c>
      <c r="F54" s="239" t="s">
        <v>1808</v>
      </c>
      <c r="G54" s="94"/>
      <c r="H54" s="198" t="s">
        <v>41</v>
      </c>
      <c r="I54" s="102" t="s">
        <v>103</v>
      </c>
      <c r="J54" s="94"/>
      <c r="K54" s="98">
        <v>9000.0</v>
      </c>
      <c r="L54" s="98">
        <v>9000.0</v>
      </c>
      <c r="M54" s="99"/>
      <c r="N54" s="100"/>
      <c r="O54" s="101"/>
      <c r="P54" s="94"/>
      <c r="Q54" s="201">
        <v>6.0</v>
      </c>
      <c r="R54" s="103"/>
      <c r="S54" s="102" t="s">
        <v>105</v>
      </c>
      <c r="T54" s="102"/>
      <c r="V54" s="104"/>
    </row>
    <row r="55" ht="15.75" customHeight="1">
      <c r="A55" s="91"/>
      <c r="B55" s="197">
        <v>45785.0</v>
      </c>
      <c r="C55" s="102" t="s">
        <v>252</v>
      </c>
      <c r="D55" s="94"/>
      <c r="E55" s="238" t="s">
        <v>1809</v>
      </c>
      <c r="F55" s="238" t="s">
        <v>1810</v>
      </c>
      <c r="G55" s="94"/>
      <c r="H55" s="198" t="s">
        <v>41</v>
      </c>
      <c r="I55" s="102" t="s">
        <v>88</v>
      </c>
      <c r="J55" s="94"/>
      <c r="K55" s="98"/>
      <c r="L55" s="98"/>
      <c r="M55" s="99"/>
      <c r="N55" s="100" t="s">
        <v>45</v>
      </c>
      <c r="O55" s="101" t="s">
        <v>396</v>
      </c>
      <c r="P55" s="94"/>
      <c r="Q55" s="102"/>
      <c r="R55" s="113"/>
      <c r="S55" s="102" t="s">
        <v>90</v>
      </c>
      <c r="T55" s="102" t="s">
        <v>1811</v>
      </c>
      <c r="V55" s="104"/>
    </row>
    <row r="56" ht="15.75" customHeight="1">
      <c r="A56" s="91"/>
      <c r="B56" s="197">
        <v>45785.0</v>
      </c>
      <c r="C56" s="97" t="s">
        <v>126</v>
      </c>
      <c r="D56" s="94"/>
      <c r="E56" s="238" t="s">
        <v>1379</v>
      </c>
      <c r="F56" s="238" t="s">
        <v>1812</v>
      </c>
      <c r="G56" s="94"/>
      <c r="H56" s="198" t="s">
        <v>41</v>
      </c>
      <c r="I56" s="102" t="s">
        <v>181</v>
      </c>
      <c r="J56" s="94"/>
      <c r="K56" s="98">
        <v>5000.0</v>
      </c>
      <c r="L56" s="98">
        <v>2000.0</v>
      </c>
      <c r="M56" s="99"/>
      <c r="N56" s="100"/>
      <c r="O56" s="101"/>
      <c r="P56" s="94"/>
      <c r="Q56" s="102">
        <v>3.0</v>
      </c>
      <c r="R56" s="113"/>
      <c r="S56" s="102" t="s">
        <v>105</v>
      </c>
      <c r="T56" s="102"/>
      <c r="V56" s="104"/>
    </row>
    <row r="57" ht="15.75" customHeight="1">
      <c r="A57" s="91"/>
      <c r="B57" s="197">
        <v>45816.0</v>
      </c>
      <c r="C57" s="121" t="s">
        <v>322</v>
      </c>
      <c r="D57" s="94"/>
      <c r="E57" s="238" t="s">
        <v>1813</v>
      </c>
      <c r="F57" s="238" t="s">
        <v>1814</v>
      </c>
      <c r="G57" s="94"/>
      <c r="H57" s="198" t="s">
        <v>41</v>
      </c>
      <c r="I57" s="102" t="s">
        <v>110</v>
      </c>
      <c r="J57" s="94"/>
      <c r="K57" s="108"/>
      <c r="L57" s="108"/>
      <c r="M57" s="99"/>
      <c r="N57" s="100"/>
      <c r="O57" s="101"/>
      <c r="P57" s="94"/>
      <c r="Q57" s="120"/>
      <c r="R57" s="113"/>
      <c r="S57" s="102"/>
      <c r="T57" s="102"/>
      <c r="V57" s="104"/>
    </row>
    <row r="58" ht="15.75" customHeight="1">
      <c r="A58" s="91"/>
      <c r="B58" s="197">
        <v>45816.0</v>
      </c>
      <c r="C58" s="97" t="s">
        <v>1376</v>
      </c>
      <c r="D58" s="94"/>
      <c r="E58" s="238" t="s">
        <v>1815</v>
      </c>
      <c r="F58" s="238" t="s">
        <v>1816</v>
      </c>
      <c r="G58" s="94"/>
      <c r="H58" s="198" t="s">
        <v>41</v>
      </c>
      <c r="I58" s="102" t="s">
        <v>88</v>
      </c>
      <c r="J58" s="94"/>
      <c r="K58" s="98"/>
      <c r="L58" s="98"/>
      <c r="M58" s="99"/>
      <c r="N58" s="100" t="s">
        <v>45</v>
      </c>
      <c r="O58" s="101" t="s">
        <v>396</v>
      </c>
      <c r="P58" s="94"/>
      <c r="Q58" s="102"/>
      <c r="R58" s="103"/>
      <c r="S58" s="102" t="s">
        <v>383</v>
      </c>
      <c r="T58" s="102" t="s">
        <v>1817</v>
      </c>
      <c r="V58" s="104"/>
    </row>
    <row r="59" ht="15.75" customHeight="1">
      <c r="A59" s="91"/>
      <c r="B59" s="197">
        <v>45816.0</v>
      </c>
      <c r="C59" s="121" t="s">
        <v>360</v>
      </c>
      <c r="D59" s="94"/>
      <c r="E59" s="238" t="s">
        <v>1818</v>
      </c>
      <c r="F59" s="238" t="s">
        <v>1819</v>
      </c>
      <c r="G59" s="94"/>
      <c r="H59" s="198" t="s">
        <v>41</v>
      </c>
      <c r="I59" s="102" t="s">
        <v>88</v>
      </c>
      <c r="J59" s="94"/>
      <c r="K59" s="108"/>
      <c r="L59" s="108"/>
      <c r="M59" s="99"/>
      <c r="N59" s="100" t="s">
        <v>45</v>
      </c>
      <c r="O59" s="101" t="s">
        <v>396</v>
      </c>
      <c r="P59" s="94"/>
      <c r="Q59" s="117"/>
      <c r="R59" s="123"/>
      <c r="S59" s="102" t="s">
        <v>90</v>
      </c>
      <c r="T59" s="102" t="s">
        <v>1820</v>
      </c>
      <c r="V59" s="104"/>
    </row>
    <row r="60" ht="15.75" customHeight="1">
      <c r="A60" s="91"/>
      <c r="B60" s="197">
        <v>45816.0</v>
      </c>
      <c r="C60" s="97" t="s">
        <v>915</v>
      </c>
      <c r="D60" s="94"/>
      <c r="E60" s="238" t="s">
        <v>1821</v>
      </c>
      <c r="F60" s="238" t="s">
        <v>1822</v>
      </c>
      <c r="G60" s="94"/>
      <c r="H60" s="198" t="s">
        <v>41</v>
      </c>
      <c r="I60" s="102" t="s">
        <v>110</v>
      </c>
      <c r="J60" s="94"/>
      <c r="K60" s="98"/>
      <c r="L60" s="98"/>
      <c r="M60" s="99"/>
      <c r="N60" s="100"/>
      <c r="O60" s="101"/>
      <c r="P60" s="94"/>
      <c r="Q60" s="117"/>
      <c r="R60" s="103"/>
      <c r="S60" s="102"/>
      <c r="T60" s="102"/>
      <c r="V60" s="104"/>
    </row>
    <row r="61" ht="15.75" customHeight="1">
      <c r="A61" s="91"/>
      <c r="B61" s="197">
        <v>45816.0</v>
      </c>
      <c r="C61" s="97" t="s">
        <v>1823</v>
      </c>
      <c r="D61" s="94"/>
      <c r="E61" s="238" t="s">
        <v>1824</v>
      </c>
      <c r="F61" s="238" t="s">
        <v>1825</v>
      </c>
      <c r="G61" s="94"/>
      <c r="H61" s="198" t="s">
        <v>41</v>
      </c>
      <c r="I61" s="102" t="s">
        <v>1111</v>
      </c>
      <c r="J61" s="94"/>
      <c r="K61" s="98"/>
      <c r="L61" s="98"/>
      <c r="M61" s="99"/>
      <c r="N61" s="111"/>
      <c r="O61" s="112"/>
      <c r="P61" s="94"/>
      <c r="Q61" s="102"/>
      <c r="R61" s="103"/>
      <c r="S61" s="102"/>
      <c r="T61" s="102"/>
      <c r="V61" s="104"/>
    </row>
    <row r="62" ht="15.75" customHeight="1">
      <c r="A62" s="91"/>
      <c r="B62" s="197">
        <v>45846.0</v>
      </c>
      <c r="C62" s="97" t="s">
        <v>559</v>
      </c>
      <c r="D62" s="94"/>
      <c r="E62" s="238" t="s">
        <v>1826</v>
      </c>
      <c r="F62" s="239" t="s">
        <v>1827</v>
      </c>
      <c r="G62" s="94"/>
      <c r="H62" s="198" t="s">
        <v>41</v>
      </c>
      <c r="I62" s="102" t="s">
        <v>181</v>
      </c>
      <c r="J62" s="94"/>
      <c r="K62" s="98">
        <v>10500.0</v>
      </c>
      <c r="L62" s="98">
        <v>3000.0</v>
      </c>
      <c r="M62" s="99"/>
      <c r="N62" s="100"/>
      <c r="O62" s="101"/>
      <c r="P62" s="94"/>
      <c r="Q62" s="201">
        <v>6.0</v>
      </c>
      <c r="R62" s="113"/>
      <c r="S62" s="102" t="s">
        <v>105</v>
      </c>
      <c r="T62" s="102"/>
      <c r="V62" s="104"/>
    </row>
    <row r="63" ht="15.75" customHeight="1">
      <c r="A63" s="91"/>
      <c r="B63" s="197">
        <v>45846.0</v>
      </c>
      <c r="C63" s="102" t="s">
        <v>915</v>
      </c>
      <c r="D63" s="94"/>
      <c r="E63" s="238" t="s">
        <v>1828</v>
      </c>
      <c r="F63" s="238" t="s">
        <v>1829</v>
      </c>
      <c r="G63" s="94"/>
      <c r="H63" s="198" t="s">
        <v>41</v>
      </c>
      <c r="I63" s="102" t="s">
        <v>88</v>
      </c>
      <c r="J63" s="94"/>
      <c r="K63" s="108"/>
      <c r="L63" s="108"/>
      <c r="M63" s="99"/>
      <c r="N63" s="100" t="s">
        <v>98</v>
      </c>
      <c r="O63" s="101" t="s">
        <v>1830</v>
      </c>
      <c r="P63" s="94"/>
      <c r="Q63" s="109"/>
      <c r="R63" s="103"/>
      <c r="S63" s="102" t="s">
        <v>383</v>
      </c>
      <c r="T63" s="102" t="s">
        <v>1831</v>
      </c>
      <c r="V63" s="104"/>
    </row>
    <row r="64" ht="15.75" customHeight="1">
      <c r="A64" s="91"/>
      <c r="B64" s="197">
        <v>45846.0</v>
      </c>
      <c r="C64" s="121" t="s">
        <v>847</v>
      </c>
      <c r="D64" s="94"/>
      <c r="E64" s="238" t="s">
        <v>1467</v>
      </c>
      <c r="F64" s="239" t="s">
        <v>1468</v>
      </c>
      <c r="G64" s="94"/>
      <c r="H64" s="198" t="s">
        <v>41</v>
      </c>
      <c r="I64" s="102" t="s">
        <v>181</v>
      </c>
      <c r="J64" s="94"/>
      <c r="K64" s="98">
        <v>9500.0</v>
      </c>
      <c r="L64" s="98">
        <v>2000.0</v>
      </c>
      <c r="M64" s="99"/>
      <c r="N64" s="111"/>
      <c r="O64" s="112"/>
      <c r="P64" s="94"/>
      <c r="Q64" s="201">
        <v>6.0</v>
      </c>
      <c r="R64" s="113"/>
      <c r="S64" s="102" t="s">
        <v>105</v>
      </c>
      <c r="T64" s="94"/>
      <c r="V64" s="104"/>
    </row>
    <row r="65" ht="15.75" customHeight="1">
      <c r="A65" s="91"/>
      <c r="B65" s="197">
        <v>45846.0</v>
      </c>
      <c r="C65" s="121" t="s">
        <v>1823</v>
      </c>
      <c r="D65" s="94"/>
      <c r="E65" s="238" t="s">
        <v>1824</v>
      </c>
      <c r="F65" s="238" t="s">
        <v>1832</v>
      </c>
      <c r="G65" s="94"/>
      <c r="H65" s="198" t="s">
        <v>41</v>
      </c>
      <c r="I65" s="102" t="s">
        <v>88</v>
      </c>
      <c r="J65" s="94"/>
      <c r="K65" s="108"/>
      <c r="L65" s="108"/>
      <c r="M65" s="99"/>
      <c r="N65" s="100" t="s">
        <v>45</v>
      </c>
      <c r="O65" s="101" t="s">
        <v>396</v>
      </c>
      <c r="P65" s="94"/>
      <c r="Q65" s="109"/>
      <c r="R65" s="103"/>
      <c r="S65" s="102" t="s">
        <v>90</v>
      </c>
      <c r="T65" s="102" t="s">
        <v>1833</v>
      </c>
      <c r="V65" s="104"/>
    </row>
    <row r="66" ht="15.75" customHeight="1">
      <c r="A66" s="91"/>
      <c r="B66" s="197">
        <v>45877.0</v>
      </c>
      <c r="C66" s="121" t="s">
        <v>1834</v>
      </c>
      <c r="D66" s="94"/>
      <c r="E66" s="238" t="s">
        <v>1835</v>
      </c>
      <c r="F66" s="238" t="s">
        <v>1836</v>
      </c>
      <c r="G66" s="94"/>
      <c r="H66" s="198" t="s">
        <v>41</v>
      </c>
      <c r="I66" s="102" t="s">
        <v>88</v>
      </c>
      <c r="J66" s="94"/>
      <c r="K66" s="98"/>
      <c r="L66" s="98"/>
      <c r="M66" s="99"/>
      <c r="N66" s="100" t="s">
        <v>45</v>
      </c>
      <c r="O66" s="101" t="s">
        <v>396</v>
      </c>
      <c r="P66" s="94"/>
      <c r="Q66" s="102"/>
      <c r="R66" s="113"/>
      <c r="S66" s="102" t="s">
        <v>124</v>
      </c>
      <c r="T66" s="102" t="s">
        <v>1837</v>
      </c>
      <c r="V66" s="104"/>
    </row>
    <row r="67" ht="15.75" customHeight="1">
      <c r="A67" s="91"/>
      <c r="B67" s="197">
        <v>45877.0</v>
      </c>
      <c r="C67" s="121" t="s">
        <v>1838</v>
      </c>
      <c r="D67" s="94"/>
      <c r="E67" s="238" t="s">
        <v>1839</v>
      </c>
      <c r="F67" s="238" t="s">
        <v>1840</v>
      </c>
      <c r="G67" s="94"/>
      <c r="H67" s="198" t="s">
        <v>41</v>
      </c>
      <c r="I67" s="102" t="s">
        <v>181</v>
      </c>
      <c r="J67" s="94"/>
      <c r="K67" s="98">
        <v>6000.0</v>
      </c>
      <c r="L67" s="98">
        <v>1500.0</v>
      </c>
      <c r="M67" s="99"/>
      <c r="N67" s="111"/>
      <c r="O67" s="112"/>
      <c r="P67" s="94"/>
      <c r="Q67" s="102">
        <v>3.0</v>
      </c>
      <c r="R67" s="113"/>
      <c r="S67" s="102" t="s">
        <v>105</v>
      </c>
      <c r="T67" s="94"/>
      <c r="V67" s="104"/>
    </row>
    <row r="68" ht="15.75" customHeight="1">
      <c r="A68" s="91"/>
      <c r="B68" s="197">
        <v>45877.0</v>
      </c>
      <c r="C68" s="121" t="s">
        <v>1067</v>
      </c>
      <c r="D68" s="94"/>
      <c r="E68" s="238" t="s">
        <v>1841</v>
      </c>
      <c r="F68" s="238" t="s">
        <v>1842</v>
      </c>
      <c r="G68" s="94"/>
      <c r="H68" s="198" t="s">
        <v>41</v>
      </c>
      <c r="I68" s="102" t="s">
        <v>88</v>
      </c>
      <c r="J68" s="94"/>
      <c r="K68" s="125"/>
      <c r="L68" s="125"/>
      <c r="M68" s="99"/>
      <c r="N68" s="100" t="s">
        <v>98</v>
      </c>
      <c r="O68" s="101" t="s">
        <v>1843</v>
      </c>
      <c r="P68" s="94"/>
      <c r="Q68" s="94"/>
      <c r="R68" s="113"/>
      <c r="S68" s="102" t="s">
        <v>124</v>
      </c>
      <c r="T68" s="102" t="s">
        <v>1844</v>
      </c>
      <c r="V68" s="104"/>
    </row>
    <row r="69" ht="15.75" customHeight="1">
      <c r="A69" s="91"/>
      <c r="B69" s="197">
        <v>45908.0</v>
      </c>
      <c r="C69" s="121" t="s">
        <v>1845</v>
      </c>
      <c r="D69" s="94"/>
      <c r="E69" s="238" t="s">
        <v>1846</v>
      </c>
      <c r="F69" s="238" t="s">
        <v>1847</v>
      </c>
      <c r="G69" s="94"/>
      <c r="H69" s="198" t="s">
        <v>41</v>
      </c>
      <c r="I69" s="102" t="s">
        <v>103</v>
      </c>
      <c r="J69" s="94"/>
      <c r="K69" s="98">
        <v>9000.0</v>
      </c>
      <c r="L69" s="98">
        <v>9000.0</v>
      </c>
      <c r="M69" s="99"/>
      <c r="N69" s="100"/>
      <c r="O69" s="101"/>
      <c r="P69" s="94"/>
      <c r="Q69" s="201">
        <v>6.0</v>
      </c>
      <c r="R69" s="106"/>
      <c r="S69" s="102" t="s">
        <v>105</v>
      </c>
      <c r="T69" s="102"/>
      <c r="V69" s="104"/>
    </row>
    <row r="70" ht="15.75" customHeight="1">
      <c r="A70" s="91"/>
      <c r="B70" s="197">
        <v>45908.0</v>
      </c>
      <c r="C70" s="121" t="s">
        <v>1848</v>
      </c>
      <c r="D70" s="94"/>
      <c r="E70" s="238" t="s">
        <v>1849</v>
      </c>
      <c r="F70" s="238" t="s">
        <v>1850</v>
      </c>
      <c r="G70" s="94"/>
      <c r="H70" s="198" t="s">
        <v>41</v>
      </c>
      <c r="I70" s="102" t="s">
        <v>131</v>
      </c>
      <c r="J70" s="94"/>
      <c r="K70" s="125"/>
      <c r="L70" s="125"/>
      <c r="M70" s="99"/>
      <c r="N70" s="100"/>
      <c r="O70" s="101"/>
      <c r="P70" s="94"/>
      <c r="Q70" s="117"/>
      <c r="R70" s="106"/>
      <c r="S70" s="102"/>
      <c r="T70" s="102"/>
      <c r="V70" s="104"/>
    </row>
    <row r="71" ht="15.75" customHeight="1">
      <c r="A71" s="91"/>
      <c r="B71" s="197">
        <v>45938.0</v>
      </c>
      <c r="C71" s="121" t="s">
        <v>1067</v>
      </c>
      <c r="D71" s="94"/>
      <c r="E71" s="238" t="s">
        <v>1841</v>
      </c>
      <c r="F71" s="238" t="s">
        <v>1851</v>
      </c>
      <c r="G71" s="94"/>
      <c r="H71" s="198" t="s">
        <v>41</v>
      </c>
      <c r="I71" s="102" t="s">
        <v>181</v>
      </c>
      <c r="J71" s="94"/>
      <c r="K71" s="98">
        <v>10500.0</v>
      </c>
      <c r="L71" s="98">
        <v>3000.0</v>
      </c>
      <c r="M71" s="99"/>
      <c r="N71" s="111"/>
      <c r="O71" s="112"/>
      <c r="P71" s="94"/>
      <c r="Q71" s="201">
        <v>6.0</v>
      </c>
      <c r="R71" s="113"/>
      <c r="S71" s="240" t="s">
        <v>105</v>
      </c>
      <c r="T71" s="94"/>
      <c r="V71" s="104"/>
    </row>
    <row r="72" ht="15.75" customHeight="1">
      <c r="A72" s="91"/>
      <c r="B72" s="197">
        <v>45999.0</v>
      </c>
      <c r="C72" s="102" t="s">
        <v>727</v>
      </c>
      <c r="D72" s="94"/>
      <c r="E72" s="238">
        <v>3.0119869E7</v>
      </c>
      <c r="F72" s="239" t="s">
        <v>1852</v>
      </c>
      <c r="G72" s="94"/>
      <c r="H72" s="93" t="s">
        <v>41</v>
      </c>
      <c r="I72" s="102" t="s">
        <v>232</v>
      </c>
      <c r="J72" s="94"/>
      <c r="K72" s="125"/>
      <c r="L72" s="125"/>
      <c r="M72" s="99"/>
      <c r="N72" s="111"/>
      <c r="O72" s="112"/>
      <c r="P72" s="94"/>
      <c r="Q72" s="117"/>
      <c r="R72" s="103"/>
      <c r="S72" s="102" t="s">
        <v>404</v>
      </c>
      <c r="T72" s="102" t="s">
        <v>1853</v>
      </c>
      <c r="V72" s="104"/>
    </row>
    <row r="73" ht="15.75" customHeight="1">
      <c r="A73" s="91"/>
      <c r="B73" s="197">
        <v>45999.0</v>
      </c>
      <c r="C73" s="103" t="s">
        <v>262</v>
      </c>
      <c r="D73" s="94"/>
      <c r="E73" s="238" t="s">
        <v>1854</v>
      </c>
      <c r="F73" s="239" t="s">
        <v>1855</v>
      </c>
      <c r="G73" s="94"/>
      <c r="H73" s="93" t="s">
        <v>41</v>
      </c>
      <c r="I73" s="102" t="s">
        <v>88</v>
      </c>
      <c r="J73" s="94"/>
      <c r="K73" s="126"/>
      <c r="L73" s="126"/>
      <c r="M73" s="99"/>
      <c r="N73" s="111"/>
      <c r="O73" s="112"/>
      <c r="P73" s="94"/>
      <c r="Q73" s="117"/>
      <c r="R73" s="113"/>
      <c r="S73" s="102" t="s">
        <v>124</v>
      </c>
      <c r="T73" s="241" t="s">
        <v>1856</v>
      </c>
      <c r="V73" s="104"/>
    </row>
    <row r="74" ht="15.75" customHeight="1">
      <c r="A74" s="91"/>
      <c r="B74" s="198" t="s">
        <v>1857</v>
      </c>
      <c r="C74" s="93" t="s">
        <v>344</v>
      </c>
      <c r="D74" s="94"/>
      <c r="E74" s="238" t="s">
        <v>1858</v>
      </c>
      <c r="F74" s="238" t="s">
        <v>1859</v>
      </c>
      <c r="G74" s="94"/>
      <c r="H74" s="93" t="s">
        <v>41</v>
      </c>
      <c r="I74" s="102" t="s">
        <v>181</v>
      </c>
      <c r="J74" s="94"/>
      <c r="K74" s="98">
        <v>6000.0</v>
      </c>
      <c r="L74" s="98">
        <v>1500.0</v>
      </c>
      <c r="M74" s="99"/>
      <c r="N74" s="111"/>
      <c r="O74" s="112"/>
      <c r="P74" s="94"/>
      <c r="Q74" s="102">
        <v>3.0</v>
      </c>
      <c r="R74" s="103"/>
      <c r="S74" s="102" t="s">
        <v>105</v>
      </c>
      <c r="T74" s="102"/>
      <c r="V74" s="104"/>
    </row>
    <row r="75" ht="15.75" customHeight="1">
      <c r="A75" s="91"/>
      <c r="B75" s="198" t="s">
        <v>1857</v>
      </c>
      <c r="C75" s="93" t="s">
        <v>756</v>
      </c>
      <c r="D75" s="94"/>
      <c r="E75" s="238" t="s">
        <v>1630</v>
      </c>
      <c r="F75" s="238" t="s">
        <v>1631</v>
      </c>
      <c r="G75" s="94"/>
      <c r="H75" s="198" t="s">
        <v>41</v>
      </c>
      <c r="I75" s="102" t="s">
        <v>103</v>
      </c>
      <c r="J75" s="94"/>
      <c r="K75" s="98">
        <v>6000.0</v>
      </c>
      <c r="L75" s="98">
        <v>6000.0</v>
      </c>
      <c r="M75" s="99"/>
      <c r="N75" s="100"/>
      <c r="O75" s="101"/>
      <c r="P75" s="94"/>
      <c r="Q75" s="102">
        <v>4.0</v>
      </c>
      <c r="R75" s="113"/>
      <c r="S75" s="102" t="s">
        <v>105</v>
      </c>
      <c r="T75" s="102" t="s">
        <v>1633</v>
      </c>
      <c r="V75" s="104"/>
    </row>
    <row r="76" ht="15.75" customHeight="1">
      <c r="A76" s="91"/>
      <c r="B76" s="198" t="s">
        <v>1857</v>
      </c>
      <c r="C76" s="93" t="s">
        <v>1860</v>
      </c>
      <c r="D76" s="94"/>
      <c r="E76" s="238" t="s">
        <v>1861</v>
      </c>
      <c r="F76" s="239" t="s">
        <v>416</v>
      </c>
      <c r="G76" s="94"/>
      <c r="H76" s="93" t="s">
        <v>41</v>
      </c>
      <c r="I76" s="102" t="s">
        <v>181</v>
      </c>
      <c r="J76" s="94"/>
      <c r="K76" s="98">
        <v>10500.0</v>
      </c>
      <c r="L76" s="98">
        <v>1500.0</v>
      </c>
      <c r="M76" s="99"/>
      <c r="N76" s="111"/>
      <c r="O76" s="112"/>
      <c r="P76" s="94"/>
      <c r="Q76" s="201">
        <v>6.0</v>
      </c>
      <c r="R76" s="103"/>
      <c r="S76" s="102" t="s">
        <v>105</v>
      </c>
      <c r="T76" s="102" t="s">
        <v>1862</v>
      </c>
      <c r="V76" s="104"/>
    </row>
    <row r="77" ht="15.75" customHeight="1">
      <c r="A77" s="91"/>
      <c r="B77" s="198" t="s">
        <v>1863</v>
      </c>
      <c r="C77" s="93" t="s">
        <v>490</v>
      </c>
      <c r="D77" s="94"/>
      <c r="E77" s="238">
        <v>4.0451127E7</v>
      </c>
      <c r="F77" s="242" t="s">
        <v>1864</v>
      </c>
      <c r="G77" s="94"/>
      <c r="H77" s="93" t="s">
        <v>41</v>
      </c>
      <c r="I77" s="102" t="s">
        <v>181</v>
      </c>
      <c r="J77" s="94"/>
      <c r="K77" s="98">
        <v>10500.0</v>
      </c>
      <c r="L77" s="98">
        <v>3000.0</v>
      </c>
      <c r="M77" s="99"/>
      <c r="N77" s="100"/>
      <c r="O77" s="112"/>
      <c r="P77" s="94"/>
      <c r="Q77" s="201">
        <v>6.0</v>
      </c>
      <c r="R77" s="103"/>
      <c r="S77" s="102" t="s">
        <v>105</v>
      </c>
      <c r="T77" s="102"/>
      <c r="V77" s="104"/>
    </row>
    <row r="78" ht="15.75" customHeight="1">
      <c r="A78" s="91"/>
      <c r="B78" s="198" t="s">
        <v>1865</v>
      </c>
      <c r="C78" s="93" t="s">
        <v>252</v>
      </c>
      <c r="D78" s="94"/>
      <c r="E78" s="238" t="s">
        <v>1866</v>
      </c>
      <c r="F78" s="238" t="s">
        <v>1867</v>
      </c>
      <c r="G78" s="94"/>
      <c r="H78" s="93" t="s">
        <v>41</v>
      </c>
      <c r="I78" s="102" t="s">
        <v>232</v>
      </c>
      <c r="J78" s="94"/>
      <c r="K78" s="125"/>
      <c r="L78" s="125"/>
      <c r="M78" s="99"/>
      <c r="N78" s="100" t="s">
        <v>98</v>
      </c>
      <c r="O78" s="101" t="s">
        <v>1868</v>
      </c>
      <c r="P78" s="94"/>
      <c r="Q78" s="109"/>
      <c r="R78" s="103"/>
      <c r="S78" s="102" t="s">
        <v>404</v>
      </c>
      <c r="T78" s="102" t="s">
        <v>1869</v>
      </c>
      <c r="V78" s="104"/>
    </row>
    <row r="79" ht="15.75" customHeight="1">
      <c r="A79" s="91"/>
      <c r="B79" s="93" t="s">
        <v>1865</v>
      </c>
      <c r="C79" s="103" t="s">
        <v>410</v>
      </c>
      <c r="D79" s="94"/>
      <c r="E79" s="238" t="s">
        <v>1870</v>
      </c>
      <c r="F79" s="238" t="s">
        <v>1871</v>
      </c>
      <c r="G79" s="94"/>
      <c r="H79" s="93" t="s">
        <v>41</v>
      </c>
      <c r="I79" s="102" t="s">
        <v>88</v>
      </c>
      <c r="J79" s="94"/>
      <c r="K79" s="126"/>
      <c r="L79" s="126"/>
      <c r="M79" s="99"/>
      <c r="N79" s="100" t="s">
        <v>98</v>
      </c>
      <c r="O79" s="101" t="s">
        <v>1868</v>
      </c>
      <c r="P79" s="94"/>
      <c r="Q79" s="109"/>
      <c r="R79" s="103"/>
      <c r="S79" s="102" t="s">
        <v>383</v>
      </c>
      <c r="T79" s="102" t="s">
        <v>1872</v>
      </c>
      <c r="V79" s="104"/>
    </row>
    <row r="80" ht="15.75" customHeight="1">
      <c r="A80" s="91"/>
      <c r="B80" s="93" t="s">
        <v>1865</v>
      </c>
      <c r="C80" s="103" t="s">
        <v>483</v>
      </c>
      <c r="D80" s="94"/>
      <c r="E80" s="238" t="s">
        <v>1873</v>
      </c>
      <c r="F80" s="238" t="s">
        <v>1874</v>
      </c>
      <c r="G80" s="94"/>
      <c r="H80" s="93" t="s">
        <v>41</v>
      </c>
      <c r="I80" s="102" t="s">
        <v>181</v>
      </c>
      <c r="J80" s="94"/>
      <c r="K80" s="98">
        <v>10500.0</v>
      </c>
      <c r="L80" s="98">
        <v>3000.0</v>
      </c>
      <c r="M80" s="99"/>
      <c r="N80" s="111"/>
      <c r="O80" s="112"/>
      <c r="P80" s="94"/>
      <c r="Q80" s="201">
        <v>6.0</v>
      </c>
      <c r="R80" s="113"/>
      <c r="S80" s="102" t="s">
        <v>105</v>
      </c>
      <c r="T80" s="94"/>
      <c r="V80" s="104"/>
    </row>
    <row r="81" ht="15.75" customHeight="1">
      <c r="A81" s="91"/>
      <c r="B81" s="93" t="s">
        <v>1865</v>
      </c>
      <c r="C81" s="93" t="s">
        <v>318</v>
      </c>
      <c r="D81" s="94"/>
      <c r="E81" s="238">
        <v>4.2338096E7</v>
      </c>
      <c r="F81" s="238" t="s">
        <v>1875</v>
      </c>
      <c r="G81" s="94"/>
      <c r="H81" s="93" t="s">
        <v>41</v>
      </c>
      <c r="I81" s="102" t="s">
        <v>131</v>
      </c>
      <c r="J81" s="94"/>
      <c r="K81" s="126"/>
      <c r="L81" s="126"/>
      <c r="M81" s="99"/>
      <c r="N81" s="100"/>
      <c r="O81" s="112"/>
      <c r="P81" s="94"/>
      <c r="Q81" s="109"/>
      <c r="R81" s="103"/>
      <c r="S81" s="102"/>
      <c r="T81" s="102"/>
      <c r="V81" s="104"/>
    </row>
    <row r="82" ht="15.75" customHeight="1">
      <c r="A82" s="91"/>
      <c r="B82" s="93" t="s">
        <v>1876</v>
      </c>
      <c r="C82" s="93" t="s">
        <v>410</v>
      </c>
      <c r="D82" s="94"/>
      <c r="E82" s="238" t="s">
        <v>1870</v>
      </c>
      <c r="F82" s="239" t="s">
        <v>1871</v>
      </c>
      <c r="G82" s="94"/>
      <c r="H82" s="93" t="s">
        <v>41</v>
      </c>
      <c r="I82" s="102" t="s">
        <v>88</v>
      </c>
      <c r="J82" s="94"/>
      <c r="K82" s="125"/>
      <c r="L82" s="125"/>
      <c r="M82" s="99"/>
      <c r="N82" s="100" t="s">
        <v>50</v>
      </c>
      <c r="O82" s="101" t="s">
        <v>1877</v>
      </c>
      <c r="P82" s="94"/>
      <c r="Q82" s="120"/>
      <c r="R82" s="113"/>
      <c r="S82" s="102" t="s">
        <v>124</v>
      </c>
      <c r="T82" s="102" t="s">
        <v>1878</v>
      </c>
      <c r="V82" s="104"/>
    </row>
    <row r="83" ht="15.75" customHeight="1">
      <c r="A83" s="91"/>
      <c r="B83" s="93" t="s">
        <v>1876</v>
      </c>
      <c r="C83" s="93" t="s">
        <v>483</v>
      </c>
      <c r="D83" s="94"/>
      <c r="E83" s="238" t="s">
        <v>1873</v>
      </c>
      <c r="F83" s="243" t="s">
        <v>1879</v>
      </c>
      <c r="G83" s="94"/>
      <c r="H83" s="93" t="s">
        <v>41</v>
      </c>
      <c r="I83" s="102" t="s">
        <v>181</v>
      </c>
      <c r="J83" s="94"/>
      <c r="K83" s="98">
        <v>10500.0</v>
      </c>
      <c r="L83" s="98">
        <v>3000.0</v>
      </c>
      <c r="M83" s="99"/>
      <c r="N83" s="100"/>
      <c r="O83" s="112"/>
      <c r="P83" s="94"/>
      <c r="Q83" s="201">
        <v>6.0</v>
      </c>
      <c r="R83" s="103"/>
      <c r="S83" s="102" t="s">
        <v>105</v>
      </c>
      <c r="T83" s="102"/>
      <c r="V83" s="104"/>
    </row>
    <row r="84" ht="15.75" customHeight="1">
      <c r="A84" s="91"/>
      <c r="B84" s="93" t="s">
        <v>1876</v>
      </c>
      <c r="C84" s="93" t="s">
        <v>318</v>
      </c>
      <c r="D84" s="94"/>
      <c r="E84" s="238">
        <v>4.2338096E7</v>
      </c>
      <c r="F84" s="238" t="s">
        <v>1875</v>
      </c>
      <c r="G84" s="94"/>
      <c r="H84" s="93" t="s">
        <v>41</v>
      </c>
      <c r="I84" s="102" t="s">
        <v>131</v>
      </c>
      <c r="J84" s="94"/>
      <c r="K84" s="125"/>
      <c r="L84" s="125"/>
      <c r="M84" s="99"/>
      <c r="N84" s="111"/>
      <c r="O84" s="112"/>
      <c r="P84" s="94"/>
      <c r="Q84" s="120"/>
      <c r="R84" s="113"/>
      <c r="S84" s="94"/>
      <c r="T84" s="94"/>
      <c r="V84" s="104"/>
    </row>
    <row r="85" ht="15.75" customHeight="1">
      <c r="A85" s="91"/>
      <c r="B85" s="93" t="s">
        <v>1880</v>
      </c>
      <c r="C85" s="93" t="s">
        <v>344</v>
      </c>
      <c r="D85" s="94"/>
      <c r="E85" s="238" t="s">
        <v>1881</v>
      </c>
      <c r="F85" s="238" t="s">
        <v>1882</v>
      </c>
      <c r="G85" s="94"/>
      <c r="H85" s="93" t="s">
        <v>41</v>
      </c>
      <c r="I85" s="102" t="s">
        <v>103</v>
      </c>
      <c r="J85" s="94"/>
      <c r="K85" s="98">
        <v>9000.0</v>
      </c>
      <c r="L85" s="98">
        <v>9000.0</v>
      </c>
      <c r="M85" s="99"/>
      <c r="N85" s="100"/>
      <c r="O85" s="101"/>
      <c r="P85" s="94"/>
      <c r="Q85" s="201">
        <v>6.0</v>
      </c>
      <c r="R85" s="103"/>
      <c r="S85" s="102" t="s">
        <v>105</v>
      </c>
      <c r="T85" s="102"/>
      <c r="V85" s="104"/>
    </row>
    <row r="86" ht="15.75" customHeight="1">
      <c r="A86" s="91"/>
      <c r="B86" s="93" t="s">
        <v>1880</v>
      </c>
      <c r="C86" s="103" t="s">
        <v>344</v>
      </c>
      <c r="D86" s="94"/>
      <c r="E86" s="238">
        <v>3.0648407E7</v>
      </c>
      <c r="F86" s="238" t="s">
        <v>1883</v>
      </c>
      <c r="G86" s="94"/>
      <c r="H86" s="93" t="s">
        <v>41</v>
      </c>
      <c r="I86" s="102" t="s">
        <v>181</v>
      </c>
      <c r="J86" s="94"/>
      <c r="K86" s="98">
        <v>10500.0</v>
      </c>
      <c r="L86" s="98">
        <v>3000.0</v>
      </c>
      <c r="M86" s="99"/>
      <c r="N86" s="100" t="s">
        <v>45</v>
      </c>
      <c r="O86" s="101"/>
      <c r="P86" s="94"/>
      <c r="Q86" s="109"/>
      <c r="R86" s="127"/>
      <c r="S86" s="102" t="s">
        <v>105</v>
      </c>
      <c r="T86" s="102" t="s">
        <v>1884</v>
      </c>
      <c r="V86" s="104"/>
    </row>
    <row r="87" ht="15.75" customHeight="1">
      <c r="A87" s="91"/>
      <c r="B87" s="93" t="s">
        <v>1885</v>
      </c>
      <c r="C87" s="103" t="s">
        <v>543</v>
      </c>
      <c r="D87" s="94"/>
      <c r="E87" s="238" t="s">
        <v>1886</v>
      </c>
      <c r="F87" s="238" t="s">
        <v>1887</v>
      </c>
      <c r="G87" s="94"/>
      <c r="H87" s="93" t="s">
        <v>41</v>
      </c>
      <c r="I87" s="102" t="s">
        <v>103</v>
      </c>
      <c r="J87" s="94"/>
      <c r="K87" s="98">
        <v>9000.0</v>
      </c>
      <c r="L87" s="98">
        <v>9000.0</v>
      </c>
      <c r="M87" s="99"/>
      <c r="N87" s="100"/>
      <c r="O87" s="101"/>
      <c r="P87" s="94"/>
      <c r="Q87" s="109"/>
      <c r="R87" s="103"/>
      <c r="S87" s="102" t="s">
        <v>105</v>
      </c>
      <c r="T87" s="102" t="s">
        <v>1888</v>
      </c>
      <c r="V87" s="104"/>
    </row>
    <row r="88" ht="15.75" customHeight="1">
      <c r="A88" s="91"/>
      <c r="B88" s="93" t="s">
        <v>1885</v>
      </c>
      <c r="C88" s="93" t="s">
        <v>1122</v>
      </c>
      <c r="D88" s="94"/>
      <c r="E88" s="238" t="s">
        <v>1889</v>
      </c>
      <c r="F88" s="238" t="s">
        <v>1890</v>
      </c>
      <c r="G88" s="94"/>
      <c r="H88" s="93" t="s">
        <v>41</v>
      </c>
      <c r="I88" s="102" t="s">
        <v>103</v>
      </c>
      <c r="J88" s="94"/>
      <c r="K88" s="98">
        <v>6000.0</v>
      </c>
      <c r="L88" s="98">
        <v>6000.0</v>
      </c>
      <c r="M88" s="99"/>
      <c r="N88" s="111"/>
      <c r="O88" s="112"/>
      <c r="P88" s="94"/>
      <c r="Q88" s="102">
        <v>4.0</v>
      </c>
      <c r="R88" s="113"/>
      <c r="S88" s="102" t="s">
        <v>105</v>
      </c>
      <c r="T88" s="94"/>
      <c r="V88" s="104"/>
    </row>
    <row r="89" ht="15.75" customHeight="1">
      <c r="A89" s="91"/>
      <c r="B89" s="93" t="s">
        <v>1885</v>
      </c>
      <c r="C89" s="93" t="s">
        <v>979</v>
      </c>
      <c r="D89" s="94"/>
      <c r="E89" s="238" t="s">
        <v>1891</v>
      </c>
      <c r="F89" s="238" t="s">
        <v>1892</v>
      </c>
      <c r="G89" s="94"/>
      <c r="H89" s="93" t="s">
        <v>41</v>
      </c>
      <c r="I89" s="102" t="s">
        <v>181</v>
      </c>
      <c r="J89" s="94"/>
      <c r="K89" s="98">
        <v>9000.0</v>
      </c>
      <c r="L89" s="98">
        <v>4500.0</v>
      </c>
      <c r="M89" s="99"/>
      <c r="N89" s="111"/>
      <c r="O89" s="112"/>
      <c r="P89" s="94"/>
      <c r="Q89" s="201">
        <v>6.0</v>
      </c>
      <c r="R89" s="113"/>
      <c r="S89" s="102" t="s">
        <v>105</v>
      </c>
      <c r="T89" s="94"/>
      <c r="V89" s="104"/>
    </row>
    <row r="90" ht="15.75" customHeight="1">
      <c r="A90" s="91"/>
      <c r="B90" s="93" t="s">
        <v>1893</v>
      </c>
      <c r="C90" s="128" t="s">
        <v>531</v>
      </c>
      <c r="D90" s="94"/>
      <c r="E90" s="244">
        <v>9.1932431E7</v>
      </c>
      <c r="F90" s="121" t="s">
        <v>1894</v>
      </c>
      <c r="G90" s="94"/>
      <c r="H90" s="93" t="s">
        <v>41</v>
      </c>
      <c r="I90" s="102" t="s">
        <v>88</v>
      </c>
      <c r="J90" s="94"/>
      <c r="K90" s="125"/>
      <c r="L90" s="125"/>
      <c r="M90" s="99"/>
      <c r="N90" s="100" t="s">
        <v>45</v>
      </c>
      <c r="O90" s="101" t="s">
        <v>396</v>
      </c>
      <c r="P90" s="94"/>
      <c r="Q90" s="120"/>
      <c r="R90" s="113"/>
      <c r="S90" s="102" t="s">
        <v>170</v>
      </c>
      <c r="T90" s="102" t="s">
        <v>1895</v>
      </c>
      <c r="V90" s="104"/>
    </row>
    <row r="91" ht="15.75" customHeight="1">
      <c r="A91" s="91"/>
      <c r="B91" s="93" t="s">
        <v>1893</v>
      </c>
      <c r="C91" s="97" t="s">
        <v>1896</v>
      </c>
      <c r="D91" s="94"/>
      <c r="E91" s="121" t="s">
        <v>1897</v>
      </c>
      <c r="F91" s="121" t="s">
        <v>1898</v>
      </c>
      <c r="G91" s="94"/>
      <c r="H91" s="93" t="s">
        <v>41</v>
      </c>
      <c r="I91" s="102" t="s">
        <v>88</v>
      </c>
      <c r="J91" s="94"/>
      <c r="K91" s="126"/>
      <c r="L91" s="126"/>
      <c r="M91" s="99"/>
      <c r="N91" s="100" t="s">
        <v>45</v>
      </c>
      <c r="O91" s="101" t="s">
        <v>1899</v>
      </c>
      <c r="P91" s="94"/>
      <c r="Q91" s="117"/>
      <c r="R91" s="106"/>
      <c r="S91" s="102" t="s">
        <v>383</v>
      </c>
      <c r="T91" s="102" t="s">
        <v>1900</v>
      </c>
      <c r="V91" s="104"/>
    </row>
    <row r="92" ht="15.75" customHeight="1">
      <c r="A92" s="91"/>
      <c r="B92" s="93" t="s">
        <v>1901</v>
      </c>
      <c r="C92" s="93" t="s">
        <v>1019</v>
      </c>
      <c r="D92" s="94"/>
      <c r="E92" s="121" t="s">
        <v>1902</v>
      </c>
      <c r="F92" s="121" t="s">
        <v>1903</v>
      </c>
      <c r="G92" s="94"/>
      <c r="H92" s="93" t="s">
        <v>41</v>
      </c>
      <c r="I92" s="102" t="s">
        <v>110</v>
      </c>
      <c r="J92" s="94"/>
      <c r="K92" s="125"/>
      <c r="L92" s="125"/>
      <c r="M92" s="99"/>
      <c r="N92" s="111"/>
      <c r="O92" s="101"/>
      <c r="P92" s="94"/>
      <c r="Q92" s="120"/>
      <c r="R92" s="103"/>
      <c r="S92" s="102"/>
      <c r="T92" s="102" t="s">
        <v>1904</v>
      </c>
      <c r="V92" s="104"/>
    </row>
    <row r="93" ht="15.75" customHeight="1">
      <c r="A93" s="91"/>
      <c r="B93" s="93" t="s">
        <v>1901</v>
      </c>
      <c r="C93" s="93" t="s">
        <v>727</v>
      </c>
      <c r="D93" s="94"/>
      <c r="E93" s="121" t="s">
        <v>1905</v>
      </c>
      <c r="F93" s="121" t="s">
        <v>1906</v>
      </c>
      <c r="G93" s="94"/>
      <c r="H93" s="93" t="s">
        <v>41</v>
      </c>
      <c r="I93" s="102" t="s">
        <v>88</v>
      </c>
      <c r="J93" s="94"/>
      <c r="K93" s="126"/>
      <c r="L93" s="126"/>
      <c r="M93" s="99"/>
      <c r="N93" s="100" t="s">
        <v>45</v>
      </c>
      <c r="O93" s="101" t="s">
        <v>1899</v>
      </c>
      <c r="P93" s="94"/>
      <c r="Q93" s="109"/>
      <c r="R93" s="103"/>
      <c r="S93" s="102"/>
      <c r="T93" s="102" t="s">
        <v>1907</v>
      </c>
      <c r="V93" s="104"/>
    </row>
    <row r="94" ht="15.75" customHeight="1">
      <c r="A94" s="91"/>
      <c r="B94" s="93" t="s">
        <v>1901</v>
      </c>
      <c r="C94" s="93" t="s">
        <v>772</v>
      </c>
      <c r="D94" s="94"/>
      <c r="E94" s="121" t="s">
        <v>1908</v>
      </c>
      <c r="F94" s="121" t="s">
        <v>1909</v>
      </c>
      <c r="G94" s="94"/>
      <c r="H94" s="93" t="s">
        <v>41</v>
      </c>
      <c r="I94" s="102" t="s">
        <v>103</v>
      </c>
      <c r="J94" s="94"/>
      <c r="K94" s="98">
        <v>4500.0</v>
      </c>
      <c r="L94" s="98">
        <v>4500.0</v>
      </c>
      <c r="M94" s="99"/>
      <c r="N94" s="111"/>
      <c r="O94" s="112"/>
      <c r="P94" s="94"/>
      <c r="Q94" s="102">
        <v>3.0</v>
      </c>
      <c r="R94" s="113"/>
      <c r="S94" s="102" t="s">
        <v>105</v>
      </c>
      <c r="T94" s="94"/>
      <c r="V94" s="104"/>
    </row>
    <row r="95" ht="15.75" customHeight="1">
      <c r="A95" s="91"/>
      <c r="B95" s="93" t="s">
        <v>1901</v>
      </c>
      <c r="C95" s="96" t="s">
        <v>1910</v>
      </c>
      <c r="D95" s="94"/>
      <c r="E95" s="121" t="s">
        <v>1911</v>
      </c>
      <c r="F95" s="121" t="s">
        <v>1912</v>
      </c>
      <c r="G95" s="94"/>
      <c r="H95" s="93" t="s">
        <v>41</v>
      </c>
      <c r="I95" s="102" t="s">
        <v>88</v>
      </c>
      <c r="J95" s="94"/>
      <c r="K95" s="245"/>
      <c r="L95" s="126"/>
      <c r="M95" s="99"/>
      <c r="N95" s="100" t="s">
        <v>45</v>
      </c>
      <c r="O95" s="101" t="s">
        <v>396</v>
      </c>
      <c r="P95" s="94"/>
      <c r="Q95" s="102"/>
      <c r="R95" s="103"/>
      <c r="S95" s="102" t="s">
        <v>90</v>
      </c>
      <c r="T95" s="102" t="s">
        <v>1913</v>
      </c>
      <c r="V95" s="104"/>
    </row>
    <row r="96" ht="15.75" customHeight="1">
      <c r="A96" s="91"/>
      <c r="B96" s="93" t="s">
        <v>1901</v>
      </c>
      <c r="C96" s="110" t="s">
        <v>1914</v>
      </c>
      <c r="D96" s="94"/>
      <c r="E96" s="121" t="s">
        <v>1915</v>
      </c>
      <c r="F96" s="121" t="s">
        <v>1916</v>
      </c>
      <c r="G96" s="94"/>
      <c r="H96" s="93" t="s">
        <v>41</v>
      </c>
      <c r="I96" s="102" t="s">
        <v>131</v>
      </c>
      <c r="J96" s="94"/>
      <c r="K96" s="125"/>
      <c r="L96" s="125"/>
      <c r="M96" s="99"/>
      <c r="N96" s="111"/>
      <c r="O96" s="112"/>
      <c r="P96" s="94"/>
      <c r="Q96" s="94"/>
      <c r="R96" s="113"/>
      <c r="S96" s="94"/>
      <c r="T96" s="94"/>
      <c r="V96" s="104"/>
    </row>
    <row r="97" ht="15.75" customHeight="1">
      <c r="A97" s="91"/>
      <c r="B97" s="93" t="s">
        <v>1901</v>
      </c>
      <c r="C97" s="96" t="s">
        <v>1917</v>
      </c>
      <c r="D97" s="94"/>
      <c r="E97" s="121" t="s">
        <v>1918</v>
      </c>
      <c r="F97" s="121" t="s">
        <v>1919</v>
      </c>
      <c r="G97" s="94"/>
      <c r="H97" s="93" t="s">
        <v>41</v>
      </c>
      <c r="I97" s="102" t="s">
        <v>131</v>
      </c>
      <c r="J97" s="94"/>
      <c r="K97" s="126"/>
      <c r="L97" s="126"/>
      <c r="M97" s="99"/>
      <c r="N97" s="100"/>
      <c r="O97" s="101"/>
      <c r="P97" s="94"/>
      <c r="Q97" s="117"/>
      <c r="R97" s="103"/>
      <c r="S97" s="102"/>
      <c r="T97" s="102"/>
      <c r="V97" s="104"/>
    </row>
    <row r="98" ht="15.75" customHeight="1">
      <c r="A98" s="91"/>
      <c r="B98" s="93" t="s">
        <v>1901</v>
      </c>
      <c r="C98" s="110" t="s">
        <v>1920</v>
      </c>
      <c r="D98" s="94"/>
      <c r="E98" s="244">
        <v>7.1456607E7</v>
      </c>
      <c r="F98" s="121" t="s">
        <v>1921</v>
      </c>
      <c r="G98" s="94"/>
      <c r="H98" s="93" t="s">
        <v>41</v>
      </c>
      <c r="I98" s="102" t="s">
        <v>110</v>
      </c>
      <c r="J98" s="94"/>
      <c r="K98" s="125"/>
      <c r="L98" s="125"/>
      <c r="M98" s="99"/>
      <c r="N98" s="111"/>
      <c r="O98" s="112"/>
      <c r="P98" s="94"/>
      <c r="Q98" s="120"/>
      <c r="R98" s="113"/>
      <c r="S98" s="94"/>
      <c r="T98" s="94"/>
      <c r="V98" s="104"/>
    </row>
    <row r="99" ht="15.75" customHeight="1">
      <c r="A99" s="91"/>
      <c r="B99" s="93" t="s">
        <v>1901</v>
      </c>
      <c r="C99" s="93" t="s">
        <v>777</v>
      </c>
      <c r="D99" s="94"/>
      <c r="E99" s="121" t="s">
        <v>1922</v>
      </c>
      <c r="F99" s="121" t="s">
        <v>1923</v>
      </c>
      <c r="G99" s="94"/>
      <c r="H99" s="93" t="s">
        <v>41</v>
      </c>
      <c r="I99" s="102" t="s">
        <v>88</v>
      </c>
      <c r="J99" s="94"/>
      <c r="K99" s="125"/>
      <c r="L99" s="126"/>
      <c r="M99" s="99"/>
      <c r="N99" s="100" t="s">
        <v>45</v>
      </c>
      <c r="O99" s="101" t="s">
        <v>584</v>
      </c>
      <c r="P99" s="94"/>
      <c r="Q99" s="94"/>
      <c r="R99" s="113"/>
      <c r="S99" s="102" t="s">
        <v>124</v>
      </c>
      <c r="T99" s="102" t="s">
        <v>1924</v>
      </c>
      <c r="V99" s="104"/>
    </row>
    <row r="100" ht="15.75" customHeight="1">
      <c r="A100" s="91"/>
      <c r="B100" s="93" t="s">
        <v>1901</v>
      </c>
      <c r="C100" s="93" t="s">
        <v>344</v>
      </c>
      <c r="D100" s="94"/>
      <c r="E100" s="121" t="s">
        <v>1925</v>
      </c>
      <c r="F100" s="121" t="s">
        <v>1926</v>
      </c>
      <c r="G100" s="94"/>
      <c r="H100" s="93" t="s">
        <v>41</v>
      </c>
      <c r="I100" s="102" t="s">
        <v>88</v>
      </c>
      <c r="J100" s="94"/>
      <c r="L100" s="125"/>
      <c r="M100" s="99"/>
      <c r="N100" s="100" t="s">
        <v>45</v>
      </c>
      <c r="O100" s="101" t="s">
        <v>396</v>
      </c>
      <c r="P100" s="94"/>
      <c r="Q100" s="109"/>
      <c r="R100" s="103"/>
      <c r="S100" s="102" t="s">
        <v>383</v>
      </c>
      <c r="T100" s="102" t="s">
        <v>1927</v>
      </c>
      <c r="V100" s="104"/>
    </row>
    <row r="101" ht="15.75" customHeight="1">
      <c r="A101" s="91"/>
      <c r="B101" s="93" t="s">
        <v>1901</v>
      </c>
      <c r="C101" s="93" t="s">
        <v>1928</v>
      </c>
      <c r="D101" s="94"/>
      <c r="E101" s="121" t="s">
        <v>1929</v>
      </c>
      <c r="F101" s="121" t="s">
        <v>1930</v>
      </c>
      <c r="G101" s="94"/>
      <c r="H101" s="93" t="s">
        <v>41</v>
      </c>
      <c r="I101" s="102" t="s">
        <v>88</v>
      </c>
      <c r="J101" s="94"/>
      <c r="K101" s="126"/>
      <c r="L101" s="126"/>
      <c r="M101" s="99"/>
      <c r="N101" s="100" t="s">
        <v>45</v>
      </c>
      <c r="O101" s="101" t="s">
        <v>396</v>
      </c>
      <c r="P101" s="94"/>
      <c r="Q101" s="94"/>
      <c r="R101" s="113"/>
      <c r="S101" s="102" t="s">
        <v>90</v>
      </c>
      <c r="T101" s="102" t="s">
        <v>1931</v>
      </c>
      <c r="V101" s="104"/>
    </row>
    <row r="102" ht="15.75" customHeight="1">
      <c r="A102" s="91"/>
      <c r="B102" s="93" t="s">
        <v>1901</v>
      </c>
      <c r="C102" s="93" t="s">
        <v>616</v>
      </c>
      <c r="D102" s="94"/>
      <c r="E102" s="121" t="s">
        <v>1932</v>
      </c>
      <c r="F102" s="121" t="s">
        <v>1933</v>
      </c>
      <c r="G102" s="94"/>
      <c r="H102" s="93" t="s">
        <v>41</v>
      </c>
      <c r="I102" s="102" t="s">
        <v>88</v>
      </c>
      <c r="J102" s="94"/>
      <c r="K102" s="125"/>
      <c r="L102" s="125"/>
      <c r="M102" s="99"/>
      <c r="N102" s="100" t="s">
        <v>98</v>
      </c>
      <c r="O102" s="101" t="s">
        <v>647</v>
      </c>
      <c r="P102" s="94"/>
      <c r="Q102" s="120"/>
      <c r="R102" s="113"/>
      <c r="S102" s="102" t="s">
        <v>383</v>
      </c>
      <c r="T102" s="102" t="s">
        <v>1934</v>
      </c>
      <c r="V102" s="104"/>
    </row>
    <row r="103" ht="15.75" customHeight="1">
      <c r="A103" s="91"/>
      <c r="B103" s="93" t="s">
        <v>1935</v>
      </c>
      <c r="C103" s="103" t="s">
        <v>777</v>
      </c>
      <c r="D103" s="94"/>
      <c r="E103" s="121" t="s">
        <v>1936</v>
      </c>
      <c r="F103" s="121" t="s">
        <v>1937</v>
      </c>
      <c r="G103" s="94"/>
      <c r="H103" s="93" t="s">
        <v>41</v>
      </c>
      <c r="I103" s="102" t="s">
        <v>110</v>
      </c>
      <c r="J103" s="94"/>
      <c r="K103" s="126"/>
      <c r="L103" s="126"/>
      <c r="M103" s="99"/>
      <c r="N103" s="111"/>
      <c r="O103" s="112"/>
      <c r="P103" s="94"/>
      <c r="Q103" s="117"/>
      <c r="R103" s="103"/>
      <c r="S103" s="102" t="s">
        <v>90</v>
      </c>
      <c r="T103" s="102" t="s">
        <v>1938</v>
      </c>
      <c r="V103" s="104"/>
    </row>
    <row r="104" ht="15.75" customHeight="1">
      <c r="A104" s="91"/>
      <c r="B104" s="93" t="s">
        <v>1935</v>
      </c>
      <c r="C104" s="103" t="s">
        <v>727</v>
      </c>
      <c r="D104" s="94"/>
      <c r="E104" s="121" t="s">
        <v>1939</v>
      </c>
      <c r="F104" s="121" t="s">
        <v>1940</v>
      </c>
      <c r="G104" s="94"/>
      <c r="H104" s="93" t="s">
        <v>41</v>
      </c>
      <c r="I104" s="102" t="s">
        <v>88</v>
      </c>
      <c r="J104" s="94"/>
      <c r="K104" s="125"/>
      <c r="L104" s="125"/>
      <c r="M104" s="99"/>
      <c r="N104" s="100" t="s">
        <v>45</v>
      </c>
      <c r="O104" s="101" t="s">
        <v>396</v>
      </c>
      <c r="P104" s="94"/>
      <c r="Q104" s="117"/>
      <c r="R104" s="103"/>
      <c r="S104" s="102" t="s">
        <v>90</v>
      </c>
      <c r="T104" s="102" t="s">
        <v>1941</v>
      </c>
      <c r="V104" s="104"/>
    </row>
    <row r="105" ht="15.75" customHeight="1">
      <c r="A105" s="91"/>
      <c r="B105" s="93" t="s">
        <v>1935</v>
      </c>
      <c r="C105" s="93" t="s">
        <v>1942</v>
      </c>
      <c r="D105" s="94"/>
      <c r="E105" s="121" t="s">
        <v>1943</v>
      </c>
      <c r="F105" s="121" t="s">
        <v>1944</v>
      </c>
      <c r="G105" s="94"/>
      <c r="H105" s="93" t="s">
        <v>41</v>
      </c>
      <c r="I105" s="102" t="s">
        <v>88</v>
      </c>
      <c r="J105" s="94"/>
      <c r="K105" s="126"/>
      <c r="L105" s="126"/>
      <c r="M105" s="99"/>
      <c r="N105" s="100" t="s">
        <v>45</v>
      </c>
      <c r="O105" s="101" t="s">
        <v>396</v>
      </c>
      <c r="P105" s="94"/>
      <c r="Q105" s="120"/>
      <c r="R105" s="113"/>
      <c r="S105" s="102" t="s">
        <v>383</v>
      </c>
      <c r="T105" s="102" t="s">
        <v>1945</v>
      </c>
      <c r="V105" s="104"/>
    </row>
    <row r="106" ht="15.75" customHeight="1">
      <c r="A106" s="91"/>
      <c r="B106" s="93" t="s">
        <v>1935</v>
      </c>
      <c r="C106" s="93" t="s">
        <v>410</v>
      </c>
      <c r="D106" s="94"/>
      <c r="E106" s="121" t="s">
        <v>1946</v>
      </c>
      <c r="F106" s="121" t="s">
        <v>1947</v>
      </c>
      <c r="G106" s="94"/>
      <c r="H106" s="93" t="s">
        <v>41</v>
      </c>
      <c r="I106" s="102" t="s">
        <v>591</v>
      </c>
      <c r="J106" s="94"/>
      <c r="K106" s="125"/>
      <c r="L106" s="125"/>
      <c r="M106" s="99"/>
      <c r="N106" s="111"/>
      <c r="O106" s="112"/>
      <c r="P106" s="94"/>
      <c r="Q106" s="94"/>
      <c r="R106" s="113"/>
      <c r="S106" s="94"/>
      <c r="T106" s="94"/>
      <c r="V106" s="104"/>
    </row>
    <row r="107" ht="15.75" customHeight="1">
      <c r="A107" s="91"/>
      <c r="B107" s="93" t="s">
        <v>1935</v>
      </c>
      <c r="C107" s="93" t="s">
        <v>543</v>
      </c>
      <c r="D107" s="94"/>
      <c r="E107" s="121" t="s">
        <v>1948</v>
      </c>
      <c r="F107" s="121" t="s">
        <v>1949</v>
      </c>
      <c r="G107" s="94"/>
      <c r="H107" s="93" t="s">
        <v>41</v>
      </c>
      <c r="I107" s="102" t="s">
        <v>88</v>
      </c>
      <c r="J107" s="94"/>
      <c r="K107" s="126"/>
      <c r="L107" s="126"/>
      <c r="M107" s="99"/>
      <c r="N107" s="100" t="s">
        <v>60</v>
      </c>
      <c r="O107" s="101" t="s">
        <v>1950</v>
      </c>
      <c r="P107" s="94"/>
      <c r="Q107" s="109"/>
      <c r="R107" s="106"/>
      <c r="S107" s="102" t="s">
        <v>124</v>
      </c>
      <c r="T107" s="102" t="s">
        <v>1951</v>
      </c>
      <c r="V107" s="104"/>
    </row>
    <row r="108" ht="15.75" customHeight="1">
      <c r="A108" s="91"/>
      <c r="B108" s="93" t="s">
        <v>1935</v>
      </c>
      <c r="C108" s="93" t="s">
        <v>1535</v>
      </c>
      <c r="D108" s="94"/>
      <c r="E108" s="121" t="s">
        <v>1952</v>
      </c>
      <c r="F108" s="121" t="s">
        <v>1953</v>
      </c>
      <c r="G108" s="94"/>
      <c r="H108" s="93" t="s">
        <v>41</v>
      </c>
      <c r="I108" s="102" t="s">
        <v>88</v>
      </c>
      <c r="J108" s="94"/>
      <c r="K108" s="125"/>
      <c r="L108" s="125"/>
      <c r="M108" s="99"/>
      <c r="N108" s="100" t="s">
        <v>45</v>
      </c>
      <c r="O108" s="101" t="s">
        <v>396</v>
      </c>
      <c r="P108" s="94"/>
      <c r="Q108" s="120"/>
      <c r="R108" s="113"/>
      <c r="S108" s="102" t="s">
        <v>90</v>
      </c>
      <c r="T108" s="102" t="s">
        <v>1954</v>
      </c>
      <c r="V108" s="104"/>
    </row>
    <row r="109" ht="15.75" customHeight="1">
      <c r="A109" s="91"/>
      <c r="B109" s="93" t="s">
        <v>1935</v>
      </c>
      <c r="C109" s="93" t="s">
        <v>1230</v>
      </c>
      <c r="D109" s="94"/>
      <c r="E109" s="121" t="s">
        <v>1955</v>
      </c>
      <c r="F109" s="121" t="s">
        <v>1956</v>
      </c>
      <c r="G109" s="94"/>
      <c r="H109" s="93" t="s">
        <v>41</v>
      </c>
      <c r="I109" s="102" t="s">
        <v>591</v>
      </c>
      <c r="J109" s="94"/>
      <c r="K109" s="126"/>
      <c r="L109" s="126"/>
      <c r="M109" s="99"/>
      <c r="N109" s="100"/>
      <c r="O109" s="112"/>
      <c r="P109" s="94"/>
      <c r="Q109" s="94"/>
      <c r="R109" s="113"/>
      <c r="S109" s="102" t="s">
        <v>90</v>
      </c>
      <c r="T109" s="102" t="s">
        <v>1957</v>
      </c>
      <c r="V109" s="104"/>
    </row>
    <row r="110" ht="15.75" customHeight="1">
      <c r="A110" s="91"/>
      <c r="B110" s="93" t="s">
        <v>1935</v>
      </c>
      <c r="C110" s="103" t="s">
        <v>979</v>
      </c>
      <c r="D110" s="94"/>
      <c r="E110" s="121" t="s">
        <v>1958</v>
      </c>
      <c r="F110" s="121" t="s">
        <v>1959</v>
      </c>
      <c r="G110" s="94"/>
      <c r="H110" s="93" t="s">
        <v>41</v>
      </c>
      <c r="I110" s="102" t="s">
        <v>88</v>
      </c>
      <c r="J110" s="94"/>
      <c r="K110" s="125"/>
      <c r="L110" s="125"/>
      <c r="M110" s="99"/>
      <c r="N110" s="100" t="s">
        <v>50</v>
      </c>
      <c r="O110" s="101" t="s">
        <v>1960</v>
      </c>
      <c r="P110" s="94"/>
      <c r="Q110" s="120"/>
      <c r="R110" s="113"/>
      <c r="S110" s="102" t="s">
        <v>90</v>
      </c>
      <c r="T110" s="102" t="s">
        <v>1961</v>
      </c>
      <c r="V110" s="104"/>
    </row>
    <row r="111" ht="15.75" customHeight="1">
      <c r="A111" s="91"/>
      <c r="B111" s="93" t="s">
        <v>1935</v>
      </c>
      <c r="C111" s="103" t="s">
        <v>616</v>
      </c>
      <c r="D111" s="94"/>
      <c r="E111" s="244">
        <v>9.1252045E7</v>
      </c>
      <c r="F111" s="121" t="s">
        <v>1962</v>
      </c>
      <c r="G111" s="94"/>
      <c r="H111" s="93" t="s">
        <v>41</v>
      </c>
      <c r="I111" s="102" t="s">
        <v>88</v>
      </c>
      <c r="J111" s="94"/>
      <c r="K111" s="126"/>
      <c r="L111" s="126"/>
      <c r="M111" s="99"/>
      <c r="N111" s="100" t="s">
        <v>55</v>
      </c>
      <c r="O111" s="101" t="s">
        <v>1503</v>
      </c>
      <c r="P111" s="94"/>
      <c r="Q111" s="120"/>
      <c r="R111" s="113"/>
      <c r="S111" s="102" t="s">
        <v>124</v>
      </c>
      <c r="T111" s="102" t="s">
        <v>1963</v>
      </c>
      <c r="V111" s="104"/>
    </row>
    <row r="112" ht="16.5" customHeight="1">
      <c r="A112" s="91"/>
      <c r="B112" s="93" t="s">
        <v>1935</v>
      </c>
      <c r="C112" s="93" t="s">
        <v>1964</v>
      </c>
      <c r="D112" s="94"/>
      <c r="E112" s="121" t="s">
        <v>1965</v>
      </c>
      <c r="F112" s="121" t="s">
        <v>1966</v>
      </c>
      <c r="G112" s="94"/>
      <c r="H112" s="93" t="s">
        <v>41</v>
      </c>
      <c r="I112" s="102" t="s">
        <v>181</v>
      </c>
      <c r="J112" s="94"/>
      <c r="K112" s="98">
        <v>10500.0</v>
      </c>
      <c r="L112" s="98">
        <v>3000.0</v>
      </c>
      <c r="M112" s="99"/>
      <c r="N112" s="100"/>
      <c r="O112" s="112"/>
      <c r="P112" s="94"/>
      <c r="Q112" s="102">
        <v>6.0</v>
      </c>
      <c r="R112" s="113"/>
      <c r="S112" s="102" t="s">
        <v>105</v>
      </c>
      <c r="T112" s="94"/>
      <c r="V112" s="104"/>
    </row>
    <row r="113" ht="15.75" customHeight="1">
      <c r="A113" s="91"/>
      <c r="B113" s="93" t="s">
        <v>1967</v>
      </c>
      <c r="C113" s="93" t="s">
        <v>1210</v>
      </c>
      <c r="D113" s="94"/>
      <c r="E113" s="121" t="s">
        <v>1968</v>
      </c>
      <c r="F113" s="121" t="s">
        <v>1969</v>
      </c>
      <c r="G113" s="94"/>
      <c r="H113" s="93" t="s">
        <v>41</v>
      </c>
      <c r="I113" s="102" t="s">
        <v>88</v>
      </c>
      <c r="J113" s="94"/>
      <c r="K113" s="126"/>
      <c r="L113" s="126"/>
      <c r="M113" s="99"/>
      <c r="N113" s="100" t="s">
        <v>45</v>
      </c>
      <c r="O113" s="101" t="s">
        <v>396</v>
      </c>
      <c r="P113" s="94"/>
      <c r="Q113" s="94"/>
      <c r="R113" s="113"/>
      <c r="S113" s="102" t="s">
        <v>124</v>
      </c>
      <c r="T113" s="102" t="s">
        <v>1970</v>
      </c>
      <c r="V113" s="104"/>
    </row>
    <row r="114" ht="15.75" customHeight="1">
      <c r="A114" s="91"/>
      <c r="B114" s="93" t="s">
        <v>1967</v>
      </c>
      <c r="C114" s="93" t="s">
        <v>1971</v>
      </c>
      <c r="D114" s="94"/>
      <c r="E114" s="121" t="s">
        <v>1972</v>
      </c>
      <c r="F114" s="121" t="s">
        <v>1973</v>
      </c>
      <c r="G114" s="94"/>
      <c r="H114" s="93" t="s">
        <v>41</v>
      </c>
      <c r="I114" s="102" t="s">
        <v>88</v>
      </c>
      <c r="J114" s="94"/>
      <c r="K114" s="125"/>
      <c r="L114" s="125"/>
      <c r="M114" s="99"/>
      <c r="N114" s="100" t="s">
        <v>98</v>
      </c>
      <c r="O114" s="101" t="s">
        <v>647</v>
      </c>
      <c r="P114" s="94"/>
      <c r="Q114" s="120"/>
      <c r="R114" s="113"/>
      <c r="S114" s="102" t="s">
        <v>124</v>
      </c>
      <c r="T114" s="102" t="s">
        <v>1974</v>
      </c>
      <c r="V114" s="104"/>
    </row>
    <row r="115" ht="15.75" customHeight="1">
      <c r="A115" s="91"/>
      <c r="B115" s="93" t="s">
        <v>1967</v>
      </c>
      <c r="C115" s="93" t="s">
        <v>1975</v>
      </c>
      <c r="D115" s="94"/>
      <c r="E115" s="121" t="s">
        <v>1976</v>
      </c>
      <c r="F115" s="121" t="s">
        <v>1977</v>
      </c>
      <c r="G115" s="94"/>
      <c r="H115" s="93" t="s">
        <v>41</v>
      </c>
      <c r="I115" s="97" t="s">
        <v>88</v>
      </c>
      <c r="J115" s="94"/>
      <c r="K115" s="126"/>
      <c r="L115" s="126"/>
      <c r="M115" s="99"/>
      <c r="N115" s="100" t="s">
        <v>45</v>
      </c>
      <c r="O115" s="101" t="s">
        <v>396</v>
      </c>
      <c r="P115" s="94"/>
      <c r="Q115" s="94"/>
      <c r="R115" s="113"/>
      <c r="S115" s="102" t="s">
        <v>124</v>
      </c>
      <c r="T115" s="102" t="s">
        <v>1978</v>
      </c>
      <c r="V115" s="104"/>
    </row>
    <row r="116" ht="15.75" customHeight="1">
      <c r="A116" s="91"/>
      <c r="B116" s="93" t="s">
        <v>1967</v>
      </c>
      <c r="C116" s="93" t="s">
        <v>1979</v>
      </c>
      <c r="D116" s="94"/>
      <c r="E116" s="121" t="s">
        <v>1980</v>
      </c>
      <c r="F116" s="121" t="s">
        <v>1981</v>
      </c>
      <c r="G116" s="94"/>
      <c r="H116" s="93" t="s">
        <v>41</v>
      </c>
      <c r="I116" s="102" t="s">
        <v>103</v>
      </c>
      <c r="J116" s="94"/>
      <c r="K116" s="98">
        <v>9000.0</v>
      </c>
      <c r="L116" s="98">
        <v>9000.0</v>
      </c>
      <c r="M116" s="99"/>
      <c r="N116" s="111"/>
      <c r="O116" s="112"/>
      <c r="P116" s="94"/>
      <c r="Q116" s="201">
        <v>6.0</v>
      </c>
      <c r="R116" s="113"/>
      <c r="S116" s="102" t="s">
        <v>105</v>
      </c>
      <c r="T116" s="94"/>
      <c r="V116" s="104"/>
    </row>
    <row r="117" ht="15.75" customHeight="1">
      <c r="A117" s="91"/>
      <c r="B117" s="93" t="s">
        <v>1967</v>
      </c>
      <c r="C117" s="103" t="s">
        <v>850</v>
      </c>
      <c r="D117" s="94"/>
      <c r="E117" s="121" t="s">
        <v>1982</v>
      </c>
      <c r="F117" s="121" t="s">
        <v>1983</v>
      </c>
      <c r="G117" s="94"/>
      <c r="H117" s="93" t="s">
        <v>41</v>
      </c>
      <c r="I117" s="102" t="s">
        <v>131</v>
      </c>
      <c r="J117" s="94"/>
      <c r="K117" s="126"/>
      <c r="L117" s="126"/>
      <c r="M117" s="99"/>
      <c r="N117" s="111"/>
      <c r="O117" s="112"/>
      <c r="P117" s="94"/>
      <c r="Q117" s="94"/>
      <c r="R117" s="113"/>
      <c r="S117" s="94"/>
      <c r="T117" s="94"/>
      <c r="V117" s="104"/>
    </row>
    <row r="118" ht="15.75" customHeight="1">
      <c r="A118" s="91"/>
      <c r="B118" s="93" t="s">
        <v>1967</v>
      </c>
      <c r="C118" s="103" t="s">
        <v>1303</v>
      </c>
      <c r="D118" s="94"/>
      <c r="E118" s="121" t="s">
        <v>1984</v>
      </c>
      <c r="F118" s="121" t="s">
        <v>1985</v>
      </c>
      <c r="G118" s="94"/>
      <c r="H118" s="93" t="s">
        <v>41</v>
      </c>
      <c r="I118" s="102" t="s">
        <v>131</v>
      </c>
      <c r="J118" s="94"/>
      <c r="K118" s="125"/>
      <c r="L118" s="125"/>
      <c r="M118" s="99"/>
      <c r="N118" s="111"/>
      <c r="O118" s="112"/>
      <c r="P118" s="94"/>
      <c r="Q118" s="94"/>
      <c r="R118" s="113"/>
      <c r="S118" s="94"/>
      <c r="T118" s="94"/>
      <c r="V118" s="104"/>
    </row>
    <row r="119" ht="15.75" customHeight="1">
      <c r="A119" s="91"/>
      <c r="B119" s="93" t="s">
        <v>1967</v>
      </c>
      <c r="C119" s="103" t="s">
        <v>772</v>
      </c>
      <c r="D119" s="94"/>
      <c r="E119" s="121" t="s">
        <v>1986</v>
      </c>
      <c r="F119" s="121" t="s">
        <v>1987</v>
      </c>
      <c r="G119" s="94"/>
      <c r="H119" s="93" t="s">
        <v>41</v>
      </c>
      <c r="I119" s="102" t="s">
        <v>88</v>
      </c>
      <c r="J119" s="94"/>
      <c r="K119" s="126"/>
      <c r="L119" s="126"/>
      <c r="M119" s="99"/>
      <c r="N119" s="100" t="s">
        <v>55</v>
      </c>
      <c r="O119" s="101" t="s">
        <v>1988</v>
      </c>
      <c r="P119" s="94"/>
      <c r="Q119" s="94"/>
      <c r="R119" s="113"/>
      <c r="S119" s="102" t="s">
        <v>90</v>
      </c>
      <c r="T119" s="102" t="s">
        <v>1989</v>
      </c>
      <c r="V119" s="104"/>
    </row>
    <row r="120" ht="15.75" customHeight="1">
      <c r="A120" s="91"/>
      <c r="B120" s="93" t="s">
        <v>1967</v>
      </c>
      <c r="C120" s="93" t="s">
        <v>1990</v>
      </c>
      <c r="D120" s="94"/>
      <c r="E120" s="121" t="s">
        <v>1991</v>
      </c>
      <c r="F120" s="121" t="s">
        <v>1992</v>
      </c>
      <c r="G120" s="94"/>
      <c r="H120" s="93" t="s">
        <v>41</v>
      </c>
      <c r="I120" s="102" t="s">
        <v>131</v>
      </c>
      <c r="J120" s="94"/>
      <c r="K120" s="125"/>
      <c r="L120" s="125"/>
      <c r="M120" s="99"/>
      <c r="N120" s="111"/>
      <c r="O120" s="112"/>
      <c r="P120" s="94"/>
      <c r="Q120" s="94"/>
      <c r="R120" s="113"/>
      <c r="S120" s="94"/>
      <c r="T120" s="94"/>
      <c r="V120" s="104"/>
    </row>
    <row r="121" ht="15.75" customHeight="1">
      <c r="A121" s="91"/>
      <c r="B121" s="93" t="s">
        <v>1993</v>
      </c>
      <c r="C121" s="93" t="s">
        <v>1535</v>
      </c>
      <c r="D121" s="94"/>
      <c r="E121" s="121" t="s">
        <v>1994</v>
      </c>
      <c r="F121" s="121" t="s">
        <v>1995</v>
      </c>
      <c r="G121" s="94"/>
      <c r="H121" s="93" t="s">
        <v>41</v>
      </c>
      <c r="I121" s="102" t="s">
        <v>88</v>
      </c>
      <c r="J121" s="94"/>
      <c r="K121" s="126"/>
      <c r="L121" s="126"/>
      <c r="M121" s="99"/>
      <c r="N121" s="100" t="s">
        <v>45</v>
      </c>
      <c r="O121" s="101" t="s">
        <v>396</v>
      </c>
      <c r="P121" s="94"/>
      <c r="Q121" s="94"/>
      <c r="R121" s="113"/>
      <c r="S121" s="102" t="s">
        <v>90</v>
      </c>
      <c r="T121" s="102" t="s">
        <v>1996</v>
      </c>
      <c r="V121" s="104"/>
    </row>
    <row r="122" ht="15.75" customHeight="1">
      <c r="A122" s="91"/>
      <c r="B122" s="93" t="s">
        <v>1993</v>
      </c>
      <c r="C122" s="93" t="s">
        <v>393</v>
      </c>
      <c r="D122" s="94"/>
      <c r="E122" s="121" t="s">
        <v>1997</v>
      </c>
      <c r="F122" s="121" t="s">
        <v>1998</v>
      </c>
      <c r="G122" s="94"/>
      <c r="H122" s="93" t="s">
        <v>41</v>
      </c>
      <c r="I122" s="102" t="s">
        <v>103</v>
      </c>
      <c r="J122" s="94"/>
      <c r="K122" s="98">
        <v>9000.0</v>
      </c>
      <c r="L122" s="98">
        <v>9000.0</v>
      </c>
      <c r="M122" s="99"/>
      <c r="N122" s="111"/>
      <c r="O122" s="112"/>
      <c r="P122" s="94"/>
      <c r="Q122" s="201">
        <v>6.0</v>
      </c>
      <c r="R122" s="113"/>
      <c r="S122" s="102" t="s">
        <v>105</v>
      </c>
      <c r="T122" s="94"/>
      <c r="V122" s="104"/>
    </row>
    <row r="123" ht="15.75" customHeight="1">
      <c r="A123" s="91"/>
      <c r="B123" s="93" t="s">
        <v>1993</v>
      </c>
      <c r="C123" s="93" t="s">
        <v>894</v>
      </c>
      <c r="D123" s="94"/>
      <c r="E123" s="121" t="s">
        <v>1999</v>
      </c>
      <c r="F123" s="121" t="s">
        <v>2000</v>
      </c>
      <c r="G123" s="94"/>
      <c r="H123" s="93" t="s">
        <v>41</v>
      </c>
      <c r="I123" s="102" t="s">
        <v>131</v>
      </c>
      <c r="J123" s="94"/>
      <c r="K123" s="126"/>
      <c r="L123" s="126"/>
      <c r="M123" s="99"/>
      <c r="N123" s="111"/>
      <c r="O123" s="112"/>
      <c r="P123" s="94"/>
      <c r="Q123" s="94"/>
      <c r="R123" s="113"/>
      <c r="S123" s="94"/>
      <c r="T123" s="102" t="s">
        <v>2001</v>
      </c>
      <c r="V123" s="104"/>
    </row>
    <row r="124" ht="15.75" customHeight="1">
      <c r="A124" s="91"/>
      <c r="B124" s="93" t="s">
        <v>2002</v>
      </c>
      <c r="C124" s="93" t="s">
        <v>310</v>
      </c>
      <c r="D124" s="94"/>
      <c r="E124" s="244">
        <v>6.1131308E7</v>
      </c>
      <c r="F124" s="121" t="s">
        <v>2003</v>
      </c>
      <c r="G124" s="94"/>
      <c r="H124" s="93" t="s">
        <v>41</v>
      </c>
      <c r="I124" s="102" t="s">
        <v>232</v>
      </c>
      <c r="J124" s="94"/>
      <c r="K124" s="125"/>
      <c r="L124" s="125"/>
      <c r="M124" s="99"/>
      <c r="N124" s="111"/>
      <c r="O124" s="112"/>
      <c r="P124" s="94"/>
      <c r="Q124" s="201">
        <v>6.0</v>
      </c>
      <c r="R124" s="113"/>
      <c r="S124" s="102" t="s">
        <v>404</v>
      </c>
      <c r="T124" s="102" t="s">
        <v>2004</v>
      </c>
      <c r="V124" s="104"/>
    </row>
    <row r="125" ht="15.75" customHeight="1">
      <c r="A125" s="91"/>
      <c r="B125" s="93" t="s">
        <v>2002</v>
      </c>
      <c r="C125" s="139" t="s">
        <v>639</v>
      </c>
      <c r="D125" s="94"/>
      <c r="E125" s="121" t="s">
        <v>2005</v>
      </c>
      <c r="F125" s="121" t="s">
        <v>2006</v>
      </c>
      <c r="G125" s="94"/>
      <c r="H125" s="93" t="s">
        <v>41</v>
      </c>
      <c r="I125" s="102" t="s">
        <v>88</v>
      </c>
      <c r="J125" s="94"/>
      <c r="K125" s="126"/>
      <c r="L125" s="126"/>
      <c r="M125" s="99"/>
      <c r="N125" s="100" t="s">
        <v>45</v>
      </c>
      <c r="O125" s="112"/>
      <c r="P125" s="94"/>
      <c r="Q125" s="94"/>
      <c r="R125" s="113"/>
      <c r="S125" s="102" t="s">
        <v>170</v>
      </c>
      <c r="T125" s="102" t="s">
        <v>2007</v>
      </c>
      <c r="V125" s="104"/>
    </row>
    <row r="126" ht="15.75" customHeight="1">
      <c r="A126" s="91"/>
      <c r="B126" s="93" t="s">
        <v>2002</v>
      </c>
      <c r="C126" s="103" t="s">
        <v>252</v>
      </c>
      <c r="D126" s="94"/>
      <c r="E126" s="121" t="s">
        <v>1577</v>
      </c>
      <c r="F126" s="121" t="s">
        <v>2008</v>
      </c>
      <c r="G126" s="94"/>
      <c r="H126" s="93" t="s">
        <v>41</v>
      </c>
      <c r="I126" s="102" t="s">
        <v>181</v>
      </c>
      <c r="J126" s="94"/>
      <c r="K126" s="98">
        <v>10500.0</v>
      </c>
      <c r="L126" s="98">
        <v>3000.0</v>
      </c>
      <c r="M126" s="99"/>
      <c r="N126" s="111"/>
      <c r="O126" s="112"/>
      <c r="P126" s="94"/>
      <c r="Q126" s="201">
        <v>6.0</v>
      </c>
      <c r="R126" s="113"/>
      <c r="S126" s="102" t="s">
        <v>105</v>
      </c>
      <c r="T126" s="94"/>
      <c r="V126" s="104"/>
    </row>
    <row r="127" ht="15.75" customHeight="1">
      <c r="A127" s="91"/>
      <c r="B127" s="93" t="s">
        <v>2002</v>
      </c>
      <c r="C127" s="103" t="s">
        <v>624</v>
      </c>
      <c r="D127" s="94"/>
      <c r="E127" s="121" t="s">
        <v>2009</v>
      </c>
      <c r="F127" s="121" t="s">
        <v>2010</v>
      </c>
      <c r="G127" s="94"/>
      <c r="H127" s="93" t="s">
        <v>41</v>
      </c>
      <c r="I127" s="102" t="s">
        <v>88</v>
      </c>
      <c r="J127" s="94"/>
      <c r="K127" s="126"/>
      <c r="L127" s="126"/>
      <c r="M127" s="99"/>
      <c r="N127" s="100" t="s">
        <v>45</v>
      </c>
      <c r="O127" s="101" t="s">
        <v>396</v>
      </c>
      <c r="P127" s="94"/>
      <c r="Q127" s="120"/>
      <c r="R127" s="113"/>
      <c r="S127" s="102" t="s">
        <v>383</v>
      </c>
      <c r="T127" s="102" t="s">
        <v>2011</v>
      </c>
      <c r="V127" s="104"/>
    </row>
    <row r="128" ht="15.75" customHeight="1">
      <c r="A128" s="91"/>
      <c r="B128" s="93" t="s">
        <v>2002</v>
      </c>
      <c r="C128" s="93" t="s">
        <v>905</v>
      </c>
      <c r="D128" s="94"/>
      <c r="E128" s="121" t="s">
        <v>2012</v>
      </c>
      <c r="F128" s="121" t="s">
        <v>2013</v>
      </c>
      <c r="G128" s="94"/>
      <c r="H128" s="93" t="s">
        <v>41</v>
      </c>
      <c r="I128" s="102" t="s">
        <v>88</v>
      </c>
      <c r="J128" s="94"/>
      <c r="K128" s="125"/>
      <c r="L128" s="125"/>
      <c r="M128" s="99"/>
      <c r="N128" s="100" t="s">
        <v>98</v>
      </c>
      <c r="O128" s="101" t="s">
        <v>2014</v>
      </c>
      <c r="P128" s="94"/>
      <c r="Q128" s="120"/>
      <c r="R128" s="113"/>
      <c r="S128" s="102" t="s">
        <v>170</v>
      </c>
      <c r="T128" s="102" t="s">
        <v>2015</v>
      </c>
      <c r="V128" s="104"/>
    </row>
    <row r="129" ht="15.75" customHeight="1">
      <c r="A129" s="91"/>
      <c r="B129" s="93" t="s">
        <v>2002</v>
      </c>
      <c r="C129" s="93" t="s">
        <v>624</v>
      </c>
      <c r="D129" s="94"/>
      <c r="E129" s="121" t="s">
        <v>2016</v>
      </c>
      <c r="F129" s="121" t="s">
        <v>2017</v>
      </c>
      <c r="G129" s="94"/>
      <c r="H129" s="93" t="s">
        <v>41</v>
      </c>
      <c r="I129" s="102" t="s">
        <v>181</v>
      </c>
      <c r="J129" s="94"/>
      <c r="K129" s="98">
        <v>10500.0</v>
      </c>
      <c r="L129" s="98">
        <v>3000.0</v>
      </c>
      <c r="M129" s="99"/>
      <c r="N129" s="111"/>
      <c r="O129" s="112"/>
      <c r="P129" s="94"/>
      <c r="Q129" s="201">
        <v>6.0</v>
      </c>
      <c r="R129" s="113"/>
      <c r="S129" s="102" t="s">
        <v>105</v>
      </c>
      <c r="T129" s="94"/>
      <c r="V129" s="104"/>
    </row>
    <row r="130" ht="15.75" customHeight="1">
      <c r="A130" s="91"/>
      <c r="B130" s="93" t="s">
        <v>2002</v>
      </c>
      <c r="C130" s="93" t="s">
        <v>2018</v>
      </c>
      <c r="D130" s="94"/>
      <c r="E130" s="244">
        <v>5.0825509E7</v>
      </c>
      <c r="F130" s="246" t="s">
        <v>2019</v>
      </c>
      <c r="G130" s="94"/>
      <c r="H130" s="93" t="s">
        <v>41</v>
      </c>
      <c r="I130" s="102" t="s">
        <v>103</v>
      </c>
      <c r="J130" s="94"/>
      <c r="K130" s="98">
        <v>9000.0</v>
      </c>
      <c r="L130" s="98">
        <v>9000.0</v>
      </c>
      <c r="M130" s="99"/>
      <c r="N130" s="111"/>
      <c r="O130" s="112"/>
      <c r="P130" s="94"/>
      <c r="Q130" s="201">
        <v>6.0</v>
      </c>
      <c r="R130" s="113"/>
      <c r="S130" s="102" t="s">
        <v>105</v>
      </c>
      <c r="T130" s="94"/>
      <c r="V130" s="104"/>
    </row>
    <row r="131" ht="15.75" customHeight="1">
      <c r="A131" s="91"/>
      <c r="B131" s="93" t="s">
        <v>2002</v>
      </c>
      <c r="C131" s="93" t="s">
        <v>616</v>
      </c>
      <c r="D131" s="94"/>
      <c r="E131" s="243" t="s">
        <v>1439</v>
      </c>
      <c r="F131" s="225" t="s">
        <v>2020</v>
      </c>
      <c r="G131" s="94"/>
      <c r="H131" s="93" t="s">
        <v>41</v>
      </c>
      <c r="I131" s="102" t="s">
        <v>88</v>
      </c>
      <c r="J131" s="94"/>
      <c r="K131" s="126"/>
      <c r="L131" s="126"/>
      <c r="M131" s="99"/>
      <c r="N131" s="100" t="s">
        <v>98</v>
      </c>
      <c r="O131" s="101" t="s">
        <v>2014</v>
      </c>
      <c r="P131" s="94"/>
      <c r="Q131" s="120"/>
      <c r="R131" s="113"/>
      <c r="S131" s="102" t="s">
        <v>170</v>
      </c>
      <c r="T131" s="102" t="s">
        <v>2021</v>
      </c>
      <c r="V131" s="104"/>
    </row>
    <row r="132" ht="15.75" customHeight="1">
      <c r="A132" s="91"/>
      <c r="B132" s="131"/>
      <c r="C132" s="132"/>
      <c r="D132" s="94"/>
      <c r="E132" s="247"/>
      <c r="F132" s="247"/>
      <c r="G132" s="94"/>
      <c r="H132" s="132"/>
      <c r="I132" s="94"/>
      <c r="J132" s="94"/>
      <c r="K132" s="125"/>
      <c r="L132" s="125"/>
      <c r="M132" s="99"/>
      <c r="N132" s="111"/>
      <c r="O132" s="112"/>
      <c r="P132" s="94"/>
      <c r="Q132" s="120"/>
      <c r="R132" s="113"/>
      <c r="S132" s="94"/>
      <c r="T132" s="94"/>
      <c r="V132" s="104"/>
    </row>
    <row r="133" ht="15.75" customHeight="1">
      <c r="A133" s="91"/>
      <c r="B133" s="131"/>
      <c r="C133" s="104"/>
      <c r="D133" s="94"/>
      <c r="E133" s="247"/>
      <c r="F133" s="247"/>
      <c r="G133" s="94"/>
      <c r="H133" s="132"/>
      <c r="I133" s="94"/>
      <c r="J133" s="94"/>
      <c r="K133" s="126"/>
      <c r="L133" s="126"/>
      <c r="M133" s="99"/>
      <c r="N133" s="111"/>
      <c r="O133" s="112"/>
      <c r="P133" s="94"/>
      <c r="Q133" s="94"/>
      <c r="R133" s="113"/>
      <c r="S133" s="94"/>
      <c r="T133" s="94"/>
      <c r="V133" s="104"/>
    </row>
    <row r="134" ht="15.75" customHeight="1">
      <c r="A134" s="91"/>
      <c r="B134" s="131"/>
      <c r="C134" s="104"/>
      <c r="D134" s="94"/>
      <c r="E134" s="247"/>
      <c r="F134" s="247"/>
      <c r="G134" s="94"/>
      <c r="H134" s="132"/>
      <c r="I134" s="94"/>
      <c r="J134" s="94"/>
      <c r="K134" s="125"/>
      <c r="L134" s="125"/>
      <c r="M134" s="99"/>
      <c r="N134" s="111"/>
      <c r="O134" s="112"/>
      <c r="P134" s="94"/>
      <c r="Q134" s="120"/>
      <c r="R134" s="113"/>
      <c r="S134" s="94"/>
      <c r="T134" s="94"/>
      <c r="V134" s="104"/>
    </row>
    <row r="135" ht="15.75" customHeight="1">
      <c r="A135" s="91"/>
      <c r="B135" s="131"/>
      <c r="C135" s="104"/>
      <c r="D135" s="94"/>
      <c r="E135" s="247"/>
      <c r="F135" s="247"/>
      <c r="G135" s="94"/>
      <c r="H135" s="132"/>
      <c r="I135" s="94"/>
      <c r="J135" s="94"/>
      <c r="K135" s="126"/>
      <c r="L135" s="126"/>
      <c r="M135" s="99"/>
      <c r="N135" s="111"/>
      <c r="O135" s="112"/>
      <c r="P135" s="94"/>
      <c r="Q135" s="94"/>
      <c r="R135" s="113"/>
      <c r="S135" s="94"/>
      <c r="T135" s="94"/>
      <c r="V135" s="104"/>
    </row>
    <row r="136" ht="15.75" customHeight="1">
      <c r="A136" s="91"/>
      <c r="B136" s="131"/>
      <c r="C136" s="132"/>
      <c r="D136" s="94"/>
      <c r="E136" s="247"/>
      <c r="F136" s="247"/>
      <c r="G136" s="94"/>
      <c r="H136" s="132"/>
      <c r="I136" s="94"/>
      <c r="J136" s="94"/>
      <c r="K136" s="125"/>
      <c r="L136" s="125"/>
      <c r="M136" s="99"/>
      <c r="N136" s="111"/>
      <c r="O136" s="112"/>
      <c r="P136" s="94"/>
      <c r="Q136" s="94"/>
      <c r="R136" s="113"/>
      <c r="S136" s="94"/>
      <c r="T136" s="94"/>
      <c r="V136" s="104"/>
    </row>
    <row r="137" ht="15.75" customHeight="1">
      <c r="A137" s="91"/>
      <c r="B137" s="131"/>
      <c r="C137" s="132"/>
      <c r="D137" s="94"/>
      <c r="E137" s="247"/>
      <c r="F137" s="247"/>
      <c r="G137" s="94"/>
      <c r="H137" s="132"/>
      <c r="I137" s="94"/>
      <c r="J137" s="94"/>
      <c r="K137" s="126"/>
      <c r="L137" s="126"/>
      <c r="M137" s="99"/>
      <c r="N137" s="111"/>
      <c r="O137" s="112"/>
      <c r="P137" s="94"/>
      <c r="Q137" s="120"/>
      <c r="R137" s="113"/>
      <c r="S137" s="94"/>
      <c r="T137" s="94"/>
      <c r="V137" s="104"/>
    </row>
    <row r="138" ht="15.75" customHeight="1">
      <c r="A138" s="91"/>
      <c r="B138" s="131"/>
      <c r="C138" s="132"/>
      <c r="D138" s="94"/>
      <c r="E138" s="247"/>
      <c r="F138" s="247"/>
      <c r="G138" s="94"/>
      <c r="H138" s="132"/>
      <c r="I138" s="94"/>
      <c r="J138" s="94"/>
      <c r="K138" s="125"/>
      <c r="L138" s="125"/>
      <c r="M138" s="99"/>
      <c r="N138" s="111"/>
      <c r="O138" s="112"/>
      <c r="P138" s="94"/>
      <c r="Q138" s="94"/>
      <c r="R138" s="113"/>
      <c r="S138" s="94"/>
      <c r="T138" s="94"/>
      <c r="V138" s="104"/>
    </row>
    <row r="139" ht="15.75" customHeight="1">
      <c r="A139" s="91"/>
      <c r="B139" s="131"/>
      <c r="C139" s="132"/>
      <c r="D139" s="94"/>
      <c r="E139" s="247"/>
      <c r="F139" s="247"/>
      <c r="G139" s="94"/>
      <c r="H139" s="132"/>
      <c r="I139" s="94"/>
      <c r="J139" s="94"/>
      <c r="K139" s="126"/>
      <c r="L139" s="126"/>
      <c r="M139" s="99"/>
      <c r="N139" s="111"/>
      <c r="O139" s="112"/>
      <c r="P139" s="94"/>
      <c r="Q139" s="94"/>
      <c r="R139" s="113"/>
      <c r="S139" s="94"/>
      <c r="T139" s="94"/>
      <c r="V139" s="104"/>
    </row>
    <row r="140" ht="15.75" customHeight="1">
      <c r="A140" s="91"/>
      <c r="B140" s="131"/>
      <c r="C140" s="132"/>
      <c r="D140" s="94"/>
      <c r="E140" s="247"/>
      <c r="F140" s="247"/>
      <c r="G140" s="94"/>
      <c r="H140" s="132"/>
      <c r="I140" s="94"/>
      <c r="J140" s="94"/>
      <c r="K140" s="125"/>
      <c r="L140" s="125"/>
      <c r="M140" s="99"/>
      <c r="N140" s="111"/>
      <c r="O140" s="112"/>
      <c r="P140" s="94"/>
      <c r="Q140" s="120"/>
      <c r="R140" s="113"/>
      <c r="S140" s="94"/>
      <c r="T140" s="94"/>
      <c r="V140" s="104"/>
    </row>
    <row r="141" ht="15.75" customHeight="1">
      <c r="A141" s="91"/>
      <c r="B141" s="131"/>
      <c r="C141" s="104"/>
      <c r="D141" s="94"/>
      <c r="E141" s="247"/>
      <c r="F141" s="247"/>
      <c r="G141" s="94"/>
      <c r="H141" s="132"/>
      <c r="I141" s="94"/>
      <c r="J141" s="94"/>
      <c r="K141" s="126"/>
      <c r="L141" s="126"/>
      <c r="M141" s="99"/>
      <c r="N141" s="111"/>
      <c r="O141" s="112"/>
      <c r="P141" s="94"/>
      <c r="Q141" s="94"/>
      <c r="R141" s="113"/>
      <c r="S141" s="94"/>
      <c r="T141" s="94"/>
      <c r="V141" s="104"/>
    </row>
    <row r="142" ht="15.75" customHeight="1">
      <c r="A142" s="91"/>
      <c r="B142" s="131"/>
      <c r="C142" s="104"/>
      <c r="D142" s="94"/>
      <c r="E142" s="247"/>
      <c r="F142" s="247"/>
      <c r="G142" s="94"/>
      <c r="H142" s="132"/>
      <c r="I142" s="94"/>
      <c r="J142" s="94"/>
      <c r="K142" s="125"/>
      <c r="L142" s="125"/>
      <c r="M142" s="99"/>
      <c r="N142" s="111"/>
      <c r="O142" s="112"/>
      <c r="P142" s="94"/>
      <c r="Q142" s="120"/>
      <c r="R142" s="113"/>
      <c r="S142" s="94"/>
      <c r="T142" s="94"/>
      <c r="V142" s="104"/>
    </row>
    <row r="143" ht="15.75" customHeight="1">
      <c r="A143" s="91"/>
      <c r="B143" s="131"/>
      <c r="C143" s="104"/>
      <c r="D143" s="94"/>
      <c r="E143" s="247"/>
      <c r="F143" s="247"/>
      <c r="G143" s="94"/>
      <c r="H143" s="132"/>
      <c r="I143" s="94"/>
      <c r="J143" s="94"/>
      <c r="K143" s="126"/>
      <c r="L143" s="126"/>
      <c r="M143" s="99"/>
      <c r="N143" s="111"/>
      <c r="O143" s="112"/>
      <c r="P143" s="94"/>
      <c r="Q143" s="120"/>
      <c r="R143" s="113"/>
      <c r="S143" s="94"/>
      <c r="T143" s="94"/>
      <c r="V143" s="104"/>
    </row>
    <row r="144" ht="15.75" customHeight="1">
      <c r="A144" s="91"/>
      <c r="B144" s="131"/>
      <c r="C144" s="132"/>
      <c r="D144" s="94"/>
      <c r="E144" s="247"/>
      <c r="F144" s="247"/>
      <c r="G144" s="94"/>
      <c r="H144" s="132"/>
      <c r="I144" s="94"/>
      <c r="J144" s="94"/>
      <c r="K144" s="125"/>
      <c r="L144" s="125"/>
      <c r="M144" s="99"/>
      <c r="N144" s="111"/>
      <c r="O144" s="112"/>
      <c r="P144" s="94"/>
      <c r="Q144" s="120"/>
      <c r="R144" s="113"/>
      <c r="S144" s="94"/>
      <c r="T144" s="94"/>
      <c r="V144" s="104"/>
    </row>
    <row r="145" ht="15.75" customHeight="1">
      <c r="A145" s="91"/>
      <c r="B145" s="131"/>
      <c r="C145" s="132"/>
      <c r="D145" s="94"/>
      <c r="E145" s="247"/>
      <c r="F145" s="247"/>
      <c r="G145" s="94"/>
      <c r="H145" s="132"/>
      <c r="I145" s="94"/>
      <c r="J145" s="94"/>
      <c r="K145" s="126"/>
      <c r="L145" s="126"/>
      <c r="M145" s="99"/>
      <c r="N145" s="111"/>
      <c r="O145" s="112"/>
      <c r="P145" s="94"/>
      <c r="Q145" s="94"/>
      <c r="R145" s="113"/>
      <c r="S145" s="94"/>
      <c r="T145" s="94"/>
      <c r="V145" s="104"/>
    </row>
    <row r="146" ht="15.75" customHeight="1">
      <c r="A146" s="91"/>
      <c r="B146" s="131"/>
      <c r="C146" s="132"/>
      <c r="D146" s="94"/>
      <c r="E146" s="247"/>
      <c r="F146" s="247"/>
      <c r="G146" s="94"/>
      <c r="H146" s="132"/>
      <c r="I146" s="94"/>
      <c r="J146" s="94"/>
      <c r="K146" s="125"/>
      <c r="L146" s="125"/>
      <c r="M146" s="99"/>
      <c r="N146" s="111"/>
      <c r="O146" s="112"/>
      <c r="P146" s="94"/>
      <c r="Q146" s="120"/>
      <c r="R146" s="113"/>
      <c r="S146" s="94"/>
      <c r="T146" s="94"/>
      <c r="V146" s="104"/>
    </row>
    <row r="147" ht="15.75" customHeight="1">
      <c r="A147" s="91"/>
      <c r="B147" s="131"/>
      <c r="C147" s="132"/>
      <c r="D147" s="94"/>
      <c r="E147" s="247"/>
      <c r="F147" s="247"/>
      <c r="G147" s="94"/>
      <c r="H147" s="132"/>
      <c r="I147" s="94"/>
      <c r="J147" s="94"/>
      <c r="K147" s="126"/>
      <c r="L147" s="126"/>
      <c r="M147" s="99"/>
      <c r="N147" s="111"/>
      <c r="O147" s="112"/>
      <c r="P147" s="94"/>
      <c r="Q147" s="94"/>
      <c r="R147" s="113"/>
      <c r="S147" s="94"/>
      <c r="T147" s="94"/>
      <c r="V147" s="104"/>
    </row>
    <row r="148" ht="15.75" customHeight="1">
      <c r="A148" s="91"/>
      <c r="B148" s="131"/>
      <c r="C148" s="132"/>
      <c r="D148" s="94"/>
      <c r="E148" s="247"/>
      <c r="F148" s="248"/>
      <c r="G148" s="94"/>
      <c r="H148" s="132"/>
      <c r="I148" s="94"/>
      <c r="J148" s="94"/>
      <c r="K148" s="125"/>
      <c r="L148" s="125"/>
      <c r="M148" s="99"/>
      <c r="N148" s="111"/>
      <c r="O148" s="112"/>
      <c r="P148" s="94"/>
      <c r="Q148" s="120"/>
      <c r="R148" s="113"/>
      <c r="S148" s="94"/>
      <c r="T148" s="94"/>
      <c r="V148" s="104"/>
    </row>
    <row r="149" ht="15.75" customHeight="1">
      <c r="A149" s="91"/>
      <c r="B149" s="131"/>
      <c r="C149" s="104"/>
      <c r="D149" s="94"/>
      <c r="E149" s="247"/>
      <c r="F149" s="247"/>
      <c r="G149" s="94"/>
      <c r="H149" s="132"/>
      <c r="I149" s="94"/>
      <c r="J149" s="94"/>
      <c r="K149" s="126"/>
      <c r="L149" s="126"/>
      <c r="M149" s="99"/>
      <c r="N149" s="111"/>
      <c r="O149" s="112"/>
      <c r="P149" s="94"/>
      <c r="Q149" s="94"/>
      <c r="R149" s="113"/>
      <c r="S149" s="94"/>
      <c r="T149" s="94"/>
      <c r="V149" s="104"/>
    </row>
    <row r="150" ht="15.75" customHeight="1">
      <c r="A150" s="91"/>
      <c r="B150" s="131"/>
      <c r="C150" s="104"/>
      <c r="D150" s="94"/>
      <c r="E150" s="247"/>
      <c r="F150" s="247"/>
      <c r="G150" s="94"/>
      <c r="H150" s="132"/>
      <c r="I150" s="94"/>
      <c r="J150" s="94"/>
      <c r="K150" s="125"/>
      <c r="L150" s="125"/>
      <c r="M150" s="99"/>
      <c r="N150" s="111"/>
      <c r="O150" s="112"/>
      <c r="P150" s="94"/>
      <c r="Q150" s="120"/>
      <c r="R150" s="113"/>
      <c r="S150" s="94"/>
      <c r="T150" s="94"/>
      <c r="V150" s="104"/>
    </row>
    <row r="151" ht="15.75" customHeight="1">
      <c r="A151" s="91"/>
      <c r="B151" s="131"/>
      <c r="C151" s="132"/>
      <c r="D151" s="94"/>
      <c r="E151" s="247"/>
      <c r="F151" s="247"/>
      <c r="G151" s="94"/>
      <c r="H151" s="132"/>
      <c r="I151" s="94"/>
      <c r="J151" s="94"/>
      <c r="K151" s="126"/>
      <c r="L151" s="126"/>
      <c r="M151" s="99"/>
      <c r="N151" s="111"/>
      <c r="O151" s="112"/>
      <c r="P151" s="94"/>
      <c r="Q151" s="120"/>
      <c r="R151" s="113"/>
      <c r="S151" s="94"/>
      <c r="T151" s="94"/>
      <c r="V151" s="104"/>
    </row>
    <row r="152" ht="15.75" customHeight="1">
      <c r="A152" s="91"/>
      <c r="B152" s="131"/>
      <c r="C152" s="132"/>
      <c r="D152" s="94"/>
      <c r="E152" s="247"/>
      <c r="F152" s="247"/>
      <c r="G152" s="94"/>
      <c r="H152" s="132"/>
      <c r="I152" s="94"/>
      <c r="J152" s="94"/>
      <c r="K152" s="125"/>
      <c r="L152" s="125"/>
      <c r="M152" s="99"/>
      <c r="N152" s="111"/>
      <c r="O152" s="112"/>
      <c r="P152" s="94"/>
      <c r="Q152" s="120"/>
      <c r="R152" s="113"/>
      <c r="S152" s="94"/>
      <c r="T152" s="94"/>
      <c r="V152" s="104"/>
    </row>
    <row r="153" ht="15.75" customHeight="1">
      <c r="A153" s="91"/>
      <c r="B153" s="131"/>
      <c r="C153" s="132"/>
      <c r="D153" s="94"/>
      <c r="E153" s="247"/>
      <c r="F153" s="247"/>
      <c r="G153" s="94"/>
      <c r="H153" s="132"/>
      <c r="I153" s="94"/>
      <c r="J153" s="94"/>
      <c r="K153" s="126"/>
      <c r="L153" s="126"/>
      <c r="M153" s="99"/>
      <c r="N153" s="111"/>
      <c r="O153" s="112"/>
      <c r="P153" s="94"/>
      <c r="Q153" s="120"/>
      <c r="R153" s="113"/>
      <c r="S153" s="94"/>
      <c r="T153" s="94"/>
      <c r="V153" s="104"/>
    </row>
    <row r="154" ht="15.75" customHeight="1">
      <c r="A154" s="91"/>
      <c r="B154" s="131"/>
      <c r="C154" s="132"/>
      <c r="D154" s="94"/>
      <c r="E154" s="247"/>
      <c r="F154" s="247"/>
      <c r="G154" s="94"/>
      <c r="H154" s="132"/>
      <c r="I154" s="94"/>
      <c r="J154" s="94"/>
      <c r="K154" s="125"/>
      <c r="L154" s="125"/>
      <c r="M154" s="99"/>
      <c r="N154" s="111"/>
      <c r="O154" s="112"/>
      <c r="P154" s="94"/>
      <c r="Q154" s="120"/>
      <c r="R154" s="113"/>
      <c r="S154" s="94"/>
      <c r="T154" s="94"/>
      <c r="V154" s="104"/>
    </row>
    <row r="155" ht="15.75" customHeight="1">
      <c r="A155" s="91"/>
      <c r="B155" s="131"/>
      <c r="C155" s="132"/>
      <c r="D155" s="94"/>
      <c r="E155" s="247"/>
      <c r="F155" s="247"/>
      <c r="G155" s="94"/>
      <c r="H155" s="132"/>
      <c r="I155" s="94"/>
      <c r="J155" s="94"/>
      <c r="K155" s="126"/>
      <c r="L155" s="126"/>
      <c r="M155" s="99"/>
      <c r="N155" s="111"/>
      <c r="O155" s="112"/>
      <c r="P155" s="94"/>
      <c r="Q155" s="120"/>
      <c r="R155" s="113"/>
      <c r="S155" s="94"/>
      <c r="T155" s="94"/>
      <c r="V155" s="104"/>
    </row>
    <row r="156" ht="15.75" customHeight="1">
      <c r="A156" s="91"/>
      <c r="B156" s="131"/>
      <c r="C156" s="104"/>
      <c r="D156" s="94"/>
      <c r="E156" s="247"/>
      <c r="F156" s="247"/>
      <c r="G156" s="94"/>
      <c r="H156" s="132"/>
      <c r="I156" s="94"/>
      <c r="J156" s="94"/>
      <c r="K156" s="125"/>
      <c r="L156" s="125"/>
      <c r="M156" s="99"/>
      <c r="N156" s="111"/>
      <c r="O156" s="112"/>
      <c r="P156" s="94"/>
      <c r="Q156" s="120"/>
      <c r="R156" s="113"/>
      <c r="S156" s="94"/>
      <c r="T156" s="94"/>
      <c r="V156" s="104"/>
    </row>
    <row r="157" ht="15.75" customHeight="1">
      <c r="A157" s="91"/>
      <c r="B157" s="131"/>
      <c r="C157" s="132"/>
      <c r="D157" s="94"/>
      <c r="E157" s="247"/>
      <c r="F157" s="247"/>
      <c r="G157" s="94"/>
      <c r="H157" s="132"/>
      <c r="I157" s="94"/>
      <c r="J157" s="94"/>
      <c r="K157" s="126"/>
      <c r="L157" s="126"/>
      <c r="M157" s="99"/>
      <c r="N157" s="111"/>
      <c r="O157" s="112"/>
      <c r="P157" s="94"/>
      <c r="Q157" s="120"/>
      <c r="R157" s="113"/>
      <c r="S157" s="94"/>
      <c r="T157" s="94"/>
      <c r="V157" s="104"/>
    </row>
    <row r="158" ht="15.75" customHeight="1">
      <c r="A158" s="91"/>
      <c r="B158" s="131"/>
      <c r="C158" s="132"/>
      <c r="D158" s="94"/>
      <c r="E158" s="247"/>
      <c r="F158" s="247"/>
      <c r="G158" s="94"/>
      <c r="H158" s="132"/>
      <c r="I158" s="94"/>
      <c r="J158" s="94"/>
      <c r="K158" s="125"/>
      <c r="L158" s="125"/>
      <c r="M158" s="99"/>
      <c r="N158" s="111"/>
      <c r="O158" s="112"/>
      <c r="P158" s="94"/>
      <c r="Q158" s="120"/>
      <c r="R158" s="113"/>
      <c r="S158" s="94"/>
      <c r="T158" s="94"/>
      <c r="V158" s="104"/>
    </row>
    <row r="159" ht="15.75" customHeight="1">
      <c r="A159" s="91"/>
      <c r="B159" s="131"/>
      <c r="C159" s="132"/>
      <c r="D159" s="94"/>
      <c r="E159" s="247"/>
      <c r="F159" s="247"/>
      <c r="G159" s="94"/>
      <c r="H159" s="132"/>
      <c r="I159" s="94"/>
      <c r="J159" s="94"/>
      <c r="K159" s="126"/>
      <c r="L159" s="126"/>
      <c r="M159" s="99"/>
      <c r="N159" s="111"/>
      <c r="O159" s="112"/>
      <c r="P159" s="94"/>
      <c r="Q159" s="120"/>
      <c r="R159" s="113"/>
      <c r="S159" s="94"/>
      <c r="T159" s="94"/>
      <c r="V159" s="104"/>
    </row>
    <row r="160" ht="15.75" customHeight="1">
      <c r="A160" s="91"/>
      <c r="B160" s="131"/>
      <c r="C160" s="132"/>
      <c r="D160" s="94"/>
      <c r="E160" s="247"/>
      <c r="F160" s="247"/>
      <c r="G160" s="94"/>
      <c r="H160" s="132"/>
      <c r="I160" s="94"/>
      <c r="J160" s="94"/>
      <c r="K160" s="125"/>
      <c r="L160" s="125"/>
      <c r="M160" s="99"/>
      <c r="N160" s="111"/>
      <c r="O160" s="112"/>
      <c r="P160" s="94"/>
      <c r="Q160" s="120"/>
      <c r="R160" s="113"/>
      <c r="S160" s="94"/>
      <c r="T160" s="94"/>
      <c r="V160" s="104"/>
    </row>
    <row r="161" ht="15.75" customHeight="1">
      <c r="A161" s="91"/>
      <c r="B161" s="131"/>
      <c r="C161" s="132"/>
      <c r="D161" s="94"/>
      <c r="E161" s="247"/>
      <c r="F161" s="247"/>
      <c r="G161" s="94"/>
      <c r="H161" s="132"/>
      <c r="I161" s="94"/>
      <c r="J161" s="94"/>
      <c r="K161" s="126"/>
      <c r="L161" s="126"/>
      <c r="M161" s="99"/>
      <c r="N161" s="111"/>
      <c r="O161" s="112"/>
      <c r="P161" s="94"/>
      <c r="Q161" s="120"/>
      <c r="R161" s="113"/>
      <c r="S161" s="94"/>
      <c r="T161" s="94"/>
      <c r="V161" s="104"/>
    </row>
    <row r="162" ht="15.75" customHeight="1">
      <c r="A162" s="91"/>
      <c r="B162" s="131"/>
      <c r="C162" s="104"/>
      <c r="D162" s="94"/>
      <c r="E162" s="247"/>
      <c r="F162" s="247"/>
      <c r="G162" s="94"/>
      <c r="H162" s="132"/>
      <c r="I162" s="94"/>
      <c r="J162" s="94"/>
      <c r="K162" s="125"/>
      <c r="L162" s="125"/>
      <c r="M162" s="99"/>
      <c r="N162" s="111"/>
      <c r="O162" s="112"/>
      <c r="P162" s="94"/>
      <c r="Q162" s="120"/>
      <c r="R162" s="113"/>
      <c r="S162" s="94"/>
      <c r="T162" s="94"/>
      <c r="V162" s="104"/>
    </row>
    <row r="163" ht="15.75" customHeight="1">
      <c r="A163" s="91"/>
      <c r="B163" s="131"/>
      <c r="C163" s="132"/>
      <c r="D163" s="94"/>
      <c r="E163" s="247"/>
      <c r="F163" s="247"/>
      <c r="G163" s="94"/>
      <c r="H163" s="132"/>
      <c r="I163" s="94"/>
      <c r="J163" s="94"/>
      <c r="K163" s="126"/>
      <c r="L163" s="126"/>
      <c r="M163" s="99"/>
      <c r="N163" s="111"/>
      <c r="O163" s="112"/>
      <c r="P163" s="94"/>
      <c r="Q163" s="120"/>
      <c r="R163" s="113"/>
      <c r="S163" s="94"/>
      <c r="T163" s="94"/>
      <c r="V163" s="104"/>
    </row>
    <row r="164" ht="15.75" customHeight="1">
      <c r="A164" s="91"/>
      <c r="B164" s="131"/>
      <c r="C164" s="132"/>
      <c r="D164" s="94"/>
      <c r="E164" s="247"/>
      <c r="F164" s="247"/>
      <c r="G164" s="94"/>
      <c r="H164" s="132"/>
      <c r="I164" s="94"/>
      <c r="J164" s="94"/>
      <c r="K164" s="125"/>
      <c r="L164" s="125"/>
      <c r="M164" s="99"/>
      <c r="N164" s="111"/>
      <c r="O164" s="112"/>
      <c r="P164" s="94"/>
      <c r="Q164" s="120"/>
      <c r="R164" s="113"/>
      <c r="S164" s="94"/>
      <c r="T164" s="94"/>
      <c r="V164" s="104"/>
    </row>
    <row r="165" ht="15.75" customHeight="1">
      <c r="A165" s="91"/>
      <c r="B165" s="131"/>
      <c r="C165" s="132"/>
      <c r="D165" s="94"/>
      <c r="E165" s="247"/>
      <c r="F165" s="247"/>
      <c r="G165" s="94"/>
      <c r="H165" s="132"/>
      <c r="I165" s="94"/>
      <c r="J165" s="94"/>
      <c r="K165" s="126"/>
      <c r="L165" s="126"/>
      <c r="M165" s="99"/>
      <c r="N165" s="111"/>
      <c r="O165" s="112"/>
      <c r="P165" s="94"/>
      <c r="Q165" s="120"/>
      <c r="R165" s="113"/>
      <c r="S165" s="94"/>
      <c r="T165" s="94"/>
      <c r="V165" s="104"/>
    </row>
    <row r="166" ht="15.75" customHeight="1">
      <c r="A166" s="91"/>
      <c r="B166" s="131"/>
      <c r="C166" s="132"/>
      <c r="D166" s="94"/>
      <c r="E166" s="247"/>
      <c r="F166" s="247"/>
      <c r="G166" s="94"/>
      <c r="H166" s="132"/>
      <c r="I166" s="94"/>
      <c r="J166" s="94"/>
      <c r="K166" s="125"/>
      <c r="L166" s="125"/>
      <c r="M166" s="99"/>
      <c r="N166" s="111"/>
      <c r="O166" s="112"/>
      <c r="P166" s="94"/>
      <c r="Q166" s="120"/>
      <c r="R166" s="113"/>
      <c r="S166" s="94"/>
      <c r="T166" s="94"/>
      <c r="V166" s="104"/>
    </row>
    <row r="167" ht="15.75" customHeight="1">
      <c r="A167" s="91"/>
      <c r="B167" s="131"/>
      <c r="C167" s="132"/>
      <c r="D167" s="94"/>
      <c r="E167" s="247"/>
      <c r="F167" s="247"/>
      <c r="G167" s="94"/>
      <c r="H167" s="132"/>
      <c r="I167" s="94"/>
      <c r="J167" s="94"/>
      <c r="K167" s="126"/>
      <c r="L167" s="126"/>
      <c r="M167" s="99"/>
      <c r="N167" s="111"/>
      <c r="O167" s="112"/>
      <c r="P167" s="94"/>
      <c r="Q167" s="120"/>
      <c r="R167" s="113"/>
      <c r="S167" s="94"/>
      <c r="T167" s="94"/>
      <c r="V167" s="104"/>
    </row>
    <row r="168" ht="15.75" customHeight="1">
      <c r="A168" s="91"/>
      <c r="B168" s="131"/>
      <c r="C168" s="104"/>
      <c r="D168" s="94"/>
      <c r="E168" s="247"/>
      <c r="F168" s="247"/>
      <c r="G168" s="94"/>
      <c r="H168" s="132"/>
      <c r="I168" s="94"/>
      <c r="J168" s="94"/>
      <c r="K168" s="125"/>
      <c r="L168" s="125"/>
      <c r="M168" s="99"/>
      <c r="N168" s="111"/>
      <c r="O168" s="112"/>
      <c r="P168" s="94"/>
      <c r="Q168" s="120"/>
      <c r="R168" s="113"/>
      <c r="S168" s="94"/>
      <c r="T168" s="94"/>
      <c r="V168" s="104"/>
    </row>
    <row r="169" ht="15.75" customHeight="1">
      <c r="A169" s="91"/>
      <c r="B169" s="131"/>
      <c r="C169" s="132"/>
      <c r="D169" s="94"/>
      <c r="E169" s="247"/>
      <c r="F169" s="247"/>
      <c r="G169" s="94"/>
      <c r="H169" s="132"/>
      <c r="I169" s="94"/>
      <c r="J169" s="94"/>
      <c r="K169" s="126"/>
      <c r="L169" s="126"/>
      <c r="M169" s="99"/>
      <c r="N169" s="111"/>
      <c r="O169" s="112"/>
      <c r="P169" s="94"/>
      <c r="Q169" s="120"/>
      <c r="R169" s="113"/>
      <c r="S169" s="94"/>
      <c r="T169" s="94"/>
      <c r="V169" s="104"/>
    </row>
    <row r="170" ht="15.75" customHeight="1">
      <c r="A170" s="91"/>
      <c r="B170" s="131"/>
      <c r="C170" s="132"/>
      <c r="D170" s="94"/>
      <c r="E170" s="247"/>
      <c r="F170" s="247"/>
      <c r="G170" s="94"/>
      <c r="H170" s="132"/>
      <c r="I170" s="94"/>
      <c r="J170" s="94"/>
      <c r="K170" s="125"/>
      <c r="L170" s="125"/>
      <c r="M170" s="99"/>
      <c r="N170" s="111"/>
      <c r="O170" s="112"/>
      <c r="P170" s="94"/>
      <c r="Q170" s="120"/>
      <c r="R170" s="113"/>
      <c r="S170" s="94"/>
      <c r="T170" s="94"/>
      <c r="V170" s="104"/>
    </row>
    <row r="171" ht="15.75" customHeight="1">
      <c r="A171" s="91"/>
      <c r="B171" s="131"/>
      <c r="C171" s="132"/>
      <c r="D171" s="94"/>
      <c r="E171" s="247"/>
      <c r="F171" s="247"/>
      <c r="G171" s="94"/>
      <c r="H171" s="132"/>
      <c r="I171" s="94"/>
      <c r="J171" s="94"/>
      <c r="K171" s="126"/>
      <c r="L171" s="126"/>
      <c r="M171" s="99"/>
      <c r="N171" s="111"/>
      <c r="O171" s="112"/>
      <c r="P171" s="94"/>
      <c r="Q171" s="120"/>
      <c r="R171" s="113"/>
      <c r="S171" s="94"/>
      <c r="T171" s="94"/>
      <c r="V171" s="104"/>
    </row>
    <row r="172" ht="15.75" customHeight="1">
      <c r="A172" s="91"/>
      <c r="B172" s="131"/>
      <c r="C172" s="132"/>
      <c r="D172" s="94"/>
      <c r="E172" s="247"/>
      <c r="F172" s="247"/>
      <c r="G172" s="94"/>
      <c r="H172" s="132"/>
      <c r="I172" s="94"/>
      <c r="J172" s="94"/>
      <c r="K172" s="125"/>
      <c r="L172" s="125"/>
      <c r="M172" s="99"/>
      <c r="N172" s="111"/>
      <c r="O172" s="112"/>
      <c r="P172" s="94"/>
      <c r="Q172" s="120"/>
      <c r="R172" s="113"/>
      <c r="S172" s="94"/>
      <c r="T172" s="94"/>
      <c r="V172" s="104"/>
    </row>
    <row r="173" ht="15.75" customHeight="1">
      <c r="A173" s="91"/>
      <c r="B173" s="131"/>
      <c r="C173" s="132"/>
      <c r="D173" s="94"/>
      <c r="E173" s="247"/>
      <c r="F173" s="247"/>
      <c r="G173" s="94"/>
      <c r="H173" s="132"/>
      <c r="I173" s="94"/>
      <c r="J173" s="94"/>
      <c r="K173" s="126"/>
      <c r="L173" s="126"/>
      <c r="M173" s="99"/>
      <c r="N173" s="111"/>
      <c r="O173" s="112"/>
      <c r="P173" s="94"/>
      <c r="Q173" s="120"/>
      <c r="R173" s="113"/>
      <c r="S173" s="94"/>
      <c r="T173" s="94"/>
      <c r="V173" s="104"/>
    </row>
    <row r="174" ht="15.75" customHeight="1">
      <c r="A174" s="91"/>
      <c r="B174" s="131"/>
      <c r="C174" s="104"/>
      <c r="D174" s="94"/>
      <c r="E174" s="247"/>
      <c r="F174" s="247"/>
      <c r="G174" s="94"/>
      <c r="H174" s="132"/>
      <c r="I174" s="94"/>
      <c r="J174" s="94"/>
      <c r="K174" s="125"/>
      <c r="L174" s="125"/>
      <c r="M174" s="99"/>
      <c r="N174" s="111"/>
      <c r="O174" s="112"/>
      <c r="P174" s="94"/>
      <c r="Q174" s="120"/>
      <c r="R174" s="113"/>
      <c r="S174" s="94"/>
      <c r="T174" s="94"/>
      <c r="V174" s="104"/>
    </row>
    <row r="175" ht="15.75" customHeight="1">
      <c r="A175" s="91"/>
      <c r="B175" s="131"/>
      <c r="C175" s="132"/>
      <c r="D175" s="94"/>
      <c r="E175" s="247"/>
      <c r="F175" s="247"/>
      <c r="G175" s="94"/>
      <c r="H175" s="132"/>
      <c r="I175" s="94"/>
      <c r="J175" s="94"/>
      <c r="K175" s="126"/>
      <c r="L175" s="126"/>
      <c r="M175" s="99"/>
      <c r="N175" s="111"/>
      <c r="O175" s="112"/>
      <c r="P175" s="94"/>
      <c r="Q175" s="120"/>
      <c r="R175" s="113"/>
      <c r="S175" s="94"/>
      <c r="T175" s="94"/>
      <c r="V175" s="104"/>
    </row>
    <row r="176" ht="15.75" customHeight="1">
      <c r="A176" s="91"/>
      <c r="B176" s="131"/>
      <c r="C176" s="132"/>
      <c r="D176" s="94"/>
      <c r="E176" s="247"/>
      <c r="F176" s="247"/>
      <c r="G176" s="94"/>
      <c r="H176" s="132"/>
      <c r="I176" s="94"/>
      <c r="J176" s="94"/>
      <c r="K176" s="125"/>
      <c r="L176" s="125"/>
      <c r="M176" s="99"/>
      <c r="N176" s="111"/>
      <c r="O176" s="112"/>
      <c r="P176" s="94"/>
      <c r="Q176" s="120"/>
      <c r="R176" s="113"/>
      <c r="S176" s="94"/>
      <c r="T176" s="94"/>
      <c r="V176" s="104"/>
    </row>
    <row r="177" ht="15.75" customHeight="1">
      <c r="A177" s="91"/>
      <c r="B177" s="131"/>
      <c r="C177" s="132"/>
      <c r="D177" s="94"/>
      <c r="E177" s="247"/>
      <c r="F177" s="247"/>
      <c r="G177" s="94"/>
      <c r="H177" s="132"/>
      <c r="I177" s="94"/>
      <c r="J177" s="94"/>
      <c r="K177" s="126"/>
      <c r="L177" s="126"/>
      <c r="M177" s="99"/>
      <c r="N177" s="111"/>
      <c r="O177" s="112"/>
      <c r="P177" s="94"/>
      <c r="Q177" s="120"/>
      <c r="R177" s="113"/>
      <c r="S177" s="94"/>
      <c r="T177" s="94"/>
      <c r="V177" s="104"/>
    </row>
    <row r="178" ht="15.75" customHeight="1">
      <c r="A178" s="91"/>
      <c r="B178" s="131"/>
      <c r="C178" s="132"/>
      <c r="D178" s="94"/>
      <c r="E178" s="247"/>
      <c r="F178" s="247"/>
      <c r="G178" s="94"/>
      <c r="H178" s="132"/>
      <c r="I178" s="94"/>
      <c r="J178" s="94"/>
      <c r="K178" s="125"/>
      <c r="L178" s="125"/>
      <c r="M178" s="99"/>
      <c r="N178" s="111"/>
      <c r="O178" s="112"/>
      <c r="P178" s="94"/>
      <c r="Q178" s="120"/>
      <c r="R178" s="113"/>
      <c r="S178" s="94"/>
      <c r="T178" s="94"/>
      <c r="V178" s="104"/>
    </row>
    <row r="179" ht="15.75" customHeight="1">
      <c r="A179" s="91"/>
      <c r="B179" s="131"/>
      <c r="C179" s="132"/>
      <c r="D179" s="94"/>
      <c r="E179" s="247"/>
      <c r="F179" s="247"/>
      <c r="G179" s="94"/>
      <c r="H179" s="132"/>
      <c r="I179" s="94"/>
      <c r="J179" s="94"/>
      <c r="K179" s="126"/>
      <c r="L179" s="126"/>
      <c r="M179" s="99"/>
      <c r="N179" s="111"/>
      <c r="O179" s="112"/>
      <c r="P179" s="94"/>
      <c r="Q179" s="120"/>
      <c r="R179" s="113"/>
      <c r="S179" s="94"/>
      <c r="T179" s="94"/>
      <c r="V179" s="104"/>
    </row>
    <row r="180" ht="15.75" customHeight="1">
      <c r="A180" s="91"/>
      <c r="B180" s="131"/>
      <c r="C180" s="104"/>
      <c r="D180" s="94"/>
      <c r="E180" s="247"/>
      <c r="F180" s="247"/>
      <c r="G180" s="94"/>
      <c r="H180" s="132"/>
      <c r="I180" s="94"/>
      <c r="J180" s="94"/>
      <c r="K180" s="125"/>
      <c r="L180" s="125"/>
      <c r="M180" s="99"/>
      <c r="N180" s="111"/>
      <c r="O180" s="112"/>
      <c r="P180" s="94"/>
      <c r="Q180" s="120"/>
      <c r="R180" s="113"/>
      <c r="S180" s="94"/>
      <c r="T180" s="94"/>
      <c r="V180" s="104"/>
    </row>
    <row r="181" ht="15.75" customHeight="1">
      <c r="A181" s="91"/>
      <c r="B181" s="131"/>
      <c r="C181" s="132"/>
      <c r="D181" s="94"/>
      <c r="E181" s="247"/>
      <c r="F181" s="247"/>
      <c r="G181" s="94"/>
      <c r="H181" s="132"/>
      <c r="I181" s="94"/>
      <c r="J181" s="94"/>
      <c r="K181" s="126"/>
      <c r="L181" s="126"/>
      <c r="M181" s="99"/>
      <c r="N181" s="111"/>
      <c r="O181" s="112"/>
      <c r="P181" s="94"/>
      <c r="Q181" s="120"/>
      <c r="R181" s="113"/>
      <c r="S181" s="94"/>
      <c r="T181" s="94"/>
      <c r="V181" s="104"/>
    </row>
    <row r="182" ht="15.75" customHeight="1">
      <c r="A182" s="91"/>
      <c r="B182" s="131"/>
      <c r="C182" s="132"/>
      <c r="D182" s="94"/>
      <c r="E182" s="247"/>
      <c r="F182" s="247"/>
      <c r="G182" s="94"/>
      <c r="H182" s="132"/>
      <c r="I182" s="94"/>
      <c r="J182" s="94"/>
      <c r="K182" s="125"/>
      <c r="L182" s="125"/>
      <c r="M182" s="99"/>
      <c r="N182" s="111"/>
      <c r="O182" s="112"/>
      <c r="P182" s="94"/>
      <c r="Q182" s="120"/>
      <c r="R182" s="113"/>
      <c r="S182" s="94"/>
      <c r="T182" s="94"/>
      <c r="V182" s="104"/>
    </row>
    <row r="183" ht="15.75" customHeight="1">
      <c r="A183" s="91"/>
      <c r="B183" s="131"/>
      <c r="C183" s="132"/>
      <c r="D183" s="94"/>
      <c r="E183" s="247"/>
      <c r="F183" s="247"/>
      <c r="G183" s="94"/>
      <c r="H183" s="132"/>
      <c r="I183" s="94"/>
      <c r="J183" s="94"/>
      <c r="K183" s="126"/>
      <c r="L183" s="126"/>
      <c r="M183" s="99"/>
      <c r="N183" s="111"/>
      <c r="O183" s="112"/>
      <c r="P183" s="94"/>
      <c r="Q183" s="120"/>
      <c r="R183" s="113"/>
      <c r="S183" s="94"/>
      <c r="T183" s="94"/>
      <c r="V183" s="104"/>
    </row>
    <row r="184" ht="15.75" customHeight="1">
      <c r="A184" s="91"/>
      <c r="B184" s="131"/>
      <c r="C184" s="132"/>
      <c r="D184" s="94"/>
      <c r="E184" s="247"/>
      <c r="F184" s="247"/>
      <c r="G184" s="94"/>
      <c r="H184" s="132"/>
      <c r="I184" s="94"/>
      <c r="J184" s="94"/>
      <c r="K184" s="125"/>
      <c r="L184" s="125"/>
      <c r="M184" s="99"/>
      <c r="N184" s="111"/>
      <c r="O184" s="112"/>
      <c r="P184" s="94"/>
      <c r="Q184" s="120"/>
      <c r="R184" s="113"/>
      <c r="S184" s="94"/>
      <c r="T184" s="94"/>
      <c r="V184" s="104"/>
    </row>
    <row r="185" ht="15.75" customHeight="1">
      <c r="A185" s="91"/>
      <c r="B185" s="131"/>
      <c r="C185" s="132"/>
      <c r="D185" s="94"/>
      <c r="E185" s="247"/>
      <c r="F185" s="247"/>
      <c r="G185" s="94"/>
      <c r="H185" s="132"/>
      <c r="I185" s="94"/>
      <c r="J185" s="94"/>
      <c r="K185" s="126"/>
      <c r="L185" s="126"/>
      <c r="M185" s="99"/>
      <c r="N185" s="111"/>
      <c r="O185" s="112"/>
      <c r="P185" s="94"/>
      <c r="Q185" s="120"/>
      <c r="R185" s="113"/>
      <c r="S185" s="94"/>
      <c r="T185" s="94"/>
      <c r="V185" s="104"/>
    </row>
    <row r="186" ht="15.75" customHeight="1">
      <c r="A186" s="91"/>
      <c r="B186" s="131"/>
      <c r="C186" s="104"/>
      <c r="D186" s="94"/>
      <c r="E186" s="247"/>
      <c r="F186" s="247"/>
      <c r="G186" s="94"/>
      <c r="H186" s="132"/>
      <c r="I186" s="94"/>
      <c r="J186" s="94"/>
      <c r="K186" s="125"/>
      <c r="L186" s="125"/>
      <c r="M186" s="99"/>
      <c r="N186" s="111"/>
      <c r="O186" s="112"/>
      <c r="P186" s="94"/>
      <c r="Q186" s="120"/>
      <c r="R186" s="113"/>
      <c r="S186" s="94"/>
      <c r="T186" s="94"/>
      <c r="V186" s="104"/>
    </row>
    <row r="187" ht="15.75" customHeight="1">
      <c r="A187" s="91"/>
      <c r="B187" s="131"/>
      <c r="C187" s="132"/>
      <c r="D187" s="94"/>
      <c r="E187" s="247"/>
      <c r="F187" s="247"/>
      <c r="G187" s="94"/>
      <c r="H187" s="132"/>
      <c r="I187" s="94"/>
      <c r="J187" s="94"/>
      <c r="K187" s="126"/>
      <c r="L187" s="126"/>
      <c r="M187" s="99"/>
      <c r="N187" s="111"/>
      <c r="O187" s="112"/>
      <c r="P187" s="94"/>
      <c r="Q187" s="120"/>
      <c r="R187" s="113"/>
      <c r="S187" s="94"/>
      <c r="T187" s="94"/>
      <c r="V187" s="104"/>
    </row>
    <row r="188" ht="15.75" customHeight="1">
      <c r="A188" s="91"/>
      <c r="B188" s="131"/>
      <c r="C188" s="132"/>
      <c r="D188" s="94"/>
      <c r="E188" s="247"/>
      <c r="F188" s="247"/>
      <c r="G188" s="94"/>
      <c r="H188" s="132"/>
      <c r="I188" s="94"/>
      <c r="J188" s="94"/>
      <c r="K188" s="125"/>
      <c r="L188" s="125"/>
      <c r="M188" s="99"/>
      <c r="N188" s="111"/>
      <c r="O188" s="112"/>
      <c r="P188" s="94"/>
      <c r="Q188" s="120"/>
      <c r="R188" s="113"/>
      <c r="S188" s="94"/>
      <c r="T188" s="94"/>
      <c r="V188" s="104"/>
    </row>
    <row r="189" ht="15.75" customHeight="1">
      <c r="A189" s="91"/>
      <c r="B189" s="131"/>
      <c r="C189" s="132"/>
      <c r="D189" s="94"/>
      <c r="E189" s="247"/>
      <c r="F189" s="247"/>
      <c r="G189" s="94"/>
      <c r="H189" s="132"/>
      <c r="I189" s="94"/>
      <c r="J189" s="94"/>
      <c r="K189" s="126"/>
      <c r="L189" s="126"/>
      <c r="M189" s="99"/>
      <c r="N189" s="111"/>
      <c r="O189" s="112"/>
      <c r="P189" s="94"/>
      <c r="Q189" s="120"/>
      <c r="R189" s="113"/>
      <c r="S189" s="94"/>
      <c r="T189" s="94"/>
      <c r="V189" s="104"/>
    </row>
    <row r="190" ht="15.75" customHeight="1">
      <c r="A190" s="91"/>
      <c r="B190" s="131"/>
      <c r="C190" s="132"/>
      <c r="D190" s="94"/>
      <c r="E190" s="247"/>
      <c r="F190" s="247"/>
      <c r="G190" s="94"/>
      <c r="H190" s="132"/>
      <c r="I190" s="94"/>
      <c r="J190" s="94"/>
      <c r="K190" s="125"/>
      <c r="L190" s="125"/>
      <c r="M190" s="99"/>
      <c r="N190" s="111"/>
      <c r="O190" s="112"/>
      <c r="P190" s="94"/>
      <c r="Q190" s="120"/>
      <c r="R190" s="113"/>
      <c r="S190" s="94"/>
      <c r="T190" s="94"/>
      <c r="V190" s="104"/>
    </row>
    <row r="191" ht="15.75" customHeight="1">
      <c r="A191" s="91"/>
      <c r="B191" s="131"/>
      <c r="C191" s="132"/>
      <c r="D191" s="94"/>
      <c r="E191" s="247"/>
      <c r="F191" s="247"/>
      <c r="G191" s="94"/>
      <c r="H191" s="132"/>
      <c r="I191" s="94"/>
      <c r="J191" s="94"/>
      <c r="K191" s="126"/>
      <c r="L191" s="126"/>
      <c r="M191" s="99"/>
      <c r="N191" s="111"/>
      <c r="O191" s="112"/>
      <c r="P191" s="94"/>
      <c r="Q191" s="120"/>
      <c r="R191" s="113"/>
      <c r="S191" s="94"/>
      <c r="T191" s="94"/>
      <c r="V191" s="104"/>
    </row>
    <row r="192" ht="15.75" customHeight="1">
      <c r="A192" s="91"/>
      <c r="B192" s="131"/>
      <c r="C192" s="104"/>
      <c r="D192" s="94"/>
      <c r="E192" s="247"/>
      <c r="F192" s="247"/>
      <c r="G192" s="94"/>
      <c r="H192" s="132"/>
      <c r="I192" s="94"/>
      <c r="J192" s="94"/>
      <c r="K192" s="125"/>
      <c r="L192" s="125"/>
      <c r="M192" s="99"/>
      <c r="N192" s="111"/>
      <c r="O192" s="112"/>
      <c r="P192" s="94"/>
      <c r="Q192" s="120"/>
      <c r="R192" s="113"/>
      <c r="S192" s="94"/>
      <c r="T192" s="94"/>
      <c r="V192" s="104"/>
    </row>
    <row r="193" ht="15.75" customHeight="1">
      <c r="A193" s="91"/>
      <c r="B193" s="131"/>
      <c r="C193" s="132"/>
      <c r="D193" s="94"/>
      <c r="E193" s="247"/>
      <c r="F193" s="247"/>
      <c r="G193" s="94"/>
      <c r="H193" s="132"/>
      <c r="I193" s="94"/>
      <c r="J193" s="94"/>
      <c r="K193" s="126"/>
      <c r="L193" s="126"/>
      <c r="M193" s="99"/>
      <c r="N193" s="111"/>
      <c r="O193" s="112"/>
      <c r="P193" s="94"/>
      <c r="Q193" s="120"/>
      <c r="R193" s="113"/>
      <c r="S193" s="94"/>
      <c r="T193" s="94"/>
      <c r="V193" s="104"/>
    </row>
    <row r="194" ht="15.75" customHeight="1">
      <c r="A194" s="91"/>
      <c r="B194" s="131"/>
      <c r="C194" s="132"/>
      <c r="D194" s="94"/>
      <c r="E194" s="247"/>
      <c r="F194" s="247"/>
      <c r="G194" s="94"/>
      <c r="H194" s="132"/>
      <c r="I194" s="94"/>
      <c r="J194" s="94"/>
      <c r="K194" s="125"/>
      <c r="L194" s="125"/>
      <c r="M194" s="99"/>
      <c r="N194" s="111"/>
      <c r="O194" s="112"/>
      <c r="P194" s="94"/>
      <c r="Q194" s="120"/>
      <c r="R194" s="113"/>
      <c r="S194" s="94"/>
      <c r="T194" s="94"/>
      <c r="V194" s="104"/>
    </row>
    <row r="195" ht="15.75" customHeight="1">
      <c r="A195" s="91"/>
      <c r="B195" s="131"/>
      <c r="C195" s="132"/>
      <c r="D195" s="94"/>
      <c r="E195" s="247"/>
      <c r="F195" s="247"/>
      <c r="G195" s="94"/>
      <c r="H195" s="132"/>
      <c r="I195" s="94"/>
      <c r="J195" s="94"/>
      <c r="K195" s="126"/>
      <c r="L195" s="126"/>
      <c r="M195" s="99"/>
      <c r="N195" s="111"/>
      <c r="O195" s="112"/>
      <c r="P195" s="94"/>
      <c r="Q195" s="120"/>
      <c r="R195" s="113"/>
      <c r="S195" s="94"/>
      <c r="T195" s="94"/>
      <c r="V195" s="104"/>
    </row>
    <row r="196" ht="15.75" customHeight="1">
      <c r="A196" s="91"/>
      <c r="B196" s="131"/>
      <c r="C196" s="132"/>
      <c r="D196" s="94"/>
      <c r="E196" s="247"/>
      <c r="F196" s="247"/>
      <c r="G196" s="94"/>
      <c r="H196" s="132"/>
      <c r="I196" s="94"/>
      <c r="J196" s="94"/>
      <c r="K196" s="125"/>
      <c r="L196" s="125"/>
      <c r="M196" s="99"/>
      <c r="N196" s="111"/>
      <c r="O196" s="112"/>
      <c r="P196" s="94"/>
      <c r="Q196" s="120"/>
      <c r="R196" s="113"/>
      <c r="S196" s="94"/>
      <c r="T196" s="94"/>
      <c r="V196" s="104"/>
    </row>
    <row r="197" ht="15.75" customHeight="1">
      <c r="A197" s="91"/>
      <c r="B197" s="131"/>
      <c r="C197" s="132"/>
      <c r="D197" s="94"/>
      <c r="E197" s="247"/>
      <c r="F197" s="247"/>
      <c r="G197" s="94"/>
      <c r="H197" s="132"/>
      <c r="I197" s="94"/>
      <c r="J197" s="94"/>
      <c r="K197" s="126"/>
      <c r="L197" s="126"/>
      <c r="M197" s="99"/>
      <c r="N197" s="111"/>
      <c r="O197" s="112"/>
      <c r="P197" s="94"/>
      <c r="Q197" s="120"/>
      <c r="R197" s="113"/>
      <c r="S197" s="94"/>
      <c r="T197" s="94"/>
      <c r="V197" s="104"/>
    </row>
    <row r="198" ht="15.75" customHeight="1">
      <c r="A198" s="91"/>
      <c r="B198" s="131"/>
      <c r="C198" s="104"/>
      <c r="D198" s="94"/>
      <c r="E198" s="247"/>
      <c r="F198" s="247"/>
      <c r="G198" s="94"/>
      <c r="H198" s="132"/>
      <c r="I198" s="94"/>
      <c r="J198" s="94"/>
      <c r="K198" s="125"/>
      <c r="L198" s="125"/>
      <c r="M198" s="99"/>
      <c r="N198" s="111"/>
      <c r="O198" s="112"/>
      <c r="P198" s="94"/>
      <c r="Q198" s="120"/>
      <c r="R198" s="113"/>
      <c r="S198" s="94"/>
      <c r="T198" s="94"/>
      <c r="V198" s="104"/>
    </row>
    <row r="199" ht="15.75" customHeight="1">
      <c r="A199" s="91"/>
      <c r="B199" s="131"/>
      <c r="C199" s="132"/>
      <c r="D199" s="94"/>
      <c r="E199" s="247"/>
      <c r="F199" s="247"/>
      <c r="G199" s="94"/>
      <c r="H199" s="132"/>
      <c r="I199" s="94"/>
      <c r="J199" s="94"/>
      <c r="K199" s="126"/>
      <c r="L199" s="126"/>
      <c r="M199" s="99"/>
      <c r="N199" s="111"/>
      <c r="O199" s="112"/>
      <c r="P199" s="94"/>
      <c r="Q199" s="120"/>
      <c r="R199" s="113"/>
      <c r="S199" s="94"/>
      <c r="T199" s="94"/>
      <c r="V199" s="104"/>
    </row>
    <row r="200" ht="15.75" customHeight="1">
      <c r="A200" s="91"/>
      <c r="B200" s="131"/>
      <c r="C200" s="132"/>
      <c r="D200" s="94"/>
      <c r="E200" s="247"/>
      <c r="F200" s="247"/>
      <c r="G200" s="94"/>
      <c r="H200" s="132"/>
      <c r="I200" s="94"/>
      <c r="J200" s="94"/>
      <c r="K200" s="125"/>
      <c r="L200" s="125"/>
      <c r="M200" s="99"/>
      <c r="N200" s="111"/>
      <c r="O200" s="112"/>
      <c r="P200" s="94"/>
      <c r="Q200" s="120"/>
      <c r="R200" s="113"/>
      <c r="S200" s="94"/>
      <c r="T200" s="94"/>
      <c r="V200" s="104"/>
    </row>
    <row r="201" ht="15.75" customHeight="1">
      <c r="A201" s="91"/>
      <c r="B201" s="131"/>
      <c r="C201" s="132"/>
      <c r="D201" s="94"/>
      <c r="E201" s="247"/>
      <c r="F201" s="247"/>
      <c r="G201" s="94"/>
      <c r="H201" s="132"/>
      <c r="I201" s="94"/>
      <c r="J201" s="94"/>
      <c r="K201" s="126"/>
      <c r="L201" s="126"/>
      <c r="M201" s="99"/>
      <c r="N201" s="111"/>
      <c r="O201" s="112"/>
      <c r="P201" s="94"/>
      <c r="Q201" s="120"/>
      <c r="R201" s="113"/>
      <c r="S201" s="94"/>
      <c r="T201" s="94"/>
      <c r="V201" s="104"/>
    </row>
    <row r="202" ht="15.75" customHeight="1">
      <c r="A202" s="91"/>
      <c r="B202" s="131"/>
      <c r="C202" s="132"/>
      <c r="D202" s="94"/>
      <c r="E202" s="247"/>
      <c r="F202" s="247"/>
      <c r="G202" s="94"/>
      <c r="H202" s="132"/>
      <c r="I202" s="94"/>
      <c r="J202" s="94"/>
      <c r="K202" s="125"/>
      <c r="L202" s="125"/>
      <c r="M202" s="99"/>
      <c r="N202" s="111"/>
      <c r="O202" s="112"/>
      <c r="P202" s="94"/>
      <c r="Q202" s="120"/>
      <c r="R202" s="113"/>
      <c r="S202" s="94"/>
      <c r="T202" s="94"/>
      <c r="V202" s="104"/>
    </row>
    <row r="203" ht="15.75" customHeight="1">
      <c r="A203" s="91"/>
      <c r="B203" s="131"/>
      <c r="C203" s="132"/>
      <c r="D203" s="94"/>
      <c r="E203" s="247"/>
      <c r="F203" s="247"/>
      <c r="G203" s="94"/>
      <c r="H203" s="132"/>
      <c r="I203" s="94"/>
      <c r="J203" s="94"/>
      <c r="K203" s="126"/>
      <c r="L203" s="126"/>
      <c r="M203" s="99"/>
      <c r="N203" s="111"/>
      <c r="O203" s="112"/>
      <c r="P203" s="94"/>
      <c r="Q203" s="120"/>
      <c r="R203" s="113"/>
      <c r="S203" s="94"/>
      <c r="T203" s="94"/>
      <c r="V203" s="104"/>
    </row>
    <row r="204" ht="15.75" customHeight="1">
      <c r="A204" s="91"/>
      <c r="B204" s="131"/>
      <c r="C204" s="104"/>
      <c r="D204" s="94"/>
      <c r="E204" s="132"/>
      <c r="F204" s="132"/>
      <c r="G204" s="94"/>
      <c r="H204" s="132"/>
      <c r="I204" s="94"/>
      <c r="J204" s="94"/>
      <c r="K204" s="125"/>
      <c r="L204" s="125"/>
      <c r="M204" s="99"/>
      <c r="N204" s="111"/>
      <c r="O204" s="112"/>
      <c r="P204" s="94"/>
      <c r="Q204" s="120"/>
      <c r="R204" s="113"/>
      <c r="S204" s="94"/>
      <c r="T204" s="94"/>
      <c r="V204" s="104"/>
    </row>
    <row r="205" ht="15.75" customHeight="1">
      <c r="A205" s="91"/>
      <c r="B205" s="131"/>
      <c r="C205" s="132"/>
      <c r="D205" s="94"/>
      <c r="E205" s="132"/>
      <c r="F205" s="132"/>
      <c r="G205" s="94"/>
      <c r="H205" s="132"/>
      <c r="I205" s="94"/>
      <c r="J205" s="94"/>
      <c r="K205" s="126"/>
      <c r="L205" s="126"/>
      <c r="M205" s="99"/>
      <c r="N205" s="111"/>
      <c r="O205" s="112"/>
      <c r="P205" s="94"/>
      <c r="Q205" s="120"/>
      <c r="R205" s="113"/>
      <c r="S205" s="94"/>
      <c r="T205" s="94"/>
      <c r="V205" s="104"/>
    </row>
    <row r="206" ht="15.75" customHeight="1">
      <c r="A206" s="91"/>
      <c r="B206" s="131"/>
      <c r="C206" s="132"/>
      <c r="D206" s="94"/>
      <c r="E206" s="132"/>
      <c r="F206" s="132"/>
      <c r="G206" s="94"/>
      <c r="H206" s="132"/>
      <c r="I206" s="94"/>
      <c r="J206" s="94"/>
      <c r="K206" s="125"/>
      <c r="L206" s="125"/>
      <c r="M206" s="99"/>
      <c r="N206" s="111"/>
      <c r="O206" s="112"/>
      <c r="P206" s="94"/>
      <c r="Q206" s="120"/>
      <c r="R206" s="113"/>
      <c r="S206" s="94"/>
      <c r="T206" s="94"/>
      <c r="V206" s="104"/>
    </row>
    <row r="207" ht="15.75" customHeight="1">
      <c r="A207" s="91"/>
      <c r="B207" s="131"/>
      <c r="C207" s="132"/>
      <c r="D207" s="94"/>
      <c r="E207" s="132"/>
      <c r="F207" s="132"/>
      <c r="G207" s="94"/>
      <c r="H207" s="132"/>
      <c r="I207" s="94"/>
      <c r="J207" s="94"/>
      <c r="K207" s="126"/>
      <c r="L207" s="126"/>
      <c r="M207" s="99"/>
      <c r="N207" s="111"/>
      <c r="O207" s="112"/>
      <c r="P207" s="94"/>
      <c r="Q207" s="120"/>
      <c r="R207" s="113"/>
      <c r="S207" s="94"/>
      <c r="T207" s="94"/>
      <c r="V207" s="104"/>
    </row>
    <row r="208" ht="15.75" customHeight="1">
      <c r="A208" s="91"/>
      <c r="B208" s="131"/>
      <c r="C208" s="132"/>
      <c r="D208" s="94"/>
      <c r="E208" s="132"/>
      <c r="F208" s="132"/>
      <c r="G208" s="94"/>
      <c r="H208" s="132"/>
      <c r="I208" s="94"/>
      <c r="J208" s="94"/>
      <c r="K208" s="125"/>
      <c r="L208" s="125"/>
      <c r="M208" s="99"/>
      <c r="N208" s="111"/>
      <c r="O208" s="112"/>
      <c r="P208" s="94"/>
      <c r="Q208" s="120"/>
      <c r="R208" s="113"/>
      <c r="S208" s="94"/>
      <c r="T208" s="94"/>
      <c r="V208" s="104"/>
    </row>
    <row r="209" ht="15.75" customHeight="1">
      <c r="A209" s="91"/>
      <c r="B209" s="131"/>
      <c r="C209" s="132"/>
      <c r="D209" s="94"/>
      <c r="E209" s="132"/>
      <c r="F209" s="132"/>
      <c r="G209" s="94"/>
      <c r="H209" s="132"/>
      <c r="I209" s="94"/>
      <c r="J209" s="94"/>
      <c r="K209" s="126"/>
      <c r="L209" s="126"/>
      <c r="M209" s="99"/>
      <c r="N209" s="111"/>
      <c r="O209" s="112"/>
      <c r="P209" s="94"/>
      <c r="Q209" s="120"/>
      <c r="R209" s="113"/>
      <c r="S209" s="94"/>
      <c r="T209" s="94"/>
      <c r="V209" s="104"/>
    </row>
    <row r="210" ht="15.75" customHeight="1">
      <c r="A210" s="91"/>
      <c r="B210" s="131"/>
      <c r="C210" s="104"/>
      <c r="D210" s="94"/>
      <c r="E210" s="132"/>
      <c r="F210" s="132"/>
      <c r="G210" s="94"/>
      <c r="H210" s="132"/>
      <c r="I210" s="94"/>
      <c r="J210" s="94"/>
      <c r="K210" s="125"/>
      <c r="L210" s="125"/>
      <c r="M210" s="99"/>
      <c r="N210" s="111"/>
      <c r="O210" s="112"/>
      <c r="P210" s="94"/>
      <c r="Q210" s="120"/>
      <c r="R210" s="113"/>
      <c r="S210" s="94"/>
      <c r="T210" s="94"/>
      <c r="V210" s="104"/>
    </row>
    <row r="211" ht="15.75" customHeight="1">
      <c r="A211" s="91"/>
      <c r="B211" s="131"/>
      <c r="C211" s="132"/>
      <c r="D211" s="94"/>
      <c r="E211" s="132"/>
      <c r="F211" s="132"/>
      <c r="G211" s="94"/>
      <c r="H211" s="132"/>
      <c r="I211" s="94"/>
      <c r="J211" s="94"/>
      <c r="K211" s="126"/>
      <c r="L211" s="126"/>
      <c r="M211" s="99"/>
      <c r="N211" s="111"/>
      <c r="O211" s="112"/>
      <c r="P211" s="94"/>
      <c r="Q211" s="120"/>
      <c r="R211" s="113"/>
      <c r="S211" s="94"/>
      <c r="T211" s="94"/>
      <c r="V211" s="104"/>
    </row>
    <row r="212" ht="15.75" customHeight="1">
      <c r="A212" s="91"/>
      <c r="B212" s="131"/>
      <c r="C212" s="132"/>
      <c r="D212" s="94"/>
      <c r="E212" s="132"/>
      <c r="F212" s="132"/>
      <c r="G212" s="94"/>
      <c r="H212" s="132"/>
      <c r="I212" s="94"/>
      <c r="J212" s="94"/>
      <c r="K212" s="125"/>
      <c r="L212" s="125"/>
      <c r="M212" s="99"/>
      <c r="N212" s="111"/>
      <c r="O212" s="112"/>
      <c r="P212" s="94"/>
      <c r="Q212" s="120"/>
      <c r="R212" s="113"/>
      <c r="S212" s="94"/>
      <c r="T212" s="94"/>
      <c r="V212" s="104"/>
    </row>
    <row r="213" ht="15.75" customHeight="1">
      <c r="A213" s="91"/>
      <c r="B213" s="131"/>
      <c r="C213" s="132"/>
      <c r="D213" s="94"/>
      <c r="E213" s="132"/>
      <c r="F213" s="132"/>
      <c r="G213" s="94"/>
      <c r="H213" s="132"/>
      <c r="I213" s="94"/>
      <c r="J213" s="94"/>
      <c r="K213" s="126"/>
      <c r="L213" s="126"/>
      <c r="M213" s="99"/>
      <c r="N213" s="111"/>
      <c r="O213" s="112"/>
      <c r="P213" s="94"/>
      <c r="Q213" s="120"/>
      <c r="R213" s="113"/>
      <c r="S213" s="94"/>
      <c r="T213" s="94"/>
      <c r="V213" s="104"/>
    </row>
    <row r="214" ht="15.75" customHeight="1">
      <c r="A214" s="91"/>
      <c r="B214" s="131"/>
      <c r="C214" s="132"/>
      <c r="D214" s="94"/>
      <c r="E214" s="132"/>
      <c r="F214" s="132"/>
      <c r="G214" s="94"/>
      <c r="H214" s="132"/>
      <c r="I214" s="94"/>
      <c r="J214" s="94"/>
      <c r="K214" s="125"/>
      <c r="L214" s="125"/>
      <c r="M214" s="99"/>
      <c r="N214" s="111"/>
      <c r="O214" s="112"/>
      <c r="P214" s="94"/>
      <c r="Q214" s="120"/>
      <c r="R214" s="113"/>
      <c r="S214" s="94"/>
      <c r="T214" s="94"/>
      <c r="V214" s="104"/>
    </row>
    <row r="215" ht="15.75" customHeight="1">
      <c r="A215" s="91"/>
      <c r="B215" s="131"/>
      <c r="C215" s="132"/>
      <c r="D215" s="94"/>
      <c r="E215" s="132"/>
      <c r="F215" s="132"/>
      <c r="G215" s="94"/>
      <c r="H215" s="132"/>
      <c r="I215" s="94"/>
      <c r="J215" s="94"/>
      <c r="K215" s="126"/>
      <c r="L215" s="126"/>
      <c r="M215" s="99"/>
      <c r="N215" s="111"/>
      <c r="O215" s="112"/>
      <c r="P215" s="94"/>
      <c r="Q215" s="120"/>
      <c r="R215" s="113"/>
      <c r="S215" s="94"/>
      <c r="T215" s="94"/>
      <c r="V215" s="104"/>
    </row>
    <row r="216" ht="15.75" customHeight="1">
      <c r="A216" s="91"/>
      <c r="B216" s="131"/>
      <c r="C216" s="104"/>
      <c r="D216" s="94"/>
      <c r="E216" s="132"/>
      <c r="F216" s="132"/>
      <c r="G216" s="94"/>
      <c r="H216" s="132"/>
      <c r="I216" s="94"/>
      <c r="J216" s="94"/>
      <c r="K216" s="125"/>
      <c r="L216" s="125"/>
      <c r="M216" s="99"/>
      <c r="N216" s="111"/>
      <c r="O216" s="112"/>
      <c r="P216" s="94"/>
      <c r="Q216" s="120"/>
      <c r="R216" s="113"/>
      <c r="S216" s="94"/>
      <c r="T216" s="94"/>
      <c r="V216" s="104"/>
    </row>
    <row r="217" ht="15.75" customHeight="1">
      <c r="A217" s="91"/>
      <c r="B217" s="131"/>
      <c r="C217" s="132"/>
      <c r="D217" s="94"/>
      <c r="E217" s="132"/>
      <c r="F217" s="132"/>
      <c r="G217" s="94"/>
      <c r="H217" s="132"/>
      <c r="I217" s="94"/>
      <c r="J217" s="94"/>
      <c r="K217" s="126"/>
      <c r="L217" s="126"/>
      <c r="M217" s="99"/>
      <c r="N217" s="111"/>
      <c r="O217" s="112"/>
      <c r="P217" s="94"/>
      <c r="Q217" s="120"/>
      <c r="R217" s="113"/>
      <c r="S217" s="94"/>
      <c r="T217" s="94"/>
      <c r="V217" s="104"/>
    </row>
    <row r="218" ht="15.75" customHeight="1">
      <c r="A218" s="91"/>
      <c r="B218" s="131"/>
      <c r="C218" s="132"/>
      <c r="D218" s="94"/>
      <c r="E218" s="132"/>
      <c r="F218" s="132"/>
      <c r="G218" s="94"/>
      <c r="H218" s="132"/>
      <c r="I218" s="94"/>
      <c r="J218" s="94"/>
      <c r="K218" s="125"/>
      <c r="L218" s="125"/>
      <c r="M218" s="99"/>
      <c r="N218" s="111"/>
      <c r="O218" s="112"/>
      <c r="P218" s="94"/>
      <c r="Q218" s="120"/>
      <c r="R218" s="113"/>
      <c r="S218" s="94"/>
      <c r="T218" s="94"/>
      <c r="V218" s="104"/>
    </row>
    <row r="219" ht="15.75" customHeight="1">
      <c r="A219" s="91"/>
      <c r="B219" s="131"/>
      <c r="C219" s="132"/>
      <c r="D219" s="94"/>
      <c r="E219" s="132"/>
      <c r="F219" s="132"/>
      <c r="G219" s="94"/>
      <c r="H219" s="132"/>
      <c r="I219" s="94"/>
      <c r="J219" s="94"/>
      <c r="K219" s="126"/>
      <c r="L219" s="126"/>
      <c r="M219" s="99"/>
      <c r="N219" s="111"/>
      <c r="O219" s="112"/>
      <c r="P219" s="94"/>
      <c r="Q219" s="120"/>
      <c r="R219" s="113"/>
      <c r="S219" s="94"/>
      <c r="T219" s="94"/>
      <c r="V219" s="104"/>
    </row>
    <row r="220" ht="15.75" customHeight="1">
      <c r="A220" s="91"/>
      <c r="B220" s="131"/>
      <c r="C220" s="132"/>
      <c r="D220" s="94"/>
      <c r="E220" s="132"/>
      <c r="F220" s="132"/>
      <c r="G220" s="94"/>
      <c r="H220" s="132"/>
      <c r="I220" s="94"/>
      <c r="J220" s="94"/>
      <c r="K220" s="125"/>
      <c r="L220" s="125"/>
      <c r="M220" s="99"/>
      <c r="N220" s="111"/>
      <c r="O220" s="112"/>
      <c r="P220" s="94"/>
      <c r="Q220" s="120"/>
      <c r="R220" s="113"/>
      <c r="S220" s="94"/>
      <c r="T220" s="94"/>
      <c r="V220" s="104"/>
    </row>
    <row r="221" ht="15.75" customHeight="1">
      <c r="A221" s="91"/>
      <c r="B221" s="131"/>
      <c r="C221" s="132"/>
      <c r="D221" s="94"/>
      <c r="E221" s="132"/>
      <c r="F221" s="132"/>
      <c r="G221" s="94"/>
      <c r="H221" s="132"/>
      <c r="I221" s="94"/>
      <c r="J221" s="94"/>
      <c r="K221" s="126"/>
      <c r="L221" s="126"/>
      <c r="M221" s="99"/>
      <c r="N221" s="111"/>
      <c r="O221" s="112"/>
      <c r="P221" s="94"/>
      <c r="Q221" s="120"/>
      <c r="R221" s="113"/>
      <c r="S221" s="94"/>
      <c r="T221" s="94"/>
      <c r="V221" s="104"/>
    </row>
    <row r="222" ht="15.75" customHeight="1">
      <c r="A222" s="91"/>
      <c r="B222" s="131"/>
      <c r="C222" s="104"/>
      <c r="D222" s="94"/>
      <c r="E222" s="132"/>
      <c r="F222" s="132"/>
      <c r="G222" s="94"/>
      <c r="H222" s="132"/>
      <c r="I222" s="94"/>
      <c r="J222" s="94"/>
      <c r="K222" s="125"/>
      <c r="L222" s="125"/>
      <c r="M222" s="99"/>
      <c r="N222" s="111"/>
      <c r="O222" s="112"/>
      <c r="P222" s="94"/>
      <c r="Q222" s="120"/>
      <c r="R222" s="113"/>
      <c r="S222" s="94"/>
      <c r="T222" s="94"/>
      <c r="V222" s="104"/>
    </row>
    <row r="223" ht="15.75" customHeight="1">
      <c r="A223" s="91"/>
      <c r="B223" s="131"/>
      <c r="C223" s="132"/>
      <c r="D223" s="94"/>
      <c r="E223" s="132"/>
      <c r="F223" s="132"/>
      <c r="G223" s="94"/>
      <c r="H223" s="132"/>
      <c r="I223" s="94"/>
      <c r="J223" s="94"/>
      <c r="K223" s="126"/>
      <c r="L223" s="126"/>
      <c r="M223" s="99"/>
      <c r="N223" s="111"/>
      <c r="O223" s="112"/>
      <c r="P223" s="94"/>
      <c r="Q223" s="120"/>
      <c r="R223" s="113"/>
      <c r="S223" s="94"/>
      <c r="T223" s="94"/>
      <c r="V223" s="104"/>
    </row>
    <row r="224" ht="15.75" customHeight="1">
      <c r="A224" s="91"/>
      <c r="B224" s="131"/>
      <c r="C224" s="132"/>
      <c r="D224" s="94"/>
      <c r="E224" s="132"/>
      <c r="F224" s="132"/>
      <c r="G224" s="94"/>
      <c r="H224" s="132"/>
      <c r="I224" s="94"/>
      <c r="J224" s="94"/>
      <c r="K224" s="125"/>
      <c r="L224" s="125"/>
      <c r="M224" s="99"/>
      <c r="N224" s="111"/>
      <c r="O224" s="112"/>
      <c r="P224" s="94"/>
      <c r="Q224" s="120"/>
      <c r="R224" s="113"/>
      <c r="S224" s="94"/>
      <c r="T224" s="94"/>
      <c r="V224" s="104"/>
    </row>
    <row r="225" ht="15.75" customHeight="1">
      <c r="A225" s="91"/>
      <c r="B225" s="131"/>
      <c r="C225" s="132"/>
      <c r="D225" s="94"/>
      <c r="E225" s="132"/>
      <c r="F225" s="132"/>
      <c r="G225" s="94"/>
      <c r="H225" s="132"/>
      <c r="I225" s="94"/>
      <c r="J225" s="94"/>
      <c r="K225" s="126"/>
      <c r="L225" s="126"/>
      <c r="M225" s="99"/>
      <c r="N225" s="111"/>
      <c r="O225" s="112"/>
      <c r="P225" s="94"/>
      <c r="Q225" s="120"/>
      <c r="R225" s="113"/>
      <c r="S225" s="94"/>
      <c r="T225" s="94"/>
      <c r="V225" s="104"/>
    </row>
    <row r="226" ht="15.75" customHeight="1">
      <c r="A226" s="91"/>
      <c r="B226" s="131"/>
      <c r="C226" s="132"/>
      <c r="D226" s="94"/>
      <c r="E226" s="132"/>
      <c r="F226" s="132"/>
      <c r="G226" s="94"/>
      <c r="H226" s="132"/>
      <c r="I226" s="94"/>
      <c r="J226" s="94"/>
      <c r="K226" s="125"/>
      <c r="L226" s="125"/>
      <c r="M226" s="99"/>
      <c r="N226" s="111"/>
      <c r="O226" s="112"/>
      <c r="P226" s="94"/>
      <c r="Q226" s="120"/>
      <c r="R226" s="113"/>
      <c r="S226" s="94"/>
      <c r="T226" s="94"/>
      <c r="V226" s="104"/>
    </row>
    <row r="227" ht="15.75" customHeight="1">
      <c r="A227" s="91"/>
      <c r="B227" s="131"/>
      <c r="C227" s="132"/>
      <c r="D227" s="94"/>
      <c r="E227" s="132"/>
      <c r="F227" s="132"/>
      <c r="G227" s="94"/>
      <c r="H227" s="132"/>
      <c r="I227" s="94"/>
      <c r="J227" s="94"/>
      <c r="K227" s="126"/>
      <c r="L227" s="126"/>
      <c r="M227" s="99"/>
      <c r="N227" s="111"/>
      <c r="O227" s="112"/>
      <c r="P227" s="94"/>
      <c r="Q227" s="120"/>
      <c r="R227" s="113"/>
      <c r="S227" s="94"/>
      <c r="T227" s="94"/>
      <c r="V227" s="104"/>
    </row>
    <row r="228" ht="15.75" customHeight="1">
      <c r="A228" s="91"/>
      <c r="B228" s="131"/>
      <c r="C228" s="104"/>
      <c r="D228" s="94"/>
      <c r="E228" s="132"/>
      <c r="F228" s="132"/>
      <c r="G228" s="94"/>
      <c r="H228" s="132"/>
      <c r="I228" s="94"/>
      <c r="J228" s="94"/>
      <c r="K228" s="125"/>
      <c r="L228" s="125"/>
      <c r="M228" s="99"/>
      <c r="N228" s="111"/>
      <c r="O228" s="112"/>
      <c r="P228" s="94"/>
      <c r="Q228" s="120"/>
      <c r="R228" s="113"/>
      <c r="S228" s="94"/>
      <c r="T228" s="94"/>
      <c r="V228" s="104"/>
    </row>
    <row r="229" ht="15.75" customHeight="1">
      <c r="A229" s="91"/>
      <c r="B229" s="131"/>
      <c r="C229" s="132"/>
      <c r="D229" s="94"/>
      <c r="E229" s="132"/>
      <c r="F229" s="132"/>
      <c r="G229" s="94"/>
      <c r="H229" s="132"/>
      <c r="I229" s="94"/>
      <c r="J229" s="94"/>
      <c r="K229" s="126"/>
      <c r="L229" s="126"/>
      <c r="M229" s="99"/>
      <c r="N229" s="111"/>
      <c r="O229" s="112"/>
      <c r="P229" s="94"/>
      <c r="Q229" s="120"/>
      <c r="R229" s="113"/>
      <c r="S229" s="94"/>
      <c r="T229" s="94"/>
      <c r="V229" s="104"/>
    </row>
    <row r="230" ht="15.75" customHeight="1">
      <c r="A230" s="91"/>
      <c r="B230" s="131"/>
      <c r="C230" s="132"/>
      <c r="D230" s="94"/>
      <c r="E230" s="132"/>
      <c r="F230" s="132"/>
      <c r="G230" s="94"/>
      <c r="H230" s="132"/>
      <c r="I230" s="94"/>
      <c r="J230" s="94"/>
      <c r="K230" s="125"/>
      <c r="L230" s="125"/>
      <c r="M230" s="99"/>
      <c r="N230" s="111"/>
      <c r="O230" s="112"/>
      <c r="P230" s="94"/>
      <c r="Q230" s="120"/>
      <c r="R230" s="113"/>
      <c r="S230" s="94"/>
      <c r="T230" s="94"/>
      <c r="V230" s="104"/>
    </row>
    <row r="231" ht="15.75" customHeight="1">
      <c r="A231" s="91"/>
      <c r="B231" s="131"/>
      <c r="C231" s="132"/>
      <c r="D231" s="94"/>
      <c r="E231" s="132"/>
      <c r="F231" s="132"/>
      <c r="G231" s="94"/>
      <c r="H231" s="132"/>
      <c r="I231" s="94"/>
      <c r="J231" s="94"/>
      <c r="K231" s="126"/>
      <c r="L231" s="126"/>
      <c r="M231" s="99"/>
      <c r="N231" s="111"/>
      <c r="O231" s="112"/>
      <c r="P231" s="94"/>
      <c r="Q231" s="120"/>
      <c r="R231" s="113"/>
      <c r="S231" s="94"/>
      <c r="T231" s="94"/>
      <c r="V231" s="104"/>
    </row>
    <row r="232" ht="15.75" customHeight="1">
      <c r="A232" s="91"/>
      <c r="B232" s="131"/>
      <c r="C232" s="132"/>
      <c r="D232" s="94"/>
      <c r="E232" s="132"/>
      <c r="F232" s="132"/>
      <c r="G232" s="94"/>
      <c r="H232" s="132"/>
      <c r="I232" s="94"/>
      <c r="J232" s="94"/>
      <c r="K232" s="125"/>
      <c r="L232" s="125"/>
      <c r="M232" s="99"/>
      <c r="N232" s="111"/>
      <c r="O232" s="112"/>
      <c r="P232" s="94"/>
      <c r="Q232" s="120"/>
      <c r="R232" s="113"/>
      <c r="S232" s="94"/>
      <c r="T232" s="94"/>
      <c r="V232" s="104"/>
    </row>
    <row r="233" ht="15.75" customHeight="1">
      <c r="A233" s="91"/>
      <c r="B233" s="131"/>
      <c r="C233" s="132"/>
      <c r="D233" s="94"/>
      <c r="E233" s="132"/>
      <c r="F233" s="132"/>
      <c r="G233" s="94"/>
      <c r="H233" s="132"/>
      <c r="I233" s="94"/>
      <c r="J233" s="94"/>
      <c r="K233" s="126"/>
      <c r="L233" s="126"/>
      <c r="M233" s="99"/>
      <c r="N233" s="111"/>
      <c r="O233" s="112"/>
      <c r="P233" s="94"/>
      <c r="Q233" s="120"/>
      <c r="R233" s="113"/>
      <c r="S233" s="94"/>
      <c r="T233" s="94"/>
      <c r="V233" s="104"/>
    </row>
    <row r="234" ht="15.75" customHeight="1">
      <c r="A234" s="91"/>
      <c r="B234" s="131"/>
      <c r="C234" s="104"/>
      <c r="D234" s="94"/>
      <c r="E234" s="132"/>
      <c r="F234" s="132"/>
      <c r="G234" s="94"/>
      <c r="H234" s="132"/>
      <c r="I234" s="94"/>
      <c r="J234" s="94"/>
      <c r="K234" s="125"/>
      <c r="L234" s="125"/>
      <c r="M234" s="99"/>
      <c r="N234" s="111"/>
      <c r="O234" s="112"/>
      <c r="P234" s="94"/>
      <c r="Q234" s="120"/>
      <c r="R234" s="113"/>
      <c r="S234" s="94"/>
      <c r="T234" s="94"/>
      <c r="V234" s="104"/>
    </row>
    <row r="235" ht="15.75" customHeight="1">
      <c r="A235" s="91"/>
      <c r="B235" s="131"/>
      <c r="C235" s="132"/>
      <c r="D235" s="94"/>
      <c r="E235" s="132"/>
      <c r="F235" s="132"/>
      <c r="G235" s="94"/>
      <c r="H235" s="132"/>
      <c r="I235" s="94"/>
      <c r="J235" s="94"/>
      <c r="K235" s="126"/>
      <c r="L235" s="126"/>
      <c r="M235" s="99"/>
      <c r="N235" s="111"/>
      <c r="O235" s="112"/>
      <c r="P235" s="94"/>
      <c r="Q235" s="120"/>
      <c r="R235" s="113"/>
      <c r="S235" s="94"/>
      <c r="T235" s="94"/>
      <c r="V235" s="104"/>
    </row>
    <row r="236" ht="15.75" customHeight="1">
      <c r="A236" s="91"/>
      <c r="B236" s="131"/>
      <c r="C236" s="132"/>
      <c r="D236" s="94"/>
      <c r="E236" s="132"/>
      <c r="F236" s="132"/>
      <c r="G236" s="94"/>
      <c r="H236" s="132"/>
      <c r="I236" s="94"/>
      <c r="J236" s="94"/>
      <c r="K236" s="125"/>
      <c r="L236" s="125"/>
      <c r="M236" s="99"/>
      <c r="N236" s="111"/>
      <c r="O236" s="112"/>
      <c r="P236" s="94"/>
      <c r="Q236" s="120"/>
      <c r="R236" s="113"/>
      <c r="S236" s="94"/>
      <c r="T236" s="94"/>
      <c r="V236" s="104"/>
    </row>
    <row r="237" ht="15.75" customHeight="1">
      <c r="A237" s="91"/>
      <c r="B237" s="131"/>
      <c r="C237" s="132"/>
      <c r="D237" s="94"/>
      <c r="E237" s="132"/>
      <c r="F237" s="132"/>
      <c r="G237" s="94"/>
      <c r="H237" s="132"/>
      <c r="I237" s="94"/>
      <c r="J237" s="94"/>
      <c r="K237" s="126"/>
      <c r="L237" s="126"/>
      <c r="M237" s="99"/>
      <c r="N237" s="111"/>
      <c r="O237" s="112"/>
      <c r="P237" s="94"/>
      <c r="Q237" s="120"/>
      <c r="R237" s="113"/>
      <c r="S237" s="94"/>
      <c r="T237" s="94"/>
      <c r="V237" s="104"/>
    </row>
    <row r="238" ht="15.75" customHeight="1">
      <c r="A238" s="91"/>
      <c r="B238" s="131"/>
      <c r="C238" s="132"/>
      <c r="D238" s="94"/>
      <c r="E238" s="132"/>
      <c r="F238" s="132"/>
      <c r="G238" s="94"/>
      <c r="H238" s="132"/>
      <c r="I238" s="94"/>
      <c r="J238" s="94"/>
      <c r="K238" s="125"/>
      <c r="L238" s="125"/>
      <c r="M238" s="99"/>
      <c r="N238" s="111"/>
      <c r="O238" s="112"/>
      <c r="P238" s="94"/>
      <c r="Q238" s="120"/>
      <c r="R238" s="113"/>
      <c r="S238" s="94"/>
      <c r="T238" s="94"/>
      <c r="V238" s="104"/>
    </row>
    <row r="239" ht="15.75" customHeight="1">
      <c r="A239" s="91"/>
      <c r="B239" s="131"/>
      <c r="C239" s="132"/>
      <c r="D239" s="94"/>
      <c r="E239" s="132"/>
      <c r="F239" s="132"/>
      <c r="G239" s="94"/>
      <c r="H239" s="132"/>
      <c r="I239" s="94"/>
      <c r="J239" s="94"/>
      <c r="K239" s="126"/>
      <c r="L239" s="126"/>
      <c r="M239" s="99"/>
      <c r="N239" s="111"/>
      <c r="O239" s="112"/>
      <c r="P239" s="94"/>
      <c r="Q239" s="120"/>
      <c r="R239" s="113"/>
      <c r="S239" s="94"/>
      <c r="T239" s="94"/>
      <c r="V239" s="104"/>
    </row>
    <row r="240" ht="15.75" customHeight="1">
      <c r="A240" s="91"/>
      <c r="B240" s="131"/>
      <c r="C240" s="104"/>
      <c r="D240" s="94"/>
      <c r="E240" s="132"/>
      <c r="F240" s="132"/>
      <c r="G240" s="94"/>
      <c r="H240" s="132"/>
      <c r="I240" s="94"/>
      <c r="J240" s="94"/>
      <c r="K240" s="125"/>
      <c r="L240" s="125"/>
      <c r="M240" s="99"/>
      <c r="N240" s="111"/>
      <c r="O240" s="112"/>
      <c r="P240" s="94"/>
      <c r="Q240" s="120"/>
      <c r="R240" s="113"/>
      <c r="S240" s="94"/>
      <c r="T240" s="94"/>
      <c r="V240" s="104"/>
    </row>
    <row r="241" ht="15.75" customHeight="1">
      <c r="A241" s="91"/>
      <c r="B241" s="131"/>
      <c r="C241" s="132"/>
      <c r="D241" s="94"/>
      <c r="E241" s="132"/>
      <c r="F241" s="132"/>
      <c r="G241" s="94"/>
      <c r="H241" s="132"/>
      <c r="I241" s="94"/>
      <c r="J241" s="94"/>
      <c r="K241" s="126"/>
      <c r="L241" s="126"/>
      <c r="M241" s="99"/>
      <c r="N241" s="111"/>
      <c r="O241" s="112"/>
      <c r="P241" s="94"/>
      <c r="Q241" s="120"/>
      <c r="R241" s="113"/>
      <c r="S241" s="94"/>
      <c r="T241" s="94"/>
      <c r="V241" s="104"/>
    </row>
    <row r="242" ht="15.75" customHeight="1">
      <c r="A242" s="91"/>
      <c r="B242" s="131"/>
      <c r="C242" s="132"/>
      <c r="D242" s="94"/>
      <c r="E242" s="132"/>
      <c r="F242" s="132"/>
      <c r="G242" s="94"/>
      <c r="H242" s="132"/>
      <c r="I242" s="94"/>
      <c r="J242" s="94"/>
      <c r="K242" s="125"/>
      <c r="L242" s="125"/>
      <c r="M242" s="99"/>
      <c r="N242" s="111"/>
      <c r="O242" s="112"/>
      <c r="P242" s="94"/>
      <c r="Q242" s="120"/>
      <c r="R242" s="113"/>
      <c r="S242" s="94"/>
      <c r="T242" s="94"/>
      <c r="V242" s="104"/>
    </row>
    <row r="243" ht="15.75" customHeight="1">
      <c r="A243" s="91"/>
      <c r="B243" s="131"/>
      <c r="C243" s="132"/>
      <c r="D243" s="94"/>
      <c r="E243" s="132"/>
      <c r="F243" s="132"/>
      <c r="G243" s="94"/>
      <c r="H243" s="132"/>
      <c r="I243" s="94"/>
      <c r="J243" s="94"/>
      <c r="K243" s="126"/>
      <c r="L243" s="126"/>
      <c r="M243" s="99"/>
      <c r="N243" s="111"/>
      <c r="O243" s="112"/>
      <c r="P243" s="94"/>
      <c r="Q243" s="120"/>
      <c r="R243" s="113"/>
      <c r="S243" s="94"/>
      <c r="T243" s="94"/>
      <c r="V243" s="104"/>
    </row>
    <row r="244" ht="15.75" customHeight="1">
      <c r="A244" s="91"/>
      <c r="B244" s="131"/>
      <c r="C244" s="132"/>
      <c r="D244" s="94"/>
      <c r="E244" s="132"/>
      <c r="F244" s="132"/>
      <c r="G244" s="94"/>
      <c r="H244" s="132"/>
      <c r="I244" s="94"/>
      <c r="J244" s="94"/>
      <c r="K244" s="125"/>
      <c r="L244" s="125"/>
      <c r="M244" s="99"/>
      <c r="N244" s="111"/>
      <c r="O244" s="112"/>
      <c r="P244" s="94"/>
      <c r="Q244" s="120"/>
      <c r="R244" s="113"/>
      <c r="S244" s="94"/>
      <c r="T244" s="94"/>
      <c r="V244" s="104"/>
    </row>
    <row r="245" ht="15.75" customHeight="1">
      <c r="A245" s="91"/>
      <c r="B245" s="131"/>
      <c r="C245" s="132"/>
      <c r="D245" s="94"/>
      <c r="E245" s="132"/>
      <c r="F245" s="132"/>
      <c r="G245" s="94"/>
      <c r="H245" s="132"/>
      <c r="I245" s="94"/>
      <c r="J245" s="94"/>
      <c r="K245" s="126"/>
      <c r="L245" s="126"/>
      <c r="M245" s="99"/>
      <c r="N245" s="111"/>
      <c r="O245" s="112"/>
      <c r="P245" s="94"/>
      <c r="Q245" s="120"/>
      <c r="R245" s="113"/>
      <c r="S245" s="94"/>
      <c r="T245" s="94"/>
      <c r="V245" s="104"/>
    </row>
    <row r="246" ht="15.75" customHeight="1">
      <c r="A246" s="91"/>
      <c r="B246" s="131"/>
      <c r="C246" s="104"/>
      <c r="D246" s="94"/>
      <c r="E246" s="132"/>
      <c r="F246" s="132"/>
      <c r="G246" s="94"/>
      <c r="H246" s="132"/>
      <c r="I246" s="94"/>
      <c r="J246" s="94"/>
      <c r="K246" s="125"/>
      <c r="L246" s="125"/>
      <c r="M246" s="99"/>
      <c r="N246" s="111"/>
      <c r="O246" s="112"/>
      <c r="P246" s="94"/>
      <c r="Q246" s="120"/>
      <c r="R246" s="113"/>
      <c r="S246" s="94"/>
      <c r="T246" s="94"/>
      <c r="V246" s="104"/>
    </row>
    <row r="247" ht="15.75" customHeight="1">
      <c r="A247" s="91"/>
      <c r="B247" s="131"/>
      <c r="C247" s="132"/>
      <c r="D247" s="94"/>
      <c r="E247" s="132"/>
      <c r="F247" s="132"/>
      <c r="G247" s="94"/>
      <c r="H247" s="132"/>
      <c r="I247" s="94"/>
      <c r="J247" s="94"/>
      <c r="K247" s="126"/>
      <c r="L247" s="126"/>
      <c r="M247" s="99"/>
      <c r="N247" s="111"/>
      <c r="O247" s="112"/>
      <c r="P247" s="94"/>
      <c r="Q247" s="120"/>
      <c r="R247" s="113"/>
      <c r="S247" s="94"/>
      <c r="T247" s="94"/>
      <c r="V247" s="104"/>
    </row>
    <row r="248" ht="15.75" customHeight="1">
      <c r="A248" s="91"/>
      <c r="B248" s="131"/>
      <c r="C248" s="132"/>
      <c r="D248" s="94"/>
      <c r="E248" s="132"/>
      <c r="F248" s="132"/>
      <c r="G248" s="94"/>
      <c r="H248" s="132"/>
      <c r="I248" s="94"/>
      <c r="J248" s="94"/>
      <c r="K248" s="125"/>
      <c r="L248" s="125"/>
      <c r="M248" s="99"/>
      <c r="N248" s="111"/>
      <c r="O248" s="112"/>
      <c r="P248" s="94"/>
      <c r="Q248" s="120"/>
      <c r="R248" s="113"/>
      <c r="S248" s="94"/>
      <c r="T248" s="94"/>
      <c r="V248" s="104"/>
    </row>
    <row r="249" ht="15.75" customHeight="1">
      <c r="A249" s="91"/>
      <c r="B249" s="131"/>
      <c r="C249" s="132"/>
      <c r="D249" s="94"/>
      <c r="E249" s="132"/>
      <c r="F249" s="132"/>
      <c r="G249" s="94"/>
      <c r="H249" s="132"/>
      <c r="I249" s="94"/>
      <c r="J249" s="94"/>
      <c r="K249" s="126"/>
      <c r="L249" s="126"/>
      <c r="M249" s="99"/>
      <c r="N249" s="111"/>
      <c r="O249" s="112"/>
      <c r="P249" s="94"/>
      <c r="Q249" s="120"/>
      <c r="R249" s="113"/>
      <c r="S249" s="94"/>
      <c r="T249" s="94"/>
      <c r="V249" s="104"/>
    </row>
    <row r="250" ht="15.75" customHeight="1">
      <c r="A250" s="91"/>
      <c r="B250" s="131"/>
      <c r="C250" s="132"/>
      <c r="D250" s="94"/>
      <c r="E250" s="132"/>
      <c r="F250" s="132"/>
      <c r="G250" s="94"/>
      <c r="H250" s="132"/>
      <c r="I250" s="94"/>
      <c r="J250" s="94"/>
      <c r="K250" s="125"/>
      <c r="L250" s="125"/>
      <c r="M250" s="99"/>
      <c r="N250" s="111"/>
      <c r="O250" s="112"/>
      <c r="P250" s="94"/>
      <c r="Q250" s="120"/>
      <c r="R250" s="113"/>
      <c r="S250" s="94"/>
      <c r="T250" s="94"/>
      <c r="V250" s="104"/>
    </row>
    <row r="251" ht="15.75" customHeight="1">
      <c r="A251" s="91"/>
      <c r="B251" s="131"/>
      <c r="C251" s="132"/>
      <c r="D251" s="94"/>
      <c r="E251" s="132"/>
      <c r="F251" s="132"/>
      <c r="G251" s="94"/>
      <c r="H251" s="132"/>
      <c r="I251" s="94"/>
      <c r="J251" s="94"/>
      <c r="K251" s="126"/>
      <c r="L251" s="126"/>
      <c r="M251" s="99"/>
      <c r="N251" s="111"/>
      <c r="O251" s="112"/>
      <c r="P251" s="94"/>
      <c r="Q251" s="120"/>
      <c r="R251" s="113"/>
      <c r="S251" s="94"/>
      <c r="T251" s="94"/>
      <c r="V251" s="104"/>
    </row>
    <row r="252" ht="15.75" customHeight="1">
      <c r="A252" s="91"/>
      <c r="B252" s="131"/>
      <c r="C252" s="104"/>
      <c r="D252" s="94"/>
      <c r="E252" s="132"/>
      <c r="F252" s="132"/>
      <c r="G252" s="94"/>
      <c r="H252" s="132"/>
      <c r="I252" s="94"/>
      <c r="J252" s="94"/>
      <c r="K252" s="125"/>
      <c r="L252" s="125"/>
      <c r="M252" s="99"/>
      <c r="N252" s="111"/>
      <c r="O252" s="112"/>
      <c r="P252" s="94"/>
      <c r="Q252" s="120"/>
      <c r="R252" s="113"/>
      <c r="S252" s="94"/>
      <c r="T252" s="94"/>
      <c r="V252" s="104"/>
    </row>
    <row r="253" ht="15.75" customHeight="1">
      <c r="A253" s="91"/>
      <c r="B253" s="131"/>
      <c r="C253" s="132"/>
      <c r="D253" s="94"/>
      <c r="E253" s="132"/>
      <c r="F253" s="132"/>
      <c r="G253" s="94"/>
      <c r="H253" s="132"/>
      <c r="I253" s="94"/>
      <c r="J253" s="94"/>
      <c r="K253" s="126"/>
      <c r="L253" s="126"/>
      <c r="M253" s="99"/>
      <c r="N253" s="111"/>
      <c r="O253" s="112"/>
      <c r="P253" s="94"/>
      <c r="Q253" s="120"/>
      <c r="R253" s="113"/>
      <c r="S253" s="94"/>
      <c r="T253" s="94"/>
      <c r="V253" s="104"/>
    </row>
    <row r="254" ht="15.75" customHeight="1">
      <c r="A254" s="91"/>
      <c r="B254" s="131"/>
      <c r="C254" s="132"/>
      <c r="D254" s="94"/>
      <c r="E254" s="132"/>
      <c r="F254" s="132"/>
      <c r="G254" s="94"/>
      <c r="H254" s="132"/>
      <c r="I254" s="94"/>
      <c r="J254" s="94"/>
      <c r="K254" s="125"/>
      <c r="L254" s="125"/>
      <c r="M254" s="99"/>
      <c r="N254" s="111"/>
      <c r="O254" s="112"/>
      <c r="P254" s="94"/>
      <c r="Q254" s="120"/>
      <c r="R254" s="113"/>
      <c r="S254" s="94"/>
      <c r="T254" s="94"/>
      <c r="V254" s="104"/>
    </row>
    <row r="255" ht="15.75" customHeight="1">
      <c r="A255" s="91"/>
      <c r="B255" s="131"/>
      <c r="C255" s="132"/>
      <c r="D255" s="94"/>
      <c r="E255" s="132"/>
      <c r="F255" s="132"/>
      <c r="G255" s="94"/>
      <c r="H255" s="132"/>
      <c r="I255" s="94"/>
      <c r="J255" s="94"/>
      <c r="K255" s="126"/>
      <c r="L255" s="126"/>
      <c r="M255" s="99"/>
      <c r="N255" s="111"/>
      <c r="O255" s="112"/>
      <c r="P255" s="94"/>
      <c r="Q255" s="120"/>
      <c r="R255" s="113"/>
      <c r="S255" s="94"/>
      <c r="T255" s="94"/>
      <c r="V255" s="104"/>
    </row>
    <row r="256" ht="15.75" customHeight="1">
      <c r="A256" s="91"/>
      <c r="B256" s="131"/>
      <c r="C256" s="132"/>
      <c r="D256" s="94"/>
      <c r="E256" s="132"/>
      <c r="F256" s="132"/>
      <c r="G256" s="94"/>
      <c r="H256" s="132"/>
      <c r="I256" s="94"/>
      <c r="J256" s="94"/>
      <c r="K256" s="125"/>
      <c r="L256" s="125"/>
      <c r="M256" s="99"/>
      <c r="N256" s="111"/>
      <c r="O256" s="112"/>
      <c r="P256" s="94"/>
      <c r="Q256" s="120"/>
      <c r="R256" s="113"/>
      <c r="S256" s="94"/>
      <c r="T256" s="94"/>
      <c r="V256" s="104"/>
    </row>
    <row r="257" ht="15.75" customHeight="1">
      <c r="A257" s="91"/>
      <c r="B257" s="131"/>
      <c r="C257" s="132"/>
      <c r="D257" s="94"/>
      <c r="E257" s="132"/>
      <c r="F257" s="132"/>
      <c r="G257" s="94"/>
      <c r="H257" s="132"/>
      <c r="I257" s="94"/>
      <c r="J257" s="94"/>
      <c r="K257" s="126"/>
      <c r="L257" s="126"/>
      <c r="M257" s="99"/>
      <c r="N257" s="111"/>
      <c r="O257" s="112"/>
      <c r="P257" s="94"/>
      <c r="Q257" s="120"/>
      <c r="R257" s="113"/>
      <c r="S257" s="94"/>
      <c r="T257" s="94"/>
      <c r="V257" s="104"/>
    </row>
    <row r="258" ht="15.75" customHeight="1">
      <c r="A258" s="91"/>
      <c r="B258" s="131"/>
      <c r="C258" s="104"/>
      <c r="D258" s="94"/>
      <c r="E258" s="132"/>
      <c r="F258" s="132"/>
      <c r="G258" s="94"/>
      <c r="H258" s="132"/>
      <c r="I258" s="94"/>
      <c r="J258" s="94"/>
      <c r="K258" s="125"/>
      <c r="L258" s="125"/>
      <c r="M258" s="99"/>
      <c r="N258" s="111"/>
      <c r="O258" s="112"/>
      <c r="P258" s="94"/>
      <c r="Q258" s="120"/>
      <c r="R258" s="113"/>
      <c r="S258" s="94"/>
      <c r="T258" s="94"/>
      <c r="V258" s="104"/>
    </row>
    <row r="259" ht="15.75" customHeight="1">
      <c r="A259" s="91"/>
      <c r="B259" s="131"/>
      <c r="C259" s="132"/>
      <c r="D259" s="94"/>
      <c r="E259" s="132"/>
      <c r="F259" s="132"/>
      <c r="G259" s="94"/>
      <c r="H259" s="132"/>
      <c r="I259" s="94"/>
      <c r="J259" s="94"/>
      <c r="K259" s="126"/>
      <c r="L259" s="126"/>
      <c r="M259" s="99"/>
      <c r="N259" s="111"/>
      <c r="O259" s="112"/>
      <c r="P259" s="94"/>
      <c r="Q259" s="120"/>
      <c r="R259" s="113"/>
      <c r="S259" s="94"/>
      <c r="T259" s="94"/>
      <c r="V259" s="104"/>
    </row>
    <row r="260" ht="15.75" customHeight="1">
      <c r="A260" s="91"/>
      <c r="B260" s="131"/>
      <c r="C260" s="132"/>
      <c r="D260" s="94"/>
      <c r="E260" s="132"/>
      <c r="F260" s="132"/>
      <c r="G260" s="94"/>
      <c r="H260" s="132"/>
      <c r="I260" s="94"/>
      <c r="J260" s="94"/>
      <c r="K260" s="125"/>
      <c r="L260" s="125"/>
      <c r="M260" s="99"/>
      <c r="N260" s="111"/>
      <c r="O260" s="112"/>
      <c r="P260" s="94"/>
      <c r="Q260" s="120"/>
      <c r="R260" s="113"/>
      <c r="S260" s="94"/>
      <c r="T260" s="94"/>
      <c r="V260" s="104"/>
    </row>
    <row r="261" ht="15.75" customHeight="1">
      <c r="A261" s="91"/>
      <c r="B261" s="131"/>
      <c r="C261" s="132"/>
      <c r="D261" s="94"/>
      <c r="E261" s="132"/>
      <c r="F261" s="132"/>
      <c r="G261" s="94"/>
      <c r="H261" s="132"/>
      <c r="I261" s="94"/>
      <c r="J261" s="94"/>
      <c r="K261" s="126"/>
      <c r="L261" s="126"/>
      <c r="M261" s="99"/>
      <c r="N261" s="111"/>
      <c r="O261" s="112"/>
      <c r="P261" s="94"/>
      <c r="Q261" s="120"/>
      <c r="R261" s="113"/>
      <c r="S261" s="94"/>
      <c r="T261" s="94"/>
      <c r="V261" s="104"/>
    </row>
    <row r="262" ht="15.75" customHeight="1">
      <c r="A262" s="91"/>
      <c r="B262" s="131"/>
      <c r="C262" s="132"/>
      <c r="D262" s="94"/>
      <c r="E262" s="132"/>
      <c r="F262" s="132"/>
      <c r="G262" s="94"/>
      <c r="H262" s="132"/>
      <c r="I262" s="94"/>
      <c r="J262" s="94"/>
      <c r="K262" s="125"/>
      <c r="L262" s="125"/>
      <c r="M262" s="99"/>
      <c r="N262" s="111"/>
      <c r="O262" s="112"/>
      <c r="P262" s="94"/>
      <c r="Q262" s="120"/>
      <c r="R262" s="113"/>
      <c r="S262" s="94"/>
      <c r="T262" s="94"/>
      <c r="V262" s="104"/>
    </row>
    <row r="263" ht="15.75" customHeight="1">
      <c r="A263" s="91"/>
      <c r="B263" s="131"/>
      <c r="C263" s="132"/>
      <c r="D263" s="94"/>
      <c r="E263" s="132"/>
      <c r="F263" s="132"/>
      <c r="G263" s="94"/>
      <c r="H263" s="132"/>
      <c r="I263" s="94"/>
      <c r="J263" s="94"/>
      <c r="K263" s="126"/>
      <c r="L263" s="126"/>
      <c r="M263" s="99"/>
      <c r="N263" s="111"/>
      <c r="O263" s="112"/>
      <c r="P263" s="94"/>
      <c r="Q263" s="120"/>
      <c r="R263" s="113"/>
      <c r="S263" s="94"/>
      <c r="T263" s="94"/>
      <c r="V263" s="104"/>
    </row>
    <row r="264" ht="15.75" customHeight="1">
      <c r="A264" s="91"/>
      <c r="B264" s="131"/>
      <c r="C264" s="104"/>
      <c r="D264" s="94"/>
      <c r="E264" s="132"/>
      <c r="F264" s="132"/>
      <c r="G264" s="94"/>
      <c r="H264" s="132"/>
      <c r="I264" s="94"/>
      <c r="J264" s="94"/>
      <c r="K264" s="125"/>
      <c r="L264" s="125"/>
      <c r="M264" s="99"/>
      <c r="N264" s="111"/>
      <c r="O264" s="112"/>
      <c r="P264" s="94"/>
      <c r="Q264" s="120"/>
      <c r="R264" s="113"/>
      <c r="S264" s="94"/>
      <c r="T264" s="94"/>
      <c r="V264" s="104"/>
    </row>
    <row r="265" ht="15.75" customHeight="1">
      <c r="A265" s="91"/>
      <c r="B265" s="131"/>
      <c r="C265" s="132"/>
      <c r="D265" s="94"/>
      <c r="E265" s="132"/>
      <c r="F265" s="132"/>
      <c r="G265" s="94"/>
      <c r="H265" s="132"/>
      <c r="I265" s="94"/>
      <c r="J265" s="94"/>
      <c r="K265" s="126"/>
      <c r="L265" s="126"/>
      <c r="M265" s="99"/>
      <c r="N265" s="111"/>
      <c r="O265" s="112"/>
      <c r="P265" s="94"/>
      <c r="Q265" s="120"/>
      <c r="R265" s="113"/>
      <c r="S265" s="94"/>
      <c r="T265" s="94"/>
      <c r="V265" s="104"/>
    </row>
    <row r="266" ht="15.75" customHeight="1">
      <c r="A266" s="91"/>
      <c r="B266" s="131"/>
      <c r="C266" s="132"/>
      <c r="D266" s="94"/>
      <c r="E266" s="132"/>
      <c r="F266" s="132"/>
      <c r="G266" s="94"/>
      <c r="H266" s="132"/>
      <c r="I266" s="94"/>
      <c r="J266" s="94"/>
      <c r="K266" s="125"/>
      <c r="L266" s="125"/>
      <c r="M266" s="99"/>
      <c r="N266" s="111"/>
      <c r="O266" s="112"/>
      <c r="P266" s="94"/>
      <c r="Q266" s="120"/>
      <c r="R266" s="113"/>
      <c r="S266" s="94"/>
      <c r="T266" s="94"/>
      <c r="V266" s="104"/>
    </row>
    <row r="267" ht="15.75" customHeight="1">
      <c r="A267" s="91"/>
      <c r="B267" s="131"/>
      <c r="C267" s="132"/>
      <c r="D267" s="94"/>
      <c r="E267" s="132"/>
      <c r="F267" s="132"/>
      <c r="G267" s="94"/>
      <c r="H267" s="132"/>
      <c r="I267" s="94"/>
      <c r="J267" s="94"/>
      <c r="K267" s="126"/>
      <c r="L267" s="126"/>
      <c r="M267" s="99"/>
      <c r="N267" s="111"/>
      <c r="O267" s="112"/>
      <c r="P267" s="94"/>
      <c r="Q267" s="120"/>
      <c r="R267" s="113"/>
      <c r="S267" s="94"/>
      <c r="T267" s="94"/>
      <c r="V267" s="104"/>
    </row>
    <row r="268" ht="15.75" customHeight="1">
      <c r="A268" s="91"/>
      <c r="B268" s="131"/>
      <c r="C268" s="132"/>
      <c r="D268" s="94"/>
      <c r="E268" s="132"/>
      <c r="F268" s="132"/>
      <c r="G268" s="94"/>
      <c r="H268" s="132"/>
      <c r="I268" s="94"/>
      <c r="J268" s="94"/>
      <c r="K268" s="125"/>
      <c r="L268" s="125"/>
      <c r="M268" s="99"/>
      <c r="N268" s="111"/>
      <c r="O268" s="112"/>
      <c r="P268" s="94"/>
      <c r="Q268" s="120"/>
      <c r="R268" s="113"/>
      <c r="S268" s="94"/>
      <c r="T268" s="94"/>
      <c r="V268" s="104"/>
    </row>
    <row r="269" ht="15.75" customHeight="1">
      <c r="A269" s="91"/>
      <c r="B269" s="131"/>
      <c r="C269" s="132"/>
      <c r="D269" s="94"/>
      <c r="E269" s="132"/>
      <c r="F269" s="132"/>
      <c r="G269" s="94"/>
      <c r="H269" s="132"/>
      <c r="I269" s="94"/>
      <c r="J269" s="94"/>
      <c r="K269" s="126"/>
      <c r="L269" s="126"/>
      <c r="M269" s="99"/>
      <c r="N269" s="111"/>
      <c r="O269" s="112"/>
      <c r="P269" s="94"/>
      <c r="Q269" s="120"/>
      <c r="R269" s="113"/>
      <c r="S269" s="94"/>
      <c r="T269" s="94"/>
      <c r="V269" s="104"/>
    </row>
    <row r="270" ht="15.75" customHeight="1">
      <c r="A270" s="91"/>
      <c r="B270" s="131"/>
      <c r="C270" s="104"/>
      <c r="D270" s="94"/>
      <c r="E270" s="132"/>
      <c r="F270" s="132"/>
      <c r="G270" s="94"/>
      <c r="H270" s="132"/>
      <c r="I270" s="94"/>
      <c r="J270" s="94"/>
      <c r="K270" s="125"/>
      <c r="L270" s="125"/>
      <c r="M270" s="99"/>
      <c r="N270" s="111"/>
      <c r="O270" s="112"/>
      <c r="P270" s="94"/>
      <c r="Q270" s="120"/>
      <c r="R270" s="113"/>
      <c r="S270" s="94"/>
      <c r="T270" s="94"/>
      <c r="V270" s="104"/>
    </row>
    <row r="271" ht="15.75" customHeight="1">
      <c r="A271" s="91"/>
      <c r="B271" s="131"/>
      <c r="C271" s="132"/>
      <c r="D271" s="94"/>
      <c r="E271" s="132"/>
      <c r="F271" s="132"/>
      <c r="G271" s="94"/>
      <c r="H271" s="132"/>
      <c r="I271" s="94"/>
      <c r="J271" s="94"/>
      <c r="K271" s="126"/>
      <c r="L271" s="126"/>
      <c r="M271" s="99"/>
      <c r="N271" s="111"/>
      <c r="O271" s="112"/>
      <c r="P271" s="94"/>
      <c r="Q271" s="120"/>
      <c r="R271" s="113"/>
      <c r="S271" s="94"/>
      <c r="T271" s="94"/>
      <c r="V271" s="104"/>
    </row>
    <row r="272" ht="15.75" customHeight="1">
      <c r="A272" s="91"/>
      <c r="B272" s="131"/>
      <c r="C272" s="132"/>
      <c r="D272" s="94"/>
      <c r="E272" s="132"/>
      <c r="F272" s="132"/>
      <c r="G272" s="94"/>
      <c r="H272" s="132"/>
      <c r="I272" s="94"/>
      <c r="J272" s="94"/>
      <c r="K272" s="125"/>
      <c r="L272" s="125"/>
      <c r="M272" s="99"/>
      <c r="N272" s="111"/>
      <c r="O272" s="112"/>
      <c r="P272" s="94"/>
      <c r="Q272" s="120"/>
      <c r="R272" s="113"/>
      <c r="S272" s="94"/>
      <c r="T272" s="94"/>
      <c r="V272" s="104"/>
    </row>
    <row r="273" ht="15.75" customHeight="1">
      <c r="A273" s="91"/>
      <c r="B273" s="131"/>
      <c r="C273" s="132"/>
      <c r="D273" s="94"/>
      <c r="E273" s="132"/>
      <c r="F273" s="132"/>
      <c r="G273" s="94"/>
      <c r="H273" s="132"/>
      <c r="I273" s="94"/>
      <c r="J273" s="94"/>
      <c r="K273" s="126"/>
      <c r="L273" s="126"/>
      <c r="M273" s="99"/>
      <c r="N273" s="111"/>
      <c r="O273" s="112"/>
      <c r="P273" s="94"/>
      <c r="Q273" s="120"/>
      <c r="R273" s="113"/>
      <c r="S273" s="94"/>
      <c r="T273" s="94"/>
      <c r="V273" s="104"/>
    </row>
    <row r="274" ht="15.75" customHeight="1">
      <c r="A274" s="91"/>
      <c r="B274" s="131"/>
      <c r="C274" s="132"/>
      <c r="D274" s="94"/>
      <c r="E274" s="132"/>
      <c r="F274" s="132"/>
      <c r="G274" s="94"/>
      <c r="H274" s="132"/>
      <c r="I274" s="94"/>
      <c r="J274" s="94"/>
      <c r="K274" s="125"/>
      <c r="L274" s="125"/>
      <c r="M274" s="99"/>
      <c r="N274" s="111"/>
      <c r="O274" s="112"/>
      <c r="P274" s="94"/>
      <c r="Q274" s="120"/>
      <c r="R274" s="113"/>
      <c r="S274" s="94"/>
      <c r="T274" s="94"/>
      <c r="V274" s="104"/>
    </row>
    <row r="275" ht="15.75" customHeight="1">
      <c r="A275" s="91"/>
      <c r="B275" s="131"/>
      <c r="C275" s="132"/>
      <c r="D275" s="94"/>
      <c r="E275" s="132"/>
      <c r="F275" s="132"/>
      <c r="G275" s="94"/>
      <c r="H275" s="132"/>
      <c r="I275" s="94"/>
      <c r="J275" s="94"/>
      <c r="K275" s="126"/>
      <c r="L275" s="126"/>
      <c r="M275" s="99"/>
      <c r="N275" s="111"/>
      <c r="O275" s="112"/>
      <c r="P275" s="94"/>
      <c r="Q275" s="120"/>
      <c r="R275" s="113"/>
      <c r="S275" s="94"/>
      <c r="T275" s="94"/>
      <c r="V275" s="104"/>
    </row>
    <row r="276" ht="15.75" customHeight="1">
      <c r="A276" s="91"/>
      <c r="B276" s="131"/>
      <c r="C276" s="104"/>
      <c r="D276" s="94"/>
      <c r="E276" s="132"/>
      <c r="F276" s="132"/>
      <c r="G276" s="94"/>
      <c r="H276" s="132"/>
      <c r="I276" s="94"/>
      <c r="J276" s="94"/>
      <c r="K276" s="125"/>
      <c r="L276" s="125"/>
      <c r="M276" s="99"/>
      <c r="N276" s="111"/>
      <c r="O276" s="112"/>
      <c r="P276" s="94"/>
      <c r="Q276" s="120"/>
      <c r="R276" s="113"/>
      <c r="S276" s="94"/>
      <c r="T276" s="94"/>
      <c r="V276" s="104"/>
    </row>
    <row r="277" ht="15.75" customHeight="1">
      <c r="A277" s="91"/>
      <c r="B277" s="131"/>
      <c r="C277" s="132"/>
      <c r="D277" s="94"/>
      <c r="E277" s="132"/>
      <c r="F277" s="132"/>
      <c r="G277" s="94"/>
      <c r="H277" s="132"/>
      <c r="I277" s="94"/>
      <c r="J277" s="94"/>
      <c r="K277" s="126"/>
      <c r="L277" s="126"/>
      <c r="M277" s="99"/>
      <c r="N277" s="111"/>
      <c r="O277" s="112"/>
      <c r="P277" s="94"/>
      <c r="Q277" s="120"/>
      <c r="R277" s="113"/>
      <c r="S277" s="94"/>
      <c r="T277" s="94"/>
      <c r="V277" s="104"/>
    </row>
    <row r="278" ht="15.75" customHeight="1">
      <c r="A278" s="91"/>
      <c r="B278" s="131"/>
      <c r="C278" s="132"/>
      <c r="D278" s="94"/>
      <c r="E278" s="132"/>
      <c r="F278" s="132"/>
      <c r="G278" s="94"/>
      <c r="H278" s="132"/>
      <c r="I278" s="94"/>
      <c r="J278" s="94"/>
      <c r="K278" s="125"/>
      <c r="L278" s="125"/>
      <c r="M278" s="99"/>
      <c r="N278" s="111"/>
      <c r="O278" s="112"/>
      <c r="P278" s="94"/>
      <c r="Q278" s="120"/>
      <c r="R278" s="113"/>
      <c r="S278" s="94"/>
      <c r="T278" s="94"/>
      <c r="V278" s="104"/>
    </row>
    <row r="279" ht="15.75" customHeight="1">
      <c r="A279" s="91"/>
      <c r="B279" s="131"/>
      <c r="C279" s="132"/>
      <c r="D279" s="94"/>
      <c r="E279" s="132"/>
      <c r="F279" s="132"/>
      <c r="G279" s="94"/>
      <c r="H279" s="132"/>
      <c r="I279" s="94"/>
      <c r="J279" s="94"/>
      <c r="K279" s="126"/>
      <c r="L279" s="126"/>
      <c r="M279" s="99"/>
      <c r="N279" s="111"/>
      <c r="O279" s="112"/>
      <c r="P279" s="94"/>
      <c r="Q279" s="120"/>
      <c r="R279" s="113"/>
      <c r="S279" s="94"/>
      <c r="T279" s="94"/>
      <c r="V279" s="104"/>
    </row>
    <row r="280" ht="15.75" customHeight="1">
      <c r="A280" s="91"/>
      <c r="B280" s="131"/>
      <c r="C280" s="132"/>
      <c r="D280" s="94"/>
      <c r="E280" s="132"/>
      <c r="F280" s="132"/>
      <c r="G280" s="94"/>
      <c r="H280" s="132"/>
      <c r="I280" s="94"/>
      <c r="J280" s="94"/>
      <c r="K280" s="125"/>
      <c r="L280" s="125"/>
      <c r="M280" s="99"/>
      <c r="N280" s="111"/>
      <c r="O280" s="112"/>
      <c r="P280" s="94"/>
      <c r="Q280" s="120"/>
      <c r="R280" s="113"/>
      <c r="S280" s="94"/>
      <c r="T280" s="94"/>
      <c r="V280" s="104"/>
    </row>
    <row r="281" ht="15.75" customHeight="1">
      <c r="A281" s="91"/>
      <c r="B281" s="131"/>
      <c r="C281" s="132"/>
      <c r="D281" s="94"/>
      <c r="E281" s="132"/>
      <c r="F281" s="132"/>
      <c r="G281" s="94"/>
      <c r="H281" s="132"/>
      <c r="I281" s="94"/>
      <c r="J281" s="94"/>
      <c r="K281" s="126"/>
      <c r="L281" s="126"/>
      <c r="M281" s="99"/>
      <c r="N281" s="111"/>
      <c r="O281" s="112"/>
      <c r="P281" s="94"/>
      <c r="Q281" s="120"/>
      <c r="R281" s="113"/>
      <c r="S281" s="94"/>
      <c r="T281" s="94"/>
      <c r="V281" s="104"/>
    </row>
    <row r="282" ht="15.75" customHeight="1">
      <c r="A282" s="91"/>
      <c r="B282" s="131"/>
      <c r="C282" s="104"/>
      <c r="D282" s="94"/>
      <c r="E282" s="132"/>
      <c r="F282" s="132"/>
      <c r="G282" s="94"/>
      <c r="H282" s="132"/>
      <c r="I282" s="94"/>
      <c r="J282" s="94"/>
      <c r="K282" s="125"/>
      <c r="L282" s="125"/>
      <c r="M282" s="99"/>
      <c r="N282" s="111"/>
      <c r="O282" s="112"/>
      <c r="P282" s="94"/>
      <c r="Q282" s="120"/>
      <c r="R282" s="113"/>
      <c r="S282" s="94"/>
      <c r="T282" s="94"/>
      <c r="V282" s="104"/>
    </row>
    <row r="283" ht="15.75" customHeight="1">
      <c r="A283" s="91"/>
      <c r="B283" s="131"/>
      <c r="C283" s="132"/>
      <c r="D283" s="94"/>
      <c r="E283" s="132"/>
      <c r="F283" s="132"/>
      <c r="G283" s="94"/>
      <c r="H283" s="132"/>
      <c r="I283" s="94"/>
      <c r="J283" s="94"/>
      <c r="K283" s="126"/>
      <c r="L283" s="126"/>
      <c r="M283" s="99"/>
      <c r="N283" s="111"/>
      <c r="O283" s="112"/>
      <c r="P283" s="94"/>
      <c r="Q283" s="120"/>
      <c r="R283" s="113"/>
      <c r="S283" s="94"/>
      <c r="T283" s="94"/>
      <c r="V283" s="104"/>
    </row>
    <row r="284" ht="15.75" customHeight="1">
      <c r="A284" s="91"/>
      <c r="B284" s="131"/>
      <c r="C284" s="132"/>
      <c r="D284" s="94"/>
      <c r="E284" s="132"/>
      <c r="F284" s="132"/>
      <c r="G284" s="94"/>
      <c r="H284" s="132"/>
      <c r="I284" s="94"/>
      <c r="J284" s="94"/>
      <c r="K284" s="125"/>
      <c r="L284" s="125"/>
      <c r="M284" s="99"/>
      <c r="N284" s="111"/>
      <c r="O284" s="112"/>
      <c r="P284" s="94"/>
      <c r="Q284" s="120"/>
      <c r="R284" s="113"/>
      <c r="S284" s="94"/>
      <c r="T284" s="94"/>
      <c r="V284" s="104"/>
    </row>
    <row r="285" ht="15.75" customHeight="1">
      <c r="A285" s="91"/>
      <c r="B285" s="131"/>
      <c r="C285" s="132"/>
      <c r="D285" s="94"/>
      <c r="E285" s="132"/>
      <c r="F285" s="132"/>
      <c r="G285" s="94"/>
      <c r="H285" s="132"/>
      <c r="I285" s="94"/>
      <c r="J285" s="94"/>
      <c r="K285" s="126"/>
      <c r="L285" s="126"/>
      <c r="M285" s="99"/>
      <c r="N285" s="111"/>
      <c r="O285" s="112"/>
      <c r="P285" s="94"/>
      <c r="Q285" s="120"/>
      <c r="R285" s="113"/>
      <c r="S285" s="94"/>
      <c r="T285" s="94"/>
      <c r="V285" s="104"/>
    </row>
    <row r="286" ht="15.75" customHeight="1">
      <c r="A286" s="91"/>
      <c r="B286" s="131"/>
      <c r="C286" s="132"/>
      <c r="D286" s="94"/>
      <c r="E286" s="132"/>
      <c r="F286" s="132"/>
      <c r="G286" s="94"/>
      <c r="H286" s="132"/>
      <c r="I286" s="94"/>
      <c r="J286" s="94"/>
      <c r="K286" s="125"/>
      <c r="L286" s="125"/>
      <c r="M286" s="99"/>
      <c r="N286" s="111"/>
      <c r="O286" s="112"/>
      <c r="P286" s="94"/>
      <c r="Q286" s="120"/>
      <c r="R286" s="113"/>
      <c r="S286" s="94"/>
      <c r="T286" s="94"/>
      <c r="V286" s="104"/>
    </row>
    <row r="287" ht="15.75" customHeight="1">
      <c r="A287" s="91"/>
      <c r="B287" s="131"/>
      <c r="C287" s="132"/>
      <c r="D287" s="94"/>
      <c r="E287" s="132"/>
      <c r="F287" s="132"/>
      <c r="G287" s="94"/>
      <c r="H287" s="132"/>
      <c r="I287" s="94"/>
      <c r="J287" s="94"/>
      <c r="K287" s="126"/>
      <c r="L287" s="126"/>
      <c r="M287" s="99"/>
      <c r="N287" s="111"/>
      <c r="O287" s="112"/>
      <c r="P287" s="94"/>
      <c r="Q287" s="120"/>
      <c r="R287" s="113"/>
      <c r="S287" s="94"/>
      <c r="T287" s="94"/>
      <c r="V287" s="104"/>
    </row>
    <row r="288" ht="15.75" customHeight="1">
      <c r="A288" s="91"/>
      <c r="B288" s="131"/>
      <c r="C288" s="104"/>
      <c r="D288" s="94"/>
      <c r="E288" s="132"/>
      <c r="F288" s="132"/>
      <c r="G288" s="94"/>
      <c r="H288" s="132"/>
      <c r="I288" s="94"/>
      <c r="J288" s="94"/>
      <c r="K288" s="125"/>
      <c r="L288" s="125"/>
      <c r="M288" s="99"/>
      <c r="N288" s="111"/>
      <c r="O288" s="112"/>
      <c r="P288" s="94"/>
      <c r="Q288" s="120"/>
      <c r="R288" s="113"/>
      <c r="S288" s="94"/>
      <c r="T288" s="94"/>
      <c r="V288" s="104"/>
    </row>
    <row r="289" ht="15.75" customHeight="1">
      <c r="A289" s="91"/>
      <c r="B289" s="131"/>
      <c r="C289" s="132"/>
      <c r="D289" s="94"/>
      <c r="E289" s="132"/>
      <c r="F289" s="132"/>
      <c r="G289" s="94"/>
      <c r="H289" s="132"/>
      <c r="I289" s="94"/>
      <c r="J289" s="94"/>
      <c r="K289" s="126"/>
      <c r="L289" s="126"/>
      <c r="M289" s="99"/>
      <c r="N289" s="111"/>
      <c r="O289" s="112"/>
      <c r="P289" s="94"/>
      <c r="Q289" s="120"/>
      <c r="R289" s="113"/>
      <c r="S289" s="94"/>
      <c r="T289" s="94"/>
      <c r="V289" s="104"/>
    </row>
    <row r="290" ht="15.75" customHeight="1">
      <c r="A290" s="91"/>
      <c r="B290" s="131"/>
      <c r="C290" s="132"/>
      <c r="D290" s="94"/>
      <c r="E290" s="132"/>
      <c r="F290" s="132"/>
      <c r="G290" s="94"/>
      <c r="H290" s="132"/>
      <c r="I290" s="94"/>
      <c r="J290" s="94"/>
      <c r="K290" s="125"/>
      <c r="L290" s="125"/>
      <c r="M290" s="99"/>
      <c r="N290" s="111"/>
      <c r="O290" s="112"/>
      <c r="P290" s="94"/>
      <c r="Q290" s="120"/>
      <c r="R290" s="113"/>
      <c r="S290" s="94"/>
      <c r="T290" s="94"/>
      <c r="V290" s="104"/>
    </row>
    <row r="291" ht="15.75" customHeight="1">
      <c r="A291" s="91"/>
      <c r="B291" s="131"/>
      <c r="C291" s="132"/>
      <c r="D291" s="94"/>
      <c r="E291" s="132"/>
      <c r="F291" s="132"/>
      <c r="G291" s="94"/>
      <c r="H291" s="132"/>
      <c r="I291" s="94"/>
      <c r="J291" s="94"/>
      <c r="K291" s="126"/>
      <c r="L291" s="126"/>
      <c r="M291" s="99"/>
      <c r="N291" s="111"/>
      <c r="O291" s="112"/>
      <c r="P291" s="94"/>
      <c r="Q291" s="120"/>
      <c r="R291" s="113"/>
      <c r="S291" s="94"/>
      <c r="T291" s="94"/>
      <c r="V291" s="104"/>
    </row>
    <row r="292" ht="15.75" customHeight="1">
      <c r="A292" s="91"/>
      <c r="B292" s="131"/>
      <c r="C292" s="132"/>
      <c r="D292" s="94"/>
      <c r="E292" s="132"/>
      <c r="F292" s="132"/>
      <c r="G292" s="94"/>
      <c r="H292" s="132"/>
      <c r="I292" s="94"/>
      <c r="J292" s="94"/>
      <c r="K292" s="125"/>
      <c r="L292" s="125"/>
      <c r="M292" s="99"/>
      <c r="N292" s="111"/>
      <c r="O292" s="112"/>
      <c r="P292" s="94"/>
      <c r="Q292" s="120"/>
      <c r="R292" s="113"/>
      <c r="S292" s="94"/>
      <c r="T292" s="94"/>
      <c r="V292" s="104"/>
    </row>
    <row r="293" ht="15.75" customHeight="1">
      <c r="A293" s="91"/>
      <c r="B293" s="131"/>
      <c r="C293" s="132"/>
      <c r="D293" s="94"/>
      <c r="E293" s="132"/>
      <c r="F293" s="132"/>
      <c r="G293" s="94"/>
      <c r="H293" s="132"/>
      <c r="I293" s="94"/>
      <c r="J293" s="94"/>
      <c r="K293" s="126"/>
      <c r="L293" s="126"/>
      <c r="M293" s="99"/>
      <c r="N293" s="111"/>
      <c r="O293" s="112"/>
      <c r="P293" s="94"/>
      <c r="Q293" s="120"/>
      <c r="R293" s="113"/>
      <c r="S293" s="94"/>
      <c r="T293" s="94"/>
      <c r="V293" s="104"/>
    </row>
    <row r="294" ht="15.75" customHeight="1">
      <c r="A294" s="91"/>
      <c r="B294" s="131"/>
      <c r="C294" s="104"/>
      <c r="D294" s="94"/>
      <c r="E294" s="132"/>
      <c r="F294" s="132"/>
      <c r="G294" s="94"/>
      <c r="H294" s="132"/>
      <c r="I294" s="94"/>
      <c r="J294" s="94"/>
      <c r="K294" s="125"/>
      <c r="L294" s="125"/>
      <c r="M294" s="99"/>
      <c r="N294" s="111"/>
      <c r="O294" s="112"/>
      <c r="P294" s="94"/>
      <c r="Q294" s="120"/>
      <c r="R294" s="113"/>
      <c r="S294" s="94"/>
      <c r="T294" s="94"/>
      <c r="V294" s="104"/>
    </row>
    <row r="295" ht="15.75" customHeight="1">
      <c r="A295" s="91"/>
      <c r="B295" s="131"/>
      <c r="C295" s="132"/>
      <c r="D295" s="94"/>
      <c r="E295" s="132"/>
      <c r="F295" s="132"/>
      <c r="G295" s="94"/>
      <c r="H295" s="132"/>
      <c r="I295" s="94"/>
      <c r="J295" s="94"/>
      <c r="K295" s="126"/>
      <c r="L295" s="126"/>
      <c r="M295" s="99"/>
      <c r="N295" s="111"/>
      <c r="O295" s="112"/>
      <c r="P295" s="94"/>
      <c r="Q295" s="120"/>
      <c r="R295" s="113"/>
      <c r="S295" s="94"/>
      <c r="T295" s="94"/>
      <c r="V295" s="104"/>
    </row>
    <row r="296" ht="15.75" customHeight="1">
      <c r="A296" s="91"/>
      <c r="B296" s="131"/>
      <c r="C296" s="132"/>
      <c r="D296" s="94"/>
      <c r="E296" s="132"/>
      <c r="F296" s="132"/>
      <c r="G296" s="94"/>
      <c r="H296" s="132"/>
      <c r="I296" s="94"/>
      <c r="J296" s="94"/>
      <c r="K296" s="125"/>
      <c r="L296" s="125"/>
      <c r="M296" s="99"/>
      <c r="N296" s="111"/>
      <c r="O296" s="112"/>
      <c r="P296" s="94"/>
      <c r="Q296" s="120"/>
      <c r="R296" s="113"/>
      <c r="S296" s="94"/>
      <c r="T296" s="94"/>
      <c r="V296" s="104"/>
    </row>
    <row r="297" ht="15.75" customHeight="1">
      <c r="A297" s="91"/>
      <c r="B297" s="131"/>
      <c r="C297" s="132"/>
      <c r="D297" s="94"/>
      <c r="E297" s="132"/>
      <c r="F297" s="132"/>
      <c r="G297" s="94"/>
      <c r="H297" s="132"/>
      <c r="I297" s="94"/>
      <c r="J297" s="94"/>
      <c r="K297" s="126"/>
      <c r="L297" s="126"/>
      <c r="M297" s="99"/>
      <c r="N297" s="111"/>
      <c r="O297" s="112"/>
      <c r="P297" s="94"/>
      <c r="Q297" s="120"/>
      <c r="R297" s="113"/>
      <c r="S297" s="94"/>
      <c r="T297" s="94"/>
      <c r="V297" s="104"/>
    </row>
    <row r="298" ht="15.75" customHeight="1">
      <c r="A298" s="91"/>
      <c r="B298" s="131"/>
      <c r="C298" s="132"/>
      <c r="D298" s="94"/>
      <c r="E298" s="132"/>
      <c r="F298" s="132"/>
      <c r="G298" s="94"/>
      <c r="H298" s="132"/>
      <c r="I298" s="94"/>
      <c r="J298" s="94"/>
      <c r="K298" s="125"/>
      <c r="L298" s="125"/>
      <c r="M298" s="99"/>
      <c r="N298" s="111"/>
      <c r="O298" s="112"/>
      <c r="P298" s="94"/>
      <c r="Q298" s="120"/>
      <c r="R298" s="113"/>
      <c r="S298" s="94"/>
      <c r="T298" s="94"/>
      <c r="V298" s="104"/>
    </row>
    <row r="299" ht="15.75" customHeight="1">
      <c r="A299" s="91"/>
      <c r="B299" s="131"/>
      <c r="C299" s="132"/>
      <c r="D299" s="94"/>
      <c r="E299" s="132"/>
      <c r="F299" s="132"/>
      <c r="G299" s="94"/>
      <c r="H299" s="132"/>
      <c r="I299" s="94"/>
      <c r="J299" s="94"/>
      <c r="K299" s="126"/>
      <c r="L299" s="126"/>
      <c r="M299" s="99"/>
      <c r="N299" s="111"/>
      <c r="O299" s="112"/>
      <c r="P299" s="94"/>
      <c r="Q299" s="120"/>
      <c r="R299" s="113"/>
      <c r="S299" s="94"/>
      <c r="T299" s="94"/>
      <c r="V299" s="104"/>
    </row>
    <row r="300" ht="15.75" customHeight="1">
      <c r="A300" s="91"/>
      <c r="B300" s="131"/>
      <c r="C300" s="104"/>
      <c r="D300" s="94"/>
      <c r="E300" s="132"/>
      <c r="F300" s="132"/>
      <c r="G300" s="94"/>
      <c r="H300" s="132"/>
      <c r="I300" s="94"/>
      <c r="J300" s="94"/>
      <c r="K300" s="125"/>
      <c r="L300" s="125"/>
      <c r="M300" s="99"/>
      <c r="N300" s="111"/>
      <c r="O300" s="112"/>
      <c r="P300" s="94"/>
      <c r="Q300" s="120"/>
      <c r="R300" s="113"/>
      <c r="S300" s="94"/>
      <c r="T300" s="94"/>
      <c r="V300" s="104"/>
    </row>
    <row r="301" ht="15.75" customHeight="1">
      <c r="A301" s="91"/>
      <c r="B301" s="131"/>
      <c r="C301" s="132"/>
      <c r="D301" s="94"/>
      <c r="E301" s="132"/>
      <c r="F301" s="132"/>
      <c r="G301" s="94"/>
      <c r="H301" s="132"/>
      <c r="I301" s="94"/>
      <c r="J301" s="94"/>
      <c r="K301" s="126"/>
      <c r="L301" s="126"/>
      <c r="M301" s="99"/>
      <c r="N301" s="111"/>
      <c r="O301" s="112"/>
      <c r="P301" s="94"/>
      <c r="Q301" s="120"/>
      <c r="R301" s="113"/>
      <c r="S301" s="94"/>
      <c r="T301" s="94"/>
      <c r="V301" s="104"/>
    </row>
    <row r="302" ht="15.75" customHeight="1">
      <c r="A302" s="91"/>
      <c r="B302" s="131"/>
      <c r="C302" s="132"/>
      <c r="D302" s="94"/>
      <c r="E302" s="132"/>
      <c r="F302" s="132"/>
      <c r="G302" s="94"/>
      <c r="H302" s="132"/>
      <c r="I302" s="94"/>
      <c r="J302" s="94"/>
      <c r="K302" s="125"/>
      <c r="L302" s="125"/>
      <c r="M302" s="99"/>
      <c r="N302" s="111"/>
      <c r="O302" s="112"/>
      <c r="P302" s="94"/>
      <c r="Q302" s="120"/>
      <c r="R302" s="113"/>
      <c r="S302" s="94"/>
      <c r="T302" s="94"/>
      <c r="V302" s="104"/>
    </row>
    <row r="303" ht="15.75" customHeight="1">
      <c r="A303" s="91"/>
      <c r="B303" s="131"/>
      <c r="C303" s="132"/>
      <c r="D303" s="94"/>
      <c r="E303" s="132"/>
      <c r="F303" s="132"/>
      <c r="G303" s="94"/>
      <c r="H303" s="132"/>
      <c r="I303" s="94"/>
      <c r="J303" s="94"/>
      <c r="K303" s="126"/>
      <c r="L303" s="126"/>
      <c r="M303" s="99"/>
      <c r="N303" s="111"/>
      <c r="O303" s="112"/>
      <c r="P303" s="94"/>
      <c r="Q303" s="120"/>
      <c r="R303" s="113"/>
      <c r="S303" s="94"/>
      <c r="T303" s="94"/>
      <c r="V303" s="104"/>
    </row>
    <row r="304" ht="15.75" customHeight="1">
      <c r="A304" s="91"/>
      <c r="B304" s="131"/>
      <c r="C304" s="132"/>
      <c r="D304" s="94"/>
      <c r="E304" s="132"/>
      <c r="F304" s="132"/>
      <c r="G304" s="94"/>
      <c r="H304" s="132"/>
      <c r="I304" s="94"/>
      <c r="J304" s="94"/>
      <c r="K304" s="125"/>
      <c r="L304" s="125"/>
      <c r="M304" s="99"/>
      <c r="N304" s="111"/>
      <c r="O304" s="112"/>
      <c r="P304" s="94"/>
      <c r="Q304" s="120"/>
      <c r="R304" s="113"/>
      <c r="S304" s="94"/>
      <c r="T304" s="94"/>
      <c r="V304" s="104"/>
    </row>
    <row r="305" ht="15.75" customHeight="1">
      <c r="A305" s="91"/>
      <c r="B305" s="131"/>
      <c r="C305" s="132"/>
      <c r="D305" s="94"/>
      <c r="E305" s="132"/>
      <c r="F305" s="132"/>
      <c r="G305" s="94"/>
      <c r="H305" s="132"/>
      <c r="I305" s="94"/>
      <c r="J305" s="94"/>
      <c r="K305" s="126"/>
      <c r="L305" s="126"/>
      <c r="M305" s="99"/>
      <c r="N305" s="111"/>
      <c r="O305" s="112"/>
      <c r="P305" s="94"/>
      <c r="Q305" s="120"/>
      <c r="R305" s="113"/>
      <c r="S305" s="94"/>
      <c r="T305" s="94"/>
      <c r="V305" s="104"/>
    </row>
    <row r="306" ht="15.75" customHeight="1">
      <c r="A306" s="91"/>
      <c r="B306" s="131"/>
      <c r="C306" s="104"/>
      <c r="D306" s="94"/>
      <c r="E306" s="132"/>
      <c r="F306" s="132"/>
      <c r="G306" s="94"/>
      <c r="H306" s="132"/>
      <c r="I306" s="94"/>
      <c r="J306" s="94"/>
      <c r="K306" s="125"/>
      <c r="L306" s="125"/>
      <c r="M306" s="99"/>
      <c r="N306" s="111"/>
      <c r="O306" s="112"/>
      <c r="P306" s="94"/>
      <c r="Q306" s="120"/>
      <c r="R306" s="113"/>
      <c r="S306" s="94"/>
      <c r="T306" s="94"/>
      <c r="V306" s="104"/>
    </row>
    <row r="307" ht="15.75" customHeight="1">
      <c r="A307" s="91"/>
      <c r="B307" s="131"/>
      <c r="C307" s="132"/>
      <c r="D307" s="94"/>
      <c r="E307" s="132"/>
      <c r="F307" s="132"/>
      <c r="G307" s="94"/>
      <c r="H307" s="132"/>
      <c r="I307" s="94"/>
      <c r="J307" s="94"/>
      <c r="K307" s="126"/>
      <c r="L307" s="126"/>
      <c r="M307" s="99"/>
      <c r="N307" s="111"/>
      <c r="O307" s="112"/>
      <c r="P307" s="94"/>
      <c r="Q307" s="120"/>
      <c r="R307" s="113"/>
      <c r="S307" s="94"/>
      <c r="T307" s="94"/>
      <c r="V307" s="104"/>
    </row>
    <row r="308" ht="15.75" customHeight="1">
      <c r="A308" s="91"/>
      <c r="B308" s="131"/>
      <c r="C308" s="132"/>
      <c r="D308" s="94"/>
      <c r="E308" s="132"/>
      <c r="F308" s="132"/>
      <c r="G308" s="94"/>
      <c r="H308" s="132"/>
      <c r="I308" s="94"/>
      <c r="J308" s="94"/>
      <c r="K308" s="125"/>
      <c r="L308" s="125"/>
      <c r="M308" s="99"/>
      <c r="N308" s="111"/>
      <c r="O308" s="112"/>
      <c r="P308" s="94"/>
      <c r="Q308" s="120"/>
      <c r="R308" s="113"/>
      <c r="S308" s="94"/>
      <c r="T308" s="94"/>
      <c r="V308" s="104"/>
    </row>
    <row r="309" ht="15.75" customHeight="1">
      <c r="A309" s="91"/>
      <c r="B309" s="131"/>
      <c r="C309" s="132"/>
      <c r="D309" s="94"/>
      <c r="E309" s="132"/>
      <c r="F309" s="132"/>
      <c r="G309" s="94"/>
      <c r="H309" s="132"/>
      <c r="I309" s="94"/>
      <c r="J309" s="94"/>
      <c r="K309" s="126"/>
      <c r="L309" s="126"/>
      <c r="M309" s="99"/>
      <c r="N309" s="111"/>
      <c r="O309" s="112"/>
      <c r="P309" s="94"/>
      <c r="Q309" s="120"/>
      <c r="R309" s="113"/>
      <c r="S309" s="94"/>
      <c r="T309" s="94"/>
      <c r="V309" s="104"/>
    </row>
    <row r="310" ht="15.75" customHeight="1">
      <c r="A310" s="91"/>
      <c r="B310" s="131"/>
      <c r="C310" s="132"/>
      <c r="D310" s="94"/>
      <c r="E310" s="132"/>
      <c r="F310" s="132"/>
      <c r="G310" s="94"/>
      <c r="H310" s="132"/>
      <c r="I310" s="94"/>
      <c r="J310" s="94"/>
      <c r="K310" s="125"/>
      <c r="L310" s="125"/>
      <c r="M310" s="99"/>
      <c r="N310" s="111"/>
      <c r="O310" s="112"/>
      <c r="P310" s="94"/>
      <c r="Q310" s="120"/>
      <c r="R310" s="113"/>
      <c r="S310" s="94"/>
      <c r="T310" s="94"/>
      <c r="V310" s="104"/>
    </row>
    <row r="311" ht="15.75" customHeight="1">
      <c r="A311" s="91"/>
      <c r="B311" s="131"/>
      <c r="C311" s="132"/>
      <c r="D311" s="94"/>
      <c r="E311" s="132"/>
      <c r="F311" s="132"/>
      <c r="G311" s="94"/>
      <c r="H311" s="132"/>
      <c r="I311" s="94"/>
      <c r="J311" s="94"/>
      <c r="K311" s="126"/>
      <c r="L311" s="126"/>
      <c r="M311" s="99"/>
      <c r="N311" s="111"/>
      <c r="O311" s="112"/>
      <c r="P311" s="94"/>
      <c r="Q311" s="120"/>
      <c r="R311" s="113"/>
      <c r="S311" s="94"/>
      <c r="T311" s="94"/>
      <c r="V311" s="104"/>
    </row>
    <row r="312" ht="15.75" customHeight="1">
      <c r="A312" s="91"/>
      <c r="B312" s="131"/>
      <c r="C312" s="104"/>
      <c r="D312" s="94"/>
      <c r="E312" s="132"/>
      <c r="F312" s="132"/>
      <c r="G312" s="94"/>
      <c r="H312" s="132"/>
      <c r="I312" s="94"/>
      <c r="J312" s="94"/>
      <c r="K312" s="125"/>
      <c r="L312" s="125"/>
      <c r="M312" s="99"/>
      <c r="N312" s="111"/>
      <c r="O312" s="112"/>
      <c r="P312" s="94"/>
      <c r="Q312" s="120"/>
      <c r="R312" s="113"/>
      <c r="S312" s="94"/>
      <c r="T312" s="94"/>
      <c r="V312" s="104"/>
    </row>
    <row r="313" ht="15.75" customHeight="1">
      <c r="A313" s="91"/>
      <c r="B313" s="131"/>
      <c r="C313" s="132"/>
      <c r="D313" s="94"/>
      <c r="E313" s="132"/>
      <c r="F313" s="132"/>
      <c r="G313" s="94"/>
      <c r="H313" s="132"/>
      <c r="I313" s="94"/>
      <c r="J313" s="94"/>
      <c r="K313" s="126"/>
      <c r="L313" s="126"/>
      <c r="M313" s="99"/>
      <c r="N313" s="111"/>
      <c r="O313" s="112"/>
      <c r="P313" s="94"/>
      <c r="Q313" s="120"/>
      <c r="R313" s="113"/>
      <c r="S313" s="94"/>
      <c r="T313" s="94"/>
      <c r="V313" s="104"/>
    </row>
    <row r="314" ht="15.75" customHeight="1">
      <c r="A314" s="91"/>
      <c r="B314" s="131"/>
      <c r="C314" s="132"/>
      <c r="D314" s="94"/>
      <c r="E314" s="132"/>
      <c r="F314" s="132"/>
      <c r="G314" s="94"/>
      <c r="H314" s="132"/>
      <c r="I314" s="94"/>
      <c r="J314" s="94"/>
      <c r="K314" s="125"/>
      <c r="L314" s="125"/>
      <c r="M314" s="99"/>
      <c r="N314" s="111"/>
      <c r="O314" s="112"/>
      <c r="P314" s="94"/>
      <c r="Q314" s="120"/>
      <c r="R314" s="113"/>
      <c r="S314" s="94"/>
      <c r="T314" s="94"/>
      <c r="V314" s="104"/>
    </row>
    <row r="315" ht="15.75" customHeight="1">
      <c r="A315" s="91"/>
      <c r="B315" s="131"/>
      <c r="C315" s="132"/>
      <c r="D315" s="94"/>
      <c r="E315" s="132"/>
      <c r="F315" s="132"/>
      <c r="G315" s="94"/>
      <c r="H315" s="132"/>
      <c r="I315" s="94"/>
      <c r="J315" s="94"/>
      <c r="K315" s="126"/>
      <c r="L315" s="126"/>
      <c r="M315" s="99"/>
      <c r="N315" s="111"/>
      <c r="O315" s="112"/>
      <c r="P315" s="94"/>
      <c r="Q315" s="120"/>
      <c r="R315" s="113"/>
      <c r="S315" s="94"/>
      <c r="T315" s="94"/>
      <c r="V315" s="104"/>
    </row>
    <row r="316" ht="15.75" customHeight="1">
      <c r="A316" s="91"/>
      <c r="B316" s="131"/>
      <c r="C316" s="132"/>
      <c r="D316" s="94"/>
      <c r="E316" s="132"/>
      <c r="F316" s="132"/>
      <c r="G316" s="94"/>
      <c r="H316" s="132"/>
      <c r="I316" s="94"/>
      <c r="J316" s="94"/>
      <c r="K316" s="125"/>
      <c r="L316" s="125"/>
      <c r="M316" s="99"/>
      <c r="N316" s="111"/>
      <c r="O316" s="112"/>
      <c r="P316" s="94"/>
      <c r="Q316" s="120"/>
      <c r="R316" s="113"/>
      <c r="S316" s="94"/>
      <c r="T316" s="94"/>
      <c r="V316" s="104"/>
    </row>
    <row r="317" ht="15.75" customHeight="1">
      <c r="A317" s="91"/>
      <c r="B317" s="131"/>
      <c r="C317" s="132"/>
      <c r="D317" s="94"/>
      <c r="E317" s="132"/>
      <c r="F317" s="132"/>
      <c r="G317" s="94"/>
      <c r="H317" s="132"/>
      <c r="I317" s="94"/>
      <c r="J317" s="94"/>
      <c r="K317" s="126"/>
      <c r="L317" s="126"/>
      <c r="M317" s="99"/>
      <c r="N317" s="111"/>
      <c r="O317" s="112"/>
      <c r="P317" s="94"/>
      <c r="Q317" s="120"/>
      <c r="R317" s="113"/>
      <c r="S317" s="94"/>
      <c r="T317" s="94"/>
      <c r="V317" s="104"/>
    </row>
    <row r="318" ht="15.75" customHeight="1">
      <c r="A318" s="91"/>
      <c r="B318" s="131"/>
      <c r="C318" s="104"/>
      <c r="D318" s="94"/>
      <c r="E318" s="132"/>
      <c r="F318" s="132"/>
      <c r="G318" s="94"/>
      <c r="H318" s="132"/>
      <c r="I318" s="94"/>
      <c r="J318" s="94"/>
      <c r="K318" s="125"/>
      <c r="L318" s="125"/>
      <c r="M318" s="99"/>
      <c r="N318" s="111"/>
      <c r="O318" s="112"/>
      <c r="P318" s="94"/>
      <c r="Q318" s="120"/>
      <c r="R318" s="113"/>
      <c r="S318" s="94"/>
      <c r="T318" s="94"/>
      <c r="V318" s="104"/>
    </row>
    <row r="319" ht="15.75" customHeight="1">
      <c r="A319" s="91"/>
      <c r="B319" s="131"/>
      <c r="C319" s="132"/>
      <c r="D319" s="94"/>
      <c r="E319" s="132"/>
      <c r="F319" s="132"/>
      <c r="G319" s="94"/>
      <c r="H319" s="132"/>
      <c r="I319" s="94"/>
      <c r="J319" s="94"/>
      <c r="K319" s="126"/>
      <c r="L319" s="126"/>
      <c r="M319" s="99"/>
      <c r="N319" s="111"/>
      <c r="O319" s="112"/>
      <c r="P319" s="94"/>
      <c r="Q319" s="120"/>
      <c r="R319" s="113"/>
      <c r="S319" s="94"/>
      <c r="T319" s="94"/>
      <c r="V319" s="104"/>
    </row>
    <row r="320" ht="15.75" customHeight="1">
      <c r="A320" s="91"/>
      <c r="B320" s="131"/>
      <c r="C320" s="132"/>
      <c r="D320" s="94"/>
      <c r="E320" s="132"/>
      <c r="F320" s="132"/>
      <c r="G320" s="94"/>
      <c r="H320" s="132"/>
      <c r="I320" s="94"/>
      <c r="J320" s="94"/>
      <c r="K320" s="125"/>
      <c r="L320" s="125"/>
      <c r="M320" s="99"/>
      <c r="N320" s="111"/>
      <c r="O320" s="112"/>
      <c r="P320" s="94"/>
      <c r="Q320" s="120"/>
      <c r="R320" s="113"/>
      <c r="S320" s="94"/>
      <c r="T320" s="94"/>
      <c r="V320" s="104"/>
    </row>
    <row r="321" ht="15.75" customHeight="1">
      <c r="A321" s="91"/>
      <c r="B321" s="131"/>
      <c r="C321" s="132"/>
      <c r="D321" s="94"/>
      <c r="E321" s="132"/>
      <c r="F321" s="132"/>
      <c r="G321" s="94"/>
      <c r="H321" s="132"/>
      <c r="I321" s="94"/>
      <c r="J321" s="94"/>
      <c r="K321" s="126"/>
      <c r="L321" s="126"/>
      <c r="M321" s="99"/>
      <c r="N321" s="111"/>
      <c r="O321" s="112"/>
      <c r="P321" s="94"/>
      <c r="Q321" s="120"/>
      <c r="R321" s="113"/>
      <c r="S321" s="94"/>
      <c r="T321" s="94"/>
      <c r="V321" s="104"/>
    </row>
    <row r="322" ht="15.75" customHeight="1">
      <c r="A322" s="91"/>
      <c r="B322" s="131"/>
      <c r="C322" s="132"/>
      <c r="D322" s="94"/>
      <c r="E322" s="132"/>
      <c r="F322" s="132"/>
      <c r="G322" s="94"/>
      <c r="H322" s="132"/>
      <c r="I322" s="94"/>
      <c r="J322" s="94"/>
      <c r="K322" s="125"/>
      <c r="L322" s="125"/>
      <c r="M322" s="99"/>
      <c r="N322" s="111"/>
      <c r="O322" s="112"/>
      <c r="P322" s="94"/>
      <c r="Q322" s="120"/>
      <c r="R322" s="113"/>
      <c r="S322" s="94"/>
      <c r="T322" s="94"/>
      <c r="V322" s="104"/>
    </row>
    <row r="323" ht="15.75" customHeight="1">
      <c r="A323" s="91"/>
      <c r="B323" s="131"/>
      <c r="C323" s="132"/>
      <c r="D323" s="94"/>
      <c r="E323" s="132"/>
      <c r="F323" s="132"/>
      <c r="G323" s="94"/>
      <c r="H323" s="132"/>
      <c r="I323" s="94"/>
      <c r="J323" s="94"/>
      <c r="K323" s="126"/>
      <c r="L323" s="126"/>
      <c r="M323" s="99"/>
      <c r="N323" s="111"/>
      <c r="O323" s="112"/>
      <c r="P323" s="94"/>
      <c r="Q323" s="120"/>
      <c r="R323" s="113"/>
      <c r="S323" s="94"/>
      <c r="T323" s="94"/>
      <c r="V323" s="104"/>
    </row>
    <row r="324" ht="15.75" customHeight="1">
      <c r="A324" s="91"/>
      <c r="B324" s="131"/>
      <c r="C324" s="104"/>
      <c r="D324" s="94"/>
      <c r="E324" s="132"/>
      <c r="F324" s="132"/>
      <c r="G324" s="94"/>
      <c r="H324" s="132"/>
      <c r="I324" s="94"/>
      <c r="J324" s="94"/>
      <c r="K324" s="125"/>
      <c r="L324" s="125"/>
      <c r="M324" s="99"/>
      <c r="N324" s="111"/>
      <c r="O324" s="112"/>
      <c r="P324" s="94"/>
      <c r="Q324" s="120"/>
      <c r="R324" s="113"/>
      <c r="S324" s="94"/>
      <c r="T324" s="94"/>
      <c r="V324" s="104"/>
    </row>
    <row r="325" ht="15.75" customHeight="1">
      <c r="A325" s="91"/>
      <c r="B325" s="131"/>
      <c r="C325" s="132"/>
      <c r="D325" s="94"/>
      <c r="E325" s="132"/>
      <c r="F325" s="132"/>
      <c r="G325" s="94"/>
      <c r="H325" s="132"/>
      <c r="I325" s="94"/>
      <c r="J325" s="94"/>
      <c r="K325" s="126"/>
      <c r="L325" s="126"/>
      <c r="M325" s="99"/>
      <c r="N325" s="111"/>
      <c r="O325" s="112"/>
      <c r="P325" s="94"/>
      <c r="Q325" s="120"/>
      <c r="R325" s="113"/>
      <c r="S325" s="94"/>
      <c r="T325" s="94"/>
      <c r="V325" s="104"/>
    </row>
    <row r="326" ht="15.75" customHeight="1">
      <c r="A326" s="91"/>
      <c r="B326" s="131"/>
      <c r="C326" s="132"/>
      <c r="D326" s="94"/>
      <c r="E326" s="132"/>
      <c r="F326" s="132"/>
      <c r="G326" s="94"/>
      <c r="H326" s="132"/>
      <c r="I326" s="94"/>
      <c r="J326" s="94"/>
      <c r="K326" s="125"/>
      <c r="L326" s="125"/>
      <c r="M326" s="99"/>
      <c r="N326" s="111"/>
      <c r="O326" s="112"/>
      <c r="P326" s="94"/>
      <c r="Q326" s="120"/>
      <c r="R326" s="113"/>
      <c r="S326" s="94"/>
      <c r="T326" s="94"/>
      <c r="V326" s="104"/>
    </row>
    <row r="327" ht="15.75" customHeight="1">
      <c r="A327" s="91"/>
      <c r="B327" s="131"/>
      <c r="C327" s="132"/>
      <c r="D327" s="94"/>
      <c r="E327" s="132"/>
      <c r="F327" s="132"/>
      <c r="G327" s="94"/>
      <c r="H327" s="132"/>
      <c r="I327" s="94"/>
      <c r="J327" s="94"/>
      <c r="K327" s="126"/>
      <c r="L327" s="126"/>
      <c r="M327" s="99"/>
      <c r="N327" s="111"/>
      <c r="O327" s="112"/>
      <c r="P327" s="94"/>
      <c r="Q327" s="120"/>
      <c r="R327" s="113"/>
      <c r="S327" s="94"/>
      <c r="T327" s="94"/>
      <c r="V327" s="104"/>
    </row>
    <row r="328" ht="15.75" customHeight="1">
      <c r="A328" s="91"/>
      <c r="B328" s="131"/>
      <c r="C328" s="132"/>
      <c r="D328" s="94"/>
      <c r="E328" s="132"/>
      <c r="F328" s="132"/>
      <c r="G328" s="94"/>
      <c r="H328" s="132"/>
      <c r="I328" s="94"/>
      <c r="J328" s="94"/>
      <c r="K328" s="125"/>
      <c r="L328" s="125"/>
      <c r="M328" s="99"/>
      <c r="N328" s="111"/>
      <c r="O328" s="112"/>
      <c r="P328" s="94"/>
      <c r="Q328" s="120"/>
      <c r="R328" s="113"/>
      <c r="S328" s="94"/>
      <c r="T328" s="94"/>
      <c r="V328" s="104"/>
    </row>
    <row r="329" ht="15.75" customHeight="1">
      <c r="A329" s="91"/>
      <c r="B329" s="131"/>
      <c r="C329" s="132"/>
      <c r="D329" s="94"/>
      <c r="E329" s="132"/>
      <c r="F329" s="132"/>
      <c r="G329" s="94"/>
      <c r="H329" s="132"/>
      <c r="I329" s="94"/>
      <c r="J329" s="94"/>
      <c r="K329" s="126"/>
      <c r="L329" s="126"/>
      <c r="M329" s="99"/>
      <c r="N329" s="111"/>
      <c r="O329" s="112"/>
      <c r="P329" s="94"/>
      <c r="Q329" s="120"/>
      <c r="R329" s="113"/>
      <c r="S329" s="94"/>
      <c r="T329" s="94"/>
      <c r="V329" s="104"/>
    </row>
    <row r="330" ht="15.75" customHeight="1">
      <c r="A330" s="91"/>
      <c r="B330" s="131"/>
      <c r="C330" s="104"/>
      <c r="D330" s="94"/>
      <c r="E330" s="132"/>
      <c r="F330" s="132"/>
      <c r="G330" s="94"/>
      <c r="H330" s="132"/>
      <c r="I330" s="94"/>
      <c r="J330" s="94"/>
      <c r="K330" s="125"/>
      <c r="L330" s="125"/>
      <c r="M330" s="99"/>
      <c r="N330" s="111"/>
      <c r="O330" s="112"/>
      <c r="P330" s="94"/>
      <c r="Q330" s="120"/>
      <c r="R330" s="113"/>
      <c r="S330" s="94"/>
      <c r="T330" s="94"/>
      <c r="V330" s="104"/>
    </row>
    <row r="331" ht="15.75" customHeight="1">
      <c r="A331" s="91"/>
      <c r="B331" s="131"/>
      <c r="C331" s="132"/>
      <c r="D331" s="94"/>
      <c r="E331" s="132"/>
      <c r="F331" s="132"/>
      <c r="G331" s="94"/>
      <c r="H331" s="132"/>
      <c r="I331" s="94"/>
      <c r="J331" s="94"/>
      <c r="K331" s="126"/>
      <c r="L331" s="126"/>
      <c r="M331" s="99"/>
      <c r="N331" s="111"/>
      <c r="O331" s="112"/>
      <c r="P331" s="94"/>
      <c r="Q331" s="120"/>
      <c r="R331" s="113"/>
      <c r="S331" s="94"/>
      <c r="T331" s="94"/>
      <c r="V331" s="104"/>
    </row>
    <row r="332" ht="15.75" customHeight="1">
      <c r="A332" s="91"/>
      <c r="B332" s="131"/>
      <c r="C332" s="132"/>
      <c r="D332" s="94"/>
      <c r="E332" s="132"/>
      <c r="F332" s="132"/>
      <c r="G332" s="94"/>
      <c r="H332" s="132"/>
      <c r="I332" s="94"/>
      <c r="J332" s="94"/>
      <c r="K332" s="125"/>
      <c r="L332" s="125"/>
      <c r="M332" s="99"/>
      <c r="N332" s="111"/>
      <c r="O332" s="112"/>
      <c r="P332" s="94"/>
      <c r="Q332" s="120"/>
      <c r="R332" s="113"/>
      <c r="S332" s="94"/>
      <c r="T332" s="94"/>
      <c r="V332" s="104"/>
    </row>
    <row r="333" ht="15.75" customHeight="1">
      <c r="A333" s="91"/>
      <c r="B333" s="131"/>
      <c r="C333" s="132"/>
      <c r="D333" s="94"/>
      <c r="E333" s="132"/>
      <c r="F333" s="132"/>
      <c r="G333" s="94"/>
      <c r="H333" s="132"/>
      <c r="I333" s="94"/>
      <c r="J333" s="94"/>
      <c r="K333" s="135"/>
      <c r="L333" s="135"/>
      <c r="M333" s="99"/>
      <c r="N333" s="111"/>
      <c r="O333" s="112"/>
      <c r="P333" s="94"/>
      <c r="Q333" s="120"/>
      <c r="R333" s="113"/>
      <c r="S333" s="94"/>
      <c r="T333" s="94"/>
      <c r="V333" s="104"/>
    </row>
    <row r="334" ht="15.75" customHeight="1">
      <c r="A334" s="91"/>
      <c r="B334" s="131"/>
      <c r="C334" s="132"/>
      <c r="D334" s="94"/>
      <c r="E334" s="132"/>
      <c r="F334" s="132"/>
      <c r="G334" s="94"/>
      <c r="H334" s="132"/>
      <c r="I334" s="94"/>
      <c r="J334" s="94"/>
      <c r="K334" s="135"/>
      <c r="L334" s="135"/>
      <c r="M334" s="99"/>
      <c r="N334" s="111"/>
      <c r="O334" s="112"/>
      <c r="P334" s="94"/>
      <c r="Q334" s="120"/>
      <c r="R334" s="113"/>
      <c r="S334" s="94"/>
      <c r="T334" s="94"/>
      <c r="V334" s="104"/>
    </row>
    <row r="335" ht="15.75" customHeight="1">
      <c r="A335" s="91"/>
      <c r="B335" s="131"/>
      <c r="C335" s="132"/>
      <c r="D335" s="94"/>
      <c r="E335" s="132"/>
      <c r="F335" s="132"/>
      <c r="G335" s="94"/>
      <c r="H335" s="132"/>
      <c r="I335" s="94"/>
      <c r="J335" s="94"/>
      <c r="K335" s="135"/>
      <c r="L335" s="135"/>
      <c r="M335" s="99"/>
      <c r="N335" s="111"/>
      <c r="O335" s="112"/>
      <c r="P335" s="94"/>
      <c r="Q335" s="120"/>
      <c r="R335" s="113"/>
      <c r="S335" s="94"/>
      <c r="T335" s="94"/>
      <c r="V335" s="104"/>
    </row>
    <row r="336" ht="15.75" customHeight="1">
      <c r="A336" s="91"/>
      <c r="B336" s="131"/>
      <c r="C336" s="104"/>
      <c r="D336" s="94"/>
      <c r="E336" s="132"/>
      <c r="F336" s="132"/>
      <c r="G336" s="94"/>
      <c r="H336" s="132"/>
      <c r="I336" s="94"/>
      <c r="J336" s="94"/>
      <c r="K336" s="135"/>
      <c r="L336" s="135"/>
      <c r="M336" s="99"/>
      <c r="N336" s="111"/>
      <c r="O336" s="112"/>
      <c r="P336" s="94"/>
      <c r="Q336" s="120"/>
      <c r="R336" s="113"/>
      <c r="S336" s="94"/>
      <c r="T336" s="94"/>
      <c r="V336" s="104"/>
    </row>
    <row r="337" ht="15.75" customHeight="1">
      <c r="A337" s="91"/>
      <c r="B337" s="131"/>
      <c r="C337" s="132"/>
      <c r="D337" s="94"/>
      <c r="E337" s="132"/>
      <c r="F337" s="132"/>
      <c r="G337" s="94"/>
      <c r="H337" s="132"/>
      <c r="I337" s="94"/>
      <c r="J337" s="94"/>
      <c r="K337" s="135"/>
      <c r="L337" s="135"/>
      <c r="M337" s="99"/>
      <c r="N337" s="111"/>
      <c r="O337" s="112"/>
      <c r="P337" s="94"/>
      <c r="Q337" s="120"/>
      <c r="R337" s="113"/>
      <c r="S337" s="94"/>
      <c r="T337" s="94"/>
      <c r="V337" s="104"/>
    </row>
    <row r="338" ht="15.75" customHeight="1">
      <c r="A338" s="91"/>
      <c r="B338" s="131"/>
      <c r="C338" s="132"/>
      <c r="D338" s="94"/>
      <c r="E338" s="132"/>
      <c r="F338" s="132"/>
      <c r="G338" s="94"/>
      <c r="H338" s="132"/>
      <c r="I338" s="94"/>
      <c r="J338" s="94"/>
      <c r="K338" s="135"/>
      <c r="L338" s="135"/>
      <c r="M338" s="99"/>
      <c r="N338" s="111"/>
      <c r="O338" s="112"/>
      <c r="P338" s="94"/>
      <c r="Q338" s="120"/>
      <c r="R338" s="113"/>
      <c r="S338" s="94"/>
      <c r="T338" s="94"/>
      <c r="V338" s="104"/>
    </row>
    <row r="339" ht="15.75" customHeight="1">
      <c r="A339" s="91"/>
      <c r="B339" s="131"/>
      <c r="C339" s="132"/>
      <c r="D339" s="94"/>
      <c r="E339" s="132"/>
      <c r="F339" s="132"/>
      <c r="G339" s="94"/>
      <c r="H339" s="132"/>
      <c r="I339" s="94"/>
      <c r="J339" s="94"/>
      <c r="K339" s="135"/>
      <c r="L339" s="135"/>
      <c r="M339" s="99"/>
      <c r="N339" s="111"/>
      <c r="O339" s="112"/>
      <c r="P339" s="94"/>
      <c r="Q339" s="120"/>
      <c r="R339" s="113"/>
      <c r="S339" s="94"/>
      <c r="T339" s="94"/>
      <c r="V339" s="104"/>
    </row>
    <row r="340" ht="15.75" customHeight="1">
      <c r="A340" s="91"/>
      <c r="B340" s="131"/>
      <c r="C340" s="132"/>
      <c r="D340" s="94"/>
      <c r="E340" s="132"/>
      <c r="F340" s="132"/>
      <c r="G340" s="94"/>
      <c r="H340" s="132"/>
      <c r="I340" s="94"/>
      <c r="J340" s="94"/>
      <c r="K340" s="135"/>
      <c r="L340" s="135"/>
      <c r="M340" s="99"/>
      <c r="N340" s="111"/>
      <c r="O340" s="112"/>
      <c r="P340" s="94"/>
      <c r="Q340" s="120"/>
      <c r="R340" s="113"/>
      <c r="S340" s="94"/>
      <c r="T340" s="94"/>
      <c r="V340" s="104"/>
    </row>
    <row r="341" ht="15.75" customHeight="1">
      <c r="A341" s="91"/>
      <c r="B341" s="131"/>
      <c r="C341" s="132"/>
      <c r="D341" s="94"/>
      <c r="E341" s="132"/>
      <c r="F341" s="132"/>
      <c r="G341" s="94"/>
      <c r="H341" s="132"/>
      <c r="I341" s="94"/>
      <c r="J341" s="94"/>
      <c r="K341" s="135"/>
      <c r="L341" s="135"/>
      <c r="M341" s="99"/>
      <c r="N341" s="111"/>
      <c r="O341" s="112"/>
      <c r="P341" s="94"/>
      <c r="Q341" s="120"/>
      <c r="R341" s="113"/>
      <c r="S341" s="94"/>
      <c r="T341" s="94"/>
      <c r="V341" s="104"/>
    </row>
    <row r="342" ht="15.75" customHeight="1">
      <c r="A342" s="91"/>
      <c r="B342" s="131"/>
      <c r="C342" s="104"/>
      <c r="D342" s="94"/>
      <c r="E342" s="132"/>
      <c r="F342" s="132"/>
      <c r="G342" s="94"/>
      <c r="H342" s="132"/>
      <c r="I342" s="94"/>
      <c r="J342" s="94"/>
      <c r="K342" s="135"/>
      <c r="L342" s="135"/>
      <c r="M342" s="99"/>
      <c r="N342" s="111"/>
      <c r="O342" s="112"/>
      <c r="P342" s="94"/>
      <c r="Q342" s="120"/>
      <c r="R342" s="113"/>
      <c r="S342" s="94"/>
      <c r="T342" s="94"/>
      <c r="V342" s="104"/>
    </row>
    <row r="343" ht="15.75" customHeight="1">
      <c r="A343" s="91"/>
      <c r="B343" s="131"/>
      <c r="C343" s="132"/>
      <c r="D343" s="94"/>
      <c r="E343" s="132"/>
      <c r="F343" s="132"/>
      <c r="G343" s="94"/>
      <c r="H343" s="132"/>
      <c r="I343" s="94"/>
      <c r="J343" s="94"/>
      <c r="K343" s="135"/>
      <c r="L343" s="135"/>
      <c r="M343" s="99"/>
      <c r="N343" s="111"/>
      <c r="O343" s="112"/>
      <c r="P343" s="94"/>
      <c r="Q343" s="120"/>
      <c r="R343" s="113"/>
      <c r="S343" s="94"/>
      <c r="T343" s="94"/>
      <c r="V343" s="104"/>
    </row>
    <row r="344" ht="15.75" customHeight="1">
      <c r="A344" s="91"/>
      <c r="B344" s="131"/>
      <c r="C344" s="132"/>
      <c r="D344" s="94"/>
      <c r="E344" s="132"/>
      <c r="F344" s="132"/>
      <c r="G344" s="94"/>
      <c r="H344" s="132"/>
      <c r="I344" s="94"/>
      <c r="J344" s="94"/>
      <c r="K344" s="135"/>
      <c r="L344" s="135"/>
      <c r="M344" s="99"/>
      <c r="N344" s="111"/>
      <c r="O344" s="112"/>
      <c r="P344" s="94"/>
      <c r="Q344" s="120"/>
      <c r="R344" s="113"/>
      <c r="S344" s="94"/>
      <c r="T344" s="94"/>
      <c r="V344" s="104"/>
    </row>
    <row r="345" ht="15.75" customHeight="1">
      <c r="A345" s="91"/>
      <c r="B345" s="131"/>
      <c r="C345" s="132"/>
      <c r="D345" s="94"/>
      <c r="E345" s="132"/>
      <c r="F345" s="132"/>
      <c r="G345" s="94"/>
      <c r="H345" s="132"/>
      <c r="I345" s="94"/>
      <c r="J345" s="94"/>
      <c r="K345" s="135"/>
      <c r="L345" s="135"/>
      <c r="M345" s="99"/>
      <c r="N345" s="111"/>
      <c r="O345" s="112"/>
      <c r="P345" s="94"/>
      <c r="Q345" s="120"/>
      <c r="R345" s="113"/>
      <c r="S345" s="94"/>
      <c r="T345" s="94"/>
      <c r="V345" s="104"/>
    </row>
    <row r="346" ht="15.75" customHeight="1">
      <c r="A346" s="91"/>
      <c r="B346" s="131"/>
      <c r="C346" s="132"/>
      <c r="D346" s="94"/>
      <c r="E346" s="132"/>
      <c r="F346" s="132"/>
      <c r="G346" s="94"/>
      <c r="H346" s="132"/>
      <c r="I346" s="94"/>
      <c r="J346" s="94"/>
      <c r="K346" s="135"/>
      <c r="L346" s="135"/>
      <c r="M346" s="99"/>
      <c r="N346" s="111"/>
      <c r="O346" s="112"/>
      <c r="P346" s="94"/>
      <c r="Q346" s="120"/>
      <c r="R346" s="113"/>
      <c r="S346" s="94"/>
      <c r="T346" s="94"/>
      <c r="V346" s="104"/>
    </row>
    <row r="347" ht="15.75" customHeight="1">
      <c r="A347" s="91"/>
      <c r="B347" s="131"/>
      <c r="C347" s="132"/>
      <c r="D347" s="94"/>
      <c r="E347" s="132"/>
      <c r="F347" s="132"/>
      <c r="G347" s="94"/>
      <c r="H347" s="132"/>
      <c r="I347" s="94"/>
      <c r="J347" s="94"/>
      <c r="K347" s="135"/>
      <c r="L347" s="135"/>
      <c r="M347" s="99"/>
      <c r="N347" s="111"/>
      <c r="O347" s="112"/>
      <c r="P347" s="94"/>
      <c r="Q347" s="120"/>
      <c r="R347" s="113"/>
      <c r="S347" s="94"/>
      <c r="T347" s="94"/>
      <c r="V347" s="104"/>
    </row>
    <row r="348" ht="15.75" customHeight="1">
      <c r="A348" s="91"/>
      <c r="B348" s="131"/>
      <c r="C348" s="104"/>
      <c r="D348" s="94"/>
      <c r="E348" s="132"/>
      <c r="F348" s="132"/>
      <c r="G348" s="94"/>
      <c r="H348" s="132"/>
      <c r="I348" s="94"/>
      <c r="J348" s="94"/>
      <c r="K348" s="135"/>
      <c r="L348" s="135"/>
      <c r="M348" s="99"/>
      <c r="N348" s="111"/>
      <c r="O348" s="112"/>
      <c r="P348" s="94"/>
      <c r="Q348" s="120"/>
      <c r="R348" s="113"/>
      <c r="S348" s="94"/>
      <c r="T348" s="94"/>
      <c r="V348" s="104"/>
    </row>
    <row r="349" ht="15.75" customHeight="1">
      <c r="A349" s="91"/>
      <c r="B349" s="131"/>
      <c r="C349" s="132"/>
      <c r="D349" s="94"/>
      <c r="E349" s="132"/>
      <c r="F349" s="132"/>
      <c r="G349" s="94"/>
      <c r="H349" s="132"/>
      <c r="I349" s="94"/>
      <c r="J349" s="94"/>
      <c r="K349" s="135"/>
      <c r="L349" s="135"/>
      <c r="M349" s="99"/>
      <c r="N349" s="111"/>
      <c r="O349" s="112"/>
      <c r="P349" s="94"/>
      <c r="Q349" s="120"/>
      <c r="R349" s="113"/>
      <c r="S349" s="94"/>
      <c r="T349" s="94"/>
      <c r="V349" s="104"/>
    </row>
    <row r="350" ht="15.75" customHeight="1">
      <c r="A350" s="91"/>
      <c r="B350" s="131"/>
      <c r="C350" s="132"/>
      <c r="D350" s="94"/>
      <c r="E350" s="132"/>
      <c r="F350" s="132"/>
      <c r="G350" s="94"/>
      <c r="H350" s="132"/>
      <c r="I350" s="94"/>
      <c r="J350" s="94"/>
      <c r="K350" s="135"/>
      <c r="L350" s="135"/>
      <c r="M350" s="99"/>
      <c r="N350" s="111"/>
      <c r="O350" s="112"/>
      <c r="P350" s="94"/>
      <c r="Q350" s="120"/>
      <c r="R350" s="113"/>
      <c r="S350" s="94"/>
      <c r="T350" s="94"/>
      <c r="V350" s="104"/>
    </row>
    <row r="351" ht="15.75" customHeight="1">
      <c r="A351" s="91"/>
      <c r="B351" s="131"/>
      <c r="C351" s="132"/>
      <c r="D351" s="94"/>
      <c r="E351" s="132"/>
      <c r="F351" s="132"/>
      <c r="G351" s="94"/>
      <c r="H351" s="132"/>
      <c r="I351" s="94"/>
      <c r="J351" s="94"/>
      <c r="K351" s="135"/>
      <c r="L351" s="135"/>
      <c r="M351" s="99"/>
      <c r="N351" s="111"/>
      <c r="O351" s="112"/>
      <c r="P351" s="94"/>
      <c r="Q351" s="120"/>
      <c r="R351" s="113"/>
      <c r="S351" s="94"/>
      <c r="T351" s="94"/>
      <c r="V351" s="104"/>
    </row>
    <row r="352" ht="15.75" customHeight="1">
      <c r="A352" s="91"/>
      <c r="B352" s="131"/>
      <c r="C352" s="132"/>
      <c r="D352" s="94"/>
      <c r="E352" s="132"/>
      <c r="F352" s="132"/>
      <c r="G352" s="94"/>
      <c r="H352" s="132"/>
      <c r="I352" s="94"/>
      <c r="J352" s="94"/>
      <c r="K352" s="135"/>
      <c r="L352" s="135"/>
      <c r="M352" s="99"/>
      <c r="N352" s="111"/>
      <c r="O352" s="112"/>
      <c r="P352" s="94"/>
      <c r="Q352" s="120"/>
      <c r="R352" s="113"/>
      <c r="S352" s="94"/>
      <c r="T352" s="94"/>
      <c r="V352" s="104"/>
    </row>
    <row r="353" ht="15.75" customHeight="1">
      <c r="A353" s="91"/>
      <c r="B353" s="131"/>
      <c r="C353" s="132"/>
      <c r="D353" s="94"/>
      <c r="E353" s="132"/>
      <c r="F353" s="132"/>
      <c r="G353" s="94"/>
      <c r="H353" s="132"/>
      <c r="I353" s="94"/>
      <c r="J353" s="94"/>
      <c r="K353" s="135"/>
      <c r="L353" s="135"/>
      <c r="M353" s="99"/>
      <c r="N353" s="111"/>
      <c r="O353" s="112"/>
      <c r="P353" s="94"/>
      <c r="Q353" s="120"/>
      <c r="R353" s="113"/>
      <c r="S353" s="94"/>
      <c r="T353" s="94"/>
      <c r="V353" s="104"/>
    </row>
    <row r="354" ht="15.75" customHeight="1">
      <c r="A354" s="91"/>
      <c r="B354" s="131"/>
      <c r="C354" s="104"/>
      <c r="D354" s="94"/>
      <c r="E354" s="132"/>
      <c r="F354" s="132"/>
      <c r="G354" s="94"/>
      <c r="H354" s="132"/>
      <c r="I354" s="94"/>
      <c r="J354" s="94"/>
      <c r="K354" s="135"/>
      <c r="L354" s="135"/>
      <c r="M354" s="99"/>
      <c r="N354" s="111"/>
      <c r="O354" s="112"/>
      <c r="P354" s="94"/>
      <c r="Q354" s="120"/>
      <c r="R354" s="113"/>
      <c r="S354" s="94"/>
      <c r="T354" s="94"/>
      <c r="V354" s="104"/>
    </row>
    <row r="355" ht="15.75" customHeight="1">
      <c r="A355" s="91"/>
      <c r="B355" s="131"/>
      <c r="C355" s="132"/>
      <c r="D355" s="94"/>
      <c r="E355" s="132"/>
      <c r="F355" s="132"/>
      <c r="G355" s="94"/>
      <c r="H355" s="132"/>
      <c r="I355" s="94"/>
      <c r="J355" s="94"/>
      <c r="K355" s="135"/>
      <c r="L355" s="135"/>
      <c r="M355" s="99"/>
      <c r="N355" s="111"/>
      <c r="O355" s="112"/>
      <c r="P355" s="94"/>
      <c r="Q355" s="120"/>
      <c r="R355" s="113"/>
      <c r="S355" s="94"/>
      <c r="T355" s="94"/>
      <c r="V355" s="104"/>
    </row>
    <row r="356" ht="15.75" customHeight="1">
      <c r="A356" s="91"/>
      <c r="B356" s="131"/>
      <c r="C356" s="132"/>
      <c r="D356" s="94"/>
      <c r="E356" s="132"/>
      <c r="F356" s="132"/>
      <c r="G356" s="94"/>
      <c r="H356" s="132"/>
      <c r="I356" s="94"/>
      <c r="J356" s="94"/>
      <c r="K356" s="135"/>
      <c r="L356" s="135"/>
      <c r="M356" s="99"/>
      <c r="N356" s="111"/>
      <c r="O356" s="112"/>
      <c r="P356" s="94"/>
      <c r="Q356" s="120"/>
      <c r="R356" s="113"/>
      <c r="S356" s="94"/>
      <c r="T356" s="94"/>
      <c r="V356" s="104"/>
    </row>
    <row r="357" ht="15.75" customHeight="1">
      <c r="A357" s="91"/>
      <c r="B357" s="131"/>
      <c r="C357" s="132"/>
      <c r="D357" s="94"/>
      <c r="E357" s="132"/>
      <c r="F357" s="132"/>
      <c r="G357" s="94"/>
      <c r="H357" s="132"/>
      <c r="I357" s="94"/>
      <c r="J357" s="94"/>
      <c r="K357" s="135"/>
      <c r="L357" s="135"/>
      <c r="M357" s="99"/>
      <c r="N357" s="111"/>
      <c r="O357" s="112"/>
      <c r="P357" s="94"/>
      <c r="Q357" s="120"/>
      <c r="R357" s="113"/>
      <c r="S357" s="94"/>
      <c r="T357" s="94"/>
      <c r="V357" s="104"/>
    </row>
    <row r="358" ht="15.75" customHeight="1">
      <c r="A358" s="91"/>
      <c r="B358" s="131"/>
      <c r="C358" s="132"/>
      <c r="D358" s="94"/>
      <c r="E358" s="132"/>
      <c r="F358" s="132"/>
      <c r="G358" s="94"/>
      <c r="H358" s="132"/>
      <c r="I358" s="94"/>
      <c r="J358" s="94"/>
      <c r="K358" s="135"/>
      <c r="L358" s="135"/>
      <c r="M358" s="99"/>
      <c r="N358" s="111"/>
      <c r="O358" s="112"/>
      <c r="P358" s="94"/>
      <c r="Q358" s="120"/>
      <c r="R358" s="113"/>
      <c r="S358" s="94"/>
      <c r="T358" s="94"/>
      <c r="V358" s="104"/>
    </row>
    <row r="359" ht="15.75" customHeight="1">
      <c r="A359" s="91"/>
      <c r="B359" s="131"/>
      <c r="C359" s="132"/>
      <c r="D359" s="94"/>
      <c r="E359" s="132"/>
      <c r="F359" s="132"/>
      <c r="G359" s="94"/>
      <c r="H359" s="132"/>
      <c r="I359" s="94"/>
      <c r="J359" s="94"/>
      <c r="K359" s="135"/>
      <c r="L359" s="135"/>
      <c r="M359" s="99"/>
      <c r="N359" s="111"/>
      <c r="O359" s="112"/>
      <c r="P359" s="94"/>
      <c r="Q359" s="120"/>
      <c r="R359" s="113"/>
      <c r="S359" s="94"/>
      <c r="T359" s="94"/>
      <c r="V359" s="104"/>
    </row>
    <row r="360" ht="15.75" customHeight="1">
      <c r="A360" s="91"/>
      <c r="B360" s="131"/>
      <c r="C360" s="104"/>
      <c r="D360" s="94"/>
      <c r="E360" s="132"/>
      <c r="F360" s="132"/>
      <c r="G360" s="94"/>
      <c r="H360" s="132"/>
      <c r="I360" s="94"/>
      <c r="J360" s="94"/>
      <c r="K360" s="135"/>
      <c r="L360" s="135"/>
      <c r="M360" s="99"/>
      <c r="N360" s="111"/>
      <c r="O360" s="112"/>
      <c r="P360" s="94"/>
      <c r="Q360" s="120"/>
      <c r="R360" s="113"/>
      <c r="S360" s="94"/>
      <c r="T360" s="94"/>
      <c r="V360" s="104"/>
    </row>
    <row r="361" ht="15.75" customHeight="1">
      <c r="A361" s="91"/>
      <c r="B361" s="131"/>
      <c r="C361" s="132"/>
      <c r="D361" s="94"/>
      <c r="E361" s="132"/>
      <c r="F361" s="132"/>
      <c r="G361" s="94"/>
      <c r="H361" s="132"/>
      <c r="I361" s="94"/>
      <c r="J361" s="94"/>
      <c r="K361" s="135"/>
      <c r="L361" s="135"/>
      <c r="M361" s="99"/>
      <c r="N361" s="111"/>
      <c r="O361" s="112"/>
      <c r="P361" s="94"/>
      <c r="Q361" s="120"/>
      <c r="R361" s="113"/>
      <c r="S361" s="94"/>
      <c r="T361" s="94"/>
      <c r="V361" s="104"/>
    </row>
    <row r="362" ht="15.75" customHeight="1">
      <c r="A362" s="91"/>
      <c r="B362" s="131"/>
      <c r="C362" s="132"/>
      <c r="D362" s="94"/>
      <c r="E362" s="132"/>
      <c r="F362" s="132"/>
      <c r="G362" s="94"/>
      <c r="H362" s="132"/>
      <c r="I362" s="94"/>
      <c r="J362" s="94"/>
      <c r="K362" s="135"/>
      <c r="L362" s="135"/>
      <c r="M362" s="99"/>
      <c r="N362" s="111"/>
      <c r="O362" s="112"/>
      <c r="P362" s="94"/>
      <c r="Q362" s="120"/>
      <c r="R362" s="113"/>
      <c r="S362" s="94"/>
      <c r="T362" s="94"/>
      <c r="V362" s="104"/>
    </row>
    <row r="363" ht="15.75" customHeight="1">
      <c r="A363" s="91"/>
      <c r="B363" s="131"/>
      <c r="C363" s="132"/>
      <c r="D363" s="94"/>
      <c r="E363" s="132"/>
      <c r="F363" s="132"/>
      <c r="G363" s="94"/>
      <c r="H363" s="132"/>
      <c r="I363" s="94"/>
      <c r="J363" s="94"/>
      <c r="K363" s="135"/>
      <c r="L363" s="135"/>
      <c r="M363" s="99"/>
      <c r="N363" s="111"/>
      <c r="O363" s="112"/>
      <c r="P363" s="94"/>
      <c r="Q363" s="120"/>
      <c r="R363" s="113"/>
      <c r="S363" s="94"/>
      <c r="T363" s="94"/>
      <c r="V363" s="104"/>
    </row>
    <row r="364" ht="15.75" customHeight="1">
      <c r="A364" s="91"/>
      <c r="B364" s="131"/>
      <c r="C364" s="132"/>
      <c r="D364" s="94"/>
      <c r="E364" s="132"/>
      <c r="F364" s="132"/>
      <c r="G364" s="94"/>
      <c r="H364" s="132"/>
      <c r="I364" s="94"/>
      <c r="J364" s="94"/>
      <c r="K364" s="135"/>
      <c r="L364" s="135"/>
      <c r="M364" s="99"/>
      <c r="N364" s="111"/>
      <c r="O364" s="112"/>
      <c r="P364" s="94"/>
      <c r="Q364" s="120"/>
      <c r="R364" s="113"/>
      <c r="S364" s="94"/>
      <c r="T364" s="94"/>
      <c r="V364" s="104"/>
    </row>
    <row r="365" ht="15.75" customHeight="1">
      <c r="A365" s="91"/>
      <c r="B365" s="131"/>
      <c r="C365" s="132"/>
      <c r="D365" s="94"/>
      <c r="E365" s="132"/>
      <c r="F365" s="132"/>
      <c r="G365" s="94"/>
      <c r="H365" s="132"/>
      <c r="I365" s="94"/>
      <c r="J365" s="94"/>
      <c r="K365" s="135"/>
      <c r="L365" s="135"/>
      <c r="M365" s="99"/>
      <c r="N365" s="111"/>
      <c r="O365" s="112"/>
      <c r="P365" s="94"/>
      <c r="Q365" s="120"/>
      <c r="R365" s="113"/>
      <c r="S365" s="94"/>
      <c r="T365" s="94"/>
      <c r="V365" s="104"/>
    </row>
  </sheetData>
  <customSheetViews>
    <customSheetView guid="{FE509773-0638-41EB-A036-A8EE905B9B6D}" filter="1" showAutoFilter="1">
      <autoFilter ref="$R$24:$R$25"/>
    </customSheetView>
  </customSheetViews>
  <mergeCells count="354">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62:U362"/>
    <mergeCell ref="T363:U363"/>
    <mergeCell ref="T364:U364"/>
    <mergeCell ref="T365:U365"/>
    <mergeCell ref="T355:U355"/>
    <mergeCell ref="T356:U356"/>
    <mergeCell ref="T357:U357"/>
    <mergeCell ref="T358:U358"/>
    <mergeCell ref="T359:U359"/>
    <mergeCell ref="T360:U360"/>
    <mergeCell ref="T361:U361"/>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 ref="T352:U352"/>
    <mergeCell ref="T353:U353"/>
    <mergeCell ref="T354:U354"/>
  </mergeCells>
  <dataValidations>
    <dataValidation type="list" allowBlank="1" showErrorMessage="1" sqref="N13:N365">
      <formula1>"Think About It,Money,Partner,Time,Fear,Value"</formula1>
    </dataValidation>
    <dataValidation type="list" allowBlank="1" showErrorMessage="1" sqref="I13:J13 I14 I15:J40 I41 I42:J107 I108:I114 I115:J365">
      <formula1>"Full-Pay,Split-Pay,Deposit,Offer &amp; Didn't Buy,Bad Fit &amp; No Offer,Drag Over &amp; Show,Rescheduled,Cancelled,No-Show"</formula1>
    </dataValidation>
    <dataValidation type="list" allowBlank="1" showErrorMessage="1" sqref="S13:S365">
      <formula1>"Closed,Follow Up,Hot Follow Up,Deposit (Follow Up Set),Follow Up Set,X"</formula1>
    </dataValidation>
    <dataValidation type="list" allowBlank="1" showErrorMessage="1" sqref="J14 J41">
      <formula1>"Full-Pay,Split-Pay,Deposit,Offer &amp; Didn't Buy,Bad Fit &amp; No Offer,Drag Over &amp; Show,Rescheduled,Cancelled,No-Show"</formula1>
    </dataValidation>
    <dataValidation type="list" allowBlank="1" sqref="H13:H71 H75">
      <formula1>"Reschedule,YouTube,YouTube Ads,Email,Facebook,Facebook Ads"</formula1>
    </dataValidation>
    <dataValidation type="list" allowBlank="1" sqref="H72:H74 H76:H365">
      <formula1>"IG,Setter,Ads,Email,Facebook,Facebook Ads"</formula1>
    </dataValidation>
  </dataValidations>
  <hyperlinks>
    <hyperlink r:id="rId2" ref="F77"/>
    <hyperlink r:id="rId3" ref="F130"/>
    <hyperlink r:id="rId4" ref="F131"/>
  </hyperlinks>
  <drawing r:id="rId5"/>
  <legacy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0.38"/>
    <col customWidth="1" min="3" max="3" width="13.38"/>
    <col customWidth="1" min="4" max="4" width="0.38"/>
    <col customWidth="1" min="5" max="5" width="15.13"/>
    <col customWidth="1" min="6" max="6" width="16.38"/>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t="s">
        <v>1300</v>
      </c>
      <c r="B1" s="6" t="s">
        <v>31</v>
      </c>
      <c r="C1" s="6" t="s">
        <v>32</v>
      </c>
      <c r="D1" s="39"/>
      <c r="E1" s="226" t="s">
        <v>1714</v>
      </c>
      <c r="F1" s="39"/>
      <c r="H1" s="40" t="s">
        <v>33</v>
      </c>
      <c r="I1" s="41"/>
      <c r="J1" s="39"/>
      <c r="K1" s="40" t="s">
        <v>34</v>
      </c>
      <c r="L1" s="41"/>
      <c r="M1" s="13"/>
      <c r="N1" s="42" t="s">
        <v>35</v>
      </c>
      <c r="O1" s="43"/>
      <c r="P1" s="13"/>
      <c r="Q1" s="40" t="s">
        <v>36</v>
      </c>
      <c r="R1" s="44"/>
      <c r="S1" s="39"/>
      <c r="T1" s="40" t="s">
        <v>37</v>
      </c>
      <c r="U1" s="45"/>
      <c r="V1" s="39"/>
    </row>
    <row r="2">
      <c r="A2" s="39"/>
      <c r="B2" s="41"/>
      <c r="C2" s="41"/>
      <c r="D2" s="13"/>
      <c r="E2" s="227" t="s">
        <v>1715</v>
      </c>
      <c r="F2" s="228">
        <f>C3/C6</f>
        <v>3231.578947</v>
      </c>
      <c r="H2" s="46" t="s">
        <v>26</v>
      </c>
      <c r="I2" s="47">
        <f>IFERROR(COUNTIFS(I13:I311, "Full-Pay"),"")</f>
        <v>7</v>
      </c>
      <c r="J2" s="13"/>
      <c r="K2" s="48" t="s">
        <v>16</v>
      </c>
      <c r="L2" s="49">
        <f>iferror(L10/L8,"")</f>
        <v>0.350877193</v>
      </c>
      <c r="M2" s="12"/>
      <c r="N2" s="50" t="s">
        <v>39</v>
      </c>
      <c r="O2" s="51">
        <f>iferror(I8/L6,"")</f>
        <v>0.06024096386</v>
      </c>
      <c r="P2" s="12"/>
      <c r="Q2" s="52" t="s">
        <v>40</v>
      </c>
      <c r="R2" s="53">
        <f>IFERROR(COUNTIFS(N35:N310, "think about it"),"")</f>
        <v>2</v>
      </c>
      <c r="S2" s="13"/>
      <c r="T2" s="54" t="s">
        <v>41</v>
      </c>
      <c r="U2" s="55">
        <f>IFERROR(COUNTIF(H35:H310,"setter"),"")</f>
        <v>62</v>
      </c>
      <c r="V2" s="58"/>
    </row>
    <row r="3">
      <c r="A3" s="13"/>
      <c r="B3" s="59" t="s">
        <v>43</v>
      </c>
      <c r="C3" s="60">
        <f>IFERROR(SUM(K13:K307),"")</f>
        <v>184200</v>
      </c>
      <c r="D3" s="61"/>
      <c r="E3" s="229" t="s">
        <v>1716</v>
      </c>
      <c r="F3" s="230">
        <f>C4/C6</f>
        <v>1496.491228</v>
      </c>
      <c r="H3" s="46" t="s">
        <v>27</v>
      </c>
      <c r="I3" s="47">
        <f>IFERROR(COUNTIFS(I13:I311, "Split-Pay"),"")</f>
        <v>13</v>
      </c>
      <c r="J3" s="13"/>
      <c r="K3" s="48" t="s">
        <v>17</v>
      </c>
      <c r="L3" s="49">
        <f>IFERROR(L10/L9,"")</f>
        <v>0.3703703704</v>
      </c>
      <c r="M3" s="12"/>
      <c r="N3" s="50" t="s">
        <v>44</v>
      </c>
      <c r="O3" s="51">
        <f>iferror(I9/L6,"")</f>
        <v>0.04819277108</v>
      </c>
      <c r="P3" s="12"/>
      <c r="Q3" s="52" t="s">
        <v>45</v>
      </c>
      <c r="R3" s="62">
        <f>IFERROR(COUNTIFS(N35:N310, "money"),"")</f>
        <v>17</v>
      </c>
      <c r="S3" s="13"/>
      <c r="T3" s="54" t="s">
        <v>46</v>
      </c>
      <c r="U3" s="55">
        <f>IFERROR(COUNTIF(H35:H310,"IG"),"")</f>
        <v>0</v>
      </c>
      <c r="V3" s="58"/>
    </row>
    <row r="4">
      <c r="A4" s="13"/>
      <c r="B4" s="63" t="s">
        <v>48</v>
      </c>
      <c r="C4" s="64">
        <f>IFERROR(SUM(L13:L308),"")</f>
        <v>85300</v>
      </c>
      <c r="D4" s="61"/>
      <c r="E4" s="229" t="s">
        <v>1717</v>
      </c>
      <c r="F4" s="231">
        <f>C4/C3*100</f>
        <v>46.30836048</v>
      </c>
      <c r="H4" s="46" t="s">
        <v>28</v>
      </c>
      <c r="I4" s="47">
        <f>IFERROR(COUNTIFS(I13:I311, "Deposit"),"")</f>
        <v>1</v>
      </c>
      <c r="J4" s="13"/>
      <c r="K4" s="48" t="s">
        <v>18</v>
      </c>
      <c r="L4" s="49">
        <f>IFERROR(L9/L8,"")</f>
        <v>0.9473684211</v>
      </c>
      <c r="M4" s="12"/>
      <c r="N4" s="50" t="s">
        <v>49</v>
      </c>
      <c r="O4" s="51">
        <f>iferror(I10/L6,"")</f>
        <v>0.2048192771</v>
      </c>
      <c r="P4" s="12"/>
      <c r="Q4" s="52" t="s">
        <v>50</v>
      </c>
      <c r="R4" s="53">
        <f>IFERROR(COUNTIFS(N35:N310, "time"),"")</f>
        <v>3</v>
      </c>
      <c r="S4" s="13"/>
      <c r="T4" s="54" t="s">
        <v>51</v>
      </c>
      <c r="U4" s="55">
        <f>IFERROR(COUNTIF(H35:H310,"youtube"),"")</f>
        <v>0</v>
      </c>
      <c r="V4" s="39"/>
    </row>
    <row r="5">
      <c r="A5" s="39"/>
      <c r="B5" s="41"/>
      <c r="C5" s="41"/>
      <c r="D5" s="13"/>
      <c r="E5" s="229" t="s">
        <v>1718</v>
      </c>
      <c r="F5" s="232">
        <f>I2/C7*100</f>
        <v>35</v>
      </c>
      <c r="H5" s="46" t="s">
        <v>53</v>
      </c>
      <c r="I5" s="47">
        <f>IFERROR(COUNTIFS(I13:I311, "Offer &amp; Didn't Buy"),"")</f>
        <v>33</v>
      </c>
      <c r="J5" s="13"/>
      <c r="K5" s="48" t="s">
        <v>54</v>
      </c>
      <c r="L5" s="49">
        <f>IFERROR(I7/(C6+I7+I8),"")</f>
        <v>0</v>
      </c>
      <c r="M5" s="13"/>
      <c r="N5" s="50" t="s">
        <v>54</v>
      </c>
      <c r="O5" s="51">
        <f>iferror(I7/L6,"")</f>
        <v>0</v>
      </c>
      <c r="P5" s="12"/>
      <c r="Q5" s="52" t="s">
        <v>55</v>
      </c>
      <c r="R5" s="53">
        <f>IFERROR(COUNTIFS(N35:N310, "partner"),"")</f>
        <v>1</v>
      </c>
      <c r="S5" s="13"/>
      <c r="T5" s="56" t="s">
        <v>56</v>
      </c>
      <c r="U5" s="55">
        <f>IFERROR(COUNTIF(H35:H310,"email"),"")</f>
        <v>0</v>
      </c>
      <c r="V5" s="58"/>
    </row>
    <row r="6">
      <c r="A6" s="13"/>
      <c r="B6" s="65" t="s">
        <v>58</v>
      </c>
      <c r="C6" s="66">
        <f>IFERROR(SUM(I2:I6),"")</f>
        <v>57</v>
      </c>
      <c r="D6" s="13"/>
      <c r="E6" s="229" t="s">
        <v>1719</v>
      </c>
      <c r="F6" s="233">
        <f>AVERAGE(Q13:Q104)</f>
        <v>5.733333333</v>
      </c>
      <c r="H6" s="46" t="s">
        <v>59</v>
      </c>
      <c r="I6" s="47">
        <f>IFERROR(COUNTIFS(I13:I311, "Bad Fit &amp; No Offer"),"")</f>
        <v>3</v>
      </c>
      <c r="J6" s="13"/>
      <c r="K6" s="48" t="s">
        <v>21</v>
      </c>
      <c r="L6" s="67">
        <f>IFERROR(SUM(I2:I10),"")</f>
        <v>83</v>
      </c>
      <c r="M6" s="13"/>
      <c r="N6" s="68" t="s">
        <v>29</v>
      </c>
      <c r="O6" s="51">
        <f>iferror(L7/L6,"")</f>
        <v>0.686746988</v>
      </c>
      <c r="P6" s="12"/>
      <c r="Q6" s="52" t="s">
        <v>60</v>
      </c>
      <c r="R6" s="53">
        <f>IFERROR(COUNTIFS(N35:N310, "fear"),"")</f>
        <v>2</v>
      </c>
      <c r="S6" s="13"/>
      <c r="T6" s="56" t="s">
        <v>61</v>
      </c>
      <c r="U6" s="55">
        <f>IFERROR(COUNTIF(H35:H310,"facebook"),"")</f>
        <v>0</v>
      </c>
      <c r="V6" s="58"/>
    </row>
    <row r="7">
      <c r="A7" s="13"/>
      <c r="B7" s="65" t="s">
        <v>63</v>
      </c>
      <c r="C7" s="69">
        <f>IFERROR(I2+I3,"")</f>
        <v>20</v>
      </c>
      <c r="D7" s="13"/>
      <c r="E7" s="229" t="s">
        <v>1720</v>
      </c>
      <c r="F7" s="230">
        <f>C3/C7</f>
        <v>9210</v>
      </c>
      <c r="H7" s="46" t="s">
        <v>64</v>
      </c>
      <c r="I7" s="47">
        <f>IFERROR(COUNTIFS(I13:I311, "Drag Over &amp; Show"),"")</f>
        <v>0</v>
      </c>
      <c r="J7" s="13"/>
      <c r="K7" s="48" t="s">
        <v>22</v>
      </c>
      <c r="L7" s="67">
        <f>IFERROR(SUM(I2:I7),"")</f>
        <v>57</v>
      </c>
      <c r="M7" s="13"/>
      <c r="N7" s="70" t="s">
        <v>30</v>
      </c>
      <c r="O7" s="71">
        <f>IFERROR(L8/L6,"")</f>
        <v>0.686746988</v>
      </c>
      <c r="P7" s="12"/>
      <c r="Q7" s="72" t="s">
        <v>65</v>
      </c>
      <c r="R7" s="73">
        <f>IFERROR(COUNTIFS(N36:N311, "value"),"")</f>
        <v>1</v>
      </c>
      <c r="S7" s="13"/>
      <c r="T7" s="56" t="s">
        <v>66</v>
      </c>
      <c r="U7" s="55">
        <f>IFERROR(COUNTIF(H35:H310,"facebook ads"),"")</f>
        <v>0</v>
      </c>
      <c r="V7" s="39"/>
    </row>
    <row r="8">
      <c r="A8" s="13"/>
      <c r="B8" s="65" t="s">
        <v>68</v>
      </c>
      <c r="C8" s="74">
        <f>COUNTIF(I13:I310,"offer &amp; didn't buy")+COUNTIF(I35:I310,"deposit")+COUNTIF(I35:I310,"bad fit &amp; no offer")</f>
        <v>36</v>
      </c>
      <c r="D8" s="75"/>
      <c r="E8" s="229" t="s">
        <v>1721</v>
      </c>
      <c r="F8" s="230">
        <f>C4/C7</f>
        <v>4265</v>
      </c>
      <c r="H8" s="46" t="s">
        <v>69</v>
      </c>
      <c r="I8" s="47">
        <f>IFERROR(COUNTIFS(I13:I311, "Rescheduled"),"")</f>
        <v>5</v>
      </c>
      <c r="J8" s="13"/>
      <c r="K8" s="48" t="s">
        <v>23</v>
      </c>
      <c r="L8" s="67">
        <f>IFERROR(SUM(I2:I6),"")</f>
        <v>57</v>
      </c>
      <c r="M8" s="39"/>
      <c r="N8" s="39"/>
      <c r="O8" s="39"/>
      <c r="P8" s="39"/>
      <c r="Q8" s="39"/>
      <c r="R8" s="76"/>
      <c r="S8" s="13"/>
      <c r="T8" s="77" t="s">
        <v>70</v>
      </c>
      <c r="U8" s="78">
        <f>IFERROR(COUNTIF(H35:H310,T8),"")</f>
        <v>0</v>
      </c>
      <c r="V8" s="39"/>
    </row>
    <row r="9">
      <c r="A9" s="13"/>
      <c r="B9" s="80" t="s">
        <v>72</v>
      </c>
      <c r="C9" s="81">
        <f>iferror(SUM(C7/C6),"")</f>
        <v>0.350877193</v>
      </c>
      <c r="D9" s="12"/>
      <c r="E9" s="234"/>
      <c r="F9" s="235"/>
      <c r="H9" s="46" t="s">
        <v>73</v>
      </c>
      <c r="I9" s="47">
        <f>IFERROR(COUNTIFS(I13:I311, "Cancelled"),"")</f>
        <v>4</v>
      </c>
      <c r="J9" s="13"/>
      <c r="K9" s="48" t="s">
        <v>24</v>
      </c>
      <c r="L9" s="67">
        <f>IFERROR(sum(I2:I5),"")</f>
        <v>54</v>
      </c>
      <c r="M9" s="39"/>
      <c r="N9" s="39"/>
      <c r="O9" s="39"/>
      <c r="P9" s="39"/>
      <c r="Q9" s="39"/>
      <c r="R9" s="76"/>
      <c r="S9" s="39"/>
      <c r="T9" s="39"/>
      <c r="U9" s="39"/>
      <c r="V9" s="39"/>
    </row>
    <row r="10">
      <c r="A10" s="39"/>
      <c r="B10" s="82"/>
      <c r="C10" s="83">
        <f>C3/C6</f>
        <v>3231.578947</v>
      </c>
      <c r="D10" s="13"/>
      <c r="E10" s="236"/>
      <c r="F10" s="237"/>
      <c r="H10" s="84" t="s">
        <v>74</v>
      </c>
      <c r="I10" s="85">
        <f>IFERROR(COUNTIFS(I13:I311, "No-Show"),"")</f>
        <v>17</v>
      </c>
      <c r="J10" s="13"/>
      <c r="K10" s="86" t="s">
        <v>75</v>
      </c>
      <c r="L10" s="87">
        <f>I2+I3</f>
        <v>20</v>
      </c>
      <c r="M10" s="39"/>
      <c r="N10" s="39"/>
      <c r="O10" s="39"/>
      <c r="P10" s="39"/>
      <c r="Q10" s="39"/>
      <c r="R10" s="76"/>
      <c r="S10" s="39"/>
      <c r="T10" s="39"/>
      <c r="U10" s="39"/>
      <c r="V10" s="39"/>
    </row>
    <row r="11" ht="6.0" customHeight="1">
      <c r="A11" s="39"/>
      <c r="B11" s="39"/>
      <c r="C11" s="39"/>
      <c r="D11" s="39"/>
      <c r="E11" s="39"/>
      <c r="F11" s="39"/>
      <c r="G11" s="39"/>
      <c r="H11" s="39"/>
      <c r="I11" s="39"/>
      <c r="J11" s="39"/>
      <c r="K11" s="39"/>
      <c r="L11" s="39"/>
      <c r="M11" s="39"/>
      <c r="N11" s="39"/>
      <c r="O11" s="76"/>
      <c r="P11" s="39"/>
      <c r="Q11" s="39"/>
      <c r="R11" s="39"/>
      <c r="S11" s="39"/>
      <c r="T11" s="39"/>
      <c r="V11" s="39"/>
    </row>
    <row r="12">
      <c r="A12" s="39"/>
      <c r="B12" s="88" t="s">
        <v>76</v>
      </c>
      <c r="C12" s="88" t="s">
        <v>32</v>
      </c>
      <c r="D12" s="39"/>
      <c r="E12" s="6" t="s">
        <v>77</v>
      </c>
      <c r="F12" s="89" t="s">
        <v>78</v>
      </c>
      <c r="G12" s="39"/>
      <c r="H12" s="6" t="s">
        <v>37</v>
      </c>
      <c r="I12" s="6" t="s">
        <v>33</v>
      </c>
      <c r="J12" s="39"/>
      <c r="K12" s="6" t="s">
        <v>79</v>
      </c>
      <c r="L12" s="6" t="s">
        <v>48</v>
      </c>
      <c r="M12" s="39"/>
      <c r="N12" s="6" t="s">
        <v>80</v>
      </c>
      <c r="O12" s="90" t="s">
        <v>81</v>
      </c>
      <c r="P12" s="39"/>
      <c r="Q12" s="6" t="s">
        <v>82</v>
      </c>
      <c r="R12" s="6" t="s">
        <v>83</v>
      </c>
      <c r="S12" s="6" t="s">
        <v>84</v>
      </c>
      <c r="T12" s="6" t="s">
        <v>85</v>
      </c>
      <c r="V12" s="58"/>
    </row>
    <row r="13" ht="15.75" customHeight="1">
      <c r="A13" s="91"/>
      <c r="B13" s="92">
        <v>45666.0</v>
      </c>
      <c r="C13" s="93" t="s">
        <v>616</v>
      </c>
      <c r="D13" s="94"/>
      <c r="E13" s="243" t="s">
        <v>1439</v>
      </c>
      <c r="F13" s="225" t="s">
        <v>2022</v>
      </c>
      <c r="G13" s="94"/>
      <c r="H13" s="93" t="s">
        <v>41</v>
      </c>
      <c r="I13" s="102" t="s">
        <v>103</v>
      </c>
      <c r="J13" s="94"/>
      <c r="K13" s="98">
        <v>6000.0</v>
      </c>
      <c r="L13" s="98">
        <v>6000.0</v>
      </c>
      <c r="M13" s="99"/>
      <c r="N13" s="100" t="s">
        <v>98</v>
      </c>
      <c r="O13" s="101" t="s">
        <v>2014</v>
      </c>
      <c r="P13" s="94"/>
      <c r="Q13" s="102">
        <v>4.0</v>
      </c>
      <c r="R13" s="113"/>
      <c r="S13" s="102" t="s">
        <v>105</v>
      </c>
      <c r="T13" s="94"/>
      <c r="V13" s="104"/>
    </row>
    <row r="14" ht="15.75" customHeight="1">
      <c r="A14" s="91"/>
      <c r="B14" s="92">
        <v>45666.0</v>
      </c>
      <c r="C14" s="93" t="s">
        <v>905</v>
      </c>
      <c r="D14" s="94"/>
      <c r="E14" s="121" t="s">
        <v>2012</v>
      </c>
      <c r="F14" s="121" t="s">
        <v>2013</v>
      </c>
      <c r="G14" s="94"/>
      <c r="H14" s="93" t="s">
        <v>41</v>
      </c>
      <c r="I14" s="102" t="s">
        <v>103</v>
      </c>
      <c r="J14" s="94"/>
      <c r="K14" s="98">
        <v>9000.0</v>
      </c>
      <c r="L14" s="98">
        <v>9000.0</v>
      </c>
      <c r="M14" s="99"/>
      <c r="N14" s="100" t="s">
        <v>98</v>
      </c>
      <c r="O14" s="101" t="s">
        <v>2014</v>
      </c>
      <c r="P14" s="94"/>
      <c r="Q14" s="102">
        <v>6.0</v>
      </c>
      <c r="R14" s="113"/>
      <c r="S14" s="102" t="s">
        <v>105</v>
      </c>
      <c r="T14" s="102" t="s">
        <v>2015</v>
      </c>
      <c r="V14" s="104"/>
    </row>
    <row r="15" ht="15.75" customHeight="1">
      <c r="A15" s="91"/>
      <c r="B15" s="92">
        <v>45666.0</v>
      </c>
      <c r="C15" s="201" t="s">
        <v>531</v>
      </c>
      <c r="D15" s="199"/>
      <c r="E15" s="139" t="s">
        <v>2023</v>
      </c>
      <c r="F15" s="249" t="s">
        <v>2024</v>
      </c>
      <c r="G15" s="199"/>
      <c r="H15" s="198" t="s">
        <v>41</v>
      </c>
      <c r="I15" s="201" t="s">
        <v>131</v>
      </c>
      <c r="J15" s="199"/>
      <c r="K15" s="202"/>
      <c r="L15" s="202"/>
      <c r="M15" s="203"/>
      <c r="N15" s="210"/>
      <c r="O15" s="205"/>
      <c r="P15" s="199"/>
      <c r="Q15" s="201"/>
      <c r="R15" s="206"/>
      <c r="S15" s="201"/>
      <c r="T15" s="201" t="s">
        <v>2025</v>
      </c>
      <c r="U15" s="201"/>
      <c r="V15" s="104"/>
    </row>
    <row r="16" ht="15.75" customHeight="1">
      <c r="A16" s="91"/>
      <c r="B16" s="92">
        <v>45666.0</v>
      </c>
      <c r="C16" s="201" t="s">
        <v>410</v>
      </c>
      <c r="D16" s="199"/>
      <c r="E16" s="238" t="s">
        <v>2026</v>
      </c>
      <c r="F16" s="249" t="s">
        <v>1283</v>
      </c>
      <c r="G16" s="199"/>
      <c r="H16" s="198" t="s">
        <v>41</v>
      </c>
      <c r="I16" s="201" t="s">
        <v>181</v>
      </c>
      <c r="J16" s="199"/>
      <c r="K16" s="202">
        <v>10500.0</v>
      </c>
      <c r="L16" s="202">
        <v>1500.0</v>
      </c>
      <c r="M16" s="203"/>
      <c r="N16" s="210"/>
      <c r="O16" s="205"/>
      <c r="P16" s="199"/>
      <c r="Q16" s="201">
        <v>6.0</v>
      </c>
      <c r="R16" s="206"/>
      <c r="S16" s="201" t="s">
        <v>105</v>
      </c>
      <c r="T16" s="201" t="s">
        <v>2027</v>
      </c>
      <c r="U16" s="201"/>
      <c r="V16" s="104"/>
    </row>
    <row r="17" ht="15.75" customHeight="1">
      <c r="A17" s="91"/>
      <c r="B17" s="92">
        <v>45697.0</v>
      </c>
      <c r="C17" s="201" t="s">
        <v>1624</v>
      </c>
      <c r="D17" s="199"/>
      <c r="E17" s="139" t="s">
        <v>1083</v>
      </c>
      <c r="F17" s="139" t="s">
        <v>2028</v>
      </c>
      <c r="G17" s="199"/>
      <c r="H17" s="198" t="s">
        <v>41</v>
      </c>
      <c r="I17" s="201" t="s">
        <v>181</v>
      </c>
      <c r="J17" s="199"/>
      <c r="K17" s="202">
        <v>8700.0</v>
      </c>
      <c r="L17" s="202">
        <v>2700.0</v>
      </c>
      <c r="M17" s="203"/>
      <c r="N17" s="210"/>
      <c r="O17" s="205"/>
      <c r="P17" s="199"/>
      <c r="Q17" s="201">
        <v>6.0</v>
      </c>
      <c r="R17" s="206"/>
      <c r="S17" s="201" t="s">
        <v>105</v>
      </c>
      <c r="T17" s="201" t="s">
        <v>2029</v>
      </c>
      <c r="U17" s="201"/>
      <c r="V17" s="104"/>
    </row>
    <row r="18" ht="15.75" customHeight="1">
      <c r="A18" s="91"/>
      <c r="B18" s="92">
        <v>45697.0</v>
      </c>
      <c r="C18" s="201" t="s">
        <v>2030</v>
      </c>
      <c r="D18" s="199"/>
      <c r="E18" s="139" t="s">
        <v>2031</v>
      </c>
      <c r="F18" s="139" t="s">
        <v>2032</v>
      </c>
      <c r="G18" s="199"/>
      <c r="H18" s="198" t="s">
        <v>41</v>
      </c>
      <c r="I18" s="201" t="s">
        <v>181</v>
      </c>
      <c r="J18" s="199"/>
      <c r="K18" s="202">
        <v>10500.0</v>
      </c>
      <c r="L18" s="202">
        <v>3000.0</v>
      </c>
      <c r="M18" s="203"/>
      <c r="N18" s="210"/>
      <c r="O18" s="205"/>
      <c r="P18" s="199"/>
      <c r="Q18" s="201">
        <v>6.0</v>
      </c>
      <c r="R18" s="206"/>
      <c r="S18" s="201" t="s">
        <v>105</v>
      </c>
      <c r="T18" s="201"/>
      <c r="U18" s="201"/>
      <c r="V18" s="104"/>
    </row>
    <row r="19" ht="15.75" customHeight="1">
      <c r="A19" s="91"/>
      <c r="B19" s="92">
        <v>45725.0</v>
      </c>
      <c r="C19" s="201" t="s">
        <v>1019</v>
      </c>
      <c r="D19" s="199"/>
      <c r="E19" s="250">
        <v>2.1953517E7</v>
      </c>
      <c r="F19" s="139" t="s">
        <v>2033</v>
      </c>
      <c r="G19" s="199"/>
      <c r="H19" s="198" t="s">
        <v>41</v>
      </c>
      <c r="I19" s="201" t="s">
        <v>131</v>
      </c>
      <c r="J19" s="199"/>
      <c r="K19" s="202"/>
      <c r="L19" s="202"/>
      <c r="M19" s="203"/>
      <c r="N19" s="210"/>
      <c r="O19" s="205"/>
      <c r="P19" s="199"/>
      <c r="Q19" s="201"/>
      <c r="R19" s="206"/>
      <c r="S19" s="201"/>
      <c r="T19" s="201"/>
      <c r="U19" s="201"/>
      <c r="V19" s="104"/>
    </row>
    <row r="20" ht="15.75" customHeight="1">
      <c r="A20" s="91"/>
      <c r="B20" s="92">
        <v>45756.0</v>
      </c>
      <c r="C20" s="201" t="s">
        <v>1547</v>
      </c>
      <c r="D20" s="199"/>
      <c r="E20" s="139" t="s">
        <v>2034</v>
      </c>
      <c r="F20" s="139" t="s">
        <v>2035</v>
      </c>
      <c r="G20" s="199"/>
      <c r="H20" s="198" t="s">
        <v>41</v>
      </c>
      <c r="I20" s="201" t="s">
        <v>88</v>
      </c>
      <c r="J20" s="199"/>
      <c r="K20" s="202"/>
      <c r="L20" s="202"/>
      <c r="M20" s="203"/>
      <c r="N20" s="210" t="s">
        <v>45</v>
      </c>
      <c r="O20" s="211" t="s">
        <v>396</v>
      </c>
      <c r="P20" s="199"/>
      <c r="Q20" s="201"/>
      <c r="R20" s="206"/>
      <c r="S20" s="201" t="s">
        <v>124</v>
      </c>
      <c r="T20" s="201" t="s">
        <v>2036</v>
      </c>
      <c r="U20" s="201"/>
      <c r="V20" s="104"/>
    </row>
    <row r="21" ht="15.75" customHeight="1">
      <c r="A21" s="91"/>
      <c r="B21" s="92">
        <v>45756.0</v>
      </c>
      <c r="C21" s="201" t="s">
        <v>616</v>
      </c>
      <c r="D21" s="199"/>
      <c r="E21" s="139" t="s">
        <v>2037</v>
      </c>
      <c r="F21" s="139" t="s">
        <v>2038</v>
      </c>
      <c r="G21" s="199"/>
      <c r="H21" s="198" t="s">
        <v>41</v>
      </c>
      <c r="I21" s="201" t="s">
        <v>88</v>
      </c>
      <c r="J21" s="199"/>
      <c r="K21" s="202"/>
      <c r="L21" s="202"/>
      <c r="M21" s="203"/>
      <c r="N21" s="210" t="s">
        <v>45</v>
      </c>
      <c r="O21" s="211" t="s">
        <v>396</v>
      </c>
      <c r="P21" s="199"/>
      <c r="Q21" s="201"/>
      <c r="R21" s="206"/>
      <c r="S21" s="201" t="s">
        <v>383</v>
      </c>
      <c r="T21" s="201" t="s">
        <v>2039</v>
      </c>
      <c r="U21" s="201"/>
      <c r="V21" s="104"/>
    </row>
    <row r="22" ht="15.75" customHeight="1">
      <c r="A22" s="91"/>
      <c r="B22" s="92">
        <v>45756.0</v>
      </c>
      <c r="C22" s="201" t="s">
        <v>627</v>
      </c>
      <c r="D22" s="199"/>
      <c r="E22" s="139" t="s">
        <v>2040</v>
      </c>
      <c r="F22" s="139" t="s">
        <v>2041</v>
      </c>
      <c r="G22" s="199"/>
      <c r="H22" s="198" t="s">
        <v>41</v>
      </c>
      <c r="I22" s="201" t="s">
        <v>103</v>
      </c>
      <c r="J22" s="199"/>
      <c r="K22" s="98">
        <v>6000.0</v>
      </c>
      <c r="L22" s="98">
        <v>6000.0</v>
      </c>
      <c r="M22" s="203"/>
      <c r="N22" s="210"/>
      <c r="O22" s="205"/>
      <c r="P22" s="199"/>
      <c r="Q22" s="201">
        <v>4.0</v>
      </c>
      <c r="R22" s="206"/>
      <c r="S22" s="201" t="s">
        <v>105</v>
      </c>
      <c r="T22" s="201"/>
      <c r="U22" s="201"/>
      <c r="V22" s="104"/>
    </row>
    <row r="23" ht="15.75" customHeight="1">
      <c r="A23" s="91"/>
      <c r="B23" s="92">
        <v>45756.0</v>
      </c>
      <c r="C23" s="201" t="s">
        <v>1560</v>
      </c>
      <c r="D23" s="199"/>
      <c r="E23" s="139" t="s">
        <v>2042</v>
      </c>
      <c r="F23" s="139" t="s">
        <v>2043</v>
      </c>
      <c r="G23" s="199"/>
      <c r="H23" s="198" t="s">
        <v>41</v>
      </c>
      <c r="I23" s="201" t="s">
        <v>88</v>
      </c>
      <c r="J23" s="199"/>
      <c r="K23" s="202"/>
      <c r="L23" s="202"/>
      <c r="M23" s="203"/>
      <c r="N23" s="210" t="s">
        <v>45</v>
      </c>
      <c r="O23" s="211" t="s">
        <v>396</v>
      </c>
      <c r="P23" s="199"/>
      <c r="Q23" s="201"/>
      <c r="R23" s="206"/>
      <c r="S23" s="201" t="s">
        <v>90</v>
      </c>
      <c r="T23" s="201" t="s">
        <v>2044</v>
      </c>
      <c r="U23" s="201"/>
      <c r="V23" s="104"/>
    </row>
    <row r="24" ht="15.75" customHeight="1">
      <c r="A24" s="91"/>
      <c r="B24" s="92">
        <v>45756.0</v>
      </c>
      <c r="C24" s="201" t="s">
        <v>667</v>
      </c>
      <c r="D24" s="199"/>
      <c r="E24" s="139" t="s">
        <v>2045</v>
      </c>
      <c r="F24" s="139" t="s">
        <v>2046</v>
      </c>
      <c r="G24" s="199"/>
      <c r="H24" s="198" t="s">
        <v>41</v>
      </c>
      <c r="I24" s="201" t="s">
        <v>131</v>
      </c>
      <c r="J24" s="199"/>
      <c r="K24" s="202"/>
      <c r="L24" s="202"/>
      <c r="M24" s="203"/>
      <c r="N24" s="210"/>
      <c r="O24" s="205"/>
      <c r="P24" s="199"/>
      <c r="Q24" s="201"/>
      <c r="R24" s="206"/>
      <c r="S24" s="201"/>
      <c r="T24" s="201"/>
      <c r="U24" s="201"/>
      <c r="V24" s="104"/>
    </row>
    <row r="25" ht="15.75" customHeight="1">
      <c r="A25" s="91"/>
      <c r="B25" s="92">
        <v>45756.0</v>
      </c>
      <c r="C25" s="201" t="s">
        <v>894</v>
      </c>
      <c r="D25" s="199"/>
      <c r="E25" s="250">
        <v>6.1516917E7</v>
      </c>
      <c r="F25" s="139" t="s">
        <v>2047</v>
      </c>
      <c r="G25" s="199"/>
      <c r="H25" s="198" t="s">
        <v>41</v>
      </c>
      <c r="I25" s="201" t="s">
        <v>88</v>
      </c>
      <c r="J25" s="199"/>
      <c r="K25" s="202"/>
      <c r="L25" s="202"/>
      <c r="M25" s="203"/>
      <c r="N25" s="210" t="s">
        <v>98</v>
      </c>
      <c r="O25" s="211" t="s">
        <v>1295</v>
      </c>
      <c r="P25" s="199"/>
      <c r="Q25" s="201"/>
      <c r="R25" s="206"/>
      <c r="S25" s="201" t="s">
        <v>383</v>
      </c>
      <c r="T25" s="201" t="s">
        <v>2048</v>
      </c>
      <c r="U25" s="201"/>
      <c r="V25" s="104"/>
    </row>
    <row r="26" ht="15.75" customHeight="1">
      <c r="A26" s="91"/>
      <c r="B26" s="92">
        <v>45756.0</v>
      </c>
      <c r="C26" s="201" t="s">
        <v>2049</v>
      </c>
      <c r="D26" s="199"/>
      <c r="E26" s="139" t="s">
        <v>2050</v>
      </c>
      <c r="F26" s="139" t="s">
        <v>2051</v>
      </c>
      <c r="G26" s="199"/>
      <c r="H26" s="198" t="s">
        <v>41</v>
      </c>
      <c r="I26" s="201" t="s">
        <v>181</v>
      </c>
      <c r="J26" s="199"/>
      <c r="K26" s="202">
        <v>10500.0</v>
      </c>
      <c r="L26" s="202">
        <v>1500.0</v>
      </c>
      <c r="M26" s="203"/>
      <c r="N26" s="210"/>
      <c r="O26" s="205"/>
      <c r="P26" s="199"/>
      <c r="Q26" s="201">
        <v>6.0</v>
      </c>
      <c r="R26" s="206"/>
      <c r="S26" s="201" t="s">
        <v>105</v>
      </c>
      <c r="T26" s="201"/>
      <c r="U26" s="201"/>
      <c r="V26" s="104"/>
    </row>
    <row r="27" ht="15.75" customHeight="1">
      <c r="A27" s="91"/>
      <c r="B27" s="92">
        <v>45756.0</v>
      </c>
      <c r="C27" s="201" t="s">
        <v>597</v>
      </c>
      <c r="D27" s="199"/>
      <c r="E27" s="139" t="s">
        <v>2052</v>
      </c>
      <c r="F27" s="139" t="s">
        <v>2053</v>
      </c>
      <c r="G27" s="199"/>
      <c r="H27" s="198" t="s">
        <v>41</v>
      </c>
      <c r="I27" s="201" t="s">
        <v>88</v>
      </c>
      <c r="J27" s="199"/>
      <c r="K27" s="202"/>
      <c r="L27" s="202"/>
      <c r="M27" s="203"/>
      <c r="N27" s="210" t="s">
        <v>98</v>
      </c>
      <c r="O27" s="211" t="s">
        <v>647</v>
      </c>
      <c r="P27" s="199"/>
      <c r="Q27" s="201"/>
      <c r="R27" s="206"/>
      <c r="S27" s="201" t="s">
        <v>383</v>
      </c>
      <c r="T27" s="201" t="s">
        <v>2054</v>
      </c>
      <c r="U27" s="201"/>
      <c r="V27" s="104"/>
    </row>
    <row r="28" ht="15.75" customHeight="1">
      <c r="A28" s="91"/>
      <c r="B28" s="92">
        <v>45756.0</v>
      </c>
      <c r="C28" s="201" t="s">
        <v>2055</v>
      </c>
      <c r="D28" s="199"/>
      <c r="E28" s="139" t="s">
        <v>2056</v>
      </c>
      <c r="F28" s="139" t="s">
        <v>2057</v>
      </c>
      <c r="G28" s="199"/>
      <c r="H28" s="198" t="s">
        <v>41</v>
      </c>
      <c r="I28" s="201" t="s">
        <v>88</v>
      </c>
      <c r="J28" s="199"/>
      <c r="K28" s="202"/>
      <c r="L28" s="202"/>
      <c r="M28" s="203"/>
      <c r="N28" s="210" t="s">
        <v>45</v>
      </c>
      <c r="O28" s="211" t="s">
        <v>396</v>
      </c>
      <c r="P28" s="199"/>
      <c r="Q28" s="201"/>
      <c r="R28" s="206"/>
      <c r="S28" s="201" t="s">
        <v>383</v>
      </c>
      <c r="T28" s="201" t="s">
        <v>2058</v>
      </c>
      <c r="U28" s="201"/>
      <c r="V28" s="104"/>
    </row>
    <row r="29" ht="15.75" customHeight="1">
      <c r="A29" s="91"/>
      <c r="B29" s="92">
        <v>45786.0</v>
      </c>
      <c r="C29" s="201" t="s">
        <v>1122</v>
      </c>
      <c r="D29" s="199"/>
      <c r="E29" s="139" t="s">
        <v>2059</v>
      </c>
      <c r="F29" s="139" t="s">
        <v>2060</v>
      </c>
      <c r="G29" s="199"/>
      <c r="H29" s="198" t="s">
        <v>41</v>
      </c>
      <c r="I29" s="201" t="s">
        <v>88</v>
      </c>
      <c r="J29" s="199"/>
      <c r="K29" s="202"/>
      <c r="L29" s="202"/>
      <c r="M29" s="203"/>
      <c r="N29" s="210" t="s">
        <v>98</v>
      </c>
      <c r="O29" s="205"/>
      <c r="P29" s="199"/>
      <c r="Q29" s="201"/>
      <c r="R29" s="206"/>
      <c r="S29" s="201" t="s">
        <v>383</v>
      </c>
      <c r="T29" s="201" t="s">
        <v>2061</v>
      </c>
      <c r="U29" s="201"/>
      <c r="V29" s="104"/>
    </row>
    <row r="30" ht="15.75" customHeight="1">
      <c r="A30" s="91"/>
      <c r="B30" s="92">
        <v>45786.0</v>
      </c>
      <c r="C30" s="201" t="s">
        <v>2062</v>
      </c>
      <c r="D30" s="199"/>
      <c r="E30" s="139" t="s">
        <v>2063</v>
      </c>
      <c r="F30" s="139" t="s">
        <v>2064</v>
      </c>
      <c r="G30" s="199"/>
      <c r="H30" s="198" t="s">
        <v>41</v>
      </c>
      <c r="I30" s="201" t="s">
        <v>591</v>
      </c>
      <c r="J30" s="199"/>
      <c r="K30" s="202"/>
      <c r="L30" s="202"/>
      <c r="M30" s="203"/>
      <c r="N30" s="210"/>
      <c r="O30" s="205"/>
      <c r="P30" s="199"/>
      <c r="Q30" s="201"/>
      <c r="R30" s="206"/>
      <c r="S30" s="201" t="s">
        <v>90</v>
      </c>
      <c r="T30" s="201" t="s">
        <v>2065</v>
      </c>
      <c r="U30" s="201"/>
      <c r="V30" s="104"/>
    </row>
    <row r="31" ht="15.75" customHeight="1">
      <c r="A31" s="91"/>
      <c r="B31" s="92">
        <v>45786.0</v>
      </c>
      <c r="C31" s="93" t="s">
        <v>393</v>
      </c>
      <c r="D31" s="199"/>
      <c r="E31" s="139" t="s">
        <v>2066</v>
      </c>
      <c r="F31" s="139" t="s">
        <v>2067</v>
      </c>
      <c r="G31" s="199"/>
      <c r="H31" s="198" t="s">
        <v>41</v>
      </c>
      <c r="I31" s="201" t="s">
        <v>1111</v>
      </c>
      <c r="J31" s="199"/>
      <c r="K31" s="202"/>
      <c r="L31" s="202"/>
      <c r="M31" s="203"/>
      <c r="N31" s="210"/>
      <c r="O31" s="205"/>
      <c r="P31" s="199"/>
      <c r="Q31" s="201"/>
      <c r="R31" s="206"/>
      <c r="S31" s="201"/>
      <c r="T31" s="201"/>
      <c r="U31" s="201"/>
      <c r="V31" s="104"/>
    </row>
    <row r="32" ht="15.75" customHeight="1">
      <c r="A32" s="91"/>
      <c r="B32" s="92">
        <v>45786.0</v>
      </c>
      <c r="C32" s="201" t="s">
        <v>2068</v>
      </c>
      <c r="D32" s="199"/>
      <c r="E32" s="139" t="s">
        <v>2069</v>
      </c>
      <c r="F32" s="139" t="s">
        <v>2070</v>
      </c>
      <c r="G32" s="199"/>
      <c r="H32" s="198" t="s">
        <v>41</v>
      </c>
      <c r="I32" s="201" t="s">
        <v>88</v>
      </c>
      <c r="J32" s="199"/>
      <c r="K32" s="202"/>
      <c r="L32" s="202"/>
      <c r="M32" s="203"/>
      <c r="N32" s="210" t="s">
        <v>60</v>
      </c>
      <c r="O32" s="211" t="s">
        <v>1950</v>
      </c>
      <c r="P32" s="199"/>
      <c r="Q32" s="201"/>
      <c r="R32" s="206"/>
      <c r="S32" s="201" t="s">
        <v>124</v>
      </c>
      <c r="T32" s="201" t="s">
        <v>2071</v>
      </c>
      <c r="U32" s="201"/>
      <c r="V32" s="104"/>
    </row>
    <row r="33" ht="15.75" customHeight="1">
      <c r="A33" s="91"/>
      <c r="B33" s="197">
        <v>45786.0</v>
      </c>
      <c r="C33" s="201" t="s">
        <v>2072</v>
      </c>
      <c r="D33" s="199"/>
      <c r="E33" s="238" t="s">
        <v>2026</v>
      </c>
      <c r="F33" s="238" t="s">
        <v>2073</v>
      </c>
      <c r="G33" s="199"/>
      <c r="H33" s="198" t="s">
        <v>41</v>
      </c>
      <c r="I33" s="201" t="s">
        <v>88</v>
      </c>
      <c r="J33" s="199"/>
      <c r="K33" s="202"/>
      <c r="L33" s="202"/>
      <c r="M33" s="203"/>
      <c r="N33" s="210" t="s">
        <v>45</v>
      </c>
      <c r="O33" s="205"/>
      <c r="P33" s="199"/>
      <c r="Q33" s="201"/>
      <c r="R33" s="206"/>
      <c r="S33" s="201" t="s">
        <v>105</v>
      </c>
      <c r="T33" s="201"/>
      <c r="V33" s="104"/>
    </row>
    <row r="34" ht="15.75" customHeight="1">
      <c r="A34" s="91"/>
      <c r="B34" s="197">
        <v>45786.0</v>
      </c>
      <c r="C34" s="249" t="s">
        <v>1019</v>
      </c>
      <c r="D34" s="199"/>
      <c r="E34" s="238" t="s">
        <v>2074</v>
      </c>
      <c r="F34" s="139" t="s">
        <v>2075</v>
      </c>
      <c r="G34" s="199"/>
      <c r="H34" s="198" t="s">
        <v>41</v>
      </c>
      <c r="I34" s="201" t="s">
        <v>181</v>
      </c>
      <c r="J34" s="201" t="s">
        <v>181</v>
      </c>
      <c r="K34" s="202">
        <v>10500.0</v>
      </c>
      <c r="L34" s="202">
        <v>3000.0</v>
      </c>
      <c r="M34" s="203"/>
      <c r="N34" s="204"/>
      <c r="O34" s="205"/>
      <c r="P34" s="199"/>
      <c r="Q34" s="201">
        <v>6.0</v>
      </c>
      <c r="R34" s="206"/>
      <c r="S34" s="201" t="s">
        <v>105</v>
      </c>
      <c r="T34" s="201"/>
      <c r="V34" s="104"/>
    </row>
    <row r="35" ht="15.75" customHeight="1">
      <c r="A35" s="91"/>
      <c r="B35" s="197">
        <v>45786.0</v>
      </c>
      <c r="C35" s="198" t="s">
        <v>2076</v>
      </c>
      <c r="D35" s="199"/>
      <c r="E35" s="139" t="s">
        <v>2077</v>
      </c>
      <c r="F35" s="139" t="s">
        <v>2078</v>
      </c>
      <c r="G35" s="199"/>
      <c r="H35" s="198" t="s">
        <v>41</v>
      </c>
      <c r="I35" s="201" t="s">
        <v>88</v>
      </c>
      <c r="J35" s="199"/>
      <c r="K35" s="251"/>
      <c r="L35" s="251"/>
      <c r="M35" s="203"/>
      <c r="N35" s="210" t="s">
        <v>55</v>
      </c>
      <c r="O35" s="205"/>
      <c r="P35" s="199"/>
      <c r="Q35" s="201"/>
      <c r="R35" s="206"/>
      <c r="S35" s="201" t="s">
        <v>124</v>
      </c>
      <c r="T35" s="201"/>
      <c r="V35" s="104"/>
    </row>
    <row r="36" ht="15.75" customHeight="1">
      <c r="A36" s="91"/>
      <c r="B36" s="197">
        <v>45817.0</v>
      </c>
      <c r="C36" s="93" t="s">
        <v>2079</v>
      </c>
      <c r="D36" s="94"/>
      <c r="E36" s="139" t="s">
        <v>2080</v>
      </c>
      <c r="F36" s="139" t="s">
        <v>2081</v>
      </c>
      <c r="G36" s="94"/>
      <c r="H36" s="198" t="s">
        <v>41</v>
      </c>
      <c r="I36" s="97" t="s">
        <v>131</v>
      </c>
      <c r="J36" s="94"/>
      <c r="K36" s="202"/>
      <c r="L36" s="202"/>
      <c r="M36" s="99"/>
      <c r="N36" s="111"/>
      <c r="O36" s="112"/>
      <c r="P36" s="94"/>
      <c r="Q36" s="201"/>
      <c r="R36" s="113"/>
      <c r="S36" s="102"/>
      <c r="T36" s="102"/>
      <c r="V36" s="104"/>
    </row>
    <row r="37" ht="15.75" customHeight="1">
      <c r="A37" s="94"/>
      <c r="B37" s="197">
        <v>45817.0</v>
      </c>
      <c r="C37" s="103" t="s">
        <v>949</v>
      </c>
      <c r="D37" s="94"/>
      <c r="E37" s="139" t="s">
        <v>2082</v>
      </c>
      <c r="F37" s="139" t="s">
        <v>2083</v>
      </c>
      <c r="G37" s="94"/>
      <c r="H37" s="198" t="s">
        <v>41</v>
      </c>
      <c r="I37" s="102" t="s">
        <v>88</v>
      </c>
      <c r="J37" s="94"/>
      <c r="K37" s="142"/>
      <c r="L37" s="142"/>
      <c r="M37" s="99"/>
      <c r="N37" s="100" t="s">
        <v>45</v>
      </c>
      <c r="O37" s="101" t="s">
        <v>396</v>
      </c>
      <c r="P37" s="94"/>
      <c r="Q37" s="201"/>
      <c r="R37" s="113"/>
      <c r="S37" s="102" t="s">
        <v>383</v>
      </c>
      <c r="T37" s="102" t="s">
        <v>2084</v>
      </c>
      <c r="V37" s="104"/>
    </row>
    <row r="38" ht="15.75" customHeight="1">
      <c r="A38" s="94"/>
      <c r="B38" s="197">
        <v>45817.0</v>
      </c>
      <c r="C38" s="93" t="s">
        <v>1518</v>
      </c>
      <c r="D38" s="94"/>
      <c r="E38" s="139" t="s">
        <v>2085</v>
      </c>
      <c r="F38" s="139" t="s">
        <v>2086</v>
      </c>
      <c r="G38" s="94"/>
      <c r="H38" s="198" t="s">
        <v>41</v>
      </c>
      <c r="I38" s="102" t="s">
        <v>88</v>
      </c>
      <c r="J38" s="94"/>
      <c r="K38" s="142"/>
      <c r="L38" s="144"/>
      <c r="M38" s="99"/>
      <c r="N38" s="100" t="s">
        <v>45</v>
      </c>
      <c r="O38" s="112"/>
      <c r="P38" s="94"/>
      <c r="Q38" s="102"/>
      <c r="R38" s="113"/>
      <c r="S38" s="102" t="s">
        <v>90</v>
      </c>
      <c r="T38" s="102" t="s">
        <v>2087</v>
      </c>
      <c r="V38" s="104"/>
    </row>
    <row r="39" ht="15.75" customHeight="1">
      <c r="A39" s="94"/>
      <c r="B39" s="197">
        <v>45817.0</v>
      </c>
      <c r="C39" s="103" t="s">
        <v>393</v>
      </c>
      <c r="D39" s="94"/>
      <c r="E39" s="139" t="s">
        <v>2066</v>
      </c>
      <c r="F39" s="139" t="s">
        <v>2067</v>
      </c>
      <c r="G39" s="94"/>
      <c r="H39" s="198" t="s">
        <v>41</v>
      </c>
      <c r="I39" s="102" t="s">
        <v>131</v>
      </c>
      <c r="J39" s="94"/>
      <c r="K39" s="108"/>
      <c r="L39" s="202"/>
      <c r="M39" s="99"/>
      <c r="N39" s="111"/>
      <c r="O39" s="112"/>
      <c r="P39" s="94"/>
      <c r="Q39" s="102"/>
      <c r="R39" s="113"/>
      <c r="S39" s="102"/>
      <c r="T39" s="102"/>
      <c r="V39" s="104"/>
    </row>
    <row r="40" ht="15.75" customHeight="1">
      <c r="A40" s="94"/>
      <c r="B40" s="197">
        <v>45817.0</v>
      </c>
      <c r="C40" s="93" t="s">
        <v>597</v>
      </c>
      <c r="D40" s="94"/>
      <c r="E40" s="139" t="s">
        <v>2088</v>
      </c>
      <c r="F40" s="139" t="s">
        <v>2089</v>
      </c>
      <c r="G40" s="94"/>
      <c r="H40" s="198" t="s">
        <v>41</v>
      </c>
      <c r="I40" s="102" t="s">
        <v>131</v>
      </c>
      <c r="J40" s="94"/>
      <c r="K40" s="202"/>
      <c r="L40" s="202"/>
      <c r="M40" s="99"/>
      <c r="N40" s="111"/>
      <c r="O40" s="112"/>
      <c r="P40" s="94"/>
      <c r="Q40" s="102"/>
      <c r="R40" s="113"/>
      <c r="S40" s="102"/>
      <c r="T40" s="102"/>
      <c r="V40" s="104"/>
    </row>
    <row r="41" ht="15.75" customHeight="1">
      <c r="A41" s="94"/>
      <c r="B41" s="197">
        <v>45847.0</v>
      </c>
      <c r="C41" s="93" t="s">
        <v>639</v>
      </c>
      <c r="D41" s="94"/>
      <c r="E41" s="139" t="s">
        <v>2005</v>
      </c>
      <c r="F41" s="139" t="s">
        <v>2090</v>
      </c>
      <c r="G41" s="94"/>
      <c r="H41" s="198" t="s">
        <v>41</v>
      </c>
      <c r="I41" s="102" t="s">
        <v>1111</v>
      </c>
      <c r="J41" s="94"/>
      <c r="K41" s="142"/>
      <c r="L41" s="202"/>
      <c r="M41" s="99"/>
      <c r="N41" s="111"/>
      <c r="O41" s="112"/>
      <c r="P41" s="94"/>
      <c r="Q41" s="120"/>
      <c r="R41" s="113"/>
      <c r="S41" s="102"/>
      <c r="T41" s="102"/>
      <c r="V41" s="104"/>
    </row>
    <row r="42" ht="15.75" customHeight="1">
      <c r="A42" s="94"/>
      <c r="B42" s="197">
        <v>45847.0</v>
      </c>
      <c r="C42" s="103" t="s">
        <v>915</v>
      </c>
      <c r="D42" s="94"/>
      <c r="E42" s="139" t="s">
        <v>2091</v>
      </c>
      <c r="F42" s="139" t="s">
        <v>2092</v>
      </c>
      <c r="G42" s="94"/>
      <c r="H42" s="198" t="s">
        <v>41</v>
      </c>
      <c r="I42" s="102" t="s">
        <v>88</v>
      </c>
      <c r="J42" s="94"/>
      <c r="K42" s="202"/>
      <c r="L42" s="202"/>
      <c r="M42" s="99"/>
      <c r="N42" s="100" t="s">
        <v>45</v>
      </c>
      <c r="O42" s="101" t="s">
        <v>584</v>
      </c>
      <c r="P42" s="94"/>
      <c r="Q42" s="102"/>
      <c r="R42" s="113"/>
      <c r="S42" s="102" t="s">
        <v>124</v>
      </c>
      <c r="T42" s="102" t="s">
        <v>2093</v>
      </c>
      <c r="V42" s="104"/>
    </row>
    <row r="43" ht="15.75" customHeight="1">
      <c r="A43" s="94"/>
      <c r="B43" s="197">
        <v>45847.0</v>
      </c>
      <c r="C43" s="103" t="s">
        <v>360</v>
      </c>
      <c r="D43" s="94"/>
      <c r="E43" s="139" t="s">
        <v>2094</v>
      </c>
      <c r="F43" s="139" t="s">
        <v>2095</v>
      </c>
      <c r="G43" s="94"/>
      <c r="H43" s="198" t="s">
        <v>41</v>
      </c>
      <c r="I43" s="102" t="s">
        <v>88</v>
      </c>
      <c r="J43" s="94"/>
      <c r="K43" s="98"/>
      <c r="L43" s="98"/>
      <c r="M43" s="99"/>
      <c r="N43" s="100" t="s">
        <v>45</v>
      </c>
      <c r="O43" s="101" t="s">
        <v>396</v>
      </c>
      <c r="P43" s="94"/>
      <c r="Q43" s="102"/>
      <c r="R43" s="113"/>
      <c r="S43" s="102" t="s">
        <v>383</v>
      </c>
      <c r="T43" s="102" t="s">
        <v>2096</v>
      </c>
      <c r="V43" s="104"/>
    </row>
    <row r="44" ht="15.75" customHeight="1">
      <c r="A44" s="94"/>
      <c r="B44" s="197">
        <v>45847.0</v>
      </c>
      <c r="C44" s="103" t="s">
        <v>667</v>
      </c>
      <c r="D44" s="94"/>
      <c r="E44" s="250">
        <v>2.6237806E7</v>
      </c>
      <c r="F44" s="238" t="s">
        <v>2097</v>
      </c>
      <c r="G44" s="94"/>
      <c r="H44" s="198" t="s">
        <v>41</v>
      </c>
      <c r="I44" s="102" t="s">
        <v>131</v>
      </c>
      <c r="J44" s="94"/>
      <c r="K44" s="142"/>
      <c r="L44" s="142"/>
      <c r="M44" s="99"/>
      <c r="N44" s="111"/>
      <c r="O44" s="112"/>
      <c r="P44" s="94"/>
      <c r="Q44" s="102"/>
      <c r="R44" s="113"/>
      <c r="S44" s="102"/>
      <c r="T44" s="102"/>
      <c r="V44" s="102"/>
    </row>
    <row r="45" ht="15.75" customHeight="1">
      <c r="A45" s="94"/>
      <c r="B45" s="197">
        <v>45847.0</v>
      </c>
      <c r="C45" s="102" t="s">
        <v>777</v>
      </c>
      <c r="D45" s="94"/>
      <c r="E45" s="139" t="s">
        <v>2098</v>
      </c>
      <c r="F45" s="139" t="s">
        <v>2099</v>
      </c>
      <c r="G45" s="94"/>
      <c r="H45" s="198" t="s">
        <v>41</v>
      </c>
      <c r="I45" s="97" t="s">
        <v>131</v>
      </c>
      <c r="J45" s="94"/>
      <c r="K45" s="98"/>
      <c r="L45" s="98"/>
      <c r="M45" s="99"/>
      <c r="N45" s="100"/>
      <c r="O45" s="112"/>
      <c r="P45" s="94"/>
      <c r="Q45" s="102"/>
      <c r="R45" s="113"/>
      <c r="S45" s="102"/>
      <c r="T45" s="94"/>
      <c r="V45" s="104"/>
    </row>
    <row r="46" ht="15.75" customHeight="1">
      <c r="A46" s="91"/>
      <c r="B46" s="197">
        <v>45878.0</v>
      </c>
      <c r="C46" s="97" t="s">
        <v>252</v>
      </c>
      <c r="D46" s="94"/>
      <c r="E46" s="139" t="s">
        <v>2100</v>
      </c>
      <c r="F46" s="238" t="s">
        <v>2101</v>
      </c>
      <c r="G46" s="94"/>
      <c r="H46" s="198" t="s">
        <v>41</v>
      </c>
      <c r="I46" s="97" t="s">
        <v>181</v>
      </c>
      <c r="J46" s="94"/>
      <c r="K46" s="202">
        <v>10500.0</v>
      </c>
      <c r="L46" s="202">
        <v>3000.0</v>
      </c>
      <c r="M46" s="99"/>
      <c r="N46" s="100"/>
      <c r="O46" s="101"/>
      <c r="P46" s="94"/>
      <c r="Q46" s="201">
        <v>6.0</v>
      </c>
      <c r="R46" s="105"/>
      <c r="S46" s="102" t="s">
        <v>105</v>
      </c>
      <c r="T46" s="102"/>
      <c r="V46" s="104"/>
    </row>
    <row r="47" ht="15.75" customHeight="1">
      <c r="A47" s="91"/>
      <c r="B47" s="197">
        <v>45878.0</v>
      </c>
      <c r="C47" s="97" t="s">
        <v>252</v>
      </c>
      <c r="D47" s="94"/>
      <c r="E47" s="139" t="s">
        <v>2102</v>
      </c>
      <c r="F47" s="139" t="s">
        <v>2103</v>
      </c>
      <c r="G47" s="94"/>
      <c r="H47" s="198" t="s">
        <v>41</v>
      </c>
      <c r="I47" s="97" t="s">
        <v>181</v>
      </c>
      <c r="J47" s="94"/>
      <c r="K47" s="202">
        <v>10500.0</v>
      </c>
      <c r="L47" s="202">
        <v>3000.0</v>
      </c>
      <c r="M47" s="99"/>
      <c r="N47" s="100"/>
      <c r="O47" s="101"/>
      <c r="P47" s="94"/>
      <c r="Q47" s="201">
        <v>6.0</v>
      </c>
      <c r="R47" s="113"/>
      <c r="S47" s="102" t="s">
        <v>105</v>
      </c>
      <c r="T47" s="102"/>
      <c r="V47" s="104"/>
    </row>
    <row r="48" ht="15.75" customHeight="1">
      <c r="A48" s="91"/>
      <c r="B48" s="197">
        <v>45878.0</v>
      </c>
      <c r="C48" s="97" t="s">
        <v>363</v>
      </c>
      <c r="D48" s="94"/>
      <c r="E48" s="139" t="s">
        <v>2104</v>
      </c>
      <c r="F48" s="238" t="s">
        <v>2105</v>
      </c>
      <c r="G48" s="94"/>
      <c r="H48" s="198" t="s">
        <v>41</v>
      </c>
      <c r="I48" s="102" t="s">
        <v>88</v>
      </c>
      <c r="J48" s="94"/>
      <c r="K48" s="98"/>
      <c r="L48" s="98"/>
      <c r="M48" s="99"/>
      <c r="N48" s="100" t="s">
        <v>45</v>
      </c>
      <c r="O48" s="101" t="s">
        <v>396</v>
      </c>
      <c r="P48" s="94"/>
      <c r="Q48" s="109"/>
      <c r="R48" s="103"/>
      <c r="S48" s="102" t="s">
        <v>383</v>
      </c>
      <c r="T48" s="102" t="s">
        <v>2106</v>
      </c>
      <c r="V48" s="104"/>
    </row>
    <row r="49" ht="15.75" customHeight="1">
      <c r="A49" s="91"/>
      <c r="B49" s="197">
        <v>45878.0</v>
      </c>
      <c r="C49" s="97" t="s">
        <v>657</v>
      </c>
      <c r="D49" s="94"/>
      <c r="E49" s="139" t="s">
        <v>2107</v>
      </c>
      <c r="F49" s="139" t="s">
        <v>2108</v>
      </c>
      <c r="G49" s="94"/>
      <c r="H49" s="198" t="s">
        <v>41</v>
      </c>
      <c r="I49" s="102" t="s">
        <v>88</v>
      </c>
      <c r="J49" s="94"/>
      <c r="K49" s="108"/>
      <c r="L49" s="108"/>
      <c r="M49" s="99"/>
      <c r="N49" s="100" t="s">
        <v>45</v>
      </c>
      <c r="O49" s="101" t="s">
        <v>396</v>
      </c>
      <c r="P49" s="94"/>
      <c r="Q49" s="94"/>
      <c r="R49" s="113"/>
      <c r="S49" s="102" t="s">
        <v>90</v>
      </c>
      <c r="T49" s="102" t="s">
        <v>2109</v>
      </c>
      <c r="V49" s="104"/>
    </row>
    <row r="50" ht="15.75" customHeight="1">
      <c r="A50" s="91"/>
      <c r="B50" s="197">
        <v>45878.0</v>
      </c>
      <c r="C50" s="97" t="s">
        <v>252</v>
      </c>
      <c r="D50" s="94"/>
      <c r="E50" s="139" t="s">
        <v>2110</v>
      </c>
      <c r="F50" s="139" t="s">
        <v>2111</v>
      </c>
      <c r="G50" s="94"/>
      <c r="H50" s="198" t="s">
        <v>41</v>
      </c>
      <c r="I50" s="102" t="s">
        <v>131</v>
      </c>
      <c r="J50" s="94"/>
      <c r="K50" s="98"/>
      <c r="L50" s="98"/>
      <c r="M50" s="99"/>
      <c r="N50" s="100"/>
      <c r="O50" s="101"/>
      <c r="P50" s="94"/>
      <c r="Q50" s="102"/>
      <c r="R50" s="103"/>
      <c r="S50" s="102"/>
      <c r="T50" s="102"/>
      <c r="V50" s="104"/>
    </row>
    <row r="51" ht="15.75" customHeight="1">
      <c r="A51" s="91"/>
      <c r="B51" s="197">
        <v>45939.0</v>
      </c>
      <c r="C51" s="97" t="s">
        <v>1210</v>
      </c>
      <c r="D51" s="94"/>
      <c r="E51" s="139" t="s">
        <v>2112</v>
      </c>
      <c r="F51" s="139" t="s">
        <v>2113</v>
      </c>
      <c r="G51" s="94"/>
      <c r="H51" s="198" t="s">
        <v>41</v>
      </c>
      <c r="I51" s="102" t="s">
        <v>131</v>
      </c>
      <c r="J51" s="94"/>
      <c r="K51" s="98"/>
      <c r="L51" s="98"/>
      <c r="M51" s="99"/>
      <c r="N51" s="100"/>
      <c r="O51" s="101"/>
      <c r="P51" s="94"/>
      <c r="Q51" s="102"/>
      <c r="R51" s="103"/>
      <c r="S51" s="102"/>
      <c r="T51" s="102"/>
      <c r="V51" s="104"/>
    </row>
    <row r="52" ht="15.75" customHeight="1">
      <c r="A52" s="91"/>
      <c r="B52" s="197">
        <v>45939.0</v>
      </c>
      <c r="C52" s="97" t="s">
        <v>252</v>
      </c>
      <c r="D52" s="94"/>
      <c r="E52" s="139" t="s">
        <v>2114</v>
      </c>
      <c r="F52" s="139" t="s">
        <v>2115</v>
      </c>
      <c r="G52" s="94"/>
      <c r="H52" s="198" t="s">
        <v>41</v>
      </c>
      <c r="I52" s="102" t="s">
        <v>131</v>
      </c>
      <c r="J52" s="94"/>
      <c r="K52" s="98"/>
      <c r="L52" s="98"/>
      <c r="M52" s="99"/>
      <c r="N52" s="100"/>
      <c r="O52" s="101"/>
      <c r="P52" s="94"/>
      <c r="Q52" s="102"/>
      <c r="R52" s="113"/>
      <c r="S52" s="102"/>
      <c r="T52" s="102"/>
      <c r="V52" s="104"/>
    </row>
    <row r="53" ht="15.75" customHeight="1">
      <c r="A53" s="91"/>
      <c r="B53" s="197">
        <v>45939.0</v>
      </c>
      <c r="C53" s="97" t="s">
        <v>2116</v>
      </c>
      <c r="D53" s="94"/>
      <c r="E53" s="139" t="s">
        <v>2117</v>
      </c>
      <c r="F53" s="139" t="s">
        <v>2118</v>
      </c>
      <c r="G53" s="94"/>
      <c r="H53" s="198" t="s">
        <v>41</v>
      </c>
      <c r="I53" s="102" t="s">
        <v>232</v>
      </c>
      <c r="J53" s="94"/>
      <c r="K53" s="98"/>
      <c r="L53" s="98">
        <v>100.0</v>
      </c>
      <c r="M53" s="99"/>
      <c r="N53" s="100"/>
      <c r="O53" s="101"/>
      <c r="P53" s="94"/>
      <c r="Q53" s="102"/>
      <c r="R53" s="106"/>
      <c r="S53" s="102" t="s">
        <v>404</v>
      </c>
      <c r="T53" s="102" t="s">
        <v>2119</v>
      </c>
      <c r="V53" s="104"/>
    </row>
    <row r="54" ht="15.75" customHeight="1">
      <c r="A54" s="91"/>
      <c r="B54" s="197">
        <v>45939.0</v>
      </c>
      <c r="C54" s="102" t="s">
        <v>850</v>
      </c>
      <c r="D54" s="94"/>
      <c r="E54" s="139" t="s">
        <v>2120</v>
      </c>
      <c r="F54" s="139" t="s">
        <v>2121</v>
      </c>
      <c r="G54" s="94"/>
      <c r="H54" s="198" t="s">
        <v>41</v>
      </c>
      <c r="I54" s="102" t="s">
        <v>88</v>
      </c>
      <c r="J54" s="94"/>
      <c r="K54" s="98"/>
      <c r="L54" s="98"/>
      <c r="M54" s="99"/>
      <c r="N54" s="100" t="s">
        <v>98</v>
      </c>
      <c r="O54" s="101" t="s">
        <v>2122</v>
      </c>
      <c r="P54" s="94"/>
      <c r="Q54" s="94"/>
      <c r="R54" s="113"/>
      <c r="S54" s="102" t="s">
        <v>124</v>
      </c>
      <c r="T54" s="102" t="s">
        <v>2123</v>
      </c>
      <c r="V54" s="104"/>
    </row>
    <row r="55" ht="15.75" customHeight="1">
      <c r="A55" s="91"/>
      <c r="B55" s="197">
        <v>45939.0</v>
      </c>
      <c r="C55" s="139" t="s">
        <v>999</v>
      </c>
      <c r="D55" s="94"/>
      <c r="E55" s="139" t="s">
        <v>2124</v>
      </c>
      <c r="F55" s="139" t="s">
        <v>2125</v>
      </c>
      <c r="G55" s="94"/>
      <c r="H55" s="198" t="s">
        <v>41</v>
      </c>
      <c r="I55" s="102" t="s">
        <v>181</v>
      </c>
      <c r="J55" s="94"/>
      <c r="K55" s="202">
        <v>10500.0</v>
      </c>
      <c r="L55" s="202">
        <v>3000.0</v>
      </c>
      <c r="M55" s="99"/>
      <c r="N55" s="100"/>
      <c r="O55" s="112"/>
      <c r="P55" s="94"/>
      <c r="Q55" s="201">
        <v>6.0</v>
      </c>
      <c r="R55" s="113"/>
      <c r="S55" s="102" t="s">
        <v>105</v>
      </c>
      <c r="T55" s="102"/>
      <c r="V55" s="104"/>
    </row>
    <row r="56" ht="15.75" customHeight="1">
      <c r="A56" s="91"/>
      <c r="B56" s="197">
        <v>45970.0</v>
      </c>
      <c r="C56" s="97" t="s">
        <v>2126</v>
      </c>
      <c r="D56" s="94"/>
      <c r="E56" s="139" t="s">
        <v>2127</v>
      </c>
      <c r="F56" s="139" t="s">
        <v>2128</v>
      </c>
      <c r="G56" s="94"/>
      <c r="H56" s="198" t="s">
        <v>41</v>
      </c>
      <c r="I56" s="102" t="s">
        <v>88</v>
      </c>
      <c r="J56" s="94"/>
      <c r="K56" s="98"/>
      <c r="L56" s="98"/>
      <c r="M56" s="99"/>
      <c r="N56" s="100" t="s">
        <v>45</v>
      </c>
      <c r="O56" s="101" t="s">
        <v>396</v>
      </c>
      <c r="P56" s="94"/>
      <c r="Q56" s="109"/>
      <c r="R56" s="103"/>
      <c r="S56" s="102" t="s">
        <v>383</v>
      </c>
      <c r="T56" s="102" t="s">
        <v>2129</v>
      </c>
      <c r="V56" s="104"/>
    </row>
    <row r="57" ht="15.75" customHeight="1">
      <c r="A57" s="91"/>
      <c r="B57" s="197">
        <v>45970.0</v>
      </c>
      <c r="C57" s="97" t="s">
        <v>597</v>
      </c>
      <c r="D57" s="94"/>
      <c r="E57" s="139" t="s">
        <v>2130</v>
      </c>
      <c r="F57" s="139" t="s">
        <v>2131</v>
      </c>
      <c r="G57" s="94"/>
      <c r="H57" s="198" t="s">
        <v>41</v>
      </c>
      <c r="I57" s="102" t="s">
        <v>131</v>
      </c>
      <c r="J57" s="94"/>
      <c r="K57" s="98"/>
      <c r="L57" s="98"/>
      <c r="M57" s="99"/>
      <c r="N57" s="100"/>
      <c r="O57" s="112"/>
      <c r="P57" s="94"/>
      <c r="Q57" s="102"/>
      <c r="R57" s="113"/>
      <c r="S57" s="102"/>
      <c r="T57" s="94"/>
      <c r="V57" s="104"/>
    </row>
    <row r="58" ht="15.75" customHeight="1">
      <c r="A58" s="91"/>
      <c r="B58" s="197">
        <v>45970.0</v>
      </c>
      <c r="C58" s="97" t="s">
        <v>1979</v>
      </c>
      <c r="D58" s="94"/>
      <c r="E58" s="139" t="s">
        <v>2132</v>
      </c>
      <c r="F58" s="139" t="s">
        <v>2133</v>
      </c>
      <c r="G58" s="94"/>
      <c r="H58" s="198" t="s">
        <v>41</v>
      </c>
      <c r="I58" s="102" t="s">
        <v>88</v>
      </c>
      <c r="J58" s="94"/>
      <c r="K58" s="108"/>
      <c r="L58" s="108"/>
      <c r="M58" s="99"/>
      <c r="N58" s="100" t="s">
        <v>60</v>
      </c>
      <c r="O58" s="101"/>
      <c r="P58" s="94"/>
      <c r="Q58" s="94"/>
      <c r="R58" s="113"/>
      <c r="S58" s="102" t="s">
        <v>124</v>
      </c>
      <c r="T58" s="102" t="s">
        <v>2134</v>
      </c>
      <c r="V58" s="104"/>
    </row>
    <row r="59" ht="15.75" customHeight="1">
      <c r="A59" s="91"/>
      <c r="B59" s="197">
        <v>45970.0</v>
      </c>
      <c r="C59" s="102" t="s">
        <v>514</v>
      </c>
      <c r="D59" s="94"/>
      <c r="E59" s="139" t="s">
        <v>2135</v>
      </c>
      <c r="F59" s="139" t="s">
        <v>2136</v>
      </c>
      <c r="G59" s="94"/>
      <c r="H59" s="198" t="s">
        <v>41</v>
      </c>
      <c r="I59" s="102" t="s">
        <v>88</v>
      </c>
      <c r="J59" s="94"/>
      <c r="K59" s="98"/>
      <c r="L59" s="98"/>
      <c r="M59" s="99"/>
      <c r="N59" s="100" t="s">
        <v>45</v>
      </c>
      <c r="O59" s="101" t="s">
        <v>396</v>
      </c>
      <c r="P59" s="94"/>
      <c r="Q59" s="102"/>
      <c r="R59" s="113"/>
      <c r="S59" s="102" t="s">
        <v>383</v>
      </c>
      <c r="T59" s="102" t="s">
        <v>2137</v>
      </c>
      <c r="V59" s="104"/>
    </row>
    <row r="60" ht="15.75" customHeight="1">
      <c r="A60" s="91"/>
      <c r="B60" s="197">
        <v>46000.0</v>
      </c>
      <c r="C60" s="102" t="s">
        <v>624</v>
      </c>
      <c r="D60" s="94"/>
      <c r="E60" s="139" t="s">
        <v>2138</v>
      </c>
      <c r="F60" s="139" t="s">
        <v>2139</v>
      </c>
      <c r="G60" s="94"/>
      <c r="H60" s="198" t="s">
        <v>41</v>
      </c>
      <c r="I60" s="102" t="s">
        <v>110</v>
      </c>
      <c r="J60" s="94"/>
      <c r="K60" s="98"/>
      <c r="L60" s="98"/>
      <c r="M60" s="99"/>
      <c r="N60" s="111"/>
      <c r="O60" s="112"/>
      <c r="P60" s="94"/>
      <c r="Q60" s="102"/>
      <c r="R60" s="113"/>
      <c r="S60" s="102"/>
      <c r="T60" s="102"/>
      <c r="V60" s="104"/>
    </row>
    <row r="61" ht="15.75" customHeight="1">
      <c r="A61" s="91"/>
      <c r="B61" s="198" t="s">
        <v>2140</v>
      </c>
      <c r="C61" s="97" t="s">
        <v>657</v>
      </c>
      <c r="D61" s="94"/>
      <c r="E61" s="139" t="s">
        <v>2107</v>
      </c>
      <c r="F61" s="249" t="s">
        <v>2108</v>
      </c>
      <c r="G61" s="94"/>
      <c r="H61" s="198" t="s">
        <v>41</v>
      </c>
      <c r="I61" s="102" t="s">
        <v>131</v>
      </c>
      <c r="J61" s="94"/>
      <c r="K61" s="98"/>
      <c r="L61" s="98"/>
      <c r="M61" s="99"/>
      <c r="N61" s="100"/>
      <c r="O61" s="101"/>
      <c r="P61" s="94"/>
      <c r="Q61" s="102"/>
      <c r="R61" s="103"/>
      <c r="S61" s="102"/>
      <c r="T61" s="102" t="s">
        <v>2141</v>
      </c>
      <c r="V61" s="104"/>
    </row>
    <row r="62" ht="15.75" customHeight="1">
      <c r="A62" s="91"/>
      <c r="B62" s="198" t="s">
        <v>2142</v>
      </c>
      <c r="C62" s="97" t="s">
        <v>979</v>
      </c>
      <c r="D62" s="94"/>
      <c r="E62" s="139" t="s">
        <v>2143</v>
      </c>
      <c r="F62" s="139" t="s">
        <v>2144</v>
      </c>
      <c r="G62" s="94"/>
      <c r="H62" s="198" t="s">
        <v>41</v>
      </c>
      <c r="I62" s="102" t="s">
        <v>181</v>
      </c>
      <c r="J62" s="94"/>
      <c r="K62" s="202">
        <v>10500.0</v>
      </c>
      <c r="L62" s="202">
        <v>3000.0</v>
      </c>
      <c r="M62" s="99"/>
      <c r="N62" s="100"/>
      <c r="O62" s="101"/>
      <c r="P62" s="94"/>
      <c r="Q62" s="201">
        <v>6.0</v>
      </c>
      <c r="R62" s="103"/>
      <c r="S62" s="102" t="s">
        <v>105</v>
      </c>
      <c r="V62" s="104"/>
    </row>
    <row r="63" ht="15.75" customHeight="1">
      <c r="A63" s="91"/>
      <c r="B63" s="198" t="s">
        <v>2142</v>
      </c>
      <c r="C63" s="97" t="s">
        <v>2145</v>
      </c>
      <c r="D63" s="94"/>
      <c r="E63" s="139" t="s">
        <v>2146</v>
      </c>
      <c r="F63" s="139" t="s">
        <v>2147</v>
      </c>
      <c r="G63" s="94"/>
      <c r="H63" s="198" t="s">
        <v>41</v>
      </c>
      <c r="I63" s="102" t="s">
        <v>88</v>
      </c>
      <c r="J63" s="94"/>
      <c r="K63" s="252"/>
      <c r="L63" s="98"/>
      <c r="M63" s="99"/>
      <c r="N63" s="100" t="s">
        <v>45</v>
      </c>
      <c r="O63" s="101" t="s">
        <v>2148</v>
      </c>
      <c r="P63" s="94"/>
      <c r="Q63" s="102"/>
      <c r="R63" s="103"/>
      <c r="S63" s="102" t="s">
        <v>383</v>
      </c>
      <c r="T63" s="102"/>
      <c r="V63" s="104"/>
    </row>
    <row r="64" ht="15.75" customHeight="1">
      <c r="A64" s="91"/>
      <c r="B64" s="198" t="s">
        <v>2149</v>
      </c>
      <c r="C64" s="97" t="s">
        <v>979</v>
      </c>
      <c r="D64" s="94"/>
      <c r="E64" s="139" t="s">
        <v>2150</v>
      </c>
      <c r="F64" s="139" t="s">
        <v>2151</v>
      </c>
      <c r="G64" s="94"/>
      <c r="H64" s="198" t="s">
        <v>41</v>
      </c>
      <c r="I64" s="102" t="s">
        <v>591</v>
      </c>
      <c r="J64" s="94"/>
      <c r="K64" s="108"/>
      <c r="L64" s="108"/>
      <c r="M64" s="99"/>
      <c r="N64" s="100" t="s">
        <v>65</v>
      </c>
      <c r="O64" s="101" t="s">
        <v>2152</v>
      </c>
      <c r="P64" s="94"/>
      <c r="Q64" s="109"/>
      <c r="R64" s="103"/>
      <c r="S64" s="102" t="s">
        <v>90</v>
      </c>
      <c r="T64" s="102" t="s">
        <v>2153</v>
      </c>
      <c r="V64" s="104"/>
    </row>
    <row r="65" ht="15.75" customHeight="1">
      <c r="A65" s="91"/>
      <c r="B65" s="198" t="s">
        <v>2149</v>
      </c>
      <c r="C65" s="97" t="s">
        <v>262</v>
      </c>
      <c r="D65" s="94"/>
      <c r="E65" s="139" t="s">
        <v>2154</v>
      </c>
      <c r="F65" s="139" t="s">
        <v>2155</v>
      </c>
      <c r="G65" s="94"/>
      <c r="H65" s="198" t="s">
        <v>41</v>
      </c>
      <c r="I65" s="102" t="s">
        <v>88</v>
      </c>
      <c r="J65" s="94"/>
      <c r="K65" s="98"/>
      <c r="L65" s="98"/>
      <c r="M65" s="99"/>
      <c r="N65" s="100" t="s">
        <v>45</v>
      </c>
      <c r="O65" s="101" t="s">
        <v>396</v>
      </c>
      <c r="P65" s="94"/>
      <c r="Q65" s="102"/>
      <c r="R65" s="113"/>
      <c r="S65" s="102" t="s">
        <v>124</v>
      </c>
      <c r="T65" s="102" t="s">
        <v>2156</v>
      </c>
      <c r="V65" s="104"/>
    </row>
    <row r="66" ht="15.75" customHeight="1">
      <c r="A66" s="91"/>
      <c r="B66" s="198" t="s">
        <v>2157</v>
      </c>
      <c r="C66" s="102" t="s">
        <v>1979</v>
      </c>
      <c r="D66" s="94"/>
      <c r="E66" s="139" t="s">
        <v>2158</v>
      </c>
      <c r="F66" s="139" t="s">
        <v>2159</v>
      </c>
      <c r="G66" s="94"/>
      <c r="H66" s="198" t="s">
        <v>41</v>
      </c>
      <c r="I66" s="102" t="s">
        <v>88</v>
      </c>
      <c r="J66" s="94"/>
      <c r="K66" s="98"/>
      <c r="L66" s="98"/>
      <c r="M66" s="99"/>
      <c r="N66" s="100" t="s">
        <v>45</v>
      </c>
      <c r="O66" s="101" t="s">
        <v>396</v>
      </c>
      <c r="P66" s="94"/>
      <c r="Q66" s="102"/>
      <c r="R66" s="103"/>
      <c r="S66" s="102" t="s">
        <v>383</v>
      </c>
      <c r="T66" s="102" t="s">
        <v>2160</v>
      </c>
      <c r="V66" s="104"/>
    </row>
    <row r="67" ht="15.75" customHeight="1">
      <c r="A67" s="91"/>
      <c r="B67" s="198" t="s">
        <v>2157</v>
      </c>
      <c r="C67" s="102" t="s">
        <v>2161</v>
      </c>
      <c r="D67" s="94"/>
      <c r="E67" s="139" t="s">
        <v>2162</v>
      </c>
      <c r="F67" s="139" t="s">
        <v>2163</v>
      </c>
      <c r="G67" s="94"/>
      <c r="H67" s="198" t="s">
        <v>41</v>
      </c>
      <c r="I67" s="102" t="s">
        <v>591</v>
      </c>
      <c r="J67" s="94"/>
      <c r="K67" s="98"/>
      <c r="L67" s="98"/>
      <c r="M67" s="99"/>
      <c r="N67" s="100"/>
      <c r="O67" s="101"/>
      <c r="P67" s="94"/>
      <c r="Q67" s="102"/>
      <c r="R67" s="113"/>
      <c r="S67" s="102"/>
      <c r="T67" s="102"/>
      <c r="V67" s="104"/>
    </row>
    <row r="68" ht="15.75" customHeight="1">
      <c r="A68" s="91"/>
      <c r="B68" s="198" t="s">
        <v>2157</v>
      </c>
      <c r="C68" s="102" t="s">
        <v>483</v>
      </c>
      <c r="D68" s="94"/>
      <c r="E68" s="139" t="s">
        <v>2164</v>
      </c>
      <c r="F68" s="139" t="s">
        <v>2165</v>
      </c>
      <c r="G68" s="94"/>
      <c r="H68" s="198" t="s">
        <v>41</v>
      </c>
      <c r="I68" s="102" t="s">
        <v>88</v>
      </c>
      <c r="J68" s="94"/>
      <c r="K68" s="108"/>
      <c r="L68" s="108"/>
      <c r="M68" s="99"/>
      <c r="N68" s="100" t="s">
        <v>50</v>
      </c>
      <c r="O68" s="101" t="s">
        <v>2166</v>
      </c>
      <c r="P68" s="94"/>
      <c r="Q68" s="94"/>
      <c r="R68" s="113"/>
      <c r="S68" s="102" t="s">
        <v>124</v>
      </c>
      <c r="T68" s="102" t="s">
        <v>2167</v>
      </c>
      <c r="V68" s="104"/>
    </row>
    <row r="69" ht="15.75" customHeight="1">
      <c r="A69" s="91"/>
      <c r="B69" s="198" t="s">
        <v>2157</v>
      </c>
      <c r="C69" s="97" t="s">
        <v>1019</v>
      </c>
      <c r="D69" s="94"/>
      <c r="E69" s="139" t="s">
        <v>2168</v>
      </c>
      <c r="F69" s="139" t="s">
        <v>2169</v>
      </c>
      <c r="G69" s="94"/>
      <c r="H69" s="198" t="s">
        <v>41</v>
      </c>
      <c r="I69" s="102" t="s">
        <v>88</v>
      </c>
      <c r="J69" s="94"/>
      <c r="K69" s="98"/>
      <c r="L69" s="98"/>
      <c r="M69" s="99"/>
      <c r="N69" s="100" t="s">
        <v>45</v>
      </c>
      <c r="O69" s="101" t="s">
        <v>486</v>
      </c>
      <c r="P69" s="94"/>
      <c r="Q69" s="94"/>
      <c r="R69" s="113"/>
      <c r="S69" s="102" t="s">
        <v>383</v>
      </c>
      <c r="T69" s="102" t="s">
        <v>2170</v>
      </c>
      <c r="V69" s="104"/>
    </row>
    <row r="70" ht="15.75" customHeight="1">
      <c r="A70" s="91"/>
      <c r="B70" s="198" t="s">
        <v>2157</v>
      </c>
      <c r="C70" s="97" t="s">
        <v>1376</v>
      </c>
      <c r="D70" s="94"/>
      <c r="E70" s="139" t="s">
        <v>2171</v>
      </c>
      <c r="F70" s="139" t="s">
        <v>2172</v>
      </c>
      <c r="G70" s="94"/>
      <c r="H70" s="198" t="s">
        <v>41</v>
      </c>
      <c r="I70" s="102" t="s">
        <v>103</v>
      </c>
      <c r="J70" s="94"/>
      <c r="K70" s="98">
        <v>9000.0</v>
      </c>
      <c r="L70" s="98">
        <v>9000.0</v>
      </c>
      <c r="M70" s="99"/>
      <c r="N70" s="100"/>
      <c r="O70" s="101"/>
      <c r="P70" s="94"/>
      <c r="Q70" s="201">
        <v>6.0</v>
      </c>
      <c r="R70" s="113"/>
      <c r="S70" s="102" t="s">
        <v>105</v>
      </c>
      <c r="T70" s="102"/>
      <c r="V70" s="104"/>
    </row>
    <row r="71" ht="15.75" customHeight="1">
      <c r="A71" s="91"/>
      <c r="B71" s="198" t="s">
        <v>2173</v>
      </c>
      <c r="C71" s="97" t="s">
        <v>262</v>
      </c>
      <c r="D71" s="94"/>
      <c r="E71" s="139" t="s">
        <v>2174</v>
      </c>
      <c r="F71" s="139" t="s">
        <v>2175</v>
      </c>
      <c r="G71" s="94"/>
      <c r="H71" s="198" t="s">
        <v>41</v>
      </c>
      <c r="I71" s="102" t="s">
        <v>181</v>
      </c>
      <c r="J71" s="94"/>
      <c r="K71" s="202">
        <v>10500.0</v>
      </c>
      <c r="L71" s="202">
        <v>3000.0</v>
      </c>
      <c r="M71" s="99"/>
      <c r="N71" s="100"/>
      <c r="O71" s="101"/>
      <c r="P71" s="94"/>
      <c r="Q71" s="201">
        <v>6.0</v>
      </c>
      <c r="R71" s="106"/>
      <c r="S71" s="102" t="s">
        <v>105</v>
      </c>
      <c r="T71" s="102"/>
      <c r="V71" s="104"/>
    </row>
    <row r="72" ht="15.75" customHeight="1">
      <c r="A72" s="91"/>
      <c r="B72" s="198" t="s">
        <v>2173</v>
      </c>
      <c r="C72" s="97" t="s">
        <v>777</v>
      </c>
      <c r="D72" s="94"/>
      <c r="E72" s="139" t="s">
        <v>2176</v>
      </c>
      <c r="F72" s="139" t="s">
        <v>2177</v>
      </c>
      <c r="G72" s="94"/>
      <c r="H72" s="198" t="s">
        <v>41</v>
      </c>
      <c r="I72" s="102" t="s">
        <v>1111</v>
      </c>
      <c r="J72" s="94"/>
      <c r="K72" s="108"/>
      <c r="L72" s="108"/>
      <c r="M72" s="99"/>
      <c r="N72" s="100"/>
      <c r="O72" s="101"/>
      <c r="P72" s="94"/>
      <c r="Q72" s="117"/>
      <c r="R72" s="103"/>
      <c r="S72" s="102"/>
      <c r="T72" s="102"/>
      <c r="V72" s="104"/>
    </row>
    <row r="73" ht="15.75" customHeight="1">
      <c r="A73" s="91"/>
      <c r="B73" s="198" t="s">
        <v>2173</v>
      </c>
      <c r="C73" s="97" t="s">
        <v>2178</v>
      </c>
      <c r="D73" s="94"/>
      <c r="E73" s="139" t="s">
        <v>2179</v>
      </c>
      <c r="F73" s="139" t="s">
        <v>2180</v>
      </c>
      <c r="G73" s="94"/>
      <c r="H73" s="198" t="s">
        <v>41</v>
      </c>
      <c r="I73" s="102" t="s">
        <v>88</v>
      </c>
      <c r="J73" s="94"/>
      <c r="K73" s="98"/>
      <c r="L73" s="98"/>
      <c r="M73" s="99"/>
      <c r="N73" s="100" t="s">
        <v>45</v>
      </c>
      <c r="O73" s="101" t="s">
        <v>396</v>
      </c>
      <c r="P73" s="94"/>
      <c r="Q73" s="102"/>
      <c r="R73" s="103"/>
      <c r="S73" s="102" t="s">
        <v>383</v>
      </c>
      <c r="T73" s="102" t="s">
        <v>2181</v>
      </c>
      <c r="V73" s="104"/>
    </row>
    <row r="74" ht="15.75" customHeight="1">
      <c r="A74" s="91"/>
      <c r="B74" s="198" t="s">
        <v>2173</v>
      </c>
      <c r="C74" s="102" t="s">
        <v>1122</v>
      </c>
      <c r="D74" s="94"/>
      <c r="E74" s="139" t="s">
        <v>2182</v>
      </c>
      <c r="F74" s="139" t="s">
        <v>2183</v>
      </c>
      <c r="G74" s="94"/>
      <c r="H74" s="198" t="s">
        <v>41</v>
      </c>
      <c r="I74" s="102" t="s">
        <v>88</v>
      </c>
      <c r="J74" s="94"/>
      <c r="K74" s="98"/>
      <c r="L74" s="98"/>
      <c r="M74" s="99"/>
      <c r="N74" s="100" t="s">
        <v>45</v>
      </c>
      <c r="O74" s="101" t="s">
        <v>396</v>
      </c>
      <c r="P74" s="94"/>
      <c r="Q74" s="102"/>
      <c r="R74" s="113"/>
      <c r="S74" s="102" t="s">
        <v>383</v>
      </c>
      <c r="T74" s="102" t="s">
        <v>2184</v>
      </c>
      <c r="V74" s="104"/>
    </row>
    <row r="75" ht="15.75" customHeight="1">
      <c r="A75" s="91"/>
      <c r="B75" s="198" t="s">
        <v>2173</v>
      </c>
      <c r="C75" s="97" t="s">
        <v>1448</v>
      </c>
      <c r="D75" s="94"/>
      <c r="E75" s="139" t="s">
        <v>2185</v>
      </c>
      <c r="F75" s="139" t="s">
        <v>2186</v>
      </c>
      <c r="G75" s="94"/>
      <c r="H75" s="198" t="s">
        <v>41</v>
      </c>
      <c r="I75" s="102" t="s">
        <v>131</v>
      </c>
      <c r="J75" s="94"/>
      <c r="K75" s="98"/>
      <c r="L75" s="98"/>
      <c r="M75" s="99"/>
      <c r="N75" s="100"/>
      <c r="O75" s="101"/>
      <c r="P75" s="94"/>
      <c r="Q75" s="102"/>
      <c r="R75" s="113"/>
      <c r="S75" s="102"/>
      <c r="T75" s="102"/>
      <c r="V75" s="104"/>
    </row>
    <row r="76" ht="15.75" customHeight="1">
      <c r="A76" s="91"/>
      <c r="B76" s="198" t="s">
        <v>2187</v>
      </c>
      <c r="C76" s="121" t="s">
        <v>667</v>
      </c>
      <c r="D76" s="94"/>
      <c r="E76" s="139" t="s">
        <v>2188</v>
      </c>
      <c r="F76" s="139" t="s">
        <v>2189</v>
      </c>
      <c r="G76" s="94"/>
      <c r="H76" s="198" t="s">
        <v>41</v>
      </c>
      <c r="I76" s="102" t="s">
        <v>1111</v>
      </c>
      <c r="J76" s="94"/>
      <c r="K76" s="108"/>
      <c r="L76" s="108"/>
      <c r="M76" s="99"/>
      <c r="N76" s="100" t="s">
        <v>50</v>
      </c>
      <c r="O76" s="101" t="s">
        <v>1579</v>
      </c>
      <c r="P76" s="94"/>
      <c r="Q76" s="120"/>
      <c r="R76" s="113"/>
      <c r="S76" s="102" t="s">
        <v>90</v>
      </c>
      <c r="T76" s="102" t="s">
        <v>2190</v>
      </c>
      <c r="V76" s="104"/>
    </row>
    <row r="77" ht="15.75" customHeight="1">
      <c r="A77" s="91"/>
      <c r="B77" s="198" t="s">
        <v>2187</v>
      </c>
      <c r="C77" s="97" t="s">
        <v>390</v>
      </c>
      <c r="D77" s="94"/>
      <c r="E77" s="139" t="s">
        <v>2191</v>
      </c>
      <c r="F77" s="139" t="s">
        <v>2192</v>
      </c>
      <c r="G77" s="94"/>
      <c r="H77" s="198" t="s">
        <v>41</v>
      </c>
      <c r="I77" s="102" t="s">
        <v>110</v>
      </c>
      <c r="J77" s="94"/>
      <c r="K77" s="98"/>
      <c r="L77" s="98"/>
      <c r="M77" s="99"/>
      <c r="N77" s="100"/>
      <c r="O77" s="101"/>
      <c r="P77" s="94"/>
      <c r="Q77" s="102"/>
      <c r="R77" s="103"/>
      <c r="S77" s="102"/>
      <c r="T77" s="102"/>
      <c r="V77" s="104"/>
    </row>
    <row r="78" ht="15.75" customHeight="1">
      <c r="A78" s="91"/>
      <c r="B78" s="198" t="s">
        <v>2187</v>
      </c>
      <c r="C78" s="121" t="s">
        <v>490</v>
      </c>
      <c r="D78" s="94"/>
      <c r="E78" s="139" t="s">
        <v>2193</v>
      </c>
      <c r="F78" s="139" t="s">
        <v>2194</v>
      </c>
      <c r="G78" s="94"/>
      <c r="H78" s="198" t="s">
        <v>41</v>
      </c>
      <c r="I78" s="102" t="s">
        <v>88</v>
      </c>
      <c r="J78" s="94"/>
      <c r="K78" s="108"/>
      <c r="L78" s="108"/>
      <c r="M78" s="99"/>
      <c r="N78" s="100" t="s">
        <v>60</v>
      </c>
      <c r="O78" s="101" t="s">
        <v>1179</v>
      </c>
      <c r="P78" s="94"/>
      <c r="Q78" s="117"/>
      <c r="R78" s="123"/>
      <c r="S78" s="102" t="s">
        <v>124</v>
      </c>
      <c r="T78" s="102" t="s">
        <v>2195</v>
      </c>
      <c r="V78" s="104"/>
    </row>
    <row r="79" ht="15.75" customHeight="1">
      <c r="A79" s="91"/>
      <c r="B79" s="198" t="s">
        <v>2196</v>
      </c>
      <c r="C79" s="97" t="s">
        <v>262</v>
      </c>
      <c r="D79" s="94"/>
      <c r="E79" s="139" t="s">
        <v>2197</v>
      </c>
      <c r="F79" s="139" t="s">
        <v>2198</v>
      </c>
      <c r="G79" s="94"/>
      <c r="H79" s="198" t="s">
        <v>41</v>
      </c>
      <c r="I79" s="102" t="s">
        <v>103</v>
      </c>
      <c r="J79" s="94"/>
      <c r="K79" s="98">
        <v>9000.0</v>
      </c>
      <c r="L79" s="98">
        <v>9000.0</v>
      </c>
      <c r="M79" s="99"/>
      <c r="N79" s="100"/>
      <c r="O79" s="101"/>
      <c r="P79" s="94"/>
      <c r="Q79" s="201">
        <v>6.0</v>
      </c>
      <c r="R79" s="103"/>
      <c r="S79" s="102" t="s">
        <v>105</v>
      </c>
      <c r="T79" s="102"/>
      <c r="V79" s="104"/>
    </row>
    <row r="80" ht="15.75" customHeight="1">
      <c r="A80" s="91"/>
      <c r="B80" s="198" t="s">
        <v>2196</v>
      </c>
      <c r="C80" s="97" t="s">
        <v>401</v>
      </c>
      <c r="D80" s="94"/>
      <c r="E80" s="139" t="s">
        <v>2199</v>
      </c>
      <c r="F80" s="139" t="s">
        <v>2200</v>
      </c>
      <c r="G80" s="94"/>
      <c r="H80" s="198" t="s">
        <v>41</v>
      </c>
      <c r="I80" s="102" t="s">
        <v>1111</v>
      </c>
      <c r="J80" s="94"/>
      <c r="K80" s="98"/>
      <c r="L80" s="98"/>
      <c r="M80" s="99"/>
      <c r="N80" s="111"/>
      <c r="O80" s="112"/>
      <c r="P80" s="94"/>
      <c r="Q80" s="102"/>
      <c r="R80" s="103"/>
      <c r="S80" s="102"/>
      <c r="T80" s="102" t="s">
        <v>2201</v>
      </c>
      <c r="V80" s="104"/>
    </row>
    <row r="81" ht="15.75" customHeight="1">
      <c r="A81" s="91"/>
      <c r="B81" s="198" t="s">
        <v>2196</v>
      </c>
      <c r="C81" s="97" t="s">
        <v>667</v>
      </c>
      <c r="D81" s="94"/>
      <c r="E81" s="139" t="s">
        <v>2202</v>
      </c>
      <c r="F81" s="139" t="s">
        <v>2203</v>
      </c>
      <c r="G81" s="94"/>
      <c r="H81" s="198" t="s">
        <v>41</v>
      </c>
      <c r="I81" s="102" t="s">
        <v>131</v>
      </c>
      <c r="J81" s="94"/>
      <c r="K81" s="98"/>
      <c r="L81" s="98"/>
      <c r="M81" s="99"/>
      <c r="N81" s="100"/>
      <c r="O81" s="101"/>
      <c r="P81" s="94"/>
      <c r="Q81" s="102"/>
      <c r="R81" s="113"/>
      <c r="S81" s="102"/>
      <c r="T81" s="102"/>
      <c r="V81" s="104"/>
    </row>
    <row r="82" ht="15.75" customHeight="1">
      <c r="A82" s="91"/>
      <c r="B82" s="198" t="s">
        <v>2204</v>
      </c>
      <c r="C82" s="102" t="s">
        <v>2205</v>
      </c>
      <c r="D82" s="94"/>
      <c r="E82" s="139" t="s">
        <v>2206</v>
      </c>
      <c r="F82" s="139" t="s">
        <v>2207</v>
      </c>
      <c r="G82" s="94"/>
      <c r="H82" s="198" t="s">
        <v>41</v>
      </c>
      <c r="I82" s="102" t="s">
        <v>103</v>
      </c>
      <c r="J82" s="94"/>
      <c r="K82" s="98">
        <v>6000.0</v>
      </c>
      <c r="L82" s="98">
        <v>6000.0</v>
      </c>
      <c r="M82" s="99"/>
      <c r="N82" s="100"/>
      <c r="O82" s="101"/>
      <c r="P82" s="94"/>
      <c r="Q82" s="102" t="s">
        <v>357</v>
      </c>
      <c r="R82" s="103"/>
      <c r="S82" s="102" t="s">
        <v>105</v>
      </c>
      <c r="T82" s="102"/>
      <c r="V82" s="104"/>
    </row>
    <row r="83" ht="15.75" customHeight="1">
      <c r="A83" s="91"/>
      <c r="B83" s="198" t="s">
        <v>2204</v>
      </c>
      <c r="C83" s="121" t="s">
        <v>1754</v>
      </c>
      <c r="D83" s="94"/>
      <c r="E83" s="139" t="s">
        <v>2208</v>
      </c>
      <c r="F83" s="139" t="s">
        <v>2209</v>
      </c>
      <c r="G83" s="94"/>
      <c r="H83" s="198" t="s">
        <v>41</v>
      </c>
      <c r="I83" s="102" t="s">
        <v>110</v>
      </c>
      <c r="J83" s="94"/>
      <c r="K83" s="98"/>
      <c r="L83" s="98"/>
      <c r="M83" s="99"/>
      <c r="N83" s="111"/>
      <c r="O83" s="112"/>
      <c r="P83" s="94"/>
      <c r="Q83" s="102"/>
      <c r="R83" s="113"/>
      <c r="S83" s="102"/>
      <c r="T83" s="94"/>
      <c r="V83" s="104"/>
    </row>
    <row r="84" ht="15.75" customHeight="1">
      <c r="A84" s="91"/>
      <c r="B84" s="198" t="s">
        <v>2204</v>
      </c>
      <c r="C84" s="121" t="s">
        <v>1357</v>
      </c>
      <c r="D84" s="94"/>
      <c r="E84" s="139" t="s">
        <v>2210</v>
      </c>
      <c r="F84" s="139" t="s">
        <v>2211</v>
      </c>
      <c r="G84" s="94"/>
      <c r="H84" s="198" t="s">
        <v>41</v>
      </c>
      <c r="I84" s="102" t="s">
        <v>103</v>
      </c>
      <c r="J84" s="94"/>
      <c r="K84" s="98">
        <v>4500.0</v>
      </c>
      <c r="L84" s="98">
        <v>4500.0</v>
      </c>
      <c r="M84" s="99"/>
      <c r="N84" s="100"/>
      <c r="O84" s="101"/>
      <c r="P84" s="94"/>
      <c r="Q84" s="102" t="s">
        <v>155</v>
      </c>
      <c r="R84" s="103"/>
      <c r="S84" s="102" t="s">
        <v>105</v>
      </c>
      <c r="T84" s="102"/>
      <c r="V84" s="104"/>
    </row>
    <row r="85" ht="15.75" customHeight="1">
      <c r="A85" s="91"/>
      <c r="B85" s="198" t="s">
        <v>2204</v>
      </c>
      <c r="C85" s="121" t="s">
        <v>2212</v>
      </c>
      <c r="D85" s="94"/>
      <c r="E85" s="139" t="s">
        <v>2213</v>
      </c>
      <c r="F85" s="139" t="s">
        <v>2214</v>
      </c>
      <c r="G85" s="94"/>
      <c r="H85" s="198" t="s">
        <v>41</v>
      </c>
      <c r="I85" s="102" t="s">
        <v>181</v>
      </c>
      <c r="J85" s="94"/>
      <c r="K85" s="202">
        <v>10500.0</v>
      </c>
      <c r="L85" s="202">
        <v>3000.0</v>
      </c>
      <c r="M85" s="99"/>
      <c r="N85" s="100"/>
      <c r="O85" s="101"/>
      <c r="P85" s="94"/>
      <c r="Q85" s="102" t="s">
        <v>104</v>
      </c>
      <c r="R85" s="113"/>
      <c r="S85" s="102" t="s">
        <v>105</v>
      </c>
      <c r="T85" s="102"/>
      <c r="V85" s="104"/>
    </row>
    <row r="86" ht="15.75" customHeight="1">
      <c r="A86" s="91"/>
      <c r="B86" s="198" t="s">
        <v>2204</v>
      </c>
      <c r="C86" s="121" t="s">
        <v>291</v>
      </c>
      <c r="D86" s="94"/>
      <c r="E86" s="139" t="s">
        <v>2215</v>
      </c>
      <c r="F86" s="139" t="s">
        <v>2216</v>
      </c>
      <c r="G86" s="94"/>
      <c r="H86" s="198" t="s">
        <v>41</v>
      </c>
      <c r="I86" s="102" t="s">
        <v>88</v>
      </c>
      <c r="J86" s="94"/>
      <c r="K86" s="98"/>
      <c r="L86" s="98"/>
      <c r="M86" s="99"/>
      <c r="N86" s="100" t="s">
        <v>45</v>
      </c>
      <c r="O86" s="101" t="s">
        <v>396</v>
      </c>
      <c r="P86" s="94"/>
      <c r="Q86" s="102"/>
      <c r="R86" s="113"/>
      <c r="S86" s="102" t="s">
        <v>383</v>
      </c>
      <c r="T86" s="102" t="s">
        <v>2217</v>
      </c>
      <c r="V86" s="104"/>
    </row>
    <row r="87" ht="15.75" customHeight="1">
      <c r="A87" s="91"/>
      <c r="B87" s="198" t="s">
        <v>2218</v>
      </c>
      <c r="C87" s="121" t="s">
        <v>905</v>
      </c>
      <c r="D87" s="94"/>
      <c r="E87" s="139" t="s">
        <v>2219</v>
      </c>
      <c r="F87" s="238" t="s">
        <v>2220</v>
      </c>
      <c r="G87" s="94"/>
      <c r="H87" s="198" t="s">
        <v>41</v>
      </c>
      <c r="I87" s="102" t="s">
        <v>88</v>
      </c>
      <c r="J87" s="94"/>
      <c r="K87" s="98"/>
      <c r="L87" s="98"/>
      <c r="M87" s="99"/>
      <c r="N87" s="100" t="s">
        <v>98</v>
      </c>
      <c r="O87" s="101" t="s">
        <v>2221</v>
      </c>
      <c r="P87" s="94"/>
      <c r="Q87" s="94"/>
      <c r="R87" s="113"/>
      <c r="S87" s="102" t="s">
        <v>124</v>
      </c>
      <c r="T87" s="102" t="s">
        <v>2222</v>
      </c>
      <c r="V87" s="104"/>
    </row>
    <row r="88" ht="15.75" customHeight="1">
      <c r="A88" s="91"/>
      <c r="B88" s="198" t="s">
        <v>2218</v>
      </c>
      <c r="C88" s="121" t="s">
        <v>2223</v>
      </c>
      <c r="D88" s="94"/>
      <c r="E88" s="139" t="s">
        <v>2224</v>
      </c>
      <c r="F88" s="139" t="s">
        <v>2225</v>
      </c>
      <c r="G88" s="94"/>
      <c r="H88" s="198" t="s">
        <v>41</v>
      </c>
      <c r="I88" s="102" t="s">
        <v>88</v>
      </c>
      <c r="J88" s="94"/>
      <c r="K88" s="98"/>
      <c r="L88" s="98"/>
      <c r="M88" s="99"/>
      <c r="N88" s="100" t="s">
        <v>45</v>
      </c>
      <c r="O88" s="101" t="s">
        <v>396</v>
      </c>
      <c r="P88" s="94"/>
      <c r="Q88" s="102"/>
      <c r="R88" s="106"/>
      <c r="S88" s="102" t="s">
        <v>383</v>
      </c>
      <c r="T88" s="102" t="s">
        <v>2226</v>
      </c>
      <c r="V88" s="104"/>
    </row>
    <row r="89" ht="15.75" customHeight="1">
      <c r="A89" s="91"/>
      <c r="B89" s="198" t="s">
        <v>2218</v>
      </c>
      <c r="C89" s="121" t="s">
        <v>2227</v>
      </c>
      <c r="D89" s="94"/>
      <c r="E89" s="139" t="s">
        <v>2228</v>
      </c>
      <c r="F89" s="139" t="s">
        <v>2229</v>
      </c>
      <c r="G89" s="94"/>
      <c r="H89" s="198" t="s">
        <v>41</v>
      </c>
      <c r="I89" s="102" t="s">
        <v>131</v>
      </c>
      <c r="J89" s="94"/>
      <c r="K89" s="98"/>
      <c r="L89" s="98"/>
      <c r="M89" s="99"/>
      <c r="N89" s="100"/>
      <c r="O89" s="101"/>
      <c r="P89" s="94"/>
      <c r="Q89" s="117"/>
      <c r="R89" s="106"/>
      <c r="S89" s="102"/>
      <c r="T89" s="102"/>
      <c r="V89" s="104"/>
    </row>
    <row r="90" ht="15.75" customHeight="1">
      <c r="A90" s="91"/>
      <c r="B90" s="198" t="s">
        <v>2218</v>
      </c>
      <c r="C90" s="121" t="s">
        <v>344</v>
      </c>
      <c r="D90" s="94"/>
      <c r="E90" s="139" t="s">
        <v>2230</v>
      </c>
      <c r="F90" s="139" t="s">
        <v>2231</v>
      </c>
      <c r="G90" s="94"/>
      <c r="H90" s="198" t="s">
        <v>41</v>
      </c>
      <c r="I90" s="102" t="s">
        <v>88</v>
      </c>
      <c r="J90" s="94"/>
      <c r="K90" s="98"/>
      <c r="L90" s="98"/>
      <c r="M90" s="99"/>
      <c r="N90" s="100" t="s">
        <v>45</v>
      </c>
      <c r="O90" s="112"/>
      <c r="P90" s="94"/>
      <c r="Q90" s="102"/>
      <c r="R90" s="113"/>
      <c r="S90" s="240" t="s">
        <v>383</v>
      </c>
      <c r="T90" s="102" t="s">
        <v>2232</v>
      </c>
      <c r="V90" s="104"/>
    </row>
    <row r="91" ht="15.75" customHeight="1">
      <c r="A91" s="91"/>
      <c r="B91" s="198" t="s">
        <v>2218</v>
      </c>
      <c r="C91" s="102" t="s">
        <v>2233</v>
      </c>
      <c r="D91" s="94"/>
      <c r="E91" s="139" t="s">
        <v>1052</v>
      </c>
      <c r="F91" s="139" t="s">
        <v>2234</v>
      </c>
      <c r="G91" s="94"/>
      <c r="H91" s="198" t="s">
        <v>41</v>
      </c>
      <c r="I91" s="102" t="s">
        <v>131</v>
      </c>
      <c r="J91" s="94"/>
      <c r="K91" s="98"/>
      <c r="L91" s="98"/>
      <c r="M91" s="99"/>
      <c r="N91" s="111"/>
      <c r="O91" s="112"/>
      <c r="P91" s="94"/>
      <c r="Q91" s="117"/>
      <c r="R91" s="103"/>
      <c r="S91" s="102"/>
      <c r="T91" s="102"/>
      <c r="V91" s="104"/>
    </row>
    <row r="92" ht="15.75" customHeight="1">
      <c r="A92" s="91"/>
      <c r="B92" s="198" t="s">
        <v>2235</v>
      </c>
      <c r="C92" s="103" t="s">
        <v>1006</v>
      </c>
      <c r="D92" s="94"/>
      <c r="E92" s="139" t="s">
        <v>2236</v>
      </c>
      <c r="F92" s="139" t="s">
        <v>2237</v>
      </c>
      <c r="G92" s="94"/>
      <c r="H92" s="198" t="s">
        <v>41</v>
      </c>
      <c r="I92" s="102" t="s">
        <v>110</v>
      </c>
      <c r="J92" s="94"/>
      <c r="K92" s="108"/>
      <c r="L92" s="108"/>
      <c r="M92" s="99"/>
      <c r="N92" s="111"/>
      <c r="O92" s="112"/>
      <c r="P92" s="94"/>
      <c r="Q92" s="117"/>
      <c r="R92" s="113"/>
      <c r="S92" s="102"/>
      <c r="T92" s="241" t="s">
        <v>2238</v>
      </c>
      <c r="V92" s="104"/>
    </row>
    <row r="93" ht="15.75" customHeight="1">
      <c r="A93" s="91"/>
      <c r="B93" s="198" t="s">
        <v>2235</v>
      </c>
      <c r="C93" s="93" t="s">
        <v>2239</v>
      </c>
      <c r="D93" s="94"/>
      <c r="E93" s="139" t="s">
        <v>2240</v>
      </c>
      <c r="F93" s="139" t="s">
        <v>2241</v>
      </c>
      <c r="G93" s="94"/>
      <c r="H93" s="198" t="s">
        <v>41</v>
      </c>
      <c r="I93" s="102" t="s">
        <v>181</v>
      </c>
      <c r="J93" s="94"/>
      <c r="K93" s="202">
        <v>10500.0</v>
      </c>
      <c r="L93" s="202">
        <v>3000.0</v>
      </c>
      <c r="M93" s="99"/>
      <c r="N93" s="111"/>
      <c r="O93" s="112"/>
      <c r="P93" s="94"/>
      <c r="Q93" s="102" t="s">
        <v>104</v>
      </c>
      <c r="R93" s="103"/>
      <c r="S93" s="102" t="s">
        <v>105</v>
      </c>
      <c r="T93" s="102"/>
      <c r="V93" s="104"/>
    </row>
    <row r="94" ht="15.75" customHeight="1">
      <c r="A94" s="91"/>
      <c r="B94" s="198" t="s">
        <v>2235</v>
      </c>
      <c r="C94" s="93" t="s">
        <v>554</v>
      </c>
      <c r="D94" s="94"/>
      <c r="E94" s="139" t="s">
        <v>2242</v>
      </c>
      <c r="F94" s="139" t="s">
        <v>2243</v>
      </c>
      <c r="G94" s="94"/>
      <c r="H94" s="198" t="s">
        <v>41</v>
      </c>
      <c r="I94" s="102" t="s">
        <v>181</v>
      </c>
      <c r="J94" s="94"/>
      <c r="K94" s="202">
        <v>10500.0</v>
      </c>
      <c r="L94" s="202">
        <v>3000.0</v>
      </c>
      <c r="M94" s="99"/>
      <c r="N94" s="100"/>
      <c r="O94" s="101"/>
      <c r="P94" s="94"/>
      <c r="Q94" s="102" t="s">
        <v>104</v>
      </c>
      <c r="R94" s="113"/>
      <c r="S94" s="102" t="s">
        <v>105</v>
      </c>
      <c r="T94" s="102"/>
      <c r="V94" s="104"/>
    </row>
    <row r="95" ht="15.75" customHeight="1">
      <c r="A95" s="91"/>
      <c r="B95" s="198" t="s">
        <v>2235</v>
      </c>
      <c r="C95" s="93" t="s">
        <v>262</v>
      </c>
      <c r="D95" s="94"/>
      <c r="E95" s="139" t="s">
        <v>2244</v>
      </c>
      <c r="F95" s="139" t="s">
        <v>2245</v>
      </c>
      <c r="G95" s="94"/>
      <c r="H95" s="198" t="s">
        <v>41</v>
      </c>
      <c r="I95" s="102" t="s">
        <v>88</v>
      </c>
      <c r="J95" s="94"/>
      <c r="K95" s="98"/>
      <c r="L95" s="98"/>
      <c r="M95" s="99"/>
      <c r="N95" s="100" t="s">
        <v>50</v>
      </c>
      <c r="O95" s="101" t="s">
        <v>584</v>
      </c>
      <c r="P95" s="94"/>
      <c r="Q95" s="102"/>
      <c r="R95" s="103"/>
      <c r="S95" s="102" t="s">
        <v>124</v>
      </c>
      <c r="T95" s="102" t="s">
        <v>2246</v>
      </c>
      <c r="V95" s="104"/>
    </row>
    <row r="96" ht="15.75" customHeight="1">
      <c r="A96" s="91"/>
      <c r="B96" s="198"/>
      <c r="C96" s="93"/>
      <c r="D96" s="94"/>
      <c r="E96" s="238"/>
      <c r="F96" s="238"/>
      <c r="G96" s="94"/>
      <c r="H96" s="198" t="s">
        <v>41</v>
      </c>
      <c r="I96" s="102"/>
      <c r="J96" s="94"/>
      <c r="K96" s="98"/>
      <c r="L96" s="98"/>
      <c r="M96" s="99"/>
      <c r="N96" s="100"/>
      <c r="O96" s="112"/>
      <c r="P96" s="94"/>
      <c r="Q96" s="102"/>
      <c r="R96" s="103"/>
      <c r="S96" s="102"/>
      <c r="T96" s="102"/>
      <c r="V96" s="104"/>
    </row>
    <row r="97" ht="15.75" customHeight="1">
      <c r="A97" s="91"/>
      <c r="B97" s="198"/>
      <c r="C97" s="93"/>
      <c r="D97" s="94"/>
      <c r="E97" s="238"/>
      <c r="F97" s="238"/>
      <c r="G97" s="94"/>
      <c r="H97" s="93"/>
      <c r="I97" s="102"/>
      <c r="J97" s="94"/>
      <c r="K97" s="98"/>
      <c r="L97" s="98"/>
      <c r="M97" s="99"/>
      <c r="N97" s="100"/>
      <c r="O97" s="101"/>
      <c r="P97" s="94"/>
      <c r="Q97" s="109"/>
      <c r="R97" s="103"/>
      <c r="S97" s="102"/>
      <c r="T97" s="102"/>
      <c r="V97" s="104"/>
    </row>
    <row r="98" ht="15.75" customHeight="1">
      <c r="A98" s="91"/>
      <c r="B98" s="93"/>
      <c r="C98" s="103"/>
      <c r="D98" s="94"/>
      <c r="E98" s="238"/>
      <c r="F98" s="238"/>
      <c r="G98" s="94"/>
      <c r="H98" s="93"/>
      <c r="I98" s="102"/>
      <c r="J98" s="94"/>
      <c r="K98" s="108"/>
      <c r="L98" s="108"/>
      <c r="M98" s="99"/>
      <c r="N98" s="100"/>
      <c r="O98" s="101"/>
      <c r="P98" s="94"/>
      <c r="Q98" s="109"/>
      <c r="R98" s="103"/>
      <c r="S98" s="102"/>
      <c r="T98" s="102"/>
      <c r="V98" s="104"/>
    </row>
    <row r="99" ht="15.75" customHeight="1">
      <c r="A99" s="91"/>
      <c r="B99" s="93"/>
      <c r="C99" s="103"/>
      <c r="D99" s="94"/>
      <c r="E99" s="238"/>
      <c r="F99" s="238"/>
      <c r="G99" s="94"/>
      <c r="H99" s="93"/>
      <c r="I99" s="102"/>
      <c r="J99" s="94"/>
      <c r="K99" s="98"/>
      <c r="L99" s="98"/>
      <c r="M99" s="99"/>
      <c r="N99" s="111"/>
      <c r="O99" s="112"/>
      <c r="P99" s="94"/>
      <c r="Q99" s="102"/>
      <c r="R99" s="113"/>
      <c r="S99" s="102"/>
      <c r="T99" s="94"/>
      <c r="V99" s="104"/>
    </row>
    <row r="100" ht="15.75" customHeight="1">
      <c r="A100" s="91"/>
      <c r="B100" s="93"/>
      <c r="C100" s="93"/>
      <c r="D100" s="94"/>
      <c r="E100" s="238"/>
      <c r="F100" s="238"/>
      <c r="G100" s="94"/>
      <c r="H100" s="93"/>
      <c r="I100" s="102"/>
      <c r="J100" s="94"/>
      <c r="K100" s="108"/>
      <c r="L100" s="108"/>
      <c r="M100" s="99"/>
      <c r="N100" s="100"/>
      <c r="O100" s="112"/>
      <c r="P100" s="94"/>
      <c r="Q100" s="109"/>
      <c r="R100" s="103"/>
      <c r="S100" s="102"/>
      <c r="T100" s="102"/>
      <c r="V100" s="104"/>
    </row>
    <row r="101" ht="15.75" customHeight="1">
      <c r="A101" s="91"/>
      <c r="B101" s="93"/>
      <c r="C101" s="93"/>
      <c r="D101" s="94"/>
      <c r="E101" s="238"/>
      <c r="F101" s="239"/>
      <c r="G101" s="94"/>
      <c r="H101" s="93"/>
      <c r="I101" s="102"/>
      <c r="J101" s="94"/>
      <c r="K101" s="98"/>
      <c r="L101" s="98"/>
      <c r="M101" s="99"/>
      <c r="N101" s="100"/>
      <c r="O101" s="101"/>
      <c r="P101" s="94"/>
      <c r="Q101" s="120"/>
      <c r="R101" s="113"/>
      <c r="S101" s="102"/>
      <c r="T101" s="102"/>
      <c r="V101" s="104"/>
    </row>
    <row r="102" ht="15.75" customHeight="1">
      <c r="A102" s="91"/>
      <c r="B102" s="93"/>
      <c r="C102" s="93"/>
      <c r="D102" s="94"/>
      <c r="E102" s="238"/>
      <c r="F102" s="243"/>
      <c r="G102" s="94"/>
      <c r="H102" s="93"/>
      <c r="I102" s="102"/>
      <c r="J102" s="94"/>
      <c r="K102" s="98"/>
      <c r="L102" s="98"/>
      <c r="M102" s="99"/>
      <c r="N102" s="100"/>
      <c r="O102" s="112"/>
      <c r="P102" s="94"/>
      <c r="Q102" s="102"/>
      <c r="R102" s="103"/>
      <c r="S102" s="102"/>
      <c r="T102" s="102"/>
      <c r="V102" s="104"/>
    </row>
    <row r="103" ht="15.75" customHeight="1">
      <c r="A103" s="91"/>
      <c r="B103" s="93"/>
      <c r="C103" s="93"/>
      <c r="D103" s="94"/>
      <c r="E103" s="238"/>
      <c r="F103" s="238"/>
      <c r="G103" s="94"/>
      <c r="H103" s="93"/>
      <c r="I103" s="102"/>
      <c r="J103" s="94"/>
      <c r="K103" s="98"/>
      <c r="L103" s="98"/>
      <c r="M103" s="99"/>
      <c r="N103" s="111"/>
      <c r="O103" s="112"/>
      <c r="P103" s="94"/>
      <c r="Q103" s="120"/>
      <c r="R103" s="113"/>
      <c r="S103" s="94"/>
      <c r="T103" s="94"/>
      <c r="V103" s="104"/>
    </row>
    <row r="104" ht="15.75" customHeight="1">
      <c r="A104" s="91"/>
      <c r="B104" s="93"/>
      <c r="C104" s="93"/>
      <c r="D104" s="94"/>
      <c r="E104" s="238"/>
      <c r="F104" s="238"/>
      <c r="G104" s="94"/>
      <c r="H104" s="93"/>
      <c r="I104" s="102"/>
      <c r="J104" s="94"/>
      <c r="K104" s="98"/>
      <c r="L104" s="98"/>
      <c r="M104" s="99"/>
      <c r="N104" s="100"/>
      <c r="O104" s="101"/>
      <c r="P104" s="94"/>
      <c r="Q104" s="102"/>
      <c r="R104" s="103"/>
      <c r="S104" s="102"/>
      <c r="T104" s="102"/>
      <c r="V104" s="104"/>
    </row>
    <row r="105" ht="15.75" customHeight="1">
      <c r="A105" s="91"/>
      <c r="B105" s="93"/>
      <c r="C105" s="103"/>
      <c r="D105" s="94"/>
      <c r="E105" s="238"/>
      <c r="F105" s="238"/>
      <c r="G105" s="94"/>
      <c r="H105" s="93"/>
      <c r="I105" s="102"/>
      <c r="J105" s="94"/>
      <c r="K105" s="98"/>
      <c r="L105" s="98"/>
      <c r="M105" s="99"/>
      <c r="N105" s="100"/>
      <c r="O105" s="101"/>
      <c r="P105" s="94"/>
      <c r="Q105" s="109"/>
      <c r="R105" s="127"/>
      <c r="S105" s="102"/>
      <c r="T105" s="102"/>
      <c r="V105" s="104"/>
    </row>
    <row r="106" ht="15.75" customHeight="1">
      <c r="A106" s="91"/>
      <c r="B106" s="93"/>
      <c r="C106" s="103"/>
      <c r="D106" s="94"/>
      <c r="E106" s="238"/>
      <c r="F106" s="238"/>
      <c r="G106" s="94"/>
      <c r="H106" s="93"/>
      <c r="I106" s="102"/>
      <c r="J106" s="94"/>
      <c r="K106" s="98"/>
      <c r="L106" s="98"/>
      <c r="M106" s="99"/>
      <c r="N106" s="100"/>
      <c r="O106" s="101"/>
      <c r="P106" s="94"/>
      <c r="Q106" s="109"/>
      <c r="R106" s="103"/>
      <c r="S106" s="102"/>
      <c r="T106" s="102"/>
      <c r="V106" s="104"/>
    </row>
    <row r="107" ht="15.75" customHeight="1">
      <c r="A107" s="91"/>
      <c r="B107" s="93"/>
      <c r="C107" s="93"/>
      <c r="D107" s="94"/>
      <c r="E107" s="238"/>
      <c r="F107" s="238"/>
      <c r="G107" s="94"/>
      <c r="H107" s="93"/>
      <c r="I107" s="102"/>
      <c r="J107" s="94"/>
      <c r="K107" s="98"/>
      <c r="L107" s="98"/>
      <c r="M107" s="99"/>
      <c r="N107" s="111"/>
      <c r="O107" s="112"/>
      <c r="P107" s="94"/>
      <c r="Q107" s="102"/>
      <c r="R107" s="113"/>
      <c r="S107" s="102"/>
      <c r="T107" s="94"/>
      <c r="V107" s="104"/>
    </row>
    <row r="108" ht="15.75" customHeight="1">
      <c r="A108" s="91"/>
      <c r="B108" s="93"/>
      <c r="C108" s="93"/>
      <c r="D108" s="94"/>
      <c r="E108" s="238"/>
      <c r="F108" s="238"/>
      <c r="G108" s="94"/>
      <c r="H108" s="93"/>
      <c r="I108" s="102"/>
      <c r="J108" s="94"/>
      <c r="K108" s="98"/>
      <c r="L108" s="98"/>
      <c r="M108" s="99"/>
      <c r="N108" s="111"/>
      <c r="O108" s="112"/>
      <c r="P108" s="94"/>
      <c r="Q108" s="102"/>
      <c r="R108" s="113"/>
      <c r="S108" s="102"/>
      <c r="T108" s="94"/>
      <c r="V108" s="104"/>
    </row>
    <row r="109" ht="15.75" customHeight="1">
      <c r="A109" s="91"/>
      <c r="B109" s="93"/>
      <c r="C109" s="128"/>
      <c r="D109" s="94"/>
      <c r="E109" s="238"/>
      <c r="F109" s="239"/>
      <c r="G109" s="94"/>
      <c r="H109" s="93"/>
      <c r="I109" s="102"/>
      <c r="J109" s="94"/>
      <c r="K109" s="98"/>
      <c r="L109" s="98"/>
      <c r="M109" s="99"/>
      <c r="N109" s="111"/>
      <c r="O109" s="112"/>
      <c r="P109" s="94"/>
      <c r="Q109" s="120"/>
      <c r="R109" s="113"/>
      <c r="S109" s="102"/>
      <c r="T109" s="94"/>
      <c r="V109" s="104"/>
    </row>
    <row r="110" ht="15.75" customHeight="1">
      <c r="A110" s="91"/>
      <c r="B110" s="107"/>
      <c r="C110" s="97"/>
      <c r="D110" s="94"/>
      <c r="E110" s="238"/>
      <c r="F110" s="239"/>
      <c r="G110" s="94"/>
      <c r="H110" s="93"/>
      <c r="I110" s="102"/>
      <c r="J110" s="94"/>
      <c r="K110" s="108"/>
      <c r="L110" s="108"/>
      <c r="M110" s="99"/>
      <c r="N110" s="111"/>
      <c r="O110" s="101"/>
      <c r="P110" s="94"/>
      <c r="Q110" s="117"/>
      <c r="R110" s="106"/>
      <c r="S110" s="102"/>
      <c r="T110" s="102"/>
      <c r="V110" s="104"/>
    </row>
    <row r="111" ht="15.75" customHeight="1">
      <c r="A111" s="91"/>
      <c r="B111" s="107"/>
      <c r="C111" s="93"/>
      <c r="D111" s="94"/>
      <c r="E111" s="238"/>
      <c r="F111" s="239"/>
      <c r="G111" s="94"/>
      <c r="H111" s="93"/>
      <c r="I111" s="102"/>
      <c r="J111" s="94"/>
      <c r="K111" s="98"/>
      <c r="L111" s="98"/>
      <c r="M111" s="99"/>
      <c r="N111" s="111"/>
      <c r="O111" s="101"/>
      <c r="P111" s="94"/>
      <c r="Q111" s="120"/>
      <c r="R111" s="103"/>
      <c r="S111" s="102"/>
      <c r="T111" s="102"/>
      <c r="V111" s="104"/>
    </row>
    <row r="112" ht="15.75" customHeight="1">
      <c r="A112" s="91"/>
      <c r="B112" s="107"/>
      <c r="C112" s="93"/>
      <c r="D112" s="94"/>
      <c r="E112" s="238"/>
      <c r="F112" s="239"/>
      <c r="G112" s="94"/>
      <c r="H112" s="93"/>
      <c r="I112" s="102"/>
      <c r="J112" s="94"/>
      <c r="K112" s="108"/>
      <c r="L112" s="108"/>
      <c r="M112" s="99"/>
      <c r="N112" s="100"/>
      <c r="O112" s="101"/>
      <c r="P112" s="94"/>
      <c r="Q112" s="109"/>
      <c r="R112" s="103"/>
      <c r="S112" s="102"/>
      <c r="T112" s="102"/>
      <c r="V112" s="104"/>
    </row>
    <row r="113" ht="15.75" customHeight="1">
      <c r="A113" s="91"/>
      <c r="B113" s="107"/>
      <c r="C113" s="93"/>
      <c r="D113" s="94"/>
      <c r="E113" s="238"/>
      <c r="F113" s="239"/>
      <c r="G113" s="94"/>
      <c r="H113" s="93"/>
      <c r="I113" s="102"/>
      <c r="J113" s="94"/>
      <c r="K113" s="252"/>
      <c r="L113" s="98"/>
      <c r="M113" s="99"/>
      <c r="N113" s="111"/>
      <c r="O113" s="112"/>
      <c r="P113" s="94"/>
      <c r="Q113" s="94"/>
      <c r="R113" s="113"/>
      <c r="S113" s="94"/>
      <c r="T113" s="94"/>
      <c r="V113" s="104"/>
    </row>
    <row r="114" ht="15.75" customHeight="1">
      <c r="A114" s="91"/>
      <c r="B114" s="107"/>
      <c r="C114" s="96"/>
      <c r="D114" s="94"/>
      <c r="E114" s="238"/>
      <c r="F114" s="253"/>
      <c r="G114" s="94"/>
      <c r="H114" s="93"/>
      <c r="I114" s="102"/>
      <c r="J114" s="94"/>
      <c r="K114" s="254"/>
      <c r="L114" s="108"/>
      <c r="M114" s="99"/>
      <c r="N114" s="100"/>
      <c r="O114" s="101"/>
      <c r="P114" s="94"/>
      <c r="Q114" s="102"/>
      <c r="R114" s="103"/>
      <c r="S114" s="102"/>
      <c r="T114" s="102"/>
      <c r="V114" s="104"/>
    </row>
    <row r="115" ht="15.75" customHeight="1">
      <c r="A115" s="91"/>
      <c r="B115" s="107"/>
      <c r="C115" s="110"/>
      <c r="D115" s="94"/>
      <c r="E115" s="238"/>
      <c r="F115" s="239"/>
      <c r="G115" s="94"/>
      <c r="H115" s="93"/>
      <c r="I115" s="102"/>
      <c r="J115" s="94"/>
      <c r="K115" s="98"/>
      <c r="L115" s="98"/>
      <c r="M115" s="99"/>
      <c r="N115" s="111"/>
      <c r="O115" s="112"/>
      <c r="P115" s="94"/>
      <c r="Q115" s="94"/>
      <c r="R115" s="113"/>
      <c r="S115" s="94"/>
      <c r="T115" s="94"/>
      <c r="V115" s="104"/>
    </row>
    <row r="116" ht="15.75" customHeight="1">
      <c r="A116" s="91"/>
      <c r="B116" s="107"/>
      <c r="C116" s="96"/>
      <c r="D116" s="94"/>
      <c r="E116" s="238"/>
      <c r="F116" s="239"/>
      <c r="G116" s="94"/>
      <c r="H116" s="93"/>
      <c r="I116" s="102"/>
      <c r="J116" s="94"/>
      <c r="K116" s="126"/>
      <c r="L116" s="126"/>
      <c r="M116" s="99"/>
      <c r="N116" s="100"/>
      <c r="O116" s="101"/>
      <c r="P116" s="94"/>
      <c r="Q116" s="117"/>
      <c r="R116" s="103"/>
      <c r="S116" s="102"/>
      <c r="T116" s="102"/>
      <c r="V116" s="104"/>
    </row>
    <row r="117" ht="15.75" customHeight="1">
      <c r="A117" s="91"/>
      <c r="B117" s="107"/>
      <c r="C117" s="110"/>
      <c r="D117" s="94"/>
      <c r="E117" s="239"/>
      <c r="F117" s="239"/>
      <c r="G117" s="94"/>
      <c r="H117" s="93"/>
      <c r="I117" s="102"/>
      <c r="J117" s="94"/>
      <c r="K117" s="125"/>
      <c r="L117" s="125"/>
      <c r="M117" s="99"/>
      <c r="N117" s="111"/>
      <c r="O117" s="112"/>
      <c r="P117" s="94"/>
      <c r="Q117" s="120"/>
      <c r="R117" s="113"/>
      <c r="S117" s="94"/>
      <c r="T117" s="94"/>
      <c r="V117" s="104"/>
    </row>
    <row r="118" ht="15.75" customHeight="1">
      <c r="A118" s="91"/>
      <c r="B118" s="107"/>
      <c r="C118" s="93"/>
      <c r="D118" s="94"/>
      <c r="E118" s="238"/>
      <c r="F118" s="239"/>
      <c r="G118" s="94"/>
      <c r="H118" s="93"/>
      <c r="I118" s="102"/>
      <c r="J118" s="94"/>
      <c r="K118" s="126"/>
      <c r="L118" s="126"/>
      <c r="M118" s="99"/>
      <c r="N118" s="111"/>
      <c r="O118" s="112"/>
      <c r="P118" s="94"/>
      <c r="Q118" s="94"/>
      <c r="R118" s="113"/>
      <c r="S118" s="94"/>
      <c r="T118" s="94"/>
      <c r="V118" s="104"/>
    </row>
    <row r="119" ht="15.75" customHeight="1">
      <c r="A119" s="91"/>
      <c r="B119" s="107"/>
      <c r="C119" s="93"/>
      <c r="D119" s="94"/>
      <c r="E119" s="238"/>
      <c r="F119" s="239"/>
      <c r="G119" s="94"/>
      <c r="H119" s="93"/>
      <c r="I119" s="102"/>
      <c r="J119" s="94"/>
      <c r="K119" s="125"/>
      <c r="L119" s="125"/>
      <c r="M119" s="99"/>
      <c r="N119" s="100"/>
      <c r="O119" s="101"/>
      <c r="P119" s="94"/>
      <c r="Q119" s="109"/>
      <c r="R119" s="103"/>
      <c r="S119" s="102"/>
      <c r="T119" s="102"/>
      <c r="V119" s="104"/>
    </row>
    <row r="120" ht="15.75" customHeight="1">
      <c r="A120" s="91"/>
      <c r="B120" s="107"/>
      <c r="C120" s="93"/>
      <c r="D120" s="94"/>
      <c r="E120" s="238"/>
      <c r="F120" s="239"/>
      <c r="G120" s="94"/>
      <c r="H120" s="93"/>
      <c r="I120" s="102"/>
      <c r="J120" s="94"/>
      <c r="K120" s="126"/>
      <c r="L120" s="126"/>
      <c r="M120" s="99"/>
      <c r="N120" s="111"/>
      <c r="O120" s="112"/>
      <c r="P120" s="94"/>
      <c r="Q120" s="94"/>
      <c r="R120" s="113"/>
      <c r="S120" s="94"/>
      <c r="T120" s="94"/>
      <c r="V120" s="104"/>
    </row>
    <row r="121" ht="15.75" customHeight="1">
      <c r="A121" s="91"/>
      <c r="B121" s="107"/>
      <c r="C121" s="93"/>
      <c r="D121" s="94"/>
      <c r="E121" s="238"/>
      <c r="F121" s="239"/>
      <c r="G121" s="94"/>
      <c r="H121" s="93"/>
      <c r="I121" s="102"/>
      <c r="J121" s="94"/>
      <c r="K121" s="125"/>
      <c r="L121" s="125"/>
      <c r="M121" s="99"/>
      <c r="N121" s="111"/>
      <c r="O121" s="112"/>
      <c r="P121" s="94"/>
      <c r="Q121" s="120"/>
      <c r="R121" s="113"/>
      <c r="S121" s="94"/>
      <c r="T121" s="94"/>
      <c r="V121" s="104"/>
    </row>
    <row r="122" ht="15.75" customHeight="1">
      <c r="A122" s="91"/>
      <c r="B122" s="107"/>
      <c r="C122" s="103"/>
      <c r="D122" s="94"/>
      <c r="E122" s="238"/>
      <c r="F122" s="239"/>
      <c r="G122" s="94"/>
      <c r="H122" s="93"/>
      <c r="I122" s="102"/>
      <c r="J122" s="94"/>
      <c r="K122" s="126"/>
      <c r="L122" s="126"/>
      <c r="M122" s="99"/>
      <c r="N122" s="111"/>
      <c r="O122" s="112"/>
      <c r="P122" s="94"/>
      <c r="Q122" s="117"/>
      <c r="R122" s="103"/>
      <c r="S122" s="94"/>
      <c r="T122" s="102"/>
      <c r="V122" s="104"/>
    </row>
    <row r="123" ht="15.75" customHeight="1">
      <c r="A123" s="91"/>
      <c r="B123" s="107"/>
      <c r="C123" s="103"/>
      <c r="D123" s="94"/>
      <c r="E123" s="238"/>
      <c r="F123" s="239"/>
      <c r="G123" s="94"/>
      <c r="H123" s="93"/>
      <c r="I123" s="102"/>
      <c r="J123" s="94"/>
      <c r="K123" s="125"/>
      <c r="L123" s="125"/>
      <c r="M123" s="99"/>
      <c r="N123" s="111"/>
      <c r="O123" s="112"/>
      <c r="P123" s="94"/>
      <c r="Q123" s="117"/>
      <c r="R123" s="103"/>
      <c r="S123" s="94"/>
      <c r="T123" s="102"/>
      <c r="V123" s="104"/>
    </row>
    <row r="124" ht="15.75" customHeight="1">
      <c r="A124" s="91"/>
      <c r="B124" s="107"/>
      <c r="C124" s="93"/>
      <c r="D124" s="94"/>
      <c r="E124" s="243"/>
      <c r="F124" s="255"/>
      <c r="G124" s="94"/>
      <c r="H124" s="93"/>
      <c r="I124" s="102"/>
      <c r="J124" s="94"/>
      <c r="K124" s="126"/>
      <c r="L124" s="126"/>
      <c r="M124" s="99"/>
      <c r="N124" s="111"/>
      <c r="O124" s="112"/>
      <c r="P124" s="94"/>
      <c r="Q124" s="120"/>
      <c r="R124" s="113"/>
      <c r="S124" s="94"/>
      <c r="T124" s="94"/>
      <c r="V124" s="104"/>
    </row>
    <row r="125" ht="15.75" customHeight="1">
      <c r="A125" s="91"/>
      <c r="B125" s="107"/>
      <c r="C125" s="93"/>
      <c r="D125" s="94"/>
      <c r="E125" s="238"/>
      <c r="F125" s="239"/>
      <c r="G125" s="94"/>
      <c r="H125" s="93"/>
      <c r="I125" s="102"/>
      <c r="J125" s="94"/>
      <c r="K125" s="125"/>
      <c r="L125" s="125"/>
      <c r="M125" s="99"/>
      <c r="N125" s="111"/>
      <c r="O125" s="112"/>
      <c r="P125" s="94"/>
      <c r="Q125" s="94"/>
      <c r="R125" s="113"/>
      <c r="S125" s="94"/>
      <c r="T125" s="94"/>
      <c r="V125" s="104"/>
    </row>
    <row r="126" ht="15.75" customHeight="1">
      <c r="A126" s="91"/>
      <c r="B126" s="107"/>
      <c r="C126" s="93"/>
      <c r="D126" s="94"/>
      <c r="E126" s="238"/>
      <c r="F126" s="239"/>
      <c r="G126" s="94"/>
      <c r="H126" s="93"/>
      <c r="I126" s="102"/>
      <c r="J126" s="94"/>
      <c r="K126" s="126"/>
      <c r="L126" s="126"/>
      <c r="M126" s="99"/>
      <c r="N126" s="100"/>
      <c r="O126" s="101"/>
      <c r="P126" s="94"/>
      <c r="Q126" s="109"/>
      <c r="R126" s="106"/>
      <c r="S126" s="102"/>
      <c r="T126" s="102"/>
      <c r="V126" s="104"/>
    </row>
    <row r="127" ht="15.75" customHeight="1">
      <c r="A127" s="91"/>
      <c r="B127" s="131"/>
      <c r="C127" s="132"/>
      <c r="D127" s="94"/>
      <c r="E127" s="247"/>
      <c r="F127" s="253"/>
      <c r="G127" s="94"/>
      <c r="H127" s="93"/>
      <c r="I127" s="102"/>
      <c r="J127" s="94"/>
      <c r="K127" s="125"/>
      <c r="L127" s="125"/>
      <c r="M127" s="99"/>
      <c r="N127" s="100"/>
      <c r="O127" s="112"/>
      <c r="P127" s="94"/>
      <c r="Q127" s="120"/>
      <c r="R127" s="113"/>
      <c r="S127" s="102"/>
      <c r="T127" s="94"/>
      <c r="V127" s="104"/>
    </row>
    <row r="128" ht="15.75" customHeight="1">
      <c r="A128" s="91"/>
      <c r="B128" s="131"/>
      <c r="C128" s="132"/>
      <c r="D128" s="94"/>
      <c r="E128" s="247"/>
      <c r="F128" s="247"/>
      <c r="G128" s="94"/>
      <c r="H128" s="93"/>
      <c r="I128" s="102"/>
      <c r="J128" s="94"/>
      <c r="K128" s="126"/>
      <c r="L128" s="126"/>
      <c r="M128" s="99"/>
      <c r="N128" s="100"/>
      <c r="O128" s="112"/>
      <c r="P128" s="94"/>
      <c r="Q128" s="94"/>
      <c r="R128" s="113"/>
      <c r="S128" s="102"/>
      <c r="T128" s="94"/>
      <c r="V128" s="104"/>
    </row>
    <row r="129" ht="15.75" customHeight="1">
      <c r="A129" s="91"/>
      <c r="B129" s="131"/>
      <c r="C129" s="104"/>
      <c r="D129" s="94"/>
      <c r="E129" s="247"/>
      <c r="F129" s="247"/>
      <c r="G129" s="94"/>
      <c r="H129" s="93"/>
      <c r="I129" s="102"/>
      <c r="J129" s="94"/>
      <c r="K129" s="125"/>
      <c r="L129" s="125"/>
      <c r="M129" s="99"/>
      <c r="N129" s="100"/>
      <c r="O129" s="112"/>
      <c r="P129" s="94"/>
      <c r="Q129" s="120"/>
      <c r="R129" s="113"/>
      <c r="S129" s="102"/>
      <c r="T129" s="94"/>
      <c r="V129" s="104"/>
    </row>
    <row r="130" ht="15.75" customHeight="1">
      <c r="A130" s="91"/>
      <c r="B130" s="131"/>
      <c r="C130" s="104"/>
      <c r="D130" s="94"/>
      <c r="E130" s="247"/>
      <c r="F130" s="247"/>
      <c r="G130" s="94"/>
      <c r="H130" s="93"/>
      <c r="I130" s="102"/>
      <c r="J130" s="94"/>
      <c r="K130" s="126"/>
      <c r="L130" s="126"/>
      <c r="M130" s="99"/>
      <c r="N130" s="100"/>
      <c r="O130" s="112"/>
      <c r="P130" s="94"/>
      <c r="Q130" s="120"/>
      <c r="R130" s="113"/>
      <c r="S130" s="102"/>
      <c r="T130" s="94"/>
      <c r="V130" s="104"/>
    </row>
    <row r="131" ht="15.75" customHeight="1">
      <c r="A131" s="91"/>
      <c r="B131" s="131"/>
      <c r="C131" s="132"/>
      <c r="D131" s="94"/>
      <c r="E131" s="247"/>
      <c r="F131" s="247"/>
      <c r="G131" s="94"/>
      <c r="H131" s="93"/>
      <c r="I131" s="102"/>
      <c r="J131" s="94"/>
      <c r="K131" s="125"/>
      <c r="L131" s="125"/>
      <c r="M131" s="99"/>
      <c r="N131" s="100"/>
      <c r="O131" s="112"/>
      <c r="P131" s="94"/>
      <c r="Q131" s="120"/>
      <c r="R131" s="113"/>
      <c r="S131" s="102"/>
      <c r="T131" s="94"/>
      <c r="V131" s="104"/>
    </row>
    <row r="132" ht="15.75" customHeight="1">
      <c r="A132" s="91"/>
      <c r="B132" s="131"/>
      <c r="C132" s="132"/>
      <c r="D132" s="94"/>
      <c r="E132" s="247"/>
      <c r="F132" s="247"/>
      <c r="G132" s="94"/>
      <c r="H132" s="93"/>
      <c r="I132" s="102"/>
      <c r="J132" s="94"/>
      <c r="K132" s="126"/>
      <c r="L132" s="126"/>
      <c r="M132" s="99"/>
      <c r="N132" s="100"/>
      <c r="O132" s="112"/>
      <c r="P132" s="94"/>
      <c r="Q132" s="94"/>
      <c r="R132" s="113"/>
      <c r="S132" s="102"/>
      <c r="T132" s="94"/>
      <c r="V132" s="104"/>
    </row>
    <row r="133" ht="15.75" customHeight="1">
      <c r="A133" s="91"/>
      <c r="B133" s="131"/>
      <c r="C133" s="132"/>
      <c r="D133" s="94"/>
      <c r="E133" s="247"/>
      <c r="F133" s="247"/>
      <c r="G133" s="94"/>
      <c r="H133" s="93"/>
      <c r="I133" s="102"/>
      <c r="J133" s="94"/>
      <c r="K133" s="125"/>
      <c r="L133" s="125"/>
      <c r="M133" s="99"/>
      <c r="N133" s="100"/>
      <c r="O133" s="112"/>
      <c r="P133" s="94"/>
      <c r="Q133" s="120"/>
      <c r="R133" s="113"/>
      <c r="S133" s="102"/>
      <c r="T133" s="94"/>
      <c r="V133" s="104"/>
    </row>
    <row r="134" ht="15.75" customHeight="1">
      <c r="A134" s="91"/>
      <c r="B134" s="131"/>
      <c r="C134" s="132"/>
      <c r="D134" s="94"/>
      <c r="E134" s="247"/>
      <c r="F134" s="247"/>
      <c r="G134" s="94"/>
      <c r="H134" s="132"/>
      <c r="I134" s="133"/>
      <c r="J134" s="94"/>
      <c r="K134" s="126"/>
      <c r="L134" s="126"/>
      <c r="M134" s="99"/>
      <c r="N134" s="111"/>
      <c r="O134" s="112"/>
      <c r="P134" s="94"/>
      <c r="Q134" s="94"/>
      <c r="R134" s="113"/>
      <c r="S134" s="94"/>
      <c r="T134" s="94"/>
      <c r="V134" s="104"/>
    </row>
    <row r="135" ht="15.75" customHeight="1">
      <c r="A135" s="91"/>
      <c r="B135" s="131"/>
      <c r="C135" s="132"/>
      <c r="D135" s="94"/>
      <c r="E135" s="247"/>
      <c r="F135" s="247"/>
      <c r="G135" s="94"/>
      <c r="H135" s="132"/>
      <c r="I135" s="94"/>
      <c r="J135" s="94"/>
      <c r="K135" s="125"/>
      <c r="L135" s="125"/>
      <c r="M135" s="99"/>
      <c r="N135" s="111"/>
      <c r="O135" s="112"/>
      <c r="P135" s="94"/>
      <c r="Q135" s="120"/>
      <c r="R135" s="113"/>
      <c r="S135" s="94"/>
      <c r="T135" s="94"/>
      <c r="V135" s="104"/>
    </row>
    <row r="136" ht="15.75" customHeight="1">
      <c r="A136" s="91"/>
      <c r="B136" s="131"/>
      <c r="C136" s="104"/>
      <c r="D136" s="94"/>
      <c r="E136" s="247"/>
      <c r="F136" s="247"/>
      <c r="G136" s="94"/>
      <c r="H136" s="132"/>
      <c r="I136" s="94"/>
      <c r="J136" s="94"/>
      <c r="K136" s="126"/>
      <c r="L136" s="126"/>
      <c r="M136" s="99"/>
      <c r="N136" s="111"/>
      <c r="O136" s="112"/>
      <c r="P136" s="94"/>
      <c r="Q136" s="94"/>
      <c r="R136" s="113"/>
      <c r="S136" s="94"/>
      <c r="T136" s="94"/>
      <c r="V136" s="104"/>
    </row>
    <row r="137" ht="15.75" customHeight="1">
      <c r="A137" s="91"/>
      <c r="B137" s="131"/>
      <c r="C137" s="104"/>
      <c r="D137" s="94"/>
      <c r="E137" s="247"/>
      <c r="F137" s="247"/>
      <c r="G137" s="94"/>
      <c r="H137" s="132"/>
      <c r="I137" s="94"/>
      <c r="J137" s="94"/>
      <c r="K137" s="125"/>
      <c r="L137" s="125"/>
      <c r="M137" s="99"/>
      <c r="N137" s="111"/>
      <c r="O137" s="112"/>
      <c r="P137" s="94"/>
      <c r="Q137" s="94"/>
      <c r="R137" s="113"/>
      <c r="S137" s="94"/>
      <c r="T137" s="94"/>
      <c r="V137" s="104"/>
    </row>
    <row r="138" ht="15.75" customHeight="1">
      <c r="A138" s="91"/>
      <c r="B138" s="131"/>
      <c r="C138" s="104"/>
      <c r="D138" s="94"/>
      <c r="E138" s="247"/>
      <c r="F138" s="247"/>
      <c r="G138" s="94"/>
      <c r="H138" s="132"/>
      <c r="I138" s="94"/>
      <c r="J138" s="94"/>
      <c r="K138" s="126"/>
      <c r="L138" s="126"/>
      <c r="M138" s="99"/>
      <c r="N138" s="111"/>
      <c r="O138" s="112"/>
      <c r="P138" s="94"/>
      <c r="Q138" s="94"/>
      <c r="R138" s="113"/>
      <c r="S138" s="94"/>
      <c r="T138" s="94"/>
      <c r="V138" s="104"/>
    </row>
    <row r="139" ht="15.75" customHeight="1">
      <c r="A139" s="91"/>
      <c r="B139" s="131"/>
      <c r="C139" s="132"/>
      <c r="D139" s="94"/>
      <c r="E139" s="247"/>
      <c r="F139" s="247"/>
      <c r="G139" s="94"/>
      <c r="H139" s="132"/>
      <c r="I139" s="94"/>
      <c r="J139" s="94"/>
      <c r="K139" s="125"/>
      <c r="L139" s="125"/>
      <c r="M139" s="99"/>
      <c r="N139" s="111"/>
      <c r="O139" s="112"/>
      <c r="P139" s="94"/>
      <c r="Q139" s="94"/>
      <c r="R139" s="113"/>
      <c r="S139" s="94"/>
      <c r="T139" s="94"/>
      <c r="V139" s="104"/>
    </row>
    <row r="140" ht="15.75" customHeight="1">
      <c r="A140" s="91"/>
      <c r="B140" s="131"/>
      <c r="C140" s="132"/>
      <c r="D140" s="94"/>
      <c r="E140" s="247"/>
      <c r="F140" s="247"/>
      <c r="G140" s="94"/>
      <c r="H140" s="132"/>
      <c r="I140" s="94"/>
      <c r="J140" s="94"/>
      <c r="K140" s="126"/>
      <c r="L140" s="126"/>
      <c r="M140" s="99"/>
      <c r="N140" s="111"/>
      <c r="O140" s="112"/>
      <c r="P140" s="94"/>
      <c r="Q140" s="94"/>
      <c r="R140" s="113"/>
      <c r="S140" s="94"/>
      <c r="T140" s="94"/>
      <c r="V140" s="104"/>
    </row>
    <row r="141" ht="15.75" customHeight="1">
      <c r="A141" s="91"/>
      <c r="B141" s="131"/>
      <c r="C141" s="132"/>
      <c r="D141" s="94"/>
      <c r="E141" s="247"/>
      <c r="F141" s="247"/>
      <c r="G141" s="94"/>
      <c r="H141" s="132"/>
      <c r="I141" s="94"/>
      <c r="J141" s="94"/>
      <c r="K141" s="125"/>
      <c r="L141" s="125"/>
      <c r="M141" s="99"/>
      <c r="N141" s="111"/>
      <c r="O141" s="112"/>
      <c r="P141" s="94"/>
      <c r="Q141" s="94"/>
      <c r="R141" s="113"/>
      <c r="S141" s="94"/>
      <c r="T141" s="94"/>
      <c r="V141" s="104"/>
    </row>
    <row r="142" ht="15.75" customHeight="1">
      <c r="A142" s="91"/>
      <c r="B142" s="131"/>
      <c r="C142" s="132"/>
      <c r="D142" s="94"/>
      <c r="E142" s="247"/>
      <c r="F142" s="247"/>
      <c r="G142" s="94"/>
      <c r="H142" s="132"/>
      <c r="I142" s="94"/>
      <c r="J142" s="94"/>
      <c r="K142" s="126"/>
      <c r="L142" s="126"/>
      <c r="M142" s="99"/>
      <c r="N142" s="111"/>
      <c r="O142" s="112"/>
      <c r="P142" s="94"/>
      <c r="Q142" s="94"/>
      <c r="R142" s="113"/>
      <c r="S142" s="94"/>
      <c r="T142" s="94"/>
      <c r="V142" s="104"/>
    </row>
    <row r="143" ht="15.75" customHeight="1">
      <c r="A143" s="91"/>
      <c r="B143" s="131"/>
      <c r="C143" s="132"/>
      <c r="D143" s="94"/>
      <c r="E143" s="247"/>
      <c r="F143" s="247"/>
      <c r="G143" s="94"/>
      <c r="H143" s="132"/>
      <c r="I143" s="94"/>
      <c r="J143" s="94"/>
      <c r="K143" s="125"/>
      <c r="L143" s="125"/>
      <c r="M143" s="99"/>
      <c r="N143" s="111"/>
      <c r="O143" s="112"/>
      <c r="P143" s="94"/>
      <c r="Q143" s="120"/>
      <c r="R143" s="113"/>
      <c r="S143" s="94"/>
      <c r="T143" s="94"/>
      <c r="V143" s="104"/>
    </row>
    <row r="144" ht="15.75" customHeight="1">
      <c r="A144" s="91"/>
      <c r="B144" s="131"/>
      <c r="C144" s="104"/>
      <c r="D144" s="94"/>
      <c r="E144" s="247"/>
      <c r="F144" s="247"/>
      <c r="G144" s="94"/>
      <c r="H144" s="132"/>
      <c r="I144" s="94"/>
      <c r="J144" s="94"/>
      <c r="K144" s="126"/>
      <c r="L144" s="126"/>
      <c r="M144" s="99"/>
      <c r="N144" s="111"/>
      <c r="O144" s="112"/>
      <c r="P144" s="94"/>
      <c r="Q144" s="94"/>
      <c r="R144" s="113"/>
      <c r="S144" s="94"/>
      <c r="T144" s="94"/>
      <c r="V144" s="104"/>
    </row>
    <row r="145" ht="15.75" customHeight="1">
      <c r="A145" s="91"/>
      <c r="B145" s="131"/>
      <c r="C145" s="104"/>
      <c r="D145" s="94"/>
      <c r="E145" s="247"/>
      <c r="F145" s="247"/>
      <c r="G145" s="94"/>
      <c r="H145" s="132"/>
      <c r="I145" s="94"/>
      <c r="J145" s="94"/>
      <c r="K145" s="125"/>
      <c r="L145" s="125"/>
      <c r="M145" s="99"/>
      <c r="N145" s="111"/>
      <c r="O145" s="112"/>
      <c r="P145" s="94"/>
      <c r="Q145" s="94"/>
      <c r="R145" s="113"/>
      <c r="S145" s="94"/>
      <c r="T145" s="94"/>
      <c r="V145" s="104"/>
    </row>
    <row r="146" ht="15.75" customHeight="1">
      <c r="A146" s="91"/>
      <c r="B146" s="131"/>
      <c r="C146" s="104"/>
      <c r="D146" s="94"/>
      <c r="E146" s="247"/>
      <c r="F146" s="247"/>
      <c r="G146" s="94"/>
      <c r="H146" s="132"/>
      <c r="I146" s="94"/>
      <c r="J146" s="94"/>
      <c r="K146" s="126"/>
      <c r="L146" s="126"/>
      <c r="M146" s="99"/>
      <c r="N146" s="111"/>
      <c r="O146" s="112"/>
      <c r="P146" s="94"/>
      <c r="Q146" s="120"/>
      <c r="R146" s="113"/>
      <c r="S146" s="94"/>
      <c r="T146" s="94"/>
      <c r="V146" s="104"/>
    </row>
    <row r="147" ht="15.75" customHeight="1">
      <c r="A147" s="91"/>
      <c r="B147" s="131"/>
      <c r="C147" s="132"/>
      <c r="D147" s="94"/>
      <c r="E147" s="247"/>
      <c r="F147" s="247"/>
      <c r="G147" s="94"/>
      <c r="H147" s="132"/>
      <c r="I147" s="94"/>
      <c r="J147" s="94"/>
      <c r="K147" s="125"/>
      <c r="L147" s="125"/>
      <c r="M147" s="99"/>
      <c r="N147" s="111"/>
      <c r="O147" s="112"/>
      <c r="P147" s="94"/>
      <c r="Q147" s="120"/>
      <c r="R147" s="113"/>
      <c r="S147" s="94"/>
      <c r="T147" s="94"/>
      <c r="V147" s="104"/>
    </row>
    <row r="148" ht="15.75" customHeight="1">
      <c r="A148" s="91"/>
      <c r="B148" s="131"/>
      <c r="C148" s="132"/>
      <c r="D148" s="94"/>
      <c r="E148" s="247"/>
      <c r="F148" s="247"/>
      <c r="G148" s="94"/>
      <c r="H148" s="132"/>
      <c r="I148" s="94"/>
      <c r="J148" s="94"/>
      <c r="K148" s="126"/>
      <c r="L148" s="126"/>
      <c r="M148" s="99"/>
      <c r="N148" s="111"/>
      <c r="O148" s="112"/>
      <c r="P148" s="94"/>
      <c r="Q148" s="120"/>
      <c r="R148" s="113"/>
      <c r="S148" s="94"/>
      <c r="T148" s="94"/>
      <c r="V148" s="104"/>
    </row>
    <row r="149" ht="15.75" customHeight="1">
      <c r="A149" s="91"/>
      <c r="B149" s="131"/>
      <c r="C149" s="132"/>
      <c r="D149" s="94"/>
      <c r="E149" s="247"/>
      <c r="F149" s="247"/>
      <c r="G149" s="94"/>
      <c r="H149" s="132"/>
      <c r="I149" s="94"/>
      <c r="J149" s="94"/>
      <c r="K149" s="125"/>
      <c r="L149" s="125"/>
      <c r="M149" s="99"/>
      <c r="N149" s="111"/>
      <c r="O149" s="112"/>
      <c r="P149" s="94"/>
      <c r="Q149" s="120"/>
      <c r="R149" s="113"/>
      <c r="S149" s="94"/>
      <c r="T149" s="94"/>
      <c r="V149" s="104"/>
    </row>
    <row r="150" ht="15.75" customHeight="1">
      <c r="A150" s="91"/>
      <c r="B150" s="131"/>
      <c r="C150" s="132"/>
      <c r="D150" s="94"/>
      <c r="E150" s="247"/>
      <c r="F150" s="247"/>
      <c r="G150" s="94"/>
      <c r="H150" s="132"/>
      <c r="I150" s="94"/>
      <c r="J150" s="94"/>
      <c r="K150" s="126"/>
      <c r="L150" s="126"/>
      <c r="M150" s="99"/>
      <c r="N150" s="111"/>
      <c r="O150" s="112"/>
      <c r="P150" s="94"/>
      <c r="Q150" s="120"/>
      <c r="R150" s="113"/>
      <c r="S150" s="94"/>
      <c r="T150" s="94"/>
      <c r="V150" s="104"/>
    </row>
    <row r="151" ht="15.75" customHeight="1">
      <c r="A151" s="91"/>
      <c r="B151" s="131"/>
      <c r="C151" s="132"/>
      <c r="D151" s="94"/>
      <c r="E151" s="247"/>
      <c r="F151" s="247"/>
      <c r="G151" s="94"/>
      <c r="H151" s="132"/>
      <c r="I151" s="94"/>
      <c r="J151" s="94"/>
      <c r="K151" s="125"/>
      <c r="L151" s="125"/>
      <c r="M151" s="99"/>
      <c r="N151" s="111"/>
      <c r="O151" s="112"/>
      <c r="P151" s="94"/>
      <c r="Q151" s="120"/>
      <c r="R151" s="113"/>
      <c r="S151" s="94"/>
      <c r="T151" s="94"/>
      <c r="V151" s="104"/>
    </row>
    <row r="152" ht="15.75" customHeight="1">
      <c r="A152" s="91"/>
      <c r="B152" s="131"/>
      <c r="C152" s="104"/>
      <c r="D152" s="94"/>
      <c r="E152" s="247"/>
      <c r="F152" s="247"/>
      <c r="G152" s="94"/>
      <c r="H152" s="132"/>
      <c r="I152" s="94"/>
      <c r="J152" s="94"/>
      <c r="K152" s="126"/>
      <c r="L152" s="126"/>
      <c r="M152" s="99"/>
      <c r="N152" s="111"/>
      <c r="O152" s="112"/>
      <c r="P152" s="94"/>
      <c r="Q152" s="94"/>
      <c r="R152" s="113"/>
      <c r="S152" s="94"/>
      <c r="T152" s="94"/>
      <c r="V152" s="104"/>
    </row>
    <row r="153" ht="15.75" customHeight="1">
      <c r="A153" s="91"/>
      <c r="B153" s="131"/>
      <c r="C153" s="104"/>
      <c r="D153" s="94"/>
      <c r="E153" s="247"/>
      <c r="F153" s="247"/>
      <c r="G153" s="94"/>
      <c r="H153" s="132"/>
      <c r="I153" s="94"/>
      <c r="J153" s="94"/>
      <c r="K153" s="125"/>
      <c r="L153" s="125"/>
      <c r="M153" s="99"/>
      <c r="N153" s="111"/>
      <c r="O153" s="112"/>
      <c r="P153" s="94"/>
      <c r="Q153" s="120"/>
      <c r="R153" s="113"/>
      <c r="S153" s="94"/>
      <c r="T153" s="94"/>
      <c r="V153" s="104"/>
    </row>
    <row r="154" ht="15.75" customHeight="1">
      <c r="A154" s="91"/>
      <c r="B154" s="131"/>
      <c r="C154" s="104"/>
      <c r="D154" s="94"/>
      <c r="E154" s="247"/>
      <c r="F154" s="247"/>
      <c r="G154" s="94"/>
      <c r="H154" s="132"/>
      <c r="I154" s="94"/>
      <c r="J154" s="94"/>
      <c r="K154" s="126"/>
      <c r="L154" s="126"/>
      <c r="M154" s="99"/>
      <c r="N154" s="111"/>
      <c r="O154" s="112"/>
      <c r="P154" s="94"/>
      <c r="Q154" s="94"/>
      <c r="R154" s="113"/>
      <c r="S154" s="94"/>
      <c r="T154" s="94"/>
      <c r="V154" s="104"/>
    </row>
    <row r="155" ht="15.75" customHeight="1">
      <c r="A155" s="91"/>
      <c r="B155" s="131"/>
      <c r="C155" s="132"/>
      <c r="D155" s="94"/>
      <c r="E155" s="247"/>
      <c r="F155" s="247"/>
      <c r="G155" s="94"/>
      <c r="H155" s="132"/>
      <c r="I155" s="94"/>
      <c r="J155" s="94"/>
      <c r="K155" s="125"/>
      <c r="L155" s="125"/>
      <c r="M155" s="99"/>
      <c r="N155" s="111"/>
      <c r="O155" s="112"/>
      <c r="P155" s="94"/>
      <c r="Q155" s="94"/>
      <c r="R155" s="113"/>
      <c r="S155" s="94"/>
      <c r="T155" s="94"/>
      <c r="V155" s="104"/>
    </row>
    <row r="156" ht="15.75" customHeight="1">
      <c r="A156" s="91"/>
      <c r="B156" s="131"/>
      <c r="C156" s="132"/>
      <c r="D156" s="94"/>
      <c r="E156" s="247"/>
      <c r="F156" s="247"/>
      <c r="G156" s="94"/>
      <c r="H156" s="132"/>
      <c r="I156" s="94"/>
      <c r="J156" s="94"/>
      <c r="K156" s="126"/>
      <c r="L156" s="126"/>
      <c r="M156" s="99"/>
      <c r="N156" s="111"/>
      <c r="O156" s="112"/>
      <c r="P156" s="94"/>
      <c r="Q156" s="120"/>
      <c r="R156" s="113"/>
      <c r="S156" s="94"/>
      <c r="T156" s="94"/>
      <c r="V156" s="104"/>
    </row>
    <row r="157" ht="15.75" customHeight="1">
      <c r="A157" s="91"/>
      <c r="B157" s="131"/>
      <c r="C157" s="132"/>
      <c r="D157" s="94"/>
      <c r="E157" s="247"/>
      <c r="F157" s="247"/>
      <c r="G157" s="94"/>
      <c r="H157" s="132"/>
      <c r="I157" s="94"/>
      <c r="J157" s="94"/>
      <c r="K157" s="125"/>
      <c r="L157" s="125"/>
      <c r="M157" s="99"/>
      <c r="N157" s="111"/>
      <c r="O157" s="112"/>
      <c r="P157" s="94"/>
      <c r="Q157" s="94"/>
      <c r="R157" s="113"/>
      <c r="S157" s="94"/>
      <c r="T157" s="94"/>
      <c r="V157" s="104"/>
    </row>
    <row r="158" ht="15.75" customHeight="1">
      <c r="A158" s="91"/>
      <c r="B158" s="131"/>
      <c r="C158" s="132"/>
      <c r="D158" s="94"/>
      <c r="E158" s="247"/>
      <c r="F158" s="247"/>
      <c r="G158" s="94"/>
      <c r="H158" s="132"/>
      <c r="I158" s="94"/>
      <c r="J158" s="94"/>
      <c r="K158" s="126"/>
      <c r="L158" s="126"/>
      <c r="M158" s="99"/>
      <c r="N158" s="111"/>
      <c r="O158" s="112"/>
      <c r="P158" s="94"/>
      <c r="Q158" s="94"/>
      <c r="R158" s="113"/>
      <c r="S158" s="94"/>
      <c r="T158" s="94"/>
      <c r="V158" s="104"/>
    </row>
    <row r="159" ht="15.75" customHeight="1">
      <c r="A159" s="91"/>
      <c r="B159" s="131"/>
      <c r="C159" s="132"/>
      <c r="D159" s="94"/>
      <c r="E159" s="247"/>
      <c r="F159" s="247"/>
      <c r="G159" s="94"/>
      <c r="H159" s="132"/>
      <c r="I159" s="94"/>
      <c r="J159" s="94"/>
      <c r="K159" s="125"/>
      <c r="L159" s="125"/>
      <c r="M159" s="99"/>
      <c r="N159" s="111"/>
      <c r="O159" s="112"/>
      <c r="P159" s="94"/>
      <c r="Q159" s="120"/>
      <c r="R159" s="113"/>
      <c r="S159" s="94"/>
      <c r="T159" s="94"/>
      <c r="V159" s="104"/>
    </row>
    <row r="160" ht="15.75" customHeight="1">
      <c r="A160" s="91"/>
      <c r="B160" s="131"/>
      <c r="C160" s="104"/>
      <c r="D160" s="94"/>
      <c r="E160" s="247"/>
      <c r="F160" s="247"/>
      <c r="G160" s="94"/>
      <c r="H160" s="132"/>
      <c r="I160" s="94"/>
      <c r="J160" s="94"/>
      <c r="K160" s="126"/>
      <c r="L160" s="126"/>
      <c r="M160" s="99"/>
      <c r="N160" s="111"/>
      <c r="O160" s="112"/>
      <c r="P160" s="94"/>
      <c r="Q160" s="94"/>
      <c r="R160" s="113"/>
      <c r="S160" s="94"/>
      <c r="T160" s="94"/>
      <c r="V160" s="104"/>
    </row>
    <row r="161" ht="15.75" customHeight="1">
      <c r="A161" s="91"/>
      <c r="B161" s="131"/>
      <c r="C161" s="104"/>
      <c r="D161" s="94"/>
      <c r="E161" s="247"/>
      <c r="F161" s="247"/>
      <c r="G161" s="94"/>
      <c r="H161" s="132"/>
      <c r="I161" s="94"/>
      <c r="J161" s="94"/>
      <c r="K161" s="125"/>
      <c r="L161" s="125"/>
      <c r="M161" s="99"/>
      <c r="N161" s="111"/>
      <c r="O161" s="112"/>
      <c r="P161" s="94"/>
      <c r="Q161" s="120"/>
      <c r="R161" s="113"/>
      <c r="S161" s="94"/>
      <c r="T161" s="94"/>
      <c r="V161" s="104"/>
    </row>
    <row r="162" ht="15.75" customHeight="1">
      <c r="A162" s="91"/>
      <c r="B162" s="131"/>
      <c r="C162" s="104"/>
      <c r="D162" s="94"/>
      <c r="E162" s="247"/>
      <c r="F162" s="247"/>
      <c r="G162" s="94"/>
      <c r="H162" s="132"/>
      <c r="I162" s="94"/>
      <c r="J162" s="94"/>
      <c r="K162" s="126"/>
      <c r="L162" s="126"/>
      <c r="M162" s="99"/>
      <c r="N162" s="111"/>
      <c r="O162" s="112"/>
      <c r="P162" s="94"/>
      <c r="Q162" s="120"/>
      <c r="R162" s="113"/>
      <c r="S162" s="94"/>
      <c r="T162" s="94"/>
      <c r="V162" s="104"/>
    </row>
    <row r="163" ht="15.75" customHeight="1">
      <c r="A163" s="91"/>
      <c r="B163" s="131"/>
      <c r="C163" s="132"/>
      <c r="D163" s="94"/>
      <c r="E163" s="247"/>
      <c r="F163" s="247"/>
      <c r="G163" s="94"/>
      <c r="H163" s="132"/>
      <c r="I163" s="94"/>
      <c r="J163" s="94"/>
      <c r="K163" s="125"/>
      <c r="L163" s="125"/>
      <c r="M163" s="99"/>
      <c r="N163" s="111"/>
      <c r="O163" s="112"/>
      <c r="P163" s="94"/>
      <c r="Q163" s="120"/>
      <c r="R163" s="113"/>
      <c r="S163" s="94"/>
      <c r="T163" s="94"/>
      <c r="V163" s="104"/>
    </row>
    <row r="164" ht="15.75" customHeight="1">
      <c r="A164" s="91"/>
      <c r="B164" s="131"/>
      <c r="C164" s="132"/>
      <c r="D164" s="94"/>
      <c r="E164" s="247"/>
      <c r="F164" s="247"/>
      <c r="G164" s="94"/>
      <c r="H164" s="132"/>
      <c r="I164" s="94"/>
      <c r="J164" s="94"/>
      <c r="K164" s="126"/>
      <c r="L164" s="126"/>
      <c r="M164" s="99"/>
      <c r="N164" s="111"/>
      <c r="O164" s="112"/>
      <c r="P164" s="94"/>
      <c r="Q164" s="94"/>
      <c r="R164" s="113"/>
      <c r="S164" s="94"/>
      <c r="T164" s="94"/>
      <c r="V164" s="104"/>
    </row>
    <row r="165" ht="15.75" customHeight="1">
      <c r="A165" s="91"/>
      <c r="B165" s="131"/>
      <c r="C165" s="132"/>
      <c r="D165" s="94"/>
      <c r="E165" s="247"/>
      <c r="F165" s="247"/>
      <c r="G165" s="94"/>
      <c r="H165" s="132"/>
      <c r="I165" s="94"/>
      <c r="J165" s="94"/>
      <c r="K165" s="125"/>
      <c r="L165" s="125"/>
      <c r="M165" s="99"/>
      <c r="N165" s="111"/>
      <c r="O165" s="112"/>
      <c r="P165" s="94"/>
      <c r="Q165" s="120"/>
      <c r="R165" s="113"/>
      <c r="S165" s="94"/>
      <c r="T165" s="94"/>
      <c r="V165" s="104"/>
    </row>
    <row r="166" ht="15.75" customHeight="1">
      <c r="A166" s="91"/>
      <c r="B166" s="131"/>
      <c r="C166" s="132"/>
      <c r="D166" s="94"/>
      <c r="E166" s="247"/>
      <c r="F166" s="247"/>
      <c r="G166" s="94"/>
      <c r="H166" s="132"/>
      <c r="I166" s="94"/>
      <c r="J166" s="94"/>
      <c r="K166" s="126"/>
      <c r="L166" s="126"/>
      <c r="M166" s="99"/>
      <c r="N166" s="111"/>
      <c r="O166" s="112"/>
      <c r="P166" s="94"/>
      <c r="Q166" s="94"/>
      <c r="R166" s="113"/>
      <c r="S166" s="94"/>
      <c r="T166" s="94"/>
      <c r="V166" s="104"/>
    </row>
    <row r="167" ht="15.75" customHeight="1">
      <c r="A167" s="91"/>
      <c r="B167" s="131"/>
      <c r="C167" s="132"/>
      <c r="D167" s="94"/>
      <c r="E167" s="247"/>
      <c r="F167" s="248"/>
      <c r="G167" s="94"/>
      <c r="H167" s="132"/>
      <c r="I167" s="94"/>
      <c r="J167" s="94"/>
      <c r="K167" s="125"/>
      <c r="L167" s="125"/>
      <c r="M167" s="99"/>
      <c r="N167" s="111"/>
      <c r="O167" s="112"/>
      <c r="P167" s="94"/>
      <c r="Q167" s="120"/>
      <c r="R167" s="113"/>
      <c r="S167" s="94"/>
      <c r="T167" s="94"/>
      <c r="V167" s="104"/>
    </row>
    <row r="168" ht="15.75" customHeight="1">
      <c r="A168" s="91"/>
      <c r="B168" s="131"/>
      <c r="C168" s="104"/>
      <c r="D168" s="94"/>
      <c r="E168" s="247"/>
      <c r="F168" s="247"/>
      <c r="G168" s="94"/>
      <c r="H168" s="132"/>
      <c r="I168" s="94"/>
      <c r="J168" s="94"/>
      <c r="K168" s="126"/>
      <c r="L168" s="126"/>
      <c r="M168" s="99"/>
      <c r="N168" s="111"/>
      <c r="O168" s="112"/>
      <c r="P168" s="94"/>
      <c r="Q168" s="94"/>
      <c r="R168" s="113"/>
      <c r="S168" s="94"/>
      <c r="T168" s="94"/>
      <c r="V168" s="104"/>
    </row>
    <row r="169" ht="15.75" customHeight="1">
      <c r="A169" s="91"/>
      <c r="B169" s="131"/>
      <c r="C169" s="104"/>
      <c r="D169" s="94"/>
      <c r="E169" s="247"/>
      <c r="F169" s="247"/>
      <c r="G169" s="94"/>
      <c r="H169" s="132"/>
      <c r="I169" s="94"/>
      <c r="J169" s="94"/>
      <c r="K169" s="125"/>
      <c r="L169" s="125"/>
      <c r="M169" s="99"/>
      <c r="N169" s="111"/>
      <c r="O169" s="112"/>
      <c r="P169" s="94"/>
      <c r="Q169" s="120"/>
      <c r="R169" s="113"/>
      <c r="S169" s="94"/>
      <c r="T169" s="94"/>
      <c r="V169" s="104"/>
    </row>
    <row r="170" ht="15.75" customHeight="1">
      <c r="A170" s="91"/>
      <c r="B170" s="131"/>
      <c r="C170" s="132"/>
      <c r="D170" s="94"/>
      <c r="E170" s="247"/>
      <c r="F170" s="247"/>
      <c r="G170" s="94"/>
      <c r="H170" s="132"/>
      <c r="I170" s="94"/>
      <c r="J170" s="94"/>
      <c r="K170" s="126"/>
      <c r="L170" s="126"/>
      <c r="M170" s="99"/>
      <c r="N170" s="111"/>
      <c r="O170" s="112"/>
      <c r="P170" s="94"/>
      <c r="Q170" s="120"/>
      <c r="R170" s="113"/>
      <c r="S170" s="94"/>
      <c r="T170" s="94"/>
      <c r="V170" s="104"/>
    </row>
    <row r="171" ht="15.75" customHeight="1">
      <c r="A171" s="91"/>
      <c r="B171" s="131"/>
      <c r="C171" s="132"/>
      <c r="D171" s="94"/>
      <c r="E171" s="247"/>
      <c r="F171" s="247"/>
      <c r="G171" s="94"/>
      <c r="H171" s="132"/>
      <c r="I171" s="94"/>
      <c r="J171" s="94"/>
      <c r="K171" s="125"/>
      <c r="L171" s="125"/>
      <c r="M171" s="99"/>
      <c r="N171" s="111"/>
      <c r="O171" s="112"/>
      <c r="P171" s="94"/>
      <c r="Q171" s="120"/>
      <c r="R171" s="113"/>
      <c r="S171" s="94"/>
      <c r="T171" s="94"/>
      <c r="V171" s="104"/>
    </row>
    <row r="172" ht="15.75" customHeight="1">
      <c r="A172" s="91"/>
      <c r="B172" s="131"/>
      <c r="C172" s="132"/>
      <c r="D172" s="94"/>
      <c r="E172" s="247"/>
      <c r="F172" s="247"/>
      <c r="G172" s="94"/>
      <c r="H172" s="132"/>
      <c r="I172" s="94"/>
      <c r="J172" s="94"/>
      <c r="K172" s="126"/>
      <c r="L172" s="126"/>
      <c r="M172" s="99"/>
      <c r="N172" s="111"/>
      <c r="O172" s="112"/>
      <c r="P172" s="94"/>
      <c r="Q172" s="120"/>
      <c r="R172" s="113"/>
      <c r="S172" s="94"/>
      <c r="T172" s="94"/>
      <c r="V172" s="104"/>
    </row>
    <row r="173" ht="15.75" customHeight="1">
      <c r="A173" s="91"/>
      <c r="B173" s="131"/>
      <c r="C173" s="132"/>
      <c r="D173" s="94"/>
      <c r="E173" s="247"/>
      <c r="F173" s="247"/>
      <c r="G173" s="94"/>
      <c r="H173" s="132"/>
      <c r="I173" s="94"/>
      <c r="J173" s="94"/>
      <c r="K173" s="125"/>
      <c r="L173" s="125"/>
      <c r="M173" s="99"/>
      <c r="N173" s="111"/>
      <c r="O173" s="112"/>
      <c r="P173" s="94"/>
      <c r="Q173" s="120"/>
      <c r="R173" s="113"/>
      <c r="S173" s="94"/>
      <c r="T173" s="94"/>
      <c r="V173" s="104"/>
    </row>
    <row r="174" ht="15.75" customHeight="1">
      <c r="A174" s="91"/>
      <c r="B174" s="131"/>
      <c r="C174" s="132"/>
      <c r="D174" s="94"/>
      <c r="E174" s="247"/>
      <c r="F174" s="247"/>
      <c r="G174" s="94"/>
      <c r="H174" s="132"/>
      <c r="I174" s="94"/>
      <c r="J174" s="94"/>
      <c r="K174" s="126"/>
      <c r="L174" s="126"/>
      <c r="M174" s="99"/>
      <c r="N174" s="111"/>
      <c r="O174" s="112"/>
      <c r="P174" s="94"/>
      <c r="Q174" s="120"/>
      <c r="R174" s="113"/>
      <c r="S174" s="94"/>
      <c r="T174" s="94"/>
      <c r="V174" s="104"/>
    </row>
    <row r="175" ht="15.75" customHeight="1">
      <c r="A175" s="91"/>
      <c r="B175" s="131"/>
      <c r="C175" s="104"/>
      <c r="D175" s="94"/>
      <c r="E175" s="247"/>
      <c r="F175" s="247"/>
      <c r="G175" s="94"/>
      <c r="H175" s="132"/>
      <c r="I175" s="94"/>
      <c r="J175" s="94"/>
      <c r="K175" s="125"/>
      <c r="L175" s="125"/>
      <c r="M175" s="99"/>
      <c r="N175" s="111"/>
      <c r="O175" s="112"/>
      <c r="P175" s="94"/>
      <c r="Q175" s="120"/>
      <c r="R175" s="113"/>
      <c r="S175" s="94"/>
      <c r="T175" s="94"/>
      <c r="V175" s="104"/>
    </row>
    <row r="176" ht="15.75" customHeight="1">
      <c r="A176" s="91"/>
      <c r="B176" s="131"/>
      <c r="C176" s="132"/>
      <c r="D176" s="94"/>
      <c r="E176" s="247"/>
      <c r="F176" s="247"/>
      <c r="G176" s="94"/>
      <c r="H176" s="132"/>
      <c r="I176" s="94"/>
      <c r="J176" s="94"/>
      <c r="K176" s="126"/>
      <c r="L176" s="126"/>
      <c r="M176" s="99"/>
      <c r="N176" s="111"/>
      <c r="O176" s="112"/>
      <c r="P176" s="94"/>
      <c r="Q176" s="120"/>
      <c r="R176" s="113"/>
      <c r="S176" s="94"/>
      <c r="T176" s="94"/>
      <c r="V176" s="104"/>
    </row>
    <row r="177" ht="15.75" customHeight="1">
      <c r="A177" s="91"/>
      <c r="B177" s="131"/>
      <c r="C177" s="132"/>
      <c r="D177" s="94"/>
      <c r="E177" s="247"/>
      <c r="F177" s="247"/>
      <c r="G177" s="94"/>
      <c r="H177" s="132"/>
      <c r="I177" s="94"/>
      <c r="J177" s="94"/>
      <c r="K177" s="125"/>
      <c r="L177" s="125"/>
      <c r="M177" s="99"/>
      <c r="N177" s="111"/>
      <c r="O177" s="112"/>
      <c r="P177" s="94"/>
      <c r="Q177" s="120"/>
      <c r="R177" s="113"/>
      <c r="S177" s="94"/>
      <c r="T177" s="94"/>
      <c r="V177" s="104"/>
    </row>
    <row r="178" ht="15.75" customHeight="1">
      <c r="A178" s="91"/>
      <c r="B178" s="131"/>
      <c r="C178" s="132"/>
      <c r="D178" s="94"/>
      <c r="E178" s="247"/>
      <c r="F178" s="247"/>
      <c r="G178" s="94"/>
      <c r="H178" s="132"/>
      <c r="I178" s="94"/>
      <c r="J178" s="94"/>
      <c r="K178" s="126"/>
      <c r="L178" s="126"/>
      <c r="M178" s="99"/>
      <c r="N178" s="111"/>
      <c r="O178" s="112"/>
      <c r="P178" s="94"/>
      <c r="Q178" s="120"/>
      <c r="R178" s="113"/>
      <c r="S178" s="94"/>
      <c r="T178" s="94"/>
      <c r="V178" s="104"/>
    </row>
    <row r="179" ht="15.75" customHeight="1">
      <c r="A179" s="91"/>
      <c r="B179" s="131"/>
      <c r="C179" s="132"/>
      <c r="D179" s="94"/>
      <c r="E179" s="247"/>
      <c r="F179" s="247"/>
      <c r="G179" s="94"/>
      <c r="H179" s="132"/>
      <c r="I179" s="94"/>
      <c r="J179" s="94"/>
      <c r="K179" s="125"/>
      <c r="L179" s="125"/>
      <c r="M179" s="99"/>
      <c r="N179" s="111"/>
      <c r="O179" s="112"/>
      <c r="P179" s="94"/>
      <c r="Q179" s="120"/>
      <c r="R179" s="113"/>
      <c r="S179" s="94"/>
      <c r="T179" s="94"/>
      <c r="V179" s="104"/>
    </row>
    <row r="180" ht="15.75" customHeight="1">
      <c r="A180" s="91"/>
      <c r="B180" s="131"/>
      <c r="C180" s="132"/>
      <c r="D180" s="94"/>
      <c r="E180" s="247"/>
      <c r="F180" s="247"/>
      <c r="G180" s="94"/>
      <c r="H180" s="132"/>
      <c r="I180" s="94"/>
      <c r="J180" s="94"/>
      <c r="K180" s="126"/>
      <c r="L180" s="126"/>
      <c r="M180" s="99"/>
      <c r="N180" s="111"/>
      <c r="O180" s="112"/>
      <c r="P180" s="94"/>
      <c r="Q180" s="120"/>
      <c r="R180" s="113"/>
      <c r="S180" s="94"/>
      <c r="T180" s="94"/>
      <c r="V180" s="104"/>
    </row>
    <row r="181" ht="15.75" customHeight="1">
      <c r="A181" s="91"/>
      <c r="B181" s="131"/>
      <c r="C181" s="104"/>
      <c r="D181" s="94"/>
      <c r="E181" s="247"/>
      <c r="F181" s="247"/>
      <c r="G181" s="94"/>
      <c r="H181" s="132"/>
      <c r="I181" s="94"/>
      <c r="J181" s="94"/>
      <c r="K181" s="125"/>
      <c r="L181" s="125"/>
      <c r="M181" s="99"/>
      <c r="N181" s="111"/>
      <c r="O181" s="112"/>
      <c r="P181" s="94"/>
      <c r="Q181" s="120"/>
      <c r="R181" s="113"/>
      <c r="S181" s="94"/>
      <c r="T181" s="94"/>
      <c r="V181" s="104"/>
    </row>
    <row r="182" ht="15.75" customHeight="1">
      <c r="A182" s="91"/>
      <c r="B182" s="131"/>
      <c r="C182" s="132"/>
      <c r="D182" s="94"/>
      <c r="E182" s="247"/>
      <c r="F182" s="247"/>
      <c r="G182" s="94"/>
      <c r="H182" s="132"/>
      <c r="I182" s="94"/>
      <c r="J182" s="94"/>
      <c r="K182" s="126"/>
      <c r="L182" s="126"/>
      <c r="M182" s="99"/>
      <c r="N182" s="111"/>
      <c r="O182" s="112"/>
      <c r="P182" s="94"/>
      <c r="Q182" s="120"/>
      <c r="R182" s="113"/>
      <c r="S182" s="94"/>
      <c r="T182" s="94"/>
      <c r="V182" s="104"/>
    </row>
    <row r="183" ht="15.75" customHeight="1">
      <c r="A183" s="91"/>
      <c r="B183" s="131"/>
      <c r="C183" s="132"/>
      <c r="D183" s="94"/>
      <c r="E183" s="247"/>
      <c r="F183" s="247"/>
      <c r="G183" s="94"/>
      <c r="H183" s="132"/>
      <c r="I183" s="94"/>
      <c r="J183" s="94"/>
      <c r="K183" s="125"/>
      <c r="L183" s="125"/>
      <c r="M183" s="99"/>
      <c r="N183" s="111"/>
      <c r="O183" s="112"/>
      <c r="P183" s="94"/>
      <c r="Q183" s="120"/>
      <c r="R183" s="113"/>
      <c r="S183" s="94"/>
      <c r="T183" s="94"/>
      <c r="V183" s="104"/>
    </row>
    <row r="184" ht="15.75" customHeight="1">
      <c r="A184" s="91"/>
      <c r="B184" s="131"/>
      <c r="C184" s="132"/>
      <c r="D184" s="94"/>
      <c r="E184" s="247"/>
      <c r="F184" s="247"/>
      <c r="G184" s="94"/>
      <c r="H184" s="132"/>
      <c r="I184" s="94"/>
      <c r="J184" s="94"/>
      <c r="K184" s="126"/>
      <c r="L184" s="126"/>
      <c r="M184" s="99"/>
      <c r="N184" s="111"/>
      <c r="O184" s="112"/>
      <c r="P184" s="94"/>
      <c r="Q184" s="120"/>
      <c r="R184" s="113"/>
      <c r="S184" s="94"/>
      <c r="T184" s="94"/>
      <c r="V184" s="104"/>
    </row>
    <row r="185" ht="15.75" customHeight="1">
      <c r="A185" s="91"/>
      <c r="B185" s="131"/>
      <c r="C185" s="132"/>
      <c r="D185" s="94"/>
      <c r="E185" s="247"/>
      <c r="F185" s="247"/>
      <c r="G185" s="94"/>
      <c r="H185" s="132"/>
      <c r="I185" s="94"/>
      <c r="J185" s="94"/>
      <c r="K185" s="125"/>
      <c r="L185" s="125"/>
      <c r="M185" s="99"/>
      <c r="N185" s="111"/>
      <c r="O185" s="112"/>
      <c r="P185" s="94"/>
      <c r="Q185" s="120"/>
      <c r="R185" s="113"/>
      <c r="S185" s="94"/>
      <c r="T185" s="94"/>
      <c r="V185" s="104"/>
    </row>
    <row r="186" ht="15.75" customHeight="1">
      <c r="A186" s="91"/>
      <c r="B186" s="131"/>
      <c r="C186" s="132"/>
      <c r="D186" s="94"/>
      <c r="E186" s="247"/>
      <c r="F186" s="247"/>
      <c r="G186" s="94"/>
      <c r="H186" s="132"/>
      <c r="I186" s="94"/>
      <c r="J186" s="94"/>
      <c r="K186" s="126"/>
      <c r="L186" s="126"/>
      <c r="M186" s="99"/>
      <c r="N186" s="111"/>
      <c r="O186" s="112"/>
      <c r="P186" s="94"/>
      <c r="Q186" s="120"/>
      <c r="R186" s="113"/>
      <c r="S186" s="94"/>
      <c r="T186" s="94"/>
      <c r="V186" s="104"/>
    </row>
    <row r="187" ht="15.75" customHeight="1">
      <c r="A187" s="91"/>
      <c r="B187" s="131"/>
      <c r="C187" s="104"/>
      <c r="D187" s="94"/>
      <c r="E187" s="247"/>
      <c r="F187" s="247"/>
      <c r="G187" s="94"/>
      <c r="H187" s="132"/>
      <c r="I187" s="94"/>
      <c r="J187" s="94"/>
      <c r="K187" s="125"/>
      <c r="L187" s="125"/>
      <c r="M187" s="99"/>
      <c r="N187" s="111"/>
      <c r="O187" s="112"/>
      <c r="P187" s="94"/>
      <c r="Q187" s="120"/>
      <c r="R187" s="113"/>
      <c r="S187" s="94"/>
      <c r="T187" s="94"/>
      <c r="V187" s="104"/>
    </row>
    <row r="188" ht="15.75" customHeight="1">
      <c r="A188" s="91"/>
      <c r="B188" s="131"/>
      <c r="C188" s="132"/>
      <c r="D188" s="94"/>
      <c r="E188" s="247"/>
      <c r="F188" s="247"/>
      <c r="G188" s="94"/>
      <c r="H188" s="132"/>
      <c r="I188" s="94"/>
      <c r="J188" s="94"/>
      <c r="K188" s="126"/>
      <c r="L188" s="126"/>
      <c r="M188" s="99"/>
      <c r="N188" s="111"/>
      <c r="O188" s="112"/>
      <c r="P188" s="94"/>
      <c r="Q188" s="120"/>
      <c r="R188" s="113"/>
      <c r="S188" s="94"/>
      <c r="T188" s="94"/>
      <c r="V188" s="104"/>
    </row>
    <row r="189" ht="15.75" customHeight="1">
      <c r="A189" s="91"/>
      <c r="B189" s="131"/>
      <c r="C189" s="132"/>
      <c r="D189" s="94"/>
      <c r="E189" s="247"/>
      <c r="F189" s="247"/>
      <c r="G189" s="94"/>
      <c r="H189" s="132"/>
      <c r="I189" s="94"/>
      <c r="J189" s="94"/>
      <c r="K189" s="125"/>
      <c r="L189" s="125"/>
      <c r="M189" s="99"/>
      <c r="N189" s="111"/>
      <c r="O189" s="112"/>
      <c r="P189" s="94"/>
      <c r="Q189" s="120"/>
      <c r="R189" s="113"/>
      <c r="S189" s="94"/>
      <c r="T189" s="94"/>
      <c r="V189" s="104"/>
    </row>
    <row r="190" ht="15.75" customHeight="1">
      <c r="A190" s="91"/>
      <c r="B190" s="131"/>
      <c r="C190" s="132"/>
      <c r="D190" s="94"/>
      <c r="E190" s="247"/>
      <c r="F190" s="247"/>
      <c r="G190" s="94"/>
      <c r="H190" s="132"/>
      <c r="I190" s="94"/>
      <c r="J190" s="94"/>
      <c r="K190" s="126"/>
      <c r="L190" s="126"/>
      <c r="M190" s="99"/>
      <c r="N190" s="111"/>
      <c r="O190" s="112"/>
      <c r="P190" s="94"/>
      <c r="Q190" s="120"/>
      <c r="R190" s="113"/>
      <c r="S190" s="94"/>
      <c r="T190" s="94"/>
      <c r="V190" s="104"/>
    </row>
    <row r="191" ht="15.75" customHeight="1">
      <c r="A191" s="91"/>
      <c r="B191" s="131"/>
      <c r="C191" s="132"/>
      <c r="D191" s="94"/>
      <c r="E191" s="247"/>
      <c r="F191" s="247"/>
      <c r="G191" s="94"/>
      <c r="H191" s="132"/>
      <c r="I191" s="94"/>
      <c r="J191" s="94"/>
      <c r="K191" s="125"/>
      <c r="L191" s="125"/>
      <c r="M191" s="99"/>
      <c r="N191" s="111"/>
      <c r="O191" s="112"/>
      <c r="P191" s="94"/>
      <c r="Q191" s="120"/>
      <c r="R191" s="113"/>
      <c r="S191" s="94"/>
      <c r="T191" s="94"/>
      <c r="V191" s="104"/>
    </row>
    <row r="192" ht="15.75" customHeight="1">
      <c r="A192" s="91"/>
      <c r="B192" s="131"/>
      <c r="C192" s="132"/>
      <c r="D192" s="94"/>
      <c r="E192" s="247"/>
      <c r="F192" s="247"/>
      <c r="G192" s="94"/>
      <c r="H192" s="132"/>
      <c r="I192" s="94"/>
      <c r="J192" s="94"/>
      <c r="K192" s="126"/>
      <c r="L192" s="126"/>
      <c r="M192" s="99"/>
      <c r="N192" s="111"/>
      <c r="O192" s="112"/>
      <c r="P192" s="94"/>
      <c r="Q192" s="120"/>
      <c r="R192" s="113"/>
      <c r="S192" s="94"/>
      <c r="T192" s="94"/>
      <c r="V192" s="104"/>
    </row>
    <row r="193" ht="15.75" customHeight="1">
      <c r="A193" s="91"/>
      <c r="B193" s="131"/>
      <c r="C193" s="104"/>
      <c r="D193" s="94"/>
      <c r="E193" s="247"/>
      <c r="F193" s="247"/>
      <c r="G193" s="94"/>
      <c r="H193" s="132"/>
      <c r="I193" s="94"/>
      <c r="J193" s="94"/>
      <c r="K193" s="125"/>
      <c r="L193" s="125"/>
      <c r="M193" s="99"/>
      <c r="N193" s="111"/>
      <c r="O193" s="112"/>
      <c r="P193" s="94"/>
      <c r="Q193" s="120"/>
      <c r="R193" s="113"/>
      <c r="S193" s="94"/>
      <c r="T193" s="94"/>
      <c r="V193" s="104"/>
    </row>
    <row r="194" ht="15.75" customHeight="1">
      <c r="A194" s="91"/>
      <c r="B194" s="131"/>
      <c r="C194" s="132"/>
      <c r="D194" s="94"/>
      <c r="E194" s="247"/>
      <c r="F194" s="247"/>
      <c r="G194" s="94"/>
      <c r="H194" s="132"/>
      <c r="I194" s="94"/>
      <c r="J194" s="94"/>
      <c r="K194" s="126"/>
      <c r="L194" s="126"/>
      <c r="M194" s="99"/>
      <c r="N194" s="111"/>
      <c r="O194" s="112"/>
      <c r="P194" s="94"/>
      <c r="Q194" s="120"/>
      <c r="R194" s="113"/>
      <c r="S194" s="94"/>
      <c r="T194" s="94"/>
      <c r="V194" s="104"/>
    </row>
    <row r="195" ht="15.75" customHeight="1">
      <c r="A195" s="91"/>
      <c r="B195" s="131"/>
      <c r="C195" s="132"/>
      <c r="D195" s="94"/>
      <c r="E195" s="247"/>
      <c r="F195" s="247"/>
      <c r="G195" s="94"/>
      <c r="H195" s="132"/>
      <c r="I195" s="94"/>
      <c r="J195" s="94"/>
      <c r="K195" s="125"/>
      <c r="L195" s="125"/>
      <c r="M195" s="99"/>
      <c r="N195" s="111"/>
      <c r="O195" s="112"/>
      <c r="P195" s="94"/>
      <c r="Q195" s="120"/>
      <c r="R195" s="113"/>
      <c r="S195" s="94"/>
      <c r="T195" s="94"/>
      <c r="V195" s="104"/>
    </row>
    <row r="196" ht="15.75" customHeight="1">
      <c r="A196" s="91"/>
      <c r="B196" s="131"/>
      <c r="C196" s="132"/>
      <c r="D196" s="94"/>
      <c r="E196" s="247"/>
      <c r="F196" s="247"/>
      <c r="G196" s="94"/>
      <c r="H196" s="132"/>
      <c r="I196" s="94"/>
      <c r="J196" s="94"/>
      <c r="K196" s="126"/>
      <c r="L196" s="126"/>
      <c r="M196" s="99"/>
      <c r="N196" s="111"/>
      <c r="O196" s="112"/>
      <c r="P196" s="94"/>
      <c r="Q196" s="120"/>
      <c r="R196" s="113"/>
      <c r="S196" s="94"/>
      <c r="T196" s="94"/>
      <c r="V196" s="104"/>
    </row>
    <row r="197" ht="15.75" customHeight="1">
      <c r="A197" s="91"/>
      <c r="B197" s="131"/>
      <c r="C197" s="132"/>
      <c r="D197" s="94"/>
      <c r="E197" s="247"/>
      <c r="F197" s="247"/>
      <c r="G197" s="94"/>
      <c r="H197" s="132"/>
      <c r="I197" s="94"/>
      <c r="J197" s="94"/>
      <c r="K197" s="125"/>
      <c r="L197" s="125"/>
      <c r="M197" s="99"/>
      <c r="N197" s="111"/>
      <c r="O197" s="112"/>
      <c r="P197" s="94"/>
      <c r="Q197" s="120"/>
      <c r="R197" s="113"/>
      <c r="S197" s="94"/>
      <c r="T197" s="94"/>
      <c r="V197" s="104"/>
    </row>
    <row r="198" ht="15.75" customHeight="1">
      <c r="A198" s="91"/>
      <c r="B198" s="131"/>
      <c r="C198" s="132"/>
      <c r="D198" s="94"/>
      <c r="E198" s="247"/>
      <c r="F198" s="247"/>
      <c r="G198" s="94"/>
      <c r="H198" s="132"/>
      <c r="I198" s="94"/>
      <c r="J198" s="94"/>
      <c r="K198" s="126"/>
      <c r="L198" s="126"/>
      <c r="M198" s="99"/>
      <c r="N198" s="111"/>
      <c r="O198" s="112"/>
      <c r="P198" s="94"/>
      <c r="Q198" s="120"/>
      <c r="R198" s="113"/>
      <c r="S198" s="94"/>
      <c r="T198" s="94"/>
      <c r="V198" s="104"/>
    </row>
    <row r="199" ht="15.75" customHeight="1">
      <c r="A199" s="91"/>
      <c r="B199" s="131"/>
      <c r="C199" s="104"/>
      <c r="D199" s="94"/>
      <c r="E199" s="247"/>
      <c r="F199" s="247"/>
      <c r="G199" s="94"/>
      <c r="H199" s="132"/>
      <c r="I199" s="94"/>
      <c r="J199" s="94"/>
      <c r="K199" s="125"/>
      <c r="L199" s="125"/>
      <c r="M199" s="99"/>
      <c r="N199" s="111"/>
      <c r="O199" s="112"/>
      <c r="P199" s="94"/>
      <c r="Q199" s="120"/>
      <c r="R199" s="113"/>
      <c r="S199" s="94"/>
      <c r="T199" s="94"/>
      <c r="V199" s="104"/>
    </row>
    <row r="200" ht="15.75" customHeight="1">
      <c r="A200" s="91"/>
      <c r="B200" s="131"/>
      <c r="C200" s="132"/>
      <c r="D200" s="94"/>
      <c r="E200" s="247"/>
      <c r="F200" s="247"/>
      <c r="G200" s="94"/>
      <c r="H200" s="132"/>
      <c r="I200" s="94"/>
      <c r="J200" s="94"/>
      <c r="K200" s="126"/>
      <c r="L200" s="126"/>
      <c r="M200" s="99"/>
      <c r="N200" s="111"/>
      <c r="O200" s="112"/>
      <c r="P200" s="94"/>
      <c r="Q200" s="120"/>
      <c r="R200" s="113"/>
      <c r="S200" s="94"/>
      <c r="T200" s="94"/>
      <c r="V200" s="104"/>
    </row>
    <row r="201" ht="15.75" customHeight="1">
      <c r="A201" s="91"/>
      <c r="B201" s="131"/>
      <c r="C201" s="132"/>
      <c r="D201" s="94"/>
      <c r="E201" s="247"/>
      <c r="F201" s="247"/>
      <c r="G201" s="94"/>
      <c r="H201" s="132"/>
      <c r="I201" s="94"/>
      <c r="J201" s="94"/>
      <c r="K201" s="125"/>
      <c r="L201" s="125"/>
      <c r="M201" s="99"/>
      <c r="N201" s="111"/>
      <c r="O201" s="112"/>
      <c r="P201" s="94"/>
      <c r="Q201" s="120"/>
      <c r="R201" s="113"/>
      <c r="S201" s="94"/>
      <c r="T201" s="94"/>
      <c r="V201" s="104"/>
    </row>
    <row r="202" ht="15.75" customHeight="1">
      <c r="A202" s="91"/>
      <c r="B202" s="131"/>
      <c r="C202" s="132"/>
      <c r="D202" s="94"/>
      <c r="E202" s="247"/>
      <c r="F202" s="247"/>
      <c r="G202" s="94"/>
      <c r="H202" s="132"/>
      <c r="I202" s="94"/>
      <c r="J202" s="94"/>
      <c r="K202" s="126"/>
      <c r="L202" s="126"/>
      <c r="M202" s="99"/>
      <c r="N202" s="111"/>
      <c r="O202" s="112"/>
      <c r="P202" s="94"/>
      <c r="Q202" s="120"/>
      <c r="R202" s="113"/>
      <c r="S202" s="94"/>
      <c r="T202" s="94"/>
      <c r="V202" s="104"/>
    </row>
    <row r="203" ht="15.75" customHeight="1">
      <c r="A203" s="91"/>
      <c r="B203" s="131"/>
      <c r="C203" s="132"/>
      <c r="D203" s="94"/>
      <c r="E203" s="247"/>
      <c r="F203" s="247"/>
      <c r="G203" s="94"/>
      <c r="H203" s="132"/>
      <c r="I203" s="94"/>
      <c r="J203" s="94"/>
      <c r="K203" s="125"/>
      <c r="L203" s="125"/>
      <c r="M203" s="99"/>
      <c r="N203" s="111"/>
      <c r="O203" s="112"/>
      <c r="P203" s="94"/>
      <c r="Q203" s="120"/>
      <c r="R203" s="113"/>
      <c r="S203" s="94"/>
      <c r="T203" s="94"/>
      <c r="V203" s="104"/>
    </row>
    <row r="204" ht="15.75" customHeight="1">
      <c r="A204" s="91"/>
      <c r="B204" s="131"/>
      <c r="C204" s="132"/>
      <c r="D204" s="94"/>
      <c r="E204" s="247"/>
      <c r="F204" s="247"/>
      <c r="G204" s="94"/>
      <c r="H204" s="132"/>
      <c r="I204" s="94"/>
      <c r="J204" s="94"/>
      <c r="K204" s="126"/>
      <c r="L204" s="126"/>
      <c r="M204" s="99"/>
      <c r="N204" s="111"/>
      <c r="O204" s="112"/>
      <c r="P204" s="94"/>
      <c r="Q204" s="120"/>
      <c r="R204" s="113"/>
      <c r="S204" s="94"/>
      <c r="T204" s="94"/>
      <c r="V204" s="104"/>
    </row>
    <row r="205" ht="15.75" customHeight="1">
      <c r="A205" s="91"/>
      <c r="B205" s="131"/>
      <c r="C205" s="104"/>
      <c r="D205" s="94"/>
      <c r="E205" s="247"/>
      <c r="F205" s="247"/>
      <c r="G205" s="94"/>
      <c r="H205" s="132"/>
      <c r="I205" s="94"/>
      <c r="J205" s="94"/>
      <c r="K205" s="125"/>
      <c r="L205" s="125"/>
      <c r="M205" s="99"/>
      <c r="N205" s="111"/>
      <c r="O205" s="112"/>
      <c r="P205" s="94"/>
      <c r="Q205" s="120"/>
      <c r="R205" s="113"/>
      <c r="S205" s="94"/>
      <c r="T205" s="94"/>
      <c r="V205" s="104"/>
    </row>
    <row r="206" ht="15.75" customHeight="1">
      <c r="A206" s="91"/>
      <c r="B206" s="131"/>
      <c r="C206" s="132"/>
      <c r="D206" s="94"/>
      <c r="E206" s="247"/>
      <c r="F206" s="247"/>
      <c r="G206" s="94"/>
      <c r="H206" s="132"/>
      <c r="I206" s="94"/>
      <c r="J206" s="94"/>
      <c r="K206" s="126"/>
      <c r="L206" s="126"/>
      <c r="M206" s="99"/>
      <c r="N206" s="111"/>
      <c r="O206" s="112"/>
      <c r="P206" s="94"/>
      <c r="Q206" s="120"/>
      <c r="R206" s="113"/>
      <c r="S206" s="94"/>
      <c r="T206" s="94"/>
      <c r="V206" s="104"/>
    </row>
    <row r="207" ht="15.75" customHeight="1">
      <c r="A207" s="91"/>
      <c r="B207" s="131"/>
      <c r="C207" s="132"/>
      <c r="D207" s="94"/>
      <c r="E207" s="247"/>
      <c r="F207" s="247"/>
      <c r="G207" s="94"/>
      <c r="H207" s="132"/>
      <c r="I207" s="94"/>
      <c r="J207" s="94"/>
      <c r="K207" s="125"/>
      <c r="L207" s="125"/>
      <c r="M207" s="99"/>
      <c r="N207" s="111"/>
      <c r="O207" s="112"/>
      <c r="P207" s="94"/>
      <c r="Q207" s="120"/>
      <c r="R207" s="113"/>
      <c r="S207" s="94"/>
      <c r="T207" s="94"/>
      <c r="V207" s="104"/>
    </row>
    <row r="208" ht="15.75" customHeight="1">
      <c r="A208" s="91"/>
      <c r="B208" s="131"/>
      <c r="C208" s="132"/>
      <c r="D208" s="94"/>
      <c r="E208" s="247"/>
      <c r="F208" s="247"/>
      <c r="G208" s="94"/>
      <c r="H208" s="132"/>
      <c r="I208" s="94"/>
      <c r="J208" s="94"/>
      <c r="K208" s="126"/>
      <c r="L208" s="126"/>
      <c r="M208" s="99"/>
      <c r="N208" s="111"/>
      <c r="O208" s="112"/>
      <c r="P208" s="94"/>
      <c r="Q208" s="120"/>
      <c r="R208" s="113"/>
      <c r="S208" s="94"/>
      <c r="T208" s="94"/>
      <c r="V208" s="104"/>
    </row>
    <row r="209" ht="15.75" customHeight="1">
      <c r="A209" s="91"/>
      <c r="B209" s="131"/>
      <c r="C209" s="132"/>
      <c r="D209" s="94"/>
      <c r="E209" s="247"/>
      <c r="F209" s="247"/>
      <c r="G209" s="94"/>
      <c r="H209" s="132"/>
      <c r="I209" s="94"/>
      <c r="J209" s="94"/>
      <c r="K209" s="125"/>
      <c r="L209" s="125"/>
      <c r="M209" s="99"/>
      <c r="N209" s="111"/>
      <c r="O209" s="112"/>
      <c r="P209" s="94"/>
      <c r="Q209" s="120"/>
      <c r="R209" s="113"/>
      <c r="S209" s="94"/>
      <c r="T209" s="94"/>
      <c r="V209" s="104"/>
    </row>
    <row r="210" ht="15.75" customHeight="1">
      <c r="A210" s="91"/>
      <c r="B210" s="131"/>
      <c r="C210" s="132"/>
      <c r="D210" s="94"/>
      <c r="E210" s="247"/>
      <c r="F210" s="247"/>
      <c r="G210" s="94"/>
      <c r="H210" s="132"/>
      <c r="I210" s="94"/>
      <c r="J210" s="94"/>
      <c r="K210" s="126"/>
      <c r="L210" s="126"/>
      <c r="M210" s="99"/>
      <c r="N210" s="111"/>
      <c r="O210" s="112"/>
      <c r="P210" s="94"/>
      <c r="Q210" s="120"/>
      <c r="R210" s="113"/>
      <c r="S210" s="94"/>
      <c r="T210" s="94"/>
      <c r="V210" s="104"/>
    </row>
    <row r="211" ht="15.75" customHeight="1">
      <c r="A211" s="91"/>
      <c r="B211" s="131"/>
      <c r="C211" s="104"/>
      <c r="D211" s="94"/>
      <c r="E211" s="247"/>
      <c r="F211" s="247"/>
      <c r="G211" s="94"/>
      <c r="H211" s="132"/>
      <c r="I211" s="94"/>
      <c r="J211" s="94"/>
      <c r="K211" s="125"/>
      <c r="L211" s="125"/>
      <c r="M211" s="99"/>
      <c r="N211" s="111"/>
      <c r="O211" s="112"/>
      <c r="P211" s="94"/>
      <c r="Q211" s="120"/>
      <c r="R211" s="113"/>
      <c r="S211" s="94"/>
      <c r="T211" s="94"/>
      <c r="V211" s="104"/>
    </row>
    <row r="212" ht="15.75" customHeight="1">
      <c r="A212" s="91"/>
      <c r="B212" s="131"/>
      <c r="C212" s="132"/>
      <c r="D212" s="94"/>
      <c r="E212" s="247"/>
      <c r="F212" s="247"/>
      <c r="G212" s="94"/>
      <c r="H212" s="132"/>
      <c r="I212" s="94"/>
      <c r="J212" s="94"/>
      <c r="K212" s="126"/>
      <c r="L212" s="126"/>
      <c r="M212" s="99"/>
      <c r="N212" s="111"/>
      <c r="O212" s="112"/>
      <c r="P212" s="94"/>
      <c r="Q212" s="120"/>
      <c r="R212" s="113"/>
      <c r="S212" s="94"/>
      <c r="T212" s="94"/>
      <c r="V212" s="104"/>
    </row>
    <row r="213" ht="15.75" customHeight="1">
      <c r="A213" s="91"/>
      <c r="B213" s="131"/>
      <c r="C213" s="132"/>
      <c r="D213" s="94"/>
      <c r="E213" s="247"/>
      <c r="F213" s="247"/>
      <c r="G213" s="94"/>
      <c r="H213" s="132"/>
      <c r="I213" s="94"/>
      <c r="J213" s="94"/>
      <c r="K213" s="125"/>
      <c r="L213" s="125"/>
      <c r="M213" s="99"/>
      <c r="N213" s="111"/>
      <c r="O213" s="112"/>
      <c r="P213" s="94"/>
      <c r="Q213" s="120"/>
      <c r="R213" s="113"/>
      <c r="S213" s="94"/>
      <c r="T213" s="94"/>
      <c r="V213" s="104"/>
    </row>
    <row r="214" ht="15.75" customHeight="1">
      <c r="A214" s="91"/>
      <c r="B214" s="131"/>
      <c r="C214" s="132"/>
      <c r="D214" s="94"/>
      <c r="E214" s="247"/>
      <c r="F214" s="247"/>
      <c r="G214" s="94"/>
      <c r="H214" s="132"/>
      <c r="I214" s="94"/>
      <c r="J214" s="94"/>
      <c r="K214" s="126"/>
      <c r="L214" s="126"/>
      <c r="M214" s="99"/>
      <c r="N214" s="111"/>
      <c r="O214" s="112"/>
      <c r="P214" s="94"/>
      <c r="Q214" s="120"/>
      <c r="R214" s="113"/>
      <c r="S214" s="94"/>
      <c r="T214" s="94"/>
      <c r="V214" s="104"/>
    </row>
    <row r="215" ht="15.75" customHeight="1">
      <c r="A215" s="91"/>
      <c r="B215" s="131"/>
      <c r="C215" s="132"/>
      <c r="D215" s="94"/>
      <c r="E215" s="247"/>
      <c r="F215" s="247"/>
      <c r="G215" s="94"/>
      <c r="H215" s="132"/>
      <c r="I215" s="94"/>
      <c r="J215" s="94"/>
      <c r="K215" s="125"/>
      <c r="L215" s="125"/>
      <c r="M215" s="99"/>
      <c r="N215" s="111"/>
      <c r="O215" s="112"/>
      <c r="P215" s="94"/>
      <c r="Q215" s="120"/>
      <c r="R215" s="113"/>
      <c r="S215" s="94"/>
      <c r="T215" s="94"/>
      <c r="V215" s="104"/>
    </row>
    <row r="216" ht="15.75" customHeight="1">
      <c r="A216" s="91"/>
      <c r="B216" s="131"/>
      <c r="C216" s="132"/>
      <c r="D216" s="94"/>
      <c r="E216" s="247"/>
      <c r="F216" s="247"/>
      <c r="G216" s="94"/>
      <c r="H216" s="132"/>
      <c r="I216" s="94"/>
      <c r="J216" s="94"/>
      <c r="K216" s="126"/>
      <c r="L216" s="126"/>
      <c r="M216" s="99"/>
      <c r="N216" s="111"/>
      <c r="O216" s="112"/>
      <c r="P216" s="94"/>
      <c r="Q216" s="120"/>
      <c r="R216" s="113"/>
      <c r="S216" s="94"/>
      <c r="T216" s="94"/>
      <c r="V216" s="104"/>
    </row>
    <row r="217" ht="15.75" customHeight="1">
      <c r="A217" s="91"/>
      <c r="B217" s="131"/>
      <c r="C217" s="104"/>
      <c r="D217" s="94"/>
      <c r="E217" s="247"/>
      <c r="F217" s="247"/>
      <c r="G217" s="94"/>
      <c r="H217" s="132"/>
      <c r="I217" s="94"/>
      <c r="J217" s="94"/>
      <c r="K217" s="125"/>
      <c r="L217" s="125"/>
      <c r="M217" s="99"/>
      <c r="N217" s="111"/>
      <c r="O217" s="112"/>
      <c r="P217" s="94"/>
      <c r="Q217" s="120"/>
      <c r="R217" s="113"/>
      <c r="S217" s="94"/>
      <c r="T217" s="94"/>
      <c r="V217" s="104"/>
    </row>
    <row r="218" ht="15.75" customHeight="1">
      <c r="A218" s="91"/>
      <c r="B218" s="131"/>
      <c r="C218" s="132"/>
      <c r="D218" s="94"/>
      <c r="E218" s="247"/>
      <c r="F218" s="247"/>
      <c r="G218" s="94"/>
      <c r="H218" s="132"/>
      <c r="I218" s="94"/>
      <c r="J218" s="94"/>
      <c r="K218" s="126"/>
      <c r="L218" s="126"/>
      <c r="M218" s="99"/>
      <c r="N218" s="111"/>
      <c r="O218" s="112"/>
      <c r="P218" s="94"/>
      <c r="Q218" s="120"/>
      <c r="R218" s="113"/>
      <c r="S218" s="94"/>
      <c r="T218" s="94"/>
      <c r="V218" s="104"/>
    </row>
    <row r="219" ht="15.75" customHeight="1">
      <c r="A219" s="91"/>
      <c r="B219" s="131"/>
      <c r="C219" s="132"/>
      <c r="D219" s="94"/>
      <c r="E219" s="247"/>
      <c r="F219" s="247"/>
      <c r="G219" s="94"/>
      <c r="H219" s="132"/>
      <c r="I219" s="94"/>
      <c r="J219" s="94"/>
      <c r="K219" s="125"/>
      <c r="L219" s="125"/>
      <c r="M219" s="99"/>
      <c r="N219" s="111"/>
      <c r="O219" s="112"/>
      <c r="P219" s="94"/>
      <c r="Q219" s="120"/>
      <c r="R219" s="113"/>
      <c r="S219" s="94"/>
      <c r="T219" s="94"/>
      <c r="V219" s="104"/>
    </row>
    <row r="220" ht="15.75" customHeight="1">
      <c r="A220" s="91"/>
      <c r="B220" s="131"/>
      <c r="C220" s="132"/>
      <c r="D220" s="94"/>
      <c r="E220" s="247"/>
      <c r="F220" s="247"/>
      <c r="G220" s="94"/>
      <c r="H220" s="132"/>
      <c r="I220" s="94"/>
      <c r="J220" s="94"/>
      <c r="K220" s="126"/>
      <c r="L220" s="126"/>
      <c r="M220" s="99"/>
      <c r="N220" s="111"/>
      <c r="O220" s="112"/>
      <c r="P220" s="94"/>
      <c r="Q220" s="120"/>
      <c r="R220" s="113"/>
      <c r="S220" s="94"/>
      <c r="T220" s="94"/>
      <c r="V220" s="104"/>
    </row>
    <row r="221" ht="15.75" customHeight="1">
      <c r="A221" s="91"/>
      <c r="B221" s="131"/>
      <c r="C221" s="132"/>
      <c r="D221" s="94"/>
      <c r="E221" s="247"/>
      <c r="F221" s="247"/>
      <c r="G221" s="94"/>
      <c r="H221" s="132"/>
      <c r="I221" s="94"/>
      <c r="J221" s="94"/>
      <c r="K221" s="125"/>
      <c r="L221" s="125"/>
      <c r="M221" s="99"/>
      <c r="N221" s="111"/>
      <c r="O221" s="112"/>
      <c r="P221" s="94"/>
      <c r="Q221" s="120"/>
      <c r="R221" s="113"/>
      <c r="S221" s="94"/>
      <c r="T221" s="94"/>
      <c r="V221" s="104"/>
    </row>
    <row r="222" ht="15.75" customHeight="1">
      <c r="A222" s="91"/>
      <c r="B222" s="131"/>
      <c r="C222" s="132"/>
      <c r="D222" s="94"/>
      <c r="E222" s="247"/>
      <c r="F222" s="243" t="s">
        <v>2247</v>
      </c>
      <c r="G222" s="94"/>
      <c r="H222" s="132"/>
      <c r="I222" s="94"/>
      <c r="J222" s="94"/>
      <c r="K222" s="126"/>
      <c r="L222" s="126"/>
      <c r="M222" s="99"/>
      <c r="N222" s="111"/>
      <c r="O222" s="112"/>
      <c r="P222" s="94"/>
      <c r="Q222" s="120"/>
      <c r="R222" s="113"/>
      <c r="S222" s="94"/>
      <c r="T222" s="94"/>
      <c r="V222" s="104"/>
    </row>
    <row r="223" ht="15.75" customHeight="1">
      <c r="A223" s="91"/>
      <c r="B223" s="131"/>
      <c r="C223" s="104"/>
      <c r="D223" s="94"/>
      <c r="E223" s="132"/>
      <c r="F223" s="132"/>
      <c r="G223" s="94"/>
      <c r="H223" s="132"/>
      <c r="I223" s="94"/>
      <c r="J223" s="94"/>
      <c r="K223" s="125"/>
      <c r="L223" s="125"/>
      <c r="M223" s="99"/>
      <c r="N223" s="111"/>
      <c r="O223" s="112"/>
      <c r="P223" s="94"/>
      <c r="Q223" s="120"/>
      <c r="R223" s="113"/>
      <c r="S223" s="94"/>
      <c r="T223" s="94"/>
      <c r="V223" s="104"/>
    </row>
    <row r="224" ht="15.75" customHeight="1">
      <c r="A224" s="91"/>
      <c r="B224" s="131"/>
      <c r="C224" s="132"/>
      <c r="D224" s="94"/>
      <c r="E224" s="132"/>
      <c r="F224" s="132"/>
      <c r="G224" s="94"/>
      <c r="H224" s="132"/>
      <c r="I224" s="94"/>
      <c r="J224" s="94"/>
      <c r="K224" s="126"/>
      <c r="L224" s="126"/>
      <c r="M224" s="99"/>
      <c r="N224" s="111"/>
      <c r="O224" s="112"/>
      <c r="P224" s="94"/>
      <c r="Q224" s="120"/>
      <c r="R224" s="113"/>
      <c r="S224" s="94"/>
      <c r="T224" s="94"/>
      <c r="V224" s="104"/>
    </row>
    <row r="225" ht="15.75" customHeight="1">
      <c r="A225" s="91"/>
      <c r="B225" s="131"/>
      <c r="C225" s="132"/>
      <c r="D225" s="94"/>
      <c r="E225" s="132"/>
      <c r="F225" s="132"/>
      <c r="G225" s="94"/>
      <c r="H225" s="132"/>
      <c r="I225" s="94"/>
      <c r="J225" s="94"/>
      <c r="K225" s="125"/>
      <c r="L225" s="125"/>
      <c r="M225" s="99"/>
      <c r="N225" s="111"/>
      <c r="O225" s="112"/>
      <c r="P225" s="94"/>
      <c r="Q225" s="120"/>
      <c r="R225" s="113"/>
      <c r="S225" s="94"/>
      <c r="T225" s="94"/>
      <c r="V225" s="104"/>
    </row>
    <row r="226" ht="15.75" customHeight="1">
      <c r="A226" s="91"/>
      <c r="B226" s="131"/>
      <c r="C226" s="132"/>
      <c r="D226" s="94"/>
      <c r="E226" s="132"/>
      <c r="F226" s="132"/>
      <c r="G226" s="94"/>
      <c r="H226" s="132"/>
      <c r="I226" s="94"/>
      <c r="J226" s="94"/>
      <c r="K226" s="126"/>
      <c r="L226" s="126"/>
      <c r="M226" s="99"/>
      <c r="N226" s="111"/>
      <c r="O226" s="112"/>
      <c r="P226" s="94"/>
      <c r="Q226" s="120"/>
      <c r="R226" s="113"/>
      <c r="S226" s="94"/>
      <c r="T226" s="94"/>
      <c r="V226" s="104"/>
    </row>
    <row r="227" ht="15.75" customHeight="1">
      <c r="A227" s="91"/>
      <c r="B227" s="131"/>
      <c r="C227" s="132"/>
      <c r="D227" s="94"/>
      <c r="E227" s="132"/>
      <c r="F227" s="132"/>
      <c r="G227" s="94"/>
      <c r="H227" s="132"/>
      <c r="I227" s="94"/>
      <c r="J227" s="94"/>
      <c r="K227" s="125"/>
      <c r="L227" s="125"/>
      <c r="M227" s="99"/>
      <c r="N227" s="111"/>
      <c r="O227" s="112"/>
      <c r="P227" s="94"/>
      <c r="Q227" s="120"/>
      <c r="R227" s="113"/>
      <c r="S227" s="94"/>
      <c r="T227" s="94"/>
      <c r="V227" s="104"/>
    </row>
    <row r="228" ht="15.75" customHeight="1">
      <c r="A228" s="91"/>
      <c r="B228" s="131"/>
      <c r="C228" s="132"/>
      <c r="D228" s="94"/>
      <c r="E228" s="132"/>
      <c r="F228" s="132"/>
      <c r="G228" s="94"/>
      <c r="H228" s="132"/>
      <c r="I228" s="94"/>
      <c r="J228" s="94"/>
      <c r="K228" s="126"/>
      <c r="L228" s="126"/>
      <c r="M228" s="99"/>
      <c r="N228" s="111"/>
      <c r="O228" s="112"/>
      <c r="P228" s="94"/>
      <c r="Q228" s="120"/>
      <c r="R228" s="113"/>
      <c r="S228" s="94"/>
      <c r="T228" s="94"/>
      <c r="V228" s="104"/>
    </row>
    <row r="229" ht="15.75" customHeight="1">
      <c r="A229" s="91"/>
      <c r="B229" s="131"/>
      <c r="C229" s="104"/>
      <c r="D229" s="94"/>
      <c r="E229" s="132"/>
      <c r="F229" s="132"/>
      <c r="G229" s="94"/>
      <c r="H229" s="132"/>
      <c r="I229" s="94"/>
      <c r="J229" s="94"/>
      <c r="K229" s="125"/>
      <c r="L229" s="125"/>
      <c r="M229" s="99"/>
      <c r="N229" s="111"/>
      <c r="O229" s="112"/>
      <c r="P229" s="94"/>
      <c r="Q229" s="120"/>
      <c r="R229" s="113"/>
      <c r="S229" s="94"/>
      <c r="T229" s="94"/>
      <c r="V229" s="104"/>
    </row>
    <row r="230" ht="15.75" customHeight="1">
      <c r="A230" s="91"/>
      <c r="B230" s="131"/>
      <c r="C230" s="132"/>
      <c r="D230" s="94"/>
      <c r="E230" s="132"/>
      <c r="F230" s="132"/>
      <c r="G230" s="94"/>
      <c r="H230" s="132"/>
      <c r="I230" s="94"/>
      <c r="J230" s="94"/>
      <c r="K230" s="126"/>
      <c r="L230" s="126"/>
      <c r="M230" s="99"/>
      <c r="N230" s="111"/>
      <c r="O230" s="112"/>
      <c r="P230" s="94"/>
      <c r="Q230" s="120"/>
      <c r="R230" s="113"/>
      <c r="S230" s="94"/>
      <c r="T230" s="94"/>
      <c r="V230" s="104"/>
    </row>
    <row r="231" ht="15.75" customHeight="1">
      <c r="A231" s="91"/>
      <c r="B231" s="131"/>
      <c r="C231" s="132"/>
      <c r="D231" s="94"/>
      <c r="E231" s="132"/>
      <c r="F231" s="132"/>
      <c r="G231" s="94"/>
      <c r="H231" s="132"/>
      <c r="I231" s="94"/>
      <c r="J231" s="94"/>
      <c r="K231" s="125"/>
      <c r="L231" s="125"/>
      <c r="M231" s="99"/>
      <c r="N231" s="111"/>
      <c r="O231" s="112"/>
      <c r="P231" s="94"/>
      <c r="Q231" s="120"/>
      <c r="R231" s="113"/>
      <c r="S231" s="94"/>
      <c r="T231" s="94"/>
      <c r="V231" s="104"/>
    </row>
    <row r="232" ht="15.75" customHeight="1">
      <c r="A232" s="91"/>
      <c r="B232" s="131"/>
      <c r="C232" s="132"/>
      <c r="D232" s="94"/>
      <c r="E232" s="132"/>
      <c r="F232" s="132"/>
      <c r="G232" s="94"/>
      <c r="H232" s="132"/>
      <c r="I232" s="94"/>
      <c r="J232" s="94"/>
      <c r="K232" s="126"/>
      <c r="L232" s="126"/>
      <c r="M232" s="99"/>
      <c r="N232" s="111"/>
      <c r="O232" s="112"/>
      <c r="P232" s="94"/>
      <c r="Q232" s="120"/>
      <c r="R232" s="113"/>
      <c r="S232" s="94"/>
      <c r="T232" s="94"/>
      <c r="V232" s="104"/>
    </row>
    <row r="233" ht="15.75" customHeight="1">
      <c r="A233" s="91"/>
      <c r="B233" s="131"/>
      <c r="C233" s="132"/>
      <c r="D233" s="94"/>
      <c r="E233" s="132"/>
      <c r="F233" s="132"/>
      <c r="G233" s="94"/>
      <c r="H233" s="132"/>
      <c r="I233" s="94"/>
      <c r="J233" s="94"/>
      <c r="K233" s="125"/>
      <c r="L233" s="125"/>
      <c r="M233" s="99"/>
      <c r="N233" s="111"/>
      <c r="O233" s="112"/>
      <c r="P233" s="94"/>
      <c r="Q233" s="120"/>
      <c r="R233" s="113"/>
      <c r="S233" s="94"/>
      <c r="T233" s="94"/>
      <c r="V233" s="104"/>
    </row>
    <row r="234" ht="15.75" customHeight="1">
      <c r="A234" s="91"/>
      <c r="B234" s="131"/>
      <c r="C234" s="132"/>
      <c r="D234" s="94"/>
      <c r="E234" s="132"/>
      <c r="F234" s="132"/>
      <c r="G234" s="94"/>
      <c r="H234" s="132"/>
      <c r="I234" s="94"/>
      <c r="J234" s="94"/>
      <c r="K234" s="126"/>
      <c r="L234" s="126"/>
      <c r="M234" s="99"/>
      <c r="N234" s="111"/>
      <c r="O234" s="112"/>
      <c r="P234" s="94"/>
      <c r="Q234" s="120"/>
      <c r="R234" s="113"/>
      <c r="S234" s="94"/>
      <c r="T234" s="94"/>
      <c r="V234" s="104"/>
    </row>
    <row r="235" ht="15.75" customHeight="1">
      <c r="A235" s="91"/>
      <c r="B235" s="131"/>
      <c r="C235" s="104"/>
      <c r="D235" s="94"/>
      <c r="E235" s="132"/>
      <c r="F235" s="132"/>
      <c r="G235" s="94"/>
      <c r="H235" s="132"/>
      <c r="I235" s="94"/>
      <c r="J235" s="94"/>
      <c r="K235" s="125"/>
      <c r="L235" s="125"/>
      <c r="M235" s="99"/>
      <c r="N235" s="111"/>
      <c r="O235" s="112"/>
      <c r="P235" s="94"/>
      <c r="Q235" s="120"/>
      <c r="R235" s="113"/>
      <c r="S235" s="94"/>
      <c r="T235" s="94"/>
      <c r="V235" s="104"/>
    </row>
    <row r="236" ht="15.75" customHeight="1">
      <c r="A236" s="91"/>
      <c r="B236" s="131"/>
      <c r="C236" s="132"/>
      <c r="D236" s="94"/>
      <c r="E236" s="132"/>
      <c r="F236" s="132"/>
      <c r="G236" s="94"/>
      <c r="H236" s="132"/>
      <c r="I236" s="94"/>
      <c r="J236" s="94"/>
      <c r="K236" s="126"/>
      <c r="L236" s="126"/>
      <c r="M236" s="99"/>
      <c r="N236" s="111"/>
      <c r="O236" s="112"/>
      <c r="P236" s="94"/>
      <c r="Q236" s="120"/>
      <c r="R236" s="113"/>
      <c r="S236" s="94"/>
      <c r="T236" s="94"/>
      <c r="V236" s="104"/>
    </row>
    <row r="237" ht="15.75" customHeight="1">
      <c r="A237" s="91"/>
      <c r="B237" s="131"/>
      <c r="C237" s="132"/>
      <c r="D237" s="94"/>
      <c r="E237" s="132"/>
      <c r="F237" s="132"/>
      <c r="G237" s="94"/>
      <c r="H237" s="132"/>
      <c r="I237" s="94"/>
      <c r="J237" s="94"/>
      <c r="K237" s="125"/>
      <c r="L237" s="125"/>
      <c r="M237" s="99"/>
      <c r="N237" s="111"/>
      <c r="O237" s="112"/>
      <c r="P237" s="94"/>
      <c r="Q237" s="120"/>
      <c r="R237" s="113"/>
      <c r="S237" s="94"/>
      <c r="T237" s="94"/>
      <c r="V237" s="104"/>
    </row>
    <row r="238" ht="15.75" customHeight="1">
      <c r="A238" s="91"/>
      <c r="B238" s="131"/>
      <c r="C238" s="132"/>
      <c r="D238" s="94"/>
      <c r="E238" s="132"/>
      <c r="F238" s="132"/>
      <c r="G238" s="94"/>
      <c r="H238" s="132"/>
      <c r="I238" s="94"/>
      <c r="J238" s="94"/>
      <c r="K238" s="126"/>
      <c r="L238" s="126"/>
      <c r="M238" s="99"/>
      <c r="N238" s="111"/>
      <c r="O238" s="112"/>
      <c r="P238" s="94"/>
      <c r="Q238" s="120"/>
      <c r="R238" s="113"/>
      <c r="S238" s="94"/>
      <c r="T238" s="94"/>
      <c r="V238" s="104"/>
    </row>
    <row r="239" ht="15.75" customHeight="1">
      <c r="A239" s="91"/>
      <c r="B239" s="131"/>
      <c r="C239" s="132"/>
      <c r="D239" s="94"/>
      <c r="E239" s="132"/>
      <c r="F239" s="132"/>
      <c r="G239" s="94"/>
      <c r="H239" s="132"/>
      <c r="I239" s="94"/>
      <c r="J239" s="94"/>
      <c r="K239" s="125"/>
      <c r="L239" s="125"/>
      <c r="M239" s="99"/>
      <c r="N239" s="111"/>
      <c r="O239" s="112"/>
      <c r="P239" s="94"/>
      <c r="Q239" s="120"/>
      <c r="R239" s="113"/>
      <c r="S239" s="94"/>
      <c r="T239" s="94"/>
      <c r="V239" s="104"/>
    </row>
    <row r="240" ht="15.75" customHeight="1">
      <c r="A240" s="91"/>
      <c r="B240" s="131"/>
      <c r="C240" s="132"/>
      <c r="D240" s="94"/>
      <c r="E240" s="132"/>
      <c r="F240" s="132"/>
      <c r="G240" s="94"/>
      <c r="H240" s="132"/>
      <c r="I240" s="94"/>
      <c r="J240" s="94"/>
      <c r="K240" s="126"/>
      <c r="L240" s="126"/>
      <c r="M240" s="99"/>
      <c r="N240" s="111"/>
      <c r="O240" s="112"/>
      <c r="P240" s="94"/>
      <c r="Q240" s="120"/>
      <c r="R240" s="113"/>
      <c r="S240" s="94"/>
      <c r="T240" s="94"/>
      <c r="V240" s="104"/>
    </row>
    <row r="241" ht="15.75" customHeight="1">
      <c r="A241" s="91"/>
      <c r="B241" s="131"/>
      <c r="C241" s="104"/>
      <c r="D241" s="94"/>
      <c r="E241" s="132"/>
      <c r="F241" s="132"/>
      <c r="G241" s="94"/>
      <c r="H241" s="132"/>
      <c r="I241" s="94"/>
      <c r="J241" s="94"/>
      <c r="K241" s="125"/>
      <c r="L241" s="125"/>
      <c r="M241" s="99"/>
      <c r="N241" s="111"/>
      <c r="O241" s="112"/>
      <c r="P241" s="94"/>
      <c r="Q241" s="120"/>
      <c r="R241" s="113"/>
      <c r="S241" s="94"/>
      <c r="T241" s="94"/>
      <c r="V241" s="104"/>
    </row>
    <row r="242" ht="15.75" customHeight="1">
      <c r="A242" s="91"/>
      <c r="B242" s="131"/>
      <c r="C242" s="132"/>
      <c r="D242" s="94"/>
      <c r="E242" s="132"/>
      <c r="F242" s="132"/>
      <c r="G242" s="94"/>
      <c r="H242" s="132"/>
      <c r="I242" s="94"/>
      <c r="J242" s="94"/>
      <c r="K242" s="126"/>
      <c r="L242" s="126"/>
      <c r="M242" s="99"/>
      <c r="N242" s="111"/>
      <c r="O242" s="112"/>
      <c r="P242" s="94"/>
      <c r="Q242" s="120"/>
      <c r="R242" s="113"/>
      <c r="S242" s="94"/>
      <c r="T242" s="94"/>
      <c r="V242" s="104"/>
    </row>
    <row r="243" ht="15.75" customHeight="1">
      <c r="A243" s="91"/>
      <c r="B243" s="131"/>
      <c r="C243" s="132"/>
      <c r="D243" s="94"/>
      <c r="E243" s="132"/>
      <c r="F243" s="132"/>
      <c r="G243" s="94"/>
      <c r="H243" s="132"/>
      <c r="I243" s="94"/>
      <c r="J243" s="94"/>
      <c r="K243" s="125"/>
      <c r="L243" s="125"/>
      <c r="M243" s="99"/>
      <c r="N243" s="111"/>
      <c r="O243" s="112"/>
      <c r="P243" s="94"/>
      <c r="Q243" s="120"/>
      <c r="R243" s="113"/>
      <c r="S243" s="94"/>
      <c r="T243" s="94"/>
      <c r="V243" s="104"/>
    </row>
    <row r="244" ht="15.75" customHeight="1">
      <c r="A244" s="91"/>
      <c r="B244" s="131"/>
      <c r="C244" s="132"/>
      <c r="D244" s="94"/>
      <c r="E244" s="132"/>
      <c r="F244" s="132"/>
      <c r="G244" s="94"/>
      <c r="H244" s="132"/>
      <c r="I244" s="94"/>
      <c r="J244" s="94"/>
      <c r="K244" s="126"/>
      <c r="L244" s="126"/>
      <c r="M244" s="99"/>
      <c r="N244" s="111"/>
      <c r="O244" s="112"/>
      <c r="P244" s="94"/>
      <c r="Q244" s="120"/>
      <c r="R244" s="113"/>
      <c r="S244" s="94"/>
      <c r="T244" s="94"/>
      <c r="V244" s="104"/>
    </row>
    <row r="245" ht="15.75" customHeight="1">
      <c r="A245" s="91"/>
      <c r="B245" s="131"/>
      <c r="C245" s="132"/>
      <c r="D245" s="94"/>
      <c r="E245" s="132"/>
      <c r="F245" s="132"/>
      <c r="G245" s="94"/>
      <c r="H245" s="132"/>
      <c r="I245" s="94"/>
      <c r="J245" s="94"/>
      <c r="K245" s="125"/>
      <c r="L245" s="125"/>
      <c r="M245" s="99"/>
      <c r="N245" s="111"/>
      <c r="O245" s="112"/>
      <c r="P245" s="94"/>
      <c r="Q245" s="120"/>
      <c r="R245" s="113"/>
      <c r="S245" s="94"/>
      <c r="T245" s="94"/>
      <c r="V245" s="104"/>
    </row>
    <row r="246" ht="15.75" customHeight="1">
      <c r="A246" s="91"/>
      <c r="B246" s="131"/>
      <c r="C246" s="132"/>
      <c r="D246" s="94"/>
      <c r="E246" s="132"/>
      <c r="F246" s="132"/>
      <c r="G246" s="94"/>
      <c r="H246" s="132"/>
      <c r="I246" s="94"/>
      <c r="J246" s="94"/>
      <c r="K246" s="126"/>
      <c r="L246" s="126"/>
      <c r="M246" s="99"/>
      <c r="N246" s="111"/>
      <c r="O246" s="112"/>
      <c r="P246" s="94"/>
      <c r="Q246" s="120"/>
      <c r="R246" s="113"/>
      <c r="S246" s="94"/>
      <c r="T246" s="94"/>
      <c r="V246" s="104"/>
    </row>
    <row r="247" ht="15.75" customHeight="1">
      <c r="A247" s="91"/>
      <c r="B247" s="131"/>
      <c r="C247" s="104"/>
      <c r="D247" s="94"/>
      <c r="E247" s="132"/>
      <c r="F247" s="132"/>
      <c r="G247" s="94"/>
      <c r="H247" s="132"/>
      <c r="I247" s="94"/>
      <c r="J247" s="94"/>
      <c r="K247" s="125"/>
      <c r="L247" s="125"/>
      <c r="M247" s="99"/>
      <c r="N247" s="111"/>
      <c r="O247" s="112"/>
      <c r="P247" s="94"/>
      <c r="Q247" s="120"/>
      <c r="R247" s="113"/>
      <c r="S247" s="94"/>
      <c r="T247" s="94"/>
      <c r="V247" s="104"/>
    </row>
    <row r="248" ht="15.75" customHeight="1">
      <c r="A248" s="91"/>
      <c r="B248" s="131"/>
      <c r="C248" s="132"/>
      <c r="D248" s="94"/>
      <c r="E248" s="132"/>
      <c r="F248" s="132"/>
      <c r="G248" s="94"/>
      <c r="H248" s="132"/>
      <c r="I248" s="94"/>
      <c r="J248" s="94"/>
      <c r="K248" s="126"/>
      <c r="L248" s="126"/>
      <c r="M248" s="99"/>
      <c r="N248" s="111"/>
      <c r="O248" s="112"/>
      <c r="P248" s="94"/>
      <c r="Q248" s="120"/>
      <c r="R248" s="113"/>
      <c r="S248" s="94"/>
      <c r="T248" s="94"/>
      <c r="V248" s="104"/>
    </row>
    <row r="249" ht="15.75" customHeight="1">
      <c r="A249" s="91"/>
      <c r="B249" s="131"/>
      <c r="C249" s="132"/>
      <c r="D249" s="94"/>
      <c r="E249" s="132"/>
      <c r="F249" s="132"/>
      <c r="G249" s="94"/>
      <c r="H249" s="132"/>
      <c r="I249" s="94"/>
      <c r="J249" s="94"/>
      <c r="K249" s="125"/>
      <c r="L249" s="125"/>
      <c r="M249" s="99"/>
      <c r="N249" s="111"/>
      <c r="O249" s="112"/>
      <c r="P249" s="94"/>
      <c r="Q249" s="120"/>
      <c r="R249" s="113"/>
      <c r="S249" s="94"/>
      <c r="T249" s="94"/>
      <c r="V249" s="104"/>
    </row>
    <row r="250" ht="15.75" customHeight="1">
      <c r="A250" s="91"/>
      <c r="B250" s="131"/>
      <c r="C250" s="132"/>
      <c r="D250" s="94"/>
      <c r="E250" s="132"/>
      <c r="F250" s="132"/>
      <c r="G250" s="94"/>
      <c r="H250" s="132"/>
      <c r="I250" s="94"/>
      <c r="J250" s="94"/>
      <c r="K250" s="126"/>
      <c r="L250" s="126"/>
      <c r="M250" s="99"/>
      <c r="N250" s="111"/>
      <c r="O250" s="112"/>
      <c r="P250" s="94"/>
      <c r="Q250" s="120"/>
      <c r="R250" s="113"/>
      <c r="S250" s="94"/>
      <c r="T250" s="94"/>
      <c r="V250" s="104"/>
    </row>
    <row r="251" ht="15.75" customHeight="1">
      <c r="A251" s="91"/>
      <c r="B251" s="131"/>
      <c r="C251" s="132"/>
      <c r="D251" s="94"/>
      <c r="E251" s="132"/>
      <c r="F251" s="132"/>
      <c r="G251" s="94"/>
      <c r="H251" s="132"/>
      <c r="I251" s="94"/>
      <c r="J251" s="94"/>
      <c r="K251" s="125"/>
      <c r="L251" s="125"/>
      <c r="M251" s="99"/>
      <c r="N251" s="111"/>
      <c r="O251" s="112"/>
      <c r="P251" s="94"/>
      <c r="Q251" s="120"/>
      <c r="R251" s="113"/>
      <c r="S251" s="94"/>
      <c r="T251" s="94"/>
      <c r="V251" s="104"/>
    </row>
    <row r="252" ht="15.75" customHeight="1">
      <c r="A252" s="91"/>
      <c r="B252" s="131"/>
      <c r="C252" s="132"/>
      <c r="D252" s="94"/>
      <c r="E252" s="132"/>
      <c r="F252" s="132"/>
      <c r="G252" s="94"/>
      <c r="H252" s="132"/>
      <c r="I252" s="94"/>
      <c r="J252" s="94"/>
      <c r="K252" s="126"/>
      <c r="L252" s="126"/>
      <c r="M252" s="99"/>
      <c r="N252" s="111"/>
      <c r="O252" s="112"/>
      <c r="P252" s="94"/>
      <c r="Q252" s="120"/>
      <c r="R252" s="113"/>
      <c r="S252" s="94"/>
      <c r="T252" s="94"/>
      <c r="V252" s="104"/>
    </row>
    <row r="253" ht="15.75" customHeight="1">
      <c r="A253" s="91"/>
      <c r="B253" s="131"/>
      <c r="C253" s="104"/>
      <c r="D253" s="94"/>
      <c r="E253" s="132"/>
      <c r="F253" s="132"/>
      <c r="G253" s="94"/>
      <c r="H253" s="132"/>
      <c r="I253" s="94"/>
      <c r="J253" s="94"/>
      <c r="K253" s="125"/>
      <c r="L253" s="125"/>
      <c r="M253" s="99"/>
      <c r="N253" s="111"/>
      <c r="O253" s="112"/>
      <c r="P253" s="94"/>
      <c r="Q253" s="120"/>
      <c r="R253" s="113"/>
      <c r="S253" s="94"/>
      <c r="T253" s="94"/>
      <c r="V253" s="104"/>
    </row>
    <row r="254" ht="15.75" customHeight="1">
      <c r="A254" s="91"/>
      <c r="B254" s="131"/>
      <c r="C254" s="132"/>
      <c r="D254" s="94"/>
      <c r="E254" s="132"/>
      <c r="F254" s="132"/>
      <c r="G254" s="94"/>
      <c r="H254" s="132"/>
      <c r="I254" s="94"/>
      <c r="J254" s="94"/>
      <c r="K254" s="126"/>
      <c r="L254" s="126"/>
      <c r="M254" s="99"/>
      <c r="N254" s="111"/>
      <c r="O254" s="112"/>
      <c r="P254" s="94"/>
      <c r="Q254" s="120"/>
      <c r="R254" s="113"/>
      <c r="S254" s="94"/>
      <c r="T254" s="94"/>
      <c r="V254" s="104"/>
    </row>
    <row r="255" ht="15.75" customHeight="1">
      <c r="A255" s="91"/>
      <c r="B255" s="131"/>
      <c r="C255" s="132"/>
      <c r="D255" s="94"/>
      <c r="E255" s="132"/>
      <c r="F255" s="132"/>
      <c r="G255" s="94"/>
      <c r="H255" s="132"/>
      <c r="I255" s="94"/>
      <c r="J255" s="94"/>
      <c r="K255" s="125"/>
      <c r="L255" s="125"/>
      <c r="M255" s="99"/>
      <c r="N255" s="111"/>
      <c r="O255" s="112"/>
      <c r="P255" s="94"/>
      <c r="Q255" s="120"/>
      <c r="R255" s="113"/>
      <c r="S255" s="94"/>
      <c r="T255" s="94"/>
      <c r="V255" s="104"/>
    </row>
    <row r="256" ht="15.75" customHeight="1">
      <c r="A256" s="91"/>
      <c r="B256" s="131"/>
      <c r="C256" s="132"/>
      <c r="D256" s="94"/>
      <c r="E256" s="132"/>
      <c r="F256" s="132"/>
      <c r="G256" s="94"/>
      <c r="H256" s="132"/>
      <c r="I256" s="94"/>
      <c r="J256" s="94"/>
      <c r="K256" s="126"/>
      <c r="L256" s="126"/>
      <c r="M256" s="99"/>
      <c r="N256" s="111"/>
      <c r="O256" s="112"/>
      <c r="P256" s="94"/>
      <c r="Q256" s="120"/>
      <c r="R256" s="113"/>
      <c r="S256" s="94"/>
      <c r="T256" s="94"/>
      <c r="V256" s="104"/>
    </row>
    <row r="257" ht="15.75" customHeight="1">
      <c r="A257" s="91"/>
      <c r="B257" s="131"/>
      <c r="C257" s="132"/>
      <c r="D257" s="94"/>
      <c r="E257" s="132"/>
      <c r="F257" s="132"/>
      <c r="G257" s="94"/>
      <c r="H257" s="132"/>
      <c r="I257" s="94"/>
      <c r="J257" s="94"/>
      <c r="K257" s="125"/>
      <c r="L257" s="125"/>
      <c r="M257" s="99"/>
      <c r="N257" s="111"/>
      <c r="O257" s="112"/>
      <c r="P257" s="94"/>
      <c r="Q257" s="120"/>
      <c r="R257" s="113"/>
      <c r="S257" s="94"/>
      <c r="T257" s="94"/>
      <c r="V257" s="104"/>
    </row>
    <row r="258" ht="15.75" customHeight="1">
      <c r="A258" s="91"/>
      <c r="B258" s="131"/>
      <c r="C258" s="132"/>
      <c r="D258" s="94"/>
      <c r="E258" s="132"/>
      <c r="F258" s="132"/>
      <c r="G258" s="94"/>
      <c r="H258" s="132"/>
      <c r="I258" s="94"/>
      <c r="J258" s="94"/>
      <c r="K258" s="126"/>
      <c r="L258" s="126"/>
      <c r="M258" s="99"/>
      <c r="N258" s="111"/>
      <c r="O258" s="112"/>
      <c r="P258" s="94"/>
      <c r="Q258" s="120"/>
      <c r="R258" s="113"/>
      <c r="S258" s="94"/>
      <c r="T258" s="94"/>
      <c r="V258" s="104"/>
    </row>
    <row r="259" ht="15.75" customHeight="1">
      <c r="A259" s="91"/>
      <c r="B259" s="131"/>
      <c r="C259" s="104"/>
      <c r="D259" s="94"/>
      <c r="E259" s="132"/>
      <c r="F259" s="132"/>
      <c r="G259" s="94"/>
      <c r="H259" s="132"/>
      <c r="I259" s="94"/>
      <c r="J259" s="94"/>
      <c r="K259" s="125"/>
      <c r="L259" s="125"/>
      <c r="M259" s="99"/>
      <c r="N259" s="111"/>
      <c r="O259" s="112"/>
      <c r="P259" s="94"/>
      <c r="Q259" s="120"/>
      <c r="R259" s="113"/>
      <c r="S259" s="94"/>
      <c r="T259" s="94"/>
      <c r="V259" s="104"/>
    </row>
    <row r="260" ht="15.75" customHeight="1">
      <c r="A260" s="91"/>
      <c r="B260" s="131"/>
      <c r="C260" s="132"/>
      <c r="D260" s="94"/>
      <c r="E260" s="132"/>
      <c r="F260" s="132"/>
      <c r="G260" s="94"/>
      <c r="H260" s="132"/>
      <c r="I260" s="94"/>
      <c r="J260" s="94"/>
      <c r="K260" s="126"/>
      <c r="L260" s="126"/>
      <c r="M260" s="99"/>
      <c r="N260" s="111"/>
      <c r="O260" s="112"/>
      <c r="P260" s="94"/>
      <c r="Q260" s="120"/>
      <c r="R260" s="113"/>
      <c r="S260" s="94"/>
      <c r="T260" s="94"/>
      <c r="V260" s="104"/>
    </row>
    <row r="261" ht="15.75" customHeight="1">
      <c r="A261" s="91"/>
      <c r="B261" s="131"/>
      <c r="C261" s="132"/>
      <c r="D261" s="94"/>
      <c r="E261" s="132"/>
      <c r="F261" s="132"/>
      <c r="G261" s="94"/>
      <c r="H261" s="132"/>
      <c r="I261" s="94"/>
      <c r="J261" s="94"/>
      <c r="K261" s="125"/>
      <c r="L261" s="125"/>
      <c r="M261" s="99"/>
      <c r="N261" s="111"/>
      <c r="O261" s="112"/>
      <c r="P261" s="94"/>
      <c r="Q261" s="120"/>
      <c r="R261" s="113"/>
      <c r="S261" s="94"/>
      <c r="T261" s="94"/>
      <c r="V261" s="104"/>
    </row>
    <row r="262" ht="15.75" customHeight="1">
      <c r="A262" s="91"/>
      <c r="B262" s="131"/>
      <c r="C262" s="132"/>
      <c r="D262" s="94"/>
      <c r="E262" s="132"/>
      <c r="F262" s="132"/>
      <c r="G262" s="94"/>
      <c r="H262" s="132"/>
      <c r="I262" s="94"/>
      <c r="J262" s="94"/>
      <c r="K262" s="126"/>
      <c r="L262" s="126"/>
      <c r="M262" s="99"/>
      <c r="N262" s="111"/>
      <c r="O262" s="112"/>
      <c r="P262" s="94"/>
      <c r="Q262" s="120"/>
      <c r="R262" s="113"/>
      <c r="S262" s="94"/>
      <c r="T262" s="94"/>
      <c r="V262" s="104"/>
    </row>
    <row r="263" ht="15.75" customHeight="1">
      <c r="A263" s="91"/>
      <c r="B263" s="131"/>
      <c r="C263" s="132"/>
      <c r="D263" s="94"/>
      <c r="E263" s="132"/>
      <c r="F263" s="132"/>
      <c r="G263" s="94"/>
      <c r="H263" s="132"/>
      <c r="I263" s="94"/>
      <c r="J263" s="94"/>
      <c r="K263" s="125"/>
      <c r="L263" s="125"/>
      <c r="M263" s="99"/>
      <c r="N263" s="111"/>
      <c r="O263" s="112"/>
      <c r="P263" s="94"/>
      <c r="Q263" s="120"/>
      <c r="R263" s="113"/>
      <c r="S263" s="94"/>
      <c r="T263" s="94"/>
      <c r="V263" s="104"/>
    </row>
    <row r="264" ht="15.75" customHeight="1">
      <c r="A264" s="91"/>
      <c r="B264" s="131"/>
      <c r="C264" s="132"/>
      <c r="D264" s="94"/>
      <c r="E264" s="132"/>
      <c r="F264" s="132"/>
      <c r="G264" s="94"/>
      <c r="H264" s="132"/>
      <c r="I264" s="94"/>
      <c r="J264" s="94"/>
      <c r="K264" s="126"/>
      <c r="L264" s="126"/>
      <c r="M264" s="99"/>
      <c r="N264" s="111"/>
      <c r="O264" s="112"/>
      <c r="P264" s="94"/>
      <c r="Q264" s="120"/>
      <c r="R264" s="113"/>
      <c r="S264" s="94"/>
      <c r="T264" s="94"/>
      <c r="V264" s="104"/>
    </row>
    <row r="265" ht="15.75" customHeight="1">
      <c r="A265" s="91"/>
      <c r="B265" s="131"/>
      <c r="C265" s="104"/>
      <c r="D265" s="94"/>
      <c r="E265" s="132"/>
      <c r="F265" s="132"/>
      <c r="G265" s="94"/>
      <c r="H265" s="132"/>
      <c r="I265" s="94"/>
      <c r="J265" s="94"/>
      <c r="K265" s="125"/>
      <c r="L265" s="125"/>
      <c r="M265" s="99"/>
      <c r="N265" s="111"/>
      <c r="O265" s="112"/>
      <c r="P265" s="94"/>
      <c r="Q265" s="120"/>
      <c r="R265" s="113"/>
      <c r="S265" s="94"/>
      <c r="T265" s="94"/>
      <c r="V265" s="104"/>
    </row>
    <row r="266" ht="15.75" customHeight="1">
      <c r="A266" s="91"/>
      <c r="B266" s="131"/>
      <c r="C266" s="132"/>
      <c r="D266" s="94"/>
      <c r="E266" s="132"/>
      <c r="F266" s="132"/>
      <c r="G266" s="94"/>
      <c r="H266" s="132"/>
      <c r="I266" s="94"/>
      <c r="J266" s="94"/>
      <c r="K266" s="126"/>
      <c r="L266" s="126"/>
      <c r="M266" s="99"/>
      <c r="N266" s="111"/>
      <c r="O266" s="112"/>
      <c r="P266" s="94"/>
      <c r="Q266" s="120"/>
      <c r="R266" s="113"/>
      <c r="S266" s="94"/>
      <c r="T266" s="94"/>
      <c r="V266" s="104"/>
    </row>
    <row r="267" ht="15.75" customHeight="1">
      <c r="A267" s="91"/>
      <c r="B267" s="131"/>
      <c r="C267" s="132"/>
      <c r="D267" s="94"/>
      <c r="E267" s="132"/>
      <c r="F267" s="132"/>
      <c r="G267" s="94"/>
      <c r="H267" s="132"/>
      <c r="I267" s="94"/>
      <c r="J267" s="94"/>
      <c r="K267" s="125"/>
      <c r="L267" s="125"/>
      <c r="M267" s="99"/>
      <c r="N267" s="111"/>
      <c r="O267" s="112"/>
      <c r="P267" s="94"/>
      <c r="Q267" s="120"/>
      <c r="R267" s="113"/>
      <c r="S267" s="94"/>
      <c r="T267" s="94"/>
      <c r="V267" s="104"/>
    </row>
    <row r="268" ht="15.75" customHeight="1">
      <c r="A268" s="91"/>
      <c r="B268" s="131"/>
      <c r="C268" s="132"/>
      <c r="D268" s="94"/>
      <c r="E268" s="132"/>
      <c r="F268" s="132"/>
      <c r="G268" s="94"/>
      <c r="H268" s="132"/>
      <c r="I268" s="94"/>
      <c r="J268" s="94"/>
      <c r="K268" s="126"/>
      <c r="L268" s="126"/>
      <c r="M268" s="99"/>
      <c r="N268" s="111"/>
      <c r="O268" s="112"/>
      <c r="P268" s="94"/>
      <c r="Q268" s="120"/>
      <c r="R268" s="113"/>
      <c r="S268" s="94"/>
      <c r="T268" s="94"/>
      <c r="V268" s="104"/>
    </row>
    <row r="269" ht="15.75" customHeight="1">
      <c r="A269" s="91"/>
      <c r="B269" s="131"/>
      <c r="C269" s="132"/>
      <c r="D269" s="94"/>
      <c r="E269" s="132"/>
      <c r="F269" s="132"/>
      <c r="G269" s="94"/>
      <c r="H269" s="132"/>
      <c r="I269" s="94"/>
      <c r="J269" s="94"/>
      <c r="K269" s="125"/>
      <c r="L269" s="125"/>
      <c r="M269" s="99"/>
      <c r="N269" s="111"/>
      <c r="O269" s="112"/>
      <c r="P269" s="94"/>
      <c r="Q269" s="120"/>
      <c r="R269" s="113"/>
      <c r="S269" s="94"/>
      <c r="T269" s="94"/>
      <c r="V269" s="104"/>
    </row>
    <row r="270" ht="15.75" customHeight="1">
      <c r="A270" s="91"/>
      <c r="B270" s="131"/>
      <c r="C270" s="132"/>
      <c r="D270" s="94"/>
      <c r="E270" s="132"/>
      <c r="F270" s="132"/>
      <c r="G270" s="94"/>
      <c r="H270" s="132"/>
      <c r="I270" s="94"/>
      <c r="J270" s="94"/>
      <c r="K270" s="126"/>
      <c r="L270" s="126"/>
      <c r="M270" s="99"/>
      <c r="N270" s="111"/>
      <c r="O270" s="112"/>
      <c r="P270" s="94"/>
      <c r="Q270" s="120"/>
      <c r="R270" s="113"/>
      <c r="S270" s="94"/>
      <c r="T270" s="94"/>
      <c r="V270" s="104"/>
    </row>
    <row r="271" ht="15.75" customHeight="1">
      <c r="A271" s="91"/>
      <c r="B271" s="131"/>
      <c r="C271" s="104"/>
      <c r="D271" s="94"/>
      <c r="E271" s="132"/>
      <c r="F271" s="132"/>
      <c r="G271" s="94"/>
      <c r="H271" s="132"/>
      <c r="I271" s="94"/>
      <c r="J271" s="94"/>
      <c r="K271" s="125"/>
      <c r="L271" s="125"/>
      <c r="M271" s="99"/>
      <c r="N271" s="111"/>
      <c r="O271" s="112"/>
      <c r="P271" s="94"/>
      <c r="Q271" s="120"/>
      <c r="R271" s="113"/>
      <c r="S271" s="94"/>
      <c r="T271" s="94"/>
      <c r="V271" s="104"/>
    </row>
    <row r="272" ht="15.75" customHeight="1">
      <c r="A272" s="91"/>
      <c r="B272" s="131"/>
      <c r="C272" s="132"/>
      <c r="D272" s="94"/>
      <c r="E272" s="132"/>
      <c r="F272" s="132"/>
      <c r="G272" s="94"/>
      <c r="H272" s="132"/>
      <c r="I272" s="94"/>
      <c r="J272" s="94"/>
      <c r="K272" s="126"/>
      <c r="L272" s="126"/>
      <c r="M272" s="99"/>
      <c r="N272" s="111"/>
      <c r="O272" s="112"/>
      <c r="P272" s="94"/>
      <c r="Q272" s="120"/>
      <c r="R272" s="113"/>
      <c r="S272" s="94"/>
      <c r="T272" s="94"/>
      <c r="V272" s="104"/>
    </row>
    <row r="273" ht="15.75" customHeight="1">
      <c r="A273" s="91"/>
      <c r="B273" s="131"/>
      <c r="C273" s="132"/>
      <c r="D273" s="94"/>
      <c r="E273" s="132"/>
      <c r="F273" s="132"/>
      <c r="G273" s="94"/>
      <c r="H273" s="132"/>
      <c r="I273" s="94"/>
      <c r="J273" s="94"/>
      <c r="K273" s="125"/>
      <c r="L273" s="125"/>
      <c r="M273" s="99"/>
      <c r="N273" s="111"/>
      <c r="O273" s="112"/>
      <c r="P273" s="94"/>
      <c r="Q273" s="120"/>
      <c r="R273" s="113"/>
      <c r="S273" s="94"/>
      <c r="T273" s="94"/>
      <c r="V273" s="104"/>
    </row>
    <row r="274" ht="15.75" customHeight="1">
      <c r="A274" s="91"/>
      <c r="B274" s="131"/>
      <c r="C274" s="132"/>
      <c r="D274" s="94"/>
      <c r="E274" s="132"/>
      <c r="F274" s="132"/>
      <c r="G274" s="94"/>
      <c r="H274" s="132"/>
      <c r="I274" s="94"/>
      <c r="J274" s="94"/>
      <c r="K274" s="126"/>
      <c r="L274" s="126"/>
      <c r="M274" s="99"/>
      <c r="N274" s="111"/>
      <c r="O274" s="112"/>
      <c r="P274" s="94"/>
      <c r="Q274" s="120"/>
      <c r="R274" s="113"/>
      <c r="S274" s="94"/>
      <c r="T274" s="94"/>
      <c r="V274" s="104"/>
    </row>
    <row r="275" ht="15.75" customHeight="1">
      <c r="A275" s="91"/>
      <c r="B275" s="131"/>
      <c r="C275" s="132"/>
      <c r="D275" s="94"/>
      <c r="E275" s="132"/>
      <c r="F275" s="132"/>
      <c r="G275" s="94"/>
      <c r="H275" s="132"/>
      <c r="I275" s="94"/>
      <c r="J275" s="94"/>
      <c r="K275" s="125"/>
      <c r="L275" s="125"/>
      <c r="M275" s="99"/>
      <c r="N275" s="111"/>
      <c r="O275" s="112"/>
      <c r="P275" s="94"/>
      <c r="Q275" s="120"/>
      <c r="R275" s="113"/>
      <c r="S275" s="94"/>
      <c r="T275" s="94"/>
      <c r="V275" s="104"/>
    </row>
    <row r="276" ht="15.75" customHeight="1">
      <c r="A276" s="91"/>
      <c r="B276" s="131"/>
      <c r="C276" s="132"/>
      <c r="D276" s="94"/>
      <c r="E276" s="132"/>
      <c r="F276" s="132"/>
      <c r="G276" s="94"/>
      <c r="H276" s="132"/>
      <c r="I276" s="94"/>
      <c r="J276" s="94"/>
      <c r="K276" s="126"/>
      <c r="L276" s="126"/>
      <c r="M276" s="99"/>
      <c r="N276" s="111"/>
      <c r="O276" s="112"/>
      <c r="P276" s="94"/>
      <c r="Q276" s="120"/>
      <c r="R276" s="113"/>
      <c r="S276" s="94"/>
      <c r="T276" s="94"/>
      <c r="V276" s="104"/>
    </row>
    <row r="277" ht="15.75" customHeight="1">
      <c r="A277" s="91"/>
      <c r="B277" s="131"/>
      <c r="C277" s="104"/>
      <c r="D277" s="94"/>
      <c r="E277" s="132"/>
      <c r="F277" s="132"/>
      <c r="G277" s="94"/>
      <c r="H277" s="132"/>
      <c r="I277" s="94"/>
      <c r="J277" s="94"/>
      <c r="K277" s="125"/>
      <c r="L277" s="125"/>
      <c r="M277" s="99"/>
      <c r="N277" s="111"/>
      <c r="O277" s="112"/>
      <c r="P277" s="94"/>
      <c r="Q277" s="120"/>
      <c r="R277" s="113"/>
      <c r="S277" s="94"/>
      <c r="T277" s="94"/>
      <c r="V277" s="104"/>
    </row>
    <row r="278" ht="15.75" customHeight="1">
      <c r="A278" s="91"/>
      <c r="B278" s="131"/>
      <c r="C278" s="132"/>
      <c r="D278" s="94"/>
      <c r="E278" s="132"/>
      <c r="F278" s="132"/>
      <c r="G278" s="94"/>
      <c r="H278" s="132"/>
      <c r="I278" s="94"/>
      <c r="J278" s="94"/>
      <c r="K278" s="126"/>
      <c r="L278" s="126"/>
      <c r="M278" s="99"/>
      <c r="N278" s="111"/>
      <c r="O278" s="112"/>
      <c r="P278" s="94"/>
      <c r="Q278" s="120"/>
      <c r="R278" s="113"/>
      <c r="S278" s="94"/>
      <c r="T278" s="94"/>
      <c r="V278" s="104"/>
    </row>
    <row r="279" ht="15.75" customHeight="1">
      <c r="A279" s="91"/>
      <c r="B279" s="131"/>
      <c r="C279" s="132"/>
      <c r="D279" s="94"/>
      <c r="E279" s="132"/>
      <c r="F279" s="132"/>
      <c r="G279" s="94"/>
      <c r="H279" s="132"/>
      <c r="I279" s="94"/>
      <c r="J279" s="94"/>
      <c r="K279" s="125"/>
      <c r="L279" s="125"/>
      <c r="M279" s="99"/>
      <c r="N279" s="111"/>
      <c r="O279" s="112"/>
      <c r="P279" s="94"/>
      <c r="Q279" s="120"/>
      <c r="R279" s="113"/>
      <c r="S279" s="94"/>
      <c r="T279" s="94"/>
      <c r="V279" s="104"/>
    </row>
    <row r="280" ht="15.75" customHeight="1">
      <c r="A280" s="91"/>
      <c r="B280" s="131"/>
      <c r="C280" s="132"/>
      <c r="D280" s="94"/>
      <c r="E280" s="132"/>
      <c r="F280" s="132"/>
      <c r="G280" s="94"/>
      <c r="H280" s="132"/>
      <c r="I280" s="94"/>
      <c r="J280" s="94"/>
      <c r="K280" s="126"/>
      <c r="L280" s="126"/>
      <c r="M280" s="99"/>
      <c r="N280" s="111"/>
      <c r="O280" s="112"/>
      <c r="P280" s="94"/>
      <c r="Q280" s="120"/>
      <c r="R280" s="113"/>
      <c r="S280" s="94"/>
      <c r="T280" s="94"/>
      <c r="V280" s="104"/>
    </row>
    <row r="281" ht="15.75" customHeight="1">
      <c r="A281" s="91"/>
      <c r="B281" s="131"/>
      <c r="C281" s="132"/>
      <c r="D281" s="94"/>
      <c r="E281" s="132"/>
      <c r="F281" s="132"/>
      <c r="G281" s="94"/>
      <c r="H281" s="132"/>
      <c r="I281" s="94"/>
      <c r="J281" s="94"/>
      <c r="K281" s="125"/>
      <c r="L281" s="125"/>
      <c r="M281" s="99"/>
      <c r="N281" s="111"/>
      <c r="O281" s="112"/>
      <c r="P281" s="94"/>
      <c r="Q281" s="120"/>
      <c r="R281" s="113"/>
      <c r="S281" s="94"/>
      <c r="T281" s="94"/>
      <c r="V281" s="104"/>
    </row>
    <row r="282" ht="15.75" customHeight="1">
      <c r="A282" s="91"/>
      <c r="B282" s="131"/>
      <c r="C282" s="132"/>
      <c r="D282" s="94"/>
      <c r="E282" s="132"/>
      <c r="F282" s="132"/>
      <c r="G282" s="94"/>
      <c r="H282" s="132"/>
      <c r="I282" s="94"/>
      <c r="J282" s="94"/>
      <c r="K282" s="126"/>
      <c r="L282" s="126"/>
      <c r="M282" s="99"/>
      <c r="N282" s="111"/>
      <c r="O282" s="112"/>
      <c r="P282" s="94"/>
      <c r="Q282" s="120"/>
      <c r="R282" s="113"/>
      <c r="S282" s="94"/>
      <c r="T282" s="94"/>
      <c r="V282" s="104"/>
    </row>
    <row r="283" ht="15.75" customHeight="1">
      <c r="A283" s="91"/>
      <c r="B283" s="131"/>
      <c r="C283" s="104"/>
      <c r="D283" s="94"/>
      <c r="E283" s="132"/>
      <c r="F283" s="132"/>
      <c r="G283" s="94"/>
      <c r="H283" s="132"/>
      <c r="I283" s="94"/>
      <c r="J283" s="94"/>
      <c r="K283" s="125"/>
      <c r="L283" s="125"/>
      <c r="M283" s="99"/>
      <c r="N283" s="111"/>
      <c r="O283" s="112"/>
      <c r="P283" s="94"/>
      <c r="Q283" s="120"/>
      <c r="R283" s="113"/>
      <c r="S283" s="94"/>
      <c r="T283" s="94"/>
      <c r="V283" s="104"/>
    </row>
    <row r="284" ht="15.75" customHeight="1">
      <c r="A284" s="91"/>
      <c r="B284" s="131"/>
      <c r="C284" s="132"/>
      <c r="D284" s="94"/>
      <c r="E284" s="132"/>
      <c r="F284" s="132"/>
      <c r="G284" s="94"/>
      <c r="H284" s="132"/>
      <c r="I284" s="94"/>
      <c r="J284" s="94"/>
      <c r="K284" s="126"/>
      <c r="L284" s="126"/>
      <c r="M284" s="99"/>
      <c r="N284" s="111"/>
      <c r="O284" s="112"/>
      <c r="P284" s="94"/>
      <c r="Q284" s="120"/>
      <c r="R284" s="113"/>
      <c r="S284" s="94"/>
      <c r="T284" s="94"/>
      <c r="V284" s="104"/>
    </row>
    <row r="285" ht="15.75" customHeight="1">
      <c r="A285" s="91"/>
      <c r="B285" s="131"/>
      <c r="C285" s="132"/>
      <c r="D285" s="94"/>
      <c r="E285" s="132"/>
      <c r="F285" s="132"/>
      <c r="G285" s="94"/>
      <c r="H285" s="132"/>
      <c r="I285" s="94"/>
      <c r="J285" s="94"/>
      <c r="K285" s="125"/>
      <c r="L285" s="125"/>
      <c r="M285" s="99"/>
      <c r="N285" s="111"/>
      <c r="O285" s="112"/>
      <c r="P285" s="94"/>
      <c r="Q285" s="120"/>
      <c r="R285" s="113"/>
      <c r="S285" s="94"/>
      <c r="T285" s="94"/>
      <c r="V285" s="104"/>
    </row>
    <row r="286" ht="15.75" customHeight="1">
      <c r="A286" s="91"/>
      <c r="B286" s="131"/>
      <c r="C286" s="132"/>
      <c r="D286" s="94"/>
      <c r="E286" s="132"/>
      <c r="F286" s="132"/>
      <c r="G286" s="94"/>
      <c r="H286" s="132"/>
      <c r="I286" s="94"/>
      <c r="J286" s="94"/>
      <c r="K286" s="126"/>
      <c r="L286" s="126"/>
      <c r="M286" s="99"/>
      <c r="N286" s="111"/>
      <c r="O286" s="112"/>
      <c r="P286" s="94"/>
      <c r="Q286" s="120"/>
      <c r="R286" s="113"/>
      <c r="S286" s="94"/>
      <c r="T286" s="94"/>
      <c r="V286" s="104"/>
    </row>
    <row r="287" ht="15.75" customHeight="1">
      <c r="A287" s="91"/>
      <c r="B287" s="131"/>
      <c r="C287" s="132"/>
      <c r="D287" s="94"/>
      <c r="E287" s="132"/>
      <c r="F287" s="132"/>
      <c r="G287" s="94"/>
      <c r="H287" s="132"/>
      <c r="I287" s="94"/>
      <c r="J287" s="94"/>
      <c r="K287" s="125"/>
      <c r="L287" s="125"/>
      <c r="M287" s="99"/>
      <c r="N287" s="111"/>
      <c r="O287" s="112"/>
      <c r="P287" s="94"/>
      <c r="Q287" s="120"/>
      <c r="R287" s="113"/>
      <c r="S287" s="94"/>
      <c r="T287" s="94"/>
      <c r="V287" s="104"/>
    </row>
    <row r="288" ht="15.75" customHeight="1">
      <c r="A288" s="91"/>
      <c r="B288" s="131"/>
      <c r="C288" s="132"/>
      <c r="D288" s="94"/>
      <c r="E288" s="132"/>
      <c r="F288" s="132"/>
      <c r="G288" s="94"/>
      <c r="H288" s="132"/>
      <c r="I288" s="94"/>
      <c r="J288" s="94"/>
      <c r="K288" s="126"/>
      <c r="L288" s="126"/>
      <c r="M288" s="99"/>
      <c r="N288" s="111"/>
      <c r="O288" s="112"/>
      <c r="P288" s="94"/>
      <c r="Q288" s="120"/>
      <c r="R288" s="113"/>
      <c r="S288" s="94"/>
      <c r="T288" s="94"/>
      <c r="V288" s="104"/>
    </row>
    <row r="289" ht="15.75" customHeight="1">
      <c r="A289" s="91"/>
      <c r="B289" s="131"/>
      <c r="C289" s="104"/>
      <c r="D289" s="94"/>
      <c r="E289" s="132"/>
      <c r="F289" s="132"/>
      <c r="G289" s="94"/>
      <c r="H289" s="132"/>
      <c r="I289" s="94"/>
      <c r="J289" s="94"/>
      <c r="K289" s="125"/>
      <c r="L289" s="125"/>
      <c r="M289" s="99"/>
      <c r="N289" s="111"/>
      <c r="O289" s="112"/>
      <c r="P289" s="94"/>
      <c r="Q289" s="120"/>
      <c r="R289" s="113"/>
      <c r="S289" s="94"/>
      <c r="T289" s="94"/>
      <c r="V289" s="104"/>
    </row>
    <row r="290" ht="15.75" customHeight="1">
      <c r="A290" s="91"/>
      <c r="B290" s="131"/>
      <c r="C290" s="132"/>
      <c r="D290" s="94"/>
      <c r="E290" s="132"/>
      <c r="F290" s="132"/>
      <c r="G290" s="94"/>
      <c r="H290" s="132"/>
      <c r="I290" s="94"/>
      <c r="J290" s="94"/>
      <c r="K290" s="126"/>
      <c r="L290" s="126"/>
      <c r="M290" s="99"/>
      <c r="N290" s="111"/>
      <c r="O290" s="112"/>
      <c r="P290" s="94"/>
      <c r="Q290" s="120"/>
      <c r="R290" s="113"/>
      <c r="S290" s="94"/>
      <c r="T290" s="94"/>
      <c r="V290" s="104"/>
    </row>
    <row r="291" ht="15.75" customHeight="1">
      <c r="A291" s="91"/>
      <c r="B291" s="131"/>
      <c r="C291" s="132"/>
      <c r="D291" s="94"/>
      <c r="E291" s="132"/>
      <c r="F291" s="132"/>
      <c r="G291" s="94"/>
      <c r="H291" s="132"/>
      <c r="I291" s="94"/>
      <c r="J291" s="94"/>
      <c r="K291" s="125"/>
      <c r="L291" s="125"/>
      <c r="M291" s="99"/>
      <c r="N291" s="111"/>
      <c r="O291" s="112"/>
      <c r="P291" s="94"/>
      <c r="Q291" s="120"/>
      <c r="R291" s="113"/>
      <c r="S291" s="94"/>
      <c r="T291" s="94"/>
      <c r="V291" s="104"/>
    </row>
    <row r="292" ht="15.75" customHeight="1">
      <c r="A292" s="91"/>
      <c r="B292" s="131"/>
      <c r="C292" s="132"/>
      <c r="D292" s="94"/>
      <c r="E292" s="132"/>
      <c r="F292" s="132"/>
      <c r="G292" s="94"/>
      <c r="H292" s="132"/>
      <c r="I292" s="94"/>
      <c r="J292" s="94"/>
      <c r="K292" s="126"/>
      <c r="L292" s="126"/>
      <c r="M292" s="99"/>
      <c r="N292" s="111"/>
      <c r="O292" s="112"/>
      <c r="P292" s="94"/>
      <c r="Q292" s="120"/>
      <c r="R292" s="113"/>
      <c r="S292" s="94"/>
      <c r="T292" s="94"/>
      <c r="V292" s="104"/>
    </row>
    <row r="293" ht="15.75" customHeight="1">
      <c r="A293" s="91"/>
      <c r="B293" s="131"/>
      <c r="C293" s="132"/>
      <c r="D293" s="94"/>
      <c r="E293" s="132"/>
      <c r="F293" s="132"/>
      <c r="G293" s="94"/>
      <c r="H293" s="132"/>
      <c r="I293" s="94"/>
      <c r="J293" s="94"/>
      <c r="K293" s="125"/>
      <c r="L293" s="125"/>
      <c r="M293" s="99"/>
      <c r="N293" s="111"/>
      <c r="O293" s="112"/>
      <c r="P293" s="94"/>
      <c r="Q293" s="120"/>
      <c r="R293" s="113"/>
      <c r="S293" s="94"/>
      <c r="T293" s="94"/>
      <c r="V293" s="104"/>
    </row>
    <row r="294" ht="15.75" customHeight="1">
      <c r="A294" s="91"/>
      <c r="B294" s="131"/>
      <c r="C294" s="132"/>
      <c r="D294" s="94"/>
      <c r="E294" s="132"/>
      <c r="F294" s="132"/>
      <c r="G294" s="94"/>
      <c r="H294" s="132"/>
      <c r="I294" s="94"/>
      <c r="J294" s="94"/>
      <c r="K294" s="126"/>
      <c r="L294" s="126"/>
      <c r="M294" s="99"/>
      <c r="N294" s="111"/>
      <c r="O294" s="112"/>
      <c r="P294" s="94"/>
      <c r="Q294" s="120"/>
      <c r="R294" s="113"/>
      <c r="S294" s="94"/>
      <c r="T294" s="94"/>
      <c r="V294" s="104"/>
    </row>
    <row r="295" ht="15.75" customHeight="1">
      <c r="A295" s="91"/>
      <c r="B295" s="131"/>
      <c r="C295" s="104"/>
      <c r="D295" s="94"/>
      <c r="E295" s="132"/>
      <c r="F295" s="132"/>
      <c r="G295" s="94"/>
      <c r="H295" s="132"/>
      <c r="I295" s="94"/>
      <c r="J295" s="94"/>
      <c r="K295" s="125"/>
      <c r="L295" s="125"/>
      <c r="M295" s="99"/>
      <c r="N295" s="111"/>
      <c r="O295" s="112"/>
      <c r="P295" s="94"/>
      <c r="Q295" s="120"/>
      <c r="R295" s="113"/>
      <c r="S295" s="94"/>
      <c r="T295" s="94"/>
      <c r="V295" s="104"/>
    </row>
    <row r="296" ht="15.75" customHeight="1">
      <c r="A296" s="91"/>
      <c r="B296" s="131"/>
      <c r="C296" s="132"/>
      <c r="D296" s="94"/>
      <c r="E296" s="132"/>
      <c r="F296" s="132"/>
      <c r="G296" s="94"/>
      <c r="H296" s="132"/>
      <c r="I296" s="94"/>
      <c r="J296" s="94"/>
      <c r="K296" s="126"/>
      <c r="L296" s="126"/>
      <c r="M296" s="99"/>
      <c r="N296" s="111"/>
      <c r="O296" s="112"/>
      <c r="P296" s="94"/>
      <c r="Q296" s="120"/>
      <c r="R296" s="113"/>
      <c r="S296" s="94"/>
      <c r="T296" s="94"/>
      <c r="V296" s="104"/>
    </row>
    <row r="297" ht="15.75" customHeight="1">
      <c r="A297" s="91"/>
      <c r="B297" s="131"/>
      <c r="C297" s="132"/>
      <c r="D297" s="94"/>
      <c r="E297" s="132"/>
      <c r="F297" s="132"/>
      <c r="G297" s="94"/>
      <c r="H297" s="132"/>
      <c r="I297" s="94"/>
      <c r="J297" s="94"/>
      <c r="K297" s="125"/>
      <c r="L297" s="125"/>
      <c r="M297" s="99"/>
      <c r="N297" s="111"/>
      <c r="O297" s="112"/>
      <c r="P297" s="94"/>
      <c r="Q297" s="120"/>
      <c r="R297" s="113"/>
      <c r="S297" s="94"/>
      <c r="T297" s="94"/>
      <c r="V297" s="104"/>
    </row>
    <row r="298" ht="15.75" customHeight="1">
      <c r="A298" s="91"/>
      <c r="B298" s="131"/>
      <c r="C298" s="132"/>
      <c r="D298" s="94"/>
      <c r="E298" s="132"/>
      <c r="F298" s="132"/>
      <c r="G298" s="94"/>
      <c r="H298" s="132"/>
      <c r="I298" s="94"/>
      <c r="J298" s="94"/>
      <c r="K298" s="126"/>
      <c r="L298" s="126"/>
      <c r="M298" s="99"/>
      <c r="N298" s="111"/>
      <c r="O298" s="112"/>
      <c r="P298" s="94"/>
      <c r="Q298" s="120"/>
      <c r="R298" s="113"/>
      <c r="S298" s="94"/>
      <c r="T298" s="94"/>
      <c r="V298" s="104"/>
    </row>
    <row r="299" ht="15.75" customHeight="1">
      <c r="A299" s="91"/>
      <c r="B299" s="131"/>
      <c r="C299" s="132"/>
      <c r="D299" s="94"/>
      <c r="E299" s="132"/>
      <c r="F299" s="132"/>
      <c r="G299" s="94"/>
      <c r="H299" s="132"/>
      <c r="I299" s="94"/>
      <c r="J299" s="94"/>
      <c r="K299" s="125"/>
      <c r="L299" s="125"/>
      <c r="M299" s="99"/>
      <c r="N299" s="111"/>
      <c r="O299" s="112"/>
      <c r="P299" s="94"/>
      <c r="Q299" s="120"/>
      <c r="R299" s="113"/>
      <c r="S299" s="94"/>
      <c r="T299" s="94"/>
      <c r="V299" s="104"/>
    </row>
    <row r="300" ht="15.75" customHeight="1">
      <c r="A300" s="91"/>
      <c r="B300" s="131"/>
      <c r="C300" s="132"/>
      <c r="D300" s="94"/>
      <c r="E300" s="132"/>
      <c r="F300" s="132"/>
      <c r="G300" s="94"/>
      <c r="H300" s="132"/>
      <c r="I300" s="94"/>
      <c r="J300" s="94"/>
      <c r="K300" s="126"/>
      <c r="L300" s="126"/>
      <c r="M300" s="99"/>
      <c r="N300" s="111"/>
      <c r="O300" s="112"/>
      <c r="P300" s="94"/>
      <c r="Q300" s="120"/>
      <c r="R300" s="113"/>
      <c r="S300" s="94"/>
      <c r="T300" s="94"/>
      <c r="V300" s="104"/>
    </row>
    <row r="301" ht="15.75" customHeight="1">
      <c r="A301" s="91"/>
      <c r="B301" s="131"/>
      <c r="C301" s="104"/>
      <c r="D301" s="94"/>
      <c r="E301" s="132"/>
      <c r="F301" s="132"/>
      <c r="G301" s="94"/>
      <c r="H301" s="132"/>
      <c r="I301" s="94"/>
      <c r="J301" s="94"/>
      <c r="K301" s="125"/>
      <c r="L301" s="125"/>
      <c r="M301" s="99"/>
      <c r="N301" s="111"/>
      <c r="O301" s="112"/>
      <c r="P301" s="94"/>
      <c r="Q301" s="120"/>
      <c r="R301" s="113"/>
      <c r="S301" s="94"/>
      <c r="T301" s="94"/>
      <c r="V301" s="104"/>
    </row>
    <row r="302" ht="15.75" customHeight="1">
      <c r="A302" s="91"/>
      <c r="B302" s="131"/>
      <c r="C302" s="132"/>
      <c r="D302" s="94"/>
      <c r="E302" s="132"/>
      <c r="F302" s="132"/>
      <c r="G302" s="94"/>
      <c r="H302" s="132"/>
      <c r="I302" s="94"/>
      <c r="J302" s="94"/>
      <c r="K302" s="126"/>
      <c r="L302" s="126"/>
      <c r="M302" s="99"/>
      <c r="N302" s="111"/>
      <c r="O302" s="112"/>
      <c r="P302" s="94"/>
      <c r="Q302" s="120"/>
      <c r="R302" s="113"/>
      <c r="S302" s="94"/>
      <c r="T302" s="94"/>
      <c r="V302" s="104"/>
    </row>
    <row r="303" ht="15.75" customHeight="1">
      <c r="A303" s="91"/>
      <c r="B303" s="131"/>
      <c r="C303" s="132"/>
      <c r="D303" s="94"/>
      <c r="E303" s="132"/>
      <c r="F303" s="132"/>
      <c r="G303" s="94"/>
      <c r="H303" s="132"/>
      <c r="I303" s="94"/>
      <c r="J303" s="94"/>
      <c r="K303" s="125"/>
      <c r="L303" s="125"/>
      <c r="M303" s="99"/>
      <c r="N303" s="111"/>
      <c r="O303" s="112"/>
      <c r="P303" s="94"/>
      <c r="Q303" s="120"/>
      <c r="R303" s="113"/>
      <c r="S303" s="94"/>
      <c r="T303" s="94"/>
      <c r="V303" s="104"/>
    </row>
    <row r="304" ht="15.75" customHeight="1">
      <c r="A304" s="91"/>
      <c r="B304" s="131"/>
      <c r="C304" s="132"/>
      <c r="D304" s="94"/>
      <c r="E304" s="132"/>
      <c r="F304" s="132"/>
      <c r="G304" s="94"/>
      <c r="H304" s="132"/>
      <c r="I304" s="94"/>
      <c r="J304" s="94"/>
      <c r="K304" s="126"/>
      <c r="L304" s="126"/>
      <c r="M304" s="99"/>
      <c r="N304" s="111"/>
      <c r="O304" s="112"/>
      <c r="P304" s="94"/>
      <c r="Q304" s="120"/>
      <c r="R304" s="113"/>
      <c r="S304" s="94"/>
      <c r="T304" s="94"/>
      <c r="V304" s="104"/>
    </row>
    <row r="305" ht="15.75" customHeight="1">
      <c r="A305" s="91"/>
      <c r="B305" s="131"/>
      <c r="C305" s="132"/>
      <c r="D305" s="94"/>
      <c r="E305" s="132"/>
      <c r="F305" s="132"/>
      <c r="G305" s="94"/>
      <c r="H305" s="132"/>
      <c r="I305" s="94"/>
      <c r="J305" s="94"/>
      <c r="K305" s="125"/>
      <c r="L305" s="125"/>
      <c r="M305" s="99"/>
      <c r="N305" s="111"/>
      <c r="O305" s="112"/>
      <c r="P305" s="94"/>
      <c r="Q305" s="120"/>
      <c r="R305" s="113"/>
      <c r="S305" s="94"/>
      <c r="T305" s="94"/>
      <c r="V305" s="104"/>
    </row>
    <row r="306" ht="15.75" customHeight="1">
      <c r="A306" s="91"/>
      <c r="B306" s="131"/>
      <c r="C306" s="132"/>
      <c r="D306" s="94"/>
      <c r="E306" s="132"/>
      <c r="F306" s="132"/>
      <c r="G306" s="94"/>
      <c r="H306" s="132"/>
      <c r="I306" s="94"/>
      <c r="J306" s="94"/>
      <c r="K306" s="126"/>
      <c r="L306" s="126"/>
      <c r="M306" s="99"/>
      <c r="N306" s="111"/>
      <c r="O306" s="112"/>
      <c r="P306" s="94"/>
      <c r="Q306" s="120"/>
      <c r="R306" s="113"/>
      <c r="S306" s="94"/>
      <c r="T306" s="94"/>
      <c r="V306" s="104"/>
    </row>
    <row r="307" ht="15.75" customHeight="1">
      <c r="A307" s="91"/>
      <c r="B307" s="131"/>
      <c r="C307" s="104"/>
      <c r="D307" s="94"/>
      <c r="E307" s="132"/>
      <c r="F307" s="132"/>
      <c r="G307" s="94"/>
      <c r="H307" s="132"/>
      <c r="I307" s="94"/>
      <c r="J307" s="94"/>
      <c r="K307" s="125"/>
      <c r="L307" s="125"/>
      <c r="M307" s="99"/>
      <c r="N307" s="111"/>
      <c r="O307" s="112"/>
      <c r="P307" s="94"/>
      <c r="Q307" s="120"/>
      <c r="R307" s="113"/>
      <c r="S307" s="94"/>
      <c r="T307" s="94"/>
      <c r="V307" s="104"/>
    </row>
    <row r="308" ht="15.75" customHeight="1">
      <c r="A308" s="91"/>
      <c r="B308" s="131"/>
      <c r="C308" s="132"/>
      <c r="D308" s="94"/>
      <c r="E308" s="132"/>
      <c r="F308" s="132"/>
      <c r="G308" s="94"/>
      <c r="H308" s="132"/>
      <c r="I308" s="94"/>
      <c r="J308" s="94"/>
      <c r="K308" s="126"/>
      <c r="L308" s="126"/>
      <c r="M308" s="99"/>
      <c r="N308" s="111"/>
      <c r="O308" s="112"/>
      <c r="P308" s="94"/>
      <c r="Q308" s="120"/>
      <c r="R308" s="113"/>
      <c r="S308" s="94"/>
      <c r="T308" s="94"/>
      <c r="V308" s="104"/>
    </row>
    <row r="309" ht="15.75" customHeight="1">
      <c r="A309" s="91"/>
      <c r="B309" s="131"/>
      <c r="C309" s="132"/>
      <c r="D309" s="94"/>
      <c r="E309" s="132"/>
      <c r="F309" s="132"/>
      <c r="G309" s="94"/>
      <c r="H309" s="132"/>
      <c r="I309" s="94"/>
      <c r="J309" s="94"/>
      <c r="K309" s="125"/>
      <c r="L309" s="125"/>
      <c r="M309" s="99"/>
      <c r="N309" s="111"/>
      <c r="O309" s="112"/>
      <c r="P309" s="94"/>
      <c r="Q309" s="120"/>
      <c r="R309" s="113"/>
      <c r="S309" s="94"/>
      <c r="T309" s="94"/>
      <c r="V309" s="104"/>
    </row>
    <row r="310" ht="15.75" customHeight="1">
      <c r="A310" s="91"/>
      <c r="B310" s="131"/>
      <c r="C310" s="132"/>
      <c r="D310" s="94"/>
      <c r="E310" s="132"/>
      <c r="F310" s="132"/>
      <c r="G310" s="94"/>
      <c r="H310" s="132"/>
      <c r="I310" s="94"/>
      <c r="J310" s="94"/>
      <c r="K310" s="126"/>
      <c r="L310" s="126"/>
      <c r="M310" s="99"/>
      <c r="N310" s="111"/>
      <c r="O310" s="112"/>
      <c r="P310" s="94"/>
      <c r="Q310" s="120"/>
      <c r="R310" s="113"/>
      <c r="S310" s="94"/>
      <c r="T310" s="94"/>
      <c r="V310" s="104"/>
    </row>
    <row r="311" ht="15.75" customHeight="1">
      <c r="A311" s="91"/>
      <c r="B311" s="131"/>
      <c r="C311" s="132"/>
      <c r="D311" s="94"/>
      <c r="E311" s="132"/>
      <c r="F311" s="132"/>
      <c r="G311" s="94"/>
      <c r="H311" s="132"/>
      <c r="I311" s="94"/>
      <c r="J311" s="94"/>
      <c r="K311" s="125"/>
      <c r="L311" s="125"/>
      <c r="M311" s="99"/>
      <c r="N311" s="111"/>
      <c r="O311" s="112"/>
      <c r="P311" s="94"/>
      <c r="Q311" s="120"/>
      <c r="R311" s="113"/>
      <c r="S311" s="94"/>
      <c r="T311" s="94"/>
      <c r="V311" s="104"/>
    </row>
    <row r="312" ht="15.75" customHeight="1">
      <c r="A312" s="91"/>
      <c r="B312" s="131"/>
      <c r="C312" s="132"/>
      <c r="D312" s="94"/>
      <c r="E312" s="132"/>
      <c r="F312" s="132"/>
      <c r="G312" s="94"/>
      <c r="H312" s="132"/>
      <c r="I312" s="94"/>
      <c r="J312" s="94"/>
      <c r="K312" s="126"/>
      <c r="L312" s="126"/>
      <c r="M312" s="99"/>
      <c r="N312" s="111"/>
      <c r="O312" s="112"/>
      <c r="P312" s="94"/>
      <c r="Q312" s="120"/>
      <c r="R312" s="113"/>
      <c r="S312" s="94"/>
      <c r="T312" s="94"/>
      <c r="V312" s="104"/>
    </row>
    <row r="313" ht="15.75" customHeight="1">
      <c r="A313" s="91"/>
      <c r="B313" s="131"/>
      <c r="C313" s="104"/>
      <c r="D313" s="94"/>
      <c r="E313" s="132"/>
      <c r="F313" s="132"/>
      <c r="G313" s="94"/>
      <c r="H313" s="132"/>
      <c r="I313" s="94"/>
      <c r="J313" s="94"/>
      <c r="K313" s="125"/>
      <c r="L313" s="125"/>
      <c r="M313" s="99"/>
      <c r="N313" s="111"/>
      <c r="O313" s="112"/>
      <c r="P313" s="94"/>
      <c r="Q313" s="120"/>
      <c r="R313" s="113"/>
      <c r="S313" s="94"/>
      <c r="T313" s="94"/>
      <c r="V313" s="104"/>
    </row>
    <row r="314" ht="15.75" customHeight="1">
      <c r="A314" s="91"/>
      <c r="B314" s="131"/>
      <c r="C314" s="132"/>
      <c r="D314" s="94"/>
      <c r="E314" s="132"/>
      <c r="F314" s="132"/>
      <c r="G314" s="94"/>
      <c r="H314" s="132"/>
      <c r="I314" s="94"/>
      <c r="J314" s="94"/>
      <c r="K314" s="126"/>
      <c r="L314" s="126"/>
      <c r="M314" s="99"/>
      <c r="N314" s="111"/>
      <c r="O314" s="112"/>
      <c r="P314" s="94"/>
      <c r="Q314" s="120"/>
      <c r="R314" s="113"/>
      <c r="S314" s="94"/>
      <c r="T314" s="94"/>
      <c r="V314" s="104"/>
    </row>
    <row r="315" ht="15.75" customHeight="1">
      <c r="A315" s="91"/>
      <c r="B315" s="131"/>
      <c r="C315" s="132"/>
      <c r="D315" s="94"/>
      <c r="E315" s="132"/>
      <c r="F315" s="132"/>
      <c r="G315" s="94"/>
      <c r="H315" s="132"/>
      <c r="I315" s="94"/>
      <c r="J315" s="94"/>
      <c r="K315" s="125"/>
      <c r="L315" s="125"/>
      <c r="M315" s="99"/>
      <c r="N315" s="111"/>
      <c r="O315" s="112"/>
      <c r="P315" s="94"/>
      <c r="Q315" s="120"/>
      <c r="R315" s="113"/>
      <c r="S315" s="94"/>
      <c r="T315" s="94"/>
      <c r="V315" s="104"/>
    </row>
    <row r="316" ht="15.75" customHeight="1">
      <c r="A316" s="91"/>
      <c r="B316" s="131"/>
      <c r="C316" s="132"/>
      <c r="D316" s="94"/>
      <c r="E316" s="132"/>
      <c r="F316" s="132"/>
      <c r="G316" s="94"/>
      <c r="H316" s="132"/>
      <c r="I316" s="94"/>
      <c r="J316" s="94"/>
      <c r="K316" s="126"/>
      <c r="L316" s="126"/>
      <c r="M316" s="99"/>
      <c r="N316" s="111"/>
      <c r="O316" s="112"/>
      <c r="P316" s="94"/>
      <c r="Q316" s="120"/>
      <c r="R316" s="113"/>
      <c r="S316" s="94"/>
      <c r="T316" s="94"/>
      <c r="V316" s="104"/>
    </row>
    <row r="317" ht="15.75" customHeight="1">
      <c r="A317" s="91"/>
      <c r="B317" s="131"/>
      <c r="C317" s="132"/>
      <c r="D317" s="94"/>
      <c r="E317" s="132"/>
      <c r="F317" s="132"/>
      <c r="G317" s="94"/>
      <c r="H317" s="132"/>
      <c r="I317" s="94"/>
      <c r="J317" s="94"/>
      <c r="K317" s="125"/>
      <c r="L317" s="125"/>
      <c r="M317" s="99"/>
      <c r="N317" s="111"/>
      <c r="O317" s="112"/>
      <c r="P317" s="94"/>
      <c r="Q317" s="120"/>
      <c r="R317" s="113"/>
      <c r="S317" s="94"/>
      <c r="T317" s="94"/>
      <c r="V317" s="104"/>
    </row>
    <row r="318" ht="15.75" customHeight="1">
      <c r="A318" s="91"/>
      <c r="B318" s="131"/>
      <c r="C318" s="132"/>
      <c r="D318" s="94"/>
      <c r="E318" s="132"/>
      <c r="F318" s="132"/>
      <c r="G318" s="94"/>
      <c r="H318" s="132"/>
      <c r="I318" s="94"/>
      <c r="J318" s="94"/>
      <c r="K318" s="126"/>
      <c r="L318" s="126"/>
      <c r="M318" s="99"/>
      <c r="N318" s="111"/>
      <c r="O318" s="112"/>
      <c r="P318" s="94"/>
      <c r="Q318" s="120"/>
      <c r="R318" s="113"/>
      <c r="S318" s="94"/>
      <c r="T318" s="94"/>
      <c r="V318" s="104"/>
    </row>
    <row r="319" ht="15.75" customHeight="1">
      <c r="A319" s="91"/>
      <c r="B319" s="131"/>
      <c r="C319" s="104"/>
      <c r="D319" s="94"/>
      <c r="E319" s="132"/>
      <c r="F319" s="132"/>
      <c r="G319" s="94"/>
      <c r="H319" s="132"/>
      <c r="I319" s="94"/>
      <c r="J319" s="94"/>
      <c r="K319" s="125"/>
      <c r="L319" s="125"/>
      <c r="M319" s="99"/>
      <c r="N319" s="111"/>
      <c r="O319" s="112"/>
      <c r="P319" s="94"/>
      <c r="Q319" s="120"/>
      <c r="R319" s="113"/>
      <c r="S319" s="94"/>
      <c r="T319" s="94"/>
      <c r="V319" s="104"/>
    </row>
    <row r="320" ht="15.75" customHeight="1">
      <c r="A320" s="91"/>
      <c r="B320" s="131"/>
      <c r="C320" s="132"/>
      <c r="D320" s="94"/>
      <c r="E320" s="132"/>
      <c r="F320" s="132"/>
      <c r="G320" s="94"/>
      <c r="H320" s="132"/>
      <c r="I320" s="94"/>
      <c r="J320" s="94"/>
      <c r="K320" s="126"/>
      <c r="L320" s="126"/>
      <c r="M320" s="99"/>
      <c r="N320" s="111"/>
      <c r="O320" s="112"/>
      <c r="P320" s="94"/>
      <c r="Q320" s="120"/>
      <c r="R320" s="113"/>
      <c r="S320" s="94"/>
      <c r="T320" s="94"/>
      <c r="V320" s="104"/>
    </row>
    <row r="321" ht="15.75" customHeight="1">
      <c r="A321" s="91"/>
      <c r="B321" s="131"/>
      <c r="C321" s="132"/>
      <c r="D321" s="94"/>
      <c r="E321" s="132"/>
      <c r="F321" s="132"/>
      <c r="G321" s="94"/>
      <c r="H321" s="132"/>
      <c r="I321" s="94"/>
      <c r="J321" s="94"/>
      <c r="K321" s="125"/>
      <c r="L321" s="125"/>
      <c r="M321" s="99"/>
      <c r="N321" s="111"/>
      <c r="O321" s="112"/>
      <c r="P321" s="94"/>
      <c r="Q321" s="120"/>
      <c r="R321" s="113"/>
      <c r="S321" s="94"/>
      <c r="T321" s="94"/>
      <c r="V321" s="104"/>
    </row>
    <row r="322" ht="15.75" customHeight="1">
      <c r="A322" s="91"/>
      <c r="B322" s="131"/>
      <c r="C322" s="132"/>
      <c r="D322" s="94"/>
      <c r="E322" s="132"/>
      <c r="F322" s="132"/>
      <c r="G322" s="94"/>
      <c r="H322" s="132"/>
      <c r="I322" s="94"/>
      <c r="J322" s="94"/>
      <c r="K322" s="126"/>
      <c r="L322" s="126"/>
      <c r="M322" s="99"/>
      <c r="N322" s="111"/>
      <c r="O322" s="112"/>
      <c r="P322" s="94"/>
      <c r="Q322" s="120"/>
      <c r="R322" s="113"/>
      <c r="S322" s="94"/>
      <c r="T322" s="94"/>
      <c r="V322" s="104"/>
    </row>
    <row r="323" ht="15.75" customHeight="1">
      <c r="A323" s="91"/>
      <c r="B323" s="131"/>
      <c r="C323" s="132"/>
      <c r="D323" s="94"/>
      <c r="E323" s="132"/>
      <c r="F323" s="132"/>
      <c r="G323" s="94"/>
      <c r="H323" s="132"/>
      <c r="I323" s="94"/>
      <c r="J323" s="94"/>
      <c r="K323" s="125"/>
      <c r="L323" s="125"/>
      <c r="M323" s="99"/>
      <c r="N323" s="111"/>
      <c r="O323" s="112"/>
      <c r="P323" s="94"/>
      <c r="Q323" s="120"/>
      <c r="R323" s="113"/>
      <c r="S323" s="94"/>
      <c r="T323" s="94"/>
      <c r="V323" s="104"/>
    </row>
    <row r="324" ht="15.75" customHeight="1">
      <c r="A324" s="91"/>
      <c r="B324" s="131"/>
      <c r="C324" s="132"/>
      <c r="D324" s="94"/>
      <c r="E324" s="132"/>
      <c r="F324" s="132"/>
      <c r="G324" s="94"/>
      <c r="H324" s="132"/>
      <c r="I324" s="94"/>
      <c r="J324" s="94"/>
      <c r="K324" s="126"/>
      <c r="L324" s="126"/>
      <c r="M324" s="99"/>
      <c r="N324" s="111"/>
      <c r="O324" s="112"/>
      <c r="P324" s="94"/>
      <c r="Q324" s="120"/>
      <c r="R324" s="113"/>
      <c r="S324" s="94"/>
      <c r="T324" s="94"/>
      <c r="V324" s="104"/>
    </row>
    <row r="325" ht="15.75" customHeight="1">
      <c r="A325" s="91"/>
      <c r="B325" s="131"/>
      <c r="C325" s="104"/>
      <c r="D325" s="94"/>
      <c r="E325" s="132"/>
      <c r="F325" s="132"/>
      <c r="G325" s="94"/>
      <c r="H325" s="132"/>
      <c r="I325" s="94"/>
      <c r="J325" s="94"/>
      <c r="K325" s="125"/>
      <c r="L325" s="125"/>
      <c r="M325" s="99"/>
      <c r="N325" s="111"/>
      <c r="O325" s="112"/>
      <c r="P325" s="94"/>
      <c r="Q325" s="120"/>
      <c r="R325" s="113"/>
      <c r="S325" s="94"/>
      <c r="T325" s="94"/>
      <c r="V325" s="104"/>
    </row>
    <row r="326" ht="15.75" customHeight="1">
      <c r="A326" s="91"/>
      <c r="B326" s="131"/>
      <c r="C326" s="132"/>
      <c r="D326" s="94"/>
      <c r="E326" s="132"/>
      <c r="F326" s="132"/>
      <c r="G326" s="94"/>
      <c r="H326" s="132"/>
      <c r="I326" s="94"/>
      <c r="J326" s="94"/>
      <c r="K326" s="126"/>
      <c r="L326" s="126"/>
      <c r="M326" s="99"/>
      <c r="N326" s="111"/>
      <c r="O326" s="112"/>
      <c r="P326" s="94"/>
      <c r="Q326" s="120"/>
      <c r="R326" s="113"/>
      <c r="S326" s="94"/>
      <c r="T326" s="94"/>
      <c r="V326" s="104"/>
    </row>
    <row r="327" ht="15.75" customHeight="1">
      <c r="A327" s="91"/>
      <c r="B327" s="131"/>
      <c r="C327" s="132"/>
      <c r="D327" s="94"/>
      <c r="E327" s="132"/>
      <c r="F327" s="132"/>
      <c r="G327" s="94"/>
      <c r="H327" s="132"/>
      <c r="I327" s="94"/>
      <c r="J327" s="94"/>
      <c r="K327" s="125"/>
      <c r="L327" s="125"/>
      <c r="M327" s="99"/>
      <c r="N327" s="111"/>
      <c r="O327" s="112"/>
      <c r="P327" s="94"/>
      <c r="Q327" s="120"/>
      <c r="R327" s="113"/>
      <c r="S327" s="94"/>
      <c r="T327" s="94"/>
      <c r="V327" s="104"/>
    </row>
    <row r="328" ht="15.75" customHeight="1">
      <c r="A328" s="91"/>
      <c r="B328" s="131"/>
      <c r="C328" s="132"/>
      <c r="D328" s="94"/>
      <c r="E328" s="132"/>
      <c r="F328" s="132"/>
      <c r="G328" s="94"/>
      <c r="H328" s="132"/>
      <c r="I328" s="94"/>
      <c r="J328" s="94"/>
      <c r="K328" s="126"/>
      <c r="L328" s="126"/>
      <c r="M328" s="99"/>
      <c r="N328" s="111"/>
      <c r="O328" s="112"/>
      <c r="P328" s="94"/>
      <c r="Q328" s="120"/>
      <c r="R328" s="113"/>
      <c r="S328" s="94"/>
      <c r="T328" s="94"/>
      <c r="V328" s="104"/>
    </row>
    <row r="329" ht="15.75" customHeight="1">
      <c r="A329" s="91"/>
      <c r="B329" s="131"/>
      <c r="C329" s="132"/>
      <c r="D329" s="94"/>
      <c r="E329" s="132"/>
      <c r="F329" s="132"/>
      <c r="G329" s="94"/>
      <c r="H329" s="132"/>
      <c r="I329" s="94"/>
      <c r="J329" s="94"/>
      <c r="K329" s="125"/>
      <c r="L329" s="125"/>
      <c r="M329" s="99"/>
      <c r="N329" s="111"/>
      <c r="O329" s="112"/>
      <c r="P329" s="94"/>
      <c r="Q329" s="120"/>
      <c r="R329" s="113"/>
      <c r="S329" s="94"/>
      <c r="T329" s="94"/>
      <c r="V329" s="104"/>
    </row>
    <row r="330" ht="15.75" customHeight="1">
      <c r="A330" s="91"/>
      <c r="B330" s="131"/>
      <c r="C330" s="132"/>
      <c r="D330" s="94"/>
      <c r="E330" s="132"/>
      <c r="F330" s="132"/>
      <c r="G330" s="94"/>
      <c r="H330" s="132"/>
      <c r="I330" s="94"/>
      <c r="J330" s="94"/>
      <c r="K330" s="126"/>
      <c r="L330" s="126"/>
      <c r="M330" s="99"/>
      <c r="N330" s="111"/>
      <c r="O330" s="112"/>
      <c r="P330" s="94"/>
      <c r="Q330" s="120"/>
      <c r="R330" s="113"/>
      <c r="S330" s="94"/>
      <c r="T330" s="94"/>
      <c r="V330" s="104"/>
    </row>
    <row r="331" ht="15.75" customHeight="1">
      <c r="A331" s="91"/>
      <c r="B331" s="131"/>
      <c r="C331" s="104"/>
      <c r="D331" s="94"/>
      <c r="E331" s="132"/>
      <c r="F331" s="132"/>
      <c r="G331" s="94"/>
      <c r="H331" s="132"/>
      <c r="I331" s="94"/>
      <c r="J331" s="94"/>
      <c r="K331" s="125"/>
      <c r="L331" s="125"/>
      <c r="M331" s="99"/>
      <c r="N331" s="111"/>
      <c r="O331" s="112"/>
      <c r="P331" s="94"/>
      <c r="Q331" s="120"/>
      <c r="R331" s="113"/>
      <c r="S331" s="94"/>
      <c r="T331" s="94"/>
      <c r="V331" s="104"/>
    </row>
    <row r="332" ht="15.75" customHeight="1">
      <c r="A332" s="91"/>
      <c r="B332" s="131"/>
      <c r="C332" s="132"/>
      <c r="D332" s="94"/>
      <c r="E332" s="132"/>
      <c r="F332" s="132"/>
      <c r="G332" s="94"/>
      <c r="H332" s="132"/>
      <c r="I332" s="94"/>
      <c r="J332" s="94"/>
      <c r="K332" s="126"/>
      <c r="L332" s="126"/>
      <c r="M332" s="99"/>
      <c r="N332" s="111"/>
      <c r="O332" s="112"/>
      <c r="P332" s="94"/>
      <c r="Q332" s="120"/>
      <c r="R332" s="113"/>
      <c r="S332" s="94"/>
      <c r="T332" s="94"/>
      <c r="V332" s="104"/>
    </row>
    <row r="333" ht="15.75" customHeight="1">
      <c r="A333" s="91"/>
      <c r="B333" s="131"/>
      <c r="C333" s="132"/>
      <c r="D333" s="94"/>
      <c r="E333" s="132"/>
      <c r="F333" s="132"/>
      <c r="G333" s="94"/>
      <c r="H333" s="132"/>
      <c r="I333" s="94"/>
      <c r="J333" s="94"/>
      <c r="K333" s="125"/>
      <c r="L333" s="125"/>
      <c r="M333" s="99"/>
      <c r="N333" s="111"/>
      <c r="O333" s="112"/>
      <c r="P333" s="94"/>
      <c r="Q333" s="120"/>
      <c r="R333" s="113"/>
      <c r="S333" s="94"/>
      <c r="T333" s="94"/>
      <c r="V333" s="104"/>
    </row>
    <row r="334" ht="15.75" customHeight="1">
      <c r="A334" s="91"/>
      <c r="B334" s="131"/>
      <c r="C334" s="132"/>
      <c r="D334" s="94"/>
      <c r="E334" s="132"/>
      <c r="F334" s="132"/>
      <c r="G334" s="94"/>
      <c r="H334" s="132"/>
      <c r="I334" s="94"/>
      <c r="J334" s="94"/>
      <c r="K334" s="126"/>
      <c r="L334" s="126"/>
      <c r="M334" s="99"/>
      <c r="N334" s="111"/>
      <c r="O334" s="112"/>
      <c r="P334" s="94"/>
      <c r="Q334" s="120"/>
      <c r="R334" s="113"/>
      <c r="S334" s="94"/>
      <c r="T334" s="94"/>
      <c r="V334" s="104"/>
    </row>
    <row r="335" ht="15.75" customHeight="1">
      <c r="A335" s="91"/>
      <c r="B335" s="131"/>
      <c r="C335" s="132"/>
      <c r="D335" s="94"/>
      <c r="E335" s="132"/>
      <c r="F335" s="132"/>
      <c r="G335" s="94"/>
      <c r="H335" s="132"/>
      <c r="I335" s="94"/>
      <c r="J335" s="94"/>
      <c r="K335" s="125"/>
      <c r="L335" s="125"/>
      <c r="M335" s="99"/>
      <c r="N335" s="111"/>
      <c r="O335" s="112"/>
      <c r="P335" s="94"/>
      <c r="Q335" s="120"/>
      <c r="R335" s="113"/>
      <c r="S335" s="94"/>
      <c r="T335" s="94"/>
      <c r="V335" s="104"/>
    </row>
    <row r="336" ht="15.75" customHeight="1">
      <c r="A336" s="91"/>
      <c r="B336" s="131"/>
      <c r="C336" s="132"/>
      <c r="D336" s="94"/>
      <c r="E336" s="132"/>
      <c r="F336" s="132"/>
      <c r="G336" s="94"/>
      <c r="H336" s="132"/>
      <c r="I336" s="94"/>
      <c r="J336" s="94"/>
      <c r="K336" s="126"/>
      <c r="L336" s="126"/>
      <c r="M336" s="99"/>
      <c r="N336" s="111"/>
      <c r="O336" s="112"/>
      <c r="P336" s="94"/>
      <c r="Q336" s="120"/>
      <c r="R336" s="113"/>
      <c r="S336" s="94"/>
      <c r="T336" s="94"/>
      <c r="V336" s="104"/>
    </row>
    <row r="337" ht="15.75" customHeight="1">
      <c r="A337" s="91"/>
      <c r="B337" s="131"/>
      <c r="C337" s="104"/>
      <c r="D337" s="94"/>
      <c r="E337" s="132"/>
      <c r="F337" s="132"/>
      <c r="G337" s="94"/>
      <c r="H337" s="132"/>
      <c r="I337" s="94"/>
      <c r="J337" s="94"/>
      <c r="K337" s="125"/>
      <c r="L337" s="125"/>
      <c r="M337" s="99"/>
      <c r="N337" s="111"/>
      <c r="O337" s="112"/>
      <c r="P337" s="94"/>
      <c r="Q337" s="120"/>
      <c r="R337" s="113"/>
      <c r="S337" s="94"/>
      <c r="T337" s="94"/>
      <c r="V337" s="104"/>
    </row>
    <row r="338" ht="15.75" customHeight="1">
      <c r="A338" s="91"/>
      <c r="B338" s="131"/>
      <c r="C338" s="132"/>
      <c r="D338" s="94"/>
      <c r="E338" s="132"/>
      <c r="F338" s="132"/>
      <c r="G338" s="94"/>
      <c r="H338" s="132"/>
      <c r="I338" s="94"/>
      <c r="J338" s="94"/>
      <c r="K338" s="126"/>
      <c r="L338" s="126"/>
      <c r="M338" s="99"/>
      <c r="N338" s="111"/>
      <c r="O338" s="112"/>
      <c r="P338" s="94"/>
      <c r="Q338" s="120"/>
      <c r="R338" s="113"/>
      <c r="S338" s="94"/>
      <c r="T338" s="94"/>
      <c r="V338" s="104"/>
    </row>
    <row r="339" ht="15.75" customHeight="1">
      <c r="A339" s="91"/>
      <c r="B339" s="131"/>
      <c r="C339" s="132"/>
      <c r="D339" s="94"/>
      <c r="E339" s="132"/>
      <c r="F339" s="132"/>
      <c r="G339" s="94"/>
      <c r="H339" s="132"/>
      <c r="I339" s="94"/>
      <c r="J339" s="94"/>
      <c r="K339" s="125"/>
      <c r="L339" s="125"/>
      <c r="M339" s="99"/>
      <c r="N339" s="111"/>
      <c r="O339" s="112"/>
      <c r="P339" s="94"/>
      <c r="Q339" s="120"/>
      <c r="R339" s="113"/>
      <c r="S339" s="94"/>
      <c r="T339" s="94"/>
      <c r="V339" s="104"/>
    </row>
    <row r="340" ht="15.75" customHeight="1">
      <c r="A340" s="91"/>
      <c r="B340" s="131"/>
      <c r="C340" s="132"/>
      <c r="D340" s="94"/>
      <c r="E340" s="132"/>
      <c r="F340" s="132"/>
      <c r="G340" s="94"/>
      <c r="H340" s="132"/>
      <c r="I340" s="94"/>
      <c r="J340" s="94"/>
      <c r="K340" s="126"/>
      <c r="L340" s="126"/>
      <c r="M340" s="99"/>
      <c r="N340" s="111"/>
      <c r="O340" s="112"/>
      <c r="P340" s="94"/>
      <c r="Q340" s="120"/>
      <c r="R340" s="113"/>
      <c r="S340" s="94"/>
      <c r="T340" s="94"/>
      <c r="V340" s="104"/>
    </row>
    <row r="341" ht="15.75" customHeight="1">
      <c r="A341" s="91"/>
      <c r="B341" s="131"/>
      <c r="C341" s="132"/>
      <c r="D341" s="94"/>
      <c r="E341" s="132"/>
      <c r="F341" s="132"/>
      <c r="G341" s="94"/>
      <c r="H341" s="132"/>
      <c r="I341" s="94"/>
      <c r="J341" s="94"/>
      <c r="K341" s="125"/>
      <c r="L341" s="125"/>
      <c r="M341" s="99"/>
      <c r="N341" s="111"/>
      <c r="O341" s="112"/>
      <c r="P341" s="94"/>
      <c r="Q341" s="120"/>
      <c r="R341" s="113"/>
      <c r="S341" s="94"/>
      <c r="T341" s="94"/>
      <c r="V341" s="104"/>
    </row>
    <row r="342" ht="15.75" customHeight="1">
      <c r="A342" s="91"/>
      <c r="B342" s="131"/>
      <c r="C342" s="132"/>
      <c r="D342" s="94"/>
      <c r="E342" s="132"/>
      <c r="F342" s="132"/>
      <c r="G342" s="94"/>
      <c r="H342" s="132"/>
      <c r="I342" s="94"/>
      <c r="J342" s="94"/>
      <c r="K342" s="126"/>
      <c r="L342" s="126"/>
      <c r="M342" s="99"/>
      <c r="N342" s="111"/>
      <c r="O342" s="112"/>
      <c r="P342" s="94"/>
      <c r="Q342" s="120"/>
      <c r="R342" s="113"/>
      <c r="S342" s="94"/>
      <c r="T342" s="94"/>
      <c r="V342" s="104"/>
    </row>
    <row r="343" ht="15.75" customHeight="1">
      <c r="A343" s="91"/>
      <c r="B343" s="131"/>
      <c r="C343" s="104"/>
      <c r="D343" s="94"/>
      <c r="E343" s="132"/>
      <c r="F343" s="132"/>
      <c r="G343" s="94"/>
      <c r="H343" s="132"/>
      <c r="I343" s="94"/>
      <c r="J343" s="94"/>
      <c r="K343" s="125"/>
      <c r="L343" s="125"/>
      <c r="M343" s="99"/>
      <c r="N343" s="111"/>
      <c r="O343" s="112"/>
      <c r="P343" s="94"/>
      <c r="Q343" s="120"/>
      <c r="R343" s="113"/>
      <c r="S343" s="94"/>
      <c r="T343" s="94"/>
      <c r="V343" s="104"/>
    </row>
    <row r="344" ht="15.75" customHeight="1">
      <c r="A344" s="91"/>
      <c r="B344" s="131"/>
      <c r="C344" s="132"/>
      <c r="D344" s="94"/>
      <c r="E344" s="132"/>
      <c r="F344" s="132"/>
      <c r="G344" s="94"/>
      <c r="H344" s="132"/>
      <c r="I344" s="94"/>
      <c r="J344" s="94"/>
      <c r="K344" s="126"/>
      <c r="L344" s="126"/>
      <c r="M344" s="99"/>
      <c r="N344" s="111"/>
      <c r="O344" s="112"/>
      <c r="P344" s="94"/>
      <c r="Q344" s="120"/>
      <c r="R344" s="113"/>
      <c r="S344" s="94"/>
      <c r="T344" s="94"/>
      <c r="V344" s="104"/>
    </row>
    <row r="345" ht="15.75" customHeight="1">
      <c r="A345" s="91"/>
      <c r="B345" s="131"/>
      <c r="C345" s="132"/>
      <c r="D345" s="94"/>
      <c r="E345" s="132"/>
      <c r="F345" s="132"/>
      <c r="G345" s="94"/>
      <c r="H345" s="132"/>
      <c r="I345" s="94"/>
      <c r="J345" s="94"/>
      <c r="K345" s="125"/>
      <c r="L345" s="125"/>
      <c r="M345" s="99"/>
      <c r="N345" s="111"/>
      <c r="O345" s="112"/>
      <c r="P345" s="94"/>
      <c r="Q345" s="120"/>
      <c r="R345" s="113"/>
      <c r="S345" s="94"/>
      <c r="T345" s="94"/>
      <c r="V345" s="104"/>
    </row>
    <row r="346" ht="15.75" customHeight="1">
      <c r="A346" s="91"/>
      <c r="B346" s="131"/>
      <c r="C346" s="132"/>
      <c r="D346" s="94"/>
      <c r="E346" s="132"/>
      <c r="F346" s="132"/>
      <c r="G346" s="94"/>
      <c r="H346" s="132"/>
      <c r="I346" s="94"/>
      <c r="J346" s="94"/>
      <c r="K346" s="126"/>
      <c r="L346" s="126"/>
      <c r="M346" s="99"/>
      <c r="N346" s="111"/>
      <c r="O346" s="112"/>
      <c r="P346" s="94"/>
      <c r="Q346" s="120"/>
      <c r="R346" s="113"/>
      <c r="S346" s="94"/>
      <c r="T346" s="94"/>
      <c r="V346" s="104"/>
    </row>
    <row r="347" ht="15.75" customHeight="1">
      <c r="A347" s="91"/>
      <c r="B347" s="131"/>
      <c r="C347" s="132"/>
      <c r="D347" s="94"/>
      <c r="E347" s="132"/>
      <c r="F347" s="132"/>
      <c r="G347" s="94"/>
      <c r="H347" s="132"/>
      <c r="I347" s="94"/>
      <c r="J347" s="94"/>
      <c r="K347" s="125"/>
      <c r="L347" s="125"/>
      <c r="M347" s="99"/>
      <c r="N347" s="111"/>
      <c r="O347" s="112"/>
      <c r="P347" s="94"/>
      <c r="Q347" s="120"/>
      <c r="R347" s="113"/>
      <c r="S347" s="94"/>
      <c r="T347" s="94"/>
      <c r="V347" s="104"/>
    </row>
    <row r="348" ht="15.75" customHeight="1">
      <c r="A348" s="91"/>
      <c r="B348" s="131"/>
      <c r="C348" s="132"/>
      <c r="D348" s="94"/>
      <c r="E348" s="132"/>
      <c r="F348" s="132"/>
      <c r="G348" s="94"/>
      <c r="H348" s="132"/>
      <c r="I348" s="94"/>
      <c r="J348" s="94"/>
      <c r="K348" s="126"/>
      <c r="L348" s="126"/>
      <c r="M348" s="99"/>
      <c r="N348" s="111"/>
      <c r="O348" s="112"/>
      <c r="P348" s="94"/>
      <c r="Q348" s="120"/>
      <c r="R348" s="113"/>
      <c r="S348" s="94"/>
      <c r="T348" s="94"/>
      <c r="V348" s="104"/>
    </row>
    <row r="349" ht="15.75" customHeight="1">
      <c r="A349" s="91"/>
      <c r="B349" s="131"/>
      <c r="C349" s="104"/>
      <c r="D349" s="94"/>
      <c r="E349" s="132"/>
      <c r="F349" s="132"/>
      <c r="G349" s="94"/>
      <c r="H349" s="132"/>
      <c r="I349" s="94"/>
      <c r="J349" s="94"/>
      <c r="K349" s="125"/>
      <c r="L349" s="125"/>
      <c r="M349" s="99"/>
      <c r="N349" s="111"/>
      <c r="O349" s="112"/>
      <c r="P349" s="94"/>
      <c r="Q349" s="120"/>
      <c r="R349" s="113"/>
      <c r="S349" s="94"/>
      <c r="T349" s="94"/>
      <c r="V349" s="104"/>
    </row>
    <row r="350" ht="15.75" customHeight="1">
      <c r="A350" s="91"/>
      <c r="B350" s="131"/>
      <c r="C350" s="132"/>
      <c r="D350" s="94"/>
      <c r="E350" s="132"/>
      <c r="F350" s="132"/>
      <c r="G350" s="94"/>
      <c r="H350" s="132"/>
      <c r="I350" s="94"/>
      <c r="J350" s="94"/>
      <c r="K350" s="126"/>
      <c r="L350" s="126"/>
      <c r="M350" s="99"/>
      <c r="N350" s="111"/>
      <c r="O350" s="112"/>
      <c r="P350" s="94"/>
      <c r="Q350" s="120"/>
      <c r="R350" s="113"/>
      <c r="S350" s="94"/>
      <c r="T350" s="94"/>
      <c r="V350" s="104"/>
    </row>
    <row r="351" ht="15.75" customHeight="1">
      <c r="A351" s="91"/>
      <c r="B351" s="131"/>
      <c r="C351" s="132"/>
      <c r="D351" s="94"/>
      <c r="E351" s="132"/>
      <c r="F351" s="132"/>
      <c r="G351" s="94"/>
      <c r="H351" s="132"/>
      <c r="I351" s="94"/>
      <c r="J351" s="94"/>
      <c r="K351" s="125"/>
      <c r="L351" s="125"/>
      <c r="M351" s="99"/>
      <c r="N351" s="111"/>
      <c r="O351" s="112"/>
      <c r="P351" s="94"/>
      <c r="Q351" s="120"/>
      <c r="R351" s="113"/>
      <c r="S351" s="94"/>
      <c r="T351" s="94"/>
      <c r="V351" s="104"/>
    </row>
    <row r="352" ht="15.75" customHeight="1">
      <c r="A352" s="91"/>
      <c r="B352" s="131"/>
      <c r="C352" s="132"/>
      <c r="D352" s="94"/>
      <c r="E352" s="132"/>
      <c r="F352" s="132"/>
      <c r="G352" s="94"/>
      <c r="H352" s="132"/>
      <c r="I352" s="94"/>
      <c r="J352" s="94"/>
      <c r="K352" s="135"/>
      <c r="L352" s="135"/>
      <c r="M352" s="99"/>
      <c r="N352" s="111"/>
      <c r="O352" s="112"/>
      <c r="P352" s="94"/>
      <c r="Q352" s="120"/>
      <c r="R352" s="113"/>
      <c r="S352" s="94"/>
      <c r="T352" s="94"/>
      <c r="V352" s="104"/>
    </row>
    <row r="353" ht="15.75" customHeight="1">
      <c r="A353" s="91"/>
      <c r="B353" s="131"/>
      <c r="C353" s="132"/>
      <c r="D353" s="94"/>
      <c r="E353" s="132"/>
      <c r="F353" s="132"/>
      <c r="G353" s="94"/>
      <c r="H353" s="132"/>
      <c r="I353" s="94"/>
      <c r="J353" s="94"/>
      <c r="K353" s="135"/>
      <c r="L353" s="135"/>
      <c r="M353" s="99"/>
      <c r="N353" s="111"/>
      <c r="O353" s="112"/>
      <c r="P353" s="94"/>
      <c r="Q353" s="120"/>
      <c r="R353" s="113"/>
      <c r="S353" s="94"/>
      <c r="T353" s="94"/>
      <c r="V353" s="104"/>
    </row>
    <row r="354" ht="15.75" customHeight="1">
      <c r="A354" s="91"/>
      <c r="B354" s="131"/>
      <c r="C354" s="132"/>
      <c r="D354" s="94"/>
      <c r="E354" s="132"/>
      <c r="F354" s="132"/>
      <c r="G354" s="94"/>
      <c r="H354" s="132"/>
      <c r="I354" s="94"/>
      <c r="J354" s="94"/>
      <c r="K354" s="135"/>
      <c r="L354" s="135"/>
      <c r="M354" s="99"/>
      <c r="N354" s="111"/>
      <c r="O354" s="112"/>
      <c r="P354" s="94"/>
      <c r="Q354" s="120"/>
      <c r="R354" s="113"/>
      <c r="S354" s="94"/>
      <c r="T354" s="94"/>
      <c r="V354" s="104"/>
    </row>
    <row r="355" ht="15.75" customHeight="1">
      <c r="A355" s="91"/>
      <c r="B355" s="131"/>
      <c r="C355" s="104"/>
      <c r="D355" s="94"/>
      <c r="E355" s="132"/>
      <c r="F355" s="132"/>
      <c r="G355" s="94"/>
      <c r="H355" s="132"/>
      <c r="I355" s="94"/>
      <c r="J355" s="94"/>
      <c r="K355" s="135"/>
      <c r="L355" s="135"/>
      <c r="M355" s="99"/>
      <c r="N355" s="111"/>
      <c r="O355" s="112"/>
      <c r="P355" s="94"/>
      <c r="Q355" s="120"/>
      <c r="R355" s="113"/>
      <c r="S355" s="94"/>
      <c r="T355" s="94"/>
      <c r="V355" s="104"/>
    </row>
    <row r="356" ht="15.75" customHeight="1">
      <c r="A356" s="91"/>
      <c r="B356" s="131"/>
      <c r="C356" s="132"/>
      <c r="D356" s="94"/>
      <c r="E356" s="132"/>
      <c r="F356" s="132"/>
      <c r="G356" s="94"/>
      <c r="H356" s="132"/>
      <c r="I356" s="94"/>
      <c r="J356" s="94"/>
      <c r="K356" s="135"/>
      <c r="L356" s="135"/>
      <c r="M356" s="99"/>
      <c r="N356" s="111"/>
      <c r="O356" s="112"/>
      <c r="P356" s="94"/>
      <c r="Q356" s="120"/>
      <c r="R356" s="113"/>
      <c r="S356" s="94"/>
      <c r="T356" s="94"/>
      <c r="V356" s="104"/>
    </row>
    <row r="357" ht="15.75" customHeight="1">
      <c r="A357" s="91"/>
      <c r="B357" s="131"/>
      <c r="C357" s="132"/>
      <c r="D357" s="94"/>
      <c r="E357" s="132"/>
      <c r="F357" s="132"/>
      <c r="G357" s="94"/>
      <c r="H357" s="132"/>
      <c r="I357" s="94"/>
      <c r="J357" s="94"/>
      <c r="K357" s="135"/>
      <c r="L357" s="135"/>
      <c r="M357" s="99"/>
      <c r="N357" s="111"/>
      <c r="O357" s="112"/>
      <c r="P357" s="94"/>
      <c r="Q357" s="120"/>
      <c r="R357" s="113"/>
      <c r="S357" s="94"/>
      <c r="T357" s="94"/>
      <c r="V357" s="104"/>
    </row>
    <row r="358" ht="15.75" customHeight="1">
      <c r="A358" s="91"/>
      <c r="B358" s="131"/>
      <c r="C358" s="132"/>
      <c r="D358" s="94"/>
      <c r="E358" s="132"/>
      <c r="F358" s="132"/>
      <c r="G358" s="94"/>
      <c r="H358" s="132"/>
      <c r="I358" s="94"/>
      <c r="J358" s="94"/>
      <c r="K358" s="135"/>
      <c r="L358" s="135"/>
      <c r="M358" s="99"/>
      <c r="N358" s="111"/>
      <c r="O358" s="112"/>
      <c r="P358" s="94"/>
      <c r="Q358" s="120"/>
      <c r="R358" s="113"/>
      <c r="S358" s="94"/>
      <c r="T358" s="94"/>
      <c r="V358" s="104"/>
    </row>
    <row r="359" ht="15.75" customHeight="1">
      <c r="A359" s="91"/>
      <c r="B359" s="131"/>
      <c r="C359" s="132"/>
      <c r="D359" s="94"/>
      <c r="E359" s="132"/>
      <c r="F359" s="132"/>
      <c r="G359" s="94"/>
      <c r="H359" s="132"/>
      <c r="I359" s="94"/>
      <c r="J359" s="94"/>
      <c r="K359" s="135"/>
      <c r="L359" s="135"/>
      <c r="M359" s="99"/>
      <c r="N359" s="111"/>
      <c r="O359" s="112"/>
      <c r="P359" s="94"/>
      <c r="Q359" s="120"/>
      <c r="R359" s="113"/>
      <c r="S359" s="94"/>
      <c r="T359" s="94"/>
      <c r="V359" s="104"/>
    </row>
    <row r="360" ht="15.75" customHeight="1">
      <c r="A360" s="91"/>
      <c r="B360" s="131"/>
      <c r="C360" s="132"/>
      <c r="D360" s="94"/>
      <c r="E360" s="132"/>
      <c r="F360" s="132"/>
      <c r="G360" s="94"/>
      <c r="H360" s="132"/>
      <c r="I360" s="94"/>
      <c r="J360" s="94"/>
      <c r="K360" s="135"/>
      <c r="L360" s="135"/>
      <c r="M360" s="99"/>
      <c r="N360" s="111"/>
      <c r="O360" s="112"/>
      <c r="P360" s="94"/>
      <c r="Q360" s="120"/>
      <c r="R360" s="113"/>
      <c r="S360" s="94"/>
      <c r="T360" s="94"/>
      <c r="V360" s="104"/>
    </row>
    <row r="361" ht="15.75" customHeight="1">
      <c r="A361" s="91"/>
      <c r="B361" s="131"/>
      <c r="C361" s="104"/>
      <c r="D361" s="94"/>
      <c r="E361" s="132"/>
      <c r="F361" s="132"/>
      <c r="G361" s="94"/>
      <c r="H361" s="132"/>
      <c r="I361" s="94"/>
      <c r="J361" s="94"/>
      <c r="K361" s="135"/>
      <c r="L361" s="135"/>
      <c r="M361" s="99"/>
      <c r="N361" s="111"/>
      <c r="O361" s="112"/>
      <c r="P361" s="94"/>
      <c r="Q361" s="120"/>
      <c r="R361" s="113"/>
      <c r="S361" s="94"/>
      <c r="T361" s="94"/>
      <c r="V361" s="104"/>
    </row>
    <row r="362" ht="15.75" customHeight="1">
      <c r="A362" s="91"/>
      <c r="B362" s="131"/>
      <c r="C362" s="132"/>
      <c r="D362" s="94"/>
      <c r="E362" s="132"/>
      <c r="F362" s="132"/>
      <c r="G362" s="94"/>
      <c r="H362" s="132"/>
      <c r="I362" s="94"/>
      <c r="J362" s="94"/>
      <c r="K362" s="135"/>
      <c r="L362" s="135"/>
      <c r="M362" s="99"/>
      <c r="N362" s="111"/>
      <c r="O362" s="112"/>
      <c r="P362" s="94"/>
      <c r="Q362" s="120"/>
      <c r="R362" s="113"/>
      <c r="S362" s="94"/>
      <c r="T362" s="94"/>
      <c r="V362" s="104"/>
    </row>
    <row r="363" ht="15.75" customHeight="1">
      <c r="A363" s="91"/>
      <c r="B363" s="131"/>
      <c r="C363" s="132"/>
      <c r="D363" s="94"/>
      <c r="E363" s="132"/>
      <c r="F363" s="132"/>
      <c r="G363" s="94"/>
      <c r="H363" s="132"/>
      <c r="I363" s="94"/>
      <c r="J363" s="94"/>
      <c r="K363" s="135"/>
      <c r="L363" s="135"/>
      <c r="M363" s="99"/>
      <c r="N363" s="111"/>
      <c r="O363" s="112"/>
      <c r="P363" s="94"/>
      <c r="Q363" s="120"/>
      <c r="R363" s="113"/>
      <c r="S363" s="94"/>
      <c r="T363" s="94"/>
      <c r="V363" s="104"/>
    </row>
    <row r="364" ht="15.75" customHeight="1">
      <c r="A364" s="91"/>
      <c r="B364" s="131"/>
      <c r="C364" s="132"/>
      <c r="D364" s="94"/>
      <c r="E364" s="132"/>
      <c r="F364" s="132"/>
      <c r="G364" s="94"/>
      <c r="H364" s="132"/>
      <c r="I364" s="94"/>
      <c r="J364" s="94"/>
      <c r="K364" s="135"/>
      <c r="L364" s="135"/>
      <c r="M364" s="99"/>
      <c r="N364" s="111"/>
      <c r="O364" s="112"/>
      <c r="P364" s="94"/>
      <c r="Q364" s="120"/>
      <c r="R364" s="113"/>
      <c r="S364" s="94"/>
      <c r="T364" s="94"/>
      <c r="V364" s="104"/>
    </row>
    <row r="365" ht="15.75" customHeight="1">
      <c r="A365" s="91"/>
      <c r="B365" s="131"/>
      <c r="C365" s="132"/>
      <c r="D365" s="94"/>
      <c r="E365" s="132"/>
      <c r="F365" s="132"/>
      <c r="G365" s="94"/>
      <c r="H365" s="132"/>
      <c r="I365" s="94"/>
      <c r="J365" s="94"/>
      <c r="K365" s="135"/>
      <c r="L365" s="135"/>
      <c r="M365" s="99"/>
      <c r="N365" s="111"/>
      <c r="O365" s="112"/>
      <c r="P365" s="94"/>
      <c r="Q365" s="120"/>
      <c r="R365" s="113"/>
      <c r="S365" s="94"/>
      <c r="T365" s="94"/>
      <c r="V365" s="104"/>
    </row>
    <row r="366" ht="15.75" customHeight="1">
      <c r="A366" s="91"/>
      <c r="B366" s="131"/>
      <c r="C366" s="132"/>
      <c r="D366" s="94"/>
      <c r="E366" s="132"/>
      <c r="F366" s="132"/>
      <c r="G366" s="94"/>
      <c r="H366" s="132"/>
      <c r="I366" s="94"/>
      <c r="J366" s="94"/>
      <c r="K366" s="135"/>
      <c r="L366" s="135"/>
      <c r="M366" s="99"/>
      <c r="N366" s="111"/>
      <c r="O366" s="112"/>
      <c r="P366" s="94"/>
      <c r="Q366" s="120"/>
      <c r="R366" s="113"/>
      <c r="S366" s="94"/>
      <c r="T366" s="94"/>
      <c r="V366" s="104"/>
    </row>
    <row r="367" ht="15.75" customHeight="1">
      <c r="A367" s="91"/>
      <c r="B367" s="131"/>
      <c r="C367" s="104"/>
      <c r="D367" s="94"/>
      <c r="E367" s="132"/>
      <c r="F367" s="132"/>
      <c r="G367" s="94"/>
      <c r="H367" s="132"/>
      <c r="I367" s="94"/>
      <c r="J367" s="94"/>
      <c r="K367" s="135"/>
      <c r="L367" s="135"/>
      <c r="M367" s="99"/>
      <c r="N367" s="111"/>
      <c r="O367" s="112"/>
      <c r="P367" s="94"/>
      <c r="Q367" s="120"/>
      <c r="R367" s="113"/>
      <c r="S367" s="94"/>
      <c r="T367" s="94"/>
      <c r="V367" s="104"/>
    </row>
    <row r="368" ht="15.75" customHeight="1">
      <c r="A368" s="91"/>
      <c r="B368" s="131"/>
      <c r="C368" s="132"/>
      <c r="D368" s="94"/>
      <c r="E368" s="132"/>
      <c r="F368" s="132"/>
      <c r="G368" s="94"/>
      <c r="H368" s="132"/>
      <c r="I368" s="94"/>
      <c r="J368" s="94"/>
      <c r="K368" s="135"/>
      <c r="L368" s="135"/>
      <c r="M368" s="99"/>
      <c r="N368" s="111"/>
      <c r="O368" s="112"/>
      <c r="P368" s="94"/>
      <c r="Q368" s="120"/>
      <c r="R368" s="113"/>
      <c r="S368" s="94"/>
      <c r="T368" s="94"/>
      <c r="V368" s="104"/>
    </row>
    <row r="369" ht="15.75" customHeight="1">
      <c r="A369" s="91"/>
      <c r="B369" s="131"/>
      <c r="C369" s="132"/>
      <c r="D369" s="94"/>
      <c r="E369" s="132"/>
      <c r="F369" s="132"/>
      <c r="G369" s="94"/>
      <c r="H369" s="132"/>
      <c r="I369" s="94"/>
      <c r="J369" s="94"/>
      <c r="K369" s="135"/>
      <c r="L369" s="135"/>
      <c r="M369" s="99"/>
      <c r="N369" s="111"/>
      <c r="O369" s="112"/>
      <c r="P369" s="94"/>
      <c r="Q369" s="120"/>
      <c r="R369" s="113"/>
      <c r="S369" s="94"/>
      <c r="T369" s="94"/>
      <c r="V369" s="104"/>
    </row>
    <row r="370" ht="15.75" customHeight="1">
      <c r="A370" s="91"/>
      <c r="B370" s="131"/>
      <c r="C370" s="132"/>
      <c r="D370" s="94"/>
      <c r="E370" s="132"/>
      <c r="F370" s="132"/>
      <c r="G370" s="94"/>
      <c r="H370" s="132"/>
      <c r="I370" s="94"/>
      <c r="J370" s="94"/>
      <c r="K370" s="135"/>
      <c r="L370" s="135"/>
      <c r="M370" s="99"/>
      <c r="N370" s="111"/>
      <c r="O370" s="112"/>
      <c r="P370" s="94"/>
      <c r="Q370" s="120"/>
      <c r="R370" s="113"/>
      <c r="S370" s="94"/>
      <c r="T370" s="94"/>
      <c r="V370" s="104"/>
    </row>
    <row r="371" ht="15.75" customHeight="1">
      <c r="A371" s="91"/>
      <c r="B371" s="131"/>
      <c r="C371" s="132"/>
      <c r="D371" s="94"/>
      <c r="E371" s="132"/>
      <c r="F371" s="132"/>
      <c r="G371" s="94"/>
      <c r="H371" s="132"/>
      <c r="I371" s="94"/>
      <c r="J371" s="94"/>
      <c r="K371" s="135"/>
      <c r="L371" s="135"/>
      <c r="M371" s="99"/>
      <c r="N371" s="111"/>
      <c r="O371" s="112"/>
      <c r="P371" s="94"/>
      <c r="Q371" s="120"/>
      <c r="R371" s="113"/>
      <c r="S371" s="94"/>
      <c r="T371" s="94"/>
      <c r="V371" s="104"/>
    </row>
    <row r="372" ht="15.75" customHeight="1">
      <c r="A372" s="91"/>
      <c r="B372" s="131"/>
      <c r="C372" s="132"/>
      <c r="D372" s="94"/>
      <c r="E372" s="132"/>
      <c r="F372" s="132"/>
      <c r="G372" s="94"/>
      <c r="H372" s="132"/>
      <c r="I372" s="94"/>
      <c r="J372" s="94"/>
      <c r="K372" s="135"/>
      <c r="L372" s="135"/>
      <c r="M372" s="99"/>
      <c r="N372" s="111"/>
      <c r="O372" s="112"/>
      <c r="P372" s="94"/>
      <c r="Q372" s="120"/>
      <c r="R372" s="113"/>
      <c r="S372" s="94"/>
      <c r="T372" s="94"/>
      <c r="V372" s="104"/>
    </row>
    <row r="373" ht="15.75" customHeight="1">
      <c r="A373" s="91"/>
      <c r="B373" s="131"/>
      <c r="C373" s="104"/>
      <c r="D373" s="94"/>
      <c r="E373" s="132"/>
      <c r="F373" s="132"/>
      <c r="G373" s="94"/>
      <c r="H373" s="132"/>
      <c r="I373" s="94"/>
      <c r="J373" s="94"/>
      <c r="K373" s="135"/>
      <c r="L373" s="135"/>
      <c r="M373" s="99"/>
      <c r="N373" s="111"/>
      <c r="O373" s="112"/>
      <c r="P373" s="94"/>
      <c r="Q373" s="120"/>
      <c r="R373" s="113"/>
      <c r="S373" s="94"/>
      <c r="T373" s="94"/>
      <c r="V373" s="104"/>
    </row>
    <row r="374" ht="15.75" customHeight="1">
      <c r="A374" s="91"/>
      <c r="B374" s="131"/>
      <c r="C374" s="132"/>
      <c r="D374" s="94"/>
      <c r="E374" s="132"/>
      <c r="F374" s="132"/>
      <c r="G374" s="94"/>
      <c r="H374" s="132"/>
      <c r="I374" s="94"/>
      <c r="J374" s="94"/>
      <c r="K374" s="135"/>
      <c r="L374" s="135"/>
      <c r="M374" s="99"/>
      <c r="N374" s="111"/>
      <c r="O374" s="112"/>
      <c r="P374" s="94"/>
      <c r="Q374" s="120"/>
      <c r="R374" s="113"/>
      <c r="S374" s="94"/>
      <c r="T374" s="94"/>
      <c r="V374" s="104"/>
    </row>
    <row r="375" ht="15.75" customHeight="1">
      <c r="A375" s="91"/>
      <c r="B375" s="131"/>
      <c r="C375" s="132"/>
      <c r="D375" s="94"/>
      <c r="E375" s="132"/>
      <c r="F375" s="132"/>
      <c r="G375" s="94"/>
      <c r="H375" s="132"/>
      <c r="I375" s="94"/>
      <c r="J375" s="94"/>
      <c r="K375" s="135"/>
      <c r="L375" s="135"/>
      <c r="M375" s="99"/>
      <c r="N375" s="111"/>
      <c r="O375" s="112"/>
      <c r="P375" s="94"/>
      <c r="Q375" s="120"/>
      <c r="R375" s="113"/>
      <c r="S375" s="94"/>
      <c r="T375" s="94"/>
      <c r="V375" s="104"/>
    </row>
    <row r="376" ht="15.75" customHeight="1">
      <c r="A376" s="91"/>
      <c r="B376" s="131"/>
      <c r="C376" s="132"/>
      <c r="D376" s="94"/>
      <c r="E376" s="132"/>
      <c r="F376" s="132"/>
      <c r="G376" s="94"/>
      <c r="H376" s="132"/>
      <c r="I376" s="94"/>
      <c r="J376" s="94"/>
      <c r="K376" s="135"/>
      <c r="L376" s="135"/>
      <c r="M376" s="99"/>
      <c r="N376" s="111"/>
      <c r="O376" s="112"/>
      <c r="P376" s="94"/>
      <c r="Q376" s="120"/>
      <c r="R376" s="113"/>
      <c r="S376" s="94"/>
      <c r="T376" s="94"/>
      <c r="V376" s="104"/>
    </row>
    <row r="377" ht="15.75" customHeight="1">
      <c r="A377" s="91"/>
      <c r="B377" s="131"/>
      <c r="C377" s="132"/>
      <c r="D377" s="94"/>
      <c r="E377" s="132"/>
      <c r="F377" s="132"/>
      <c r="G377" s="94"/>
      <c r="H377" s="132"/>
      <c r="I377" s="94"/>
      <c r="J377" s="94"/>
      <c r="K377" s="135"/>
      <c r="L377" s="135"/>
      <c r="M377" s="99"/>
      <c r="N377" s="111"/>
      <c r="O377" s="112"/>
      <c r="P377" s="94"/>
      <c r="Q377" s="120"/>
      <c r="R377" s="113"/>
      <c r="S377" s="94"/>
      <c r="T377" s="94"/>
      <c r="V377" s="104"/>
    </row>
    <row r="378" ht="15.75" customHeight="1">
      <c r="A378" s="91"/>
      <c r="B378" s="131"/>
      <c r="C378" s="132"/>
      <c r="D378" s="94"/>
      <c r="E378" s="132"/>
      <c r="F378" s="132"/>
      <c r="G378" s="94"/>
      <c r="H378" s="132"/>
      <c r="I378" s="94"/>
      <c r="J378" s="94"/>
      <c r="K378" s="135"/>
      <c r="L378" s="135"/>
      <c r="M378" s="99"/>
      <c r="N378" s="111"/>
      <c r="O378" s="112"/>
      <c r="P378" s="94"/>
      <c r="Q378" s="120"/>
      <c r="R378" s="113"/>
      <c r="S378" s="94"/>
      <c r="T378" s="94"/>
      <c r="V378" s="104"/>
    </row>
    <row r="379" ht="15.75" customHeight="1">
      <c r="A379" s="91"/>
      <c r="B379" s="131"/>
      <c r="C379" s="104"/>
      <c r="D379" s="94"/>
      <c r="E379" s="132"/>
      <c r="F379" s="132"/>
      <c r="G379" s="94"/>
      <c r="H379" s="132"/>
      <c r="I379" s="94"/>
      <c r="J379" s="94"/>
      <c r="K379" s="135"/>
      <c r="L379" s="135"/>
      <c r="M379" s="99"/>
      <c r="N379" s="111"/>
      <c r="O379" s="112"/>
      <c r="P379" s="94"/>
      <c r="Q379" s="120"/>
      <c r="R379" s="113"/>
      <c r="S379" s="94"/>
      <c r="T379" s="94"/>
      <c r="V379" s="104"/>
    </row>
    <row r="380" ht="15.75" customHeight="1">
      <c r="A380" s="91"/>
      <c r="B380" s="131"/>
      <c r="C380" s="132"/>
      <c r="D380" s="94"/>
      <c r="E380" s="132"/>
      <c r="F380" s="132"/>
      <c r="G380" s="94"/>
      <c r="H380" s="132"/>
      <c r="I380" s="94"/>
      <c r="J380" s="94"/>
      <c r="K380" s="135"/>
      <c r="L380" s="135"/>
      <c r="M380" s="99"/>
      <c r="N380" s="111"/>
      <c r="O380" s="112"/>
      <c r="P380" s="94"/>
      <c r="Q380" s="120"/>
      <c r="R380" s="113"/>
      <c r="S380" s="94"/>
      <c r="T380" s="94"/>
      <c r="V380" s="104"/>
    </row>
    <row r="381" ht="15.75" customHeight="1">
      <c r="A381" s="91"/>
      <c r="B381" s="131"/>
      <c r="C381" s="132"/>
      <c r="D381" s="94"/>
      <c r="E381" s="132"/>
      <c r="F381" s="132"/>
      <c r="G381" s="94"/>
      <c r="H381" s="132"/>
      <c r="I381" s="94"/>
      <c r="J381" s="94"/>
      <c r="K381" s="135"/>
      <c r="L381" s="135"/>
      <c r="M381" s="99"/>
      <c r="N381" s="111"/>
      <c r="O381" s="112"/>
      <c r="P381" s="94"/>
      <c r="Q381" s="120"/>
      <c r="R381" s="113"/>
      <c r="S381" s="94"/>
      <c r="T381" s="94"/>
      <c r="V381" s="104"/>
    </row>
    <row r="382" ht="15.75" customHeight="1">
      <c r="A382" s="91"/>
      <c r="B382" s="131"/>
      <c r="C382" s="132"/>
      <c r="D382" s="94"/>
      <c r="E382" s="132"/>
      <c r="F382" s="132"/>
      <c r="G382" s="94"/>
      <c r="H382" s="132"/>
      <c r="I382" s="94"/>
      <c r="J382" s="94"/>
      <c r="K382" s="135"/>
      <c r="L382" s="135"/>
      <c r="M382" s="99"/>
      <c r="N382" s="111"/>
      <c r="O382" s="112"/>
      <c r="P382" s="94"/>
      <c r="Q382" s="120"/>
      <c r="R382" s="113"/>
      <c r="S382" s="94"/>
      <c r="T382" s="94"/>
      <c r="V382" s="104"/>
    </row>
    <row r="383" ht="15.75" customHeight="1">
      <c r="A383" s="91"/>
      <c r="B383" s="131"/>
      <c r="C383" s="132"/>
      <c r="D383" s="94"/>
      <c r="E383" s="132"/>
      <c r="F383" s="132"/>
      <c r="G383" s="94"/>
      <c r="H383" s="132"/>
      <c r="I383" s="94"/>
      <c r="J383" s="94"/>
      <c r="K383" s="135"/>
      <c r="L383" s="135"/>
      <c r="M383" s="99"/>
      <c r="N383" s="111"/>
      <c r="O383" s="112"/>
      <c r="P383" s="94"/>
      <c r="Q383" s="120"/>
      <c r="R383" s="113"/>
      <c r="S383" s="94"/>
      <c r="T383" s="94"/>
      <c r="V383" s="104"/>
    </row>
    <row r="384" ht="15.75" customHeight="1">
      <c r="A384" s="91"/>
      <c r="B384" s="131"/>
      <c r="C384" s="132"/>
      <c r="D384" s="94"/>
      <c r="E384" s="132"/>
      <c r="F384" s="132"/>
      <c r="G384" s="94"/>
      <c r="H384" s="132"/>
      <c r="I384" s="94"/>
      <c r="J384" s="94"/>
      <c r="K384" s="135"/>
      <c r="L384" s="135"/>
      <c r="M384" s="99"/>
      <c r="N384" s="111"/>
      <c r="O384" s="112"/>
      <c r="P384" s="94"/>
      <c r="Q384" s="120"/>
      <c r="R384" s="113"/>
      <c r="S384" s="94"/>
      <c r="T384" s="94"/>
      <c r="V384" s="104"/>
    </row>
  </sheetData>
  <autoFilter ref="$A$12:$V$127"/>
  <customSheetViews>
    <customSheetView guid="{FE509773-0638-41EB-A036-A8EE905B9B6D}" filter="1" showAutoFilter="1">
      <autoFilter ref="$R$43:$R$44"/>
    </customSheetView>
  </customSheetViews>
  <mergeCells count="355">
    <mergeCell ref="T11:U11"/>
    <mergeCell ref="T12:U12"/>
    <mergeCell ref="T13:U13"/>
    <mergeCell ref="T14:U14"/>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80:U380"/>
    <mergeCell ref="T381:U381"/>
    <mergeCell ref="T382:U382"/>
    <mergeCell ref="T383:U383"/>
    <mergeCell ref="T384:U384"/>
    <mergeCell ref="T373:U373"/>
    <mergeCell ref="T374:U374"/>
    <mergeCell ref="T375:U375"/>
    <mergeCell ref="T376:U376"/>
    <mergeCell ref="T377:U377"/>
    <mergeCell ref="T378:U378"/>
    <mergeCell ref="T379:U379"/>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 ref="T352:U352"/>
    <mergeCell ref="T353:U353"/>
    <mergeCell ref="T354:U354"/>
    <mergeCell ref="T355:U355"/>
    <mergeCell ref="T356:U356"/>
    <mergeCell ref="T357:U357"/>
    <mergeCell ref="T358:U358"/>
    <mergeCell ref="T359:U359"/>
    <mergeCell ref="T360:U360"/>
    <mergeCell ref="T361:U361"/>
    <mergeCell ref="T362:U362"/>
    <mergeCell ref="T363:U363"/>
    <mergeCell ref="T364:U364"/>
    <mergeCell ref="T365:U365"/>
    <mergeCell ref="T366:U366"/>
    <mergeCell ref="T367:U367"/>
    <mergeCell ref="T368:U368"/>
    <mergeCell ref="T369:U369"/>
    <mergeCell ref="T370:U370"/>
    <mergeCell ref="T371:U371"/>
    <mergeCell ref="T372:U372"/>
  </mergeCells>
  <dataValidations>
    <dataValidation type="list" allowBlank="1" showErrorMessage="1" sqref="N13:N384">
      <formula1>"Think About It,Money,Partner,Time,Fear,Value"</formula1>
    </dataValidation>
    <dataValidation type="list" allowBlank="1" sqref="H15:H96">
      <formula1>"Reschedule,YouTube,YouTube Ads,Email,Facebook,Facebook Ads,Setter"</formula1>
    </dataValidation>
    <dataValidation type="list" allowBlank="1" showErrorMessage="1" sqref="I13:J14 I15:I33 I34:J59 I60 I61:J108 I109:I110 I111:J126 I127:I133 I134:J384">
      <formula1>"Full-Pay,Split-Pay,Deposit,Offer &amp; Didn't Buy,Bad Fit &amp; No Offer,Drag Over &amp; Show,Rescheduled,Cancelled,No-Show"</formula1>
    </dataValidation>
    <dataValidation type="list" allowBlank="1" showErrorMessage="1" sqref="S13:S384">
      <formula1>"Closed,Follow Up,Hot Follow Up,Deposit (Follow Up Set),Follow Up Set,X"</formula1>
    </dataValidation>
    <dataValidation type="list" allowBlank="1" showErrorMessage="1" sqref="J15:J33 J60">
      <formula1>"Full-Pay,Split-Pay,Deposit,Offer &amp; Didn't Buy,Bad Fit &amp; No Offer,Drag Over &amp; Show,Rescheduled,Cancelled,No-Show"</formula1>
    </dataValidation>
    <dataValidation type="list" allowBlank="1" sqref="H13:H14 H97:H384">
      <formula1>"IG,Setter,Ads,Email,Facebook,Facebook Ads"</formula1>
    </dataValidation>
  </dataValidations>
  <hyperlinks>
    <hyperlink r:id="rId2" ref="F13"/>
  </hyperlinks>
  <drawing r:id="rId3"/>
  <legacy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0.38"/>
    <col customWidth="1" min="3" max="3" width="13.38"/>
    <col customWidth="1" min="4" max="4" width="0.38"/>
    <col customWidth="1" min="5" max="5" width="15.13"/>
    <col customWidth="1" min="6" max="6" width="16.38"/>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t="s">
        <v>1300</v>
      </c>
      <c r="B1" s="6" t="s">
        <v>31</v>
      </c>
      <c r="C1" s="6" t="s">
        <v>32</v>
      </c>
      <c r="D1" s="39"/>
      <c r="E1" s="226" t="s">
        <v>1714</v>
      </c>
      <c r="F1" s="39"/>
      <c r="H1" s="40" t="s">
        <v>33</v>
      </c>
      <c r="I1" s="41"/>
      <c r="J1" s="39"/>
      <c r="K1" s="40" t="s">
        <v>34</v>
      </c>
      <c r="L1" s="41"/>
      <c r="M1" s="13"/>
      <c r="N1" s="42" t="s">
        <v>35</v>
      </c>
      <c r="O1" s="43"/>
      <c r="P1" s="13"/>
      <c r="Q1" s="40" t="s">
        <v>36</v>
      </c>
      <c r="R1" s="44"/>
      <c r="S1" s="39"/>
      <c r="T1" s="40" t="s">
        <v>37</v>
      </c>
      <c r="U1" s="45"/>
      <c r="V1" s="39"/>
    </row>
    <row r="2">
      <c r="A2" s="39"/>
      <c r="B2" s="41"/>
      <c r="C2" s="41"/>
      <c r="D2" s="13"/>
      <c r="E2" s="227" t="s">
        <v>1715</v>
      </c>
      <c r="F2" s="228">
        <f>C3/C6</f>
        <v>3726.190476</v>
      </c>
      <c r="H2" s="46" t="s">
        <v>26</v>
      </c>
      <c r="I2" s="47">
        <f>IFERROR(COUNTIFS(I13:I311, "Full-Pay"),"")</f>
        <v>8</v>
      </c>
      <c r="J2" s="13"/>
      <c r="K2" s="48" t="s">
        <v>16</v>
      </c>
      <c r="L2" s="49">
        <f>iferror(L10/L8,"")</f>
        <v>0.3928571429</v>
      </c>
      <c r="M2" s="12"/>
      <c r="N2" s="50" t="s">
        <v>39</v>
      </c>
      <c r="O2" s="51">
        <f>iferror(I8/L6,"")</f>
        <v>0</v>
      </c>
      <c r="P2" s="12"/>
      <c r="Q2" s="52" t="s">
        <v>40</v>
      </c>
      <c r="R2" s="53">
        <f>IFERROR(COUNTIFS(N35:N310, "think about it"),"")</f>
        <v>6</v>
      </c>
      <c r="S2" s="13"/>
      <c r="T2" s="54" t="s">
        <v>41</v>
      </c>
      <c r="U2" s="55">
        <f>IFERROR(COUNTIF(H35:H310,"setter"),"")</f>
        <v>0</v>
      </c>
      <c r="V2" s="58"/>
    </row>
    <row r="3">
      <c r="A3" s="13"/>
      <c r="B3" s="59" t="s">
        <v>43</v>
      </c>
      <c r="C3" s="60">
        <f>IFERROR(SUM(K13:K307),"")</f>
        <v>313000</v>
      </c>
      <c r="D3" s="61"/>
      <c r="E3" s="229" t="s">
        <v>1716</v>
      </c>
      <c r="F3" s="230">
        <f>C4/C6</f>
        <v>1520.238095</v>
      </c>
      <c r="H3" s="46" t="s">
        <v>27</v>
      </c>
      <c r="I3" s="47">
        <f>IFERROR(COUNTIFS(I13:I311, "Split-Pay"),"")</f>
        <v>25</v>
      </c>
      <c r="J3" s="13"/>
      <c r="K3" s="48" t="s">
        <v>17</v>
      </c>
      <c r="L3" s="49">
        <f>IFERROR(L10/L9,"")</f>
        <v>0.3975903614</v>
      </c>
      <c r="M3" s="12"/>
      <c r="N3" s="50" t="s">
        <v>44</v>
      </c>
      <c r="O3" s="51">
        <f>iferror(I9/L6,"")</f>
        <v>0.05769230769</v>
      </c>
      <c r="P3" s="12"/>
      <c r="Q3" s="52" t="s">
        <v>45</v>
      </c>
      <c r="R3" s="62">
        <f>IFERROR(COUNTIFS(N35:N310, "money"),"")</f>
        <v>20</v>
      </c>
      <c r="S3" s="13"/>
      <c r="T3" s="54" t="s">
        <v>46</v>
      </c>
      <c r="U3" s="55">
        <f>IFERROR(COUNTIF(H35:H310,"IG"),"")</f>
        <v>82</v>
      </c>
      <c r="V3" s="58"/>
    </row>
    <row r="4">
      <c r="A4" s="13"/>
      <c r="B4" s="63" t="s">
        <v>48</v>
      </c>
      <c r="C4" s="64">
        <f>IFERROR(SUM(L13:L308),"")</f>
        <v>127700</v>
      </c>
      <c r="D4" s="61"/>
      <c r="E4" s="229" t="s">
        <v>1717</v>
      </c>
      <c r="F4" s="231">
        <f>C4/C3*100</f>
        <v>40.79872204</v>
      </c>
      <c r="H4" s="46" t="s">
        <v>28</v>
      </c>
      <c r="I4" s="47">
        <f>IFERROR(COUNTIFS(I13:I311, "Deposit"),"")</f>
        <v>5</v>
      </c>
      <c r="J4" s="13"/>
      <c r="K4" s="48" t="s">
        <v>18</v>
      </c>
      <c r="L4" s="49">
        <f>IFERROR(L9/L8,"")</f>
        <v>0.9880952381</v>
      </c>
      <c r="M4" s="12"/>
      <c r="N4" s="50" t="s">
        <v>49</v>
      </c>
      <c r="O4" s="51">
        <f>iferror(I10/L6,"")</f>
        <v>0.1346153846</v>
      </c>
      <c r="P4" s="12"/>
      <c r="Q4" s="52" t="s">
        <v>50</v>
      </c>
      <c r="R4" s="53">
        <f>IFERROR(COUNTIFS(N35:N310, "time"),"")</f>
        <v>3</v>
      </c>
      <c r="S4" s="13"/>
      <c r="T4" s="54" t="s">
        <v>51</v>
      </c>
      <c r="U4" s="55">
        <f>IFERROR(COUNTIF(H35:H310,"youtube"),"")</f>
        <v>0</v>
      </c>
      <c r="V4" s="39"/>
    </row>
    <row r="5">
      <c r="A5" s="39"/>
      <c r="B5" s="41"/>
      <c r="C5" s="41"/>
      <c r="D5" s="13"/>
      <c r="E5" s="229" t="s">
        <v>1718</v>
      </c>
      <c r="F5" s="232" t="str">
        <f>I2/C7*100</f>
        <v>#DIV/0!</v>
      </c>
      <c r="H5" s="46" t="s">
        <v>53</v>
      </c>
      <c r="I5" s="47">
        <f>IFERROR(COUNTIFS(I13:I311, "Offer &amp; Didn't Buy"),"")</f>
        <v>45</v>
      </c>
      <c r="J5" s="13"/>
      <c r="K5" s="48" t="s">
        <v>54</v>
      </c>
      <c r="L5" s="49">
        <f>IFERROR(I7/(C6+I7+I8),"")</f>
        <v>0</v>
      </c>
      <c r="M5" s="13"/>
      <c r="N5" s="50" t="s">
        <v>54</v>
      </c>
      <c r="O5" s="51">
        <f>iferror(I7/L6,"")</f>
        <v>0</v>
      </c>
      <c r="P5" s="12"/>
      <c r="Q5" s="52" t="s">
        <v>55</v>
      </c>
      <c r="R5" s="53">
        <f>IFERROR(COUNTIFS(N35:N310, "partner"),"")</f>
        <v>1</v>
      </c>
      <c r="S5" s="13"/>
      <c r="T5" s="56" t="s">
        <v>56</v>
      </c>
      <c r="U5" s="55">
        <f>IFERROR(COUNTIF(H35:H310,"email"),"")</f>
        <v>0</v>
      </c>
      <c r="V5" s="58"/>
    </row>
    <row r="6">
      <c r="A6" s="13"/>
      <c r="B6" s="65" t="s">
        <v>58</v>
      </c>
      <c r="C6" s="66">
        <f>IFERROR(SUM(I2:I6),"")</f>
        <v>84</v>
      </c>
      <c r="D6" s="13"/>
      <c r="E6" s="229" t="s">
        <v>1719</v>
      </c>
      <c r="F6" s="233">
        <f>AVERAGE(Q13:Q104)</f>
        <v>5.793103448</v>
      </c>
      <c r="H6" s="46" t="s">
        <v>59</v>
      </c>
      <c r="I6" s="47">
        <f>IFERROR(COUNTIFS(I13:I311, "Bad Fit &amp; No Offer"),"")</f>
        <v>1</v>
      </c>
      <c r="J6" s="13"/>
      <c r="K6" s="48" t="s">
        <v>21</v>
      </c>
      <c r="L6" s="67">
        <f>IFERROR(SUM(I2:I10),"")</f>
        <v>104</v>
      </c>
      <c r="M6" s="13"/>
      <c r="N6" s="68" t="s">
        <v>29</v>
      </c>
      <c r="O6" s="51">
        <f>iferror(L7/L6,"")</f>
        <v>0.8076923077</v>
      </c>
      <c r="P6" s="12"/>
      <c r="Q6" s="52" t="s">
        <v>60</v>
      </c>
      <c r="R6" s="53">
        <f>IFERROR(COUNTIFS(N35:N310, "fear"),"")</f>
        <v>10</v>
      </c>
      <c r="S6" s="13"/>
      <c r="T6" s="56" t="s">
        <v>61</v>
      </c>
      <c r="U6" s="55">
        <f>IFERROR(COUNTIF(H35:H310,"facebook"),"")</f>
        <v>0</v>
      </c>
      <c r="V6" s="58"/>
    </row>
    <row r="7">
      <c r="A7" s="13"/>
      <c r="B7" s="65" t="s">
        <v>63</v>
      </c>
      <c r="C7" s="256"/>
      <c r="D7" s="13"/>
      <c r="E7" s="229" t="s">
        <v>1720</v>
      </c>
      <c r="F7" s="230" t="str">
        <f>C3/C7</f>
        <v>#DIV/0!</v>
      </c>
      <c r="H7" s="46" t="s">
        <v>64</v>
      </c>
      <c r="I7" s="47">
        <f>IFERROR(COUNTIFS(I13:I311, "Drag Over &amp; Show"),"")</f>
        <v>0</v>
      </c>
      <c r="J7" s="13"/>
      <c r="K7" s="48" t="s">
        <v>22</v>
      </c>
      <c r="L7" s="67">
        <f>IFERROR(SUM(I2:I7),"")</f>
        <v>84</v>
      </c>
      <c r="M7" s="13"/>
      <c r="N7" s="70" t="s">
        <v>30</v>
      </c>
      <c r="O7" s="71">
        <f>IFERROR(L8/L6,"")</f>
        <v>0.8076923077</v>
      </c>
      <c r="P7" s="12"/>
      <c r="Q7" s="72" t="s">
        <v>65</v>
      </c>
      <c r="R7" s="73">
        <f>IFERROR(COUNTIFS(N36:N311, "value"),"")</f>
        <v>1</v>
      </c>
      <c r="S7" s="13"/>
      <c r="T7" s="56" t="s">
        <v>66</v>
      </c>
      <c r="U7" s="55">
        <f>IFERROR(COUNTIF(H35:H310,"facebook ads"),"")</f>
        <v>0</v>
      </c>
      <c r="V7" s="39"/>
    </row>
    <row r="8">
      <c r="A8" s="13"/>
      <c r="B8" s="65" t="s">
        <v>68</v>
      </c>
      <c r="C8" s="81">
        <f>iferror(SUM(C7/C6),"")</f>
        <v>0</v>
      </c>
      <c r="D8" s="75"/>
      <c r="E8" s="229" t="s">
        <v>1721</v>
      </c>
      <c r="F8" s="230" t="str">
        <f>C4/C7</f>
        <v>#DIV/0!</v>
      </c>
      <c r="H8" s="46" t="s">
        <v>69</v>
      </c>
      <c r="I8" s="47">
        <f>IFERROR(COUNTIFS(I13:I311, "Rescheduled"),"")</f>
        <v>0</v>
      </c>
      <c r="J8" s="13"/>
      <c r="K8" s="48" t="s">
        <v>23</v>
      </c>
      <c r="L8" s="67">
        <f>IFERROR(SUM(I2:I6),"")</f>
        <v>84</v>
      </c>
      <c r="M8" s="39"/>
      <c r="N8" s="39"/>
      <c r="O8" s="39"/>
      <c r="P8" s="39"/>
      <c r="Q8" s="39"/>
      <c r="R8" s="76"/>
      <c r="S8" s="13"/>
      <c r="T8" s="77" t="s">
        <v>70</v>
      </c>
      <c r="U8" s="78">
        <f>IFERROR(COUNTIF(H35:H310,T8),"")</f>
        <v>0</v>
      </c>
      <c r="V8" s="39"/>
    </row>
    <row r="9">
      <c r="A9" s="13"/>
      <c r="B9" s="80" t="s">
        <v>72</v>
      </c>
      <c r="C9" s="83"/>
      <c r="D9" s="12"/>
      <c r="E9" s="234"/>
      <c r="F9" s="235"/>
      <c r="H9" s="46" t="s">
        <v>73</v>
      </c>
      <c r="I9" s="47">
        <f>IFERROR(COUNTIFS(I13:I311, "Cancelled"),"")</f>
        <v>6</v>
      </c>
      <c r="J9" s="13"/>
      <c r="K9" s="48" t="s">
        <v>24</v>
      </c>
      <c r="L9" s="67">
        <f>IFERROR(sum(I2:I5),"")</f>
        <v>83</v>
      </c>
      <c r="M9" s="39"/>
      <c r="N9" s="39"/>
      <c r="O9" s="39"/>
      <c r="P9" s="39"/>
      <c r="Q9" s="39"/>
      <c r="R9" s="76"/>
      <c r="S9" s="39"/>
      <c r="T9" s="39"/>
      <c r="U9" s="39"/>
      <c r="V9" s="39"/>
    </row>
    <row r="10">
      <c r="A10" s="39"/>
      <c r="B10" s="82"/>
      <c r="D10" s="13"/>
      <c r="E10" s="236"/>
      <c r="F10" s="237"/>
      <c r="H10" s="84" t="s">
        <v>74</v>
      </c>
      <c r="I10" s="85">
        <f>IFERROR(COUNTIFS(I13:I311, "No-Show"),"")</f>
        <v>14</v>
      </c>
      <c r="J10" s="13"/>
      <c r="K10" s="86" t="s">
        <v>75</v>
      </c>
      <c r="L10" s="87">
        <f>I2+I3</f>
        <v>33</v>
      </c>
      <c r="M10" s="39"/>
      <c r="N10" s="39"/>
      <c r="O10" s="39"/>
      <c r="P10" s="39"/>
      <c r="Q10" s="39"/>
      <c r="R10" s="76"/>
      <c r="S10" s="39"/>
      <c r="T10" s="39"/>
      <c r="U10" s="39"/>
      <c r="V10" s="39"/>
    </row>
    <row r="11" ht="6.0" customHeight="1">
      <c r="A11" s="39"/>
      <c r="B11" s="39"/>
      <c r="C11" s="39"/>
      <c r="D11" s="39"/>
      <c r="E11" s="39"/>
      <c r="F11" s="39"/>
      <c r="G11" s="39"/>
      <c r="H11" s="39"/>
      <c r="I11" s="39"/>
      <c r="J11" s="39"/>
      <c r="K11" s="39"/>
      <c r="L11" s="39"/>
      <c r="M11" s="39"/>
      <c r="N11" s="39"/>
      <c r="O11" s="76"/>
      <c r="P11" s="39"/>
      <c r="Q11" s="39"/>
      <c r="R11" s="39"/>
      <c r="S11" s="39"/>
      <c r="T11" s="39"/>
      <c r="V11" s="39"/>
    </row>
    <row r="12">
      <c r="A12" s="39"/>
      <c r="B12" s="88" t="s">
        <v>76</v>
      </c>
      <c r="C12" s="88" t="s">
        <v>32</v>
      </c>
      <c r="D12" s="39"/>
      <c r="E12" s="6" t="s">
        <v>77</v>
      </c>
      <c r="F12" s="89" t="s">
        <v>78</v>
      </c>
      <c r="G12" s="39"/>
      <c r="H12" s="6" t="s">
        <v>37</v>
      </c>
      <c r="I12" s="6" t="s">
        <v>33</v>
      </c>
      <c r="J12" s="39"/>
      <c r="K12" s="6" t="s">
        <v>79</v>
      </c>
      <c r="L12" s="6" t="s">
        <v>48</v>
      </c>
      <c r="M12" s="39"/>
      <c r="N12" s="6" t="s">
        <v>80</v>
      </c>
      <c r="O12" s="90" t="s">
        <v>81</v>
      </c>
      <c r="P12" s="39"/>
      <c r="Q12" s="6" t="s">
        <v>82</v>
      </c>
      <c r="R12" s="6" t="s">
        <v>83</v>
      </c>
      <c r="S12" s="6" t="s">
        <v>84</v>
      </c>
      <c r="T12" s="6" t="s">
        <v>85</v>
      </c>
      <c r="V12" s="58"/>
    </row>
    <row r="13" ht="15.75" customHeight="1">
      <c r="A13" s="91"/>
      <c r="B13" s="93">
        <v>1.0</v>
      </c>
      <c r="C13" s="93" t="s">
        <v>1122</v>
      </c>
      <c r="D13" s="102" t="s">
        <v>1439</v>
      </c>
      <c r="E13" s="243" t="s">
        <v>1439</v>
      </c>
      <c r="F13" s="139" t="s">
        <v>2248</v>
      </c>
      <c r="G13" s="94"/>
      <c r="H13" s="93" t="s">
        <v>46</v>
      </c>
      <c r="I13" s="102" t="s">
        <v>181</v>
      </c>
      <c r="J13" s="94"/>
      <c r="K13" s="98">
        <v>9000.0</v>
      </c>
      <c r="L13" s="98">
        <v>1500.0</v>
      </c>
      <c r="M13" s="99"/>
      <c r="N13" s="100"/>
      <c r="O13" s="101"/>
      <c r="P13" s="94"/>
      <c r="Q13" s="102">
        <v>6.0</v>
      </c>
      <c r="R13" s="113"/>
      <c r="S13" s="102" t="s">
        <v>105</v>
      </c>
      <c r="T13" s="201" t="s">
        <v>2249</v>
      </c>
      <c r="V13" s="104"/>
    </row>
    <row r="14" ht="15.75" customHeight="1">
      <c r="A14" s="91"/>
      <c r="B14" s="93">
        <v>2.0</v>
      </c>
      <c r="C14" s="93" t="s">
        <v>616</v>
      </c>
      <c r="D14" s="94"/>
      <c r="E14" s="250">
        <v>5.2174755E7</v>
      </c>
      <c r="F14" s="249" t="s">
        <v>2250</v>
      </c>
      <c r="G14" s="94"/>
      <c r="H14" s="93" t="s">
        <v>46</v>
      </c>
      <c r="I14" s="102" t="s">
        <v>88</v>
      </c>
      <c r="J14" s="94"/>
      <c r="K14" s="98"/>
      <c r="L14" s="98"/>
      <c r="M14" s="99"/>
      <c r="N14" s="100" t="s">
        <v>45</v>
      </c>
      <c r="O14" s="101" t="s">
        <v>2251</v>
      </c>
      <c r="P14" s="94"/>
      <c r="Q14" s="102"/>
      <c r="R14" s="113"/>
      <c r="S14" s="102" t="s">
        <v>383</v>
      </c>
      <c r="T14" s="201" t="s">
        <v>2252</v>
      </c>
      <c r="V14" s="104"/>
    </row>
    <row r="15" ht="15.75" customHeight="1">
      <c r="A15" s="91"/>
      <c r="B15" s="93">
        <v>2.0</v>
      </c>
      <c r="C15" s="201" t="s">
        <v>2126</v>
      </c>
      <c r="D15" s="199"/>
      <c r="E15" s="250">
        <v>2.9120286E7</v>
      </c>
      <c r="F15" s="249" t="s">
        <v>2253</v>
      </c>
      <c r="G15" s="199"/>
      <c r="H15" s="93" t="s">
        <v>46</v>
      </c>
      <c r="I15" s="201" t="s">
        <v>88</v>
      </c>
      <c r="J15" s="199"/>
      <c r="K15" s="202"/>
      <c r="L15" s="202"/>
      <c r="M15" s="203"/>
      <c r="N15" s="210" t="s">
        <v>55</v>
      </c>
      <c r="O15" s="211" t="s">
        <v>2254</v>
      </c>
      <c r="P15" s="199"/>
      <c r="Q15" s="201"/>
      <c r="R15" s="206"/>
      <c r="S15" s="201" t="s">
        <v>383</v>
      </c>
      <c r="T15" s="201" t="s">
        <v>2255</v>
      </c>
      <c r="V15" s="104"/>
    </row>
    <row r="16" ht="15.75" customHeight="1">
      <c r="A16" s="91"/>
      <c r="B16" s="93">
        <v>4.0</v>
      </c>
      <c r="C16" s="201" t="s">
        <v>616</v>
      </c>
      <c r="D16" s="199"/>
      <c r="E16" s="139" t="s">
        <v>2256</v>
      </c>
      <c r="F16" s="139" t="s">
        <v>2257</v>
      </c>
      <c r="G16" s="199"/>
      <c r="H16" s="93" t="s">
        <v>46</v>
      </c>
      <c r="I16" s="201" t="s">
        <v>88</v>
      </c>
      <c r="J16" s="199"/>
      <c r="K16" s="202"/>
      <c r="L16" s="202"/>
      <c r="M16" s="203"/>
      <c r="N16" s="210" t="s">
        <v>60</v>
      </c>
      <c r="O16" s="211" t="s">
        <v>1490</v>
      </c>
      <c r="P16" s="199"/>
      <c r="Q16" s="201"/>
      <c r="R16" s="206"/>
      <c r="S16" s="201" t="s">
        <v>124</v>
      </c>
      <c r="T16" s="201" t="s">
        <v>2258</v>
      </c>
      <c r="V16" s="104"/>
    </row>
    <row r="17" ht="15.75" customHeight="1">
      <c r="A17" s="91"/>
      <c r="B17" s="93">
        <v>4.0</v>
      </c>
      <c r="C17" s="201" t="s">
        <v>639</v>
      </c>
      <c r="D17" s="199"/>
      <c r="E17" s="238" t="s">
        <v>1439</v>
      </c>
      <c r="F17" s="249" t="s">
        <v>2259</v>
      </c>
      <c r="G17" s="199"/>
      <c r="H17" s="93" t="s">
        <v>46</v>
      </c>
      <c r="I17" s="201" t="s">
        <v>131</v>
      </c>
      <c r="J17" s="199"/>
      <c r="K17" s="202"/>
      <c r="L17" s="202"/>
      <c r="M17" s="203"/>
      <c r="N17" s="210"/>
      <c r="O17" s="205"/>
      <c r="P17" s="199"/>
      <c r="Q17" s="201"/>
      <c r="R17" s="206"/>
      <c r="S17" s="201"/>
      <c r="T17" s="201"/>
      <c r="V17" s="104"/>
    </row>
    <row r="18" ht="15.75" customHeight="1">
      <c r="A18" s="91"/>
      <c r="B18" s="93">
        <v>4.0</v>
      </c>
      <c r="C18" s="201" t="s">
        <v>639</v>
      </c>
      <c r="D18" s="199"/>
      <c r="E18" s="139" t="s">
        <v>811</v>
      </c>
      <c r="F18" s="139" t="s">
        <v>2260</v>
      </c>
      <c r="G18" s="199"/>
      <c r="H18" s="93" t="s">
        <v>46</v>
      </c>
      <c r="I18" s="201" t="s">
        <v>232</v>
      </c>
      <c r="J18" s="199"/>
      <c r="K18" s="202"/>
      <c r="L18" s="202">
        <v>100.0</v>
      </c>
      <c r="M18" s="203"/>
      <c r="N18" s="210"/>
      <c r="O18" s="205"/>
      <c r="P18" s="199"/>
      <c r="Q18" s="201">
        <v>6.0</v>
      </c>
      <c r="R18" s="206"/>
      <c r="S18" s="201" t="s">
        <v>404</v>
      </c>
      <c r="T18" s="201" t="s">
        <v>2261</v>
      </c>
      <c r="V18" s="104"/>
    </row>
    <row r="19" ht="15.75" customHeight="1">
      <c r="A19" s="91"/>
      <c r="B19" s="93">
        <v>4.0</v>
      </c>
      <c r="C19" s="201" t="s">
        <v>2239</v>
      </c>
      <c r="D19" s="199"/>
      <c r="E19" s="139" t="s">
        <v>2262</v>
      </c>
      <c r="F19" s="139" t="s">
        <v>2263</v>
      </c>
      <c r="G19" s="199"/>
      <c r="H19" s="93" t="s">
        <v>46</v>
      </c>
      <c r="I19" s="201" t="s">
        <v>88</v>
      </c>
      <c r="J19" s="199"/>
      <c r="K19" s="202"/>
      <c r="L19" s="202"/>
      <c r="M19" s="203"/>
      <c r="N19" s="210" t="s">
        <v>45</v>
      </c>
      <c r="O19" s="211" t="s">
        <v>396</v>
      </c>
      <c r="P19" s="199"/>
      <c r="Q19" s="201"/>
      <c r="R19" s="206"/>
      <c r="S19" s="201" t="s">
        <v>383</v>
      </c>
      <c r="T19" s="201" t="s">
        <v>2264</v>
      </c>
      <c r="V19" s="104"/>
    </row>
    <row r="20" ht="15.75" customHeight="1">
      <c r="A20" s="91"/>
      <c r="B20" s="93">
        <v>4.0</v>
      </c>
      <c r="C20" s="201" t="s">
        <v>1210</v>
      </c>
      <c r="D20" s="199"/>
      <c r="E20" s="139" t="s">
        <v>2265</v>
      </c>
      <c r="F20" s="139" t="s">
        <v>2266</v>
      </c>
      <c r="G20" s="199"/>
      <c r="H20" s="93" t="s">
        <v>46</v>
      </c>
      <c r="I20" s="201" t="s">
        <v>181</v>
      </c>
      <c r="J20" s="199"/>
      <c r="K20" s="202">
        <v>10500.0</v>
      </c>
      <c r="L20" s="202">
        <v>3000.0</v>
      </c>
      <c r="M20" s="203"/>
      <c r="N20" s="210"/>
      <c r="O20" s="211"/>
      <c r="P20" s="199"/>
      <c r="Q20" s="201">
        <v>6.0</v>
      </c>
      <c r="R20" s="206"/>
      <c r="S20" s="201" t="s">
        <v>105</v>
      </c>
      <c r="T20" s="201"/>
      <c r="V20" s="104"/>
    </row>
    <row r="21" ht="15.75" customHeight="1">
      <c r="A21" s="91"/>
      <c r="B21" s="93">
        <v>5.0</v>
      </c>
      <c r="C21" s="201" t="s">
        <v>1766</v>
      </c>
      <c r="D21" s="199"/>
      <c r="E21" s="238" t="s">
        <v>2267</v>
      </c>
      <c r="F21" s="139" t="s">
        <v>2268</v>
      </c>
      <c r="G21" s="199"/>
      <c r="H21" s="93" t="s">
        <v>46</v>
      </c>
      <c r="I21" s="201" t="s">
        <v>181</v>
      </c>
      <c r="J21" s="199"/>
      <c r="K21" s="202">
        <v>10500.0</v>
      </c>
      <c r="L21" s="202">
        <v>3000.0</v>
      </c>
      <c r="M21" s="203"/>
      <c r="N21" s="210"/>
      <c r="O21" s="211"/>
      <c r="P21" s="199"/>
      <c r="Q21" s="201">
        <v>6.0</v>
      </c>
      <c r="R21" s="206"/>
      <c r="S21" s="201" t="s">
        <v>105</v>
      </c>
      <c r="T21" s="201"/>
      <c r="V21" s="104"/>
    </row>
    <row r="22" ht="15.75" customHeight="1">
      <c r="A22" s="91"/>
      <c r="B22" s="93">
        <v>5.0</v>
      </c>
      <c r="C22" s="201" t="s">
        <v>2269</v>
      </c>
      <c r="D22" s="199"/>
      <c r="E22" s="139" t="s">
        <v>2270</v>
      </c>
      <c r="F22" s="139" t="s">
        <v>2271</v>
      </c>
      <c r="G22" s="199"/>
      <c r="H22" s="93" t="s">
        <v>46</v>
      </c>
      <c r="I22" s="201" t="s">
        <v>181</v>
      </c>
      <c r="J22" s="199"/>
      <c r="K22" s="202">
        <v>10500.0</v>
      </c>
      <c r="L22" s="202">
        <v>3000.0</v>
      </c>
      <c r="M22" s="203"/>
      <c r="N22" s="210"/>
      <c r="O22" s="205"/>
      <c r="P22" s="199"/>
      <c r="Q22" s="201">
        <v>6.0</v>
      </c>
      <c r="R22" s="206"/>
      <c r="S22" s="201" t="s">
        <v>105</v>
      </c>
      <c r="T22" s="201"/>
      <c r="V22" s="104"/>
    </row>
    <row r="23" ht="15.75" customHeight="1">
      <c r="A23" s="91"/>
      <c r="B23" s="93">
        <v>8.0</v>
      </c>
      <c r="C23" s="201" t="s">
        <v>2272</v>
      </c>
      <c r="D23" s="199"/>
      <c r="E23" s="139" t="s">
        <v>2273</v>
      </c>
      <c r="F23" s="139" t="s">
        <v>2274</v>
      </c>
      <c r="G23" s="199"/>
      <c r="H23" s="93" t="s">
        <v>46</v>
      </c>
      <c r="I23" s="201" t="s">
        <v>88</v>
      </c>
      <c r="J23" s="199"/>
      <c r="K23" s="202"/>
      <c r="L23" s="202"/>
      <c r="M23" s="203"/>
      <c r="N23" s="210" t="s">
        <v>98</v>
      </c>
      <c r="O23" s="211" t="s">
        <v>1295</v>
      </c>
      <c r="P23" s="199"/>
      <c r="Q23" s="201"/>
      <c r="R23" s="206"/>
      <c r="S23" s="201" t="s">
        <v>383</v>
      </c>
      <c r="T23" s="201" t="s">
        <v>2275</v>
      </c>
      <c r="V23" s="104"/>
    </row>
    <row r="24" ht="15.75" customHeight="1">
      <c r="A24" s="91"/>
      <c r="B24" s="93">
        <v>9.0</v>
      </c>
      <c r="C24" s="201" t="s">
        <v>2276</v>
      </c>
      <c r="D24" s="199"/>
      <c r="E24" s="139" t="s">
        <v>2277</v>
      </c>
      <c r="F24" s="139" t="s">
        <v>2278</v>
      </c>
      <c r="G24" s="199"/>
      <c r="H24" s="93" t="s">
        <v>46</v>
      </c>
      <c r="I24" s="201" t="s">
        <v>110</v>
      </c>
      <c r="J24" s="199"/>
      <c r="K24" s="202"/>
      <c r="L24" s="202"/>
      <c r="M24" s="203"/>
      <c r="N24" s="210"/>
      <c r="O24" s="205"/>
      <c r="P24" s="199"/>
      <c r="Q24" s="201"/>
      <c r="R24" s="206"/>
      <c r="S24" s="201"/>
      <c r="T24" s="201" t="s">
        <v>2279</v>
      </c>
      <c r="V24" s="104"/>
    </row>
    <row r="25" ht="15.75" customHeight="1">
      <c r="A25" s="91"/>
      <c r="B25" s="93">
        <v>9.0</v>
      </c>
      <c r="C25" s="201" t="s">
        <v>2280</v>
      </c>
      <c r="D25" s="199"/>
      <c r="E25" s="238" t="s">
        <v>2281</v>
      </c>
      <c r="F25" s="139" t="s">
        <v>2282</v>
      </c>
      <c r="G25" s="199"/>
      <c r="H25" s="93" t="s">
        <v>46</v>
      </c>
      <c r="I25" s="201" t="s">
        <v>181</v>
      </c>
      <c r="J25" s="199"/>
      <c r="K25" s="202">
        <v>10500.0</v>
      </c>
      <c r="L25" s="202">
        <v>3000.0</v>
      </c>
      <c r="M25" s="203"/>
      <c r="N25" s="210"/>
      <c r="O25" s="211"/>
      <c r="P25" s="199"/>
      <c r="Q25" s="201">
        <v>6.0</v>
      </c>
      <c r="R25" s="206"/>
      <c r="S25" s="201" t="s">
        <v>105</v>
      </c>
      <c r="T25" s="201"/>
      <c r="V25" s="104"/>
    </row>
    <row r="26" ht="15.75" customHeight="1">
      <c r="A26" s="91"/>
      <c r="B26" s="93">
        <v>9.0</v>
      </c>
      <c r="C26" s="201" t="s">
        <v>213</v>
      </c>
      <c r="D26" s="199"/>
      <c r="E26" s="139" t="s">
        <v>2283</v>
      </c>
      <c r="F26" s="121" t="s">
        <v>2284</v>
      </c>
      <c r="G26" s="199"/>
      <c r="H26" s="93" t="s">
        <v>46</v>
      </c>
      <c r="I26" s="201" t="s">
        <v>131</v>
      </c>
      <c r="J26" s="199"/>
      <c r="K26" s="202"/>
      <c r="L26" s="202"/>
      <c r="M26" s="203"/>
      <c r="N26" s="210"/>
      <c r="O26" s="205"/>
      <c r="P26" s="199"/>
      <c r="Q26" s="201"/>
      <c r="R26" s="206"/>
      <c r="S26" s="201"/>
      <c r="T26" s="201"/>
      <c r="V26" s="104"/>
    </row>
    <row r="27" ht="15.75" customHeight="1">
      <c r="A27" s="91"/>
      <c r="B27" s="93">
        <v>9.0</v>
      </c>
      <c r="C27" s="201" t="s">
        <v>2285</v>
      </c>
      <c r="D27" s="199"/>
      <c r="E27" s="139" t="s">
        <v>2286</v>
      </c>
      <c r="F27" s="139" t="s">
        <v>2287</v>
      </c>
      <c r="G27" s="199"/>
      <c r="H27" s="93" t="s">
        <v>46</v>
      </c>
      <c r="I27" s="201" t="s">
        <v>88</v>
      </c>
      <c r="J27" s="199"/>
      <c r="K27" s="202"/>
      <c r="L27" s="202"/>
      <c r="M27" s="203"/>
      <c r="N27" s="210" t="s">
        <v>45</v>
      </c>
      <c r="O27" s="211" t="s">
        <v>396</v>
      </c>
      <c r="P27" s="199"/>
      <c r="Q27" s="201"/>
      <c r="R27" s="206"/>
      <c r="S27" s="201" t="s">
        <v>383</v>
      </c>
      <c r="T27" s="201" t="s">
        <v>2288</v>
      </c>
      <c r="V27" s="104"/>
    </row>
    <row r="28" ht="15.75" customHeight="1">
      <c r="A28" s="91"/>
      <c r="B28" s="93">
        <v>10.0</v>
      </c>
      <c r="C28" s="201" t="s">
        <v>252</v>
      </c>
      <c r="D28" s="199"/>
      <c r="E28" s="139" t="s">
        <v>2289</v>
      </c>
      <c r="F28" s="139" t="s">
        <v>2290</v>
      </c>
      <c r="G28" s="199"/>
      <c r="H28" s="93" t="s">
        <v>46</v>
      </c>
      <c r="I28" s="201" t="s">
        <v>110</v>
      </c>
      <c r="J28" s="199"/>
      <c r="K28" s="202"/>
      <c r="L28" s="202"/>
      <c r="M28" s="203"/>
      <c r="N28" s="210"/>
      <c r="O28" s="211"/>
      <c r="P28" s="199"/>
      <c r="Q28" s="201"/>
      <c r="R28" s="206"/>
      <c r="S28" s="201"/>
      <c r="T28" s="201" t="s">
        <v>2291</v>
      </c>
      <c r="V28" s="104"/>
    </row>
    <row r="29" ht="15.75" customHeight="1">
      <c r="A29" s="91"/>
      <c r="B29" s="93">
        <v>10.0</v>
      </c>
      <c r="C29" s="201" t="s">
        <v>1407</v>
      </c>
      <c r="D29" s="199"/>
      <c r="E29" s="139" t="s">
        <v>2292</v>
      </c>
      <c r="F29" s="139" t="s">
        <v>2293</v>
      </c>
      <c r="G29" s="199"/>
      <c r="H29" s="93" t="s">
        <v>46</v>
      </c>
      <c r="I29" s="201" t="s">
        <v>131</v>
      </c>
      <c r="J29" s="199"/>
      <c r="K29" s="202"/>
      <c r="L29" s="202"/>
      <c r="M29" s="203"/>
      <c r="N29" s="210"/>
      <c r="O29" s="205"/>
      <c r="P29" s="199"/>
      <c r="Q29" s="201"/>
      <c r="R29" s="206"/>
      <c r="S29" s="201"/>
      <c r="T29" s="201"/>
      <c r="V29" s="104"/>
    </row>
    <row r="30" ht="15.75" customHeight="1">
      <c r="A30" s="91"/>
      <c r="B30" s="93">
        <v>10.0</v>
      </c>
      <c r="C30" s="201" t="s">
        <v>2294</v>
      </c>
      <c r="D30" s="199"/>
      <c r="E30" s="139" t="s">
        <v>2295</v>
      </c>
      <c r="F30" s="139" t="s">
        <v>2296</v>
      </c>
      <c r="G30" s="199"/>
      <c r="H30" s="93" t="s">
        <v>46</v>
      </c>
      <c r="I30" s="201" t="s">
        <v>131</v>
      </c>
      <c r="J30" s="199"/>
      <c r="K30" s="202"/>
      <c r="L30" s="202"/>
      <c r="M30" s="203"/>
      <c r="N30" s="210"/>
      <c r="O30" s="205"/>
      <c r="P30" s="199"/>
      <c r="Q30" s="201"/>
      <c r="R30" s="206"/>
      <c r="S30" s="201"/>
      <c r="T30" s="201"/>
      <c r="V30" s="104"/>
    </row>
    <row r="31" ht="15.75" customHeight="1">
      <c r="A31" s="91"/>
      <c r="B31" s="93">
        <v>11.0</v>
      </c>
      <c r="C31" s="97" t="s">
        <v>393</v>
      </c>
      <c r="D31" s="199"/>
      <c r="E31" s="139" t="s">
        <v>2297</v>
      </c>
      <c r="F31" s="139" t="s">
        <v>2298</v>
      </c>
      <c r="G31" s="199"/>
      <c r="H31" s="93" t="s">
        <v>46</v>
      </c>
      <c r="I31" s="201" t="s">
        <v>181</v>
      </c>
      <c r="J31" s="199"/>
      <c r="K31" s="202">
        <v>10500.0</v>
      </c>
      <c r="L31" s="202">
        <v>3000.0</v>
      </c>
      <c r="M31" s="203"/>
      <c r="N31" s="210"/>
      <c r="O31" s="205"/>
      <c r="P31" s="199"/>
      <c r="Q31" s="201">
        <v>6.0</v>
      </c>
      <c r="R31" s="206"/>
      <c r="S31" s="201" t="s">
        <v>105</v>
      </c>
      <c r="T31" s="201"/>
      <c r="V31" s="104"/>
    </row>
    <row r="32" ht="15.75" customHeight="1">
      <c r="A32" s="91"/>
      <c r="B32" s="93">
        <v>12.0</v>
      </c>
      <c r="C32" s="97" t="s">
        <v>531</v>
      </c>
      <c r="D32" s="199"/>
      <c r="E32" s="139" t="s">
        <v>2299</v>
      </c>
      <c r="F32" s="139" t="s">
        <v>2300</v>
      </c>
      <c r="G32" s="199"/>
      <c r="H32" s="93" t="s">
        <v>46</v>
      </c>
      <c r="I32" s="201" t="s">
        <v>181</v>
      </c>
      <c r="J32" s="199"/>
      <c r="K32" s="202">
        <v>7500.0</v>
      </c>
      <c r="L32" s="202">
        <v>1500.0</v>
      </c>
      <c r="M32" s="203"/>
      <c r="N32" s="210"/>
      <c r="O32" s="211"/>
      <c r="P32" s="199"/>
      <c r="Q32" s="201">
        <v>4.0</v>
      </c>
      <c r="R32" s="206"/>
      <c r="S32" s="201" t="s">
        <v>105</v>
      </c>
      <c r="T32" s="201" t="s">
        <v>2301</v>
      </c>
      <c r="V32" s="104"/>
    </row>
    <row r="33" ht="15.75" customHeight="1">
      <c r="A33" s="91"/>
      <c r="B33" s="198">
        <v>13.0</v>
      </c>
      <c r="C33" s="97" t="s">
        <v>2302</v>
      </c>
      <c r="D33" s="199"/>
      <c r="E33" s="139" t="s">
        <v>2303</v>
      </c>
      <c r="F33" s="139" t="s">
        <v>2304</v>
      </c>
      <c r="G33" s="199"/>
      <c r="H33" s="93" t="s">
        <v>46</v>
      </c>
      <c r="I33" s="201" t="s">
        <v>88</v>
      </c>
      <c r="J33" s="199"/>
      <c r="K33" s="202"/>
      <c r="L33" s="202"/>
      <c r="M33" s="203"/>
      <c r="N33" s="210" t="s">
        <v>45</v>
      </c>
      <c r="O33" s="211" t="s">
        <v>584</v>
      </c>
      <c r="P33" s="199"/>
      <c r="Q33" s="201"/>
      <c r="R33" s="206"/>
      <c r="S33" s="201" t="s">
        <v>383</v>
      </c>
      <c r="T33" s="201" t="s">
        <v>2305</v>
      </c>
      <c r="V33" s="104"/>
    </row>
    <row r="34" ht="15.75" customHeight="1">
      <c r="A34" s="91"/>
      <c r="B34" s="198">
        <v>13.0</v>
      </c>
      <c r="C34" s="97" t="s">
        <v>360</v>
      </c>
      <c r="D34" s="199"/>
      <c r="E34" s="139" t="s">
        <v>2306</v>
      </c>
      <c r="F34" s="121" t="s">
        <v>2307</v>
      </c>
      <c r="G34" s="199"/>
      <c r="H34" s="93" t="s">
        <v>46</v>
      </c>
      <c r="I34" s="201" t="s">
        <v>181</v>
      </c>
      <c r="J34" s="201"/>
      <c r="K34" s="202">
        <v>10500.0</v>
      </c>
      <c r="L34" s="202">
        <v>3000.0</v>
      </c>
      <c r="M34" s="203"/>
      <c r="N34" s="204"/>
      <c r="O34" s="205"/>
      <c r="P34" s="199"/>
      <c r="Q34" s="201">
        <v>6.0</v>
      </c>
      <c r="R34" s="206"/>
      <c r="S34" s="201" t="s">
        <v>105</v>
      </c>
      <c r="T34" s="201"/>
      <c r="V34" s="104"/>
    </row>
    <row r="35" ht="15.75" customHeight="1">
      <c r="A35" s="91"/>
      <c r="B35" s="198">
        <v>13.0</v>
      </c>
      <c r="C35" s="97" t="s">
        <v>2276</v>
      </c>
      <c r="D35" s="199"/>
      <c r="E35" s="139" t="s">
        <v>2308</v>
      </c>
      <c r="F35" s="139" t="s">
        <v>2309</v>
      </c>
      <c r="G35" s="199"/>
      <c r="H35" s="93" t="s">
        <v>46</v>
      </c>
      <c r="I35" s="201" t="s">
        <v>88</v>
      </c>
      <c r="J35" s="199"/>
      <c r="K35" s="251"/>
      <c r="L35" s="251"/>
      <c r="M35" s="203"/>
      <c r="N35" s="210" t="s">
        <v>60</v>
      </c>
      <c r="O35" s="211" t="s">
        <v>2310</v>
      </c>
      <c r="P35" s="199"/>
      <c r="Q35" s="201"/>
      <c r="R35" s="206"/>
      <c r="S35" s="201" t="s">
        <v>383</v>
      </c>
      <c r="T35" s="201" t="s">
        <v>2311</v>
      </c>
      <c r="V35" s="104"/>
    </row>
    <row r="36" ht="15.75" customHeight="1">
      <c r="A36" s="91"/>
      <c r="B36" s="198">
        <v>13.0</v>
      </c>
      <c r="C36" s="97" t="s">
        <v>1480</v>
      </c>
      <c r="D36" s="94"/>
      <c r="E36" s="139" t="s">
        <v>2312</v>
      </c>
      <c r="F36" s="139" t="s">
        <v>2313</v>
      </c>
      <c r="G36" s="94"/>
      <c r="H36" s="93" t="s">
        <v>46</v>
      </c>
      <c r="I36" s="97" t="s">
        <v>103</v>
      </c>
      <c r="J36" s="94"/>
      <c r="K36" s="202">
        <v>6000.0</v>
      </c>
      <c r="L36" s="202">
        <v>6000.0</v>
      </c>
      <c r="M36" s="99"/>
      <c r="N36" s="111"/>
      <c r="O36" s="112"/>
      <c r="P36" s="94"/>
      <c r="Q36" s="201">
        <v>4.0</v>
      </c>
      <c r="R36" s="113"/>
      <c r="S36" s="102" t="s">
        <v>105</v>
      </c>
      <c r="T36" s="102"/>
      <c r="V36" s="104"/>
    </row>
    <row r="37" ht="15.75" customHeight="1">
      <c r="A37" s="94"/>
      <c r="B37" s="198">
        <v>13.0</v>
      </c>
      <c r="C37" s="97" t="s">
        <v>2314</v>
      </c>
      <c r="D37" s="94"/>
      <c r="E37" s="139" t="s">
        <v>2315</v>
      </c>
      <c r="F37" s="139" t="s">
        <v>2316</v>
      </c>
      <c r="G37" s="94"/>
      <c r="H37" s="93" t="s">
        <v>46</v>
      </c>
      <c r="I37" s="102" t="s">
        <v>131</v>
      </c>
      <c r="J37" s="94"/>
      <c r="K37" s="142"/>
      <c r="L37" s="142"/>
      <c r="M37" s="99"/>
      <c r="N37" s="100"/>
      <c r="O37" s="101"/>
      <c r="P37" s="94"/>
      <c r="Q37" s="201"/>
      <c r="R37" s="113"/>
      <c r="S37" s="102"/>
      <c r="T37" s="102"/>
      <c r="V37" s="104"/>
    </row>
    <row r="38" ht="15.75" customHeight="1">
      <c r="A38" s="94"/>
      <c r="B38" s="198">
        <v>13.0</v>
      </c>
      <c r="C38" s="97" t="s">
        <v>322</v>
      </c>
      <c r="D38" s="94"/>
      <c r="E38" s="139" t="s">
        <v>2317</v>
      </c>
      <c r="F38" s="139" t="s">
        <v>2318</v>
      </c>
      <c r="G38" s="94"/>
      <c r="H38" s="93" t="s">
        <v>46</v>
      </c>
      <c r="I38" s="102" t="s">
        <v>88</v>
      </c>
      <c r="J38" s="94"/>
      <c r="K38" s="142"/>
      <c r="L38" s="144"/>
      <c r="M38" s="99"/>
      <c r="N38" s="100" t="s">
        <v>45</v>
      </c>
      <c r="O38" s="101" t="s">
        <v>396</v>
      </c>
      <c r="P38" s="94"/>
      <c r="Q38" s="102"/>
      <c r="R38" s="113"/>
      <c r="S38" s="102" t="s">
        <v>124</v>
      </c>
      <c r="T38" s="102" t="s">
        <v>2319</v>
      </c>
      <c r="V38" s="104"/>
    </row>
    <row r="39" ht="15.75" customHeight="1">
      <c r="A39" s="94"/>
      <c r="B39" s="198">
        <v>13.0</v>
      </c>
      <c r="C39" s="97" t="s">
        <v>2320</v>
      </c>
      <c r="D39" s="94"/>
      <c r="E39" s="139" t="s">
        <v>2321</v>
      </c>
      <c r="F39" s="139" t="s">
        <v>2322</v>
      </c>
      <c r="G39" s="94"/>
      <c r="H39" s="93" t="s">
        <v>46</v>
      </c>
      <c r="I39" s="102" t="s">
        <v>181</v>
      </c>
      <c r="J39" s="94"/>
      <c r="K39" s="202">
        <v>10500.0</v>
      </c>
      <c r="L39" s="202">
        <v>1500.0</v>
      </c>
      <c r="M39" s="99"/>
      <c r="N39" s="111"/>
      <c r="O39" s="112"/>
      <c r="P39" s="94"/>
      <c r="Q39" s="201">
        <v>6.0</v>
      </c>
      <c r="R39" s="113"/>
      <c r="S39" s="102" t="s">
        <v>105</v>
      </c>
      <c r="T39" s="102" t="s">
        <v>2323</v>
      </c>
      <c r="V39" s="104"/>
    </row>
    <row r="40" ht="15.75" customHeight="1">
      <c r="A40" s="94"/>
      <c r="B40" s="198">
        <v>14.0</v>
      </c>
      <c r="C40" s="97" t="s">
        <v>252</v>
      </c>
      <c r="D40" s="94"/>
      <c r="E40" s="139" t="s">
        <v>2324</v>
      </c>
      <c r="F40" s="139" t="s">
        <v>2325</v>
      </c>
      <c r="G40" s="94"/>
      <c r="H40" s="93" t="s">
        <v>46</v>
      </c>
      <c r="I40" s="102" t="s">
        <v>88</v>
      </c>
      <c r="J40" s="94"/>
      <c r="K40" s="202"/>
      <c r="L40" s="202">
        <v>100.0</v>
      </c>
      <c r="M40" s="99"/>
      <c r="N40" s="111"/>
      <c r="O40" s="112"/>
      <c r="P40" s="94"/>
      <c r="Q40" s="102">
        <v>6.0</v>
      </c>
      <c r="R40" s="113"/>
      <c r="S40" s="102" t="s">
        <v>90</v>
      </c>
      <c r="T40" s="102" t="s">
        <v>2326</v>
      </c>
      <c r="V40" s="104"/>
    </row>
    <row r="41" ht="15.75" customHeight="1">
      <c r="A41" s="94"/>
      <c r="B41" s="198">
        <v>14.0</v>
      </c>
      <c r="C41" s="97" t="s">
        <v>490</v>
      </c>
      <c r="D41" s="94"/>
      <c r="E41" s="139" t="s">
        <v>2327</v>
      </c>
      <c r="F41" s="121" t="s">
        <v>2328</v>
      </c>
      <c r="G41" s="94"/>
      <c r="H41" s="93" t="s">
        <v>46</v>
      </c>
      <c r="I41" s="102" t="s">
        <v>103</v>
      </c>
      <c r="J41" s="94"/>
      <c r="K41" s="202">
        <v>9000.0</v>
      </c>
      <c r="L41" s="202">
        <v>9000.0</v>
      </c>
      <c r="M41" s="99"/>
      <c r="N41" s="111"/>
      <c r="O41" s="112"/>
      <c r="P41" s="94"/>
      <c r="Q41" s="102">
        <v>6.0</v>
      </c>
      <c r="R41" s="113"/>
      <c r="S41" s="102" t="s">
        <v>105</v>
      </c>
      <c r="T41" s="102"/>
      <c r="V41" s="104"/>
    </row>
    <row r="42" ht="15.75" customHeight="1">
      <c r="A42" s="94"/>
      <c r="B42" s="198">
        <v>14.0</v>
      </c>
      <c r="C42" s="97" t="s">
        <v>1979</v>
      </c>
      <c r="D42" s="94"/>
      <c r="E42" s="139" t="s">
        <v>2329</v>
      </c>
      <c r="F42" s="121" t="s">
        <v>2330</v>
      </c>
      <c r="G42" s="94"/>
      <c r="H42" s="93" t="s">
        <v>46</v>
      </c>
      <c r="I42" s="102" t="s">
        <v>88</v>
      </c>
      <c r="J42" s="94"/>
      <c r="K42" s="202"/>
      <c r="L42" s="202"/>
      <c r="M42" s="99"/>
      <c r="N42" s="100" t="s">
        <v>60</v>
      </c>
      <c r="O42" s="101" t="s">
        <v>1439</v>
      </c>
      <c r="P42" s="94"/>
      <c r="Q42" s="102"/>
      <c r="R42" s="113"/>
      <c r="S42" s="102" t="s">
        <v>124</v>
      </c>
      <c r="T42" s="102" t="s">
        <v>2331</v>
      </c>
      <c r="V42" s="104"/>
    </row>
    <row r="43" ht="15.75" customHeight="1">
      <c r="A43" s="94"/>
      <c r="B43" s="198">
        <v>14.0</v>
      </c>
      <c r="C43" s="97" t="s">
        <v>2055</v>
      </c>
      <c r="D43" s="94"/>
      <c r="E43" s="139" t="s">
        <v>2332</v>
      </c>
      <c r="F43" s="139" t="s">
        <v>2333</v>
      </c>
      <c r="G43" s="94"/>
      <c r="H43" s="93" t="s">
        <v>46</v>
      </c>
      <c r="I43" s="102" t="s">
        <v>103</v>
      </c>
      <c r="J43" s="94"/>
      <c r="K43" s="202">
        <v>9000.0</v>
      </c>
      <c r="L43" s="202">
        <v>9000.0</v>
      </c>
      <c r="M43" s="99"/>
      <c r="N43" s="100"/>
      <c r="O43" s="101"/>
      <c r="P43" s="94"/>
      <c r="Q43" s="102">
        <v>6.0</v>
      </c>
      <c r="R43" s="113"/>
      <c r="S43" s="102" t="s">
        <v>105</v>
      </c>
      <c r="T43" s="102"/>
      <c r="V43" s="104"/>
    </row>
    <row r="44" ht="15.75" customHeight="1">
      <c r="A44" s="94"/>
      <c r="B44" s="198">
        <v>14.0</v>
      </c>
      <c r="C44" s="97" t="s">
        <v>2334</v>
      </c>
      <c r="D44" s="94"/>
      <c r="E44" s="139" t="s">
        <v>2335</v>
      </c>
      <c r="F44" s="139" t="s">
        <v>2336</v>
      </c>
      <c r="G44" s="94"/>
      <c r="H44" s="93" t="s">
        <v>46</v>
      </c>
      <c r="I44" s="102" t="s">
        <v>131</v>
      </c>
      <c r="J44" s="94"/>
      <c r="K44" s="142"/>
      <c r="L44" s="142"/>
      <c r="M44" s="99"/>
      <c r="N44" s="111"/>
      <c r="O44" s="112"/>
      <c r="P44" s="94"/>
      <c r="Q44" s="102"/>
      <c r="R44" s="113"/>
      <c r="S44" s="102"/>
      <c r="T44" s="102"/>
      <c r="V44" s="102"/>
    </row>
    <row r="45" ht="15.75" customHeight="1">
      <c r="A45" s="94"/>
      <c r="B45" s="198">
        <v>14.0</v>
      </c>
      <c r="C45" s="97" t="s">
        <v>724</v>
      </c>
      <c r="D45" s="94"/>
      <c r="E45" s="139" t="s">
        <v>2337</v>
      </c>
      <c r="F45" s="139" t="s">
        <v>2338</v>
      </c>
      <c r="G45" s="94"/>
      <c r="H45" s="93" t="s">
        <v>46</v>
      </c>
      <c r="I45" s="97" t="s">
        <v>88</v>
      </c>
      <c r="J45" s="94"/>
      <c r="K45" s="98"/>
      <c r="L45" s="98"/>
      <c r="M45" s="99"/>
      <c r="N45" s="100" t="s">
        <v>98</v>
      </c>
      <c r="O45" s="101" t="s">
        <v>2339</v>
      </c>
      <c r="P45" s="94"/>
      <c r="Q45" s="102"/>
      <c r="R45" s="113"/>
      <c r="S45" s="102" t="s">
        <v>383</v>
      </c>
      <c r="T45" s="102" t="s">
        <v>2340</v>
      </c>
      <c r="V45" s="104"/>
    </row>
    <row r="46" ht="15.75" customHeight="1">
      <c r="A46" s="91"/>
      <c r="B46" s="198">
        <v>14.0</v>
      </c>
      <c r="C46" s="97" t="s">
        <v>344</v>
      </c>
      <c r="D46" s="94"/>
      <c r="E46" s="139" t="s">
        <v>2341</v>
      </c>
      <c r="F46" s="139" t="s">
        <v>2342</v>
      </c>
      <c r="G46" s="94"/>
      <c r="H46" s="93" t="s">
        <v>46</v>
      </c>
      <c r="I46" s="97" t="s">
        <v>88</v>
      </c>
      <c r="J46" s="94"/>
      <c r="K46" s="202"/>
      <c r="L46" s="202"/>
      <c r="M46" s="99"/>
      <c r="N46" s="100" t="s">
        <v>60</v>
      </c>
      <c r="O46" s="101" t="s">
        <v>2343</v>
      </c>
      <c r="P46" s="94"/>
      <c r="Q46" s="201"/>
      <c r="R46" s="105"/>
      <c r="S46" s="102" t="s">
        <v>124</v>
      </c>
      <c r="T46" s="102" t="s">
        <v>2344</v>
      </c>
      <c r="V46" s="104"/>
    </row>
    <row r="47" ht="15.75" customHeight="1">
      <c r="A47" s="91"/>
      <c r="B47" s="198">
        <v>15.0</v>
      </c>
      <c r="C47" s="97" t="s">
        <v>777</v>
      </c>
      <c r="D47" s="94"/>
      <c r="E47" s="139" t="s">
        <v>2345</v>
      </c>
      <c r="F47" s="139" t="s">
        <v>2346</v>
      </c>
      <c r="G47" s="94"/>
      <c r="H47" s="93" t="s">
        <v>46</v>
      </c>
      <c r="I47" s="97" t="s">
        <v>181</v>
      </c>
      <c r="J47" s="94"/>
      <c r="K47" s="202">
        <v>10500.0</v>
      </c>
      <c r="L47" s="202">
        <v>3000.0</v>
      </c>
      <c r="M47" s="99"/>
      <c r="N47" s="100"/>
      <c r="O47" s="101"/>
      <c r="P47" s="94"/>
      <c r="Q47" s="102">
        <v>6.0</v>
      </c>
      <c r="R47" s="113"/>
      <c r="S47" s="102" t="s">
        <v>105</v>
      </c>
      <c r="T47" s="102"/>
      <c r="V47" s="104"/>
    </row>
    <row r="48" ht="15.75" customHeight="1">
      <c r="A48" s="91"/>
      <c r="B48" s="198">
        <v>15.0</v>
      </c>
      <c r="C48" s="97" t="s">
        <v>777</v>
      </c>
      <c r="D48" s="94"/>
      <c r="E48" s="139" t="s">
        <v>2176</v>
      </c>
      <c r="F48" s="121" t="s">
        <v>2347</v>
      </c>
      <c r="G48" s="94"/>
      <c r="H48" s="93" t="s">
        <v>46</v>
      </c>
      <c r="I48" s="102" t="s">
        <v>181</v>
      </c>
      <c r="J48" s="94"/>
      <c r="K48" s="202">
        <v>10500.0</v>
      </c>
      <c r="L48" s="202">
        <v>1500.0</v>
      </c>
      <c r="M48" s="99"/>
      <c r="N48" s="100"/>
      <c r="O48" s="101"/>
      <c r="P48" s="94"/>
      <c r="Q48" s="102">
        <v>6.0</v>
      </c>
      <c r="R48" s="103"/>
      <c r="S48" s="102" t="s">
        <v>105</v>
      </c>
      <c r="T48" s="102" t="s">
        <v>2348</v>
      </c>
      <c r="V48" s="104"/>
    </row>
    <row r="49" ht="15.75" customHeight="1">
      <c r="A49" s="91"/>
      <c r="B49" s="198">
        <v>15.0</v>
      </c>
      <c r="C49" s="97" t="s">
        <v>802</v>
      </c>
      <c r="D49" s="94"/>
      <c r="E49" s="139" t="s">
        <v>2349</v>
      </c>
      <c r="F49" s="139" t="s">
        <v>2350</v>
      </c>
      <c r="G49" s="94"/>
      <c r="H49" s="93" t="s">
        <v>46</v>
      </c>
      <c r="I49" s="102" t="s">
        <v>88</v>
      </c>
      <c r="J49" s="94"/>
      <c r="K49" s="108"/>
      <c r="L49" s="108"/>
      <c r="M49" s="99"/>
      <c r="N49" s="100" t="s">
        <v>60</v>
      </c>
      <c r="O49" s="101" t="s">
        <v>2351</v>
      </c>
      <c r="P49" s="94"/>
      <c r="Q49" s="94"/>
      <c r="R49" s="113"/>
      <c r="S49" s="102" t="s">
        <v>124</v>
      </c>
      <c r="T49" s="102" t="s">
        <v>2352</v>
      </c>
      <c r="V49" s="104"/>
    </row>
    <row r="50" ht="15.75" customHeight="1">
      <c r="A50" s="91"/>
      <c r="B50" s="198">
        <v>15.0</v>
      </c>
      <c r="C50" s="97" t="s">
        <v>483</v>
      </c>
      <c r="D50" s="94"/>
      <c r="E50" s="139" t="s">
        <v>2353</v>
      </c>
      <c r="F50" s="139" t="s">
        <v>2354</v>
      </c>
      <c r="G50" s="94"/>
      <c r="H50" s="93" t="s">
        <v>46</v>
      </c>
      <c r="I50" s="102" t="s">
        <v>103</v>
      </c>
      <c r="J50" s="94"/>
      <c r="K50" s="202">
        <v>9000.0</v>
      </c>
      <c r="L50" s="202">
        <v>9000.0</v>
      </c>
      <c r="M50" s="99"/>
      <c r="N50" s="100"/>
      <c r="O50" s="101"/>
      <c r="P50" s="94"/>
      <c r="Q50" s="102">
        <v>6.0</v>
      </c>
      <c r="R50" s="103"/>
      <c r="S50" s="102" t="s">
        <v>105</v>
      </c>
      <c r="T50" s="102"/>
      <c r="V50" s="104"/>
    </row>
    <row r="51" ht="15.75" customHeight="1">
      <c r="A51" s="91"/>
      <c r="B51" s="198">
        <v>15.0</v>
      </c>
      <c r="C51" s="97" t="s">
        <v>639</v>
      </c>
      <c r="D51" s="94"/>
      <c r="E51" s="139" t="s">
        <v>2355</v>
      </c>
      <c r="F51" s="139" t="s">
        <v>2356</v>
      </c>
      <c r="G51" s="94"/>
      <c r="H51" s="93" t="s">
        <v>46</v>
      </c>
      <c r="I51" s="102" t="s">
        <v>181</v>
      </c>
      <c r="J51" s="94"/>
      <c r="K51" s="202">
        <v>10500.0</v>
      </c>
      <c r="L51" s="202">
        <v>3000.0</v>
      </c>
      <c r="M51" s="99"/>
      <c r="N51" s="100"/>
      <c r="O51" s="101"/>
      <c r="P51" s="94"/>
      <c r="Q51" s="102">
        <v>6.0</v>
      </c>
      <c r="R51" s="103"/>
      <c r="S51" s="102" t="s">
        <v>105</v>
      </c>
      <c r="T51" s="102"/>
      <c r="V51" s="104"/>
    </row>
    <row r="52" ht="15.75" customHeight="1">
      <c r="A52" s="91"/>
      <c r="B52" s="198">
        <v>15.0</v>
      </c>
      <c r="C52" s="97" t="s">
        <v>2357</v>
      </c>
      <c r="D52" s="94"/>
      <c r="E52" s="139" t="s">
        <v>2358</v>
      </c>
      <c r="F52" s="139" t="s">
        <v>2359</v>
      </c>
      <c r="G52" s="94"/>
      <c r="H52" s="93" t="s">
        <v>46</v>
      </c>
      <c r="I52" s="102" t="s">
        <v>88</v>
      </c>
      <c r="J52" s="94"/>
      <c r="K52" s="98"/>
      <c r="L52" s="98"/>
      <c r="M52" s="99"/>
      <c r="N52" s="100" t="s">
        <v>60</v>
      </c>
      <c r="O52" s="101" t="s">
        <v>2360</v>
      </c>
      <c r="P52" s="94"/>
      <c r="Q52" s="102"/>
      <c r="R52" s="113"/>
      <c r="S52" s="102" t="s">
        <v>90</v>
      </c>
      <c r="T52" s="102" t="s">
        <v>2361</v>
      </c>
      <c r="V52" s="104"/>
    </row>
    <row r="53" ht="15.75" customHeight="1">
      <c r="A53" s="91"/>
      <c r="B53" s="198">
        <v>16.0</v>
      </c>
      <c r="C53" s="97" t="s">
        <v>1658</v>
      </c>
      <c r="D53" s="94"/>
      <c r="E53" s="139" t="s">
        <v>2362</v>
      </c>
      <c r="F53" s="139" t="s">
        <v>2363</v>
      </c>
      <c r="G53" s="94"/>
      <c r="H53" s="93" t="s">
        <v>46</v>
      </c>
      <c r="I53" s="102" t="s">
        <v>88</v>
      </c>
      <c r="J53" s="94"/>
      <c r="K53" s="98"/>
      <c r="L53" s="98"/>
      <c r="M53" s="99"/>
      <c r="N53" s="100" t="s">
        <v>45</v>
      </c>
      <c r="O53" s="101" t="s">
        <v>396</v>
      </c>
      <c r="P53" s="94"/>
      <c r="Q53" s="102"/>
      <c r="R53" s="106"/>
      <c r="S53" s="102" t="s">
        <v>383</v>
      </c>
      <c r="T53" s="102" t="s">
        <v>2364</v>
      </c>
      <c r="V53" s="104"/>
    </row>
    <row r="54" ht="15.75" customHeight="1">
      <c r="A54" s="91"/>
      <c r="B54" s="198">
        <v>16.0</v>
      </c>
      <c r="C54" s="97" t="s">
        <v>724</v>
      </c>
      <c r="D54" s="94"/>
      <c r="E54" s="139" t="s">
        <v>2365</v>
      </c>
      <c r="F54" s="139" t="s">
        <v>2366</v>
      </c>
      <c r="G54" s="94"/>
      <c r="H54" s="93" t="s">
        <v>46</v>
      </c>
      <c r="I54" s="102" t="s">
        <v>181</v>
      </c>
      <c r="J54" s="94"/>
      <c r="K54" s="202">
        <v>9000.0</v>
      </c>
      <c r="L54" s="98">
        <v>4500.0</v>
      </c>
      <c r="M54" s="99"/>
      <c r="N54" s="100"/>
      <c r="O54" s="101"/>
      <c r="P54" s="94"/>
      <c r="Q54" s="102">
        <v>6.0</v>
      </c>
      <c r="R54" s="113"/>
      <c r="S54" s="102" t="s">
        <v>105</v>
      </c>
      <c r="T54" s="118" t="s">
        <v>2367</v>
      </c>
      <c r="V54" s="104"/>
    </row>
    <row r="55" ht="15.75" customHeight="1">
      <c r="A55" s="91"/>
      <c r="B55" s="198">
        <v>16.0</v>
      </c>
      <c r="C55" s="97" t="s">
        <v>2368</v>
      </c>
      <c r="D55" s="94"/>
      <c r="E55" s="139" t="s">
        <v>2369</v>
      </c>
      <c r="F55" s="139" t="s">
        <v>2370</v>
      </c>
      <c r="G55" s="94"/>
      <c r="H55" s="93" t="s">
        <v>46</v>
      </c>
      <c r="I55" s="102" t="s">
        <v>232</v>
      </c>
      <c r="J55" s="94"/>
      <c r="K55" s="202"/>
      <c r="L55" s="202"/>
      <c r="M55" s="99"/>
      <c r="N55" s="100"/>
      <c r="O55" s="112"/>
      <c r="P55" s="94"/>
      <c r="Q55" s="201"/>
      <c r="R55" s="113"/>
      <c r="S55" s="102" t="s">
        <v>404</v>
      </c>
      <c r="T55" s="102" t="s">
        <v>2371</v>
      </c>
      <c r="V55" s="104"/>
    </row>
    <row r="56" ht="15.75" customHeight="1">
      <c r="A56" s="91"/>
      <c r="B56" s="198">
        <v>16.0</v>
      </c>
      <c r="C56" s="97" t="s">
        <v>410</v>
      </c>
      <c r="D56" s="94"/>
      <c r="E56" s="139" t="s">
        <v>2372</v>
      </c>
      <c r="F56" s="121" t="s">
        <v>2373</v>
      </c>
      <c r="G56" s="94"/>
      <c r="H56" s="93" t="s">
        <v>46</v>
      </c>
      <c r="I56" s="102" t="s">
        <v>88</v>
      </c>
      <c r="J56" s="94"/>
      <c r="K56" s="98"/>
      <c r="L56" s="98"/>
      <c r="M56" s="99"/>
      <c r="N56" s="100" t="s">
        <v>55</v>
      </c>
      <c r="O56" s="101" t="s">
        <v>1988</v>
      </c>
      <c r="P56" s="94"/>
      <c r="Q56" s="109"/>
      <c r="R56" s="103"/>
      <c r="S56" s="102" t="s">
        <v>383</v>
      </c>
      <c r="T56" s="102" t="s">
        <v>2374</v>
      </c>
      <c r="V56" s="104"/>
    </row>
    <row r="57" ht="15.75" customHeight="1">
      <c r="A57" s="91"/>
      <c r="B57" s="198">
        <v>16.0</v>
      </c>
      <c r="C57" s="97" t="s">
        <v>2375</v>
      </c>
      <c r="D57" s="94"/>
      <c r="E57" s="139" t="s">
        <v>2376</v>
      </c>
      <c r="F57" s="139" t="s">
        <v>2377</v>
      </c>
      <c r="G57" s="94"/>
      <c r="H57" s="93" t="s">
        <v>46</v>
      </c>
      <c r="I57" s="102" t="s">
        <v>88</v>
      </c>
      <c r="J57" s="94"/>
      <c r="K57" s="98"/>
      <c r="L57" s="98"/>
      <c r="M57" s="99"/>
      <c r="N57" s="100" t="s">
        <v>60</v>
      </c>
      <c r="O57" s="101" t="s">
        <v>2378</v>
      </c>
      <c r="P57" s="94"/>
      <c r="Q57" s="102"/>
      <c r="R57" s="113"/>
      <c r="S57" s="102" t="s">
        <v>124</v>
      </c>
      <c r="T57" s="102" t="s">
        <v>2379</v>
      </c>
      <c r="V57" s="104"/>
    </row>
    <row r="58" ht="15.75" customHeight="1">
      <c r="A58" s="91"/>
      <c r="B58" s="198">
        <v>16.0</v>
      </c>
      <c r="C58" s="97" t="s">
        <v>727</v>
      </c>
      <c r="D58" s="94"/>
      <c r="E58" s="139" t="s">
        <v>2380</v>
      </c>
      <c r="F58" s="139" t="s">
        <v>2381</v>
      </c>
      <c r="G58" s="94"/>
      <c r="H58" s="93" t="s">
        <v>46</v>
      </c>
      <c r="I58" s="102" t="s">
        <v>88</v>
      </c>
      <c r="J58" s="94"/>
      <c r="K58" s="108"/>
      <c r="L58" s="108"/>
      <c r="M58" s="99"/>
      <c r="N58" s="100" t="s">
        <v>45</v>
      </c>
      <c r="O58" s="101" t="s">
        <v>396</v>
      </c>
      <c r="P58" s="94"/>
      <c r="Q58" s="94"/>
      <c r="R58" s="113"/>
      <c r="S58" s="102" t="s">
        <v>383</v>
      </c>
      <c r="T58" s="102" t="s">
        <v>2382</v>
      </c>
      <c r="V58" s="104"/>
    </row>
    <row r="59" ht="15.75" customHeight="1">
      <c r="A59" s="91"/>
      <c r="B59" s="198">
        <v>16.0</v>
      </c>
      <c r="C59" s="102" t="s">
        <v>1303</v>
      </c>
      <c r="D59" s="94"/>
      <c r="E59" s="139" t="s">
        <v>2383</v>
      </c>
      <c r="F59" s="139" t="s">
        <v>2384</v>
      </c>
      <c r="G59" s="94"/>
      <c r="H59" s="93" t="s">
        <v>46</v>
      </c>
      <c r="I59" s="102" t="s">
        <v>88</v>
      </c>
      <c r="J59" s="94"/>
      <c r="K59" s="98"/>
      <c r="L59" s="98"/>
      <c r="M59" s="99"/>
      <c r="N59" s="100" t="s">
        <v>45</v>
      </c>
      <c r="O59" s="101" t="s">
        <v>396</v>
      </c>
      <c r="P59" s="94"/>
      <c r="Q59" s="102"/>
      <c r="R59" s="113"/>
      <c r="S59" s="102" t="s">
        <v>383</v>
      </c>
      <c r="T59" s="102" t="s">
        <v>2385</v>
      </c>
      <c r="V59" s="104"/>
    </row>
    <row r="60" ht="15.75" customHeight="1">
      <c r="A60" s="91"/>
      <c r="B60" s="198">
        <v>17.0</v>
      </c>
      <c r="C60" s="102" t="s">
        <v>1122</v>
      </c>
      <c r="D60" s="94"/>
      <c r="E60" s="139" t="s">
        <v>2386</v>
      </c>
      <c r="F60" s="139" t="s">
        <v>2387</v>
      </c>
      <c r="G60" s="94"/>
      <c r="H60" s="93" t="s">
        <v>46</v>
      </c>
      <c r="I60" s="102" t="s">
        <v>88</v>
      </c>
      <c r="J60" s="94"/>
      <c r="K60" s="98"/>
      <c r="L60" s="98"/>
      <c r="M60" s="99"/>
      <c r="N60" s="100" t="s">
        <v>60</v>
      </c>
      <c r="O60" s="101" t="s">
        <v>2388</v>
      </c>
      <c r="P60" s="94"/>
      <c r="Q60" s="102"/>
      <c r="R60" s="113"/>
      <c r="S60" s="102" t="s">
        <v>124</v>
      </c>
      <c r="T60" s="102" t="s">
        <v>2389</v>
      </c>
      <c r="V60" s="104"/>
    </row>
    <row r="61" ht="15.75" customHeight="1">
      <c r="A61" s="91"/>
      <c r="B61" s="198">
        <v>18.0</v>
      </c>
      <c r="C61" s="97" t="s">
        <v>1303</v>
      </c>
      <c r="D61" s="94"/>
      <c r="E61" s="139" t="s">
        <v>2390</v>
      </c>
      <c r="F61" s="139" t="s">
        <v>2391</v>
      </c>
      <c r="G61" s="94"/>
      <c r="H61" s="93" t="s">
        <v>46</v>
      </c>
      <c r="I61" s="102" t="s">
        <v>131</v>
      </c>
      <c r="J61" s="94"/>
      <c r="K61" s="98"/>
      <c r="L61" s="98"/>
      <c r="M61" s="99"/>
      <c r="N61" s="100"/>
      <c r="O61" s="101"/>
      <c r="P61" s="94"/>
      <c r="Q61" s="102"/>
      <c r="R61" s="103"/>
      <c r="S61" s="102"/>
      <c r="T61" s="102"/>
      <c r="V61" s="104"/>
    </row>
    <row r="62" ht="15.75" customHeight="1">
      <c r="A62" s="91"/>
      <c r="B62" s="198">
        <v>19.0</v>
      </c>
      <c r="C62" s="97" t="s">
        <v>213</v>
      </c>
      <c r="D62" s="94"/>
      <c r="E62" s="139" t="s">
        <v>2392</v>
      </c>
      <c r="F62" s="139" t="s">
        <v>2393</v>
      </c>
      <c r="G62" s="94"/>
      <c r="H62" s="93" t="s">
        <v>46</v>
      </c>
      <c r="I62" s="102" t="s">
        <v>88</v>
      </c>
      <c r="J62" s="94"/>
      <c r="K62" s="202"/>
      <c r="L62" s="202"/>
      <c r="M62" s="99"/>
      <c r="N62" s="100" t="s">
        <v>98</v>
      </c>
      <c r="O62" s="101" t="s">
        <v>2394</v>
      </c>
      <c r="P62" s="94"/>
      <c r="Q62" s="201"/>
      <c r="R62" s="103"/>
      <c r="S62" s="102" t="s">
        <v>383</v>
      </c>
      <c r="T62" s="118" t="s">
        <v>2395</v>
      </c>
      <c r="V62" s="104"/>
    </row>
    <row r="63" ht="15.75" customHeight="1">
      <c r="A63" s="91"/>
      <c r="B63" s="198">
        <v>19.0</v>
      </c>
      <c r="C63" s="97" t="s">
        <v>2396</v>
      </c>
      <c r="D63" s="94"/>
      <c r="E63" s="139" t="s">
        <v>2397</v>
      </c>
      <c r="F63" s="139" t="s">
        <v>2398</v>
      </c>
      <c r="G63" s="94"/>
      <c r="H63" s="93" t="s">
        <v>46</v>
      </c>
      <c r="I63" s="102" t="s">
        <v>181</v>
      </c>
      <c r="J63" s="94"/>
      <c r="K63" s="202">
        <v>10500.0</v>
      </c>
      <c r="L63" s="202">
        <v>3000.0</v>
      </c>
      <c r="M63" s="99"/>
      <c r="N63" s="100"/>
      <c r="O63" s="101"/>
      <c r="P63" s="94"/>
      <c r="Q63" s="102">
        <v>6.0</v>
      </c>
      <c r="R63" s="103"/>
      <c r="S63" s="102" t="s">
        <v>105</v>
      </c>
      <c r="T63" s="102"/>
      <c r="V63" s="104"/>
    </row>
    <row r="64" ht="15.75" customHeight="1">
      <c r="A64" s="91"/>
      <c r="B64" s="198">
        <v>19.0</v>
      </c>
      <c r="C64" s="97" t="s">
        <v>559</v>
      </c>
      <c r="D64" s="94"/>
      <c r="E64" s="139" t="s">
        <v>2399</v>
      </c>
      <c r="F64" s="139" t="s">
        <v>2400</v>
      </c>
      <c r="G64" s="94"/>
      <c r="H64" s="93" t="s">
        <v>46</v>
      </c>
      <c r="I64" s="102" t="s">
        <v>131</v>
      </c>
      <c r="J64" s="94"/>
      <c r="K64" s="108"/>
      <c r="L64" s="108"/>
      <c r="M64" s="99"/>
      <c r="N64" s="100"/>
      <c r="O64" s="101"/>
      <c r="P64" s="94"/>
      <c r="Q64" s="109"/>
      <c r="R64" s="103"/>
      <c r="S64" s="102"/>
      <c r="T64" s="102"/>
      <c r="V64" s="104"/>
    </row>
    <row r="65" ht="15.75" customHeight="1">
      <c r="A65" s="91"/>
      <c r="B65" s="198">
        <v>19.0</v>
      </c>
      <c r="C65" s="97" t="s">
        <v>1122</v>
      </c>
      <c r="D65" s="94"/>
      <c r="E65" s="139" t="s">
        <v>2401</v>
      </c>
      <c r="F65" s="139" t="s">
        <v>2402</v>
      </c>
      <c r="G65" s="94"/>
      <c r="H65" s="93" t="s">
        <v>46</v>
      </c>
      <c r="I65" s="102" t="s">
        <v>181</v>
      </c>
      <c r="J65" s="94"/>
      <c r="K65" s="202">
        <v>10500.0</v>
      </c>
      <c r="L65" s="202">
        <v>3000.0</v>
      </c>
      <c r="M65" s="99"/>
      <c r="N65" s="100" t="s">
        <v>45</v>
      </c>
      <c r="O65" s="101" t="s">
        <v>396</v>
      </c>
      <c r="P65" s="94"/>
      <c r="Q65" s="102">
        <v>6.0</v>
      </c>
      <c r="R65" s="113"/>
      <c r="S65" s="102" t="s">
        <v>105</v>
      </c>
      <c r="T65" s="102" t="s">
        <v>2403</v>
      </c>
      <c r="V65" s="104"/>
    </row>
    <row r="66" ht="15.75" customHeight="1">
      <c r="A66" s="91"/>
      <c r="B66" s="198">
        <v>19.0</v>
      </c>
      <c r="C66" s="102" t="s">
        <v>2404</v>
      </c>
      <c r="D66" s="94"/>
      <c r="E66" s="139" t="s">
        <v>2405</v>
      </c>
      <c r="F66" s="139" t="s">
        <v>2406</v>
      </c>
      <c r="G66" s="94"/>
      <c r="H66" s="93" t="s">
        <v>46</v>
      </c>
      <c r="I66" s="102" t="s">
        <v>88</v>
      </c>
      <c r="J66" s="94"/>
      <c r="K66" s="98"/>
      <c r="L66" s="98"/>
      <c r="M66" s="99"/>
      <c r="N66" s="100" t="s">
        <v>45</v>
      </c>
      <c r="O66" s="101" t="s">
        <v>396</v>
      </c>
      <c r="P66" s="94"/>
      <c r="Q66" s="102"/>
      <c r="R66" s="103"/>
      <c r="S66" s="102" t="s">
        <v>383</v>
      </c>
      <c r="T66" s="102" t="s">
        <v>2407</v>
      </c>
      <c r="V66" s="104"/>
    </row>
    <row r="67" ht="15.75" customHeight="1">
      <c r="A67" s="91"/>
      <c r="B67" s="198">
        <v>19.0</v>
      </c>
      <c r="C67" s="102" t="s">
        <v>220</v>
      </c>
      <c r="D67" s="94"/>
      <c r="E67" s="139" t="s">
        <v>2408</v>
      </c>
      <c r="F67" s="139" t="s">
        <v>2409</v>
      </c>
      <c r="G67" s="94"/>
      <c r="H67" s="93" t="s">
        <v>46</v>
      </c>
      <c r="I67" s="102" t="s">
        <v>181</v>
      </c>
      <c r="J67" s="94"/>
      <c r="K67" s="202">
        <v>10500.0</v>
      </c>
      <c r="L67" s="202">
        <v>3000.0</v>
      </c>
      <c r="M67" s="99"/>
      <c r="N67" s="100"/>
      <c r="O67" s="101"/>
      <c r="P67" s="94"/>
      <c r="Q67" s="102">
        <v>6.0</v>
      </c>
      <c r="R67" s="113"/>
      <c r="S67" s="102" t="s">
        <v>105</v>
      </c>
      <c r="T67" s="102" t="s">
        <v>2403</v>
      </c>
      <c r="V67" s="104"/>
    </row>
    <row r="68" ht="15.75" customHeight="1">
      <c r="A68" s="91"/>
      <c r="B68" s="198">
        <v>19.0</v>
      </c>
      <c r="C68" s="102" t="s">
        <v>483</v>
      </c>
      <c r="D68" s="94"/>
      <c r="E68" s="139" t="s">
        <v>2410</v>
      </c>
      <c r="F68" s="139" t="s">
        <v>2411</v>
      </c>
      <c r="G68" s="94"/>
      <c r="H68" s="93" t="s">
        <v>46</v>
      </c>
      <c r="I68" s="102" t="s">
        <v>88</v>
      </c>
      <c r="J68" s="94"/>
      <c r="K68" s="108"/>
      <c r="L68" s="108"/>
      <c r="M68" s="99"/>
      <c r="N68" s="100" t="s">
        <v>45</v>
      </c>
      <c r="O68" s="101" t="s">
        <v>396</v>
      </c>
      <c r="P68" s="94"/>
      <c r="Q68" s="94"/>
      <c r="R68" s="113"/>
      <c r="S68" s="102" t="s">
        <v>383</v>
      </c>
      <c r="T68" s="102" t="s">
        <v>2412</v>
      </c>
      <c r="V68" s="104"/>
    </row>
    <row r="69" ht="15.75" customHeight="1">
      <c r="A69" s="91"/>
      <c r="B69" s="198">
        <v>19.0</v>
      </c>
      <c r="C69" s="97" t="s">
        <v>677</v>
      </c>
      <c r="D69" s="94"/>
      <c r="E69" s="139" t="s">
        <v>2413</v>
      </c>
      <c r="F69" s="139" t="s">
        <v>2414</v>
      </c>
      <c r="G69" s="94"/>
      <c r="H69" s="93" t="s">
        <v>46</v>
      </c>
      <c r="I69" s="102" t="s">
        <v>591</v>
      </c>
      <c r="J69" s="94"/>
      <c r="K69" s="98"/>
      <c r="L69" s="98"/>
      <c r="M69" s="99"/>
      <c r="N69" s="100"/>
      <c r="O69" s="101"/>
      <c r="P69" s="94"/>
      <c r="Q69" s="94"/>
      <c r="R69" s="113"/>
      <c r="S69" s="102" t="s">
        <v>90</v>
      </c>
      <c r="T69" s="102" t="s">
        <v>2415</v>
      </c>
      <c r="V69" s="104"/>
    </row>
    <row r="70" ht="15.75" customHeight="1">
      <c r="A70" s="91"/>
      <c r="B70" s="198">
        <v>20.0</v>
      </c>
      <c r="C70" s="97" t="s">
        <v>410</v>
      </c>
      <c r="D70" s="94"/>
      <c r="E70" s="139" t="s">
        <v>2416</v>
      </c>
      <c r="F70" s="139" t="s">
        <v>2417</v>
      </c>
      <c r="G70" s="94"/>
      <c r="H70" s="93" t="s">
        <v>46</v>
      </c>
      <c r="I70" s="102" t="s">
        <v>131</v>
      </c>
      <c r="J70" s="94"/>
      <c r="K70" s="108"/>
      <c r="L70" s="108"/>
      <c r="M70" s="99"/>
      <c r="N70" s="100"/>
      <c r="O70" s="101"/>
      <c r="P70" s="94"/>
      <c r="Q70" s="94"/>
      <c r="R70" s="113"/>
      <c r="S70" s="102"/>
      <c r="T70" s="102"/>
      <c r="V70" s="104"/>
    </row>
    <row r="71" ht="15.75" customHeight="1">
      <c r="A71" s="91"/>
      <c r="B71" s="198">
        <v>20.0</v>
      </c>
      <c r="C71" s="97" t="s">
        <v>531</v>
      </c>
      <c r="D71" s="94"/>
      <c r="E71" s="139" t="s">
        <v>2418</v>
      </c>
      <c r="F71" s="139" t="s">
        <v>2419</v>
      </c>
      <c r="G71" s="94"/>
      <c r="H71" s="93" t="s">
        <v>46</v>
      </c>
      <c r="I71" s="102" t="s">
        <v>88</v>
      </c>
      <c r="J71" s="94"/>
      <c r="K71" s="98"/>
      <c r="L71" s="98"/>
      <c r="M71" s="99"/>
      <c r="N71" s="100" t="s">
        <v>45</v>
      </c>
      <c r="O71" s="101" t="s">
        <v>2420</v>
      </c>
      <c r="P71" s="94"/>
      <c r="Q71" s="109"/>
      <c r="R71" s="106"/>
      <c r="S71" s="102" t="s">
        <v>383</v>
      </c>
      <c r="T71" s="102"/>
      <c r="V71" s="104"/>
    </row>
    <row r="72" ht="15.75" customHeight="1">
      <c r="A72" s="91"/>
      <c r="B72" s="198">
        <v>20.0</v>
      </c>
      <c r="C72" s="97" t="s">
        <v>2421</v>
      </c>
      <c r="D72" s="94"/>
      <c r="E72" s="139" t="s">
        <v>2422</v>
      </c>
      <c r="F72" s="139" t="s">
        <v>2423</v>
      </c>
      <c r="G72" s="94"/>
      <c r="H72" s="93" t="s">
        <v>46</v>
      </c>
      <c r="I72" s="102" t="s">
        <v>110</v>
      </c>
      <c r="J72" s="94"/>
      <c r="K72" s="108"/>
      <c r="L72" s="108"/>
      <c r="M72" s="99"/>
      <c r="N72" s="100"/>
      <c r="O72" s="101"/>
      <c r="P72" s="94"/>
      <c r="Q72" s="117"/>
      <c r="R72" s="103"/>
      <c r="S72" s="102"/>
      <c r="T72" s="102" t="s">
        <v>2424</v>
      </c>
      <c r="V72" s="104"/>
    </row>
    <row r="73" ht="15.75" customHeight="1">
      <c r="A73" s="91"/>
      <c r="B73" s="198">
        <v>20.0</v>
      </c>
      <c r="C73" s="97" t="s">
        <v>559</v>
      </c>
      <c r="D73" s="94"/>
      <c r="E73" s="139" t="s">
        <v>2425</v>
      </c>
      <c r="F73" s="139" t="s">
        <v>2426</v>
      </c>
      <c r="G73" s="94"/>
      <c r="H73" s="93" t="s">
        <v>46</v>
      </c>
      <c r="I73" s="102" t="s">
        <v>110</v>
      </c>
      <c r="J73" s="94"/>
      <c r="K73" s="98"/>
      <c r="L73" s="98"/>
      <c r="M73" s="99"/>
      <c r="N73" s="100"/>
      <c r="O73" s="101"/>
      <c r="P73" s="94"/>
      <c r="Q73" s="102"/>
      <c r="R73" s="103"/>
      <c r="S73" s="102"/>
      <c r="T73" s="102" t="s">
        <v>2427</v>
      </c>
      <c r="V73" s="104"/>
    </row>
    <row r="74" ht="15.75" customHeight="1">
      <c r="A74" s="91"/>
      <c r="B74" s="198">
        <v>20.0</v>
      </c>
      <c r="C74" s="102" t="s">
        <v>654</v>
      </c>
      <c r="D74" s="94"/>
      <c r="E74" s="139" t="s">
        <v>2428</v>
      </c>
      <c r="F74" s="139" t="s">
        <v>2429</v>
      </c>
      <c r="G74" s="94"/>
      <c r="H74" s="93" t="s">
        <v>46</v>
      </c>
      <c r="I74" s="102" t="s">
        <v>181</v>
      </c>
      <c r="J74" s="94"/>
      <c r="K74" s="202">
        <v>10500.0</v>
      </c>
      <c r="L74" s="202">
        <v>3000.0</v>
      </c>
      <c r="M74" s="99"/>
      <c r="N74" s="100"/>
      <c r="O74" s="101"/>
      <c r="P74" s="94"/>
      <c r="Q74" s="102">
        <v>6.0</v>
      </c>
      <c r="R74" s="113"/>
      <c r="S74" s="102" t="s">
        <v>105</v>
      </c>
      <c r="T74" s="102"/>
      <c r="V74" s="104"/>
    </row>
    <row r="75" ht="15.75" customHeight="1">
      <c r="A75" s="91"/>
      <c r="B75" s="198">
        <v>20.0</v>
      </c>
      <c r="C75" s="97" t="s">
        <v>616</v>
      </c>
      <c r="D75" s="94"/>
      <c r="E75" s="139" t="s">
        <v>2430</v>
      </c>
      <c r="F75" s="139" t="s">
        <v>2431</v>
      </c>
      <c r="G75" s="94"/>
      <c r="H75" s="93" t="s">
        <v>46</v>
      </c>
      <c r="I75" s="102" t="s">
        <v>88</v>
      </c>
      <c r="J75" s="94"/>
      <c r="K75" s="98"/>
      <c r="L75" s="98"/>
      <c r="M75" s="99"/>
      <c r="N75" s="100" t="s">
        <v>45</v>
      </c>
      <c r="O75" s="101" t="s">
        <v>396</v>
      </c>
      <c r="P75" s="94"/>
      <c r="Q75" s="102"/>
      <c r="R75" s="113"/>
      <c r="S75" s="102" t="s">
        <v>383</v>
      </c>
      <c r="T75" s="102" t="s">
        <v>2432</v>
      </c>
      <c r="V75" s="104"/>
    </row>
    <row r="76" ht="15.75" customHeight="1">
      <c r="A76" s="91"/>
      <c r="B76" s="198">
        <v>21.0</v>
      </c>
      <c r="C76" s="121" t="s">
        <v>252</v>
      </c>
      <c r="D76" s="94"/>
      <c r="E76" s="139" t="s">
        <v>2433</v>
      </c>
      <c r="F76" s="139" t="s">
        <v>2434</v>
      </c>
      <c r="G76" s="94"/>
      <c r="H76" s="93" t="s">
        <v>46</v>
      </c>
      <c r="I76" s="102" t="s">
        <v>103</v>
      </c>
      <c r="J76" s="94"/>
      <c r="K76" s="98">
        <v>6000.0</v>
      </c>
      <c r="L76" s="98">
        <v>6000.0</v>
      </c>
      <c r="M76" s="99"/>
      <c r="N76" s="100"/>
      <c r="O76" s="101"/>
      <c r="P76" s="94"/>
      <c r="Q76" s="102">
        <v>4.0</v>
      </c>
      <c r="R76" s="113"/>
      <c r="S76" s="102" t="s">
        <v>105</v>
      </c>
      <c r="T76" s="102"/>
      <c r="V76" s="104"/>
    </row>
    <row r="77" ht="15.75" customHeight="1">
      <c r="A77" s="91"/>
      <c r="B77" s="198">
        <v>21.0</v>
      </c>
      <c r="C77" s="97" t="s">
        <v>322</v>
      </c>
      <c r="D77" s="94"/>
      <c r="E77" s="139" t="s">
        <v>2435</v>
      </c>
      <c r="F77" s="139" t="s">
        <v>2436</v>
      </c>
      <c r="G77" s="94"/>
      <c r="H77" s="93" t="s">
        <v>46</v>
      </c>
      <c r="I77" s="102" t="s">
        <v>88</v>
      </c>
      <c r="J77" s="94"/>
      <c r="K77" s="98"/>
      <c r="L77" s="98"/>
      <c r="M77" s="99"/>
      <c r="N77" s="100" t="s">
        <v>60</v>
      </c>
      <c r="O77" s="101" t="s">
        <v>2360</v>
      </c>
      <c r="P77" s="94"/>
      <c r="Q77" s="102"/>
      <c r="R77" s="103"/>
      <c r="S77" s="102" t="s">
        <v>383</v>
      </c>
      <c r="T77" s="102" t="s">
        <v>2437</v>
      </c>
      <c r="V77" s="104"/>
    </row>
    <row r="78" ht="15.75" customHeight="1">
      <c r="A78" s="91"/>
      <c r="B78" s="198">
        <v>22.0</v>
      </c>
      <c r="C78" s="121" t="s">
        <v>360</v>
      </c>
      <c r="D78" s="94"/>
      <c r="E78" s="139" t="s">
        <v>2438</v>
      </c>
      <c r="F78" s="238" t="s">
        <v>2439</v>
      </c>
      <c r="G78" s="94"/>
      <c r="H78" s="93" t="s">
        <v>46</v>
      </c>
      <c r="I78" s="102" t="s">
        <v>88</v>
      </c>
      <c r="J78" s="94"/>
      <c r="K78" s="108"/>
      <c r="L78" s="108"/>
      <c r="M78" s="99"/>
      <c r="N78" s="100" t="s">
        <v>45</v>
      </c>
      <c r="O78" s="101" t="s">
        <v>2440</v>
      </c>
      <c r="P78" s="94"/>
      <c r="Q78" s="117"/>
      <c r="R78" s="123"/>
      <c r="S78" s="102" t="s">
        <v>383</v>
      </c>
      <c r="T78" s="102" t="s">
        <v>2441</v>
      </c>
      <c r="V78" s="104"/>
    </row>
    <row r="79" ht="15.75" customHeight="1">
      <c r="A79" s="91"/>
      <c r="B79" s="198">
        <v>22.0</v>
      </c>
      <c r="C79" s="97" t="s">
        <v>915</v>
      </c>
      <c r="D79" s="94"/>
      <c r="E79" s="139" t="s">
        <v>2442</v>
      </c>
      <c r="F79" s="139" t="s">
        <v>2443</v>
      </c>
      <c r="G79" s="94"/>
      <c r="H79" s="93" t="s">
        <v>46</v>
      </c>
      <c r="I79" s="102" t="s">
        <v>88</v>
      </c>
      <c r="J79" s="94"/>
      <c r="K79" s="98"/>
      <c r="L79" s="98">
        <v>500.0</v>
      </c>
      <c r="M79" s="99"/>
      <c r="N79" s="100" t="s">
        <v>50</v>
      </c>
      <c r="O79" s="101"/>
      <c r="P79" s="94"/>
      <c r="Q79" s="117"/>
      <c r="R79" s="103"/>
      <c r="S79" s="102" t="s">
        <v>124</v>
      </c>
      <c r="T79" s="102" t="s">
        <v>2444</v>
      </c>
      <c r="V79" s="104"/>
    </row>
    <row r="80" ht="15.75" customHeight="1">
      <c r="A80" s="91"/>
      <c r="B80" s="198">
        <v>22.0</v>
      </c>
      <c r="C80" s="97" t="s">
        <v>2445</v>
      </c>
      <c r="D80" s="94"/>
      <c r="E80" s="139" t="s">
        <v>2446</v>
      </c>
      <c r="F80" s="139" t="s">
        <v>2447</v>
      </c>
      <c r="G80" s="94"/>
      <c r="H80" s="93" t="s">
        <v>46</v>
      </c>
      <c r="I80" s="102" t="s">
        <v>88</v>
      </c>
      <c r="J80" s="94"/>
      <c r="K80" s="98"/>
      <c r="L80" s="98"/>
      <c r="M80" s="99"/>
      <c r="N80" s="100" t="s">
        <v>45</v>
      </c>
      <c r="O80" s="101" t="s">
        <v>396</v>
      </c>
      <c r="P80" s="94"/>
      <c r="Q80" s="102"/>
      <c r="R80" s="103"/>
      <c r="S80" s="102" t="s">
        <v>383</v>
      </c>
      <c r="T80" s="102" t="s">
        <v>2448</v>
      </c>
      <c r="V80" s="104"/>
    </row>
    <row r="81" ht="15.75" customHeight="1">
      <c r="A81" s="91"/>
      <c r="B81" s="198">
        <v>22.0</v>
      </c>
      <c r="C81" s="97" t="s">
        <v>2449</v>
      </c>
      <c r="D81" s="94"/>
      <c r="E81" s="139" t="s">
        <v>2450</v>
      </c>
      <c r="F81" s="139" t="s">
        <v>2451</v>
      </c>
      <c r="G81" s="94"/>
      <c r="H81" s="93" t="s">
        <v>46</v>
      </c>
      <c r="I81" s="102" t="s">
        <v>181</v>
      </c>
      <c r="J81" s="94"/>
      <c r="K81" s="202">
        <v>10500.0</v>
      </c>
      <c r="L81" s="202">
        <v>3000.0</v>
      </c>
      <c r="M81" s="99"/>
      <c r="N81" s="100"/>
      <c r="O81" s="101"/>
      <c r="P81" s="94"/>
      <c r="Q81" s="102">
        <v>6.0</v>
      </c>
      <c r="R81" s="113"/>
      <c r="S81" s="102" t="s">
        <v>105</v>
      </c>
      <c r="T81" s="102"/>
      <c r="V81" s="104"/>
    </row>
    <row r="82" ht="15.75" customHeight="1">
      <c r="A82" s="91"/>
      <c r="B82" s="198">
        <v>22.0</v>
      </c>
      <c r="C82" s="102" t="s">
        <v>514</v>
      </c>
      <c r="D82" s="94"/>
      <c r="E82" s="139" t="s">
        <v>2452</v>
      </c>
      <c r="F82" s="139" t="s">
        <v>2453</v>
      </c>
      <c r="G82" s="94"/>
      <c r="H82" s="93" t="s">
        <v>46</v>
      </c>
      <c r="I82" s="102" t="s">
        <v>88</v>
      </c>
      <c r="J82" s="94"/>
      <c r="K82" s="108"/>
      <c r="L82" s="108"/>
      <c r="M82" s="99"/>
      <c r="N82" s="100" t="s">
        <v>65</v>
      </c>
      <c r="O82" s="101" t="s">
        <v>2454</v>
      </c>
      <c r="P82" s="94"/>
      <c r="Q82" s="109"/>
      <c r="R82" s="103"/>
      <c r="S82" s="102" t="s">
        <v>383</v>
      </c>
      <c r="T82" s="102" t="s">
        <v>2455</v>
      </c>
      <c r="V82" s="104"/>
    </row>
    <row r="83" ht="15.75" customHeight="1">
      <c r="A83" s="91"/>
      <c r="B83" s="198">
        <v>23.0</v>
      </c>
      <c r="C83" s="121" t="s">
        <v>490</v>
      </c>
      <c r="D83" s="94"/>
      <c r="E83" s="139" t="s">
        <v>2456</v>
      </c>
      <c r="F83" s="139" t="s">
        <v>2457</v>
      </c>
      <c r="G83" s="94"/>
      <c r="H83" s="93" t="s">
        <v>46</v>
      </c>
      <c r="I83" s="102" t="s">
        <v>88</v>
      </c>
      <c r="J83" s="94"/>
      <c r="K83" s="98"/>
      <c r="L83" s="98"/>
      <c r="M83" s="99"/>
      <c r="N83" s="100" t="s">
        <v>45</v>
      </c>
      <c r="O83" s="101" t="s">
        <v>396</v>
      </c>
      <c r="P83" s="94"/>
      <c r="Q83" s="102"/>
      <c r="R83" s="113"/>
      <c r="S83" s="102" t="s">
        <v>383</v>
      </c>
      <c r="T83" s="102" t="s">
        <v>2458</v>
      </c>
      <c r="V83" s="104"/>
    </row>
    <row r="84" ht="15.75" customHeight="1">
      <c r="A84" s="91"/>
      <c r="B84" s="198">
        <v>23.0</v>
      </c>
      <c r="C84" s="121" t="s">
        <v>390</v>
      </c>
      <c r="D84" s="94"/>
      <c r="E84" s="139" t="s">
        <v>2459</v>
      </c>
      <c r="F84" s="139" t="s">
        <v>2460</v>
      </c>
      <c r="G84" s="94"/>
      <c r="H84" s="93" t="s">
        <v>46</v>
      </c>
      <c r="I84" s="102" t="s">
        <v>232</v>
      </c>
      <c r="J84" s="94"/>
      <c r="K84" s="108"/>
      <c r="L84" s="108"/>
      <c r="M84" s="99"/>
      <c r="N84" s="100" t="s">
        <v>45</v>
      </c>
      <c r="O84" s="101"/>
      <c r="P84" s="94"/>
      <c r="Q84" s="109"/>
      <c r="R84" s="103"/>
      <c r="S84" s="102" t="s">
        <v>404</v>
      </c>
      <c r="T84" s="102" t="s">
        <v>2461</v>
      </c>
      <c r="V84" s="104"/>
    </row>
    <row r="85" ht="15.75" customHeight="1">
      <c r="A85" s="91"/>
      <c r="B85" s="198">
        <v>23.0</v>
      </c>
      <c r="C85" s="121" t="s">
        <v>616</v>
      </c>
      <c r="D85" s="94"/>
      <c r="E85" s="139" t="s">
        <v>2462</v>
      </c>
      <c r="F85" s="139" t="s">
        <v>2463</v>
      </c>
      <c r="G85" s="94"/>
      <c r="H85" s="93" t="s">
        <v>46</v>
      </c>
      <c r="I85" s="102" t="s">
        <v>88</v>
      </c>
      <c r="J85" s="94"/>
      <c r="K85" s="98"/>
      <c r="L85" s="98"/>
      <c r="M85" s="99"/>
      <c r="N85" s="100" t="s">
        <v>45</v>
      </c>
      <c r="O85" s="101" t="s">
        <v>2464</v>
      </c>
      <c r="P85" s="94"/>
      <c r="Q85" s="102"/>
      <c r="R85" s="113"/>
      <c r="S85" s="102" t="s">
        <v>383</v>
      </c>
      <c r="T85" s="102" t="s">
        <v>2465</v>
      </c>
      <c r="V85" s="104"/>
    </row>
    <row r="86" ht="15.75" customHeight="1">
      <c r="A86" s="91"/>
      <c r="B86" s="198">
        <v>23.0</v>
      </c>
      <c r="C86" s="121" t="s">
        <v>291</v>
      </c>
      <c r="D86" s="94"/>
      <c r="E86" s="139" t="s">
        <v>2466</v>
      </c>
      <c r="F86" s="139" t="s">
        <v>2467</v>
      </c>
      <c r="G86" s="94"/>
      <c r="H86" s="93" t="s">
        <v>46</v>
      </c>
      <c r="I86" s="102" t="s">
        <v>181</v>
      </c>
      <c r="J86" s="94"/>
      <c r="K86" s="202">
        <v>10500.0</v>
      </c>
      <c r="L86" s="202">
        <v>3000.0</v>
      </c>
      <c r="M86" s="99"/>
      <c r="N86" s="111"/>
      <c r="O86" s="112"/>
      <c r="P86" s="94"/>
      <c r="Q86" s="102">
        <v>6.0</v>
      </c>
      <c r="R86" s="113"/>
      <c r="S86" s="102" t="s">
        <v>105</v>
      </c>
      <c r="T86" s="94"/>
      <c r="V86" s="104"/>
    </row>
    <row r="87" ht="15.75" customHeight="1">
      <c r="A87" s="91"/>
      <c r="B87" s="198">
        <v>23.0</v>
      </c>
      <c r="C87" s="121" t="s">
        <v>344</v>
      </c>
      <c r="D87" s="94"/>
      <c r="E87" s="139" t="s">
        <v>2468</v>
      </c>
      <c r="F87" s="139" t="s">
        <v>2469</v>
      </c>
      <c r="G87" s="94"/>
      <c r="H87" s="93" t="s">
        <v>46</v>
      </c>
      <c r="I87" s="102" t="s">
        <v>88</v>
      </c>
      <c r="J87" s="94"/>
      <c r="K87" s="98"/>
      <c r="L87" s="98"/>
      <c r="M87" s="99"/>
      <c r="N87" s="100" t="s">
        <v>50</v>
      </c>
      <c r="O87" s="101"/>
      <c r="P87" s="94"/>
      <c r="Q87" s="94"/>
      <c r="R87" s="113"/>
      <c r="S87" s="102" t="s">
        <v>404</v>
      </c>
      <c r="T87" s="102" t="s">
        <v>2470</v>
      </c>
      <c r="V87" s="104"/>
    </row>
    <row r="88" ht="15.75" customHeight="1">
      <c r="A88" s="91"/>
      <c r="B88" s="198">
        <v>25.0</v>
      </c>
      <c r="C88" s="121" t="s">
        <v>410</v>
      </c>
      <c r="D88" s="94"/>
      <c r="E88" s="139" t="s">
        <v>2471</v>
      </c>
      <c r="F88" s="139" t="s">
        <v>2472</v>
      </c>
      <c r="G88" s="94"/>
      <c r="H88" s="93" t="s">
        <v>46</v>
      </c>
      <c r="I88" s="102" t="s">
        <v>88</v>
      </c>
      <c r="J88" s="94"/>
      <c r="K88" s="98"/>
      <c r="L88" s="98"/>
      <c r="M88" s="99"/>
      <c r="N88" s="100" t="s">
        <v>45</v>
      </c>
      <c r="O88" s="101" t="s">
        <v>396</v>
      </c>
      <c r="P88" s="94"/>
      <c r="Q88" s="102"/>
      <c r="R88" s="106"/>
      <c r="S88" s="102" t="s">
        <v>383</v>
      </c>
      <c r="T88" s="102" t="s">
        <v>2473</v>
      </c>
      <c r="V88" s="104"/>
    </row>
    <row r="89" ht="15.75" customHeight="1">
      <c r="A89" s="91"/>
      <c r="B89" s="198">
        <v>25.0</v>
      </c>
      <c r="C89" s="121" t="s">
        <v>1067</v>
      </c>
      <c r="D89" s="94"/>
      <c r="E89" s="139" t="s">
        <v>2474</v>
      </c>
      <c r="F89" s="139" t="s">
        <v>2475</v>
      </c>
      <c r="G89" s="94"/>
      <c r="H89" s="93" t="s">
        <v>46</v>
      </c>
      <c r="I89" s="102" t="s">
        <v>131</v>
      </c>
      <c r="J89" s="94"/>
      <c r="K89" s="98"/>
      <c r="L89" s="98"/>
      <c r="M89" s="99"/>
      <c r="N89" s="100"/>
      <c r="O89" s="101"/>
      <c r="P89" s="94"/>
      <c r="Q89" s="117"/>
      <c r="R89" s="106"/>
      <c r="S89" s="102"/>
      <c r="T89" s="102"/>
      <c r="V89" s="104"/>
    </row>
    <row r="90" ht="15.75" customHeight="1">
      <c r="A90" s="91"/>
      <c r="B90" s="198">
        <v>25.0</v>
      </c>
      <c r="C90" s="121" t="s">
        <v>616</v>
      </c>
      <c r="D90" s="94"/>
      <c r="E90" s="139" t="s">
        <v>2476</v>
      </c>
      <c r="F90" s="139" t="s">
        <v>2477</v>
      </c>
      <c r="G90" s="94"/>
      <c r="H90" s="93" t="s">
        <v>46</v>
      </c>
      <c r="I90" s="102" t="s">
        <v>88</v>
      </c>
      <c r="J90" s="94"/>
      <c r="K90" s="98"/>
      <c r="L90" s="98"/>
      <c r="M90" s="99"/>
      <c r="N90" s="100" t="s">
        <v>98</v>
      </c>
      <c r="O90" s="101" t="s">
        <v>647</v>
      </c>
      <c r="P90" s="94"/>
      <c r="Q90" s="102"/>
      <c r="R90" s="113"/>
      <c r="S90" s="240" t="s">
        <v>383</v>
      </c>
      <c r="T90" s="102" t="s">
        <v>2478</v>
      </c>
      <c r="V90" s="104"/>
    </row>
    <row r="91" ht="15.75" customHeight="1">
      <c r="A91" s="91"/>
      <c r="B91" s="198">
        <v>25.0</v>
      </c>
      <c r="C91" s="102" t="s">
        <v>514</v>
      </c>
      <c r="D91" s="94"/>
      <c r="E91" s="139" t="s">
        <v>2479</v>
      </c>
      <c r="F91" s="139" t="s">
        <v>2480</v>
      </c>
      <c r="G91" s="94"/>
      <c r="H91" s="93" t="s">
        <v>46</v>
      </c>
      <c r="I91" s="102" t="s">
        <v>88</v>
      </c>
      <c r="J91" s="94"/>
      <c r="K91" s="98"/>
      <c r="L91" s="98"/>
      <c r="M91" s="99"/>
      <c r="N91" s="100" t="s">
        <v>98</v>
      </c>
      <c r="O91" s="112"/>
      <c r="P91" s="94"/>
      <c r="Q91" s="117"/>
      <c r="R91" s="103"/>
      <c r="S91" s="102" t="s">
        <v>404</v>
      </c>
      <c r="T91" s="102" t="s">
        <v>2481</v>
      </c>
      <c r="V91" s="104"/>
    </row>
    <row r="92" ht="15.75" customHeight="1">
      <c r="A92" s="91"/>
      <c r="B92" s="198">
        <v>25.0</v>
      </c>
      <c r="C92" s="103" t="s">
        <v>360</v>
      </c>
      <c r="D92" s="94"/>
      <c r="E92" s="139" t="s">
        <v>2482</v>
      </c>
      <c r="F92" s="139" t="s">
        <v>2483</v>
      </c>
      <c r="G92" s="94"/>
      <c r="H92" s="93" t="s">
        <v>46</v>
      </c>
      <c r="I92" s="102" t="s">
        <v>88</v>
      </c>
      <c r="J92" s="94"/>
      <c r="K92" s="108"/>
      <c r="L92" s="108"/>
      <c r="M92" s="99"/>
      <c r="N92" s="100" t="s">
        <v>60</v>
      </c>
      <c r="O92" s="101" t="s">
        <v>1179</v>
      </c>
      <c r="P92" s="94"/>
      <c r="Q92" s="117"/>
      <c r="R92" s="113"/>
      <c r="S92" s="102" t="s">
        <v>124</v>
      </c>
      <c r="T92" s="241" t="s">
        <v>2484</v>
      </c>
      <c r="V92" s="104"/>
    </row>
    <row r="93" ht="15.75" customHeight="1">
      <c r="A93" s="91"/>
      <c r="B93" s="198">
        <v>25.0</v>
      </c>
      <c r="C93" s="93" t="s">
        <v>949</v>
      </c>
      <c r="D93" s="94"/>
      <c r="E93" s="139" t="s">
        <v>2485</v>
      </c>
      <c r="F93" s="139" t="s">
        <v>2486</v>
      </c>
      <c r="G93" s="94"/>
      <c r="H93" s="93" t="s">
        <v>46</v>
      </c>
      <c r="I93" s="102" t="s">
        <v>110</v>
      </c>
      <c r="J93" s="94"/>
      <c r="K93" s="98"/>
      <c r="L93" s="98"/>
      <c r="M93" s="99"/>
      <c r="N93" s="111"/>
      <c r="O93" s="112"/>
      <c r="P93" s="94"/>
      <c r="Q93" s="102"/>
      <c r="R93" s="103"/>
      <c r="S93" s="102"/>
      <c r="T93" s="102"/>
      <c r="V93" s="104"/>
    </row>
    <row r="94" ht="15.75" customHeight="1">
      <c r="A94" s="91"/>
      <c r="B94" s="198">
        <v>25.0</v>
      </c>
      <c r="C94" s="93" t="s">
        <v>220</v>
      </c>
      <c r="D94" s="94"/>
      <c r="E94" s="139" t="s">
        <v>2487</v>
      </c>
      <c r="F94" s="139" t="s">
        <v>2488</v>
      </c>
      <c r="G94" s="94"/>
      <c r="H94" s="93" t="s">
        <v>46</v>
      </c>
      <c r="I94" s="102" t="s">
        <v>88</v>
      </c>
      <c r="J94" s="94"/>
      <c r="K94" s="98"/>
      <c r="L94" s="98"/>
      <c r="M94" s="99"/>
      <c r="N94" s="100" t="s">
        <v>45</v>
      </c>
      <c r="O94" s="101" t="s">
        <v>584</v>
      </c>
      <c r="P94" s="94"/>
      <c r="Q94" s="102"/>
      <c r="R94" s="113"/>
      <c r="S94" s="102" t="s">
        <v>383</v>
      </c>
      <c r="T94" s="102" t="s">
        <v>2489</v>
      </c>
      <c r="V94" s="104"/>
    </row>
    <row r="95" ht="15.75" customHeight="1">
      <c r="A95" s="91"/>
      <c r="B95" s="198">
        <v>25.0</v>
      </c>
      <c r="C95" s="93" t="s">
        <v>360</v>
      </c>
      <c r="D95" s="94"/>
      <c r="E95" s="139" t="s">
        <v>2490</v>
      </c>
      <c r="F95" s="139" t="s">
        <v>2491</v>
      </c>
      <c r="G95" s="94"/>
      <c r="H95" s="93" t="s">
        <v>46</v>
      </c>
      <c r="I95" s="102" t="s">
        <v>110</v>
      </c>
      <c r="J95" s="94"/>
      <c r="K95" s="98"/>
      <c r="L95" s="98"/>
      <c r="M95" s="99"/>
      <c r="N95" s="111"/>
      <c r="O95" s="112"/>
      <c r="P95" s="94"/>
      <c r="Q95" s="102"/>
      <c r="R95" s="103"/>
      <c r="S95" s="102"/>
      <c r="T95" s="102" t="s">
        <v>2492</v>
      </c>
      <c r="V95" s="104"/>
    </row>
    <row r="96" ht="15.75" customHeight="1">
      <c r="A96" s="91"/>
      <c r="B96" s="198">
        <v>25.0</v>
      </c>
      <c r="C96" s="93" t="s">
        <v>2493</v>
      </c>
      <c r="D96" s="94"/>
      <c r="E96" s="139" t="s">
        <v>2494</v>
      </c>
      <c r="F96" s="139" t="s">
        <v>2495</v>
      </c>
      <c r="G96" s="94"/>
      <c r="H96" s="93" t="s">
        <v>46</v>
      </c>
      <c r="I96" s="102" t="s">
        <v>131</v>
      </c>
      <c r="J96" s="94"/>
      <c r="K96" s="98"/>
      <c r="L96" s="98"/>
      <c r="M96" s="99"/>
      <c r="N96" s="100"/>
      <c r="O96" s="112"/>
      <c r="P96" s="94"/>
      <c r="Q96" s="102"/>
      <c r="R96" s="103"/>
      <c r="S96" s="102"/>
      <c r="T96" s="102"/>
      <c r="V96" s="104"/>
    </row>
    <row r="97" ht="15.75" customHeight="1">
      <c r="A97" s="91"/>
      <c r="B97" s="198">
        <v>26.0</v>
      </c>
      <c r="C97" s="93" t="s">
        <v>1518</v>
      </c>
      <c r="D97" s="94"/>
      <c r="E97" s="139" t="s">
        <v>2496</v>
      </c>
      <c r="F97" s="139" t="s">
        <v>2497</v>
      </c>
      <c r="G97" s="94"/>
      <c r="H97" s="93" t="s">
        <v>46</v>
      </c>
      <c r="I97" s="102" t="s">
        <v>103</v>
      </c>
      <c r="J97" s="94"/>
      <c r="K97" s="202">
        <v>9000.0</v>
      </c>
      <c r="L97" s="202">
        <v>9000.0</v>
      </c>
      <c r="M97" s="99"/>
      <c r="N97" s="100"/>
      <c r="O97" s="101"/>
      <c r="P97" s="94"/>
      <c r="Q97" s="102">
        <v>6.0</v>
      </c>
      <c r="R97" s="103"/>
      <c r="S97" s="102" t="s">
        <v>105</v>
      </c>
      <c r="T97" s="102"/>
      <c r="V97" s="104"/>
    </row>
    <row r="98" ht="15.75" customHeight="1">
      <c r="A98" s="91"/>
      <c r="B98" s="198">
        <v>26.0</v>
      </c>
      <c r="C98" s="103" t="s">
        <v>1122</v>
      </c>
      <c r="D98" s="94"/>
      <c r="E98" s="139" t="s">
        <v>2498</v>
      </c>
      <c r="F98" s="139" t="s">
        <v>2499</v>
      </c>
      <c r="G98" s="94"/>
      <c r="H98" s="93" t="s">
        <v>46</v>
      </c>
      <c r="I98" s="102" t="s">
        <v>88</v>
      </c>
      <c r="J98" s="94"/>
      <c r="K98" s="108"/>
      <c r="L98" s="108"/>
      <c r="M98" s="99"/>
      <c r="N98" s="100" t="s">
        <v>45</v>
      </c>
      <c r="O98" s="101" t="s">
        <v>584</v>
      </c>
      <c r="P98" s="94"/>
      <c r="Q98" s="109"/>
      <c r="R98" s="103"/>
      <c r="S98" s="102" t="s">
        <v>124</v>
      </c>
      <c r="T98" s="102" t="s">
        <v>2500</v>
      </c>
      <c r="V98" s="104"/>
    </row>
    <row r="99" ht="15.75" customHeight="1">
      <c r="A99" s="91"/>
      <c r="B99" s="198">
        <v>26.0</v>
      </c>
      <c r="C99" s="103" t="s">
        <v>777</v>
      </c>
      <c r="D99" s="94"/>
      <c r="E99" s="139" t="s">
        <v>2501</v>
      </c>
      <c r="F99" s="139" t="s">
        <v>2502</v>
      </c>
      <c r="G99" s="94"/>
      <c r="H99" s="93" t="s">
        <v>46</v>
      </c>
      <c r="I99" s="102" t="s">
        <v>88</v>
      </c>
      <c r="J99" s="94"/>
      <c r="K99" s="98"/>
      <c r="L99" s="98"/>
      <c r="M99" s="99"/>
      <c r="N99" s="100" t="s">
        <v>45</v>
      </c>
      <c r="O99" s="101" t="s">
        <v>2503</v>
      </c>
      <c r="P99" s="94"/>
      <c r="Q99" s="102"/>
      <c r="R99" s="113"/>
      <c r="S99" s="102" t="s">
        <v>383</v>
      </c>
      <c r="T99" s="102" t="s">
        <v>2504</v>
      </c>
      <c r="V99" s="104"/>
    </row>
    <row r="100" ht="15.75" customHeight="1">
      <c r="A100" s="91"/>
      <c r="B100" s="198">
        <v>26.0</v>
      </c>
      <c r="C100" s="93" t="s">
        <v>2505</v>
      </c>
      <c r="D100" s="94"/>
      <c r="E100" s="139" t="s">
        <v>2506</v>
      </c>
      <c r="F100" s="139" t="s">
        <v>2507</v>
      </c>
      <c r="G100" s="94"/>
      <c r="H100" s="93" t="s">
        <v>46</v>
      </c>
      <c r="I100" s="102" t="s">
        <v>88</v>
      </c>
      <c r="J100" s="94"/>
      <c r="K100" s="108"/>
      <c r="L100" s="108"/>
      <c r="M100" s="99"/>
      <c r="N100" s="100" t="s">
        <v>60</v>
      </c>
      <c r="O100" s="101" t="s">
        <v>1950</v>
      </c>
      <c r="P100" s="94"/>
      <c r="Q100" s="109"/>
      <c r="R100" s="103"/>
      <c r="S100" s="102" t="s">
        <v>383</v>
      </c>
      <c r="T100" s="102" t="s">
        <v>2508</v>
      </c>
      <c r="V100" s="104"/>
    </row>
    <row r="101" ht="15.75" customHeight="1">
      <c r="A101" s="91"/>
      <c r="B101" s="93">
        <v>27.0</v>
      </c>
      <c r="C101" s="93" t="s">
        <v>318</v>
      </c>
      <c r="D101" s="94"/>
      <c r="E101" s="139" t="s">
        <v>2509</v>
      </c>
      <c r="F101" s="139" t="s">
        <v>2510</v>
      </c>
      <c r="G101" s="94"/>
      <c r="H101" s="93" t="s">
        <v>46</v>
      </c>
      <c r="I101" s="102" t="s">
        <v>181</v>
      </c>
      <c r="J101" s="94"/>
      <c r="K101" s="202">
        <v>10500.0</v>
      </c>
      <c r="L101" s="202">
        <v>3000.0</v>
      </c>
      <c r="M101" s="99"/>
      <c r="N101" s="100"/>
      <c r="O101" s="101"/>
      <c r="P101" s="94"/>
      <c r="Q101" s="102">
        <v>6.0</v>
      </c>
      <c r="R101" s="113"/>
      <c r="S101" s="102" t="s">
        <v>105</v>
      </c>
      <c r="T101" s="102"/>
      <c r="V101" s="104"/>
    </row>
    <row r="102" ht="15.75" customHeight="1">
      <c r="A102" s="91"/>
      <c r="B102" s="93">
        <v>27.0</v>
      </c>
      <c r="C102" s="93" t="s">
        <v>1346</v>
      </c>
      <c r="D102" s="94"/>
      <c r="E102" s="139" t="s">
        <v>2511</v>
      </c>
      <c r="F102" s="139" t="s">
        <v>2512</v>
      </c>
      <c r="G102" s="94"/>
      <c r="H102" s="93" t="s">
        <v>46</v>
      </c>
      <c r="I102" s="102" t="s">
        <v>88</v>
      </c>
      <c r="J102" s="94"/>
      <c r="K102" s="98"/>
      <c r="L102" s="98"/>
      <c r="M102" s="99"/>
      <c r="N102" s="100" t="s">
        <v>45</v>
      </c>
      <c r="O102" s="101" t="s">
        <v>2513</v>
      </c>
      <c r="P102" s="94"/>
      <c r="Q102" s="102"/>
      <c r="R102" s="103"/>
      <c r="S102" s="102" t="s">
        <v>383</v>
      </c>
      <c r="T102" s="102" t="s">
        <v>2514</v>
      </c>
      <c r="V102" s="104"/>
    </row>
    <row r="103" ht="15.75" customHeight="1">
      <c r="A103" s="91"/>
      <c r="B103" s="93">
        <v>27.0</v>
      </c>
      <c r="C103" s="93" t="s">
        <v>490</v>
      </c>
      <c r="D103" s="94"/>
      <c r="E103" s="139" t="s">
        <v>2515</v>
      </c>
      <c r="F103" s="139" t="s">
        <v>2516</v>
      </c>
      <c r="G103" s="94"/>
      <c r="H103" s="93" t="s">
        <v>46</v>
      </c>
      <c r="I103" s="102" t="s">
        <v>181</v>
      </c>
      <c r="J103" s="94"/>
      <c r="K103" s="202">
        <v>10500.0</v>
      </c>
      <c r="L103" s="202">
        <v>3000.0</v>
      </c>
      <c r="M103" s="99"/>
      <c r="N103" s="111"/>
      <c r="O103" s="112"/>
      <c r="P103" s="94"/>
      <c r="Q103" s="102">
        <v>6.0</v>
      </c>
      <c r="R103" s="113"/>
      <c r="S103" s="102" t="s">
        <v>105</v>
      </c>
      <c r="T103" s="94"/>
      <c r="V103" s="104"/>
    </row>
    <row r="104" ht="15.75" customHeight="1">
      <c r="A104" s="91"/>
      <c r="B104" s="93">
        <v>28.0</v>
      </c>
      <c r="C104" s="93" t="s">
        <v>543</v>
      </c>
      <c r="D104" s="94"/>
      <c r="E104" s="139" t="s">
        <v>2517</v>
      </c>
      <c r="F104" s="139" t="s">
        <v>2518</v>
      </c>
      <c r="G104" s="94"/>
      <c r="H104" s="93" t="s">
        <v>46</v>
      </c>
      <c r="I104" s="102" t="s">
        <v>88</v>
      </c>
      <c r="J104" s="94"/>
      <c r="K104" s="98"/>
      <c r="L104" s="98"/>
      <c r="M104" s="99"/>
      <c r="N104" s="100" t="s">
        <v>98</v>
      </c>
      <c r="O104" s="101" t="s">
        <v>647</v>
      </c>
      <c r="P104" s="94"/>
      <c r="Q104" s="102"/>
      <c r="R104" s="103"/>
      <c r="S104" s="102" t="s">
        <v>383</v>
      </c>
      <c r="T104" s="102" t="s">
        <v>2519</v>
      </c>
      <c r="V104" s="104"/>
    </row>
    <row r="105" ht="15.75" customHeight="1">
      <c r="A105" s="91"/>
      <c r="B105" s="93">
        <v>28.0</v>
      </c>
      <c r="C105" s="103" t="s">
        <v>1376</v>
      </c>
      <c r="D105" s="94"/>
      <c r="E105" s="139" t="s">
        <v>2520</v>
      </c>
      <c r="F105" s="139" t="s">
        <v>2521</v>
      </c>
      <c r="G105" s="94"/>
      <c r="H105" s="93" t="s">
        <v>46</v>
      </c>
      <c r="I105" s="102" t="s">
        <v>88</v>
      </c>
      <c r="J105" s="94"/>
      <c r="K105" s="98"/>
      <c r="L105" s="98"/>
      <c r="M105" s="99"/>
      <c r="N105" s="100" t="s">
        <v>45</v>
      </c>
      <c r="O105" s="101" t="s">
        <v>2522</v>
      </c>
      <c r="P105" s="94"/>
      <c r="Q105" s="109"/>
      <c r="R105" s="127"/>
      <c r="S105" s="102" t="s">
        <v>383</v>
      </c>
      <c r="T105" s="102" t="s">
        <v>2523</v>
      </c>
      <c r="V105" s="104"/>
    </row>
    <row r="106" ht="15.75" customHeight="1">
      <c r="A106" s="91"/>
      <c r="B106" s="93">
        <v>28.0</v>
      </c>
      <c r="C106" s="103" t="s">
        <v>2524</v>
      </c>
      <c r="D106" s="94"/>
      <c r="E106" s="139" t="s">
        <v>2525</v>
      </c>
      <c r="F106" s="139" t="s">
        <v>2526</v>
      </c>
      <c r="G106" s="94"/>
      <c r="H106" s="93" t="s">
        <v>46</v>
      </c>
      <c r="I106" s="102" t="s">
        <v>181</v>
      </c>
      <c r="J106" s="94"/>
      <c r="K106" s="202">
        <v>10500.0</v>
      </c>
      <c r="L106" s="202">
        <v>3000.0</v>
      </c>
      <c r="M106" s="99"/>
      <c r="N106" s="100"/>
      <c r="O106" s="101"/>
      <c r="P106" s="94"/>
      <c r="Q106" s="102">
        <v>6.0</v>
      </c>
      <c r="R106" s="103"/>
      <c r="S106" s="102" t="s">
        <v>105</v>
      </c>
      <c r="T106" s="102"/>
      <c r="V106" s="104"/>
    </row>
    <row r="107" ht="15.75" customHeight="1">
      <c r="A107" s="91"/>
      <c r="B107" s="93">
        <v>28.0</v>
      </c>
      <c r="C107" s="93" t="s">
        <v>1357</v>
      </c>
      <c r="D107" s="94"/>
      <c r="E107" s="139" t="s">
        <v>2527</v>
      </c>
      <c r="F107" s="139" t="s">
        <v>2528</v>
      </c>
      <c r="G107" s="94"/>
      <c r="H107" s="93" t="s">
        <v>46</v>
      </c>
      <c r="I107" s="102" t="s">
        <v>232</v>
      </c>
      <c r="J107" s="94"/>
      <c r="K107" s="98"/>
      <c r="L107" s="98"/>
      <c r="M107" s="99"/>
      <c r="N107" s="100" t="s">
        <v>50</v>
      </c>
      <c r="O107" s="112"/>
      <c r="P107" s="94"/>
      <c r="Q107" s="102"/>
      <c r="R107" s="113"/>
      <c r="S107" s="102" t="s">
        <v>404</v>
      </c>
      <c r="T107" s="102" t="s">
        <v>2529</v>
      </c>
      <c r="V107" s="104"/>
    </row>
    <row r="108" ht="15.75" customHeight="1">
      <c r="A108" s="91"/>
      <c r="B108" s="93">
        <v>29.0</v>
      </c>
      <c r="C108" s="93" t="s">
        <v>252</v>
      </c>
      <c r="D108" s="94"/>
      <c r="E108" s="139" t="s">
        <v>2530</v>
      </c>
      <c r="F108" s="238" t="s">
        <v>2531</v>
      </c>
      <c r="G108" s="94"/>
      <c r="H108" s="93" t="s">
        <v>46</v>
      </c>
      <c r="I108" s="102" t="s">
        <v>131</v>
      </c>
      <c r="J108" s="94"/>
      <c r="K108" s="98"/>
      <c r="L108" s="98"/>
      <c r="M108" s="99"/>
      <c r="N108" s="111"/>
      <c r="O108" s="112"/>
      <c r="P108" s="94"/>
      <c r="Q108" s="102"/>
      <c r="R108" s="113"/>
      <c r="S108" s="102"/>
      <c r="T108" s="94"/>
      <c r="V108" s="104"/>
    </row>
    <row r="109" ht="15.75" customHeight="1">
      <c r="A109" s="91"/>
      <c r="B109" s="93">
        <v>30.0</v>
      </c>
      <c r="C109" s="128" t="s">
        <v>915</v>
      </c>
      <c r="D109" s="94"/>
      <c r="E109" s="139" t="s">
        <v>2532</v>
      </c>
      <c r="F109" s="139" t="s">
        <v>2533</v>
      </c>
      <c r="G109" s="94"/>
      <c r="H109" s="93" t="s">
        <v>46</v>
      </c>
      <c r="I109" s="102" t="s">
        <v>232</v>
      </c>
      <c r="J109" s="94"/>
      <c r="K109" s="98"/>
      <c r="L109" s="98"/>
      <c r="M109" s="99"/>
      <c r="N109" s="100" t="s">
        <v>98</v>
      </c>
      <c r="O109" s="112"/>
      <c r="P109" s="94"/>
      <c r="Q109" s="120"/>
      <c r="R109" s="113"/>
      <c r="S109" s="102" t="s">
        <v>404</v>
      </c>
      <c r="T109" s="102" t="s">
        <v>2534</v>
      </c>
      <c r="V109" s="104"/>
    </row>
    <row r="110" ht="15.75" customHeight="1">
      <c r="A110" s="91"/>
      <c r="B110" s="93">
        <v>30.0</v>
      </c>
      <c r="C110" s="97" t="s">
        <v>1538</v>
      </c>
      <c r="D110" s="94"/>
      <c r="E110" s="139" t="s">
        <v>2535</v>
      </c>
      <c r="F110" s="139" t="s">
        <v>2536</v>
      </c>
      <c r="G110" s="94"/>
      <c r="H110" s="93" t="s">
        <v>46</v>
      </c>
      <c r="I110" s="102" t="s">
        <v>181</v>
      </c>
      <c r="J110" s="94"/>
      <c r="K110" s="202">
        <v>10500.0</v>
      </c>
      <c r="L110" s="202">
        <v>3000.0</v>
      </c>
      <c r="M110" s="99"/>
      <c r="N110" s="111"/>
      <c r="O110" s="101"/>
      <c r="P110" s="94"/>
      <c r="Q110" s="102">
        <v>6.0</v>
      </c>
      <c r="R110" s="106"/>
      <c r="S110" s="102" t="s">
        <v>105</v>
      </c>
      <c r="T110" s="102"/>
      <c r="V110" s="104"/>
    </row>
    <row r="111" ht="15.75" customHeight="1">
      <c r="A111" s="91"/>
      <c r="B111" s="93">
        <v>31.0</v>
      </c>
      <c r="C111" s="93" t="s">
        <v>2126</v>
      </c>
      <c r="D111" s="94"/>
      <c r="E111" s="139" t="s">
        <v>2537</v>
      </c>
      <c r="F111" s="139" t="s">
        <v>2538</v>
      </c>
      <c r="G111" s="94"/>
      <c r="H111" s="93" t="s">
        <v>46</v>
      </c>
      <c r="I111" s="102" t="s">
        <v>131</v>
      </c>
      <c r="J111" s="94"/>
      <c r="K111" s="98"/>
      <c r="L111" s="98"/>
      <c r="M111" s="99"/>
      <c r="N111" s="111"/>
      <c r="O111" s="101"/>
      <c r="P111" s="94"/>
      <c r="Q111" s="120"/>
      <c r="R111" s="103"/>
      <c r="S111" s="102"/>
      <c r="T111" s="102"/>
      <c r="V111" s="104"/>
    </row>
    <row r="112" ht="15.75" customHeight="1">
      <c r="A112" s="91"/>
      <c r="B112" s="93">
        <v>31.0</v>
      </c>
      <c r="C112" s="257" t="s">
        <v>262</v>
      </c>
      <c r="D112" s="39"/>
      <c r="E112" s="258" t="s">
        <v>1439</v>
      </c>
      <c r="F112" s="259" t="s">
        <v>2539</v>
      </c>
      <c r="G112" s="94"/>
      <c r="H112" s="93" t="s">
        <v>46</v>
      </c>
      <c r="I112" s="102" t="s">
        <v>103</v>
      </c>
      <c r="J112" s="94"/>
      <c r="K112" s="98">
        <v>4000.0</v>
      </c>
      <c r="L112" s="98">
        <v>4000.0</v>
      </c>
      <c r="M112" s="99"/>
      <c r="N112" s="100"/>
      <c r="O112" s="101"/>
      <c r="P112" s="94"/>
      <c r="Q112" s="102" t="s">
        <v>155</v>
      </c>
      <c r="R112" s="103"/>
      <c r="S112" s="102" t="s">
        <v>105</v>
      </c>
      <c r="T112" s="102"/>
      <c r="V112" s="104"/>
    </row>
    <row r="113" ht="15.75" customHeight="1">
      <c r="A113" s="91"/>
      <c r="B113" s="93">
        <v>31.0</v>
      </c>
      <c r="C113" s="93" t="s">
        <v>999</v>
      </c>
      <c r="D113" s="94"/>
      <c r="E113" s="139" t="s">
        <v>2540</v>
      </c>
      <c r="F113" s="139" t="s">
        <v>2541</v>
      </c>
      <c r="G113" s="94"/>
      <c r="H113" s="93" t="s">
        <v>46</v>
      </c>
      <c r="I113" s="102" t="s">
        <v>103</v>
      </c>
      <c r="J113" s="94"/>
      <c r="K113" s="98">
        <v>4500.0</v>
      </c>
      <c r="L113" s="98">
        <v>4500.0</v>
      </c>
      <c r="M113" s="99"/>
      <c r="N113" s="111"/>
      <c r="O113" s="112"/>
      <c r="P113" s="94"/>
      <c r="Q113" s="102">
        <v>3.0</v>
      </c>
      <c r="R113" s="113"/>
      <c r="S113" s="102" t="s">
        <v>105</v>
      </c>
      <c r="T113" s="94"/>
      <c r="V113" s="104"/>
    </row>
    <row r="114" ht="15.75" customHeight="1">
      <c r="A114" s="91"/>
      <c r="B114" s="93">
        <v>31.0</v>
      </c>
      <c r="C114" s="96" t="s">
        <v>2542</v>
      </c>
      <c r="D114" s="94"/>
      <c r="E114" s="139" t="s">
        <v>2543</v>
      </c>
      <c r="F114" s="139" t="s">
        <v>2544</v>
      </c>
      <c r="G114" s="94"/>
      <c r="H114" s="93" t="s">
        <v>46</v>
      </c>
      <c r="I114" s="102" t="s">
        <v>181</v>
      </c>
      <c r="J114" s="94"/>
      <c r="K114" s="202">
        <v>10500.0</v>
      </c>
      <c r="L114" s="202">
        <v>3000.0</v>
      </c>
      <c r="M114" s="99"/>
      <c r="N114" s="100"/>
      <c r="O114" s="101"/>
      <c r="P114" s="94"/>
      <c r="Q114" s="102">
        <v>6.0</v>
      </c>
      <c r="R114" s="103"/>
      <c r="S114" s="102" t="s">
        <v>105</v>
      </c>
      <c r="T114" s="102"/>
      <c r="V114" s="104"/>
    </row>
    <row r="115" ht="15.75" customHeight="1">
      <c r="A115" s="91"/>
      <c r="B115" s="93">
        <v>31.0</v>
      </c>
      <c r="C115" s="110" t="s">
        <v>772</v>
      </c>
      <c r="D115" s="94"/>
      <c r="E115" s="139" t="s">
        <v>2545</v>
      </c>
      <c r="F115" s="139" t="s">
        <v>2546</v>
      </c>
      <c r="G115" s="94"/>
      <c r="H115" s="93" t="s">
        <v>46</v>
      </c>
      <c r="I115" s="102" t="s">
        <v>181</v>
      </c>
      <c r="J115" s="94"/>
      <c r="K115" s="202">
        <v>10500.0</v>
      </c>
      <c r="L115" s="202">
        <v>3000.0</v>
      </c>
      <c r="M115" s="99"/>
      <c r="N115" s="111"/>
      <c r="O115" s="112"/>
      <c r="P115" s="94"/>
      <c r="Q115" s="102">
        <v>6.0</v>
      </c>
      <c r="R115" s="113"/>
      <c r="S115" s="102" t="s">
        <v>105</v>
      </c>
      <c r="T115" s="94"/>
      <c r="V115" s="104"/>
    </row>
    <row r="116" ht="15.75" customHeight="1">
      <c r="A116" s="91"/>
      <c r="B116" s="93">
        <v>31.0</v>
      </c>
      <c r="C116" s="96" t="s">
        <v>979</v>
      </c>
      <c r="D116" s="94"/>
      <c r="E116" s="139" t="s">
        <v>2547</v>
      </c>
      <c r="F116" s="139" t="s">
        <v>2548</v>
      </c>
      <c r="G116" s="94"/>
      <c r="H116" s="93" t="s">
        <v>46</v>
      </c>
      <c r="I116" s="102" t="s">
        <v>131</v>
      </c>
      <c r="J116" s="94"/>
      <c r="K116" s="126"/>
      <c r="L116" s="126"/>
      <c r="M116" s="99"/>
      <c r="N116" s="100"/>
      <c r="O116" s="101"/>
      <c r="P116" s="94"/>
      <c r="Q116" s="117"/>
      <c r="R116" s="103"/>
      <c r="S116" s="102"/>
      <c r="T116" s="102"/>
      <c r="V116" s="104"/>
    </row>
    <row r="117" ht="15.75" customHeight="1">
      <c r="A117" s="91"/>
      <c r="B117" s="107"/>
      <c r="C117" s="110"/>
      <c r="D117" s="94"/>
      <c r="E117" s="239"/>
      <c r="F117" s="239"/>
      <c r="G117" s="94"/>
      <c r="H117" s="93"/>
      <c r="I117" s="102"/>
      <c r="J117" s="94"/>
      <c r="K117" s="125"/>
      <c r="L117" s="125"/>
      <c r="M117" s="99"/>
      <c r="N117" s="111"/>
      <c r="O117" s="112"/>
      <c r="P117" s="94"/>
      <c r="Q117" s="120"/>
      <c r="R117" s="113"/>
      <c r="S117" s="94"/>
      <c r="T117" s="94"/>
      <c r="V117" s="104"/>
    </row>
    <row r="118" ht="15.75" customHeight="1">
      <c r="A118" s="91"/>
      <c r="B118" s="107"/>
      <c r="C118" s="93"/>
      <c r="D118" s="94"/>
      <c r="E118" s="238"/>
      <c r="F118" s="239"/>
      <c r="G118" s="94"/>
      <c r="H118" s="93"/>
      <c r="I118" s="102"/>
      <c r="J118" s="94"/>
      <c r="K118" s="126"/>
      <c r="L118" s="126"/>
      <c r="M118" s="99"/>
      <c r="N118" s="111"/>
      <c r="O118" s="112"/>
      <c r="P118" s="94"/>
      <c r="Q118" s="94"/>
      <c r="R118" s="113"/>
      <c r="S118" s="94"/>
      <c r="T118" s="94"/>
      <c r="V118" s="104"/>
    </row>
    <row r="119" ht="15.75" customHeight="1">
      <c r="A119" s="91"/>
      <c r="B119" s="107"/>
      <c r="C119" s="93"/>
      <c r="D119" s="94"/>
      <c r="E119" s="238"/>
      <c r="F119" s="239"/>
      <c r="G119" s="94"/>
      <c r="H119" s="93"/>
      <c r="I119" s="102"/>
      <c r="J119" s="94"/>
      <c r="K119" s="125"/>
      <c r="L119" s="125"/>
      <c r="M119" s="99"/>
      <c r="N119" s="100"/>
      <c r="O119" s="101"/>
      <c r="P119" s="94"/>
      <c r="Q119" s="109"/>
      <c r="R119" s="103"/>
      <c r="S119" s="102"/>
      <c r="T119" s="102"/>
      <c r="V119" s="104"/>
    </row>
    <row r="120" ht="15.75" customHeight="1">
      <c r="A120" s="91"/>
      <c r="B120" s="107"/>
      <c r="C120" s="93"/>
      <c r="D120" s="94"/>
      <c r="E120" s="238"/>
      <c r="F120" s="239"/>
      <c r="G120" s="94"/>
      <c r="H120" s="93"/>
      <c r="I120" s="102"/>
      <c r="J120" s="94"/>
      <c r="K120" s="126"/>
      <c r="L120" s="126"/>
      <c r="M120" s="99"/>
      <c r="N120" s="111"/>
      <c r="O120" s="112"/>
      <c r="P120" s="94"/>
      <c r="Q120" s="94"/>
      <c r="R120" s="113"/>
      <c r="S120" s="94"/>
      <c r="T120" s="94"/>
      <c r="V120" s="104"/>
    </row>
    <row r="121" ht="15.75" customHeight="1">
      <c r="A121" s="91"/>
      <c r="B121" s="107"/>
      <c r="C121" s="93"/>
      <c r="D121" s="94"/>
      <c r="E121" s="238"/>
      <c r="F121" s="239"/>
      <c r="G121" s="94"/>
      <c r="H121" s="93"/>
      <c r="I121" s="102"/>
      <c r="J121" s="94"/>
      <c r="K121" s="125"/>
      <c r="L121" s="125"/>
      <c r="M121" s="99"/>
      <c r="N121" s="111"/>
      <c r="O121" s="112"/>
      <c r="P121" s="94"/>
      <c r="Q121" s="120"/>
      <c r="R121" s="113"/>
      <c r="S121" s="94"/>
      <c r="T121" s="94"/>
      <c r="V121" s="104"/>
    </row>
    <row r="122" ht="15.75" customHeight="1">
      <c r="A122" s="91"/>
      <c r="B122" s="107"/>
      <c r="C122" s="103"/>
      <c r="D122" s="94"/>
      <c r="E122" s="238"/>
      <c r="F122" s="239"/>
      <c r="G122" s="94"/>
      <c r="H122" s="93"/>
      <c r="I122" s="102"/>
      <c r="J122" s="94"/>
      <c r="K122" s="126"/>
      <c r="L122" s="126"/>
      <c r="M122" s="99"/>
      <c r="N122" s="111"/>
      <c r="O122" s="112"/>
      <c r="P122" s="94"/>
      <c r="Q122" s="117"/>
      <c r="R122" s="103"/>
      <c r="S122" s="94"/>
      <c r="T122" s="102"/>
      <c r="V122" s="104"/>
    </row>
    <row r="123" ht="15.75" customHeight="1">
      <c r="A123" s="91"/>
      <c r="B123" s="107"/>
      <c r="C123" s="103"/>
      <c r="D123" s="94"/>
      <c r="E123" s="238"/>
      <c r="F123" s="239"/>
      <c r="G123" s="94"/>
      <c r="H123" s="93"/>
      <c r="I123" s="102"/>
      <c r="J123" s="94"/>
      <c r="K123" s="125"/>
      <c r="L123" s="125"/>
      <c r="M123" s="99"/>
      <c r="N123" s="111"/>
      <c r="O123" s="112"/>
      <c r="P123" s="94"/>
      <c r="Q123" s="117"/>
      <c r="R123" s="103"/>
      <c r="S123" s="94"/>
      <c r="T123" s="102"/>
      <c r="V123" s="104"/>
    </row>
    <row r="124" ht="15.75" customHeight="1">
      <c r="A124" s="91"/>
      <c r="B124" s="107"/>
      <c r="C124" s="93"/>
      <c r="D124" s="94"/>
      <c r="E124" s="243"/>
      <c r="F124" s="255"/>
      <c r="G124" s="94"/>
      <c r="H124" s="93"/>
      <c r="I124" s="102"/>
      <c r="J124" s="94"/>
      <c r="K124" s="126"/>
      <c r="L124" s="126"/>
      <c r="M124" s="99"/>
      <c r="N124" s="111"/>
      <c r="O124" s="112"/>
      <c r="P124" s="94"/>
      <c r="Q124" s="120"/>
      <c r="R124" s="113"/>
      <c r="S124" s="94"/>
      <c r="T124" s="94"/>
      <c r="V124" s="104"/>
    </row>
    <row r="125" ht="15.75" customHeight="1">
      <c r="A125" s="91"/>
      <c r="B125" s="107"/>
      <c r="C125" s="93"/>
      <c r="D125" s="94"/>
      <c r="E125" s="238"/>
      <c r="F125" s="239"/>
      <c r="G125" s="94"/>
      <c r="H125" s="93"/>
      <c r="I125" s="102"/>
      <c r="J125" s="94"/>
      <c r="K125" s="125"/>
      <c r="L125" s="125"/>
      <c r="M125" s="99"/>
      <c r="N125" s="111"/>
      <c r="O125" s="112"/>
      <c r="P125" s="94"/>
      <c r="Q125" s="94"/>
      <c r="R125" s="113"/>
      <c r="S125" s="94"/>
      <c r="T125" s="94"/>
      <c r="V125" s="104"/>
    </row>
    <row r="126" ht="15.75" customHeight="1">
      <c r="A126" s="91"/>
      <c r="B126" s="107"/>
      <c r="C126" s="93"/>
      <c r="D126" s="94"/>
      <c r="E126" s="238"/>
      <c r="F126" s="239"/>
      <c r="G126" s="94"/>
      <c r="H126" s="93"/>
      <c r="I126" s="102"/>
      <c r="J126" s="94"/>
      <c r="K126" s="126"/>
      <c r="L126" s="126"/>
      <c r="M126" s="99"/>
      <c r="N126" s="100"/>
      <c r="O126" s="101"/>
      <c r="P126" s="94"/>
      <c r="Q126" s="109"/>
      <c r="R126" s="106"/>
      <c r="S126" s="102"/>
      <c r="T126" s="102"/>
      <c r="V126" s="104"/>
    </row>
    <row r="127" ht="15.75" customHeight="1">
      <c r="A127" s="91"/>
      <c r="B127" s="131"/>
      <c r="C127" s="132"/>
      <c r="D127" s="94"/>
      <c r="E127" s="247"/>
      <c r="F127" s="253"/>
      <c r="G127" s="94"/>
      <c r="H127" s="93"/>
      <c r="I127" s="102"/>
      <c r="J127" s="94"/>
      <c r="K127" s="125"/>
      <c r="L127" s="125"/>
      <c r="M127" s="99"/>
      <c r="N127" s="100"/>
      <c r="O127" s="112"/>
      <c r="P127" s="94"/>
      <c r="Q127" s="120"/>
      <c r="R127" s="113"/>
      <c r="S127" s="102"/>
      <c r="T127" s="94"/>
      <c r="V127" s="104"/>
    </row>
    <row r="128" ht="15.75" customHeight="1">
      <c r="A128" s="91"/>
      <c r="B128" s="131"/>
      <c r="C128" s="132"/>
      <c r="D128" s="94"/>
      <c r="E128" s="247"/>
      <c r="F128" s="247"/>
      <c r="G128" s="94"/>
      <c r="H128" s="93"/>
      <c r="I128" s="102"/>
      <c r="J128" s="94"/>
      <c r="K128" s="126"/>
      <c r="L128" s="126"/>
      <c r="M128" s="99"/>
      <c r="N128" s="100"/>
      <c r="O128" s="112"/>
      <c r="P128" s="94"/>
      <c r="Q128" s="94"/>
      <c r="R128" s="113"/>
      <c r="S128" s="102"/>
      <c r="T128" s="94"/>
      <c r="V128" s="104"/>
    </row>
    <row r="129" ht="15.75" customHeight="1">
      <c r="A129" s="91"/>
      <c r="B129" s="131"/>
      <c r="C129" s="104"/>
      <c r="D129" s="94"/>
      <c r="E129" s="247"/>
      <c r="F129" s="247"/>
      <c r="G129" s="94"/>
      <c r="H129" s="93"/>
      <c r="I129" s="102"/>
      <c r="J129" s="94"/>
      <c r="K129" s="125"/>
      <c r="L129" s="125"/>
      <c r="M129" s="99"/>
      <c r="N129" s="100"/>
      <c r="O129" s="112"/>
      <c r="P129" s="94"/>
      <c r="Q129" s="120"/>
      <c r="R129" s="113"/>
      <c r="S129" s="102"/>
      <c r="T129" s="94"/>
      <c r="V129" s="104"/>
    </row>
    <row r="130" ht="15.75" customHeight="1">
      <c r="A130" s="91"/>
      <c r="B130" s="131"/>
      <c r="C130" s="104"/>
      <c r="D130" s="94"/>
      <c r="E130" s="247"/>
      <c r="F130" s="247"/>
      <c r="G130" s="94"/>
      <c r="H130" s="93"/>
      <c r="I130" s="102"/>
      <c r="J130" s="94"/>
      <c r="K130" s="126"/>
      <c r="L130" s="126"/>
      <c r="M130" s="99"/>
      <c r="N130" s="100"/>
      <c r="O130" s="112"/>
      <c r="P130" s="94"/>
      <c r="Q130" s="120"/>
      <c r="R130" s="113"/>
      <c r="S130" s="102"/>
      <c r="T130" s="94"/>
      <c r="V130" s="104"/>
    </row>
    <row r="131" ht="15.75" customHeight="1">
      <c r="A131" s="91"/>
      <c r="B131" s="131"/>
      <c r="C131" s="132"/>
      <c r="D131" s="94"/>
      <c r="E131" s="247"/>
      <c r="F131" s="247"/>
      <c r="G131" s="94"/>
      <c r="H131" s="93"/>
      <c r="I131" s="102"/>
      <c r="J131" s="94"/>
      <c r="K131" s="125"/>
      <c r="L131" s="125"/>
      <c r="M131" s="99"/>
      <c r="N131" s="100"/>
      <c r="O131" s="112"/>
      <c r="P131" s="94"/>
      <c r="Q131" s="120"/>
      <c r="R131" s="113"/>
      <c r="S131" s="102"/>
      <c r="T131" s="94"/>
      <c r="V131" s="104"/>
    </row>
    <row r="132" ht="15.75" customHeight="1">
      <c r="A132" s="91"/>
      <c r="B132" s="131"/>
      <c r="C132" s="132"/>
      <c r="D132" s="94"/>
      <c r="E132" s="247"/>
      <c r="F132" s="247"/>
      <c r="G132" s="94"/>
      <c r="H132" s="93"/>
      <c r="I132" s="102"/>
      <c r="J132" s="94"/>
      <c r="K132" s="126"/>
      <c r="L132" s="126"/>
      <c r="M132" s="99"/>
      <c r="N132" s="100"/>
      <c r="O132" s="112"/>
      <c r="P132" s="94"/>
      <c r="Q132" s="94"/>
      <c r="R132" s="113"/>
      <c r="S132" s="102"/>
      <c r="T132" s="94"/>
      <c r="V132" s="104"/>
    </row>
    <row r="133" ht="15.75" customHeight="1">
      <c r="A133" s="91"/>
      <c r="B133" s="131"/>
      <c r="C133" s="132"/>
      <c r="D133" s="94"/>
      <c r="E133" s="247"/>
      <c r="F133" s="247"/>
      <c r="G133" s="94"/>
      <c r="H133" s="93"/>
      <c r="I133" s="102"/>
      <c r="J133" s="94"/>
      <c r="K133" s="125"/>
      <c r="L133" s="125"/>
      <c r="M133" s="99"/>
      <c r="N133" s="100"/>
      <c r="O133" s="112"/>
      <c r="P133" s="94"/>
      <c r="Q133" s="120"/>
      <c r="R133" s="113"/>
      <c r="S133" s="102"/>
      <c r="T133" s="94"/>
      <c r="V133" s="104"/>
    </row>
    <row r="134" ht="15.75" customHeight="1">
      <c r="A134" s="91"/>
      <c r="B134" s="131"/>
      <c r="C134" s="132"/>
      <c r="D134" s="94"/>
      <c r="E134" s="247"/>
      <c r="F134" s="247"/>
      <c r="G134" s="94"/>
      <c r="H134" s="132"/>
      <c r="I134" s="133"/>
      <c r="J134" s="94"/>
      <c r="K134" s="126"/>
      <c r="L134" s="126"/>
      <c r="M134" s="99"/>
      <c r="N134" s="111"/>
      <c r="O134" s="112"/>
      <c r="P134" s="94"/>
      <c r="Q134" s="94"/>
      <c r="R134" s="113"/>
      <c r="S134" s="94"/>
      <c r="T134" s="94"/>
      <c r="V134" s="104"/>
    </row>
    <row r="135" ht="15.75" customHeight="1">
      <c r="A135" s="91"/>
      <c r="B135" s="131"/>
      <c r="C135" s="132"/>
      <c r="D135" s="94"/>
      <c r="E135" s="247"/>
      <c r="F135" s="247"/>
      <c r="G135" s="94"/>
      <c r="H135" s="132"/>
      <c r="I135" s="94"/>
      <c r="J135" s="94"/>
      <c r="K135" s="125"/>
      <c r="L135" s="125"/>
      <c r="M135" s="99"/>
      <c r="N135" s="111"/>
      <c r="O135" s="112"/>
      <c r="P135" s="94"/>
      <c r="Q135" s="120"/>
      <c r="R135" s="113"/>
      <c r="S135" s="94"/>
      <c r="T135" s="94"/>
      <c r="V135" s="104"/>
    </row>
    <row r="136" ht="15.75" customHeight="1">
      <c r="A136" s="91"/>
      <c r="B136" s="131"/>
      <c r="C136" s="104"/>
      <c r="D136" s="94"/>
      <c r="E136" s="247"/>
      <c r="F136" s="247"/>
      <c r="G136" s="94"/>
      <c r="H136" s="132"/>
      <c r="I136" s="94"/>
      <c r="J136" s="94"/>
      <c r="K136" s="126"/>
      <c r="L136" s="126"/>
      <c r="M136" s="99"/>
      <c r="N136" s="111"/>
      <c r="O136" s="112"/>
      <c r="P136" s="94"/>
      <c r="Q136" s="94"/>
      <c r="R136" s="113"/>
      <c r="S136" s="94"/>
      <c r="T136" s="94"/>
      <c r="V136" s="104"/>
    </row>
    <row r="137" ht="15.75" customHeight="1">
      <c r="A137" s="91"/>
      <c r="B137" s="131"/>
      <c r="C137" s="104"/>
      <c r="D137" s="94"/>
      <c r="E137" s="247"/>
      <c r="F137" s="247"/>
      <c r="G137" s="94"/>
      <c r="H137" s="132"/>
      <c r="I137" s="94"/>
      <c r="J137" s="94"/>
      <c r="K137" s="125"/>
      <c r="L137" s="125"/>
      <c r="M137" s="99"/>
      <c r="N137" s="111"/>
      <c r="O137" s="112"/>
      <c r="P137" s="94"/>
      <c r="Q137" s="94"/>
      <c r="R137" s="113"/>
      <c r="S137" s="94"/>
      <c r="T137" s="94"/>
      <c r="V137" s="104"/>
    </row>
    <row r="138" ht="15.75" customHeight="1">
      <c r="A138" s="91"/>
      <c r="B138" s="131"/>
      <c r="C138" s="104"/>
      <c r="D138" s="94"/>
      <c r="E138" s="247"/>
      <c r="F138" s="247"/>
      <c r="G138" s="94"/>
      <c r="H138" s="132"/>
      <c r="I138" s="94"/>
      <c r="J138" s="94"/>
      <c r="K138" s="126"/>
      <c r="L138" s="126"/>
      <c r="M138" s="99"/>
      <c r="N138" s="111"/>
      <c r="O138" s="112"/>
      <c r="P138" s="94"/>
      <c r="Q138" s="94"/>
      <c r="R138" s="113"/>
      <c r="S138" s="94"/>
      <c r="T138" s="94"/>
      <c r="V138" s="104"/>
    </row>
    <row r="139" ht="15.75" customHeight="1">
      <c r="A139" s="91"/>
      <c r="B139" s="131"/>
      <c r="C139" s="132"/>
      <c r="D139" s="94"/>
      <c r="E139" s="247"/>
      <c r="F139" s="247"/>
      <c r="G139" s="94"/>
      <c r="H139" s="132"/>
      <c r="I139" s="94"/>
      <c r="J139" s="94"/>
      <c r="K139" s="125"/>
      <c r="L139" s="125"/>
      <c r="M139" s="99"/>
      <c r="N139" s="111"/>
      <c r="O139" s="112"/>
      <c r="P139" s="94"/>
      <c r="Q139" s="94"/>
      <c r="R139" s="113"/>
      <c r="S139" s="94"/>
      <c r="T139" s="94"/>
      <c r="V139" s="104"/>
    </row>
    <row r="140" ht="15.75" customHeight="1">
      <c r="A140" s="91"/>
      <c r="B140" s="131"/>
      <c r="C140" s="132"/>
      <c r="D140" s="94"/>
      <c r="E140" s="247"/>
      <c r="F140" s="247"/>
      <c r="G140" s="94"/>
      <c r="H140" s="132"/>
      <c r="I140" s="94"/>
      <c r="J140" s="94"/>
      <c r="K140" s="126"/>
      <c r="L140" s="126"/>
      <c r="M140" s="99"/>
      <c r="N140" s="111"/>
      <c r="O140" s="112"/>
      <c r="P140" s="94"/>
      <c r="Q140" s="94"/>
      <c r="R140" s="113"/>
      <c r="S140" s="94"/>
      <c r="T140" s="94"/>
      <c r="V140" s="104"/>
    </row>
    <row r="141" ht="15.75" customHeight="1">
      <c r="A141" s="91"/>
      <c r="B141" s="131"/>
      <c r="C141" s="132"/>
      <c r="D141" s="94"/>
      <c r="E141" s="247"/>
      <c r="F141" s="247"/>
      <c r="G141" s="94"/>
      <c r="H141" s="132"/>
      <c r="I141" s="94"/>
      <c r="J141" s="94"/>
      <c r="K141" s="125"/>
      <c r="L141" s="125"/>
      <c r="M141" s="99"/>
      <c r="N141" s="111"/>
      <c r="O141" s="112"/>
      <c r="P141" s="94"/>
      <c r="Q141" s="94"/>
      <c r="R141" s="113"/>
      <c r="S141" s="94"/>
      <c r="T141" s="94"/>
      <c r="V141" s="104"/>
    </row>
    <row r="142" ht="15.75" customHeight="1">
      <c r="A142" s="91"/>
      <c r="B142" s="131"/>
      <c r="C142" s="132"/>
      <c r="D142" s="94"/>
      <c r="E142" s="247"/>
      <c r="F142" s="247"/>
      <c r="G142" s="94"/>
      <c r="H142" s="132"/>
      <c r="I142" s="94"/>
      <c r="J142" s="94"/>
      <c r="K142" s="126"/>
      <c r="L142" s="126"/>
      <c r="M142" s="99"/>
      <c r="N142" s="111"/>
      <c r="O142" s="112"/>
      <c r="P142" s="94"/>
      <c r="Q142" s="94"/>
      <c r="R142" s="113"/>
      <c r="S142" s="94"/>
      <c r="T142" s="94"/>
      <c r="V142" s="104"/>
    </row>
    <row r="143" ht="15.75" customHeight="1">
      <c r="A143" s="91"/>
      <c r="B143" s="131"/>
      <c r="C143" s="132"/>
      <c r="D143" s="94"/>
      <c r="E143" s="247"/>
      <c r="F143" s="247"/>
      <c r="G143" s="94"/>
      <c r="H143" s="132"/>
      <c r="I143" s="94"/>
      <c r="J143" s="94"/>
      <c r="K143" s="125"/>
      <c r="L143" s="125"/>
      <c r="M143" s="99"/>
      <c r="N143" s="111"/>
      <c r="O143" s="112"/>
      <c r="P143" s="94"/>
      <c r="Q143" s="120"/>
      <c r="R143" s="113"/>
      <c r="S143" s="94"/>
      <c r="T143" s="94"/>
      <c r="V143" s="104"/>
    </row>
    <row r="144" ht="15.75" customHeight="1">
      <c r="A144" s="91"/>
      <c r="B144" s="131"/>
      <c r="C144" s="104"/>
      <c r="D144" s="94"/>
      <c r="E144" s="247"/>
      <c r="F144" s="247"/>
      <c r="G144" s="94"/>
      <c r="H144" s="132"/>
      <c r="I144" s="94"/>
      <c r="J144" s="94"/>
      <c r="K144" s="126"/>
      <c r="L144" s="126"/>
      <c r="M144" s="99"/>
      <c r="N144" s="111"/>
      <c r="O144" s="112"/>
      <c r="P144" s="94"/>
      <c r="Q144" s="94"/>
      <c r="R144" s="113"/>
      <c r="S144" s="94"/>
      <c r="T144" s="94"/>
      <c r="V144" s="104"/>
    </row>
    <row r="145" ht="15.75" customHeight="1">
      <c r="A145" s="91"/>
      <c r="B145" s="131"/>
      <c r="C145" s="104"/>
      <c r="D145" s="94"/>
      <c r="E145" s="247"/>
      <c r="F145" s="247"/>
      <c r="G145" s="94"/>
      <c r="H145" s="132"/>
      <c r="I145" s="94"/>
      <c r="J145" s="94"/>
      <c r="K145" s="125"/>
      <c r="L145" s="125"/>
      <c r="M145" s="99"/>
      <c r="N145" s="111"/>
      <c r="O145" s="112"/>
      <c r="P145" s="94"/>
      <c r="Q145" s="94"/>
      <c r="R145" s="113"/>
      <c r="S145" s="94"/>
      <c r="T145" s="94"/>
      <c r="V145" s="104"/>
    </row>
    <row r="146" ht="15.75" customHeight="1">
      <c r="A146" s="91"/>
      <c r="B146" s="131"/>
      <c r="C146" s="104"/>
      <c r="D146" s="94"/>
      <c r="E146" s="247"/>
      <c r="F146" s="247"/>
      <c r="G146" s="94"/>
      <c r="H146" s="132"/>
      <c r="I146" s="94"/>
      <c r="J146" s="94"/>
      <c r="K146" s="126"/>
      <c r="L146" s="126"/>
      <c r="M146" s="99"/>
      <c r="N146" s="111"/>
      <c r="O146" s="112"/>
      <c r="P146" s="94"/>
      <c r="Q146" s="120"/>
      <c r="R146" s="113"/>
      <c r="S146" s="94"/>
      <c r="T146" s="94"/>
      <c r="V146" s="104"/>
    </row>
    <row r="147" ht="15.75" customHeight="1">
      <c r="A147" s="91"/>
      <c r="B147" s="131"/>
      <c r="C147" s="132"/>
      <c r="D147" s="94"/>
      <c r="E147" s="247"/>
      <c r="F147" s="247"/>
      <c r="G147" s="94"/>
      <c r="H147" s="132"/>
      <c r="I147" s="94"/>
      <c r="J147" s="94"/>
      <c r="K147" s="125"/>
      <c r="L147" s="125"/>
      <c r="M147" s="99"/>
      <c r="N147" s="111"/>
      <c r="O147" s="112"/>
      <c r="P147" s="94"/>
      <c r="Q147" s="120"/>
      <c r="R147" s="113"/>
      <c r="S147" s="94"/>
      <c r="T147" s="94"/>
      <c r="V147" s="104"/>
    </row>
    <row r="148" ht="15.75" customHeight="1">
      <c r="A148" s="91"/>
      <c r="B148" s="131"/>
      <c r="C148" s="132"/>
      <c r="D148" s="94"/>
      <c r="E148" s="247"/>
      <c r="F148" s="247"/>
      <c r="G148" s="94"/>
      <c r="H148" s="132"/>
      <c r="I148" s="94"/>
      <c r="J148" s="94"/>
      <c r="K148" s="126"/>
      <c r="L148" s="126"/>
      <c r="M148" s="99"/>
      <c r="N148" s="111"/>
      <c r="O148" s="112"/>
      <c r="P148" s="94"/>
      <c r="Q148" s="120"/>
      <c r="R148" s="113"/>
      <c r="S148" s="94"/>
      <c r="T148" s="94"/>
      <c r="V148" s="104"/>
    </row>
    <row r="149" ht="15.75" customHeight="1">
      <c r="A149" s="91"/>
      <c r="B149" s="131"/>
      <c r="C149" s="132"/>
      <c r="D149" s="94"/>
      <c r="E149" s="247"/>
      <c r="F149" s="247"/>
      <c r="G149" s="94"/>
      <c r="H149" s="132"/>
      <c r="I149" s="94"/>
      <c r="J149" s="94"/>
      <c r="K149" s="125"/>
      <c r="L149" s="125"/>
      <c r="M149" s="99"/>
      <c r="N149" s="111"/>
      <c r="O149" s="112"/>
      <c r="P149" s="94"/>
      <c r="Q149" s="120"/>
      <c r="R149" s="113"/>
      <c r="S149" s="94"/>
      <c r="T149" s="94"/>
      <c r="V149" s="104"/>
    </row>
    <row r="150" ht="15.75" customHeight="1">
      <c r="A150" s="91"/>
      <c r="B150" s="131"/>
      <c r="C150" s="132"/>
      <c r="D150" s="94"/>
      <c r="E150" s="247"/>
      <c r="F150" s="247"/>
      <c r="G150" s="94"/>
      <c r="H150" s="132"/>
      <c r="I150" s="94"/>
      <c r="J150" s="94"/>
      <c r="K150" s="126"/>
      <c r="L150" s="126"/>
      <c r="M150" s="99"/>
      <c r="N150" s="111"/>
      <c r="O150" s="112"/>
      <c r="P150" s="94"/>
      <c r="Q150" s="120"/>
      <c r="R150" s="113"/>
      <c r="S150" s="94"/>
      <c r="T150" s="94"/>
      <c r="V150" s="104"/>
    </row>
    <row r="151" ht="15.75" customHeight="1">
      <c r="A151" s="91"/>
      <c r="B151" s="131"/>
      <c r="C151" s="132"/>
      <c r="D151" s="94"/>
      <c r="E151" s="247"/>
      <c r="F151" s="247"/>
      <c r="G151" s="94"/>
      <c r="H151" s="132"/>
      <c r="I151" s="94"/>
      <c r="J151" s="94"/>
      <c r="K151" s="125"/>
      <c r="L151" s="125"/>
      <c r="M151" s="99"/>
      <c r="N151" s="111"/>
      <c r="O151" s="112"/>
      <c r="P151" s="94"/>
      <c r="Q151" s="120"/>
      <c r="R151" s="113"/>
      <c r="S151" s="94"/>
      <c r="T151" s="94"/>
      <c r="V151" s="104"/>
    </row>
    <row r="152" ht="15.75" customHeight="1">
      <c r="A152" s="91"/>
      <c r="B152" s="131"/>
      <c r="C152" s="104"/>
      <c r="D152" s="94"/>
      <c r="E152" s="247"/>
      <c r="F152" s="247"/>
      <c r="G152" s="94"/>
      <c r="H152" s="132"/>
      <c r="I152" s="94"/>
      <c r="J152" s="94"/>
      <c r="K152" s="126"/>
      <c r="L152" s="126"/>
      <c r="M152" s="99"/>
      <c r="N152" s="111"/>
      <c r="O152" s="112"/>
      <c r="P152" s="94"/>
      <c r="Q152" s="94"/>
      <c r="R152" s="113"/>
      <c r="S152" s="94"/>
      <c r="T152" s="94"/>
      <c r="V152" s="104"/>
    </row>
    <row r="153" ht="15.75" customHeight="1">
      <c r="A153" s="91"/>
      <c r="B153" s="131"/>
      <c r="C153" s="104"/>
      <c r="D153" s="94"/>
      <c r="E153" s="247"/>
      <c r="F153" s="247"/>
      <c r="G153" s="94"/>
      <c r="H153" s="132"/>
      <c r="I153" s="94"/>
      <c r="J153" s="94"/>
      <c r="K153" s="125"/>
      <c r="L153" s="125"/>
      <c r="M153" s="99"/>
      <c r="N153" s="111"/>
      <c r="O153" s="112"/>
      <c r="P153" s="94"/>
      <c r="Q153" s="120"/>
      <c r="R153" s="113"/>
      <c r="S153" s="94"/>
      <c r="T153" s="94"/>
      <c r="V153" s="104"/>
    </row>
    <row r="154" ht="15.75" customHeight="1">
      <c r="A154" s="91"/>
      <c r="B154" s="131"/>
      <c r="C154" s="104"/>
      <c r="D154" s="94"/>
      <c r="E154" s="247"/>
      <c r="F154" s="247"/>
      <c r="G154" s="94"/>
      <c r="H154" s="132"/>
      <c r="I154" s="94"/>
      <c r="J154" s="94"/>
      <c r="K154" s="126"/>
      <c r="L154" s="126"/>
      <c r="M154" s="99"/>
      <c r="N154" s="111"/>
      <c r="O154" s="112"/>
      <c r="P154" s="94"/>
      <c r="Q154" s="94"/>
      <c r="R154" s="113"/>
      <c r="S154" s="94"/>
      <c r="T154" s="94"/>
      <c r="V154" s="104"/>
    </row>
    <row r="155" ht="15.75" customHeight="1">
      <c r="A155" s="91"/>
      <c r="B155" s="131"/>
      <c r="C155" s="132"/>
      <c r="D155" s="94"/>
      <c r="E155" s="247"/>
      <c r="F155" s="247"/>
      <c r="G155" s="94"/>
      <c r="H155" s="132"/>
      <c r="I155" s="94"/>
      <c r="J155" s="94"/>
      <c r="K155" s="125"/>
      <c r="L155" s="125"/>
      <c r="M155" s="99"/>
      <c r="N155" s="111"/>
      <c r="O155" s="112"/>
      <c r="P155" s="94"/>
      <c r="Q155" s="94"/>
      <c r="R155" s="113"/>
      <c r="S155" s="94"/>
      <c r="T155" s="94"/>
      <c r="V155" s="104"/>
    </row>
    <row r="156" ht="15.75" customHeight="1">
      <c r="A156" s="91"/>
      <c r="B156" s="131"/>
      <c r="C156" s="132"/>
      <c r="D156" s="94"/>
      <c r="E156" s="247"/>
      <c r="F156" s="247"/>
      <c r="G156" s="94"/>
      <c r="H156" s="132"/>
      <c r="I156" s="94"/>
      <c r="J156" s="94"/>
      <c r="K156" s="126"/>
      <c r="L156" s="126"/>
      <c r="M156" s="99"/>
      <c r="N156" s="111"/>
      <c r="O156" s="112"/>
      <c r="P156" s="94"/>
      <c r="Q156" s="120"/>
      <c r="R156" s="113"/>
      <c r="S156" s="94"/>
      <c r="T156" s="94"/>
      <c r="V156" s="104"/>
    </row>
    <row r="157" ht="15.75" customHeight="1">
      <c r="A157" s="91"/>
      <c r="B157" s="131"/>
      <c r="C157" s="132"/>
      <c r="D157" s="94"/>
      <c r="E157" s="247"/>
      <c r="F157" s="247"/>
      <c r="G157" s="94"/>
      <c r="H157" s="132"/>
      <c r="I157" s="94"/>
      <c r="J157" s="94"/>
      <c r="K157" s="125"/>
      <c r="L157" s="125"/>
      <c r="M157" s="99"/>
      <c r="N157" s="111"/>
      <c r="O157" s="112"/>
      <c r="P157" s="94"/>
      <c r="Q157" s="94"/>
      <c r="R157" s="113"/>
      <c r="S157" s="94"/>
      <c r="T157" s="94"/>
      <c r="V157" s="104"/>
    </row>
    <row r="158" ht="15.75" customHeight="1">
      <c r="A158" s="91"/>
      <c r="B158" s="131"/>
      <c r="C158" s="132"/>
      <c r="D158" s="94"/>
      <c r="E158" s="247"/>
      <c r="F158" s="247"/>
      <c r="G158" s="94"/>
      <c r="H158" s="132"/>
      <c r="I158" s="94"/>
      <c r="J158" s="94"/>
      <c r="K158" s="126"/>
      <c r="L158" s="126"/>
      <c r="M158" s="99"/>
      <c r="N158" s="111"/>
      <c r="O158" s="112"/>
      <c r="P158" s="94"/>
      <c r="Q158" s="94"/>
      <c r="R158" s="113"/>
      <c r="S158" s="94"/>
      <c r="T158" s="94"/>
      <c r="V158" s="104"/>
    </row>
    <row r="159" ht="15.75" customHeight="1">
      <c r="A159" s="91"/>
      <c r="B159" s="131"/>
      <c r="C159" s="132"/>
      <c r="D159" s="94"/>
      <c r="E159" s="247"/>
      <c r="F159" s="247"/>
      <c r="G159" s="94"/>
      <c r="H159" s="132"/>
      <c r="I159" s="94"/>
      <c r="J159" s="94"/>
      <c r="K159" s="125"/>
      <c r="L159" s="125"/>
      <c r="M159" s="99"/>
      <c r="N159" s="111"/>
      <c r="O159" s="112"/>
      <c r="P159" s="94"/>
      <c r="Q159" s="120"/>
      <c r="R159" s="113"/>
      <c r="S159" s="94"/>
      <c r="T159" s="94"/>
      <c r="V159" s="104"/>
    </row>
    <row r="160" ht="15.75" customHeight="1">
      <c r="A160" s="91"/>
      <c r="B160" s="131"/>
      <c r="C160" s="104"/>
      <c r="D160" s="94"/>
      <c r="E160" s="247"/>
      <c r="F160" s="247"/>
      <c r="G160" s="94"/>
      <c r="H160" s="132"/>
      <c r="I160" s="94"/>
      <c r="J160" s="94"/>
      <c r="K160" s="126"/>
      <c r="L160" s="126"/>
      <c r="M160" s="99"/>
      <c r="N160" s="111"/>
      <c r="O160" s="112"/>
      <c r="P160" s="94"/>
      <c r="Q160" s="94"/>
      <c r="R160" s="113"/>
      <c r="S160" s="94"/>
      <c r="T160" s="94"/>
      <c r="V160" s="104"/>
    </row>
    <row r="161" ht="15.75" customHeight="1">
      <c r="A161" s="91"/>
      <c r="B161" s="131"/>
      <c r="C161" s="104"/>
      <c r="D161" s="94"/>
      <c r="E161" s="247"/>
      <c r="F161" s="247"/>
      <c r="G161" s="94"/>
      <c r="H161" s="132"/>
      <c r="I161" s="94"/>
      <c r="J161" s="94"/>
      <c r="K161" s="125"/>
      <c r="L161" s="125"/>
      <c r="M161" s="99"/>
      <c r="N161" s="111"/>
      <c r="O161" s="112"/>
      <c r="P161" s="94"/>
      <c r="Q161" s="120"/>
      <c r="R161" s="113"/>
      <c r="S161" s="94"/>
      <c r="T161" s="94"/>
      <c r="V161" s="104"/>
    </row>
    <row r="162" ht="15.75" customHeight="1">
      <c r="A162" s="91"/>
      <c r="B162" s="131"/>
      <c r="C162" s="104"/>
      <c r="D162" s="94"/>
      <c r="E162" s="247"/>
      <c r="F162" s="247"/>
      <c r="G162" s="94"/>
      <c r="H162" s="132"/>
      <c r="I162" s="94"/>
      <c r="J162" s="94"/>
      <c r="K162" s="126"/>
      <c r="L162" s="126"/>
      <c r="M162" s="99"/>
      <c r="N162" s="111"/>
      <c r="O162" s="112"/>
      <c r="P162" s="94"/>
      <c r="Q162" s="120"/>
      <c r="R162" s="113"/>
      <c r="S162" s="94"/>
      <c r="T162" s="94"/>
      <c r="V162" s="104"/>
    </row>
    <row r="163" ht="15.75" customHeight="1">
      <c r="A163" s="91"/>
      <c r="B163" s="131"/>
      <c r="C163" s="132"/>
      <c r="D163" s="94"/>
      <c r="E163" s="247"/>
      <c r="F163" s="247"/>
      <c r="G163" s="94"/>
      <c r="H163" s="132"/>
      <c r="I163" s="94"/>
      <c r="J163" s="94"/>
      <c r="K163" s="125"/>
      <c r="L163" s="125"/>
      <c r="M163" s="99"/>
      <c r="N163" s="111"/>
      <c r="O163" s="112"/>
      <c r="P163" s="94"/>
      <c r="Q163" s="120"/>
      <c r="R163" s="113"/>
      <c r="S163" s="94"/>
      <c r="T163" s="94"/>
      <c r="V163" s="104"/>
    </row>
    <row r="164" ht="15.75" customHeight="1">
      <c r="A164" s="91"/>
      <c r="B164" s="131"/>
      <c r="C164" s="132"/>
      <c r="D164" s="94"/>
      <c r="E164" s="247"/>
      <c r="F164" s="247"/>
      <c r="G164" s="94"/>
      <c r="H164" s="132"/>
      <c r="I164" s="94"/>
      <c r="J164" s="94"/>
      <c r="K164" s="126"/>
      <c r="L164" s="126"/>
      <c r="M164" s="99"/>
      <c r="N164" s="111"/>
      <c r="O164" s="112"/>
      <c r="P164" s="94"/>
      <c r="Q164" s="94"/>
      <c r="R164" s="113"/>
      <c r="S164" s="94"/>
      <c r="T164" s="94"/>
      <c r="V164" s="104"/>
    </row>
    <row r="165" ht="15.75" customHeight="1">
      <c r="A165" s="91"/>
      <c r="B165" s="131"/>
      <c r="C165" s="132"/>
      <c r="D165" s="94"/>
      <c r="E165" s="247"/>
      <c r="F165" s="247"/>
      <c r="G165" s="94"/>
      <c r="H165" s="132"/>
      <c r="I165" s="94"/>
      <c r="J165" s="94"/>
      <c r="K165" s="125"/>
      <c r="L165" s="125"/>
      <c r="M165" s="99"/>
      <c r="N165" s="111"/>
      <c r="O165" s="112"/>
      <c r="P165" s="94"/>
      <c r="Q165" s="120"/>
      <c r="R165" s="113"/>
      <c r="S165" s="94"/>
      <c r="T165" s="94"/>
      <c r="V165" s="104"/>
    </row>
    <row r="166" ht="15.75" customHeight="1">
      <c r="A166" s="91"/>
      <c r="B166" s="131"/>
      <c r="C166" s="132"/>
      <c r="D166" s="94"/>
      <c r="E166" s="247"/>
      <c r="F166" s="247"/>
      <c r="G166" s="94"/>
      <c r="H166" s="132"/>
      <c r="I166" s="94"/>
      <c r="J166" s="94"/>
      <c r="K166" s="126"/>
      <c r="L166" s="126"/>
      <c r="M166" s="99"/>
      <c r="N166" s="111"/>
      <c r="O166" s="112"/>
      <c r="P166" s="94"/>
      <c r="Q166" s="94"/>
      <c r="R166" s="113"/>
      <c r="S166" s="94"/>
      <c r="T166" s="94"/>
      <c r="V166" s="104"/>
    </row>
    <row r="167" ht="15.75" customHeight="1">
      <c r="A167" s="91"/>
      <c r="B167" s="131"/>
      <c r="C167" s="132"/>
      <c r="D167" s="94"/>
      <c r="E167" s="247"/>
      <c r="F167" s="248"/>
      <c r="G167" s="94"/>
      <c r="H167" s="132"/>
      <c r="I167" s="94"/>
      <c r="J167" s="94"/>
      <c r="K167" s="125"/>
      <c r="L167" s="125"/>
      <c r="M167" s="99"/>
      <c r="N167" s="111"/>
      <c r="O167" s="112"/>
      <c r="P167" s="94"/>
      <c r="Q167" s="120"/>
      <c r="R167" s="113"/>
      <c r="S167" s="94"/>
      <c r="T167" s="94"/>
      <c r="V167" s="104"/>
    </row>
    <row r="168" ht="15.75" customHeight="1">
      <c r="A168" s="91"/>
      <c r="B168" s="131"/>
      <c r="C168" s="104"/>
      <c r="D168" s="94"/>
      <c r="E168" s="247"/>
      <c r="F168" s="247"/>
      <c r="G168" s="94"/>
      <c r="H168" s="132"/>
      <c r="I168" s="94"/>
      <c r="J168" s="94"/>
      <c r="K168" s="126"/>
      <c r="L168" s="126"/>
      <c r="M168" s="99"/>
      <c r="N168" s="111"/>
      <c r="O168" s="112"/>
      <c r="P168" s="94"/>
      <c r="Q168" s="94"/>
      <c r="R168" s="113"/>
      <c r="S168" s="94"/>
      <c r="T168" s="94"/>
      <c r="V168" s="104"/>
    </row>
    <row r="169" ht="15.75" customHeight="1">
      <c r="A169" s="91"/>
      <c r="B169" s="131"/>
      <c r="C169" s="104"/>
      <c r="D169" s="94"/>
      <c r="E169" s="247"/>
      <c r="F169" s="247"/>
      <c r="G169" s="94"/>
      <c r="H169" s="132"/>
      <c r="I169" s="94"/>
      <c r="J169" s="94"/>
      <c r="K169" s="125"/>
      <c r="L169" s="125"/>
      <c r="M169" s="99"/>
      <c r="N169" s="111"/>
      <c r="O169" s="112"/>
      <c r="P169" s="94"/>
      <c r="Q169" s="120"/>
      <c r="R169" s="113"/>
      <c r="S169" s="94"/>
      <c r="T169" s="94"/>
      <c r="V169" s="104"/>
    </row>
    <row r="170" ht="15.75" customHeight="1">
      <c r="A170" s="91"/>
      <c r="B170" s="131"/>
      <c r="C170" s="132"/>
      <c r="D170" s="94"/>
      <c r="E170" s="247"/>
      <c r="F170" s="247"/>
      <c r="G170" s="94"/>
      <c r="H170" s="132"/>
      <c r="I170" s="94"/>
      <c r="J170" s="94"/>
      <c r="K170" s="126"/>
      <c r="L170" s="126"/>
      <c r="M170" s="99"/>
      <c r="N170" s="111"/>
      <c r="O170" s="112"/>
      <c r="P170" s="94"/>
      <c r="Q170" s="120"/>
      <c r="R170" s="113"/>
      <c r="S170" s="94"/>
      <c r="T170" s="94"/>
      <c r="V170" s="104"/>
    </row>
    <row r="171" ht="15.75" customHeight="1">
      <c r="A171" s="91"/>
      <c r="B171" s="131"/>
      <c r="C171" s="132"/>
      <c r="D171" s="94"/>
      <c r="E171" s="247"/>
      <c r="F171" s="247"/>
      <c r="G171" s="94"/>
      <c r="H171" s="132"/>
      <c r="I171" s="94"/>
      <c r="J171" s="94"/>
      <c r="K171" s="125"/>
      <c r="L171" s="125"/>
      <c r="M171" s="99"/>
      <c r="N171" s="111"/>
      <c r="O171" s="112"/>
      <c r="P171" s="94"/>
      <c r="Q171" s="120"/>
      <c r="R171" s="113"/>
      <c r="S171" s="94"/>
      <c r="T171" s="94"/>
      <c r="V171" s="104"/>
    </row>
    <row r="172" ht="15.75" customHeight="1">
      <c r="A172" s="91"/>
      <c r="B172" s="131"/>
      <c r="C172" s="132"/>
      <c r="D172" s="94"/>
      <c r="E172" s="247"/>
      <c r="F172" s="247"/>
      <c r="G172" s="94"/>
      <c r="H172" s="132"/>
      <c r="I172" s="94"/>
      <c r="J172" s="94"/>
      <c r="K172" s="126"/>
      <c r="L172" s="126"/>
      <c r="M172" s="99"/>
      <c r="N172" s="111"/>
      <c r="O172" s="112"/>
      <c r="P172" s="94"/>
      <c r="Q172" s="120"/>
      <c r="R172" s="113"/>
      <c r="S172" s="94"/>
      <c r="T172" s="94"/>
      <c r="V172" s="104"/>
    </row>
    <row r="173" ht="15.75" customHeight="1">
      <c r="A173" s="91"/>
      <c r="B173" s="131"/>
      <c r="C173" s="132"/>
      <c r="D173" s="94"/>
      <c r="E173" s="247"/>
      <c r="F173" s="247"/>
      <c r="G173" s="94"/>
      <c r="H173" s="132"/>
      <c r="I173" s="94"/>
      <c r="J173" s="94"/>
      <c r="K173" s="125"/>
      <c r="L173" s="125"/>
      <c r="M173" s="99"/>
      <c r="N173" s="111"/>
      <c r="O173" s="112"/>
      <c r="P173" s="94"/>
      <c r="Q173" s="120"/>
      <c r="R173" s="113"/>
      <c r="S173" s="94"/>
      <c r="T173" s="94"/>
      <c r="V173" s="104"/>
    </row>
    <row r="174" ht="15.75" customHeight="1">
      <c r="A174" s="91"/>
      <c r="B174" s="131"/>
      <c r="C174" s="132"/>
      <c r="D174" s="94"/>
      <c r="E174" s="247"/>
      <c r="F174" s="247"/>
      <c r="G174" s="94"/>
      <c r="H174" s="132"/>
      <c r="I174" s="94"/>
      <c r="J174" s="94"/>
      <c r="K174" s="126"/>
      <c r="L174" s="126"/>
      <c r="M174" s="99"/>
      <c r="N174" s="111"/>
      <c r="O174" s="112"/>
      <c r="P174" s="94"/>
      <c r="Q174" s="120"/>
      <c r="R174" s="113"/>
      <c r="S174" s="94"/>
      <c r="T174" s="94"/>
      <c r="V174" s="104"/>
    </row>
    <row r="175" ht="15.75" customHeight="1">
      <c r="A175" s="91"/>
      <c r="B175" s="131"/>
      <c r="C175" s="104"/>
      <c r="D175" s="94"/>
      <c r="E175" s="247"/>
      <c r="F175" s="247"/>
      <c r="G175" s="94"/>
      <c r="H175" s="132"/>
      <c r="I175" s="94"/>
      <c r="J175" s="94"/>
      <c r="K175" s="125"/>
      <c r="L175" s="125"/>
      <c r="M175" s="99"/>
      <c r="N175" s="111"/>
      <c r="O175" s="112"/>
      <c r="P175" s="94"/>
      <c r="Q175" s="120"/>
      <c r="R175" s="113"/>
      <c r="S175" s="94"/>
      <c r="T175" s="94"/>
      <c r="V175" s="104"/>
    </row>
    <row r="176" ht="15.75" customHeight="1">
      <c r="A176" s="91"/>
      <c r="B176" s="131"/>
      <c r="C176" s="132"/>
      <c r="D176" s="94"/>
      <c r="E176" s="247"/>
      <c r="F176" s="247"/>
      <c r="G176" s="94"/>
      <c r="H176" s="132"/>
      <c r="I176" s="94"/>
      <c r="J176" s="94"/>
      <c r="K176" s="126"/>
      <c r="L176" s="126"/>
      <c r="M176" s="99"/>
      <c r="N176" s="111"/>
      <c r="O176" s="112"/>
      <c r="P176" s="94"/>
      <c r="Q176" s="120"/>
      <c r="R176" s="113"/>
      <c r="S176" s="94"/>
      <c r="T176" s="94"/>
      <c r="V176" s="104"/>
    </row>
    <row r="177" ht="15.75" customHeight="1">
      <c r="A177" s="91"/>
      <c r="B177" s="131"/>
      <c r="C177" s="132"/>
      <c r="D177" s="94"/>
      <c r="E177" s="247"/>
      <c r="F177" s="247"/>
      <c r="G177" s="94"/>
      <c r="H177" s="132"/>
      <c r="I177" s="94"/>
      <c r="J177" s="94"/>
      <c r="K177" s="125"/>
      <c r="L177" s="125"/>
      <c r="M177" s="99"/>
      <c r="N177" s="111"/>
      <c r="O177" s="112"/>
      <c r="P177" s="94"/>
      <c r="Q177" s="120"/>
      <c r="R177" s="113"/>
      <c r="S177" s="94"/>
      <c r="T177" s="94"/>
      <c r="V177" s="104"/>
    </row>
    <row r="178" ht="15.75" customHeight="1">
      <c r="A178" s="91"/>
      <c r="B178" s="131"/>
      <c r="C178" s="132"/>
      <c r="D178" s="94"/>
      <c r="E178" s="247"/>
      <c r="F178" s="247"/>
      <c r="G178" s="94"/>
      <c r="H178" s="132"/>
      <c r="I178" s="94"/>
      <c r="J178" s="94"/>
      <c r="K178" s="126"/>
      <c r="L178" s="126"/>
      <c r="M178" s="99"/>
      <c r="N178" s="111"/>
      <c r="O178" s="112"/>
      <c r="P178" s="94"/>
      <c r="Q178" s="120"/>
      <c r="R178" s="113"/>
      <c r="S178" s="94"/>
      <c r="T178" s="94"/>
      <c r="V178" s="104"/>
    </row>
    <row r="179" ht="15.75" customHeight="1">
      <c r="A179" s="91"/>
      <c r="B179" s="131"/>
      <c r="C179" s="132"/>
      <c r="D179" s="94"/>
      <c r="E179" s="247"/>
      <c r="F179" s="247"/>
      <c r="G179" s="94"/>
      <c r="H179" s="132"/>
      <c r="I179" s="94"/>
      <c r="J179" s="94"/>
      <c r="K179" s="125"/>
      <c r="L179" s="125"/>
      <c r="M179" s="99"/>
      <c r="N179" s="111"/>
      <c r="O179" s="112"/>
      <c r="P179" s="94"/>
      <c r="Q179" s="120"/>
      <c r="R179" s="113"/>
      <c r="S179" s="94"/>
      <c r="T179" s="94"/>
      <c r="V179" s="104"/>
    </row>
    <row r="180" ht="15.75" customHeight="1">
      <c r="A180" s="91"/>
      <c r="B180" s="131"/>
      <c r="C180" s="132"/>
      <c r="D180" s="94"/>
      <c r="E180" s="247"/>
      <c r="F180" s="247"/>
      <c r="G180" s="94"/>
      <c r="H180" s="132"/>
      <c r="I180" s="94"/>
      <c r="J180" s="94"/>
      <c r="K180" s="126"/>
      <c r="L180" s="126"/>
      <c r="M180" s="99"/>
      <c r="N180" s="111"/>
      <c r="O180" s="112"/>
      <c r="P180" s="94"/>
      <c r="Q180" s="120"/>
      <c r="R180" s="113"/>
      <c r="S180" s="94"/>
      <c r="T180" s="94"/>
      <c r="V180" s="104"/>
    </row>
    <row r="181" ht="15.75" customHeight="1">
      <c r="A181" s="91"/>
      <c r="B181" s="131"/>
      <c r="C181" s="104"/>
      <c r="D181" s="94"/>
      <c r="E181" s="247"/>
      <c r="F181" s="247"/>
      <c r="G181" s="94"/>
      <c r="H181" s="132"/>
      <c r="I181" s="94"/>
      <c r="J181" s="94"/>
      <c r="K181" s="125"/>
      <c r="L181" s="125"/>
      <c r="M181" s="99"/>
      <c r="N181" s="111"/>
      <c r="O181" s="112"/>
      <c r="P181" s="94"/>
      <c r="Q181" s="120"/>
      <c r="R181" s="113"/>
      <c r="S181" s="94"/>
      <c r="T181" s="94"/>
      <c r="V181" s="104"/>
    </row>
    <row r="182" ht="15.75" customHeight="1">
      <c r="A182" s="91"/>
      <c r="B182" s="131"/>
      <c r="C182" s="132"/>
      <c r="D182" s="94"/>
      <c r="E182" s="247"/>
      <c r="F182" s="247"/>
      <c r="G182" s="94"/>
      <c r="H182" s="132"/>
      <c r="I182" s="94"/>
      <c r="J182" s="94"/>
      <c r="K182" s="126"/>
      <c r="L182" s="126"/>
      <c r="M182" s="99"/>
      <c r="N182" s="111"/>
      <c r="O182" s="112"/>
      <c r="P182" s="94"/>
      <c r="Q182" s="120"/>
      <c r="R182" s="113"/>
      <c r="S182" s="94"/>
      <c r="T182" s="94"/>
      <c r="V182" s="104"/>
    </row>
    <row r="183" ht="15.75" customHeight="1">
      <c r="A183" s="91"/>
      <c r="B183" s="131"/>
      <c r="C183" s="132"/>
      <c r="D183" s="94"/>
      <c r="E183" s="247"/>
      <c r="F183" s="247"/>
      <c r="G183" s="94"/>
      <c r="H183" s="132"/>
      <c r="I183" s="94"/>
      <c r="J183" s="94"/>
      <c r="K183" s="125"/>
      <c r="L183" s="125"/>
      <c r="M183" s="99"/>
      <c r="N183" s="111"/>
      <c r="O183" s="112"/>
      <c r="P183" s="94"/>
      <c r="Q183" s="120"/>
      <c r="R183" s="113"/>
      <c r="S183" s="94"/>
      <c r="T183" s="94"/>
      <c r="V183" s="104"/>
    </row>
    <row r="184" ht="15.75" customHeight="1">
      <c r="A184" s="91"/>
      <c r="B184" s="131"/>
      <c r="C184" s="132"/>
      <c r="D184" s="94"/>
      <c r="E184" s="247"/>
      <c r="F184" s="247"/>
      <c r="G184" s="94"/>
      <c r="H184" s="132"/>
      <c r="I184" s="94"/>
      <c r="J184" s="94"/>
      <c r="K184" s="126"/>
      <c r="L184" s="126"/>
      <c r="M184" s="99"/>
      <c r="N184" s="111"/>
      <c r="O184" s="112"/>
      <c r="P184" s="94"/>
      <c r="Q184" s="120"/>
      <c r="R184" s="113"/>
      <c r="S184" s="94"/>
      <c r="T184" s="94"/>
      <c r="V184" s="104"/>
    </row>
    <row r="185" ht="15.75" customHeight="1">
      <c r="A185" s="91"/>
      <c r="B185" s="131"/>
      <c r="C185" s="132"/>
      <c r="D185" s="94"/>
      <c r="E185" s="247"/>
      <c r="F185" s="247"/>
      <c r="G185" s="94"/>
      <c r="H185" s="132"/>
      <c r="I185" s="94"/>
      <c r="J185" s="94"/>
      <c r="K185" s="125"/>
      <c r="L185" s="125"/>
      <c r="M185" s="99"/>
      <c r="N185" s="111"/>
      <c r="O185" s="112"/>
      <c r="P185" s="94"/>
      <c r="Q185" s="120"/>
      <c r="R185" s="113"/>
      <c r="S185" s="94"/>
      <c r="T185" s="94"/>
      <c r="V185" s="104"/>
    </row>
    <row r="186" ht="15.75" customHeight="1">
      <c r="A186" s="91"/>
      <c r="B186" s="131"/>
      <c r="C186" s="132"/>
      <c r="D186" s="94"/>
      <c r="E186" s="247"/>
      <c r="F186" s="247"/>
      <c r="G186" s="94"/>
      <c r="H186" s="132"/>
      <c r="I186" s="94"/>
      <c r="J186" s="94"/>
      <c r="K186" s="126"/>
      <c r="L186" s="126"/>
      <c r="M186" s="99"/>
      <c r="N186" s="111"/>
      <c r="O186" s="112"/>
      <c r="P186" s="94"/>
      <c r="Q186" s="120"/>
      <c r="R186" s="113"/>
      <c r="S186" s="94"/>
      <c r="T186" s="94"/>
      <c r="V186" s="104"/>
    </row>
    <row r="187" ht="15.75" customHeight="1">
      <c r="A187" s="91"/>
      <c r="B187" s="131"/>
      <c r="C187" s="104"/>
      <c r="D187" s="94"/>
      <c r="E187" s="247"/>
      <c r="F187" s="247"/>
      <c r="G187" s="94"/>
      <c r="H187" s="132"/>
      <c r="I187" s="94"/>
      <c r="J187" s="94"/>
      <c r="K187" s="125"/>
      <c r="L187" s="125"/>
      <c r="M187" s="99"/>
      <c r="N187" s="111"/>
      <c r="O187" s="112"/>
      <c r="P187" s="94"/>
      <c r="Q187" s="120"/>
      <c r="R187" s="113"/>
      <c r="S187" s="94"/>
      <c r="T187" s="94"/>
      <c r="V187" s="104"/>
    </row>
    <row r="188" ht="15.75" customHeight="1">
      <c r="A188" s="91"/>
      <c r="B188" s="131"/>
      <c r="C188" s="132"/>
      <c r="D188" s="94"/>
      <c r="E188" s="247"/>
      <c r="F188" s="247"/>
      <c r="G188" s="94"/>
      <c r="H188" s="132"/>
      <c r="I188" s="94"/>
      <c r="J188" s="94"/>
      <c r="K188" s="126"/>
      <c r="L188" s="126"/>
      <c r="M188" s="99"/>
      <c r="N188" s="111"/>
      <c r="O188" s="112"/>
      <c r="P188" s="94"/>
      <c r="Q188" s="120"/>
      <c r="R188" s="113"/>
      <c r="S188" s="94"/>
      <c r="T188" s="94"/>
      <c r="V188" s="104"/>
    </row>
    <row r="189" ht="15.75" customHeight="1">
      <c r="A189" s="91"/>
      <c r="B189" s="131"/>
      <c r="C189" s="132"/>
      <c r="D189" s="94"/>
      <c r="E189" s="247"/>
      <c r="F189" s="247"/>
      <c r="G189" s="94"/>
      <c r="H189" s="132"/>
      <c r="I189" s="94"/>
      <c r="J189" s="94"/>
      <c r="K189" s="125"/>
      <c r="L189" s="125"/>
      <c r="M189" s="99"/>
      <c r="N189" s="111"/>
      <c r="O189" s="112"/>
      <c r="P189" s="94"/>
      <c r="Q189" s="120"/>
      <c r="R189" s="113"/>
      <c r="S189" s="94"/>
      <c r="T189" s="94"/>
      <c r="V189" s="104"/>
    </row>
    <row r="190" ht="15.75" customHeight="1">
      <c r="A190" s="91"/>
      <c r="B190" s="131"/>
      <c r="C190" s="132"/>
      <c r="D190" s="94"/>
      <c r="E190" s="247"/>
      <c r="F190" s="247"/>
      <c r="G190" s="94"/>
      <c r="H190" s="132"/>
      <c r="I190" s="94"/>
      <c r="J190" s="94"/>
      <c r="K190" s="126"/>
      <c r="L190" s="126"/>
      <c r="M190" s="99"/>
      <c r="N190" s="111"/>
      <c r="O190" s="112"/>
      <c r="P190" s="94"/>
      <c r="Q190" s="120"/>
      <c r="R190" s="113"/>
      <c r="S190" s="94"/>
      <c r="T190" s="94"/>
      <c r="V190" s="104"/>
    </row>
    <row r="191" ht="15.75" customHeight="1">
      <c r="A191" s="91"/>
      <c r="B191" s="131"/>
      <c r="C191" s="132"/>
      <c r="D191" s="94"/>
      <c r="E191" s="247"/>
      <c r="F191" s="247"/>
      <c r="G191" s="94"/>
      <c r="H191" s="132"/>
      <c r="I191" s="94"/>
      <c r="J191" s="94"/>
      <c r="K191" s="125"/>
      <c r="L191" s="125"/>
      <c r="M191" s="99"/>
      <c r="N191" s="111"/>
      <c r="O191" s="112"/>
      <c r="P191" s="94"/>
      <c r="Q191" s="120"/>
      <c r="R191" s="113"/>
      <c r="S191" s="94"/>
      <c r="T191" s="94"/>
      <c r="V191" s="104"/>
    </row>
    <row r="192" ht="15.75" customHeight="1">
      <c r="A192" s="91"/>
      <c r="B192" s="131"/>
      <c r="C192" s="132"/>
      <c r="D192" s="94"/>
      <c r="E192" s="247"/>
      <c r="F192" s="247"/>
      <c r="G192" s="94"/>
      <c r="H192" s="132"/>
      <c r="I192" s="94"/>
      <c r="J192" s="94"/>
      <c r="K192" s="126"/>
      <c r="L192" s="126"/>
      <c r="M192" s="99"/>
      <c r="N192" s="111"/>
      <c r="O192" s="112"/>
      <c r="P192" s="94"/>
      <c r="Q192" s="120"/>
      <c r="R192" s="113"/>
      <c r="S192" s="94"/>
      <c r="T192" s="94"/>
      <c r="V192" s="104"/>
    </row>
    <row r="193" ht="15.75" customHeight="1">
      <c r="A193" s="91"/>
      <c r="B193" s="131"/>
      <c r="C193" s="104"/>
      <c r="D193" s="94"/>
      <c r="E193" s="247"/>
      <c r="F193" s="247"/>
      <c r="G193" s="94"/>
      <c r="H193" s="132"/>
      <c r="I193" s="94"/>
      <c r="J193" s="94"/>
      <c r="K193" s="125"/>
      <c r="L193" s="125"/>
      <c r="M193" s="99"/>
      <c r="N193" s="111"/>
      <c r="O193" s="112"/>
      <c r="P193" s="94"/>
      <c r="Q193" s="120"/>
      <c r="R193" s="113"/>
      <c r="S193" s="94"/>
      <c r="T193" s="94"/>
      <c r="V193" s="104"/>
    </row>
    <row r="194" ht="15.75" customHeight="1">
      <c r="A194" s="91"/>
      <c r="B194" s="131"/>
      <c r="C194" s="132"/>
      <c r="D194" s="94"/>
      <c r="E194" s="247"/>
      <c r="F194" s="247"/>
      <c r="G194" s="94"/>
      <c r="H194" s="132"/>
      <c r="I194" s="94"/>
      <c r="J194" s="94"/>
      <c r="K194" s="126"/>
      <c r="L194" s="126"/>
      <c r="M194" s="99"/>
      <c r="N194" s="111"/>
      <c r="O194" s="112"/>
      <c r="P194" s="94"/>
      <c r="Q194" s="120"/>
      <c r="R194" s="113"/>
      <c r="S194" s="94"/>
      <c r="T194" s="94"/>
      <c r="V194" s="104"/>
    </row>
    <row r="195" ht="15.75" customHeight="1">
      <c r="A195" s="91"/>
      <c r="B195" s="131"/>
      <c r="C195" s="132"/>
      <c r="D195" s="94"/>
      <c r="E195" s="247"/>
      <c r="F195" s="247"/>
      <c r="G195" s="94"/>
      <c r="H195" s="132"/>
      <c r="I195" s="94"/>
      <c r="J195" s="94"/>
      <c r="K195" s="125"/>
      <c r="L195" s="125"/>
      <c r="M195" s="99"/>
      <c r="N195" s="111"/>
      <c r="O195" s="112"/>
      <c r="P195" s="94"/>
      <c r="Q195" s="120"/>
      <c r="R195" s="113"/>
      <c r="S195" s="94"/>
      <c r="T195" s="94"/>
      <c r="V195" s="104"/>
    </row>
    <row r="196" ht="15.75" customHeight="1">
      <c r="A196" s="91"/>
      <c r="B196" s="131"/>
      <c r="C196" s="132"/>
      <c r="D196" s="94"/>
      <c r="E196" s="247"/>
      <c r="F196" s="247"/>
      <c r="G196" s="94"/>
      <c r="H196" s="132"/>
      <c r="I196" s="94"/>
      <c r="J196" s="94"/>
      <c r="K196" s="126"/>
      <c r="L196" s="126"/>
      <c r="M196" s="99"/>
      <c r="N196" s="111"/>
      <c r="O196" s="112"/>
      <c r="P196" s="94"/>
      <c r="Q196" s="120"/>
      <c r="R196" s="113"/>
      <c r="S196" s="94"/>
      <c r="T196" s="94"/>
      <c r="V196" s="104"/>
    </row>
    <row r="197" ht="15.75" customHeight="1">
      <c r="A197" s="91"/>
      <c r="B197" s="131"/>
      <c r="C197" s="132"/>
      <c r="D197" s="94"/>
      <c r="E197" s="247"/>
      <c r="F197" s="247"/>
      <c r="G197" s="94"/>
      <c r="H197" s="132"/>
      <c r="I197" s="94"/>
      <c r="J197" s="94"/>
      <c r="K197" s="125"/>
      <c r="L197" s="125"/>
      <c r="M197" s="99"/>
      <c r="N197" s="111"/>
      <c r="O197" s="112"/>
      <c r="P197" s="94"/>
      <c r="Q197" s="120"/>
      <c r="R197" s="113"/>
      <c r="S197" s="94"/>
      <c r="T197" s="94"/>
      <c r="V197" s="104"/>
    </row>
    <row r="198" ht="15.75" customHeight="1">
      <c r="A198" s="91"/>
      <c r="B198" s="131"/>
      <c r="C198" s="132"/>
      <c r="D198" s="94"/>
      <c r="E198" s="247"/>
      <c r="F198" s="247"/>
      <c r="G198" s="94"/>
      <c r="H198" s="132"/>
      <c r="I198" s="94"/>
      <c r="J198" s="94"/>
      <c r="K198" s="126"/>
      <c r="L198" s="126"/>
      <c r="M198" s="99"/>
      <c r="N198" s="111"/>
      <c r="O198" s="112"/>
      <c r="P198" s="94"/>
      <c r="Q198" s="120"/>
      <c r="R198" s="113"/>
      <c r="S198" s="94"/>
      <c r="T198" s="94"/>
      <c r="V198" s="104"/>
    </row>
    <row r="199" ht="15.75" customHeight="1">
      <c r="A199" s="91"/>
      <c r="B199" s="131"/>
      <c r="C199" s="104"/>
      <c r="D199" s="94"/>
      <c r="E199" s="247"/>
      <c r="F199" s="247"/>
      <c r="G199" s="94"/>
      <c r="H199" s="132"/>
      <c r="I199" s="94"/>
      <c r="J199" s="94"/>
      <c r="K199" s="125"/>
      <c r="L199" s="125"/>
      <c r="M199" s="99"/>
      <c r="N199" s="111"/>
      <c r="O199" s="112"/>
      <c r="P199" s="94"/>
      <c r="Q199" s="120"/>
      <c r="R199" s="113"/>
      <c r="S199" s="94"/>
      <c r="T199" s="94"/>
      <c r="V199" s="104"/>
    </row>
    <row r="200" ht="15.75" customHeight="1">
      <c r="A200" s="91"/>
      <c r="B200" s="131"/>
      <c r="C200" s="132"/>
      <c r="D200" s="94"/>
      <c r="E200" s="247"/>
      <c r="F200" s="247"/>
      <c r="G200" s="94"/>
      <c r="H200" s="132"/>
      <c r="I200" s="94"/>
      <c r="J200" s="94"/>
      <c r="K200" s="126"/>
      <c r="L200" s="126"/>
      <c r="M200" s="99"/>
      <c r="N200" s="111"/>
      <c r="O200" s="112"/>
      <c r="P200" s="94"/>
      <c r="Q200" s="120"/>
      <c r="R200" s="113"/>
      <c r="S200" s="94"/>
      <c r="T200" s="94"/>
      <c r="V200" s="104"/>
    </row>
    <row r="201" ht="15.75" customHeight="1">
      <c r="A201" s="91"/>
      <c r="B201" s="131"/>
      <c r="C201" s="132"/>
      <c r="D201" s="94"/>
      <c r="E201" s="247"/>
      <c r="F201" s="247"/>
      <c r="G201" s="94"/>
      <c r="H201" s="132"/>
      <c r="I201" s="94"/>
      <c r="J201" s="94"/>
      <c r="K201" s="125"/>
      <c r="L201" s="125"/>
      <c r="M201" s="99"/>
      <c r="N201" s="111"/>
      <c r="O201" s="112"/>
      <c r="P201" s="94"/>
      <c r="Q201" s="120"/>
      <c r="R201" s="113"/>
      <c r="S201" s="94"/>
      <c r="T201" s="94"/>
      <c r="V201" s="104"/>
    </row>
    <row r="202" ht="15.75" customHeight="1">
      <c r="A202" s="91"/>
      <c r="B202" s="131"/>
      <c r="C202" s="132"/>
      <c r="D202" s="94"/>
      <c r="E202" s="247"/>
      <c r="F202" s="247"/>
      <c r="G202" s="94"/>
      <c r="H202" s="132"/>
      <c r="I202" s="94"/>
      <c r="J202" s="94"/>
      <c r="K202" s="126"/>
      <c r="L202" s="126"/>
      <c r="M202" s="99"/>
      <c r="N202" s="111"/>
      <c r="O202" s="112"/>
      <c r="P202" s="94"/>
      <c r="Q202" s="120"/>
      <c r="R202" s="113"/>
      <c r="S202" s="94"/>
      <c r="T202" s="94"/>
      <c r="V202" s="104"/>
    </row>
    <row r="203" ht="15.75" customHeight="1">
      <c r="A203" s="91"/>
      <c r="B203" s="131"/>
      <c r="C203" s="132"/>
      <c r="D203" s="94"/>
      <c r="E203" s="247"/>
      <c r="F203" s="247"/>
      <c r="G203" s="94"/>
      <c r="H203" s="132"/>
      <c r="I203" s="94"/>
      <c r="J203" s="94"/>
      <c r="K203" s="125"/>
      <c r="L203" s="125"/>
      <c r="M203" s="99"/>
      <c r="N203" s="111"/>
      <c r="O203" s="112"/>
      <c r="P203" s="94"/>
      <c r="Q203" s="120"/>
      <c r="R203" s="113"/>
      <c r="S203" s="94"/>
      <c r="T203" s="94"/>
      <c r="V203" s="104"/>
    </row>
    <row r="204" ht="15.75" customHeight="1">
      <c r="A204" s="91"/>
      <c r="B204" s="131"/>
      <c r="C204" s="132"/>
      <c r="D204" s="94"/>
      <c r="E204" s="247"/>
      <c r="F204" s="247"/>
      <c r="G204" s="94"/>
      <c r="H204" s="132"/>
      <c r="I204" s="94"/>
      <c r="J204" s="94"/>
      <c r="K204" s="126"/>
      <c r="L204" s="126"/>
      <c r="M204" s="99"/>
      <c r="N204" s="111"/>
      <c r="O204" s="112"/>
      <c r="P204" s="94"/>
      <c r="Q204" s="120"/>
      <c r="R204" s="113"/>
      <c r="S204" s="94"/>
      <c r="T204" s="94"/>
      <c r="V204" s="104"/>
    </row>
    <row r="205" ht="15.75" customHeight="1">
      <c r="A205" s="91"/>
      <c r="B205" s="131"/>
      <c r="C205" s="104"/>
      <c r="D205" s="94"/>
      <c r="E205" s="247"/>
      <c r="F205" s="247"/>
      <c r="G205" s="94"/>
      <c r="H205" s="132"/>
      <c r="I205" s="94"/>
      <c r="J205" s="94"/>
      <c r="K205" s="125"/>
      <c r="L205" s="125"/>
      <c r="M205" s="99"/>
      <c r="N205" s="111"/>
      <c r="O205" s="112"/>
      <c r="P205" s="94"/>
      <c r="Q205" s="120"/>
      <c r="R205" s="113"/>
      <c r="S205" s="94"/>
      <c r="T205" s="94"/>
      <c r="V205" s="104"/>
    </row>
    <row r="206" ht="15.75" customHeight="1">
      <c r="A206" s="91"/>
      <c r="B206" s="131"/>
      <c r="C206" s="132"/>
      <c r="D206" s="94"/>
      <c r="E206" s="247"/>
      <c r="F206" s="247"/>
      <c r="G206" s="94"/>
      <c r="H206" s="132"/>
      <c r="I206" s="94"/>
      <c r="J206" s="94"/>
      <c r="K206" s="126"/>
      <c r="L206" s="126"/>
      <c r="M206" s="99"/>
      <c r="N206" s="111"/>
      <c r="O206" s="112"/>
      <c r="P206" s="94"/>
      <c r="Q206" s="120"/>
      <c r="R206" s="113"/>
      <c r="S206" s="94"/>
      <c r="T206" s="94"/>
      <c r="V206" s="104"/>
    </row>
    <row r="207" ht="15.75" customHeight="1">
      <c r="A207" s="91"/>
      <c r="B207" s="131"/>
      <c r="C207" s="132"/>
      <c r="D207" s="94"/>
      <c r="E207" s="247"/>
      <c r="F207" s="247"/>
      <c r="G207" s="94"/>
      <c r="H207" s="132"/>
      <c r="I207" s="94"/>
      <c r="J207" s="94"/>
      <c r="K207" s="125"/>
      <c r="L207" s="125"/>
      <c r="M207" s="99"/>
      <c r="N207" s="111"/>
      <c r="O207" s="112"/>
      <c r="P207" s="94"/>
      <c r="Q207" s="120"/>
      <c r="R207" s="113"/>
      <c r="S207" s="94"/>
      <c r="T207" s="94"/>
      <c r="V207" s="104"/>
    </row>
    <row r="208" ht="15.75" customHeight="1">
      <c r="A208" s="91"/>
      <c r="B208" s="131"/>
      <c r="C208" s="132"/>
      <c r="D208" s="94"/>
      <c r="E208" s="247"/>
      <c r="F208" s="247"/>
      <c r="G208" s="94"/>
      <c r="H208" s="132"/>
      <c r="I208" s="94"/>
      <c r="J208" s="94"/>
      <c r="K208" s="126"/>
      <c r="L208" s="126"/>
      <c r="M208" s="99"/>
      <c r="N208" s="111"/>
      <c r="O208" s="112"/>
      <c r="P208" s="94"/>
      <c r="Q208" s="120"/>
      <c r="R208" s="113"/>
      <c r="S208" s="94"/>
      <c r="T208" s="94"/>
      <c r="V208" s="104"/>
    </row>
    <row r="209" ht="15.75" customHeight="1">
      <c r="A209" s="91"/>
      <c r="B209" s="131"/>
      <c r="C209" s="132"/>
      <c r="D209" s="94"/>
      <c r="E209" s="247"/>
      <c r="F209" s="247"/>
      <c r="G209" s="94"/>
      <c r="H209" s="132"/>
      <c r="I209" s="94"/>
      <c r="J209" s="94"/>
      <c r="K209" s="125"/>
      <c r="L209" s="125"/>
      <c r="M209" s="99"/>
      <c r="N209" s="111"/>
      <c r="O209" s="112"/>
      <c r="P209" s="94"/>
      <c r="Q209" s="120"/>
      <c r="R209" s="113"/>
      <c r="S209" s="94"/>
      <c r="T209" s="94"/>
      <c r="V209" s="104"/>
    </row>
    <row r="210" ht="15.75" customHeight="1">
      <c r="A210" s="91"/>
      <c r="B210" s="131"/>
      <c r="C210" s="132"/>
      <c r="D210" s="94"/>
      <c r="E210" s="247"/>
      <c r="F210" s="247"/>
      <c r="G210" s="94"/>
      <c r="H210" s="132"/>
      <c r="I210" s="94"/>
      <c r="J210" s="94"/>
      <c r="K210" s="126"/>
      <c r="L210" s="126"/>
      <c r="M210" s="99"/>
      <c r="N210" s="111"/>
      <c r="O210" s="112"/>
      <c r="P210" s="94"/>
      <c r="Q210" s="120"/>
      <c r="R210" s="113"/>
      <c r="S210" s="94"/>
      <c r="T210" s="94"/>
      <c r="V210" s="104"/>
    </row>
    <row r="211" ht="15.75" customHeight="1">
      <c r="A211" s="91"/>
      <c r="B211" s="131"/>
      <c r="C211" s="104"/>
      <c r="D211" s="94"/>
      <c r="E211" s="247"/>
      <c r="F211" s="247"/>
      <c r="G211" s="94"/>
      <c r="H211" s="132"/>
      <c r="I211" s="94"/>
      <c r="J211" s="94"/>
      <c r="K211" s="125"/>
      <c r="L211" s="125"/>
      <c r="M211" s="99"/>
      <c r="N211" s="111"/>
      <c r="O211" s="112"/>
      <c r="P211" s="94"/>
      <c r="Q211" s="120"/>
      <c r="R211" s="113"/>
      <c r="S211" s="94"/>
      <c r="T211" s="94"/>
      <c r="V211" s="104"/>
    </row>
    <row r="212" ht="15.75" customHeight="1">
      <c r="A212" s="91"/>
      <c r="B212" s="131"/>
      <c r="C212" s="132"/>
      <c r="D212" s="94"/>
      <c r="E212" s="247"/>
      <c r="F212" s="247"/>
      <c r="G212" s="94"/>
      <c r="H212" s="132"/>
      <c r="I212" s="94"/>
      <c r="J212" s="94"/>
      <c r="K212" s="126"/>
      <c r="L212" s="126"/>
      <c r="M212" s="99"/>
      <c r="N212" s="111"/>
      <c r="O212" s="112"/>
      <c r="P212" s="94"/>
      <c r="Q212" s="120"/>
      <c r="R212" s="113"/>
      <c r="S212" s="94"/>
      <c r="T212" s="94"/>
      <c r="V212" s="104"/>
    </row>
    <row r="213" ht="15.75" customHeight="1">
      <c r="A213" s="91"/>
      <c r="B213" s="131"/>
      <c r="C213" s="132"/>
      <c r="D213" s="94"/>
      <c r="E213" s="247"/>
      <c r="F213" s="247"/>
      <c r="G213" s="94"/>
      <c r="H213" s="132"/>
      <c r="I213" s="94"/>
      <c r="J213" s="94"/>
      <c r="K213" s="125"/>
      <c r="L213" s="125"/>
      <c r="M213" s="99"/>
      <c r="N213" s="111"/>
      <c r="O213" s="112"/>
      <c r="P213" s="94"/>
      <c r="Q213" s="120"/>
      <c r="R213" s="113"/>
      <c r="S213" s="94"/>
      <c r="T213" s="94"/>
      <c r="V213" s="104"/>
    </row>
    <row r="214" ht="15.75" customHeight="1">
      <c r="A214" s="91"/>
      <c r="B214" s="131"/>
      <c r="C214" s="132"/>
      <c r="D214" s="94"/>
      <c r="E214" s="247"/>
      <c r="F214" s="247"/>
      <c r="G214" s="94"/>
      <c r="H214" s="132"/>
      <c r="I214" s="94"/>
      <c r="J214" s="94"/>
      <c r="K214" s="126"/>
      <c r="L214" s="126"/>
      <c r="M214" s="99"/>
      <c r="N214" s="111"/>
      <c r="O214" s="112"/>
      <c r="P214" s="94"/>
      <c r="Q214" s="120"/>
      <c r="R214" s="113"/>
      <c r="S214" s="94"/>
      <c r="T214" s="94"/>
      <c r="V214" s="104"/>
    </row>
    <row r="215" ht="15.75" customHeight="1">
      <c r="A215" s="91"/>
      <c r="B215" s="131"/>
      <c r="C215" s="132"/>
      <c r="D215" s="94"/>
      <c r="E215" s="247"/>
      <c r="F215" s="247"/>
      <c r="G215" s="94"/>
      <c r="H215" s="132"/>
      <c r="I215" s="94"/>
      <c r="J215" s="94"/>
      <c r="K215" s="125"/>
      <c r="L215" s="125"/>
      <c r="M215" s="99"/>
      <c r="N215" s="111"/>
      <c r="O215" s="112"/>
      <c r="P215" s="94"/>
      <c r="Q215" s="120"/>
      <c r="R215" s="113"/>
      <c r="S215" s="94"/>
      <c r="T215" s="94"/>
      <c r="V215" s="104"/>
    </row>
    <row r="216" ht="15.75" customHeight="1">
      <c r="A216" s="91"/>
      <c r="B216" s="131"/>
      <c r="C216" s="132"/>
      <c r="D216" s="94"/>
      <c r="E216" s="247"/>
      <c r="F216" s="247"/>
      <c r="G216" s="94"/>
      <c r="H216" s="132"/>
      <c r="I216" s="94"/>
      <c r="J216" s="94"/>
      <c r="K216" s="126"/>
      <c r="L216" s="126"/>
      <c r="M216" s="99"/>
      <c r="N216" s="111"/>
      <c r="O216" s="112"/>
      <c r="P216" s="94"/>
      <c r="Q216" s="120"/>
      <c r="R216" s="113"/>
      <c r="S216" s="94"/>
      <c r="T216" s="94"/>
      <c r="V216" s="104"/>
    </row>
    <row r="217" ht="15.75" customHeight="1">
      <c r="A217" s="91"/>
      <c r="B217" s="131"/>
      <c r="C217" s="104"/>
      <c r="D217" s="94"/>
      <c r="E217" s="247"/>
      <c r="F217" s="247"/>
      <c r="G217" s="94"/>
      <c r="H217" s="132"/>
      <c r="I217" s="94"/>
      <c r="J217" s="94"/>
      <c r="K217" s="125"/>
      <c r="L217" s="125"/>
      <c r="M217" s="99"/>
      <c r="N217" s="111"/>
      <c r="O217" s="112"/>
      <c r="P217" s="94"/>
      <c r="Q217" s="120"/>
      <c r="R217" s="113"/>
      <c r="S217" s="94"/>
      <c r="T217" s="94"/>
      <c r="V217" s="104"/>
    </row>
    <row r="218" ht="15.75" customHeight="1">
      <c r="A218" s="91"/>
      <c r="B218" s="131"/>
      <c r="C218" s="132"/>
      <c r="D218" s="94"/>
      <c r="E218" s="247"/>
      <c r="F218" s="247"/>
      <c r="G218" s="94"/>
      <c r="H218" s="132"/>
      <c r="I218" s="94"/>
      <c r="J218" s="94"/>
      <c r="K218" s="126"/>
      <c r="L218" s="126"/>
      <c r="M218" s="99"/>
      <c r="N218" s="111"/>
      <c r="O218" s="112"/>
      <c r="P218" s="94"/>
      <c r="Q218" s="120"/>
      <c r="R218" s="113"/>
      <c r="S218" s="94"/>
      <c r="T218" s="94"/>
      <c r="V218" s="104"/>
    </row>
    <row r="219" ht="15.75" customHeight="1">
      <c r="A219" s="91"/>
      <c r="B219" s="131"/>
      <c r="C219" s="132"/>
      <c r="D219" s="94"/>
      <c r="E219" s="247"/>
      <c r="F219" s="247"/>
      <c r="G219" s="94"/>
      <c r="H219" s="132"/>
      <c r="I219" s="94"/>
      <c r="J219" s="94"/>
      <c r="K219" s="125"/>
      <c r="L219" s="125"/>
      <c r="M219" s="99"/>
      <c r="N219" s="111"/>
      <c r="O219" s="112"/>
      <c r="P219" s="94"/>
      <c r="Q219" s="120"/>
      <c r="R219" s="113"/>
      <c r="S219" s="94"/>
      <c r="T219" s="94"/>
      <c r="V219" s="104"/>
    </row>
    <row r="220" ht="15.75" customHeight="1">
      <c r="A220" s="91"/>
      <c r="B220" s="131"/>
      <c r="C220" s="132"/>
      <c r="D220" s="94"/>
      <c r="E220" s="247"/>
      <c r="F220" s="247"/>
      <c r="G220" s="94"/>
      <c r="H220" s="132"/>
      <c r="I220" s="94"/>
      <c r="J220" s="94"/>
      <c r="K220" s="126"/>
      <c r="L220" s="126"/>
      <c r="M220" s="99"/>
      <c r="N220" s="111"/>
      <c r="O220" s="112"/>
      <c r="P220" s="94"/>
      <c r="Q220" s="120"/>
      <c r="R220" s="113"/>
      <c r="S220" s="94"/>
      <c r="T220" s="94"/>
      <c r="V220" s="104"/>
    </row>
    <row r="221" ht="15.75" customHeight="1">
      <c r="A221" s="91"/>
      <c r="B221" s="131"/>
      <c r="C221" s="132"/>
      <c r="D221" s="94"/>
      <c r="E221" s="247"/>
      <c r="F221" s="247"/>
      <c r="G221" s="94"/>
      <c r="H221" s="132"/>
      <c r="I221" s="94"/>
      <c r="J221" s="94"/>
      <c r="K221" s="125"/>
      <c r="L221" s="125"/>
      <c r="M221" s="99"/>
      <c r="N221" s="111"/>
      <c r="O221" s="112"/>
      <c r="P221" s="94"/>
      <c r="Q221" s="120"/>
      <c r="R221" s="113"/>
      <c r="S221" s="94"/>
      <c r="T221" s="94"/>
      <c r="V221" s="104"/>
    </row>
    <row r="222" ht="15.75" customHeight="1">
      <c r="A222" s="91"/>
      <c r="B222" s="131"/>
      <c r="C222" s="132"/>
      <c r="D222" s="94"/>
      <c r="E222" s="247"/>
      <c r="F222" s="243" t="s">
        <v>2247</v>
      </c>
      <c r="G222" s="94"/>
      <c r="H222" s="132"/>
      <c r="I222" s="94"/>
      <c r="J222" s="94"/>
      <c r="K222" s="126"/>
      <c r="L222" s="126"/>
      <c r="M222" s="99"/>
      <c r="N222" s="111"/>
      <c r="O222" s="112"/>
      <c r="P222" s="94"/>
      <c r="Q222" s="120"/>
      <c r="R222" s="113"/>
      <c r="S222" s="94"/>
      <c r="T222" s="94"/>
      <c r="V222" s="104"/>
    </row>
    <row r="223" ht="15.75" customHeight="1">
      <c r="A223" s="91"/>
      <c r="B223" s="131"/>
      <c r="C223" s="104"/>
      <c r="D223" s="94"/>
      <c r="E223" s="132"/>
      <c r="F223" s="132"/>
      <c r="G223" s="94"/>
      <c r="H223" s="132"/>
      <c r="I223" s="94"/>
      <c r="J223" s="94"/>
      <c r="K223" s="125"/>
      <c r="L223" s="125"/>
      <c r="M223" s="99"/>
      <c r="N223" s="111"/>
      <c r="O223" s="112"/>
      <c r="P223" s="94"/>
      <c r="Q223" s="120"/>
      <c r="R223" s="113"/>
      <c r="S223" s="94"/>
      <c r="T223" s="94"/>
      <c r="V223" s="104"/>
    </row>
    <row r="224" ht="15.75" customHeight="1">
      <c r="A224" s="91"/>
      <c r="B224" s="131"/>
      <c r="C224" s="132"/>
      <c r="D224" s="94"/>
      <c r="E224" s="132"/>
      <c r="F224" s="132"/>
      <c r="G224" s="94"/>
      <c r="H224" s="132"/>
      <c r="I224" s="94"/>
      <c r="J224" s="94"/>
      <c r="K224" s="126"/>
      <c r="L224" s="126"/>
      <c r="M224" s="99"/>
      <c r="N224" s="111"/>
      <c r="O224" s="112"/>
      <c r="P224" s="94"/>
      <c r="Q224" s="120"/>
      <c r="R224" s="113"/>
      <c r="S224" s="94"/>
      <c r="T224" s="94"/>
      <c r="V224" s="104"/>
    </row>
    <row r="225" ht="15.75" customHeight="1">
      <c r="A225" s="91"/>
      <c r="B225" s="131"/>
      <c r="C225" s="132"/>
      <c r="D225" s="94"/>
      <c r="E225" s="132"/>
      <c r="F225" s="132"/>
      <c r="G225" s="94"/>
      <c r="H225" s="132"/>
      <c r="I225" s="94"/>
      <c r="J225" s="94"/>
      <c r="K225" s="125"/>
      <c r="L225" s="125"/>
      <c r="M225" s="99"/>
      <c r="N225" s="111"/>
      <c r="O225" s="112"/>
      <c r="P225" s="94"/>
      <c r="Q225" s="120"/>
      <c r="R225" s="113"/>
      <c r="S225" s="94"/>
      <c r="T225" s="94"/>
      <c r="V225" s="104"/>
    </row>
    <row r="226" ht="15.75" customHeight="1">
      <c r="A226" s="91"/>
      <c r="B226" s="131"/>
      <c r="C226" s="132"/>
      <c r="D226" s="94"/>
      <c r="E226" s="132"/>
      <c r="F226" s="132"/>
      <c r="G226" s="94"/>
      <c r="H226" s="132"/>
      <c r="I226" s="94"/>
      <c r="J226" s="94"/>
      <c r="K226" s="126"/>
      <c r="L226" s="126"/>
      <c r="M226" s="99"/>
      <c r="N226" s="111"/>
      <c r="O226" s="112"/>
      <c r="P226" s="94"/>
      <c r="Q226" s="120"/>
      <c r="R226" s="113"/>
      <c r="S226" s="94"/>
      <c r="T226" s="94"/>
      <c r="V226" s="104"/>
    </row>
    <row r="227" ht="15.75" customHeight="1">
      <c r="A227" s="91"/>
      <c r="B227" s="131"/>
      <c r="C227" s="132"/>
      <c r="D227" s="94"/>
      <c r="E227" s="132"/>
      <c r="F227" s="132"/>
      <c r="G227" s="94"/>
      <c r="H227" s="132"/>
      <c r="I227" s="94"/>
      <c r="J227" s="94"/>
      <c r="K227" s="125"/>
      <c r="L227" s="125"/>
      <c r="M227" s="99"/>
      <c r="N227" s="111"/>
      <c r="O227" s="112"/>
      <c r="P227" s="94"/>
      <c r="Q227" s="120"/>
      <c r="R227" s="113"/>
      <c r="S227" s="94"/>
      <c r="T227" s="94"/>
      <c r="V227" s="104"/>
    </row>
    <row r="228" ht="15.75" customHeight="1">
      <c r="A228" s="91"/>
      <c r="B228" s="131"/>
      <c r="C228" s="132"/>
      <c r="D228" s="94"/>
      <c r="E228" s="132"/>
      <c r="F228" s="132"/>
      <c r="G228" s="94"/>
      <c r="H228" s="132"/>
      <c r="I228" s="94"/>
      <c r="J228" s="94"/>
      <c r="K228" s="126"/>
      <c r="L228" s="126"/>
      <c r="M228" s="99"/>
      <c r="N228" s="111"/>
      <c r="O228" s="112"/>
      <c r="P228" s="94"/>
      <c r="Q228" s="120"/>
      <c r="R228" s="113"/>
      <c r="S228" s="94"/>
      <c r="T228" s="94"/>
      <c r="V228" s="104"/>
    </row>
    <row r="229" ht="15.75" customHeight="1">
      <c r="A229" s="91"/>
      <c r="B229" s="131"/>
      <c r="C229" s="104"/>
      <c r="D229" s="94"/>
      <c r="E229" s="132"/>
      <c r="F229" s="132"/>
      <c r="G229" s="94"/>
      <c r="H229" s="132"/>
      <c r="I229" s="94"/>
      <c r="J229" s="94"/>
      <c r="K229" s="125"/>
      <c r="L229" s="125"/>
      <c r="M229" s="99"/>
      <c r="N229" s="111"/>
      <c r="O229" s="112"/>
      <c r="P229" s="94"/>
      <c r="Q229" s="120"/>
      <c r="R229" s="113"/>
      <c r="S229" s="94"/>
      <c r="T229" s="94"/>
      <c r="V229" s="104"/>
    </row>
    <row r="230" ht="15.75" customHeight="1">
      <c r="A230" s="91"/>
      <c r="B230" s="131"/>
      <c r="C230" s="132"/>
      <c r="D230" s="94"/>
      <c r="E230" s="132"/>
      <c r="F230" s="132"/>
      <c r="G230" s="94"/>
      <c r="H230" s="132"/>
      <c r="I230" s="94"/>
      <c r="J230" s="94"/>
      <c r="K230" s="126"/>
      <c r="L230" s="126"/>
      <c r="M230" s="99"/>
      <c r="N230" s="111"/>
      <c r="O230" s="112"/>
      <c r="P230" s="94"/>
      <c r="Q230" s="120"/>
      <c r="R230" s="113"/>
      <c r="S230" s="94"/>
      <c r="T230" s="94"/>
      <c r="V230" s="104"/>
    </row>
    <row r="231" ht="15.75" customHeight="1">
      <c r="A231" s="91"/>
      <c r="B231" s="131"/>
      <c r="C231" s="132"/>
      <c r="D231" s="94"/>
      <c r="E231" s="132"/>
      <c r="F231" s="132"/>
      <c r="G231" s="94"/>
      <c r="H231" s="132"/>
      <c r="I231" s="94"/>
      <c r="J231" s="94"/>
      <c r="K231" s="125"/>
      <c r="L231" s="125"/>
      <c r="M231" s="99"/>
      <c r="N231" s="111"/>
      <c r="O231" s="112"/>
      <c r="P231" s="94"/>
      <c r="Q231" s="120"/>
      <c r="R231" s="113"/>
      <c r="S231" s="94"/>
      <c r="T231" s="94"/>
      <c r="V231" s="104"/>
    </row>
    <row r="232" ht="15.75" customHeight="1">
      <c r="A232" s="91"/>
      <c r="B232" s="131"/>
      <c r="C232" s="132"/>
      <c r="D232" s="94"/>
      <c r="E232" s="132"/>
      <c r="F232" s="132"/>
      <c r="G232" s="94"/>
      <c r="H232" s="132"/>
      <c r="I232" s="94"/>
      <c r="J232" s="94"/>
      <c r="K232" s="126"/>
      <c r="L232" s="126"/>
      <c r="M232" s="99"/>
      <c r="N232" s="111"/>
      <c r="O232" s="112"/>
      <c r="P232" s="94"/>
      <c r="Q232" s="120"/>
      <c r="R232" s="113"/>
      <c r="S232" s="94"/>
      <c r="T232" s="94"/>
      <c r="V232" s="104"/>
    </row>
    <row r="233" ht="15.75" customHeight="1">
      <c r="A233" s="91"/>
      <c r="B233" s="131"/>
      <c r="C233" s="132"/>
      <c r="D233" s="94"/>
      <c r="E233" s="132"/>
      <c r="F233" s="132"/>
      <c r="G233" s="94"/>
      <c r="H233" s="132"/>
      <c r="I233" s="94"/>
      <c r="J233" s="94"/>
      <c r="K233" s="125"/>
      <c r="L233" s="125"/>
      <c r="M233" s="99"/>
      <c r="N233" s="111"/>
      <c r="O233" s="112"/>
      <c r="P233" s="94"/>
      <c r="Q233" s="120"/>
      <c r="R233" s="113"/>
      <c r="S233" s="94"/>
      <c r="T233" s="94"/>
      <c r="V233" s="104"/>
    </row>
    <row r="234" ht="15.75" customHeight="1">
      <c r="A234" s="91"/>
      <c r="B234" s="131"/>
      <c r="C234" s="132"/>
      <c r="D234" s="94"/>
      <c r="E234" s="132"/>
      <c r="F234" s="132"/>
      <c r="G234" s="94"/>
      <c r="H234" s="132"/>
      <c r="I234" s="94"/>
      <c r="J234" s="94"/>
      <c r="K234" s="126"/>
      <c r="L234" s="126"/>
      <c r="M234" s="99"/>
      <c r="N234" s="111"/>
      <c r="O234" s="112"/>
      <c r="P234" s="94"/>
      <c r="Q234" s="120"/>
      <c r="R234" s="113"/>
      <c r="S234" s="94"/>
      <c r="T234" s="94"/>
      <c r="V234" s="104"/>
    </row>
    <row r="235" ht="15.75" customHeight="1">
      <c r="A235" s="91"/>
      <c r="B235" s="131"/>
      <c r="C235" s="104"/>
      <c r="D235" s="94"/>
      <c r="E235" s="132"/>
      <c r="F235" s="132"/>
      <c r="G235" s="94"/>
      <c r="H235" s="132"/>
      <c r="I235" s="94"/>
      <c r="J235" s="94"/>
      <c r="K235" s="125"/>
      <c r="L235" s="125"/>
      <c r="M235" s="99"/>
      <c r="N235" s="111"/>
      <c r="O235" s="112"/>
      <c r="P235" s="94"/>
      <c r="Q235" s="120"/>
      <c r="R235" s="113"/>
      <c r="S235" s="94"/>
      <c r="T235" s="94"/>
      <c r="V235" s="104"/>
    </row>
    <row r="236" ht="15.75" customHeight="1">
      <c r="A236" s="91"/>
      <c r="B236" s="131"/>
      <c r="C236" s="132"/>
      <c r="D236" s="94"/>
      <c r="E236" s="132"/>
      <c r="F236" s="132"/>
      <c r="G236" s="94"/>
      <c r="H236" s="132"/>
      <c r="I236" s="94"/>
      <c r="J236" s="94"/>
      <c r="K236" s="126"/>
      <c r="L236" s="126"/>
      <c r="M236" s="99"/>
      <c r="N236" s="111"/>
      <c r="O236" s="112"/>
      <c r="P236" s="94"/>
      <c r="Q236" s="120"/>
      <c r="R236" s="113"/>
      <c r="S236" s="94"/>
      <c r="T236" s="94"/>
      <c r="V236" s="104"/>
    </row>
    <row r="237" ht="15.75" customHeight="1">
      <c r="A237" s="91"/>
      <c r="B237" s="131"/>
      <c r="C237" s="132"/>
      <c r="D237" s="94"/>
      <c r="E237" s="132"/>
      <c r="F237" s="132"/>
      <c r="G237" s="94"/>
      <c r="H237" s="132"/>
      <c r="I237" s="94"/>
      <c r="J237" s="94"/>
      <c r="K237" s="125"/>
      <c r="L237" s="125"/>
      <c r="M237" s="99"/>
      <c r="N237" s="111"/>
      <c r="O237" s="112"/>
      <c r="P237" s="94"/>
      <c r="Q237" s="120"/>
      <c r="R237" s="113"/>
      <c r="S237" s="94"/>
      <c r="T237" s="94"/>
      <c r="V237" s="104"/>
    </row>
    <row r="238" ht="15.75" customHeight="1">
      <c r="A238" s="91"/>
      <c r="B238" s="131"/>
      <c r="C238" s="132"/>
      <c r="D238" s="94"/>
      <c r="E238" s="132"/>
      <c r="F238" s="132"/>
      <c r="G238" s="94"/>
      <c r="H238" s="132"/>
      <c r="I238" s="94"/>
      <c r="J238" s="94"/>
      <c r="K238" s="126"/>
      <c r="L238" s="126"/>
      <c r="M238" s="99"/>
      <c r="N238" s="111"/>
      <c r="O238" s="112"/>
      <c r="P238" s="94"/>
      <c r="Q238" s="120"/>
      <c r="R238" s="113"/>
      <c r="S238" s="94"/>
      <c r="T238" s="94"/>
      <c r="V238" s="104"/>
    </row>
    <row r="239" ht="15.75" customHeight="1">
      <c r="A239" s="91"/>
      <c r="B239" s="131"/>
      <c r="C239" s="132"/>
      <c r="D239" s="94"/>
      <c r="E239" s="132"/>
      <c r="F239" s="132"/>
      <c r="G239" s="94"/>
      <c r="H239" s="132"/>
      <c r="I239" s="94"/>
      <c r="J239" s="94"/>
      <c r="K239" s="125"/>
      <c r="L239" s="125"/>
      <c r="M239" s="99"/>
      <c r="N239" s="111"/>
      <c r="O239" s="112"/>
      <c r="P239" s="94"/>
      <c r="Q239" s="120"/>
      <c r="R239" s="113"/>
      <c r="S239" s="94"/>
      <c r="T239" s="94"/>
      <c r="V239" s="104"/>
    </row>
    <row r="240" ht="15.75" customHeight="1">
      <c r="A240" s="91"/>
      <c r="B240" s="131"/>
      <c r="C240" s="132"/>
      <c r="D240" s="94"/>
      <c r="E240" s="132"/>
      <c r="F240" s="132"/>
      <c r="G240" s="94"/>
      <c r="H240" s="132"/>
      <c r="I240" s="94"/>
      <c r="J240" s="94"/>
      <c r="K240" s="126"/>
      <c r="L240" s="126"/>
      <c r="M240" s="99"/>
      <c r="N240" s="111"/>
      <c r="O240" s="112"/>
      <c r="P240" s="94"/>
      <c r="Q240" s="120"/>
      <c r="R240" s="113"/>
      <c r="S240" s="94"/>
      <c r="T240" s="94"/>
      <c r="V240" s="104"/>
    </row>
    <row r="241" ht="15.75" customHeight="1">
      <c r="A241" s="91"/>
      <c r="B241" s="131"/>
      <c r="C241" s="104"/>
      <c r="D241" s="94"/>
      <c r="E241" s="132"/>
      <c r="F241" s="132"/>
      <c r="G241" s="94"/>
      <c r="H241" s="132"/>
      <c r="I241" s="94"/>
      <c r="J241" s="94"/>
      <c r="K241" s="125"/>
      <c r="L241" s="125"/>
      <c r="M241" s="99"/>
      <c r="N241" s="111"/>
      <c r="O241" s="112"/>
      <c r="P241" s="94"/>
      <c r="Q241" s="120"/>
      <c r="R241" s="113"/>
      <c r="S241" s="94"/>
      <c r="T241" s="94"/>
      <c r="V241" s="104"/>
    </row>
    <row r="242" ht="15.75" customHeight="1">
      <c r="A242" s="91"/>
      <c r="B242" s="131"/>
      <c r="C242" s="132"/>
      <c r="D242" s="94"/>
      <c r="E242" s="132"/>
      <c r="F242" s="132"/>
      <c r="G242" s="94"/>
      <c r="H242" s="132"/>
      <c r="I242" s="94"/>
      <c r="J242" s="94"/>
      <c r="K242" s="126"/>
      <c r="L242" s="126"/>
      <c r="M242" s="99"/>
      <c r="N242" s="111"/>
      <c r="O242" s="112"/>
      <c r="P242" s="94"/>
      <c r="Q242" s="120"/>
      <c r="R242" s="113"/>
      <c r="S242" s="94"/>
      <c r="T242" s="94"/>
      <c r="V242" s="104"/>
    </row>
    <row r="243" ht="15.75" customHeight="1">
      <c r="A243" s="91"/>
      <c r="B243" s="131"/>
      <c r="C243" s="132"/>
      <c r="D243" s="94"/>
      <c r="E243" s="132"/>
      <c r="F243" s="132"/>
      <c r="G243" s="94"/>
      <c r="H243" s="132"/>
      <c r="I243" s="94"/>
      <c r="J243" s="94"/>
      <c r="K243" s="125"/>
      <c r="L243" s="125"/>
      <c r="M243" s="99"/>
      <c r="N243" s="111"/>
      <c r="O243" s="112"/>
      <c r="P243" s="94"/>
      <c r="Q243" s="120"/>
      <c r="R243" s="113"/>
      <c r="S243" s="94"/>
      <c r="T243" s="94"/>
      <c r="V243" s="104"/>
    </row>
    <row r="244" ht="15.75" customHeight="1">
      <c r="A244" s="91"/>
      <c r="B244" s="131"/>
      <c r="C244" s="132"/>
      <c r="D244" s="94"/>
      <c r="E244" s="132"/>
      <c r="F244" s="132"/>
      <c r="G244" s="94"/>
      <c r="H244" s="132"/>
      <c r="I244" s="94"/>
      <c r="J244" s="94"/>
      <c r="K244" s="126"/>
      <c r="L244" s="126"/>
      <c r="M244" s="99"/>
      <c r="N244" s="111"/>
      <c r="O244" s="112"/>
      <c r="P244" s="94"/>
      <c r="Q244" s="120"/>
      <c r="R244" s="113"/>
      <c r="S244" s="94"/>
      <c r="T244" s="94"/>
      <c r="V244" s="104"/>
    </row>
    <row r="245" ht="15.75" customHeight="1">
      <c r="A245" s="91"/>
      <c r="B245" s="131"/>
      <c r="C245" s="132"/>
      <c r="D245" s="94"/>
      <c r="E245" s="132"/>
      <c r="F245" s="132"/>
      <c r="G245" s="94"/>
      <c r="H245" s="132"/>
      <c r="I245" s="94"/>
      <c r="J245" s="94"/>
      <c r="K245" s="125"/>
      <c r="L245" s="125"/>
      <c r="M245" s="99"/>
      <c r="N245" s="111"/>
      <c r="O245" s="112"/>
      <c r="P245" s="94"/>
      <c r="Q245" s="120"/>
      <c r="R245" s="113"/>
      <c r="S245" s="94"/>
      <c r="T245" s="94"/>
      <c r="V245" s="104"/>
    </row>
    <row r="246" ht="15.75" customHeight="1">
      <c r="A246" s="91"/>
      <c r="B246" s="131"/>
      <c r="C246" s="132"/>
      <c r="D246" s="94"/>
      <c r="E246" s="132"/>
      <c r="F246" s="132"/>
      <c r="G246" s="94"/>
      <c r="H246" s="132"/>
      <c r="I246" s="94"/>
      <c r="J246" s="94"/>
      <c r="K246" s="126"/>
      <c r="L246" s="126"/>
      <c r="M246" s="99"/>
      <c r="N246" s="111"/>
      <c r="O246" s="112"/>
      <c r="P246" s="94"/>
      <c r="Q246" s="120"/>
      <c r="R246" s="113"/>
      <c r="S246" s="94"/>
      <c r="T246" s="94"/>
      <c r="V246" s="104"/>
    </row>
    <row r="247" ht="15.75" customHeight="1">
      <c r="A247" s="91"/>
      <c r="B247" s="131"/>
      <c r="C247" s="104"/>
      <c r="D247" s="94"/>
      <c r="E247" s="132"/>
      <c r="F247" s="132"/>
      <c r="G247" s="94"/>
      <c r="H247" s="132"/>
      <c r="I247" s="94"/>
      <c r="J247" s="94"/>
      <c r="K247" s="125"/>
      <c r="L247" s="125"/>
      <c r="M247" s="99"/>
      <c r="N247" s="111"/>
      <c r="O247" s="112"/>
      <c r="P247" s="94"/>
      <c r="Q247" s="120"/>
      <c r="R247" s="113"/>
      <c r="S247" s="94"/>
      <c r="T247" s="94"/>
      <c r="V247" s="104"/>
    </row>
    <row r="248" ht="15.75" customHeight="1">
      <c r="A248" s="91"/>
      <c r="B248" s="131"/>
      <c r="C248" s="132"/>
      <c r="D248" s="94"/>
      <c r="E248" s="132"/>
      <c r="F248" s="132"/>
      <c r="G248" s="94"/>
      <c r="H248" s="132"/>
      <c r="I248" s="94"/>
      <c r="J248" s="94"/>
      <c r="K248" s="126"/>
      <c r="L248" s="126"/>
      <c r="M248" s="99"/>
      <c r="N248" s="111"/>
      <c r="O248" s="112"/>
      <c r="P248" s="94"/>
      <c r="Q248" s="120"/>
      <c r="R248" s="113"/>
      <c r="S248" s="94"/>
      <c r="T248" s="94"/>
      <c r="V248" s="104"/>
    </row>
    <row r="249" ht="15.75" customHeight="1">
      <c r="A249" s="91"/>
      <c r="B249" s="131"/>
      <c r="C249" s="132"/>
      <c r="D249" s="94"/>
      <c r="E249" s="132"/>
      <c r="F249" s="132"/>
      <c r="G249" s="94"/>
      <c r="H249" s="132"/>
      <c r="I249" s="94"/>
      <c r="J249" s="94"/>
      <c r="K249" s="125"/>
      <c r="L249" s="125"/>
      <c r="M249" s="99"/>
      <c r="N249" s="111"/>
      <c r="O249" s="112"/>
      <c r="P249" s="94"/>
      <c r="Q249" s="120"/>
      <c r="R249" s="113"/>
      <c r="S249" s="94"/>
      <c r="T249" s="94"/>
      <c r="V249" s="104"/>
    </row>
    <row r="250" ht="15.75" customHeight="1">
      <c r="A250" s="91"/>
      <c r="B250" s="131"/>
      <c r="C250" s="132"/>
      <c r="D250" s="94"/>
      <c r="E250" s="132"/>
      <c r="F250" s="132"/>
      <c r="G250" s="94"/>
      <c r="H250" s="132"/>
      <c r="I250" s="94"/>
      <c r="J250" s="94"/>
      <c r="K250" s="126"/>
      <c r="L250" s="126"/>
      <c r="M250" s="99"/>
      <c r="N250" s="111"/>
      <c r="O250" s="112"/>
      <c r="P250" s="94"/>
      <c r="Q250" s="120"/>
      <c r="R250" s="113"/>
      <c r="S250" s="94"/>
      <c r="T250" s="94"/>
      <c r="V250" s="104"/>
    </row>
    <row r="251" ht="15.75" customHeight="1">
      <c r="A251" s="91"/>
      <c r="B251" s="131"/>
      <c r="C251" s="132"/>
      <c r="D251" s="94"/>
      <c r="E251" s="132"/>
      <c r="F251" s="132"/>
      <c r="G251" s="94"/>
      <c r="H251" s="132"/>
      <c r="I251" s="94"/>
      <c r="J251" s="94"/>
      <c r="K251" s="125"/>
      <c r="L251" s="125"/>
      <c r="M251" s="99"/>
      <c r="N251" s="111"/>
      <c r="O251" s="112"/>
      <c r="P251" s="94"/>
      <c r="Q251" s="120"/>
      <c r="R251" s="113"/>
      <c r="S251" s="94"/>
      <c r="T251" s="94"/>
      <c r="V251" s="104"/>
    </row>
    <row r="252" ht="15.75" customHeight="1">
      <c r="A252" s="91"/>
      <c r="B252" s="131"/>
      <c r="C252" s="132"/>
      <c r="D252" s="94"/>
      <c r="E252" s="132"/>
      <c r="F252" s="132"/>
      <c r="G252" s="94"/>
      <c r="H252" s="132"/>
      <c r="I252" s="94"/>
      <c r="J252" s="94"/>
      <c r="K252" s="126"/>
      <c r="L252" s="126"/>
      <c r="M252" s="99"/>
      <c r="N252" s="111"/>
      <c r="O252" s="112"/>
      <c r="P252" s="94"/>
      <c r="Q252" s="120"/>
      <c r="R252" s="113"/>
      <c r="S252" s="94"/>
      <c r="T252" s="94"/>
      <c r="V252" s="104"/>
    </row>
    <row r="253" ht="15.75" customHeight="1">
      <c r="A253" s="91"/>
      <c r="B253" s="131"/>
      <c r="C253" s="104"/>
      <c r="D253" s="94"/>
      <c r="E253" s="132"/>
      <c r="F253" s="132"/>
      <c r="G253" s="94"/>
      <c r="H253" s="132"/>
      <c r="I253" s="94"/>
      <c r="J253" s="94"/>
      <c r="K253" s="125"/>
      <c r="L253" s="125"/>
      <c r="M253" s="99"/>
      <c r="N253" s="111"/>
      <c r="O253" s="112"/>
      <c r="P253" s="94"/>
      <c r="Q253" s="120"/>
      <c r="R253" s="113"/>
      <c r="S253" s="94"/>
      <c r="T253" s="94"/>
      <c r="V253" s="104"/>
    </row>
    <row r="254" ht="15.75" customHeight="1">
      <c r="A254" s="91"/>
      <c r="B254" s="131"/>
      <c r="C254" s="132"/>
      <c r="D254" s="94"/>
      <c r="E254" s="132"/>
      <c r="F254" s="132"/>
      <c r="G254" s="94"/>
      <c r="H254" s="132"/>
      <c r="I254" s="94"/>
      <c r="J254" s="94"/>
      <c r="K254" s="126"/>
      <c r="L254" s="126"/>
      <c r="M254" s="99"/>
      <c r="N254" s="111"/>
      <c r="O254" s="112"/>
      <c r="P254" s="94"/>
      <c r="Q254" s="120"/>
      <c r="R254" s="113"/>
      <c r="S254" s="94"/>
      <c r="T254" s="94"/>
      <c r="V254" s="104"/>
    </row>
    <row r="255" ht="15.75" customHeight="1">
      <c r="A255" s="91"/>
      <c r="B255" s="131"/>
      <c r="C255" s="132"/>
      <c r="D255" s="94"/>
      <c r="E255" s="132"/>
      <c r="F255" s="132"/>
      <c r="G255" s="94"/>
      <c r="H255" s="132"/>
      <c r="I255" s="94"/>
      <c r="J255" s="94"/>
      <c r="K255" s="125"/>
      <c r="L255" s="125"/>
      <c r="M255" s="99"/>
      <c r="N255" s="111"/>
      <c r="O255" s="112"/>
      <c r="P255" s="94"/>
      <c r="Q255" s="120"/>
      <c r="R255" s="113"/>
      <c r="S255" s="94"/>
      <c r="T255" s="94"/>
      <c r="V255" s="104"/>
    </row>
    <row r="256" ht="15.75" customHeight="1">
      <c r="A256" s="91"/>
      <c r="B256" s="131"/>
      <c r="C256" s="132"/>
      <c r="D256" s="94"/>
      <c r="E256" s="132"/>
      <c r="F256" s="132"/>
      <c r="G256" s="94"/>
      <c r="H256" s="132"/>
      <c r="I256" s="94"/>
      <c r="J256" s="94"/>
      <c r="K256" s="126"/>
      <c r="L256" s="126"/>
      <c r="M256" s="99"/>
      <c r="N256" s="111"/>
      <c r="O256" s="112"/>
      <c r="P256" s="94"/>
      <c r="Q256" s="120"/>
      <c r="R256" s="113"/>
      <c r="S256" s="94"/>
      <c r="T256" s="94"/>
      <c r="V256" s="104"/>
    </row>
    <row r="257" ht="15.75" customHeight="1">
      <c r="A257" s="91"/>
      <c r="B257" s="131"/>
      <c r="C257" s="132"/>
      <c r="D257" s="94"/>
      <c r="E257" s="132"/>
      <c r="F257" s="132"/>
      <c r="G257" s="94"/>
      <c r="H257" s="132"/>
      <c r="I257" s="94"/>
      <c r="J257" s="94"/>
      <c r="K257" s="125"/>
      <c r="L257" s="125"/>
      <c r="M257" s="99"/>
      <c r="N257" s="111"/>
      <c r="O257" s="112"/>
      <c r="P257" s="94"/>
      <c r="Q257" s="120"/>
      <c r="R257" s="113"/>
      <c r="S257" s="94"/>
      <c r="T257" s="94"/>
      <c r="V257" s="104"/>
    </row>
    <row r="258" ht="15.75" customHeight="1">
      <c r="A258" s="91"/>
      <c r="B258" s="131"/>
      <c r="C258" s="132"/>
      <c r="D258" s="94"/>
      <c r="E258" s="132"/>
      <c r="F258" s="132"/>
      <c r="G258" s="94"/>
      <c r="H258" s="132"/>
      <c r="I258" s="94"/>
      <c r="J258" s="94"/>
      <c r="K258" s="126"/>
      <c r="L258" s="126"/>
      <c r="M258" s="99"/>
      <c r="N258" s="111"/>
      <c r="O258" s="112"/>
      <c r="P258" s="94"/>
      <c r="Q258" s="120"/>
      <c r="R258" s="113"/>
      <c r="S258" s="94"/>
      <c r="T258" s="94"/>
      <c r="V258" s="104"/>
    </row>
    <row r="259" ht="15.75" customHeight="1">
      <c r="A259" s="91"/>
      <c r="B259" s="131"/>
      <c r="C259" s="104"/>
      <c r="D259" s="94"/>
      <c r="E259" s="132"/>
      <c r="F259" s="132"/>
      <c r="G259" s="94"/>
      <c r="H259" s="132"/>
      <c r="I259" s="94"/>
      <c r="J259" s="94"/>
      <c r="K259" s="125"/>
      <c r="L259" s="125"/>
      <c r="M259" s="99"/>
      <c r="N259" s="111"/>
      <c r="O259" s="112"/>
      <c r="P259" s="94"/>
      <c r="Q259" s="120"/>
      <c r="R259" s="113"/>
      <c r="S259" s="94"/>
      <c r="T259" s="94"/>
      <c r="V259" s="104"/>
    </row>
    <row r="260" ht="15.75" customHeight="1">
      <c r="A260" s="91"/>
      <c r="B260" s="131"/>
      <c r="C260" s="132"/>
      <c r="D260" s="94"/>
      <c r="E260" s="132"/>
      <c r="F260" s="132"/>
      <c r="G260" s="94"/>
      <c r="H260" s="132"/>
      <c r="I260" s="94"/>
      <c r="J260" s="94"/>
      <c r="K260" s="126"/>
      <c r="L260" s="126"/>
      <c r="M260" s="99"/>
      <c r="N260" s="111"/>
      <c r="O260" s="112"/>
      <c r="P260" s="94"/>
      <c r="Q260" s="120"/>
      <c r="R260" s="113"/>
      <c r="S260" s="94"/>
      <c r="T260" s="94"/>
      <c r="V260" s="104"/>
    </row>
    <row r="261" ht="15.75" customHeight="1">
      <c r="A261" s="91"/>
      <c r="B261" s="131"/>
      <c r="C261" s="132"/>
      <c r="D261" s="94"/>
      <c r="E261" s="132"/>
      <c r="F261" s="132"/>
      <c r="G261" s="94"/>
      <c r="H261" s="132"/>
      <c r="I261" s="94"/>
      <c r="J261" s="94"/>
      <c r="K261" s="125"/>
      <c r="L261" s="125"/>
      <c r="M261" s="99"/>
      <c r="N261" s="111"/>
      <c r="O261" s="112"/>
      <c r="P261" s="94"/>
      <c r="Q261" s="120"/>
      <c r="R261" s="113"/>
      <c r="S261" s="94"/>
      <c r="T261" s="94"/>
      <c r="V261" s="104"/>
    </row>
    <row r="262" ht="15.75" customHeight="1">
      <c r="A262" s="91"/>
      <c r="B262" s="131"/>
      <c r="C262" s="132"/>
      <c r="D262" s="94"/>
      <c r="E262" s="132"/>
      <c r="F262" s="132"/>
      <c r="G262" s="94"/>
      <c r="H262" s="132"/>
      <c r="I262" s="94"/>
      <c r="J262" s="94"/>
      <c r="K262" s="126"/>
      <c r="L262" s="126"/>
      <c r="M262" s="99"/>
      <c r="N262" s="111"/>
      <c r="O262" s="112"/>
      <c r="P262" s="94"/>
      <c r="Q262" s="120"/>
      <c r="R262" s="113"/>
      <c r="S262" s="94"/>
      <c r="T262" s="94"/>
      <c r="V262" s="104"/>
    </row>
    <row r="263" ht="15.75" customHeight="1">
      <c r="A263" s="91"/>
      <c r="B263" s="131"/>
      <c r="C263" s="132"/>
      <c r="D263" s="94"/>
      <c r="E263" s="132"/>
      <c r="F263" s="132"/>
      <c r="G263" s="94"/>
      <c r="H263" s="132"/>
      <c r="I263" s="94"/>
      <c r="J263" s="94"/>
      <c r="K263" s="125"/>
      <c r="L263" s="125"/>
      <c r="M263" s="99"/>
      <c r="N263" s="111"/>
      <c r="O263" s="112"/>
      <c r="P263" s="94"/>
      <c r="Q263" s="120"/>
      <c r="R263" s="113"/>
      <c r="S263" s="94"/>
      <c r="T263" s="94"/>
      <c r="V263" s="104"/>
    </row>
    <row r="264" ht="15.75" customHeight="1">
      <c r="A264" s="91"/>
      <c r="B264" s="131"/>
      <c r="C264" s="132"/>
      <c r="D264" s="94"/>
      <c r="E264" s="132"/>
      <c r="F264" s="132"/>
      <c r="G264" s="94"/>
      <c r="H264" s="132"/>
      <c r="I264" s="94"/>
      <c r="J264" s="94"/>
      <c r="K264" s="126"/>
      <c r="L264" s="126"/>
      <c r="M264" s="99"/>
      <c r="N264" s="111"/>
      <c r="O264" s="112"/>
      <c r="P264" s="94"/>
      <c r="Q264" s="120"/>
      <c r="R264" s="113"/>
      <c r="S264" s="94"/>
      <c r="T264" s="94"/>
      <c r="V264" s="104"/>
    </row>
    <row r="265" ht="15.75" customHeight="1">
      <c r="A265" s="91"/>
      <c r="B265" s="131"/>
      <c r="C265" s="104"/>
      <c r="D265" s="94"/>
      <c r="E265" s="132"/>
      <c r="F265" s="132"/>
      <c r="G265" s="94"/>
      <c r="H265" s="132"/>
      <c r="I265" s="94"/>
      <c r="J265" s="94"/>
      <c r="K265" s="125"/>
      <c r="L265" s="125"/>
      <c r="M265" s="99"/>
      <c r="N265" s="111"/>
      <c r="O265" s="112"/>
      <c r="P265" s="94"/>
      <c r="Q265" s="120"/>
      <c r="R265" s="113"/>
      <c r="S265" s="94"/>
      <c r="T265" s="94"/>
      <c r="V265" s="104"/>
    </row>
    <row r="266" ht="15.75" customHeight="1">
      <c r="A266" s="91"/>
      <c r="B266" s="131"/>
      <c r="C266" s="132"/>
      <c r="D266" s="94"/>
      <c r="E266" s="132"/>
      <c r="F266" s="132"/>
      <c r="G266" s="94"/>
      <c r="H266" s="132"/>
      <c r="I266" s="94"/>
      <c r="J266" s="94"/>
      <c r="K266" s="126"/>
      <c r="L266" s="126"/>
      <c r="M266" s="99"/>
      <c r="N266" s="111"/>
      <c r="O266" s="112"/>
      <c r="P266" s="94"/>
      <c r="Q266" s="120"/>
      <c r="R266" s="113"/>
      <c r="S266" s="94"/>
      <c r="T266" s="94"/>
      <c r="V266" s="104"/>
    </row>
    <row r="267" ht="15.75" customHeight="1">
      <c r="A267" s="91"/>
      <c r="B267" s="131"/>
      <c r="C267" s="132"/>
      <c r="D267" s="94"/>
      <c r="E267" s="132"/>
      <c r="F267" s="132"/>
      <c r="G267" s="94"/>
      <c r="H267" s="132"/>
      <c r="I267" s="94"/>
      <c r="J267" s="94"/>
      <c r="K267" s="125"/>
      <c r="L267" s="125"/>
      <c r="M267" s="99"/>
      <c r="N267" s="111"/>
      <c r="O267" s="112"/>
      <c r="P267" s="94"/>
      <c r="Q267" s="120"/>
      <c r="R267" s="113"/>
      <c r="S267" s="94"/>
      <c r="T267" s="94"/>
      <c r="V267" s="104"/>
    </row>
    <row r="268" ht="15.75" customHeight="1">
      <c r="A268" s="91"/>
      <c r="B268" s="131"/>
      <c r="C268" s="132"/>
      <c r="D268" s="94"/>
      <c r="E268" s="132"/>
      <c r="F268" s="132"/>
      <c r="G268" s="94"/>
      <c r="H268" s="132"/>
      <c r="I268" s="94"/>
      <c r="J268" s="94"/>
      <c r="K268" s="126"/>
      <c r="L268" s="126"/>
      <c r="M268" s="99"/>
      <c r="N268" s="111"/>
      <c r="O268" s="112"/>
      <c r="P268" s="94"/>
      <c r="Q268" s="120"/>
      <c r="R268" s="113"/>
      <c r="S268" s="94"/>
      <c r="T268" s="94"/>
      <c r="V268" s="104"/>
    </row>
    <row r="269" ht="15.75" customHeight="1">
      <c r="A269" s="91"/>
      <c r="B269" s="131"/>
      <c r="C269" s="132"/>
      <c r="D269" s="94"/>
      <c r="E269" s="132"/>
      <c r="F269" s="132"/>
      <c r="G269" s="94"/>
      <c r="H269" s="132"/>
      <c r="I269" s="94"/>
      <c r="J269" s="94"/>
      <c r="K269" s="125"/>
      <c r="L269" s="125"/>
      <c r="M269" s="99"/>
      <c r="N269" s="111"/>
      <c r="O269" s="112"/>
      <c r="P269" s="94"/>
      <c r="Q269" s="120"/>
      <c r="R269" s="113"/>
      <c r="S269" s="94"/>
      <c r="T269" s="94"/>
      <c r="V269" s="104"/>
    </row>
    <row r="270" ht="15.75" customHeight="1">
      <c r="A270" s="91"/>
      <c r="B270" s="131"/>
      <c r="C270" s="132"/>
      <c r="D270" s="94"/>
      <c r="E270" s="132"/>
      <c r="F270" s="132"/>
      <c r="G270" s="94"/>
      <c r="H270" s="132"/>
      <c r="I270" s="94"/>
      <c r="J270" s="94"/>
      <c r="K270" s="126"/>
      <c r="L270" s="126"/>
      <c r="M270" s="99"/>
      <c r="N270" s="111"/>
      <c r="O270" s="112"/>
      <c r="P270" s="94"/>
      <c r="Q270" s="120"/>
      <c r="R270" s="113"/>
      <c r="S270" s="94"/>
      <c r="T270" s="94"/>
      <c r="V270" s="104"/>
    </row>
    <row r="271" ht="15.75" customHeight="1">
      <c r="A271" s="91"/>
      <c r="B271" s="131"/>
      <c r="C271" s="104"/>
      <c r="D271" s="94"/>
      <c r="E271" s="132"/>
      <c r="F271" s="132"/>
      <c r="G271" s="94"/>
      <c r="H271" s="132"/>
      <c r="I271" s="94"/>
      <c r="J271" s="94"/>
      <c r="K271" s="125"/>
      <c r="L271" s="125"/>
      <c r="M271" s="99"/>
      <c r="N271" s="111"/>
      <c r="O271" s="112"/>
      <c r="P271" s="94"/>
      <c r="Q271" s="120"/>
      <c r="R271" s="113"/>
      <c r="S271" s="94"/>
      <c r="T271" s="94"/>
      <c r="V271" s="104"/>
    </row>
    <row r="272" ht="15.75" customHeight="1">
      <c r="A272" s="91"/>
      <c r="B272" s="131"/>
      <c r="C272" s="132"/>
      <c r="D272" s="94"/>
      <c r="E272" s="132"/>
      <c r="F272" s="132"/>
      <c r="G272" s="94"/>
      <c r="H272" s="132"/>
      <c r="I272" s="94"/>
      <c r="J272" s="94"/>
      <c r="K272" s="126"/>
      <c r="L272" s="126"/>
      <c r="M272" s="99"/>
      <c r="N272" s="111"/>
      <c r="O272" s="112"/>
      <c r="P272" s="94"/>
      <c r="Q272" s="120"/>
      <c r="R272" s="113"/>
      <c r="S272" s="94"/>
      <c r="T272" s="94"/>
      <c r="V272" s="104"/>
    </row>
    <row r="273" ht="15.75" customHeight="1">
      <c r="A273" s="91"/>
      <c r="B273" s="131"/>
      <c r="C273" s="132"/>
      <c r="D273" s="94"/>
      <c r="E273" s="132"/>
      <c r="F273" s="132"/>
      <c r="G273" s="94"/>
      <c r="H273" s="132"/>
      <c r="I273" s="94"/>
      <c r="J273" s="94"/>
      <c r="K273" s="125"/>
      <c r="L273" s="125"/>
      <c r="M273" s="99"/>
      <c r="N273" s="111"/>
      <c r="O273" s="112"/>
      <c r="P273" s="94"/>
      <c r="Q273" s="120"/>
      <c r="R273" s="113"/>
      <c r="S273" s="94"/>
      <c r="T273" s="94"/>
      <c r="V273" s="104"/>
    </row>
    <row r="274" ht="15.75" customHeight="1">
      <c r="A274" s="91"/>
      <c r="B274" s="131"/>
      <c r="C274" s="132"/>
      <c r="D274" s="94"/>
      <c r="E274" s="132"/>
      <c r="F274" s="132"/>
      <c r="G274" s="94"/>
      <c r="H274" s="132"/>
      <c r="I274" s="94"/>
      <c r="J274" s="94"/>
      <c r="K274" s="126"/>
      <c r="L274" s="126"/>
      <c r="M274" s="99"/>
      <c r="N274" s="111"/>
      <c r="O274" s="112"/>
      <c r="P274" s="94"/>
      <c r="Q274" s="120"/>
      <c r="R274" s="113"/>
      <c r="S274" s="94"/>
      <c r="T274" s="94"/>
      <c r="V274" s="104"/>
    </row>
    <row r="275" ht="15.75" customHeight="1">
      <c r="A275" s="91"/>
      <c r="B275" s="131"/>
      <c r="C275" s="132"/>
      <c r="D275" s="94"/>
      <c r="E275" s="132"/>
      <c r="F275" s="132"/>
      <c r="G275" s="94"/>
      <c r="H275" s="132"/>
      <c r="I275" s="94"/>
      <c r="J275" s="94"/>
      <c r="K275" s="125"/>
      <c r="L275" s="125"/>
      <c r="M275" s="99"/>
      <c r="N275" s="111"/>
      <c r="O275" s="112"/>
      <c r="P275" s="94"/>
      <c r="Q275" s="120"/>
      <c r="R275" s="113"/>
      <c r="S275" s="94"/>
      <c r="T275" s="94"/>
      <c r="V275" s="104"/>
    </row>
    <row r="276" ht="15.75" customHeight="1">
      <c r="A276" s="91"/>
      <c r="B276" s="131"/>
      <c r="C276" s="132"/>
      <c r="D276" s="94"/>
      <c r="E276" s="132"/>
      <c r="F276" s="132"/>
      <c r="G276" s="94"/>
      <c r="H276" s="132"/>
      <c r="I276" s="94"/>
      <c r="J276" s="94"/>
      <c r="K276" s="126"/>
      <c r="L276" s="126"/>
      <c r="M276" s="99"/>
      <c r="N276" s="111"/>
      <c r="O276" s="112"/>
      <c r="P276" s="94"/>
      <c r="Q276" s="120"/>
      <c r="R276" s="113"/>
      <c r="S276" s="94"/>
      <c r="T276" s="94"/>
      <c r="V276" s="104"/>
    </row>
    <row r="277" ht="15.75" customHeight="1">
      <c r="A277" s="91"/>
      <c r="B277" s="131"/>
      <c r="C277" s="104"/>
      <c r="D277" s="94"/>
      <c r="E277" s="132"/>
      <c r="F277" s="132"/>
      <c r="G277" s="94"/>
      <c r="H277" s="132"/>
      <c r="I277" s="94"/>
      <c r="J277" s="94"/>
      <c r="K277" s="125"/>
      <c r="L277" s="125"/>
      <c r="M277" s="99"/>
      <c r="N277" s="111"/>
      <c r="O277" s="112"/>
      <c r="P277" s="94"/>
      <c r="Q277" s="120"/>
      <c r="R277" s="113"/>
      <c r="S277" s="94"/>
      <c r="T277" s="94"/>
      <c r="V277" s="104"/>
    </row>
    <row r="278" ht="15.75" customHeight="1">
      <c r="A278" s="91"/>
      <c r="B278" s="131"/>
      <c r="C278" s="132"/>
      <c r="D278" s="94"/>
      <c r="E278" s="132"/>
      <c r="F278" s="132"/>
      <c r="G278" s="94"/>
      <c r="H278" s="132"/>
      <c r="I278" s="94"/>
      <c r="J278" s="94"/>
      <c r="K278" s="126"/>
      <c r="L278" s="126"/>
      <c r="M278" s="99"/>
      <c r="N278" s="111"/>
      <c r="O278" s="112"/>
      <c r="P278" s="94"/>
      <c r="Q278" s="120"/>
      <c r="R278" s="113"/>
      <c r="S278" s="94"/>
      <c r="T278" s="94"/>
      <c r="V278" s="104"/>
    </row>
    <row r="279" ht="15.75" customHeight="1">
      <c r="A279" s="91"/>
      <c r="B279" s="131"/>
      <c r="C279" s="132"/>
      <c r="D279" s="94"/>
      <c r="E279" s="132"/>
      <c r="F279" s="132"/>
      <c r="G279" s="94"/>
      <c r="H279" s="132"/>
      <c r="I279" s="94"/>
      <c r="J279" s="94"/>
      <c r="K279" s="125"/>
      <c r="L279" s="125"/>
      <c r="M279" s="99"/>
      <c r="N279" s="111"/>
      <c r="O279" s="112"/>
      <c r="P279" s="94"/>
      <c r="Q279" s="120"/>
      <c r="R279" s="113"/>
      <c r="S279" s="94"/>
      <c r="T279" s="94"/>
      <c r="V279" s="104"/>
    </row>
    <row r="280" ht="15.75" customHeight="1">
      <c r="A280" s="91"/>
      <c r="B280" s="131"/>
      <c r="C280" s="132"/>
      <c r="D280" s="94"/>
      <c r="E280" s="132"/>
      <c r="F280" s="132"/>
      <c r="G280" s="94"/>
      <c r="H280" s="132"/>
      <c r="I280" s="94"/>
      <c r="J280" s="94"/>
      <c r="K280" s="126"/>
      <c r="L280" s="126"/>
      <c r="M280" s="99"/>
      <c r="N280" s="111"/>
      <c r="O280" s="112"/>
      <c r="P280" s="94"/>
      <c r="Q280" s="120"/>
      <c r="R280" s="113"/>
      <c r="S280" s="94"/>
      <c r="T280" s="94"/>
      <c r="V280" s="104"/>
    </row>
    <row r="281" ht="15.75" customHeight="1">
      <c r="A281" s="91"/>
      <c r="B281" s="131"/>
      <c r="C281" s="132"/>
      <c r="D281" s="94"/>
      <c r="E281" s="132"/>
      <c r="F281" s="132"/>
      <c r="G281" s="94"/>
      <c r="H281" s="132"/>
      <c r="I281" s="94"/>
      <c r="J281" s="94"/>
      <c r="K281" s="125"/>
      <c r="L281" s="125"/>
      <c r="M281" s="99"/>
      <c r="N281" s="111"/>
      <c r="O281" s="112"/>
      <c r="P281" s="94"/>
      <c r="Q281" s="120"/>
      <c r="R281" s="113"/>
      <c r="S281" s="94"/>
      <c r="T281" s="94"/>
      <c r="V281" s="104"/>
    </row>
    <row r="282" ht="15.75" customHeight="1">
      <c r="A282" s="91"/>
      <c r="B282" s="131"/>
      <c r="C282" s="132"/>
      <c r="D282" s="94"/>
      <c r="E282" s="132"/>
      <c r="F282" s="132"/>
      <c r="G282" s="94"/>
      <c r="H282" s="132"/>
      <c r="I282" s="94"/>
      <c r="J282" s="94"/>
      <c r="K282" s="126"/>
      <c r="L282" s="126"/>
      <c r="M282" s="99"/>
      <c r="N282" s="111"/>
      <c r="O282" s="112"/>
      <c r="P282" s="94"/>
      <c r="Q282" s="120"/>
      <c r="R282" s="113"/>
      <c r="S282" s="94"/>
      <c r="T282" s="94"/>
      <c r="V282" s="104"/>
    </row>
    <row r="283" ht="15.75" customHeight="1">
      <c r="A283" s="91"/>
      <c r="B283" s="131"/>
      <c r="C283" s="104"/>
      <c r="D283" s="94"/>
      <c r="E283" s="132"/>
      <c r="F283" s="132"/>
      <c r="G283" s="94"/>
      <c r="H283" s="132"/>
      <c r="I283" s="94"/>
      <c r="J283" s="94"/>
      <c r="K283" s="125"/>
      <c r="L283" s="125"/>
      <c r="M283" s="99"/>
      <c r="N283" s="111"/>
      <c r="O283" s="112"/>
      <c r="P283" s="94"/>
      <c r="Q283" s="120"/>
      <c r="R283" s="113"/>
      <c r="S283" s="94"/>
      <c r="T283" s="94"/>
      <c r="V283" s="104"/>
    </row>
    <row r="284" ht="15.75" customHeight="1">
      <c r="A284" s="91"/>
      <c r="B284" s="131"/>
      <c r="C284" s="132"/>
      <c r="D284" s="94"/>
      <c r="E284" s="132"/>
      <c r="F284" s="132"/>
      <c r="G284" s="94"/>
      <c r="H284" s="132"/>
      <c r="I284" s="94"/>
      <c r="J284" s="94"/>
      <c r="K284" s="126"/>
      <c r="L284" s="126"/>
      <c r="M284" s="99"/>
      <c r="N284" s="111"/>
      <c r="O284" s="112"/>
      <c r="P284" s="94"/>
      <c r="Q284" s="120"/>
      <c r="R284" s="113"/>
      <c r="S284" s="94"/>
      <c r="T284" s="94"/>
      <c r="V284" s="104"/>
    </row>
    <row r="285" ht="15.75" customHeight="1">
      <c r="A285" s="91"/>
      <c r="B285" s="131"/>
      <c r="C285" s="132"/>
      <c r="D285" s="94"/>
      <c r="E285" s="132"/>
      <c r="F285" s="132"/>
      <c r="G285" s="94"/>
      <c r="H285" s="132"/>
      <c r="I285" s="94"/>
      <c r="J285" s="94"/>
      <c r="K285" s="125"/>
      <c r="L285" s="125"/>
      <c r="M285" s="99"/>
      <c r="N285" s="111"/>
      <c r="O285" s="112"/>
      <c r="P285" s="94"/>
      <c r="Q285" s="120"/>
      <c r="R285" s="113"/>
      <c r="S285" s="94"/>
      <c r="T285" s="94"/>
      <c r="V285" s="104"/>
    </row>
    <row r="286" ht="15.75" customHeight="1">
      <c r="A286" s="91"/>
      <c r="B286" s="131"/>
      <c r="C286" s="132"/>
      <c r="D286" s="94"/>
      <c r="E286" s="132"/>
      <c r="F286" s="132"/>
      <c r="G286" s="94"/>
      <c r="H286" s="132"/>
      <c r="I286" s="94"/>
      <c r="J286" s="94"/>
      <c r="K286" s="126"/>
      <c r="L286" s="126"/>
      <c r="M286" s="99"/>
      <c r="N286" s="111"/>
      <c r="O286" s="112"/>
      <c r="P286" s="94"/>
      <c r="Q286" s="120"/>
      <c r="R286" s="113"/>
      <c r="S286" s="94"/>
      <c r="T286" s="94"/>
      <c r="V286" s="104"/>
    </row>
    <row r="287" ht="15.75" customHeight="1">
      <c r="A287" s="91"/>
      <c r="B287" s="131"/>
      <c r="C287" s="132"/>
      <c r="D287" s="94"/>
      <c r="E287" s="132"/>
      <c r="F287" s="132"/>
      <c r="G287" s="94"/>
      <c r="H287" s="132"/>
      <c r="I287" s="94"/>
      <c r="J287" s="94"/>
      <c r="K287" s="125"/>
      <c r="L287" s="125"/>
      <c r="M287" s="99"/>
      <c r="N287" s="111"/>
      <c r="O287" s="112"/>
      <c r="P287" s="94"/>
      <c r="Q287" s="120"/>
      <c r="R287" s="113"/>
      <c r="S287" s="94"/>
      <c r="T287" s="94"/>
      <c r="V287" s="104"/>
    </row>
    <row r="288" ht="15.75" customHeight="1">
      <c r="A288" s="91"/>
      <c r="B288" s="131"/>
      <c r="C288" s="132"/>
      <c r="D288" s="94"/>
      <c r="E288" s="132"/>
      <c r="F288" s="132"/>
      <c r="G288" s="94"/>
      <c r="H288" s="132"/>
      <c r="I288" s="94"/>
      <c r="J288" s="94"/>
      <c r="K288" s="126"/>
      <c r="L288" s="126"/>
      <c r="M288" s="99"/>
      <c r="N288" s="111"/>
      <c r="O288" s="112"/>
      <c r="P288" s="94"/>
      <c r="Q288" s="120"/>
      <c r="R288" s="113"/>
      <c r="S288" s="94"/>
      <c r="T288" s="94"/>
      <c r="V288" s="104"/>
    </row>
    <row r="289" ht="15.75" customHeight="1">
      <c r="A289" s="91"/>
      <c r="B289" s="131"/>
      <c r="C289" s="104"/>
      <c r="D289" s="94"/>
      <c r="E289" s="132"/>
      <c r="F289" s="132"/>
      <c r="G289" s="94"/>
      <c r="H289" s="132"/>
      <c r="I289" s="94"/>
      <c r="J289" s="94"/>
      <c r="K289" s="125"/>
      <c r="L289" s="125"/>
      <c r="M289" s="99"/>
      <c r="N289" s="111"/>
      <c r="O289" s="112"/>
      <c r="P289" s="94"/>
      <c r="Q289" s="120"/>
      <c r="R289" s="113"/>
      <c r="S289" s="94"/>
      <c r="T289" s="94"/>
      <c r="V289" s="104"/>
    </row>
    <row r="290" ht="15.75" customHeight="1">
      <c r="A290" s="91"/>
      <c r="B290" s="131"/>
      <c r="C290" s="132"/>
      <c r="D290" s="94"/>
      <c r="E290" s="132"/>
      <c r="F290" s="132"/>
      <c r="G290" s="94"/>
      <c r="H290" s="132"/>
      <c r="I290" s="94"/>
      <c r="J290" s="94"/>
      <c r="K290" s="126"/>
      <c r="L290" s="126"/>
      <c r="M290" s="99"/>
      <c r="N290" s="111"/>
      <c r="O290" s="112"/>
      <c r="P290" s="94"/>
      <c r="Q290" s="120"/>
      <c r="R290" s="113"/>
      <c r="S290" s="94"/>
      <c r="T290" s="94"/>
      <c r="V290" s="104"/>
    </row>
    <row r="291" ht="15.75" customHeight="1">
      <c r="A291" s="91"/>
      <c r="B291" s="131"/>
      <c r="C291" s="132"/>
      <c r="D291" s="94"/>
      <c r="E291" s="132"/>
      <c r="F291" s="132"/>
      <c r="G291" s="94"/>
      <c r="H291" s="132"/>
      <c r="I291" s="94"/>
      <c r="J291" s="94"/>
      <c r="K291" s="125"/>
      <c r="L291" s="125"/>
      <c r="M291" s="99"/>
      <c r="N291" s="111"/>
      <c r="O291" s="112"/>
      <c r="P291" s="94"/>
      <c r="Q291" s="120"/>
      <c r="R291" s="113"/>
      <c r="S291" s="94"/>
      <c r="T291" s="94"/>
      <c r="V291" s="104"/>
    </row>
    <row r="292" ht="15.75" customHeight="1">
      <c r="A292" s="91"/>
      <c r="B292" s="131"/>
      <c r="C292" s="132"/>
      <c r="D292" s="94"/>
      <c r="E292" s="132"/>
      <c r="F292" s="132"/>
      <c r="G292" s="94"/>
      <c r="H292" s="132"/>
      <c r="I292" s="94"/>
      <c r="J292" s="94"/>
      <c r="K292" s="126"/>
      <c r="L292" s="126"/>
      <c r="M292" s="99"/>
      <c r="N292" s="111"/>
      <c r="O292" s="112"/>
      <c r="P292" s="94"/>
      <c r="Q292" s="120"/>
      <c r="R292" s="113"/>
      <c r="S292" s="94"/>
      <c r="T292" s="94"/>
      <c r="V292" s="104"/>
    </row>
    <row r="293" ht="15.75" customHeight="1">
      <c r="A293" s="91"/>
      <c r="B293" s="131"/>
      <c r="C293" s="132"/>
      <c r="D293" s="94"/>
      <c r="E293" s="132"/>
      <c r="F293" s="132"/>
      <c r="G293" s="94"/>
      <c r="H293" s="132"/>
      <c r="I293" s="94"/>
      <c r="J293" s="94"/>
      <c r="K293" s="125"/>
      <c r="L293" s="125"/>
      <c r="M293" s="99"/>
      <c r="N293" s="111"/>
      <c r="O293" s="112"/>
      <c r="P293" s="94"/>
      <c r="Q293" s="120"/>
      <c r="R293" s="113"/>
      <c r="S293" s="94"/>
      <c r="T293" s="94"/>
      <c r="V293" s="104"/>
    </row>
    <row r="294" ht="15.75" customHeight="1">
      <c r="A294" s="91"/>
      <c r="B294" s="131"/>
      <c r="C294" s="132"/>
      <c r="D294" s="94"/>
      <c r="E294" s="132"/>
      <c r="F294" s="132"/>
      <c r="G294" s="94"/>
      <c r="H294" s="132"/>
      <c r="I294" s="94"/>
      <c r="J294" s="94"/>
      <c r="K294" s="126"/>
      <c r="L294" s="126"/>
      <c r="M294" s="99"/>
      <c r="N294" s="111"/>
      <c r="O294" s="112"/>
      <c r="P294" s="94"/>
      <c r="Q294" s="120"/>
      <c r="R294" s="113"/>
      <c r="S294" s="94"/>
      <c r="T294" s="94"/>
      <c r="V294" s="104"/>
    </row>
    <row r="295" ht="15.75" customHeight="1">
      <c r="A295" s="91"/>
      <c r="B295" s="131"/>
      <c r="C295" s="104"/>
      <c r="D295" s="94"/>
      <c r="E295" s="132"/>
      <c r="F295" s="132"/>
      <c r="G295" s="94"/>
      <c r="H295" s="132"/>
      <c r="I295" s="94"/>
      <c r="J295" s="94"/>
      <c r="K295" s="125"/>
      <c r="L295" s="125"/>
      <c r="M295" s="99"/>
      <c r="N295" s="111"/>
      <c r="O295" s="112"/>
      <c r="P295" s="94"/>
      <c r="Q295" s="120"/>
      <c r="R295" s="113"/>
      <c r="S295" s="94"/>
      <c r="T295" s="94"/>
      <c r="V295" s="104"/>
    </row>
    <row r="296" ht="15.75" customHeight="1">
      <c r="A296" s="91"/>
      <c r="B296" s="131"/>
      <c r="C296" s="132"/>
      <c r="D296" s="94"/>
      <c r="E296" s="132"/>
      <c r="F296" s="132"/>
      <c r="G296" s="94"/>
      <c r="H296" s="132"/>
      <c r="I296" s="94"/>
      <c r="J296" s="94"/>
      <c r="K296" s="126"/>
      <c r="L296" s="126"/>
      <c r="M296" s="99"/>
      <c r="N296" s="111"/>
      <c r="O296" s="112"/>
      <c r="P296" s="94"/>
      <c r="Q296" s="120"/>
      <c r="R296" s="113"/>
      <c r="S296" s="94"/>
      <c r="T296" s="94"/>
      <c r="V296" s="104"/>
    </row>
    <row r="297" ht="15.75" customHeight="1">
      <c r="A297" s="91"/>
      <c r="B297" s="131"/>
      <c r="C297" s="132"/>
      <c r="D297" s="94"/>
      <c r="E297" s="132"/>
      <c r="F297" s="132"/>
      <c r="G297" s="94"/>
      <c r="H297" s="132"/>
      <c r="I297" s="94"/>
      <c r="J297" s="94"/>
      <c r="K297" s="125"/>
      <c r="L297" s="125"/>
      <c r="M297" s="99"/>
      <c r="N297" s="111"/>
      <c r="O297" s="112"/>
      <c r="P297" s="94"/>
      <c r="Q297" s="120"/>
      <c r="R297" s="113"/>
      <c r="S297" s="94"/>
      <c r="T297" s="94"/>
      <c r="V297" s="104"/>
    </row>
    <row r="298" ht="15.75" customHeight="1">
      <c r="A298" s="91"/>
      <c r="B298" s="131"/>
      <c r="C298" s="132"/>
      <c r="D298" s="94"/>
      <c r="E298" s="132"/>
      <c r="F298" s="132"/>
      <c r="G298" s="94"/>
      <c r="H298" s="132"/>
      <c r="I298" s="94"/>
      <c r="J298" s="94"/>
      <c r="K298" s="126"/>
      <c r="L298" s="126"/>
      <c r="M298" s="99"/>
      <c r="N298" s="111"/>
      <c r="O298" s="112"/>
      <c r="P298" s="94"/>
      <c r="Q298" s="120"/>
      <c r="R298" s="113"/>
      <c r="S298" s="94"/>
      <c r="T298" s="94"/>
      <c r="V298" s="104"/>
    </row>
    <row r="299" ht="15.75" customHeight="1">
      <c r="A299" s="91"/>
      <c r="B299" s="131"/>
      <c r="C299" s="132"/>
      <c r="D299" s="94"/>
      <c r="E299" s="132"/>
      <c r="F299" s="132"/>
      <c r="G299" s="94"/>
      <c r="H299" s="132"/>
      <c r="I299" s="94"/>
      <c r="J299" s="94"/>
      <c r="K299" s="125"/>
      <c r="L299" s="125"/>
      <c r="M299" s="99"/>
      <c r="N299" s="111"/>
      <c r="O299" s="112"/>
      <c r="P299" s="94"/>
      <c r="Q299" s="120"/>
      <c r="R299" s="113"/>
      <c r="S299" s="94"/>
      <c r="T299" s="94"/>
      <c r="V299" s="104"/>
    </row>
    <row r="300" ht="15.75" customHeight="1">
      <c r="A300" s="91"/>
      <c r="B300" s="131"/>
      <c r="C300" s="132"/>
      <c r="D300" s="94"/>
      <c r="E300" s="132"/>
      <c r="F300" s="132"/>
      <c r="G300" s="94"/>
      <c r="H300" s="132"/>
      <c r="I300" s="94"/>
      <c r="J300" s="94"/>
      <c r="K300" s="126"/>
      <c r="L300" s="126"/>
      <c r="M300" s="99"/>
      <c r="N300" s="111"/>
      <c r="O300" s="112"/>
      <c r="P300" s="94"/>
      <c r="Q300" s="120"/>
      <c r="R300" s="113"/>
      <c r="S300" s="94"/>
      <c r="T300" s="94"/>
      <c r="V300" s="104"/>
    </row>
    <row r="301" ht="15.75" customHeight="1">
      <c r="A301" s="91"/>
      <c r="B301" s="131"/>
      <c r="C301" s="104"/>
      <c r="D301" s="94"/>
      <c r="E301" s="132"/>
      <c r="F301" s="132"/>
      <c r="G301" s="94"/>
      <c r="H301" s="132"/>
      <c r="I301" s="94"/>
      <c r="J301" s="94"/>
      <c r="K301" s="125"/>
      <c r="L301" s="125"/>
      <c r="M301" s="99"/>
      <c r="N301" s="111"/>
      <c r="O301" s="112"/>
      <c r="P301" s="94"/>
      <c r="Q301" s="120"/>
      <c r="R301" s="113"/>
      <c r="S301" s="94"/>
      <c r="T301" s="94"/>
      <c r="V301" s="104"/>
    </row>
    <row r="302" ht="15.75" customHeight="1">
      <c r="A302" s="91"/>
      <c r="B302" s="131"/>
      <c r="C302" s="132"/>
      <c r="D302" s="94"/>
      <c r="E302" s="132"/>
      <c r="F302" s="132"/>
      <c r="G302" s="94"/>
      <c r="H302" s="132"/>
      <c r="I302" s="94"/>
      <c r="J302" s="94"/>
      <c r="K302" s="126"/>
      <c r="L302" s="126"/>
      <c r="M302" s="99"/>
      <c r="N302" s="111"/>
      <c r="O302" s="112"/>
      <c r="P302" s="94"/>
      <c r="Q302" s="120"/>
      <c r="R302" s="113"/>
      <c r="S302" s="94"/>
      <c r="T302" s="94"/>
      <c r="V302" s="104"/>
    </row>
    <row r="303" ht="15.75" customHeight="1">
      <c r="A303" s="91"/>
      <c r="B303" s="131"/>
      <c r="C303" s="132"/>
      <c r="D303" s="94"/>
      <c r="E303" s="132"/>
      <c r="F303" s="132"/>
      <c r="G303" s="94"/>
      <c r="H303" s="132"/>
      <c r="I303" s="94"/>
      <c r="J303" s="94"/>
      <c r="K303" s="125"/>
      <c r="L303" s="125"/>
      <c r="M303" s="99"/>
      <c r="N303" s="111"/>
      <c r="O303" s="112"/>
      <c r="P303" s="94"/>
      <c r="Q303" s="120"/>
      <c r="R303" s="113"/>
      <c r="S303" s="94"/>
      <c r="T303" s="94"/>
      <c r="V303" s="104"/>
    </row>
    <row r="304" ht="15.75" customHeight="1">
      <c r="A304" s="91"/>
      <c r="B304" s="131"/>
      <c r="C304" s="132"/>
      <c r="D304" s="94"/>
      <c r="E304" s="132"/>
      <c r="F304" s="132"/>
      <c r="G304" s="94"/>
      <c r="H304" s="132"/>
      <c r="I304" s="94"/>
      <c r="J304" s="94"/>
      <c r="K304" s="126"/>
      <c r="L304" s="126"/>
      <c r="M304" s="99"/>
      <c r="N304" s="111"/>
      <c r="O304" s="112"/>
      <c r="P304" s="94"/>
      <c r="Q304" s="120"/>
      <c r="R304" s="113"/>
      <c r="S304" s="94"/>
      <c r="T304" s="94"/>
      <c r="V304" s="104"/>
    </row>
    <row r="305" ht="15.75" customHeight="1">
      <c r="A305" s="91"/>
      <c r="B305" s="131"/>
      <c r="C305" s="132"/>
      <c r="D305" s="94"/>
      <c r="E305" s="132"/>
      <c r="F305" s="132"/>
      <c r="G305" s="94"/>
      <c r="H305" s="132"/>
      <c r="I305" s="94"/>
      <c r="J305" s="94"/>
      <c r="K305" s="125"/>
      <c r="L305" s="125"/>
      <c r="M305" s="99"/>
      <c r="N305" s="111"/>
      <c r="O305" s="112"/>
      <c r="P305" s="94"/>
      <c r="Q305" s="120"/>
      <c r="R305" s="113"/>
      <c r="S305" s="94"/>
      <c r="T305" s="94"/>
      <c r="V305" s="104"/>
    </row>
    <row r="306" ht="15.75" customHeight="1">
      <c r="A306" s="91"/>
      <c r="B306" s="131"/>
      <c r="C306" s="132"/>
      <c r="D306" s="94"/>
      <c r="E306" s="132"/>
      <c r="F306" s="132"/>
      <c r="G306" s="94"/>
      <c r="H306" s="132"/>
      <c r="I306" s="94"/>
      <c r="J306" s="94"/>
      <c r="K306" s="126"/>
      <c r="L306" s="126"/>
      <c r="M306" s="99"/>
      <c r="N306" s="111"/>
      <c r="O306" s="112"/>
      <c r="P306" s="94"/>
      <c r="Q306" s="120"/>
      <c r="R306" s="113"/>
      <c r="S306" s="94"/>
      <c r="T306" s="94"/>
      <c r="V306" s="104"/>
    </row>
    <row r="307" ht="15.75" customHeight="1">
      <c r="A307" s="91"/>
      <c r="B307" s="131"/>
      <c r="C307" s="104"/>
      <c r="D307" s="94"/>
      <c r="E307" s="132"/>
      <c r="F307" s="132"/>
      <c r="G307" s="94"/>
      <c r="H307" s="132"/>
      <c r="I307" s="94"/>
      <c r="J307" s="94"/>
      <c r="K307" s="125"/>
      <c r="L307" s="125"/>
      <c r="M307" s="99"/>
      <c r="N307" s="111"/>
      <c r="O307" s="112"/>
      <c r="P307" s="94"/>
      <c r="Q307" s="120"/>
      <c r="R307" s="113"/>
      <c r="S307" s="94"/>
      <c r="T307" s="94"/>
      <c r="V307" s="104"/>
    </row>
    <row r="308" ht="15.75" customHeight="1">
      <c r="A308" s="91"/>
      <c r="B308" s="131"/>
      <c r="C308" s="132"/>
      <c r="D308" s="94"/>
      <c r="E308" s="132"/>
      <c r="F308" s="132"/>
      <c r="G308" s="94"/>
      <c r="H308" s="132"/>
      <c r="I308" s="94"/>
      <c r="J308" s="94"/>
      <c r="K308" s="126"/>
      <c r="L308" s="126"/>
      <c r="M308" s="99"/>
      <c r="N308" s="111"/>
      <c r="O308" s="112"/>
      <c r="P308" s="94"/>
      <c r="Q308" s="120"/>
      <c r="R308" s="113"/>
      <c r="S308" s="94"/>
      <c r="T308" s="94"/>
      <c r="V308" s="104"/>
    </row>
    <row r="309" ht="15.75" customHeight="1">
      <c r="A309" s="91"/>
      <c r="B309" s="131"/>
      <c r="C309" s="132"/>
      <c r="D309" s="94"/>
      <c r="E309" s="132"/>
      <c r="F309" s="132"/>
      <c r="G309" s="94"/>
      <c r="H309" s="132"/>
      <c r="I309" s="94"/>
      <c r="J309" s="94"/>
      <c r="K309" s="125"/>
      <c r="L309" s="125"/>
      <c r="M309" s="99"/>
      <c r="N309" s="111"/>
      <c r="O309" s="112"/>
      <c r="P309" s="94"/>
      <c r="Q309" s="120"/>
      <c r="R309" s="113"/>
      <c r="S309" s="94"/>
      <c r="T309" s="94"/>
      <c r="V309" s="104"/>
    </row>
    <row r="310" ht="15.75" customHeight="1">
      <c r="A310" s="91"/>
      <c r="B310" s="131"/>
      <c r="C310" s="132"/>
      <c r="D310" s="94"/>
      <c r="E310" s="132"/>
      <c r="F310" s="132"/>
      <c r="G310" s="94"/>
      <c r="H310" s="132"/>
      <c r="I310" s="94"/>
      <c r="J310" s="94"/>
      <c r="K310" s="126"/>
      <c r="L310" s="126"/>
      <c r="M310" s="99"/>
      <c r="N310" s="111"/>
      <c r="O310" s="112"/>
      <c r="P310" s="94"/>
      <c r="Q310" s="120"/>
      <c r="R310" s="113"/>
      <c r="S310" s="94"/>
      <c r="T310" s="94"/>
      <c r="V310" s="104"/>
    </row>
    <row r="311" ht="15.75" customHeight="1">
      <c r="A311" s="91"/>
      <c r="B311" s="131"/>
      <c r="C311" s="132"/>
      <c r="D311" s="94"/>
      <c r="E311" s="132"/>
      <c r="F311" s="132"/>
      <c r="G311" s="94"/>
      <c r="H311" s="132"/>
      <c r="I311" s="94"/>
      <c r="J311" s="94"/>
      <c r="K311" s="125"/>
      <c r="L311" s="125"/>
      <c r="M311" s="99"/>
      <c r="N311" s="111"/>
      <c r="O311" s="112"/>
      <c r="P311" s="94"/>
      <c r="Q311" s="120"/>
      <c r="R311" s="113"/>
      <c r="S311" s="94"/>
      <c r="T311" s="94"/>
      <c r="V311" s="104"/>
    </row>
    <row r="312" ht="15.75" customHeight="1">
      <c r="A312" s="91"/>
      <c r="B312" s="131"/>
      <c r="C312" s="132"/>
      <c r="D312" s="94"/>
      <c r="E312" s="132"/>
      <c r="F312" s="132"/>
      <c r="G312" s="94"/>
      <c r="H312" s="132"/>
      <c r="I312" s="94"/>
      <c r="J312" s="94"/>
      <c r="K312" s="126"/>
      <c r="L312" s="126"/>
      <c r="M312" s="99"/>
      <c r="N312" s="111"/>
      <c r="O312" s="112"/>
      <c r="P312" s="94"/>
      <c r="Q312" s="120"/>
      <c r="R312" s="113"/>
      <c r="S312" s="94"/>
      <c r="T312" s="94"/>
      <c r="V312" s="104"/>
    </row>
    <row r="313" ht="15.75" customHeight="1">
      <c r="A313" s="91"/>
      <c r="B313" s="131"/>
      <c r="C313" s="104"/>
      <c r="D313" s="94"/>
      <c r="E313" s="132"/>
      <c r="F313" s="132"/>
      <c r="G313" s="94"/>
      <c r="H313" s="132"/>
      <c r="I313" s="94"/>
      <c r="J313" s="94"/>
      <c r="K313" s="125"/>
      <c r="L313" s="125"/>
      <c r="M313" s="99"/>
      <c r="N313" s="111"/>
      <c r="O313" s="112"/>
      <c r="P313" s="94"/>
      <c r="Q313" s="120"/>
      <c r="R313" s="113"/>
      <c r="S313" s="94"/>
      <c r="T313" s="94"/>
      <c r="V313" s="104"/>
    </row>
    <row r="314" ht="15.75" customHeight="1">
      <c r="A314" s="91"/>
      <c r="B314" s="131"/>
      <c r="C314" s="132"/>
      <c r="D314" s="94"/>
      <c r="E314" s="132"/>
      <c r="F314" s="132"/>
      <c r="G314" s="94"/>
      <c r="H314" s="132"/>
      <c r="I314" s="94"/>
      <c r="J314" s="94"/>
      <c r="K314" s="126"/>
      <c r="L314" s="126"/>
      <c r="M314" s="99"/>
      <c r="N314" s="111"/>
      <c r="O314" s="112"/>
      <c r="P314" s="94"/>
      <c r="Q314" s="120"/>
      <c r="R314" s="113"/>
      <c r="S314" s="94"/>
      <c r="T314" s="94"/>
      <c r="V314" s="104"/>
    </row>
    <row r="315" ht="15.75" customHeight="1">
      <c r="A315" s="91"/>
      <c r="B315" s="131"/>
      <c r="C315" s="132"/>
      <c r="D315" s="94"/>
      <c r="E315" s="132"/>
      <c r="F315" s="132"/>
      <c r="G315" s="94"/>
      <c r="H315" s="132"/>
      <c r="I315" s="94"/>
      <c r="J315" s="94"/>
      <c r="K315" s="125"/>
      <c r="L315" s="125"/>
      <c r="M315" s="99"/>
      <c r="N315" s="111"/>
      <c r="O315" s="112"/>
      <c r="P315" s="94"/>
      <c r="Q315" s="120"/>
      <c r="R315" s="113"/>
      <c r="S315" s="94"/>
      <c r="T315" s="94"/>
      <c r="V315" s="104"/>
    </row>
    <row r="316" ht="15.75" customHeight="1">
      <c r="A316" s="91"/>
      <c r="B316" s="131"/>
      <c r="C316" s="132"/>
      <c r="D316" s="94"/>
      <c r="E316" s="132"/>
      <c r="F316" s="132"/>
      <c r="G316" s="94"/>
      <c r="H316" s="132"/>
      <c r="I316" s="94"/>
      <c r="J316" s="94"/>
      <c r="K316" s="126"/>
      <c r="L316" s="126"/>
      <c r="M316" s="99"/>
      <c r="N316" s="111"/>
      <c r="O316" s="112"/>
      <c r="P316" s="94"/>
      <c r="Q316" s="120"/>
      <c r="R316" s="113"/>
      <c r="S316" s="94"/>
      <c r="T316" s="94"/>
      <c r="V316" s="104"/>
    </row>
    <row r="317" ht="15.75" customHeight="1">
      <c r="A317" s="91"/>
      <c r="B317" s="131"/>
      <c r="C317" s="132"/>
      <c r="D317" s="94"/>
      <c r="E317" s="132"/>
      <c r="F317" s="132"/>
      <c r="G317" s="94"/>
      <c r="H317" s="132"/>
      <c r="I317" s="94"/>
      <c r="J317" s="94"/>
      <c r="K317" s="125"/>
      <c r="L317" s="125"/>
      <c r="M317" s="99"/>
      <c r="N317" s="111"/>
      <c r="O317" s="112"/>
      <c r="P317" s="94"/>
      <c r="Q317" s="120"/>
      <c r="R317" s="113"/>
      <c r="S317" s="94"/>
      <c r="T317" s="94"/>
      <c r="V317" s="104"/>
    </row>
    <row r="318" ht="15.75" customHeight="1">
      <c r="A318" s="91"/>
      <c r="B318" s="131"/>
      <c r="C318" s="132"/>
      <c r="D318" s="94"/>
      <c r="E318" s="132"/>
      <c r="F318" s="132"/>
      <c r="G318" s="94"/>
      <c r="H318" s="132"/>
      <c r="I318" s="94"/>
      <c r="J318" s="94"/>
      <c r="K318" s="126"/>
      <c r="L318" s="126"/>
      <c r="M318" s="99"/>
      <c r="N318" s="111"/>
      <c r="O318" s="112"/>
      <c r="P318" s="94"/>
      <c r="Q318" s="120"/>
      <c r="R318" s="113"/>
      <c r="S318" s="94"/>
      <c r="T318" s="94"/>
      <c r="V318" s="104"/>
    </row>
    <row r="319" ht="15.75" customHeight="1">
      <c r="A319" s="91"/>
      <c r="B319" s="131"/>
      <c r="C319" s="104"/>
      <c r="D319" s="94"/>
      <c r="E319" s="132"/>
      <c r="F319" s="132"/>
      <c r="G319" s="94"/>
      <c r="H319" s="132"/>
      <c r="I319" s="94"/>
      <c r="J319" s="94"/>
      <c r="K319" s="125"/>
      <c r="L319" s="125"/>
      <c r="M319" s="99"/>
      <c r="N319" s="111"/>
      <c r="O319" s="112"/>
      <c r="P319" s="94"/>
      <c r="Q319" s="120"/>
      <c r="R319" s="113"/>
      <c r="S319" s="94"/>
      <c r="T319" s="94"/>
      <c r="V319" s="104"/>
    </row>
    <row r="320" ht="15.75" customHeight="1">
      <c r="A320" s="91"/>
      <c r="B320" s="131"/>
      <c r="C320" s="132"/>
      <c r="D320" s="94"/>
      <c r="E320" s="132"/>
      <c r="F320" s="132"/>
      <c r="G320" s="94"/>
      <c r="H320" s="132"/>
      <c r="I320" s="94"/>
      <c r="J320" s="94"/>
      <c r="K320" s="126"/>
      <c r="L320" s="126"/>
      <c r="M320" s="99"/>
      <c r="N320" s="111"/>
      <c r="O320" s="112"/>
      <c r="P320" s="94"/>
      <c r="Q320" s="120"/>
      <c r="R320" s="113"/>
      <c r="S320" s="94"/>
      <c r="T320" s="94"/>
      <c r="V320" s="104"/>
    </row>
    <row r="321" ht="15.75" customHeight="1">
      <c r="A321" s="91"/>
      <c r="B321" s="131"/>
      <c r="C321" s="132"/>
      <c r="D321" s="94"/>
      <c r="E321" s="132"/>
      <c r="F321" s="132"/>
      <c r="G321" s="94"/>
      <c r="H321" s="132"/>
      <c r="I321" s="94"/>
      <c r="J321" s="94"/>
      <c r="K321" s="125"/>
      <c r="L321" s="125"/>
      <c r="M321" s="99"/>
      <c r="N321" s="111"/>
      <c r="O321" s="112"/>
      <c r="P321" s="94"/>
      <c r="Q321" s="120"/>
      <c r="R321" s="113"/>
      <c r="S321" s="94"/>
      <c r="T321" s="94"/>
      <c r="V321" s="104"/>
    </row>
    <row r="322" ht="15.75" customHeight="1">
      <c r="A322" s="91"/>
      <c r="B322" s="131"/>
      <c r="C322" s="132"/>
      <c r="D322" s="94"/>
      <c r="E322" s="132"/>
      <c r="F322" s="132"/>
      <c r="G322" s="94"/>
      <c r="H322" s="132"/>
      <c r="I322" s="94"/>
      <c r="J322" s="94"/>
      <c r="K322" s="126"/>
      <c r="L322" s="126"/>
      <c r="M322" s="99"/>
      <c r="N322" s="111"/>
      <c r="O322" s="112"/>
      <c r="P322" s="94"/>
      <c r="Q322" s="120"/>
      <c r="R322" s="113"/>
      <c r="S322" s="94"/>
      <c r="T322" s="94"/>
      <c r="V322" s="104"/>
    </row>
    <row r="323" ht="15.75" customHeight="1">
      <c r="A323" s="91"/>
      <c r="B323" s="131"/>
      <c r="C323" s="132"/>
      <c r="D323" s="94"/>
      <c r="E323" s="132"/>
      <c r="F323" s="132"/>
      <c r="G323" s="94"/>
      <c r="H323" s="132"/>
      <c r="I323" s="94"/>
      <c r="J323" s="94"/>
      <c r="K323" s="125"/>
      <c r="L323" s="125"/>
      <c r="M323" s="99"/>
      <c r="N323" s="111"/>
      <c r="O323" s="112"/>
      <c r="P323" s="94"/>
      <c r="Q323" s="120"/>
      <c r="R323" s="113"/>
      <c r="S323" s="94"/>
      <c r="T323" s="94"/>
      <c r="V323" s="104"/>
    </row>
    <row r="324" ht="15.75" customHeight="1">
      <c r="A324" s="91"/>
      <c r="B324" s="131"/>
      <c r="C324" s="132"/>
      <c r="D324" s="94"/>
      <c r="E324" s="132"/>
      <c r="F324" s="132"/>
      <c r="G324" s="94"/>
      <c r="H324" s="132"/>
      <c r="I324" s="94"/>
      <c r="J324" s="94"/>
      <c r="K324" s="126"/>
      <c r="L324" s="126"/>
      <c r="M324" s="99"/>
      <c r="N324" s="111"/>
      <c r="O324" s="112"/>
      <c r="P324" s="94"/>
      <c r="Q324" s="120"/>
      <c r="R324" s="113"/>
      <c r="S324" s="94"/>
      <c r="T324" s="94"/>
      <c r="V324" s="104"/>
    </row>
    <row r="325" ht="15.75" customHeight="1">
      <c r="A325" s="91"/>
      <c r="B325" s="131"/>
      <c r="C325" s="104"/>
      <c r="D325" s="94"/>
      <c r="E325" s="132"/>
      <c r="F325" s="132"/>
      <c r="G325" s="94"/>
      <c r="H325" s="132"/>
      <c r="I325" s="94"/>
      <c r="J325" s="94"/>
      <c r="K325" s="125"/>
      <c r="L325" s="125"/>
      <c r="M325" s="99"/>
      <c r="N325" s="111"/>
      <c r="O325" s="112"/>
      <c r="P325" s="94"/>
      <c r="Q325" s="120"/>
      <c r="R325" s="113"/>
      <c r="S325" s="94"/>
      <c r="T325" s="94"/>
      <c r="V325" s="104"/>
    </row>
    <row r="326" ht="15.75" customHeight="1">
      <c r="A326" s="91"/>
      <c r="B326" s="131"/>
      <c r="C326" s="132"/>
      <c r="D326" s="94"/>
      <c r="E326" s="132"/>
      <c r="F326" s="132"/>
      <c r="G326" s="94"/>
      <c r="H326" s="132"/>
      <c r="I326" s="94"/>
      <c r="J326" s="94"/>
      <c r="K326" s="126"/>
      <c r="L326" s="126"/>
      <c r="M326" s="99"/>
      <c r="N326" s="111"/>
      <c r="O326" s="112"/>
      <c r="P326" s="94"/>
      <c r="Q326" s="120"/>
      <c r="R326" s="113"/>
      <c r="S326" s="94"/>
      <c r="T326" s="94"/>
      <c r="V326" s="104"/>
    </row>
    <row r="327" ht="15.75" customHeight="1">
      <c r="A327" s="91"/>
      <c r="B327" s="131"/>
      <c r="C327" s="132"/>
      <c r="D327" s="94"/>
      <c r="E327" s="132"/>
      <c r="F327" s="132"/>
      <c r="G327" s="94"/>
      <c r="H327" s="132"/>
      <c r="I327" s="94"/>
      <c r="J327" s="94"/>
      <c r="K327" s="125"/>
      <c r="L327" s="125"/>
      <c r="M327" s="99"/>
      <c r="N327" s="111"/>
      <c r="O327" s="112"/>
      <c r="P327" s="94"/>
      <c r="Q327" s="120"/>
      <c r="R327" s="113"/>
      <c r="S327" s="94"/>
      <c r="T327" s="94"/>
      <c r="V327" s="104"/>
    </row>
    <row r="328" ht="15.75" customHeight="1">
      <c r="A328" s="91"/>
      <c r="B328" s="131"/>
      <c r="C328" s="132"/>
      <c r="D328" s="94"/>
      <c r="E328" s="132"/>
      <c r="F328" s="132"/>
      <c r="G328" s="94"/>
      <c r="H328" s="132"/>
      <c r="I328" s="94"/>
      <c r="J328" s="94"/>
      <c r="K328" s="126"/>
      <c r="L328" s="126"/>
      <c r="M328" s="99"/>
      <c r="N328" s="111"/>
      <c r="O328" s="112"/>
      <c r="P328" s="94"/>
      <c r="Q328" s="120"/>
      <c r="R328" s="113"/>
      <c r="S328" s="94"/>
      <c r="T328" s="94"/>
      <c r="V328" s="104"/>
    </row>
    <row r="329" ht="15.75" customHeight="1">
      <c r="A329" s="91"/>
      <c r="B329" s="131"/>
      <c r="C329" s="132"/>
      <c r="D329" s="94"/>
      <c r="E329" s="132"/>
      <c r="F329" s="132"/>
      <c r="G329" s="94"/>
      <c r="H329" s="132"/>
      <c r="I329" s="94"/>
      <c r="J329" s="94"/>
      <c r="K329" s="125"/>
      <c r="L329" s="125"/>
      <c r="M329" s="99"/>
      <c r="N329" s="111"/>
      <c r="O329" s="112"/>
      <c r="P329" s="94"/>
      <c r="Q329" s="120"/>
      <c r="R329" s="113"/>
      <c r="S329" s="94"/>
      <c r="T329" s="94"/>
      <c r="V329" s="104"/>
    </row>
    <row r="330" ht="15.75" customHeight="1">
      <c r="A330" s="91"/>
      <c r="B330" s="131"/>
      <c r="C330" s="132"/>
      <c r="D330" s="94"/>
      <c r="E330" s="132"/>
      <c r="F330" s="132"/>
      <c r="G330" s="94"/>
      <c r="H330" s="132"/>
      <c r="I330" s="94"/>
      <c r="J330" s="94"/>
      <c r="K330" s="126"/>
      <c r="L330" s="126"/>
      <c r="M330" s="99"/>
      <c r="N330" s="111"/>
      <c r="O330" s="112"/>
      <c r="P330" s="94"/>
      <c r="Q330" s="120"/>
      <c r="R330" s="113"/>
      <c r="S330" s="94"/>
      <c r="T330" s="94"/>
      <c r="V330" s="104"/>
    </row>
    <row r="331" ht="15.75" customHeight="1">
      <c r="A331" s="91"/>
      <c r="B331" s="131"/>
      <c r="C331" s="104"/>
      <c r="D331" s="94"/>
      <c r="E331" s="132"/>
      <c r="F331" s="132"/>
      <c r="G331" s="94"/>
      <c r="H331" s="132"/>
      <c r="I331" s="94"/>
      <c r="J331" s="94"/>
      <c r="K331" s="125"/>
      <c r="L331" s="125"/>
      <c r="M331" s="99"/>
      <c r="N331" s="111"/>
      <c r="O331" s="112"/>
      <c r="P331" s="94"/>
      <c r="Q331" s="120"/>
      <c r="R331" s="113"/>
      <c r="S331" s="94"/>
      <c r="T331" s="94"/>
      <c r="V331" s="104"/>
    </row>
    <row r="332" ht="15.75" customHeight="1">
      <c r="A332" s="91"/>
      <c r="B332" s="131"/>
      <c r="C332" s="132"/>
      <c r="D332" s="94"/>
      <c r="E332" s="132"/>
      <c r="F332" s="132"/>
      <c r="G332" s="94"/>
      <c r="H332" s="132"/>
      <c r="I332" s="94"/>
      <c r="J332" s="94"/>
      <c r="K332" s="126"/>
      <c r="L332" s="126"/>
      <c r="M332" s="99"/>
      <c r="N332" s="111"/>
      <c r="O332" s="112"/>
      <c r="P332" s="94"/>
      <c r="Q332" s="120"/>
      <c r="R332" s="113"/>
      <c r="S332" s="94"/>
      <c r="T332" s="94"/>
      <c r="V332" s="104"/>
    </row>
    <row r="333" ht="15.75" customHeight="1">
      <c r="A333" s="91"/>
      <c r="B333" s="131"/>
      <c r="C333" s="132"/>
      <c r="D333" s="94"/>
      <c r="E333" s="132"/>
      <c r="F333" s="132"/>
      <c r="G333" s="94"/>
      <c r="H333" s="132"/>
      <c r="I333" s="94"/>
      <c r="J333" s="94"/>
      <c r="K333" s="125"/>
      <c r="L333" s="125"/>
      <c r="M333" s="99"/>
      <c r="N333" s="111"/>
      <c r="O333" s="112"/>
      <c r="P333" s="94"/>
      <c r="Q333" s="120"/>
      <c r="R333" s="113"/>
      <c r="S333" s="94"/>
      <c r="T333" s="94"/>
      <c r="V333" s="104"/>
    </row>
    <row r="334" ht="15.75" customHeight="1">
      <c r="A334" s="91"/>
      <c r="B334" s="131"/>
      <c r="C334" s="132"/>
      <c r="D334" s="94"/>
      <c r="E334" s="132"/>
      <c r="F334" s="132"/>
      <c r="G334" s="94"/>
      <c r="H334" s="132"/>
      <c r="I334" s="94"/>
      <c r="J334" s="94"/>
      <c r="K334" s="126"/>
      <c r="L334" s="126"/>
      <c r="M334" s="99"/>
      <c r="N334" s="111"/>
      <c r="O334" s="112"/>
      <c r="P334" s="94"/>
      <c r="Q334" s="120"/>
      <c r="R334" s="113"/>
      <c r="S334" s="94"/>
      <c r="T334" s="94"/>
      <c r="V334" s="104"/>
    </row>
    <row r="335" ht="15.75" customHeight="1">
      <c r="A335" s="91"/>
      <c r="B335" s="131"/>
      <c r="C335" s="132"/>
      <c r="D335" s="94"/>
      <c r="E335" s="132"/>
      <c r="F335" s="132"/>
      <c r="G335" s="94"/>
      <c r="H335" s="132"/>
      <c r="I335" s="94"/>
      <c r="J335" s="94"/>
      <c r="K335" s="125"/>
      <c r="L335" s="125"/>
      <c r="M335" s="99"/>
      <c r="N335" s="111"/>
      <c r="O335" s="112"/>
      <c r="P335" s="94"/>
      <c r="Q335" s="120"/>
      <c r="R335" s="113"/>
      <c r="S335" s="94"/>
      <c r="T335" s="94"/>
      <c r="V335" s="104"/>
    </row>
    <row r="336" ht="15.75" customHeight="1">
      <c r="A336" s="91"/>
      <c r="B336" s="131"/>
      <c r="C336" s="132"/>
      <c r="D336" s="94"/>
      <c r="E336" s="132"/>
      <c r="F336" s="132"/>
      <c r="G336" s="94"/>
      <c r="H336" s="132"/>
      <c r="I336" s="94"/>
      <c r="J336" s="94"/>
      <c r="K336" s="126"/>
      <c r="L336" s="126"/>
      <c r="M336" s="99"/>
      <c r="N336" s="111"/>
      <c r="O336" s="112"/>
      <c r="P336" s="94"/>
      <c r="Q336" s="120"/>
      <c r="R336" s="113"/>
      <c r="S336" s="94"/>
      <c r="T336" s="94"/>
      <c r="V336" s="104"/>
    </row>
    <row r="337" ht="15.75" customHeight="1">
      <c r="A337" s="91"/>
      <c r="B337" s="131"/>
      <c r="C337" s="104"/>
      <c r="D337" s="94"/>
      <c r="E337" s="132"/>
      <c r="F337" s="132"/>
      <c r="G337" s="94"/>
      <c r="H337" s="132"/>
      <c r="I337" s="94"/>
      <c r="J337" s="94"/>
      <c r="K337" s="125"/>
      <c r="L337" s="125"/>
      <c r="M337" s="99"/>
      <c r="N337" s="111"/>
      <c r="O337" s="112"/>
      <c r="P337" s="94"/>
      <c r="Q337" s="120"/>
      <c r="R337" s="113"/>
      <c r="S337" s="94"/>
      <c r="T337" s="94"/>
      <c r="V337" s="104"/>
    </row>
    <row r="338" ht="15.75" customHeight="1">
      <c r="A338" s="91"/>
      <c r="B338" s="131"/>
      <c r="C338" s="132"/>
      <c r="D338" s="94"/>
      <c r="E338" s="132"/>
      <c r="F338" s="132"/>
      <c r="G338" s="94"/>
      <c r="H338" s="132"/>
      <c r="I338" s="94"/>
      <c r="J338" s="94"/>
      <c r="K338" s="126"/>
      <c r="L338" s="126"/>
      <c r="M338" s="99"/>
      <c r="N338" s="111"/>
      <c r="O338" s="112"/>
      <c r="P338" s="94"/>
      <c r="Q338" s="120"/>
      <c r="R338" s="113"/>
      <c r="S338" s="94"/>
      <c r="T338" s="94"/>
      <c r="V338" s="104"/>
    </row>
    <row r="339" ht="15.75" customHeight="1">
      <c r="A339" s="91"/>
      <c r="B339" s="131"/>
      <c r="C339" s="132"/>
      <c r="D339" s="94"/>
      <c r="E339" s="132"/>
      <c r="F339" s="132"/>
      <c r="G339" s="94"/>
      <c r="H339" s="132"/>
      <c r="I339" s="94"/>
      <c r="J339" s="94"/>
      <c r="K339" s="125"/>
      <c r="L339" s="125"/>
      <c r="M339" s="99"/>
      <c r="N339" s="111"/>
      <c r="O339" s="112"/>
      <c r="P339" s="94"/>
      <c r="Q339" s="120"/>
      <c r="R339" s="113"/>
      <c r="S339" s="94"/>
      <c r="T339" s="94"/>
      <c r="V339" s="104"/>
    </row>
    <row r="340" ht="15.75" customHeight="1">
      <c r="A340" s="91"/>
      <c r="B340" s="131"/>
      <c r="C340" s="132"/>
      <c r="D340" s="94"/>
      <c r="E340" s="132"/>
      <c r="F340" s="132"/>
      <c r="G340" s="94"/>
      <c r="H340" s="132"/>
      <c r="I340" s="94"/>
      <c r="J340" s="94"/>
      <c r="K340" s="126"/>
      <c r="L340" s="126"/>
      <c r="M340" s="99"/>
      <c r="N340" s="111"/>
      <c r="O340" s="112"/>
      <c r="P340" s="94"/>
      <c r="Q340" s="120"/>
      <c r="R340" s="113"/>
      <c r="S340" s="94"/>
      <c r="T340" s="94"/>
      <c r="V340" s="104"/>
    </row>
    <row r="341" ht="15.75" customHeight="1">
      <c r="A341" s="91"/>
      <c r="B341" s="131"/>
      <c r="C341" s="132"/>
      <c r="D341" s="94"/>
      <c r="E341" s="132"/>
      <c r="F341" s="132"/>
      <c r="G341" s="94"/>
      <c r="H341" s="132"/>
      <c r="I341" s="94"/>
      <c r="J341" s="94"/>
      <c r="K341" s="125"/>
      <c r="L341" s="125"/>
      <c r="M341" s="99"/>
      <c r="N341" s="111"/>
      <c r="O341" s="112"/>
      <c r="P341" s="94"/>
      <c r="Q341" s="120"/>
      <c r="R341" s="113"/>
      <c r="S341" s="94"/>
      <c r="T341" s="94"/>
      <c r="V341" s="104"/>
    </row>
    <row r="342" ht="15.75" customHeight="1">
      <c r="A342" s="91"/>
      <c r="B342" s="131"/>
      <c r="C342" s="132"/>
      <c r="D342" s="94"/>
      <c r="E342" s="132"/>
      <c r="F342" s="132"/>
      <c r="G342" s="94"/>
      <c r="H342" s="132"/>
      <c r="I342" s="94"/>
      <c r="J342" s="94"/>
      <c r="K342" s="126"/>
      <c r="L342" s="126"/>
      <c r="M342" s="99"/>
      <c r="N342" s="111"/>
      <c r="O342" s="112"/>
      <c r="P342" s="94"/>
      <c r="Q342" s="120"/>
      <c r="R342" s="113"/>
      <c r="S342" s="94"/>
      <c r="T342" s="94"/>
      <c r="V342" s="104"/>
    </row>
    <row r="343" ht="15.75" customHeight="1">
      <c r="A343" s="91"/>
      <c r="B343" s="131"/>
      <c r="C343" s="104"/>
      <c r="D343" s="94"/>
      <c r="E343" s="132"/>
      <c r="F343" s="132"/>
      <c r="G343" s="94"/>
      <c r="H343" s="132"/>
      <c r="I343" s="94"/>
      <c r="J343" s="94"/>
      <c r="K343" s="125"/>
      <c r="L343" s="125"/>
      <c r="M343" s="99"/>
      <c r="N343" s="111"/>
      <c r="O343" s="112"/>
      <c r="P343" s="94"/>
      <c r="Q343" s="120"/>
      <c r="R343" s="113"/>
      <c r="S343" s="94"/>
      <c r="T343" s="94"/>
      <c r="V343" s="104"/>
    </row>
    <row r="344" ht="15.75" customHeight="1">
      <c r="A344" s="91"/>
      <c r="B344" s="131"/>
      <c r="C344" s="132"/>
      <c r="D344" s="94"/>
      <c r="E344" s="132"/>
      <c r="F344" s="132"/>
      <c r="G344" s="94"/>
      <c r="H344" s="132"/>
      <c r="I344" s="94"/>
      <c r="J344" s="94"/>
      <c r="K344" s="126"/>
      <c r="L344" s="126"/>
      <c r="M344" s="99"/>
      <c r="N344" s="111"/>
      <c r="O344" s="112"/>
      <c r="P344" s="94"/>
      <c r="Q344" s="120"/>
      <c r="R344" s="113"/>
      <c r="S344" s="94"/>
      <c r="T344" s="94"/>
      <c r="V344" s="104"/>
    </row>
    <row r="345" ht="15.75" customHeight="1">
      <c r="A345" s="91"/>
      <c r="B345" s="131"/>
      <c r="C345" s="132"/>
      <c r="D345" s="94"/>
      <c r="E345" s="132"/>
      <c r="F345" s="132"/>
      <c r="G345" s="94"/>
      <c r="H345" s="132"/>
      <c r="I345" s="94"/>
      <c r="J345" s="94"/>
      <c r="K345" s="125"/>
      <c r="L345" s="125"/>
      <c r="M345" s="99"/>
      <c r="N345" s="111"/>
      <c r="O345" s="112"/>
      <c r="P345" s="94"/>
      <c r="Q345" s="120"/>
      <c r="R345" s="113"/>
      <c r="S345" s="94"/>
      <c r="T345" s="94"/>
      <c r="V345" s="104"/>
    </row>
    <row r="346" ht="15.75" customHeight="1">
      <c r="A346" s="91"/>
      <c r="B346" s="131"/>
      <c r="C346" s="132"/>
      <c r="D346" s="94"/>
      <c r="E346" s="132"/>
      <c r="F346" s="132"/>
      <c r="G346" s="94"/>
      <c r="H346" s="132"/>
      <c r="I346" s="94"/>
      <c r="J346" s="94"/>
      <c r="K346" s="126"/>
      <c r="L346" s="126"/>
      <c r="M346" s="99"/>
      <c r="N346" s="111"/>
      <c r="O346" s="112"/>
      <c r="P346" s="94"/>
      <c r="Q346" s="120"/>
      <c r="R346" s="113"/>
      <c r="S346" s="94"/>
      <c r="T346" s="94"/>
      <c r="V346" s="104"/>
    </row>
    <row r="347" ht="15.75" customHeight="1">
      <c r="A347" s="91"/>
      <c r="B347" s="131"/>
      <c r="C347" s="132"/>
      <c r="D347" s="94"/>
      <c r="E347" s="132"/>
      <c r="F347" s="132"/>
      <c r="G347" s="94"/>
      <c r="H347" s="132"/>
      <c r="I347" s="94"/>
      <c r="J347" s="94"/>
      <c r="K347" s="125"/>
      <c r="L347" s="125"/>
      <c r="M347" s="99"/>
      <c r="N347" s="111"/>
      <c r="O347" s="112"/>
      <c r="P347" s="94"/>
      <c r="Q347" s="120"/>
      <c r="R347" s="113"/>
      <c r="S347" s="94"/>
      <c r="T347" s="94"/>
      <c r="V347" s="104"/>
    </row>
    <row r="348" ht="15.75" customHeight="1">
      <c r="A348" s="91"/>
      <c r="B348" s="131"/>
      <c r="C348" s="132"/>
      <c r="D348" s="94"/>
      <c r="E348" s="132"/>
      <c r="F348" s="132"/>
      <c r="G348" s="94"/>
      <c r="H348" s="132"/>
      <c r="I348" s="94"/>
      <c r="J348" s="94"/>
      <c r="K348" s="126"/>
      <c r="L348" s="126"/>
      <c r="M348" s="99"/>
      <c r="N348" s="111"/>
      <c r="O348" s="112"/>
      <c r="P348" s="94"/>
      <c r="Q348" s="120"/>
      <c r="R348" s="113"/>
      <c r="S348" s="94"/>
      <c r="T348" s="94"/>
      <c r="V348" s="104"/>
    </row>
    <row r="349" ht="15.75" customHeight="1">
      <c r="A349" s="91"/>
      <c r="B349" s="131"/>
      <c r="C349" s="104"/>
      <c r="D349" s="94"/>
      <c r="E349" s="132"/>
      <c r="F349" s="132"/>
      <c r="G349" s="94"/>
      <c r="H349" s="132"/>
      <c r="I349" s="94"/>
      <c r="J349" s="94"/>
      <c r="K349" s="125"/>
      <c r="L349" s="125"/>
      <c r="M349" s="99"/>
      <c r="N349" s="111"/>
      <c r="O349" s="112"/>
      <c r="P349" s="94"/>
      <c r="Q349" s="120"/>
      <c r="R349" s="113"/>
      <c r="S349" s="94"/>
      <c r="T349" s="94"/>
      <c r="V349" s="104"/>
    </row>
    <row r="350" ht="15.75" customHeight="1">
      <c r="A350" s="91"/>
      <c r="B350" s="131"/>
      <c r="C350" s="132"/>
      <c r="D350" s="94"/>
      <c r="E350" s="132"/>
      <c r="F350" s="132"/>
      <c r="G350" s="94"/>
      <c r="H350" s="132"/>
      <c r="I350" s="94"/>
      <c r="J350" s="94"/>
      <c r="K350" s="126"/>
      <c r="L350" s="126"/>
      <c r="M350" s="99"/>
      <c r="N350" s="111"/>
      <c r="O350" s="112"/>
      <c r="P350" s="94"/>
      <c r="Q350" s="120"/>
      <c r="R350" s="113"/>
      <c r="S350" s="94"/>
      <c r="T350" s="94"/>
      <c r="V350" s="104"/>
    </row>
    <row r="351" ht="15.75" customHeight="1">
      <c r="A351" s="91"/>
      <c r="B351" s="131"/>
      <c r="C351" s="132"/>
      <c r="D351" s="94"/>
      <c r="E351" s="132"/>
      <c r="F351" s="132"/>
      <c r="G351" s="94"/>
      <c r="H351" s="132"/>
      <c r="I351" s="94"/>
      <c r="J351" s="94"/>
      <c r="K351" s="125"/>
      <c r="L351" s="125"/>
      <c r="M351" s="99"/>
      <c r="N351" s="111"/>
      <c r="O351" s="112"/>
      <c r="P351" s="94"/>
      <c r="Q351" s="120"/>
      <c r="R351" s="113"/>
      <c r="S351" s="94"/>
      <c r="T351" s="94"/>
      <c r="V351" s="104"/>
    </row>
    <row r="352" ht="15.75" customHeight="1">
      <c r="A352" s="91"/>
      <c r="B352" s="131"/>
      <c r="C352" s="132"/>
      <c r="D352" s="94"/>
      <c r="E352" s="132"/>
      <c r="F352" s="132"/>
      <c r="G352" s="94"/>
      <c r="H352" s="132"/>
      <c r="I352" s="94"/>
      <c r="J352" s="94"/>
      <c r="K352" s="135"/>
      <c r="L352" s="135"/>
      <c r="M352" s="99"/>
      <c r="N352" s="111"/>
      <c r="O352" s="112"/>
      <c r="P352" s="94"/>
      <c r="Q352" s="120"/>
      <c r="R352" s="113"/>
      <c r="S352" s="94"/>
      <c r="T352" s="94"/>
      <c r="V352" s="104"/>
    </row>
    <row r="353" ht="15.75" customHeight="1">
      <c r="A353" s="91"/>
      <c r="B353" s="131"/>
      <c r="C353" s="132"/>
      <c r="D353" s="94"/>
      <c r="E353" s="132"/>
      <c r="F353" s="132"/>
      <c r="G353" s="94"/>
      <c r="H353" s="132"/>
      <c r="I353" s="94"/>
      <c r="J353" s="94"/>
      <c r="K353" s="135"/>
      <c r="L353" s="135"/>
      <c r="M353" s="99"/>
      <c r="N353" s="111"/>
      <c r="O353" s="112"/>
      <c r="P353" s="94"/>
      <c r="Q353" s="120"/>
      <c r="R353" s="113"/>
      <c r="S353" s="94"/>
      <c r="T353" s="94"/>
      <c r="V353" s="104"/>
    </row>
    <row r="354" ht="15.75" customHeight="1">
      <c r="A354" s="91"/>
      <c r="B354" s="131"/>
      <c r="C354" s="132"/>
      <c r="D354" s="94"/>
      <c r="E354" s="132"/>
      <c r="F354" s="132"/>
      <c r="G354" s="94"/>
      <c r="H354" s="132"/>
      <c r="I354" s="94"/>
      <c r="J354" s="94"/>
      <c r="K354" s="135"/>
      <c r="L354" s="135"/>
      <c r="M354" s="99"/>
      <c r="N354" s="111"/>
      <c r="O354" s="112"/>
      <c r="P354" s="94"/>
      <c r="Q354" s="120"/>
      <c r="R354" s="113"/>
      <c r="S354" s="94"/>
      <c r="T354" s="94"/>
      <c r="V354" s="104"/>
    </row>
    <row r="355" ht="15.75" customHeight="1">
      <c r="A355" s="91"/>
      <c r="B355" s="131"/>
      <c r="C355" s="104"/>
      <c r="D355" s="94"/>
      <c r="E355" s="132"/>
      <c r="F355" s="132"/>
      <c r="G355" s="94"/>
      <c r="H355" s="132"/>
      <c r="I355" s="94"/>
      <c r="J355" s="94"/>
      <c r="K355" s="135"/>
      <c r="L355" s="135"/>
      <c r="M355" s="99"/>
      <c r="N355" s="111"/>
      <c r="O355" s="112"/>
      <c r="P355" s="94"/>
      <c r="Q355" s="120"/>
      <c r="R355" s="113"/>
      <c r="S355" s="94"/>
      <c r="T355" s="94"/>
      <c r="V355" s="104"/>
    </row>
    <row r="356" ht="15.75" customHeight="1">
      <c r="A356" s="91"/>
      <c r="B356" s="131"/>
      <c r="C356" s="132"/>
      <c r="D356" s="94"/>
      <c r="E356" s="132"/>
      <c r="F356" s="132"/>
      <c r="G356" s="94"/>
      <c r="H356" s="132"/>
      <c r="I356" s="94"/>
      <c r="J356" s="94"/>
      <c r="K356" s="135"/>
      <c r="L356" s="135"/>
      <c r="M356" s="99"/>
      <c r="N356" s="111"/>
      <c r="O356" s="112"/>
      <c r="P356" s="94"/>
      <c r="Q356" s="120"/>
      <c r="R356" s="113"/>
      <c r="S356" s="94"/>
      <c r="T356" s="94"/>
      <c r="V356" s="104"/>
    </row>
    <row r="357" ht="15.75" customHeight="1">
      <c r="A357" s="91"/>
      <c r="B357" s="131"/>
      <c r="C357" s="132"/>
      <c r="D357" s="94"/>
      <c r="E357" s="132"/>
      <c r="F357" s="132"/>
      <c r="G357" s="94"/>
      <c r="H357" s="132"/>
      <c r="I357" s="94"/>
      <c r="J357" s="94"/>
      <c r="K357" s="135"/>
      <c r="L357" s="135"/>
      <c r="M357" s="99"/>
      <c r="N357" s="111"/>
      <c r="O357" s="112"/>
      <c r="P357" s="94"/>
      <c r="Q357" s="120"/>
      <c r="R357" s="113"/>
      <c r="S357" s="94"/>
      <c r="T357" s="94"/>
      <c r="V357" s="104"/>
    </row>
    <row r="358" ht="15.75" customHeight="1">
      <c r="A358" s="91"/>
      <c r="B358" s="131"/>
      <c r="C358" s="132"/>
      <c r="D358" s="94"/>
      <c r="E358" s="132"/>
      <c r="F358" s="132"/>
      <c r="G358" s="94"/>
      <c r="H358" s="132"/>
      <c r="I358" s="94"/>
      <c r="J358" s="94"/>
      <c r="K358" s="135"/>
      <c r="L358" s="135"/>
      <c r="M358" s="99"/>
      <c r="N358" s="111"/>
      <c r="O358" s="112"/>
      <c r="P358" s="94"/>
      <c r="Q358" s="120"/>
      <c r="R358" s="113"/>
      <c r="S358" s="94"/>
      <c r="T358" s="94"/>
      <c r="V358" s="104"/>
    </row>
    <row r="359" ht="15.75" customHeight="1">
      <c r="A359" s="91"/>
      <c r="B359" s="131"/>
      <c r="C359" s="132"/>
      <c r="D359" s="94"/>
      <c r="E359" s="132"/>
      <c r="F359" s="132"/>
      <c r="G359" s="94"/>
      <c r="H359" s="132"/>
      <c r="I359" s="94"/>
      <c r="J359" s="94"/>
      <c r="K359" s="135"/>
      <c r="L359" s="135"/>
      <c r="M359" s="99"/>
      <c r="N359" s="111"/>
      <c r="O359" s="112"/>
      <c r="P359" s="94"/>
      <c r="Q359" s="120"/>
      <c r="R359" s="113"/>
      <c r="S359" s="94"/>
      <c r="T359" s="94"/>
      <c r="V359" s="104"/>
    </row>
    <row r="360" ht="15.75" customHeight="1">
      <c r="A360" s="91"/>
      <c r="B360" s="131"/>
      <c r="C360" s="132"/>
      <c r="D360" s="94"/>
      <c r="E360" s="132"/>
      <c r="F360" s="132"/>
      <c r="G360" s="94"/>
      <c r="H360" s="132"/>
      <c r="I360" s="94"/>
      <c r="J360" s="94"/>
      <c r="K360" s="135"/>
      <c r="L360" s="135"/>
      <c r="M360" s="99"/>
      <c r="N360" s="111"/>
      <c r="O360" s="112"/>
      <c r="P360" s="94"/>
      <c r="Q360" s="120"/>
      <c r="R360" s="113"/>
      <c r="S360" s="94"/>
      <c r="T360" s="94"/>
      <c r="V360" s="104"/>
    </row>
    <row r="361" ht="15.75" customHeight="1">
      <c r="A361" s="91"/>
      <c r="B361" s="131"/>
      <c r="C361" s="104"/>
      <c r="D361" s="94"/>
      <c r="E361" s="132"/>
      <c r="F361" s="132"/>
      <c r="G361" s="94"/>
      <c r="H361" s="132"/>
      <c r="I361" s="94"/>
      <c r="J361" s="94"/>
      <c r="K361" s="135"/>
      <c r="L361" s="135"/>
      <c r="M361" s="99"/>
      <c r="N361" s="111"/>
      <c r="O361" s="112"/>
      <c r="P361" s="94"/>
      <c r="Q361" s="120"/>
      <c r="R361" s="113"/>
      <c r="S361" s="94"/>
      <c r="T361" s="94"/>
      <c r="V361" s="104"/>
    </row>
    <row r="362" ht="15.75" customHeight="1">
      <c r="A362" s="91"/>
      <c r="B362" s="131"/>
      <c r="C362" s="132"/>
      <c r="D362" s="94"/>
      <c r="E362" s="132"/>
      <c r="F362" s="132"/>
      <c r="G362" s="94"/>
      <c r="H362" s="132"/>
      <c r="I362" s="94"/>
      <c r="J362" s="94"/>
      <c r="K362" s="135"/>
      <c r="L362" s="135"/>
      <c r="M362" s="99"/>
      <c r="N362" s="111"/>
      <c r="O362" s="112"/>
      <c r="P362" s="94"/>
      <c r="Q362" s="120"/>
      <c r="R362" s="113"/>
      <c r="S362" s="94"/>
      <c r="T362" s="94"/>
      <c r="V362" s="104"/>
    </row>
    <row r="363" ht="15.75" customHeight="1">
      <c r="A363" s="91"/>
      <c r="B363" s="131"/>
      <c r="C363" s="132"/>
      <c r="D363" s="94"/>
      <c r="E363" s="132"/>
      <c r="F363" s="132"/>
      <c r="G363" s="94"/>
      <c r="H363" s="132"/>
      <c r="I363" s="94"/>
      <c r="J363" s="94"/>
      <c r="K363" s="135"/>
      <c r="L363" s="135"/>
      <c r="M363" s="99"/>
      <c r="N363" s="111"/>
      <c r="O363" s="112"/>
      <c r="P363" s="94"/>
      <c r="Q363" s="120"/>
      <c r="R363" s="113"/>
      <c r="S363" s="94"/>
      <c r="T363" s="94"/>
      <c r="V363" s="104"/>
    </row>
    <row r="364" ht="15.75" customHeight="1">
      <c r="A364" s="91"/>
      <c r="B364" s="131"/>
      <c r="C364" s="132"/>
      <c r="D364" s="94"/>
      <c r="E364" s="132"/>
      <c r="F364" s="132"/>
      <c r="G364" s="94"/>
      <c r="H364" s="132"/>
      <c r="I364" s="94"/>
      <c r="J364" s="94"/>
      <c r="K364" s="135"/>
      <c r="L364" s="135"/>
      <c r="M364" s="99"/>
      <c r="N364" s="111"/>
      <c r="O364" s="112"/>
      <c r="P364" s="94"/>
      <c r="Q364" s="120"/>
      <c r="R364" s="113"/>
      <c r="S364" s="94"/>
      <c r="T364" s="94"/>
      <c r="V364" s="104"/>
    </row>
    <row r="365" ht="15.75" customHeight="1">
      <c r="A365" s="91"/>
      <c r="B365" s="131"/>
      <c r="C365" s="132"/>
      <c r="D365" s="94"/>
      <c r="E365" s="132"/>
      <c r="F365" s="132"/>
      <c r="G365" s="94"/>
      <c r="H365" s="132"/>
      <c r="I365" s="94"/>
      <c r="J365" s="94"/>
      <c r="K365" s="135"/>
      <c r="L365" s="135"/>
      <c r="M365" s="99"/>
      <c r="N365" s="111"/>
      <c r="O365" s="112"/>
      <c r="P365" s="94"/>
      <c r="Q365" s="120"/>
      <c r="R365" s="113"/>
      <c r="S365" s="94"/>
      <c r="T365" s="94"/>
      <c r="V365" s="104"/>
    </row>
    <row r="366" ht="15.75" customHeight="1">
      <c r="A366" s="91"/>
      <c r="B366" s="131"/>
      <c r="C366" s="132"/>
      <c r="D366" s="94"/>
      <c r="E366" s="132"/>
      <c r="F366" s="132"/>
      <c r="G366" s="94"/>
      <c r="H366" s="132"/>
      <c r="I366" s="94"/>
      <c r="J366" s="94"/>
      <c r="K366" s="135"/>
      <c r="L366" s="135"/>
      <c r="M366" s="99"/>
      <c r="N366" s="111"/>
      <c r="O366" s="112"/>
      <c r="P366" s="94"/>
      <c r="Q366" s="120"/>
      <c r="R366" s="113"/>
      <c r="S366" s="94"/>
      <c r="T366" s="94"/>
      <c r="V366" s="104"/>
    </row>
    <row r="367" ht="15.75" customHeight="1">
      <c r="A367" s="91"/>
      <c r="B367" s="131"/>
      <c r="C367" s="104"/>
      <c r="D367" s="94"/>
      <c r="E367" s="132"/>
      <c r="F367" s="132"/>
      <c r="G367" s="94"/>
      <c r="H367" s="132"/>
      <c r="I367" s="94"/>
      <c r="J367" s="94"/>
      <c r="K367" s="135"/>
      <c r="L367" s="135"/>
      <c r="M367" s="99"/>
      <c r="N367" s="111"/>
      <c r="O367" s="112"/>
      <c r="P367" s="94"/>
      <c r="Q367" s="120"/>
      <c r="R367" s="113"/>
      <c r="S367" s="94"/>
      <c r="T367" s="94"/>
      <c r="V367" s="104"/>
    </row>
    <row r="368" ht="15.75" customHeight="1">
      <c r="A368" s="91"/>
      <c r="B368" s="131"/>
      <c r="C368" s="132"/>
      <c r="D368" s="94"/>
      <c r="E368" s="132"/>
      <c r="F368" s="132"/>
      <c r="G368" s="94"/>
      <c r="H368" s="132"/>
      <c r="I368" s="94"/>
      <c r="J368" s="94"/>
      <c r="K368" s="135"/>
      <c r="L368" s="135"/>
      <c r="M368" s="99"/>
      <c r="N368" s="111"/>
      <c r="O368" s="112"/>
      <c r="P368" s="94"/>
      <c r="Q368" s="120"/>
      <c r="R368" s="113"/>
      <c r="S368" s="94"/>
      <c r="T368" s="94"/>
      <c r="V368" s="104"/>
    </row>
    <row r="369" ht="15.75" customHeight="1">
      <c r="A369" s="91"/>
      <c r="B369" s="131"/>
      <c r="C369" s="132"/>
      <c r="D369" s="94"/>
      <c r="E369" s="132"/>
      <c r="F369" s="132"/>
      <c r="G369" s="94"/>
      <c r="H369" s="132"/>
      <c r="I369" s="94"/>
      <c r="J369" s="94"/>
      <c r="K369" s="135"/>
      <c r="L369" s="135"/>
      <c r="M369" s="99"/>
      <c r="N369" s="111"/>
      <c r="O369" s="112"/>
      <c r="P369" s="94"/>
      <c r="Q369" s="120"/>
      <c r="R369" s="113"/>
      <c r="S369" s="94"/>
      <c r="T369" s="94"/>
      <c r="V369" s="104"/>
    </row>
    <row r="370" ht="15.75" customHeight="1">
      <c r="A370" s="91"/>
      <c r="B370" s="131"/>
      <c r="C370" s="132"/>
      <c r="D370" s="94"/>
      <c r="E370" s="132"/>
      <c r="F370" s="132"/>
      <c r="G370" s="94"/>
      <c r="H370" s="132"/>
      <c r="I370" s="94"/>
      <c r="J370" s="94"/>
      <c r="K370" s="135"/>
      <c r="L370" s="135"/>
      <c r="M370" s="99"/>
      <c r="N370" s="111"/>
      <c r="O370" s="112"/>
      <c r="P370" s="94"/>
      <c r="Q370" s="120"/>
      <c r="R370" s="113"/>
      <c r="S370" s="94"/>
      <c r="T370" s="94"/>
      <c r="V370" s="104"/>
    </row>
    <row r="371" ht="15.75" customHeight="1">
      <c r="A371" s="91"/>
      <c r="B371" s="131"/>
      <c r="C371" s="132"/>
      <c r="D371" s="94"/>
      <c r="E371" s="132"/>
      <c r="F371" s="132"/>
      <c r="G371" s="94"/>
      <c r="H371" s="132"/>
      <c r="I371" s="94"/>
      <c r="J371" s="94"/>
      <c r="K371" s="135"/>
      <c r="L371" s="135"/>
      <c r="M371" s="99"/>
      <c r="N371" s="111"/>
      <c r="O371" s="112"/>
      <c r="P371" s="94"/>
      <c r="Q371" s="120"/>
      <c r="R371" s="113"/>
      <c r="S371" s="94"/>
      <c r="T371" s="94"/>
      <c r="V371" s="104"/>
    </row>
    <row r="372" ht="15.75" customHeight="1">
      <c r="A372" s="91"/>
      <c r="B372" s="131"/>
      <c r="C372" s="132"/>
      <c r="D372" s="94"/>
      <c r="E372" s="132"/>
      <c r="F372" s="132"/>
      <c r="G372" s="94"/>
      <c r="H372" s="132"/>
      <c r="I372" s="94"/>
      <c r="J372" s="94"/>
      <c r="K372" s="135"/>
      <c r="L372" s="135"/>
      <c r="M372" s="99"/>
      <c r="N372" s="111"/>
      <c r="O372" s="112"/>
      <c r="P372" s="94"/>
      <c r="Q372" s="120"/>
      <c r="R372" s="113"/>
      <c r="S372" s="94"/>
      <c r="T372" s="94"/>
      <c r="V372" s="104"/>
    </row>
    <row r="373" ht="15.75" customHeight="1">
      <c r="A373" s="91"/>
      <c r="B373" s="131"/>
      <c r="C373" s="104"/>
      <c r="D373" s="94"/>
      <c r="E373" s="132"/>
      <c r="F373" s="132"/>
      <c r="G373" s="94"/>
      <c r="H373" s="132"/>
      <c r="I373" s="94"/>
      <c r="J373" s="94"/>
      <c r="K373" s="135"/>
      <c r="L373" s="135"/>
      <c r="M373" s="99"/>
      <c r="N373" s="111"/>
      <c r="O373" s="112"/>
      <c r="P373" s="94"/>
      <c r="Q373" s="120"/>
      <c r="R373" s="113"/>
      <c r="S373" s="94"/>
      <c r="T373" s="94"/>
      <c r="V373" s="104"/>
    </row>
    <row r="374" ht="15.75" customHeight="1">
      <c r="A374" s="91"/>
      <c r="B374" s="131"/>
      <c r="C374" s="132"/>
      <c r="D374" s="94"/>
      <c r="E374" s="132"/>
      <c r="F374" s="132"/>
      <c r="G374" s="94"/>
      <c r="H374" s="132"/>
      <c r="I374" s="94"/>
      <c r="J374" s="94"/>
      <c r="K374" s="135"/>
      <c r="L374" s="135"/>
      <c r="M374" s="99"/>
      <c r="N374" s="111"/>
      <c r="O374" s="112"/>
      <c r="P374" s="94"/>
      <c r="Q374" s="120"/>
      <c r="R374" s="113"/>
      <c r="S374" s="94"/>
      <c r="T374" s="94"/>
      <c r="V374" s="104"/>
    </row>
    <row r="375" ht="15.75" customHeight="1">
      <c r="A375" s="91"/>
      <c r="B375" s="131"/>
      <c r="C375" s="132"/>
      <c r="D375" s="94"/>
      <c r="E375" s="132"/>
      <c r="F375" s="132"/>
      <c r="G375" s="94"/>
      <c r="H375" s="132"/>
      <c r="I375" s="94"/>
      <c r="J375" s="94"/>
      <c r="K375" s="135"/>
      <c r="L375" s="135"/>
      <c r="M375" s="99"/>
      <c r="N375" s="111"/>
      <c r="O375" s="112"/>
      <c r="P375" s="94"/>
      <c r="Q375" s="120"/>
      <c r="R375" s="113"/>
      <c r="S375" s="94"/>
      <c r="T375" s="94"/>
      <c r="V375" s="104"/>
    </row>
    <row r="376" ht="15.75" customHeight="1">
      <c r="A376" s="91"/>
      <c r="B376" s="131"/>
      <c r="C376" s="132"/>
      <c r="D376" s="94"/>
      <c r="E376" s="132"/>
      <c r="F376" s="132"/>
      <c r="G376" s="94"/>
      <c r="H376" s="132"/>
      <c r="I376" s="94"/>
      <c r="J376" s="94"/>
      <c r="K376" s="135"/>
      <c r="L376" s="135"/>
      <c r="M376" s="99"/>
      <c r="N376" s="111"/>
      <c r="O376" s="112"/>
      <c r="P376" s="94"/>
      <c r="Q376" s="120"/>
      <c r="R376" s="113"/>
      <c r="S376" s="94"/>
      <c r="T376" s="94"/>
      <c r="V376" s="104"/>
    </row>
    <row r="377" ht="15.75" customHeight="1">
      <c r="A377" s="91"/>
      <c r="B377" s="131"/>
      <c r="C377" s="132"/>
      <c r="D377" s="94"/>
      <c r="E377" s="132"/>
      <c r="F377" s="132"/>
      <c r="G377" s="94"/>
      <c r="H377" s="132"/>
      <c r="I377" s="94"/>
      <c r="J377" s="94"/>
      <c r="K377" s="135"/>
      <c r="L377" s="135"/>
      <c r="M377" s="99"/>
      <c r="N377" s="111"/>
      <c r="O377" s="112"/>
      <c r="P377" s="94"/>
      <c r="Q377" s="120"/>
      <c r="R377" s="113"/>
      <c r="S377" s="94"/>
      <c r="T377" s="94"/>
      <c r="V377" s="104"/>
    </row>
    <row r="378" ht="15.75" customHeight="1">
      <c r="A378" s="91"/>
      <c r="B378" s="131"/>
      <c r="C378" s="132"/>
      <c r="D378" s="94"/>
      <c r="E378" s="132"/>
      <c r="F378" s="132"/>
      <c r="G378" s="94"/>
      <c r="H378" s="132"/>
      <c r="I378" s="94"/>
      <c r="J378" s="94"/>
      <c r="K378" s="135"/>
      <c r="L378" s="135"/>
      <c r="M378" s="99"/>
      <c r="N378" s="111"/>
      <c r="O378" s="112"/>
      <c r="P378" s="94"/>
      <c r="Q378" s="120"/>
      <c r="R378" s="113"/>
      <c r="S378" s="94"/>
      <c r="T378" s="94"/>
      <c r="V378" s="104"/>
    </row>
    <row r="379" ht="15.75" customHeight="1">
      <c r="A379" s="91"/>
      <c r="B379" s="131"/>
      <c r="C379" s="104"/>
      <c r="D379" s="94"/>
      <c r="E379" s="132"/>
      <c r="F379" s="132"/>
      <c r="G379" s="94"/>
      <c r="H379" s="132"/>
      <c r="I379" s="94"/>
      <c r="J379" s="94"/>
      <c r="K379" s="135"/>
      <c r="L379" s="135"/>
      <c r="M379" s="99"/>
      <c r="N379" s="111"/>
      <c r="O379" s="112"/>
      <c r="P379" s="94"/>
      <c r="Q379" s="120"/>
      <c r="R379" s="113"/>
      <c r="S379" s="94"/>
      <c r="T379" s="94"/>
      <c r="V379" s="104"/>
    </row>
    <row r="380" ht="15.75" customHeight="1">
      <c r="A380" s="91"/>
      <c r="B380" s="131"/>
      <c r="C380" s="132"/>
      <c r="D380" s="94"/>
      <c r="E380" s="132"/>
      <c r="F380" s="132"/>
      <c r="G380" s="94"/>
      <c r="H380" s="132"/>
      <c r="I380" s="94"/>
      <c r="J380" s="94"/>
      <c r="K380" s="135"/>
      <c r="L380" s="135"/>
      <c r="M380" s="99"/>
      <c r="N380" s="111"/>
      <c r="O380" s="112"/>
      <c r="P380" s="94"/>
      <c r="Q380" s="120"/>
      <c r="R380" s="113"/>
      <c r="S380" s="94"/>
      <c r="T380" s="94"/>
      <c r="V380" s="104"/>
    </row>
    <row r="381" ht="15.75" customHeight="1">
      <c r="A381" s="91"/>
      <c r="B381" s="131"/>
      <c r="C381" s="132"/>
      <c r="D381" s="94"/>
      <c r="E381" s="132"/>
      <c r="F381" s="132"/>
      <c r="G381" s="94"/>
      <c r="H381" s="132"/>
      <c r="I381" s="94"/>
      <c r="J381" s="94"/>
      <c r="K381" s="135"/>
      <c r="L381" s="135"/>
      <c r="M381" s="99"/>
      <c r="N381" s="111"/>
      <c r="O381" s="112"/>
      <c r="P381" s="94"/>
      <c r="Q381" s="120"/>
      <c r="R381" s="113"/>
      <c r="S381" s="94"/>
      <c r="T381" s="94"/>
      <c r="V381" s="104"/>
    </row>
    <row r="382" ht="15.75" customHeight="1">
      <c r="A382" s="91"/>
      <c r="B382" s="131"/>
      <c r="C382" s="132"/>
      <c r="D382" s="94"/>
      <c r="E382" s="132"/>
      <c r="F382" s="132"/>
      <c r="G382" s="94"/>
      <c r="H382" s="132"/>
      <c r="I382" s="94"/>
      <c r="J382" s="94"/>
      <c r="K382" s="135"/>
      <c r="L382" s="135"/>
      <c r="M382" s="99"/>
      <c r="N382" s="111"/>
      <c r="O382" s="112"/>
      <c r="P382" s="94"/>
      <c r="Q382" s="120"/>
      <c r="R382" s="113"/>
      <c r="S382" s="94"/>
      <c r="T382" s="94"/>
      <c r="V382" s="104"/>
    </row>
    <row r="383" ht="15.75" customHeight="1">
      <c r="A383" s="91"/>
      <c r="B383" s="131"/>
      <c r="C383" s="132"/>
      <c r="D383" s="94"/>
      <c r="E383" s="132"/>
      <c r="F383" s="132"/>
      <c r="G383" s="94"/>
      <c r="H383" s="132"/>
      <c r="I383" s="94"/>
      <c r="J383" s="94"/>
      <c r="K383" s="135"/>
      <c r="L383" s="135"/>
      <c r="M383" s="99"/>
      <c r="N383" s="111"/>
      <c r="O383" s="112"/>
      <c r="P383" s="94"/>
      <c r="Q383" s="120"/>
      <c r="R383" s="113"/>
      <c r="S383" s="94"/>
      <c r="T383" s="94"/>
      <c r="V383" s="104"/>
    </row>
    <row r="384" ht="15.75" customHeight="1">
      <c r="A384" s="91"/>
      <c r="B384" s="131"/>
      <c r="C384" s="132"/>
      <c r="D384" s="94"/>
      <c r="E384" s="132"/>
      <c r="F384" s="132"/>
      <c r="G384" s="94"/>
      <c r="H384" s="132"/>
      <c r="I384" s="94"/>
      <c r="J384" s="94"/>
      <c r="K384" s="135"/>
      <c r="L384" s="135"/>
      <c r="M384" s="99"/>
      <c r="N384" s="111"/>
      <c r="O384" s="112"/>
      <c r="P384" s="94"/>
      <c r="Q384" s="120"/>
      <c r="R384" s="113"/>
      <c r="S384" s="94"/>
      <c r="T384" s="94"/>
      <c r="V384" s="104"/>
    </row>
  </sheetData>
  <autoFilter ref="$A$12:$V$127"/>
  <customSheetViews>
    <customSheetView guid="{FE509773-0638-41EB-A036-A8EE905B9B6D}" filter="1" showAutoFilter="1">
      <autoFilter ref="$R$43:$R$44"/>
    </customSheetView>
  </customSheetViews>
  <mergeCells count="372">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5:U55"/>
    <mergeCell ref="T56:U56"/>
    <mergeCell ref="T57:U57"/>
    <mergeCell ref="T58:U58"/>
    <mergeCell ref="T59:U59"/>
    <mergeCell ref="T60:U60"/>
    <mergeCell ref="T61:U61"/>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56:U356"/>
    <mergeCell ref="T357:U357"/>
    <mergeCell ref="T358:U358"/>
    <mergeCell ref="T359:U359"/>
    <mergeCell ref="T360:U360"/>
    <mergeCell ref="T361:U361"/>
    <mergeCell ref="T362:U362"/>
    <mergeCell ref="T363:U363"/>
    <mergeCell ref="T364:U364"/>
    <mergeCell ref="T365:U365"/>
    <mergeCell ref="T366:U366"/>
    <mergeCell ref="T367:U367"/>
    <mergeCell ref="T368:U368"/>
    <mergeCell ref="T369:U369"/>
    <mergeCell ref="T377:U377"/>
    <mergeCell ref="T378:U378"/>
    <mergeCell ref="T379:U379"/>
    <mergeCell ref="T380:U380"/>
    <mergeCell ref="T381:U381"/>
    <mergeCell ref="T382:U382"/>
    <mergeCell ref="T383:U383"/>
    <mergeCell ref="T384:U384"/>
    <mergeCell ref="T370:U370"/>
    <mergeCell ref="T371:U371"/>
    <mergeCell ref="T372:U372"/>
    <mergeCell ref="T373:U373"/>
    <mergeCell ref="T374:U374"/>
    <mergeCell ref="T375:U375"/>
    <mergeCell ref="T376:U37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 ref="T352:U352"/>
    <mergeCell ref="T353:U353"/>
    <mergeCell ref="T354:U354"/>
    <mergeCell ref="T355:U355"/>
  </mergeCells>
  <dataValidations>
    <dataValidation type="list" allowBlank="1" showErrorMessage="1" sqref="N13:N384">
      <formula1>"Think About It,Money,Partner,Time,Fear,Value"</formula1>
    </dataValidation>
    <dataValidation type="list" allowBlank="1" showErrorMessage="1" sqref="I13:J14 I15:I33 I34:J59 I60 I61:J108 I109:I110 I111:J126 I127:I133 I134:J384">
      <formula1>"Full-Pay,Split-Pay,Deposit,Offer &amp; Didn't Buy,Bad Fit &amp; No Offer,Drag Over &amp; Show,Rescheduled,Cancelled,No-Show"</formula1>
    </dataValidation>
    <dataValidation type="list" allowBlank="1" showErrorMessage="1" sqref="S13:S384">
      <formula1>"Closed,Follow Up,Hot Follow Up,Deposit (Follow Up Set),Follow Up Set,X"</formula1>
    </dataValidation>
    <dataValidation type="list" allowBlank="1" showErrorMessage="1" sqref="J15:J33 J60">
      <formula1>"Full-Pay,Split-Pay,Deposit,Offer &amp; Didn't Buy,Bad Fit &amp; No Offer,Drag Over &amp; Show,Rescheduled,Cancelled,No-Show"</formula1>
    </dataValidation>
    <dataValidation type="list" allowBlank="1" sqref="H13:H384">
      <formula1>"IG,Setter,Ads,Email,Facebook,Facebook Ads"</formula1>
    </dataValidation>
  </dataValidations>
  <hyperlinks>
    <hyperlink r:id="rId2" ref="F112"/>
  </hyperlinks>
  <drawing r:id="rId3"/>
  <legacy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0.38"/>
    <col customWidth="1" min="3" max="3" width="13.38"/>
    <col customWidth="1" min="4" max="4" width="0.38"/>
    <col customWidth="1" min="5" max="5" width="15.13"/>
    <col customWidth="1" min="6" max="6" width="16.38"/>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t="s">
        <v>1300</v>
      </c>
      <c r="B1" s="6" t="s">
        <v>31</v>
      </c>
      <c r="C1" s="6" t="s">
        <v>32</v>
      </c>
      <c r="D1" s="39"/>
      <c r="E1" s="226" t="s">
        <v>1714</v>
      </c>
      <c r="F1" s="39"/>
      <c r="H1" s="40" t="s">
        <v>33</v>
      </c>
      <c r="I1" s="41"/>
      <c r="J1" s="39"/>
      <c r="K1" s="40" t="s">
        <v>34</v>
      </c>
      <c r="L1" s="41"/>
      <c r="M1" s="13"/>
      <c r="N1" s="42" t="s">
        <v>35</v>
      </c>
      <c r="O1" s="43"/>
      <c r="P1" s="13"/>
      <c r="Q1" s="40" t="s">
        <v>36</v>
      </c>
      <c r="R1" s="44"/>
      <c r="S1" s="39"/>
      <c r="T1" s="40" t="s">
        <v>37</v>
      </c>
      <c r="U1" s="45"/>
      <c r="V1" s="39"/>
    </row>
    <row r="2">
      <c r="A2" s="39"/>
      <c r="B2" s="41"/>
      <c r="C2" s="41"/>
      <c r="D2" s="13"/>
      <c r="E2" s="227" t="s">
        <v>1715</v>
      </c>
      <c r="F2" s="228">
        <f>C3/C6</f>
        <v>2922.077922</v>
      </c>
      <c r="H2" s="46" t="s">
        <v>26</v>
      </c>
      <c r="I2" s="47">
        <f>IFERROR(COUNTIFS(I13:I311, "Full-Pay"),"")</f>
        <v>11</v>
      </c>
      <c r="J2" s="13"/>
      <c r="K2" s="48" t="s">
        <v>16</v>
      </c>
      <c r="L2" s="49">
        <f>iferror(L10/L8,"")</f>
        <v>0.3246753247</v>
      </c>
      <c r="M2" s="12"/>
      <c r="N2" s="50" t="s">
        <v>39</v>
      </c>
      <c r="O2" s="51">
        <f>iferror(I8/L6,"")</f>
        <v>0</v>
      </c>
      <c r="P2" s="12"/>
      <c r="Q2" s="52" t="s">
        <v>40</v>
      </c>
      <c r="R2" s="53">
        <f>IFERROR(COUNTIFS(N35:N310, "think about it"),"")</f>
        <v>9</v>
      </c>
      <c r="S2" s="13"/>
      <c r="T2" s="54" t="s">
        <v>41</v>
      </c>
      <c r="U2" s="55">
        <f>IFERROR(COUNTIF(H35:H310,"setter"),"")</f>
        <v>0</v>
      </c>
      <c r="V2" s="58"/>
    </row>
    <row r="3">
      <c r="A3" s="13"/>
      <c r="B3" s="59" t="s">
        <v>43</v>
      </c>
      <c r="C3" s="60">
        <f>IFERROR(SUM(K13:K307),"")</f>
        <v>225000</v>
      </c>
      <c r="D3" s="61"/>
      <c r="E3" s="229" t="s">
        <v>1716</v>
      </c>
      <c r="F3" s="230">
        <f>C4/C6</f>
        <v>1525.974026</v>
      </c>
      <c r="H3" s="46" t="s">
        <v>27</v>
      </c>
      <c r="I3" s="47">
        <f>IFERROR(COUNTIFS(I13:I311, "Split-Pay"),"")</f>
        <v>14</v>
      </c>
      <c r="J3" s="13"/>
      <c r="K3" s="48" t="s">
        <v>17</v>
      </c>
      <c r="L3" s="49">
        <f>IFERROR(L10/L9,"")</f>
        <v>0.3424657534</v>
      </c>
      <c r="M3" s="12"/>
      <c r="N3" s="50" t="s">
        <v>44</v>
      </c>
      <c r="O3" s="51">
        <f>iferror(I9/L6,"")</f>
        <v>0.06</v>
      </c>
      <c r="P3" s="12"/>
      <c r="Q3" s="52" t="s">
        <v>45</v>
      </c>
      <c r="R3" s="62">
        <f>IFERROR(COUNTIFS(N35:N310, "money"),"")</f>
        <v>20</v>
      </c>
      <c r="S3" s="13"/>
      <c r="T3" s="54" t="s">
        <v>46</v>
      </c>
      <c r="U3" s="55">
        <f>IFERROR(COUNTIF(H35:H310,"IG"),"")</f>
        <v>0</v>
      </c>
      <c r="V3" s="58"/>
    </row>
    <row r="4">
      <c r="A4" s="13"/>
      <c r="B4" s="63" t="s">
        <v>48</v>
      </c>
      <c r="C4" s="64">
        <f>IFERROR(SUM(L13:L308),"")</f>
        <v>117500</v>
      </c>
      <c r="D4" s="61"/>
      <c r="E4" s="229" t="s">
        <v>1717</v>
      </c>
      <c r="F4" s="231">
        <f>C4/C3*100</f>
        <v>52.22222222</v>
      </c>
      <c r="H4" s="46" t="s">
        <v>28</v>
      </c>
      <c r="I4" s="47">
        <f>IFERROR(COUNTIFS(I13:I311, "Deposit"),"")</f>
        <v>7</v>
      </c>
      <c r="J4" s="13"/>
      <c r="K4" s="48" t="s">
        <v>18</v>
      </c>
      <c r="L4" s="49">
        <f>IFERROR(L9/L8,"")</f>
        <v>0.9480519481</v>
      </c>
      <c r="M4" s="12"/>
      <c r="N4" s="50" t="s">
        <v>49</v>
      </c>
      <c r="O4" s="51">
        <f>iferror(I10/L6,"")</f>
        <v>0.17</v>
      </c>
      <c r="P4" s="12"/>
      <c r="Q4" s="52" t="s">
        <v>50</v>
      </c>
      <c r="R4" s="53">
        <f>IFERROR(COUNTIFS(N35:N310, "time"),"")</f>
        <v>0</v>
      </c>
      <c r="S4" s="13"/>
      <c r="T4" s="54" t="s">
        <v>51</v>
      </c>
      <c r="U4" s="55">
        <f>IFERROR(COUNTIF(H35:H310,"youtube"),"")</f>
        <v>0</v>
      </c>
      <c r="V4" s="39"/>
    </row>
    <row r="5">
      <c r="A5" s="39"/>
      <c r="B5" s="41"/>
      <c r="C5" s="41"/>
      <c r="D5" s="13"/>
      <c r="E5" s="229" t="s">
        <v>1718</v>
      </c>
      <c r="F5" s="232">
        <f>I2/C7*100</f>
        <v>44</v>
      </c>
      <c r="H5" s="46" t="s">
        <v>53</v>
      </c>
      <c r="I5" s="47">
        <f>IFERROR(COUNTIFS(I13:I311, "Offer &amp; Didn't Buy"),"")</f>
        <v>41</v>
      </c>
      <c r="J5" s="13"/>
      <c r="K5" s="48" t="s">
        <v>54</v>
      </c>
      <c r="L5" s="49">
        <f>IFERROR(I7/(C6+I7+I8),"")</f>
        <v>0</v>
      </c>
      <c r="M5" s="13"/>
      <c r="N5" s="50" t="s">
        <v>54</v>
      </c>
      <c r="O5" s="51">
        <f>iferror(I7/L6,"")</f>
        <v>0</v>
      </c>
      <c r="P5" s="12"/>
      <c r="Q5" s="52" t="s">
        <v>55</v>
      </c>
      <c r="R5" s="53">
        <f>IFERROR(COUNTIFS(N35:N310, "partner"),"")</f>
        <v>1</v>
      </c>
      <c r="S5" s="13"/>
      <c r="T5" s="56" t="s">
        <v>56</v>
      </c>
      <c r="U5" s="55">
        <f>IFERROR(COUNTIF(H35:H310,"email"),"")</f>
        <v>0</v>
      </c>
      <c r="V5" s="58"/>
    </row>
    <row r="6">
      <c r="A6" s="13"/>
      <c r="B6" s="65" t="s">
        <v>58</v>
      </c>
      <c r="C6" s="66">
        <f>IFERROR(SUM(I2:I6),"")</f>
        <v>77</v>
      </c>
      <c r="D6" s="13"/>
      <c r="E6" s="229" t="s">
        <v>1719</v>
      </c>
      <c r="F6" s="233">
        <f>AVERAGE(Q13:Q104)</f>
        <v>5.181818182</v>
      </c>
      <c r="H6" s="46" t="s">
        <v>59</v>
      </c>
      <c r="I6" s="47">
        <f>IFERROR(COUNTIFS(I13:I311, "Bad Fit &amp; No Offer"),"")</f>
        <v>4</v>
      </c>
      <c r="J6" s="13"/>
      <c r="K6" s="48" t="s">
        <v>21</v>
      </c>
      <c r="L6" s="67">
        <f>IFERROR(SUM(I2:I10),"")</f>
        <v>100</v>
      </c>
      <c r="M6" s="13"/>
      <c r="N6" s="68" t="s">
        <v>29</v>
      </c>
      <c r="O6" s="51">
        <f>iferror(L7/L6,"")</f>
        <v>0.77</v>
      </c>
      <c r="P6" s="12"/>
      <c r="Q6" s="52" t="s">
        <v>60</v>
      </c>
      <c r="R6" s="53">
        <f>IFERROR(COUNTIFS(N35:N310, "fear"),"")</f>
        <v>5</v>
      </c>
      <c r="S6" s="13"/>
      <c r="T6" s="56" t="s">
        <v>61</v>
      </c>
      <c r="U6" s="55">
        <f>IFERROR(COUNTIF(H35:H310,"facebook"),"")</f>
        <v>0</v>
      </c>
      <c r="V6" s="58"/>
    </row>
    <row r="7">
      <c r="A7" s="13"/>
      <c r="B7" s="65" t="s">
        <v>63</v>
      </c>
      <c r="C7" s="69">
        <f>IFERROR(I2+I3,"")</f>
        <v>25</v>
      </c>
      <c r="D7" s="13"/>
      <c r="E7" s="229" t="s">
        <v>1720</v>
      </c>
      <c r="F7" s="230">
        <f>C3/C7</f>
        <v>9000</v>
      </c>
      <c r="H7" s="46" t="s">
        <v>64</v>
      </c>
      <c r="I7" s="47">
        <f>IFERROR(COUNTIFS(I13:I311, "Drag Over &amp; Show"),"")</f>
        <v>0</v>
      </c>
      <c r="J7" s="13"/>
      <c r="K7" s="48" t="s">
        <v>22</v>
      </c>
      <c r="L7" s="67">
        <f>IFERROR(SUM(I2:I7),"")</f>
        <v>77</v>
      </c>
      <c r="M7" s="13"/>
      <c r="N7" s="70" t="s">
        <v>30</v>
      </c>
      <c r="O7" s="71">
        <f>IFERROR(L8/L6,"")</f>
        <v>0.77</v>
      </c>
      <c r="P7" s="12"/>
      <c r="Q7" s="72" t="s">
        <v>65</v>
      </c>
      <c r="R7" s="73">
        <f>IFERROR(COUNTIFS(N36:N311, "value"),"")</f>
        <v>3</v>
      </c>
      <c r="S7" s="13"/>
      <c r="T7" s="56" t="s">
        <v>66</v>
      </c>
      <c r="U7" s="55">
        <f>IFERROR(COUNTIF(H35:H310,"facebook ads"),"")</f>
        <v>0</v>
      </c>
      <c r="V7" s="39"/>
    </row>
    <row r="8">
      <c r="A8" s="13"/>
      <c r="B8" s="65" t="s">
        <v>68</v>
      </c>
      <c r="C8" s="74">
        <f>COUNTIF(I13:I310,"offer &amp; didn't buy")+COUNTIF(I35:I310,"deposit")+COUNTIF(I35:I310,"bad fit &amp; no offer")</f>
        <v>50</v>
      </c>
      <c r="D8" s="75"/>
      <c r="E8" s="229"/>
      <c r="F8" s="230">
        <f>C4/C7</f>
        <v>4700</v>
      </c>
      <c r="H8" s="46" t="s">
        <v>69</v>
      </c>
      <c r="I8" s="47">
        <f>IFERROR(COUNTIFS(I13:I311, "Rescheduled"),"")</f>
        <v>0</v>
      </c>
      <c r="J8" s="13"/>
      <c r="K8" s="48" t="s">
        <v>23</v>
      </c>
      <c r="L8" s="67">
        <f>IFERROR(SUM(I2:I6),"")</f>
        <v>77</v>
      </c>
      <c r="M8" s="39"/>
      <c r="N8" s="39"/>
      <c r="O8" s="39"/>
      <c r="P8" s="39"/>
      <c r="Q8" s="39"/>
      <c r="R8" s="76"/>
      <c r="S8" s="13"/>
      <c r="T8" s="77" t="s">
        <v>70</v>
      </c>
      <c r="U8" s="78">
        <f>IFERROR(COUNTIF(H35:H310,T8),"")</f>
        <v>0</v>
      </c>
      <c r="V8" s="39"/>
    </row>
    <row r="9">
      <c r="A9" s="13"/>
      <c r="B9" s="80" t="s">
        <v>72</v>
      </c>
      <c r="C9" s="81">
        <f>iferror(SUM(C7/C6),"")</f>
        <v>0.3246753247</v>
      </c>
      <c r="D9" s="12"/>
      <c r="E9" s="234"/>
      <c r="F9" s="235"/>
      <c r="H9" s="46" t="s">
        <v>73</v>
      </c>
      <c r="I9" s="47">
        <f>IFERROR(COUNTIFS(I13:I311, "Cancelled"),"")</f>
        <v>6</v>
      </c>
      <c r="J9" s="13"/>
      <c r="K9" s="48" t="s">
        <v>24</v>
      </c>
      <c r="L9" s="67">
        <f>IFERROR(sum(I2:I5),"")</f>
        <v>73</v>
      </c>
      <c r="M9" s="39"/>
      <c r="N9" s="39"/>
      <c r="O9" s="39"/>
      <c r="P9" s="39"/>
      <c r="Q9" s="39"/>
      <c r="R9" s="76"/>
      <c r="S9" s="39"/>
      <c r="T9" s="39"/>
      <c r="U9" s="39"/>
      <c r="V9" s="39"/>
    </row>
    <row r="10">
      <c r="A10" s="39"/>
      <c r="B10" s="82"/>
      <c r="C10" s="83"/>
      <c r="D10" s="13"/>
      <c r="E10" s="236"/>
      <c r="F10" s="237"/>
      <c r="H10" s="84" t="s">
        <v>74</v>
      </c>
      <c r="I10" s="85">
        <f>IFERROR(COUNTIFS(I13:I311, "No-Show"),"")</f>
        <v>17</v>
      </c>
      <c r="J10" s="13"/>
      <c r="K10" s="86" t="s">
        <v>75</v>
      </c>
      <c r="L10" s="87">
        <f>I2+I3</f>
        <v>25</v>
      </c>
      <c r="M10" s="39"/>
      <c r="N10" s="39"/>
      <c r="O10" s="39"/>
      <c r="P10" s="39"/>
      <c r="Q10" s="39"/>
      <c r="R10" s="76"/>
      <c r="S10" s="39"/>
      <c r="T10" s="39"/>
      <c r="U10" s="39"/>
      <c r="V10" s="39"/>
    </row>
    <row r="11" ht="6.0" customHeight="1">
      <c r="A11" s="39"/>
      <c r="B11" s="39"/>
      <c r="C11" s="39"/>
      <c r="D11" s="39"/>
      <c r="E11" s="39"/>
      <c r="F11" s="39"/>
      <c r="G11" s="39"/>
      <c r="H11" s="39"/>
      <c r="I11" s="39"/>
      <c r="J11" s="39"/>
      <c r="K11" s="39"/>
      <c r="L11" s="39"/>
      <c r="M11" s="39"/>
      <c r="N11" s="39"/>
      <c r="O11" s="76"/>
      <c r="P11" s="39"/>
      <c r="Q11" s="39"/>
      <c r="R11" s="39"/>
      <c r="S11" s="39"/>
      <c r="T11" s="39"/>
      <c r="V11" s="39"/>
    </row>
    <row r="12">
      <c r="A12" s="39"/>
      <c r="B12" s="88" t="s">
        <v>76</v>
      </c>
      <c r="C12" s="88" t="s">
        <v>32</v>
      </c>
      <c r="D12" s="39"/>
      <c r="E12" s="6" t="s">
        <v>77</v>
      </c>
      <c r="F12" s="89" t="s">
        <v>78</v>
      </c>
      <c r="G12" s="39"/>
      <c r="H12" s="6" t="s">
        <v>37</v>
      </c>
      <c r="I12" s="6" t="s">
        <v>33</v>
      </c>
      <c r="J12" s="39"/>
      <c r="K12" s="6" t="s">
        <v>79</v>
      </c>
      <c r="L12" s="6" t="s">
        <v>48</v>
      </c>
      <c r="M12" s="39"/>
      <c r="N12" s="6" t="s">
        <v>80</v>
      </c>
      <c r="O12" s="90" t="s">
        <v>81</v>
      </c>
      <c r="P12" s="39"/>
      <c r="Q12" s="6" t="s">
        <v>82</v>
      </c>
      <c r="R12" s="6" t="s">
        <v>83</v>
      </c>
      <c r="S12" s="6" t="s">
        <v>84</v>
      </c>
      <c r="T12" s="6" t="s">
        <v>85</v>
      </c>
      <c r="V12" s="58"/>
    </row>
    <row r="13" ht="15.75" customHeight="1">
      <c r="A13" s="91"/>
      <c r="B13" s="93">
        <v>1.0</v>
      </c>
      <c r="C13" s="93" t="s">
        <v>2549</v>
      </c>
      <c r="D13" s="102"/>
      <c r="E13" s="250">
        <v>3.1689172E7</v>
      </c>
      <c r="F13" s="139" t="s">
        <v>2550</v>
      </c>
      <c r="G13" s="94"/>
      <c r="H13" s="93"/>
      <c r="I13" s="102" t="s">
        <v>88</v>
      </c>
      <c r="J13" s="94"/>
      <c r="K13" s="98"/>
      <c r="L13" s="98"/>
      <c r="M13" s="99"/>
      <c r="N13" s="100" t="s">
        <v>98</v>
      </c>
      <c r="O13" s="101" t="s">
        <v>396</v>
      </c>
      <c r="P13" s="94"/>
      <c r="Q13" s="102"/>
      <c r="R13" s="113"/>
      <c r="S13" s="102" t="s">
        <v>124</v>
      </c>
      <c r="T13" s="201" t="s">
        <v>2551</v>
      </c>
      <c r="V13" s="104"/>
    </row>
    <row r="14" ht="15.75" customHeight="1">
      <c r="A14" s="91"/>
      <c r="B14" s="93">
        <v>2.0</v>
      </c>
      <c r="C14" s="93" t="s">
        <v>2552</v>
      </c>
      <c r="D14" s="94"/>
      <c r="E14" s="139" t="s">
        <v>2553</v>
      </c>
      <c r="F14" s="139" t="s">
        <v>2554</v>
      </c>
      <c r="G14" s="94"/>
      <c r="H14" s="93"/>
      <c r="I14" s="102" t="s">
        <v>103</v>
      </c>
      <c r="J14" s="94"/>
      <c r="K14" s="98">
        <v>4500.0</v>
      </c>
      <c r="L14" s="98">
        <v>4500.0</v>
      </c>
      <c r="M14" s="99"/>
      <c r="N14" s="100"/>
      <c r="O14" s="101"/>
      <c r="P14" s="94"/>
      <c r="Q14" s="102">
        <v>3.0</v>
      </c>
      <c r="R14" s="113"/>
      <c r="S14" s="102" t="s">
        <v>105</v>
      </c>
      <c r="T14" s="201"/>
      <c r="V14" s="104"/>
    </row>
    <row r="15" ht="15.75" customHeight="1">
      <c r="A15" s="91"/>
      <c r="B15" s="93">
        <v>2.0</v>
      </c>
      <c r="C15" s="201" t="s">
        <v>322</v>
      </c>
      <c r="D15" s="199"/>
      <c r="E15" s="139" t="s">
        <v>2555</v>
      </c>
      <c r="F15" s="139" t="s">
        <v>2556</v>
      </c>
      <c r="G15" s="199"/>
      <c r="H15" s="93"/>
      <c r="I15" s="201" t="s">
        <v>131</v>
      </c>
      <c r="J15" s="199"/>
      <c r="K15" s="202"/>
      <c r="L15" s="202"/>
      <c r="M15" s="203"/>
      <c r="N15" s="210"/>
      <c r="O15" s="211"/>
      <c r="P15" s="199"/>
      <c r="Q15" s="201"/>
      <c r="R15" s="206"/>
      <c r="S15" s="201"/>
      <c r="T15" s="201"/>
      <c r="V15" s="104"/>
    </row>
    <row r="16" ht="15.75" customHeight="1">
      <c r="A16" s="91"/>
      <c r="B16" s="93">
        <v>2.0</v>
      </c>
      <c r="C16" s="201" t="s">
        <v>624</v>
      </c>
      <c r="D16" s="199"/>
      <c r="E16" s="139" t="s">
        <v>2557</v>
      </c>
      <c r="F16" s="139" t="s">
        <v>2558</v>
      </c>
      <c r="G16" s="199"/>
      <c r="H16" s="93"/>
      <c r="I16" s="201" t="s">
        <v>88</v>
      </c>
      <c r="J16" s="199"/>
      <c r="K16" s="202"/>
      <c r="L16" s="202"/>
      <c r="M16" s="203"/>
      <c r="N16" s="210" t="s">
        <v>45</v>
      </c>
      <c r="O16" s="211" t="s">
        <v>1899</v>
      </c>
      <c r="P16" s="199"/>
      <c r="Q16" s="201"/>
      <c r="R16" s="206"/>
      <c r="S16" s="201" t="s">
        <v>124</v>
      </c>
      <c r="T16" s="201" t="s">
        <v>2559</v>
      </c>
      <c r="V16" s="104"/>
    </row>
    <row r="17" ht="15.75" customHeight="1">
      <c r="A17" s="91"/>
      <c r="B17" s="93">
        <v>2.0</v>
      </c>
      <c r="C17" s="201" t="s">
        <v>2449</v>
      </c>
      <c r="D17" s="199"/>
      <c r="E17" s="139" t="s">
        <v>2560</v>
      </c>
      <c r="F17" s="239" t="s">
        <v>2561</v>
      </c>
      <c r="G17" s="199"/>
      <c r="H17" s="93"/>
      <c r="I17" s="201" t="s">
        <v>181</v>
      </c>
      <c r="J17" s="199"/>
      <c r="K17" s="202">
        <v>10500.0</v>
      </c>
      <c r="L17" s="202">
        <v>3000.0</v>
      </c>
      <c r="M17" s="203"/>
      <c r="N17" s="210"/>
      <c r="O17" s="205"/>
      <c r="P17" s="199"/>
      <c r="Q17" s="201">
        <v>6.0</v>
      </c>
      <c r="R17" s="206"/>
      <c r="S17" s="201" t="s">
        <v>105</v>
      </c>
      <c r="T17" s="201"/>
      <c r="V17" s="104"/>
    </row>
    <row r="18" ht="15.75" customHeight="1">
      <c r="A18" s="91"/>
      <c r="B18" s="93">
        <v>2.0</v>
      </c>
      <c r="C18" s="201" t="s">
        <v>390</v>
      </c>
      <c r="D18" s="199"/>
      <c r="E18" s="139" t="s">
        <v>2562</v>
      </c>
      <c r="F18" s="139" t="s">
        <v>2563</v>
      </c>
      <c r="G18" s="199"/>
      <c r="H18" s="93"/>
      <c r="I18" s="201" t="s">
        <v>131</v>
      </c>
      <c r="J18" s="199"/>
      <c r="K18" s="202"/>
      <c r="L18" s="202"/>
      <c r="M18" s="203"/>
      <c r="N18" s="210"/>
      <c r="O18" s="205"/>
      <c r="P18" s="199"/>
      <c r="Q18" s="201"/>
      <c r="R18" s="206"/>
      <c r="S18" s="201"/>
      <c r="T18" s="201"/>
      <c r="V18" s="104"/>
    </row>
    <row r="19" ht="15.75" customHeight="1">
      <c r="A19" s="91"/>
      <c r="B19" s="93">
        <v>2.0</v>
      </c>
      <c r="C19" s="201" t="s">
        <v>490</v>
      </c>
      <c r="D19" s="199"/>
      <c r="E19" s="139" t="s">
        <v>491</v>
      </c>
      <c r="F19" s="139" t="s">
        <v>2564</v>
      </c>
      <c r="G19" s="199"/>
      <c r="H19" s="93"/>
      <c r="I19" s="201" t="s">
        <v>131</v>
      </c>
      <c r="J19" s="199"/>
      <c r="K19" s="202"/>
      <c r="L19" s="202"/>
      <c r="M19" s="203"/>
      <c r="N19" s="210"/>
      <c r="O19" s="211"/>
      <c r="P19" s="199"/>
      <c r="Q19" s="201"/>
      <c r="R19" s="206"/>
      <c r="S19" s="201"/>
      <c r="T19" s="201"/>
      <c r="V19" s="104"/>
    </row>
    <row r="20" ht="15.75" customHeight="1">
      <c r="A20" s="91"/>
      <c r="B20" s="93">
        <v>3.0</v>
      </c>
      <c r="C20" s="201" t="s">
        <v>905</v>
      </c>
      <c r="D20" s="199"/>
      <c r="E20" s="139" t="s">
        <v>2565</v>
      </c>
      <c r="F20" s="139" t="s">
        <v>2566</v>
      </c>
      <c r="G20" s="199"/>
      <c r="H20" s="93"/>
      <c r="I20" s="201" t="s">
        <v>181</v>
      </c>
      <c r="J20" s="199"/>
      <c r="K20" s="202">
        <v>10500.0</v>
      </c>
      <c r="L20" s="202">
        <v>3000.0</v>
      </c>
      <c r="M20" s="202">
        <v>3000.0</v>
      </c>
      <c r="N20" s="210"/>
      <c r="O20" s="211"/>
      <c r="P20" s="199"/>
      <c r="Q20" s="201">
        <v>6.0</v>
      </c>
      <c r="R20" s="206"/>
      <c r="S20" s="201" t="s">
        <v>105</v>
      </c>
      <c r="T20" s="201"/>
      <c r="V20" s="104"/>
    </row>
    <row r="21" ht="15.75" customHeight="1">
      <c r="A21" s="91"/>
      <c r="B21" s="93">
        <v>3.0</v>
      </c>
      <c r="C21" s="201" t="s">
        <v>905</v>
      </c>
      <c r="D21" s="199"/>
      <c r="E21" s="139" t="s">
        <v>2567</v>
      </c>
      <c r="F21" s="139" t="s">
        <v>2568</v>
      </c>
      <c r="G21" s="199"/>
      <c r="H21" s="93"/>
      <c r="I21" s="201" t="s">
        <v>232</v>
      </c>
      <c r="J21" s="199"/>
      <c r="K21" s="202"/>
      <c r="L21" s="202"/>
      <c r="M21" s="203"/>
      <c r="N21" s="210" t="s">
        <v>45</v>
      </c>
      <c r="O21" s="211" t="s">
        <v>396</v>
      </c>
      <c r="P21" s="199"/>
      <c r="Q21" s="201"/>
      <c r="R21" s="206"/>
      <c r="S21" s="201" t="s">
        <v>170</v>
      </c>
      <c r="T21" s="201" t="s">
        <v>2569</v>
      </c>
      <c r="V21" s="104"/>
    </row>
    <row r="22" ht="15.75" customHeight="1">
      <c r="A22" s="91"/>
      <c r="B22" s="93">
        <v>3.0</v>
      </c>
      <c r="C22" s="201" t="s">
        <v>360</v>
      </c>
      <c r="D22" s="199"/>
      <c r="E22" s="139" t="s">
        <v>2570</v>
      </c>
      <c r="F22" s="225" t="s">
        <v>2571</v>
      </c>
      <c r="G22" s="199"/>
      <c r="H22" s="93"/>
      <c r="I22" s="201" t="s">
        <v>110</v>
      </c>
      <c r="J22" s="199"/>
      <c r="K22" s="202"/>
      <c r="L22" s="202"/>
      <c r="M22" s="203"/>
      <c r="N22" s="210"/>
      <c r="O22" s="205"/>
      <c r="P22" s="199"/>
      <c r="Q22" s="201"/>
      <c r="R22" s="206"/>
      <c r="S22" s="201"/>
      <c r="T22" s="201"/>
      <c r="V22" s="104"/>
    </row>
    <row r="23" ht="15.75" customHeight="1">
      <c r="A23" s="91"/>
      <c r="B23" s="93">
        <v>3.0</v>
      </c>
      <c r="C23" s="201" t="s">
        <v>2276</v>
      </c>
      <c r="D23" s="199"/>
      <c r="E23" s="139" t="s">
        <v>2572</v>
      </c>
      <c r="F23" s="139" t="s">
        <v>2573</v>
      </c>
      <c r="G23" s="199"/>
      <c r="H23" s="93"/>
      <c r="I23" s="201" t="s">
        <v>131</v>
      </c>
      <c r="J23" s="199"/>
      <c r="K23" s="202"/>
      <c r="L23" s="202"/>
      <c r="M23" s="203"/>
      <c r="N23" s="210"/>
      <c r="O23" s="211"/>
      <c r="P23" s="199"/>
      <c r="Q23" s="201"/>
      <c r="R23" s="206"/>
      <c r="S23" s="201"/>
      <c r="T23" s="201"/>
      <c r="V23" s="104"/>
    </row>
    <row r="24" ht="15.75" customHeight="1">
      <c r="A24" s="91"/>
      <c r="B24" s="93">
        <v>3.0</v>
      </c>
      <c r="C24" s="201" t="s">
        <v>2574</v>
      </c>
      <c r="D24" s="199"/>
      <c r="E24" s="139" t="s">
        <v>2575</v>
      </c>
      <c r="F24" s="139" t="s">
        <v>2576</v>
      </c>
      <c r="G24" s="199"/>
      <c r="H24" s="93"/>
      <c r="I24" s="201" t="s">
        <v>591</v>
      </c>
      <c r="J24" s="199"/>
      <c r="K24" s="202"/>
      <c r="L24" s="202"/>
      <c r="M24" s="203"/>
      <c r="N24" s="210" t="s">
        <v>65</v>
      </c>
      <c r="O24" s="211" t="s">
        <v>2577</v>
      </c>
      <c r="P24" s="199"/>
      <c r="Q24" s="201"/>
      <c r="R24" s="206"/>
      <c r="S24" s="201" t="s">
        <v>90</v>
      </c>
      <c r="T24" s="201" t="s">
        <v>2578</v>
      </c>
      <c r="V24" s="104"/>
    </row>
    <row r="25" ht="15.75" customHeight="1">
      <c r="A25" s="91"/>
      <c r="B25" s="93">
        <v>3.0</v>
      </c>
      <c r="C25" s="201" t="s">
        <v>597</v>
      </c>
      <c r="D25" s="199"/>
      <c r="E25" s="139" t="s">
        <v>2579</v>
      </c>
      <c r="F25" s="139" t="s">
        <v>2580</v>
      </c>
      <c r="G25" s="199"/>
      <c r="H25" s="93"/>
      <c r="I25" s="201" t="s">
        <v>131</v>
      </c>
      <c r="J25" s="199"/>
      <c r="K25" s="202"/>
      <c r="L25" s="202"/>
      <c r="M25" s="203"/>
      <c r="N25" s="210"/>
      <c r="O25" s="211"/>
      <c r="P25" s="199"/>
      <c r="Q25" s="201"/>
      <c r="R25" s="206"/>
      <c r="S25" s="201"/>
      <c r="T25" s="201"/>
      <c r="V25" s="104"/>
    </row>
    <row r="26" ht="15.75" customHeight="1">
      <c r="A26" s="91"/>
      <c r="B26" s="93">
        <v>4.0</v>
      </c>
      <c r="C26" s="201" t="s">
        <v>2581</v>
      </c>
      <c r="D26" s="199"/>
      <c r="E26" s="139" t="s">
        <v>2582</v>
      </c>
      <c r="F26" s="139" t="s">
        <v>2583</v>
      </c>
      <c r="G26" s="199"/>
      <c r="H26" s="93"/>
      <c r="I26" s="201" t="s">
        <v>88</v>
      </c>
      <c r="J26" s="199"/>
      <c r="K26" s="202"/>
      <c r="L26" s="202"/>
      <c r="M26" s="203"/>
      <c r="N26" s="210" t="s">
        <v>45</v>
      </c>
      <c r="O26" s="211" t="s">
        <v>1899</v>
      </c>
      <c r="P26" s="199"/>
      <c r="Q26" s="201"/>
      <c r="R26" s="206"/>
      <c r="S26" s="201" t="s">
        <v>383</v>
      </c>
      <c r="T26" s="201" t="s">
        <v>2584</v>
      </c>
      <c r="V26" s="104"/>
    </row>
    <row r="27" ht="15.75" customHeight="1">
      <c r="A27" s="91"/>
      <c r="B27" s="93">
        <v>4.0</v>
      </c>
      <c r="C27" s="201" t="s">
        <v>727</v>
      </c>
      <c r="D27" s="199"/>
      <c r="E27" s="139" t="s">
        <v>2585</v>
      </c>
      <c r="F27" s="139" t="s">
        <v>2586</v>
      </c>
      <c r="G27" s="199"/>
      <c r="H27" s="93"/>
      <c r="I27" s="201" t="s">
        <v>88</v>
      </c>
      <c r="J27" s="199"/>
      <c r="K27" s="202"/>
      <c r="L27" s="202"/>
      <c r="M27" s="203"/>
      <c r="N27" s="210" t="s">
        <v>98</v>
      </c>
      <c r="O27" s="211" t="s">
        <v>2587</v>
      </c>
      <c r="P27" s="199"/>
      <c r="Q27" s="201"/>
      <c r="R27" s="206"/>
      <c r="S27" s="201" t="s">
        <v>124</v>
      </c>
      <c r="T27" s="201" t="s">
        <v>2588</v>
      </c>
      <c r="V27" s="104"/>
    </row>
    <row r="28" ht="15.75" customHeight="1">
      <c r="A28" s="91"/>
      <c r="B28" s="93">
        <v>4.0</v>
      </c>
      <c r="C28" s="201" t="s">
        <v>318</v>
      </c>
      <c r="D28" s="199"/>
      <c r="E28" s="139" t="s">
        <v>2589</v>
      </c>
      <c r="F28" s="139" t="s">
        <v>2590</v>
      </c>
      <c r="G28" s="199"/>
      <c r="H28" s="93"/>
      <c r="I28" s="201" t="s">
        <v>88</v>
      </c>
      <c r="J28" s="199"/>
      <c r="K28" s="202"/>
      <c r="L28" s="202"/>
      <c r="M28" s="203"/>
      <c r="N28" s="210" t="s">
        <v>98</v>
      </c>
      <c r="O28" s="211" t="s">
        <v>647</v>
      </c>
      <c r="P28" s="199"/>
      <c r="Q28" s="201"/>
      <c r="R28" s="206"/>
      <c r="S28" s="201" t="s">
        <v>124</v>
      </c>
      <c r="T28" s="201" t="s">
        <v>2591</v>
      </c>
      <c r="V28" s="104"/>
    </row>
    <row r="29" ht="15.75" customHeight="1">
      <c r="A29" s="91"/>
      <c r="B29" s="93">
        <v>4.0</v>
      </c>
      <c r="C29" s="201" t="s">
        <v>2592</v>
      </c>
      <c r="D29" s="199"/>
      <c r="E29" s="139" t="s">
        <v>2593</v>
      </c>
      <c r="F29" s="139" t="s">
        <v>2594</v>
      </c>
      <c r="G29" s="199"/>
      <c r="H29" s="93"/>
      <c r="I29" s="201" t="s">
        <v>181</v>
      </c>
      <c r="J29" s="199"/>
      <c r="K29" s="202">
        <v>10500.0</v>
      </c>
      <c r="L29" s="202">
        <v>3000.0</v>
      </c>
      <c r="M29" s="203"/>
      <c r="N29" s="210"/>
      <c r="O29" s="205"/>
      <c r="P29" s="199"/>
      <c r="Q29" s="201">
        <v>6.0</v>
      </c>
      <c r="R29" s="206"/>
      <c r="S29" s="201" t="s">
        <v>105</v>
      </c>
      <c r="T29" s="201" t="s">
        <v>2595</v>
      </c>
      <c r="V29" s="104"/>
    </row>
    <row r="30" ht="15.75" customHeight="1">
      <c r="A30" s="91"/>
      <c r="B30" s="93">
        <v>4.0</v>
      </c>
      <c r="C30" s="201" t="s">
        <v>2596</v>
      </c>
      <c r="D30" s="199"/>
      <c r="E30" s="139" t="s">
        <v>2597</v>
      </c>
      <c r="F30" s="139" t="s">
        <v>2598</v>
      </c>
      <c r="G30" s="199"/>
      <c r="H30" s="93"/>
      <c r="I30" s="201" t="s">
        <v>88</v>
      </c>
      <c r="J30" s="199"/>
      <c r="K30" s="202"/>
      <c r="L30" s="202"/>
      <c r="M30" s="203"/>
      <c r="N30" s="210" t="s">
        <v>45</v>
      </c>
      <c r="O30" s="211" t="s">
        <v>2599</v>
      </c>
      <c r="P30" s="199"/>
      <c r="Q30" s="201"/>
      <c r="R30" s="206"/>
      <c r="S30" s="201" t="s">
        <v>383</v>
      </c>
      <c r="T30" s="201" t="s">
        <v>2600</v>
      </c>
      <c r="V30" s="104"/>
    </row>
    <row r="31" ht="15.75" customHeight="1">
      <c r="A31" s="91"/>
      <c r="B31" s="93">
        <v>5.0</v>
      </c>
      <c r="C31" s="97" t="s">
        <v>915</v>
      </c>
      <c r="D31" s="199"/>
      <c r="E31" s="139" t="s">
        <v>2601</v>
      </c>
      <c r="F31" s="139" t="s">
        <v>2602</v>
      </c>
      <c r="G31" s="199"/>
      <c r="H31" s="93"/>
      <c r="I31" s="201" t="s">
        <v>131</v>
      </c>
      <c r="J31" s="199"/>
      <c r="K31" s="202"/>
      <c r="L31" s="202"/>
      <c r="M31" s="203"/>
      <c r="N31" s="210"/>
      <c r="O31" s="205"/>
      <c r="P31" s="199"/>
      <c r="Q31" s="201"/>
      <c r="R31" s="206"/>
      <c r="S31" s="201"/>
      <c r="T31" s="201"/>
      <c r="V31" s="104"/>
    </row>
    <row r="32" ht="15.75" customHeight="1">
      <c r="A32" s="91"/>
      <c r="B32" s="93">
        <v>5.0</v>
      </c>
      <c r="C32" s="97" t="s">
        <v>318</v>
      </c>
      <c r="D32" s="199"/>
      <c r="E32" s="139" t="s">
        <v>2603</v>
      </c>
      <c r="F32" s="139" t="s">
        <v>2604</v>
      </c>
      <c r="G32" s="199"/>
      <c r="H32" s="93"/>
      <c r="I32" s="201" t="s">
        <v>88</v>
      </c>
      <c r="J32" s="199"/>
      <c r="K32" s="202"/>
      <c r="L32" s="202"/>
      <c r="M32" s="203"/>
      <c r="N32" s="210" t="s">
        <v>50</v>
      </c>
      <c r="O32" s="211" t="s">
        <v>2605</v>
      </c>
      <c r="P32" s="199"/>
      <c r="Q32" s="201"/>
      <c r="R32" s="206"/>
      <c r="S32" s="201" t="s">
        <v>124</v>
      </c>
      <c r="T32" s="201" t="s">
        <v>2606</v>
      </c>
      <c r="V32" s="104"/>
    </row>
    <row r="33" ht="15.75" customHeight="1">
      <c r="A33" s="91"/>
      <c r="B33" s="198">
        <v>5.0</v>
      </c>
      <c r="C33" s="97" t="s">
        <v>410</v>
      </c>
      <c r="D33" s="199"/>
      <c r="E33" s="139" t="s">
        <v>2607</v>
      </c>
      <c r="F33" s="139" t="s">
        <v>2608</v>
      </c>
      <c r="G33" s="199"/>
      <c r="H33" s="93"/>
      <c r="I33" s="201" t="s">
        <v>181</v>
      </c>
      <c r="J33" s="199"/>
      <c r="K33" s="202">
        <v>10500.0</v>
      </c>
      <c r="L33" s="202">
        <v>3000.0</v>
      </c>
      <c r="M33" s="203"/>
      <c r="N33" s="210"/>
      <c r="O33" s="211"/>
      <c r="P33" s="199"/>
      <c r="Q33" s="201">
        <v>6.0</v>
      </c>
      <c r="R33" s="206"/>
      <c r="S33" s="201" t="s">
        <v>105</v>
      </c>
      <c r="T33" s="201"/>
      <c r="V33" s="104"/>
    </row>
    <row r="34" ht="15.75" customHeight="1">
      <c r="A34" s="91"/>
      <c r="B34" s="198">
        <v>5.0</v>
      </c>
      <c r="C34" s="97" t="s">
        <v>2314</v>
      </c>
      <c r="D34" s="199"/>
      <c r="E34" s="139" t="s">
        <v>2315</v>
      </c>
      <c r="F34" s="139" t="s">
        <v>2609</v>
      </c>
      <c r="G34" s="199"/>
      <c r="H34" s="93"/>
      <c r="I34" s="201" t="s">
        <v>131</v>
      </c>
      <c r="J34" s="201"/>
      <c r="K34" s="202"/>
      <c r="L34" s="202"/>
      <c r="M34" s="203"/>
      <c r="N34" s="204"/>
      <c r="O34" s="205"/>
      <c r="P34" s="199"/>
      <c r="Q34" s="201"/>
      <c r="R34" s="206"/>
      <c r="S34" s="201"/>
      <c r="T34" s="201"/>
      <c r="V34" s="104"/>
    </row>
    <row r="35" ht="15.75" customHeight="1">
      <c r="A35" s="91"/>
      <c r="B35" s="198">
        <v>6.0</v>
      </c>
      <c r="C35" s="97" t="s">
        <v>1376</v>
      </c>
      <c r="D35" s="199"/>
      <c r="E35" s="139" t="s">
        <v>2610</v>
      </c>
      <c r="F35" s="139" t="s">
        <v>2611</v>
      </c>
      <c r="G35" s="199"/>
      <c r="H35" s="93"/>
      <c r="I35" s="201" t="s">
        <v>232</v>
      </c>
      <c r="J35" s="199"/>
      <c r="K35" s="251"/>
      <c r="L35" s="202">
        <v>500.0</v>
      </c>
      <c r="M35" s="203"/>
      <c r="N35" s="210"/>
      <c r="O35" s="211"/>
      <c r="P35" s="199"/>
      <c r="Q35" s="201">
        <v>6.0</v>
      </c>
      <c r="R35" s="206"/>
      <c r="S35" s="201" t="s">
        <v>404</v>
      </c>
      <c r="T35" s="201" t="s">
        <v>2612</v>
      </c>
      <c r="V35" s="104"/>
    </row>
    <row r="36" ht="15.75" customHeight="1">
      <c r="A36" s="91"/>
      <c r="B36" s="198">
        <v>6.0</v>
      </c>
      <c r="C36" s="97" t="s">
        <v>344</v>
      </c>
      <c r="D36" s="94"/>
      <c r="E36" s="139" t="s">
        <v>2613</v>
      </c>
      <c r="F36" s="139" t="s">
        <v>2614</v>
      </c>
      <c r="G36" s="94"/>
      <c r="H36" s="93"/>
      <c r="I36" s="97" t="s">
        <v>181</v>
      </c>
      <c r="J36" s="94"/>
      <c r="K36" s="202">
        <v>10500.0</v>
      </c>
      <c r="L36" s="202">
        <v>3000.0</v>
      </c>
      <c r="M36" s="99"/>
      <c r="N36" s="111"/>
      <c r="O36" s="112"/>
      <c r="P36" s="94"/>
      <c r="Q36" s="201">
        <v>6.0</v>
      </c>
      <c r="R36" s="113"/>
      <c r="S36" s="102" t="s">
        <v>105</v>
      </c>
      <c r="T36" s="102"/>
      <c r="V36" s="104"/>
    </row>
    <row r="37" ht="15.75" customHeight="1">
      <c r="A37" s="94"/>
      <c r="B37" s="198">
        <v>6.0</v>
      </c>
      <c r="C37" s="97" t="s">
        <v>1518</v>
      </c>
      <c r="D37" s="94"/>
      <c r="E37" s="139" t="s">
        <v>2615</v>
      </c>
      <c r="F37" s="260" t="s">
        <v>2616</v>
      </c>
      <c r="G37" s="94"/>
      <c r="H37" s="93"/>
      <c r="I37" s="102" t="s">
        <v>88</v>
      </c>
      <c r="J37" s="94"/>
      <c r="K37" s="142"/>
      <c r="L37" s="142"/>
      <c r="M37" s="99"/>
      <c r="N37" s="100" t="s">
        <v>60</v>
      </c>
      <c r="O37" s="101" t="s">
        <v>2360</v>
      </c>
      <c r="P37" s="94"/>
      <c r="Q37" s="201"/>
      <c r="R37" s="113"/>
      <c r="S37" s="102" t="s">
        <v>124</v>
      </c>
      <c r="T37" s="102" t="s">
        <v>2617</v>
      </c>
      <c r="V37" s="104"/>
    </row>
    <row r="38" ht="15.75" customHeight="1">
      <c r="A38" s="94"/>
      <c r="B38" s="198">
        <v>6.0</v>
      </c>
      <c r="C38" s="97" t="s">
        <v>252</v>
      </c>
      <c r="D38" s="94"/>
      <c r="E38" s="139" t="s">
        <v>2618</v>
      </c>
      <c r="F38" s="139" t="s">
        <v>2619</v>
      </c>
      <c r="G38" s="94"/>
      <c r="H38" s="93"/>
      <c r="I38" s="102" t="s">
        <v>181</v>
      </c>
      <c r="J38" s="94"/>
      <c r="K38" s="202">
        <v>10500.0</v>
      </c>
      <c r="L38" s="144">
        <v>1500.0</v>
      </c>
      <c r="M38" s="99"/>
      <c r="N38" s="100"/>
      <c r="O38" s="101"/>
      <c r="P38" s="94"/>
      <c r="Q38" s="201">
        <v>6.0</v>
      </c>
      <c r="R38" s="113"/>
      <c r="S38" s="102" t="s">
        <v>105</v>
      </c>
      <c r="T38" s="102" t="s">
        <v>2620</v>
      </c>
      <c r="V38" s="104"/>
    </row>
    <row r="39" ht="15.75" customHeight="1">
      <c r="A39" s="94"/>
      <c r="B39" s="198">
        <v>9.0</v>
      </c>
      <c r="C39" s="97" t="s">
        <v>777</v>
      </c>
      <c r="D39" s="94"/>
      <c r="E39" s="139" t="s">
        <v>2501</v>
      </c>
      <c r="F39" s="139" t="s">
        <v>2621</v>
      </c>
      <c r="G39" s="94"/>
      <c r="H39" s="93"/>
      <c r="I39" s="102" t="s">
        <v>103</v>
      </c>
      <c r="J39" s="94"/>
      <c r="K39" s="202">
        <v>4500.0</v>
      </c>
      <c r="L39" s="202">
        <v>4500.0</v>
      </c>
      <c r="M39" s="99"/>
      <c r="N39" s="111"/>
      <c r="O39" s="112"/>
      <c r="P39" s="94"/>
      <c r="Q39" s="201">
        <v>3.0</v>
      </c>
      <c r="R39" s="113"/>
      <c r="S39" s="102" t="s">
        <v>105</v>
      </c>
      <c r="T39" s="102"/>
      <c r="V39" s="104"/>
    </row>
    <row r="40" ht="15.75" customHeight="1">
      <c r="A40" s="94"/>
      <c r="B40" s="198">
        <v>9.0</v>
      </c>
      <c r="C40" s="97" t="s">
        <v>979</v>
      </c>
      <c r="D40" s="94"/>
      <c r="E40" s="139" t="s">
        <v>2622</v>
      </c>
      <c r="F40" s="139" t="s">
        <v>2623</v>
      </c>
      <c r="G40" s="94"/>
      <c r="H40" s="93"/>
      <c r="I40" s="102" t="s">
        <v>103</v>
      </c>
      <c r="J40" s="94"/>
      <c r="K40" s="202">
        <v>6000.0</v>
      </c>
      <c r="L40" s="202">
        <v>6000.0</v>
      </c>
      <c r="M40" s="99"/>
      <c r="N40" s="111"/>
      <c r="O40" s="112"/>
      <c r="P40" s="94"/>
      <c r="Q40" s="102">
        <v>4.0</v>
      </c>
      <c r="R40" s="113"/>
      <c r="S40" s="102" t="s">
        <v>105</v>
      </c>
      <c r="T40" s="102"/>
      <c r="V40" s="104"/>
    </row>
    <row r="41" ht="15.75" customHeight="1">
      <c r="A41" s="94"/>
      <c r="B41" s="198">
        <v>9.0</v>
      </c>
      <c r="C41" s="97" t="s">
        <v>2624</v>
      </c>
      <c r="D41" s="94"/>
      <c r="E41" s="139" t="s">
        <v>2625</v>
      </c>
      <c r="F41" s="139" t="s">
        <v>2626</v>
      </c>
      <c r="G41" s="94"/>
      <c r="H41" s="93"/>
      <c r="I41" s="102" t="s">
        <v>131</v>
      </c>
      <c r="J41" s="94"/>
      <c r="K41" s="202"/>
      <c r="L41" s="202"/>
      <c r="M41" s="99"/>
      <c r="N41" s="111"/>
      <c r="O41" s="112"/>
      <c r="P41" s="94"/>
      <c r="Q41" s="102"/>
      <c r="R41" s="113"/>
      <c r="S41" s="102"/>
      <c r="T41" s="102"/>
      <c r="V41" s="104"/>
    </row>
    <row r="42" ht="15.75" customHeight="1">
      <c r="A42" s="94"/>
      <c r="B42" s="198">
        <v>9.0</v>
      </c>
      <c r="C42" s="97" t="s">
        <v>1122</v>
      </c>
      <c r="D42" s="94"/>
      <c r="E42" s="139" t="s">
        <v>2627</v>
      </c>
      <c r="F42" s="139" t="s">
        <v>2628</v>
      </c>
      <c r="G42" s="94"/>
      <c r="H42" s="93"/>
      <c r="I42" s="102" t="s">
        <v>232</v>
      </c>
      <c r="J42" s="94"/>
      <c r="K42" s="202">
        <v>10500.0</v>
      </c>
      <c r="L42" s="202">
        <v>3000.0</v>
      </c>
      <c r="M42" s="99"/>
      <c r="N42" s="100"/>
      <c r="O42" s="101"/>
      <c r="P42" s="94"/>
      <c r="Q42" s="102">
        <v>6.0</v>
      </c>
      <c r="R42" s="113"/>
      <c r="S42" s="102" t="s">
        <v>105</v>
      </c>
      <c r="T42" s="102" t="s">
        <v>2629</v>
      </c>
      <c r="V42" s="104"/>
    </row>
    <row r="43" ht="15.75" customHeight="1">
      <c r="A43" s="94"/>
      <c r="B43" s="198">
        <v>9.0</v>
      </c>
      <c r="C43" s="97" t="s">
        <v>772</v>
      </c>
      <c r="D43" s="94"/>
      <c r="E43" s="139" t="s">
        <v>2630</v>
      </c>
      <c r="F43" s="139" t="s">
        <v>2631</v>
      </c>
      <c r="G43" s="94"/>
      <c r="H43" s="93"/>
      <c r="I43" s="102" t="s">
        <v>88</v>
      </c>
      <c r="J43" s="94"/>
      <c r="K43" s="202"/>
      <c r="L43" s="202"/>
      <c r="M43" s="99"/>
      <c r="N43" s="100" t="s">
        <v>60</v>
      </c>
      <c r="O43" s="101" t="s">
        <v>2360</v>
      </c>
      <c r="P43" s="94"/>
      <c r="Q43" s="102"/>
      <c r="R43" s="113"/>
      <c r="S43" s="102" t="s">
        <v>124</v>
      </c>
      <c r="T43" s="102" t="s">
        <v>2632</v>
      </c>
      <c r="V43" s="104"/>
    </row>
    <row r="44" ht="15.75" customHeight="1">
      <c r="A44" s="94"/>
      <c r="B44" s="198">
        <v>9.0</v>
      </c>
      <c r="C44" s="97" t="s">
        <v>1754</v>
      </c>
      <c r="D44" s="94"/>
      <c r="E44" s="139" t="s">
        <v>2633</v>
      </c>
      <c r="F44" s="139" t="s">
        <v>2634</v>
      </c>
      <c r="G44" s="94"/>
      <c r="H44" s="93"/>
      <c r="I44" s="102" t="s">
        <v>88</v>
      </c>
      <c r="J44" s="94"/>
      <c r="K44" s="142"/>
      <c r="L44" s="142"/>
      <c r="M44" s="99"/>
      <c r="N44" s="100" t="s">
        <v>98</v>
      </c>
      <c r="O44" s="101" t="s">
        <v>1179</v>
      </c>
      <c r="P44" s="94"/>
      <c r="Q44" s="102"/>
      <c r="R44" s="113"/>
      <c r="S44" s="102" t="s">
        <v>383</v>
      </c>
      <c r="T44" s="102" t="s">
        <v>2635</v>
      </c>
      <c r="V44" s="102"/>
    </row>
    <row r="45" ht="15.75" customHeight="1">
      <c r="A45" s="94"/>
      <c r="B45" s="198">
        <v>10.0</v>
      </c>
      <c r="C45" s="97" t="s">
        <v>2636</v>
      </c>
      <c r="D45" s="94"/>
      <c r="E45" s="139" t="s">
        <v>2637</v>
      </c>
      <c r="F45" s="139" t="s">
        <v>2638</v>
      </c>
      <c r="G45" s="94"/>
      <c r="H45" s="93"/>
      <c r="I45" s="97" t="s">
        <v>103</v>
      </c>
      <c r="J45" s="94"/>
      <c r="K45" s="202">
        <v>4500.0</v>
      </c>
      <c r="L45" s="202">
        <v>4500.0</v>
      </c>
      <c r="M45" s="99"/>
      <c r="N45" s="100"/>
      <c r="O45" s="101"/>
      <c r="P45" s="94"/>
      <c r="Q45" s="102">
        <v>3.0</v>
      </c>
      <c r="R45" s="113"/>
      <c r="S45" s="102" t="s">
        <v>105</v>
      </c>
      <c r="T45" s="102"/>
      <c r="V45" s="104"/>
    </row>
    <row r="46" ht="15.75" customHeight="1">
      <c r="A46" s="91"/>
      <c r="B46" s="198">
        <v>10.0</v>
      </c>
      <c r="C46" s="97" t="s">
        <v>684</v>
      </c>
      <c r="D46" s="94"/>
      <c r="E46" s="139" t="s">
        <v>2639</v>
      </c>
      <c r="F46" s="139" t="s">
        <v>2640</v>
      </c>
      <c r="G46" s="94"/>
      <c r="H46" s="93"/>
      <c r="I46" s="97" t="s">
        <v>88</v>
      </c>
      <c r="J46" s="94"/>
      <c r="K46" s="202"/>
      <c r="L46" s="202"/>
      <c r="M46" s="99"/>
      <c r="N46" s="100" t="s">
        <v>45</v>
      </c>
      <c r="O46" s="101" t="s">
        <v>584</v>
      </c>
      <c r="P46" s="94"/>
      <c r="Q46" s="201"/>
      <c r="R46" s="105"/>
      <c r="S46" s="102" t="s">
        <v>124</v>
      </c>
      <c r="T46" s="102" t="s">
        <v>2641</v>
      </c>
      <c r="V46" s="104"/>
    </row>
    <row r="47" ht="15.75" customHeight="1">
      <c r="A47" s="91"/>
      <c r="B47" s="198">
        <v>10.0</v>
      </c>
      <c r="C47" s="97" t="s">
        <v>979</v>
      </c>
      <c r="D47" s="94"/>
      <c r="E47" s="139" t="s">
        <v>2642</v>
      </c>
      <c r="F47" s="139" t="s">
        <v>2643</v>
      </c>
      <c r="G47" s="94"/>
      <c r="H47" s="93"/>
      <c r="I47" s="97" t="s">
        <v>103</v>
      </c>
      <c r="J47" s="94"/>
      <c r="K47" s="202">
        <v>4500.0</v>
      </c>
      <c r="L47" s="202">
        <v>4500.0</v>
      </c>
      <c r="M47" s="99"/>
      <c r="N47" s="100"/>
      <c r="O47" s="101"/>
      <c r="P47" s="94"/>
      <c r="Q47" s="102">
        <v>3.0</v>
      </c>
      <c r="R47" s="113"/>
      <c r="S47" s="102" t="s">
        <v>105</v>
      </c>
      <c r="T47" s="102"/>
      <c r="V47" s="104"/>
    </row>
    <row r="48" ht="15.75" customHeight="1">
      <c r="A48" s="91"/>
      <c r="B48" s="198">
        <v>10.0</v>
      </c>
      <c r="C48" s="97" t="s">
        <v>1303</v>
      </c>
      <c r="D48" s="94"/>
      <c r="E48" s="139" t="s">
        <v>2644</v>
      </c>
      <c r="F48" s="139" t="s">
        <v>2645</v>
      </c>
      <c r="G48" s="94"/>
      <c r="H48" s="93"/>
      <c r="I48" s="102" t="s">
        <v>103</v>
      </c>
      <c r="J48" s="94"/>
      <c r="K48" s="202">
        <v>9000.0</v>
      </c>
      <c r="L48" s="202">
        <v>9000.0</v>
      </c>
      <c r="M48" s="99"/>
      <c r="N48" s="100"/>
      <c r="O48" s="101"/>
      <c r="P48" s="94"/>
      <c r="Q48" s="102">
        <v>6.0</v>
      </c>
      <c r="R48" s="103"/>
      <c r="S48" s="102" t="s">
        <v>105</v>
      </c>
      <c r="T48" s="102"/>
      <c r="V48" s="104"/>
    </row>
    <row r="49" ht="15.75" customHeight="1">
      <c r="A49" s="91"/>
      <c r="B49" s="198">
        <v>10.0</v>
      </c>
      <c r="C49" s="97" t="s">
        <v>949</v>
      </c>
      <c r="D49" s="94"/>
      <c r="E49" s="139" t="s">
        <v>2646</v>
      </c>
      <c r="F49" s="139" t="s">
        <v>2647</v>
      </c>
      <c r="G49" s="94"/>
      <c r="H49" s="93"/>
      <c r="I49" s="102" t="s">
        <v>131</v>
      </c>
      <c r="J49" s="94"/>
      <c r="K49" s="108"/>
      <c r="L49" s="108"/>
      <c r="M49" s="99"/>
      <c r="N49" s="100"/>
      <c r="O49" s="101"/>
      <c r="P49" s="94"/>
      <c r="Q49" s="94"/>
      <c r="R49" s="113"/>
      <c r="S49" s="102"/>
      <c r="T49" s="102"/>
      <c r="V49" s="104"/>
    </row>
    <row r="50" ht="15.75" customHeight="1">
      <c r="A50" s="91"/>
      <c r="B50" s="198">
        <v>10.0</v>
      </c>
      <c r="C50" s="97" t="s">
        <v>2018</v>
      </c>
      <c r="D50" s="94"/>
      <c r="E50" s="139" t="s">
        <v>2648</v>
      </c>
      <c r="F50" s="139" t="s">
        <v>2649</v>
      </c>
      <c r="G50" s="94"/>
      <c r="H50" s="93"/>
      <c r="I50" s="102" t="s">
        <v>232</v>
      </c>
      <c r="J50" s="94"/>
      <c r="K50" s="202"/>
      <c r="L50" s="202"/>
      <c r="M50" s="99"/>
      <c r="N50" s="100" t="s">
        <v>45</v>
      </c>
      <c r="O50" s="101" t="s">
        <v>2650</v>
      </c>
      <c r="P50" s="94"/>
      <c r="Q50" s="102"/>
      <c r="R50" s="103"/>
      <c r="S50" s="102" t="s">
        <v>170</v>
      </c>
      <c r="T50" s="102" t="s">
        <v>2651</v>
      </c>
      <c r="V50" s="104"/>
    </row>
    <row r="51" ht="15.75" customHeight="1">
      <c r="A51" s="91"/>
      <c r="B51" s="198">
        <v>11.0</v>
      </c>
      <c r="C51" s="97" t="s">
        <v>1051</v>
      </c>
      <c r="D51" s="94"/>
      <c r="E51" s="250">
        <v>2.721054E7</v>
      </c>
      <c r="F51" s="139" t="s">
        <v>2652</v>
      </c>
      <c r="G51" s="94"/>
      <c r="H51" s="93"/>
      <c r="I51" s="102" t="s">
        <v>110</v>
      </c>
      <c r="J51" s="94"/>
      <c r="K51" s="202"/>
      <c r="L51" s="202"/>
      <c r="M51" s="99"/>
      <c r="N51" s="100"/>
      <c r="O51" s="101"/>
      <c r="P51" s="94"/>
      <c r="Q51" s="102"/>
      <c r="R51" s="103"/>
      <c r="S51" s="102"/>
      <c r="T51" s="102" t="s">
        <v>2653</v>
      </c>
      <c r="V51" s="104"/>
    </row>
    <row r="52" ht="15.75" customHeight="1">
      <c r="A52" s="91"/>
      <c r="B52" s="198">
        <v>11.0</v>
      </c>
      <c r="C52" s="97" t="s">
        <v>727</v>
      </c>
      <c r="D52" s="94"/>
      <c r="E52" s="250">
        <v>4.2773088E7</v>
      </c>
      <c r="F52" s="139" t="s">
        <v>2654</v>
      </c>
      <c r="G52" s="94"/>
      <c r="H52" s="93"/>
      <c r="I52" s="102" t="s">
        <v>591</v>
      </c>
      <c r="J52" s="94"/>
      <c r="K52" s="98"/>
      <c r="L52" s="98"/>
      <c r="M52" s="99"/>
      <c r="N52" s="100" t="s">
        <v>65</v>
      </c>
      <c r="O52" s="101" t="s">
        <v>2655</v>
      </c>
      <c r="P52" s="94"/>
      <c r="Q52" s="102"/>
      <c r="R52" s="113"/>
      <c r="S52" s="102" t="s">
        <v>90</v>
      </c>
      <c r="T52" s="102" t="s">
        <v>2656</v>
      </c>
      <c r="V52" s="104"/>
    </row>
    <row r="53" ht="15.75" customHeight="1">
      <c r="A53" s="91"/>
      <c r="B53" s="198">
        <v>11.0</v>
      </c>
      <c r="C53" s="97" t="s">
        <v>1122</v>
      </c>
      <c r="D53" s="94"/>
      <c r="E53" s="139" t="s">
        <v>2386</v>
      </c>
      <c r="F53" s="139" t="s">
        <v>2387</v>
      </c>
      <c r="G53" s="94"/>
      <c r="H53" s="93"/>
      <c r="I53" s="102" t="s">
        <v>88</v>
      </c>
      <c r="J53" s="94"/>
      <c r="K53" s="98"/>
      <c r="L53" s="98"/>
      <c r="M53" s="99"/>
      <c r="N53" s="100" t="s">
        <v>45</v>
      </c>
      <c r="O53" s="101" t="s">
        <v>396</v>
      </c>
      <c r="P53" s="94"/>
      <c r="Q53" s="102"/>
      <c r="R53" s="106"/>
      <c r="S53" s="102" t="s">
        <v>170</v>
      </c>
      <c r="T53" s="102" t="s">
        <v>2657</v>
      </c>
      <c r="V53" s="104"/>
    </row>
    <row r="54" ht="15.75" customHeight="1">
      <c r="A54" s="91"/>
      <c r="B54" s="198">
        <v>11.0</v>
      </c>
      <c r="C54" s="97" t="s">
        <v>538</v>
      </c>
      <c r="D54" s="94"/>
      <c r="E54" s="139" t="s">
        <v>2658</v>
      </c>
      <c r="F54" s="139" t="s">
        <v>2659</v>
      </c>
      <c r="G54" s="94"/>
      <c r="H54" s="93"/>
      <c r="I54" s="102" t="s">
        <v>131</v>
      </c>
      <c r="J54" s="94"/>
      <c r="K54" s="202"/>
      <c r="L54" s="98"/>
      <c r="M54" s="99"/>
      <c r="N54" s="100"/>
      <c r="O54" s="101"/>
      <c r="P54" s="94"/>
      <c r="Q54" s="102"/>
      <c r="R54" s="113"/>
      <c r="S54" s="102"/>
      <c r="V54" s="104"/>
    </row>
    <row r="55" ht="15.75" customHeight="1">
      <c r="A55" s="91"/>
      <c r="B55" s="198">
        <v>11.0</v>
      </c>
      <c r="C55" s="97" t="s">
        <v>390</v>
      </c>
      <c r="D55" s="94"/>
      <c r="E55" s="139" t="s">
        <v>2660</v>
      </c>
      <c r="F55" s="139" t="s">
        <v>2661</v>
      </c>
      <c r="G55" s="94"/>
      <c r="H55" s="93"/>
      <c r="I55" s="102" t="s">
        <v>88</v>
      </c>
      <c r="J55" s="94"/>
      <c r="K55" s="202"/>
      <c r="L55" s="202"/>
      <c r="M55" s="99"/>
      <c r="N55" s="100" t="s">
        <v>45</v>
      </c>
      <c r="O55" s="101" t="s">
        <v>584</v>
      </c>
      <c r="P55" s="94"/>
      <c r="Q55" s="201"/>
      <c r="R55" s="113"/>
      <c r="S55" s="102" t="s">
        <v>90</v>
      </c>
      <c r="T55" s="102" t="s">
        <v>2662</v>
      </c>
      <c r="V55" s="104"/>
    </row>
    <row r="56" ht="15.75" customHeight="1">
      <c r="A56" s="91"/>
      <c r="B56" s="198">
        <v>11.0</v>
      </c>
      <c r="C56" s="97" t="s">
        <v>393</v>
      </c>
      <c r="D56" s="94"/>
      <c r="E56" s="139" t="s">
        <v>578</v>
      </c>
      <c r="F56" s="139" t="s">
        <v>2663</v>
      </c>
      <c r="G56" s="94"/>
      <c r="H56" s="93"/>
      <c r="I56" s="102" t="s">
        <v>88</v>
      </c>
      <c r="J56" s="94"/>
      <c r="K56" s="98"/>
      <c r="L56" s="98"/>
      <c r="M56" s="99"/>
      <c r="N56" s="100" t="s">
        <v>60</v>
      </c>
      <c r="O56" s="101" t="s">
        <v>1950</v>
      </c>
      <c r="P56" s="94"/>
      <c r="Q56" s="109"/>
      <c r="R56" s="103"/>
      <c r="S56" s="102" t="s">
        <v>124</v>
      </c>
      <c r="T56" s="102" t="s">
        <v>2664</v>
      </c>
      <c r="V56" s="104"/>
    </row>
    <row r="57" ht="15.75" customHeight="1">
      <c r="A57" s="91"/>
      <c r="B57" s="198">
        <v>12.0</v>
      </c>
      <c r="C57" s="97" t="s">
        <v>318</v>
      </c>
      <c r="D57" s="94"/>
      <c r="E57" s="139" t="s">
        <v>2665</v>
      </c>
      <c r="F57" s="139" t="s">
        <v>2666</v>
      </c>
      <c r="G57" s="94"/>
      <c r="H57" s="93"/>
      <c r="I57" s="102" t="s">
        <v>181</v>
      </c>
      <c r="J57" s="94"/>
      <c r="K57" s="202">
        <v>6000.0</v>
      </c>
      <c r="L57" s="98">
        <v>3000.0</v>
      </c>
      <c r="M57" s="99"/>
      <c r="N57" s="100"/>
      <c r="O57" s="101"/>
      <c r="P57" s="94"/>
      <c r="Q57" s="102"/>
      <c r="R57" s="113"/>
      <c r="S57" s="102" t="s">
        <v>105</v>
      </c>
      <c r="T57" s="102" t="s">
        <v>2667</v>
      </c>
      <c r="V57" s="104"/>
    </row>
    <row r="58" ht="15.75" customHeight="1">
      <c r="A58" s="91"/>
      <c r="B58" s="198">
        <v>12.0</v>
      </c>
      <c r="C58" s="97" t="s">
        <v>538</v>
      </c>
      <c r="D58" s="94"/>
      <c r="E58" s="139" t="s">
        <v>2658</v>
      </c>
      <c r="F58" s="139" t="s">
        <v>2659</v>
      </c>
      <c r="G58" s="94"/>
      <c r="H58" s="93"/>
      <c r="I58" s="102" t="s">
        <v>110</v>
      </c>
      <c r="J58" s="94"/>
      <c r="K58" s="108"/>
      <c r="L58" s="108"/>
      <c r="M58" s="99"/>
      <c r="N58" s="100"/>
      <c r="O58" s="101"/>
      <c r="P58" s="94"/>
      <c r="Q58" s="94"/>
      <c r="R58" s="113"/>
      <c r="S58" s="102"/>
      <c r="T58" s="102" t="s">
        <v>2668</v>
      </c>
      <c r="V58" s="104"/>
    </row>
    <row r="59" ht="15.75" customHeight="1">
      <c r="A59" s="91"/>
      <c r="B59" s="198">
        <v>12.0</v>
      </c>
      <c r="C59" s="102" t="s">
        <v>559</v>
      </c>
      <c r="D59" s="94"/>
      <c r="E59" s="139" t="s">
        <v>2669</v>
      </c>
      <c r="F59" s="139" t="s">
        <v>2670</v>
      </c>
      <c r="G59" s="94"/>
      <c r="H59" s="93"/>
      <c r="I59" s="102" t="s">
        <v>181</v>
      </c>
      <c r="J59" s="94"/>
      <c r="K59" s="98">
        <v>10500.0</v>
      </c>
      <c r="L59" s="98">
        <v>3000.0</v>
      </c>
      <c r="M59" s="99"/>
      <c r="N59" s="100"/>
      <c r="O59" s="101"/>
      <c r="P59" s="94"/>
      <c r="Q59" s="102">
        <v>6.0</v>
      </c>
      <c r="R59" s="113"/>
      <c r="S59" s="102" t="s">
        <v>105</v>
      </c>
      <c r="T59" s="102" t="s">
        <v>2671</v>
      </c>
      <c r="V59" s="104"/>
    </row>
    <row r="60" ht="15.75" customHeight="1">
      <c r="A60" s="91"/>
      <c r="B60" s="198">
        <v>12.0</v>
      </c>
      <c r="C60" s="102" t="s">
        <v>543</v>
      </c>
      <c r="D60" s="94"/>
      <c r="E60" s="139" t="s">
        <v>2672</v>
      </c>
      <c r="F60" s="139" t="s">
        <v>2673</v>
      </c>
      <c r="G60" s="94"/>
      <c r="H60" s="93"/>
      <c r="I60" s="102" t="s">
        <v>110</v>
      </c>
      <c r="J60" s="94"/>
      <c r="K60" s="98"/>
      <c r="L60" s="98"/>
      <c r="M60" s="99"/>
      <c r="N60" s="100"/>
      <c r="O60" s="101"/>
      <c r="P60" s="94"/>
      <c r="Q60" s="102"/>
      <c r="R60" s="113"/>
      <c r="S60" s="102"/>
      <c r="T60" s="102" t="s">
        <v>2674</v>
      </c>
      <c r="V60" s="104"/>
    </row>
    <row r="61" ht="15.75" customHeight="1">
      <c r="A61" s="91"/>
      <c r="B61" s="198">
        <v>12.0</v>
      </c>
      <c r="C61" s="97" t="s">
        <v>727</v>
      </c>
      <c r="D61" s="94"/>
      <c r="E61" s="139" t="s">
        <v>2675</v>
      </c>
      <c r="F61" s="139" t="s">
        <v>2676</v>
      </c>
      <c r="G61" s="94"/>
      <c r="H61" s="93"/>
      <c r="I61" s="102" t="s">
        <v>103</v>
      </c>
      <c r="J61" s="94"/>
      <c r="K61" s="202">
        <v>6000.0</v>
      </c>
      <c r="L61" s="202">
        <v>6000.0</v>
      </c>
      <c r="M61" s="99"/>
      <c r="N61" s="100"/>
      <c r="O61" s="101"/>
      <c r="P61" s="94"/>
      <c r="Q61" s="102">
        <v>4.0</v>
      </c>
      <c r="R61" s="103"/>
      <c r="S61" s="102" t="s">
        <v>105</v>
      </c>
      <c r="T61" s="102"/>
      <c r="V61" s="104"/>
    </row>
    <row r="62" ht="15.75" customHeight="1">
      <c r="A62" s="91"/>
      <c r="B62" s="198">
        <v>13.0</v>
      </c>
      <c r="C62" s="97" t="s">
        <v>915</v>
      </c>
      <c r="D62" s="94"/>
      <c r="E62" s="139" t="s">
        <v>2677</v>
      </c>
      <c r="F62" s="139" t="s">
        <v>2678</v>
      </c>
      <c r="G62" s="94"/>
      <c r="H62" s="93"/>
      <c r="I62" s="102" t="s">
        <v>103</v>
      </c>
      <c r="J62" s="94"/>
      <c r="K62" s="202">
        <v>9000.0</v>
      </c>
      <c r="L62" s="202">
        <v>9000.0</v>
      </c>
      <c r="M62" s="99"/>
      <c r="N62" s="100"/>
      <c r="O62" s="101"/>
      <c r="P62" s="94"/>
      <c r="Q62" s="201">
        <v>6.0</v>
      </c>
      <c r="R62" s="103"/>
      <c r="S62" s="102" t="s">
        <v>105</v>
      </c>
      <c r="V62" s="104"/>
    </row>
    <row r="63" ht="15.75" customHeight="1">
      <c r="A63" s="91"/>
      <c r="B63" s="198">
        <v>13.0</v>
      </c>
      <c r="C63" s="97" t="s">
        <v>2679</v>
      </c>
      <c r="D63" s="94"/>
      <c r="E63" s="139" t="s">
        <v>2680</v>
      </c>
      <c r="F63" s="139" t="s">
        <v>2681</v>
      </c>
      <c r="G63" s="94"/>
      <c r="H63" s="93"/>
      <c r="I63" s="102" t="s">
        <v>88</v>
      </c>
      <c r="J63" s="94"/>
      <c r="K63" s="202"/>
      <c r="L63" s="202"/>
      <c r="M63" s="99"/>
      <c r="N63" s="100" t="s">
        <v>45</v>
      </c>
      <c r="O63" s="101" t="s">
        <v>396</v>
      </c>
      <c r="P63" s="94"/>
      <c r="Q63" s="102"/>
      <c r="R63" s="103"/>
      <c r="S63" s="102" t="s">
        <v>124</v>
      </c>
      <c r="T63" s="102" t="s">
        <v>2682</v>
      </c>
      <c r="V63" s="104"/>
    </row>
    <row r="64" ht="15.75" customHeight="1">
      <c r="A64" s="91"/>
      <c r="B64" s="198">
        <v>13.0</v>
      </c>
      <c r="C64" s="97" t="s">
        <v>2026</v>
      </c>
      <c r="D64" s="94"/>
      <c r="E64" s="139" t="s">
        <v>2683</v>
      </c>
      <c r="F64" s="139" t="s">
        <v>2684</v>
      </c>
      <c r="G64" s="94"/>
      <c r="H64" s="93"/>
      <c r="I64" s="102" t="s">
        <v>88</v>
      </c>
      <c r="J64" s="94"/>
      <c r="K64" s="108"/>
      <c r="L64" s="108"/>
      <c r="M64" s="99"/>
      <c r="N64" s="100" t="s">
        <v>45</v>
      </c>
      <c r="O64" s="101" t="s">
        <v>396</v>
      </c>
      <c r="P64" s="94"/>
      <c r="Q64" s="109"/>
      <c r="R64" s="103"/>
      <c r="S64" s="102" t="s">
        <v>383</v>
      </c>
      <c r="T64" s="102" t="s">
        <v>2685</v>
      </c>
      <c r="V64" s="104"/>
    </row>
    <row r="65" ht="15.75" customHeight="1">
      <c r="A65" s="91"/>
      <c r="B65" s="198">
        <v>13.0</v>
      </c>
      <c r="C65" s="97" t="s">
        <v>538</v>
      </c>
      <c r="D65" s="94"/>
      <c r="E65" s="139" t="s">
        <v>2686</v>
      </c>
      <c r="F65" s="239" t="s">
        <v>2687</v>
      </c>
      <c r="G65" s="94"/>
      <c r="H65" s="93"/>
      <c r="I65" s="102" t="s">
        <v>131</v>
      </c>
      <c r="J65" s="94"/>
      <c r="K65" s="98"/>
      <c r="L65" s="98"/>
      <c r="M65" s="99"/>
      <c r="N65" s="100"/>
      <c r="O65" s="101"/>
      <c r="P65" s="94"/>
      <c r="Q65" s="102"/>
      <c r="R65" s="113"/>
      <c r="S65" s="102"/>
      <c r="T65" s="102" t="s">
        <v>2688</v>
      </c>
      <c r="V65" s="104"/>
    </row>
    <row r="66" ht="15.75" customHeight="1">
      <c r="A66" s="91"/>
      <c r="B66" s="198">
        <v>14.0</v>
      </c>
      <c r="C66" s="102" t="s">
        <v>2276</v>
      </c>
      <c r="D66" s="94"/>
      <c r="E66" s="139" t="s">
        <v>2689</v>
      </c>
      <c r="F66" s="139" t="s">
        <v>2690</v>
      </c>
      <c r="G66" s="94"/>
      <c r="H66" s="93"/>
      <c r="I66" s="102" t="s">
        <v>131</v>
      </c>
      <c r="J66" s="94"/>
      <c r="K66" s="98"/>
      <c r="L66" s="98"/>
      <c r="M66" s="99"/>
      <c r="N66" s="100"/>
      <c r="O66" s="101"/>
      <c r="P66" s="94"/>
      <c r="Q66" s="102"/>
      <c r="R66" s="103"/>
      <c r="S66" s="102"/>
      <c r="T66" s="102" t="s">
        <v>2688</v>
      </c>
      <c r="V66" s="104"/>
    </row>
    <row r="67" ht="15.75" customHeight="1">
      <c r="A67" s="91"/>
      <c r="B67" s="198">
        <v>15.0</v>
      </c>
      <c r="C67" s="102" t="s">
        <v>1122</v>
      </c>
      <c r="D67" s="94"/>
      <c r="E67" s="139" t="s">
        <v>2691</v>
      </c>
      <c r="F67" s="139" t="s">
        <v>2692</v>
      </c>
      <c r="G67" s="94"/>
      <c r="H67" s="93"/>
      <c r="I67" s="102" t="s">
        <v>181</v>
      </c>
      <c r="J67" s="94"/>
      <c r="K67" s="98">
        <v>10500.0</v>
      </c>
      <c r="L67" s="98">
        <v>3000.0</v>
      </c>
      <c r="M67" s="99"/>
      <c r="N67" s="100"/>
      <c r="O67" s="101"/>
      <c r="P67" s="94"/>
      <c r="Q67" s="102">
        <v>6.0</v>
      </c>
      <c r="R67" s="113"/>
      <c r="S67" s="102" t="s">
        <v>105</v>
      </c>
      <c r="T67" s="102" t="s">
        <v>2693</v>
      </c>
      <c r="V67" s="104"/>
    </row>
    <row r="68" ht="15.75" customHeight="1">
      <c r="A68" s="91"/>
      <c r="B68" s="198">
        <v>15.0</v>
      </c>
      <c r="C68" s="102" t="s">
        <v>531</v>
      </c>
      <c r="D68" s="94"/>
      <c r="E68" s="139" t="s">
        <v>2694</v>
      </c>
      <c r="F68" s="139" t="s">
        <v>2695</v>
      </c>
      <c r="G68" s="94"/>
      <c r="H68" s="93"/>
      <c r="I68" s="102" t="s">
        <v>131</v>
      </c>
      <c r="J68" s="94"/>
      <c r="K68" s="108"/>
      <c r="L68" s="108"/>
      <c r="M68" s="99"/>
      <c r="N68" s="100"/>
      <c r="O68" s="101"/>
      <c r="P68" s="94"/>
      <c r="Q68" s="94"/>
      <c r="R68" s="113"/>
      <c r="S68" s="102"/>
      <c r="T68" s="102" t="s">
        <v>2688</v>
      </c>
      <c r="V68" s="104"/>
    </row>
    <row r="69" ht="15.75" customHeight="1">
      <c r="A69" s="91"/>
      <c r="B69" s="198">
        <v>15.0</v>
      </c>
      <c r="C69" s="97" t="s">
        <v>2624</v>
      </c>
      <c r="D69" s="94"/>
      <c r="E69" s="139" t="s">
        <v>2625</v>
      </c>
      <c r="F69" s="139" t="s">
        <v>2696</v>
      </c>
      <c r="G69" s="94"/>
      <c r="H69" s="93"/>
      <c r="I69" s="102" t="s">
        <v>131</v>
      </c>
      <c r="J69" s="94"/>
      <c r="K69" s="98"/>
      <c r="L69" s="98"/>
      <c r="M69" s="99"/>
      <c r="N69" s="100"/>
      <c r="O69" s="101"/>
      <c r="P69" s="94"/>
      <c r="Q69" s="94"/>
      <c r="R69" s="113"/>
      <c r="S69" s="102"/>
      <c r="T69" s="102" t="s">
        <v>2688</v>
      </c>
      <c r="V69" s="104"/>
    </row>
    <row r="70" ht="15.75" customHeight="1">
      <c r="A70" s="91"/>
      <c r="B70" s="198">
        <v>15.0</v>
      </c>
      <c r="C70" s="97" t="s">
        <v>949</v>
      </c>
      <c r="D70" s="94"/>
      <c r="E70" s="139" t="s">
        <v>2697</v>
      </c>
      <c r="F70" s="139" t="s">
        <v>2698</v>
      </c>
      <c r="G70" s="94"/>
      <c r="H70" s="93"/>
      <c r="I70" s="102" t="s">
        <v>88</v>
      </c>
      <c r="J70" s="94"/>
      <c r="K70" s="108"/>
      <c r="L70" s="108"/>
      <c r="M70" s="99"/>
      <c r="N70" s="100" t="s">
        <v>45</v>
      </c>
      <c r="O70" s="101" t="s">
        <v>396</v>
      </c>
      <c r="P70" s="94"/>
      <c r="Q70" s="94"/>
      <c r="R70" s="113"/>
      <c r="S70" s="102" t="s">
        <v>383</v>
      </c>
      <c r="T70" s="102" t="s">
        <v>2699</v>
      </c>
      <c r="V70" s="104"/>
    </row>
    <row r="71" ht="15.75" customHeight="1">
      <c r="A71" s="91"/>
      <c r="B71" s="198">
        <v>15.0</v>
      </c>
      <c r="C71" s="97" t="s">
        <v>393</v>
      </c>
      <c r="D71" s="94"/>
      <c r="E71" s="139" t="s">
        <v>2700</v>
      </c>
      <c r="F71" s="139" t="s">
        <v>2701</v>
      </c>
      <c r="G71" s="94"/>
      <c r="H71" s="93"/>
      <c r="I71" s="102" t="s">
        <v>131</v>
      </c>
      <c r="J71" s="94"/>
      <c r="K71" s="98"/>
      <c r="L71" s="98"/>
      <c r="M71" s="99"/>
      <c r="N71" s="100"/>
      <c r="O71" s="101"/>
      <c r="P71" s="94"/>
      <c r="Q71" s="109"/>
      <c r="R71" s="106"/>
      <c r="S71" s="102"/>
      <c r="T71" s="102" t="s">
        <v>2702</v>
      </c>
      <c r="V71" s="104"/>
    </row>
    <row r="72" ht="15.75" customHeight="1">
      <c r="A72" s="91"/>
      <c r="B72" s="198">
        <v>15.0</v>
      </c>
      <c r="C72" s="97" t="s">
        <v>291</v>
      </c>
      <c r="D72" s="94"/>
      <c r="E72" s="139" t="s">
        <v>2703</v>
      </c>
      <c r="F72" s="139" t="s">
        <v>2704</v>
      </c>
      <c r="G72" s="94"/>
      <c r="H72" s="93"/>
      <c r="I72" s="102" t="s">
        <v>103</v>
      </c>
      <c r="J72" s="94"/>
      <c r="K72" s="202">
        <v>9000.0</v>
      </c>
      <c r="L72" s="202">
        <v>9000.0</v>
      </c>
      <c r="M72" s="99"/>
      <c r="N72" s="100"/>
      <c r="O72" s="101"/>
      <c r="P72" s="94"/>
      <c r="Q72" s="201">
        <v>6.0</v>
      </c>
      <c r="R72" s="103"/>
      <c r="S72" s="102" t="s">
        <v>105</v>
      </c>
      <c r="T72" s="102"/>
      <c r="V72" s="104"/>
    </row>
    <row r="73" ht="15.75" customHeight="1">
      <c r="A73" s="91"/>
      <c r="B73" s="198">
        <v>16.0</v>
      </c>
      <c r="C73" s="97" t="s">
        <v>2705</v>
      </c>
      <c r="D73" s="94"/>
      <c r="E73" s="139" t="s">
        <v>2706</v>
      </c>
      <c r="F73" s="139" t="s">
        <v>2707</v>
      </c>
      <c r="G73" s="94"/>
      <c r="H73" s="93"/>
      <c r="I73" s="102" t="s">
        <v>103</v>
      </c>
      <c r="J73" s="94"/>
      <c r="K73" s="202">
        <v>9000.0</v>
      </c>
      <c r="L73" s="202">
        <v>9000.0</v>
      </c>
      <c r="M73" s="99"/>
      <c r="N73" s="100"/>
      <c r="O73" s="101"/>
      <c r="P73" s="94"/>
      <c r="Q73" s="201">
        <v>6.0</v>
      </c>
      <c r="R73" s="103"/>
      <c r="S73" s="102" t="s">
        <v>105</v>
      </c>
      <c r="T73" s="102"/>
      <c r="V73" s="104"/>
    </row>
    <row r="74" ht="15.75" customHeight="1">
      <c r="A74" s="91"/>
      <c r="B74" s="198">
        <v>16.0</v>
      </c>
      <c r="C74" s="102" t="s">
        <v>1518</v>
      </c>
      <c r="D74" s="94"/>
      <c r="E74" s="139" t="s">
        <v>2708</v>
      </c>
      <c r="F74" s="139" t="s">
        <v>2709</v>
      </c>
      <c r="G74" s="94"/>
      <c r="H74" s="93"/>
      <c r="I74" s="102" t="s">
        <v>88</v>
      </c>
      <c r="J74" s="94"/>
      <c r="K74" s="202"/>
      <c r="L74" s="202"/>
      <c r="M74" s="99"/>
      <c r="N74" s="100" t="s">
        <v>45</v>
      </c>
      <c r="O74" s="101" t="s">
        <v>396</v>
      </c>
      <c r="P74" s="94"/>
      <c r="Q74" s="102"/>
      <c r="R74" s="113"/>
      <c r="S74" s="102" t="s">
        <v>383</v>
      </c>
      <c r="T74" s="102" t="s">
        <v>2710</v>
      </c>
      <c r="V74" s="104"/>
    </row>
    <row r="75" ht="15.75" customHeight="1">
      <c r="A75" s="91"/>
      <c r="B75" s="198">
        <v>16.0</v>
      </c>
      <c r="C75" s="97" t="s">
        <v>616</v>
      </c>
      <c r="D75" s="94"/>
      <c r="E75" s="139" t="s">
        <v>2711</v>
      </c>
      <c r="F75" s="139" t="s">
        <v>2712</v>
      </c>
      <c r="G75" s="94"/>
      <c r="H75" s="93"/>
      <c r="I75" s="102" t="s">
        <v>88</v>
      </c>
      <c r="J75" s="94"/>
      <c r="K75" s="98"/>
      <c r="L75" s="98"/>
      <c r="M75" s="99"/>
      <c r="N75" s="100" t="s">
        <v>98</v>
      </c>
      <c r="O75" s="101" t="s">
        <v>2713</v>
      </c>
      <c r="P75" s="94"/>
      <c r="Q75" s="102"/>
      <c r="R75" s="113"/>
      <c r="S75" s="102" t="s">
        <v>383</v>
      </c>
      <c r="T75" s="102" t="s">
        <v>2714</v>
      </c>
      <c r="V75" s="104"/>
    </row>
    <row r="76" ht="15.75" customHeight="1">
      <c r="A76" s="91"/>
      <c r="B76" s="198">
        <v>17.0</v>
      </c>
      <c r="C76" s="121" t="s">
        <v>1754</v>
      </c>
      <c r="D76" s="94"/>
      <c r="E76" s="139" t="s">
        <v>2715</v>
      </c>
      <c r="F76" s="139" t="s">
        <v>2716</v>
      </c>
      <c r="G76" s="94"/>
      <c r="H76" s="93"/>
      <c r="I76" s="102" t="s">
        <v>88</v>
      </c>
      <c r="J76" s="94"/>
      <c r="K76" s="98"/>
      <c r="L76" s="98"/>
      <c r="M76" s="99"/>
      <c r="N76" s="100" t="s">
        <v>98</v>
      </c>
      <c r="O76" s="101" t="s">
        <v>647</v>
      </c>
      <c r="P76" s="94"/>
      <c r="Q76" s="102"/>
      <c r="R76" s="113"/>
      <c r="S76" s="102" t="s">
        <v>383</v>
      </c>
      <c r="T76" s="102" t="s">
        <v>2717</v>
      </c>
      <c r="V76" s="103" t="s">
        <v>2718</v>
      </c>
    </row>
    <row r="77" ht="15.75" customHeight="1">
      <c r="A77" s="91"/>
      <c r="B77" s="198">
        <v>17.0</v>
      </c>
      <c r="C77" s="97" t="s">
        <v>252</v>
      </c>
      <c r="D77" s="94"/>
      <c r="E77" s="139" t="s">
        <v>2719</v>
      </c>
      <c r="F77" s="139" t="s">
        <v>2720</v>
      </c>
      <c r="G77" s="94"/>
      <c r="H77" s="93"/>
      <c r="I77" s="102" t="s">
        <v>88</v>
      </c>
      <c r="J77" s="94"/>
      <c r="K77" s="98"/>
      <c r="L77" s="98"/>
      <c r="M77" s="99"/>
      <c r="N77" s="100" t="s">
        <v>98</v>
      </c>
      <c r="O77" s="101" t="s">
        <v>2721</v>
      </c>
      <c r="P77" s="94"/>
      <c r="Q77" s="102"/>
      <c r="R77" s="103"/>
      <c r="S77" s="102" t="s">
        <v>383</v>
      </c>
      <c r="T77" s="102" t="s">
        <v>2722</v>
      </c>
      <c r="V77" s="104"/>
    </row>
    <row r="78" ht="15.75" customHeight="1">
      <c r="A78" s="91"/>
      <c r="B78" s="198">
        <v>18.0</v>
      </c>
      <c r="C78" s="121" t="s">
        <v>616</v>
      </c>
      <c r="D78" s="94"/>
      <c r="E78" s="139" t="s">
        <v>2723</v>
      </c>
      <c r="F78" s="139" t="s">
        <v>2724</v>
      </c>
      <c r="G78" s="94"/>
      <c r="H78" s="93"/>
      <c r="I78" s="102" t="s">
        <v>88</v>
      </c>
      <c r="J78" s="94"/>
      <c r="K78" s="108"/>
      <c r="L78" s="108"/>
      <c r="M78" s="99"/>
      <c r="N78" s="100" t="s">
        <v>65</v>
      </c>
      <c r="O78" s="101" t="s">
        <v>2725</v>
      </c>
      <c r="P78" s="94"/>
      <c r="Q78" s="117"/>
      <c r="R78" s="123"/>
      <c r="S78" s="102" t="s">
        <v>90</v>
      </c>
      <c r="T78" s="102" t="s">
        <v>2726</v>
      </c>
      <c r="V78" s="104"/>
    </row>
    <row r="79" ht="15.75" customHeight="1">
      <c r="A79" s="91"/>
      <c r="B79" s="198">
        <v>18.0</v>
      </c>
      <c r="C79" s="97" t="s">
        <v>514</v>
      </c>
      <c r="D79" s="94"/>
      <c r="E79" s="139" t="s">
        <v>2727</v>
      </c>
      <c r="F79" s="139" t="s">
        <v>2728</v>
      </c>
      <c r="G79" s="94"/>
      <c r="H79" s="93"/>
      <c r="I79" s="102" t="s">
        <v>110</v>
      </c>
      <c r="J79" s="94"/>
      <c r="K79" s="98"/>
      <c r="L79" s="98"/>
      <c r="M79" s="99"/>
      <c r="N79" s="100"/>
      <c r="O79" s="101"/>
      <c r="P79" s="94"/>
      <c r="Q79" s="117"/>
      <c r="R79" s="103"/>
      <c r="S79" s="102"/>
      <c r="T79" s="102" t="s">
        <v>2729</v>
      </c>
      <c r="V79" s="104"/>
    </row>
    <row r="80" ht="15.75" customHeight="1">
      <c r="A80" s="91"/>
      <c r="B80" s="198">
        <v>18.0</v>
      </c>
      <c r="C80" s="97" t="s">
        <v>949</v>
      </c>
      <c r="D80" s="94"/>
      <c r="E80" s="139" t="s">
        <v>2730</v>
      </c>
      <c r="F80" s="139" t="s">
        <v>2731</v>
      </c>
      <c r="G80" s="94"/>
      <c r="H80" s="93"/>
      <c r="I80" s="102" t="s">
        <v>88</v>
      </c>
      <c r="J80" s="94"/>
      <c r="K80" s="98"/>
      <c r="L80" s="98"/>
      <c r="M80" s="99"/>
      <c r="N80" s="100" t="s">
        <v>45</v>
      </c>
      <c r="O80" s="101" t="s">
        <v>396</v>
      </c>
      <c r="P80" s="94"/>
      <c r="Q80" s="102"/>
      <c r="R80" s="103"/>
      <c r="S80" s="102" t="s">
        <v>383</v>
      </c>
      <c r="T80" s="102" t="s">
        <v>2732</v>
      </c>
      <c r="V80" s="104"/>
    </row>
    <row r="81" ht="15.75" customHeight="1">
      <c r="A81" s="91"/>
      <c r="B81" s="198">
        <v>18.0</v>
      </c>
      <c r="C81" s="97" t="s">
        <v>2733</v>
      </c>
      <c r="D81" s="94"/>
      <c r="E81" s="139" t="s">
        <v>2734</v>
      </c>
      <c r="F81" s="139" t="s">
        <v>2735</v>
      </c>
      <c r="G81" s="94"/>
      <c r="H81" s="93"/>
      <c r="I81" s="102" t="s">
        <v>88</v>
      </c>
      <c r="J81" s="94"/>
      <c r="K81" s="202"/>
      <c r="L81" s="202"/>
      <c r="M81" s="99"/>
      <c r="N81" s="100" t="s">
        <v>45</v>
      </c>
      <c r="O81" s="101" t="s">
        <v>2736</v>
      </c>
      <c r="P81" s="94"/>
      <c r="Q81" s="102"/>
      <c r="R81" s="113"/>
      <c r="S81" s="102" t="s">
        <v>383</v>
      </c>
      <c r="T81" s="102" t="s">
        <v>2737</v>
      </c>
      <c r="V81" s="104"/>
    </row>
    <row r="82" ht="15.75" customHeight="1">
      <c r="A82" s="91"/>
      <c r="B82" s="198">
        <v>19.0</v>
      </c>
      <c r="C82" s="102" t="s">
        <v>136</v>
      </c>
      <c r="D82" s="94"/>
      <c r="E82" s="139" t="s">
        <v>2738</v>
      </c>
      <c r="F82" s="261" t="s">
        <v>2739</v>
      </c>
      <c r="G82" s="94"/>
      <c r="H82" s="93"/>
      <c r="I82" s="102" t="s">
        <v>88</v>
      </c>
      <c r="J82" s="94"/>
      <c r="K82" s="108"/>
      <c r="L82" s="98">
        <v>500.0</v>
      </c>
      <c r="M82" s="99"/>
      <c r="N82" s="100"/>
      <c r="O82" s="101"/>
      <c r="P82" s="94"/>
      <c r="Q82" s="109"/>
      <c r="R82" s="103"/>
      <c r="S82" s="102" t="s">
        <v>90</v>
      </c>
      <c r="T82" s="102" t="s">
        <v>2740</v>
      </c>
      <c r="V82" s="104"/>
    </row>
    <row r="83" ht="15.75" customHeight="1">
      <c r="A83" s="91"/>
      <c r="B83" s="198">
        <v>19.0</v>
      </c>
      <c r="C83" s="121" t="s">
        <v>1848</v>
      </c>
      <c r="D83" s="94"/>
      <c r="E83" s="139" t="s">
        <v>2741</v>
      </c>
      <c r="F83" s="139" t="s">
        <v>2742</v>
      </c>
      <c r="G83" s="94"/>
      <c r="H83" s="93"/>
      <c r="I83" s="102" t="s">
        <v>591</v>
      </c>
      <c r="J83" s="94"/>
      <c r="K83" s="98"/>
      <c r="L83" s="98"/>
      <c r="M83" s="99"/>
      <c r="N83" s="100" t="s">
        <v>98</v>
      </c>
      <c r="O83" s="101" t="s">
        <v>2743</v>
      </c>
      <c r="P83" s="94"/>
      <c r="R83" s="113"/>
      <c r="S83" s="102" t="s">
        <v>90</v>
      </c>
      <c r="T83" s="102" t="s">
        <v>2744</v>
      </c>
      <c r="V83" s="104"/>
    </row>
    <row r="84" ht="15.75" customHeight="1">
      <c r="A84" s="91"/>
      <c r="B84" s="198">
        <v>19.0</v>
      </c>
      <c r="C84" s="121" t="s">
        <v>1754</v>
      </c>
      <c r="D84" s="94"/>
      <c r="E84" s="139" t="s">
        <v>2745</v>
      </c>
      <c r="F84" s="139" t="s">
        <v>2746</v>
      </c>
      <c r="G84" s="94"/>
      <c r="H84" s="93"/>
      <c r="I84" s="102" t="s">
        <v>88</v>
      </c>
      <c r="J84" s="94"/>
      <c r="K84" s="108"/>
      <c r="L84" s="98">
        <v>500.0</v>
      </c>
      <c r="M84" s="99"/>
      <c r="N84" s="100"/>
      <c r="O84" s="101"/>
      <c r="P84" s="94"/>
      <c r="Q84" s="102"/>
      <c r="R84" s="103"/>
      <c r="S84" s="102" t="s">
        <v>383</v>
      </c>
      <c r="T84" s="102" t="s">
        <v>2740</v>
      </c>
      <c r="V84" s="104"/>
    </row>
    <row r="85" ht="15.75" customHeight="1">
      <c r="A85" s="91"/>
      <c r="B85" s="198">
        <v>19.0</v>
      </c>
      <c r="C85" s="121" t="s">
        <v>262</v>
      </c>
      <c r="D85" s="94"/>
      <c r="E85" s="139" t="s">
        <v>2747</v>
      </c>
      <c r="F85" s="139" t="s">
        <v>2748</v>
      </c>
      <c r="G85" s="94"/>
      <c r="H85" s="93"/>
      <c r="I85" s="102" t="s">
        <v>591</v>
      </c>
      <c r="J85" s="94"/>
      <c r="K85" s="98"/>
      <c r="L85" s="98"/>
      <c r="M85" s="99"/>
      <c r="N85" s="100" t="s">
        <v>45</v>
      </c>
      <c r="O85" s="101" t="s">
        <v>2749</v>
      </c>
      <c r="P85" s="94"/>
      <c r="Q85" s="102"/>
      <c r="R85" s="113"/>
      <c r="S85" s="102" t="s">
        <v>90</v>
      </c>
      <c r="T85" s="102" t="s">
        <v>2750</v>
      </c>
      <c r="V85" s="104"/>
    </row>
    <row r="86" ht="15.75" customHeight="1">
      <c r="A86" s="91"/>
      <c r="B86" s="198">
        <v>20.0</v>
      </c>
      <c r="C86" s="121" t="s">
        <v>2751</v>
      </c>
      <c r="D86" s="94"/>
      <c r="E86" s="139" t="s">
        <v>2752</v>
      </c>
      <c r="F86" s="139" t="s">
        <v>2753</v>
      </c>
      <c r="G86" s="94"/>
      <c r="H86" s="93"/>
      <c r="I86" s="102" t="s">
        <v>88</v>
      </c>
      <c r="J86" s="94"/>
      <c r="K86" s="202"/>
      <c r="L86" s="202"/>
      <c r="M86" s="99"/>
      <c r="N86" s="100" t="s">
        <v>98</v>
      </c>
      <c r="O86" s="101" t="s">
        <v>647</v>
      </c>
      <c r="P86" s="94"/>
      <c r="Q86" s="102"/>
      <c r="R86" s="113"/>
      <c r="S86" s="102" t="s">
        <v>124</v>
      </c>
      <c r="T86" s="102" t="s">
        <v>2754</v>
      </c>
      <c r="V86" s="104"/>
    </row>
    <row r="87" ht="15.75" customHeight="1">
      <c r="A87" s="91"/>
      <c r="B87" s="198">
        <v>20.0</v>
      </c>
      <c r="C87" s="121" t="s">
        <v>344</v>
      </c>
      <c r="D87" s="94"/>
      <c r="E87" s="139" t="s">
        <v>2755</v>
      </c>
      <c r="F87" s="139" t="s">
        <v>2756</v>
      </c>
      <c r="G87" s="94"/>
      <c r="H87" s="93"/>
      <c r="I87" s="102" t="s">
        <v>131</v>
      </c>
      <c r="J87" s="94"/>
      <c r="K87" s="98"/>
      <c r="L87" s="98"/>
      <c r="M87" s="99"/>
      <c r="N87" s="100"/>
      <c r="O87" s="101"/>
      <c r="P87" s="94"/>
      <c r="Q87" s="94"/>
      <c r="R87" s="113"/>
      <c r="S87" s="102"/>
      <c r="T87" s="102"/>
      <c r="V87" s="104"/>
    </row>
    <row r="88" ht="15.75" customHeight="1">
      <c r="A88" s="91"/>
      <c r="B88" s="198">
        <v>20.0</v>
      </c>
      <c r="C88" s="121" t="s">
        <v>393</v>
      </c>
      <c r="D88" s="94"/>
      <c r="E88" s="139" t="s">
        <v>2757</v>
      </c>
      <c r="F88" s="139" t="s">
        <v>2758</v>
      </c>
      <c r="G88" s="94"/>
      <c r="H88" s="93"/>
      <c r="I88" s="102" t="s">
        <v>88</v>
      </c>
      <c r="J88" s="94"/>
      <c r="K88" s="98"/>
      <c r="L88" s="98"/>
      <c r="M88" s="99"/>
      <c r="N88" s="100" t="s">
        <v>60</v>
      </c>
      <c r="O88" s="101" t="s">
        <v>1490</v>
      </c>
      <c r="P88" s="94"/>
      <c r="Q88" s="102"/>
      <c r="R88" s="106"/>
      <c r="S88" s="102" t="s">
        <v>124</v>
      </c>
      <c r="T88" s="102" t="s">
        <v>2759</v>
      </c>
      <c r="V88" s="104"/>
    </row>
    <row r="89" ht="15.75" customHeight="1">
      <c r="A89" s="91"/>
      <c r="B89" s="198">
        <v>21.0</v>
      </c>
      <c r="C89" s="121" t="s">
        <v>1210</v>
      </c>
      <c r="D89" s="94"/>
      <c r="E89" s="139" t="s">
        <v>2760</v>
      </c>
      <c r="F89" s="139" t="s">
        <v>2761</v>
      </c>
      <c r="G89" s="94"/>
      <c r="H89" s="93"/>
      <c r="I89" s="102" t="s">
        <v>88</v>
      </c>
      <c r="J89" s="94"/>
      <c r="K89" s="98"/>
      <c r="L89" s="98"/>
      <c r="M89" s="99"/>
      <c r="N89" s="100" t="s">
        <v>45</v>
      </c>
      <c r="O89" s="101" t="s">
        <v>396</v>
      </c>
      <c r="P89" s="94"/>
      <c r="Q89" s="117"/>
      <c r="R89" s="106"/>
      <c r="S89" s="102" t="s">
        <v>383</v>
      </c>
      <c r="T89" s="102" t="s">
        <v>2762</v>
      </c>
      <c r="V89" s="104"/>
    </row>
    <row r="90" ht="15.75" customHeight="1">
      <c r="A90" s="91"/>
      <c r="B90" s="198">
        <v>22.0</v>
      </c>
      <c r="C90" s="121" t="s">
        <v>1210</v>
      </c>
      <c r="D90" s="94"/>
      <c r="E90" s="139" t="s">
        <v>2763</v>
      </c>
      <c r="F90" s="139" t="s">
        <v>2764</v>
      </c>
      <c r="G90" s="94"/>
      <c r="H90" s="93"/>
      <c r="I90" s="102" t="s">
        <v>88</v>
      </c>
      <c r="J90" s="94"/>
      <c r="K90" s="98"/>
      <c r="L90" s="98"/>
      <c r="M90" s="99"/>
      <c r="N90" s="100" t="s">
        <v>60</v>
      </c>
      <c r="O90" s="101" t="s">
        <v>1490</v>
      </c>
      <c r="P90" s="94"/>
      <c r="Q90" s="102"/>
      <c r="R90" s="113"/>
      <c r="S90" s="240" t="s">
        <v>90</v>
      </c>
      <c r="T90" s="102" t="s">
        <v>2765</v>
      </c>
      <c r="V90" s="104"/>
    </row>
    <row r="91" ht="15.75" customHeight="1">
      <c r="A91" s="91"/>
      <c r="B91" s="198">
        <v>22.0</v>
      </c>
      <c r="C91" s="102" t="s">
        <v>10</v>
      </c>
      <c r="D91" s="94"/>
      <c r="E91" s="139" t="s">
        <v>2766</v>
      </c>
      <c r="F91" s="239" t="s">
        <v>2767</v>
      </c>
      <c r="G91" s="94"/>
      <c r="H91" s="93"/>
      <c r="I91" s="102" t="s">
        <v>88</v>
      </c>
      <c r="J91" s="94"/>
      <c r="K91" s="98"/>
      <c r="L91" s="98"/>
      <c r="M91" s="99"/>
      <c r="N91" s="100" t="s">
        <v>45</v>
      </c>
      <c r="O91" s="101" t="s">
        <v>396</v>
      </c>
      <c r="P91" s="94"/>
      <c r="Q91" s="117"/>
      <c r="R91" s="103"/>
      <c r="S91" s="102" t="s">
        <v>383</v>
      </c>
      <c r="T91" s="102" t="s">
        <v>2768</v>
      </c>
      <c r="V91" s="104"/>
    </row>
    <row r="92" ht="15.75" customHeight="1">
      <c r="A92" s="91"/>
      <c r="B92" s="198">
        <v>22.0</v>
      </c>
      <c r="C92" s="103" t="s">
        <v>2596</v>
      </c>
      <c r="D92" s="94"/>
      <c r="E92" s="139" t="s">
        <v>2769</v>
      </c>
      <c r="F92" s="239" t="s">
        <v>2770</v>
      </c>
      <c r="G92" s="94"/>
      <c r="H92" s="93"/>
      <c r="I92" s="102" t="s">
        <v>181</v>
      </c>
      <c r="J92" s="94"/>
      <c r="K92" s="202">
        <v>10500.0</v>
      </c>
      <c r="L92" s="202">
        <v>3000.0</v>
      </c>
      <c r="M92" s="99"/>
      <c r="N92" s="100" t="s">
        <v>45</v>
      </c>
      <c r="O92" s="101" t="s">
        <v>396</v>
      </c>
      <c r="P92" s="94"/>
      <c r="Q92" s="117"/>
      <c r="R92" s="113"/>
      <c r="S92" s="102" t="s">
        <v>105</v>
      </c>
      <c r="T92" s="241" t="s">
        <v>2771</v>
      </c>
      <c r="V92" s="104"/>
    </row>
    <row r="93" ht="15.75" customHeight="1">
      <c r="A93" s="91"/>
      <c r="B93" s="198">
        <v>22.0</v>
      </c>
      <c r="C93" s="93" t="s">
        <v>777</v>
      </c>
      <c r="D93" s="94"/>
      <c r="E93" s="139" t="s">
        <v>2772</v>
      </c>
      <c r="F93" s="139" t="s">
        <v>2773</v>
      </c>
      <c r="G93" s="94"/>
      <c r="H93" s="93"/>
      <c r="I93" s="102" t="s">
        <v>181</v>
      </c>
      <c r="J93" s="94"/>
      <c r="K93" s="202">
        <v>10500.0</v>
      </c>
      <c r="L93" s="202">
        <v>3000.0</v>
      </c>
      <c r="M93" s="99"/>
      <c r="N93" s="111"/>
      <c r="O93" s="112"/>
      <c r="P93" s="94"/>
      <c r="Q93" s="102">
        <v>6.0</v>
      </c>
      <c r="R93" s="103"/>
      <c r="S93" s="102" t="s">
        <v>105</v>
      </c>
      <c r="T93" s="102"/>
      <c r="V93" s="104"/>
    </row>
    <row r="94" ht="15.75" customHeight="1">
      <c r="A94" s="91"/>
      <c r="B94" s="198">
        <v>22.0</v>
      </c>
      <c r="C94" s="93" t="s">
        <v>438</v>
      </c>
      <c r="D94" s="94"/>
      <c r="E94" s="139" t="s">
        <v>2774</v>
      </c>
      <c r="F94" s="139" t="s">
        <v>2775</v>
      </c>
      <c r="G94" s="94"/>
      <c r="H94" s="93"/>
      <c r="I94" s="102" t="s">
        <v>131</v>
      </c>
      <c r="J94" s="94"/>
      <c r="K94" s="98"/>
      <c r="L94" s="98"/>
      <c r="M94" s="99"/>
      <c r="N94" s="100"/>
      <c r="O94" s="101"/>
      <c r="P94" s="94"/>
      <c r="Q94" s="102"/>
      <c r="R94" s="113"/>
      <c r="S94" s="102"/>
      <c r="T94" s="102"/>
      <c r="V94" s="104"/>
    </row>
    <row r="95" ht="15.75" customHeight="1">
      <c r="A95" s="91"/>
      <c r="B95" s="198">
        <v>22.0</v>
      </c>
      <c r="C95" s="93" t="s">
        <v>894</v>
      </c>
      <c r="D95" s="94"/>
      <c r="E95" s="139" t="s">
        <v>2776</v>
      </c>
      <c r="F95" s="139" t="s">
        <v>2777</v>
      </c>
      <c r="G95" s="94"/>
      <c r="H95" s="93"/>
      <c r="I95" s="102" t="s">
        <v>88</v>
      </c>
      <c r="J95" s="94"/>
      <c r="K95" s="98"/>
      <c r="L95" s="98"/>
      <c r="M95" s="99"/>
      <c r="N95" s="100" t="s">
        <v>45</v>
      </c>
      <c r="O95" s="101" t="s">
        <v>584</v>
      </c>
      <c r="P95" s="94"/>
      <c r="Q95" s="102"/>
      <c r="R95" s="103"/>
      <c r="S95" s="102" t="s">
        <v>383</v>
      </c>
      <c r="T95" s="102" t="s">
        <v>2778</v>
      </c>
      <c r="V95" s="104"/>
    </row>
    <row r="96" ht="15.75" customHeight="1">
      <c r="A96" s="91"/>
      <c r="B96" s="198">
        <v>22.0</v>
      </c>
      <c r="C96" s="93" t="s">
        <v>2055</v>
      </c>
      <c r="D96" s="94"/>
      <c r="E96" s="139" t="s">
        <v>2779</v>
      </c>
      <c r="F96" s="139" t="s">
        <v>2780</v>
      </c>
      <c r="G96" s="94"/>
      <c r="H96" s="93"/>
      <c r="I96" s="102" t="s">
        <v>88</v>
      </c>
      <c r="J96" s="94"/>
      <c r="K96" s="98"/>
      <c r="L96" s="98"/>
      <c r="M96" s="99"/>
      <c r="N96" s="100" t="s">
        <v>98</v>
      </c>
      <c r="O96" s="101" t="s">
        <v>2781</v>
      </c>
      <c r="P96" s="94"/>
      <c r="Q96" s="102"/>
      <c r="R96" s="103"/>
      <c r="S96" s="102" t="s">
        <v>124</v>
      </c>
      <c r="T96" s="102" t="s">
        <v>2782</v>
      </c>
      <c r="V96" s="104"/>
    </row>
    <row r="97" ht="15.75" customHeight="1">
      <c r="A97" s="91"/>
      <c r="B97" s="198">
        <v>23.0</v>
      </c>
      <c r="C97" s="93" t="s">
        <v>1754</v>
      </c>
      <c r="D97" s="94"/>
      <c r="E97" s="139" t="s">
        <v>2783</v>
      </c>
      <c r="F97" s="139" t="s">
        <v>2784</v>
      </c>
      <c r="G97" s="94"/>
      <c r="H97" s="93"/>
      <c r="I97" s="102" t="s">
        <v>103</v>
      </c>
      <c r="J97" s="94"/>
      <c r="K97" s="202">
        <v>6000.0</v>
      </c>
      <c r="L97" s="202">
        <v>6000.0</v>
      </c>
      <c r="M97" s="99"/>
      <c r="N97" s="100"/>
      <c r="O97" s="101"/>
      <c r="P97" s="94"/>
      <c r="Q97" s="102">
        <v>4.0</v>
      </c>
      <c r="R97" s="103"/>
      <c r="S97" s="102" t="s">
        <v>105</v>
      </c>
      <c r="T97" s="102"/>
      <c r="V97" s="104"/>
    </row>
    <row r="98" ht="15.75" customHeight="1">
      <c r="A98" s="91"/>
      <c r="B98" s="198">
        <v>23.0</v>
      </c>
      <c r="C98" s="103" t="s">
        <v>410</v>
      </c>
      <c r="D98" s="94"/>
      <c r="E98" s="139" t="s">
        <v>2785</v>
      </c>
      <c r="F98" s="139" t="s">
        <v>2786</v>
      </c>
      <c r="G98" s="94"/>
      <c r="H98" s="93"/>
      <c r="I98" s="102" t="s">
        <v>88</v>
      </c>
      <c r="J98" s="94"/>
      <c r="K98" s="108"/>
      <c r="L98" s="108"/>
      <c r="M98" s="99"/>
      <c r="N98" s="100" t="s">
        <v>65</v>
      </c>
      <c r="O98" s="101" t="s">
        <v>2787</v>
      </c>
      <c r="P98" s="94"/>
      <c r="Q98" s="109"/>
      <c r="R98" s="103"/>
      <c r="S98" s="102" t="s">
        <v>90</v>
      </c>
      <c r="T98" s="102" t="s">
        <v>2788</v>
      </c>
      <c r="V98" s="104"/>
    </row>
    <row r="99" ht="15.75" customHeight="1">
      <c r="A99" s="91"/>
      <c r="B99" s="198">
        <v>23.0</v>
      </c>
      <c r="C99" s="103" t="s">
        <v>915</v>
      </c>
      <c r="D99" s="94"/>
      <c r="E99" s="139" t="s">
        <v>2789</v>
      </c>
      <c r="F99" s="139" t="s">
        <v>2790</v>
      </c>
      <c r="G99" s="94"/>
      <c r="H99" s="93"/>
      <c r="I99" s="102" t="s">
        <v>88</v>
      </c>
      <c r="J99" s="94"/>
      <c r="K99" s="98"/>
      <c r="L99" s="98"/>
      <c r="M99" s="99"/>
      <c r="N99" s="100" t="s">
        <v>98</v>
      </c>
      <c r="O99" s="101" t="s">
        <v>2781</v>
      </c>
      <c r="P99" s="94"/>
      <c r="Q99" s="102"/>
      <c r="R99" s="113"/>
      <c r="S99" s="102" t="s">
        <v>383</v>
      </c>
      <c r="T99" s="102" t="s">
        <v>2791</v>
      </c>
      <c r="V99" s="104"/>
    </row>
    <row r="100" ht="15.75" customHeight="1">
      <c r="A100" s="91"/>
      <c r="B100" s="198">
        <v>23.0</v>
      </c>
      <c r="C100" s="93" t="s">
        <v>514</v>
      </c>
      <c r="D100" s="94"/>
      <c r="E100" s="139" t="s">
        <v>2792</v>
      </c>
      <c r="F100" s="139" t="s">
        <v>2793</v>
      </c>
      <c r="G100" s="94"/>
      <c r="H100" s="93"/>
      <c r="I100" s="102" t="s">
        <v>88</v>
      </c>
      <c r="J100" s="94"/>
      <c r="K100" s="108"/>
      <c r="L100" s="108"/>
      <c r="M100" s="99"/>
      <c r="N100" s="100" t="s">
        <v>45</v>
      </c>
      <c r="O100" s="101" t="s">
        <v>2794</v>
      </c>
      <c r="P100" s="94"/>
      <c r="Q100" s="109"/>
      <c r="R100" s="103"/>
      <c r="S100" s="102" t="s">
        <v>383</v>
      </c>
      <c r="T100" s="102" t="s">
        <v>2795</v>
      </c>
      <c r="V100" s="104"/>
    </row>
    <row r="101" ht="15.75" customHeight="1">
      <c r="A101" s="91"/>
      <c r="B101" s="93">
        <v>24.0</v>
      </c>
      <c r="C101" s="93" t="s">
        <v>597</v>
      </c>
      <c r="D101" s="94"/>
      <c r="E101" s="139" t="s">
        <v>2796</v>
      </c>
      <c r="F101" s="139" t="s">
        <v>2797</v>
      </c>
      <c r="G101" s="94"/>
      <c r="H101" s="93"/>
      <c r="I101" s="102" t="s">
        <v>88</v>
      </c>
      <c r="J101" s="94"/>
      <c r="K101" s="202"/>
      <c r="L101" s="202"/>
      <c r="M101" s="99"/>
      <c r="N101" s="100" t="s">
        <v>45</v>
      </c>
      <c r="O101" s="101" t="s">
        <v>2794</v>
      </c>
      <c r="P101" s="94"/>
      <c r="Q101" s="102"/>
      <c r="R101" s="113"/>
      <c r="S101" s="102" t="s">
        <v>383</v>
      </c>
      <c r="T101" s="102" t="s">
        <v>2798</v>
      </c>
      <c r="V101" s="104"/>
    </row>
    <row r="102" ht="15.75" customHeight="1">
      <c r="A102" s="91"/>
      <c r="B102" s="93">
        <v>25.0</v>
      </c>
      <c r="C102" s="93" t="s">
        <v>2799</v>
      </c>
      <c r="D102" s="94"/>
      <c r="E102" s="139" t="s">
        <v>2800</v>
      </c>
      <c r="F102" s="139" t="s">
        <v>2801</v>
      </c>
      <c r="G102" s="94"/>
      <c r="H102" s="93"/>
      <c r="I102" s="102" t="s">
        <v>88</v>
      </c>
      <c r="J102" s="94"/>
      <c r="K102" s="98"/>
      <c r="L102" s="98"/>
      <c r="M102" s="99"/>
      <c r="N102" s="100" t="s">
        <v>55</v>
      </c>
      <c r="O102" s="101" t="s">
        <v>2802</v>
      </c>
      <c r="P102" s="94"/>
      <c r="Q102" s="102"/>
      <c r="R102" s="103"/>
      <c r="S102" s="102" t="s">
        <v>124</v>
      </c>
      <c r="T102" s="102" t="s">
        <v>2803</v>
      </c>
      <c r="V102" s="104"/>
    </row>
    <row r="103" ht="15.75" customHeight="1">
      <c r="A103" s="91"/>
      <c r="B103" s="93">
        <v>26.0</v>
      </c>
      <c r="C103" s="93" t="s">
        <v>2804</v>
      </c>
      <c r="D103" s="94"/>
      <c r="E103" s="139" t="s">
        <v>2805</v>
      </c>
      <c r="F103" s="139" t="s">
        <v>2806</v>
      </c>
      <c r="G103" s="94"/>
      <c r="H103" s="93"/>
      <c r="I103" s="102" t="s">
        <v>88</v>
      </c>
      <c r="J103" s="94"/>
      <c r="K103" s="202"/>
      <c r="L103" s="202"/>
      <c r="M103" s="99"/>
      <c r="N103" s="100" t="s">
        <v>45</v>
      </c>
      <c r="O103" s="101" t="s">
        <v>2794</v>
      </c>
      <c r="P103" s="94"/>
      <c r="Q103" s="102"/>
      <c r="R103" s="113"/>
      <c r="S103" s="102" t="s">
        <v>383</v>
      </c>
      <c r="T103" s="102" t="s">
        <v>2807</v>
      </c>
      <c r="V103" s="104"/>
    </row>
    <row r="104" ht="15.75" customHeight="1">
      <c r="A104" s="91"/>
      <c r="B104" s="93">
        <v>26.0</v>
      </c>
      <c r="C104" s="93" t="s">
        <v>360</v>
      </c>
      <c r="D104" s="94"/>
      <c r="E104" s="139" t="s">
        <v>2808</v>
      </c>
      <c r="F104" s="139" t="s">
        <v>2809</v>
      </c>
      <c r="G104" s="94"/>
      <c r="H104" s="93"/>
      <c r="I104" s="102" t="s">
        <v>232</v>
      </c>
      <c r="J104" s="94"/>
      <c r="K104" s="98"/>
      <c r="L104" s="98"/>
      <c r="M104" s="99"/>
      <c r="N104" s="100" t="s">
        <v>98</v>
      </c>
      <c r="O104" s="101"/>
      <c r="P104" s="94"/>
      <c r="Q104" s="102"/>
      <c r="R104" s="103"/>
      <c r="S104" s="102" t="s">
        <v>404</v>
      </c>
      <c r="T104" s="102" t="s">
        <v>2810</v>
      </c>
      <c r="V104" s="104"/>
    </row>
    <row r="105" ht="15.75" customHeight="1">
      <c r="A105" s="91"/>
      <c r="B105" s="93">
        <v>27.0</v>
      </c>
      <c r="C105" s="103" t="s">
        <v>1834</v>
      </c>
      <c r="D105" s="94"/>
      <c r="E105" s="139" t="s">
        <v>2811</v>
      </c>
      <c r="F105" s="139" t="s">
        <v>2812</v>
      </c>
      <c r="G105" s="94"/>
      <c r="H105" s="93"/>
      <c r="I105" s="102" t="s">
        <v>110</v>
      </c>
      <c r="J105" s="94"/>
      <c r="K105" s="98"/>
      <c r="L105" s="98"/>
      <c r="M105" s="99"/>
      <c r="N105" s="100"/>
      <c r="O105" s="101"/>
      <c r="P105" s="94"/>
      <c r="Q105" s="109"/>
      <c r="R105" s="127"/>
      <c r="S105" s="102"/>
      <c r="T105" s="102"/>
      <c r="V105" s="104"/>
    </row>
    <row r="106" ht="15.75" customHeight="1">
      <c r="A106" s="91"/>
      <c r="B106" s="93">
        <v>27.0</v>
      </c>
      <c r="C106" s="103" t="s">
        <v>2813</v>
      </c>
      <c r="D106" s="94"/>
      <c r="E106" s="139" t="s">
        <v>2814</v>
      </c>
      <c r="F106" s="139" t="s">
        <v>2815</v>
      </c>
      <c r="G106" s="94"/>
      <c r="H106" s="93"/>
      <c r="I106" s="102" t="s">
        <v>181</v>
      </c>
      <c r="J106" s="94"/>
      <c r="K106" s="202">
        <v>10500.0</v>
      </c>
      <c r="L106" s="202">
        <v>3000.0</v>
      </c>
      <c r="M106" s="99"/>
      <c r="N106" s="100"/>
      <c r="O106" s="101"/>
      <c r="P106" s="94"/>
      <c r="Q106" s="102">
        <v>6.0</v>
      </c>
      <c r="R106" s="103"/>
      <c r="S106" s="102" t="s">
        <v>105</v>
      </c>
      <c r="T106" s="102"/>
      <c r="V106" s="104"/>
    </row>
    <row r="107" ht="15.75" customHeight="1">
      <c r="A107" s="91"/>
      <c r="B107" s="93">
        <v>27.0</v>
      </c>
      <c r="C107" s="93" t="s">
        <v>677</v>
      </c>
      <c r="D107" s="94"/>
      <c r="E107" s="139" t="s">
        <v>2816</v>
      </c>
      <c r="F107" s="139" t="s">
        <v>2817</v>
      </c>
      <c r="G107" s="94"/>
      <c r="H107" s="93"/>
      <c r="I107" s="102" t="s">
        <v>181</v>
      </c>
      <c r="J107" s="94"/>
      <c r="K107" s="202">
        <v>10500.0</v>
      </c>
      <c r="L107" s="202">
        <v>3000.0</v>
      </c>
      <c r="M107" s="99"/>
      <c r="N107" s="100"/>
      <c r="O107" s="112"/>
      <c r="P107" s="94"/>
      <c r="Q107" s="102">
        <v>6.0</v>
      </c>
      <c r="R107" s="113"/>
      <c r="S107" s="102" t="s">
        <v>105</v>
      </c>
      <c r="T107" s="102"/>
      <c r="V107" s="104"/>
    </row>
    <row r="108" ht="15.75" customHeight="1">
      <c r="A108" s="91"/>
      <c r="B108" s="93">
        <v>27.0</v>
      </c>
      <c r="C108" s="93" t="s">
        <v>318</v>
      </c>
      <c r="D108" s="94"/>
      <c r="E108" s="139" t="s">
        <v>2818</v>
      </c>
      <c r="F108" s="139" t="s">
        <v>2819</v>
      </c>
      <c r="G108" s="94"/>
      <c r="H108" s="93"/>
      <c r="I108" s="102" t="s">
        <v>88</v>
      </c>
      <c r="J108" s="94"/>
      <c r="K108" s="98"/>
      <c r="L108" s="98"/>
      <c r="M108" s="99"/>
      <c r="N108" s="100" t="s">
        <v>45</v>
      </c>
      <c r="O108" s="101" t="s">
        <v>2820</v>
      </c>
      <c r="P108" s="94"/>
      <c r="Q108" s="102"/>
      <c r="R108" s="113"/>
      <c r="S108" s="102" t="s">
        <v>170</v>
      </c>
      <c r="T108" s="102" t="s">
        <v>2821</v>
      </c>
      <c r="V108" s="104"/>
    </row>
    <row r="109" ht="15.75" customHeight="1">
      <c r="A109" s="91"/>
      <c r="B109" s="93">
        <v>28.0</v>
      </c>
      <c r="C109" s="128" t="s">
        <v>543</v>
      </c>
      <c r="D109" s="94"/>
      <c r="E109" s="139" t="s">
        <v>2822</v>
      </c>
      <c r="F109" s="139" t="s">
        <v>2823</v>
      </c>
      <c r="G109" s="94"/>
      <c r="H109" s="93"/>
      <c r="I109" s="102" t="s">
        <v>232</v>
      </c>
      <c r="J109" s="94"/>
      <c r="K109" s="98"/>
      <c r="L109" s="98">
        <v>500.0</v>
      </c>
      <c r="M109" s="99"/>
      <c r="N109" s="100"/>
      <c r="O109" s="112"/>
      <c r="P109" s="94"/>
      <c r="Q109" s="120"/>
      <c r="R109" s="113"/>
      <c r="S109" s="102" t="s">
        <v>404</v>
      </c>
      <c r="T109" s="102" t="s">
        <v>2824</v>
      </c>
      <c r="V109" s="104"/>
    </row>
    <row r="110" ht="15.75" customHeight="1">
      <c r="A110" s="91"/>
      <c r="B110" s="93">
        <v>28.0</v>
      </c>
      <c r="C110" s="97" t="s">
        <v>999</v>
      </c>
      <c r="D110" s="94"/>
      <c r="E110" s="139" t="s">
        <v>1000</v>
      </c>
      <c r="F110" s="139" t="s">
        <v>2825</v>
      </c>
      <c r="G110" s="94"/>
      <c r="H110" s="93"/>
      <c r="I110" s="102" t="s">
        <v>232</v>
      </c>
      <c r="J110" s="94"/>
      <c r="K110" s="202"/>
      <c r="L110" s="202"/>
      <c r="M110" s="99"/>
      <c r="N110" s="111"/>
      <c r="O110" s="101"/>
      <c r="P110" s="94"/>
      <c r="Q110" s="102"/>
      <c r="R110" s="106"/>
      <c r="S110" s="102" t="s">
        <v>404</v>
      </c>
      <c r="T110" s="102" t="s">
        <v>2826</v>
      </c>
      <c r="V110" s="104"/>
    </row>
    <row r="111" ht="15.75" customHeight="1">
      <c r="A111" s="91"/>
      <c r="B111" s="93">
        <v>28.0</v>
      </c>
      <c r="C111" s="93" t="s">
        <v>2827</v>
      </c>
      <c r="D111" s="94"/>
      <c r="E111" s="139" t="s">
        <v>2828</v>
      </c>
      <c r="F111" s="139" t="s">
        <v>2828</v>
      </c>
      <c r="G111" s="94"/>
      <c r="H111" s="93"/>
      <c r="I111" s="102" t="s">
        <v>88</v>
      </c>
      <c r="J111" s="94"/>
      <c r="K111" s="98"/>
      <c r="L111" s="98"/>
      <c r="M111" s="99"/>
      <c r="N111" s="100" t="s">
        <v>45</v>
      </c>
      <c r="O111" s="101" t="s">
        <v>584</v>
      </c>
      <c r="P111" s="94"/>
      <c r="Q111" s="120"/>
      <c r="R111" s="103"/>
      <c r="S111" s="102" t="s">
        <v>170</v>
      </c>
      <c r="T111" s="102" t="s">
        <v>2829</v>
      </c>
      <c r="V111" s="104"/>
    </row>
    <row r="112" ht="15.75" customHeight="1">
      <c r="A112" s="91"/>
      <c r="B112" s="93">
        <v>29.0</v>
      </c>
      <c r="C112" s="93" t="s">
        <v>490</v>
      </c>
      <c r="D112" s="94"/>
      <c r="E112" s="139" t="s">
        <v>2830</v>
      </c>
      <c r="F112" s="139" t="s">
        <v>2831</v>
      </c>
      <c r="G112" s="94"/>
      <c r="H112" s="93"/>
      <c r="I112" s="102" t="s">
        <v>181</v>
      </c>
      <c r="J112" s="94"/>
      <c r="K112" s="202">
        <v>10500.0</v>
      </c>
      <c r="L112" s="202">
        <v>3000.0</v>
      </c>
      <c r="M112" s="99"/>
      <c r="N112" s="100"/>
      <c r="O112" s="101"/>
      <c r="P112" s="94"/>
      <c r="Q112" s="102">
        <v>6.0</v>
      </c>
      <c r="R112" s="103"/>
      <c r="S112" s="102" t="s">
        <v>105</v>
      </c>
      <c r="T112" s="102"/>
      <c r="V112" s="104"/>
    </row>
    <row r="113" ht="15.75" customHeight="1">
      <c r="A113" s="91"/>
      <c r="B113" s="107"/>
      <c r="C113" s="93"/>
      <c r="D113" s="94"/>
      <c r="E113" s="238"/>
      <c r="F113" s="239"/>
      <c r="G113" s="94"/>
      <c r="H113" s="93"/>
      <c r="I113" s="102"/>
      <c r="J113" s="94"/>
      <c r="K113" s="252"/>
      <c r="L113" s="98"/>
      <c r="M113" s="99"/>
      <c r="N113" s="111"/>
      <c r="O113" s="112"/>
      <c r="P113" s="94"/>
      <c r="Q113" s="94"/>
      <c r="R113" s="113"/>
      <c r="S113" s="94"/>
      <c r="T113" s="94"/>
      <c r="V113" s="104"/>
    </row>
    <row r="114" ht="15.75" customHeight="1">
      <c r="A114" s="91"/>
      <c r="B114" s="107"/>
      <c r="C114" s="96"/>
      <c r="D114" s="94"/>
      <c r="E114" s="238"/>
      <c r="F114" s="253"/>
      <c r="G114" s="94"/>
      <c r="H114" s="93"/>
      <c r="I114" s="102"/>
      <c r="J114" s="94"/>
      <c r="K114" s="126"/>
      <c r="L114" s="108"/>
      <c r="M114" s="99"/>
      <c r="N114" s="100"/>
      <c r="O114" s="101"/>
      <c r="P114" s="94"/>
      <c r="Q114" s="102"/>
      <c r="R114" s="103"/>
      <c r="S114" s="102"/>
      <c r="T114" s="102"/>
      <c r="V114" s="104"/>
    </row>
    <row r="115" ht="15.75" customHeight="1">
      <c r="A115" s="91"/>
      <c r="B115" s="107"/>
      <c r="C115" s="110"/>
      <c r="D115" s="94"/>
      <c r="E115" s="238"/>
      <c r="F115" s="239"/>
      <c r="G115" s="94"/>
      <c r="H115" s="93"/>
      <c r="I115" s="102"/>
      <c r="J115" s="94"/>
      <c r="K115" s="98"/>
      <c r="L115" s="98"/>
      <c r="M115" s="99"/>
      <c r="N115" s="111"/>
      <c r="O115" s="112"/>
      <c r="P115" s="94"/>
      <c r="Q115" s="94"/>
      <c r="R115" s="113"/>
      <c r="S115" s="94"/>
      <c r="T115" s="94"/>
      <c r="V115" s="104"/>
    </row>
    <row r="116" ht="15.75" customHeight="1">
      <c r="A116" s="91"/>
      <c r="B116" s="107"/>
      <c r="C116" s="96"/>
      <c r="D116" s="94"/>
      <c r="E116" s="238"/>
      <c r="F116" s="239"/>
      <c r="G116" s="94"/>
      <c r="H116" s="93"/>
      <c r="I116" s="102"/>
      <c r="J116" s="94"/>
      <c r="K116" s="126"/>
      <c r="L116" s="126"/>
      <c r="M116" s="99"/>
      <c r="N116" s="100"/>
      <c r="O116" s="101"/>
      <c r="P116" s="94"/>
      <c r="Q116" s="117"/>
      <c r="R116" s="103"/>
      <c r="S116" s="102"/>
      <c r="T116" s="102"/>
      <c r="V116" s="104"/>
    </row>
    <row r="117" ht="15.75" customHeight="1">
      <c r="A117" s="91"/>
      <c r="B117" s="107"/>
      <c r="C117" s="110"/>
      <c r="D117" s="94"/>
      <c r="E117" s="239"/>
      <c r="F117" s="239"/>
      <c r="G117" s="94"/>
      <c r="H117" s="93"/>
      <c r="I117" s="102"/>
      <c r="J117" s="94"/>
      <c r="K117" s="125"/>
      <c r="L117" s="125"/>
      <c r="M117" s="99"/>
      <c r="N117" s="111"/>
      <c r="O117" s="112"/>
      <c r="P117" s="94"/>
      <c r="Q117" s="120"/>
      <c r="R117" s="113"/>
      <c r="S117" s="94"/>
      <c r="T117" s="94"/>
      <c r="V117" s="104"/>
    </row>
    <row r="118" ht="15.75" customHeight="1">
      <c r="A118" s="91"/>
      <c r="B118" s="107"/>
      <c r="C118" s="93"/>
      <c r="D118" s="94"/>
      <c r="E118" s="238"/>
      <c r="F118" s="239"/>
      <c r="G118" s="94"/>
      <c r="H118" s="93"/>
      <c r="I118" s="102"/>
      <c r="J118" s="94"/>
      <c r="K118" s="126"/>
      <c r="L118" s="126"/>
      <c r="M118" s="99"/>
      <c r="N118" s="111"/>
      <c r="O118" s="112"/>
      <c r="P118" s="94"/>
      <c r="Q118" s="94"/>
      <c r="R118" s="113"/>
      <c r="S118" s="94"/>
      <c r="T118" s="94"/>
      <c r="V118" s="104"/>
    </row>
    <row r="119" ht="15.75" customHeight="1">
      <c r="A119" s="91"/>
      <c r="B119" s="107"/>
      <c r="C119" s="93"/>
      <c r="D119" s="94"/>
      <c r="E119" s="238"/>
      <c r="F119" s="239"/>
      <c r="G119" s="94"/>
      <c r="H119" s="93"/>
      <c r="I119" s="102"/>
      <c r="J119" s="94"/>
      <c r="K119" s="125"/>
      <c r="L119" s="125"/>
      <c r="M119" s="99"/>
      <c r="N119" s="100"/>
      <c r="O119" s="101"/>
      <c r="P119" s="94"/>
      <c r="Q119" s="109"/>
      <c r="R119" s="103"/>
      <c r="S119" s="102"/>
      <c r="T119" s="102"/>
      <c r="V119" s="104"/>
    </row>
    <row r="120" ht="15.75" customHeight="1">
      <c r="A120" s="91"/>
      <c r="B120" s="107"/>
      <c r="C120" s="93"/>
      <c r="D120" s="94"/>
      <c r="E120" s="238"/>
      <c r="F120" s="239"/>
      <c r="G120" s="94"/>
      <c r="H120" s="93"/>
      <c r="I120" s="102"/>
      <c r="J120" s="94"/>
      <c r="K120" s="126"/>
      <c r="L120" s="126"/>
      <c r="M120" s="99"/>
      <c r="N120" s="111"/>
      <c r="O120" s="112"/>
      <c r="P120" s="94"/>
      <c r="Q120" s="94"/>
      <c r="R120" s="113"/>
      <c r="S120" s="94"/>
      <c r="T120" s="94"/>
      <c r="V120" s="104"/>
    </row>
    <row r="121" ht="15.75" customHeight="1">
      <c r="A121" s="91"/>
      <c r="B121" s="107"/>
      <c r="C121" s="93"/>
      <c r="D121" s="94"/>
      <c r="E121" s="238"/>
      <c r="F121" s="239"/>
      <c r="G121" s="94"/>
      <c r="H121" s="93"/>
      <c r="I121" s="102"/>
      <c r="J121" s="94"/>
      <c r="K121" s="125"/>
      <c r="L121" s="125"/>
      <c r="M121" s="99"/>
      <c r="N121" s="111"/>
      <c r="O121" s="112"/>
      <c r="P121" s="94"/>
      <c r="Q121" s="120"/>
      <c r="R121" s="113"/>
      <c r="S121" s="94"/>
      <c r="T121" s="94"/>
      <c r="V121" s="104"/>
    </row>
    <row r="122" ht="15.75" customHeight="1">
      <c r="A122" s="91"/>
      <c r="B122" s="107"/>
      <c r="C122" s="103"/>
      <c r="D122" s="94"/>
      <c r="E122" s="238"/>
      <c r="F122" s="239"/>
      <c r="G122" s="94"/>
      <c r="H122" s="93"/>
      <c r="I122" s="102"/>
      <c r="J122" s="94"/>
      <c r="K122" s="126"/>
      <c r="L122" s="126"/>
      <c r="M122" s="99"/>
      <c r="N122" s="111"/>
      <c r="O122" s="112"/>
      <c r="P122" s="94"/>
      <c r="Q122" s="117"/>
      <c r="R122" s="103"/>
      <c r="S122" s="94"/>
      <c r="T122" s="102"/>
      <c r="V122" s="104"/>
    </row>
    <row r="123" ht="15.75" customHeight="1">
      <c r="A123" s="91"/>
      <c r="B123" s="107"/>
      <c r="C123" s="103"/>
      <c r="D123" s="94"/>
      <c r="E123" s="238"/>
      <c r="F123" s="239"/>
      <c r="G123" s="94"/>
      <c r="H123" s="93"/>
      <c r="I123" s="102"/>
      <c r="J123" s="94"/>
      <c r="K123" s="125"/>
      <c r="L123" s="125"/>
      <c r="M123" s="99"/>
      <c r="N123" s="111"/>
      <c r="O123" s="112"/>
      <c r="P123" s="94"/>
      <c r="Q123" s="117"/>
      <c r="R123" s="103"/>
      <c r="S123" s="94"/>
      <c r="T123" s="102"/>
      <c r="V123" s="104"/>
    </row>
    <row r="124" ht="15.75" customHeight="1">
      <c r="A124" s="91"/>
      <c r="B124" s="107"/>
      <c r="C124" s="93"/>
      <c r="D124" s="94"/>
      <c r="E124" s="243"/>
      <c r="F124" s="255"/>
      <c r="G124" s="94"/>
      <c r="H124" s="93"/>
      <c r="I124" s="102"/>
      <c r="J124" s="94"/>
      <c r="K124" s="126"/>
      <c r="L124" s="126"/>
      <c r="M124" s="99"/>
      <c r="N124" s="111"/>
      <c r="O124" s="112"/>
      <c r="P124" s="94"/>
      <c r="Q124" s="120"/>
      <c r="R124" s="113"/>
      <c r="S124" s="94"/>
      <c r="T124" s="94"/>
      <c r="V124" s="104"/>
    </row>
    <row r="125" ht="15.75" customHeight="1">
      <c r="A125" s="91"/>
      <c r="B125" s="107"/>
      <c r="C125" s="93"/>
      <c r="D125" s="94"/>
      <c r="E125" s="238"/>
      <c r="F125" s="239"/>
      <c r="G125" s="94"/>
      <c r="H125" s="93"/>
      <c r="I125" s="102"/>
      <c r="J125" s="94"/>
      <c r="K125" s="125"/>
      <c r="L125" s="125"/>
      <c r="M125" s="99"/>
      <c r="N125" s="111"/>
      <c r="O125" s="112"/>
      <c r="P125" s="94"/>
      <c r="Q125" s="94"/>
      <c r="R125" s="113"/>
      <c r="S125" s="94"/>
      <c r="T125" s="94"/>
      <c r="V125" s="104"/>
    </row>
    <row r="126" ht="15.75" customHeight="1">
      <c r="A126" s="91"/>
      <c r="B126" s="107"/>
      <c r="C126" s="93"/>
      <c r="D126" s="94"/>
      <c r="E126" s="238"/>
      <c r="F126" s="239"/>
      <c r="G126" s="94"/>
      <c r="H126" s="93"/>
      <c r="I126" s="102"/>
      <c r="J126" s="94"/>
      <c r="K126" s="126"/>
      <c r="L126" s="126"/>
      <c r="M126" s="99"/>
      <c r="N126" s="100"/>
      <c r="O126" s="101"/>
      <c r="P126" s="94"/>
      <c r="Q126" s="109"/>
      <c r="R126" s="106"/>
      <c r="S126" s="102"/>
      <c r="T126" s="102"/>
      <c r="V126" s="104"/>
    </row>
    <row r="127" ht="15.75" customHeight="1">
      <c r="A127" s="91"/>
      <c r="B127" s="131"/>
      <c r="C127" s="132"/>
      <c r="D127" s="94"/>
      <c r="E127" s="247"/>
      <c r="F127" s="253"/>
      <c r="G127" s="94"/>
      <c r="H127" s="93"/>
      <c r="I127" s="102"/>
      <c r="J127" s="94"/>
      <c r="K127" s="125"/>
      <c r="L127" s="125"/>
      <c r="M127" s="99"/>
      <c r="N127" s="100"/>
      <c r="O127" s="112"/>
      <c r="P127" s="94"/>
      <c r="Q127" s="120"/>
      <c r="R127" s="113"/>
      <c r="S127" s="102"/>
      <c r="T127" s="94"/>
      <c r="V127" s="104"/>
    </row>
    <row r="128" ht="15.75" customHeight="1">
      <c r="A128" s="91"/>
      <c r="B128" s="131"/>
      <c r="C128" s="132"/>
      <c r="D128" s="94"/>
      <c r="E128" s="247"/>
      <c r="F128" s="247"/>
      <c r="G128" s="94"/>
      <c r="H128" s="93"/>
      <c r="I128" s="102"/>
      <c r="J128" s="94"/>
      <c r="K128" s="126"/>
      <c r="L128" s="126"/>
      <c r="M128" s="99"/>
      <c r="N128" s="100"/>
      <c r="O128" s="112"/>
      <c r="P128" s="94"/>
      <c r="Q128" s="94"/>
      <c r="R128" s="113"/>
      <c r="S128" s="102"/>
      <c r="T128" s="94"/>
      <c r="V128" s="104"/>
    </row>
    <row r="129" ht="15.75" customHeight="1">
      <c r="A129" s="91"/>
      <c r="B129" s="131"/>
      <c r="C129" s="104"/>
      <c r="D129" s="94"/>
      <c r="E129" s="247"/>
      <c r="F129" s="247"/>
      <c r="G129" s="94"/>
      <c r="H129" s="93"/>
      <c r="I129" s="102"/>
      <c r="J129" s="94"/>
      <c r="K129" s="125"/>
      <c r="L129" s="125"/>
      <c r="M129" s="99"/>
      <c r="N129" s="100"/>
      <c r="O129" s="112"/>
      <c r="P129" s="94"/>
      <c r="Q129" s="120"/>
      <c r="R129" s="113"/>
      <c r="S129" s="102"/>
      <c r="T129" s="94"/>
      <c r="V129" s="104"/>
    </row>
    <row r="130" ht="15.75" customHeight="1">
      <c r="A130" s="91"/>
      <c r="B130" s="131"/>
      <c r="C130" s="104"/>
      <c r="D130" s="94"/>
      <c r="E130" s="247"/>
      <c r="F130" s="247"/>
      <c r="G130" s="94"/>
      <c r="H130" s="93"/>
      <c r="I130" s="102"/>
      <c r="J130" s="94"/>
      <c r="K130" s="126"/>
      <c r="L130" s="126"/>
      <c r="M130" s="99"/>
      <c r="N130" s="100"/>
      <c r="O130" s="112"/>
      <c r="P130" s="94"/>
      <c r="Q130" s="120"/>
      <c r="R130" s="113"/>
      <c r="S130" s="102"/>
      <c r="T130" s="94"/>
      <c r="V130" s="104"/>
    </row>
    <row r="131" ht="15.75" customHeight="1">
      <c r="A131" s="91"/>
      <c r="B131" s="131"/>
      <c r="C131" s="132"/>
      <c r="D131" s="94"/>
      <c r="E131" s="247"/>
      <c r="F131" s="247"/>
      <c r="G131" s="94"/>
      <c r="H131" s="93"/>
      <c r="I131" s="102"/>
      <c r="J131" s="94"/>
      <c r="K131" s="125"/>
      <c r="L131" s="125"/>
      <c r="M131" s="99"/>
      <c r="N131" s="100"/>
      <c r="O131" s="112"/>
      <c r="P131" s="94"/>
      <c r="Q131" s="120"/>
      <c r="R131" s="113"/>
      <c r="S131" s="102"/>
      <c r="T131" s="94"/>
      <c r="V131" s="104"/>
    </row>
    <row r="132" ht="15.75" customHeight="1">
      <c r="A132" s="91"/>
      <c r="B132" s="131"/>
      <c r="C132" s="132"/>
      <c r="D132" s="94"/>
      <c r="E132" s="247"/>
      <c r="F132" s="247"/>
      <c r="G132" s="94"/>
      <c r="H132" s="93"/>
      <c r="I132" s="102"/>
      <c r="J132" s="94"/>
      <c r="K132" s="126"/>
      <c r="L132" s="126"/>
      <c r="M132" s="99"/>
      <c r="N132" s="100"/>
      <c r="O132" s="112"/>
      <c r="P132" s="94"/>
      <c r="Q132" s="94"/>
      <c r="R132" s="113"/>
      <c r="S132" s="102"/>
      <c r="T132" s="94"/>
      <c r="V132" s="104"/>
    </row>
    <row r="133" ht="15.75" customHeight="1">
      <c r="A133" s="91"/>
      <c r="B133" s="131"/>
      <c r="C133" s="132"/>
      <c r="D133" s="94"/>
      <c r="E133" s="247"/>
      <c r="F133" s="247"/>
      <c r="G133" s="94"/>
      <c r="H133" s="93"/>
      <c r="I133" s="102"/>
      <c r="J133" s="94"/>
      <c r="K133" s="125"/>
      <c r="L133" s="125"/>
      <c r="M133" s="99"/>
      <c r="N133" s="100"/>
      <c r="O133" s="112"/>
      <c r="P133" s="94"/>
      <c r="Q133" s="120"/>
      <c r="R133" s="113"/>
      <c r="S133" s="102"/>
      <c r="T133" s="94"/>
      <c r="V133" s="104"/>
    </row>
    <row r="134" ht="15.75" customHeight="1">
      <c r="A134" s="91"/>
      <c r="B134" s="131"/>
      <c r="C134" s="132"/>
      <c r="D134" s="94"/>
      <c r="E134" s="247"/>
      <c r="F134" s="247"/>
      <c r="G134" s="94"/>
      <c r="H134" s="132"/>
      <c r="I134" s="133"/>
      <c r="J134" s="94"/>
      <c r="K134" s="126"/>
      <c r="L134" s="126"/>
      <c r="M134" s="99"/>
      <c r="N134" s="111"/>
      <c r="O134" s="112"/>
      <c r="P134" s="94"/>
      <c r="Q134" s="94"/>
      <c r="R134" s="113"/>
      <c r="S134" s="94"/>
      <c r="T134" s="94"/>
      <c r="V134" s="104"/>
    </row>
    <row r="135" ht="15.75" customHeight="1">
      <c r="A135" s="91"/>
      <c r="B135" s="131"/>
      <c r="C135" s="132"/>
      <c r="D135" s="94"/>
      <c r="E135" s="247"/>
      <c r="F135" s="247"/>
      <c r="G135" s="94"/>
      <c r="H135" s="132"/>
      <c r="I135" s="94"/>
      <c r="J135" s="94"/>
      <c r="K135" s="125"/>
      <c r="L135" s="125"/>
      <c r="M135" s="99"/>
      <c r="N135" s="111"/>
      <c r="O135" s="112"/>
      <c r="P135" s="94"/>
      <c r="Q135" s="120"/>
      <c r="R135" s="113"/>
      <c r="S135" s="94"/>
      <c r="T135" s="94"/>
      <c r="V135" s="104"/>
    </row>
    <row r="136" ht="15.75" customHeight="1">
      <c r="A136" s="91"/>
      <c r="B136" s="131"/>
      <c r="C136" s="104"/>
      <c r="D136" s="94"/>
      <c r="E136" s="247"/>
      <c r="F136" s="247"/>
      <c r="G136" s="94"/>
      <c r="H136" s="132"/>
      <c r="I136" s="94"/>
      <c r="J136" s="94"/>
      <c r="K136" s="126"/>
      <c r="L136" s="126"/>
      <c r="M136" s="99"/>
      <c r="N136" s="111"/>
      <c r="O136" s="112"/>
      <c r="P136" s="94"/>
      <c r="Q136" s="94"/>
      <c r="R136" s="113"/>
      <c r="S136" s="94"/>
      <c r="T136" s="94"/>
      <c r="V136" s="104"/>
    </row>
    <row r="137" ht="15.75" customHeight="1">
      <c r="A137" s="91"/>
      <c r="B137" s="131"/>
      <c r="C137" s="104"/>
      <c r="D137" s="94"/>
      <c r="E137" s="247"/>
      <c r="F137" s="247"/>
      <c r="G137" s="94"/>
      <c r="H137" s="132"/>
      <c r="I137" s="94"/>
      <c r="J137" s="94"/>
      <c r="K137" s="125"/>
      <c r="L137" s="125"/>
      <c r="M137" s="99"/>
      <c r="N137" s="111"/>
      <c r="O137" s="112"/>
      <c r="P137" s="94"/>
      <c r="Q137" s="94"/>
      <c r="R137" s="113"/>
      <c r="S137" s="94"/>
      <c r="T137" s="94"/>
      <c r="V137" s="104"/>
    </row>
    <row r="138" ht="15.75" customHeight="1">
      <c r="A138" s="91"/>
      <c r="B138" s="131"/>
      <c r="C138" s="104"/>
      <c r="D138" s="94"/>
      <c r="E138" s="247"/>
      <c r="F138" s="247"/>
      <c r="G138" s="94"/>
      <c r="H138" s="132"/>
      <c r="I138" s="94"/>
      <c r="J138" s="94"/>
      <c r="K138" s="126"/>
      <c r="L138" s="126"/>
      <c r="M138" s="99"/>
      <c r="N138" s="111"/>
      <c r="O138" s="112"/>
      <c r="P138" s="94"/>
      <c r="Q138" s="94"/>
      <c r="R138" s="113"/>
      <c r="S138" s="94"/>
      <c r="T138" s="94"/>
      <c r="V138" s="104"/>
    </row>
    <row r="139" ht="15.75" customHeight="1">
      <c r="A139" s="91"/>
      <c r="B139" s="131"/>
      <c r="C139" s="132"/>
      <c r="D139" s="94"/>
      <c r="E139" s="247"/>
      <c r="F139" s="247"/>
      <c r="G139" s="94"/>
      <c r="H139" s="132"/>
      <c r="I139" s="94"/>
      <c r="J139" s="94"/>
      <c r="K139" s="125"/>
      <c r="L139" s="125"/>
      <c r="M139" s="99"/>
      <c r="N139" s="111"/>
      <c r="O139" s="112"/>
      <c r="P139" s="94"/>
      <c r="Q139" s="94"/>
      <c r="R139" s="113"/>
      <c r="S139" s="94"/>
      <c r="T139" s="94"/>
      <c r="V139" s="104"/>
    </row>
    <row r="140" ht="15.75" customHeight="1">
      <c r="A140" s="91"/>
      <c r="B140" s="131"/>
      <c r="C140" s="132"/>
      <c r="D140" s="94"/>
      <c r="E140" s="247"/>
      <c r="F140" s="247"/>
      <c r="G140" s="94"/>
      <c r="H140" s="132"/>
      <c r="I140" s="94"/>
      <c r="J140" s="94"/>
      <c r="K140" s="126"/>
      <c r="L140" s="126"/>
      <c r="M140" s="99"/>
      <c r="N140" s="111"/>
      <c r="O140" s="112"/>
      <c r="P140" s="94"/>
      <c r="Q140" s="94"/>
      <c r="R140" s="113"/>
      <c r="S140" s="94"/>
      <c r="T140" s="94"/>
      <c r="V140" s="104"/>
    </row>
    <row r="141" ht="15.75" customHeight="1">
      <c r="A141" s="91"/>
      <c r="B141" s="131"/>
      <c r="C141" s="132"/>
      <c r="D141" s="94"/>
      <c r="E141" s="247"/>
      <c r="F141" s="247"/>
      <c r="G141" s="94"/>
      <c r="H141" s="132"/>
      <c r="I141" s="94"/>
      <c r="J141" s="94"/>
      <c r="K141" s="125"/>
      <c r="L141" s="125"/>
      <c r="M141" s="99"/>
      <c r="N141" s="111"/>
      <c r="O141" s="112"/>
      <c r="P141" s="94"/>
      <c r="Q141" s="94"/>
      <c r="R141" s="113"/>
      <c r="S141" s="94"/>
      <c r="T141" s="94"/>
      <c r="V141" s="104"/>
    </row>
    <row r="142" ht="15.75" customHeight="1">
      <c r="A142" s="91"/>
      <c r="B142" s="131"/>
      <c r="C142" s="132"/>
      <c r="D142" s="94"/>
      <c r="E142" s="247"/>
      <c r="F142" s="247"/>
      <c r="G142" s="94"/>
      <c r="H142" s="132"/>
      <c r="I142" s="94"/>
      <c r="J142" s="94"/>
      <c r="K142" s="126"/>
      <c r="L142" s="126"/>
      <c r="M142" s="99"/>
      <c r="N142" s="111"/>
      <c r="O142" s="112"/>
      <c r="P142" s="94"/>
      <c r="Q142" s="94"/>
      <c r="R142" s="113"/>
      <c r="S142" s="94"/>
      <c r="T142" s="94"/>
      <c r="V142" s="104"/>
    </row>
    <row r="143" ht="15.75" customHeight="1">
      <c r="A143" s="91"/>
      <c r="B143" s="131"/>
      <c r="C143" s="132"/>
      <c r="D143" s="94"/>
      <c r="E143" s="247"/>
      <c r="F143" s="247"/>
      <c r="G143" s="94"/>
      <c r="H143" s="132"/>
      <c r="I143" s="94"/>
      <c r="J143" s="94"/>
      <c r="K143" s="125"/>
      <c r="L143" s="125"/>
      <c r="M143" s="99"/>
      <c r="N143" s="111"/>
      <c r="O143" s="112"/>
      <c r="P143" s="94"/>
      <c r="Q143" s="120"/>
      <c r="R143" s="113"/>
      <c r="S143" s="94"/>
      <c r="T143" s="94"/>
      <c r="V143" s="104"/>
    </row>
    <row r="144" ht="15.75" customHeight="1">
      <c r="A144" s="91"/>
      <c r="B144" s="131"/>
      <c r="C144" s="104"/>
      <c r="D144" s="94"/>
      <c r="E144" s="247"/>
      <c r="F144" s="247"/>
      <c r="G144" s="94"/>
      <c r="H144" s="132"/>
      <c r="I144" s="94"/>
      <c r="J144" s="94"/>
      <c r="K144" s="126"/>
      <c r="L144" s="126"/>
      <c r="M144" s="99"/>
      <c r="N144" s="111"/>
      <c r="O144" s="112"/>
      <c r="P144" s="94"/>
      <c r="Q144" s="94"/>
      <c r="R144" s="113"/>
      <c r="S144" s="94"/>
      <c r="T144" s="94"/>
      <c r="V144" s="104"/>
    </row>
    <row r="145" ht="15.75" customHeight="1">
      <c r="A145" s="91"/>
      <c r="B145" s="131"/>
      <c r="C145" s="104"/>
      <c r="D145" s="94"/>
      <c r="E145" s="247"/>
      <c r="F145" s="247"/>
      <c r="G145" s="94"/>
      <c r="H145" s="132"/>
      <c r="I145" s="94"/>
      <c r="J145" s="94"/>
      <c r="K145" s="125"/>
      <c r="L145" s="125"/>
      <c r="M145" s="99"/>
      <c r="N145" s="111"/>
      <c r="O145" s="112"/>
      <c r="P145" s="94"/>
      <c r="Q145" s="94"/>
      <c r="R145" s="113"/>
      <c r="S145" s="94"/>
      <c r="T145" s="94"/>
      <c r="V145" s="104"/>
    </row>
    <row r="146" ht="15.75" customHeight="1">
      <c r="A146" s="91"/>
      <c r="B146" s="131"/>
      <c r="C146" s="104"/>
      <c r="D146" s="94"/>
      <c r="E146" s="247"/>
      <c r="F146" s="247"/>
      <c r="G146" s="94"/>
      <c r="H146" s="132"/>
      <c r="I146" s="94"/>
      <c r="J146" s="94"/>
      <c r="K146" s="126"/>
      <c r="L146" s="126"/>
      <c r="M146" s="99"/>
      <c r="N146" s="111"/>
      <c r="O146" s="112"/>
      <c r="P146" s="94"/>
      <c r="Q146" s="120"/>
      <c r="R146" s="113"/>
      <c r="S146" s="94"/>
      <c r="T146" s="94"/>
      <c r="V146" s="104"/>
    </row>
    <row r="147" ht="15.75" customHeight="1">
      <c r="A147" s="91"/>
      <c r="B147" s="131"/>
      <c r="C147" s="132"/>
      <c r="D147" s="94"/>
      <c r="E147" s="247"/>
      <c r="F147" s="247"/>
      <c r="G147" s="94"/>
      <c r="H147" s="132"/>
      <c r="I147" s="94"/>
      <c r="J147" s="94"/>
      <c r="K147" s="125"/>
      <c r="L147" s="125"/>
      <c r="M147" s="99"/>
      <c r="N147" s="111"/>
      <c r="O147" s="112"/>
      <c r="P147" s="94"/>
      <c r="Q147" s="120"/>
      <c r="R147" s="113"/>
      <c r="S147" s="94"/>
      <c r="T147" s="94"/>
      <c r="V147" s="104"/>
    </row>
    <row r="148" ht="15.75" customHeight="1">
      <c r="A148" s="91"/>
      <c r="B148" s="131"/>
      <c r="C148" s="132"/>
      <c r="D148" s="94"/>
      <c r="E148" s="247"/>
      <c r="F148" s="247"/>
      <c r="G148" s="94"/>
      <c r="H148" s="132"/>
      <c r="I148" s="94"/>
      <c r="J148" s="94"/>
      <c r="K148" s="126"/>
      <c r="L148" s="126"/>
      <c r="M148" s="99"/>
      <c r="N148" s="111"/>
      <c r="O148" s="112"/>
      <c r="P148" s="94"/>
      <c r="Q148" s="120"/>
      <c r="R148" s="113"/>
      <c r="S148" s="94"/>
      <c r="T148" s="94"/>
      <c r="V148" s="104"/>
    </row>
    <row r="149" ht="15.75" customHeight="1">
      <c r="A149" s="91"/>
      <c r="B149" s="131"/>
      <c r="C149" s="132"/>
      <c r="D149" s="94"/>
      <c r="E149" s="247"/>
      <c r="F149" s="247"/>
      <c r="G149" s="94"/>
      <c r="H149" s="132"/>
      <c r="I149" s="94"/>
      <c r="J149" s="94"/>
      <c r="K149" s="125"/>
      <c r="L149" s="125"/>
      <c r="M149" s="99"/>
      <c r="N149" s="111"/>
      <c r="O149" s="112"/>
      <c r="P149" s="94"/>
      <c r="Q149" s="120"/>
      <c r="R149" s="113"/>
      <c r="S149" s="94"/>
      <c r="T149" s="94"/>
      <c r="V149" s="104"/>
    </row>
    <row r="150" ht="15.75" customHeight="1">
      <c r="A150" s="91"/>
      <c r="B150" s="131"/>
      <c r="C150" s="132"/>
      <c r="D150" s="94"/>
      <c r="E150" s="247"/>
      <c r="F150" s="247"/>
      <c r="G150" s="94"/>
      <c r="H150" s="132"/>
      <c r="I150" s="94"/>
      <c r="J150" s="94"/>
      <c r="K150" s="126"/>
      <c r="L150" s="126"/>
      <c r="M150" s="99"/>
      <c r="N150" s="111"/>
      <c r="O150" s="112"/>
      <c r="P150" s="94"/>
      <c r="Q150" s="120"/>
      <c r="R150" s="113"/>
      <c r="S150" s="94"/>
      <c r="T150" s="94"/>
      <c r="V150" s="104"/>
    </row>
    <row r="151" ht="15.75" customHeight="1">
      <c r="A151" s="91"/>
      <c r="B151" s="131"/>
      <c r="C151" s="132"/>
      <c r="D151" s="94"/>
      <c r="E151" s="247"/>
      <c r="F151" s="247"/>
      <c r="G151" s="94"/>
      <c r="H151" s="132"/>
      <c r="I151" s="94"/>
      <c r="J151" s="94"/>
      <c r="K151" s="125"/>
      <c r="L151" s="125"/>
      <c r="M151" s="99"/>
      <c r="N151" s="111"/>
      <c r="O151" s="112"/>
      <c r="P151" s="94"/>
      <c r="Q151" s="120"/>
      <c r="R151" s="113"/>
      <c r="S151" s="94"/>
      <c r="T151" s="94"/>
      <c r="V151" s="104"/>
    </row>
    <row r="152" ht="15.75" customHeight="1">
      <c r="A152" s="91"/>
      <c r="B152" s="131"/>
      <c r="C152" s="104"/>
      <c r="D152" s="94"/>
      <c r="E152" s="247"/>
      <c r="F152" s="247"/>
      <c r="G152" s="94"/>
      <c r="H152" s="132"/>
      <c r="I152" s="94"/>
      <c r="J152" s="94"/>
      <c r="K152" s="126"/>
      <c r="L152" s="126"/>
      <c r="M152" s="99"/>
      <c r="N152" s="111"/>
      <c r="O152" s="112"/>
      <c r="P152" s="94"/>
      <c r="Q152" s="94"/>
      <c r="R152" s="113"/>
      <c r="S152" s="94"/>
      <c r="T152" s="94"/>
      <c r="V152" s="104"/>
    </row>
    <row r="153" ht="15.75" customHeight="1">
      <c r="A153" s="91"/>
      <c r="B153" s="131"/>
      <c r="C153" s="104"/>
      <c r="D153" s="94"/>
      <c r="E153" s="247"/>
      <c r="F153" s="247"/>
      <c r="G153" s="94"/>
      <c r="H153" s="132"/>
      <c r="I153" s="94"/>
      <c r="J153" s="94"/>
      <c r="K153" s="125"/>
      <c r="L153" s="125"/>
      <c r="M153" s="99"/>
      <c r="N153" s="111"/>
      <c r="O153" s="112"/>
      <c r="P153" s="94"/>
      <c r="Q153" s="120"/>
      <c r="R153" s="113"/>
      <c r="S153" s="94"/>
      <c r="T153" s="94"/>
      <c r="V153" s="104"/>
    </row>
    <row r="154" ht="15.75" customHeight="1">
      <c r="A154" s="91"/>
      <c r="B154" s="131"/>
      <c r="C154" s="104"/>
      <c r="D154" s="94"/>
      <c r="E154" s="247"/>
      <c r="F154" s="247"/>
      <c r="G154" s="94"/>
      <c r="H154" s="132"/>
      <c r="I154" s="94"/>
      <c r="J154" s="94"/>
      <c r="K154" s="126"/>
      <c r="L154" s="126"/>
      <c r="M154" s="99"/>
      <c r="N154" s="111"/>
      <c r="O154" s="112"/>
      <c r="P154" s="94"/>
      <c r="Q154" s="94"/>
      <c r="R154" s="113"/>
      <c r="S154" s="94"/>
      <c r="T154" s="94"/>
      <c r="V154" s="104"/>
    </row>
    <row r="155" ht="15.75" customHeight="1">
      <c r="A155" s="91"/>
      <c r="B155" s="131"/>
      <c r="C155" s="132"/>
      <c r="D155" s="94"/>
      <c r="E155" s="247"/>
      <c r="F155" s="247"/>
      <c r="G155" s="94"/>
      <c r="H155" s="132"/>
      <c r="I155" s="94"/>
      <c r="J155" s="94"/>
      <c r="K155" s="125"/>
      <c r="L155" s="125"/>
      <c r="M155" s="99"/>
      <c r="N155" s="111"/>
      <c r="O155" s="112"/>
      <c r="P155" s="94"/>
      <c r="Q155" s="94"/>
      <c r="R155" s="113"/>
      <c r="S155" s="94"/>
      <c r="T155" s="94"/>
      <c r="V155" s="104"/>
    </row>
    <row r="156" ht="15.75" customHeight="1">
      <c r="A156" s="91"/>
      <c r="B156" s="131"/>
      <c r="C156" s="132"/>
      <c r="D156" s="94"/>
      <c r="E156" s="247"/>
      <c r="F156" s="247"/>
      <c r="G156" s="94"/>
      <c r="H156" s="132"/>
      <c r="I156" s="94"/>
      <c r="J156" s="94"/>
      <c r="K156" s="126"/>
      <c r="L156" s="126"/>
      <c r="M156" s="99"/>
      <c r="N156" s="111"/>
      <c r="O156" s="112"/>
      <c r="P156" s="94"/>
      <c r="Q156" s="120"/>
      <c r="R156" s="113"/>
      <c r="S156" s="94"/>
      <c r="T156" s="94"/>
      <c r="V156" s="104"/>
    </row>
    <row r="157" ht="15.75" customHeight="1">
      <c r="A157" s="91"/>
      <c r="B157" s="131"/>
      <c r="C157" s="132"/>
      <c r="D157" s="94"/>
      <c r="E157" s="247"/>
      <c r="F157" s="247"/>
      <c r="G157" s="94"/>
      <c r="H157" s="132"/>
      <c r="I157" s="94"/>
      <c r="J157" s="94"/>
      <c r="K157" s="125"/>
      <c r="L157" s="125"/>
      <c r="M157" s="99"/>
      <c r="N157" s="111"/>
      <c r="O157" s="112"/>
      <c r="P157" s="94"/>
      <c r="Q157" s="94"/>
      <c r="R157" s="113"/>
      <c r="S157" s="94"/>
      <c r="T157" s="94"/>
      <c r="V157" s="104"/>
    </row>
    <row r="158" ht="15.75" customHeight="1">
      <c r="A158" s="91"/>
      <c r="B158" s="131"/>
      <c r="C158" s="132"/>
      <c r="D158" s="94"/>
      <c r="E158" s="247"/>
      <c r="F158" s="247"/>
      <c r="G158" s="94"/>
      <c r="H158" s="132"/>
      <c r="I158" s="94"/>
      <c r="J158" s="94"/>
      <c r="K158" s="126"/>
      <c r="L158" s="126"/>
      <c r="M158" s="99"/>
      <c r="N158" s="111"/>
      <c r="O158" s="112"/>
      <c r="P158" s="94"/>
      <c r="Q158" s="94"/>
      <c r="R158" s="113"/>
      <c r="S158" s="94"/>
      <c r="T158" s="94"/>
      <c r="V158" s="104"/>
    </row>
    <row r="159" ht="15.75" customHeight="1">
      <c r="A159" s="91"/>
      <c r="B159" s="131"/>
      <c r="C159" s="132"/>
      <c r="D159" s="94"/>
      <c r="E159" s="247"/>
      <c r="F159" s="247"/>
      <c r="G159" s="94"/>
      <c r="H159" s="132"/>
      <c r="I159" s="94"/>
      <c r="J159" s="94"/>
      <c r="K159" s="125"/>
      <c r="L159" s="125"/>
      <c r="M159" s="99"/>
      <c r="N159" s="111"/>
      <c r="O159" s="112"/>
      <c r="P159" s="94"/>
      <c r="Q159" s="120"/>
      <c r="R159" s="113"/>
      <c r="S159" s="94"/>
      <c r="T159" s="94"/>
      <c r="V159" s="104"/>
    </row>
    <row r="160" ht="15.75" customHeight="1">
      <c r="A160" s="91"/>
      <c r="B160" s="131"/>
      <c r="C160" s="104"/>
      <c r="D160" s="94"/>
      <c r="E160" s="247"/>
      <c r="F160" s="247"/>
      <c r="G160" s="94"/>
      <c r="H160" s="132"/>
      <c r="I160" s="94"/>
      <c r="J160" s="94"/>
      <c r="K160" s="126"/>
      <c r="L160" s="126"/>
      <c r="M160" s="99"/>
      <c r="N160" s="111"/>
      <c r="O160" s="112"/>
      <c r="P160" s="94"/>
      <c r="Q160" s="94"/>
      <c r="R160" s="113"/>
      <c r="S160" s="94"/>
      <c r="T160" s="94"/>
      <c r="V160" s="104"/>
    </row>
    <row r="161" ht="15.75" customHeight="1">
      <c r="A161" s="91"/>
      <c r="B161" s="131"/>
      <c r="C161" s="104"/>
      <c r="D161" s="94"/>
      <c r="E161" s="247"/>
      <c r="F161" s="247"/>
      <c r="G161" s="94"/>
      <c r="H161" s="132"/>
      <c r="I161" s="94"/>
      <c r="J161" s="94"/>
      <c r="K161" s="125"/>
      <c r="L161" s="125"/>
      <c r="M161" s="99"/>
      <c r="N161" s="111"/>
      <c r="O161" s="112"/>
      <c r="P161" s="94"/>
      <c r="Q161" s="120"/>
      <c r="R161" s="113"/>
      <c r="S161" s="94"/>
      <c r="T161" s="94"/>
      <c r="V161" s="104"/>
    </row>
    <row r="162" ht="15.75" customHeight="1">
      <c r="A162" s="91"/>
      <c r="B162" s="131"/>
      <c r="C162" s="104"/>
      <c r="D162" s="94"/>
      <c r="E162" s="247"/>
      <c r="F162" s="247"/>
      <c r="G162" s="94"/>
      <c r="H162" s="132"/>
      <c r="I162" s="94"/>
      <c r="J162" s="94"/>
      <c r="K162" s="126"/>
      <c r="L162" s="126"/>
      <c r="M162" s="99"/>
      <c r="N162" s="111"/>
      <c r="O162" s="112"/>
      <c r="P162" s="94"/>
      <c r="Q162" s="120"/>
      <c r="R162" s="113"/>
      <c r="S162" s="94"/>
      <c r="T162" s="94"/>
      <c r="V162" s="104"/>
    </row>
    <row r="163" ht="15.75" customHeight="1">
      <c r="A163" s="91"/>
      <c r="B163" s="131"/>
      <c r="C163" s="132"/>
      <c r="D163" s="94"/>
      <c r="E163" s="247"/>
      <c r="F163" s="247"/>
      <c r="G163" s="94"/>
      <c r="H163" s="132"/>
      <c r="I163" s="94"/>
      <c r="J163" s="94"/>
      <c r="K163" s="125"/>
      <c r="L163" s="125"/>
      <c r="M163" s="99"/>
      <c r="N163" s="111"/>
      <c r="O163" s="112"/>
      <c r="P163" s="94"/>
      <c r="Q163" s="120"/>
      <c r="R163" s="113"/>
      <c r="S163" s="94"/>
      <c r="T163" s="94"/>
      <c r="V163" s="104"/>
    </row>
    <row r="164" ht="15.75" customHeight="1">
      <c r="A164" s="91"/>
      <c r="B164" s="131"/>
      <c r="C164" s="132"/>
      <c r="D164" s="94"/>
      <c r="E164" s="247"/>
      <c r="F164" s="247"/>
      <c r="G164" s="94"/>
      <c r="H164" s="132"/>
      <c r="I164" s="94"/>
      <c r="J164" s="94"/>
      <c r="K164" s="126"/>
      <c r="L164" s="126"/>
      <c r="M164" s="99"/>
      <c r="N164" s="111"/>
      <c r="O164" s="112"/>
      <c r="P164" s="94"/>
      <c r="Q164" s="94"/>
      <c r="R164" s="113"/>
      <c r="S164" s="94"/>
      <c r="T164" s="94"/>
      <c r="V164" s="104"/>
    </row>
    <row r="165" ht="15.75" customHeight="1">
      <c r="A165" s="91"/>
      <c r="B165" s="131"/>
      <c r="C165" s="132"/>
      <c r="D165" s="94"/>
      <c r="E165" s="247"/>
      <c r="F165" s="247"/>
      <c r="G165" s="94"/>
      <c r="H165" s="132"/>
      <c r="I165" s="94"/>
      <c r="J165" s="94"/>
      <c r="K165" s="125"/>
      <c r="L165" s="125"/>
      <c r="M165" s="99"/>
      <c r="N165" s="111"/>
      <c r="O165" s="112"/>
      <c r="P165" s="94"/>
      <c r="Q165" s="120"/>
      <c r="R165" s="113"/>
      <c r="S165" s="94"/>
      <c r="T165" s="94"/>
      <c r="V165" s="104"/>
    </row>
    <row r="166" ht="15.75" customHeight="1">
      <c r="A166" s="91"/>
      <c r="B166" s="131"/>
      <c r="C166" s="132"/>
      <c r="D166" s="94"/>
      <c r="E166" s="247"/>
      <c r="F166" s="247"/>
      <c r="G166" s="94"/>
      <c r="H166" s="132"/>
      <c r="I166" s="94"/>
      <c r="J166" s="94"/>
      <c r="K166" s="126"/>
      <c r="L166" s="126"/>
      <c r="M166" s="99"/>
      <c r="N166" s="111"/>
      <c r="O166" s="112"/>
      <c r="P166" s="94"/>
      <c r="Q166" s="94"/>
      <c r="R166" s="113"/>
      <c r="S166" s="94"/>
      <c r="T166" s="94"/>
      <c r="V166" s="104"/>
    </row>
    <row r="167" ht="15.75" customHeight="1">
      <c r="A167" s="91"/>
      <c r="B167" s="131"/>
      <c r="C167" s="132"/>
      <c r="D167" s="94"/>
      <c r="E167" s="247"/>
      <c r="F167" s="248"/>
      <c r="G167" s="94"/>
      <c r="H167" s="132"/>
      <c r="I167" s="94"/>
      <c r="J167" s="94"/>
      <c r="K167" s="125"/>
      <c r="L167" s="125"/>
      <c r="M167" s="99"/>
      <c r="N167" s="111"/>
      <c r="O167" s="112"/>
      <c r="P167" s="94"/>
      <c r="Q167" s="120"/>
      <c r="R167" s="113"/>
      <c r="S167" s="94"/>
      <c r="T167" s="94"/>
      <c r="V167" s="104"/>
    </row>
    <row r="168" ht="15.75" customHeight="1">
      <c r="A168" s="91"/>
      <c r="B168" s="131"/>
      <c r="C168" s="104"/>
      <c r="D168" s="94"/>
      <c r="E168" s="247"/>
      <c r="F168" s="247"/>
      <c r="G168" s="94"/>
      <c r="H168" s="132"/>
      <c r="I168" s="94"/>
      <c r="J168" s="94"/>
      <c r="K168" s="126"/>
      <c r="L168" s="126"/>
      <c r="M168" s="99"/>
      <c r="N168" s="111"/>
      <c r="O168" s="112"/>
      <c r="P168" s="94"/>
      <c r="Q168" s="94"/>
      <c r="R168" s="113"/>
      <c r="S168" s="94"/>
      <c r="T168" s="94"/>
      <c r="V168" s="104"/>
    </row>
    <row r="169" ht="15.75" customHeight="1">
      <c r="A169" s="91"/>
      <c r="B169" s="131"/>
      <c r="C169" s="104"/>
      <c r="D169" s="94"/>
      <c r="E169" s="247"/>
      <c r="F169" s="247"/>
      <c r="G169" s="94"/>
      <c r="H169" s="132"/>
      <c r="I169" s="94"/>
      <c r="J169" s="94"/>
      <c r="K169" s="125"/>
      <c r="L169" s="125"/>
      <c r="M169" s="99"/>
      <c r="N169" s="111"/>
      <c r="O169" s="112"/>
      <c r="P169" s="94"/>
      <c r="Q169" s="120"/>
      <c r="R169" s="113"/>
      <c r="S169" s="94"/>
      <c r="T169" s="94"/>
      <c r="V169" s="104"/>
    </row>
    <row r="170" ht="15.75" customHeight="1">
      <c r="A170" s="91"/>
      <c r="B170" s="131"/>
      <c r="C170" s="132"/>
      <c r="D170" s="94"/>
      <c r="E170" s="247"/>
      <c r="F170" s="247"/>
      <c r="G170" s="94"/>
      <c r="H170" s="132"/>
      <c r="I170" s="94"/>
      <c r="J170" s="94"/>
      <c r="K170" s="126"/>
      <c r="L170" s="126"/>
      <c r="M170" s="99"/>
      <c r="N170" s="111"/>
      <c r="O170" s="112"/>
      <c r="P170" s="94"/>
      <c r="Q170" s="120"/>
      <c r="R170" s="113"/>
      <c r="S170" s="94"/>
      <c r="T170" s="94"/>
      <c r="V170" s="104"/>
    </row>
    <row r="171" ht="15.75" customHeight="1">
      <c r="A171" s="91"/>
      <c r="B171" s="131"/>
      <c r="C171" s="132"/>
      <c r="D171" s="94"/>
      <c r="E171" s="247"/>
      <c r="F171" s="247"/>
      <c r="G171" s="94"/>
      <c r="H171" s="132"/>
      <c r="I171" s="94"/>
      <c r="J171" s="94"/>
      <c r="K171" s="125"/>
      <c r="L171" s="125"/>
      <c r="M171" s="99"/>
      <c r="N171" s="111"/>
      <c r="O171" s="112"/>
      <c r="P171" s="94"/>
      <c r="Q171" s="120"/>
      <c r="R171" s="113"/>
      <c r="S171" s="94"/>
      <c r="T171" s="94"/>
      <c r="V171" s="104"/>
    </row>
    <row r="172" ht="15.75" customHeight="1">
      <c r="A172" s="91"/>
      <c r="B172" s="131"/>
      <c r="C172" s="132"/>
      <c r="D172" s="94"/>
      <c r="E172" s="247"/>
      <c r="F172" s="247"/>
      <c r="G172" s="94"/>
      <c r="H172" s="132"/>
      <c r="I172" s="94"/>
      <c r="J172" s="94"/>
      <c r="K172" s="126"/>
      <c r="L172" s="126"/>
      <c r="M172" s="99"/>
      <c r="N172" s="111"/>
      <c r="O172" s="112"/>
      <c r="P172" s="94"/>
      <c r="Q172" s="120"/>
      <c r="R172" s="113"/>
      <c r="S172" s="94"/>
      <c r="T172" s="94"/>
      <c r="V172" s="104"/>
    </row>
    <row r="173" ht="15.75" customHeight="1">
      <c r="A173" s="91"/>
      <c r="B173" s="131"/>
      <c r="C173" s="132"/>
      <c r="D173" s="94"/>
      <c r="E173" s="247"/>
      <c r="F173" s="247"/>
      <c r="G173" s="94"/>
      <c r="H173" s="132"/>
      <c r="I173" s="94"/>
      <c r="J173" s="94"/>
      <c r="K173" s="125"/>
      <c r="L173" s="125"/>
      <c r="M173" s="99"/>
      <c r="N173" s="111"/>
      <c r="O173" s="112"/>
      <c r="P173" s="94"/>
      <c r="Q173" s="120"/>
      <c r="R173" s="113"/>
      <c r="S173" s="94"/>
      <c r="T173" s="94"/>
      <c r="V173" s="104"/>
    </row>
    <row r="174" ht="15.75" customHeight="1">
      <c r="A174" s="91"/>
      <c r="B174" s="131"/>
      <c r="C174" s="132"/>
      <c r="D174" s="94"/>
      <c r="E174" s="247"/>
      <c r="F174" s="247"/>
      <c r="G174" s="94"/>
      <c r="H174" s="132"/>
      <c r="I174" s="94"/>
      <c r="J174" s="94"/>
      <c r="K174" s="126"/>
      <c r="L174" s="126"/>
      <c r="M174" s="99"/>
      <c r="N174" s="111"/>
      <c r="O174" s="112"/>
      <c r="P174" s="94"/>
      <c r="Q174" s="120"/>
      <c r="R174" s="113"/>
      <c r="S174" s="94"/>
      <c r="T174" s="94"/>
      <c r="V174" s="104"/>
    </row>
    <row r="175" ht="15.75" customHeight="1">
      <c r="A175" s="91"/>
      <c r="B175" s="131"/>
      <c r="C175" s="104"/>
      <c r="D175" s="94"/>
      <c r="E175" s="247"/>
      <c r="F175" s="247"/>
      <c r="G175" s="94"/>
      <c r="H175" s="132"/>
      <c r="I175" s="94"/>
      <c r="J175" s="94"/>
      <c r="K175" s="125"/>
      <c r="L175" s="125"/>
      <c r="M175" s="99"/>
      <c r="N175" s="111"/>
      <c r="O175" s="112"/>
      <c r="P175" s="94"/>
      <c r="Q175" s="120"/>
      <c r="R175" s="113"/>
      <c r="S175" s="94"/>
      <c r="T175" s="94"/>
      <c r="V175" s="104"/>
    </row>
    <row r="176" ht="15.75" customHeight="1">
      <c r="A176" s="91"/>
      <c r="B176" s="131"/>
      <c r="C176" s="132"/>
      <c r="D176" s="94"/>
      <c r="E176" s="247"/>
      <c r="F176" s="247"/>
      <c r="G176" s="94"/>
      <c r="H176" s="132"/>
      <c r="I176" s="94"/>
      <c r="J176" s="94"/>
      <c r="K176" s="126"/>
      <c r="L176" s="126"/>
      <c r="M176" s="99"/>
      <c r="N176" s="111"/>
      <c r="O176" s="112"/>
      <c r="P176" s="94"/>
      <c r="Q176" s="120"/>
      <c r="R176" s="113"/>
      <c r="S176" s="94"/>
      <c r="T176" s="94"/>
      <c r="V176" s="104"/>
    </row>
    <row r="177" ht="15.75" customHeight="1">
      <c r="A177" s="91"/>
      <c r="B177" s="131"/>
      <c r="C177" s="132"/>
      <c r="D177" s="94"/>
      <c r="E177" s="247"/>
      <c r="F177" s="247"/>
      <c r="G177" s="94"/>
      <c r="H177" s="132"/>
      <c r="I177" s="94"/>
      <c r="J177" s="94"/>
      <c r="K177" s="125"/>
      <c r="L177" s="125"/>
      <c r="M177" s="99"/>
      <c r="N177" s="111"/>
      <c r="O177" s="112"/>
      <c r="P177" s="94"/>
      <c r="Q177" s="120"/>
      <c r="R177" s="113"/>
      <c r="S177" s="94"/>
      <c r="T177" s="94"/>
      <c r="V177" s="104"/>
    </row>
    <row r="178" ht="15.75" customHeight="1">
      <c r="A178" s="91"/>
      <c r="B178" s="131"/>
      <c r="C178" s="132"/>
      <c r="D178" s="94"/>
      <c r="E178" s="247"/>
      <c r="F178" s="247"/>
      <c r="G178" s="94"/>
      <c r="H178" s="132"/>
      <c r="I178" s="94"/>
      <c r="J178" s="94"/>
      <c r="K178" s="126"/>
      <c r="L178" s="126"/>
      <c r="M178" s="99"/>
      <c r="N178" s="111"/>
      <c r="O178" s="112"/>
      <c r="P178" s="94"/>
      <c r="Q178" s="120"/>
      <c r="R178" s="113"/>
      <c r="S178" s="94"/>
      <c r="T178" s="94"/>
      <c r="V178" s="104"/>
    </row>
    <row r="179" ht="15.75" customHeight="1">
      <c r="A179" s="91"/>
      <c r="B179" s="131"/>
      <c r="C179" s="132"/>
      <c r="D179" s="94"/>
      <c r="E179" s="247"/>
      <c r="F179" s="247"/>
      <c r="G179" s="94"/>
      <c r="H179" s="132"/>
      <c r="I179" s="94"/>
      <c r="J179" s="94"/>
      <c r="K179" s="125"/>
      <c r="L179" s="125"/>
      <c r="M179" s="99"/>
      <c r="N179" s="111"/>
      <c r="O179" s="112"/>
      <c r="P179" s="94"/>
      <c r="Q179" s="120"/>
      <c r="R179" s="113"/>
      <c r="S179" s="94"/>
      <c r="T179" s="94"/>
      <c r="V179" s="104"/>
    </row>
    <row r="180" ht="15.75" customHeight="1">
      <c r="A180" s="91"/>
      <c r="B180" s="131"/>
      <c r="C180" s="132"/>
      <c r="D180" s="94"/>
      <c r="E180" s="247"/>
      <c r="F180" s="247"/>
      <c r="G180" s="94"/>
      <c r="H180" s="132"/>
      <c r="I180" s="94"/>
      <c r="J180" s="94"/>
      <c r="K180" s="126"/>
      <c r="L180" s="126"/>
      <c r="M180" s="99"/>
      <c r="N180" s="111"/>
      <c r="O180" s="112"/>
      <c r="P180" s="94"/>
      <c r="Q180" s="120"/>
      <c r="R180" s="113"/>
      <c r="S180" s="94"/>
      <c r="T180" s="94"/>
      <c r="V180" s="104"/>
    </row>
    <row r="181" ht="15.75" customHeight="1">
      <c r="A181" s="91"/>
      <c r="B181" s="131"/>
      <c r="C181" s="104"/>
      <c r="D181" s="94"/>
      <c r="E181" s="247"/>
      <c r="F181" s="247"/>
      <c r="G181" s="94"/>
      <c r="H181" s="132"/>
      <c r="I181" s="94"/>
      <c r="J181" s="94"/>
      <c r="K181" s="125"/>
      <c r="L181" s="125"/>
      <c r="M181" s="99"/>
      <c r="N181" s="111"/>
      <c r="O181" s="112"/>
      <c r="P181" s="94"/>
      <c r="Q181" s="120"/>
      <c r="R181" s="113"/>
      <c r="S181" s="94"/>
      <c r="T181" s="94"/>
      <c r="V181" s="104"/>
    </row>
    <row r="182" ht="15.75" customHeight="1">
      <c r="A182" s="91"/>
      <c r="B182" s="131"/>
      <c r="C182" s="132"/>
      <c r="D182" s="94"/>
      <c r="E182" s="247"/>
      <c r="F182" s="247"/>
      <c r="G182" s="94"/>
      <c r="H182" s="132"/>
      <c r="I182" s="94"/>
      <c r="J182" s="94"/>
      <c r="K182" s="126"/>
      <c r="L182" s="126"/>
      <c r="M182" s="99"/>
      <c r="N182" s="111"/>
      <c r="O182" s="112"/>
      <c r="P182" s="94"/>
      <c r="Q182" s="120"/>
      <c r="R182" s="113"/>
      <c r="S182" s="94"/>
      <c r="T182" s="94"/>
      <c r="V182" s="104"/>
    </row>
    <row r="183" ht="15.75" customHeight="1">
      <c r="A183" s="91"/>
      <c r="B183" s="131"/>
      <c r="C183" s="132"/>
      <c r="D183" s="94"/>
      <c r="E183" s="247"/>
      <c r="F183" s="247"/>
      <c r="G183" s="94"/>
      <c r="H183" s="132"/>
      <c r="I183" s="94"/>
      <c r="J183" s="94"/>
      <c r="K183" s="125"/>
      <c r="L183" s="125"/>
      <c r="M183" s="99"/>
      <c r="N183" s="111"/>
      <c r="O183" s="112"/>
      <c r="P183" s="94"/>
      <c r="Q183" s="120"/>
      <c r="R183" s="113"/>
      <c r="S183" s="94"/>
      <c r="T183" s="94"/>
      <c r="V183" s="104"/>
    </row>
    <row r="184" ht="15.75" customHeight="1">
      <c r="A184" s="91"/>
      <c r="B184" s="131"/>
      <c r="C184" s="132"/>
      <c r="D184" s="94"/>
      <c r="E184" s="247"/>
      <c r="F184" s="247"/>
      <c r="G184" s="94"/>
      <c r="H184" s="132"/>
      <c r="I184" s="94"/>
      <c r="J184" s="94"/>
      <c r="K184" s="126"/>
      <c r="L184" s="126"/>
      <c r="M184" s="99"/>
      <c r="N184" s="111"/>
      <c r="O184" s="112"/>
      <c r="P184" s="94"/>
      <c r="Q184" s="120"/>
      <c r="R184" s="113"/>
      <c r="S184" s="94"/>
      <c r="T184" s="94"/>
      <c r="V184" s="104"/>
    </row>
    <row r="185" ht="15.75" customHeight="1">
      <c r="A185" s="91"/>
      <c r="B185" s="131"/>
      <c r="C185" s="132"/>
      <c r="D185" s="94"/>
      <c r="E185" s="247"/>
      <c r="F185" s="247"/>
      <c r="G185" s="94"/>
      <c r="H185" s="132"/>
      <c r="I185" s="94"/>
      <c r="J185" s="94"/>
      <c r="K185" s="125"/>
      <c r="L185" s="125"/>
      <c r="M185" s="99"/>
      <c r="N185" s="111"/>
      <c r="O185" s="112"/>
      <c r="P185" s="94"/>
      <c r="Q185" s="120"/>
      <c r="R185" s="113"/>
      <c r="S185" s="94"/>
      <c r="T185" s="94"/>
      <c r="V185" s="104"/>
    </row>
    <row r="186" ht="15.75" customHeight="1">
      <c r="A186" s="91"/>
      <c r="B186" s="131"/>
      <c r="C186" s="132"/>
      <c r="D186" s="94"/>
      <c r="E186" s="247"/>
      <c r="F186" s="247"/>
      <c r="G186" s="94"/>
      <c r="H186" s="132"/>
      <c r="I186" s="94"/>
      <c r="J186" s="94"/>
      <c r="K186" s="126"/>
      <c r="L186" s="126"/>
      <c r="M186" s="99"/>
      <c r="N186" s="111"/>
      <c r="O186" s="112"/>
      <c r="P186" s="94"/>
      <c r="Q186" s="120"/>
      <c r="R186" s="113"/>
      <c r="S186" s="94"/>
      <c r="T186" s="94"/>
      <c r="V186" s="104"/>
    </row>
    <row r="187" ht="15.75" customHeight="1">
      <c r="A187" s="91"/>
      <c r="B187" s="131"/>
      <c r="C187" s="104"/>
      <c r="D187" s="94"/>
      <c r="E187" s="247"/>
      <c r="F187" s="247"/>
      <c r="G187" s="94"/>
      <c r="H187" s="132"/>
      <c r="I187" s="94"/>
      <c r="J187" s="94"/>
      <c r="K187" s="125"/>
      <c r="L187" s="125"/>
      <c r="M187" s="99"/>
      <c r="N187" s="111"/>
      <c r="O187" s="112"/>
      <c r="P187" s="94"/>
      <c r="Q187" s="120"/>
      <c r="R187" s="113"/>
      <c r="S187" s="94"/>
      <c r="T187" s="94"/>
      <c r="V187" s="104"/>
    </row>
    <row r="188" ht="15.75" customHeight="1">
      <c r="A188" s="91"/>
      <c r="B188" s="131"/>
      <c r="C188" s="132"/>
      <c r="D188" s="94"/>
      <c r="E188" s="247"/>
      <c r="F188" s="247"/>
      <c r="G188" s="94"/>
      <c r="H188" s="132"/>
      <c r="I188" s="94"/>
      <c r="J188" s="94"/>
      <c r="K188" s="126"/>
      <c r="L188" s="126"/>
      <c r="M188" s="99"/>
      <c r="N188" s="111"/>
      <c r="O188" s="112"/>
      <c r="P188" s="94"/>
      <c r="Q188" s="120"/>
      <c r="R188" s="113"/>
      <c r="S188" s="94"/>
      <c r="T188" s="94"/>
      <c r="V188" s="104"/>
    </row>
    <row r="189" ht="15.75" customHeight="1">
      <c r="A189" s="91"/>
      <c r="B189" s="131"/>
      <c r="C189" s="132"/>
      <c r="D189" s="94"/>
      <c r="E189" s="247"/>
      <c r="F189" s="247"/>
      <c r="G189" s="94"/>
      <c r="H189" s="132"/>
      <c r="I189" s="94"/>
      <c r="J189" s="94"/>
      <c r="K189" s="125"/>
      <c r="L189" s="125"/>
      <c r="M189" s="99"/>
      <c r="N189" s="111"/>
      <c r="O189" s="112"/>
      <c r="P189" s="94"/>
      <c r="Q189" s="120"/>
      <c r="R189" s="113"/>
      <c r="S189" s="94"/>
      <c r="T189" s="94"/>
      <c r="V189" s="104"/>
    </row>
    <row r="190" ht="15.75" customHeight="1">
      <c r="A190" s="91"/>
      <c r="B190" s="131"/>
      <c r="C190" s="132"/>
      <c r="D190" s="94"/>
      <c r="E190" s="247"/>
      <c r="F190" s="247"/>
      <c r="G190" s="94"/>
      <c r="H190" s="132"/>
      <c r="I190" s="94"/>
      <c r="J190" s="94"/>
      <c r="K190" s="126"/>
      <c r="L190" s="126"/>
      <c r="M190" s="99"/>
      <c r="N190" s="111"/>
      <c r="O190" s="112"/>
      <c r="P190" s="94"/>
      <c r="Q190" s="120"/>
      <c r="R190" s="113"/>
      <c r="S190" s="94"/>
      <c r="T190" s="94"/>
      <c r="V190" s="104"/>
    </row>
    <row r="191" ht="15.75" customHeight="1">
      <c r="A191" s="91"/>
      <c r="B191" s="131"/>
      <c r="C191" s="132"/>
      <c r="D191" s="94"/>
      <c r="E191" s="247"/>
      <c r="F191" s="247"/>
      <c r="G191" s="94"/>
      <c r="H191" s="132"/>
      <c r="I191" s="94"/>
      <c r="J191" s="94"/>
      <c r="K191" s="125"/>
      <c r="L191" s="125"/>
      <c r="M191" s="99"/>
      <c r="N191" s="111"/>
      <c r="O191" s="112"/>
      <c r="P191" s="94"/>
      <c r="Q191" s="120"/>
      <c r="R191" s="113"/>
      <c r="S191" s="94"/>
      <c r="T191" s="94"/>
      <c r="V191" s="104"/>
    </row>
    <row r="192" ht="15.75" customHeight="1">
      <c r="A192" s="91"/>
      <c r="B192" s="131"/>
      <c r="C192" s="132"/>
      <c r="D192" s="94"/>
      <c r="E192" s="247"/>
      <c r="F192" s="247"/>
      <c r="G192" s="94"/>
      <c r="H192" s="132"/>
      <c r="I192" s="94"/>
      <c r="J192" s="94"/>
      <c r="K192" s="126"/>
      <c r="L192" s="126"/>
      <c r="M192" s="99"/>
      <c r="N192" s="111"/>
      <c r="O192" s="112"/>
      <c r="P192" s="94"/>
      <c r="Q192" s="120"/>
      <c r="R192" s="113"/>
      <c r="S192" s="94"/>
      <c r="T192" s="94"/>
      <c r="V192" s="104"/>
    </row>
    <row r="193" ht="15.75" customHeight="1">
      <c r="A193" s="91"/>
      <c r="B193" s="131"/>
      <c r="C193" s="104"/>
      <c r="D193" s="94"/>
      <c r="E193" s="247"/>
      <c r="F193" s="247"/>
      <c r="G193" s="94"/>
      <c r="H193" s="132"/>
      <c r="I193" s="94"/>
      <c r="J193" s="94"/>
      <c r="K193" s="125"/>
      <c r="L193" s="125"/>
      <c r="M193" s="99"/>
      <c r="N193" s="111"/>
      <c r="O193" s="112"/>
      <c r="P193" s="94"/>
      <c r="Q193" s="120"/>
      <c r="R193" s="113"/>
      <c r="S193" s="94"/>
      <c r="T193" s="94"/>
      <c r="V193" s="104"/>
    </row>
    <row r="194" ht="15.75" customHeight="1">
      <c r="A194" s="91"/>
      <c r="B194" s="131"/>
      <c r="C194" s="132"/>
      <c r="D194" s="94"/>
      <c r="E194" s="247"/>
      <c r="F194" s="247"/>
      <c r="G194" s="94"/>
      <c r="H194" s="132"/>
      <c r="I194" s="94"/>
      <c r="J194" s="94"/>
      <c r="K194" s="126"/>
      <c r="L194" s="126"/>
      <c r="M194" s="99"/>
      <c r="N194" s="111"/>
      <c r="O194" s="112"/>
      <c r="P194" s="94"/>
      <c r="Q194" s="120"/>
      <c r="R194" s="113"/>
      <c r="S194" s="94"/>
      <c r="T194" s="94"/>
      <c r="V194" s="104"/>
    </row>
    <row r="195" ht="15.75" customHeight="1">
      <c r="A195" s="91"/>
      <c r="B195" s="131"/>
      <c r="C195" s="132"/>
      <c r="D195" s="94"/>
      <c r="E195" s="247"/>
      <c r="F195" s="247"/>
      <c r="G195" s="94"/>
      <c r="H195" s="132"/>
      <c r="I195" s="94"/>
      <c r="J195" s="94"/>
      <c r="K195" s="125"/>
      <c r="L195" s="125"/>
      <c r="M195" s="99"/>
      <c r="N195" s="111"/>
      <c r="O195" s="112"/>
      <c r="P195" s="94"/>
      <c r="Q195" s="120"/>
      <c r="R195" s="113"/>
      <c r="S195" s="94"/>
      <c r="T195" s="94"/>
      <c r="V195" s="104"/>
    </row>
    <row r="196" ht="15.75" customHeight="1">
      <c r="A196" s="91"/>
      <c r="B196" s="131"/>
      <c r="C196" s="132"/>
      <c r="D196" s="94"/>
      <c r="E196" s="247"/>
      <c r="F196" s="247"/>
      <c r="G196" s="94"/>
      <c r="H196" s="132"/>
      <c r="I196" s="94"/>
      <c r="J196" s="94"/>
      <c r="K196" s="126"/>
      <c r="L196" s="126"/>
      <c r="M196" s="99"/>
      <c r="N196" s="111"/>
      <c r="O196" s="112"/>
      <c r="P196" s="94"/>
      <c r="Q196" s="120"/>
      <c r="R196" s="113"/>
      <c r="S196" s="94"/>
      <c r="T196" s="94"/>
      <c r="V196" s="104"/>
    </row>
    <row r="197" ht="15.75" customHeight="1">
      <c r="A197" s="91"/>
      <c r="B197" s="131"/>
      <c r="C197" s="132"/>
      <c r="D197" s="94"/>
      <c r="E197" s="247"/>
      <c r="F197" s="247"/>
      <c r="G197" s="94"/>
      <c r="H197" s="132"/>
      <c r="I197" s="94"/>
      <c r="J197" s="94"/>
      <c r="K197" s="125"/>
      <c r="L197" s="125"/>
      <c r="M197" s="99"/>
      <c r="N197" s="111"/>
      <c r="O197" s="112"/>
      <c r="P197" s="94"/>
      <c r="Q197" s="120"/>
      <c r="R197" s="113"/>
      <c r="S197" s="94"/>
      <c r="T197" s="94"/>
      <c r="V197" s="104"/>
    </row>
    <row r="198" ht="15.75" customHeight="1">
      <c r="A198" s="91"/>
      <c r="B198" s="131"/>
      <c r="C198" s="132"/>
      <c r="D198" s="94"/>
      <c r="E198" s="247"/>
      <c r="F198" s="247"/>
      <c r="G198" s="94"/>
      <c r="H198" s="132"/>
      <c r="I198" s="94"/>
      <c r="J198" s="94"/>
      <c r="K198" s="126"/>
      <c r="L198" s="126"/>
      <c r="M198" s="99"/>
      <c r="N198" s="111"/>
      <c r="O198" s="112"/>
      <c r="P198" s="94"/>
      <c r="Q198" s="120"/>
      <c r="R198" s="113"/>
      <c r="S198" s="94"/>
      <c r="T198" s="94"/>
      <c r="V198" s="104"/>
    </row>
    <row r="199" ht="15.75" customHeight="1">
      <c r="A199" s="91"/>
      <c r="B199" s="131"/>
      <c r="C199" s="104"/>
      <c r="D199" s="94"/>
      <c r="E199" s="247"/>
      <c r="F199" s="247"/>
      <c r="G199" s="94"/>
      <c r="H199" s="132"/>
      <c r="I199" s="94"/>
      <c r="J199" s="94"/>
      <c r="K199" s="125"/>
      <c r="L199" s="125"/>
      <c r="M199" s="99"/>
      <c r="N199" s="111"/>
      <c r="O199" s="112"/>
      <c r="P199" s="94"/>
      <c r="Q199" s="120"/>
      <c r="R199" s="113"/>
      <c r="S199" s="94"/>
      <c r="T199" s="94"/>
      <c r="V199" s="104"/>
    </row>
    <row r="200" ht="15.75" customHeight="1">
      <c r="A200" s="91"/>
      <c r="B200" s="131"/>
      <c r="C200" s="132"/>
      <c r="D200" s="94"/>
      <c r="E200" s="247"/>
      <c r="F200" s="247"/>
      <c r="G200" s="94"/>
      <c r="H200" s="132"/>
      <c r="I200" s="94"/>
      <c r="J200" s="94"/>
      <c r="K200" s="126"/>
      <c r="L200" s="126"/>
      <c r="M200" s="99"/>
      <c r="N200" s="111"/>
      <c r="O200" s="112"/>
      <c r="P200" s="94"/>
      <c r="Q200" s="120"/>
      <c r="R200" s="113"/>
      <c r="S200" s="94"/>
      <c r="T200" s="94"/>
      <c r="V200" s="104"/>
    </row>
    <row r="201" ht="15.75" customHeight="1">
      <c r="A201" s="91"/>
      <c r="B201" s="131"/>
      <c r="C201" s="132"/>
      <c r="D201" s="94"/>
      <c r="E201" s="247"/>
      <c r="F201" s="247"/>
      <c r="G201" s="94"/>
      <c r="H201" s="132"/>
      <c r="I201" s="94"/>
      <c r="J201" s="94"/>
      <c r="K201" s="125"/>
      <c r="L201" s="125"/>
      <c r="M201" s="99"/>
      <c r="N201" s="111"/>
      <c r="O201" s="112"/>
      <c r="P201" s="94"/>
      <c r="Q201" s="120"/>
      <c r="R201" s="113"/>
      <c r="S201" s="94"/>
      <c r="T201" s="94"/>
      <c r="V201" s="104"/>
    </row>
    <row r="202" ht="15.75" customHeight="1">
      <c r="A202" s="91"/>
      <c r="B202" s="131"/>
      <c r="C202" s="132"/>
      <c r="D202" s="94"/>
      <c r="E202" s="247"/>
      <c r="F202" s="247"/>
      <c r="G202" s="94"/>
      <c r="H202" s="132"/>
      <c r="I202" s="94"/>
      <c r="J202" s="94"/>
      <c r="K202" s="126"/>
      <c r="L202" s="126"/>
      <c r="M202" s="99"/>
      <c r="N202" s="111"/>
      <c r="O202" s="112"/>
      <c r="P202" s="94"/>
      <c r="Q202" s="120"/>
      <c r="R202" s="113"/>
      <c r="S202" s="94"/>
      <c r="T202" s="94"/>
      <c r="V202" s="104"/>
    </row>
    <row r="203" ht="15.75" customHeight="1">
      <c r="A203" s="91"/>
      <c r="B203" s="131"/>
      <c r="C203" s="132"/>
      <c r="D203" s="94"/>
      <c r="E203" s="247"/>
      <c r="F203" s="247"/>
      <c r="G203" s="94"/>
      <c r="H203" s="132"/>
      <c r="I203" s="94"/>
      <c r="J203" s="94"/>
      <c r="K203" s="125"/>
      <c r="L203" s="125"/>
      <c r="M203" s="99"/>
      <c r="N203" s="111"/>
      <c r="O203" s="112"/>
      <c r="P203" s="94"/>
      <c r="Q203" s="120"/>
      <c r="R203" s="113"/>
      <c r="S203" s="94"/>
      <c r="T203" s="94"/>
      <c r="V203" s="104"/>
    </row>
    <row r="204" ht="15.75" customHeight="1">
      <c r="A204" s="91"/>
      <c r="B204" s="131"/>
      <c r="C204" s="132"/>
      <c r="D204" s="94"/>
      <c r="E204" s="247"/>
      <c r="F204" s="247"/>
      <c r="G204" s="94"/>
      <c r="H204" s="132"/>
      <c r="I204" s="94"/>
      <c r="J204" s="94"/>
      <c r="K204" s="126"/>
      <c r="L204" s="126"/>
      <c r="M204" s="99"/>
      <c r="N204" s="111"/>
      <c r="O204" s="112"/>
      <c r="P204" s="94"/>
      <c r="Q204" s="120"/>
      <c r="R204" s="113"/>
      <c r="S204" s="94"/>
      <c r="T204" s="94"/>
      <c r="V204" s="104"/>
    </row>
    <row r="205" ht="15.75" customHeight="1">
      <c r="A205" s="91"/>
      <c r="B205" s="131"/>
      <c r="C205" s="104"/>
      <c r="D205" s="94"/>
      <c r="E205" s="247"/>
      <c r="F205" s="247"/>
      <c r="G205" s="94"/>
      <c r="H205" s="132"/>
      <c r="I205" s="94"/>
      <c r="J205" s="94"/>
      <c r="K205" s="125"/>
      <c r="L205" s="125"/>
      <c r="M205" s="99"/>
      <c r="N205" s="111"/>
      <c r="O205" s="112"/>
      <c r="P205" s="94"/>
      <c r="Q205" s="120"/>
      <c r="R205" s="113"/>
      <c r="S205" s="94"/>
      <c r="T205" s="94"/>
      <c r="V205" s="104"/>
    </row>
    <row r="206" ht="15.75" customHeight="1">
      <c r="A206" s="91"/>
      <c r="B206" s="131"/>
      <c r="C206" s="132"/>
      <c r="D206" s="94"/>
      <c r="E206" s="247"/>
      <c r="F206" s="247"/>
      <c r="G206" s="94"/>
      <c r="H206" s="132"/>
      <c r="I206" s="94"/>
      <c r="J206" s="94"/>
      <c r="K206" s="126"/>
      <c r="L206" s="126"/>
      <c r="M206" s="99"/>
      <c r="N206" s="111"/>
      <c r="O206" s="112"/>
      <c r="P206" s="94"/>
      <c r="Q206" s="120"/>
      <c r="R206" s="113"/>
      <c r="S206" s="94"/>
      <c r="T206" s="94"/>
      <c r="V206" s="104"/>
    </row>
    <row r="207" ht="15.75" customHeight="1">
      <c r="A207" s="91"/>
      <c r="B207" s="131"/>
      <c r="C207" s="132"/>
      <c r="D207" s="94"/>
      <c r="E207" s="247"/>
      <c r="F207" s="247"/>
      <c r="G207" s="94"/>
      <c r="H207" s="132"/>
      <c r="I207" s="94"/>
      <c r="J207" s="94"/>
      <c r="K207" s="125"/>
      <c r="L207" s="125"/>
      <c r="M207" s="99"/>
      <c r="N207" s="111"/>
      <c r="O207" s="112"/>
      <c r="P207" s="94"/>
      <c r="Q207" s="120"/>
      <c r="R207" s="113"/>
      <c r="S207" s="94"/>
      <c r="T207" s="94"/>
      <c r="V207" s="104"/>
    </row>
    <row r="208" ht="15.75" customHeight="1">
      <c r="A208" s="91"/>
      <c r="B208" s="131"/>
      <c r="C208" s="132"/>
      <c r="D208" s="94"/>
      <c r="E208" s="247"/>
      <c r="F208" s="247"/>
      <c r="G208" s="94"/>
      <c r="H208" s="132"/>
      <c r="I208" s="94"/>
      <c r="J208" s="94"/>
      <c r="K208" s="126"/>
      <c r="L208" s="126"/>
      <c r="M208" s="99"/>
      <c r="N208" s="111"/>
      <c r="O208" s="112"/>
      <c r="P208" s="94"/>
      <c r="Q208" s="120"/>
      <c r="R208" s="113"/>
      <c r="S208" s="94"/>
      <c r="T208" s="94"/>
      <c r="V208" s="104"/>
    </row>
    <row r="209" ht="15.75" customHeight="1">
      <c r="A209" s="91"/>
      <c r="B209" s="131"/>
      <c r="C209" s="132"/>
      <c r="D209" s="94"/>
      <c r="E209" s="247"/>
      <c r="F209" s="247"/>
      <c r="G209" s="94"/>
      <c r="H209" s="132"/>
      <c r="I209" s="94"/>
      <c r="J209" s="94"/>
      <c r="K209" s="125"/>
      <c r="L209" s="125"/>
      <c r="M209" s="99"/>
      <c r="N209" s="111"/>
      <c r="O209" s="112"/>
      <c r="P209" s="94"/>
      <c r="Q209" s="120"/>
      <c r="R209" s="113"/>
      <c r="S209" s="94"/>
      <c r="T209" s="94"/>
      <c r="V209" s="104"/>
    </row>
    <row r="210" ht="15.75" customHeight="1">
      <c r="A210" s="91"/>
      <c r="B210" s="131"/>
      <c r="C210" s="132"/>
      <c r="D210" s="94"/>
      <c r="E210" s="247"/>
      <c r="F210" s="247"/>
      <c r="G210" s="94"/>
      <c r="H210" s="132"/>
      <c r="I210" s="94"/>
      <c r="J210" s="94"/>
      <c r="K210" s="126"/>
      <c r="L210" s="126"/>
      <c r="M210" s="99"/>
      <c r="N210" s="111"/>
      <c r="O210" s="112"/>
      <c r="P210" s="94"/>
      <c r="Q210" s="120"/>
      <c r="R210" s="113"/>
      <c r="S210" s="94"/>
      <c r="T210" s="94"/>
      <c r="V210" s="104"/>
    </row>
    <row r="211" ht="15.75" customHeight="1">
      <c r="A211" s="91"/>
      <c r="B211" s="131"/>
      <c r="C211" s="104"/>
      <c r="D211" s="94"/>
      <c r="E211" s="247"/>
      <c r="F211" s="247"/>
      <c r="G211" s="94"/>
      <c r="H211" s="132"/>
      <c r="I211" s="94"/>
      <c r="J211" s="94"/>
      <c r="K211" s="125"/>
      <c r="L211" s="125"/>
      <c r="M211" s="99"/>
      <c r="N211" s="111"/>
      <c r="O211" s="112"/>
      <c r="P211" s="94"/>
      <c r="Q211" s="120"/>
      <c r="R211" s="113"/>
      <c r="S211" s="94"/>
      <c r="T211" s="94"/>
      <c r="V211" s="104"/>
    </row>
    <row r="212" ht="15.75" customHeight="1">
      <c r="A212" s="91"/>
      <c r="B212" s="131"/>
      <c r="C212" s="132"/>
      <c r="D212" s="94"/>
      <c r="E212" s="247"/>
      <c r="F212" s="247"/>
      <c r="G212" s="94"/>
      <c r="H212" s="132"/>
      <c r="I212" s="94"/>
      <c r="J212" s="94"/>
      <c r="K212" s="126"/>
      <c r="L212" s="126"/>
      <c r="M212" s="99"/>
      <c r="N212" s="111"/>
      <c r="O212" s="112"/>
      <c r="P212" s="94"/>
      <c r="Q212" s="120"/>
      <c r="R212" s="113"/>
      <c r="S212" s="94"/>
      <c r="T212" s="94"/>
      <c r="V212" s="104"/>
    </row>
    <row r="213" ht="15.75" customHeight="1">
      <c r="A213" s="91"/>
      <c r="B213" s="131"/>
      <c r="C213" s="132"/>
      <c r="D213" s="94"/>
      <c r="E213" s="247"/>
      <c r="F213" s="247"/>
      <c r="G213" s="94"/>
      <c r="H213" s="132"/>
      <c r="I213" s="94"/>
      <c r="J213" s="94"/>
      <c r="K213" s="125"/>
      <c r="L213" s="125"/>
      <c r="M213" s="99"/>
      <c r="N213" s="111"/>
      <c r="O213" s="112"/>
      <c r="P213" s="94"/>
      <c r="Q213" s="120"/>
      <c r="R213" s="113"/>
      <c r="S213" s="94"/>
      <c r="T213" s="94"/>
      <c r="V213" s="104"/>
    </row>
    <row r="214" ht="15.75" customHeight="1">
      <c r="A214" s="91"/>
      <c r="B214" s="131"/>
      <c r="C214" s="132"/>
      <c r="D214" s="94"/>
      <c r="E214" s="247"/>
      <c r="F214" s="247"/>
      <c r="G214" s="94"/>
      <c r="H214" s="132"/>
      <c r="I214" s="94"/>
      <c r="J214" s="94"/>
      <c r="K214" s="126"/>
      <c r="L214" s="126"/>
      <c r="M214" s="99"/>
      <c r="N214" s="111"/>
      <c r="O214" s="112"/>
      <c r="P214" s="94"/>
      <c r="Q214" s="120"/>
      <c r="R214" s="113"/>
      <c r="S214" s="94"/>
      <c r="T214" s="94"/>
      <c r="V214" s="104"/>
    </row>
    <row r="215" ht="15.75" customHeight="1">
      <c r="A215" s="91"/>
      <c r="B215" s="131"/>
      <c r="C215" s="132"/>
      <c r="D215" s="94"/>
      <c r="E215" s="247"/>
      <c r="F215" s="247"/>
      <c r="G215" s="94"/>
      <c r="H215" s="132"/>
      <c r="I215" s="94"/>
      <c r="J215" s="94"/>
      <c r="K215" s="125"/>
      <c r="L215" s="125"/>
      <c r="M215" s="99"/>
      <c r="N215" s="111"/>
      <c r="O215" s="112"/>
      <c r="P215" s="94"/>
      <c r="Q215" s="120"/>
      <c r="R215" s="113"/>
      <c r="S215" s="94"/>
      <c r="T215" s="94"/>
      <c r="V215" s="104"/>
    </row>
    <row r="216" ht="15.75" customHeight="1">
      <c r="A216" s="91"/>
      <c r="B216" s="131"/>
      <c r="C216" s="132"/>
      <c r="D216" s="94"/>
      <c r="E216" s="247"/>
      <c r="F216" s="247"/>
      <c r="G216" s="94"/>
      <c r="H216" s="132"/>
      <c r="I216" s="94"/>
      <c r="J216" s="94"/>
      <c r="K216" s="126"/>
      <c r="L216" s="126"/>
      <c r="M216" s="99"/>
      <c r="N216" s="111"/>
      <c r="O216" s="112"/>
      <c r="P216" s="94"/>
      <c r="Q216" s="120"/>
      <c r="R216" s="113"/>
      <c r="S216" s="94"/>
      <c r="T216" s="94"/>
      <c r="V216" s="104"/>
    </row>
    <row r="217" ht="15.75" customHeight="1">
      <c r="A217" s="91"/>
      <c r="B217" s="131"/>
      <c r="C217" s="104"/>
      <c r="D217" s="94"/>
      <c r="E217" s="247"/>
      <c r="F217" s="247"/>
      <c r="G217" s="94"/>
      <c r="H217" s="132"/>
      <c r="I217" s="94"/>
      <c r="J217" s="94"/>
      <c r="K217" s="125"/>
      <c r="L217" s="125"/>
      <c r="M217" s="99"/>
      <c r="N217" s="111"/>
      <c r="O217" s="112"/>
      <c r="P217" s="94"/>
      <c r="Q217" s="120"/>
      <c r="R217" s="113"/>
      <c r="S217" s="94"/>
      <c r="T217" s="94"/>
      <c r="V217" s="104"/>
    </row>
    <row r="218" ht="15.75" customHeight="1">
      <c r="A218" s="91"/>
      <c r="B218" s="131"/>
      <c r="C218" s="132"/>
      <c r="D218" s="94"/>
      <c r="E218" s="247"/>
      <c r="F218" s="247"/>
      <c r="G218" s="94"/>
      <c r="H218" s="132"/>
      <c r="I218" s="94"/>
      <c r="J218" s="94"/>
      <c r="K218" s="126"/>
      <c r="L218" s="126"/>
      <c r="M218" s="99"/>
      <c r="N218" s="111"/>
      <c r="O218" s="112"/>
      <c r="P218" s="94"/>
      <c r="Q218" s="120"/>
      <c r="R218" s="113"/>
      <c r="S218" s="94"/>
      <c r="T218" s="94"/>
      <c r="V218" s="104"/>
    </row>
    <row r="219" ht="15.75" customHeight="1">
      <c r="A219" s="91"/>
      <c r="B219" s="131"/>
      <c r="C219" s="132"/>
      <c r="D219" s="94"/>
      <c r="E219" s="247"/>
      <c r="F219" s="247"/>
      <c r="G219" s="94"/>
      <c r="H219" s="132"/>
      <c r="I219" s="94"/>
      <c r="J219" s="94"/>
      <c r="K219" s="125"/>
      <c r="L219" s="125"/>
      <c r="M219" s="99"/>
      <c r="N219" s="111"/>
      <c r="O219" s="112"/>
      <c r="P219" s="94"/>
      <c r="Q219" s="120"/>
      <c r="R219" s="113"/>
      <c r="S219" s="94"/>
      <c r="T219" s="94"/>
      <c r="V219" s="104"/>
    </row>
    <row r="220" ht="15.75" customHeight="1">
      <c r="A220" s="91"/>
      <c r="B220" s="131"/>
      <c r="C220" s="132"/>
      <c r="D220" s="94"/>
      <c r="E220" s="247"/>
      <c r="F220" s="247"/>
      <c r="G220" s="94"/>
      <c r="H220" s="132"/>
      <c r="I220" s="94"/>
      <c r="J220" s="94"/>
      <c r="K220" s="126"/>
      <c r="L220" s="126"/>
      <c r="M220" s="99"/>
      <c r="N220" s="111"/>
      <c r="O220" s="112"/>
      <c r="P220" s="94"/>
      <c r="Q220" s="120"/>
      <c r="R220" s="113"/>
      <c r="S220" s="94"/>
      <c r="T220" s="94"/>
      <c r="V220" s="104"/>
    </row>
    <row r="221" ht="15.75" customHeight="1">
      <c r="A221" s="91"/>
      <c r="B221" s="131"/>
      <c r="C221" s="132"/>
      <c r="D221" s="94"/>
      <c r="E221" s="247"/>
      <c r="F221" s="247"/>
      <c r="G221" s="94"/>
      <c r="H221" s="132"/>
      <c r="I221" s="94"/>
      <c r="J221" s="94"/>
      <c r="K221" s="125"/>
      <c r="L221" s="125"/>
      <c r="M221" s="99"/>
      <c r="N221" s="111"/>
      <c r="O221" s="112"/>
      <c r="P221" s="94"/>
      <c r="Q221" s="120"/>
      <c r="R221" s="113"/>
      <c r="S221" s="94"/>
      <c r="T221" s="94"/>
      <c r="V221" s="104"/>
    </row>
    <row r="222" ht="15.75" customHeight="1">
      <c r="A222" s="91"/>
      <c r="B222" s="131"/>
      <c r="C222" s="132"/>
      <c r="D222" s="94"/>
      <c r="E222" s="247"/>
      <c r="F222" s="243" t="s">
        <v>2247</v>
      </c>
      <c r="G222" s="94"/>
      <c r="H222" s="132"/>
      <c r="I222" s="94"/>
      <c r="J222" s="94"/>
      <c r="K222" s="126"/>
      <c r="L222" s="126"/>
      <c r="M222" s="99"/>
      <c r="N222" s="111"/>
      <c r="O222" s="112"/>
      <c r="P222" s="94"/>
      <c r="Q222" s="120"/>
      <c r="R222" s="113"/>
      <c r="S222" s="94"/>
      <c r="T222" s="94"/>
      <c r="V222" s="104"/>
    </row>
    <row r="223" ht="15.75" customHeight="1">
      <c r="A223" s="91"/>
      <c r="B223" s="131"/>
      <c r="C223" s="104"/>
      <c r="D223" s="94"/>
      <c r="E223" s="132"/>
      <c r="F223" s="132"/>
      <c r="G223" s="94"/>
      <c r="H223" s="132"/>
      <c r="I223" s="94"/>
      <c r="J223" s="94"/>
      <c r="K223" s="125"/>
      <c r="L223" s="125"/>
      <c r="M223" s="99"/>
      <c r="N223" s="111"/>
      <c r="O223" s="112"/>
      <c r="P223" s="94"/>
      <c r="Q223" s="120"/>
      <c r="R223" s="113"/>
      <c r="S223" s="94"/>
      <c r="T223" s="94"/>
      <c r="V223" s="104"/>
    </row>
    <row r="224" ht="15.75" customHeight="1">
      <c r="A224" s="91"/>
      <c r="B224" s="131"/>
      <c r="C224" s="132"/>
      <c r="D224" s="94"/>
      <c r="E224" s="132"/>
      <c r="F224" s="132"/>
      <c r="G224" s="94"/>
      <c r="H224" s="132"/>
      <c r="I224" s="94"/>
      <c r="J224" s="94"/>
      <c r="K224" s="126"/>
      <c r="L224" s="126"/>
      <c r="M224" s="99"/>
      <c r="N224" s="111"/>
      <c r="O224" s="112"/>
      <c r="P224" s="94"/>
      <c r="Q224" s="120"/>
      <c r="R224" s="113"/>
      <c r="S224" s="94"/>
      <c r="T224" s="94"/>
      <c r="V224" s="104"/>
    </row>
    <row r="225" ht="15.75" customHeight="1">
      <c r="A225" s="91"/>
      <c r="B225" s="131"/>
      <c r="C225" s="132"/>
      <c r="D225" s="94"/>
      <c r="E225" s="132"/>
      <c r="F225" s="132"/>
      <c r="G225" s="94"/>
      <c r="H225" s="132"/>
      <c r="I225" s="94"/>
      <c r="J225" s="94"/>
      <c r="K225" s="125"/>
      <c r="L225" s="125"/>
      <c r="M225" s="99"/>
      <c r="N225" s="111"/>
      <c r="O225" s="112"/>
      <c r="P225" s="94"/>
      <c r="Q225" s="120"/>
      <c r="R225" s="113"/>
      <c r="S225" s="94"/>
      <c r="T225" s="94"/>
      <c r="V225" s="104"/>
    </row>
    <row r="226" ht="15.75" customHeight="1">
      <c r="A226" s="91"/>
      <c r="B226" s="131"/>
      <c r="C226" s="132"/>
      <c r="D226" s="94"/>
      <c r="E226" s="132"/>
      <c r="F226" s="132"/>
      <c r="G226" s="94"/>
      <c r="H226" s="132"/>
      <c r="I226" s="94"/>
      <c r="J226" s="94"/>
      <c r="K226" s="126"/>
      <c r="L226" s="126"/>
      <c r="M226" s="99"/>
      <c r="N226" s="111"/>
      <c r="O226" s="112"/>
      <c r="P226" s="94"/>
      <c r="Q226" s="120"/>
      <c r="R226" s="113"/>
      <c r="S226" s="94"/>
      <c r="T226" s="94"/>
      <c r="V226" s="104"/>
    </row>
    <row r="227" ht="15.75" customHeight="1">
      <c r="A227" s="91"/>
      <c r="B227" s="131"/>
      <c r="C227" s="132"/>
      <c r="D227" s="94"/>
      <c r="E227" s="132"/>
      <c r="F227" s="132"/>
      <c r="G227" s="94"/>
      <c r="H227" s="132"/>
      <c r="I227" s="94"/>
      <c r="J227" s="94"/>
      <c r="K227" s="125"/>
      <c r="L227" s="125"/>
      <c r="M227" s="99"/>
      <c r="N227" s="111"/>
      <c r="O227" s="112"/>
      <c r="P227" s="94"/>
      <c r="Q227" s="120"/>
      <c r="R227" s="113"/>
      <c r="S227" s="94"/>
      <c r="T227" s="94"/>
      <c r="V227" s="104"/>
    </row>
    <row r="228" ht="15.75" customHeight="1">
      <c r="A228" s="91"/>
      <c r="B228" s="131"/>
      <c r="C228" s="132"/>
      <c r="D228" s="94"/>
      <c r="E228" s="132"/>
      <c r="F228" s="132"/>
      <c r="G228" s="94"/>
      <c r="H228" s="132"/>
      <c r="I228" s="94"/>
      <c r="J228" s="94"/>
      <c r="K228" s="126"/>
      <c r="L228" s="126"/>
      <c r="M228" s="99"/>
      <c r="N228" s="111"/>
      <c r="O228" s="112"/>
      <c r="P228" s="94"/>
      <c r="Q228" s="120"/>
      <c r="R228" s="113"/>
      <c r="S228" s="94"/>
      <c r="T228" s="94"/>
      <c r="V228" s="104"/>
    </row>
    <row r="229" ht="15.75" customHeight="1">
      <c r="A229" s="91"/>
      <c r="B229" s="131"/>
      <c r="C229" s="104"/>
      <c r="D229" s="94"/>
      <c r="E229" s="132"/>
      <c r="F229" s="132"/>
      <c r="G229" s="94"/>
      <c r="H229" s="132"/>
      <c r="I229" s="94"/>
      <c r="J229" s="94"/>
      <c r="K229" s="125"/>
      <c r="L229" s="125"/>
      <c r="M229" s="99"/>
      <c r="N229" s="111"/>
      <c r="O229" s="112"/>
      <c r="P229" s="94"/>
      <c r="Q229" s="120"/>
      <c r="R229" s="113"/>
      <c r="S229" s="94"/>
      <c r="T229" s="94"/>
      <c r="V229" s="104"/>
    </row>
    <row r="230" ht="15.75" customHeight="1">
      <c r="A230" s="91"/>
      <c r="B230" s="131"/>
      <c r="C230" s="132"/>
      <c r="D230" s="94"/>
      <c r="E230" s="132"/>
      <c r="F230" s="132"/>
      <c r="G230" s="94"/>
      <c r="H230" s="132"/>
      <c r="I230" s="94"/>
      <c r="J230" s="94"/>
      <c r="K230" s="126"/>
      <c r="L230" s="126"/>
      <c r="M230" s="99"/>
      <c r="N230" s="111"/>
      <c r="O230" s="112"/>
      <c r="P230" s="94"/>
      <c r="Q230" s="120"/>
      <c r="R230" s="113"/>
      <c r="S230" s="94"/>
      <c r="T230" s="94"/>
      <c r="V230" s="104"/>
    </row>
    <row r="231" ht="15.75" customHeight="1">
      <c r="A231" s="91"/>
      <c r="B231" s="131"/>
      <c r="C231" s="132"/>
      <c r="D231" s="94"/>
      <c r="E231" s="132"/>
      <c r="F231" s="132"/>
      <c r="G231" s="94"/>
      <c r="H231" s="132"/>
      <c r="I231" s="94"/>
      <c r="J231" s="94"/>
      <c r="K231" s="125"/>
      <c r="L231" s="125"/>
      <c r="M231" s="99"/>
      <c r="N231" s="111"/>
      <c r="O231" s="112"/>
      <c r="P231" s="94"/>
      <c r="Q231" s="120"/>
      <c r="R231" s="113"/>
      <c r="S231" s="94"/>
      <c r="T231" s="94"/>
      <c r="V231" s="104"/>
    </row>
    <row r="232" ht="15.75" customHeight="1">
      <c r="A232" s="91"/>
      <c r="B232" s="131"/>
      <c r="C232" s="132"/>
      <c r="D232" s="94"/>
      <c r="E232" s="132"/>
      <c r="F232" s="132"/>
      <c r="G232" s="94"/>
      <c r="H232" s="132"/>
      <c r="I232" s="94"/>
      <c r="J232" s="94"/>
      <c r="K232" s="126"/>
      <c r="L232" s="126"/>
      <c r="M232" s="99"/>
      <c r="N232" s="111"/>
      <c r="O232" s="112"/>
      <c r="P232" s="94"/>
      <c r="Q232" s="120"/>
      <c r="R232" s="113"/>
      <c r="S232" s="94"/>
      <c r="T232" s="94"/>
      <c r="V232" s="104"/>
    </row>
    <row r="233" ht="15.75" customHeight="1">
      <c r="A233" s="91"/>
      <c r="B233" s="131"/>
      <c r="C233" s="132"/>
      <c r="D233" s="94"/>
      <c r="E233" s="132"/>
      <c r="F233" s="132"/>
      <c r="G233" s="94"/>
      <c r="H233" s="132"/>
      <c r="I233" s="94"/>
      <c r="J233" s="94"/>
      <c r="K233" s="125"/>
      <c r="L233" s="125"/>
      <c r="M233" s="99"/>
      <c r="N233" s="111"/>
      <c r="O233" s="112"/>
      <c r="P233" s="94"/>
      <c r="Q233" s="120"/>
      <c r="R233" s="113"/>
      <c r="S233" s="94"/>
      <c r="T233" s="94"/>
      <c r="V233" s="104"/>
    </row>
    <row r="234" ht="15.75" customHeight="1">
      <c r="A234" s="91"/>
      <c r="B234" s="131"/>
      <c r="C234" s="132"/>
      <c r="D234" s="94"/>
      <c r="E234" s="132"/>
      <c r="F234" s="132"/>
      <c r="G234" s="94"/>
      <c r="H234" s="132"/>
      <c r="I234" s="94"/>
      <c r="J234" s="94"/>
      <c r="K234" s="126"/>
      <c r="L234" s="126"/>
      <c r="M234" s="99"/>
      <c r="N234" s="111"/>
      <c r="O234" s="112"/>
      <c r="P234" s="94"/>
      <c r="Q234" s="120"/>
      <c r="R234" s="113"/>
      <c r="S234" s="94"/>
      <c r="T234" s="94"/>
      <c r="V234" s="104"/>
    </row>
    <row r="235" ht="15.75" customHeight="1">
      <c r="A235" s="91"/>
      <c r="B235" s="131"/>
      <c r="C235" s="104"/>
      <c r="D235" s="94"/>
      <c r="E235" s="132"/>
      <c r="F235" s="132"/>
      <c r="G235" s="94"/>
      <c r="H235" s="132"/>
      <c r="I235" s="94"/>
      <c r="J235" s="94"/>
      <c r="K235" s="125"/>
      <c r="L235" s="125"/>
      <c r="M235" s="99"/>
      <c r="N235" s="111"/>
      <c r="O235" s="112"/>
      <c r="P235" s="94"/>
      <c r="Q235" s="120"/>
      <c r="R235" s="113"/>
      <c r="S235" s="94"/>
      <c r="T235" s="94"/>
      <c r="V235" s="104"/>
    </row>
    <row r="236" ht="15.75" customHeight="1">
      <c r="A236" s="91"/>
      <c r="B236" s="131"/>
      <c r="C236" s="132"/>
      <c r="D236" s="94"/>
      <c r="E236" s="132"/>
      <c r="F236" s="132"/>
      <c r="G236" s="94"/>
      <c r="H236" s="132"/>
      <c r="I236" s="94"/>
      <c r="J236" s="94"/>
      <c r="K236" s="126"/>
      <c r="L236" s="126"/>
      <c r="M236" s="99"/>
      <c r="N236" s="111"/>
      <c r="O236" s="112"/>
      <c r="P236" s="94"/>
      <c r="Q236" s="120"/>
      <c r="R236" s="113"/>
      <c r="S236" s="94"/>
      <c r="T236" s="94"/>
      <c r="V236" s="104"/>
    </row>
    <row r="237" ht="15.75" customHeight="1">
      <c r="A237" s="91"/>
      <c r="B237" s="131"/>
      <c r="C237" s="132"/>
      <c r="D237" s="94"/>
      <c r="E237" s="132"/>
      <c r="F237" s="132"/>
      <c r="G237" s="94"/>
      <c r="H237" s="132"/>
      <c r="I237" s="94"/>
      <c r="J237" s="94"/>
      <c r="K237" s="125"/>
      <c r="L237" s="125"/>
      <c r="M237" s="99"/>
      <c r="N237" s="111"/>
      <c r="O237" s="112"/>
      <c r="P237" s="94"/>
      <c r="Q237" s="120"/>
      <c r="R237" s="113"/>
      <c r="S237" s="94"/>
      <c r="T237" s="94"/>
      <c r="V237" s="104"/>
    </row>
    <row r="238" ht="15.75" customHeight="1">
      <c r="A238" s="91"/>
      <c r="B238" s="131"/>
      <c r="C238" s="132"/>
      <c r="D238" s="94"/>
      <c r="E238" s="132"/>
      <c r="F238" s="132"/>
      <c r="G238" s="94"/>
      <c r="H238" s="132"/>
      <c r="I238" s="94"/>
      <c r="J238" s="94"/>
      <c r="K238" s="126"/>
      <c r="L238" s="126"/>
      <c r="M238" s="99"/>
      <c r="N238" s="111"/>
      <c r="O238" s="112"/>
      <c r="P238" s="94"/>
      <c r="Q238" s="120"/>
      <c r="R238" s="113"/>
      <c r="S238" s="94"/>
      <c r="T238" s="94"/>
      <c r="V238" s="104"/>
    </row>
    <row r="239" ht="15.75" customHeight="1">
      <c r="A239" s="91"/>
      <c r="B239" s="131"/>
      <c r="C239" s="132"/>
      <c r="D239" s="94"/>
      <c r="E239" s="132"/>
      <c r="F239" s="132"/>
      <c r="G239" s="94"/>
      <c r="H239" s="132"/>
      <c r="I239" s="94"/>
      <c r="J239" s="94"/>
      <c r="K239" s="125"/>
      <c r="L239" s="125"/>
      <c r="M239" s="99"/>
      <c r="N239" s="111"/>
      <c r="O239" s="112"/>
      <c r="P239" s="94"/>
      <c r="Q239" s="120"/>
      <c r="R239" s="113"/>
      <c r="S239" s="94"/>
      <c r="T239" s="94"/>
      <c r="V239" s="104"/>
    </row>
    <row r="240" ht="15.75" customHeight="1">
      <c r="A240" s="91"/>
      <c r="B240" s="131"/>
      <c r="C240" s="132"/>
      <c r="D240" s="94"/>
      <c r="E240" s="132"/>
      <c r="F240" s="132"/>
      <c r="G240" s="94"/>
      <c r="H240" s="132"/>
      <c r="I240" s="94"/>
      <c r="J240" s="94"/>
      <c r="K240" s="126"/>
      <c r="L240" s="126"/>
      <c r="M240" s="99"/>
      <c r="N240" s="111"/>
      <c r="O240" s="112"/>
      <c r="P240" s="94"/>
      <c r="Q240" s="120"/>
      <c r="R240" s="113"/>
      <c r="S240" s="94"/>
      <c r="T240" s="94"/>
      <c r="V240" s="104"/>
    </row>
    <row r="241" ht="15.75" customHeight="1">
      <c r="A241" s="91"/>
      <c r="B241" s="131"/>
      <c r="C241" s="104"/>
      <c r="D241" s="94"/>
      <c r="E241" s="132"/>
      <c r="F241" s="132"/>
      <c r="G241" s="94"/>
      <c r="H241" s="132"/>
      <c r="I241" s="94"/>
      <c r="J241" s="94"/>
      <c r="K241" s="125"/>
      <c r="L241" s="125"/>
      <c r="M241" s="99"/>
      <c r="N241" s="111"/>
      <c r="O241" s="112"/>
      <c r="P241" s="94"/>
      <c r="Q241" s="120"/>
      <c r="R241" s="113"/>
      <c r="S241" s="94"/>
      <c r="T241" s="94"/>
      <c r="V241" s="104"/>
    </row>
    <row r="242" ht="15.75" customHeight="1">
      <c r="A242" s="91"/>
      <c r="B242" s="131"/>
      <c r="C242" s="132"/>
      <c r="D242" s="94"/>
      <c r="E242" s="132"/>
      <c r="F242" s="132"/>
      <c r="G242" s="94"/>
      <c r="H242" s="132"/>
      <c r="I242" s="94"/>
      <c r="J242" s="94"/>
      <c r="K242" s="126"/>
      <c r="L242" s="126"/>
      <c r="M242" s="99"/>
      <c r="N242" s="111"/>
      <c r="O242" s="112"/>
      <c r="P242" s="94"/>
      <c r="Q242" s="120"/>
      <c r="R242" s="113"/>
      <c r="S242" s="94"/>
      <c r="T242" s="94"/>
      <c r="V242" s="104"/>
    </row>
    <row r="243" ht="15.75" customHeight="1">
      <c r="A243" s="91"/>
      <c r="B243" s="131"/>
      <c r="C243" s="132"/>
      <c r="D243" s="94"/>
      <c r="E243" s="132"/>
      <c r="F243" s="132"/>
      <c r="G243" s="94"/>
      <c r="H243" s="132"/>
      <c r="I243" s="94"/>
      <c r="J243" s="94"/>
      <c r="K243" s="125"/>
      <c r="L243" s="125"/>
      <c r="M243" s="99"/>
      <c r="N243" s="111"/>
      <c r="O243" s="112"/>
      <c r="P243" s="94"/>
      <c r="Q243" s="120"/>
      <c r="R243" s="113"/>
      <c r="S243" s="94"/>
      <c r="T243" s="94"/>
      <c r="V243" s="104"/>
    </row>
    <row r="244" ht="15.75" customHeight="1">
      <c r="A244" s="91"/>
      <c r="B244" s="131"/>
      <c r="C244" s="132"/>
      <c r="D244" s="94"/>
      <c r="E244" s="132"/>
      <c r="F244" s="132"/>
      <c r="G244" s="94"/>
      <c r="H244" s="132"/>
      <c r="I244" s="94"/>
      <c r="J244" s="94"/>
      <c r="K244" s="126"/>
      <c r="L244" s="126"/>
      <c r="M244" s="99"/>
      <c r="N244" s="111"/>
      <c r="O244" s="112"/>
      <c r="P244" s="94"/>
      <c r="Q244" s="120"/>
      <c r="R244" s="113"/>
      <c r="S244" s="94"/>
      <c r="T244" s="94"/>
      <c r="V244" s="104"/>
    </row>
    <row r="245" ht="15.75" customHeight="1">
      <c r="A245" s="91"/>
      <c r="B245" s="131"/>
      <c r="C245" s="132"/>
      <c r="D245" s="94"/>
      <c r="E245" s="132"/>
      <c r="F245" s="132"/>
      <c r="G245" s="94"/>
      <c r="H245" s="132"/>
      <c r="I245" s="94"/>
      <c r="J245" s="94"/>
      <c r="K245" s="125"/>
      <c r="L245" s="125"/>
      <c r="M245" s="99"/>
      <c r="N245" s="111"/>
      <c r="O245" s="112"/>
      <c r="P245" s="94"/>
      <c r="Q245" s="120"/>
      <c r="R245" s="113"/>
      <c r="S245" s="94"/>
      <c r="T245" s="94"/>
      <c r="V245" s="104"/>
    </row>
    <row r="246" ht="15.75" customHeight="1">
      <c r="A246" s="91"/>
      <c r="B246" s="131"/>
      <c r="C246" s="132"/>
      <c r="D246" s="94"/>
      <c r="E246" s="132"/>
      <c r="F246" s="132"/>
      <c r="G246" s="94"/>
      <c r="H246" s="132"/>
      <c r="I246" s="94"/>
      <c r="J246" s="94"/>
      <c r="K246" s="126"/>
      <c r="L246" s="126"/>
      <c r="M246" s="99"/>
      <c r="N246" s="111"/>
      <c r="O246" s="112"/>
      <c r="P246" s="94"/>
      <c r="Q246" s="120"/>
      <c r="R246" s="113"/>
      <c r="S246" s="94"/>
      <c r="T246" s="94"/>
      <c r="V246" s="104"/>
    </row>
    <row r="247" ht="15.75" customHeight="1">
      <c r="A247" s="91"/>
      <c r="B247" s="131"/>
      <c r="C247" s="104"/>
      <c r="D247" s="94"/>
      <c r="E247" s="132"/>
      <c r="F247" s="132"/>
      <c r="G247" s="94"/>
      <c r="H247" s="132"/>
      <c r="I247" s="94"/>
      <c r="J247" s="94"/>
      <c r="K247" s="125"/>
      <c r="L247" s="125"/>
      <c r="M247" s="99"/>
      <c r="N247" s="111"/>
      <c r="O247" s="112"/>
      <c r="P247" s="94"/>
      <c r="Q247" s="120"/>
      <c r="R247" s="113"/>
      <c r="S247" s="94"/>
      <c r="T247" s="94"/>
      <c r="V247" s="104"/>
    </row>
    <row r="248" ht="15.75" customHeight="1">
      <c r="A248" s="91"/>
      <c r="B248" s="131"/>
      <c r="C248" s="132"/>
      <c r="D248" s="94"/>
      <c r="E248" s="132"/>
      <c r="F248" s="132"/>
      <c r="G248" s="94"/>
      <c r="H248" s="132"/>
      <c r="I248" s="94"/>
      <c r="J248" s="94"/>
      <c r="K248" s="126"/>
      <c r="L248" s="126"/>
      <c r="M248" s="99"/>
      <c r="N248" s="111"/>
      <c r="O248" s="112"/>
      <c r="P248" s="94"/>
      <c r="Q248" s="120"/>
      <c r="R248" s="113"/>
      <c r="S248" s="94"/>
      <c r="T248" s="94"/>
      <c r="V248" s="104"/>
    </row>
    <row r="249" ht="15.75" customHeight="1">
      <c r="A249" s="91"/>
      <c r="B249" s="131"/>
      <c r="C249" s="132"/>
      <c r="D249" s="94"/>
      <c r="E249" s="132"/>
      <c r="F249" s="132"/>
      <c r="G249" s="94"/>
      <c r="H249" s="132"/>
      <c r="I249" s="94"/>
      <c r="J249" s="94"/>
      <c r="K249" s="125"/>
      <c r="L249" s="125"/>
      <c r="M249" s="99"/>
      <c r="N249" s="111"/>
      <c r="O249" s="112"/>
      <c r="P249" s="94"/>
      <c r="Q249" s="120"/>
      <c r="R249" s="113"/>
      <c r="S249" s="94"/>
      <c r="T249" s="94"/>
      <c r="V249" s="104"/>
    </row>
    <row r="250" ht="15.75" customHeight="1">
      <c r="A250" s="91"/>
      <c r="B250" s="131"/>
      <c r="C250" s="132"/>
      <c r="D250" s="94"/>
      <c r="E250" s="132"/>
      <c r="F250" s="132"/>
      <c r="G250" s="94"/>
      <c r="H250" s="132"/>
      <c r="I250" s="94"/>
      <c r="J250" s="94"/>
      <c r="K250" s="126"/>
      <c r="L250" s="126"/>
      <c r="M250" s="99"/>
      <c r="N250" s="111"/>
      <c r="O250" s="112"/>
      <c r="P250" s="94"/>
      <c r="Q250" s="120"/>
      <c r="R250" s="113"/>
      <c r="S250" s="94"/>
      <c r="T250" s="94"/>
      <c r="V250" s="104"/>
    </row>
    <row r="251" ht="15.75" customHeight="1">
      <c r="A251" s="91"/>
      <c r="B251" s="131"/>
      <c r="C251" s="132"/>
      <c r="D251" s="94"/>
      <c r="E251" s="132"/>
      <c r="F251" s="132"/>
      <c r="G251" s="94"/>
      <c r="H251" s="132"/>
      <c r="I251" s="94"/>
      <c r="J251" s="94"/>
      <c r="K251" s="125"/>
      <c r="L251" s="125"/>
      <c r="M251" s="99"/>
      <c r="N251" s="111"/>
      <c r="O251" s="112"/>
      <c r="P251" s="94"/>
      <c r="Q251" s="120"/>
      <c r="R251" s="113"/>
      <c r="S251" s="94"/>
      <c r="T251" s="94"/>
      <c r="V251" s="104"/>
    </row>
    <row r="252" ht="15.75" customHeight="1">
      <c r="A252" s="91"/>
      <c r="B252" s="131"/>
      <c r="C252" s="132"/>
      <c r="D252" s="94"/>
      <c r="E252" s="132"/>
      <c r="F252" s="132"/>
      <c r="G252" s="94"/>
      <c r="H252" s="132"/>
      <c r="I252" s="94"/>
      <c r="J252" s="94"/>
      <c r="K252" s="126"/>
      <c r="L252" s="126"/>
      <c r="M252" s="99"/>
      <c r="N252" s="111"/>
      <c r="O252" s="112"/>
      <c r="P252" s="94"/>
      <c r="Q252" s="120"/>
      <c r="R252" s="113"/>
      <c r="S252" s="94"/>
      <c r="T252" s="94"/>
      <c r="V252" s="104"/>
    </row>
    <row r="253" ht="15.75" customHeight="1">
      <c r="A253" s="91"/>
      <c r="B253" s="131"/>
      <c r="C253" s="104"/>
      <c r="D253" s="94"/>
      <c r="E253" s="132"/>
      <c r="F253" s="132"/>
      <c r="G253" s="94"/>
      <c r="H253" s="132"/>
      <c r="I253" s="94"/>
      <c r="J253" s="94"/>
      <c r="K253" s="125"/>
      <c r="L253" s="125"/>
      <c r="M253" s="99"/>
      <c r="N253" s="111"/>
      <c r="O253" s="112"/>
      <c r="P253" s="94"/>
      <c r="Q253" s="120"/>
      <c r="R253" s="113"/>
      <c r="S253" s="94"/>
      <c r="T253" s="94"/>
      <c r="V253" s="104"/>
    </row>
    <row r="254" ht="15.75" customHeight="1">
      <c r="A254" s="91"/>
      <c r="B254" s="131"/>
      <c r="C254" s="132"/>
      <c r="D254" s="94"/>
      <c r="E254" s="132"/>
      <c r="F254" s="132"/>
      <c r="G254" s="94"/>
      <c r="H254" s="132"/>
      <c r="I254" s="94"/>
      <c r="J254" s="94"/>
      <c r="K254" s="126"/>
      <c r="L254" s="126"/>
      <c r="M254" s="99"/>
      <c r="N254" s="111"/>
      <c r="O254" s="112"/>
      <c r="P254" s="94"/>
      <c r="Q254" s="120"/>
      <c r="R254" s="113"/>
      <c r="S254" s="94"/>
      <c r="T254" s="94"/>
      <c r="V254" s="104"/>
    </row>
    <row r="255" ht="15.75" customHeight="1">
      <c r="A255" s="91"/>
      <c r="B255" s="131"/>
      <c r="C255" s="132"/>
      <c r="D255" s="94"/>
      <c r="E255" s="132"/>
      <c r="F255" s="132"/>
      <c r="G255" s="94"/>
      <c r="H255" s="132"/>
      <c r="I255" s="94"/>
      <c r="J255" s="94"/>
      <c r="K255" s="125"/>
      <c r="L255" s="125"/>
      <c r="M255" s="99"/>
      <c r="N255" s="111"/>
      <c r="O255" s="112"/>
      <c r="P255" s="94"/>
      <c r="Q255" s="120"/>
      <c r="R255" s="113"/>
      <c r="S255" s="94"/>
      <c r="T255" s="94"/>
      <c r="V255" s="104"/>
    </row>
    <row r="256" ht="15.75" customHeight="1">
      <c r="A256" s="91"/>
      <c r="B256" s="131"/>
      <c r="C256" s="132"/>
      <c r="D256" s="94"/>
      <c r="E256" s="132"/>
      <c r="F256" s="132"/>
      <c r="G256" s="94"/>
      <c r="H256" s="132"/>
      <c r="I256" s="94"/>
      <c r="J256" s="94"/>
      <c r="K256" s="126"/>
      <c r="L256" s="126"/>
      <c r="M256" s="99"/>
      <c r="N256" s="111"/>
      <c r="O256" s="112"/>
      <c r="P256" s="94"/>
      <c r="Q256" s="120"/>
      <c r="R256" s="113"/>
      <c r="S256" s="94"/>
      <c r="T256" s="94"/>
      <c r="V256" s="104"/>
    </row>
    <row r="257" ht="15.75" customHeight="1">
      <c r="A257" s="91"/>
      <c r="B257" s="131"/>
      <c r="C257" s="132"/>
      <c r="D257" s="94"/>
      <c r="E257" s="132"/>
      <c r="F257" s="132"/>
      <c r="G257" s="94"/>
      <c r="H257" s="132"/>
      <c r="I257" s="94"/>
      <c r="J257" s="94"/>
      <c r="K257" s="125"/>
      <c r="L257" s="125"/>
      <c r="M257" s="99"/>
      <c r="N257" s="111"/>
      <c r="O257" s="112"/>
      <c r="P257" s="94"/>
      <c r="Q257" s="120"/>
      <c r="R257" s="113"/>
      <c r="S257" s="94"/>
      <c r="T257" s="94"/>
      <c r="V257" s="104"/>
    </row>
    <row r="258" ht="15.75" customHeight="1">
      <c r="A258" s="91"/>
      <c r="B258" s="131"/>
      <c r="C258" s="132"/>
      <c r="D258" s="94"/>
      <c r="E258" s="132"/>
      <c r="F258" s="132"/>
      <c r="G258" s="94"/>
      <c r="H258" s="132"/>
      <c r="I258" s="94"/>
      <c r="J258" s="94"/>
      <c r="K258" s="126"/>
      <c r="L258" s="126"/>
      <c r="M258" s="99"/>
      <c r="N258" s="111"/>
      <c r="O258" s="112"/>
      <c r="P258" s="94"/>
      <c r="Q258" s="120"/>
      <c r="R258" s="113"/>
      <c r="S258" s="94"/>
      <c r="T258" s="94"/>
      <c r="V258" s="104"/>
    </row>
    <row r="259" ht="15.75" customHeight="1">
      <c r="A259" s="91"/>
      <c r="B259" s="131"/>
      <c r="C259" s="104"/>
      <c r="D259" s="94"/>
      <c r="E259" s="132"/>
      <c r="F259" s="132"/>
      <c r="G259" s="94"/>
      <c r="H259" s="132"/>
      <c r="I259" s="94"/>
      <c r="J259" s="94"/>
      <c r="K259" s="125"/>
      <c r="L259" s="125"/>
      <c r="M259" s="99"/>
      <c r="N259" s="111"/>
      <c r="O259" s="112"/>
      <c r="P259" s="94"/>
      <c r="Q259" s="120"/>
      <c r="R259" s="113"/>
      <c r="S259" s="94"/>
      <c r="T259" s="94"/>
      <c r="V259" s="104"/>
    </row>
    <row r="260" ht="15.75" customHeight="1">
      <c r="A260" s="91"/>
      <c r="B260" s="131"/>
      <c r="C260" s="132"/>
      <c r="D260" s="94"/>
      <c r="E260" s="132"/>
      <c r="F260" s="132"/>
      <c r="G260" s="94"/>
      <c r="H260" s="132"/>
      <c r="I260" s="94"/>
      <c r="J260" s="94"/>
      <c r="K260" s="126"/>
      <c r="L260" s="126"/>
      <c r="M260" s="99"/>
      <c r="N260" s="111"/>
      <c r="O260" s="112"/>
      <c r="P260" s="94"/>
      <c r="Q260" s="120"/>
      <c r="R260" s="113"/>
      <c r="S260" s="94"/>
      <c r="T260" s="94"/>
      <c r="V260" s="104"/>
    </row>
    <row r="261" ht="15.75" customHeight="1">
      <c r="A261" s="91"/>
      <c r="B261" s="131"/>
      <c r="C261" s="132"/>
      <c r="D261" s="94"/>
      <c r="E261" s="132"/>
      <c r="F261" s="132"/>
      <c r="G261" s="94"/>
      <c r="H261" s="132"/>
      <c r="I261" s="94"/>
      <c r="J261" s="94"/>
      <c r="K261" s="125"/>
      <c r="L261" s="125"/>
      <c r="M261" s="99"/>
      <c r="N261" s="111"/>
      <c r="O261" s="112"/>
      <c r="P261" s="94"/>
      <c r="Q261" s="120"/>
      <c r="R261" s="113"/>
      <c r="S261" s="94"/>
      <c r="T261" s="94"/>
      <c r="V261" s="104"/>
    </row>
    <row r="262" ht="15.75" customHeight="1">
      <c r="A262" s="91"/>
      <c r="B262" s="131"/>
      <c r="C262" s="132"/>
      <c r="D262" s="94"/>
      <c r="E262" s="132"/>
      <c r="F262" s="132"/>
      <c r="G262" s="94"/>
      <c r="H262" s="132"/>
      <c r="I262" s="94"/>
      <c r="J262" s="94"/>
      <c r="K262" s="126"/>
      <c r="L262" s="126"/>
      <c r="M262" s="99"/>
      <c r="N262" s="111"/>
      <c r="O262" s="112"/>
      <c r="P262" s="94"/>
      <c r="Q262" s="120"/>
      <c r="R262" s="113"/>
      <c r="S262" s="94"/>
      <c r="T262" s="94"/>
      <c r="V262" s="104"/>
    </row>
    <row r="263" ht="15.75" customHeight="1">
      <c r="A263" s="91"/>
      <c r="B263" s="131"/>
      <c r="C263" s="132"/>
      <c r="D263" s="94"/>
      <c r="E263" s="132"/>
      <c r="F263" s="132"/>
      <c r="G263" s="94"/>
      <c r="H263" s="132"/>
      <c r="I263" s="94"/>
      <c r="J263" s="94"/>
      <c r="K263" s="125"/>
      <c r="L263" s="125"/>
      <c r="M263" s="99"/>
      <c r="N263" s="111"/>
      <c r="O263" s="112"/>
      <c r="P263" s="94"/>
      <c r="Q263" s="120"/>
      <c r="R263" s="113"/>
      <c r="S263" s="94"/>
      <c r="T263" s="94"/>
      <c r="V263" s="104"/>
    </row>
    <row r="264" ht="15.75" customHeight="1">
      <c r="A264" s="91"/>
      <c r="B264" s="131"/>
      <c r="C264" s="132"/>
      <c r="D264" s="94"/>
      <c r="E264" s="132"/>
      <c r="F264" s="132"/>
      <c r="G264" s="94"/>
      <c r="H264" s="132"/>
      <c r="I264" s="94"/>
      <c r="J264" s="94"/>
      <c r="K264" s="126"/>
      <c r="L264" s="126"/>
      <c r="M264" s="99"/>
      <c r="N264" s="111"/>
      <c r="O264" s="112"/>
      <c r="P264" s="94"/>
      <c r="Q264" s="120"/>
      <c r="R264" s="113"/>
      <c r="S264" s="94"/>
      <c r="T264" s="94"/>
      <c r="V264" s="104"/>
    </row>
    <row r="265" ht="15.75" customHeight="1">
      <c r="A265" s="91"/>
      <c r="B265" s="131"/>
      <c r="C265" s="104"/>
      <c r="D265" s="94"/>
      <c r="E265" s="132"/>
      <c r="F265" s="132"/>
      <c r="G265" s="94"/>
      <c r="H265" s="132"/>
      <c r="I265" s="94"/>
      <c r="J265" s="94"/>
      <c r="K265" s="125"/>
      <c r="L265" s="125"/>
      <c r="M265" s="99"/>
      <c r="N265" s="111"/>
      <c r="O265" s="112"/>
      <c r="P265" s="94"/>
      <c r="Q265" s="120"/>
      <c r="R265" s="113"/>
      <c r="S265" s="94"/>
      <c r="T265" s="94"/>
      <c r="V265" s="104"/>
    </row>
    <row r="266" ht="15.75" customHeight="1">
      <c r="A266" s="91"/>
      <c r="B266" s="131"/>
      <c r="C266" s="132"/>
      <c r="D266" s="94"/>
      <c r="E266" s="132"/>
      <c r="F266" s="132"/>
      <c r="G266" s="94"/>
      <c r="H266" s="132"/>
      <c r="I266" s="94"/>
      <c r="J266" s="94"/>
      <c r="K266" s="126"/>
      <c r="L266" s="126"/>
      <c r="M266" s="99"/>
      <c r="N266" s="111"/>
      <c r="O266" s="112"/>
      <c r="P266" s="94"/>
      <c r="Q266" s="120"/>
      <c r="R266" s="113"/>
      <c r="S266" s="94"/>
      <c r="T266" s="94"/>
      <c r="V266" s="104"/>
    </row>
    <row r="267" ht="15.75" customHeight="1">
      <c r="A267" s="91"/>
      <c r="B267" s="131"/>
      <c r="C267" s="132"/>
      <c r="D267" s="94"/>
      <c r="E267" s="132"/>
      <c r="F267" s="132"/>
      <c r="G267" s="94"/>
      <c r="H267" s="132"/>
      <c r="I267" s="94"/>
      <c r="J267" s="94"/>
      <c r="K267" s="125"/>
      <c r="L267" s="125"/>
      <c r="M267" s="99"/>
      <c r="N267" s="111"/>
      <c r="O267" s="112"/>
      <c r="P267" s="94"/>
      <c r="Q267" s="120"/>
      <c r="R267" s="113"/>
      <c r="S267" s="94"/>
      <c r="T267" s="94"/>
      <c r="V267" s="104"/>
    </row>
    <row r="268" ht="15.75" customHeight="1">
      <c r="A268" s="91"/>
      <c r="B268" s="131"/>
      <c r="C268" s="132"/>
      <c r="D268" s="94"/>
      <c r="E268" s="132"/>
      <c r="F268" s="132"/>
      <c r="G268" s="94"/>
      <c r="H268" s="132"/>
      <c r="I268" s="94"/>
      <c r="J268" s="94"/>
      <c r="K268" s="126"/>
      <c r="L268" s="126"/>
      <c r="M268" s="99"/>
      <c r="N268" s="111"/>
      <c r="O268" s="112"/>
      <c r="P268" s="94"/>
      <c r="Q268" s="120"/>
      <c r="R268" s="113"/>
      <c r="S268" s="94"/>
      <c r="T268" s="94"/>
      <c r="V268" s="104"/>
    </row>
    <row r="269" ht="15.75" customHeight="1">
      <c r="A269" s="91"/>
      <c r="B269" s="131"/>
      <c r="C269" s="132"/>
      <c r="D269" s="94"/>
      <c r="E269" s="132"/>
      <c r="F269" s="132"/>
      <c r="G269" s="94"/>
      <c r="H269" s="132"/>
      <c r="I269" s="94"/>
      <c r="J269" s="94"/>
      <c r="K269" s="125"/>
      <c r="L269" s="125"/>
      <c r="M269" s="99"/>
      <c r="N269" s="111"/>
      <c r="O269" s="112"/>
      <c r="P269" s="94"/>
      <c r="Q269" s="120"/>
      <c r="R269" s="113"/>
      <c r="S269" s="94"/>
      <c r="T269" s="94"/>
      <c r="V269" s="104"/>
    </row>
    <row r="270" ht="15.75" customHeight="1">
      <c r="A270" s="91"/>
      <c r="B270" s="131"/>
      <c r="C270" s="132"/>
      <c r="D270" s="94"/>
      <c r="E270" s="132"/>
      <c r="F270" s="132"/>
      <c r="G270" s="94"/>
      <c r="H270" s="132"/>
      <c r="I270" s="94"/>
      <c r="J270" s="94"/>
      <c r="K270" s="126"/>
      <c r="L270" s="126"/>
      <c r="M270" s="99"/>
      <c r="N270" s="111"/>
      <c r="O270" s="112"/>
      <c r="P270" s="94"/>
      <c r="Q270" s="120"/>
      <c r="R270" s="113"/>
      <c r="S270" s="94"/>
      <c r="T270" s="94"/>
      <c r="V270" s="104"/>
    </row>
    <row r="271" ht="15.75" customHeight="1">
      <c r="A271" s="91"/>
      <c r="B271" s="131"/>
      <c r="C271" s="104"/>
      <c r="D271" s="94"/>
      <c r="E271" s="132"/>
      <c r="F271" s="132"/>
      <c r="G271" s="94"/>
      <c r="H271" s="132"/>
      <c r="I271" s="94"/>
      <c r="J271" s="94"/>
      <c r="K271" s="125"/>
      <c r="L271" s="125"/>
      <c r="M271" s="99"/>
      <c r="N271" s="111"/>
      <c r="O271" s="112"/>
      <c r="P271" s="94"/>
      <c r="Q271" s="120"/>
      <c r="R271" s="113"/>
      <c r="S271" s="94"/>
      <c r="T271" s="94"/>
      <c r="V271" s="104"/>
    </row>
    <row r="272" ht="15.75" customHeight="1">
      <c r="A272" s="91"/>
      <c r="B272" s="131"/>
      <c r="C272" s="132"/>
      <c r="D272" s="94"/>
      <c r="E272" s="132"/>
      <c r="F272" s="132"/>
      <c r="G272" s="94"/>
      <c r="H272" s="132"/>
      <c r="I272" s="94"/>
      <c r="J272" s="94"/>
      <c r="K272" s="126"/>
      <c r="L272" s="126"/>
      <c r="M272" s="99"/>
      <c r="N272" s="111"/>
      <c r="O272" s="112"/>
      <c r="P272" s="94"/>
      <c r="Q272" s="120"/>
      <c r="R272" s="113"/>
      <c r="S272" s="94"/>
      <c r="T272" s="94"/>
      <c r="V272" s="104"/>
    </row>
    <row r="273" ht="15.75" customHeight="1">
      <c r="A273" s="91"/>
      <c r="B273" s="131"/>
      <c r="C273" s="132"/>
      <c r="D273" s="94"/>
      <c r="E273" s="132"/>
      <c r="F273" s="132"/>
      <c r="G273" s="94"/>
      <c r="H273" s="132"/>
      <c r="I273" s="94"/>
      <c r="J273" s="94"/>
      <c r="K273" s="125"/>
      <c r="L273" s="125"/>
      <c r="M273" s="99"/>
      <c r="N273" s="111"/>
      <c r="O273" s="112"/>
      <c r="P273" s="94"/>
      <c r="Q273" s="120"/>
      <c r="R273" s="113"/>
      <c r="S273" s="94"/>
      <c r="T273" s="94"/>
      <c r="V273" s="104"/>
    </row>
    <row r="274" ht="15.75" customHeight="1">
      <c r="A274" s="91"/>
      <c r="B274" s="131"/>
      <c r="C274" s="132"/>
      <c r="D274" s="94"/>
      <c r="E274" s="132"/>
      <c r="F274" s="132"/>
      <c r="G274" s="94"/>
      <c r="H274" s="132"/>
      <c r="I274" s="94"/>
      <c r="J274" s="94"/>
      <c r="K274" s="126"/>
      <c r="L274" s="126"/>
      <c r="M274" s="99"/>
      <c r="N274" s="111"/>
      <c r="O274" s="112"/>
      <c r="P274" s="94"/>
      <c r="Q274" s="120"/>
      <c r="R274" s="113"/>
      <c r="S274" s="94"/>
      <c r="T274" s="94"/>
      <c r="V274" s="104"/>
    </row>
    <row r="275" ht="15.75" customHeight="1">
      <c r="A275" s="91"/>
      <c r="B275" s="131"/>
      <c r="C275" s="132"/>
      <c r="D275" s="94"/>
      <c r="E275" s="132"/>
      <c r="F275" s="132"/>
      <c r="G275" s="94"/>
      <c r="H275" s="132"/>
      <c r="I275" s="94"/>
      <c r="J275" s="94"/>
      <c r="K275" s="125"/>
      <c r="L275" s="125"/>
      <c r="M275" s="99"/>
      <c r="N275" s="111"/>
      <c r="O275" s="112"/>
      <c r="P275" s="94"/>
      <c r="Q275" s="120"/>
      <c r="R275" s="113"/>
      <c r="S275" s="94"/>
      <c r="T275" s="94"/>
      <c r="V275" s="104"/>
    </row>
    <row r="276" ht="15.75" customHeight="1">
      <c r="A276" s="91"/>
      <c r="B276" s="131"/>
      <c r="C276" s="132"/>
      <c r="D276" s="94"/>
      <c r="E276" s="132"/>
      <c r="F276" s="132"/>
      <c r="G276" s="94"/>
      <c r="H276" s="132"/>
      <c r="I276" s="94"/>
      <c r="J276" s="94"/>
      <c r="K276" s="126"/>
      <c r="L276" s="126"/>
      <c r="M276" s="99"/>
      <c r="N276" s="111"/>
      <c r="O276" s="112"/>
      <c r="P276" s="94"/>
      <c r="Q276" s="120"/>
      <c r="R276" s="113"/>
      <c r="S276" s="94"/>
      <c r="T276" s="94"/>
      <c r="V276" s="104"/>
    </row>
    <row r="277" ht="15.75" customHeight="1">
      <c r="A277" s="91"/>
      <c r="B277" s="131"/>
      <c r="C277" s="104"/>
      <c r="D277" s="94"/>
      <c r="E277" s="132"/>
      <c r="F277" s="132"/>
      <c r="G277" s="94"/>
      <c r="H277" s="132"/>
      <c r="I277" s="94"/>
      <c r="J277" s="94"/>
      <c r="K277" s="125"/>
      <c r="L277" s="125"/>
      <c r="M277" s="99"/>
      <c r="N277" s="111"/>
      <c r="O277" s="112"/>
      <c r="P277" s="94"/>
      <c r="Q277" s="120"/>
      <c r="R277" s="113"/>
      <c r="S277" s="94"/>
      <c r="T277" s="94"/>
      <c r="V277" s="104"/>
    </row>
    <row r="278" ht="15.75" customHeight="1">
      <c r="A278" s="91"/>
      <c r="B278" s="131"/>
      <c r="C278" s="132"/>
      <c r="D278" s="94"/>
      <c r="E278" s="132"/>
      <c r="F278" s="132"/>
      <c r="G278" s="94"/>
      <c r="H278" s="132"/>
      <c r="I278" s="94"/>
      <c r="J278" s="94"/>
      <c r="K278" s="126"/>
      <c r="L278" s="126"/>
      <c r="M278" s="99"/>
      <c r="N278" s="111"/>
      <c r="O278" s="112"/>
      <c r="P278" s="94"/>
      <c r="Q278" s="120"/>
      <c r="R278" s="113"/>
      <c r="S278" s="94"/>
      <c r="T278" s="94"/>
      <c r="V278" s="104"/>
    </row>
    <row r="279" ht="15.75" customHeight="1">
      <c r="A279" s="91"/>
      <c r="B279" s="131"/>
      <c r="C279" s="132"/>
      <c r="D279" s="94"/>
      <c r="E279" s="132"/>
      <c r="F279" s="132"/>
      <c r="G279" s="94"/>
      <c r="H279" s="132"/>
      <c r="I279" s="94"/>
      <c r="J279" s="94"/>
      <c r="K279" s="125"/>
      <c r="L279" s="125"/>
      <c r="M279" s="99"/>
      <c r="N279" s="111"/>
      <c r="O279" s="112"/>
      <c r="P279" s="94"/>
      <c r="Q279" s="120"/>
      <c r="R279" s="113"/>
      <c r="S279" s="94"/>
      <c r="T279" s="94"/>
      <c r="V279" s="104"/>
    </row>
    <row r="280" ht="15.75" customHeight="1">
      <c r="A280" s="91"/>
      <c r="B280" s="131"/>
      <c r="C280" s="132"/>
      <c r="D280" s="94"/>
      <c r="E280" s="132"/>
      <c r="F280" s="132"/>
      <c r="G280" s="94"/>
      <c r="H280" s="132"/>
      <c r="I280" s="94"/>
      <c r="J280" s="94"/>
      <c r="K280" s="126"/>
      <c r="L280" s="126"/>
      <c r="M280" s="99"/>
      <c r="N280" s="111"/>
      <c r="O280" s="112"/>
      <c r="P280" s="94"/>
      <c r="Q280" s="120"/>
      <c r="R280" s="113"/>
      <c r="S280" s="94"/>
      <c r="T280" s="94"/>
      <c r="V280" s="104"/>
    </row>
    <row r="281" ht="15.75" customHeight="1">
      <c r="A281" s="91"/>
      <c r="B281" s="131"/>
      <c r="C281" s="132"/>
      <c r="D281" s="94"/>
      <c r="E281" s="132"/>
      <c r="F281" s="132"/>
      <c r="G281" s="94"/>
      <c r="H281" s="132"/>
      <c r="I281" s="94"/>
      <c r="J281" s="94"/>
      <c r="K281" s="125"/>
      <c r="L281" s="125"/>
      <c r="M281" s="99"/>
      <c r="N281" s="111"/>
      <c r="O281" s="112"/>
      <c r="P281" s="94"/>
      <c r="Q281" s="120"/>
      <c r="R281" s="113"/>
      <c r="S281" s="94"/>
      <c r="T281" s="94"/>
      <c r="V281" s="104"/>
    </row>
    <row r="282" ht="15.75" customHeight="1">
      <c r="A282" s="91"/>
      <c r="B282" s="131"/>
      <c r="C282" s="132"/>
      <c r="D282" s="94"/>
      <c r="E282" s="132"/>
      <c r="F282" s="132"/>
      <c r="G282" s="94"/>
      <c r="H282" s="132"/>
      <c r="I282" s="94"/>
      <c r="J282" s="94"/>
      <c r="K282" s="126"/>
      <c r="L282" s="126"/>
      <c r="M282" s="99"/>
      <c r="N282" s="111"/>
      <c r="O282" s="112"/>
      <c r="P282" s="94"/>
      <c r="Q282" s="120"/>
      <c r="R282" s="113"/>
      <c r="S282" s="94"/>
      <c r="T282" s="94"/>
      <c r="V282" s="104"/>
    </row>
    <row r="283" ht="15.75" customHeight="1">
      <c r="A283" s="91"/>
      <c r="B283" s="131"/>
      <c r="C283" s="104"/>
      <c r="D283" s="94"/>
      <c r="E283" s="132"/>
      <c r="F283" s="132"/>
      <c r="G283" s="94"/>
      <c r="H283" s="132"/>
      <c r="I283" s="94"/>
      <c r="J283" s="94"/>
      <c r="K283" s="125"/>
      <c r="L283" s="125"/>
      <c r="M283" s="99"/>
      <c r="N283" s="111"/>
      <c r="O283" s="112"/>
      <c r="P283" s="94"/>
      <c r="Q283" s="120"/>
      <c r="R283" s="113"/>
      <c r="S283" s="94"/>
      <c r="T283" s="94"/>
      <c r="V283" s="104"/>
    </row>
    <row r="284" ht="15.75" customHeight="1">
      <c r="A284" s="91"/>
      <c r="B284" s="131"/>
      <c r="C284" s="132"/>
      <c r="D284" s="94"/>
      <c r="E284" s="132"/>
      <c r="F284" s="132"/>
      <c r="G284" s="94"/>
      <c r="H284" s="132"/>
      <c r="I284" s="94"/>
      <c r="J284" s="94"/>
      <c r="K284" s="126"/>
      <c r="L284" s="126"/>
      <c r="M284" s="99"/>
      <c r="N284" s="111"/>
      <c r="O284" s="112"/>
      <c r="P284" s="94"/>
      <c r="Q284" s="120"/>
      <c r="R284" s="113"/>
      <c r="S284" s="94"/>
      <c r="T284" s="94"/>
      <c r="V284" s="104"/>
    </row>
    <row r="285" ht="15.75" customHeight="1">
      <c r="A285" s="91"/>
      <c r="B285" s="131"/>
      <c r="C285" s="132"/>
      <c r="D285" s="94"/>
      <c r="E285" s="132"/>
      <c r="F285" s="132"/>
      <c r="G285" s="94"/>
      <c r="H285" s="132"/>
      <c r="I285" s="94"/>
      <c r="J285" s="94"/>
      <c r="K285" s="125"/>
      <c r="L285" s="125"/>
      <c r="M285" s="99"/>
      <c r="N285" s="111"/>
      <c r="O285" s="112"/>
      <c r="P285" s="94"/>
      <c r="Q285" s="120"/>
      <c r="R285" s="113"/>
      <c r="S285" s="94"/>
      <c r="T285" s="94"/>
      <c r="V285" s="104"/>
    </row>
    <row r="286" ht="15.75" customHeight="1">
      <c r="A286" s="91"/>
      <c r="B286" s="131"/>
      <c r="C286" s="132"/>
      <c r="D286" s="94"/>
      <c r="E286" s="132"/>
      <c r="F286" s="132"/>
      <c r="G286" s="94"/>
      <c r="H286" s="132"/>
      <c r="I286" s="94"/>
      <c r="J286" s="94"/>
      <c r="K286" s="126"/>
      <c r="L286" s="126"/>
      <c r="M286" s="99"/>
      <c r="N286" s="111"/>
      <c r="O286" s="112"/>
      <c r="P286" s="94"/>
      <c r="Q286" s="120"/>
      <c r="R286" s="113"/>
      <c r="S286" s="94"/>
      <c r="T286" s="94"/>
      <c r="V286" s="104"/>
    </row>
    <row r="287" ht="15.75" customHeight="1">
      <c r="A287" s="91"/>
      <c r="B287" s="131"/>
      <c r="C287" s="132"/>
      <c r="D287" s="94"/>
      <c r="E287" s="132"/>
      <c r="F287" s="132"/>
      <c r="G287" s="94"/>
      <c r="H287" s="132"/>
      <c r="I287" s="94"/>
      <c r="J287" s="94"/>
      <c r="K287" s="125"/>
      <c r="L287" s="125"/>
      <c r="M287" s="99"/>
      <c r="N287" s="111"/>
      <c r="O287" s="112"/>
      <c r="P287" s="94"/>
      <c r="Q287" s="120"/>
      <c r="R287" s="113"/>
      <c r="S287" s="94"/>
      <c r="T287" s="94"/>
      <c r="V287" s="104"/>
    </row>
    <row r="288" ht="15.75" customHeight="1">
      <c r="A288" s="91"/>
      <c r="B288" s="131"/>
      <c r="C288" s="132"/>
      <c r="D288" s="94"/>
      <c r="E288" s="132"/>
      <c r="F288" s="132"/>
      <c r="G288" s="94"/>
      <c r="H288" s="132"/>
      <c r="I288" s="94"/>
      <c r="J288" s="94"/>
      <c r="K288" s="126"/>
      <c r="L288" s="126"/>
      <c r="M288" s="99"/>
      <c r="N288" s="111"/>
      <c r="O288" s="112"/>
      <c r="P288" s="94"/>
      <c r="Q288" s="120"/>
      <c r="R288" s="113"/>
      <c r="S288" s="94"/>
      <c r="T288" s="94"/>
      <c r="V288" s="104"/>
    </row>
    <row r="289" ht="15.75" customHeight="1">
      <c r="A289" s="91"/>
      <c r="B289" s="131"/>
      <c r="C289" s="104"/>
      <c r="D289" s="94"/>
      <c r="E289" s="132"/>
      <c r="F289" s="132"/>
      <c r="G289" s="94"/>
      <c r="H289" s="132"/>
      <c r="I289" s="94"/>
      <c r="J289" s="94"/>
      <c r="K289" s="125"/>
      <c r="L289" s="125"/>
      <c r="M289" s="99"/>
      <c r="N289" s="111"/>
      <c r="O289" s="112"/>
      <c r="P289" s="94"/>
      <c r="Q289" s="120"/>
      <c r="R289" s="113"/>
      <c r="S289" s="94"/>
      <c r="T289" s="94"/>
      <c r="V289" s="104"/>
    </row>
    <row r="290" ht="15.75" customHeight="1">
      <c r="A290" s="91"/>
      <c r="B290" s="131"/>
      <c r="C290" s="132"/>
      <c r="D290" s="94"/>
      <c r="E290" s="132"/>
      <c r="F290" s="132"/>
      <c r="G290" s="94"/>
      <c r="H290" s="132"/>
      <c r="I290" s="94"/>
      <c r="J290" s="94"/>
      <c r="K290" s="126"/>
      <c r="L290" s="126"/>
      <c r="M290" s="99"/>
      <c r="N290" s="111"/>
      <c r="O290" s="112"/>
      <c r="P290" s="94"/>
      <c r="Q290" s="120"/>
      <c r="R290" s="113"/>
      <c r="S290" s="94"/>
      <c r="T290" s="94"/>
      <c r="V290" s="104"/>
    </row>
    <row r="291" ht="15.75" customHeight="1">
      <c r="A291" s="91"/>
      <c r="B291" s="131"/>
      <c r="C291" s="132"/>
      <c r="D291" s="94"/>
      <c r="E291" s="132"/>
      <c r="F291" s="132"/>
      <c r="G291" s="94"/>
      <c r="H291" s="132"/>
      <c r="I291" s="94"/>
      <c r="J291" s="94"/>
      <c r="K291" s="125"/>
      <c r="L291" s="125"/>
      <c r="M291" s="99"/>
      <c r="N291" s="111"/>
      <c r="O291" s="112"/>
      <c r="P291" s="94"/>
      <c r="Q291" s="120"/>
      <c r="R291" s="113"/>
      <c r="S291" s="94"/>
      <c r="T291" s="94"/>
      <c r="V291" s="104"/>
    </row>
    <row r="292" ht="15.75" customHeight="1">
      <c r="A292" s="91"/>
      <c r="B292" s="131"/>
      <c r="C292" s="132"/>
      <c r="D292" s="94"/>
      <c r="E292" s="132"/>
      <c r="F292" s="132"/>
      <c r="G292" s="94"/>
      <c r="H292" s="132"/>
      <c r="I292" s="94"/>
      <c r="J292" s="94"/>
      <c r="K292" s="126"/>
      <c r="L292" s="126"/>
      <c r="M292" s="99"/>
      <c r="N292" s="111"/>
      <c r="O292" s="112"/>
      <c r="P292" s="94"/>
      <c r="Q292" s="120"/>
      <c r="R292" s="113"/>
      <c r="S292" s="94"/>
      <c r="T292" s="94"/>
      <c r="V292" s="104"/>
    </row>
    <row r="293" ht="15.75" customHeight="1">
      <c r="A293" s="91"/>
      <c r="B293" s="131"/>
      <c r="C293" s="132"/>
      <c r="D293" s="94"/>
      <c r="E293" s="132"/>
      <c r="F293" s="132"/>
      <c r="G293" s="94"/>
      <c r="H293" s="132"/>
      <c r="I293" s="94"/>
      <c r="J293" s="94"/>
      <c r="K293" s="125"/>
      <c r="L293" s="125"/>
      <c r="M293" s="99"/>
      <c r="N293" s="111"/>
      <c r="O293" s="112"/>
      <c r="P293" s="94"/>
      <c r="Q293" s="120"/>
      <c r="R293" s="113"/>
      <c r="S293" s="94"/>
      <c r="T293" s="94"/>
      <c r="V293" s="104"/>
    </row>
    <row r="294" ht="15.75" customHeight="1">
      <c r="A294" s="91"/>
      <c r="B294" s="131"/>
      <c r="C294" s="132"/>
      <c r="D294" s="94"/>
      <c r="E294" s="132"/>
      <c r="F294" s="132"/>
      <c r="G294" s="94"/>
      <c r="H294" s="132"/>
      <c r="I294" s="94"/>
      <c r="J294" s="94"/>
      <c r="K294" s="126"/>
      <c r="L294" s="126"/>
      <c r="M294" s="99"/>
      <c r="N294" s="111"/>
      <c r="O294" s="112"/>
      <c r="P294" s="94"/>
      <c r="Q294" s="120"/>
      <c r="R294" s="113"/>
      <c r="S294" s="94"/>
      <c r="T294" s="94"/>
      <c r="V294" s="104"/>
    </row>
    <row r="295" ht="15.75" customHeight="1">
      <c r="A295" s="91"/>
      <c r="B295" s="131"/>
      <c r="C295" s="104"/>
      <c r="D295" s="94"/>
      <c r="E295" s="132"/>
      <c r="F295" s="132"/>
      <c r="G295" s="94"/>
      <c r="H295" s="132"/>
      <c r="I295" s="94"/>
      <c r="J295" s="94"/>
      <c r="K295" s="125"/>
      <c r="L295" s="125"/>
      <c r="M295" s="99"/>
      <c r="N295" s="111"/>
      <c r="O295" s="112"/>
      <c r="P295" s="94"/>
      <c r="Q295" s="120"/>
      <c r="R295" s="113"/>
      <c r="S295" s="94"/>
      <c r="T295" s="94"/>
      <c r="V295" s="104"/>
    </row>
    <row r="296" ht="15.75" customHeight="1">
      <c r="A296" s="91"/>
      <c r="B296" s="131"/>
      <c r="C296" s="132"/>
      <c r="D296" s="94"/>
      <c r="E296" s="132"/>
      <c r="F296" s="132"/>
      <c r="G296" s="94"/>
      <c r="H296" s="132"/>
      <c r="I296" s="94"/>
      <c r="J296" s="94"/>
      <c r="K296" s="126"/>
      <c r="L296" s="126"/>
      <c r="M296" s="99"/>
      <c r="N296" s="111"/>
      <c r="O296" s="112"/>
      <c r="P296" s="94"/>
      <c r="Q296" s="120"/>
      <c r="R296" s="113"/>
      <c r="S296" s="94"/>
      <c r="T296" s="94"/>
      <c r="V296" s="104"/>
    </row>
    <row r="297" ht="15.75" customHeight="1">
      <c r="A297" s="91"/>
      <c r="B297" s="131"/>
      <c r="C297" s="132"/>
      <c r="D297" s="94"/>
      <c r="E297" s="132"/>
      <c r="F297" s="132"/>
      <c r="G297" s="94"/>
      <c r="H297" s="132"/>
      <c r="I297" s="94"/>
      <c r="J297" s="94"/>
      <c r="K297" s="125"/>
      <c r="L297" s="125"/>
      <c r="M297" s="99"/>
      <c r="N297" s="111"/>
      <c r="O297" s="112"/>
      <c r="P297" s="94"/>
      <c r="Q297" s="120"/>
      <c r="R297" s="113"/>
      <c r="S297" s="94"/>
      <c r="T297" s="94"/>
      <c r="V297" s="104"/>
    </row>
    <row r="298" ht="15.75" customHeight="1">
      <c r="A298" s="91"/>
      <c r="B298" s="131"/>
      <c r="C298" s="132"/>
      <c r="D298" s="94"/>
      <c r="E298" s="132"/>
      <c r="F298" s="132"/>
      <c r="G298" s="94"/>
      <c r="H298" s="132"/>
      <c r="I298" s="94"/>
      <c r="J298" s="94"/>
      <c r="K298" s="126"/>
      <c r="L298" s="126"/>
      <c r="M298" s="99"/>
      <c r="N298" s="111"/>
      <c r="O298" s="112"/>
      <c r="P298" s="94"/>
      <c r="Q298" s="120"/>
      <c r="R298" s="113"/>
      <c r="S298" s="94"/>
      <c r="T298" s="94"/>
      <c r="V298" s="104"/>
    </row>
    <row r="299" ht="15.75" customHeight="1">
      <c r="A299" s="91"/>
      <c r="B299" s="131"/>
      <c r="C299" s="132"/>
      <c r="D299" s="94"/>
      <c r="E299" s="132"/>
      <c r="F299" s="132"/>
      <c r="G299" s="94"/>
      <c r="H299" s="132"/>
      <c r="I299" s="94"/>
      <c r="J299" s="94"/>
      <c r="K299" s="125"/>
      <c r="L299" s="125"/>
      <c r="M299" s="99"/>
      <c r="N299" s="111"/>
      <c r="O299" s="112"/>
      <c r="P299" s="94"/>
      <c r="Q299" s="120"/>
      <c r="R299" s="113"/>
      <c r="S299" s="94"/>
      <c r="T299" s="94"/>
      <c r="V299" s="104"/>
    </row>
    <row r="300" ht="15.75" customHeight="1">
      <c r="A300" s="91"/>
      <c r="B300" s="131"/>
      <c r="C300" s="132"/>
      <c r="D300" s="94"/>
      <c r="E300" s="132"/>
      <c r="F300" s="132"/>
      <c r="G300" s="94"/>
      <c r="H300" s="132"/>
      <c r="I300" s="94"/>
      <c r="J300" s="94"/>
      <c r="K300" s="126"/>
      <c r="L300" s="126"/>
      <c r="M300" s="99"/>
      <c r="N300" s="111"/>
      <c r="O300" s="112"/>
      <c r="P300" s="94"/>
      <c r="Q300" s="120"/>
      <c r="R300" s="113"/>
      <c r="S300" s="94"/>
      <c r="T300" s="94"/>
      <c r="V300" s="104"/>
    </row>
    <row r="301" ht="15.75" customHeight="1">
      <c r="A301" s="91"/>
      <c r="B301" s="131"/>
      <c r="C301" s="104"/>
      <c r="D301" s="94"/>
      <c r="E301" s="132"/>
      <c r="F301" s="132"/>
      <c r="G301" s="94"/>
      <c r="H301" s="132"/>
      <c r="I301" s="94"/>
      <c r="J301" s="94"/>
      <c r="K301" s="125"/>
      <c r="L301" s="125"/>
      <c r="M301" s="99"/>
      <c r="N301" s="111"/>
      <c r="O301" s="112"/>
      <c r="P301" s="94"/>
      <c r="Q301" s="120"/>
      <c r="R301" s="113"/>
      <c r="S301" s="94"/>
      <c r="T301" s="94"/>
      <c r="V301" s="104"/>
    </row>
    <row r="302" ht="15.75" customHeight="1">
      <c r="A302" s="91"/>
      <c r="B302" s="131"/>
      <c r="C302" s="132"/>
      <c r="D302" s="94"/>
      <c r="E302" s="132"/>
      <c r="F302" s="132"/>
      <c r="G302" s="94"/>
      <c r="H302" s="132"/>
      <c r="I302" s="94"/>
      <c r="J302" s="94"/>
      <c r="K302" s="126"/>
      <c r="L302" s="126"/>
      <c r="M302" s="99"/>
      <c r="N302" s="111"/>
      <c r="O302" s="112"/>
      <c r="P302" s="94"/>
      <c r="Q302" s="120"/>
      <c r="R302" s="113"/>
      <c r="S302" s="94"/>
      <c r="T302" s="94"/>
      <c r="V302" s="104"/>
    </row>
    <row r="303" ht="15.75" customHeight="1">
      <c r="A303" s="91"/>
      <c r="B303" s="131"/>
      <c r="C303" s="132"/>
      <c r="D303" s="94"/>
      <c r="E303" s="132"/>
      <c r="F303" s="132"/>
      <c r="G303" s="94"/>
      <c r="H303" s="132"/>
      <c r="I303" s="94"/>
      <c r="J303" s="94"/>
      <c r="K303" s="125"/>
      <c r="L303" s="125"/>
      <c r="M303" s="99"/>
      <c r="N303" s="111"/>
      <c r="O303" s="112"/>
      <c r="P303" s="94"/>
      <c r="Q303" s="120"/>
      <c r="R303" s="113"/>
      <c r="S303" s="94"/>
      <c r="T303" s="94"/>
      <c r="V303" s="104"/>
    </row>
    <row r="304" ht="15.75" customHeight="1">
      <c r="A304" s="91"/>
      <c r="B304" s="131"/>
      <c r="C304" s="132"/>
      <c r="D304" s="94"/>
      <c r="E304" s="132"/>
      <c r="F304" s="132"/>
      <c r="G304" s="94"/>
      <c r="H304" s="132"/>
      <c r="I304" s="94"/>
      <c r="J304" s="94"/>
      <c r="K304" s="126"/>
      <c r="L304" s="126"/>
      <c r="M304" s="99"/>
      <c r="N304" s="111"/>
      <c r="O304" s="112"/>
      <c r="P304" s="94"/>
      <c r="Q304" s="120"/>
      <c r="R304" s="113"/>
      <c r="S304" s="94"/>
      <c r="T304" s="94"/>
      <c r="V304" s="104"/>
    </row>
    <row r="305" ht="15.75" customHeight="1">
      <c r="A305" s="91"/>
      <c r="B305" s="131"/>
      <c r="C305" s="132"/>
      <c r="D305" s="94"/>
      <c r="E305" s="132"/>
      <c r="F305" s="132"/>
      <c r="G305" s="94"/>
      <c r="H305" s="132"/>
      <c r="I305" s="94"/>
      <c r="J305" s="94"/>
      <c r="K305" s="125"/>
      <c r="L305" s="125"/>
      <c r="M305" s="99"/>
      <c r="N305" s="111"/>
      <c r="O305" s="112"/>
      <c r="P305" s="94"/>
      <c r="Q305" s="120"/>
      <c r="R305" s="113"/>
      <c r="S305" s="94"/>
      <c r="T305" s="94"/>
      <c r="V305" s="104"/>
    </row>
    <row r="306" ht="15.75" customHeight="1">
      <c r="A306" s="91"/>
      <c r="B306" s="131"/>
      <c r="C306" s="132"/>
      <c r="D306" s="94"/>
      <c r="E306" s="132"/>
      <c r="F306" s="132"/>
      <c r="G306" s="94"/>
      <c r="H306" s="132"/>
      <c r="I306" s="94"/>
      <c r="J306" s="94"/>
      <c r="K306" s="126"/>
      <c r="L306" s="126"/>
      <c r="M306" s="99"/>
      <c r="N306" s="111"/>
      <c r="O306" s="112"/>
      <c r="P306" s="94"/>
      <c r="Q306" s="120"/>
      <c r="R306" s="113"/>
      <c r="S306" s="94"/>
      <c r="T306" s="94"/>
      <c r="V306" s="104"/>
    </row>
    <row r="307" ht="15.75" customHeight="1">
      <c r="A307" s="91"/>
      <c r="B307" s="131"/>
      <c r="C307" s="104"/>
      <c r="D307" s="94"/>
      <c r="E307" s="132"/>
      <c r="F307" s="132"/>
      <c r="G307" s="94"/>
      <c r="H307" s="132"/>
      <c r="I307" s="94"/>
      <c r="J307" s="94"/>
      <c r="K307" s="125"/>
      <c r="L307" s="125"/>
      <c r="M307" s="99"/>
      <c r="N307" s="111"/>
      <c r="O307" s="112"/>
      <c r="P307" s="94"/>
      <c r="Q307" s="120"/>
      <c r="R307" s="113"/>
      <c r="S307" s="94"/>
      <c r="T307" s="94"/>
      <c r="V307" s="104"/>
    </row>
    <row r="308" ht="15.75" customHeight="1">
      <c r="A308" s="91"/>
      <c r="B308" s="131"/>
      <c r="C308" s="132"/>
      <c r="D308" s="94"/>
      <c r="E308" s="132"/>
      <c r="F308" s="132"/>
      <c r="G308" s="94"/>
      <c r="H308" s="132"/>
      <c r="I308" s="94"/>
      <c r="J308" s="94"/>
      <c r="K308" s="126"/>
      <c r="L308" s="126"/>
      <c r="M308" s="99"/>
      <c r="N308" s="111"/>
      <c r="O308" s="112"/>
      <c r="P308" s="94"/>
      <c r="Q308" s="120"/>
      <c r="R308" s="113"/>
      <c r="S308" s="94"/>
      <c r="T308" s="94"/>
      <c r="V308" s="104"/>
    </row>
    <row r="309" ht="15.75" customHeight="1">
      <c r="A309" s="91"/>
      <c r="B309" s="131"/>
      <c r="C309" s="132"/>
      <c r="D309" s="94"/>
      <c r="E309" s="132"/>
      <c r="F309" s="132"/>
      <c r="G309" s="94"/>
      <c r="H309" s="132"/>
      <c r="I309" s="94"/>
      <c r="J309" s="94"/>
      <c r="K309" s="125"/>
      <c r="L309" s="125"/>
      <c r="M309" s="99"/>
      <c r="N309" s="111"/>
      <c r="O309" s="112"/>
      <c r="P309" s="94"/>
      <c r="Q309" s="120"/>
      <c r="R309" s="113"/>
      <c r="S309" s="94"/>
      <c r="T309" s="94"/>
      <c r="V309" s="104"/>
    </row>
    <row r="310" ht="15.75" customHeight="1">
      <c r="A310" s="91"/>
      <c r="B310" s="131"/>
      <c r="C310" s="132"/>
      <c r="D310" s="94"/>
      <c r="E310" s="132"/>
      <c r="F310" s="132"/>
      <c r="G310" s="94"/>
      <c r="H310" s="132"/>
      <c r="I310" s="94"/>
      <c r="J310" s="94"/>
      <c r="K310" s="126"/>
      <c r="L310" s="126"/>
      <c r="M310" s="99"/>
      <c r="N310" s="111"/>
      <c r="O310" s="112"/>
      <c r="P310" s="94"/>
      <c r="Q310" s="120"/>
      <c r="R310" s="113"/>
      <c r="S310" s="94"/>
      <c r="T310" s="94"/>
      <c r="V310" s="104"/>
    </row>
    <row r="311" ht="15.75" customHeight="1">
      <c r="A311" s="91"/>
      <c r="B311" s="131"/>
      <c r="C311" s="132"/>
      <c r="D311" s="94"/>
      <c r="E311" s="132"/>
      <c r="F311" s="132"/>
      <c r="G311" s="94"/>
      <c r="H311" s="132"/>
      <c r="I311" s="94"/>
      <c r="J311" s="94"/>
      <c r="K311" s="125"/>
      <c r="L311" s="125"/>
      <c r="M311" s="99"/>
      <c r="N311" s="111"/>
      <c r="O311" s="112"/>
      <c r="P311" s="94"/>
      <c r="Q311" s="120"/>
      <c r="R311" s="113"/>
      <c r="S311" s="94"/>
      <c r="T311" s="94"/>
      <c r="V311" s="104"/>
    </row>
    <row r="312" ht="15.75" customHeight="1">
      <c r="A312" s="91"/>
      <c r="B312" s="131"/>
      <c r="C312" s="132"/>
      <c r="D312" s="94"/>
      <c r="E312" s="132"/>
      <c r="F312" s="132"/>
      <c r="G312" s="94"/>
      <c r="H312" s="132"/>
      <c r="I312" s="94"/>
      <c r="J312" s="94"/>
      <c r="K312" s="126"/>
      <c r="L312" s="126"/>
      <c r="M312" s="99"/>
      <c r="N312" s="111"/>
      <c r="O312" s="112"/>
      <c r="P312" s="94"/>
      <c r="Q312" s="120"/>
      <c r="R312" s="113"/>
      <c r="S312" s="94"/>
      <c r="T312" s="94"/>
      <c r="V312" s="104"/>
    </row>
    <row r="313" ht="15.75" customHeight="1">
      <c r="A313" s="91"/>
      <c r="B313" s="131"/>
      <c r="C313" s="104"/>
      <c r="D313" s="94"/>
      <c r="E313" s="132"/>
      <c r="F313" s="132"/>
      <c r="G313" s="94"/>
      <c r="H313" s="132"/>
      <c r="I313" s="94"/>
      <c r="J313" s="94"/>
      <c r="K313" s="125"/>
      <c r="L313" s="125"/>
      <c r="M313" s="99"/>
      <c r="N313" s="111"/>
      <c r="O313" s="112"/>
      <c r="P313" s="94"/>
      <c r="Q313" s="120"/>
      <c r="R313" s="113"/>
      <c r="S313" s="94"/>
      <c r="T313" s="94"/>
      <c r="V313" s="104"/>
    </row>
    <row r="314" ht="15.75" customHeight="1">
      <c r="A314" s="91"/>
      <c r="B314" s="131"/>
      <c r="C314" s="132"/>
      <c r="D314" s="94"/>
      <c r="E314" s="132"/>
      <c r="F314" s="132"/>
      <c r="G314" s="94"/>
      <c r="H314" s="132"/>
      <c r="I314" s="94"/>
      <c r="J314" s="94"/>
      <c r="K314" s="126"/>
      <c r="L314" s="126"/>
      <c r="M314" s="99"/>
      <c r="N314" s="111"/>
      <c r="O314" s="112"/>
      <c r="P314" s="94"/>
      <c r="Q314" s="120"/>
      <c r="R314" s="113"/>
      <c r="S314" s="94"/>
      <c r="T314" s="94"/>
      <c r="V314" s="104"/>
    </row>
    <row r="315" ht="15.75" customHeight="1">
      <c r="A315" s="91"/>
      <c r="B315" s="131"/>
      <c r="C315" s="132"/>
      <c r="D315" s="94"/>
      <c r="E315" s="132"/>
      <c r="F315" s="132"/>
      <c r="G315" s="94"/>
      <c r="H315" s="132"/>
      <c r="I315" s="94"/>
      <c r="J315" s="94"/>
      <c r="K315" s="125"/>
      <c r="L315" s="125"/>
      <c r="M315" s="99"/>
      <c r="N315" s="111"/>
      <c r="O315" s="112"/>
      <c r="P315" s="94"/>
      <c r="Q315" s="120"/>
      <c r="R315" s="113"/>
      <c r="S315" s="94"/>
      <c r="T315" s="94"/>
      <c r="V315" s="104"/>
    </row>
    <row r="316" ht="15.75" customHeight="1">
      <c r="A316" s="91"/>
      <c r="B316" s="131"/>
      <c r="C316" s="132"/>
      <c r="D316" s="94"/>
      <c r="E316" s="132"/>
      <c r="F316" s="132"/>
      <c r="G316" s="94"/>
      <c r="H316" s="132"/>
      <c r="I316" s="94"/>
      <c r="J316" s="94"/>
      <c r="K316" s="126"/>
      <c r="L316" s="126"/>
      <c r="M316" s="99"/>
      <c r="N316" s="111"/>
      <c r="O316" s="112"/>
      <c r="P316" s="94"/>
      <c r="Q316" s="120"/>
      <c r="R316" s="113"/>
      <c r="S316" s="94"/>
      <c r="T316" s="94"/>
      <c r="V316" s="104"/>
    </row>
    <row r="317" ht="15.75" customHeight="1">
      <c r="A317" s="91"/>
      <c r="B317" s="131"/>
      <c r="C317" s="132"/>
      <c r="D317" s="94"/>
      <c r="E317" s="132"/>
      <c r="F317" s="132"/>
      <c r="G317" s="94"/>
      <c r="H317" s="132"/>
      <c r="I317" s="94"/>
      <c r="J317" s="94"/>
      <c r="K317" s="125"/>
      <c r="L317" s="125"/>
      <c r="M317" s="99"/>
      <c r="N317" s="111"/>
      <c r="O317" s="112"/>
      <c r="P317" s="94"/>
      <c r="Q317" s="120"/>
      <c r="R317" s="113"/>
      <c r="S317" s="94"/>
      <c r="T317" s="94"/>
      <c r="V317" s="104"/>
    </row>
    <row r="318" ht="15.75" customHeight="1">
      <c r="A318" s="91"/>
      <c r="B318" s="131"/>
      <c r="C318" s="132"/>
      <c r="D318" s="94"/>
      <c r="E318" s="132"/>
      <c r="F318" s="132"/>
      <c r="G318" s="94"/>
      <c r="H318" s="132"/>
      <c r="I318" s="94"/>
      <c r="J318" s="94"/>
      <c r="K318" s="126"/>
      <c r="L318" s="126"/>
      <c r="M318" s="99"/>
      <c r="N318" s="111"/>
      <c r="O318" s="112"/>
      <c r="P318" s="94"/>
      <c r="Q318" s="120"/>
      <c r="R318" s="113"/>
      <c r="S318" s="94"/>
      <c r="T318" s="94"/>
      <c r="V318" s="104"/>
    </row>
    <row r="319" ht="15.75" customHeight="1">
      <c r="A319" s="91"/>
      <c r="B319" s="131"/>
      <c r="C319" s="104"/>
      <c r="D319" s="94"/>
      <c r="E319" s="132"/>
      <c r="F319" s="132"/>
      <c r="G319" s="94"/>
      <c r="H319" s="132"/>
      <c r="I319" s="94"/>
      <c r="J319" s="94"/>
      <c r="K319" s="125"/>
      <c r="L319" s="125"/>
      <c r="M319" s="99"/>
      <c r="N319" s="111"/>
      <c r="O319" s="112"/>
      <c r="P319" s="94"/>
      <c r="Q319" s="120"/>
      <c r="R319" s="113"/>
      <c r="S319" s="94"/>
      <c r="T319" s="94"/>
      <c r="V319" s="104"/>
    </row>
    <row r="320" ht="15.75" customHeight="1">
      <c r="A320" s="91"/>
      <c r="B320" s="131"/>
      <c r="C320" s="132"/>
      <c r="D320" s="94"/>
      <c r="E320" s="132"/>
      <c r="F320" s="132"/>
      <c r="G320" s="94"/>
      <c r="H320" s="132"/>
      <c r="I320" s="94"/>
      <c r="J320" s="94"/>
      <c r="K320" s="126"/>
      <c r="L320" s="126"/>
      <c r="M320" s="99"/>
      <c r="N320" s="111"/>
      <c r="O320" s="112"/>
      <c r="P320" s="94"/>
      <c r="Q320" s="120"/>
      <c r="R320" s="113"/>
      <c r="S320" s="94"/>
      <c r="T320" s="94"/>
      <c r="V320" s="104"/>
    </row>
    <row r="321" ht="15.75" customHeight="1">
      <c r="A321" s="91"/>
      <c r="B321" s="131"/>
      <c r="C321" s="132"/>
      <c r="D321" s="94"/>
      <c r="E321" s="132"/>
      <c r="F321" s="132"/>
      <c r="G321" s="94"/>
      <c r="H321" s="132"/>
      <c r="I321" s="94"/>
      <c r="J321" s="94"/>
      <c r="K321" s="125"/>
      <c r="L321" s="125"/>
      <c r="M321" s="99"/>
      <c r="N321" s="111"/>
      <c r="O321" s="112"/>
      <c r="P321" s="94"/>
      <c r="Q321" s="120"/>
      <c r="R321" s="113"/>
      <c r="S321" s="94"/>
      <c r="T321" s="94"/>
      <c r="V321" s="104"/>
    </row>
    <row r="322" ht="15.75" customHeight="1">
      <c r="A322" s="91"/>
      <c r="B322" s="131"/>
      <c r="C322" s="132"/>
      <c r="D322" s="94"/>
      <c r="E322" s="132"/>
      <c r="F322" s="132"/>
      <c r="G322" s="94"/>
      <c r="H322" s="132"/>
      <c r="I322" s="94"/>
      <c r="J322" s="94"/>
      <c r="K322" s="126"/>
      <c r="L322" s="126"/>
      <c r="M322" s="99"/>
      <c r="N322" s="111"/>
      <c r="O322" s="112"/>
      <c r="P322" s="94"/>
      <c r="Q322" s="120"/>
      <c r="R322" s="113"/>
      <c r="S322" s="94"/>
      <c r="T322" s="94"/>
      <c r="V322" s="104"/>
    </row>
    <row r="323" ht="15.75" customHeight="1">
      <c r="A323" s="91"/>
      <c r="B323" s="131"/>
      <c r="C323" s="132"/>
      <c r="D323" s="94"/>
      <c r="E323" s="132"/>
      <c r="F323" s="132"/>
      <c r="G323" s="94"/>
      <c r="H323" s="132"/>
      <c r="I323" s="94"/>
      <c r="J323" s="94"/>
      <c r="K323" s="125"/>
      <c r="L323" s="125"/>
      <c r="M323" s="99"/>
      <c r="N323" s="111"/>
      <c r="O323" s="112"/>
      <c r="P323" s="94"/>
      <c r="Q323" s="120"/>
      <c r="R323" s="113"/>
      <c r="S323" s="94"/>
      <c r="T323" s="94"/>
      <c r="V323" s="104"/>
    </row>
    <row r="324" ht="15.75" customHeight="1">
      <c r="A324" s="91"/>
      <c r="B324" s="131"/>
      <c r="C324" s="132"/>
      <c r="D324" s="94"/>
      <c r="E324" s="132"/>
      <c r="F324" s="132"/>
      <c r="G324" s="94"/>
      <c r="H324" s="132"/>
      <c r="I324" s="94"/>
      <c r="J324" s="94"/>
      <c r="K324" s="126"/>
      <c r="L324" s="126"/>
      <c r="M324" s="99"/>
      <c r="N324" s="111"/>
      <c r="O324" s="112"/>
      <c r="P324" s="94"/>
      <c r="Q324" s="120"/>
      <c r="R324" s="113"/>
      <c r="S324" s="94"/>
      <c r="T324" s="94"/>
      <c r="V324" s="104"/>
    </row>
    <row r="325" ht="15.75" customHeight="1">
      <c r="A325" s="91"/>
      <c r="B325" s="131"/>
      <c r="C325" s="104"/>
      <c r="D325" s="94"/>
      <c r="E325" s="132"/>
      <c r="F325" s="132"/>
      <c r="G325" s="94"/>
      <c r="H325" s="132"/>
      <c r="I325" s="94"/>
      <c r="J325" s="94"/>
      <c r="K325" s="125"/>
      <c r="L325" s="125"/>
      <c r="M325" s="99"/>
      <c r="N325" s="111"/>
      <c r="O325" s="112"/>
      <c r="P325" s="94"/>
      <c r="Q325" s="120"/>
      <c r="R325" s="113"/>
      <c r="S325" s="94"/>
      <c r="T325" s="94"/>
      <c r="V325" s="104"/>
    </row>
    <row r="326" ht="15.75" customHeight="1">
      <c r="A326" s="91"/>
      <c r="B326" s="131"/>
      <c r="C326" s="132"/>
      <c r="D326" s="94"/>
      <c r="E326" s="132"/>
      <c r="F326" s="132"/>
      <c r="G326" s="94"/>
      <c r="H326" s="132"/>
      <c r="I326" s="94"/>
      <c r="J326" s="94"/>
      <c r="K326" s="126"/>
      <c r="L326" s="126"/>
      <c r="M326" s="99"/>
      <c r="N326" s="111"/>
      <c r="O326" s="112"/>
      <c r="P326" s="94"/>
      <c r="Q326" s="120"/>
      <c r="R326" s="113"/>
      <c r="S326" s="94"/>
      <c r="T326" s="94"/>
      <c r="V326" s="104"/>
    </row>
    <row r="327" ht="15.75" customHeight="1">
      <c r="A327" s="91"/>
      <c r="B327" s="131"/>
      <c r="C327" s="132"/>
      <c r="D327" s="94"/>
      <c r="E327" s="132"/>
      <c r="F327" s="132"/>
      <c r="G327" s="94"/>
      <c r="H327" s="132"/>
      <c r="I327" s="94"/>
      <c r="J327" s="94"/>
      <c r="K327" s="125"/>
      <c r="L327" s="125"/>
      <c r="M327" s="99"/>
      <c r="N327" s="111"/>
      <c r="O327" s="112"/>
      <c r="P327" s="94"/>
      <c r="Q327" s="120"/>
      <c r="R327" s="113"/>
      <c r="S327" s="94"/>
      <c r="T327" s="94"/>
      <c r="V327" s="104"/>
    </row>
    <row r="328" ht="15.75" customHeight="1">
      <c r="A328" s="91"/>
      <c r="B328" s="131"/>
      <c r="C328" s="132"/>
      <c r="D328" s="94"/>
      <c r="E328" s="132"/>
      <c r="F328" s="132"/>
      <c r="G328" s="94"/>
      <c r="H328" s="132"/>
      <c r="I328" s="94"/>
      <c r="J328" s="94"/>
      <c r="K328" s="126"/>
      <c r="L328" s="126"/>
      <c r="M328" s="99"/>
      <c r="N328" s="111"/>
      <c r="O328" s="112"/>
      <c r="P328" s="94"/>
      <c r="Q328" s="120"/>
      <c r="R328" s="113"/>
      <c r="S328" s="94"/>
      <c r="T328" s="94"/>
      <c r="V328" s="104"/>
    </row>
    <row r="329" ht="15.75" customHeight="1">
      <c r="A329" s="91"/>
      <c r="B329" s="131"/>
      <c r="C329" s="132"/>
      <c r="D329" s="94"/>
      <c r="E329" s="132"/>
      <c r="F329" s="132"/>
      <c r="G329" s="94"/>
      <c r="H329" s="132"/>
      <c r="I329" s="94"/>
      <c r="J329" s="94"/>
      <c r="K329" s="125"/>
      <c r="L329" s="125"/>
      <c r="M329" s="99"/>
      <c r="N329" s="111"/>
      <c r="O329" s="112"/>
      <c r="P329" s="94"/>
      <c r="Q329" s="120"/>
      <c r="R329" s="113"/>
      <c r="S329" s="94"/>
      <c r="T329" s="94"/>
      <c r="V329" s="104"/>
    </row>
    <row r="330" ht="15.75" customHeight="1">
      <c r="A330" s="91"/>
      <c r="B330" s="131"/>
      <c r="C330" s="132"/>
      <c r="D330" s="94"/>
      <c r="E330" s="132"/>
      <c r="F330" s="132"/>
      <c r="G330" s="94"/>
      <c r="H330" s="132"/>
      <c r="I330" s="94"/>
      <c r="J330" s="94"/>
      <c r="K330" s="126"/>
      <c r="L330" s="126"/>
      <c r="M330" s="99"/>
      <c r="N330" s="111"/>
      <c r="O330" s="112"/>
      <c r="P330" s="94"/>
      <c r="Q330" s="120"/>
      <c r="R330" s="113"/>
      <c r="S330" s="94"/>
      <c r="T330" s="94"/>
      <c r="V330" s="104"/>
    </row>
    <row r="331" ht="15.75" customHeight="1">
      <c r="A331" s="91"/>
      <c r="B331" s="131"/>
      <c r="C331" s="104"/>
      <c r="D331" s="94"/>
      <c r="E331" s="132"/>
      <c r="F331" s="132"/>
      <c r="G331" s="94"/>
      <c r="H331" s="132"/>
      <c r="I331" s="94"/>
      <c r="J331" s="94"/>
      <c r="K331" s="125"/>
      <c r="L331" s="125"/>
      <c r="M331" s="99"/>
      <c r="N331" s="111"/>
      <c r="O331" s="112"/>
      <c r="P331" s="94"/>
      <c r="Q331" s="120"/>
      <c r="R331" s="113"/>
      <c r="S331" s="94"/>
      <c r="T331" s="94"/>
      <c r="V331" s="104"/>
    </row>
    <row r="332" ht="15.75" customHeight="1">
      <c r="A332" s="91"/>
      <c r="B332" s="131"/>
      <c r="C332" s="132"/>
      <c r="D332" s="94"/>
      <c r="E332" s="132"/>
      <c r="F332" s="132"/>
      <c r="G332" s="94"/>
      <c r="H332" s="132"/>
      <c r="I332" s="94"/>
      <c r="J332" s="94"/>
      <c r="K332" s="126"/>
      <c r="L332" s="126"/>
      <c r="M332" s="99"/>
      <c r="N332" s="111"/>
      <c r="O332" s="112"/>
      <c r="P332" s="94"/>
      <c r="Q332" s="120"/>
      <c r="R332" s="113"/>
      <c r="S332" s="94"/>
      <c r="T332" s="94"/>
      <c r="V332" s="104"/>
    </row>
    <row r="333" ht="15.75" customHeight="1">
      <c r="A333" s="91"/>
      <c r="B333" s="131"/>
      <c r="C333" s="132"/>
      <c r="D333" s="94"/>
      <c r="E333" s="132"/>
      <c r="F333" s="132"/>
      <c r="G333" s="94"/>
      <c r="H333" s="132"/>
      <c r="I333" s="94"/>
      <c r="J333" s="94"/>
      <c r="K333" s="125"/>
      <c r="L333" s="125"/>
      <c r="M333" s="99"/>
      <c r="N333" s="111"/>
      <c r="O333" s="112"/>
      <c r="P333" s="94"/>
      <c r="Q333" s="120"/>
      <c r="R333" s="113"/>
      <c r="S333" s="94"/>
      <c r="T333" s="94"/>
      <c r="V333" s="104"/>
    </row>
    <row r="334" ht="15.75" customHeight="1">
      <c r="A334" s="91"/>
      <c r="B334" s="131"/>
      <c r="C334" s="132"/>
      <c r="D334" s="94"/>
      <c r="E334" s="132"/>
      <c r="F334" s="132"/>
      <c r="G334" s="94"/>
      <c r="H334" s="132"/>
      <c r="I334" s="94"/>
      <c r="J334" s="94"/>
      <c r="K334" s="126"/>
      <c r="L334" s="126"/>
      <c r="M334" s="99"/>
      <c r="N334" s="111"/>
      <c r="O334" s="112"/>
      <c r="P334" s="94"/>
      <c r="Q334" s="120"/>
      <c r="R334" s="113"/>
      <c r="S334" s="94"/>
      <c r="T334" s="94"/>
      <c r="V334" s="104"/>
    </row>
    <row r="335" ht="15.75" customHeight="1">
      <c r="A335" s="91"/>
      <c r="B335" s="131"/>
      <c r="C335" s="132"/>
      <c r="D335" s="94"/>
      <c r="E335" s="132"/>
      <c r="F335" s="132"/>
      <c r="G335" s="94"/>
      <c r="H335" s="132"/>
      <c r="I335" s="94"/>
      <c r="J335" s="94"/>
      <c r="K335" s="125"/>
      <c r="L335" s="125"/>
      <c r="M335" s="99"/>
      <c r="N335" s="111"/>
      <c r="O335" s="112"/>
      <c r="P335" s="94"/>
      <c r="Q335" s="120"/>
      <c r="R335" s="113"/>
      <c r="S335" s="94"/>
      <c r="T335" s="94"/>
      <c r="V335" s="104"/>
    </row>
    <row r="336" ht="15.75" customHeight="1">
      <c r="A336" s="91"/>
      <c r="B336" s="131"/>
      <c r="C336" s="132"/>
      <c r="D336" s="94"/>
      <c r="E336" s="132"/>
      <c r="F336" s="132"/>
      <c r="G336" s="94"/>
      <c r="H336" s="132"/>
      <c r="I336" s="94"/>
      <c r="J336" s="94"/>
      <c r="K336" s="126"/>
      <c r="L336" s="126"/>
      <c r="M336" s="99"/>
      <c r="N336" s="111"/>
      <c r="O336" s="112"/>
      <c r="P336" s="94"/>
      <c r="Q336" s="120"/>
      <c r="R336" s="113"/>
      <c r="S336" s="94"/>
      <c r="T336" s="94"/>
      <c r="V336" s="104"/>
    </row>
    <row r="337" ht="15.75" customHeight="1">
      <c r="A337" s="91"/>
      <c r="B337" s="131"/>
      <c r="C337" s="104"/>
      <c r="D337" s="94"/>
      <c r="E337" s="132"/>
      <c r="F337" s="132"/>
      <c r="G337" s="94"/>
      <c r="H337" s="132"/>
      <c r="I337" s="94"/>
      <c r="J337" s="94"/>
      <c r="K337" s="125"/>
      <c r="L337" s="125"/>
      <c r="M337" s="99"/>
      <c r="N337" s="111"/>
      <c r="O337" s="112"/>
      <c r="P337" s="94"/>
      <c r="Q337" s="120"/>
      <c r="R337" s="113"/>
      <c r="S337" s="94"/>
      <c r="T337" s="94"/>
      <c r="V337" s="104"/>
    </row>
    <row r="338" ht="15.75" customHeight="1">
      <c r="A338" s="91"/>
      <c r="B338" s="131"/>
      <c r="C338" s="132"/>
      <c r="D338" s="94"/>
      <c r="E338" s="132"/>
      <c r="F338" s="132"/>
      <c r="G338" s="94"/>
      <c r="H338" s="132"/>
      <c r="I338" s="94"/>
      <c r="J338" s="94"/>
      <c r="K338" s="126"/>
      <c r="L338" s="126"/>
      <c r="M338" s="99"/>
      <c r="N338" s="111"/>
      <c r="O338" s="112"/>
      <c r="P338" s="94"/>
      <c r="Q338" s="120"/>
      <c r="R338" s="113"/>
      <c r="S338" s="94"/>
      <c r="T338" s="94"/>
      <c r="V338" s="104"/>
    </row>
    <row r="339" ht="15.75" customHeight="1">
      <c r="A339" s="91"/>
      <c r="B339" s="131"/>
      <c r="C339" s="132"/>
      <c r="D339" s="94"/>
      <c r="E339" s="132"/>
      <c r="F339" s="132"/>
      <c r="G339" s="94"/>
      <c r="H339" s="132"/>
      <c r="I339" s="94"/>
      <c r="J339" s="94"/>
      <c r="K339" s="125"/>
      <c r="L339" s="125"/>
      <c r="M339" s="99"/>
      <c r="N339" s="111"/>
      <c r="O339" s="112"/>
      <c r="P339" s="94"/>
      <c r="Q339" s="120"/>
      <c r="R339" s="113"/>
      <c r="S339" s="94"/>
      <c r="T339" s="94"/>
      <c r="V339" s="104"/>
    </row>
    <row r="340" ht="15.75" customHeight="1">
      <c r="A340" s="91"/>
      <c r="B340" s="131"/>
      <c r="C340" s="132"/>
      <c r="D340" s="94"/>
      <c r="E340" s="132"/>
      <c r="F340" s="132"/>
      <c r="G340" s="94"/>
      <c r="H340" s="132"/>
      <c r="I340" s="94"/>
      <c r="J340" s="94"/>
      <c r="K340" s="126"/>
      <c r="L340" s="126"/>
      <c r="M340" s="99"/>
      <c r="N340" s="111"/>
      <c r="O340" s="112"/>
      <c r="P340" s="94"/>
      <c r="Q340" s="120"/>
      <c r="R340" s="113"/>
      <c r="S340" s="94"/>
      <c r="T340" s="94"/>
      <c r="V340" s="104"/>
    </row>
    <row r="341" ht="15.75" customHeight="1">
      <c r="A341" s="91"/>
      <c r="B341" s="131"/>
      <c r="C341" s="132"/>
      <c r="D341" s="94"/>
      <c r="E341" s="132"/>
      <c r="F341" s="132"/>
      <c r="G341" s="94"/>
      <c r="H341" s="132"/>
      <c r="I341" s="94"/>
      <c r="J341" s="94"/>
      <c r="K341" s="125"/>
      <c r="L341" s="125"/>
      <c r="M341" s="99"/>
      <c r="N341" s="111"/>
      <c r="O341" s="112"/>
      <c r="P341" s="94"/>
      <c r="Q341" s="120"/>
      <c r="R341" s="113"/>
      <c r="S341" s="94"/>
      <c r="T341" s="94"/>
      <c r="V341" s="104"/>
    </row>
    <row r="342" ht="15.75" customHeight="1">
      <c r="A342" s="91"/>
      <c r="B342" s="131"/>
      <c r="C342" s="132"/>
      <c r="D342" s="94"/>
      <c r="E342" s="132"/>
      <c r="F342" s="132"/>
      <c r="G342" s="94"/>
      <c r="H342" s="132"/>
      <c r="I342" s="94"/>
      <c r="J342" s="94"/>
      <c r="K342" s="126"/>
      <c r="L342" s="126"/>
      <c r="M342" s="99"/>
      <c r="N342" s="111"/>
      <c r="O342" s="112"/>
      <c r="P342" s="94"/>
      <c r="Q342" s="120"/>
      <c r="R342" s="113"/>
      <c r="S342" s="94"/>
      <c r="T342" s="94"/>
      <c r="V342" s="104"/>
    </row>
    <row r="343" ht="15.75" customHeight="1">
      <c r="A343" s="91"/>
      <c r="B343" s="131"/>
      <c r="C343" s="104"/>
      <c r="D343" s="94"/>
      <c r="E343" s="132"/>
      <c r="F343" s="132"/>
      <c r="G343" s="94"/>
      <c r="H343" s="132"/>
      <c r="I343" s="94"/>
      <c r="J343" s="94"/>
      <c r="K343" s="125"/>
      <c r="L343" s="125"/>
      <c r="M343" s="99"/>
      <c r="N343" s="111"/>
      <c r="O343" s="112"/>
      <c r="P343" s="94"/>
      <c r="Q343" s="120"/>
      <c r="R343" s="113"/>
      <c r="S343" s="94"/>
      <c r="T343" s="94"/>
      <c r="V343" s="104"/>
    </row>
    <row r="344" ht="15.75" customHeight="1">
      <c r="A344" s="91"/>
      <c r="B344" s="131"/>
      <c r="C344" s="132"/>
      <c r="D344" s="94"/>
      <c r="E344" s="132"/>
      <c r="F344" s="132"/>
      <c r="G344" s="94"/>
      <c r="H344" s="132"/>
      <c r="I344" s="94"/>
      <c r="J344" s="94"/>
      <c r="K344" s="126"/>
      <c r="L344" s="126"/>
      <c r="M344" s="99"/>
      <c r="N344" s="111"/>
      <c r="O344" s="112"/>
      <c r="P344" s="94"/>
      <c r="Q344" s="120"/>
      <c r="R344" s="113"/>
      <c r="S344" s="94"/>
      <c r="T344" s="94"/>
      <c r="V344" s="104"/>
    </row>
    <row r="345" ht="15.75" customHeight="1">
      <c r="A345" s="91"/>
      <c r="B345" s="131"/>
      <c r="C345" s="132"/>
      <c r="D345" s="94"/>
      <c r="E345" s="132"/>
      <c r="F345" s="132"/>
      <c r="G345" s="94"/>
      <c r="H345" s="132"/>
      <c r="I345" s="94"/>
      <c r="J345" s="94"/>
      <c r="K345" s="125"/>
      <c r="L345" s="125"/>
      <c r="M345" s="99"/>
      <c r="N345" s="111"/>
      <c r="O345" s="112"/>
      <c r="P345" s="94"/>
      <c r="Q345" s="120"/>
      <c r="R345" s="113"/>
      <c r="S345" s="94"/>
      <c r="T345" s="94"/>
      <c r="V345" s="104"/>
    </row>
    <row r="346" ht="15.75" customHeight="1">
      <c r="A346" s="91"/>
      <c r="B346" s="131"/>
      <c r="C346" s="132"/>
      <c r="D346" s="94"/>
      <c r="E346" s="132"/>
      <c r="F346" s="132"/>
      <c r="G346" s="94"/>
      <c r="H346" s="132"/>
      <c r="I346" s="94"/>
      <c r="J346" s="94"/>
      <c r="K346" s="126"/>
      <c r="L346" s="126"/>
      <c r="M346" s="99"/>
      <c r="N346" s="111"/>
      <c r="O346" s="112"/>
      <c r="P346" s="94"/>
      <c r="Q346" s="120"/>
      <c r="R346" s="113"/>
      <c r="S346" s="94"/>
      <c r="T346" s="94"/>
      <c r="V346" s="104"/>
    </row>
    <row r="347" ht="15.75" customHeight="1">
      <c r="A347" s="91"/>
      <c r="B347" s="131"/>
      <c r="C347" s="132"/>
      <c r="D347" s="94"/>
      <c r="E347" s="132"/>
      <c r="F347" s="132"/>
      <c r="G347" s="94"/>
      <c r="H347" s="132"/>
      <c r="I347" s="94"/>
      <c r="J347" s="94"/>
      <c r="K347" s="125"/>
      <c r="L347" s="125"/>
      <c r="M347" s="99"/>
      <c r="N347" s="111"/>
      <c r="O347" s="112"/>
      <c r="P347" s="94"/>
      <c r="Q347" s="120"/>
      <c r="R347" s="113"/>
      <c r="S347" s="94"/>
      <c r="T347" s="94"/>
      <c r="V347" s="104"/>
    </row>
    <row r="348" ht="15.75" customHeight="1">
      <c r="A348" s="91"/>
      <c r="B348" s="131"/>
      <c r="C348" s="132"/>
      <c r="D348" s="94"/>
      <c r="E348" s="132"/>
      <c r="F348" s="132"/>
      <c r="G348" s="94"/>
      <c r="H348" s="132"/>
      <c r="I348" s="94"/>
      <c r="J348" s="94"/>
      <c r="K348" s="126"/>
      <c r="L348" s="126"/>
      <c r="M348" s="99"/>
      <c r="N348" s="111"/>
      <c r="O348" s="112"/>
      <c r="P348" s="94"/>
      <c r="Q348" s="120"/>
      <c r="R348" s="113"/>
      <c r="S348" s="94"/>
      <c r="T348" s="94"/>
      <c r="V348" s="104"/>
    </row>
    <row r="349" ht="15.75" customHeight="1">
      <c r="A349" s="91"/>
      <c r="B349" s="131"/>
      <c r="C349" s="104"/>
      <c r="D349" s="94"/>
      <c r="E349" s="132"/>
      <c r="F349" s="132"/>
      <c r="G349" s="94"/>
      <c r="H349" s="132"/>
      <c r="I349" s="94"/>
      <c r="J349" s="94"/>
      <c r="K349" s="125"/>
      <c r="L349" s="125"/>
      <c r="M349" s="99"/>
      <c r="N349" s="111"/>
      <c r="O349" s="112"/>
      <c r="P349" s="94"/>
      <c r="Q349" s="120"/>
      <c r="R349" s="113"/>
      <c r="S349" s="94"/>
      <c r="T349" s="94"/>
      <c r="V349" s="104"/>
    </row>
    <row r="350" ht="15.75" customHeight="1">
      <c r="A350" s="91"/>
      <c r="B350" s="131"/>
      <c r="C350" s="132"/>
      <c r="D350" s="94"/>
      <c r="E350" s="132"/>
      <c r="F350" s="132"/>
      <c r="G350" s="94"/>
      <c r="H350" s="132"/>
      <c r="I350" s="94"/>
      <c r="J350" s="94"/>
      <c r="K350" s="126"/>
      <c r="L350" s="126"/>
      <c r="M350" s="99"/>
      <c r="N350" s="111"/>
      <c r="O350" s="112"/>
      <c r="P350" s="94"/>
      <c r="Q350" s="120"/>
      <c r="R350" s="113"/>
      <c r="S350" s="94"/>
      <c r="T350" s="94"/>
      <c r="V350" s="104"/>
    </row>
    <row r="351" ht="15.75" customHeight="1">
      <c r="A351" s="91"/>
      <c r="B351" s="131"/>
      <c r="C351" s="132"/>
      <c r="D351" s="94"/>
      <c r="E351" s="132"/>
      <c r="F351" s="132"/>
      <c r="G351" s="94"/>
      <c r="H351" s="132"/>
      <c r="I351" s="94"/>
      <c r="J351" s="94"/>
      <c r="K351" s="125"/>
      <c r="L351" s="125"/>
      <c r="M351" s="99"/>
      <c r="N351" s="111"/>
      <c r="O351" s="112"/>
      <c r="P351" s="94"/>
      <c r="Q351" s="120"/>
      <c r="R351" s="113"/>
      <c r="S351" s="94"/>
      <c r="T351" s="94"/>
      <c r="V351" s="104"/>
    </row>
    <row r="352" ht="15.75" customHeight="1">
      <c r="A352" s="91"/>
      <c r="B352" s="131"/>
      <c r="C352" s="132"/>
      <c r="D352" s="94"/>
      <c r="E352" s="132"/>
      <c r="F352" s="132"/>
      <c r="G352" s="94"/>
      <c r="H352" s="132"/>
      <c r="I352" s="94"/>
      <c r="J352" s="94"/>
      <c r="K352" s="135"/>
      <c r="L352" s="135"/>
      <c r="M352" s="99"/>
      <c r="N352" s="111"/>
      <c r="O352" s="112"/>
      <c r="P352" s="94"/>
      <c r="Q352" s="120"/>
      <c r="R352" s="113"/>
      <c r="S352" s="94"/>
      <c r="T352" s="94"/>
      <c r="V352" s="104"/>
    </row>
    <row r="353" ht="15.75" customHeight="1">
      <c r="A353" s="91"/>
      <c r="B353" s="131"/>
      <c r="C353" s="132"/>
      <c r="D353" s="94"/>
      <c r="E353" s="132"/>
      <c r="F353" s="132"/>
      <c r="G353" s="94"/>
      <c r="H353" s="132"/>
      <c r="I353" s="94"/>
      <c r="J353" s="94"/>
      <c r="K353" s="135"/>
      <c r="L353" s="135"/>
      <c r="M353" s="99"/>
      <c r="N353" s="111"/>
      <c r="O353" s="112"/>
      <c r="P353" s="94"/>
      <c r="Q353" s="120"/>
      <c r="R353" s="113"/>
      <c r="S353" s="94"/>
      <c r="T353" s="94"/>
      <c r="V353" s="104"/>
    </row>
    <row r="354" ht="15.75" customHeight="1">
      <c r="A354" s="91"/>
      <c r="B354" s="131"/>
      <c r="C354" s="132"/>
      <c r="D354" s="94"/>
      <c r="E354" s="132"/>
      <c r="F354" s="132"/>
      <c r="G354" s="94"/>
      <c r="H354" s="132"/>
      <c r="I354" s="94"/>
      <c r="J354" s="94"/>
      <c r="K354" s="135"/>
      <c r="L354" s="135"/>
      <c r="M354" s="99"/>
      <c r="N354" s="111"/>
      <c r="O354" s="112"/>
      <c r="P354" s="94"/>
      <c r="Q354" s="120"/>
      <c r="R354" s="113"/>
      <c r="S354" s="94"/>
      <c r="T354" s="94"/>
      <c r="V354" s="104"/>
    </row>
    <row r="355" ht="15.75" customHeight="1">
      <c r="A355" s="91"/>
      <c r="B355" s="131"/>
      <c r="C355" s="104"/>
      <c r="D355" s="94"/>
      <c r="E355" s="132"/>
      <c r="F355" s="132"/>
      <c r="G355" s="94"/>
      <c r="H355" s="132"/>
      <c r="I355" s="94"/>
      <c r="J355" s="94"/>
      <c r="K355" s="135"/>
      <c r="L355" s="135"/>
      <c r="M355" s="99"/>
      <c r="N355" s="111"/>
      <c r="O355" s="112"/>
      <c r="P355" s="94"/>
      <c r="Q355" s="120"/>
      <c r="R355" s="113"/>
      <c r="S355" s="94"/>
      <c r="T355" s="94"/>
      <c r="V355" s="104"/>
    </row>
    <row r="356" ht="15.75" customHeight="1">
      <c r="A356" s="91"/>
      <c r="B356" s="131"/>
      <c r="C356" s="132"/>
      <c r="D356" s="94"/>
      <c r="E356" s="132"/>
      <c r="F356" s="132"/>
      <c r="G356" s="94"/>
      <c r="H356" s="132"/>
      <c r="I356" s="94"/>
      <c r="J356" s="94"/>
      <c r="K356" s="135"/>
      <c r="L356" s="135"/>
      <c r="M356" s="99"/>
      <c r="N356" s="111"/>
      <c r="O356" s="112"/>
      <c r="P356" s="94"/>
      <c r="Q356" s="120"/>
      <c r="R356" s="113"/>
      <c r="S356" s="94"/>
      <c r="T356" s="94"/>
      <c r="V356" s="104"/>
    </row>
    <row r="357" ht="15.75" customHeight="1">
      <c r="A357" s="91"/>
      <c r="B357" s="131"/>
      <c r="C357" s="132"/>
      <c r="D357" s="94"/>
      <c r="E357" s="132"/>
      <c r="F357" s="132"/>
      <c r="G357" s="94"/>
      <c r="H357" s="132"/>
      <c r="I357" s="94"/>
      <c r="J357" s="94"/>
      <c r="K357" s="135"/>
      <c r="L357" s="135"/>
      <c r="M357" s="99"/>
      <c r="N357" s="111"/>
      <c r="O357" s="112"/>
      <c r="P357" s="94"/>
      <c r="Q357" s="120"/>
      <c r="R357" s="113"/>
      <c r="S357" s="94"/>
      <c r="T357" s="94"/>
      <c r="V357" s="104"/>
    </row>
    <row r="358" ht="15.75" customHeight="1">
      <c r="A358" s="91"/>
      <c r="B358" s="131"/>
      <c r="C358" s="132"/>
      <c r="D358" s="94"/>
      <c r="E358" s="132"/>
      <c r="F358" s="132"/>
      <c r="G358" s="94"/>
      <c r="H358" s="132"/>
      <c r="I358" s="94"/>
      <c r="J358" s="94"/>
      <c r="K358" s="135"/>
      <c r="L358" s="135"/>
      <c r="M358" s="99"/>
      <c r="N358" s="111"/>
      <c r="O358" s="112"/>
      <c r="P358" s="94"/>
      <c r="Q358" s="120"/>
      <c r="R358" s="113"/>
      <c r="S358" s="94"/>
      <c r="T358" s="94"/>
      <c r="V358" s="104"/>
    </row>
    <row r="359" ht="15.75" customHeight="1">
      <c r="A359" s="91"/>
      <c r="B359" s="131"/>
      <c r="C359" s="132"/>
      <c r="D359" s="94"/>
      <c r="E359" s="132"/>
      <c r="F359" s="132"/>
      <c r="G359" s="94"/>
      <c r="H359" s="132"/>
      <c r="I359" s="94"/>
      <c r="J359" s="94"/>
      <c r="K359" s="135"/>
      <c r="L359" s="135"/>
      <c r="M359" s="99"/>
      <c r="N359" s="111"/>
      <c r="O359" s="112"/>
      <c r="P359" s="94"/>
      <c r="Q359" s="120"/>
      <c r="R359" s="113"/>
      <c r="S359" s="94"/>
      <c r="T359" s="94"/>
      <c r="V359" s="104"/>
    </row>
    <row r="360" ht="15.75" customHeight="1">
      <c r="A360" s="91"/>
      <c r="B360" s="131"/>
      <c r="C360" s="132"/>
      <c r="D360" s="94"/>
      <c r="E360" s="132"/>
      <c r="F360" s="132"/>
      <c r="G360" s="94"/>
      <c r="H360" s="132"/>
      <c r="I360" s="94"/>
      <c r="J360" s="94"/>
      <c r="K360" s="135"/>
      <c r="L360" s="135"/>
      <c r="M360" s="99"/>
      <c r="N360" s="111"/>
      <c r="O360" s="112"/>
      <c r="P360" s="94"/>
      <c r="Q360" s="120"/>
      <c r="R360" s="113"/>
      <c r="S360" s="94"/>
      <c r="T360" s="94"/>
      <c r="V360" s="104"/>
    </row>
    <row r="361" ht="15.75" customHeight="1">
      <c r="A361" s="91"/>
      <c r="B361" s="131"/>
      <c r="C361" s="104"/>
      <c r="D361" s="94"/>
      <c r="E361" s="132"/>
      <c r="F361" s="132"/>
      <c r="G361" s="94"/>
      <c r="H361" s="132"/>
      <c r="I361" s="94"/>
      <c r="J361" s="94"/>
      <c r="K361" s="135"/>
      <c r="L361" s="135"/>
      <c r="M361" s="99"/>
      <c r="N361" s="111"/>
      <c r="O361" s="112"/>
      <c r="P361" s="94"/>
      <c r="Q361" s="120"/>
      <c r="R361" s="113"/>
      <c r="S361" s="94"/>
      <c r="T361" s="94"/>
      <c r="V361" s="104"/>
    </row>
    <row r="362" ht="15.75" customHeight="1">
      <c r="A362" s="91"/>
      <c r="B362" s="131"/>
      <c r="C362" s="132"/>
      <c r="D362" s="94"/>
      <c r="E362" s="132"/>
      <c r="F362" s="132"/>
      <c r="G362" s="94"/>
      <c r="H362" s="132"/>
      <c r="I362" s="94"/>
      <c r="J362" s="94"/>
      <c r="K362" s="135"/>
      <c r="L362" s="135"/>
      <c r="M362" s="99"/>
      <c r="N362" s="111"/>
      <c r="O362" s="112"/>
      <c r="P362" s="94"/>
      <c r="Q362" s="120"/>
      <c r="R362" s="113"/>
      <c r="S362" s="94"/>
      <c r="T362" s="94"/>
      <c r="V362" s="104"/>
    </row>
    <row r="363" ht="15.75" customHeight="1">
      <c r="A363" s="91"/>
      <c r="B363" s="131"/>
      <c r="C363" s="132"/>
      <c r="D363" s="94"/>
      <c r="E363" s="132"/>
      <c r="F363" s="132"/>
      <c r="G363" s="94"/>
      <c r="H363" s="132"/>
      <c r="I363" s="94"/>
      <c r="J363" s="94"/>
      <c r="K363" s="135"/>
      <c r="L363" s="135"/>
      <c r="M363" s="99"/>
      <c r="N363" s="111"/>
      <c r="O363" s="112"/>
      <c r="P363" s="94"/>
      <c r="Q363" s="120"/>
      <c r="R363" s="113"/>
      <c r="S363" s="94"/>
      <c r="T363" s="94"/>
      <c r="V363" s="104"/>
    </row>
    <row r="364" ht="15.75" customHeight="1">
      <c r="A364" s="91"/>
      <c r="B364" s="131"/>
      <c r="C364" s="132"/>
      <c r="D364" s="94"/>
      <c r="E364" s="132"/>
      <c r="F364" s="132"/>
      <c r="G364" s="94"/>
      <c r="H364" s="132"/>
      <c r="I364" s="94"/>
      <c r="J364" s="94"/>
      <c r="K364" s="135"/>
      <c r="L364" s="135"/>
      <c r="M364" s="99"/>
      <c r="N364" s="111"/>
      <c r="O364" s="112"/>
      <c r="P364" s="94"/>
      <c r="Q364" s="120"/>
      <c r="R364" s="113"/>
      <c r="S364" s="94"/>
      <c r="T364" s="94"/>
      <c r="V364" s="104"/>
    </row>
    <row r="365" ht="15.75" customHeight="1">
      <c r="A365" s="91"/>
      <c r="B365" s="131"/>
      <c r="C365" s="132"/>
      <c r="D365" s="94"/>
      <c r="E365" s="132"/>
      <c r="F365" s="132"/>
      <c r="G365" s="94"/>
      <c r="H365" s="132"/>
      <c r="I365" s="94"/>
      <c r="J365" s="94"/>
      <c r="K365" s="135"/>
      <c r="L365" s="135"/>
      <c r="M365" s="99"/>
      <c r="N365" s="111"/>
      <c r="O365" s="112"/>
      <c r="P365" s="94"/>
      <c r="Q365" s="120"/>
      <c r="R365" s="113"/>
      <c r="S365" s="94"/>
      <c r="T365" s="94"/>
      <c r="V365" s="104"/>
    </row>
    <row r="366" ht="15.75" customHeight="1">
      <c r="A366" s="91"/>
      <c r="B366" s="131"/>
      <c r="C366" s="132"/>
      <c r="D366" s="94"/>
      <c r="E366" s="132"/>
      <c r="F366" s="132"/>
      <c r="G366" s="94"/>
      <c r="H366" s="132"/>
      <c r="I366" s="94"/>
      <c r="J366" s="94"/>
      <c r="K366" s="135"/>
      <c r="L366" s="135"/>
      <c r="M366" s="99"/>
      <c r="N366" s="111"/>
      <c r="O366" s="112"/>
      <c r="P366" s="94"/>
      <c r="Q366" s="120"/>
      <c r="R366" s="113"/>
      <c r="S366" s="94"/>
      <c r="T366" s="94"/>
      <c r="V366" s="104"/>
    </row>
    <row r="367" ht="15.75" customHeight="1">
      <c r="A367" s="91"/>
      <c r="B367" s="131"/>
      <c r="C367" s="104"/>
      <c r="D367" s="94"/>
      <c r="E367" s="132"/>
      <c r="F367" s="132"/>
      <c r="G367" s="94"/>
      <c r="H367" s="132"/>
      <c r="I367" s="94"/>
      <c r="J367" s="94"/>
      <c r="K367" s="135"/>
      <c r="L367" s="135"/>
      <c r="M367" s="99"/>
      <c r="N367" s="111"/>
      <c r="O367" s="112"/>
      <c r="P367" s="94"/>
      <c r="Q367" s="120"/>
      <c r="R367" s="113"/>
      <c r="S367" s="94"/>
      <c r="T367" s="94"/>
      <c r="V367" s="104"/>
    </row>
    <row r="368" ht="15.75" customHeight="1">
      <c r="A368" s="91"/>
      <c r="B368" s="131"/>
      <c r="C368" s="132"/>
      <c r="D368" s="94"/>
      <c r="E368" s="132"/>
      <c r="F368" s="132"/>
      <c r="G368" s="94"/>
      <c r="H368" s="132"/>
      <c r="I368" s="94"/>
      <c r="J368" s="94"/>
      <c r="K368" s="135"/>
      <c r="L368" s="135"/>
      <c r="M368" s="99"/>
      <c r="N368" s="111"/>
      <c r="O368" s="112"/>
      <c r="P368" s="94"/>
      <c r="Q368" s="120"/>
      <c r="R368" s="113"/>
      <c r="S368" s="94"/>
      <c r="T368" s="94"/>
      <c r="V368" s="104"/>
    </row>
    <row r="369" ht="15.75" customHeight="1">
      <c r="A369" s="91"/>
      <c r="B369" s="131"/>
      <c r="C369" s="132"/>
      <c r="D369" s="94"/>
      <c r="E369" s="132"/>
      <c r="F369" s="132"/>
      <c r="G369" s="94"/>
      <c r="H369" s="132"/>
      <c r="I369" s="94"/>
      <c r="J369" s="94"/>
      <c r="K369" s="135"/>
      <c r="L369" s="135"/>
      <c r="M369" s="99"/>
      <c r="N369" s="111"/>
      <c r="O369" s="112"/>
      <c r="P369" s="94"/>
      <c r="Q369" s="120"/>
      <c r="R369" s="113"/>
      <c r="S369" s="94"/>
      <c r="T369" s="94"/>
      <c r="V369" s="104"/>
    </row>
    <row r="370" ht="15.75" customHeight="1">
      <c r="A370" s="91"/>
      <c r="B370" s="131"/>
      <c r="C370" s="132"/>
      <c r="D370" s="94"/>
      <c r="E370" s="132"/>
      <c r="F370" s="132"/>
      <c r="G370" s="94"/>
      <c r="H370" s="132"/>
      <c r="I370" s="94"/>
      <c r="J370" s="94"/>
      <c r="K370" s="135"/>
      <c r="L370" s="135"/>
      <c r="M370" s="99"/>
      <c r="N370" s="111"/>
      <c r="O370" s="112"/>
      <c r="P370" s="94"/>
      <c r="Q370" s="120"/>
      <c r="R370" s="113"/>
      <c r="S370" s="94"/>
      <c r="T370" s="94"/>
      <c r="V370" s="104"/>
    </row>
    <row r="371" ht="15.75" customHeight="1">
      <c r="A371" s="91"/>
      <c r="B371" s="131"/>
      <c r="C371" s="132"/>
      <c r="D371" s="94"/>
      <c r="E371" s="132"/>
      <c r="F371" s="132"/>
      <c r="G371" s="94"/>
      <c r="H371" s="132"/>
      <c r="I371" s="94"/>
      <c r="J371" s="94"/>
      <c r="K371" s="135"/>
      <c r="L371" s="135"/>
      <c r="M371" s="99"/>
      <c r="N371" s="111"/>
      <c r="O371" s="112"/>
      <c r="P371" s="94"/>
      <c r="Q371" s="120"/>
      <c r="R371" s="113"/>
      <c r="S371" s="94"/>
      <c r="T371" s="94"/>
      <c r="V371" s="104"/>
    </row>
    <row r="372" ht="15.75" customHeight="1">
      <c r="A372" s="91"/>
      <c r="B372" s="131"/>
      <c r="C372" s="132"/>
      <c r="D372" s="94"/>
      <c r="E372" s="132"/>
      <c r="F372" s="132"/>
      <c r="G372" s="94"/>
      <c r="H372" s="132"/>
      <c r="I372" s="94"/>
      <c r="J372" s="94"/>
      <c r="K372" s="135"/>
      <c r="L372" s="135"/>
      <c r="M372" s="99"/>
      <c r="N372" s="111"/>
      <c r="O372" s="112"/>
      <c r="P372" s="94"/>
      <c r="Q372" s="120"/>
      <c r="R372" s="113"/>
      <c r="S372" s="94"/>
      <c r="T372" s="94"/>
      <c r="V372" s="104"/>
    </row>
    <row r="373" ht="15.75" customHeight="1">
      <c r="A373" s="91"/>
      <c r="B373" s="131"/>
      <c r="C373" s="104"/>
      <c r="D373" s="94"/>
      <c r="E373" s="132"/>
      <c r="F373" s="132"/>
      <c r="G373" s="94"/>
      <c r="H373" s="132"/>
      <c r="I373" s="94"/>
      <c r="J373" s="94"/>
      <c r="K373" s="135"/>
      <c r="L373" s="135"/>
      <c r="M373" s="99"/>
      <c r="N373" s="111"/>
      <c r="O373" s="112"/>
      <c r="P373" s="94"/>
      <c r="Q373" s="120"/>
      <c r="R373" s="113"/>
      <c r="S373" s="94"/>
      <c r="T373" s="94"/>
      <c r="V373" s="104"/>
    </row>
    <row r="374" ht="15.75" customHeight="1">
      <c r="A374" s="91"/>
      <c r="B374" s="131"/>
      <c r="C374" s="132"/>
      <c r="D374" s="94"/>
      <c r="E374" s="132"/>
      <c r="F374" s="132"/>
      <c r="G374" s="94"/>
      <c r="H374" s="132"/>
      <c r="I374" s="94"/>
      <c r="J374" s="94"/>
      <c r="K374" s="135"/>
      <c r="L374" s="135"/>
      <c r="M374" s="99"/>
      <c r="N374" s="111"/>
      <c r="O374" s="112"/>
      <c r="P374" s="94"/>
      <c r="Q374" s="120"/>
      <c r="R374" s="113"/>
      <c r="S374" s="94"/>
      <c r="T374" s="94"/>
      <c r="V374" s="104"/>
    </row>
    <row r="375" ht="15.75" customHeight="1">
      <c r="A375" s="91"/>
      <c r="B375" s="131"/>
      <c r="C375" s="132"/>
      <c r="D375" s="94"/>
      <c r="E375" s="132"/>
      <c r="F375" s="132"/>
      <c r="G375" s="94"/>
      <c r="H375" s="132"/>
      <c r="I375" s="94"/>
      <c r="J375" s="94"/>
      <c r="K375" s="135"/>
      <c r="L375" s="135"/>
      <c r="M375" s="99"/>
      <c r="N375" s="111"/>
      <c r="O375" s="112"/>
      <c r="P375" s="94"/>
      <c r="Q375" s="120"/>
      <c r="R375" s="113"/>
      <c r="S375" s="94"/>
      <c r="T375" s="94"/>
      <c r="V375" s="104"/>
    </row>
    <row r="376" ht="15.75" customHeight="1">
      <c r="A376" s="91"/>
      <c r="B376" s="131"/>
      <c r="C376" s="132"/>
      <c r="D376" s="94"/>
      <c r="E376" s="132"/>
      <c r="F376" s="132"/>
      <c r="G376" s="94"/>
      <c r="H376" s="132"/>
      <c r="I376" s="94"/>
      <c r="J376" s="94"/>
      <c r="K376" s="135"/>
      <c r="L376" s="135"/>
      <c r="M376" s="99"/>
      <c r="N376" s="111"/>
      <c r="O376" s="112"/>
      <c r="P376" s="94"/>
      <c r="Q376" s="120"/>
      <c r="R376" s="113"/>
      <c r="S376" s="94"/>
      <c r="T376" s="94"/>
      <c r="V376" s="104"/>
    </row>
    <row r="377" ht="15.75" customHeight="1">
      <c r="A377" s="91"/>
      <c r="B377" s="131"/>
      <c r="C377" s="132"/>
      <c r="D377" s="94"/>
      <c r="E377" s="132"/>
      <c r="F377" s="132"/>
      <c r="G377" s="94"/>
      <c r="H377" s="132"/>
      <c r="I377" s="94"/>
      <c r="J377" s="94"/>
      <c r="K377" s="135"/>
      <c r="L377" s="135"/>
      <c r="M377" s="99"/>
      <c r="N377" s="111"/>
      <c r="O377" s="112"/>
      <c r="P377" s="94"/>
      <c r="Q377" s="120"/>
      <c r="R377" s="113"/>
      <c r="S377" s="94"/>
      <c r="T377" s="94"/>
      <c r="V377" s="104"/>
    </row>
    <row r="378" ht="15.75" customHeight="1">
      <c r="A378" s="91"/>
      <c r="B378" s="131"/>
      <c r="C378" s="132"/>
      <c r="D378" s="94"/>
      <c r="E378" s="132"/>
      <c r="F378" s="132"/>
      <c r="G378" s="94"/>
      <c r="H378" s="132"/>
      <c r="I378" s="94"/>
      <c r="J378" s="94"/>
      <c r="K378" s="135"/>
      <c r="L378" s="135"/>
      <c r="M378" s="99"/>
      <c r="N378" s="111"/>
      <c r="O378" s="112"/>
      <c r="P378" s="94"/>
      <c r="Q378" s="120"/>
      <c r="R378" s="113"/>
      <c r="S378" s="94"/>
      <c r="T378" s="94"/>
      <c r="V378" s="104"/>
    </row>
    <row r="379" ht="15.75" customHeight="1">
      <c r="A379" s="91"/>
      <c r="B379" s="131"/>
      <c r="C379" s="104"/>
      <c r="D379" s="94"/>
      <c r="E379" s="132"/>
      <c r="F379" s="132"/>
      <c r="G379" s="94"/>
      <c r="H379" s="132"/>
      <c r="I379" s="94"/>
      <c r="J379" s="94"/>
      <c r="K379" s="135"/>
      <c r="L379" s="135"/>
      <c r="M379" s="99"/>
      <c r="N379" s="111"/>
      <c r="O379" s="112"/>
      <c r="P379" s="94"/>
      <c r="Q379" s="120"/>
      <c r="R379" s="113"/>
      <c r="S379" s="94"/>
      <c r="T379" s="94"/>
      <c r="V379" s="104"/>
    </row>
    <row r="380" ht="15.75" customHeight="1">
      <c r="A380" s="91"/>
      <c r="B380" s="131"/>
      <c r="C380" s="132"/>
      <c r="D380" s="94"/>
      <c r="E380" s="132"/>
      <c r="F380" s="132"/>
      <c r="G380" s="94"/>
      <c r="H380" s="132"/>
      <c r="I380" s="94"/>
      <c r="J380" s="94"/>
      <c r="K380" s="135"/>
      <c r="L380" s="135"/>
      <c r="M380" s="99"/>
      <c r="N380" s="111"/>
      <c r="O380" s="112"/>
      <c r="P380" s="94"/>
      <c r="Q380" s="120"/>
      <c r="R380" s="113"/>
      <c r="S380" s="94"/>
      <c r="T380" s="94"/>
      <c r="V380" s="104"/>
    </row>
    <row r="381" ht="15.75" customHeight="1">
      <c r="A381" s="91"/>
      <c r="B381" s="131"/>
      <c r="C381" s="132"/>
      <c r="D381" s="94"/>
      <c r="E381" s="132"/>
      <c r="F381" s="132"/>
      <c r="G381" s="94"/>
      <c r="H381" s="132"/>
      <c r="I381" s="94"/>
      <c r="J381" s="94"/>
      <c r="K381" s="135"/>
      <c r="L381" s="135"/>
      <c r="M381" s="99"/>
      <c r="N381" s="111"/>
      <c r="O381" s="112"/>
      <c r="P381" s="94"/>
      <c r="Q381" s="120"/>
      <c r="R381" s="113"/>
      <c r="S381" s="94"/>
      <c r="T381" s="94"/>
      <c r="V381" s="104"/>
    </row>
    <row r="382" ht="15.75" customHeight="1">
      <c r="A382" s="91"/>
      <c r="B382" s="131"/>
      <c r="C382" s="132"/>
      <c r="D382" s="94"/>
      <c r="E382" s="132"/>
      <c r="F382" s="132"/>
      <c r="G382" s="94"/>
      <c r="H382" s="132"/>
      <c r="I382" s="94"/>
      <c r="J382" s="94"/>
      <c r="K382" s="135"/>
      <c r="L382" s="135"/>
      <c r="M382" s="99"/>
      <c r="N382" s="111"/>
      <c r="O382" s="112"/>
      <c r="P382" s="94"/>
      <c r="Q382" s="120"/>
      <c r="R382" s="113"/>
      <c r="S382" s="94"/>
      <c r="T382" s="94"/>
      <c r="V382" s="104"/>
    </row>
    <row r="383" ht="15.75" customHeight="1">
      <c r="A383" s="91"/>
      <c r="B383" s="131"/>
      <c r="C383" s="132"/>
      <c r="D383" s="94"/>
      <c r="E383" s="132"/>
      <c r="F383" s="132"/>
      <c r="G383" s="94"/>
      <c r="H383" s="132"/>
      <c r="I383" s="94"/>
      <c r="J383" s="94"/>
      <c r="K383" s="135"/>
      <c r="L383" s="135"/>
      <c r="M383" s="99"/>
      <c r="N383" s="111"/>
      <c r="O383" s="112"/>
      <c r="P383" s="94"/>
      <c r="Q383" s="120"/>
      <c r="R383" s="113"/>
      <c r="S383" s="94"/>
      <c r="T383" s="94"/>
      <c r="V383" s="104"/>
    </row>
    <row r="384" ht="15.75" customHeight="1">
      <c r="A384" s="91"/>
      <c r="B384" s="131"/>
      <c r="C384" s="132"/>
      <c r="D384" s="94"/>
      <c r="E384" s="132"/>
      <c r="F384" s="132"/>
      <c r="G384" s="94"/>
      <c r="H384" s="132"/>
      <c r="I384" s="94"/>
      <c r="J384" s="94"/>
      <c r="K384" s="135"/>
      <c r="L384" s="135"/>
      <c r="M384" s="99"/>
      <c r="N384" s="111"/>
      <c r="O384" s="112"/>
      <c r="P384" s="94"/>
      <c r="Q384" s="120"/>
      <c r="R384" s="113"/>
      <c r="S384" s="94"/>
      <c r="T384" s="94"/>
      <c r="V384" s="104"/>
    </row>
  </sheetData>
  <autoFilter ref="$A$12:$V$127"/>
  <customSheetViews>
    <customSheetView guid="{FE509773-0638-41EB-A036-A8EE905B9B6D}" filter="1" showAutoFilter="1">
      <autoFilter ref="$R$43:$R$44"/>
    </customSheetView>
  </customSheetViews>
  <mergeCells count="372">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5:U55"/>
    <mergeCell ref="T56:U56"/>
    <mergeCell ref="T57:U57"/>
    <mergeCell ref="T58:U58"/>
    <mergeCell ref="T59:U59"/>
    <mergeCell ref="T60:U60"/>
    <mergeCell ref="T61:U61"/>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56:U356"/>
    <mergeCell ref="T357:U357"/>
    <mergeCell ref="T358:U358"/>
    <mergeCell ref="T359:U359"/>
    <mergeCell ref="T360:U360"/>
    <mergeCell ref="T361:U361"/>
    <mergeCell ref="T362:U362"/>
    <mergeCell ref="T363:U363"/>
    <mergeCell ref="T364:U364"/>
    <mergeCell ref="T365:U365"/>
    <mergeCell ref="T366:U366"/>
    <mergeCell ref="T367:U367"/>
    <mergeCell ref="T368:U368"/>
    <mergeCell ref="T369:U369"/>
    <mergeCell ref="T377:U377"/>
    <mergeCell ref="T378:U378"/>
    <mergeCell ref="T379:U379"/>
    <mergeCell ref="T380:U380"/>
    <mergeCell ref="T381:U381"/>
    <mergeCell ref="T382:U382"/>
    <mergeCell ref="T383:U383"/>
    <mergeCell ref="T384:U384"/>
    <mergeCell ref="T370:U370"/>
    <mergeCell ref="T371:U371"/>
    <mergeCell ref="T372:U372"/>
    <mergeCell ref="T373:U373"/>
    <mergeCell ref="T374:U374"/>
    <mergeCell ref="T375:U375"/>
    <mergeCell ref="T376:U37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 ref="T352:U352"/>
    <mergeCell ref="T353:U353"/>
    <mergeCell ref="T354:U354"/>
    <mergeCell ref="T355:U355"/>
  </mergeCells>
  <dataValidations>
    <dataValidation type="list" allowBlank="1" showErrorMessage="1" sqref="N13:N384">
      <formula1>"Think About It,Money,Partner,Time,Fear,Value"</formula1>
    </dataValidation>
    <dataValidation type="list" allowBlank="1" showErrorMessage="1" sqref="I13:J14 I15:I33 I34:J59 I60 I61:J108 I109:I110 I111:J126 I127:I133 I134:J384">
      <formula1>"Full-Pay,Split-Pay,Deposit,Offer &amp; Didn't Buy,Bad Fit &amp; No Offer,Drag Over &amp; Show,Rescheduled,Cancelled,No-Show"</formula1>
    </dataValidation>
    <dataValidation type="list" allowBlank="1" sqref="H13:H128">
      <formula1>"Håndværker,Ikke Håndværker"</formula1>
    </dataValidation>
    <dataValidation type="list" allowBlank="1" showErrorMessage="1" sqref="S13:S384">
      <formula1>"Closed,Follow Up,Hot Follow Up,Deposit (Follow Up Set),Follow Up Set,X"</formula1>
    </dataValidation>
    <dataValidation type="list" allowBlank="1" showErrorMessage="1" sqref="J15:J33 J60">
      <formula1>"Full-Pay,Split-Pay,Deposit,Offer &amp; Didn't Buy,Bad Fit &amp; No Offer,Drag Over &amp; Show,Rescheduled,Cancelled,No-Show"</formula1>
    </dataValidation>
    <dataValidation type="list" allowBlank="1" sqref="H129:H384">
      <formula1>"IG,Setter,Ads,Email,Facebook,Facebook Ads"</formula1>
    </dataValidation>
  </dataValidations>
  <hyperlinks>
    <hyperlink r:id="rId2" ref="F22"/>
    <hyperlink r:id="rId3" ref="F82"/>
  </hyperlink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0.38"/>
    <col customWidth="1" min="3" max="3" width="13.38"/>
    <col customWidth="1" min="4" max="4" width="0.38"/>
    <col customWidth="1" min="5" max="5" width="15.13"/>
    <col customWidth="1" min="6" max="6" width="16.38"/>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t="s">
        <v>1300</v>
      </c>
      <c r="B1" s="6" t="s">
        <v>31</v>
      </c>
      <c r="C1" s="6" t="s">
        <v>32</v>
      </c>
      <c r="D1" s="39"/>
      <c r="E1" s="226" t="s">
        <v>1714</v>
      </c>
      <c r="F1" s="39"/>
      <c r="H1" s="40" t="s">
        <v>33</v>
      </c>
      <c r="I1" s="41"/>
      <c r="J1" s="39"/>
      <c r="K1" s="40" t="s">
        <v>34</v>
      </c>
      <c r="L1" s="41"/>
      <c r="M1" s="13"/>
      <c r="N1" s="42" t="s">
        <v>35</v>
      </c>
      <c r="O1" s="43"/>
      <c r="P1" s="13"/>
      <c r="Q1" s="40" t="s">
        <v>36</v>
      </c>
      <c r="R1" s="44"/>
      <c r="S1" s="39"/>
      <c r="T1" s="40" t="s">
        <v>37</v>
      </c>
      <c r="U1" s="45"/>
      <c r="V1" s="39"/>
    </row>
    <row r="2">
      <c r="A2" s="39"/>
      <c r="B2" s="41"/>
      <c r="C2" s="41"/>
      <c r="D2" s="13"/>
      <c r="E2" s="227" t="s">
        <v>1715</v>
      </c>
      <c r="F2" s="228">
        <f>C3/C6</f>
        <v>2419.354839</v>
      </c>
      <c r="H2" s="46" t="s">
        <v>26</v>
      </c>
      <c r="I2" s="47">
        <f>IFERROR(COUNTIFS(I14:I312, "Full-Pay"),"")</f>
        <v>3</v>
      </c>
      <c r="J2" s="13"/>
      <c r="K2" s="48" t="s">
        <v>16</v>
      </c>
      <c r="L2" s="49">
        <f>iferror(L10/L8,"")</f>
        <v>0.2903225806</v>
      </c>
      <c r="M2" s="12"/>
      <c r="N2" s="50" t="s">
        <v>39</v>
      </c>
      <c r="O2" s="51">
        <f>iferror(I8/L6,"")</f>
        <v>0</v>
      </c>
      <c r="P2" s="12"/>
      <c r="Q2" s="52" t="s">
        <v>40</v>
      </c>
      <c r="R2" s="53">
        <f>IFERROR(COUNTIFS(N36:N311, "think about it"),"")</f>
        <v>0</v>
      </c>
      <c r="S2" s="13"/>
      <c r="T2" s="54" t="s">
        <v>41</v>
      </c>
      <c r="U2" s="55">
        <f>IFERROR(COUNTIF(H36:H311,"setter"),"")</f>
        <v>0</v>
      </c>
      <c r="V2" s="58"/>
    </row>
    <row r="3">
      <c r="A3" s="13"/>
      <c r="B3" s="59" t="s">
        <v>43</v>
      </c>
      <c r="C3" s="60">
        <f>IFERROR(SUM(K14:K308),"")</f>
        <v>75000</v>
      </c>
      <c r="D3" s="61"/>
      <c r="E3" s="229" t="s">
        <v>1716</v>
      </c>
      <c r="F3" s="230">
        <f>C4/C6</f>
        <v>1258.064516</v>
      </c>
      <c r="H3" s="46" t="s">
        <v>27</v>
      </c>
      <c r="I3" s="47">
        <f>IFERROR(COUNTIFS(I14:I312, "Split-Pay"),"")</f>
        <v>6</v>
      </c>
      <c r="J3" s="13"/>
      <c r="K3" s="48" t="s">
        <v>17</v>
      </c>
      <c r="L3" s="49">
        <f>IFERROR(L10/L9,"")</f>
        <v>0.2903225806</v>
      </c>
      <c r="M3" s="12"/>
      <c r="N3" s="50" t="s">
        <v>44</v>
      </c>
      <c r="O3" s="51">
        <f>iferror(I9/L6,"")</f>
        <v>0</v>
      </c>
      <c r="P3" s="12"/>
      <c r="Q3" s="52" t="s">
        <v>45</v>
      </c>
      <c r="R3" s="62">
        <f>IFERROR(COUNTIFS(N36:N311, "money"),"")</f>
        <v>9</v>
      </c>
      <c r="S3" s="13"/>
      <c r="T3" s="54" t="s">
        <v>46</v>
      </c>
      <c r="U3" s="55">
        <f>IFERROR(COUNTIF(H36:H311,"IG"),"")</f>
        <v>0</v>
      </c>
      <c r="V3" s="58"/>
    </row>
    <row r="4">
      <c r="A4" s="13"/>
      <c r="B4" s="63" t="s">
        <v>48</v>
      </c>
      <c r="C4" s="64">
        <f>IFERROR(SUM(L14:L309),"")</f>
        <v>39000</v>
      </c>
      <c r="D4" s="61"/>
      <c r="E4" s="229" t="s">
        <v>1717</v>
      </c>
      <c r="F4" s="231">
        <f>C4/C3*100</f>
        <v>52</v>
      </c>
      <c r="H4" s="46" t="s">
        <v>28</v>
      </c>
      <c r="I4" s="47">
        <f>IFERROR(COUNTIFS(I14:I312, "Deposit"),"")</f>
        <v>7</v>
      </c>
      <c r="J4" s="13"/>
      <c r="K4" s="48" t="s">
        <v>18</v>
      </c>
      <c r="L4" s="49">
        <f>IFERROR(L9/L8,"")</f>
        <v>1</v>
      </c>
      <c r="M4" s="12"/>
      <c r="N4" s="50" t="s">
        <v>49</v>
      </c>
      <c r="O4" s="51">
        <f>iferror(I10/L6,"")</f>
        <v>0.1842105263</v>
      </c>
      <c r="P4" s="12"/>
      <c r="Q4" s="52" t="s">
        <v>50</v>
      </c>
      <c r="R4" s="53">
        <f>IFERROR(COUNTIFS(N36:N311, "time"),"")</f>
        <v>0</v>
      </c>
      <c r="S4" s="13"/>
      <c r="T4" s="54" t="s">
        <v>51</v>
      </c>
      <c r="U4" s="55">
        <f>IFERROR(COUNTIF(H36:H311,"youtube"),"")</f>
        <v>0</v>
      </c>
      <c r="V4" s="39"/>
    </row>
    <row r="5">
      <c r="A5" s="39"/>
      <c r="B5" s="41"/>
      <c r="C5" s="41"/>
      <c r="D5" s="13"/>
      <c r="E5" s="229" t="s">
        <v>1718</v>
      </c>
      <c r="F5" s="232">
        <f>I2/C7*100</f>
        <v>33.33333333</v>
      </c>
      <c r="H5" s="46" t="s">
        <v>53</v>
      </c>
      <c r="I5" s="47">
        <f>IFERROR(COUNTIFS(I14:I312, "Offer &amp; Didn't Buy"),"")</f>
        <v>15</v>
      </c>
      <c r="J5" s="13"/>
      <c r="K5" s="48" t="s">
        <v>54</v>
      </c>
      <c r="L5" s="49">
        <f>IFERROR(I7/(C6+I7+I8),"")</f>
        <v>0</v>
      </c>
      <c r="M5" s="13"/>
      <c r="N5" s="50" t="s">
        <v>54</v>
      </c>
      <c r="O5" s="51">
        <f>iferror(I7/L6,"")</f>
        <v>0</v>
      </c>
      <c r="P5" s="12"/>
      <c r="Q5" s="52" t="s">
        <v>55</v>
      </c>
      <c r="R5" s="53">
        <f>IFERROR(COUNTIFS(N36:N311, "partner"),"")</f>
        <v>1</v>
      </c>
      <c r="S5" s="13"/>
      <c r="T5" s="56" t="s">
        <v>56</v>
      </c>
      <c r="U5" s="55">
        <f>IFERROR(COUNTIF(H36:H311,"email"),"")</f>
        <v>0</v>
      </c>
      <c r="V5" s="58"/>
    </row>
    <row r="6">
      <c r="A6" s="13"/>
      <c r="B6" s="65" t="s">
        <v>58</v>
      </c>
      <c r="C6" s="66">
        <f>IFERROR(SUM(I2:I6),"")</f>
        <v>31</v>
      </c>
      <c r="D6" s="13"/>
      <c r="E6" s="229" t="s">
        <v>1719</v>
      </c>
      <c r="F6" s="233">
        <f>AVERAGE(Q14:Q105)</f>
        <v>5.222222222</v>
      </c>
      <c r="H6" s="46" t="s">
        <v>59</v>
      </c>
      <c r="I6" s="47">
        <f>IFERROR(COUNTIFS(I14:I312, "Bad Fit &amp; No Offer"),"")</f>
        <v>0</v>
      </c>
      <c r="J6" s="13"/>
      <c r="K6" s="48" t="s">
        <v>21</v>
      </c>
      <c r="L6" s="67">
        <f>IFERROR(SUM(I2:I10),"")</f>
        <v>38</v>
      </c>
      <c r="M6" s="13"/>
      <c r="N6" s="68" t="s">
        <v>29</v>
      </c>
      <c r="O6" s="51">
        <f>iferror(L7/L6,"")</f>
        <v>0.8157894737</v>
      </c>
      <c r="P6" s="12"/>
      <c r="Q6" s="52" t="s">
        <v>60</v>
      </c>
      <c r="R6" s="53">
        <f>IFERROR(COUNTIFS(N36:N311, "fear"),"")</f>
        <v>2</v>
      </c>
      <c r="S6" s="13"/>
      <c r="T6" s="56" t="s">
        <v>61</v>
      </c>
      <c r="U6" s="55">
        <f>IFERROR(COUNTIF(H36:H311,"facebook"),"")</f>
        <v>0</v>
      </c>
      <c r="V6" s="58"/>
    </row>
    <row r="7">
      <c r="A7" s="13"/>
      <c r="B7" s="65" t="s">
        <v>63</v>
      </c>
      <c r="C7" s="69">
        <f>IFERROR(I2+I3,"")</f>
        <v>9</v>
      </c>
      <c r="D7" s="13"/>
      <c r="E7" s="229" t="s">
        <v>1720</v>
      </c>
      <c r="F7" s="230">
        <f>C3/C7</f>
        <v>8333.333333</v>
      </c>
      <c r="H7" s="46" t="s">
        <v>64</v>
      </c>
      <c r="I7" s="47">
        <f>IFERROR(COUNTIFS(I14:I312, "Drag Over &amp; Show"),"")</f>
        <v>0</v>
      </c>
      <c r="J7" s="13"/>
      <c r="K7" s="48" t="s">
        <v>22</v>
      </c>
      <c r="L7" s="67">
        <f>IFERROR(SUM(I2:I7),"")</f>
        <v>31</v>
      </c>
      <c r="M7" s="13"/>
      <c r="N7" s="70" t="s">
        <v>30</v>
      </c>
      <c r="O7" s="71">
        <f>IFERROR(L8/L6,"")</f>
        <v>0.8157894737</v>
      </c>
      <c r="P7" s="12"/>
      <c r="Q7" s="72" t="s">
        <v>65</v>
      </c>
      <c r="R7" s="73">
        <f>IFERROR(COUNTIFS(N37:N312, "value"),"")</f>
        <v>0</v>
      </c>
      <c r="S7" s="13"/>
      <c r="T7" s="56" t="s">
        <v>66</v>
      </c>
      <c r="U7" s="55">
        <f>IFERROR(COUNTIF(H36:H311,"facebook ads"),"")</f>
        <v>0</v>
      </c>
      <c r="V7" s="39"/>
    </row>
    <row r="8">
      <c r="A8" s="13"/>
      <c r="B8" s="65" t="s">
        <v>68</v>
      </c>
      <c r="C8" s="74">
        <f>COUNTIF(I14:I311,"offer &amp; didn't buy")+COUNTIF(I36:I311,"deposit")+COUNTIF(I36:I311,"bad fit &amp; no offer")</f>
        <v>20</v>
      </c>
      <c r="D8" s="75"/>
      <c r="E8" s="229" t="s">
        <v>1721</v>
      </c>
      <c r="F8" s="230">
        <f>C4/C7</f>
        <v>4333.333333</v>
      </c>
      <c r="H8" s="46" t="s">
        <v>69</v>
      </c>
      <c r="I8" s="47">
        <f>IFERROR(COUNTIFS(I14:I312, "Rescheduled"),"")</f>
        <v>0</v>
      </c>
      <c r="J8" s="13"/>
      <c r="K8" s="48" t="s">
        <v>23</v>
      </c>
      <c r="L8" s="67">
        <f>IFERROR(SUM(I2:I6),"")</f>
        <v>31</v>
      </c>
      <c r="M8" s="39"/>
      <c r="N8" s="39"/>
      <c r="O8" s="39"/>
      <c r="P8" s="39"/>
      <c r="Q8" s="39"/>
      <c r="R8" s="76"/>
      <c r="S8" s="13"/>
      <c r="T8" s="77" t="s">
        <v>70</v>
      </c>
      <c r="U8" s="78">
        <f>IFERROR(COUNTIF(H36:H311,T8),"")</f>
        <v>0</v>
      </c>
      <c r="V8" s="39"/>
    </row>
    <row r="9">
      <c r="A9" s="13"/>
      <c r="B9" s="80" t="s">
        <v>72</v>
      </c>
      <c r="C9" s="81">
        <f>iferror(SUM(C7/C6),"")</f>
        <v>0.2903225806</v>
      </c>
      <c r="D9" s="12"/>
      <c r="E9" s="262" t="s">
        <v>2832</v>
      </c>
      <c r="F9" s="235">
        <f>IFERROR(COUNTIFS(H14:H312, "Håndværker"),"")/C6</f>
        <v>0.6774193548</v>
      </c>
      <c r="H9" s="46" t="s">
        <v>73</v>
      </c>
      <c r="I9" s="47">
        <f>IFERROR(COUNTIFS(I14:I312, "Cancelled"),"")</f>
        <v>0</v>
      </c>
      <c r="J9" s="13"/>
      <c r="K9" s="48" t="s">
        <v>24</v>
      </c>
      <c r="L9" s="67">
        <f>IFERROR(sum(I2:I5),"")</f>
        <v>31</v>
      </c>
      <c r="M9" s="39"/>
      <c r="N9" s="39"/>
      <c r="O9" s="39"/>
      <c r="P9" s="39"/>
      <c r="Q9" s="39"/>
      <c r="R9" s="76"/>
      <c r="S9" s="39"/>
      <c r="T9" s="39"/>
      <c r="U9" s="39"/>
      <c r="V9" s="39"/>
    </row>
    <row r="10">
      <c r="A10" s="39"/>
      <c r="B10" s="82"/>
      <c r="C10" s="83"/>
      <c r="D10" s="13"/>
      <c r="E10" s="263" t="s">
        <v>2833</v>
      </c>
      <c r="F10" s="235">
        <f>IFERROR(COUNTIFS(H14:H313, "Ikkehåndværker"),"")/C6</f>
        <v>0.3870967742</v>
      </c>
      <c r="H10" s="84" t="s">
        <v>74</v>
      </c>
      <c r="I10" s="85">
        <f>IFERROR(COUNTIFS(I14:I312, "No-Show"),"")</f>
        <v>7</v>
      </c>
      <c r="J10" s="13"/>
      <c r="K10" s="86" t="s">
        <v>75</v>
      </c>
      <c r="L10" s="87">
        <f>I2+I3</f>
        <v>9</v>
      </c>
      <c r="M10" s="39"/>
      <c r="N10" s="39"/>
      <c r="O10" s="39"/>
      <c r="P10" s="39"/>
      <c r="Q10" s="39"/>
      <c r="R10" s="76"/>
      <c r="S10" s="39"/>
      <c r="T10" s="39"/>
      <c r="U10" s="39"/>
      <c r="V10" s="39"/>
    </row>
    <row r="11" ht="6.0" customHeight="1">
      <c r="A11" s="39"/>
      <c r="B11" s="39"/>
      <c r="C11" s="39"/>
      <c r="D11" s="39"/>
      <c r="E11" s="39"/>
      <c r="F11" s="39"/>
      <c r="G11" s="39"/>
      <c r="H11" s="39"/>
      <c r="I11" s="39"/>
      <c r="J11" s="39"/>
      <c r="K11" s="39"/>
      <c r="L11" s="39"/>
      <c r="M11" s="39"/>
      <c r="N11" s="39"/>
      <c r="O11" s="76"/>
      <c r="P11" s="39"/>
      <c r="Q11" s="39"/>
      <c r="R11" s="39"/>
      <c r="S11" s="39"/>
      <c r="T11" s="39"/>
      <c r="V11" s="39"/>
    </row>
    <row r="12">
      <c r="A12" s="39"/>
      <c r="B12" s="88" t="s">
        <v>76</v>
      </c>
      <c r="C12" s="88" t="s">
        <v>32</v>
      </c>
      <c r="D12" s="39"/>
      <c r="E12" s="6" t="s">
        <v>77</v>
      </c>
      <c r="F12" s="89" t="s">
        <v>78</v>
      </c>
      <c r="G12" s="39"/>
      <c r="H12" s="6" t="s">
        <v>37</v>
      </c>
      <c r="I12" s="6" t="s">
        <v>33</v>
      </c>
      <c r="J12" s="39"/>
      <c r="K12" s="6" t="s">
        <v>79</v>
      </c>
      <c r="L12" s="6" t="s">
        <v>48</v>
      </c>
      <c r="M12" s="39"/>
      <c r="N12" s="6" t="s">
        <v>80</v>
      </c>
      <c r="O12" s="90" t="s">
        <v>81</v>
      </c>
      <c r="P12" s="39"/>
      <c r="Q12" s="6" t="s">
        <v>82</v>
      </c>
      <c r="R12" s="6" t="s">
        <v>83</v>
      </c>
      <c r="S12" s="6" t="s">
        <v>84</v>
      </c>
      <c r="T12" s="6" t="s">
        <v>85</v>
      </c>
      <c r="V12" s="58"/>
    </row>
    <row r="13" ht="15.75" customHeight="1">
      <c r="A13" s="91"/>
      <c r="B13" s="93">
        <v>1.0</v>
      </c>
      <c r="C13" s="97" t="s">
        <v>999</v>
      </c>
      <c r="D13" s="94"/>
      <c r="E13" s="139" t="s">
        <v>1000</v>
      </c>
      <c r="F13" s="139" t="s">
        <v>2825</v>
      </c>
      <c r="G13" s="94"/>
      <c r="H13" s="93" t="s">
        <v>2834</v>
      </c>
      <c r="I13" s="102" t="s">
        <v>181</v>
      </c>
      <c r="J13" s="94"/>
      <c r="K13" s="202">
        <v>10500.0</v>
      </c>
      <c r="L13" s="98">
        <v>3000.0</v>
      </c>
      <c r="M13" s="99"/>
      <c r="N13" s="111"/>
      <c r="O13" s="101"/>
      <c r="P13" s="94"/>
      <c r="Q13" s="102">
        <v>6.0</v>
      </c>
      <c r="R13" s="106"/>
      <c r="S13" s="102" t="s">
        <v>105</v>
      </c>
      <c r="T13" s="102" t="s">
        <v>2826</v>
      </c>
      <c r="V13" s="104"/>
    </row>
    <row r="14" ht="15.75" customHeight="1">
      <c r="A14" s="91"/>
      <c r="B14" s="93">
        <v>2.0</v>
      </c>
      <c r="C14" s="93" t="s">
        <v>262</v>
      </c>
      <c r="D14" s="102"/>
      <c r="E14" s="139" t="s">
        <v>2835</v>
      </c>
      <c r="F14" s="139" t="s">
        <v>2836</v>
      </c>
      <c r="G14" s="94"/>
      <c r="H14" s="93"/>
      <c r="I14" s="102" t="s">
        <v>131</v>
      </c>
      <c r="J14" s="94"/>
      <c r="K14" s="98"/>
      <c r="L14" s="98"/>
      <c r="M14" s="99"/>
      <c r="N14" s="100"/>
      <c r="O14" s="101"/>
      <c r="P14" s="94"/>
      <c r="Q14" s="102"/>
      <c r="R14" s="113"/>
      <c r="S14" s="102"/>
      <c r="T14" s="201"/>
      <c r="V14" s="104"/>
    </row>
    <row r="15" ht="15.75" customHeight="1">
      <c r="A15" s="91"/>
      <c r="B15" s="93">
        <v>2.0</v>
      </c>
      <c r="C15" s="93" t="s">
        <v>360</v>
      </c>
      <c r="D15" s="94"/>
      <c r="E15" s="139" t="s">
        <v>2837</v>
      </c>
      <c r="F15" s="238" t="s">
        <v>2838</v>
      </c>
      <c r="G15" s="94"/>
      <c r="H15" s="93" t="s">
        <v>2834</v>
      </c>
      <c r="I15" s="102" t="s">
        <v>181</v>
      </c>
      <c r="J15" s="94"/>
      <c r="K15" s="98">
        <v>6000.0</v>
      </c>
      <c r="L15" s="98">
        <v>3000.0</v>
      </c>
      <c r="M15" s="99"/>
      <c r="N15" s="100"/>
      <c r="O15" s="101"/>
      <c r="P15" s="94"/>
      <c r="Q15" s="102">
        <v>4.0</v>
      </c>
      <c r="R15" s="113"/>
      <c r="S15" s="102" t="s">
        <v>105</v>
      </c>
      <c r="T15" s="201"/>
      <c r="V15" s="104"/>
    </row>
    <row r="16" ht="15.75" customHeight="1">
      <c r="A16" s="91"/>
      <c r="B16" s="93">
        <v>2.0</v>
      </c>
      <c r="C16" s="201" t="s">
        <v>410</v>
      </c>
      <c r="D16" s="199"/>
      <c r="E16" s="139" t="s">
        <v>2839</v>
      </c>
      <c r="F16" s="139" t="s">
        <v>2840</v>
      </c>
      <c r="G16" s="199"/>
      <c r="H16" s="93" t="s">
        <v>2841</v>
      </c>
      <c r="I16" s="201" t="s">
        <v>181</v>
      </c>
      <c r="J16" s="199"/>
      <c r="K16" s="202">
        <v>10500.0</v>
      </c>
      <c r="L16" s="98">
        <v>3000.0</v>
      </c>
      <c r="M16" s="203"/>
      <c r="N16" s="210"/>
      <c r="O16" s="211"/>
      <c r="P16" s="199"/>
      <c r="Q16" s="201">
        <v>6.0</v>
      </c>
      <c r="R16" s="206"/>
      <c r="S16" s="201" t="s">
        <v>105</v>
      </c>
      <c r="T16" s="201"/>
      <c r="V16" s="104"/>
    </row>
    <row r="17" ht="15.75" customHeight="1">
      <c r="A17" s="91"/>
      <c r="B17" s="93">
        <v>2.0</v>
      </c>
      <c r="C17" s="201" t="s">
        <v>322</v>
      </c>
      <c r="D17" s="199"/>
      <c r="E17" s="139" t="s">
        <v>2842</v>
      </c>
      <c r="F17" s="139" t="s">
        <v>2843</v>
      </c>
      <c r="G17" s="199"/>
      <c r="H17" s="93" t="s">
        <v>2834</v>
      </c>
      <c r="I17" s="201" t="s">
        <v>88</v>
      </c>
      <c r="J17" s="199"/>
      <c r="K17" s="202"/>
      <c r="L17" s="202"/>
      <c r="M17" s="203"/>
      <c r="N17" s="210" t="s">
        <v>98</v>
      </c>
      <c r="O17" s="211" t="s">
        <v>1295</v>
      </c>
      <c r="P17" s="199"/>
      <c r="Q17" s="201"/>
      <c r="R17" s="206"/>
      <c r="S17" s="201" t="s">
        <v>124</v>
      </c>
      <c r="T17" s="201" t="s">
        <v>2844</v>
      </c>
      <c r="V17" s="104"/>
    </row>
    <row r="18" ht="15.75" customHeight="1">
      <c r="A18" s="91"/>
      <c r="B18" s="93">
        <v>2.0</v>
      </c>
      <c r="C18" s="201" t="s">
        <v>616</v>
      </c>
      <c r="D18" s="199"/>
      <c r="E18" s="139" t="s">
        <v>2845</v>
      </c>
      <c r="F18" s="139" t="s">
        <v>2846</v>
      </c>
      <c r="G18" s="199"/>
      <c r="H18" s="93" t="s">
        <v>2841</v>
      </c>
      <c r="I18" s="201" t="s">
        <v>88</v>
      </c>
      <c r="J18" s="199"/>
      <c r="K18" s="202"/>
      <c r="L18" s="202"/>
      <c r="M18" s="203"/>
      <c r="N18" s="210" t="s">
        <v>98</v>
      </c>
      <c r="O18" s="211" t="s">
        <v>1295</v>
      </c>
      <c r="P18" s="199"/>
      <c r="Q18" s="201"/>
      <c r="R18" s="206"/>
      <c r="S18" s="201" t="s">
        <v>90</v>
      </c>
      <c r="T18" s="201" t="s">
        <v>2847</v>
      </c>
      <c r="V18" s="104"/>
    </row>
    <row r="19" ht="15.75" customHeight="1">
      <c r="A19" s="91"/>
      <c r="B19" s="93">
        <v>2.0</v>
      </c>
      <c r="C19" s="201" t="s">
        <v>2848</v>
      </c>
      <c r="D19" s="199"/>
      <c r="E19" s="139" t="s">
        <v>2849</v>
      </c>
      <c r="F19" s="139" t="s">
        <v>2850</v>
      </c>
      <c r="G19" s="199"/>
      <c r="H19" s="93" t="s">
        <v>2834</v>
      </c>
      <c r="I19" s="201" t="s">
        <v>232</v>
      </c>
      <c r="J19" s="199"/>
      <c r="K19" s="202"/>
      <c r="L19" s="202">
        <v>500.0</v>
      </c>
      <c r="M19" s="203"/>
      <c r="N19" s="210"/>
      <c r="O19" s="205"/>
      <c r="P19" s="199"/>
      <c r="Q19" s="201"/>
      <c r="R19" s="206"/>
      <c r="S19" s="201" t="s">
        <v>404</v>
      </c>
      <c r="T19" s="201" t="s">
        <v>2851</v>
      </c>
      <c r="V19" s="104"/>
    </row>
    <row r="20" ht="15.75" customHeight="1">
      <c r="A20" s="91"/>
      <c r="B20" s="93">
        <v>3.0</v>
      </c>
      <c r="C20" s="201" t="s">
        <v>616</v>
      </c>
      <c r="D20" s="199"/>
      <c r="E20" s="139" t="s">
        <v>2852</v>
      </c>
      <c r="F20" s="139" t="s">
        <v>2853</v>
      </c>
      <c r="G20" s="199"/>
      <c r="H20" s="93" t="s">
        <v>2834</v>
      </c>
      <c r="I20" s="201" t="s">
        <v>88</v>
      </c>
      <c r="J20" s="199"/>
      <c r="K20" s="202"/>
      <c r="L20" s="202"/>
      <c r="M20" s="203"/>
      <c r="N20" s="210" t="s">
        <v>98</v>
      </c>
      <c r="O20" s="211" t="s">
        <v>2854</v>
      </c>
      <c r="P20" s="199"/>
      <c r="Q20" s="201"/>
      <c r="R20" s="206"/>
      <c r="S20" s="201" t="s">
        <v>90</v>
      </c>
      <c r="T20" s="201" t="s">
        <v>2855</v>
      </c>
      <c r="V20" s="104"/>
    </row>
    <row r="21" ht="15.75" customHeight="1">
      <c r="A21" s="91"/>
      <c r="B21" s="93">
        <v>3.0</v>
      </c>
      <c r="C21" s="201" t="s">
        <v>1979</v>
      </c>
      <c r="D21" s="199"/>
      <c r="E21" s="139" t="s">
        <v>2856</v>
      </c>
      <c r="F21" s="139" t="s">
        <v>2857</v>
      </c>
      <c r="G21" s="199"/>
      <c r="H21" s="93" t="s">
        <v>2834</v>
      </c>
      <c r="I21" s="201" t="s">
        <v>181</v>
      </c>
      <c r="J21" s="199"/>
      <c r="K21" s="202">
        <v>7500.0</v>
      </c>
      <c r="L21" s="202">
        <v>2500.0</v>
      </c>
      <c r="M21" s="202"/>
      <c r="N21" s="210"/>
      <c r="O21" s="211"/>
      <c r="P21" s="199"/>
      <c r="Q21" s="201">
        <v>6.0</v>
      </c>
      <c r="R21" s="206"/>
      <c r="S21" s="201" t="s">
        <v>105</v>
      </c>
      <c r="T21" s="201"/>
      <c r="V21" s="104"/>
    </row>
    <row r="22" ht="15.75" customHeight="1">
      <c r="A22" s="91"/>
      <c r="B22" s="93">
        <v>3.0</v>
      </c>
      <c r="C22" s="201" t="s">
        <v>2178</v>
      </c>
      <c r="D22" s="199"/>
      <c r="E22" s="139" t="s">
        <v>2858</v>
      </c>
      <c r="F22" s="139" t="s">
        <v>2859</v>
      </c>
      <c r="G22" s="199"/>
      <c r="H22" s="93" t="s">
        <v>2834</v>
      </c>
      <c r="I22" s="201" t="s">
        <v>103</v>
      </c>
      <c r="J22" s="199"/>
      <c r="K22" s="202">
        <v>6000.0</v>
      </c>
      <c r="L22" s="202">
        <v>6000.0</v>
      </c>
      <c r="M22" s="203"/>
      <c r="N22" s="210"/>
      <c r="O22" s="211"/>
      <c r="P22" s="199"/>
      <c r="Q22" s="201">
        <v>4.0</v>
      </c>
      <c r="R22" s="206"/>
      <c r="S22" s="201" t="s">
        <v>105</v>
      </c>
      <c r="T22" s="201"/>
      <c r="V22" s="104"/>
    </row>
    <row r="23" ht="15.75" customHeight="1">
      <c r="A23" s="91"/>
      <c r="B23" s="93">
        <v>5.0</v>
      </c>
      <c r="C23" s="201" t="s">
        <v>393</v>
      </c>
      <c r="D23" s="199"/>
      <c r="E23" s="139" t="s">
        <v>2860</v>
      </c>
      <c r="F23" s="139" t="s">
        <v>2861</v>
      </c>
      <c r="G23" s="199"/>
      <c r="H23" s="93"/>
      <c r="I23" s="201" t="s">
        <v>131</v>
      </c>
      <c r="J23" s="199"/>
      <c r="K23" s="202"/>
      <c r="L23" s="202"/>
      <c r="M23" s="203"/>
      <c r="N23" s="210"/>
      <c r="O23" s="205"/>
      <c r="P23" s="199"/>
      <c r="Q23" s="201"/>
      <c r="R23" s="206"/>
      <c r="S23" s="201"/>
      <c r="T23" s="201"/>
      <c r="V23" s="104"/>
    </row>
    <row r="24" ht="15.75" customHeight="1">
      <c r="A24" s="91"/>
      <c r="B24" s="93">
        <v>6.0</v>
      </c>
      <c r="C24" s="201" t="s">
        <v>772</v>
      </c>
      <c r="D24" s="199"/>
      <c r="E24" s="139" t="s">
        <v>2862</v>
      </c>
      <c r="F24" s="139" t="s">
        <v>2863</v>
      </c>
      <c r="G24" s="199"/>
      <c r="H24" s="93" t="s">
        <v>2841</v>
      </c>
      <c r="I24" s="201" t="s">
        <v>181</v>
      </c>
      <c r="J24" s="199"/>
      <c r="K24" s="202">
        <v>10500.0</v>
      </c>
      <c r="L24" s="98">
        <v>3000.0</v>
      </c>
      <c r="M24" s="203"/>
      <c r="N24" s="210"/>
      <c r="O24" s="211"/>
      <c r="P24" s="199"/>
      <c r="Q24" s="201">
        <v>6.0</v>
      </c>
      <c r="R24" s="206"/>
      <c r="S24" s="201" t="s">
        <v>105</v>
      </c>
      <c r="T24" s="201"/>
      <c r="V24" s="104"/>
    </row>
    <row r="25" ht="15.75" customHeight="1">
      <c r="A25" s="91"/>
      <c r="B25" s="93">
        <v>7.0</v>
      </c>
      <c r="C25" s="201" t="s">
        <v>559</v>
      </c>
      <c r="D25" s="199"/>
      <c r="E25" s="139" t="s">
        <v>2864</v>
      </c>
      <c r="F25" s="139" t="s">
        <v>2865</v>
      </c>
      <c r="G25" s="199"/>
      <c r="H25" s="93" t="s">
        <v>2834</v>
      </c>
      <c r="I25" s="201" t="s">
        <v>88</v>
      </c>
      <c r="J25" s="199"/>
      <c r="K25" s="202"/>
      <c r="L25" s="202"/>
      <c r="M25" s="203"/>
      <c r="N25" s="210" t="s">
        <v>65</v>
      </c>
      <c r="O25" s="211" t="s">
        <v>2866</v>
      </c>
      <c r="P25" s="199"/>
      <c r="Q25" s="201"/>
      <c r="R25" s="206"/>
      <c r="S25" s="201" t="s">
        <v>90</v>
      </c>
      <c r="T25" s="201" t="s">
        <v>2867</v>
      </c>
      <c r="V25" s="104"/>
    </row>
    <row r="26" ht="15.75" customHeight="1">
      <c r="A26" s="91"/>
      <c r="B26" s="93">
        <v>8.0</v>
      </c>
      <c r="C26" s="201" t="s">
        <v>1346</v>
      </c>
      <c r="D26" s="199"/>
      <c r="E26" s="139" t="s">
        <v>2868</v>
      </c>
      <c r="F26" s="139" t="s">
        <v>2869</v>
      </c>
      <c r="G26" s="199"/>
      <c r="H26" s="93"/>
      <c r="I26" s="201" t="s">
        <v>131</v>
      </c>
      <c r="J26" s="199"/>
      <c r="K26" s="202"/>
      <c r="L26" s="202"/>
      <c r="M26" s="203"/>
      <c r="N26" s="210"/>
      <c r="O26" s="211"/>
      <c r="P26" s="199"/>
      <c r="Q26" s="201"/>
      <c r="R26" s="206"/>
      <c r="S26" s="201"/>
      <c r="T26" s="201"/>
      <c r="V26" s="104"/>
    </row>
    <row r="27" ht="15.75" customHeight="1">
      <c r="A27" s="91"/>
      <c r="B27" s="93">
        <v>8.0</v>
      </c>
      <c r="C27" s="201" t="s">
        <v>597</v>
      </c>
      <c r="D27" s="199"/>
      <c r="E27" s="139" t="s">
        <v>2870</v>
      </c>
      <c r="F27" s="139" t="s">
        <v>2871</v>
      </c>
      <c r="G27" s="199"/>
      <c r="H27" s="93" t="s">
        <v>2834</v>
      </c>
      <c r="I27" s="201" t="s">
        <v>88</v>
      </c>
      <c r="J27" s="199"/>
      <c r="K27" s="202"/>
      <c r="L27" s="202"/>
      <c r="M27" s="203"/>
      <c r="N27" s="210" t="s">
        <v>45</v>
      </c>
      <c r="O27" s="211" t="s">
        <v>396</v>
      </c>
      <c r="P27" s="199"/>
      <c r="Q27" s="201"/>
      <c r="R27" s="206"/>
      <c r="S27" s="201" t="s">
        <v>90</v>
      </c>
      <c r="T27" s="201" t="s">
        <v>2872</v>
      </c>
      <c r="V27" s="104"/>
    </row>
    <row r="28" ht="15.75" customHeight="1">
      <c r="A28" s="91"/>
      <c r="B28" s="93">
        <v>9.0</v>
      </c>
      <c r="C28" s="201" t="s">
        <v>772</v>
      </c>
      <c r="D28" s="199"/>
      <c r="E28" s="139" t="s">
        <v>2873</v>
      </c>
      <c r="F28" s="139" t="s">
        <v>2874</v>
      </c>
      <c r="G28" s="199"/>
      <c r="H28" s="93" t="s">
        <v>2834</v>
      </c>
      <c r="I28" s="201" t="s">
        <v>88</v>
      </c>
      <c r="J28" s="199"/>
      <c r="K28" s="202"/>
      <c r="L28" s="202"/>
      <c r="M28" s="203"/>
      <c r="N28" s="210" t="s">
        <v>98</v>
      </c>
      <c r="O28" s="211" t="s">
        <v>2875</v>
      </c>
      <c r="P28" s="199"/>
      <c r="Q28" s="201"/>
      <c r="R28" s="206"/>
      <c r="S28" s="201" t="s">
        <v>383</v>
      </c>
      <c r="T28" s="201" t="s">
        <v>2876</v>
      </c>
      <c r="V28" s="104"/>
    </row>
    <row r="29" ht="15.75" customHeight="1">
      <c r="A29" s="91"/>
      <c r="B29" s="93">
        <v>10.0</v>
      </c>
      <c r="C29" s="201" t="s">
        <v>2877</v>
      </c>
      <c r="D29" s="199"/>
      <c r="E29" s="139" t="s">
        <v>2878</v>
      </c>
      <c r="F29" s="238" t="s">
        <v>2879</v>
      </c>
      <c r="G29" s="199"/>
      <c r="H29" s="93"/>
      <c r="I29" s="201" t="s">
        <v>131</v>
      </c>
      <c r="J29" s="199"/>
      <c r="K29" s="202"/>
      <c r="L29" s="202"/>
      <c r="M29" s="203"/>
      <c r="N29" s="210"/>
      <c r="O29" s="211"/>
      <c r="P29" s="199"/>
      <c r="Q29" s="201"/>
      <c r="R29" s="206"/>
      <c r="S29" s="201"/>
      <c r="T29" s="201"/>
      <c r="V29" s="104"/>
    </row>
    <row r="30" ht="15.75" customHeight="1">
      <c r="A30" s="91"/>
      <c r="B30" s="93">
        <v>10.0</v>
      </c>
      <c r="C30" s="201" t="s">
        <v>410</v>
      </c>
      <c r="D30" s="199"/>
      <c r="E30" s="139" t="s">
        <v>2880</v>
      </c>
      <c r="F30" s="139" t="s">
        <v>2881</v>
      </c>
      <c r="G30" s="199"/>
      <c r="H30" s="93" t="s">
        <v>2841</v>
      </c>
      <c r="I30" s="201" t="s">
        <v>181</v>
      </c>
      <c r="J30" s="199"/>
      <c r="K30" s="202">
        <v>10500.0</v>
      </c>
      <c r="L30" s="98">
        <v>3000.0</v>
      </c>
      <c r="M30" s="203"/>
      <c r="N30" s="210"/>
      <c r="O30" s="205"/>
      <c r="P30" s="199"/>
      <c r="Q30" s="201">
        <v>6.0</v>
      </c>
      <c r="R30" s="206"/>
      <c r="S30" s="201" t="s">
        <v>105</v>
      </c>
      <c r="T30" s="201"/>
      <c r="V30" s="104"/>
    </row>
    <row r="31" ht="15.75" customHeight="1">
      <c r="A31" s="91"/>
      <c r="B31" s="93">
        <v>11.0</v>
      </c>
      <c r="C31" s="201" t="s">
        <v>616</v>
      </c>
      <c r="D31" s="199"/>
      <c r="E31" s="139" t="s">
        <v>2882</v>
      </c>
      <c r="F31" s="139" t="s">
        <v>2883</v>
      </c>
      <c r="G31" s="199"/>
      <c r="H31" s="93" t="s">
        <v>2834</v>
      </c>
      <c r="I31" s="201" t="s">
        <v>88</v>
      </c>
      <c r="J31" s="199"/>
      <c r="K31" s="202"/>
      <c r="L31" s="202"/>
      <c r="M31" s="203"/>
      <c r="N31" s="210" t="s">
        <v>45</v>
      </c>
      <c r="O31" s="211" t="s">
        <v>396</v>
      </c>
      <c r="P31" s="199"/>
      <c r="Q31" s="201"/>
      <c r="R31" s="206"/>
      <c r="S31" s="201" t="s">
        <v>383</v>
      </c>
      <c r="T31" s="201" t="s">
        <v>2884</v>
      </c>
      <c r="V31" s="104"/>
    </row>
    <row r="32" ht="15.75" customHeight="1">
      <c r="A32" s="91"/>
      <c r="B32" s="93">
        <v>13.0</v>
      </c>
      <c r="C32" s="97" t="s">
        <v>1971</v>
      </c>
      <c r="D32" s="199"/>
      <c r="E32" s="139" t="s">
        <v>2885</v>
      </c>
      <c r="F32" s="139" t="s">
        <v>2886</v>
      </c>
      <c r="G32" s="199"/>
      <c r="H32" s="93" t="s">
        <v>2841</v>
      </c>
      <c r="I32" s="201" t="s">
        <v>103</v>
      </c>
      <c r="J32" s="199"/>
      <c r="K32" s="202">
        <v>4500.0</v>
      </c>
      <c r="L32" s="202">
        <v>4500.0</v>
      </c>
      <c r="M32" s="203"/>
      <c r="N32" s="210"/>
      <c r="O32" s="205"/>
      <c r="P32" s="199"/>
      <c r="Q32" s="201">
        <v>3.0</v>
      </c>
      <c r="R32" s="206"/>
      <c r="S32" s="201" t="s">
        <v>105</v>
      </c>
      <c r="T32" s="201"/>
      <c r="V32" s="104"/>
    </row>
    <row r="33" ht="15.75" customHeight="1">
      <c r="A33" s="91"/>
      <c r="B33" s="93">
        <v>15.0</v>
      </c>
      <c r="C33" s="97" t="s">
        <v>999</v>
      </c>
      <c r="D33" s="199"/>
      <c r="E33" s="139" t="s">
        <v>2887</v>
      </c>
      <c r="F33" s="139" t="s">
        <v>2888</v>
      </c>
      <c r="G33" s="199"/>
      <c r="H33" s="93" t="s">
        <v>2834</v>
      </c>
      <c r="I33" s="201" t="s">
        <v>232</v>
      </c>
      <c r="J33" s="199"/>
      <c r="K33" s="202"/>
      <c r="L33" s="202">
        <v>500.0</v>
      </c>
      <c r="M33" s="203"/>
      <c r="N33" s="210"/>
      <c r="O33" s="211"/>
      <c r="P33" s="199"/>
      <c r="Q33" s="201"/>
      <c r="R33" s="206"/>
      <c r="S33" s="201" t="s">
        <v>404</v>
      </c>
      <c r="T33" s="201" t="s">
        <v>2889</v>
      </c>
      <c r="V33" s="104"/>
    </row>
    <row r="34" ht="15.75" customHeight="1">
      <c r="A34" s="91"/>
      <c r="B34" s="198">
        <v>15.0</v>
      </c>
      <c r="C34" s="97" t="s">
        <v>2890</v>
      </c>
      <c r="D34" s="199"/>
      <c r="E34" s="139" t="s">
        <v>2891</v>
      </c>
      <c r="F34" s="139" t="s">
        <v>2892</v>
      </c>
      <c r="G34" s="199"/>
      <c r="H34" s="93" t="s">
        <v>2834</v>
      </c>
      <c r="I34" s="201" t="s">
        <v>103</v>
      </c>
      <c r="J34" s="199"/>
      <c r="K34" s="202">
        <v>9000.0</v>
      </c>
      <c r="L34" s="202">
        <v>9000.0</v>
      </c>
      <c r="M34" s="203"/>
      <c r="N34" s="210"/>
      <c r="O34" s="211"/>
      <c r="P34" s="199"/>
      <c r="Q34" s="201">
        <v>6.0</v>
      </c>
      <c r="R34" s="206"/>
      <c r="S34" s="201" t="s">
        <v>105</v>
      </c>
      <c r="T34" s="201"/>
      <c r="V34" s="104"/>
    </row>
    <row r="35" ht="15.75" customHeight="1">
      <c r="A35" s="91"/>
      <c r="B35" s="198">
        <v>17.0</v>
      </c>
      <c r="C35" s="97" t="s">
        <v>894</v>
      </c>
      <c r="D35" s="199"/>
      <c r="E35" s="139" t="s">
        <v>2893</v>
      </c>
      <c r="F35" s="139" t="s">
        <v>2894</v>
      </c>
      <c r="G35" s="199"/>
      <c r="H35" s="93" t="s">
        <v>2834</v>
      </c>
      <c r="I35" s="201" t="s">
        <v>88</v>
      </c>
      <c r="J35" s="201"/>
      <c r="K35" s="202"/>
      <c r="L35" s="202"/>
      <c r="M35" s="203"/>
      <c r="N35" s="210" t="s">
        <v>45</v>
      </c>
      <c r="O35" s="211" t="s">
        <v>486</v>
      </c>
      <c r="P35" s="199"/>
      <c r="Q35" s="201"/>
      <c r="R35" s="206"/>
      <c r="S35" s="201" t="s">
        <v>383</v>
      </c>
      <c r="T35" s="201" t="s">
        <v>2895</v>
      </c>
      <c r="V35" s="104"/>
    </row>
    <row r="36" ht="15.75" customHeight="1">
      <c r="A36" s="91"/>
      <c r="B36" s="198">
        <v>17.0</v>
      </c>
      <c r="C36" s="97" t="s">
        <v>777</v>
      </c>
      <c r="D36" s="199"/>
      <c r="E36" s="139" t="s">
        <v>2896</v>
      </c>
      <c r="F36" s="139" t="s">
        <v>2897</v>
      </c>
      <c r="G36" s="199"/>
      <c r="H36" s="93" t="s">
        <v>2834</v>
      </c>
      <c r="I36" s="201" t="s">
        <v>88</v>
      </c>
      <c r="J36" s="199"/>
      <c r="K36" s="251"/>
      <c r="L36" s="202"/>
      <c r="M36" s="203"/>
      <c r="N36" s="210" t="s">
        <v>45</v>
      </c>
      <c r="O36" s="211" t="s">
        <v>2898</v>
      </c>
      <c r="P36" s="199"/>
      <c r="Q36" s="201"/>
      <c r="R36" s="206"/>
      <c r="S36" s="201" t="s">
        <v>383</v>
      </c>
      <c r="T36" s="201" t="s">
        <v>2899</v>
      </c>
      <c r="V36" s="104"/>
    </row>
    <row r="37" ht="15.75" customHeight="1">
      <c r="A37" s="91"/>
      <c r="B37" s="198">
        <v>17.0</v>
      </c>
      <c r="C37" s="97" t="s">
        <v>538</v>
      </c>
      <c r="D37" s="94"/>
      <c r="E37" s="139" t="s">
        <v>2900</v>
      </c>
      <c r="F37" s="139" t="s">
        <v>2901</v>
      </c>
      <c r="G37" s="94"/>
      <c r="H37" s="93" t="s">
        <v>2834</v>
      </c>
      <c r="I37" s="97" t="s">
        <v>88</v>
      </c>
      <c r="J37" s="94"/>
      <c r="K37" s="202"/>
      <c r="L37" s="202"/>
      <c r="M37" s="99"/>
      <c r="N37" s="100" t="s">
        <v>45</v>
      </c>
      <c r="O37" s="101" t="s">
        <v>396</v>
      </c>
      <c r="P37" s="94"/>
      <c r="Q37" s="201"/>
      <c r="R37" s="113"/>
      <c r="S37" s="102" t="s">
        <v>124</v>
      </c>
      <c r="T37" s="102" t="s">
        <v>2902</v>
      </c>
      <c r="V37" s="104"/>
    </row>
    <row r="38" ht="15.75" customHeight="1">
      <c r="A38" s="94"/>
      <c r="B38" s="198">
        <v>18.0</v>
      </c>
      <c r="C38" s="97" t="s">
        <v>2903</v>
      </c>
      <c r="D38" s="94"/>
      <c r="E38" s="139" t="s">
        <v>2904</v>
      </c>
      <c r="F38" s="139" t="s">
        <v>2905</v>
      </c>
      <c r="G38" s="94"/>
      <c r="H38" s="93" t="s">
        <v>2841</v>
      </c>
      <c r="I38" s="102" t="s">
        <v>88</v>
      </c>
      <c r="J38" s="94"/>
      <c r="K38" s="142"/>
      <c r="L38" s="142"/>
      <c r="M38" s="99"/>
      <c r="N38" s="100" t="s">
        <v>45</v>
      </c>
      <c r="O38" s="101" t="s">
        <v>396</v>
      </c>
      <c r="P38" s="94"/>
      <c r="Q38" s="201"/>
      <c r="R38" s="113"/>
      <c r="S38" s="102" t="s">
        <v>90</v>
      </c>
      <c r="T38" s="102" t="s">
        <v>2906</v>
      </c>
      <c r="V38" s="104"/>
    </row>
    <row r="39" ht="15.75" customHeight="1">
      <c r="A39" s="94"/>
      <c r="B39" s="198">
        <v>18.0</v>
      </c>
      <c r="C39" s="97" t="s">
        <v>727</v>
      </c>
      <c r="D39" s="94"/>
      <c r="E39" s="139" t="s">
        <v>2907</v>
      </c>
      <c r="F39" s="139" t="s">
        <v>2908</v>
      </c>
      <c r="G39" s="94"/>
      <c r="H39" s="93" t="s">
        <v>2841</v>
      </c>
      <c r="I39" s="102" t="s">
        <v>232</v>
      </c>
      <c r="J39" s="94"/>
      <c r="K39" s="202"/>
      <c r="L39" s="144"/>
      <c r="M39" s="99"/>
      <c r="N39" s="100" t="s">
        <v>45</v>
      </c>
      <c r="O39" s="101" t="s">
        <v>2909</v>
      </c>
      <c r="P39" s="94"/>
      <c r="Q39" s="201"/>
      <c r="R39" s="113"/>
      <c r="S39" s="102" t="s">
        <v>404</v>
      </c>
      <c r="T39" s="102" t="s">
        <v>2910</v>
      </c>
      <c r="V39" s="104"/>
    </row>
    <row r="40" ht="15.75" customHeight="1">
      <c r="A40" s="94"/>
      <c r="B40" s="198">
        <v>18.0</v>
      </c>
      <c r="C40" s="97" t="s">
        <v>616</v>
      </c>
      <c r="D40" s="94"/>
      <c r="E40" s="139" t="s">
        <v>2911</v>
      </c>
      <c r="F40" s="139" t="s">
        <v>2912</v>
      </c>
      <c r="G40" s="94"/>
      <c r="H40" s="93" t="s">
        <v>2834</v>
      </c>
      <c r="I40" s="102" t="s">
        <v>131</v>
      </c>
      <c r="J40" s="94"/>
      <c r="K40" s="202"/>
      <c r="L40" s="202"/>
      <c r="M40" s="99"/>
      <c r="N40" s="111"/>
      <c r="O40" s="112"/>
      <c r="P40" s="94"/>
      <c r="Q40" s="201"/>
      <c r="R40" s="113"/>
      <c r="S40" s="102"/>
      <c r="T40" s="102"/>
      <c r="V40" s="104"/>
    </row>
    <row r="41" ht="15.75" customHeight="1">
      <c r="A41" s="94"/>
      <c r="B41" s="198">
        <v>19.0</v>
      </c>
      <c r="C41" s="97" t="s">
        <v>1495</v>
      </c>
      <c r="D41" s="94"/>
      <c r="E41" s="139" t="s">
        <v>2913</v>
      </c>
      <c r="F41" s="139" t="s">
        <v>2914</v>
      </c>
      <c r="G41" s="94"/>
      <c r="H41" s="93" t="s">
        <v>2834</v>
      </c>
      <c r="I41" s="102" t="s">
        <v>131</v>
      </c>
      <c r="J41" s="94"/>
      <c r="K41" s="202"/>
      <c r="L41" s="202"/>
      <c r="M41" s="99"/>
      <c r="N41" s="111"/>
      <c r="O41" s="112"/>
      <c r="P41" s="94"/>
      <c r="Q41" s="102"/>
      <c r="R41" s="113"/>
      <c r="S41" s="102"/>
      <c r="T41" s="102"/>
      <c r="V41" s="104"/>
    </row>
    <row r="42" ht="15.75" customHeight="1">
      <c r="A42" s="94"/>
      <c r="B42" s="198">
        <v>20.0</v>
      </c>
      <c r="C42" s="97" t="s">
        <v>2915</v>
      </c>
      <c r="D42" s="94"/>
      <c r="E42" s="139" t="s">
        <v>2916</v>
      </c>
      <c r="F42" s="249" t="s">
        <v>2917</v>
      </c>
      <c r="G42" s="94"/>
      <c r="H42" s="93" t="s">
        <v>2841</v>
      </c>
      <c r="I42" s="102" t="s">
        <v>232</v>
      </c>
      <c r="J42" s="94"/>
      <c r="K42" s="202"/>
      <c r="L42" s="202"/>
      <c r="M42" s="99"/>
      <c r="N42" s="100" t="s">
        <v>45</v>
      </c>
      <c r="O42" s="101" t="s">
        <v>2918</v>
      </c>
      <c r="P42" s="94"/>
      <c r="Q42" s="102"/>
      <c r="R42" s="113"/>
      <c r="S42" s="102" t="s">
        <v>404</v>
      </c>
      <c r="T42" s="102" t="s">
        <v>2919</v>
      </c>
      <c r="V42" s="104"/>
    </row>
    <row r="43" ht="15.75" customHeight="1">
      <c r="A43" s="94"/>
      <c r="B43" s="198">
        <v>21.0</v>
      </c>
      <c r="C43" s="97" t="s">
        <v>2145</v>
      </c>
      <c r="D43" s="94"/>
      <c r="E43" s="139" t="s">
        <v>2920</v>
      </c>
      <c r="F43" s="139" t="s">
        <v>2921</v>
      </c>
      <c r="G43" s="94"/>
      <c r="H43" s="93" t="s">
        <v>2841</v>
      </c>
      <c r="I43" s="102" t="s">
        <v>181</v>
      </c>
      <c r="J43" s="94"/>
      <c r="K43" s="202">
        <v>10500.0</v>
      </c>
      <c r="L43" s="98">
        <v>3000.0</v>
      </c>
      <c r="M43" s="99"/>
      <c r="N43" s="100"/>
      <c r="O43" s="101"/>
      <c r="P43" s="94"/>
      <c r="Q43" s="102">
        <v>6.0</v>
      </c>
      <c r="R43" s="113"/>
      <c r="S43" s="102" t="s">
        <v>105</v>
      </c>
      <c r="T43" s="102"/>
      <c r="V43" s="104"/>
    </row>
    <row r="44" ht="15.75" customHeight="1">
      <c r="A44" s="94"/>
      <c r="B44" s="198">
        <v>22.0</v>
      </c>
      <c r="C44" s="97" t="s">
        <v>777</v>
      </c>
      <c r="D44" s="94"/>
      <c r="E44" s="139" t="s">
        <v>2922</v>
      </c>
      <c r="F44" s="139" t="s">
        <v>2923</v>
      </c>
      <c r="G44" s="94"/>
      <c r="H44" s="93" t="s">
        <v>2841</v>
      </c>
      <c r="I44" s="102" t="s">
        <v>88</v>
      </c>
      <c r="J44" s="94"/>
      <c r="K44" s="202"/>
      <c r="L44" s="202"/>
      <c r="M44" s="99"/>
      <c r="N44" s="100" t="s">
        <v>55</v>
      </c>
      <c r="O44" s="101" t="s">
        <v>1503</v>
      </c>
      <c r="P44" s="94"/>
      <c r="Q44" s="102"/>
      <c r="R44" s="113"/>
      <c r="S44" s="102" t="s">
        <v>383</v>
      </c>
      <c r="T44" s="102" t="s">
        <v>2924</v>
      </c>
      <c r="V44" s="104"/>
    </row>
    <row r="45" ht="15.75" customHeight="1">
      <c r="A45" s="94"/>
      <c r="B45" s="198">
        <v>23.0</v>
      </c>
      <c r="C45" s="97" t="s">
        <v>979</v>
      </c>
      <c r="D45" s="94"/>
      <c r="E45" s="139" t="s">
        <v>2925</v>
      </c>
      <c r="F45" s="139" t="s">
        <v>2926</v>
      </c>
      <c r="G45" s="94"/>
      <c r="H45" s="93" t="s">
        <v>2834</v>
      </c>
      <c r="I45" s="102" t="s">
        <v>232</v>
      </c>
      <c r="J45" s="94"/>
      <c r="K45" s="142"/>
      <c r="L45" s="144">
        <v>500.0</v>
      </c>
      <c r="M45" s="99"/>
      <c r="N45" s="100" t="s">
        <v>45</v>
      </c>
      <c r="O45" s="101"/>
      <c r="P45" s="94"/>
      <c r="Q45" s="102"/>
      <c r="R45" s="113"/>
      <c r="S45" s="102" t="s">
        <v>404</v>
      </c>
      <c r="T45" s="102" t="s">
        <v>2927</v>
      </c>
      <c r="V45" s="102"/>
    </row>
    <row r="46" ht="15.75" customHeight="1">
      <c r="A46" s="94"/>
      <c r="B46" s="198">
        <v>23.0</v>
      </c>
      <c r="C46" s="97" t="s">
        <v>1303</v>
      </c>
      <c r="D46" s="94"/>
      <c r="E46" s="139" t="s">
        <v>2928</v>
      </c>
      <c r="F46" s="238" t="s">
        <v>2929</v>
      </c>
      <c r="G46" s="94"/>
      <c r="H46" s="93" t="s">
        <v>2834</v>
      </c>
      <c r="I46" s="97" t="s">
        <v>232</v>
      </c>
      <c r="J46" s="94"/>
      <c r="K46" s="202"/>
      <c r="L46" s="144">
        <v>500.0</v>
      </c>
      <c r="M46" s="99"/>
      <c r="N46" s="100" t="s">
        <v>45</v>
      </c>
      <c r="O46" s="101"/>
      <c r="P46" s="94"/>
      <c r="Q46" s="102"/>
      <c r="R46" s="113"/>
      <c r="S46" s="102" t="s">
        <v>404</v>
      </c>
      <c r="T46" s="102" t="s">
        <v>2927</v>
      </c>
      <c r="V46" s="104"/>
    </row>
    <row r="47" ht="15.75" customHeight="1">
      <c r="A47" s="91"/>
      <c r="B47" s="198">
        <v>27.0</v>
      </c>
      <c r="C47" s="97" t="s">
        <v>2930</v>
      </c>
      <c r="D47" s="94"/>
      <c r="E47" s="139" t="s">
        <v>2931</v>
      </c>
      <c r="F47" s="139" t="s">
        <v>2932</v>
      </c>
      <c r="G47" s="94"/>
      <c r="H47" s="93" t="s">
        <v>2834</v>
      </c>
      <c r="I47" s="97" t="s">
        <v>232</v>
      </c>
      <c r="J47" s="94"/>
      <c r="K47" s="202"/>
      <c r="L47" s="202"/>
      <c r="M47" s="99"/>
      <c r="N47" s="100" t="s">
        <v>45</v>
      </c>
      <c r="O47" s="101"/>
      <c r="P47" s="94"/>
      <c r="Q47" s="201"/>
      <c r="R47" s="105"/>
      <c r="S47" s="102" t="s">
        <v>404</v>
      </c>
      <c r="T47" s="102" t="s">
        <v>2933</v>
      </c>
      <c r="V47" s="104"/>
    </row>
    <row r="48" ht="15.75" customHeight="1">
      <c r="A48" s="91"/>
      <c r="B48" s="198">
        <v>27.0</v>
      </c>
      <c r="C48" s="97" t="s">
        <v>2934</v>
      </c>
      <c r="D48" s="94"/>
      <c r="E48" s="139" t="s">
        <v>2935</v>
      </c>
      <c r="F48" s="139" t="s">
        <v>2936</v>
      </c>
      <c r="G48" s="94"/>
      <c r="H48" s="93" t="s">
        <v>2841</v>
      </c>
      <c r="I48" s="97" t="s">
        <v>88</v>
      </c>
      <c r="J48" s="94"/>
      <c r="K48" s="202"/>
      <c r="L48" s="202"/>
      <c r="M48" s="99"/>
      <c r="N48" s="100" t="s">
        <v>60</v>
      </c>
      <c r="O48" s="101" t="s">
        <v>1950</v>
      </c>
      <c r="P48" s="94"/>
      <c r="Q48" s="102"/>
      <c r="R48" s="113"/>
      <c r="S48" s="102" t="s">
        <v>124</v>
      </c>
      <c r="T48" s="102" t="s">
        <v>2937</v>
      </c>
      <c r="V48" s="104"/>
    </row>
    <row r="49" ht="15.75" customHeight="1">
      <c r="A49" s="91"/>
      <c r="B49" s="198">
        <v>27.0</v>
      </c>
      <c r="C49" s="97" t="s">
        <v>1518</v>
      </c>
      <c r="D49" s="94"/>
      <c r="E49" s="139" t="s">
        <v>2938</v>
      </c>
      <c r="F49" s="139" t="s">
        <v>2939</v>
      </c>
      <c r="G49" s="94"/>
      <c r="H49" s="93" t="s">
        <v>2834</v>
      </c>
      <c r="I49" s="102" t="s">
        <v>88</v>
      </c>
      <c r="J49" s="94"/>
      <c r="K49" s="202"/>
      <c r="L49" s="202"/>
      <c r="M49" s="99"/>
      <c r="N49" s="100" t="s">
        <v>60</v>
      </c>
      <c r="O49" s="101" t="s">
        <v>2360</v>
      </c>
      <c r="P49" s="94"/>
      <c r="Q49" s="102"/>
      <c r="R49" s="103"/>
      <c r="S49" s="102" t="s">
        <v>90</v>
      </c>
      <c r="T49" s="102" t="s">
        <v>2940</v>
      </c>
      <c r="V49" s="104"/>
    </row>
    <row r="50" ht="15.75" customHeight="1">
      <c r="A50" s="91"/>
      <c r="B50" s="198">
        <v>28.0</v>
      </c>
      <c r="C50" s="97" t="s">
        <v>624</v>
      </c>
      <c r="D50" s="94"/>
      <c r="E50" s="139" t="s">
        <v>2941</v>
      </c>
      <c r="F50" s="139" t="s">
        <v>2942</v>
      </c>
      <c r="G50" s="94"/>
      <c r="H50" s="93"/>
      <c r="I50" s="102" t="s">
        <v>131</v>
      </c>
      <c r="J50" s="94"/>
      <c r="K50" s="108"/>
      <c r="L50" s="108"/>
      <c r="M50" s="99"/>
      <c r="N50" s="100"/>
      <c r="O50" s="101"/>
      <c r="P50" s="94"/>
      <c r="Q50" s="94"/>
      <c r="R50" s="113"/>
      <c r="S50" s="102"/>
      <c r="T50" s="102"/>
      <c r="V50" s="104"/>
    </row>
    <row r="51" ht="15.75" customHeight="1">
      <c r="A51" s="91"/>
      <c r="B51" s="198">
        <v>28.0</v>
      </c>
      <c r="C51" s="97" t="s">
        <v>2733</v>
      </c>
      <c r="D51" s="94"/>
      <c r="E51" s="139" t="s">
        <v>2943</v>
      </c>
      <c r="F51" s="139" t="s">
        <v>2944</v>
      </c>
      <c r="G51" s="94"/>
      <c r="H51" s="93" t="s">
        <v>2841</v>
      </c>
      <c r="I51" s="102" t="s">
        <v>88</v>
      </c>
      <c r="J51" s="94"/>
      <c r="K51" s="202"/>
      <c r="L51" s="202"/>
      <c r="M51" s="99"/>
      <c r="N51" s="100" t="s">
        <v>45</v>
      </c>
      <c r="O51" s="101"/>
      <c r="P51" s="94"/>
      <c r="Q51" s="102"/>
      <c r="R51" s="103"/>
      <c r="S51" s="102" t="s">
        <v>124</v>
      </c>
      <c r="T51" s="102" t="s">
        <v>2945</v>
      </c>
      <c r="V51" s="104"/>
    </row>
    <row r="52" ht="15.75" customHeight="1">
      <c r="A52" s="91"/>
      <c r="B52" s="198"/>
      <c r="C52" s="97"/>
      <c r="D52" s="94"/>
      <c r="E52" s="238"/>
      <c r="F52" s="238"/>
      <c r="G52" s="94"/>
      <c r="H52" s="93"/>
      <c r="I52" s="102"/>
      <c r="J52" s="94"/>
      <c r="K52" s="202"/>
      <c r="L52" s="202"/>
      <c r="M52" s="99"/>
      <c r="N52" s="100"/>
      <c r="O52" s="101"/>
      <c r="P52" s="94"/>
      <c r="Q52" s="102"/>
      <c r="R52" s="103"/>
      <c r="S52" s="102"/>
      <c r="T52" s="102"/>
      <c r="V52" s="104"/>
    </row>
    <row r="53" ht="15.75" customHeight="1">
      <c r="A53" s="91"/>
      <c r="B53" s="198"/>
      <c r="C53" s="97"/>
      <c r="D53" s="94"/>
      <c r="E53" s="238"/>
      <c r="F53" s="238"/>
      <c r="G53" s="94"/>
      <c r="H53" s="93"/>
      <c r="I53" s="102"/>
      <c r="J53" s="94"/>
      <c r="K53" s="98"/>
      <c r="L53" s="98"/>
      <c r="M53" s="99"/>
      <c r="N53" s="100"/>
      <c r="O53" s="101"/>
      <c r="P53" s="94"/>
      <c r="Q53" s="102"/>
      <c r="R53" s="113"/>
      <c r="S53" s="102"/>
      <c r="T53" s="102"/>
      <c r="V53" s="104"/>
    </row>
    <row r="54" ht="15.75" customHeight="1">
      <c r="A54" s="91"/>
      <c r="B54" s="198"/>
      <c r="C54" s="97"/>
      <c r="D54" s="94"/>
      <c r="E54" s="238"/>
      <c r="F54" s="238"/>
      <c r="G54" s="94"/>
      <c r="H54" s="93"/>
      <c r="I54" s="102"/>
      <c r="J54" s="94"/>
      <c r="K54" s="98"/>
      <c r="L54" s="98"/>
      <c r="M54" s="99"/>
      <c r="N54" s="100"/>
      <c r="O54" s="101"/>
      <c r="P54" s="94"/>
      <c r="Q54" s="102"/>
      <c r="R54" s="106"/>
      <c r="S54" s="102"/>
      <c r="T54" s="102"/>
      <c r="V54" s="104"/>
    </row>
    <row r="55" ht="15.75" customHeight="1">
      <c r="A55" s="91"/>
      <c r="B55" s="198"/>
      <c r="C55" s="97"/>
      <c r="D55" s="94"/>
      <c r="E55" s="238"/>
      <c r="F55" s="238"/>
      <c r="G55" s="94"/>
      <c r="H55" s="93"/>
      <c r="I55" s="102"/>
      <c r="J55" s="94"/>
      <c r="K55" s="202"/>
      <c r="L55" s="98"/>
      <c r="M55" s="99"/>
      <c r="N55" s="100"/>
      <c r="O55" s="101"/>
      <c r="P55" s="94"/>
      <c r="Q55" s="102"/>
      <c r="R55" s="113"/>
      <c r="S55" s="102"/>
      <c r="V55" s="104"/>
    </row>
    <row r="56" ht="15.75" customHeight="1">
      <c r="A56" s="91"/>
      <c r="B56" s="198"/>
      <c r="C56" s="97"/>
      <c r="D56" s="94"/>
      <c r="E56" s="238"/>
      <c r="F56" s="238"/>
      <c r="G56" s="94"/>
      <c r="H56" s="93"/>
      <c r="I56" s="102"/>
      <c r="J56" s="94"/>
      <c r="K56" s="202"/>
      <c r="L56" s="202"/>
      <c r="M56" s="99"/>
      <c r="N56" s="100"/>
      <c r="O56" s="101"/>
      <c r="P56" s="94"/>
      <c r="Q56" s="201"/>
      <c r="R56" s="113"/>
      <c r="S56" s="102"/>
      <c r="T56" s="102"/>
      <c r="V56" s="104"/>
    </row>
    <row r="57" ht="15.75" customHeight="1">
      <c r="A57" s="91"/>
      <c r="B57" s="198"/>
      <c r="C57" s="97"/>
      <c r="D57" s="94"/>
      <c r="E57" s="238"/>
      <c r="F57" s="238"/>
      <c r="G57" s="94"/>
      <c r="H57" s="93"/>
      <c r="I57" s="102"/>
      <c r="J57" s="94"/>
      <c r="K57" s="98"/>
      <c r="L57" s="98"/>
      <c r="M57" s="99"/>
      <c r="N57" s="100"/>
      <c r="O57" s="101"/>
      <c r="P57" s="94"/>
      <c r="Q57" s="109"/>
      <c r="R57" s="103"/>
      <c r="S57" s="102"/>
      <c r="T57" s="102"/>
      <c r="V57" s="104"/>
    </row>
    <row r="58" ht="15.75" customHeight="1">
      <c r="A58" s="91"/>
      <c r="B58" s="198"/>
      <c r="C58" s="97"/>
      <c r="D58" s="94"/>
      <c r="E58" s="238"/>
      <c r="F58" s="238"/>
      <c r="G58" s="94"/>
      <c r="H58" s="93"/>
      <c r="I58" s="102"/>
      <c r="J58" s="94"/>
      <c r="K58" s="202"/>
      <c r="L58" s="98"/>
      <c r="M58" s="99"/>
      <c r="N58" s="100"/>
      <c r="O58" s="101"/>
      <c r="P58" s="94"/>
      <c r="Q58" s="102"/>
      <c r="R58" s="113"/>
      <c r="S58" s="102"/>
      <c r="T58" s="102"/>
      <c r="V58" s="104"/>
    </row>
    <row r="59" ht="15.75" customHeight="1">
      <c r="A59" s="91"/>
      <c r="B59" s="198"/>
      <c r="C59" s="97"/>
      <c r="D59" s="94"/>
      <c r="E59" s="238"/>
      <c r="F59" s="238"/>
      <c r="G59" s="94"/>
      <c r="H59" s="93"/>
      <c r="I59" s="102"/>
      <c r="J59" s="94"/>
      <c r="K59" s="108"/>
      <c r="L59" s="108"/>
      <c r="M59" s="99"/>
      <c r="N59" s="100"/>
      <c r="O59" s="101"/>
      <c r="P59" s="94"/>
      <c r="Q59" s="94"/>
      <c r="R59" s="113"/>
      <c r="S59" s="102"/>
      <c r="T59" s="102"/>
      <c r="V59" s="104"/>
    </row>
    <row r="60" ht="15.75" customHeight="1">
      <c r="A60" s="91"/>
      <c r="B60" s="198"/>
      <c r="C60" s="102"/>
      <c r="D60" s="94"/>
      <c r="E60" s="238"/>
      <c r="F60" s="238"/>
      <c r="G60" s="94"/>
      <c r="H60" s="93"/>
      <c r="I60" s="102"/>
      <c r="J60" s="94"/>
      <c r="K60" s="98"/>
      <c r="L60" s="98"/>
      <c r="M60" s="99"/>
      <c r="N60" s="100"/>
      <c r="O60" s="101"/>
      <c r="P60" s="94"/>
      <c r="Q60" s="102"/>
      <c r="R60" s="113"/>
      <c r="S60" s="102"/>
      <c r="T60" s="102"/>
      <c r="V60" s="104"/>
    </row>
    <row r="61" ht="15.75" customHeight="1">
      <c r="A61" s="91"/>
      <c r="B61" s="198"/>
      <c r="C61" s="102"/>
      <c r="D61" s="94"/>
      <c r="E61" s="238"/>
      <c r="F61" s="238"/>
      <c r="G61" s="94"/>
      <c r="H61" s="93"/>
      <c r="I61" s="102"/>
      <c r="J61" s="94"/>
      <c r="K61" s="98"/>
      <c r="L61" s="98"/>
      <c r="M61" s="99"/>
      <c r="N61" s="100"/>
      <c r="O61" s="101"/>
      <c r="P61" s="94"/>
      <c r="Q61" s="102"/>
      <c r="R61" s="113"/>
      <c r="S61" s="102"/>
      <c r="T61" s="102"/>
      <c r="V61" s="104"/>
    </row>
    <row r="62" ht="15.75" customHeight="1">
      <c r="A62" s="91"/>
      <c r="B62" s="198"/>
      <c r="C62" s="97"/>
      <c r="D62" s="94"/>
      <c r="E62" s="238"/>
      <c r="F62" s="238"/>
      <c r="G62" s="94"/>
      <c r="H62" s="93"/>
      <c r="I62" s="102"/>
      <c r="J62" s="94"/>
      <c r="K62" s="202"/>
      <c r="L62" s="202"/>
      <c r="M62" s="99"/>
      <c r="N62" s="100"/>
      <c r="O62" s="101"/>
      <c r="P62" s="94"/>
      <c r="Q62" s="102"/>
      <c r="R62" s="103"/>
      <c r="S62" s="102"/>
      <c r="T62" s="102"/>
      <c r="V62" s="104"/>
    </row>
    <row r="63" ht="15.75" customHeight="1">
      <c r="A63" s="91"/>
      <c r="B63" s="198"/>
      <c r="C63" s="97"/>
      <c r="D63" s="94"/>
      <c r="E63" s="238"/>
      <c r="F63" s="238"/>
      <c r="G63" s="94"/>
      <c r="H63" s="93"/>
      <c r="I63" s="102"/>
      <c r="J63" s="94"/>
      <c r="K63" s="202"/>
      <c r="L63" s="202"/>
      <c r="M63" s="99"/>
      <c r="N63" s="100"/>
      <c r="O63" s="101"/>
      <c r="P63" s="94"/>
      <c r="Q63" s="201"/>
      <c r="R63" s="103"/>
      <c r="S63" s="102"/>
      <c r="V63" s="104"/>
    </row>
    <row r="64" ht="15.75" customHeight="1">
      <c r="A64" s="91"/>
      <c r="B64" s="198"/>
      <c r="C64" s="97"/>
      <c r="D64" s="94"/>
      <c r="E64" s="238"/>
      <c r="F64" s="238"/>
      <c r="G64" s="94"/>
      <c r="H64" s="93"/>
      <c r="I64" s="102"/>
      <c r="J64" s="94"/>
      <c r="K64" s="202"/>
      <c r="L64" s="202"/>
      <c r="M64" s="99"/>
      <c r="N64" s="100"/>
      <c r="O64" s="101"/>
      <c r="P64" s="94"/>
      <c r="Q64" s="102"/>
      <c r="R64" s="103"/>
      <c r="S64" s="102"/>
      <c r="T64" s="102"/>
      <c r="V64" s="104"/>
    </row>
    <row r="65" ht="15.75" customHeight="1">
      <c r="A65" s="91"/>
      <c r="B65" s="198"/>
      <c r="C65" s="97"/>
      <c r="D65" s="94"/>
      <c r="E65" s="238"/>
      <c r="F65" s="238"/>
      <c r="G65" s="94"/>
      <c r="H65" s="93"/>
      <c r="I65" s="102"/>
      <c r="J65" s="94"/>
      <c r="K65" s="108"/>
      <c r="L65" s="108"/>
      <c r="M65" s="99"/>
      <c r="N65" s="100"/>
      <c r="O65" s="101"/>
      <c r="P65" s="94"/>
      <c r="Q65" s="109"/>
      <c r="R65" s="103"/>
      <c r="S65" s="102"/>
      <c r="T65" s="102"/>
      <c r="V65" s="104"/>
    </row>
    <row r="66" ht="15.75" customHeight="1">
      <c r="A66" s="91"/>
      <c r="B66" s="198"/>
      <c r="C66" s="97"/>
      <c r="D66" s="94"/>
      <c r="E66" s="238"/>
      <c r="F66" s="238"/>
      <c r="G66" s="94"/>
      <c r="H66" s="93"/>
      <c r="I66" s="102"/>
      <c r="J66" s="94"/>
      <c r="K66" s="98"/>
      <c r="L66" s="98"/>
      <c r="M66" s="99"/>
      <c r="N66" s="100"/>
      <c r="O66" s="101"/>
      <c r="P66" s="94"/>
      <c r="Q66" s="102"/>
      <c r="R66" s="113"/>
      <c r="S66" s="102"/>
      <c r="T66" s="102"/>
      <c r="V66" s="104"/>
    </row>
    <row r="67" ht="15.75" customHeight="1">
      <c r="A67" s="91"/>
      <c r="B67" s="198"/>
      <c r="C67" s="102"/>
      <c r="D67" s="94"/>
      <c r="E67" s="238"/>
      <c r="F67" s="238"/>
      <c r="G67" s="94"/>
      <c r="H67" s="93"/>
      <c r="I67" s="102"/>
      <c r="J67" s="94"/>
      <c r="K67" s="98"/>
      <c r="L67" s="98"/>
      <c r="M67" s="99"/>
      <c r="N67" s="100"/>
      <c r="O67" s="101"/>
      <c r="P67" s="94"/>
      <c r="Q67" s="102"/>
      <c r="R67" s="103"/>
      <c r="S67" s="102"/>
      <c r="T67" s="102"/>
      <c r="V67" s="104"/>
    </row>
    <row r="68" ht="15.75" customHeight="1">
      <c r="A68" s="91"/>
      <c r="B68" s="198"/>
      <c r="C68" s="102"/>
      <c r="D68" s="94"/>
      <c r="E68" s="238"/>
      <c r="F68" s="238"/>
      <c r="G68" s="94"/>
      <c r="H68" s="93"/>
      <c r="I68" s="102"/>
      <c r="J68" s="94"/>
      <c r="K68" s="98"/>
      <c r="L68" s="98"/>
      <c r="M68" s="99"/>
      <c r="N68" s="100"/>
      <c r="O68" s="101"/>
      <c r="P68" s="94"/>
      <c r="Q68" s="102"/>
      <c r="R68" s="113"/>
      <c r="S68" s="102"/>
      <c r="T68" s="102"/>
      <c r="V68" s="104"/>
    </row>
    <row r="69" ht="15.75" customHeight="1">
      <c r="A69" s="91"/>
      <c r="B69" s="198"/>
      <c r="C69" s="102"/>
      <c r="D69" s="94"/>
      <c r="E69" s="238"/>
      <c r="F69" s="238"/>
      <c r="G69" s="94"/>
      <c r="H69" s="93"/>
      <c r="I69" s="102"/>
      <c r="J69" s="94"/>
      <c r="K69" s="108"/>
      <c r="L69" s="108"/>
      <c r="M69" s="99"/>
      <c r="N69" s="100"/>
      <c r="O69" s="101"/>
      <c r="P69" s="94"/>
      <c r="Q69" s="94"/>
      <c r="R69" s="113"/>
      <c r="S69" s="102"/>
      <c r="T69" s="102"/>
      <c r="V69" s="104"/>
    </row>
    <row r="70" ht="15.75" customHeight="1">
      <c r="A70" s="91"/>
      <c r="B70" s="198"/>
      <c r="C70" s="97"/>
      <c r="D70" s="94"/>
      <c r="E70" s="238"/>
      <c r="F70" s="238"/>
      <c r="G70" s="94"/>
      <c r="H70" s="93"/>
      <c r="I70" s="102"/>
      <c r="J70" s="94"/>
      <c r="K70" s="98"/>
      <c r="L70" s="98"/>
      <c r="M70" s="99"/>
      <c r="N70" s="100"/>
      <c r="O70" s="101"/>
      <c r="P70" s="94"/>
      <c r="Q70" s="94"/>
      <c r="R70" s="113"/>
      <c r="S70" s="102"/>
      <c r="T70" s="102"/>
      <c r="V70" s="104"/>
    </row>
    <row r="71" ht="15.75" customHeight="1">
      <c r="A71" s="91"/>
      <c r="B71" s="198"/>
      <c r="C71" s="97"/>
      <c r="D71" s="94"/>
      <c r="E71" s="238"/>
      <c r="F71" s="238"/>
      <c r="G71" s="94"/>
      <c r="H71" s="93"/>
      <c r="I71" s="102"/>
      <c r="J71" s="94"/>
      <c r="K71" s="108"/>
      <c r="L71" s="108"/>
      <c r="M71" s="99"/>
      <c r="N71" s="100"/>
      <c r="O71" s="101"/>
      <c r="P71" s="94"/>
      <c r="Q71" s="94"/>
      <c r="R71" s="113"/>
      <c r="S71" s="102"/>
      <c r="T71" s="102"/>
      <c r="V71" s="104"/>
    </row>
    <row r="72" ht="15.75" customHeight="1">
      <c r="A72" s="91"/>
      <c r="B72" s="198"/>
      <c r="C72" s="97"/>
      <c r="D72" s="94"/>
      <c r="E72" s="238"/>
      <c r="F72" s="238"/>
      <c r="G72" s="94"/>
      <c r="H72" s="93"/>
      <c r="I72" s="102"/>
      <c r="J72" s="94"/>
      <c r="K72" s="98"/>
      <c r="L72" s="98"/>
      <c r="M72" s="99"/>
      <c r="N72" s="100"/>
      <c r="O72" s="101"/>
      <c r="P72" s="94"/>
      <c r="Q72" s="109"/>
      <c r="R72" s="106"/>
      <c r="S72" s="102"/>
      <c r="T72" s="102"/>
      <c r="V72" s="104"/>
    </row>
    <row r="73" ht="15.75" customHeight="1">
      <c r="A73" s="91"/>
      <c r="B73" s="198"/>
      <c r="C73" s="97"/>
      <c r="D73" s="94"/>
      <c r="E73" s="238"/>
      <c r="F73" s="238"/>
      <c r="G73" s="94"/>
      <c r="H73" s="93"/>
      <c r="I73" s="102"/>
      <c r="J73" s="94"/>
      <c r="K73" s="202"/>
      <c r="L73" s="202"/>
      <c r="M73" s="99"/>
      <c r="N73" s="100"/>
      <c r="O73" s="101"/>
      <c r="P73" s="94"/>
      <c r="Q73" s="201"/>
      <c r="R73" s="103"/>
      <c r="S73" s="102"/>
      <c r="T73" s="102"/>
      <c r="V73" s="104"/>
    </row>
    <row r="74" ht="15.75" customHeight="1">
      <c r="A74" s="91"/>
      <c r="B74" s="198"/>
      <c r="C74" s="97"/>
      <c r="D74" s="94"/>
      <c r="E74" s="238"/>
      <c r="F74" s="238"/>
      <c r="G74" s="94"/>
      <c r="H74" s="93"/>
      <c r="I74" s="102"/>
      <c r="J74" s="94"/>
      <c r="K74" s="202"/>
      <c r="L74" s="202"/>
      <c r="M74" s="99"/>
      <c r="N74" s="100"/>
      <c r="O74" s="101"/>
      <c r="P74" s="94"/>
      <c r="Q74" s="201"/>
      <c r="R74" s="103"/>
      <c r="S74" s="102"/>
      <c r="T74" s="102"/>
      <c r="V74" s="104"/>
    </row>
    <row r="75" ht="15.75" customHeight="1">
      <c r="A75" s="91"/>
      <c r="B75" s="198"/>
      <c r="C75" s="102"/>
      <c r="D75" s="94"/>
      <c r="E75" s="238"/>
      <c r="F75" s="238"/>
      <c r="G75" s="94"/>
      <c r="H75" s="93"/>
      <c r="I75" s="102"/>
      <c r="J75" s="94"/>
      <c r="K75" s="202"/>
      <c r="L75" s="202"/>
      <c r="M75" s="99"/>
      <c r="N75" s="100"/>
      <c r="O75" s="101"/>
      <c r="P75" s="94"/>
      <c r="Q75" s="102"/>
      <c r="R75" s="113"/>
      <c r="S75" s="102"/>
      <c r="T75" s="102"/>
      <c r="V75" s="104"/>
    </row>
    <row r="76" ht="15.75" customHeight="1">
      <c r="A76" s="91"/>
      <c r="B76" s="198"/>
      <c r="C76" s="97"/>
      <c r="D76" s="94"/>
      <c r="E76" s="238"/>
      <c r="F76" s="238"/>
      <c r="G76" s="94"/>
      <c r="H76" s="93"/>
      <c r="I76" s="102"/>
      <c r="J76" s="94"/>
      <c r="K76" s="98"/>
      <c r="L76" s="98"/>
      <c r="M76" s="99"/>
      <c r="N76" s="100"/>
      <c r="O76" s="101"/>
      <c r="P76" s="94"/>
      <c r="Q76" s="102"/>
      <c r="R76" s="113"/>
      <c r="S76" s="102"/>
      <c r="T76" s="102"/>
      <c r="V76" s="104"/>
    </row>
    <row r="77" ht="15.75" customHeight="1">
      <c r="A77" s="91"/>
      <c r="B77" s="198"/>
      <c r="C77" s="121"/>
      <c r="D77" s="94"/>
      <c r="E77" s="238"/>
      <c r="F77" s="238"/>
      <c r="G77" s="94"/>
      <c r="H77" s="93"/>
      <c r="I77" s="102"/>
      <c r="J77" s="94"/>
      <c r="K77" s="98"/>
      <c r="L77" s="98"/>
      <c r="M77" s="99"/>
      <c r="N77" s="100"/>
      <c r="O77" s="101"/>
      <c r="P77" s="94"/>
      <c r="Q77" s="102"/>
      <c r="R77" s="113"/>
      <c r="S77" s="102"/>
      <c r="T77" s="102"/>
      <c r="V77" s="103" t="s">
        <v>2718</v>
      </c>
    </row>
    <row r="78" ht="15.75" customHeight="1">
      <c r="A78" s="91"/>
      <c r="B78" s="198"/>
      <c r="C78" s="97"/>
      <c r="D78" s="94"/>
      <c r="E78" s="238"/>
      <c r="F78" s="238"/>
      <c r="G78" s="94"/>
      <c r="H78" s="93"/>
      <c r="I78" s="102"/>
      <c r="J78" s="94"/>
      <c r="K78" s="98"/>
      <c r="L78" s="98"/>
      <c r="M78" s="99"/>
      <c r="N78" s="100"/>
      <c r="O78" s="101"/>
      <c r="P78" s="94"/>
      <c r="Q78" s="102"/>
      <c r="R78" s="103"/>
      <c r="S78" s="102"/>
      <c r="T78" s="102"/>
      <c r="V78" s="104"/>
    </row>
    <row r="79" ht="15.75" customHeight="1">
      <c r="A79" s="91"/>
      <c r="B79" s="198"/>
      <c r="C79" s="121"/>
      <c r="D79" s="94"/>
      <c r="E79" s="238"/>
      <c r="F79" s="238"/>
      <c r="G79" s="94"/>
      <c r="H79" s="93"/>
      <c r="I79" s="102"/>
      <c r="J79" s="94"/>
      <c r="K79" s="108"/>
      <c r="L79" s="108"/>
      <c r="M79" s="99"/>
      <c r="N79" s="100"/>
      <c r="O79" s="101"/>
      <c r="P79" s="94"/>
      <c r="Q79" s="117"/>
      <c r="R79" s="123"/>
      <c r="S79" s="102"/>
      <c r="T79" s="102"/>
      <c r="V79" s="104"/>
    </row>
    <row r="80" ht="15.75" customHeight="1">
      <c r="A80" s="91"/>
      <c r="B80" s="198"/>
      <c r="C80" s="97"/>
      <c r="D80" s="94"/>
      <c r="E80" s="238"/>
      <c r="F80" s="238"/>
      <c r="G80" s="94"/>
      <c r="H80" s="93"/>
      <c r="I80" s="102"/>
      <c r="J80" s="94"/>
      <c r="K80" s="98"/>
      <c r="L80" s="98"/>
      <c r="M80" s="99"/>
      <c r="N80" s="100"/>
      <c r="O80" s="101"/>
      <c r="P80" s="94"/>
      <c r="Q80" s="117"/>
      <c r="R80" s="103"/>
      <c r="S80" s="102"/>
      <c r="T80" s="102"/>
      <c r="V80" s="104"/>
    </row>
    <row r="81" ht="15.75" customHeight="1">
      <c r="A81" s="91"/>
      <c r="B81" s="198"/>
      <c r="C81" s="97"/>
      <c r="D81" s="94"/>
      <c r="E81" s="238"/>
      <c r="F81" s="238"/>
      <c r="G81" s="94"/>
      <c r="H81" s="93"/>
      <c r="I81" s="102"/>
      <c r="J81" s="94"/>
      <c r="K81" s="98"/>
      <c r="L81" s="98"/>
      <c r="M81" s="99"/>
      <c r="N81" s="100"/>
      <c r="O81" s="101"/>
      <c r="P81" s="94"/>
      <c r="Q81" s="102"/>
      <c r="R81" s="103"/>
      <c r="S81" s="102"/>
      <c r="T81" s="102"/>
      <c r="V81" s="104"/>
    </row>
    <row r="82" ht="15.75" customHeight="1">
      <c r="A82" s="91"/>
      <c r="B82" s="198"/>
      <c r="C82" s="97"/>
      <c r="D82" s="94"/>
      <c r="E82" s="238"/>
      <c r="F82" s="238"/>
      <c r="G82" s="94"/>
      <c r="H82" s="93"/>
      <c r="I82" s="102"/>
      <c r="J82" s="94"/>
      <c r="K82" s="202"/>
      <c r="L82" s="202"/>
      <c r="M82" s="99"/>
      <c r="N82" s="100"/>
      <c r="O82" s="101"/>
      <c r="P82" s="94"/>
      <c r="Q82" s="102"/>
      <c r="R82" s="113"/>
      <c r="S82" s="102"/>
      <c r="T82" s="102"/>
      <c r="V82" s="104"/>
    </row>
    <row r="83" ht="15.75" customHeight="1">
      <c r="A83" s="91"/>
      <c r="B83" s="198"/>
      <c r="C83" s="102"/>
      <c r="D83" s="94"/>
      <c r="E83" s="238"/>
      <c r="F83" s="238"/>
      <c r="G83" s="94"/>
      <c r="H83" s="93"/>
      <c r="I83" s="102"/>
      <c r="J83" s="94"/>
      <c r="K83" s="108"/>
      <c r="L83" s="98"/>
      <c r="M83" s="99"/>
      <c r="N83" s="100"/>
      <c r="O83" s="101"/>
      <c r="P83" s="94"/>
      <c r="Q83" s="109"/>
      <c r="R83" s="103"/>
      <c r="S83" s="102"/>
      <c r="T83" s="102"/>
      <c r="V83" s="104"/>
    </row>
    <row r="84" ht="15.75" customHeight="1">
      <c r="A84" s="91"/>
      <c r="B84" s="198"/>
      <c r="C84" s="121"/>
      <c r="D84" s="94"/>
      <c r="E84" s="238"/>
      <c r="F84" s="238"/>
      <c r="G84" s="94"/>
      <c r="H84" s="93"/>
      <c r="I84" s="102"/>
      <c r="J84" s="94"/>
      <c r="K84" s="98"/>
      <c r="L84" s="98"/>
      <c r="M84" s="99"/>
      <c r="N84" s="100"/>
      <c r="O84" s="101"/>
      <c r="P84" s="94"/>
      <c r="R84" s="113"/>
      <c r="S84" s="102"/>
      <c r="T84" s="102"/>
      <c r="V84" s="104"/>
    </row>
    <row r="85" ht="15.75" customHeight="1">
      <c r="A85" s="91"/>
      <c r="B85" s="198"/>
      <c r="C85" s="121"/>
      <c r="D85" s="94"/>
      <c r="E85" s="238"/>
      <c r="F85" s="238"/>
      <c r="G85" s="94"/>
      <c r="H85" s="93"/>
      <c r="I85" s="102"/>
      <c r="J85" s="94"/>
      <c r="K85" s="108"/>
      <c r="L85" s="98"/>
      <c r="M85" s="99"/>
      <c r="N85" s="100"/>
      <c r="O85" s="101"/>
      <c r="P85" s="94"/>
      <c r="Q85" s="102"/>
      <c r="R85" s="103"/>
      <c r="S85" s="102"/>
      <c r="T85" s="102"/>
      <c r="V85" s="104"/>
    </row>
    <row r="86" ht="15.75" customHeight="1">
      <c r="A86" s="91"/>
      <c r="B86" s="198"/>
      <c r="C86" s="121"/>
      <c r="D86" s="94"/>
      <c r="E86" s="238"/>
      <c r="F86" s="238"/>
      <c r="G86" s="94"/>
      <c r="H86" s="93"/>
      <c r="I86" s="102"/>
      <c r="J86" s="94"/>
      <c r="K86" s="98"/>
      <c r="L86" s="98"/>
      <c r="M86" s="99"/>
      <c r="N86" s="100"/>
      <c r="O86" s="101"/>
      <c r="P86" s="94"/>
      <c r="Q86" s="102"/>
      <c r="R86" s="113"/>
      <c r="S86" s="102"/>
      <c r="T86" s="102"/>
      <c r="V86" s="104"/>
    </row>
    <row r="87" ht="15.75" customHeight="1">
      <c r="A87" s="91"/>
      <c r="B87" s="198"/>
      <c r="C87" s="121"/>
      <c r="D87" s="94"/>
      <c r="E87" s="238"/>
      <c r="F87" s="238"/>
      <c r="G87" s="94"/>
      <c r="H87" s="93"/>
      <c r="I87" s="102"/>
      <c r="J87" s="94"/>
      <c r="K87" s="202"/>
      <c r="L87" s="202"/>
      <c r="M87" s="99"/>
      <c r="N87" s="100"/>
      <c r="O87" s="101"/>
      <c r="P87" s="94"/>
      <c r="Q87" s="102"/>
      <c r="R87" s="113"/>
      <c r="S87" s="102"/>
      <c r="T87" s="102"/>
      <c r="V87" s="104"/>
    </row>
    <row r="88" ht="15.75" customHeight="1">
      <c r="A88" s="91"/>
      <c r="B88" s="198"/>
      <c r="C88" s="121"/>
      <c r="D88" s="94"/>
      <c r="E88" s="238"/>
      <c r="F88" s="238"/>
      <c r="G88" s="94"/>
      <c r="H88" s="93"/>
      <c r="I88" s="102"/>
      <c r="J88" s="94"/>
      <c r="K88" s="98"/>
      <c r="L88" s="98"/>
      <c r="M88" s="99"/>
      <c r="N88" s="100"/>
      <c r="O88" s="101"/>
      <c r="P88" s="94"/>
      <c r="Q88" s="94"/>
      <c r="R88" s="113"/>
      <c r="S88" s="102"/>
      <c r="T88" s="102"/>
      <c r="V88" s="104"/>
    </row>
    <row r="89" ht="15.75" customHeight="1">
      <c r="A89" s="91"/>
      <c r="B89" s="198"/>
      <c r="C89" s="121"/>
      <c r="D89" s="94"/>
      <c r="E89" s="238"/>
      <c r="F89" s="238"/>
      <c r="G89" s="94"/>
      <c r="H89" s="93"/>
      <c r="I89" s="102"/>
      <c r="J89" s="94"/>
      <c r="K89" s="98"/>
      <c r="L89" s="98"/>
      <c r="M89" s="99"/>
      <c r="N89" s="100"/>
      <c r="O89" s="101"/>
      <c r="P89" s="94"/>
      <c r="Q89" s="102"/>
      <c r="R89" s="106"/>
      <c r="S89" s="102"/>
      <c r="T89" s="102"/>
      <c r="V89" s="104"/>
    </row>
    <row r="90" ht="15.75" customHeight="1">
      <c r="A90" s="91"/>
      <c r="B90" s="198"/>
      <c r="C90" s="121"/>
      <c r="D90" s="94"/>
      <c r="E90" s="238"/>
      <c r="F90" s="238"/>
      <c r="G90" s="94"/>
      <c r="H90" s="93"/>
      <c r="I90" s="102"/>
      <c r="J90" s="94"/>
      <c r="K90" s="98"/>
      <c r="L90" s="98"/>
      <c r="M90" s="99"/>
      <c r="N90" s="100"/>
      <c r="O90" s="101"/>
      <c r="P90" s="94"/>
      <c r="Q90" s="117"/>
      <c r="R90" s="106"/>
      <c r="S90" s="102"/>
      <c r="T90" s="102"/>
      <c r="V90" s="104"/>
    </row>
    <row r="91" ht="15.75" customHeight="1">
      <c r="A91" s="91"/>
      <c r="B91" s="198"/>
      <c r="C91" s="121"/>
      <c r="D91" s="94"/>
      <c r="E91" s="238"/>
      <c r="F91" s="238"/>
      <c r="G91" s="94"/>
      <c r="H91" s="93"/>
      <c r="I91" s="102"/>
      <c r="J91" s="94"/>
      <c r="K91" s="98"/>
      <c r="L91" s="98"/>
      <c r="M91" s="99"/>
      <c r="N91" s="100"/>
      <c r="O91" s="101"/>
      <c r="P91" s="94"/>
      <c r="Q91" s="102"/>
      <c r="R91" s="113"/>
      <c r="S91" s="240"/>
      <c r="T91" s="102"/>
      <c r="V91" s="104"/>
    </row>
    <row r="92" ht="15.75" customHeight="1">
      <c r="A92" s="91"/>
      <c r="B92" s="198"/>
      <c r="C92" s="102"/>
      <c r="D92" s="94"/>
      <c r="E92" s="238"/>
      <c r="F92" s="238"/>
      <c r="G92" s="94"/>
      <c r="H92" s="93"/>
      <c r="I92" s="102"/>
      <c r="J92" s="94"/>
      <c r="K92" s="98"/>
      <c r="L92" s="98"/>
      <c r="M92" s="99"/>
      <c r="N92" s="100"/>
      <c r="O92" s="101"/>
      <c r="P92" s="94"/>
      <c r="Q92" s="117"/>
      <c r="R92" s="103"/>
      <c r="S92" s="102"/>
      <c r="T92" s="102"/>
      <c r="V92" s="104"/>
    </row>
    <row r="93" ht="15.75" customHeight="1">
      <c r="A93" s="91"/>
      <c r="B93" s="198"/>
      <c r="C93" s="103"/>
      <c r="D93" s="94"/>
      <c r="E93" s="238"/>
      <c r="F93" s="238"/>
      <c r="G93" s="94"/>
      <c r="H93" s="93"/>
      <c r="I93" s="102"/>
      <c r="J93" s="94"/>
      <c r="K93" s="202"/>
      <c r="L93" s="202"/>
      <c r="M93" s="99"/>
      <c r="N93" s="100"/>
      <c r="O93" s="101"/>
      <c r="P93" s="94"/>
      <c r="Q93" s="117"/>
      <c r="R93" s="113"/>
      <c r="S93" s="102"/>
      <c r="T93" s="241"/>
      <c r="V93" s="104"/>
    </row>
    <row r="94" ht="15.75" customHeight="1">
      <c r="A94" s="91"/>
      <c r="B94" s="198"/>
      <c r="C94" s="93"/>
      <c r="D94" s="94"/>
      <c r="E94" s="238"/>
      <c r="F94" s="238"/>
      <c r="G94" s="94"/>
      <c r="H94" s="93"/>
      <c r="I94" s="102"/>
      <c r="J94" s="94"/>
      <c r="K94" s="202"/>
      <c r="L94" s="202"/>
      <c r="M94" s="99"/>
      <c r="N94" s="111"/>
      <c r="O94" s="112"/>
      <c r="P94" s="94"/>
      <c r="Q94" s="102"/>
      <c r="R94" s="103"/>
      <c r="S94" s="102"/>
      <c r="T94" s="102"/>
      <c r="V94" s="104"/>
    </row>
    <row r="95" ht="15.75" customHeight="1">
      <c r="A95" s="91"/>
      <c r="B95" s="198"/>
      <c r="C95" s="93"/>
      <c r="D95" s="94"/>
      <c r="E95" s="238"/>
      <c r="F95" s="238"/>
      <c r="G95" s="94"/>
      <c r="H95" s="93"/>
      <c r="I95" s="102"/>
      <c r="J95" s="94"/>
      <c r="K95" s="98"/>
      <c r="L95" s="98"/>
      <c r="M95" s="99"/>
      <c r="N95" s="100"/>
      <c r="O95" s="101"/>
      <c r="P95" s="94"/>
      <c r="Q95" s="102"/>
      <c r="R95" s="113"/>
      <c r="S95" s="102"/>
      <c r="T95" s="102"/>
      <c r="V95" s="104"/>
    </row>
    <row r="96" ht="15.75" customHeight="1">
      <c r="A96" s="91"/>
      <c r="B96" s="198"/>
      <c r="C96" s="93"/>
      <c r="D96" s="94"/>
      <c r="E96" s="238"/>
      <c r="F96" s="238"/>
      <c r="G96" s="94"/>
      <c r="H96" s="93"/>
      <c r="I96" s="102"/>
      <c r="J96" s="94"/>
      <c r="K96" s="98"/>
      <c r="L96" s="98"/>
      <c r="M96" s="99"/>
      <c r="N96" s="100"/>
      <c r="O96" s="101"/>
      <c r="P96" s="94"/>
      <c r="Q96" s="102"/>
      <c r="R96" s="103"/>
      <c r="S96" s="102"/>
      <c r="T96" s="102"/>
      <c r="V96" s="104"/>
    </row>
    <row r="97" ht="15.75" customHeight="1">
      <c r="A97" s="91"/>
      <c r="B97" s="198"/>
      <c r="C97" s="93"/>
      <c r="D97" s="94"/>
      <c r="E97" s="238"/>
      <c r="F97" s="238"/>
      <c r="G97" s="94"/>
      <c r="H97" s="93"/>
      <c r="I97" s="102"/>
      <c r="J97" s="94"/>
      <c r="K97" s="98"/>
      <c r="L97" s="98"/>
      <c r="M97" s="99"/>
      <c r="N97" s="100"/>
      <c r="O97" s="101"/>
      <c r="P97" s="94"/>
      <c r="Q97" s="102"/>
      <c r="R97" s="103"/>
      <c r="S97" s="102"/>
      <c r="T97" s="102"/>
      <c r="V97" s="104"/>
    </row>
    <row r="98" ht="15.75" customHeight="1">
      <c r="A98" s="91"/>
      <c r="B98" s="198"/>
      <c r="C98" s="93"/>
      <c r="D98" s="94"/>
      <c r="E98" s="238"/>
      <c r="F98" s="238"/>
      <c r="G98" s="94"/>
      <c r="H98" s="93"/>
      <c r="I98" s="102"/>
      <c r="J98" s="94"/>
      <c r="K98" s="202"/>
      <c r="L98" s="202"/>
      <c r="M98" s="99"/>
      <c r="N98" s="100"/>
      <c r="O98" s="101"/>
      <c r="P98" s="94"/>
      <c r="Q98" s="102"/>
      <c r="R98" s="103"/>
      <c r="S98" s="102"/>
      <c r="T98" s="102"/>
      <c r="V98" s="104"/>
    </row>
    <row r="99" ht="15.75" customHeight="1">
      <c r="A99" s="91"/>
      <c r="B99" s="198"/>
      <c r="C99" s="103"/>
      <c r="D99" s="94"/>
      <c r="E99" s="238"/>
      <c r="F99" s="238"/>
      <c r="G99" s="94"/>
      <c r="H99" s="93"/>
      <c r="I99" s="102"/>
      <c r="J99" s="94"/>
      <c r="K99" s="108"/>
      <c r="L99" s="108"/>
      <c r="M99" s="99"/>
      <c r="N99" s="100"/>
      <c r="O99" s="101"/>
      <c r="P99" s="94"/>
      <c r="Q99" s="109"/>
      <c r="R99" s="103"/>
      <c r="S99" s="102"/>
      <c r="T99" s="102"/>
      <c r="V99" s="104"/>
    </row>
    <row r="100" ht="15.75" customHeight="1">
      <c r="A100" s="91"/>
      <c r="B100" s="198"/>
      <c r="C100" s="103"/>
      <c r="D100" s="94"/>
      <c r="E100" s="238"/>
      <c r="F100" s="238"/>
      <c r="G100" s="94"/>
      <c r="H100" s="93"/>
      <c r="I100" s="102"/>
      <c r="J100" s="94"/>
      <c r="K100" s="98"/>
      <c r="L100" s="98"/>
      <c r="M100" s="99"/>
      <c r="N100" s="100"/>
      <c r="O100" s="101"/>
      <c r="P100" s="94"/>
      <c r="Q100" s="102"/>
      <c r="R100" s="113"/>
      <c r="S100" s="102"/>
      <c r="T100" s="102"/>
      <c r="V100" s="104"/>
    </row>
    <row r="101" ht="15.75" customHeight="1">
      <c r="A101" s="91"/>
      <c r="B101" s="198"/>
      <c r="C101" s="93"/>
      <c r="D101" s="94"/>
      <c r="E101" s="238"/>
      <c r="F101" s="238"/>
      <c r="G101" s="94"/>
      <c r="H101" s="93"/>
      <c r="I101" s="102"/>
      <c r="J101" s="94"/>
      <c r="K101" s="108"/>
      <c r="L101" s="108"/>
      <c r="M101" s="99"/>
      <c r="N101" s="100"/>
      <c r="O101" s="101"/>
      <c r="P101" s="94"/>
      <c r="Q101" s="109"/>
      <c r="R101" s="103"/>
      <c r="S101" s="102"/>
      <c r="T101" s="102"/>
      <c r="V101" s="104"/>
    </row>
    <row r="102" ht="15.75" customHeight="1">
      <c r="A102" s="91"/>
      <c r="B102" s="93"/>
      <c r="C102" s="93"/>
      <c r="D102" s="94"/>
      <c r="E102" s="238"/>
      <c r="F102" s="238"/>
      <c r="G102" s="94"/>
      <c r="H102" s="93"/>
      <c r="I102" s="102"/>
      <c r="J102" s="94"/>
      <c r="K102" s="202"/>
      <c r="L102" s="202"/>
      <c r="M102" s="99"/>
      <c r="N102" s="100"/>
      <c r="O102" s="101"/>
      <c r="P102" s="94"/>
      <c r="Q102" s="102"/>
      <c r="R102" s="113"/>
      <c r="S102" s="102"/>
      <c r="T102" s="102"/>
      <c r="V102" s="104"/>
    </row>
    <row r="103" ht="15.75" customHeight="1">
      <c r="A103" s="91"/>
      <c r="B103" s="93"/>
      <c r="C103" s="93"/>
      <c r="D103" s="94"/>
      <c r="E103" s="238"/>
      <c r="F103" s="238"/>
      <c r="G103" s="94"/>
      <c r="H103" s="93"/>
      <c r="I103" s="102"/>
      <c r="J103" s="94"/>
      <c r="K103" s="98"/>
      <c r="L103" s="98"/>
      <c r="M103" s="99"/>
      <c r="N103" s="100"/>
      <c r="O103" s="101"/>
      <c r="P103" s="94"/>
      <c r="Q103" s="102"/>
      <c r="R103" s="103"/>
      <c r="S103" s="102"/>
      <c r="T103" s="102"/>
      <c r="V103" s="104"/>
    </row>
    <row r="104" ht="15.75" customHeight="1">
      <c r="A104" s="91"/>
      <c r="B104" s="93"/>
      <c r="C104" s="93"/>
      <c r="D104" s="94"/>
      <c r="E104" s="238"/>
      <c r="F104" s="238"/>
      <c r="G104" s="94"/>
      <c r="H104" s="93"/>
      <c r="I104" s="102"/>
      <c r="J104" s="94"/>
      <c r="K104" s="202"/>
      <c r="L104" s="202"/>
      <c r="M104" s="99"/>
      <c r="N104" s="100"/>
      <c r="O104" s="101"/>
      <c r="P104" s="94"/>
      <c r="Q104" s="102"/>
      <c r="R104" s="113"/>
      <c r="S104" s="102"/>
      <c r="T104" s="102"/>
      <c r="V104" s="104"/>
    </row>
    <row r="105" ht="15.75" customHeight="1">
      <c r="A105" s="91"/>
      <c r="B105" s="93"/>
      <c r="C105" s="93"/>
      <c r="D105" s="94"/>
      <c r="E105" s="238"/>
      <c r="F105" s="238"/>
      <c r="G105" s="94"/>
      <c r="H105" s="93"/>
      <c r="I105" s="102"/>
      <c r="J105" s="94"/>
      <c r="K105" s="98"/>
      <c r="L105" s="98"/>
      <c r="M105" s="99"/>
      <c r="N105" s="100"/>
      <c r="O105" s="101"/>
      <c r="P105" s="94"/>
      <c r="Q105" s="102"/>
      <c r="R105" s="103"/>
      <c r="S105" s="102"/>
      <c r="T105" s="102"/>
      <c r="V105" s="104"/>
    </row>
    <row r="106" ht="15.75" customHeight="1">
      <c r="A106" s="91"/>
      <c r="B106" s="93"/>
      <c r="C106" s="103"/>
      <c r="D106" s="94"/>
      <c r="E106" s="238"/>
      <c r="F106" s="238"/>
      <c r="G106" s="94"/>
      <c r="H106" s="93"/>
      <c r="I106" s="102"/>
      <c r="J106" s="94"/>
      <c r="K106" s="98"/>
      <c r="L106" s="98"/>
      <c r="M106" s="99"/>
      <c r="N106" s="100"/>
      <c r="O106" s="101"/>
      <c r="P106" s="94"/>
      <c r="Q106" s="109"/>
      <c r="R106" s="127"/>
      <c r="S106" s="102"/>
      <c r="T106" s="102"/>
      <c r="V106" s="104"/>
    </row>
    <row r="107" ht="15.75" customHeight="1">
      <c r="A107" s="91"/>
      <c r="B107" s="93"/>
      <c r="C107" s="103"/>
      <c r="D107" s="94"/>
      <c r="E107" s="238"/>
      <c r="F107" s="238"/>
      <c r="G107" s="94"/>
      <c r="H107" s="93"/>
      <c r="I107" s="102"/>
      <c r="J107" s="94"/>
      <c r="K107" s="202"/>
      <c r="L107" s="202"/>
      <c r="M107" s="99"/>
      <c r="N107" s="100"/>
      <c r="O107" s="101"/>
      <c r="P107" s="94"/>
      <c r="Q107" s="102"/>
      <c r="R107" s="103"/>
      <c r="S107" s="102"/>
      <c r="T107" s="102"/>
      <c r="V107" s="104"/>
    </row>
    <row r="108" ht="15.75" customHeight="1">
      <c r="A108" s="91"/>
      <c r="B108" s="93"/>
      <c r="C108" s="93"/>
      <c r="D108" s="94"/>
      <c r="E108" s="238"/>
      <c r="F108" s="238"/>
      <c r="G108" s="94"/>
      <c r="H108" s="93"/>
      <c r="I108" s="102"/>
      <c r="J108" s="94"/>
      <c r="K108" s="202"/>
      <c r="L108" s="202"/>
      <c r="M108" s="99"/>
      <c r="N108" s="100"/>
      <c r="O108" s="112"/>
      <c r="P108" s="94"/>
      <c r="Q108" s="102"/>
      <c r="R108" s="113"/>
      <c r="S108" s="102"/>
      <c r="T108" s="102"/>
      <c r="V108" s="104"/>
    </row>
    <row r="109" ht="15.75" customHeight="1">
      <c r="A109" s="91"/>
      <c r="B109" s="93"/>
      <c r="C109" s="93"/>
      <c r="D109" s="94"/>
      <c r="E109" s="238"/>
      <c r="F109" s="238"/>
      <c r="G109" s="94"/>
      <c r="H109" s="93"/>
      <c r="I109" s="102"/>
      <c r="J109" s="94"/>
      <c r="K109" s="98"/>
      <c r="L109" s="98"/>
      <c r="M109" s="99"/>
      <c r="N109" s="100"/>
      <c r="O109" s="101"/>
      <c r="P109" s="94"/>
      <c r="Q109" s="102"/>
      <c r="R109" s="113"/>
      <c r="S109" s="102"/>
      <c r="T109" s="102"/>
      <c r="V109" s="104"/>
    </row>
    <row r="110" ht="15.75" customHeight="1">
      <c r="A110" s="91"/>
      <c r="B110" s="93"/>
      <c r="C110" s="128"/>
      <c r="D110" s="94"/>
      <c r="E110" s="238"/>
      <c r="F110" s="238"/>
      <c r="G110" s="94"/>
      <c r="H110" s="93"/>
      <c r="I110" s="102"/>
      <c r="J110" s="94"/>
      <c r="K110" s="98"/>
      <c r="L110" s="98"/>
      <c r="M110" s="99"/>
      <c r="N110" s="100"/>
      <c r="O110" s="112"/>
      <c r="P110" s="94"/>
      <c r="Q110" s="120"/>
      <c r="R110" s="113"/>
      <c r="S110" s="102"/>
      <c r="T110" s="102"/>
      <c r="V110" s="104"/>
    </row>
    <row r="111" ht="15.75" customHeight="1">
      <c r="A111" s="91"/>
      <c r="B111" s="93"/>
      <c r="C111" s="97"/>
      <c r="D111" s="94"/>
      <c r="E111" s="238"/>
      <c r="F111" s="238"/>
      <c r="G111" s="94"/>
      <c r="H111" s="93"/>
      <c r="I111" s="102"/>
      <c r="J111" s="94"/>
      <c r="K111" s="202"/>
      <c r="L111" s="202"/>
      <c r="M111" s="99"/>
      <c r="N111" s="111"/>
      <c r="O111" s="101"/>
      <c r="P111" s="94"/>
      <c r="Q111" s="102"/>
      <c r="R111" s="106"/>
      <c r="S111" s="102"/>
      <c r="T111" s="102"/>
      <c r="V111" s="104"/>
    </row>
    <row r="112" ht="15.75" customHeight="1">
      <c r="A112" s="91"/>
      <c r="B112" s="107"/>
      <c r="C112" s="93"/>
      <c r="D112" s="94"/>
      <c r="E112" s="238"/>
      <c r="F112" s="238"/>
      <c r="G112" s="94"/>
      <c r="H112" s="93"/>
      <c r="I112" s="102"/>
      <c r="J112" s="94"/>
      <c r="K112" s="98"/>
      <c r="L112" s="98"/>
      <c r="M112" s="99"/>
      <c r="N112" s="111"/>
      <c r="O112" s="101"/>
      <c r="P112" s="94"/>
      <c r="Q112" s="120"/>
      <c r="R112" s="103"/>
      <c r="S112" s="102"/>
      <c r="T112" s="102"/>
      <c r="V112" s="104"/>
    </row>
    <row r="113" ht="15.75" customHeight="1">
      <c r="A113" s="91"/>
      <c r="B113" s="107"/>
      <c r="C113" s="93"/>
      <c r="D113" s="94"/>
      <c r="E113" s="238"/>
      <c r="F113" s="238"/>
      <c r="G113" s="94"/>
      <c r="H113" s="93"/>
      <c r="I113" s="102"/>
      <c r="J113" s="94"/>
      <c r="K113" s="108"/>
      <c r="L113" s="108"/>
      <c r="M113" s="99"/>
      <c r="N113" s="100"/>
      <c r="O113" s="101"/>
      <c r="P113" s="94"/>
      <c r="Q113" s="109"/>
      <c r="R113" s="103"/>
      <c r="S113" s="102"/>
      <c r="T113" s="102"/>
      <c r="V113" s="104"/>
    </row>
    <row r="114" ht="15.75" customHeight="1">
      <c r="A114" s="91"/>
      <c r="B114" s="107"/>
      <c r="C114" s="93"/>
      <c r="D114" s="94"/>
      <c r="E114" s="238"/>
      <c r="F114" s="238"/>
      <c r="G114" s="94"/>
      <c r="H114" s="93"/>
      <c r="I114" s="102"/>
      <c r="J114" s="94"/>
      <c r="K114" s="252"/>
      <c r="L114" s="98"/>
      <c r="M114" s="99"/>
      <c r="N114" s="111"/>
      <c r="O114" s="112"/>
      <c r="P114" s="94"/>
      <c r="Q114" s="94"/>
      <c r="R114" s="113"/>
      <c r="S114" s="94"/>
      <c r="T114" s="94"/>
      <c r="V114" s="104"/>
    </row>
    <row r="115" ht="15.75" customHeight="1">
      <c r="A115" s="91"/>
      <c r="B115" s="107"/>
      <c r="C115" s="96"/>
      <c r="D115" s="94"/>
      <c r="E115" s="238"/>
      <c r="F115" s="238"/>
      <c r="G115" s="94"/>
      <c r="H115" s="93"/>
      <c r="I115" s="102"/>
      <c r="J115" s="94"/>
      <c r="K115" s="126"/>
      <c r="L115" s="108"/>
      <c r="M115" s="99"/>
      <c r="N115" s="100"/>
      <c r="O115" s="101"/>
      <c r="P115" s="94"/>
      <c r="Q115" s="102"/>
      <c r="R115" s="103"/>
      <c r="S115" s="102"/>
      <c r="T115" s="102"/>
      <c r="V115" s="104"/>
    </row>
    <row r="116" ht="15.75" customHeight="1">
      <c r="A116" s="91"/>
      <c r="B116" s="107"/>
      <c r="C116" s="110"/>
      <c r="D116" s="94"/>
      <c r="E116" s="238"/>
      <c r="F116" s="238"/>
      <c r="G116" s="94"/>
      <c r="H116" s="93"/>
      <c r="I116" s="102"/>
      <c r="J116" s="94"/>
      <c r="K116" s="98"/>
      <c r="L116" s="98"/>
      <c r="M116" s="99"/>
      <c r="N116" s="111"/>
      <c r="O116" s="112"/>
      <c r="P116" s="94"/>
      <c r="Q116" s="94"/>
      <c r="R116" s="113"/>
      <c r="S116" s="94"/>
      <c r="T116" s="94"/>
      <c r="V116" s="104"/>
    </row>
    <row r="117" ht="15.75" customHeight="1">
      <c r="A117" s="91"/>
      <c r="B117" s="107"/>
      <c r="C117" s="96"/>
      <c r="D117" s="94"/>
      <c r="E117" s="238"/>
      <c r="F117" s="238"/>
      <c r="G117" s="94"/>
      <c r="H117" s="93"/>
      <c r="I117" s="102"/>
      <c r="J117" s="94"/>
      <c r="K117" s="126"/>
      <c r="L117" s="126"/>
      <c r="M117" s="99"/>
      <c r="N117" s="100"/>
      <c r="O117" s="101"/>
      <c r="P117" s="94"/>
      <c r="Q117" s="117"/>
      <c r="R117" s="103"/>
      <c r="S117" s="102"/>
      <c r="T117" s="102"/>
      <c r="V117" s="104"/>
    </row>
    <row r="118" ht="15.75" customHeight="1">
      <c r="A118" s="91"/>
      <c r="B118" s="107"/>
      <c r="C118" s="110"/>
      <c r="D118" s="94"/>
      <c r="E118" s="239"/>
      <c r="F118" s="238"/>
      <c r="G118" s="94"/>
      <c r="H118" s="93"/>
      <c r="I118" s="102"/>
      <c r="J118" s="94"/>
      <c r="K118" s="125"/>
      <c r="L118" s="125"/>
      <c r="M118" s="99"/>
      <c r="N118" s="111"/>
      <c r="O118" s="112"/>
      <c r="P118" s="94"/>
      <c r="Q118" s="120"/>
      <c r="R118" s="113"/>
      <c r="S118" s="94"/>
      <c r="T118" s="94"/>
      <c r="V118" s="104"/>
    </row>
    <row r="119" ht="15.75" customHeight="1">
      <c r="A119" s="91"/>
      <c r="B119" s="107"/>
      <c r="C119" s="93"/>
      <c r="D119" s="94"/>
      <c r="E119" s="238"/>
      <c r="F119" s="238"/>
      <c r="G119" s="94"/>
      <c r="H119" s="93"/>
      <c r="I119" s="102"/>
      <c r="J119" s="94"/>
      <c r="K119" s="126"/>
      <c r="L119" s="126"/>
      <c r="M119" s="99"/>
      <c r="N119" s="111"/>
      <c r="O119" s="112"/>
      <c r="P119" s="94"/>
      <c r="Q119" s="94"/>
      <c r="R119" s="113"/>
      <c r="S119" s="94"/>
      <c r="T119" s="94"/>
      <c r="V119" s="104"/>
    </row>
    <row r="120" ht="15.75" customHeight="1">
      <c r="A120" s="91"/>
      <c r="B120" s="107"/>
      <c r="C120" s="93"/>
      <c r="D120" s="94"/>
      <c r="E120" s="238"/>
      <c r="F120" s="238"/>
      <c r="G120" s="94"/>
      <c r="H120" s="93"/>
      <c r="I120" s="102"/>
      <c r="J120" s="94"/>
      <c r="K120" s="125"/>
      <c r="L120" s="125"/>
      <c r="M120" s="99"/>
      <c r="N120" s="100"/>
      <c r="O120" s="101"/>
      <c r="P120" s="94"/>
      <c r="Q120" s="109"/>
      <c r="R120" s="103"/>
      <c r="S120" s="102"/>
      <c r="T120" s="102"/>
      <c r="V120" s="104"/>
    </row>
    <row r="121" ht="15.75" customHeight="1">
      <c r="A121" s="91"/>
      <c r="B121" s="107"/>
      <c r="C121" s="93"/>
      <c r="D121" s="94"/>
      <c r="E121" s="238"/>
      <c r="F121" s="238"/>
      <c r="G121" s="94"/>
      <c r="H121" s="93"/>
      <c r="I121" s="102"/>
      <c r="J121" s="94"/>
      <c r="K121" s="126"/>
      <c r="L121" s="126"/>
      <c r="M121" s="99"/>
      <c r="N121" s="111"/>
      <c r="O121" s="112"/>
      <c r="P121" s="94"/>
      <c r="Q121" s="94"/>
      <c r="R121" s="113"/>
      <c r="S121" s="94"/>
      <c r="T121" s="94"/>
      <c r="V121" s="104"/>
    </row>
    <row r="122" ht="15.75" customHeight="1">
      <c r="A122" s="91"/>
      <c r="B122" s="107"/>
      <c r="C122" s="93"/>
      <c r="D122" s="94"/>
      <c r="E122" s="238"/>
      <c r="F122" s="238"/>
      <c r="G122" s="94"/>
      <c r="H122" s="93"/>
      <c r="I122" s="102"/>
      <c r="J122" s="94"/>
      <c r="K122" s="125"/>
      <c r="L122" s="125"/>
      <c r="M122" s="99"/>
      <c r="N122" s="111"/>
      <c r="O122" s="112"/>
      <c r="P122" s="94"/>
      <c r="Q122" s="120"/>
      <c r="R122" s="113"/>
      <c r="S122" s="94"/>
      <c r="T122" s="94"/>
      <c r="V122" s="104"/>
    </row>
    <row r="123" ht="15.75" customHeight="1">
      <c r="A123" s="91"/>
      <c r="B123" s="107"/>
      <c r="C123" s="103"/>
      <c r="D123" s="94"/>
      <c r="E123" s="238"/>
      <c r="F123" s="238"/>
      <c r="G123" s="94"/>
      <c r="H123" s="93"/>
      <c r="I123" s="102"/>
      <c r="J123" s="94"/>
      <c r="K123" s="126"/>
      <c r="L123" s="126"/>
      <c r="M123" s="99"/>
      <c r="N123" s="111"/>
      <c r="O123" s="112"/>
      <c r="P123" s="94"/>
      <c r="Q123" s="117"/>
      <c r="R123" s="103"/>
      <c r="S123" s="94"/>
      <c r="T123" s="102"/>
      <c r="V123" s="104"/>
    </row>
    <row r="124" ht="15.75" customHeight="1">
      <c r="A124" s="91"/>
      <c r="B124" s="107"/>
      <c r="C124" s="103"/>
      <c r="D124" s="94"/>
      <c r="E124" s="238"/>
      <c r="F124" s="238"/>
      <c r="G124" s="94"/>
      <c r="H124" s="93"/>
      <c r="I124" s="102"/>
      <c r="J124" s="94"/>
      <c r="K124" s="125"/>
      <c r="L124" s="125"/>
      <c r="M124" s="99"/>
      <c r="N124" s="111"/>
      <c r="O124" s="112"/>
      <c r="P124" s="94"/>
      <c r="Q124" s="117"/>
      <c r="R124" s="103"/>
      <c r="S124" s="94"/>
      <c r="T124" s="102"/>
      <c r="V124" s="104"/>
    </row>
    <row r="125" ht="15.75" customHeight="1">
      <c r="A125" s="91"/>
      <c r="B125" s="107"/>
      <c r="C125" s="93"/>
      <c r="D125" s="94"/>
      <c r="E125" s="243"/>
      <c r="F125" s="238"/>
      <c r="G125" s="94"/>
      <c r="H125" s="93"/>
      <c r="I125" s="102"/>
      <c r="J125" s="94"/>
      <c r="K125" s="126"/>
      <c r="L125" s="126"/>
      <c r="M125" s="99"/>
      <c r="N125" s="111"/>
      <c r="O125" s="112"/>
      <c r="P125" s="94"/>
      <c r="Q125" s="120"/>
      <c r="R125" s="113"/>
      <c r="S125" s="94"/>
      <c r="T125" s="94"/>
      <c r="V125" s="104"/>
    </row>
    <row r="126" ht="15.75" customHeight="1">
      <c r="A126" s="91"/>
      <c r="B126" s="107"/>
      <c r="C126" s="93"/>
      <c r="D126" s="94"/>
      <c r="E126" s="238"/>
      <c r="F126" s="238"/>
      <c r="G126" s="94"/>
      <c r="H126" s="93"/>
      <c r="I126" s="102"/>
      <c r="J126" s="94"/>
      <c r="K126" s="125"/>
      <c r="L126" s="125"/>
      <c r="M126" s="99"/>
      <c r="N126" s="111"/>
      <c r="O126" s="112"/>
      <c r="P126" s="94"/>
      <c r="Q126" s="94"/>
      <c r="R126" s="113"/>
      <c r="S126" s="94"/>
      <c r="T126" s="94"/>
      <c r="V126" s="104"/>
    </row>
    <row r="127" ht="15.75" customHeight="1">
      <c r="A127" s="91"/>
      <c r="B127" s="107"/>
      <c r="C127" s="93"/>
      <c r="D127" s="94"/>
      <c r="E127" s="238"/>
      <c r="F127" s="238"/>
      <c r="G127" s="94"/>
      <c r="H127" s="93"/>
      <c r="I127" s="102"/>
      <c r="J127" s="94"/>
      <c r="K127" s="126"/>
      <c r="L127" s="126"/>
      <c r="M127" s="99"/>
      <c r="N127" s="100"/>
      <c r="O127" s="101"/>
      <c r="P127" s="94"/>
      <c r="Q127" s="109"/>
      <c r="R127" s="106"/>
      <c r="S127" s="102"/>
      <c r="T127" s="102"/>
      <c r="V127" s="104"/>
    </row>
    <row r="128" ht="15.75" customHeight="1">
      <c r="A128" s="91"/>
      <c r="B128" s="131"/>
      <c r="C128" s="132"/>
      <c r="D128" s="94"/>
      <c r="E128" s="247"/>
      <c r="F128" s="238"/>
      <c r="G128" s="94"/>
      <c r="H128" s="93"/>
      <c r="I128" s="102"/>
      <c r="J128" s="94"/>
      <c r="K128" s="125"/>
      <c r="L128" s="125"/>
      <c r="M128" s="99"/>
      <c r="N128" s="100"/>
      <c r="O128" s="112"/>
      <c r="P128" s="94"/>
      <c r="Q128" s="120"/>
      <c r="R128" s="113"/>
      <c r="S128" s="102"/>
      <c r="T128" s="94"/>
      <c r="V128" s="104"/>
    </row>
    <row r="129" ht="15.75" customHeight="1">
      <c r="A129" s="91"/>
      <c r="B129" s="131"/>
      <c r="C129" s="132"/>
      <c r="D129" s="94"/>
      <c r="E129" s="247"/>
      <c r="F129" s="238"/>
      <c r="G129" s="94"/>
      <c r="H129" s="93"/>
      <c r="I129" s="102"/>
      <c r="J129" s="94"/>
      <c r="K129" s="126"/>
      <c r="L129" s="126"/>
      <c r="M129" s="99"/>
      <c r="N129" s="100"/>
      <c r="O129" s="112"/>
      <c r="P129" s="94"/>
      <c r="Q129" s="94"/>
      <c r="R129" s="113"/>
      <c r="S129" s="102"/>
      <c r="T129" s="94"/>
      <c r="V129" s="104"/>
    </row>
    <row r="130" ht="15.75" customHeight="1">
      <c r="A130" s="91"/>
      <c r="B130" s="131"/>
      <c r="C130" s="104"/>
      <c r="D130" s="94"/>
      <c r="E130" s="247"/>
      <c r="F130" s="238"/>
      <c r="G130" s="94"/>
      <c r="H130" s="93"/>
      <c r="I130" s="102"/>
      <c r="J130" s="94"/>
      <c r="K130" s="125"/>
      <c r="L130" s="125"/>
      <c r="M130" s="99"/>
      <c r="N130" s="100"/>
      <c r="O130" s="112"/>
      <c r="P130" s="94"/>
      <c r="Q130" s="120"/>
      <c r="R130" s="113"/>
      <c r="S130" s="102"/>
      <c r="T130" s="94"/>
      <c r="V130" s="104"/>
    </row>
    <row r="131" ht="15.75" customHeight="1">
      <c r="A131" s="91"/>
      <c r="B131" s="131"/>
      <c r="C131" s="104"/>
      <c r="D131" s="94"/>
      <c r="E131" s="247"/>
      <c r="F131" s="238"/>
      <c r="G131" s="94"/>
      <c r="H131" s="93"/>
      <c r="I131" s="102"/>
      <c r="J131" s="94"/>
      <c r="K131" s="126"/>
      <c r="L131" s="126"/>
      <c r="M131" s="99"/>
      <c r="N131" s="100"/>
      <c r="O131" s="112"/>
      <c r="P131" s="94"/>
      <c r="Q131" s="120"/>
      <c r="R131" s="113"/>
      <c r="S131" s="102"/>
      <c r="T131" s="94"/>
      <c r="V131" s="104"/>
    </row>
    <row r="132" ht="15.75" customHeight="1">
      <c r="A132" s="91"/>
      <c r="B132" s="131"/>
      <c r="C132" s="132"/>
      <c r="D132" s="94"/>
      <c r="E132" s="247"/>
      <c r="F132" s="238"/>
      <c r="G132" s="94"/>
      <c r="H132" s="93"/>
      <c r="I132" s="102"/>
      <c r="J132" s="94"/>
      <c r="K132" s="125"/>
      <c r="L132" s="125"/>
      <c r="M132" s="99"/>
      <c r="N132" s="100"/>
      <c r="O132" s="112"/>
      <c r="P132" s="94"/>
      <c r="Q132" s="120"/>
      <c r="R132" s="113"/>
      <c r="S132" s="102"/>
      <c r="T132" s="94"/>
      <c r="V132" s="104"/>
    </row>
    <row r="133" ht="15.75" customHeight="1">
      <c r="A133" s="91"/>
      <c r="B133" s="131"/>
      <c r="C133" s="132"/>
      <c r="D133" s="94"/>
      <c r="E133" s="247"/>
      <c r="F133" s="238"/>
      <c r="G133" s="94"/>
      <c r="H133" s="93"/>
      <c r="I133" s="102"/>
      <c r="J133" s="94"/>
      <c r="K133" s="126"/>
      <c r="L133" s="126"/>
      <c r="M133" s="99"/>
      <c r="N133" s="100"/>
      <c r="O133" s="112"/>
      <c r="P133" s="94"/>
      <c r="Q133" s="94"/>
      <c r="R133" s="113"/>
      <c r="S133" s="102"/>
      <c r="T133" s="94"/>
      <c r="V133" s="104"/>
    </row>
    <row r="134" ht="15.75" customHeight="1">
      <c r="A134" s="91"/>
      <c r="B134" s="131"/>
      <c r="C134" s="132"/>
      <c r="D134" s="94"/>
      <c r="E134" s="247"/>
      <c r="F134" s="238"/>
      <c r="G134" s="94"/>
      <c r="H134" s="93"/>
      <c r="I134" s="102"/>
      <c r="J134" s="94"/>
      <c r="K134" s="125"/>
      <c r="L134" s="125"/>
      <c r="M134" s="99"/>
      <c r="N134" s="100"/>
      <c r="O134" s="112"/>
      <c r="P134" s="94"/>
      <c r="Q134" s="120"/>
      <c r="R134" s="113"/>
      <c r="S134" s="102"/>
      <c r="T134" s="94"/>
      <c r="V134" s="104"/>
    </row>
    <row r="135" ht="15.75" customHeight="1">
      <c r="A135" s="91"/>
      <c r="B135" s="131"/>
      <c r="C135" s="132"/>
      <c r="D135" s="94"/>
      <c r="E135" s="247"/>
      <c r="F135" s="238"/>
      <c r="G135" s="94"/>
      <c r="H135" s="93"/>
      <c r="I135" s="133"/>
      <c r="J135" s="94"/>
      <c r="K135" s="126"/>
      <c r="L135" s="126"/>
      <c r="M135" s="99"/>
      <c r="N135" s="111"/>
      <c r="O135" s="112"/>
      <c r="P135" s="94"/>
      <c r="Q135" s="94"/>
      <c r="R135" s="113"/>
      <c r="S135" s="94"/>
      <c r="T135" s="94"/>
      <c r="V135" s="104"/>
    </row>
    <row r="136" ht="15.75" customHeight="1">
      <c r="A136" s="91"/>
      <c r="B136" s="131"/>
      <c r="C136" s="132"/>
      <c r="D136" s="94"/>
      <c r="E136" s="247"/>
      <c r="F136" s="238"/>
      <c r="G136" s="94"/>
      <c r="H136" s="93"/>
      <c r="I136" s="94"/>
      <c r="J136" s="94"/>
      <c r="K136" s="125"/>
      <c r="L136" s="125"/>
      <c r="M136" s="99"/>
      <c r="N136" s="111"/>
      <c r="O136" s="112"/>
      <c r="P136" s="94"/>
      <c r="Q136" s="120"/>
      <c r="R136" s="113"/>
      <c r="S136" s="94"/>
      <c r="T136" s="94"/>
      <c r="V136" s="104"/>
    </row>
    <row r="137" ht="15.75" customHeight="1">
      <c r="A137" s="91"/>
      <c r="B137" s="131"/>
      <c r="C137" s="104"/>
      <c r="D137" s="94"/>
      <c r="E137" s="247"/>
      <c r="F137" s="238"/>
      <c r="G137" s="94"/>
      <c r="H137" s="93"/>
      <c r="I137" s="94"/>
      <c r="J137" s="94"/>
      <c r="K137" s="126"/>
      <c r="L137" s="126"/>
      <c r="M137" s="99"/>
      <c r="N137" s="111"/>
      <c r="O137" s="112"/>
      <c r="P137" s="94"/>
      <c r="Q137" s="94"/>
      <c r="R137" s="113"/>
      <c r="S137" s="94"/>
      <c r="T137" s="94"/>
      <c r="V137" s="104"/>
    </row>
    <row r="138" ht="15.75" customHeight="1">
      <c r="A138" s="91"/>
      <c r="B138" s="131"/>
      <c r="C138" s="104"/>
      <c r="D138" s="94"/>
      <c r="E138" s="247"/>
      <c r="F138" s="238"/>
      <c r="G138" s="94"/>
      <c r="H138" s="93"/>
      <c r="I138" s="94"/>
      <c r="J138" s="94"/>
      <c r="K138" s="125"/>
      <c r="L138" s="125"/>
      <c r="M138" s="99"/>
      <c r="N138" s="111"/>
      <c r="O138" s="112"/>
      <c r="P138" s="94"/>
      <c r="Q138" s="94"/>
      <c r="R138" s="113"/>
      <c r="S138" s="94"/>
      <c r="T138" s="94"/>
      <c r="V138" s="104"/>
    </row>
    <row r="139" ht="15.75" customHeight="1">
      <c r="A139" s="91"/>
      <c r="B139" s="131"/>
      <c r="C139" s="104"/>
      <c r="D139" s="94"/>
      <c r="E139" s="247"/>
      <c r="F139" s="238"/>
      <c r="G139" s="94"/>
      <c r="H139" s="93"/>
      <c r="I139" s="94"/>
      <c r="J139" s="94"/>
      <c r="K139" s="126"/>
      <c r="L139" s="126"/>
      <c r="M139" s="99"/>
      <c r="N139" s="111"/>
      <c r="O139" s="112"/>
      <c r="P139" s="94"/>
      <c r="Q139" s="94"/>
      <c r="R139" s="113"/>
      <c r="S139" s="94"/>
      <c r="T139" s="94"/>
      <c r="V139" s="104"/>
    </row>
    <row r="140" ht="15.75" customHeight="1">
      <c r="A140" s="91"/>
      <c r="B140" s="131"/>
      <c r="C140" s="132"/>
      <c r="D140" s="94"/>
      <c r="E140" s="247"/>
      <c r="F140" s="238"/>
      <c r="G140" s="94"/>
      <c r="H140" s="93"/>
      <c r="I140" s="94"/>
      <c r="J140" s="94"/>
      <c r="K140" s="125"/>
      <c r="L140" s="125"/>
      <c r="M140" s="99"/>
      <c r="N140" s="111"/>
      <c r="O140" s="112"/>
      <c r="P140" s="94"/>
      <c r="Q140" s="94"/>
      <c r="R140" s="113"/>
      <c r="S140" s="94"/>
      <c r="T140" s="94"/>
      <c r="V140" s="104"/>
    </row>
    <row r="141" ht="15.75" customHeight="1">
      <c r="A141" s="91"/>
      <c r="B141" s="131"/>
      <c r="C141" s="132"/>
      <c r="D141" s="94"/>
      <c r="E141" s="247"/>
      <c r="F141" s="238"/>
      <c r="G141" s="94"/>
      <c r="H141" s="93"/>
      <c r="I141" s="94"/>
      <c r="J141" s="94"/>
      <c r="K141" s="126"/>
      <c r="L141" s="126"/>
      <c r="M141" s="99"/>
      <c r="N141" s="111"/>
      <c r="O141" s="112"/>
      <c r="P141" s="94"/>
      <c r="Q141" s="94"/>
      <c r="R141" s="113"/>
      <c r="S141" s="94"/>
      <c r="T141" s="94"/>
      <c r="V141" s="104"/>
    </row>
    <row r="142" ht="15.75" customHeight="1">
      <c r="A142" s="91"/>
      <c r="B142" s="131"/>
      <c r="C142" s="132"/>
      <c r="D142" s="94"/>
      <c r="E142" s="247"/>
      <c r="F142" s="238"/>
      <c r="G142" s="94"/>
      <c r="H142" s="93"/>
      <c r="I142" s="94"/>
      <c r="J142" s="94"/>
      <c r="K142" s="125"/>
      <c r="L142" s="125"/>
      <c r="M142" s="99"/>
      <c r="N142" s="111"/>
      <c r="O142" s="112"/>
      <c r="P142" s="94"/>
      <c r="Q142" s="94"/>
      <c r="R142" s="113"/>
      <c r="S142" s="94"/>
      <c r="T142" s="94"/>
      <c r="V142" s="104"/>
    </row>
    <row r="143" ht="15.75" customHeight="1">
      <c r="A143" s="91"/>
      <c r="B143" s="131"/>
      <c r="C143" s="132"/>
      <c r="D143" s="94"/>
      <c r="E143" s="247"/>
      <c r="F143" s="238"/>
      <c r="G143" s="94"/>
      <c r="H143" s="93"/>
      <c r="I143" s="94"/>
      <c r="J143" s="94"/>
      <c r="K143" s="126"/>
      <c r="L143" s="126"/>
      <c r="M143" s="99"/>
      <c r="N143" s="111"/>
      <c r="O143" s="112"/>
      <c r="P143" s="94"/>
      <c r="Q143" s="94"/>
      <c r="R143" s="113"/>
      <c r="S143" s="94"/>
      <c r="T143" s="94"/>
      <c r="V143" s="104"/>
    </row>
    <row r="144" ht="15.75" customHeight="1">
      <c r="A144" s="91"/>
      <c r="B144" s="131"/>
      <c r="C144" s="132"/>
      <c r="D144" s="94"/>
      <c r="E144" s="247"/>
      <c r="F144" s="238"/>
      <c r="G144" s="94"/>
      <c r="H144" s="93"/>
      <c r="I144" s="94"/>
      <c r="J144" s="94"/>
      <c r="K144" s="125"/>
      <c r="L144" s="125"/>
      <c r="M144" s="99"/>
      <c r="N144" s="111"/>
      <c r="O144" s="112"/>
      <c r="P144" s="94"/>
      <c r="Q144" s="120"/>
      <c r="R144" s="113"/>
      <c r="S144" s="94"/>
      <c r="T144" s="94"/>
      <c r="V144" s="104"/>
    </row>
    <row r="145" ht="15.75" customHeight="1">
      <c r="A145" s="91"/>
      <c r="B145" s="131"/>
      <c r="C145" s="104"/>
      <c r="D145" s="94"/>
      <c r="E145" s="247"/>
      <c r="F145" s="238"/>
      <c r="G145" s="94"/>
      <c r="H145" s="93"/>
      <c r="I145" s="94"/>
      <c r="J145" s="94"/>
      <c r="K145" s="126"/>
      <c r="L145" s="126"/>
      <c r="M145" s="99"/>
      <c r="N145" s="111"/>
      <c r="O145" s="112"/>
      <c r="P145" s="94"/>
      <c r="Q145" s="94"/>
      <c r="R145" s="113"/>
      <c r="S145" s="94"/>
      <c r="T145" s="94"/>
      <c r="V145" s="104"/>
    </row>
    <row r="146" ht="15.75" customHeight="1">
      <c r="A146" s="91"/>
      <c r="B146" s="131"/>
      <c r="C146" s="104"/>
      <c r="D146" s="94"/>
      <c r="E146" s="247"/>
      <c r="F146" s="238"/>
      <c r="G146" s="94"/>
      <c r="H146" s="93"/>
      <c r="I146" s="94"/>
      <c r="J146" s="94"/>
      <c r="K146" s="125"/>
      <c r="L146" s="125"/>
      <c r="M146" s="99"/>
      <c r="N146" s="111"/>
      <c r="O146" s="112"/>
      <c r="P146" s="94"/>
      <c r="Q146" s="94"/>
      <c r="R146" s="113"/>
      <c r="S146" s="94"/>
      <c r="T146" s="94"/>
      <c r="V146" s="104"/>
    </row>
    <row r="147" ht="15.75" customHeight="1">
      <c r="A147" s="91"/>
      <c r="B147" s="131"/>
      <c r="C147" s="104"/>
      <c r="D147" s="94"/>
      <c r="E147" s="247"/>
      <c r="F147" s="238"/>
      <c r="G147" s="94"/>
      <c r="H147" s="93"/>
      <c r="I147" s="94"/>
      <c r="J147" s="94"/>
      <c r="K147" s="126"/>
      <c r="L147" s="126"/>
      <c r="M147" s="99"/>
      <c r="N147" s="111"/>
      <c r="O147" s="112"/>
      <c r="P147" s="94"/>
      <c r="Q147" s="120"/>
      <c r="R147" s="113"/>
      <c r="S147" s="94"/>
      <c r="T147" s="94"/>
      <c r="V147" s="104"/>
    </row>
    <row r="148" ht="15.75" customHeight="1">
      <c r="A148" s="91"/>
      <c r="B148" s="131"/>
      <c r="C148" s="132"/>
      <c r="D148" s="94"/>
      <c r="E148" s="247"/>
      <c r="F148" s="238"/>
      <c r="G148" s="94"/>
      <c r="H148" s="93"/>
      <c r="I148" s="94"/>
      <c r="J148" s="94"/>
      <c r="K148" s="125"/>
      <c r="L148" s="125"/>
      <c r="M148" s="99"/>
      <c r="N148" s="111"/>
      <c r="O148" s="112"/>
      <c r="P148" s="94"/>
      <c r="Q148" s="120"/>
      <c r="R148" s="113"/>
      <c r="S148" s="94"/>
      <c r="T148" s="94"/>
      <c r="V148" s="104"/>
    </row>
    <row r="149" ht="15.75" customHeight="1">
      <c r="A149" s="91"/>
      <c r="B149" s="131"/>
      <c r="C149" s="132"/>
      <c r="D149" s="94"/>
      <c r="E149" s="247"/>
      <c r="F149" s="238"/>
      <c r="G149" s="94"/>
      <c r="H149" s="93"/>
      <c r="I149" s="94"/>
      <c r="J149" s="94"/>
      <c r="K149" s="126"/>
      <c r="L149" s="126"/>
      <c r="M149" s="99"/>
      <c r="N149" s="111"/>
      <c r="O149" s="112"/>
      <c r="P149" s="94"/>
      <c r="Q149" s="120"/>
      <c r="R149" s="113"/>
      <c r="S149" s="94"/>
      <c r="T149" s="94"/>
      <c r="V149" s="104"/>
    </row>
    <row r="150" ht="15.75" customHeight="1">
      <c r="A150" s="91"/>
      <c r="B150" s="131"/>
      <c r="C150" s="132"/>
      <c r="D150" s="94"/>
      <c r="E150" s="247"/>
      <c r="F150" s="238"/>
      <c r="G150" s="94"/>
      <c r="H150" s="93"/>
      <c r="I150" s="94"/>
      <c r="J150" s="94"/>
      <c r="K150" s="125"/>
      <c r="L150" s="125"/>
      <c r="M150" s="99"/>
      <c r="N150" s="111"/>
      <c r="O150" s="112"/>
      <c r="P150" s="94"/>
      <c r="Q150" s="120"/>
      <c r="R150" s="113"/>
      <c r="S150" s="94"/>
      <c r="T150" s="94"/>
      <c r="V150" s="104"/>
    </row>
    <row r="151" ht="15.75" customHeight="1">
      <c r="A151" s="91"/>
      <c r="B151" s="131"/>
      <c r="C151" s="132"/>
      <c r="D151" s="94"/>
      <c r="E151" s="247"/>
      <c r="F151" s="238"/>
      <c r="G151" s="94"/>
      <c r="H151" s="93"/>
      <c r="I151" s="94"/>
      <c r="J151" s="94"/>
      <c r="K151" s="126"/>
      <c r="L151" s="126"/>
      <c r="M151" s="99"/>
      <c r="N151" s="111"/>
      <c r="O151" s="112"/>
      <c r="P151" s="94"/>
      <c r="Q151" s="120"/>
      <c r="R151" s="113"/>
      <c r="S151" s="94"/>
      <c r="T151" s="94"/>
      <c r="V151" s="104"/>
    </row>
    <row r="152" ht="15.75" customHeight="1">
      <c r="A152" s="91"/>
      <c r="B152" s="131"/>
      <c r="C152" s="132"/>
      <c r="D152" s="94"/>
      <c r="E152" s="247"/>
      <c r="F152" s="247"/>
      <c r="G152" s="94"/>
      <c r="H152" s="93"/>
      <c r="I152" s="94"/>
      <c r="J152" s="94"/>
      <c r="K152" s="125"/>
      <c r="L152" s="125"/>
      <c r="M152" s="99"/>
      <c r="N152" s="111"/>
      <c r="O152" s="112"/>
      <c r="P152" s="94"/>
      <c r="Q152" s="120"/>
      <c r="R152" s="113"/>
      <c r="S152" s="94"/>
      <c r="T152" s="94"/>
      <c r="V152" s="104"/>
    </row>
    <row r="153" ht="15.75" customHeight="1">
      <c r="A153" s="91"/>
      <c r="B153" s="131"/>
      <c r="C153" s="104"/>
      <c r="D153" s="94"/>
      <c r="E153" s="247"/>
      <c r="F153" s="247"/>
      <c r="G153" s="94"/>
      <c r="H153" s="93"/>
      <c r="I153" s="94"/>
      <c r="J153" s="94"/>
      <c r="K153" s="126"/>
      <c r="L153" s="126"/>
      <c r="M153" s="99"/>
      <c r="N153" s="111"/>
      <c r="O153" s="112"/>
      <c r="P153" s="94"/>
      <c r="Q153" s="94"/>
      <c r="R153" s="113"/>
      <c r="S153" s="94"/>
      <c r="T153" s="94"/>
      <c r="V153" s="104"/>
    </row>
    <row r="154" ht="15.75" customHeight="1">
      <c r="A154" s="91"/>
      <c r="B154" s="131"/>
      <c r="C154" s="104"/>
      <c r="D154" s="94"/>
      <c r="E154" s="247"/>
      <c r="F154" s="247"/>
      <c r="G154" s="94"/>
      <c r="H154" s="93"/>
      <c r="I154" s="94"/>
      <c r="J154" s="94"/>
      <c r="K154" s="125"/>
      <c r="L154" s="125"/>
      <c r="M154" s="99"/>
      <c r="N154" s="111"/>
      <c r="O154" s="112"/>
      <c r="P154" s="94"/>
      <c r="Q154" s="120"/>
      <c r="R154" s="113"/>
      <c r="S154" s="94"/>
      <c r="T154" s="94"/>
      <c r="V154" s="104"/>
    </row>
    <row r="155" ht="15.75" customHeight="1">
      <c r="A155" s="91"/>
      <c r="B155" s="131"/>
      <c r="C155" s="104"/>
      <c r="D155" s="94"/>
      <c r="E155" s="247"/>
      <c r="F155" s="247"/>
      <c r="G155" s="94"/>
      <c r="H155" s="93"/>
      <c r="I155" s="94"/>
      <c r="J155" s="94"/>
      <c r="K155" s="126"/>
      <c r="L155" s="126"/>
      <c r="M155" s="99"/>
      <c r="N155" s="111"/>
      <c r="O155" s="112"/>
      <c r="P155" s="94"/>
      <c r="Q155" s="94"/>
      <c r="R155" s="113"/>
      <c r="S155" s="94"/>
      <c r="T155" s="94"/>
      <c r="V155" s="104"/>
    </row>
    <row r="156" ht="15.75" customHeight="1">
      <c r="A156" s="91"/>
      <c r="B156" s="131"/>
      <c r="C156" s="132"/>
      <c r="D156" s="94"/>
      <c r="E156" s="247"/>
      <c r="F156" s="247"/>
      <c r="G156" s="94"/>
      <c r="H156" s="93"/>
      <c r="I156" s="94"/>
      <c r="J156" s="94"/>
      <c r="K156" s="125"/>
      <c r="L156" s="125"/>
      <c r="M156" s="99"/>
      <c r="N156" s="111"/>
      <c r="O156" s="112"/>
      <c r="P156" s="94"/>
      <c r="Q156" s="94"/>
      <c r="R156" s="113"/>
      <c r="S156" s="94"/>
      <c r="T156" s="94"/>
      <c r="V156" s="104"/>
    </row>
    <row r="157" ht="15.75" customHeight="1">
      <c r="A157" s="91"/>
      <c r="B157" s="131"/>
      <c r="C157" s="132"/>
      <c r="D157" s="94"/>
      <c r="E157" s="247"/>
      <c r="F157" s="247"/>
      <c r="G157" s="94"/>
      <c r="H157" s="93"/>
      <c r="I157" s="94"/>
      <c r="J157" s="94"/>
      <c r="K157" s="126"/>
      <c r="L157" s="126"/>
      <c r="M157" s="99"/>
      <c r="N157" s="111"/>
      <c r="O157" s="112"/>
      <c r="P157" s="94"/>
      <c r="Q157" s="120"/>
      <c r="R157" s="113"/>
      <c r="S157" s="94"/>
      <c r="T157" s="94"/>
      <c r="V157" s="104"/>
    </row>
    <row r="158" ht="15.75" customHeight="1">
      <c r="A158" s="91"/>
      <c r="B158" s="131"/>
      <c r="C158" s="132"/>
      <c r="D158" s="94"/>
      <c r="E158" s="247"/>
      <c r="F158" s="247"/>
      <c r="G158" s="94"/>
      <c r="H158" s="93"/>
      <c r="I158" s="94"/>
      <c r="J158" s="94"/>
      <c r="K158" s="125"/>
      <c r="L158" s="125"/>
      <c r="M158" s="99"/>
      <c r="N158" s="111"/>
      <c r="O158" s="112"/>
      <c r="P158" s="94"/>
      <c r="Q158" s="94"/>
      <c r="R158" s="113"/>
      <c r="S158" s="94"/>
      <c r="T158" s="94"/>
      <c r="V158" s="104"/>
    </row>
    <row r="159" ht="15.75" customHeight="1">
      <c r="A159" s="91"/>
      <c r="B159" s="131"/>
      <c r="C159" s="132"/>
      <c r="D159" s="94"/>
      <c r="E159" s="247"/>
      <c r="F159" s="247"/>
      <c r="G159" s="94"/>
      <c r="H159" s="93"/>
      <c r="I159" s="94"/>
      <c r="J159" s="94"/>
      <c r="K159" s="126"/>
      <c r="L159" s="126"/>
      <c r="M159" s="99"/>
      <c r="N159" s="111"/>
      <c r="O159" s="112"/>
      <c r="P159" s="94"/>
      <c r="Q159" s="94"/>
      <c r="R159" s="113"/>
      <c r="S159" s="94"/>
      <c r="T159" s="94"/>
      <c r="V159" s="104"/>
    </row>
    <row r="160" ht="15.75" customHeight="1">
      <c r="A160" s="91"/>
      <c r="B160" s="131"/>
      <c r="C160" s="132"/>
      <c r="D160" s="94"/>
      <c r="E160" s="247"/>
      <c r="F160" s="247"/>
      <c r="G160" s="94"/>
      <c r="H160" s="93"/>
      <c r="I160" s="94"/>
      <c r="J160" s="94"/>
      <c r="K160" s="125"/>
      <c r="L160" s="125"/>
      <c r="M160" s="99"/>
      <c r="N160" s="111"/>
      <c r="O160" s="112"/>
      <c r="P160" s="94"/>
      <c r="Q160" s="120"/>
      <c r="R160" s="113"/>
      <c r="S160" s="94"/>
      <c r="T160" s="94"/>
      <c r="V160" s="104"/>
    </row>
    <row r="161" ht="15.75" customHeight="1">
      <c r="A161" s="91"/>
      <c r="B161" s="131"/>
      <c r="C161" s="104"/>
      <c r="D161" s="94"/>
      <c r="E161" s="247"/>
      <c r="F161" s="247"/>
      <c r="G161" s="94"/>
      <c r="H161" s="93"/>
      <c r="I161" s="94"/>
      <c r="J161" s="94"/>
      <c r="K161" s="126"/>
      <c r="L161" s="126"/>
      <c r="M161" s="99"/>
      <c r="N161" s="111"/>
      <c r="O161" s="112"/>
      <c r="P161" s="94"/>
      <c r="Q161" s="94"/>
      <c r="R161" s="113"/>
      <c r="S161" s="94"/>
      <c r="T161" s="94"/>
      <c r="V161" s="104"/>
    </row>
    <row r="162" ht="15.75" customHeight="1">
      <c r="A162" s="91"/>
      <c r="B162" s="131"/>
      <c r="C162" s="104"/>
      <c r="D162" s="94"/>
      <c r="E162" s="247"/>
      <c r="F162" s="247"/>
      <c r="G162" s="94"/>
      <c r="H162" s="93"/>
      <c r="I162" s="94"/>
      <c r="J162" s="94"/>
      <c r="K162" s="125"/>
      <c r="L162" s="125"/>
      <c r="M162" s="99"/>
      <c r="N162" s="111"/>
      <c r="O162" s="112"/>
      <c r="P162" s="94"/>
      <c r="Q162" s="120"/>
      <c r="R162" s="113"/>
      <c r="S162" s="94"/>
      <c r="T162" s="94"/>
      <c r="V162" s="104"/>
    </row>
    <row r="163" ht="15.75" customHeight="1">
      <c r="A163" s="91"/>
      <c r="B163" s="131"/>
      <c r="C163" s="104"/>
      <c r="D163" s="94"/>
      <c r="E163" s="247"/>
      <c r="F163" s="247"/>
      <c r="G163" s="94"/>
      <c r="H163" s="93"/>
      <c r="I163" s="94"/>
      <c r="J163" s="94"/>
      <c r="K163" s="126"/>
      <c r="L163" s="126"/>
      <c r="M163" s="99"/>
      <c r="N163" s="111"/>
      <c r="O163" s="112"/>
      <c r="P163" s="94"/>
      <c r="Q163" s="120"/>
      <c r="R163" s="113"/>
      <c r="S163" s="94"/>
      <c r="T163" s="94"/>
      <c r="V163" s="104"/>
    </row>
    <row r="164" ht="15.75" customHeight="1">
      <c r="A164" s="91"/>
      <c r="B164" s="131"/>
      <c r="C164" s="132"/>
      <c r="D164" s="94"/>
      <c r="E164" s="247"/>
      <c r="F164" s="247"/>
      <c r="G164" s="94"/>
      <c r="H164" s="93"/>
      <c r="I164" s="94"/>
      <c r="J164" s="94"/>
      <c r="K164" s="125"/>
      <c r="L164" s="125"/>
      <c r="M164" s="99"/>
      <c r="N164" s="111"/>
      <c r="O164" s="112"/>
      <c r="P164" s="94"/>
      <c r="Q164" s="120"/>
      <c r="R164" s="113"/>
      <c r="S164" s="94"/>
      <c r="T164" s="94"/>
      <c r="V164" s="104"/>
    </row>
    <row r="165" ht="15.75" customHeight="1">
      <c r="A165" s="91"/>
      <c r="B165" s="131"/>
      <c r="C165" s="132"/>
      <c r="D165" s="94"/>
      <c r="E165" s="247"/>
      <c r="F165" s="247"/>
      <c r="G165" s="94"/>
      <c r="H165" s="93"/>
      <c r="I165" s="94"/>
      <c r="J165" s="94"/>
      <c r="K165" s="126"/>
      <c r="L165" s="126"/>
      <c r="M165" s="99"/>
      <c r="N165" s="111"/>
      <c r="O165" s="112"/>
      <c r="P165" s="94"/>
      <c r="Q165" s="94"/>
      <c r="R165" s="113"/>
      <c r="S165" s="94"/>
      <c r="T165" s="94"/>
      <c r="V165" s="104"/>
    </row>
    <row r="166" ht="15.75" customHeight="1">
      <c r="A166" s="91"/>
      <c r="B166" s="131"/>
      <c r="C166" s="132"/>
      <c r="D166" s="94"/>
      <c r="E166" s="247"/>
      <c r="F166" s="247"/>
      <c r="G166" s="94"/>
      <c r="H166" s="93"/>
      <c r="I166" s="94"/>
      <c r="J166" s="94"/>
      <c r="K166" s="125"/>
      <c r="L166" s="125"/>
      <c r="M166" s="99"/>
      <c r="N166" s="111"/>
      <c r="O166" s="112"/>
      <c r="P166" s="94"/>
      <c r="Q166" s="120"/>
      <c r="R166" s="113"/>
      <c r="S166" s="94"/>
      <c r="T166" s="94"/>
      <c r="V166" s="104"/>
    </row>
    <row r="167" ht="15.75" customHeight="1">
      <c r="A167" s="91"/>
      <c r="B167" s="131"/>
      <c r="C167" s="132"/>
      <c r="D167" s="94"/>
      <c r="E167" s="247"/>
      <c r="F167" s="247"/>
      <c r="G167" s="94"/>
      <c r="H167" s="93"/>
      <c r="I167" s="94"/>
      <c r="J167" s="94"/>
      <c r="K167" s="126"/>
      <c r="L167" s="126"/>
      <c r="M167" s="99"/>
      <c r="N167" s="111"/>
      <c r="O167" s="112"/>
      <c r="P167" s="94"/>
      <c r="Q167" s="94"/>
      <c r="R167" s="113"/>
      <c r="S167" s="94"/>
      <c r="T167" s="94"/>
      <c r="V167" s="104"/>
    </row>
    <row r="168" ht="15.75" customHeight="1">
      <c r="A168" s="91"/>
      <c r="B168" s="131"/>
      <c r="C168" s="132"/>
      <c r="D168" s="94"/>
      <c r="E168" s="247"/>
      <c r="F168" s="248"/>
      <c r="G168" s="94"/>
      <c r="H168" s="93"/>
      <c r="I168" s="94"/>
      <c r="J168" s="94"/>
      <c r="K168" s="125"/>
      <c r="L168" s="125"/>
      <c r="M168" s="99"/>
      <c r="N168" s="111"/>
      <c r="O168" s="112"/>
      <c r="P168" s="94"/>
      <c r="Q168" s="120"/>
      <c r="R168" s="113"/>
      <c r="S168" s="94"/>
      <c r="T168" s="94"/>
      <c r="V168" s="104"/>
    </row>
    <row r="169" ht="15.75" customHeight="1">
      <c r="A169" s="91"/>
      <c r="B169" s="131"/>
      <c r="C169" s="104"/>
      <c r="D169" s="94"/>
      <c r="E169" s="247"/>
      <c r="F169" s="247"/>
      <c r="G169" s="94"/>
      <c r="H169" s="93"/>
      <c r="I169" s="94"/>
      <c r="J169" s="94"/>
      <c r="K169" s="126"/>
      <c r="L169" s="126"/>
      <c r="M169" s="99"/>
      <c r="N169" s="111"/>
      <c r="O169" s="112"/>
      <c r="P169" s="94"/>
      <c r="Q169" s="94"/>
      <c r="R169" s="113"/>
      <c r="S169" s="94"/>
      <c r="T169" s="94"/>
      <c r="V169" s="104"/>
    </row>
    <row r="170" ht="15.75" customHeight="1">
      <c r="A170" s="91"/>
      <c r="B170" s="131"/>
      <c r="C170" s="104"/>
      <c r="D170" s="94"/>
      <c r="E170" s="247"/>
      <c r="F170" s="247"/>
      <c r="G170" s="94"/>
      <c r="H170" s="93"/>
      <c r="I170" s="94"/>
      <c r="J170" s="94"/>
      <c r="K170" s="125"/>
      <c r="L170" s="125"/>
      <c r="M170" s="99"/>
      <c r="N170" s="111"/>
      <c r="O170" s="112"/>
      <c r="P170" s="94"/>
      <c r="Q170" s="120"/>
      <c r="R170" s="113"/>
      <c r="S170" s="94"/>
      <c r="T170" s="94"/>
      <c r="V170" s="104"/>
    </row>
    <row r="171" ht="15.75" customHeight="1">
      <c r="A171" s="91"/>
      <c r="B171" s="131"/>
      <c r="C171" s="132"/>
      <c r="D171" s="94"/>
      <c r="E171" s="247"/>
      <c r="F171" s="247"/>
      <c r="G171" s="94"/>
      <c r="H171" s="93"/>
      <c r="I171" s="94"/>
      <c r="J171" s="94"/>
      <c r="K171" s="126"/>
      <c r="L171" s="126"/>
      <c r="M171" s="99"/>
      <c r="N171" s="111"/>
      <c r="O171" s="112"/>
      <c r="P171" s="94"/>
      <c r="Q171" s="120"/>
      <c r="R171" s="113"/>
      <c r="S171" s="94"/>
      <c r="T171" s="94"/>
      <c r="V171" s="104"/>
    </row>
    <row r="172" ht="15.75" customHeight="1">
      <c r="A172" s="91"/>
      <c r="B172" s="131"/>
      <c r="C172" s="132"/>
      <c r="D172" s="94"/>
      <c r="E172" s="247"/>
      <c r="F172" s="247"/>
      <c r="G172" s="94"/>
      <c r="H172" s="93"/>
      <c r="I172" s="94"/>
      <c r="J172" s="94"/>
      <c r="K172" s="125"/>
      <c r="L172" s="125"/>
      <c r="M172" s="99"/>
      <c r="N172" s="111"/>
      <c r="O172" s="112"/>
      <c r="P172" s="94"/>
      <c r="Q172" s="120"/>
      <c r="R172" s="113"/>
      <c r="S172" s="94"/>
      <c r="T172" s="94"/>
      <c r="V172" s="104"/>
    </row>
    <row r="173" ht="15.75" customHeight="1">
      <c r="A173" s="91"/>
      <c r="B173" s="131"/>
      <c r="C173" s="132"/>
      <c r="D173" s="94"/>
      <c r="E173" s="247"/>
      <c r="F173" s="247"/>
      <c r="G173" s="94"/>
      <c r="H173" s="93"/>
      <c r="I173" s="94"/>
      <c r="J173" s="94"/>
      <c r="K173" s="126"/>
      <c r="L173" s="126"/>
      <c r="M173" s="99"/>
      <c r="N173" s="111"/>
      <c r="O173" s="112"/>
      <c r="P173" s="94"/>
      <c r="Q173" s="120"/>
      <c r="R173" s="113"/>
      <c r="S173" s="94"/>
      <c r="T173" s="94"/>
      <c r="V173" s="104"/>
    </row>
    <row r="174" ht="15.75" customHeight="1">
      <c r="A174" s="91"/>
      <c r="B174" s="131"/>
      <c r="C174" s="132"/>
      <c r="D174" s="94"/>
      <c r="E174" s="247"/>
      <c r="F174" s="247"/>
      <c r="G174" s="94"/>
      <c r="H174" s="93"/>
      <c r="I174" s="94"/>
      <c r="J174" s="94"/>
      <c r="K174" s="125"/>
      <c r="L174" s="125"/>
      <c r="M174" s="99"/>
      <c r="N174" s="111"/>
      <c r="O174" s="112"/>
      <c r="P174" s="94"/>
      <c r="Q174" s="120"/>
      <c r="R174" s="113"/>
      <c r="S174" s="94"/>
      <c r="T174" s="94"/>
      <c r="V174" s="104"/>
    </row>
    <row r="175" ht="15.75" customHeight="1">
      <c r="A175" s="91"/>
      <c r="B175" s="131"/>
      <c r="C175" s="132"/>
      <c r="D175" s="94"/>
      <c r="E175" s="247"/>
      <c r="F175" s="247"/>
      <c r="G175" s="94"/>
      <c r="H175" s="93"/>
      <c r="I175" s="94"/>
      <c r="J175" s="94"/>
      <c r="K175" s="126"/>
      <c r="L175" s="126"/>
      <c r="M175" s="99"/>
      <c r="N175" s="111"/>
      <c r="O175" s="112"/>
      <c r="P175" s="94"/>
      <c r="Q175" s="120"/>
      <c r="R175" s="113"/>
      <c r="S175" s="94"/>
      <c r="T175" s="94"/>
      <c r="V175" s="104"/>
    </row>
    <row r="176" ht="15.75" customHeight="1">
      <c r="A176" s="91"/>
      <c r="B176" s="131"/>
      <c r="C176" s="104"/>
      <c r="D176" s="94"/>
      <c r="E176" s="247"/>
      <c r="F176" s="247"/>
      <c r="G176" s="94"/>
      <c r="H176" s="93"/>
      <c r="I176" s="94"/>
      <c r="J176" s="94"/>
      <c r="K176" s="125"/>
      <c r="L176" s="125"/>
      <c r="M176" s="99"/>
      <c r="N176" s="111"/>
      <c r="O176" s="112"/>
      <c r="P176" s="94"/>
      <c r="Q176" s="120"/>
      <c r="R176" s="113"/>
      <c r="S176" s="94"/>
      <c r="T176" s="94"/>
      <c r="V176" s="104"/>
    </row>
    <row r="177" ht="15.75" customHeight="1">
      <c r="A177" s="91"/>
      <c r="B177" s="131"/>
      <c r="C177" s="132"/>
      <c r="D177" s="94"/>
      <c r="E177" s="247"/>
      <c r="F177" s="247"/>
      <c r="G177" s="94"/>
      <c r="H177" s="93"/>
      <c r="I177" s="94"/>
      <c r="J177" s="94"/>
      <c r="K177" s="126"/>
      <c r="L177" s="126"/>
      <c r="M177" s="99"/>
      <c r="N177" s="111"/>
      <c r="O177" s="112"/>
      <c r="P177" s="94"/>
      <c r="Q177" s="120"/>
      <c r="R177" s="113"/>
      <c r="S177" s="94"/>
      <c r="T177" s="94"/>
      <c r="V177" s="104"/>
    </row>
    <row r="178" ht="15.75" customHeight="1">
      <c r="A178" s="91"/>
      <c r="B178" s="131"/>
      <c r="C178" s="132"/>
      <c r="D178" s="94"/>
      <c r="E178" s="247"/>
      <c r="F178" s="247"/>
      <c r="G178" s="94"/>
      <c r="H178" s="93"/>
      <c r="I178" s="94"/>
      <c r="J178" s="94"/>
      <c r="K178" s="125"/>
      <c r="L178" s="125"/>
      <c r="M178" s="99"/>
      <c r="N178" s="111"/>
      <c r="O178" s="112"/>
      <c r="P178" s="94"/>
      <c r="Q178" s="120"/>
      <c r="R178" s="113"/>
      <c r="S178" s="94"/>
      <c r="T178" s="94"/>
      <c r="V178" s="104"/>
    </row>
    <row r="179" ht="15.75" customHeight="1">
      <c r="A179" s="91"/>
      <c r="B179" s="131"/>
      <c r="C179" s="132"/>
      <c r="D179" s="94"/>
      <c r="E179" s="247"/>
      <c r="F179" s="247"/>
      <c r="G179" s="94"/>
      <c r="H179" s="93"/>
      <c r="I179" s="94"/>
      <c r="J179" s="94"/>
      <c r="K179" s="126"/>
      <c r="L179" s="126"/>
      <c r="M179" s="99"/>
      <c r="N179" s="111"/>
      <c r="O179" s="112"/>
      <c r="P179" s="94"/>
      <c r="Q179" s="120"/>
      <c r="R179" s="113"/>
      <c r="S179" s="94"/>
      <c r="T179" s="94"/>
      <c r="V179" s="104"/>
    </row>
    <row r="180" ht="15.75" customHeight="1">
      <c r="A180" s="91"/>
      <c r="B180" s="131"/>
      <c r="C180" s="132"/>
      <c r="D180" s="94"/>
      <c r="E180" s="247"/>
      <c r="F180" s="247"/>
      <c r="G180" s="94"/>
      <c r="H180" s="93"/>
      <c r="I180" s="94"/>
      <c r="J180" s="94"/>
      <c r="K180" s="125"/>
      <c r="L180" s="125"/>
      <c r="M180" s="99"/>
      <c r="N180" s="111"/>
      <c r="O180" s="112"/>
      <c r="P180" s="94"/>
      <c r="Q180" s="120"/>
      <c r="R180" s="113"/>
      <c r="S180" s="94"/>
      <c r="T180" s="94"/>
      <c r="V180" s="104"/>
    </row>
    <row r="181" ht="15.75" customHeight="1">
      <c r="A181" s="91"/>
      <c r="B181" s="131"/>
      <c r="C181" s="132"/>
      <c r="D181" s="94"/>
      <c r="E181" s="247"/>
      <c r="F181" s="247"/>
      <c r="G181" s="94"/>
      <c r="H181" s="93"/>
      <c r="I181" s="94"/>
      <c r="J181" s="94"/>
      <c r="K181" s="126"/>
      <c r="L181" s="126"/>
      <c r="M181" s="99"/>
      <c r="N181" s="111"/>
      <c r="O181" s="112"/>
      <c r="P181" s="94"/>
      <c r="Q181" s="120"/>
      <c r="R181" s="113"/>
      <c r="S181" s="94"/>
      <c r="T181" s="94"/>
      <c r="V181" s="104"/>
    </row>
    <row r="182" ht="15.75" customHeight="1">
      <c r="A182" s="91"/>
      <c r="B182" s="131"/>
      <c r="C182" s="104"/>
      <c r="D182" s="94"/>
      <c r="E182" s="247"/>
      <c r="F182" s="247"/>
      <c r="G182" s="94"/>
      <c r="H182" s="93"/>
      <c r="I182" s="94"/>
      <c r="J182" s="94"/>
      <c r="K182" s="125"/>
      <c r="L182" s="125"/>
      <c r="M182" s="99"/>
      <c r="N182" s="111"/>
      <c r="O182" s="112"/>
      <c r="P182" s="94"/>
      <c r="Q182" s="120"/>
      <c r="R182" s="113"/>
      <c r="S182" s="94"/>
      <c r="T182" s="94"/>
      <c r="V182" s="104"/>
    </row>
    <row r="183" ht="15.75" customHeight="1">
      <c r="A183" s="91"/>
      <c r="B183" s="131"/>
      <c r="C183" s="132"/>
      <c r="D183" s="94"/>
      <c r="E183" s="247"/>
      <c r="F183" s="247"/>
      <c r="G183" s="94"/>
      <c r="H183" s="93"/>
      <c r="I183" s="94"/>
      <c r="J183" s="94"/>
      <c r="K183" s="126"/>
      <c r="L183" s="126"/>
      <c r="M183" s="99"/>
      <c r="N183" s="111"/>
      <c r="O183" s="112"/>
      <c r="P183" s="94"/>
      <c r="Q183" s="120"/>
      <c r="R183" s="113"/>
      <c r="S183" s="94"/>
      <c r="T183" s="94"/>
      <c r="V183" s="104"/>
    </row>
    <row r="184" ht="15.75" customHeight="1">
      <c r="A184" s="91"/>
      <c r="B184" s="131"/>
      <c r="C184" s="132"/>
      <c r="D184" s="94"/>
      <c r="E184" s="247"/>
      <c r="F184" s="247"/>
      <c r="G184" s="94"/>
      <c r="H184" s="93"/>
      <c r="I184" s="94"/>
      <c r="J184" s="94"/>
      <c r="K184" s="125"/>
      <c r="L184" s="125"/>
      <c r="M184" s="99"/>
      <c r="N184" s="111"/>
      <c r="O184" s="112"/>
      <c r="P184" s="94"/>
      <c r="Q184" s="120"/>
      <c r="R184" s="113"/>
      <c r="S184" s="94"/>
      <c r="T184" s="94"/>
      <c r="V184" s="104"/>
    </row>
    <row r="185" ht="15.75" customHeight="1">
      <c r="A185" s="91"/>
      <c r="B185" s="131"/>
      <c r="C185" s="132"/>
      <c r="D185" s="94"/>
      <c r="E185" s="247"/>
      <c r="F185" s="247"/>
      <c r="G185" s="94"/>
      <c r="H185" s="93"/>
      <c r="I185" s="94"/>
      <c r="J185" s="94"/>
      <c r="K185" s="126"/>
      <c r="L185" s="126"/>
      <c r="M185" s="99"/>
      <c r="N185" s="111"/>
      <c r="O185" s="112"/>
      <c r="P185" s="94"/>
      <c r="Q185" s="120"/>
      <c r="R185" s="113"/>
      <c r="S185" s="94"/>
      <c r="T185" s="94"/>
      <c r="V185" s="104"/>
    </row>
    <row r="186" ht="15.75" customHeight="1">
      <c r="A186" s="91"/>
      <c r="B186" s="131"/>
      <c r="C186" s="132"/>
      <c r="D186" s="94"/>
      <c r="E186" s="247"/>
      <c r="F186" s="247"/>
      <c r="G186" s="94"/>
      <c r="H186" s="93"/>
      <c r="I186" s="94"/>
      <c r="J186" s="94"/>
      <c r="K186" s="125"/>
      <c r="L186" s="125"/>
      <c r="M186" s="99"/>
      <c r="N186" s="111"/>
      <c r="O186" s="112"/>
      <c r="P186" s="94"/>
      <c r="Q186" s="120"/>
      <c r="R186" s="113"/>
      <c r="S186" s="94"/>
      <c r="T186" s="94"/>
      <c r="V186" s="104"/>
    </row>
    <row r="187" ht="15.75" customHeight="1">
      <c r="A187" s="91"/>
      <c r="B187" s="131"/>
      <c r="C187" s="132"/>
      <c r="D187" s="94"/>
      <c r="E187" s="247"/>
      <c r="F187" s="247"/>
      <c r="G187" s="94"/>
      <c r="H187" s="93"/>
      <c r="I187" s="94"/>
      <c r="J187" s="94"/>
      <c r="K187" s="126"/>
      <c r="L187" s="126"/>
      <c r="M187" s="99"/>
      <c r="N187" s="111"/>
      <c r="O187" s="112"/>
      <c r="P187" s="94"/>
      <c r="Q187" s="120"/>
      <c r="R187" s="113"/>
      <c r="S187" s="94"/>
      <c r="T187" s="94"/>
      <c r="V187" s="104"/>
    </row>
    <row r="188" ht="15.75" customHeight="1">
      <c r="A188" s="91"/>
      <c r="B188" s="131"/>
      <c r="C188" s="104"/>
      <c r="D188" s="94"/>
      <c r="E188" s="247"/>
      <c r="F188" s="247"/>
      <c r="G188" s="94"/>
      <c r="H188" s="93"/>
      <c r="I188" s="94"/>
      <c r="J188" s="94"/>
      <c r="K188" s="125"/>
      <c r="L188" s="125"/>
      <c r="M188" s="99"/>
      <c r="N188" s="111"/>
      <c r="O188" s="112"/>
      <c r="P188" s="94"/>
      <c r="Q188" s="120"/>
      <c r="R188" s="113"/>
      <c r="S188" s="94"/>
      <c r="T188" s="94"/>
      <c r="V188" s="104"/>
    </row>
    <row r="189" ht="15.75" customHeight="1">
      <c r="A189" s="91"/>
      <c r="B189" s="131"/>
      <c r="C189" s="132"/>
      <c r="D189" s="94"/>
      <c r="E189" s="247"/>
      <c r="F189" s="247"/>
      <c r="G189" s="94"/>
      <c r="H189" s="93"/>
      <c r="I189" s="94"/>
      <c r="J189" s="94"/>
      <c r="K189" s="126"/>
      <c r="L189" s="126"/>
      <c r="M189" s="99"/>
      <c r="N189" s="111"/>
      <c r="O189" s="112"/>
      <c r="P189" s="94"/>
      <c r="Q189" s="120"/>
      <c r="R189" s="113"/>
      <c r="S189" s="94"/>
      <c r="T189" s="94"/>
      <c r="V189" s="104"/>
    </row>
    <row r="190" ht="15.75" customHeight="1">
      <c r="A190" s="91"/>
      <c r="B190" s="131"/>
      <c r="C190" s="132"/>
      <c r="D190" s="94"/>
      <c r="E190" s="247"/>
      <c r="F190" s="247"/>
      <c r="G190" s="94"/>
      <c r="H190" s="93"/>
      <c r="I190" s="94"/>
      <c r="J190" s="94"/>
      <c r="K190" s="125"/>
      <c r="L190" s="125"/>
      <c r="M190" s="99"/>
      <c r="N190" s="111"/>
      <c r="O190" s="112"/>
      <c r="P190" s="94"/>
      <c r="Q190" s="120"/>
      <c r="R190" s="113"/>
      <c r="S190" s="94"/>
      <c r="T190" s="94"/>
      <c r="V190" s="104"/>
    </row>
    <row r="191" ht="15.75" customHeight="1">
      <c r="A191" s="91"/>
      <c r="B191" s="131"/>
      <c r="C191" s="132"/>
      <c r="D191" s="94"/>
      <c r="E191" s="247"/>
      <c r="F191" s="247"/>
      <c r="G191" s="94"/>
      <c r="H191" s="93"/>
      <c r="I191" s="94"/>
      <c r="J191" s="94"/>
      <c r="K191" s="126"/>
      <c r="L191" s="126"/>
      <c r="M191" s="99"/>
      <c r="N191" s="111"/>
      <c r="O191" s="112"/>
      <c r="P191" s="94"/>
      <c r="Q191" s="120"/>
      <c r="R191" s="113"/>
      <c r="S191" s="94"/>
      <c r="T191" s="94"/>
      <c r="V191" s="104"/>
    </row>
    <row r="192" ht="15.75" customHeight="1">
      <c r="A192" s="91"/>
      <c r="B192" s="131"/>
      <c r="C192" s="132"/>
      <c r="D192" s="94"/>
      <c r="E192" s="247"/>
      <c r="F192" s="247"/>
      <c r="G192" s="94"/>
      <c r="H192" s="93"/>
      <c r="I192" s="94"/>
      <c r="J192" s="94"/>
      <c r="K192" s="125"/>
      <c r="L192" s="125"/>
      <c r="M192" s="99"/>
      <c r="N192" s="111"/>
      <c r="O192" s="112"/>
      <c r="P192" s="94"/>
      <c r="Q192" s="120"/>
      <c r="R192" s="113"/>
      <c r="S192" s="94"/>
      <c r="T192" s="94"/>
      <c r="V192" s="104"/>
    </row>
    <row r="193" ht="15.75" customHeight="1">
      <c r="A193" s="91"/>
      <c r="B193" s="131"/>
      <c r="C193" s="132"/>
      <c r="D193" s="94"/>
      <c r="E193" s="247"/>
      <c r="F193" s="247"/>
      <c r="G193" s="94"/>
      <c r="H193" s="93"/>
      <c r="I193" s="94"/>
      <c r="J193" s="94"/>
      <c r="K193" s="126"/>
      <c r="L193" s="126"/>
      <c r="M193" s="99"/>
      <c r="N193" s="111"/>
      <c r="O193" s="112"/>
      <c r="P193" s="94"/>
      <c r="Q193" s="120"/>
      <c r="R193" s="113"/>
      <c r="S193" s="94"/>
      <c r="T193" s="94"/>
      <c r="V193" s="104"/>
    </row>
    <row r="194" ht="15.75" customHeight="1">
      <c r="A194" s="91"/>
      <c r="B194" s="131"/>
      <c r="C194" s="104"/>
      <c r="D194" s="94"/>
      <c r="E194" s="247"/>
      <c r="F194" s="247"/>
      <c r="G194" s="94"/>
      <c r="H194" s="93"/>
      <c r="I194" s="94"/>
      <c r="J194" s="94"/>
      <c r="K194" s="125"/>
      <c r="L194" s="125"/>
      <c r="M194" s="99"/>
      <c r="N194" s="111"/>
      <c r="O194" s="112"/>
      <c r="P194" s="94"/>
      <c r="Q194" s="120"/>
      <c r="R194" s="113"/>
      <c r="S194" s="94"/>
      <c r="T194" s="94"/>
      <c r="V194" s="104"/>
    </row>
    <row r="195" ht="15.75" customHeight="1">
      <c r="A195" s="91"/>
      <c r="B195" s="131"/>
      <c r="C195" s="132"/>
      <c r="D195" s="94"/>
      <c r="E195" s="247"/>
      <c r="F195" s="247"/>
      <c r="G195" s="94"/>
      <c r="H195" s="93"/>
      <c r="I195" s="94"/>
      <c r="J195" s="94"/>
      <c r="K195" s="126"/>
      <c r="L195" s="126"/>
      <c r="M195" s="99"/>
      <c r="N195" s="111"/>
      <c r="O195" s="112"/>
      <c r="P195" s="94"/>
      <c r="Q195" s="120"/>
      <c r="R195" s="113"/>
      <c r="S195" s="94"/>
      <c r="T195" s="94"/>
      <c r="V195" s="104"/>
    </row>
    <row r="196" ht="15.75" customHeight="1">
      <c r="A196" s="91"/>
      <c r="B196" s="131"/>
      <c r="C196" s="132"/>
      <c r="D196" s="94"/>
      <c r="E196" s="247"/>
      <c r="F196" s="247"/>
      <c r="G196" s="94"/>
      <c r="H196" s="93"/>
      <c r="I196" s="94"/>
      <c r="J196" s="94"/>
      <c r="K196" s="125"/>
      <c r="L196" s="125"/>
      <c r="M196" s="99"/>
      <c r="N196" s="111"/>
      <c r="O196" s="112"/>
      <c r="P196" s="94"/>
      <c r="Q196" s="120"/>
      <c r="R196" s="113"/>
      <c r="S196" s="94"/>
      <c r="T196" s="94"/>
      <c r="V196" s="104"/>
    </row>
    <row r="197" ht="15.75" customHeight="1">
      <c r="A197" s="91"/>
      <c r="B197" s="131"/>
      <c r="C197" s="132"/>
      <c r="D197" s="94"/>
      <c r="E197" s="247"/>
      <c r="F197" s="247"/>
      <c r="G197" s="94"/>
      <c r="H197" s="93"/>
      <c r="I197" s="94"/>
      <c r="J197" s="94"/>
      <c r="K197" s="126"/>
      <c r="L197" s="126"/>
      <c r="M197" s="99"/>
      <c r="N197" s="111"/>
      <c r="O197" s="112"/>
      <c r="P197" s="94"/>
      <c r="Q197" s="120"/>
      <c r="R197" s="113"/>
      <c r="S197" s="94"/>
      <c r="T197" s="94"/>
      <c r="V197" s="104"/>
    </row>
    <row r="198" ht="15.75" customHeight="1">
      <c r="A198" s="91"/>
      <c r="B198" s="131"/>
      <c r="C198" s="132"/>
      <c r="D198" s="94"/>
      <c r="E198" s="247"/>
      <c r="F198" s="247"/>
      <c r="G198" s="94"/>
      <c r="H198" s="93"/>
      <c r="I198" s="94"/>
      <c r="J198" s="94"/>
      <c r="K198" s="125"/>
      <c r="L198" s="125"/>
      <c r="M198" s="99"/>
      <c r="N198" s="111"/>
      <c r="O198" s="112"/>
      <c r="P198" s="94"/>
      <c r="Q198" s="120"/>
      <c r="R198" s="113"/>
      <c r="S198" s="94"/>
      <c r="T198" s="94"/>
      <c r="V198" s="104"/>
    </row>
    <row r="199" ht="15.75" customHeight="1">
      <c r="A199" s="91"/>
      <c r="B199" s="131"/>
      <c r="C199" s="132"/>
      <c r="D199" s="94"/>
      <c r="E199" s="247"/>
      <c r="F199" s="247"/>
      <c r="G199" s="94"/>
      <c r="H199" s="93"/>
      <c r="I199" s="94"/>
      <c r="J199" s="94"/>
      <c r="K199" s="126"/>
      <c r="L199" s="126"/>
      <c r="M199" s="99"/>
      <c r="N199" s="111"/>
      <c r="O199" s="112"/>
      <c r="P199" s="94"/>
      <c r="Q199" s="120"/>
      <c r="R199" s="113"/>
      <c r="S199" s="94"/>
      <c r="T199" s="94"/>
      <c r="V199" s="104"/>
    </row>
    <row r="200" ht="15.75" customHeight="1">
      <c r="A200" s="91"/>
      <c r="B200" s="131"/>
      <c r="C200" s="104"/>
      <c r="D200" s="94"/>
      <c r="E200" s="247"/>
      <c r="F200" s="247"/>
      <c r="G200" s="94"/>
      <c r="H200" s="93"/>
      <c r="I200" s="94"/>
      <c r="J200" s="94"/>
      <c r="K200" s="125"/>
      <c r="L200" s="125"/>
      <c r="M200" s="99"/>
      <c r="N200" s="111"/>
      <c r="O200" s="112"/>
      <c r="P200" s="94"/>
      <c r="Q200" s="120"/>
      <c r="R200" s="113"/>
      <c r="S200" s="94"/>
      <c r="T200" s="94"/>
      <c r="V200" s="104"/>
    </row>
    <row r="201" ht="15.75" customHeight="1">
      <c r="A201" s="91"/>
      <c r="B201" s="131"/>
      <c r="C201" s="132"/>
      <c r="D201" s="94"/>
      <c r="E201" s="247"/>
      <c r="F201" s="247"/>
      <c r="G201" s="94"/>
      <c r="H201" s="93"/>
      <c r="I201" s="94"/>
      <c r="J201" s="94"/>
      <c r="K201" s="126"/>
      <c r="L201" s="126"/>
      <c r="M201" s="99"/>
      <c r="N201" s="111"/>
      <c r="O201" s="112"/>
      <c r="P201" s="94"/>
      <c r="Q201" s="120"/>
      <c r="R201" s="113"/>
      <c r="S201" s="94"/>
      <c r="T201" s="94"/>
      <c r="V201" s="104"/>
    </row>
    <row r="202" ht="15.75" customHeight="1">
      <c r="A202" s="91"/>
      <c r="B202" s="131"/>
      <c r="C202" s="132"/>
      <c r="D202" s="94"/>
      <c r="E202" s="247"/>
      <c r="F202" s="247"/>
      <c r="G202" s="94"/>
      <c r="H202" s="93"/>
      <c r="I202" s="94"/>
      <c r="J202" s="94"/>
      <c r="K202" s="125"/>
      <c r="L202" s="125"/>
      <c r="M202" s="99"/>
      <c r="N202" s="111"/>
      <c r="O202" s="112"/>
      <c r="P202" s="94"/>
      <c r="Q202" s="120"/>
      <c r="R202" s="113"/>
      <c r="S202" s="94"/>
      <c r="T202" s="94"/>
      <c r="V202" s="104"/>
    </row>
    <row r="203" ht="15.75" customHeight="1">
      <c r="A203" s="91"/>
      <c r="B203" s="131"/>
      <c r="C203" s="132"/>
      <c r="D203" s="94"/>
      <c r="E203" s="247"/>
      <c r="F203" s="247"/>
      <c r="G203" s="94"/>
      <c r="H203" s="93"/>
      <c r="I203" s="94"/>
      <c r="J203" s="94"/>
      <c r="K203" s="126"/>
      <c r="L203" s="126"/>
      <c r="M203" s="99"/>
      <c r="N203" s="111"/>
      <c r="O203" s="112"/>
      <c r="P203" s="94"/>
      <c r="Q203" s="120"/>
      <c r="R203" s="113"/>
      <c r="S203" s="94"/>
      <c r="T203" s="94"/>
      <c r="V203" s="104"/>
    </row>
    <row r="204" ht="15.75" customHeight="1">
      <c r="A204" s="91"/>
      <c r="B204" s="131"/>
      <c r="C204" s="132"/>
      <c r="D204" s="94"/>
      <c r="E204" s="247"/>
      <c r="F204" s="247"/>
      <c r="G204" s="94"/>
      <c r="H204" s="93"/>
      <c r="I204" s="94"/>
      <c r="J204" s="94"/>
      <c r="K204" s="125"/>
      <c r="L204" s="125"/>
      <c r="M204" s="99"/>
      <c r="N204" s="111"/>
      <c r="O204" s="112"/>
      <c r="P204" s="94"/>
      <c r="Q204" s="120"/>
      <c r="R204" s="113"/>
      <c r="S204" s="94"/>
      <c r="T204" s="94"/>
      <c r="V204" s="104"/>
    </row>
    <row r="205" ht="15.75" customHeight="1">
      <c r="A205" s="91"/>
      <c r="B205" s="131"/>
      <c r="C205" s="132"/>
      <c r="D205" s="94"/>
      <c r="E205" s="247"/>
      <c r="F205" s="247"/>
      <c r="G205" s="94"/>
      <c r="H205" s="93"/>
      <c r="I205" s="94"/>
      <c r="J205" s="94"/>
      <c r="K205" s="126"/>
      <c r="L205" s="126"/>
      <c r="M205" s="99"/>
      <c r="N205" s="111"/>
      <c r="O205" s="112"/>
      <c r="P205" s="94"/>
      <c r="Q205" s="120"/>
      <c r="R205" s="113"/>
      <c r="S205" s="94"/>
      <c r="T205" s="94"/>
      <c r="V205" s="104"/>
    </row>
    <row r="206" ht="15.75" customHeight="1">
      <c r="A206" s="91"/>
      <c r="B206" s="131"/>
      <c r="C206" s="104"/>
      <c r="D206" s="94"/>
      <c r="E206" s="247"/>
      <c r="F206" s="247"/>
      <c r="G206" s="94"/>
      <c r="H206" s="93"/>
      <c r="I206" s="94"/>
      <c r="J206" s="94"/>
      <c r="K206" s="125"/>
      <c r="L206" s="125"/>
      <c r="M206" s="99"/>
      <c r="N206" s="111"/>
      <c r="O206" s="112"/>
      <c r="P206" s="94"/>
      <c r="Q206" s="120"/>
      <c r="R206" s="113"/>
      <c r="S206" s="94"/>
      <c r="T206" s="94"/>
      <c r="V206" s="104"/>
    </row>
    <row r="207" ht="15.75" customHeight="1">
      <c r="A207" s="91"/>
      <c r="B207" s="131"/>
      <c r="C207" s="132"/>
      <c r="D207" s="94"/>
      <c r="E207" s="247"/>
      <c r="F207" s="247"/>
      <c r="G207" s="94"/>
      <c r="H207" s="93"/>
      <c r="I207" s="94"/>
      <c r="J207" s="94"/>
      <c r="K207" s="126"/>
      <c r="L207" s="126"/>
      <c r="M207" s="99"/>
      <c r="N207" s="111"/>
      <c r="O207" s="112"/>
      <c r="P207" s="94"/>
      <c r="Q207" s="120"/>
      <c r="R207" s="113"/>
      <c r="S207" s="94"/>
      <c r="T207" s="94"/>
      <c r="V207" s="104"/>
    </row>
    <row r="208" ht="15.75" customHeight="1">
      <c r="A208" s="91"/>
      <c r="B208" s="131"/>
      <c r="C208" s="132"/>
      <c r="D208" s="94"/>
      <c r="E208" s="247"/>
      <c r="F208" s="247"/>
      <c r="G208" s="94"/>
      <c r="H208" s="93"/>
      <c r="I208" s="94"/>
      <c r="J208" s="94"/>
      <c r="K208" s="125"/>
      <c r="L208" s="125"/>
      <c r="M208" s="99"/>
      <c r="N208" s="111"/>
      <c r="O208" s="112"/>
      <c r="P208" s="94"/>
      <c r="Q208" s="120"/>
      <c r="R208" s="113"/>
      <c r="S208" s="94"/>
      <c r="T208" s="94"/>
      <c r="V208" s="104"/>
    </row>
    <row r="209" ht="15.75" customHeight="1">
      <c r="A209" s="91"/>
      <c r="B209" s="131"/>
      <c r="C209" s="132"/>
      <c r="D209" s="94"/>
      <c r="E209" s="247"/>
      <c r="F209" s="247"/>
      <c r="G209" s="94"/>
      <c r="H209" s="93"/>
      <c r="I209" s="94"/>
      <c r="J209" s="94"/>
      <c r="K209" s="126"/>
      <c r="L209" s="126"/>
      <c r="M209" s="99"/>
      <c r="N209" s="111"/>
      <c r="O209" s="112"/>
      <c r="P209" s="94"/>
      <c r="Q209" s="120"/>
      <c r="R209" s="113"/>
      <c r="S209" s="94"/>
      <c r="T209" s="94"/>
      <c r="V209" s="104"/>
    </row>
    <row r="210" ht="15.75" customHeight="1">
      <c r="A210" s="91"/>
      <c r="B210" s="131"/>
      <c r="C210" s="132"/>
      <c r="D210" s="94"/>
      <c r="E210" s="247"/>
      <c r="F210" s="247"/>
      <c r="G210" s="94"/>
      <c r="H210" s="93"/>
      <c r="I210" s="94"/>
      <c r="J210" s="94"/>
      <c r="K210" s="125"/>
      <c r="L210" s="125"/>
      <c r="M210" s="99"/>
      <c r="N210" s="111"/>
      <c r="O210" s="112"/>
      <c r="P210" s="94"/>
      <c r="Q210" s="120"/>
      <c r="R210" s="113"/>
      <c r="S210" s="94"/>
      <c r="T210" s="94"/>
      <c r="V210" s="104"/>
    </row>
    <row r="211" ht="15.75" customHeight="1">
      <c r="A211" s="91"/>
      <c r="B211" s="131"/>
      <c r="C211" s="132"/>
      <c r="D211" s="94"/>
      <c r="E211" s="247"/>
      <c r="F211" s="247"/>
      <c r="G211" s="94"/>
      <c r="H211" s="93"/>
      <c r="I211" s="94"/>
      <c r="J211" s="94"/>
      <c r="K211" s="126"/>
      <c r="L211" s="126"/>
      <c r="M211" s="99"/>
      <c r="N211" s="111"/>
      <c r="O211" s="112"/>
      <c r="P211" s="94"/>
      <c r="Q211" s="120"/>
      <c r="R211" s="113"/>
      <c r="S211" s="94"/>
      <c r="T211" s="94"/>
      <c r="V211" s="104"/>
    </row>
    <row r="212" ht="15.75" customHeight="1">
      <c r="A212" s="91"/>
      <c r="B212" s="131"/>
      <c r="C212" s="104"/>
      <c r="D212" s="94"/>
      <c r="E212" s="247"/>
      <c r="F212" s="247"/>
      <c r="G212" s="94"/>
      <c r="H212" s="93"/>
      <c r="I212" s="94"/>
      <c r="J212" s="94"/>
      <c r="K212" s="125"/>
      <c r="L212" s="125"/>
      <c r="M212" s="99"/>
      <c r="N212" s="111"/>
      <c r="O212" s="112"/>
      <c r="P212" s="94"/>
      <c r="Q212" s="120"/>
      <c r="R212" s="113"/>
      <c r="S212" s="94"/>
      <c r="T212" s="94"/>
      <c r="V212" s="104"/>
    </row>
    <row r="213" ht="15.75" customHeight="1">
      <c r="A213" s="91"/>
      <c r="B213" s="131"/>
      <c r="C213" s="132"/>
      <c r="D213" s="94"/>
      <c r="E213" s="247"/>
      <c r="F213" s="247"/>
      <c r="G213" s="94"/>
      <c r="H213" s="93"/>
      <c r="I213" s="94"/>
      <c r="J213" s="94"/>
      <c r="K213" s="126"/>
      <c r="L213" s="126"/>
      <c r="M213" s="99"/>
      <c r="N213" s="111"/>
      <c r="O213" s="112"/>
      <c r="P213" s="94"/>
      <c r="Q213" s="120"/>
      <c r="R213" s="113"/>
      <c r="S213" s="94"/>
      <c r="T213" s="94"/>
      <c r="V213" s="104"/>
    </row>
    <row r="214" ht="15.75" customHeight="1">
      <c r="A214" s="91"/>
      <c r="B214" s="131"/>
      <c r="C214" s="132"/>
      <c r="D214" s="94"/>
      <c r="E214" s="247"/>
      <c r="F214" s="247"/>
      <c r="G214" s="94"/>
      <c r="H214" s="93"/>
      <c r="I214" s="94"/>
      <c r="J214" s="94"/>
      <c r="K214" s="125"/>
      <c r="L214" s="125"/>
      <c r="M214" s="99"/>
      <c r="N214" s="111"/>
      <c r="O214" s="112"/>
      <c r="P214" s="94"/>
      <c r="Q214" s="120"/>
      <c r="R214" s="113"/>
      <c r="S214" s="94"/>
      <c r="T214" s="94"/>
      <c r="V214" s="104"/>
    </row>
    <row r="215" ht="15.75" customHeight="1">
      <c r="A215" s="91"/>
      <c r="B215" s="131"/>
      <c r="C215" s="132"/>
      <c r="D215" s="94"/>
      <c r="E215" s="247"/>
      <c r="F215" s="247"/>
      <c r="G215" s="94"/>
      <c r="H215" s="93"/>
      <c r="I215" s="94"/>
      <c r="J215" s="94"/>
      <c r="K215" s="126"/>
      <c r="L215" s="126"/>
      <c r="M215" s="99"/>
      <c r="N215" s="111"/>
      <c r="O215" s="112"/>
      <c r="P215" s="94"/>
      <c r="Q215" s="120"/>
      <c r="R215" s="113"/>
      <c r="S215" s="94"/>
      <c r="T215" s="94"/>
      <c r="V215" s="104"/>
    </row>
    <row r="216" ht="15.75" customHeight="1">
      <c r="A216" s="91"/>
      <c r="B216" s="131"/>
      <c r="C216" s="132"/>
      <c r="D216" s="94"/>
      <c r="E216" s="247"/>
      <c r="F216" s="247"/>
      <c r="G216" s="94"/>
      <c r="H216" s="93"/>
      <c r="I216" s="94"/>
      <c r="J216" s="94"/>
      <c r="K216" s="125"/>
      <c r="L216" s="125"/>
      <c r="M216" s="99"/>
      <c r="N216" s="111"/>
      <c r="O216" s="112"/>
      <c r="P216" s="94"/>
      <c r="Q216" s="120"/>
      <c r="R216" s="113"/>
      <c r="S216" s="94"/>
      <c r="T216" s="94"/>
      <c r="V216" s="104"/>
    </row>
    <row r="217" ht="15.75" customHeight="1">
      <c r="A217" s="91"/>
      <c r="B217" s="131"/>
      <c r="C217" s="132"/>
      <c r="D217" s="94"/>
      <c r="E217" s="247"/>
      <c r="F217" s="247"/>
      <c r="G217" s="94"/>
      <c r="H217" s="93"/>
      <c r="I217" s="94"/>
      <c r="J217" s="94"/>
      <c r="K217" s="126"/>
      <c r="L217" s="126"/>
      <c r="M217" s="99"/>
      <c r="N217" s="111"/>
      <c r="O217" s="112"/>
      <c r="P217" s="94"/>
      <c r="Q217" s="120"/>
      <c r="R217" s="113"/>
      <c r="S217" s="94"/>
      <c r="T217" s="94"/>
      <c r="V217" s="104"/>
    </row>
    <row r="218" ht="15.75" customHeight="1">
      <c r="A218" s="91"/>
      <c r="B218" s="131"/>
      <c r="C218" s="104"/>
      <c r="D218" s="94"/>
      <c r="E218" s="247"/>
      <c r="F218" s="247"/>
      <c r="G218" s="94"/>
      <c r="H218" s="93"/>
      <c r="I218" s="94"/>
      <c r="J218" s="94"/>
      <c r="K218" s="125"/>
      <c r="L218" s="125"/>
      <c r="M218" s="99"/>
      <c r="N218" s="111"/>
      <c r="O218" s="112"/>
      <c r="P218" s="94"/>
      <c r="Q218" s="120"/>
      <c r="R218" s="113"/>
      <c r="S218" s="94"/>
      <c r="T218" s="94"/>
      <c r="V218" s="104"/>
    </row>
    <row r="219" ht="15.75" customHeight="1">
      <c r="A219" s="91"/>
      <c r="B219" s="131"/>
      <c r="C219" s="132"/>
      <c r="D219" s="94"/>
      <c r="E219" s="247"/>
      <c r="F219" s="247"/>
      <c r="G219" s="94"/>
      <c r="H219" s="93"/>
      <c r="I219" s="94"/>
      <c r="J219" s="94"/>
      <c r="K219" s="126"/>
      <c r="L219" s="126"/>
      <c r="M219" s="99"/>
      <c r="N219" s="111"/>
      <c r="O219" s="112"/>
      <c r="P219" s="94"/>
      <c r="Q219" s="120"/>
      <c r="R219" s="113"/>
      <c r="S219" s="94"/>
      <c r="T219" s="94"/>
      <c r="V219" s="104"/>
    </row>
    <row r="220" ht="15.75" customHeight="1">
      <c r="A220" s="91"/>
      <c r="B220" s="131"/>
      <c r="C220" s="132"/>
      <c r="D220" s="94"/>
      <c r="E220" s="247"/>
      <c r="F220" s="247"/>
      <c r="G220" s="94"/>
      <c r="H220" s="93"/>
      <c r="I220" s="94"/>
      <c r="J220" s="94"/>
      <c r="K220" s="125"/>
      <c r="L220" s="125"/>
      <c r="M220" s="99"/>
      <c r="N220" s="111"/>
      <c r="O220" s="112"/>
      <c r="P220" s="94"/>
      <c r="Q220" s="120"/>
      <c r="R220" s="113"/>
      <c r="S220" s="94"/>
      <c r="T220" s="94"/>
      <c r="V220" s="104"/>
    </row>
    <row r="221" ht="15.75" customHeight="1">
      <c r="A221" s="91"/>
      <c r="B221" s="131"/>
      <c r="C221" s="132"/>
      <c r="D221" s="94"/>
      <c r="E221" s="247"/>
      <c r="F221" s="247"/>
      <c r="G221" s="94"/>
      <c r="H221" s="93"/>
      <c r="I221" s="94"/>
      <c r="J221" s="94"/>
      <c r="K221" s="126"/>
      <c r="L221" s="126"/>
      <c r="M221" s="99"/>
      <c r="N221" s="111"/>
      <c r="O221" s="112"/>
      <c r="P221" s="94"/>
      <c r="Q221" s="120"/>
      <c r="R221" s="113"/>
      <c r="S221" s="94"/>
      <c r="T221" s="94"/>
      <c r="V221" s="104"/>
    </row>
    <row r="222" ht="15.75" customHeight="1">
      <c r="A222" s="91"/>
      <c r="B222" s="131"/>
      <c r="C222" s="132"/>
      <c r="D222" s="94"/>
      <c r="E222" s="247"/>
      <c r="F222" s="247"/>
      <c r="G222" s="94"/>
      <c r="H222" s="93"/>
      <c r="I222" s="94"/>
      <c r="J222" s="94"/>
      <c r="K222" s="125"/>
      <c r="L222" s="125"/>
      <c r="M222" s="99"/>
      <c r="N222" s="111"/>
      <c r="O222" s="112"/>
      <c r="P222" s="94"/>
      <c r="Q222" s="120"/>
      <c r="R222" s="113"/>
      <c r="S222" s="94"/>
      <c r="T222" s="94"/>
      <c r="V222" s="104"/>
    </row>
    <row r="223" ht="15.75" customHeight="1">
      <c r="A223" s="91"/>
      <c r="B223" s="131"/>
      <c r="C223" s="132"/>
      <c r="D223" s="94"/>
      <c r="E223" s="247"/>
      <c r="F223" s="243"/>
      <c r="G223" s="94"/>
      <c r="H223" s="93"/>
      <c r="I223" s="94"/>
      <c r="J223" s="94"/>
      <c r="K223" s="126"/>
      <c r="L223" s="126"/>
      <c r="M223" s="99"/>
      <c r="N223" s="111"/>
      <c r="O223" s="112"/>
      <c r="P223" s="94"/>
      <c r="Q223" s="120"/>
      <c r="R223" s="113"/>
      <c r="S223" s="94"/>
      <c r="T223" s="94"/>
      <c r="V223" s="104"/>
    </row>
    <row r="224" ht="15.75" customHeight="1">
      <c r="A224" s="91"/>
      <c r="B224" s="131"/>
      <c r="C224" s="104"/>
      <c r="D224" s="94"/>
      <c r="E224" s="132"/>
      <c r="F224" s="132"/>
      <c r="G224" s="94"/>
      <c r="H224" s="93"/>
      <c r="I224" s="94"/>
      <c r="J224" s="94"/>
      <c r="K224" s="125"/>
      <c r="L224" s="125"/>
      <c r="M224" s="99"/>
      <c r="N224" s="111"/>
      <c r="O224" s="112"/>
      <c r="P224" s="94"/>
      <c r="Q224" s="120"/>
      <c r="R224" s="113"/>
      <c r="S224" s="94"/>
      <c r="T224" s="94"/>
      <c r="V224" s="104"/>
    </row>
    <row r="225" ht="15.75" customHeight="1">
      <c r="A225" s="91"/>
      <c r="B225" s="131"/>
      <c r="C225" s="132"/>
      <c r="D225" s="94"/>
      <c r="E225" s="132"/>
      <c r="F225" s="132"/>
      <c r="G225" s="94"/>
      <c r="H225" s="93"/>
      <c r="I225" s="94"/>
      <c r="J225" s="94"/>
      <c r="K225" s="126"/>
      <c r="L225" s="126"/>
      <c r="M225" s="99"/>
      <c r="N225" s="111"/>
      <c r="O225" s="112"/>
      <c r="P225" s="94"/>
      <c r="Q225" s="120"/>
      <c r="R225" s="113"/>
      <c r="S225" s="94"/>
      <c r="T225" s="94"/>
      <c r="V225" s="104"/>
    </row>
    <row r="226" ht="15.75" customHeight="1">
      <c r="A226" s="91"/>
      <c r="B226" s="131"/>
      <c r="C226" s="132"/>
      <c r="D226" s="94"/>
      <c r="E226" s="132"/>
      <c r="F226" s="132"/>
      <c r="G226" s="94"/>
      <c r="H226" s="93"/>
      <c r="I226" s="94"/>
      <c r="J226" s="94"/>
      <c r="K226" s="125"/>
      <c r="L226" s="125"/>
      <c r="M226" s="99"/>
      <c r="N226" s="111"/>
      <c r="O226" s="112"/>
      <c r="P226" s="94"/>
      <c r="Q226" s="120"/>
      <c r="R226" s="113"/>
      <c r="S226" s="94"/>
      <c r="T226" s="94"/>
      <c r="V226" s="104"/>
    </row>
    <row r="227" ht="15.75" customHeight="1">
      <c r="A227" s="91"/>
      <c r="B227" s="131"/>
      <c r="C227" s="132"/>
      <c r="D227" s="94"/>
      <c r="E227" s="132"/>
      <c r="F227" s="132"/>
      <c r="G227" s="94"/>
      <c r="H227" s="93"/>
      <c r="I227" s="94"/>
      <c r="J227" s="94"/>
      <c r="K227" s="126"/>
      <c r="L227" s="126"/>
      <c r="M227" s="99"/>
      <c r="N227" s="111"/>
      <c r="O227" s="112"/>
      <c r="P227" s="94"/>
      <c r="Q227" s="120"/>
      <c r="R227" s="113"/>
      <c r="S227" s="94"/>
      <c r="T227" s="94"/>
      <c r="V227" s="104"/>
    </row>
    <row r="228" ht="15.75" customHeight="1">
      <c r="A228" s="91"/>
      <c r="B228" s="131"/>
      <c r="C228" s="132"/>
      <c r="D228" s="94"/>
      <c r="E228" s="132"/>
      <c r="F228" s="132"/>
      <c r="G228" s="94"/>
      <c r="H228" s="93"/>
      <c r="I228" s="94"/>
      <c r="J228" s="94"/>
      <c r="K228" s="125"/>
      <c r="L228" s="125"/>
      <c r="M228" s="99"/>
      <c r="N228" s="111"/>
      <c r="O228" s="112"/>
      <c r="P228" s="94"/>
      <c r="Q228" s="120"/>
      <c r="R228" s="113"/>
      <c r="S228" s="94"/>
      <c r="T228" s="94"/>
      <c r="V228" s="104"/>
    </row>
    <row r="229" ht="15.75" customHeight="1">
      <c r="A229" s="91"/>
      <c r="B229" s="131"/>
      <c r="C229" s="132"/>
      <c r="D229" s="94"/>
      <c r="E229" s="132"/>
      <c r="F229" s="132"/>
      <c r="G229" s="94"/>
      <c r="H229" s="93"/>
      <c r="I229" s="94"/>
      <c r="J229" s="94"/>
      <c r="K229" s="126"/>
      <c r="L229" s="126"/>
      <c r="M229" s="99"/>
      <c r="N229" s="111"/>
      <c r="O229" s="112"/>
      <c r="P229" s="94"/>
      <c r="Q229" s="120"/>
      <c r="R229" s="113"/>
      <c r="S229" s="94"/>
      <c r="T229" s="94"/>
      <c r="V229" s="104"/>
    </row>
    <row r="230" ht="15.75" customHeight="1">
      <c r="A230" s="91"/>
      <c r="B230" s="131"/>
      <c r="C230" s="104"/>
      <c r="D230" s="94"/>
      <c r="E230" s="132"/>
      <c r="F230" s="132"/>
      <c r="G230" s="94"/>
      <c r="H230" s="93"/>
      <c r="I230" s="94"/>
      <c r="J230" s="94"/>
      <c r="K230" s="125"/>
      <c r="L230" s="125"/>
      <c r="M230" s="99"/>
      <c r="N230" s="111"/>
      <c r="O230" s="112"/>
      <c r="P230" s="94"/>
      <c r="Q230" s="120"/>
      <c r="R230" s="113"/>
      <c r="S230" s="94"/>
      <c r="T230" s="94"/>
      <c r="V230" s="104"/>
    </row>
    <row r="231" ht="15.75" customHeight="1">
      <c r="A231" s="91"/>
      <c r="B231" s="131"/>
      <c r="C231" s="132"/>
      <c r="D231" s="94"/>
      <c r="E231" s="132"/>
      <c r="F231" s="132"/>
      <c r="G231" s="94"/>
      <c r="H231" s="93"/>
      <c r="I231" s="94"/>
      <c r="J231" s="94"/>
      <c r="K231" s="126"/>
      <c r="L231" s="126"/>
      <c r="M231" s="99"/>
      <c r="N231" s="111"/>
      <c r="O231" s="112"/>
      <c r="P231" s="94"/>
      <c r="Q231" s="120"/>
      <c r="R231" s="113"/>
      <c r="S231" s="94"/>
      <c r="T231" s="94"/>
      <c r="V231" s="104"/>
    </row>
    <row r="232" ht="15.75" customHeight="1">
      <c r="A232" s="91"/>
      <c r="B232" s="131"/>
      <c r="C232" s="132"/>
      <c r="D232" s="94"/>
      <c r="E232" s="132"/>
      <c r="F232" s="132"/>
      <c r="G232" s="94"/>
      <c r="H232" s="93"/>
      <c r="I232" s="94"/>
      <c r="J232" s="94"/>
      <c r="K232" s="125"/>
      <c r="L232" s="125"/>
      <c r="M232" s="99"/>
      <c r="N232" s="111"/>
      <c r="O232" s="112"/>
      <c r="P232" s="94"/>
      <c r="Q232" s="120"/>
      <c r="R232" s="113"/>
      <c r="S232" s="94"/>
      <c r="T232" s="94"/>
      <c r="V232" s="104"/>
    </row>
    <row r="233" ht="15.75" customHeight="1">
      <c r="A233" s="91"/>
      <c r="B233" s="131"/>
      <c r="C233" s="132"/>
      <c r="D233" s="94"/>
      <c r="E233" s="132"/>
      <c r="F233" s="132"/>
      <c r="G233" s="94"/>
      <c r="H233" s="93"/>
      <c r="I233" s="94"/>
      <c r="J233" s="94"/>
      <c r="K233" s="126"/>
      <c r="L233" s="126"/>
      <c r="M233" s="99"/>
      <c r="N233" s="111"/>
      <c r="O233" s="112"/>
      <c r="P233" s="94"/>
      <c r="Q233" s="120"/>
      <c r="R233" s="113"/>
      <c r="S233" s="94"/>
      <c r="T233" s="94"/>
      <c r="V233" s="104"/>
    </row>
    <row r="234" ht="15.75" customHeight="1">
      <c r="A234" s="91"/>
      <c r="B234" s="131"/>
      <c r="C234" s="132"/>
      <c r="D234" s="94"/>
      <c r="E234" s="132"/>
      <c r="F234" s="132"/>
      <c r="G234" s="94"/>
      <c r="H234" s="93"/>
      <c r="I234" s="94"/>
      <c r="J234" s="94"/>
      <c r="K234" s="125"/>
      <c r="L234" s="125"/>
      <c r="M234" s="99"/>
      <c r="N234" s="111"/>
      <c r="O234" s="112"/>
      <c r="P234" s="94"/>
      <c r="Q234" s="120"/>
      <c r="R234" s="113"/>
      <c r="S234" s="94"/>
      <c r="T234" s="94"/>
      <c r="V234" s="104"/>
    </row>
    <row r="235" ht="15.75" customHeight="1">
      <c r="A235" s="91"/>
      <c r="B235" s="131"/>
      <c r="C235" s="132"/>
      <c r="D235" s="94"/>
      <c r="E235" s="132"/>
      <c r="F235" s="132"/>
      <c r="G235" s="94"/>
      <c r="H235" s="93"/>
      <c r="I235" s="94"/>
      <c r="J235" s="94"/>
      <c r="K235" s="126"/>
      <c r="L235" s="126"/>
      <c r="M235" s="99"/>
      <c r="N235" s="111"/>
      <c r="O235" s="112"/>
      <c r="P235" s="94"/>
      <c r="Q235" s="120"/>
      <c r="R235" s="113"/>
      <c r="S235" s="94"/>
      <c r="T235" s="94"/>
      <c r="V235" s="104"/>
    </row>
    <row r="236" ht="15.75" customHeight="1">
      <c r="A236" s="91"/>
      <c r="B236" s="131"/>
      <c r="C236" s="104"/>
      <c r="D236" s="94"/>
      <c r="E236" s="132"/>
      <c r="F236" s="132"/>
      <c r="G236" s="94"/>
      <c r="H236" s="93"/>
      <c r="I236" s="94"/>
      <c r="J236" s="94"/>
      <c r="K236" s="125"/>
      <c r="L236" s="125"/>
      <c r="M236" s="99"/>
      <c r="N236" s="111"/>
      <c r="O236" s="112"/>
      <c r="P236" s="94"/>
      <c r="Q236" s="120"/>
      <c r="R236" s="113"/>
      <c r="S236" s="94"/>
      <c r="T236" s="94"/>
      <c r="V236" s="104"/>
    </row>
    <row r="237" ht="15.75" customHeight="1">
      <c r="A237" s="91"/>
      <c r="B237" s="131"/>
      <c r="C237" s="132"/>
      <c r="D237" s="94"/>
      <c r="E237" s="132"/>
      <c r="F237" s="132"/>
      <c r="G237" s="94"/>
      <c r="H237" s="93"/>
      <c r="I237" s="94"/>
      <c r="J237" s="94"/>
      <c r="K237" s="126"/>
      <c r="L237" s="126"/>
      <c r="M237" s="99"/>
      <c r="N237" s="111"/>
      <c r="O237" s="112"/>
      <c r="P237" s="94"/>
      <c r="Q237" s="120"/>
      <c r="R237" s="113"/>
      <c r="S237" s="94"/>
      <c r="T237" s="94"/>
      <c r="V237" s="104"/>
    </row>
    <row r="238" ht="15.75" customHeight="1">
      <c r="A238" s="91"/>
      <c r="B238" s="131"/>
      <c r="C238" s="132"/>
      <c r="D238" s="94"/>
      <c r="E238" s="132"/>
      <c r="F238" s="132"/>
      <c r="G238" s="94"/>
      <c r="H238" s="93"/>
      <c r="I238" s="94"/>
      <c r="J238" s="94"/>
      <c r="K238" s="125"/>
      <c r="L238" s="125"/>
      <c r="M238" s="99"/>
      <c r="N238" s="111"/>
      <c r="O238" s="112"/>
      <c r="P238" s="94"/>
      <c r="Q238" s="120"/>
      <c r="R238" s="113"/>
      <c r="S238" s="94"/>
      <c r="T238" s="94"/>
      <c r="V238" s="104"/>
    </row>
    <row r="239" ht="15.75" customHeight="1">
      <c r="A239" s="91"/>
      <c r="B239" s="131"/>
      <c r="C239" s="132"/>
      <c r="D239" s="94"/>
      <c r="E239" s="132"/>
      <c r="F239" s="132"/>
      <c r="G239" s="94"/>
      <c r="H239" s="93"/>
      <c r="I239" s="94"/>
      <c r="J239" s="94"/>
      <c r="K239" s="126"/>
      <c r="L239" s="126"/>
      <c r="M239" s="99"/>
      <c r="N239" s="111"/>
      <c r="O239" s="112"/>
      <c r="P239" s="94"/>
      <c r="Q239" s="120"/>
      <c r="R239" s="113"/>
      <c r="S239" s="94"/>
      <c r="T239" s="94"/>
      <c r="V239" s="104"/>
    </row>
    <row r="240" ht="15.75" customHeight="1">
      <c r="A240" s="91"/>
      <c r="B240" s="131"/>
      <c r="C240" s="132"/>
      <c r="D240" s="94"/>
      <c r="E240" s="132"/>
      <c r="F240" s="132"/>
      <c r="G240" s="94"/>
      <c r="H240" s="93"/>
      <c r="I240" s="94"/>
      <c r="J240" s="94"/>
      <c r="K240" s="125"/>
      <c r="L240" s="125"/>
      <c r="M240" s="99"/>
      <c r="N240" s="111"/>
      <c r="O240" s="112"/>
      <c r="P240" s="94"/>
      <c r="Q240" s="120"/>
      <c r="R240" s="113"/>
      <c r="S240" s="94"/>
      <c r="T240" s="94"/>
      <c r="V240" s="104"/>
    </row>
    <row r="241" ht="15.75" customHeight="1">
      <c r="A241" s="91"/>
      <c r="B241" s="131"/>
      <c r="C241" s="132"/>
      <c r="D241" s="94"/>
      <c r="E241" s="132"/>
      <c r="F241" s="132"/>
      <c r="G241" s="94"/>
      <c r="H241" s="93"/>
      <c r="I241" s="94"/>
      <c r="J241" s="94"/>
      <c r="K241" s="126"/>
      <c r="L241" s="126"/>
      <c r="M241" s="99"/>
      <c r="N241" s="111"/>
      <c r="O241" s="112"/>
      <c r="P241" s="94"/>
      <c r="Q241" s="120"/>
      <c r="R241" s="113"/>
      <c r="S241" s="94"/>
      <c r="T241" s="94"/>
      <c r="V241" s="104"/>
    </row>
    <row r="242" ht="15.75" customHeight="1">
      <c r="A242" s="91"/>
      <c r="B242" s="131"/>
      <c r="C242" s="104"/>
      <c r="D242" s="94"/>
      <c r="E242" s="132"/>
      <c r="F242" s="132"/>
      <c r="G242" s="94"/>
      <c r="H242" s="93"/>
      <c r="I242" s="94"/>
      <c r="J242" s="94"/>
      <c r="K242" s="125"/>
      <c r="L242" s="125"/>
      <c r="M242" s="99"/>
      <c r="N242" s="111"/>
      <c r="O242" s="112"/>
      <c r="P242" s="94"/>
      <c r="Q242" s="120"/>
      <c r="R242" s="113"/>
      <c r="S242" s="94"/>
      <c r="T242" s="94"/>
      <c r="V242" s="104"/>
    </row>
    <row r="243" ht="15.75" customHeight="1">
      <c r="A243" s="91"/>
      <c r="B243" s="131"/>
      <c r="C243" s="132"/>
      <c r="D243" s="94"/>
      <c r="E243" s="132"/>
      <c r="F243" s="132"/>
      <c r="G243" s="94"/>
      <c r="H243" s="93"/>
      <c r="I243" s="94"/>
      <c r="J243" s="94"/>
      <c r="K243" s="126"/>
      <c r="L243" s="126"/>
      <c r="M243" s="99"/>
      <c r="N243" s="111"/>
      <c r="O243" s="112"/>
      <c r="P243" s="94"/>
      <c r="Q243" s="120"/>
      <c r="R243" s="113"/>
      <c r="S243" s="94"/>
      <c r="T243" s="94"/>
      <c r="V243" s="104"/>
    </row>
    <row r="244" ht="15.75" customHeight="1">
      <c r="A244" s="91"/>
      <c r="B244" s="131"/>
      <c r="C244" s="132"/>
      <c r="D244" s="94"/>
      <c r="E244" s="132"/>
      <c r="F244" s="132"/>
      <c r="G244" s="94"/>
      <c r="H244" s="93"/>
      <c r="I244" s="94"/>
      <c r="J244" s="94"/>
      <c r="K244" s="125"/>
      <c r="L244" s="125"/>
      <c r="M244" s="99"/>
      <c r="N244" s="111"/>
      <c r="O244" s="112"/>
      <c r="P244" s="94"/>
      <c r="Q244" s="120"/>
      <c r="R244" s="113"/>
      <c r="S244" s="94"/>
      <c r="T244" s="94"/>
      <c r="V244" s="104"/>
    </row>
    <row r="245" ht="15.75" customHeight="1">
      <c r="A245" s="91"/>
      <c r="B245" s="131"/>
      <c r="C245" s="132"/>
      <c r="D245" s="94"/>
      <c r="E245" s="132"/>
      <c r="F245" s="132"/>
      <c r="G245" s="94"/>
      <c r="H245" s="93"/>
      <c r="I245" s="94"/>
      <c r="J245" s="94"/>
      <c r="K245" s="126"/>
      <c r="L245" s="126"/>
      <c r="M245" s="99"/>
      <c r="N245" s="111"/>
      <c r="O245" s="112"/>
      <c r="P245" s="94"/>
      <c r="Q245" s="120"/>
      <c r="R245" s="113"/>
      <c r="S245" s="94"/>
      <c r="T245" s="94"/>
      <c r="V245" s="104"/>
    </row>
    <row r="246" ht="15.75" customHeight="1">
      <c r="A246" s="91"/>
      <c r="B246" s="131"/>
      <c r="C246" s="132"/>
      <c r="D246" s="94"/>
      <c r="E246" s="132"/>
      <c r="F246" s="132"/>
      <c r="G246" s="94"/>
      <c r="H246" s="93"/>
      <c r="I246" s="94"/>
      <c r="J246" s="94"/>
      <c r="K246" s="125"/>
      <c r="L246" s="125"/>
      <c r="M246" s="99"/>
      <c r="N246" s="111"/>
      <c r="O246" s="112"/>
      <c r="P246" s="94"/>
      <c r="Q246" s="120"/>
      <c r="R246" s="113"/>
      <c r="S246" s="94"/>
      <c r="T246" s="94"/>
      <c r="V246" s="104"/>
    </row>
    <row r="247" ht="15.75" customHeight="1">
      <c r="A247" s="91"/>
      <c r="B247" s="131"/>
      <c r="C247" s="132"/>
      <c r="D247" s="94"/>
      <c r="E247" s="132"/>
      <c r="F247" s="132"/>
      <c r="G247" s="94"/>
      <c r="H247" s="93"/>
      <c r="I247" s="94"/>
      <c r="J247" s="94"/>
      <c r="K247" s="126"/>
      <c r="L247" s="126"/>
      <c r="M247" s="99"/>
      <c r="N247" s="111"/>
      <c r="O247" s="112"/>
      <c r="P247" s="94"/>
      <c r="Q247" s="120"/>
      <c r="R247" s="113"/>
      <c r="S247" s="94"/>
      <c r="T247" s="94"/>
      <c r="V247" s="104"/>
    </row>
    <row r="248" ht="15.75" customHeight="1">
      <c r="A248" s="91"/>
      <c r="B248" s="131"/>
      <c r="C248" s="104"/>
      <c r="D248" s="94"/>
      <c r="E248" s="132"/>
      <c r="F248" s="132"/>
      <c r="G248" s="94"/>
      <c r="H248" s="93"/>
      <c r="I248" s="94"/>
      <c r="J248" s="94"/>
      <c r="K248" s="125"/>
      <c r="L248" s="125"/>
      <c r="M248" s="99"/>
      <c r="N248" s="111"/>
      <c r="O248" s="112"/>
      <c r="P248" s="94"/>
      <c r="Q248" s="120"/>
      <c r="R248" s="113"/>
      <c r="S248" s="94"/>
      <c r="T248" s="94"/>
      <c r="V248" s="104"/>
    </row>
    <row r="249" ht="15.75" customHeight="1">
      <c r="A249" s="91"/>
      <c r="B249" s="131"/>
      <c r="C249" s="132"/>
      <c r="D249" s="94"/>
      <c r="E249" s="132"/>
      <c r="F249" s="132"/>
      <c r="G249" s="94"/>
      <c r="H249" s="93"/>
      <c r="I249" s="94"/>
      <c r="J249" s="94"/>
      <c r="K249" s="126"/>
      <c r="L249" s="126"/>
      <c r="M249" s="99"/>
      <c r="N249" s="111"/>
      <c r="O249" s="112"/>
      <c r="P249" s="94"/>
      <c r="Q249" s="120"/>
      <c r="R249" s="113"/>
      <c r="S249" s="94"/>
      <c r="T249" s="94"/>
      <c r="V249" s="104"/>
    </row>
    <row r="250" ht="15.75" customHeight="1">
      <c r="A250" s="91"/>
      <c r="B250" s="131"/>
      <c r="C250" s="132"/>
      <c r="D250" s="94"/>
      <c r="E250" s="132"/>
      <c r="F250" s="132"/>
      <c r="G250" s="94"/>
      <c r="H250" s="93"/>
      <c r="I250" s="94"/>
      <c r="J250" s="94"/>
      <c r="K250" s="125"/>
      <c r="L250" s="125"/>
      <c r="M250" s="99"/>
      <c r="N250" s="111"/>
      <c r="O250" s="112"/>
      <c r="P250" s="94"/>
      <c r="Q250" s="120"/>
      <c r="R250" s="113"/>
      <c r="S250" s="94"/>
      <c r="T250" s="94"/>
      <c r="V250" s="104"/>
    </row>
    <row r="251" ht="15.75" customHeight="1">
      <c r="A251" s="91"/>
      <c r="B251" s="131"/>
      <c r="C251" s="132"/>
      <c r="D251" s="94"/>
      <c r="E251" s="132"/>
      <c r="F251" s="132"/>
      <c r="G251" s="94"/>
      <c r="H251" s="93"/>
      <c r="I251" s="94"/>
      <c r="J251" s="94"/>
      <c r="K251" s="126"/>
      <c r="L251" s="126"/>
      <c r="M251" s="99"/>
      <c r="N251" s="111"/>
      <c r="O251" s="112"/>
      <c r="P251" s="94"/>
      <c r="Q251" s="120"/>
      <c r="R251" s="113"/>
      <c r="S251" s="94"/>
      <c r="T251" s="94"/>
      <c r="V251" s="104"/>
    </row>
    <row r="252" ht="15.75" customHeight="1">
      <c r="A252" s="91"/>
      <c r="B252" s="131"/>
      <c r="C252" s="132"/>
      <c r="D252" s="94"/>
      <c r="E252" s="132"/>
      <c r="F252" s="132"/>
      <c r="G252" s="94"/>
      <c r="H252" s="93"/>
      <c r="I252" s="94"/>
      <c r="J252" s="94"/>
      <c r="K252" s="125"/>
      <c r="L252" s="125"/>
      <c r="M252" s="99"/>
      <c r="N252" s="111"/>
      <c r="O252" s="112"/>
      <c r="P252" s="94"/>
      <c r="Q252" s="120"/>
      <c r="R252" s="113"/>
      <c r="S252" s="94"/>
      <c r="T252" s="94"/>
      <c r="V252" s="104"/>
    </row>
    <row r="253" ht="15.75" customHeight="1">
      <c r="A253" s="91"/>
      <c r="B253" s="131"/>
      <c r="C253" s="132"/>
      <c r="D253" s="94"/>
      <c r="E253" s="132"/>
      <c r="F253" s="132"/>
      <c r="G253" s="94"/>
      <c r="H253" s="93"/>
      <c r="I253" s="94"/>
      <c r="J253" s="94"/>
      <c r="K253" s="126"/>
      <c r="L253" s="126"/>
      <c r="M253" s="99"/>
      <c r="N253" s="111"/>
      <c r="O253" s="112"/>
      <c r="P253" s="94"/>
      <c r="Q253" s="120"/>
      <c r="R253" s="113"/>
      <c r="S253" s="94"/>
      <c r="T253" s="94"/>
      <c r="V253" s="104"/>
    </row>
    <row r="254" ht="15.75" customHeight="1">
      <c r="A254" s="91"/>
      <c r="B254" s="131"/>
      <c r="C254" s="104"/>
      <c r="D254" s="94"/>
      <c r="E254" s="132"/>
      <c r="F254" s="132"/>
      <c r="G254" s="94"/>
      <c r="H254" s="93"/>
      <c r="I254" s="94"/>
      <c r="J254" s="94"/>
      <c r="K254" s="125"/>
      <c r="L254" s="125"/>
      <c r="M254" s="99"/>
      <c r="N254" s="111"/>
      <c r="O254" s="112"/>
      <c r="P254" s="94"/>
      <c r="Q254" s="120"/>
      <c r="R254" s="113"/>
      <c r="S254" s="94"/>
      <c r="T254" s="94"/>
      <c r="V254" s="104"/>
    </row>
    <row r="255" ht="15.75" customHeight="1">
      <c r="A255" s="91"/>
      <c r="B255" s="131"/>
      <c r="C255" s="132"/>
      <c r="D255" s="94"/>
      <c r="E255" s="132"/>
      <c r="F255" s="132"/>
      <c r="G255" s="94"/>
      <c r="H255" s="93"/>
      <c r="I255" s="94"/>
      <c r="J255" s="94"/>
      <c r="K255" s="126"/>
      <c r="L255" s="126"/>
      <c r="M255" s="99"/>
      <c r="N255" s="111"/>
      <c r="O255" s="112"/>
      <c r="P255" s="94"/>
      <c r="Q255" s="120"/>
      <c r="R255" s="113"/>
      <c r="S255" s="94"/>
      <c r="T255" s="94"/>
      <c r="V255" s="104"/>
    </row>
    <row r="256" ht="15.75" customHeight="1">
      <c r="A256" s="91"/>
      <c r="B256" s="131"/>
      <c r="C256" s="132"/>
      <c r="D256" s="94"/>
      <c r="E256" s="132"/>
      <c r="F256" s="132"/>
      <c r="G256" s="94"/>
      <c r="H256" s="93"/>
      <c r="I256" s="94"/>
      <c r="J256" s="94"/>
      <c r="K256" s="125"/>
      <c r="L256" s="125"/>
      <c r="M256" s="99"/>
      <c r="N256" s="111"/>
      <c r="O256" s="112"/>
      <c r="P256" s="94"/>
      <c r="Q256" s="120"/>
      <c r="R256" s="113"/>
      <c r="S256" s="94"/>
      <c r="T256" s="94"/>
      <c r="V256" s="104"/>
    </row>
    <row r="257" ht="15.75" customHeight="1">
      <c r="A257" s="91"/>
      <c r="B257" s="131"/>
      <c r="C257" s="132"/>
      <c r="D257" s="94"/>
      <c r="E257" s="132"/>
      <c r="F257" s="132"/>
      <c r="G257" s="94"/>
      <c r="H257" s="93"/>
      <c r="I257" s="94"/>
      <c r="J257" s="94"/>
      <c r="K257" s="126"/>
      <c r="L257" s="126"/>
      <c r="M257" s="99"/>
      <c r="N257" s="111"/>
      <c r="O257" s="112"/>
      <c r="P257" s="94"/>
      <c r="Q257" s="120"/>
      <c r="R257" s="113"/>
      <c r="S257" s="94"/>
      <c r="T257" s="94"/>
      <c r="V257" s="104"/>
    </row>
    <row r="258" ht="15.75" customHeight="1">
      <c r="A258" s="91"/>
      <c r="B258" s="131"/>
      <c r="C258" s="132"/>
      <c r="D258" s="94"/>
      <c r="E258" s="132"/>
      <c r="F258" s="132"/>
      <c r="G258" s="94"/>
      <c r="H258" s="93"/>
      <c r="I258" s="94"/>
      <c r="J258" s="94"/>
      <c r="K258" s="125"/>
      <c r="L258" s="125"/>
      <c r="M258" s="99"/>
      <c r="N258" s="111"/>
      <c r="O258" s="112"/>
      <c r="P258" s="94"/>
      <c r="Q258" s="120"/>
      <c r="R258" s="113"/>
      <c r="S258" s="94"/>
      <c r="T258" s="94"/>
      <c r="V258" s="104"/>
    </row>
    <row r="259" ht="15.75" customHeight="1">
      <c r="A259" s="91"/>
      <c r="B259" s="131"/>
      <c r="C259" s="132"/>
      <c r="D259" s="94"/>
      <c r="E259" s="132"/>
      <c r="F259" s="132"/>
      <c r="G259" s="94"/>
      <c r="H259" s="93"/>
      <c r="I259" s="94"/>
      <c r="J259" s="94"/>
      <c r="K259" s="126"/>
      <c r="L259" s="126"/>
      <c r="M259" s="99"/>
      <c r="N259" s="111"/>
      <c r="O259" s="112"/>
      <c r="P259" s="94"/>
      <c r="Q259" s="120"/>
      <c r="R259" s="113"/>
      <c r="S259" s="94"/>
      <c r="T259" s="94"/>
      <c r="V259" s="104"/>
    </row>
    <row r="260" ht="15.75" customHeight="1">
      <c r="A260" s="91"/>
      <c r="B260" s="131"/>
      <c r="C260" s="104"/>
      <c r="D260" s="94"/>
      <c r="E260" s="132"/>
      <c r="F260" s="132"/>
      <c r="G260" s="94"/>
      <c r="H260" s="93"/>
      <c r="I260" s="94"/>
      <c r="J260" s="94"/>
      <c r="K260" s="125"/>
      <c r="L260" s="125"/>
      <c r="M260" s="99"/>
      <c r="N260" s="111"/>
      <c r="O260" s="112"/>
      <c r="P260" s="94"/>
      <c r="Q260" s="120"/>
      <c r="R260" s="113"/>
      <c r="S260" s="94"/>
      <c r="T260" s="94"/>
      <c r="V260" s="104"/>
    </row>
    <row r="261" ht="15.75" customHeight="1">
      <c r="A261" s="91"/>
      <c r="B261" s="131"/>
      <c r="C261" s="132"/>
      <c r="D261" s="94"/>
      <c r="E261" s="132"/>
      <c r="F261" s="132"/>
      <c r="G261" s="94"/>
      <c r="H261" s="93"/>
      <c r="I261" s="94"/>
      <c r="J261" s="94"/>
      <c r="K261" s="126"/>
      <c r="L261" s="126"/>
      <c r="M261" s="99"/>
      <c r="N261" s="111"/>
      <c r="O261" s="112"/>
      <c r="P261" s="94"/>
      <c r="Q261" s="120"/>
      <c r="R261" s="113"/>
      <c r="S261" s="94"/>
      <c r="T261" s="94"/>
      <c r="V261" s="104"/>
    </row>
    <row r="262" ht="15.75" customHeight="1">
      <c r="A262" s="91"/>
      <c r="B262" s="131"/>
      <c r="C262" s="132"/>
      <c r="D262" s="94"/>
      <c r="E262" s="132"/>
      <c r="F262" s="132"/>
      <c r="G262" s="94"/>
      <c r="H262" s="93"/>
      <c r="I262" s="94"/>
      <c r="J262" s="94"/>
      <c r="K262" s="125"/>
      <c r="L262" s="125"/>
      <c r="M262" s="99"/>
      <c r="N262" s="111"/>
      <c r="O262" s="112"/>
      <c r="P262" s="94"/>
      <c r="Q262" s="120"/>
      <c r="R262" s="113"/>
      <c r="S262" s="94"/>
      <c r="T262" s="94"/>
      <c r="V262" s="104"/>
    </row>
    <row r="263" ht="15.75" customHeight="1">
      <c r="A263" s="91"/>
      <c r="B263" s="131"/>
      <c r="C263" s="132"/>
      <c r="D263" s="94"/>
      <c r="E263" s="132"/>
      <c r="F263" s="132"/>
      <c r="G263" s="94"/>
      <c r="H263" s="93"/>
      <c r="I263" s="94"/>
      <c r="J263" s="94"/>
      <c r="K263" s="126"/>
      <c r="L263" s="126"/>
      <c r="M263" s="99"/>
      <c r="N263" s="111"/>
      <c r="O263" s="112"/>
      <c r="P263" s="94"/>
      <c r="Q263" s="120"/>
      <c r="R263" s="113"/>
      <c r="S263" s="94"/>
      <c r="T263" s="94"/>
      <c r="V263" s="104"/>
    </row>
    <row r="264" ht="15.75" customHeight="1">
      <c r="A264" s="91"/>
      <c r="B264" s="131"/>
      <c r="C264" s="132"/>
      <c r="D264" s="94"/>
      <c r="E264" s="132"/>
      <c r="F264" s="132"/>
      <c r="G264" s="94"/>
      <c r="H264" s="93"/>
      <c r="I264" s="94"/>
      <c r="J264" s="94"/>
      <c r="K264" s="125"/>
      <c r="L264" s="125"/>
      <c r="M264" s="99"/>
      <c r="N264" s="111"/>
      <c r="O264" s="112"/>
      <c r="P264" s="94"/>
      <c r="Q264" s="120"/>
      <c r="R264" s="113"/>
      <c r="S264" s="94"/>
      <c r="T264" s="94"/>
      <c r="V264" s="104"/>
    </row>
    <row r="265" ht="15.75" customHeight="1">
      <c r="A265" s="91"/>
      <c r="B265" s="131"/>
      <c r="C265" s="132"/>
      <c r="D265" s="94"/>
      <c r="E265" s="132"/>
      <c r="F265" s="132"/>
      <c r="G265" s="94"/>
      <c r="H265" s="93"/>
      <c r="I265" s="94"/>
      <c r="J265" s="94"/>
      <c r="K265" s="126"/>
      <c r="L265" s="126"/>
      <c r="M265" s="99"/>
      <c r="N265" s="111"/>
      <c r="O265" s="112"/>
      <c r="P265" s="94"/>
      <c r="Q265" s="120"/>
      <c r="R265" s="113"/>
      <c r="S265" s="94"/>
      <c r="T265" s="94"/>
      <c r="V265" s="104"/>
    </row>
    <row r="266" ht="15.75" customHeight="1">
      <c r="A266" s="91"/>
      <c r="B266" s="131"/>
      <c r="C266" s="104"/>
      <c r="D266" s="94"/>
      <c r="E266" s="132"/>
      <c r="F266" s="132"/>
      <c r="G266" s="94"/>
      <c r="H266" s="93"/>
      <c r="I266" s="94"/>
      <c r="J266" s="94"/>
      <c r="K266" s="125"/>
      <c r="L266" s="125"/>
      <c r="M266" s="99"/>
      <c r="N266" s="111"/>
      <c r="O266" s="112"/>
      <c r="P266" s="94"/>
      <c r="Q266" s="120"/>
      <c r="R266" s="113"/>
      <c r="S266" s="94"/>
      <c r="T266" s="94"/>
      <c r="V266" s="104"/>
    </row>
    <row r="267" ht="15.75" customHeight="1">
      <c r="A267" s="91"/>
      <c r="B267" s="131"/>
      <c r="C267" s="132"/>
      <c r="D267" s="94"/>
      <c r="E267" s="132"/>
      <c r="F267" s="132"/>
      <c r="G267" s="94"/>
      <c r="H267" s="93"/>
      <c r="I267" s="94"/>
      <c r="J267" s="94"/>
      <c r="K267" s="126"/>
      <c r="L267" s="126"/>
      <c r="M267" s="99"/>
      <c r="N267" s="111"/>
      <c r="O267" s="112"/>
      <c r="P267" s="94"/>
      <c r="Q267" s="120"/>
      <c r="R267" s="113"/>
      <c r="S267" s="94"/>
      <c r="T267" s="94"/>
      <c r="V267" s="104"/>
    </row>
    <row r="268" ht="15.75" customHeight="1">
      <c r="A268" s="91"/>
      <c r="B268" s="131"/>
      <c r="C268" s="132"/>
      <c r="D268" s="94"/>
      <c r="E268" s="132"/>
      <c r="F268" s="132"/>
      <c r="G268" s="94"/>
      <c r="H268" s="93"/>
      <c r="I268" s="94"/>
      <c r="J268" s="94"/>
      <c r="K268" s="125"/>
      <c r="L268" s="125"/>
      <c r="M268" s="99"/>
      <c r="N268" s="111"/>
      <c r="O268" s="112"/>
      <c r="P268" s="94"/>
      <c r="Q268" s="120"/>
      <c r="R268" s="113"/>
      <c r="S268" s="94"/>
      <c r="T268" s="94"/>
      <c r="V268" s="104"/>
    </row>
    <row r="269" ht="15.75" customHeight="1">
      <c r="A269" s="91"/>
      <c r="B269" s="131"/>
      <c r="C269" s="132"/>
      <c r="D269" s="94"/>
      <c r="E269" s="132"/>
      <c r="F269" s="132"/>
      <c r="G269" s="94"/>
      <c r="H269" s="93"/>
      <c r="I269" s="94"/>
      <c r="J269" s="94"/>
      <c r="K269" s="126"/>
      <c r="L269" s="126"/>
      <c r="M269" s="99"/>
      <c r="N269" s="111"/>
      <c r="O269" s="112"/>
      <c r="P269" s="94"/>
      <c r="Q269" s="120"/>
      <c r="R269" s="113"/>
      <c r="S269" s="94"/>
      <c r="T269" s="94"/>
      <c r="V269" s="104"/>
    </row>
    <row r="270" ht="15.75" customHeight="1">
      <c r="A270" s="91"/>
      <c r="B270" s="131"/>
      <c r="C270" s="132"/>
      <c r="D270" s="94"/>
      <c r="E270" s="132"/>
      <c r="F270" s="132"/>
      <c r="G270" s="94"/>
      <c r="H270" s="93"/>
      <c r="I270" s="94"/>
      <c r="J270" s="94"/>
      <c r="K270" s="125"/>
      <c r="L270" s="125"/>
      <c r="M270" s="99"/>
      <c r="N270" s="111"/>
      <c r="O270" s="112"/>
      <c r="P270" s="94"/>
      <c r="Q270" s="120"/>
      <c r="R270" s="113"/>
      <c r="S270" s="94"/>
      <c r="T270" s="94"/>
      <c r="V270" s="104"/>
    </row>
    <row r="271" ht="15.75" customHeight="1">
      <c r="A271" s="91"/>
      <c r="B271" s="131"/>
      <c r="C271" s="132"/>
      <c r="D271" s="94"/>
      <c r="E271" s="132"/>
      <c r="F271" s="132"/>
      <c r="G271" s="94"/>
      <c r="H271" s="93"/>
      <c r="I271" s="94"/>
      <c r="J271" s="94"/>
      <c r="K271" s="126"/>
      <c r="L271" s="126"/>
      <c r="M271" s="99"/>
      <c r="N271" s="111"/>
      <c r="O271" s="112"/>
      <c r="P271" s="94"/>
      <c r="Q271" s="120"/>
      <c r="R271" s="113"/>
      <c r="S271" s="94"/>
      <c r="T271" s="94"/>
      <c r="V271" s="104"/>
    </row>
    <row r="272" ht="15.75" customHeight="1">
      <c r="A272" s="91"/>
      <c r="B272" s="131"/>
      <c r="C272" s="104"/>
      <c r="D272" s="94"/>
      <c r="E272" s="132"/>
      <c r="F272" s="132"/>
      <c r="G272" s="94"/>
      <c r="H272" s="93"/>
      <c r="I272" s="94"/>
      <c r="J272" s="94"/>
      <c r="K272" s="125"/>
      <c r="L272" s="125"/>
      <c r="M272" s="99"/>
      <c r="N272" s="111"/>
      <c r="O272" s="112"/>
      <c r="P272" s="94"/>
      <c r="Q272" s="120"/>
      <c r="R272" s="113"/>
      <c r="S272" s="94"/>
      <c r="T272" s="94"/>
      <c r="V272" s="104"/>
    </row>
    <row r="273" ht="15.75" customHeight="1">
      <c r="A273" s="91"/>
      <c r="B273" s="131"/>
      <c r="C273" s="132"/>
      <c r="D273" s="94"/>
      <c r="E273" s="132"/>
      <c r="F273" s="132"/>
      <c r="G273" s="94"/>
      <c r="H273" s="93"/>
      <c r="I273" s="94"/>
      <c r="J273" s="94"/>
      <c r="K273" s="126"/>
      <c r="L273" s="126"/>
      <c r="M273" s="99"/>
      <c r="N273" s="111"/>
      <c r="O273" s="112"/>
      <c r="P273" s="94"/>
      <c r="Q273" s="120"/>
      <c r="R273" s="113"/>
      <c r="S273" s="94"/>
      <c r="T273" s="94"/>
      <c r="V273" s="104"/>
    </row>
    <row r="274" ht="15.75" customHeight="1">
      <c r="A274" s="91"/>
      <c r="B274" s="131"/>
      <c r="C274" s="132"/>
      <c r="D274" s="94"/>
      <c r="E274" s="132"/>
      <c r="F274" s="132"/>
      <c r="G274" s="94"/>
      <c r="H274" s="93"/>
      <c r="I274" s="94"/>
      <c r="J274" s="94"/>
      <c r="K274" s="125"/>
      <c r="L274" s="125"/>
      <c r="M274" s="99"/>
      <c r="N274" s="111"/>
      <c r="O274" s="112"/>
      <c r="P274" s="94"/>
      <c r="Q274" s="120"/>
      <c r="R274" s="113"/>
      <c r="S274" s="94"/>
      <c r="T274" s="94"/>
      <c r="V274" s="104"/>
    </row>
    <row r="275" ht="15.75" customHeight="1">
      <c r="A275" s="91"/>
      <c r="B275" s="131"/>
      <c r="C275" s="132"/>
      <c r="D275" s="94"/>
      <c r="E275" s="132"/>
      <c r="F275" s="132"/>
      <c r="G275" s="94"/>
      <c r="H275" s="93"/>
      <c r="I275" s="94"/>
      <c r="J275" s="94"/>
      <c r="K275" s="126"/>
      <c r="L275" s="126"/>
      <c r="M275" s="99"/>
      <c r="N275" s="111"/>
      <c r="O275" s="112"/>
      <c r="P275" s="94"/>
      <c r="Q275" s="120"/>
      <c r="R275" s="113"/>
      <c r="S275" s="94"/>
      <c r="T275" s="94"/>
      <c r="V275" s="104"/>
    </row>
    <row r="276" ht="15.75" customHeight="1">
      <c r="A276" s="91"/>
      <c r="B276" s="131"/>
      <c r="C276" s="132"/>
      <c r="D276" s="94"/>
      <c r="E276" s="132"/>
      <c r="F276" s="132"/>
      <c r="G276" s="94"/>
      <c r="H276" s="93"/>
      <c r="I276" s="94"/>
      <c r="J276" s="94"/>
      <c r="K276" s="125"/>
      <c r="L276" s="125"/>
      <c r="M276" s="99"/>
      <c r="N276" s="111"/>
      <c r="O276" s="112"/>
      <c r="P276" s="94"/>
      <c r="Q276" s="120"/>
      <c r="R276" s="113"/>
      <c r="S276" s="94"/>
      <c r="T276" s="94"/>
      <c r="V276" s="104"/>
    </row>
    <row r="277" ht="15.75" customHeight="1">
      <c r="A277" s="91"/>
      <c r="B277" s="131"/>
      <c r="C277" s="132"/>
      <c r="D277" s="94"/>
      <c r="E277" s="132"/>
      <c r="F277" s="132"/>
      <c r="G277" s="94"/>
      <c r="H277" s="93"/>
      <c r="I277" s="94"/>
      <c r="J277" s="94"/>
      <c r="K277" s="126"/>
      <c r="L277" s="126"/>
      <c r="M277" s="99"/>
      <c r="N277" s="111"/>
      <c r="O277" s="112"/>
      <c r="P277" s="94"/>
      <c r="Q277" s="120"/>
      <c r="R277" s="113"/>
      <c r="S277" s="94"/>
      <c r="T277" s="94"/>
      <c r="V277" s="104"/>
    </row>
    <row r="278" ht="15.75" customHeight="1">
      <c r="A278" s="91"/>
      <c r="B278" s="131"/>
      <c r="C278" s="104"/>
      <c r="D278" s="94"/>
      <c r="E278" s="132"/>
      <c r="F278" s="132"/>
      <c r="G278" s="94"/>
      <c r="H278" s="93"/>
      <c r="I278" s="94"/>
      <c r="J278" s="94"/>
      <c r="K278" s="125"/>
      <c r="L278" s="125"/>
      <c r="M278" s="99"/>
      <c r="N278" s="111"/>
      <c r="O278" s="112"/>
      <c r="P278" s="94"/>
      <c r="Q278" s="120"/>
      <c r="R278" s="113"/>
      <c r="S278" s="94"/>
      <c r="T278" s="94"/>
      <c r="V278" s="104"/>
    </row>
    <row r="279" ht="15.75" customHeight="1">
      <c r="A279" s="91"/>
      <c r="B279" s="131"/>
      <c r="C279" s="132"/>
      <c r="D279" s="94"/>
      <c r="E279" s="132"/>
      <c r="F279" s="132"/>
      <c r="G279" s="94"/>
      <c r="H279" s="93"/>
      <c r="I279" s="94"/>
      <c r="J279" s="94"/>
      <c r="K279" s="126"/>
      <c r="L279" s="126"/>
      <c r="M279" s="99"/>
      <c r="N279" s="111"/>
      <c r="O279" s="112"/>
      <c r="P279" s="94"/>
      <c r="Q279" s="120"/>
      <c r="R279" s="113"/>
      <c r="S279" s="94"/>
      <c r="T279" s="94"/>
      <c r="V279" s="104"/>
    </row>
    <row r="280" ht="15.75" customHeight="1">
      <c r="A280" s="91"/>
      <c r="B280" s="131"/>
      <c r="C280" s="132"/>
      <c r="D280" s="94"/>
      <c r="E280" s="132"/>
      <c r="F280" s="132"/>
      <c r="G280" s="94"/>
      <c r="H280" s="93"/>
      <c r="I280" s="94"/>
      <c r="J280" s="94"/>
      <c r="K280" s="125"/>
      <c r="L280" s="125"/>
      <c r="M280" s="99"/>
      <c r="N280" s="111"/>
      <c r="O280" s="112"/>
      <c r="P280" s="94"/>
      <c r="Q280" s="120"/>
      <c r="R280" s="113"/>
      <c r="S280" s="94"/>
      <c r="T280" s="94"/>
      <c r="V280" s="104"/>
    </row>
    <row r="281" ht="15.75" customHeight="1">
      <c r="A281" s="91"/>
      <c r="B281" s="131"/>
      <c r="C281" s="132"/>
      <c r="D281" s="94"/>
      <c r="E281" s="132"/>
      <c r="F281" s="132"/>
      <c r="G281" s="94"/>
      <c r="H281" s="93"/>
      <c r="I281" s="94"/>
      <c r="J281" s="94"/>
      <c r="K281" s="126"/>
      <c r="L281" s="126"/>
      <c r="M281" s="99"/>
      <c r="N281" s="111"/>
      <c r="O281" s="112"/>
      <c r="P281" s="94"/>
      <c r="Q281" s="120"/>
      <c r="R281" s="113"/>
      <c r="S281" s="94"/>
      <c r="T281" s="94"/>
      <c r="V281" s="104"/>
    </row>
    <row r="282" ht="15.75" customHeight="1">
      <c r="A282" s="91"/>
      <c r="B282" s="131"/>
      <c r="C282" s="132"/>
      <c r="D282" s="94"/>
      <c r="E282" s="132"/>
      <c r="F282" s="132"/>
      <c r="G282" s="94"/>
      <c r="H282" s="93"/>
      <c r="I282" s="94"/>
      <c r="J282" s="94"/>
      <c r="K282" s="125"/>
      <c r="L282" s="125"/>
      <c r="M282" s="99"/>
      <c r="N282" s="111"/>
      <c r="O282" s="112"/>
      <c r="P282" s="94"/>
      <c r="Q282" s="120"/>
      <c r="R282" s="113"/>
      <c r="S282" s="94"/>
      <c r="T282" s="94"/>
      <c r="V282" s="104"/>
    </row>
    <row r="283" ht="15.75" customHeight="1">
      <c r="A283" s="91"/>
      <c r="B283" s="131"/>
      <c r="C283" s="132"/>
      <c r="D283" s="94"/>
      <c r="E283" s="132"/>
      <c r="F283" s="132"/>
      <c r="G283" s="94"/>
      <c r="H283" s="93"/>
      <c r="I283" s="94"/>
      <c r="J283" s="94"/>
      <c r="K283" s="126"/>
      <c r="L283" s="126"/>
      <c r="M283" s="99"/>
      <c r="N283" s="111"/>
      <c r="O283" s="112"/>
      <c r="P283" s="94"/>
      <c r="Q283" s="120"/>
      <c r="R283" s="113"/>
      <c r="S283" s="94"/>
      <c r="T283" s="94"/>
      <c r="V283" s="104"/>
    </row>
    <row r="284" ht="15.75" customHeight="1">
      <c r="A284" s="91"/>
      <c r="B284" s="131"/>
      <c r="C284" s="104"/>
      <c r="D284" s="94"/>
      <c r="E284" s="132"/>
      <c r="F284" s="132"/>
      <c r="G284" s="94"/>
      <c r="H284" s="93"/>
      <c r="I284" s="94"/>
      <c r="J284" s="94"/>
      <c r="K284" s="125"/>
      <c r="L284" s="125"/>
      <c r="M284" s="99"/>
      <c r="N284" s="111"/>
      <c r="O284" s="112"/>
      <c r="P284" s="94"/>
      <c r="Q284" s="120"/>
      <c r="R284" s="113"/>
      <c r="S284" s="94"/>
      <c r="T284" s="94"/>
      <c r="V284" s="104"/>
    </row>
    <row r="285" ht="15.75" customHeight="1">
      <c r="A285" s="91"/>
      <c r="B285" s="131"/>
      <c r="C285" s="132"/>
      <c r="D285" s="94"/>
      <c r="E285" s="132"/>
      <c r="F285" s="132"/>
      <c r="G285" s="94"/>
      <c r="H285" s="93"/>
      <c r="I285" s="94"/>
      <c r="J285" s="94"/>
      <c r="K285" s="126"/>
      <c r="L285" s="126"/>
      <c r="M285" s="99"/>
      <c r="N285" s="111"/>
      <c r="O285" s="112"/>
      <c r="P285" s="94"/>
      <c r="Q285" s="120"/>
      <c r="R285" s="113"/>
      <c r="S285" s="94"/>
      <c r="T285" s="94"/>
      <c r="V285" s="104"/>
    </row>
    <row r="286" ht="15.75" customHeight="1">
      <c r="A286" s="91"/>
      <c r="B286" s="131"/>
      <c r="C286" s="132"/>
      <c r="D286" s="94"/>
      <c r="E286" s="132"/>
      <c r="F286" s="132"/>
      <c r="G286" s="94"/>
      <c r="H286" s="93"/>
      <c r="I286" s="94"/>
      <c r="J286" s="94"/>
      <c r="K286" s="125"/>
      <c r="L286" s="125"/>
      <c r="M286" s="99"/>
      <c r="N286" s="111"/>
      <c r="O286" s="112"/>
      <c r="P286" s="94"/>
      <c r="Q286" s="120"/>
      <c r="R286" s="113"/>
      <c r="S286" s="94"/>
      <c r="T286" s="94"/>
      <c r="V286" s="104"/>
    </row>
    <row r="287" ht="15.75" customHeight="1">
      <c r="A287" s="91"/>
      <c r="B287" s="131"/>
      <c r="C287" s="132"/>
      <c r="D287" s="94"/>
      <c r="E287" s="132"/>
      <c r="F287" s="132"/>
      <c r="G287" s="94"/>
      <c r="H287" s="93"/>
      <c r="I287" s="94"/>
      <c r="J287" s="94"/>
      <c r="K287" s="126"/>
      <c r="L287" s="126"/>
      <c r="M287" s="99"/>
      <c r="N287" s="111"/>
      <c r="O287" s="112"/>
      <c r="P287" s="94"/>
      <c r="Q287" s="120"/>
      <c r="R287" s="113"/>
      <c r="S287" s="94"/>
      <c r="T287" s="94"/>
      <c r="V287" s="104"/>
    </row>
    <row r="288" ht="15.75" customHeight="1">
      <c r="A288" s="91"/>
      <c r="B288" s="131"/>
      <c r="C288" s="132"/>
      <c r="D288" s="94"/>
      <c r="E288" s="132"/>
      <c r="F288" s="132"/>
      <c r="G288" s="94"/>
      <c r="H288" s="93"/>
      <c r="I288" s="94"/>
      <c r="J288" s="94"/>
      <c r="K288" s="125"/>
      <c r="L288" s="125"/>
      <c r="M288" s="99"/>
      <c r="N288" s="111"/>
      <c r="O288" s="112"/>
      <c r="P288" s="94"/>
      <c r="Q288" s="120"/>
      <c r="R288" s="113"/>
      <c r="S288" s="94"/>
      <c r="T288" s="94"/>
      <c r="V288" s="104"/>
    </row>
    <row r="289" ht="15.75" customHeight="1">
      <c r="A289" s="91"/>
      <c r="B289" s="131"/>
      <c r="C289" s="132"/>
      <c r="D289" s="94"/>
      <c r="E289" s="132"/>
      <c r="F289" s="132"/>
      <c r="G289" s="94"/>
      <c r="H289" s="93"/>
      <c r="I289" s="94"/>
      <c r="J289" s="94"/>
      <c r="K289" s="126"/>
      <c r="L289" s="126"/>
      <c r="M289" s="99"/>
      <c r="N289" s="111"/>
      <c r="O289" s="112"/>
      <c r="P289" s="94"/>
      <c r="Q289" s="120"/>
      <c r="R289" s="113"/>
      <c r="S289" s="94"/>
      <c r="T289" s="94"/>
      <c r="V289" s="104"/>
    </row>
    <row r="290" ht="15.75" customHeight="1">
      <c r="A290" s="91"/>
      <c r="B290" s="131"/>
      <c r="C290" s="104"/>
      <c r="D290" s="94"/>
      <c r="E290" s="132"/>
      <c r="F290" s="132"/>
      <c r="G290" s="94"/>
      <c r="H290" s="93"/>
      <c r="I290" s="94"/>
      <c r="J290" s="94"/>
      <c r="K290" s="125"/>
      <c r="L290" s="125"/>
      <c r="M290" s="99"/>
      <c r="N290" s="111"/>
      <c r="O290" s="112"/>
      <c r="P290" s="94"/>
      <c r="Q290" s="120"/>
      <c r="R290" s="113"/>
      <c r="S290" s="94"/>
      <c r="T290" s="94"/>
      <c r="V290" s="104"/>
    </row>
    <row r="291" ht="15.75" customHeight="1">
      <c r="A291" s="91"/>
      <c r="B291" s="131"/>
      <c r="C291" s="132"/>
      <c r="D291" s="94"/>
      <c r="E291" s="132"/>
      <c r="F291" s="132"/>
      <c r="G291" s="94"/>
      <c r="H291" s="93"/>
      <c r="I291" s="94"/>
      <c r="J291" s="94"/>
      <c r="K291" s="126"/>
      <c r="L291" s="126"/>
      <c r="M291" s="99"/>
      <c r="N291" s="111"/>
      <c r="O291" s="112"/>
      <c r="P291" s="94"/>
      <c r="Q291" s="120"/>
      <c r="R291" s="113"/>
      <c r="S291" s="94"/>
      <c r="T291" s="94"/>
      <c r="V291" s="104"/>
    </row>
    <row r="292" ht="15.75" customHeight="1">
      <c r="A292" s="91"/>
      <c r="B292" s="131"/>
      <c r="C292" s="132"/>
      <c r="D292" s="94"/>
      <c r="E292" s="132"/>
      <c r="F292" s="132"/>
      <c r="G292" s="94"/>
      <c r="H292" s="93"/>
      <c r="I292" s="94"/>
      <c r="J292" s="94"/>
      <c r="K292" s="125"/>
      <c r="L292" s="125"/>
      <c r="M292" s="99"/>
      <c r="N292" s="111"/>
      <c r="O292" s="112"/>
      <c r="P292" s="94"/>
      <c r="Q292" s="120"/>
      <c r="R292" s="113"/>
      <c r="S292" s="94"/>
      <c r="T292" s="94"/>
      <c r="V292" s="104"/>
    </row>
    <row r="293" ht="15.75" customHeight="1">
      <c r="A293" s="91"/>
      <c r="B293" s="131"/>
      <c r="C293" s="132"/>
      <c r="D293" s="94"/>
      <c r="E293" s="132"/>
      <c r="F293" s="132"/>
      <c r="G293" s="94"/>
      <c r="H293" s="93"/>
      <c r="I293" s="94"/>
      <c r="J293" s="94"/>
      <c r="K293" s="126"/>
      <c r="L293" s="126"/>
      <c r="M293" s="99"/>
      <c r="N293" s="111"/>
      <c r="O293" s="112"/>
      <c r="P293" s="94"/>
      <c r="Q293" s="120"/>
      <c r="R293" s="113"/>
      <c r="S293" s="94"/>
      <c r="T293" s="94"/>
      <c r="V293" s="104"/>
    </row>
    <row r="294" ht="15.75" customHeight="1">
      <c r="A294" s="91"/>
      <c r="B294" s="131"/>
      <c r="C294" s="132"/>
      <c r="D294" s="94"/>
      <c r="E294" s="132"/>
      <c r="F294" s="132"/>
      <c r="G294" s="94"/>
      <c r="H294" s="93"/>
      <c r="I294" s="94"/>
      <c r="J294" s="94"/>
      <c r="K294" s="125"/>
      <c r="L294" s="125"/>
      <c r="M294" s="99"/>
      <c r="N294" s="111"/>
      <c r="O294" s="112"/>
      <c r="P294" s="94"/>
      <c r="Q294" s="120"/>
      <c r="R294" s="113"/>
      <c r="S294" s="94"/>
      <c r="T294" s="94"/>
      <c r="V294" s="104"/>
    </row>
    <row r="295" ht="15.75" customHeight="1">
      <c r="A295" s="91"/>
      <c r="B295" s="131"/>
      <c r="C295" s="132"/>
      <c r="D295" s="94"/>
      <c r="E295" s="132"/>
      <c r="F295" s="132"/>
      <c r="G295" s="94"/>
      <c r="H295" s="93"/>
      <c r="I295" s="94"/>
      <c r="J295" s="94"/>
      <c r="K295" s="126"/>
      <c r="L295" s="126"/>
      <c r="M295" s="99"/>
      <c r="N295" s="111"/>
      <c r="O295" s="112"/>
      <c r="P295" s="94"/>
      <c r="Q295" s="120"/>
      <c r="R295" s="113"/>
      <c r="S295" s="94"/>
      <c r="T295" s="94"/>
      <c r="V295" s="104"/>
    </row>
    <row r="296" ht="15.75" customHeight="1">
      <c r="A296" s="91"/>
      <c r="B296" s="131"/>
      <c r="C296" s="104"/>
      <c r="D296" s="94"/>
      <c r="E296" s="132"/>
      <c r="F296" s="132"/>
      <c r="G296" s="94"/>
      <c r="H296" s="93"/>
      <c r="I296" s="94"/>
      <c r="J296" s="94"/>
      <c r="K296" s="125"/>
      <c r="L296" s="125"/>
      <c r="M296" s="99"/>
      <c r="N296" s="111"/>
      <c r="O296" s="112"/>
      <c r="P296" s="94"/>
      <c r="Q296" s="120"/>
      <c r="R296" s="113"/>
      <c r="S296" s="94"/>
      <c r="T296" s="94"/>
      <c r="V296" s="104"/>
    </row>
    <row r="297" ht="15.75" customHeight="1">
      <c r="A297" s="91"/>
      <c r="B297" s="131"/>
      <c r="C297" s="132"/>
      <c r="D297" s="94"/>
      <c r="E297" s="132"/>
      <c r="F297" s="132"/>
      <c r="G297" s="94"/>
      <c r="H297" s="93"/>
      <c r="I297" s="94"/>
      <c r="J297" s="94"/>
      <c r="K297" s="126"/>
      <c r="L297" s="126"/>
      <c r="M297" s="99"/>
      <c r="N297" s="111"/>
      <c r="O297" s="112"/>
      <c r="P297" s="94"/>
      <c r="Q297" s="120"/>
      <c r="R297" s="113"/>
      <c r="S297" s="94"/>
      <c r="T297" s="94"/>
      <c r="V297" s="104"/>
    </row>
    <row r="298" ht="15.75" customHeight="1">
      <c r="A298" s="91"/>
      <c r="B298" s="131"/>
      <c r="C298" s="132"/>
      <c r="D298" s="94"/>
      <c r="E298" s="132"/>
      <c r="F298" s="132"/>
      <c r="G298" s="94"/>
      <c r="H298" s="93"/>
      <c r="I298" s="94"/>
      <c r="J298" s="94"/>
      <c r="K298" s="125"/>
      <c r="L298" s="125"/>
      <c r="M298" s="99"/>
      <c r="N298" s="111"/>
      <c r="O298" s="112"/>
      <c r="P298" s="94"/>
      <c r="Q298" s="120"/>
      <c r="R298" s="113"/>
      <c r="S298" s="94"/>
      <c r="T298" s="94"/>
      <c r="V298" s="104"/>
    </row>
    <row r="299" ht="15.75" customHeight="1">
      <c r="A299" s="91"/>
      <c r="B299" s="131"/>
      <c r="C299" s="132"/>
      <c r="D299" s="94"/>
      <c r="E299" s="132"/>
      <c r="F299" s="132"/>
      <c r="G299" s="94"/>
      <c r="H299" s="93"/>
      <c r="I299" s="94"/>
      <c r="J299" s="94"/>
      <c r="K299" s="126"/>
      <c r="L299" s="126"/>
      <c r="M299" s="99"/>
      <c r="N299" s="111"/>
      <c r="O299" s="112"/>
      <c r="P299" s="94"/>
      <c r="Q299" s="120"/>
      <c r="R299" s="113"/>
      <c r="S299" s="94"/>
      <c r="T299" s="94"/>
      <c r="V299" s="104"/>
    </row>
    <row r="300" ht="15.75" customHeight="1">
      <c r="A300" s="91"/>
      <c r="B300" s="131"/>
      <c r="C300" s="132"/>
      <c r="D300" s="94"/>
      <c r="E300" s="132"/>
      <c r="F300" s="132"/>
      <c r="G300" s="94"/>
      <c r="H300" s="93"/>
      <c r="I300" s="94"/>
      <c r="J300" s="94"/>
      <c r="K300" s="125"/>
      <c r="L300" s="125"/>
      <c r="M300" s="99"/>
      <c r="N300" s="111"/>
      <c r="O300" s="112"/>
      <c r="P300" s="94"/>
      <c r="Q300" s="120"/>
      <c r="R300" s="113"/>
      <c r="S300" s="94"/>
      <c r="T300" s="94"/>
      <c r="V300" s="104"/>
    </row>
    <row r="301" ht="15.75" customHeight="1">
      <c r="A301" s="91"/>
      <c r="B301" s="131"/>
      <c r="C301" s="132"/>
      <c r="D301" s="94"/>
      <c r="E301" s="132"/>
      <c r="F301" s="132"/>
      <c r="G301" s="94"/>
      <c r="H301" s="93"/>
      <c r="I301" s="94"/>
      <c r="J301" s="94"/>
      <c r="K301" s="126"/>
      <c r="L301" s="126"/>
      <c r="M301" s="99"/>
      <c r="N301" s="111"/>
      <c r="O301" s="112"/>
      <c r="P301" s="94"/>
      <c r="Q301" s="120"/>
      <c r="R301" s="113"/>
      <c r="S301" s="94"/>
      <c r="T301" s="94"/>
      <c r="V301" s="104"/>
    </row>
    <row r="302" ht="15.75" customHeight="1">
      <c r="A302" s="91"/>
      <c r="B302" s="131"/>
      <c r="C302" s="104"/>
      <c r="D302" s="94"/>
      <c r="E302" s="132"/>
      <c r="F302" s="132"/>
      <c r="G302" s="94"/>
      <c r="H302" s="93"/>
      <c r="I302" s="94"/>
      <c r="J302" s="94"/>
      <c r="K302" s="125"/>
      <c r="L302" s="125"/>
      <c r="M302" s="99"/>
      <c r="N302" s="111"/>
      <c r="O302" s="112"/>
      <c r="P302" s="94"/>
      <c r="Q302" s="120"/>
      <c r="R302" s="113"/>
      <c r="S302" s="94"/>
      <c r="T302" s="94"/>
      <c r="V302" s="104"/>
    </row>
    <row r="303" ht="15.75" customHeight="1">
      <c r="A303" s="91"/>
      <c r="B303" s="131"/>
      <c r="C303" s="132"/>
      <c r="D303" s="94"/>
      <c r="E303" s="132"/>
      <c r="F303" s="132"/>
      <c r="G303" s="94"/>
      <c r="H303" s="93"/>
      <c r="I303" s="94"/>
      <c r="J303" s="94"/>
      <c r="K303" s="126"/>
      <c r="L303" s="126"/>
      <c r="M303" s="99"/>
      <c r="N303" s="111"/>
      <c r="O303" s="112"/>
      <c r="P303" s="94"/>
      <c r="Q303" s="120"/>
      <c r="R303" s="113"/>
      <c r="S303" s="94"/>
      <c r="T303" s="94"/>
      <c r="V303" s="104"/>
    </row>
    <row r="304" ht="15.75" customHeight="1">
      <c r="A304" s="91"/>
      <c r="B304" s="131"/>
      <c r="C304" s="132"/>
      <c r="D304" s="94"/>
      <c r="E304" s="132"/>
      <c r="F304" s="132"/>
      <c r="G304" s="94"/>
      <c r="H304" s="93"/>
      <c r="I304" s="94"/>
      <c r="J304" s="94"/>
      <c r="K304" s="125"/>
      <c r="L304" s="125"/>
      <c r="M304" s="99"/>
      <c r="N304" s="111"/>
      <c r="O304" s="112"/>
      <c r="P304" s="94"/>
      <c r="Q304" s="120"/>
      <c r="R304" s="113"/>
      <c r="S304" s="94"/>
      <c r="T304" s="94"/>
      <c r="V304" s="104"/>
    </row>
    <row r="305" ht="15.75" customHeight="1">
      <c r="A305" s="91"/>
      <c r="B305" s="131"/>
      <c r="C305" s="132"/>
      <c r="D305" s="94"/>
      <c r="E305" s="132"/>
      <c r="F305" s="132"/>
      <c r="G305" s="94"/>
      <c r="H305" s="93"/>
      <c r="I305" s="94"/>
      <c r="J305" s="94"/>
      <c r="K305" s="126"/>
      <c r="L305" s="126"/>
      <c r="M305" s="99"/>
      <c r="N305" s="111"/>
      <c r="O305" s="112"/>
      <c r="P305" s="94"/>
      <c r="Q305" s="120"/>
      <c r="R305" s="113"/>
      <c r="S305" s="94"/>
      <c r="T305" s="94"/>
      <c r="V305" s="104"/>
    </row>
    <row r="306" ht="15.75" customHeight="1">
      <c r="A306" s="91"/>
      <c r="B306" s="131"/>
      <c r="C306" s="132"/>
      <c r="D306" s="94"/>
      <c r="E306" s="132"/>
      <c r="F306" s="132"/>
      <c r="G306" s="94"/>
      <c r="H306" s="93"/>
      <c r="I306" s="94"/>
      <c r="J306" s="94"/>
      <c r="K306" s="125"/>
      <c r="L306" s="125"/>
      <c r="M306" s="99"/>
      <c r="N306" s="111"/>
      <c r="O306" s="112"/>
      <c r="P306" s="94"/>
      <c r="Q306" s="120"/>
      <c r="R306" s="113"/>
      <c r="S306" s="94"/>
      <c r="T306" s="94"/>
      <c r="V306" s="104"/>
    </row>
    <row r="307" ht="15.75" customHeight="1">
      <c r="A307" s="91"/>
      <c r="B307" s="131"/>
      <c r="C307" s="132"/>
      <c r="D307" s="94"/>
      <c r="E307" s="132"/>
      <c r="F307" s="132"/>
      <c r="G307" s="94"/>
      <c r="H307" s="93"/>
      <c r="I307" s="94"/>
      <c r="J307" s="94"/>
      <c r="K307" s="126"/>
      <c r="L307" s="126"/>
      <c r="M307" s="99"/>
      <c r="N307" s="111"/>
      <c r="O307" s="112"/>
      <c r="P307" s="94"/>
      <c r="Q307" s="120"/>
      <c r="R307" s="113"/>
      <c r="S307" s="94"/>
      <c r="T307" s="94"/>
      <c r="V307" s="104"/>
    </row>
    <row r="308" ht="15.75" customHeight="1">
      <c r="A308" s="91"/>
      <c r="B308" s="131"/>
      <c r="C308" s="104"/>
      <c r="D308" s="94"/>
      <c r="E308" s="132"/>
      <c r="F308" s="132"/>
      <c r="G308" s="94"/>
      <c r="H308" s="93"/>
      <c r="I308" s="94"/>
      <c r="J308" s="94"/>
      <c r="K308" s="125"/>
      <c r="L308" s="125"/>
      <c r="M308" s="99"/>
      <c r="N308" s="111"/>
      <c r="O308" s="112"/>
      <c r="P308" s="94"/>
      <c r="Q308" s="120"/>
      <c r="R308" s="113"/>
      <c r="S308" s="94"/>
      <c r="T308" s="94"/>
      <c r="V308" s="104"/>
    </row>
    <row r="309" ht="15.75" customHeight="1">
      <c r="A309" s="91"/>
      <c r="B309" s="131"/>
      <c r="C309" s="132"/>
      <c r="D309" s="94"/>
      <c r="E309" s="132"/>
      <c r="F309" s="132"/>
      <c r="G309" s="94"/>
      <c r="H309" s="93"/>
      <c r="I309" s="94"/>
      <c r="J309" s="94"/>
      <c r="K309" s="126"/>
      <c r="L309" s="126"/>
      <c r="M309" s="99"/>
      <c r="N309" s="111"/>
      <c r="O309" s="112"/>
      <c r="P309" s="94"/>
      <c r="Q309" s="120"/>
      <c r="R309" s="113"/>
      <c r="S309" s="94"/>
      <c r="T309" s="94"/>
      <c r="V309" s="104"/>
    </row>
    <row r="310" ht="15.75" customHeight="1">
      <c r="A310" s="91"/>
      <c r="B310" s="131"/>
      <c r="C310" s="132"/>
      <c r="D310" s="94"/>
      <c r="E310" s="132"/>
      <c r="F310" s="132"/>
      <c r="G310" s="94"/>
      <c r="H310" s="93"/>
      <c r="I310" s="94"/>
      <c r="J310" s="94"/>
      <c r="K310" s="125"/>
      <c r="L310" s="125"/>
      <c r="M310" s="99"/>
      <c r="N310" s="111"/>
      <c r="O310" s="112"/>
      <c r="P310" s="94"/>
      <c r="Q310" s="120"/>
      <c r="R310" s="113"/>
      <c r="S310" s="94"/>
      <c r="T310" s="94"/>
      <c r="V310" s="104"/>
    </row>
    <row r="311" ht="15.75" customHeight="1">
      <c r="A311" s="91"/>
      <c r="B311" s="131"/>
      <c r="C311" s="132"/>
      <c r="D311" s="94"/>
      <c r="E311" s="132"/>
      <c r="F311" s="132"/>
      <c r="G311" s="94"/>
      <c r="H311" s="93"/>
      <c r="I311" s="94"/>
      <c r="J311" s="94"/>
      <c r="K311" s="126"/>
      <c r="L311" s="126"/>
      <c r="M311" s="99"/>
      <c r="N311" s="111"/>
      <c r="O311" s="112"/>
      <c r="P311" s="94"/>
      <c r="Q311" s="120"/>
      <c r="R311" s="113"/>
      <c r="S311" s="94"/>
      <c r="T311" s="94"/>
      <c r="V311" s="104"/>
    </row>
    <row r="312" ht="15.75" customHeight="1">
      <c r="A312" s="91"/>
      <c r="B312" s="131"/>
      <c r="C312" s="132"/>
      <c r="D312" s="94"/>
      <c r="E312" s="132"/>
      <c r="F312" s="132"/>
      <c r="G312" s="94"/>
      <c r="H312" s="93"/>
      <c r="I312" s="94"/>
      <c r="J312" s="94"/>
      <c r="K312" s="125"/>
      <c r="L312" s="125"/>
      <c r="M312" s="99"/>
      <c r="N312" s="111"/>
      <c r="O312" s="112"/>
      <c r="P312" s="94"/>
      <c r="Q312" s="120"/>
      <c r="R312" s="113"/>
      <c r="S312" s="94"/>
      <c r="T312" s="94"/>
      <c r="V312" s="104"/>
    </row>
    <row r="313" ht="15.75" customHeight="1">
      <c r="A313" s="91"/>
      <c r="B313" s="131"/>
      <c r="C313" s="132"/>
      <c r="D313" s="94"/>
      <c r="E313" s="132"/>
      <c r="F313" s="132"/>
      <c r="G313" s="94"/>
      <c r="H313" s="93"/>
      <c r="I313" s="94"/>
      <c r="J313" s="94"/>
      <c r="K313" s="126"/>
      <c r="L313" s="126"/>
      <c r="M313" s="99"/>
      <c r="N313" s="111"/>
      <c r="O313" s="112"/>
      <c r="P313" s="94"/>
      <c r="Q313" s="120"/>
      <c r="R313" s="113"/>
      <c r="S313" s="94"/>
      <c r="T313" s="94"/>
      <c r="V313" s="104"/>
    </row>
    <row r="314" ht="15.75" customHeight="1">
      <c r="A314" s="91"/>
      <c r="B314" s="131"/>
      <c r="C314" s="104"/>
      <c r="D314" s="94"/>
      <c r="E314" s="132"/>
      <c r="F314" s="132"/>
      <c r="G314" s="94"/>
      <c r="H314" s="93"/>
      <c r="I314" s="94"/>
      <c r="J314" s="94"/>
      <c r="K314" s="125"/>
      <c r="L314" s="125"/>
      <c r="M314" s="99"/>
      <c r="N314" s="111"/>
      <c r="O314" s="112"/>
      <c r="P314" s="94"/>
      <c r="Q314" s="120"/>
      <c r="R314" s="113"/>
      <c r="S314" s="94"/>
      <c r="T314" s="94"/>
      <c r="V314" s="104"/>
    </row>
    <row r="315" ht="15.75" customHeight="1">
      <c r="A315" s="91"/>
      <c r="B315" s="131"/>
      <c r="C315" s="132"/>
      <c r="D315" s="94"/>
      <c r="E315" s="132"/>
      <c r="F315" s="132"/>
      <c r="G315" s="94"/>
      <c r="H315" s="93"/>
      <c r="I315" s="94"/>
      <c r="J315" s="94"/>
      <c r="K315" s="126"/>
      <c r="L315" s="126"/>
      <c r="M315" s="99"/>
      <c r="N315" s="111"/>
      <c r="O315" s="112"/>
      <c r="P315" s="94"/>
      <c r="Q315" s="120"/>
      <c r="R315" s="113"/>
      <c r="S315" s="94"/>
      <c r="T315" s="94"/>
      <c r="V315" s="104"/>
    </row>
    <row r="316" ht="15.75" customHeight="1">
      <c r="A316" s="91"/>
      <c r="B316" s="131"/>
      <c r="C316" s="132"/>
      <c r="D316" s="94"/>
      <c r="E316" s="132"/>
      <c r="F316" s="132"/>
      <c r="G316" s="94"/>
      <c r="H316" s="93"/>
      <c r="I316" s="94"/>
      <c r="J316" s="94"/>
      <c r="K316" s="125"/>
      <c r="L316" s="125"/>
      <c r="M316" s="99"/>
      <c r="N316" s="111"/>
      <c r="O316" s="112"/>
      <c r="P316" s="94"/>
      <c r="Q316" s="120"/>
      <c r="R316" s="113"/>
      <c r="S316" s="94"/>
      <c r="T316" s="94"/>
      <c r="V316" s="104"/>
    </row>
    <row r="317" ht="15.75" customHeight="1">
      <c r="A317" s="91"/>
      <c r="B317" s="131"/>
      <c r="C317" s="132"/>
      <c r="D317" s="94"/>
      <c r="E317" s="132"/>
      <c r="F317" s="132"/>
      <c r="G317" s="94"/>
      <c r="H317" s="93"/>
      <c r="I317" s="94"/>
      <c r="J317" s="94"/>
      <c r="K317" s="126"/>
      <c r="L317" s="126"/>
      <c r="M317" s="99"/>
      <c r="N317" s="111"/>
      <c r="O317" s="112"/>
      <c r="P317" s="94"/>
      <c r="Q317" s="120"/>
      <c r="R317" s="113"/>
      <c r="S317" s="94"/>
      <c r="T317" s="94"/>
      <c r="V317" s="104"/>
    </row>
    <row r="318" ht="15.75" customHeight="1">
      <c r="A318" s="91"/>
      <c r="B318" s="131"/>
      <c r="C318" s="132"/>
      <c r="D318" s="94"/>
      <c r="E318" s="132"/>
      <c r="F318" s="132"/>
      <c r="G318" s="94"/>
      <c r="H318" s="93"/>
      <c r="I318" s="94"/>
      <c r="J318" s="94"/>
      <c r="K318" s="125"/>
      <c r="L318" s="125"/>
      <c r="M318" s="99"/>
      <c r="N318" s="111"/>
      <c r="O318" s="112"/>
      <c r="P318" s="94"/>
      <c r="Q318" s="120"/>
      <c r="R318" s="113"/>
      <c r="S318" s="94"/>
      <c r="T318" s="94"/>
      <c r="V318" s="104"/>
    </row>
    <row r="319" ht="15.75" customHeight="1">
      <c r="A319" s="91"/>
      <c r="B319" s="131"/>
      <c r="C319" s="132"/>
      <c r="D319" s="94"/>
      <c r="E319" s="132"/>
      <c r="F319" s="132"/>
      <c r="G319" s="94"/>
      <c r="H319" s="93"/>
      <c r="I319" s="94"/>
      <c r="J319" s="94"/>
      <c r="K319" s="126"/>
      <c r="L319" s="126"/>
      <c r="M319" s="99"/>
      <c r="N319" s="111"/>
      <c r="O319" s="112"/>
      <c r="P319" s="94"/>
      <c r="Q319" s="120"/>
      <c r="R319" s="113"/>
      <c r="S319" s="94"/>
      <c r="T319" s="94"/>
      <c r="V319" s="104"/>
    </row>
    <row r="320" ht="15.75" customHeight="1">
      <c r="A320" s="91"/>
      <c r="B320" s="131"/>
      <c r="C320" s="104"/>
      <c r="D320" s="94"/>
      <c r="E320" s="132"/>
      <c r="F320" s="132"/>
      <c r="G320" s="94"/>
      <c r="H320" s="93"/>
      <c r="I320" s="94"/>
      <c r="J320" s="94"/>
      <c r="K320" s="125"/>
      <c r="L320" s="125"/>
      <c r="M320" s="99"/>
      <c r="N320" s="111"/>
      <c r="O320" s="112"/>
      <c r="P320" s="94"/>
      <c r="Q320" s="120"/>
      <c r="R320" s="113"/>
      <c r="S320" s="94"/>
      <c r="T320" s="94"/>
      <c r="V320" s="104"/>
    </row>
    <row r="321" ht="15.75" customHeight="1">
      <c r="A321" s="91"/>
      <c r="B321" s="131"/>
      <c r="C321" s="132"/>
      <c r="D321" s="94"/>
      <c r="E321" s="132"/>
      <c r="F321" s="132"/>
      <c r="G321" s="94"/>
      <c r="H321" s="93"/>
      <c r="I321" s="94"/>
      <c r="J321" s="94"/>
      <c r="K321" s="126"/>
      <c r="L321" s="126"/>
      <c r="M321" s="99"/>
      <c r="N321" s="111"/>
      <c r="O321" s="112"/>
      <c r="P321" s="94"/>
      <c r="Q321" s="120"/>
      <c r="R321" s="113"/>
      <c r="S321" s="94"/>
      <c r="T321" s="94"/>
      <c r="V321" s="104"/>
    </row>
    <row r="322" ht="15.75" customHeight="1">
      <c r="A322" s="91"/>
      <c r="B322" s="131"/>
      <c r="C322" s="132"/>
      <c r="D322" s="94"/>
      <c r="E322" s="132"/>
      <c r="F322" s="132"/>
      <c r="G322" s="94"/>
      <c r="H322" s="93"/>
      <c r="I322" s="94"/>
      <c r="J322" s="94"/>
      <c r="K322" s="125"/>
      <c r="L322" s="125"/>
      <c r="M322" s="99"/>
      <c r="N322" s="111"/>
      <c r="O322" s="112"/>
      <c r="P322" s="94"/>
      <c r="Q322" s="120"/>
      <c r="R322" s="113"/>
      <c r="S322" s="94"/>
      <c r="T322" s="94"/>
      <c r="V322" s="104"/>
    </row>
    <row r="323" ht="15.75" customHeight="1">
      <c r="A323" s="91"/>
      <c r="B323" s="131"/>
      <c r="C323" s="132"/>
      <c r="D323" s="94"/>
      <c r="E323" s="132"/>
      <c r="F323" s="132"/>
      <c r="G323" s="94"/>
      <c r="H323" s="93"/>
      <c r="I323" s="94"/>
      <c r="J323" s="94"/>
      <c r="K323" s="126"/>
      <c r="L323" s="126"/>
      <c r="M323" s="99"/>
      <c r="N323" s="111"/>
      <c r="O323" s="112"/>
      <c r="P323" s="94"/>
      <c r="Q323" s="120"/>
      <c r="R323" s="113"/>
      <c r="S323" s="94"/>
      <c r="T323" s="94"/>
      <c r="V323" s="104"/>
    </row>
    <row r="324" ht="15.75" customHeight="1">
      <c r="A324" s="91"/>
      <c r="B324" s="131"/>
      <c r="C324" s="132"/>
      <c r="D324" s="94"/>
      <c r="E324" s="132"/>
      <c r="F324" s="132"/>
      <c r="G324" s="94"/>
      <c r="H324" s="93"/>
      <c r="I324" s="94"/>
      <c r="J324" s="94"/>
      <c r="K324" s="125"/>
      <c r="L324" s="125"/>
      <c r="M324" s="99"/>
      <c r="N324" s="111"/>
      <c r="O324" s="112"/>
      <c r="P324" s="94"/>
      <c r="Q324" s="120"/>
      <c r="R324" s="113"/>
      <c r="S324" s="94"/>
      <c r="T324" s="94"/>
      <c r="V324" s="104"/>
    </row>
    <row r="325" ht="15.75" customHeight="1">
      <c r="A325" s="91"/>
      <c r="B325" s="131"/>
      <c r="C325" s="132"/>
      <c r="D325" s="94"/>
      <c r="E325" s="132"/>
      <c r="F325" s="132"/>
      <c r="G325" s="94"/>
      <c r="H325" s="93"/>
      <c r="I325" s="94"/>
      <c r="J325" s="94"/>
      <c r="K325" s="126"/>
      <c r="L325" s="126"/>
      <c r="M325" s="99"/>
      <c r="N325" s="111"/>
      <c r="O325" s="112"/>
      <c r="P325" s="94"/>
      <c r="Q325" s="120"/>
      <c r="R325" s="113"/>
      <c r="S325" s="94"/>
      <c r="T325" s="94"/>
      <c r="V325" s="104"/>
    </row>
    <row r="326" ht="15.75" customHeight="1">
      <c r="A326" s="91"/>
      <c r="B326" s="131"/>
      <c r="C326" s="104"/>
      <c r="D326" s="94"/>
      <c r="E326" s="132"/>
      <c r="F326" s="132"/>
      <c r="G326" s="94"/>
      <c r="H326" s="93"/>
      <c r="I326" s="94"/>
      <c r="J326" s="94"/>
      <c r="K326" s="125"/>
      <c r="L326" s="125"/>
      <c r="M326" s="99"/>
      <c r="N326" s="111"/>
      <c r="O326" s="112"/>
      <c r="P326" s="94"/>
      <c r="Q326" s="120"/>
      <c r="R326" s="113"/>
      <c r="S326" s="94"/>
      <c r="T326" s="94"/>
      <c r="V326" s="104"/>
    </row>
    <row r="327" ht="15.75" customHeight="1">
      <c r="A327" s="91"/>
      <c r="B327" s="131"/>
      <c r="C327" s="132"/>
      <c r="D327" s="94"/>
      <c r="E327" s="132"/>
      <c r="F327" s="132"/>
      <c r="G327" s="94"/>
      <c r="H327" s="93"/>
      <c r="I327" s="94"/>
      <c r="J327" s="94"/>
      <c r="K327" s="126"/>
      <c r="L327" s="126"/>
      <c r="M327" s="99"/>
      <c r="N327" s="111"/>
      <c r="O327" s="112"/>
      <c r="P327" s="94"/>
      <c r="Q327" s="120"/>
      <c r="R327" s="113"/>
      <c r="S327" s="94"/>
      <c r="T327" s="94"/>
      <c r="V327" s="104"/>
    </row>
    <row r="328" ht="15.75" customHeight="1">
      <c r="A328" s="91"/>
      <c r="B328" s="131"/>
      <c r="C328" s="132"/>
      <c r="D328" s="94"/>
      <c r="E328" s="132"/>
      <c r="F328" s="132"/>
      <c r="G328" s="94"/>
      <c r="H328" s="93"/>
      <c r="I328" s="94"/>
      <c r="J328" s="94"/>
      <c r="K328" s="125"/>
      <c r="L328" s="125"/>
      <c r="M328" s="99"/>
      <c r="N328" s="111"/>
      <c r="O328" s="112"/>
      <c r="P328" s="94"/>
      <c r="Q328" s="120"/>
      <c r="R328" s="113"/>
      <c r="S328" s="94"/>
      <c r="T328" s="94"/>
      <c r="V328" s="104"/>
    </row>
    <row r="329" ht="15.75" customHeight="1">
      <c r="A329" s="91"/>
      <c r="B329" s="131"/>
      <c r="C329" s="132"/>
      <c r="D329" s="94"/>
      <c r="E329" s="132"/>
      <c r="F329" s="132"/>
      <c r="G329" s="94"/>
      <c r="H329" s="93"/>
      <c r="I329" s="94"/>
      <c r="J329" s="94"/>
      <c r="K329" s="126"/>
      <c r="L329" s="126"/>
      <c r="M329" s="99"/>
      <c r="N329" s="111"/>
      <c r="O329" s="112"/>
      <c r="P329" s="94"/>
      <c r="Q329" s="120"/>
      <c r="R329" s="113"/>
      <c r="S329" s="94"/>
      <c r="T329" s="94"/>
      <c r="V329" s="104"/>
    </row>
    <row r="330" ht="15.75" customHeight="1">
      <c r="A330" s="91"/>
      <c r="B330" s="131"/>
      <c r="C330" s="132"/>
      <c r="D330" s="94"/>
      <c r="E330" s="132"/>
      <c r="F330" s="132"/>
      <c r="G330" s="94"/>
      <c r="H330" s="93"/>
      <c r="I330" s="94"/>
      <c r="J330" s="94"/>
      <c r="K330" s="125"/>
      <c r="L330" s="125"/>
      <c r="M330" s="99"/>
      <c r="N330" s="111"/>
      <c r="O330" s="112"/>
      <c r="P330" s="94"/>
      <c r="Q330" s="120"/>
      <c r="R330" s="113"/>
      <c r="S330" s="94"/>
      <c r="T330" s="94"/>
      <c r="V330" s="104"/>
    </row>
    <row r="331" ht="15.75" customHeight="1">
      <c r="A331" s="91"/>
      <c r="B331" s="131"/>
      <c r="C331" s="132"/>
      <c r="D331" s="94"/>
      <c r="E331" s="132"/>
      <c r="F331" s="132"/>
      <c r="G331" s="94"/>
      <c r="H331" s="93"/>
      <c r="I331" s="94"/>
      <c r="J331" s="94"/>
      <c r="K331" s="126"/>
      <c r="L331" s="126"/>
      <c r="M331" s="99"/>
      <c r="N331" s="111"/>
      <c r="O331" s="112"/>
      <c r="P331" s="94"/>
      <c r="Q331" s="120"/>
      <c r="R331" s="113"/>
      <c r="S331" s="94"/>
      <c r="T331" s="94"/>
      <c r="V331" s="104"/>
    </row>
    <row r="332" ht="15.75" customHeight="1">
      <c r="A332" s="91"/>
      <c r="B332" s="131"/>
      <c r="C332" s="104"/>
      <c r="D332" s="94"/>
      <c r="E332" s="132"/>
      <c r="F332" s="132"/>
      <c r="G332" s="94"/>
      <c r="H332" s="93"/>
      <c r="I332" s="94"/>
      <c r="J332" s="94"/>
      <c r="K332" s="125"/>
      <c r="L332" s="125"/>
      <c r="M332" s="99"/>
      <c r="N332" s="111"/>
      <c r="O332" s="112"/>
      <c r="P332" s="94"/>
      <c r="Q332" s="120"/>
      <c r="R332" s="113"/>
      <c r="S332" s="94"/>
      <c r="T332" s="94"/>
      <c r="V332" s="104"/>
    </row>
    <row r="333" ht="15.75" customHeight="1">
      <c r="A333" s="91"/>
      <c r="B333" s="131"/>
      <c r="C333" s="132"/>
      <c r="D333" s="94"/>
      <c r="E333" s="132"/>
      <c r="F333" s="132"/>
      <c r="G333" s="94"/>
      <c r="H333" s="93"/>
      <c r="I333" s="94"/>
      <c r="J333" s="94"/>
      <c r="K333" s="126"/>
      <c r="L333" s="126"/>
      <c r="M333" s="99"/>
      <c r="N333" s="111"/>
      <c r="O333" s="112"/>
      <c r="P333" s="94"/>
      <c r="Q333" s="120"/>
      <c r="R333" s="113"/>
      <c r="S333" s="94"/>
      <c r="T333" s="94"/>
      <c r="V333" s="104"/>
    </row>
    <row r="334" ht="15.75" customHeight="1">
      <c r="A334" s="91"/>
      <c r="B334" s="131"/>
      <c r="C334" s="132"/>
      <c r="D334" s="94"/>
      <c r="E334" s="132"/>
      <c r="F334" s="132"/>
      <c r="G334" s="94"/>
      <c r="H334" s="93"/>
      <c r="I334" s="94"/>
      <c r="J334" s="94"/>
      <c r="K334" s="125"/>
      <c r="L334" s="125"/>
      <c r="M334" s="99"/>
      <c r="N334" s="111"/>
      <c r="O334" s="112"/>
      <c r="P334" s="94"/>
      <c r="Q334" s="120"/>
      <c r="R334" s="113"/>
      <c r="S334" s="94"/>
      <c r="T334" s="94"/>
      <c r="V334" s="104"/>
    </row>
    <row r="335" ht="15.75" customHeight="1">
      <c r="A335" s="91"/>
      <c r="B335" s="131"/>
      <c r="C335" s="132"/>
      <c r="D335" s="94"/>
      <c r="E335" s="132"/>
      <c r="F335" s="132"/>
      <c r="G335" s="94"/>
      <c r="H335" s="93"/>
      <c r="I335" s="94"/>
      <c r="J335" s="94"/>
      <c r="K335" s="126"/>
      <c r="L335" s="126"/>
      <c r="M335" s="99"/>
      <c r="N335" s="111"/>
      <c r="O335" s="112"/>
      <c r="P335" s="94"/>
      <c r="Q335" s="120"/>
      <c r="R335" s="113"/>
      <c r="S335" s="94"/>
      <c r="T335" s="94"/>
      <c r="V335" s="104"/>
    </row>
    <row r="336" ht="15.75" customHeight="1">
      <c r="A336" s="91"/>
      <c r="B336" s="131"/>
      <c r="C336" s="132"/>
      <c r="D336" s="94"/>
      <c r="E336" s="132"/>
      <c r="F336" s="132"/>
      <c r="G336" s="94"/>
      <c r="H336" s="93"/>
      <c r="I336" s="94"/>
      <c r="J336" s="94"/>
      <c r="K336" s="125"/>
      <c r="L336" s="125"/>
      <c r="M336" s="99"/>
      <c r="N336" s="111"/>
      <c r="O336" s="112"/>
      <c r="P336" s="94"/>
      <c r="Q336" s="120"/>
      <c r="R336" s="113"/>
      <c r="S336" s="94"/>
      <c r="T336" s="94"/>
      <c r="V336" s="104"/>
    </row>
    <row r="337" ht="15.75" customHeight="1">
      <c r="A337" s="91"/>
      <c r="B337" s="131"/>
      <c r="C337" s="132"/>
      <c r="D337" s="94"/>
      <c r="E337" s="132"/>
      <c r="F337" s="132"/>
      <c r="G337" s="94"/>
      <c r="H337" s="93"/>
      <c r="I337" s="94"/>
      <c r="J337" s="94"/>
      <c r="K337" s="126"/>
      <c r="L337" s="126"/>
      <c r="M337" s="99"/>
      <c r="N337" s="111"/>
      <c r="O337" s="112"/>
      <c r="P337" s="94"/>
      <c r="Q337" s="120"/>
      <c r="R337" s="113"/>
      <c r="S337" s="94"/>
      <c r="T337" s="94"/>
      <c r="V337" s="104"/>
    </row>
    <row r="338" ht="15.75" customHeight="1">
      <c r="A338" s="91"/>
      <c r="B338" s="131"/>
      <c r="C338" s="104"/>
      <c r="D338" s="94"/>
      <c r="E338" s="132"/>
      <c r="F338" s="132"/>
      <c r="G338" s="94"/>
      <c r="H338" s="93"/>
      <c r="I338" s="94"/>
      <c r="J338" s="94"/>
      <c r="K338" s="125"/>
      <c r="L338" s="125"/>
      <c r="M338" s="99"/>
      <c r="N338" s="111"/>
      <c r="O338" s="112"/>
      <c r="P338" s="94"/>
      <c r="Q338" s="120"/>
      <c r="R338" s="113"/>
      <c r="S338" s="94"/>
      <c r="T338" s="94"/>
      <c r="V338" s="104"/>
    </row>
    <row r="339" ht="15.75" customHeight="1">
      <c r="A339" s="91"/>
      <c r="B339" s="131"/>
      <c r="C339" s="132"/>
      <c r="D339" s="94"/>
      <c r="E339" s="132"/>
      <c r="F339" s="132"/>
      <c r="G339" s="94"/>
      <c r="H339" s="93"/>
      <c r="I339" s="94"/>
      <c r="J339" s="94"/>
      <c r="K339" s="126"/>
      <c r="L339" s="126"/>
      <c r="M339" s="99"/>
      <c r="N339" s="111"/>
      <c r="O339" s="112"/>
      <c r="P339" s="94"/>
      <c r="Q339" s="120"/>
      <c r="R339" s="113"/>
      <c r="S339" s="94"/>
      <c r="T339" s="94"/>
      <c r="V339" s="104"/>
    </row>
    <row r="340" ht="15.75" customHeight="1">
      <c r="A340" s="91"/>
      <c r="B340" s="131"/>
      <c r="C340" s="132"/>
      <c r="D340" s="94"/>
      <c r="E340" s="132"/>
      <c r="F340" s="132"/>
      <c r="G340" s="94"/>
      <c r="H340" s="93"/>
      <c r="I340" s="94"/>
      <c r="J340" s="94"/>
      <c r="K340" s="125"/>
      <c r="L340" s="125"/>
      <c r="M340" s="99"/>
      <c r="N340" s="111"/>
      <c r="O340" s="112"/>
      <c r="P340" s="94"/>
      <c r="Q340" s="120"/>
      <c r="R340" s="113"/>
      <c r="S340" s="94"/>
      <c r="T340" s="94"/>
      <c r="V340" s="104"/>
    </row>
    <row r="341" ht="15.75" customHeight="1">
      <c r="A341" s="91"/>
      <c r="B341" s="131"/>
      <c r="C341" s="132"/>
      <c r="D341" s="94"/>
      <c r="E341" s="132"/>
      <c r="F341" s="132"/>
      <c r="G341" s="94"/>
      <c r="H341" s="93"/>
      <c r="I341" s="94"/>
      <c r="J341" s="94"/>
      <c r="K341" s="126"/>
      <c r="L341" s="126"/>
      <c r="M341" s="99"/>
      <c r="N341" s="111"/>
      <c r="O341" s="112"/>
      <c r="P341" s="94"/>
      <c r="Q341" s="120"/>
      <c r="R341" s="113"/>
      <c r="S341" s="94"/>
      <c r="T341" s="94"/>
      <c r="V341" s="104"/>
    </row>
    <row r="342" ht="15.75" customHeight="1">
      <c r="A342" s="91"/>
      <c r="B342" s="131"/>
      <c r="C342" s="132"/>
      <c r="D342" s="94"/>
      <c r="E342" s="132"/>
      <c r="F342" s="132"/>
      <c r="G342" s="94"/>
      <c r="H342" s="93"/>
      <c r="I342" s="94"/>
      <c r="J342" s="94"/>
      <c r="K342" s="125"/>
      <c r="L342" s="125"/>
      <c r="M342" s="99"/>
      <c r="N342" s="111"/>
      <c r="O342" s="112"/>
      <c r="P342" s="94"/>
      <c r="Q342" s="120"/>
      <c r="R342" s="113"/>
      <c r="S342" s="94"/>
      <c r="T342" s="94"/>
      <c r="V342" s="104"/>
    </row>
    <row r="343" ht="15.75" customHeight="1">
      <c r="A343" s="91"/>
      <c r="B343" s="131"/>
      <c r="C343" s="132"/>
      <c r="D343" s="94"/>
      <c r="E343" s="132"/>
      <c r="F343" s="132"/>
      <c r="G343" s="94"/>
      <c r="H343" s="93"/>
      <c r="I343" s="94"/>
      <c r="J343" s="94"/>
      <c r="K343" s="126"/>
      <c r="L343" s="126"/>
      <c r="M343" s="99"/>
      <c r="N343" s="111"/>
      <c r="O343" s="112"/>
      <c r="P343" s="94"/>
      <c r="Q343" s="120"/>
      <c r="R343" s="113"/>
      <c r="S343" s="94"/>
      <c r="T343" s="94"/>
      <c r="V343" s="104"/>
    </row>
    <row r="344" ht="15.75" customHeight="1">
      <c r="A344" s="91"/>
      <c r="B344" s="131"/>
      <c r="C344" s="104"/>
      <c r="D344" s="94"/>
      <c r="E344" s="132"/>
      <c r="F344" s="132"/>
      <c r="G344" s="94"/>
      <c r="H344" s="93"/>
      <c r="I344" s="94"/>
      <c r="J344" s="94"/>
      <c r="K344" s="125"/>
      <c r="L344" s="125"/>
      <c r="M344" s="99"/>
      <c r="N344" s="111"/>
      <c r="O344" s="112"/>
      <c r="P344" s="94"/>
      <c r="Q344" s="120"/>
      <c r="R344" s="113"/>
      <c r="S344" s="94"/>
      <c r="T344" s="94"/>
      <c r="V344" s="104"/>
    </row>
    <row r="345" ht="15.75" customHeight="1">
      <c r="A345" s="91"/>
      <c r="B345" s="131"/>
      <c r="C345" s="132"/>
      <c r="D345" s="94"/>
      <c r="E345" s="132"/>
      <c r="F345" s="132"/>
      <c r="G345" s="94"/>
      <c r="H345" s="93"/>
      <c r="I345" s="94"/>
      <c r="J345" s="94"/>
      <c r="K345" s="126"/>
      <c r="L345" s="126"/>
      <c r="M345" s="99"/>
      <c r="N345" s="111"/>
      <c r="O345" s="112"/>
      <c r="P345" s="94"/>
      <c r="Q345" s="120"/>
      <c r="R345" s="113"/>
      <c r="S345" s="94"/>
      <c r="T345" s="94"/>
      <c r="V345" s="104"/>
    </row>
    <row r="346" ht="15.75" customHeight="1">
      <c r="A346" s="91"/>
      <c r="B346" s="131"/>
      <c r="C346" s="132"/>
      <c r="D346" s="94"/>
      <c r="E346" s="132"/>
      <c r="F346" s="132"/>
      <c r="G346" s="94"/>
      <c r="H346" s="93"/>
      <c r="I346" s="94"/>
      <c r="J346" s="94"/>
      <c r="K346" s="125"/>
      <c r="L346" s="125"/>
      <c r="M346" s="99"/>
      <c r="N346" s="111"/>
      <c r="O346" s="112"/>
      <c r="P346" s="94"/>
      <c r="Q346" s="120"/>
      <c r="R346" s="113"/>
      <c r="S346" s="94"/>
      <c r="T346" s="94"/>
      <c r="V346" s="104"/>
    </row>
    <row r="347" ht="15.75" customHeight="1">
      <c r="A347" s="91"/>
      <c r="B347" s="131"/>
      <c r="C347" s="132"/>
      <c r="D347" s="94"/>
      <c r="E347" s="132"/>
      <c r="F347" s="132"/>
      <c r="G347" s="94"/>
      <c r="H347" s="93"/>
      <c r="I347" s="94"/>
      <c r="J347" s="94"/>
      <c r="K347" s="126"/>
      <c r="L347" s="126"/>
      <c r="M347" s="99"/>
      <c r="N347" s="111"/>
      <c r="O347" s="112"/>
      <c r="P347" s="94"/>
      <c r="Q347" s="120"/>
      <c r="R347" s="113"/>
      <c r="S347" s="94"/>
      <c r="T347" s="94"/>
      <c r="V347" s="104"/>
    </row>
    <row r="348" ht="15.75" customHeight="1">
      <c r="A348" s="91"/>
      <c r="B348" s="131"/>
      <c r="C348" s="132"/>
      <c r="D348" s="94"/>
      <c r="E348" s="132"/>
      <c r="F348" s="132"/>
      <c r="G348" s="94"/>
      <c r="H348" s="93"/>
      <c r="I348" s="94"/>
      <c r="J348" s="94"/>
      <c r="K348" s="125"/>
      <c r="L348" s="125"/>
      <c r="M348" s="99"/>
      <c r="N348" s="111"/>
      <c r="O348" s="112"/>
      <c r="P348" s="94"/>
      <c r="Q348" s="120"/>
      <c r="R348" s="113"/>
      <c r="S348" s="94"/>
      <c r="T348" s="94"/>
      <c r="V348" s="104"/>
    </row>
    <row r="349" ht="15.75" customHeight="1">
      <c r="A349" s="91"/>
      <c r="B349" s="131"/>
      <c r="C349" s="132"/>
      <c r="D349" s="94"/>
      <c r="E349" s="132"/>
      <c r="F349" s="132"/>
      <c r="G349" s="94"/>
      <c r="H349" s="93"/>
      <c r="I349" s="94"/>
      <c r="J349" s="94"/>
      <c r="K349" s="126"/>
      <c r="L349" s="126"/>
      <c r="M349" s="99"/>
      <c r="N349" s="111"/>
      <c r="O349" s="112"/>
      <c r="P349" s="94"/>
      <c r="Q349" s="120"/>
      <c r="R349" s="113"/>
      <c r="S349" s="94"/>
      <c r="T349" s="94"/>
      <c r="V349" s="104"/>
    </row>
    <row r="350" ht="15.75" customHeight="1">
      <c r="A350" s="91"/>
      <c r="B350" s="131"/>
      <c r="C350" s="104"/>
      <c r="D350" s="94"/>
      <c r="E350" s="132"/>
      <c r="F350" s="132"/>
      <c r="G350" s="94"/>
      <c r="H350" s="93"/>
      <c r="I350" s="94"/>
      <c r="J350" s="94"/>
      <c r="K350" s="125"/>
      <c r="L350" s="125"/>
      <c r="M350" s="99"/>
      <c r="N350" s="111"/>
      <c r="O350" s="112"/>
      <c r="P350" s="94"/>
      <c r="Q350" s="120"/>
      <c r="R350" s="113"/>
      <c r="S350" s="94"/>
      <c r="T350" s="94"/>
      <c r="V350" s="104"/>
    </row>
    <row r="351" ht="15.75" customHeight="1">
      <c r="A351" s="91"/>
      <c r="B351" s="131"/>
      <c r="C351" s="132"/>
      <c r="D351" s="94"/>
      <c r="E351" s="132"/>
      <c r="F351" s="132"/>
      <c r="G351" s="94"/>
      <c r="H351" s="93"/>
      <c r="I351" s="94"/>
      <c r="J351" s="94"/>
      <c r="K351" s="126"/>
      <c r="L351" s="126"/>
      <c r="M351" s="99"/>
      <c r="N351" s="111"/>
      <c r="O351" s="112"/>
      <c r="P351" s="94"/>
      <c r="Q351" s="120"/>
      <c r="R351" s="113"/>
      <c r="S351" s="94"/>
      <c r="T351" s="94"/>
      <c r="V351" s="104"/>
    </row>
    <row r="352" ht="15.75" customHeight="1">
      <c r="A352" s="91"/>
      <c r="B352" s="131"/>
      <c r="C352" s="132"/>
      <c r="D352" s="94"/>
      <c r="E352" s="132"/>
      <c r="F352" s="132"/>
      <c r="G352" s="94"/>
      <c r="H352" s="93"/>
      <c r="I352" s="94"/>
      <c r="J352" s="94"/>
      <c r="K352" s="125"/>
      <c r="L352" s="125"/>
      <c r="M352" s="99"/>
      <c r="N352" s="111"/>
      <c r="O352" s="112"/>
      <c r="P352" s="94"/>
      <c r="Q352" s="120"/>
      <c r="R352" s="113"/>
      <c r="S352" s="94"/>
      <c r="T352" s="94"/>
      <c r="V352" s="104"/>
    </row>
    <row r="353" ht="15.75" customHeight="1">
      <c r="A353" s="91"/>
      <c r="B353" s="131"/>
      <c r="C353" s="132"/>
      <c r="D353" s="94"/>
      <c r="E353" s="132"/>
      <c r="F353" s="132"/>
      <c r="G353" s="94"/>
      <c r="H353" s="93"/>
      <c r="I353" s="94"/>
      <c r="J353" s="94"/>
      <c r="K353" s="135"/>
      <c r="L353" s="135"/>
      <c r="M353" s="99"/>
      <c r="N353" s="111"/>
      <c r="O353" s="112"/>
      <c r="P353" s="94"/>
      <c r="Q353" s="120"/>
      <c r="R353" s="113"/>
      <c r="S353" s="94"/>
      <c r="T353" s="94"/>
      <c r="V353" s="104"/>
    </row>
    <row r="354" ht="15.75" customHeight="1">
      <c r="A354" s="91"/>
      <c r="B354" s="131"/>
      <c r="C354" s="132"/>
      <c r="D354" s="94"/>
      <c r="E354" s="132"/>
      <c r="F354" s="132"/>
      <c r="G354" s="94"/>
      <c r="H354" s="93"/>
      <c r="I354" s="94"/>
      <c r="J354" s="94"/>
      <c r="K354" s="135"/>
      <c r="L354" s="135"/>
      <c r="M354" s="99"/>
      <c r="N354" s="111"/>
      <c r="O354" s="112"/>
      <c r="P354" s="94"/>
      <c r="Q354" s="120"/>
      <c r="R354" s="113"/>
      <c r="S354" s="94"/>
      <c r="T354" s="94"/>
      <c r="V354" s="104"/>
    </row>
    <row r="355" ht="15.75" customHeight="1">
      <c r="A355" s="91"/>
      <c r="B355" s="131"/>
      <c r="C355" s="132"/>
      <c r="D355" s="94"/>
      <c r="E355" s="132"/>
      <c r="F355" s="132"/>
      <c r="G355" s="94"/>
      <c r="H355" s="93"/>
      <c r="I355" s="94"/>
      <c r="J355" s="94"/>
      <c r="K355" s="135"/>
      <c r="L355" s="135"/>
      <c r="M355" s="99"/>
      <c r="N355" s="111"/>
      <c r="O355" s="112"/>
      <c r="P355" s="94"/>
      <c r="Q355" s="120"/>
      <c r="R355" s="113"/>
      <c r="S355" s="94"/>
      <c r="T355" s="94"/>
      <c r="V355" s="104"/>
    </row>
    <row r="356" ht="15.75" customHeight="1">
      <c r="A356" s="91"/>
      <c r="B356" s="131"/>
      <c r="C356" s="104"/>
      <c r="D356" s="94"/>
      <c r="E356" s="132"/>
      <c r="F356" s="132"/>
      <c r="G356" s="94"/>
      <c r="H356" s="93"/>
      <c r="I356" s="94"/>
      <c r="J356" s="94"/>
      <c r="K356" s="135"/>
      <c r="L356" s="135"/>
      <c r="M356" s="99"/>
      <c r="N356" s="111"/>
      <c r="O356" s="112"/>
      <c r="P356" s="94"/>
      <c r="Q356" s="120"/>
      <c r="R356" s="113"/>
      <c r="S356" s="94"/>
      <c r="T356" s="94"/>
      <c r="V356" s="104"/>
    </row>
    <row r="357" ht="15.75" customHeight="1">
      <c r="A357" s="91"/>
      <c r="B357" s="131"/>
      <c r="C357" s="132"/>
      <c r="D357" s="94"/>
      <c r="E357" s="132"/>
      <c r="F357" s="132"/>
      <c r="G357" s="94"/>
      <c r="H357" s="93"/>
      <c r="I357" s="94"/>
      <c r="J357" s="94"/>
      <c r="K357" s="135"/>
      <c r="L357" s="135"/>
      <c r="M357" s="99"/>
      <c r="N357" s="111"/>
      <c r="O357" s="112"/>
      <c r="P357" s="94"/>
      <c r="Q357" s="120"/>
      <c r="R357" s="113"/>
      <c r="S357" s="94"/>
      <c r="T357" s="94"/>
      <c r="V357" s="104"/>
    </row>
    <row r="358" ht="15.75" customHeight="1">
      <c r="A358" s="91"/>
      <c r="B358" s="131"/>
      <c r="C358" s="132"/>
      <c r="D358" s="94"/>
      <c r="E358" s="132"/>
      <c r="F358" s="132"/>
      <c r="G358" s="94"/>
      <c r="H358" s="93"/>
      <c r="I358" s="94"/>
      <c r="J358" s="94"/>
      <c r="K358" s="135"/>
      <c r="L358" s="135"/>
      <c r="M358" s="99"/>
      <c r="N358" s="111"/>
      <c r="O358" s="112"/>
      <c r="P358" s="94"/>
      <c r="Q358" s="120"/>
      <c r="R358" s="113"/>
      <c r="S358" s="94"/>
      <c r="T358" s="94"/>
      <c r="V358" s="104"/>
    </row>
    <row r="359" ht="15.75" customHeight="1">
      <c r="A359" s="91"/>
      <c r="B359" s="131"/>
      <c r="C359" s="132"/>
      <c r="D359" s="94"/>
      <c r="E359" s="132"/>
      <c r="F359" s="132"/>
      <c r="G359" s="94"/>
      <c r="H359" s="93"/>
      <c r="I359" s="94"/>
      <c r="J359" s="94"/>
      <c r="K359" s="135"/>
      <c r="L359" s="135"/>
      <c r="M359" s="99"/>
      <c r="N359" s="111"/>
      <c r="O359" s="112"/>
      <c r="P359" s="94"/>
      <c r="Q359" s="120"/>
      <c r="R359" s="113"/>
      <c r="S359" s="94"/>
      <c r="T359" s="94"/>
      <c r="V359" s="104"/>
    </row>
    <row r="360" ht="15.75" customHeight="1">
      <c r="A360" s="91"/>
      <c r="B360" s="131"/>
      <c r="C360" s="132"/>
      <c r="D360" s="94"/>
      <c r="E360" s="132"/>
      <c r="F360" s="132"/>
      <c r="G360" s="94"/>
      <c r="H360" s="93"/>
      <c r="I360" s="94"/>
      <c r="J360" s="94"/>
      <c r="K360" s="135"/>
      <c r="L360" s="135"/>
      <c r="M360" s="99"/>
      <c r="N360" s="111"/>
      <c r="O360" s="112"/>
      <c r="P360" s="94"/>
      <c r="Q360" s="120"/>
      <c r="R360" s="113"/>
      <c r="S360" s="94"/>
      <c r="T360" s="94"/>
      <c r="V360" s="104"/>
    </row>
    <row r="361" ht="15.75" customHeight="1">
      <c r="A361" s="91"/>
      <c r="B361" s="131"/>
      <c r="C361" s="132"/>
      <c r="D361" s="94"/>
      <c r="E361" s="132"/>
      <c r="F361" s="132"/>
      <c r="G361" s="94"/>
      <c r="H361" s="93"/>
      <c r="I361" s="94"/>
      <c r="J361" s="94"/>
      <c r="K361" s="135"/>
      <c r="L361" s="135"/>
      <c r="M361" s="99"/>
      <c r="N361" s="111"/>
      <c r="O361" s="112"/>
      <c r="P361" s="94"/>
      <c r="Q361" s="120"/>
      <c r="R361" s="113"/>
      <c r="S361" s="94"/>
      <c r="T361" s="94"/>
      <c r="V361" s="104"/>
    </row>
    <row r="362" ht="15.75" customHeight="1">
      <c r="A362" s="91"/>
      <c r="B362" s="131"/>
      <c r="C362" s="104"/>
      <c r="D362" s="94"/>
      <c r="E362" s="132"/>
      <c r="F362" s="132"/>
      <c r="G362" s="94"/>
      <c r="H362" s="93"/>
      <c r="I362" s="94"/>
      <c r="J362" s="94"/>
      <c r="K362" s="135"/>
      <c r="L362" s="135"/>
      <c r="M362" s="99"/>
      <c r="N362" s="111"/>
      <c r="O362" s="112"/>
      <c r="P362" s="94"/>
      <c r="Q362" s="120"/>
      <c r="R362" s="113"/>
      <c r="S362" s="94"/>
      <c r="T362" s="94"/>
      <c r="V362" s="104"/>
    </row>
    <row r="363" ht="15.75" customHeight="1">
      <c r="A363" s="91"/>
      <c r="B363" s="131"/>
      <c r="C363" s="132"/>
      <c r="D363" s="94"/>
      <c r="E363" s="132"/>
      <c r="F363" s="132"/>
      <c r="G363" s="94"/>
      <c r="H363" s="93"/>
      <c r="I363" s="94"/>
      <c r="J363" s="94"/>
      <c r="K363" s="135"/>
      <c r="L363" s="135"/>
      <c r="M363" s="99"/>
      <c r="N363" s="111"/>
      <c r="O363" s="112"/>
      <c r="P363" s="94"/>
      <c r="Q363" s="120"/>
      <c r="R363" s="113"/>
      <c r="S363" s="94"/>
      <c r="T363" s="94"/>
      <c r="V363" s="104"/>
    </row>
    <row r="364" ht="15.75" customHeight="1">
      <c r="A364" s="91"/>
      <c r="B364" s="131"/>
      <c r="C364" s="132"/>
      <c r="D364" s="94"/>
      <c r="E364" s="132"/>
      <c r="F364" s="132"/>
      <c r="G364" s="94"/>
      <c r="H364" s="93"/>
      <c r="I364" s="94"/>
      <c r="J364" s="94"/>
      <c r="K364" s="135"/>
      <c r="L364" s="135"/>
      <c r="M364" s="99"/>
      <c r="N364" s="111"/>
      <c r="O364" s="112"/>
      <c r="P364" s="94"/>
      <c r="Q364" s="120"/>
      <c r="R364" s="113"/>
      <c r="S364" s="94"/>
      <c r="T364" s="94"/>
      <c r="V364" s="104"/>
    </row>
    <row r="365" ht="15.75" customHeight="1">
      <c r="A365" s="91"/>
      <c r="B365" s="131"/>
      <c r="C365" s="132"/>
      <c r="D365" s="94"/>
      <c r="E365" s="132"/>
      <c r="F365" s="132"/>
      <c r="G365" s="94"/>
      <c r="H365" s="93"/>
      <c r="I365" s="94"/>
      <c r="J365" s="94"/>
      <c r="K365" s="135"/>
      <c r="L365" s="135"/>
      <c r="M365" s="99"/>
      <c r="N365" s="111"/>
      <c r="O365" s="112"/>
      <c r="P365" s="94"/>
      <c r="Q365" s="120"/>
      <c r="R365" s="113"/>
      <c r="S365" s="94"/>
      <c r="T365" s="94"/>
      <c r="V365" s="104"/>
    </row>
    <row r="366" ht="15.75" customHeight="1">
      <c r="A366" s="91"/>
      <c r="B366" s="131"/>
      <c r="C366" s="132"/>
      <c r="D366" s="94"/>
      <c r="E366" s="132"/>
      <c r="F366" s="132"/>
      <c r="G366" s="94"/>
      <c r="H366" s="93"/>
      <c r="I366" s="94"/>
      <c r="J366" s="94"/>
      <c r="K366" s="135"/>
      <c r="L366" s="135"/>
      <c r="M366" s="99"/>
      <c r="N366" s="111"/>
      <c r="O366" s="112"/>
      <c r="P366" s="94"/>
      <c r="Q366" s="120"/>
      <c r="R366" s="113"/>
      <c r="S366" s="94"/>
      <c r="T366" s="94"/>
      <c r="V366" s="104"/>
    </row>
    <row r="367" ht="15.75" customHeight="1">
      <c r="A367" s="91"/>
      <c r="B367" s="131"/>
      <c r="C367" s="132"/>
      <c r="D367" s="94"/>
      <c r="E367" s="132"/>
      <c r="F367" s="132"/>
      <c r="G367" s="94"/>
      <c r="H367" s="93"/>
      <c r="I367" s="94"/>
      <c r="J367" s="94"/>
      <c r="K367" s="135"/>
      <c r="L367" s="135"/>
      <c r="M367" s="99"/>
      <c r="N367" s="111"/>
      <c r="O367" s="112"/>
      <c r="P367" s="94"/>
      <c r="Q367" s="120"/>
      <c r="R367" s="113"/>
      <c r="S367" s="94"/>
      <c r="T367" s="94"/>
      <c r="V367" s="104"/>
    </row>
    <row r="368" ht="15.75" customHeight="1">
      <c r="A368" s="91"/>
      <c r="B368" s="131"/>
      <c r="C368" s="104"/>
      <c r="D368" s="94"/>
      <c r="E368" s="132"/>
      <c r="F368" s="132"/>
      <c r="G368" s="94"/>
      <c r="H368" s="93"/>
      <c r="I368" s="94"/>
      <c r="J368" s="94"/>
      <c r="K368" s="135"/>
      <c r="L368" s="135"/>
      <c r="M368" s="99"/>
      <c r="N368" s="111"/>
      <c r="O368" s="112"/>
      <c r="P368" s="94"/>
      <c r="Q368" s="120"/>
      <c r="R368" s="113"/>
      <c r="S368" s="94"/>
      <c r="T368" s="94"/>
      <c r="V368" s="104"/>
    </row>
    <row r="369" ht="15.75" customHeight="1">
      <c r="A369" s="91"/>
      <c r="B369" s="131"/>
      <c r="C369" s="132"/>
      <c r="D369" s="94"/>
      <c r="E369" s="132"/>
      <c r="F369" s="132"/>
      <c r="G369" s="94"/>
      <c r="H369" s="93"/>
      <c r="I369" s="94"/>
      <c r="J369" s="94"/>
      <c r="K369" s="135"/>
      <c r="L369" s="135"/>
      <c r="M369" s="99"/>
      <c r="N369" s="111"/>
      <c r="O369" s="112"/>
      <c r="P369" s="94"/>
      <c r="Q369" s="120"/>
      <c r="R369" s="113"/>
      <c r="S369" s="94"/>
      <c r="T369" s="94"/>
      <c r="V369" s="104"/>
    </row>
    <row r="370" ht="15.75" customHeight="1">
      <c r="A370" s="91"/>
      <c r="B370" s="131"/>
      <c r="C370" s="132"/>
      <c r="D370" s="94"/>
      <c r="E370" s="132"/>
      <c r="F370" s="132"/>
      <c r="G370" s="94"/>
      <c r="H370" s="93"/>
      <c r="I370" s="94"/>
      <c r="J370" s="94"/>
      <c r="K370" s="135"/>
      <c r="L370" s="135"/>
      <c r="M370" s="99"/>
      <c r="N370" s="111"/>
      <c r="O370" s="112"/>
      <c r="P370" s="94"/>
      <c r="Q370" s="120"/>
      <c r="R370" s="113"/>
      <c r="S370" s="94"/>
      <c r="T370" s="94"/>
      <c r="V370" s="104"/>
    </row>
    <row r="371" ht="15.75" customHeight="1">
      <c r="A371" s="91"/>
      <c r="B371" s="131"/>
      <c r="C371" s="132"/>
      <c r="D371" s="94"/>
      <c r="E371" s="132"/>
      <c r="F371" s="132"/>
      <c r="G371" s="94"/>
      <c r="H371" s="93"/>
      <c r="I371" s="94"/>
      <c r="J371" s="94"/>
      <c r="K371" s="135"/>
      <c r="L371" s="135"/>
      <c r="M371" s="99"/>
      <c r="N371" s="111"/>
      <c r="O371" s="112"/>
      <c r="P371" s="94"/>
      <c r="Q371" s="120"/>
      <c r="R371" s="113"/>
      <c r="S371" s="94"/>
      <c r="T371" s="94"/>
      <c r="V371" s="104"/>
    </row>
    <row r="372" ht="15.75" customHeight="1">
      <c r="A372" s="91"/>
      <c r="B372" s="131"/>
      <c r="C372" s="132"/>
      <c r="D372" s="94"/>
      <c r="E372" s="132"/>
      <c r="F372" s="132"/>
      <c r="G372" s="94"/>
      <c r="H372" s="93"/>
      <c r="I372" s="94"/>
      <c r="J372" s="94"/>
      <c r="K372" s="135"/>
      <c r="L372" s="135"/>
      <c r="M372" s="99"/>
      <c r="N372" s="111"/>
      <c r="O372" s="112"/>
      <c r="P372" s="94"/>
      <c r="Q372" s="120"/>
      <c r="R372" s="113"/>
      <c r="S372" s="94"/>
      <c r="T372" s="94"/>
      <c r="V372" s="104"/>
    </row>
    <row r="373" ht="15.75" customHeight="1">
      <c r="A373" s="91"/>
      <c r="B373" s="131"/>
      <c r="C373" s="132"/>
      <c r="D373" s="94"/>
      <c r="E373" s="132"/>
      <c r="F373" s="132"/>
      <c r="G373" s="94"/>
      <c r="H373" s="93"/>
      <c r="I373" s="94"/>
      <c r="J373" s="94"/>
      <c r="K373" s="135"/>
      <c r="L373" s="135"/>
      <c r="M373" s="99"/>
      <c r="N373" s="111"/>
      <c r="O373" s="112"/>
      <c r="P373" s="94"/>
      <c r="Q373" s="120"/>
      <c r="R373" s="113"/>
      <c r="S373" s="94"/>
      <c r="T373" s="94"/>
      <c r="V373" s="104"/>
    </row>
    <row r="374" ht="15.75" customHeight="1">
      <c r="A374" s="91"/>
      <c r="B374" s="131"/>
      <c r="C374" s="104"/>
      <c r="D374" s="94"/>
      <c r="E374" s="132"/>
      <c r="F374" s="132"/>
      <c r="G374" s="94"/>
      <c r="H374" s="93"/>
      <c r="I374" s="94"/>
      <c r="J374" s="94"/>
      <c r="K374" s="135"/>
      <c r="L374" s="135"/>
      <c r="M374" s="99"/>
      <c r="N374" s="111"/>
      <c r="O374" s="112"/>
      <c r="P374" s="94"/>
      <c r="Q374" s="120"/>
      <c r="R374" s="113"/>
      <c r="S374" s="94"/>
      <c r="T374" s="94"/>
      <c r="V374" s="104"/>
    </row>
    <row r="375" ht="15.75" customHeight="1">
      <c r="A375" s="91"/>
      <c r="B375" s="131"/>
      <c r="C375" s="132"/>
      <c r="D375" s="94"/>
      <c r="E375" s="132"/>
      <c r="F375" s="132"/>
      <c r="G375" s="94"/>
      <c r="H375" s="93"/>
      <c r="I375" s="94"/>
      <c r="J375" s="94"/>
      <c r="K375" s="135"/>
      <c r="L375" s="135"/>
      <c r="M375" s="99"/>
      <c r="N375" s="111"/>
      <c r="O375" s="112"/>
      <c r="P375" s="94"/>
      <c r="Q375" s="120"/>
      <c r="R375" s="113"/>
      <c r="S375" s="94"/>
      <c r="T375" s="94"/>
      <c r="V375" s="104"/>
    </row>
    <row r="376" ht="15.75" customHeight="1">
      <c r="A376" s="91"/>
      <c r="B376" s="131"/>
      <c r="C376" s="132"/>
      <c r="D376" s="94"/>
      <c r="E376" s="132"/>
      <c r="F376" s="132"/>
      <c r="G376" s="94"/>
      <c r="H376" s="93"/>
      <c r="I376" s="94"/>
      <c r="J376" s="94"/>
      <c r="K376" s="135"/>
      <c r="L376" s="135"/>
      <c r="M376" s="99"/>
      <c r="N376" s="111"/>
      <c r="O376" s="112"/>
      <c r="P376" s="94"/>
      <c r="Q376" s="120"/>
      <c r="R376" s="113"/>
      <c r="S376" s="94"/>
      <c r="T376" s="94"/>
      <c r="V376" s="104"/>
    </row>
    <row r="377" ht="15.75" customHeight="1">
      <c r="A377" s="91"/>
      <c r="B377" s="131"/>
      <c r="C377" s="132"/>
      <c r="D377" s="94"/>
      <c r="E377" s="132"/>
      <c r="F377" s="132"/>
      <c r="G377" s="94"/>
      <c r="H377" s="93"/>
      <c r="I377" s="94"/>
      <c r="J377" s="94"/>
      <c r="K377" s="135"/>
      <c r="L377" s="135"/>
      <c r="M377" s="99"/>
      <c r="N377" s="111"/>
      <c r="O377" s="112"/>
      <c r="P377" s="94"/>
      <c r="Q377" s="120"/>
      <c r="R377" s="113"/>
      <c r="S377" s="94"/>
      <c r="T377" s="94"/>
      <c r="V377" s="104"/>
    </row>
    <row r="378" ht="15.75" customHeight="1">
      <c r="A378" s="91"/>
      <c r="B378" s="131"/>
      <c r="C378" s="132"/>
      <c r="D378" s="94"/>
      <c r="E378" s="132"/>
      <c r="F378" s="132"/>
      <c r="G378" s="94"/>
      <c r="H378" s="93"/>
      <c r="I378" s="94"/>
      <c r="J378" s="94"/>
      <c r="K378" s="135"/>
      <c r="L378" s="135"/>
      <c r="M378" s="99"/>
      <c r="N378" s="111"/>
      <c r="O378" s="112"/>
      <c r="P378" s="94"/>
      <c r="Q378" s="120"/>
      <c r="R378" s="113"/>
      <c r="S378" s="94"/>
      <c r="T378" s="94"/>
      <c r="V378" s="104"/>
    </row>
    <row r="379" ht="15.75" customHeight="1">
      <c r="A379" s="91"/>
      <c r="B379" s="131"/>
      <c r="C379" s="132"/>
      <c r="D379" s="94"/>
      <c r="E379" s="132"/>
      <c r="F379" s="132"/>
      <c r="G379" s="94"/>
      <c r="H379" s="93"/>
      <c r="I379" s="94"/>
      <c r="J379" s="94"/>
      <c r="K379" s="135"/>
      <c r="L379" s="135"/>
      <c r="M379" s="99"/>
      <c r="N379" s="111"/>
      <c r="O379" s="112"/>
      <c r="P379" s="94"/>
      <c r="Q379" s="120"/>
      <c r="R379" s="113"/>
      <c r="S379" s="94"/>
      <c r="T379" s="94"/>
      <c r="V379" s="104"/>
    </row>
    <row r="380" ht="15.75" customHeight="1">
      <c r="A380" s="91"/>
      <c r="B380" s="131"/>
      <c r="C380" s="104"/>
      <c r="D380" s="94"/>
      <c r="E380" s="132"/>
      <c r="F380" s="132"/>
      <c r="G380" s="94"/>
      <c r="H380" s="93"/>
      <c r="I380" s="94"/>
      <c r="J380" s="94"/>
      <c r="K380" s="135"/>
      <c r="L380" s="135"/>
      <c r="M380" s="99"/>
      <c r="N380" s="111"/>
      <c r="O380" s="112"/>
      <c r="P380" s="94"/>
      <c r="Q380" s="120"/>
      <c r="R380" s="113"/>
      <c r="S380" s="94"/>
      <c r="T380" s="94"/>
      <c r="V380" s="104"/>
    </row>
    <row r="381" ht="15.75" customHeight="1">
      <c r="A381" s="91"/>
      <c r="B381" s="131"/>
      <c r="C381" s="132"/>
      <c r="D381" s="94"/>
      <c r="E381" s="132"/>
      <c r="F381" s="132"/>
      <c r="G381" s="94"/>
      <c r="H381" s="93"/>
      <c r="I381" s="94"/>
      <c r="J381" s="94"/>
      <c r="K381" s="135"/>
      <c r="L381" s="135"/>
      <c r="M381" s="99"/>
      <c r="N381" s="111"/>
      <c r="O381" s="112"/>
      <c r="P381" s="94"/>
      <c r="Q381" s="120"/>
      <c r="R381" s="113"/>
      <c r="S381" s="94"/>
      <c r="T381" s="94"/>
      <c r="V381" s="104"/>
    </row>
    <row r="382" ht="15.75" customHeight="1">
      <c r="A382" s="91"/>
      <c r="B382" s="131"/>
      <c r="C382" s="132"/>
      <c r="D382" s="94"/>
      <c r="E382" s="132"/>
      <c r="F382" s="132"/>
      <c r="G382" s="94"/>
      <c r="H382" s="93"/>
      <c r="I382" s="94"/>
      <c r="J382" s="94"/>
      <c r="K382" s="135"/>
      <c r="L382" s="135"/>
      <c r="M382" s="99"/>
      <c r="N382" s="111"/>
      <c r="O382" s="112"/>
      <c r="P382" s="94"/>
      <c r="Q382" s="120"/>
      <c r="R382" s="113"/>
      <c r="S382" s="94"/>
      <c r="T382" s="94"/>
      <c r="V382" s="104"/>
    </row>
    <row r="383" ht="15.75" customHeight="1">
      <c r="A383" s="91"/>
      <c r="B383" s="131"/>
      <c r="C383" s="132"/>
      <c r="D383" s="94"/>
      <c r="E383" s="132"/>
      <c r="F383" s="132"/>
      <c r="G383" s="94"/>
      <c r="H383" s="93"/>
      <c r="I383" s="94"/>
      <c r="J383" s="94"/>
      <c r="K383" s="135"/>
      <c r="L383" s="135"/>
      <c r="M383" s="99"/>
      <c r="N383" s="111"/>
      <c r="O383" s="112"/>
      <c r="P383" s="94"/>
      <c r="Q383" s="120"/>
      <c r="R383" s="113"/>
      <c r="S383" s="94"/>
      <c r="T383" s="94"/>
      <c r="V383" s="104"/>
    </row>
    <row r="384" ht="15.75" customHeight="1">
      <c r="A384" s="91"/>
      <c r="B384" s="131"/>
      <c r="C384" s="132"/>
      <c r="D384" s="94"/>
      <c r="E384" s="132"/>
      <c r="F384" s="132"/>
      <c r="G384" s="94"/>
      <c r="H384" s="93"/>
      <c r="I384" s="94"/>
      <c r="J384" s="94"/>
      <c r="K384" s="135"/>
      <c r="L384" s="135"/>
      <c r="M384" s="99"/>
      <c r="N384" s="111"/>
      <c r="O384" s="112"/>
      <c r="P384" s="94"/>
      <c r="Q384" s="120"/>
      <c r="R384" s="113"/>
      <c r="S384" s="94"/>
      <c r="T384" s="94"/>
      <c r="V384" s="104"/>
    </row>
    <row r="385" ht="15.75" customHeight="1">
      <c r="A385" s="91"/>
      <c r="B385" s="131"/>
      <c r="C385" s="132"/>
      <c r="D385" s="94"/>
      <c r="E385" s="132"/>
      <c r="F385" s="132"/>
      <c r="G385" s="94"/>
      <c r="H385" s="93"/>
      <c r="I385" s="94"/>
      <c r="J385" s="94"/>
      <c r="K385" s="135"/>
      <c r="L385" s="135"/>
      <c r="M385" s="99"/>
      <c r="N385" s="111"/>
      <c r="O385" s="112"/>
      <c r="P385" s="94"/>
      <c r="Q385" s="120"/>
      <c r="R385" s="113"/>
      <c r="S385" s="94"/>
      <c r="T385" s="94"/>
      <c r="V385" s="104"/>
    </row>
  </sheetData>
  <autoFilter ref="$A$12:$V$128"/>
  <customSheetViews>
    <customSheetView guid="{FE509773-0638-41EB-A036-A8EE905B9B6D}" filter="1" showAutoFilter="1">
      <autoFilter ref="$R$44:$R$45"/>
    </customSheetView>
  </customSheetViews>
  <mergeCells count="373">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6:U56"/>
    <mergeCell ref="T57:U57"/>
    <mergeCell ref="T58:U58"/>
    <mergeCell ref="T59:U59"/>
    <mergeCell ref="T60:U60"/>
    <mergeCell ref="T61:U61"/>
    <mergeCell ref="T62:U62"/>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56:U356"/>
    <mergeCell ref="T357:U357"/>
    <mergeCell ref="T358:U358"/>
    <mergeCell ref="T359:U359"/>
    <mergeCell ref="T360:U360"/>
    <mergeCell ref="T361:U361"/>
    <mergeCell ref="T362:U362"/>
    <mergeCell ref="T363:U363"/>
    <mergeCell ref="T364:U364"/>
    <mergeCell ref="T365:U365"/>
    <mergeCell ref="T366:U366"/>
    <mergeCell ref="T367:U367"/>
    <mergeCell ref="T368:U368"/>
    <mergeCell ref="T369:U369"/>
    <mergeCell ref="T370:U370"/>
    <mergeCell ref="T371:U371"/>
    <mergeCell ref="T372:U372"/>
    <mergeCell ref="T373:U373"/>
    <mergeCell ref="T374:U374"/>
    <mergeCell ref="T375:U375"/>
    <mergeCell ref="T376:U376"/>
    <mergeCell ref="T384:U384"/>
    <mergeCell ref="T385:U385"/>
    <mergeCell ref="T377:U377"/>
    <mergeCell ref="T378:U378"/>
    <mergeCell ref="T379:U379"/>
    <mergeCell ref="T380:U380"/>
    <mergeCell ref="T381:U381"/>
    <mergeCell ref="T382:U382"/>
    <mergeCell ref="T383:U383"/>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 ref="T352:U352"/>
    <mergeCell ref="T353:U353"/>
    <mergeCell ref="T354:U354"/>
    <mergeCell ref="T355:U355"/>
  </mergeCells>
  <dataValidations>
    <dataValidation type="list" allowBlank="1" showErrorMessage="1" sqref="N13:N385">
      <formula1>"Think About It,Money,Partner,Time,Fear,Value"</formula1>
    </dataValidation>
    <dataValidation type="list" allowBlank="1" showErrorMessage="1" sqref="I13 I14:J15 I16:I34 I35:J60 I61 I62:J109 I110:I111 I112:J127 I128:I134 I135:J385">
      <formula1>"Full-Pay,Split-Pay,Deposit,Offer &amp; Didn't Buy,Bad Fit &amp; No Offer,Drag Over &amp; Show,Rescheduled,Cancelled,No-Show"</formula1>
    </dataValidation>
    <dataValidation type="list" allowBlank="1" sqref="H14:H385">
      <formula1>"Håndværker,Ikkehåndværker"</formula1>
    </dataValidation>
    <dataValidation type="list" allowBlank="1" sqref="H13">
      <formula1>"Håndværker,Ikke Håndværker"</formula1>
    </dataValidation>
    <dataValidation type="list" allowBlank="1" showErrorMessage="1" sqref="S13:S385">
      <formula1>"Closed,Follow Up,Hot Follow Up,Deposit (Follow Up Set),Follow Up Set,X"</formula1>
    </dataValidation>
    <dataValidation type="list" allowBlank="1" showErrorMessage="1" sqref="J16:J34 J61">
      <formula1>"Full-Pay,Split-Pay,Deposit,Offer &amp; Didn't Buy,Bad Fit &amp; No Offer,Drag Over &amp; Show,Rescheduled,Cancelled,No-Show"</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0.38"/>
    <col customWidth="1" min="3" max="3" width="13.38"/>
    <col customWidth="1" min="4" max="4" width="0.38"/>
    <col customWidth="1" min="5" max="5" width="15.13"/>
    <col customWidth="1" min="6" max="6" width="16.38"/>
    <col customWidth="1" min="7" max="7" width="0.38"/>
    <col customWidth="1" min="8" max="8" width="15.63"/>
    <col customWidth="1" min="9" max="9" width="13.88"/>
    <col customWidth="1" min="10" max="10" width="0.38"/>
    <col customWidth="1" min="11" max="11" width="15.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t="s">
        <v>1300</v>
      </c>
      <c r="B1" s="6" t="s">
        <v>31</v>
      </c>
      <c r="C1" s="6" t="s">
        <v>32</v>
      </c>
      <c r="D1" s="39"/>
      <c r="E1" s="226" t="s">
        <v>1714</v>
      </c>
      <c r="F1" s="39"/>
      <c r="H1" s="40" t="s">
        <v>33</v>
      </c>
      <c r="I1" s="41"/>
      <c r="J1" s="39"/>
      <c r="K1" s="40" t="s">
        <v>34</v>
      </c>
      <c r="L1" s="41"/>
      <c r="M1" s="13"/>
      <c r="N1" s="42" t="s">
        <v>35</v>
      </c>
      <c r="O1" s="43"/>
      <c r="P1" s="13"/>
      <c r="Q1" s="40" t="s">
        <v>36</v>
      </c>
      <c r="R1" s="44"/>
      <c r="S1" s="39"/>
      <c r="T1" s="40" t="s">
        <v>37</v>
      </c>
      <c r="U1" s="45"/>
      <c r="V1" s="39"/>
    </row>
    <row r="2">
      <c r="A2" s="39"/>
      <c r="B2" s="41"/>
      <c r="C2" s="41"/>
      <c r="D2" s="13"/>
      <c r="E2" s="227" t="s">
        <v>1715</v>
      </c>
      <c r="F2" s="228">
        <f>C3/C6</f>
        <v>4136.693548</v>
      </c>
      <c r="H2" s="46" t="s">
        <v>26</v>
      </c>
      <c r="I2" s="47">
        <f>IFERROR(COUNTIFS(I13:I311, "Full-Pay"),"")</f>
        <v>20</v>
      </c>
      <c r="J2" s="13"/>
      <c r="K2" s="48" t="s">
        <v>16</v>
      </c>
      <c r="L2" s="49">
        <f>iferror(L10/L8,"")</f>
        <v>0.4758064516</v>
      </c>
      <c r="M2" s="12"/>
      <c r="N2" s="50" t="s">
        <v>39</v>
      </c>
      <c r="O2" s="51">
        <f>iferror(I8/L6,"")</f>
        <v>0.01470588235</v>
      </c>
      <c r="P2" s="12"/>
      <c r="Q2" s="52" t="s">
        <v>40</v>
      </c>
      <c r="R2" s="53">
        <f>IFERROR(COUNTIFS(N35:N310, "think about it"),"")</f>
        <v>15</v>
      </c>
      <c r="S2" s="13"/>
      <c r="T2" s="54" t="s">
        <v>41</v>
      </c>
      <c r="U2" s="55">
        <f>IFERROR(COUNTIF(H35:H310,"setter"),"")</f>
        <v>0</v>
      </c>
      <c r="V2" s="58"/>
    </row>
    <row r="3">
      <c r="A3" s="13"/>
      <c r="B3" s="59" t="s">
        <v>43</v>
      </c>
      <c r="C3" s="60">
        <f>IFERROR(SUM(K13:K307),"")</f>
        <v>512950</v>
      </c>
      <c r="D3" s="61"/>
      <c r="E3" s="229" t="s">
        <v>1716</v>
      </c>
      <c r="F3" s="230">
        <f>C4/C6</f>
        <v>2120.362903</v>
      </c>
      <c r="H3" s="46" t="s">
        <v>27</v>
      </c>
      <c r="I3" s="47">
        <f>IFERROR(COUNTIFS(I13:I311, "Split-Pay"),"")</f>
        <v>39</v>
      </c>
      <c r="J3" s="13"/>
      <c r="K3" s="48" t="s">
        <v>17</v>
      </c>
      <c r="L3" s="49">
        <f>IFERROR(L10/L9,"")</f>
        <v>0.4916666667</v>
      </c>
      <c r="M3" s="12"/>
      <c r="N3" s="50" t="s">
        <v>44</v>
      </c>
      <c r="O3" s="51">
        <f>iferror(I9/L6,"")</f>
        <v>0</v>
      </c>
      <c r="P3" s="12"/>
      <c r="Q3" s="52" t="s">
        <v>45</v>
      </c>
      <c r="R3" s="62">
        <f>IFERROR(COUNTIFS(N35:N310, "money"),"")</f>
        <v>21</v>
      </c>
      <c r="S3" s="13"/>
      <c r="T3" s="54" t="s">
        <v>46</v>
      </c>
      <c r="U3" s="55">
        <f>IFERROR(COUNTIF(H35:H310,"IG"),"")</f>
        <v>0</v>
      </c>
      <c r="V3" s="58"/>
    </row>
    <row r="4">
      <c r="A4" s="13"/>
      <c r="B4" s="63" t="s">
        <v>48</v>
      </c>
      <c r="C4" s="64">
        <f>IFERROR(SUM(L13:L308),"")</f>
        <v>262925</v>
      </c>
      <c r="D4" s="61"/>
      <c r="E4" s="229" t="s">
        <v>1717</v>
      </c>
      <c r="F4" s="231">
        <f>C4/C3*100</f>
        <v>51.2574325</v>
      </c>
      <c r="H4" s="46" t="s">
        <v>28</v>
      </c>
      <c r="I4" s="47">
        <f>IFERROR(COUNTIFS(I13:I311, "Deposit"),"")</f>
        <v>9</v>
      </c>
      <c r="J4" s="13"/>
      <c r="K4" s="48" t="s">
        <v>18</v>
      </c>
      <c r="L4" s="49">
        <f>IFERROR(L9/L8,"")</f>
        <v>0.9677419355</v>
      </c>
      <c r="M4" s="12"/>
      <c r="N4" s="50" t="s">
        <v>49</v>
      </c>
      <c r="O4" s="51">
        <f>iferror(I10/L6,"")</f>
        <v>0.07352941176</v>
      </c>
      <c r="P4" s="12"/>
      <c r="Q4" s="52" t="s">
        <v>50</v>
      </c>
      <c r="R4" s="53">
        <f>IFERROR(COUNTIFS(N35:N310, "time"),"")</f>
        <v>1</v>
      </c>
      <c r="S4" s="13"/>
      <c r="T4" s="54" t="s">
        <v>51</v>
      </c>
      <c r="U4" s="55">
        <f>IFERROR(COUNTIF(H35:H310,"youtube"),"")</f>
        <v>0</v>
      </c>
      <c r="V4" s="39"/>
    </row>
    <row r="5">
      <c r="A5" s="39"/>
      <c r="B5" s="41"/>
      <c r="C5" s="41"/>
      <c r="D5" s="13"/>
      <c r="E5" s="229" t="s">
        <v>1718</v>
      </c>
      <c r="F5" s="232">
        <f>I2/C7*100</f>
        <v>33.89830508</v>
      </c>
      <c r="H5" s="46" t="s">
        <v>53</v>
      </c>
      <c r="I5" s="47">
        <f>IFERROR(COUNTIFS(I13:I311, "Offer &amp; Didn't Buy"),"")</f>
        <v>52</v>
      </c>
      <c r="J5" s="13"/>
      <c r="K5" s="48" t="s">
        <v>54</v>
      </c>
      <c r="L5" s="49">
        <f>IFERROR(I7/(C6+I7+I8),"")</f>
        <v>0</v>
      </c>
      <c r="M5" s="13"/>
      <c r="N5" s="50" t="s">
        <v>54</v>
      </c>
      <c r="O5" s="51">
        <f>iferror(I7/L6,"")</f>
        <v>0</v>
      </c>
      <c r="P5" s="12"/>
      <c r="Q5" s="52" t="s">
        <v>55</v>
      </c>
      <c r="R5" s="53">
        <f>IFERROR(COUNTIFS(N35:N310, "partner"),"")</f>
        <v>1</v>
      </c>
      <c r="S5" s="13"/>
      <c r="T5" s="56" t="s">
        <v>56</v>
      </c>
      <c r="U5" s="55">
        <f>IFERROR(COUNTIF(H35:H310,"email"),"")</f>
        <v>0</v>
      </c>
      <c r="V5" s="58"/>
    </row>
    <row r="6">
      <c r="A6" s="13"/>
      <c r="B6" s="65" t="s">
        <v>58</v>
      </c>
      <c r="C6" s="66">
        <f>IFERROR(SUM(I2:I6),"")</f>
        <v>124</v>
      </c>
      <c r="D6" s="13"/>
      <c r="E6" s="229" t="s">
        <v>1719</v>
      </c>
      <c r="F6" s="233">
        <f>AVERAGE(Q13:Q104)</f>
        <v>5.238095238</v>
      </c>
      <c r="H6" s="46" t="s">
        <v>59</v>
      </c>
      <c r="I6" s="47">
        <f>IFERROR(COUNTIFS(I13:I311, "Bad Fit &amp; No Offer"),"")</f>
        <v>4</v>
      </c>
      <c r="J6" s="13"/>
      <c r="K6" s="48" t="s">
        <v>21</v>
      </c>
      <c r="L6" s="67">
        <f>IFERROR(SUM(I2:I10),"")</f>
        <v>136</v>
      </c>
      <c r="M6" s="13"/>
      <c r="N6" s="68" t="s">
        <v>29</v>
      </c>
      <c r="O6" s="51">
        <f>iferror(L7/L6,"")</f>
        <v>0.9117647059</v>
      </c>
      <c r="P6" s="12"/>
      <c r="Q6" s="52" t="s">
        <v>60</v>
      </c>
      <c r="R6" s="53">
        <f>IFERROR(COUNTIFS(N35:N310, "fear"),"")</f>
        <v>4</v>
      </c>
      <c r="S6" s="13"/>
      <c r="T6" s="56" t="s">
        <v>61</v>
      </c>
      <c r="U6" s="55">
        <f>IFERROR(COUNTIF(H35:H310,"facebook"),"")</f>
        <v>0</v>
      </c>
      <c r="V6" s="58"/>
    </row>
    <row r="7">
      <c r="A7" s="13"/>
      <c r="B7" s="65" t="s">
        <v>63</v>
      </c>
      <c r="C7" s="69">
        <f>IFERROR(I2+I3,"")</f>
        <v>59</v>
      </c>
      <c r="D7" s="13"/>
      <c r="E7" s="229" t="s">
        <v>1720</v>
      </c>
      <c r="F7" s="230">
        <f>C3/C7</f>
        <v>8694.067797</v>
      </c>
      <c r="H7" s="46" t="s">
        <v>64</v>
      </c>
      <c r="I7" s="47">
        <f>IFERROR(COUNTIFS(I13:I311, "Drag Over &amp; Show"),"")</f>
        <v>0</v>
      </c>
      <c r="J7" s="13"/>
      <c r="K7" s="48" t="s">
        <v>22</v>
      </c>
      <c r="L7" s="67">
        <f>IFERROR(SUM(I2:I7),"")</f>
        <v>124</v>
      </c>
      <c r="M7" s="13"/>
      <c r="N7" s="70" t="s">
        <v>30</v>
      </c>
      <c r="O7" s="71">
        <f>IFERROR(L8/L6,"")</f>
        <v>0.9117647059</v>
      </c>
      <c r="P7" s="12"/>
      <c r="Q7" s="72" t="s">
        <v>65</v>
      </c>
      <c r="R7" s="73">
        <f>IFERROR(COUNTIFS(N36:N311, "value"),"")</f>
        <v>0</v>
      </c>
      <c r="S7" s="13"/>
      <c r="T7" s="56" t="s">
        <v>66</v>
      </c>
      <c r="U7" s="55">
        <f>IFERROR(COUNTIF(H35:H310,"facebook ads"),"")</f>
        <v>0</v>
      </c>
      <c r="V7" s="39"/>
    </row>
    <row r="8">
      <c r="A8" s="13"/>
      <c r="B8" s="65" t="s">
        <v>68</v>
      </c>
      <c r="C8" s="74">
        <f>COUNTIF(I13:I310,"offer &amp; didn't buy")+COUNTIF(I35:I310,"deposit")+COUNTIF(I35:I310,"bad fit &amp; no offer")</f>
        <v>64</v>
      </c>
      <c r="D8" s="75"/>
      <c r="E8" s="229" t="s">
        <v>1721</v>
      </c>
      <c r="F8" s="230">
        <f>C4/C7</f>
        <v>4456.355932</v>
      </c>
      <c r="H8" s="46" t="s">
        <v>69</v>
      </c>
      <c r="I8" s="47">
        <f>IFERROR(COUNTIFS(I13:I311, "Rescheduled"),"")</f>
        <v>2</v>
      </c>
      <c r="J8" s="13"/>
      <c r="K8" s="48" t="s">
        <v>23</v>
      </c>
      <c r="L8" s="67">
        <f>IFERROR(SUM(I2:I6),"")</f>
        <v>124</v>
      </c>
      <c r="M8" s="39"/>
      <c r="N8" s="39"/>
      <c r="O8" s="39"/>
      <c r="P8" s="39"/>
      <c r="Q8" s="39"/>
      <c r="R8" s="76"/>
      <c r="S8" s="13"/>
      <c r="T8" s="77" t="s">
        <v>70</v>
      </c>
      <c r="U8" s="78">
        <f>IFERROR(COUNTIF(H35:H310,T8),"")</f>
        <v>0</v>
      </c>
      <c r="V8" s="39"/>
    </row>
    <row r="9">
      <c r="A9" s="13"/>
      <c r="B9" s="80" t="s">
        <v>72</v>
      </c>
      <c r="C9" s="81">
        <f>iferror(SUM(C7/C6),"")</f>
        <v>0.4758064516</v>
      </c>
      <c r="D9" s="12"/>
      <c r="E9" s="262" t="s">
        <v>2832</v>
      </c>
      <c r="F9" s="235">
        <f>IFERROR(COUNTIFS(H13:H311, "Håndværker"),"")/C6</f>
        <v>0.6290322581</v>
      </c>
      <c r="H9" s="46" t="s">
        <v>73</v>
      </c>
      <c r="I9" s="47">
        <f>IFERROR(COUNTIFS(I13:I311, "Cancelled"),"")</f>
        <v>0</v>
      </c>
      <c r="J9" s="13"/>
      <c r="K9" s="48" t="s">
        <v>24</v>
      </c>
      <c r="L9" s="67">
        <f>IFERROR(sum(I2:I5),"")</f>
        <v>120</v>
      </c>
      <c r="M9" s="39"/>
      <c r="N9" s="38">
        <v>5500.0</v>
      </c>
      <c r="O9" s="39">
        <f>N9*C6</f>
        <v>682000</v>
      </c>
      <c r="P9" s="39"/>
      <c r="Q9" s="39"/>
      <c r="R9" s="76"/>
      <c r="S9" s="39"/>
      <c r="T9" s="39"/>
      <c r="U9" s="39"/>
      <c r="V9" s="39"/>
    </row>
    <row r="10">
      <c r="A10" s="39"/>
      <c r="B10" s="82"/>
      <c r="C10" s="83"/>
      <c r="D10" s="13"/>
      <c r="E10" s="263" t="s">
        <v>2833</v>
      </c>
      <c r="F10" s="235">
        <f>IFERROR(COUNTIFS(H13:H312, "Ikkehåndværker"),"")/C6</f>
        <v>0.3870967742</v>
      </c>
      <c r="H10" s="84" t="s">
        <v>74</v>
      </c>
      <c r="I10" s="85">
        <f>IFERROR(COUNTIFS(I13:I311, "No-Show"),"")</f>
        <v>10</v>
      </c>
      <c r="J10" s="13"/>
      <c r="K10" s="86" t="s">
        <v>75</v>
      </c>
      <c r="L10" s="87">
        <f>I2+I3</f>
        <v>59</v>
      </c>
      <c r="M10" s="39"/>
      <c r="N10" s="39"/>
      <c r="O10" s="39"/>
      <c r="P10" s="39"/>
      <c r="Q10" s="39"/>
      <c r="R10" s="76"/>
      <c r="S10" s="39"/>
      <c r="T10" s="39"/>
      <c r="U10" s="39"/>
      <c r="V10" s="39"/>
    </row>
    <row r="11" ht="6.0" customHeight="1">
      <c r="A11" s="39"/>
      <c r="B11" s="39"/>
      <c r="C11" s="39"/>
      <c r="D11" s="39"/>
      <c r="E11" s="39"/>
      <c r="F11" s="39"/>
      <c r="G11" s="39"/>
      <c r="H11" s="39"/>
      <c r="I11" s="39"/>
      <c r="J11" s="39"/>
      <c r="K11" s="39"/>
      <c r="L11" s="39"/>
      <c r="M11" s="39"/>
      <c r="N11" s="39"/>
      <c r="O11" s="76"/>
      <c r="P11" s="39"/>
      <c r="Q11" s="39"/>
      <c r="R11" s="39"/>
      <c r="S11" s="39"/>
      <c r="T11" s="39"/>
      <c r="V11" s="39"/>
    </row>
    <row r="12">
      <c r="A12" s="39"/>
      <c r="B12" s="88" t="s">
        <v>76</v>
      </c>
      <c r="C12" s="88" t="s">
        <v>32</v>
      </c>
      <c r="D12" s="39"/>
      <c r="E12" s="6" t="s">
        <v>77</v>
      </c>
      <c r="F12" s="89" t="s">
        <v>78</v>
      </c>
      <c r="G12" s="39"/>
      <c r="H12" s="6" t="s">
        <v>37</v>
      </c>
      <c r="I12" s="6" t="s">
        <v>33</v>
      </c>
      <c r="J12" s="39"/>
      <c r="K12" s="6" t="s">
        <v>79</v>
      </c>
      <c r="L12" s="6" t="s">
        <v>48</v>
      </c>
      <c r="M12" s="39"/>
      <c r="N12" s="6" t="s">
        <v>80</v>
      </c>
      <c r="O12" s="90" t="s">
        <v>81</v>
      </c>
      <c r="P12" s="39"/>
      <c r="Q12" s="6" t="s">
        <v>82</v>
      </c>
      <c r="R12" s="6" t="s">
        <v>83</v>
      </c>
      <c r="S12" s="6" t="s">
        <v>84</v>
      </c>
      <c r="T12" s="6" t="s">
        <v>85</v>
      </c>
      <c r="V12" s="58"/>
    </row>
    <row r="13" ht="15.75" customHeight="1">
      <c r="A13" s="91"/>
      <c r="B13" s="264">
        <v>46023.0</v>
      </c>
      <c r="C13" s="93" t="s">
        <v>531</v>
      </c>
      <c r="D13" s="102"/>
      <c r="E13" s="265" t="s">
        <v>2946</v>
      </c>
      <c r="F13" s="265" t="s">
        <v>2947</v>
      </c>
      <c r="G13" s="94"/>
      <c r="H13" s="93" t="s">
        <v>2834</v>
      </c>
      <c r="I13" s="102" t="s">
        <v>181</v>
      </c>
      <c r="J13" s="94"/>
      <c r="K13" s="98">
        <v>10500.0</v>
      </c>
      <c r="L13" s="98">
        <v>3000.0</v>
      </c>
      <c r="M13" s="99"/>
      <c r="N13" s="100"/>
      <c r="O13" s="101"/>
      <c r="P13" s="94"/>
      <c r="Q13" s="102">
        <v>6.0</v>
      </c>
      <c r="R13" s="113"/>
      <c r="S13" s="102" t="s">
        <v>105</v>
      </c>
      <c r="T13" s="201"/>
      <c r="V13" s="104"/>
    </row>
    <row r="14" ht="15.75" customHeight="1">
      <c r="A14" s="91"/>
      <c r="B14" s="264">
        <v>46023.0</v>
      </c>
      <c r="C14" s="93" t="s">
        <v>410</v>
      </c>
      <c r="D14" s="94"/>
      <c r="E14" s="265" t="s">
        <v>2948</v>
      </c>
      <c r="F14" s="265" t="s">
        <v>2949</v>
      </c>
      <c r="G14" s="94"/>
      <c r="H14" s="93" t="s">
        <v>2841</v>
      </c>
      <c r="I14" s="102" t="s">
        <v>181</v>
      </c>
      <c r="J14" s="94"/>
      <c r="K14" s="98">
        <v>10500.0</v>
      </c>
      <c r="L14" s="98">
        <v>3000.0</v>
      </c>
      <c r="M14" s="99"/>
      <c r="N14" s="100"/>
      <c r="O14" s="101"/>
      <c r="P14" s="94"/>
      <c r="Q14" s="102">
        <v>6.0</v>
      </c>
      <c r="R14" s="113"/>
      <c r="S14" s="102" t="s">
        <v>105</v>
      </c>
      <c r="T14" s="201"/>
      <c r="V14" s="104"/>
    </row>
    <row r="15" ht="15.75" customHeight="1">
      <c r="A15" s="91"/>
      <c r="B15" s="264">
        <v>46023.0</v>
      </c>
      <c r="C15" s="201" t="s">
        <v>2449</v>
      </c>
      <c r="D15" s="199"/>
      <c r="E15" s="265" t="s">
        <v>2950</v>
      </c>
      <c r="F15" s="265" t="s">
        <v>2951</v>
      </c>
      <c r="G15" s="199"/>
      <c r="H15" s="93" t="s">
        <v>2841</v>
      </c>
      <c r="I15" s="201" t="s">
        <v>181</v>
      </c>
      <c r="J15" s="199"/>
      <c r="K15" s="202">
        <v>10500.0</v>
      </c>
      <c r="L15" s="98">
        <v>3000.0</v>
      </c>
      <c r="M15" s="203"/>
      <c r="N15" s="210"/>
      <c r="O15" s="211"/>
      <c r="P15" s="199"/>
      <c r="Q15" s="201">
        <v>6.0</v>
      </c>
      <c r="R15" s="206"/>
      <c r="S15" s="201" t="s">
        <v>105</v>
      </c>
      <c r="T15" s="201"/>
      <c r="V15" s="104"/>
    </row>
    <row r="16" ht="15.75" customHeight="1">
      <c r="A16" s="91"/>
      <c r="B16" s="264">
        <v>46054.0</v>
      </c>
      <c r="C16" s="201" t="s">
        <v>1535</v>
      </c>
      <c r="D16" s="199"/>
      <c r="E16" s="265" t="s">
        <v>2952</v>
      </c>
      <c r="F16" s="265" t="s">
        <v>2953</v>
      </c>
      <c r="G16" s="199"/>
      <c r="H16" s="93" t="s">
        <v>2834</v>
      </c>
      <c r="I16" s="201" t="s">
        <v>103</v>
      </c>
      <c r="J16" s="199"/>
      <c r="K16" s="202">
        <v>9000.0</v>
      </c>
      <c r="L16" s="202">
        <v>9000.0</v>
      </c>
      <c r="M16" s="203"/>
      <c r="N16" s="210"/>
      <c r="O16" s="211"/>
      <c r="P16" s="199"/>
      <c r="Q16" s="201">
        <v>6.0</v>
      </c>
      <c r="R16" s="206"/>
      <c r="S16" s="201" t="s">
        <v>105</v>
      </c>
      <c r="T16" s="201"/>
      <c r="V16" s="104"/>
    </row>
    <row r="17" ht="15.75" customHeight="1">
      <c r="A17" s="91"/>
      <c r="B17" s="266">
        <v>46054.0</v>
      </c>
      <c r="C17" s="201" t="s">
        <v>2954</v>
      </c>
      <c r="D17" s="199"/>
      <c r="E17" s="267">
        <v>2.3728897E7</v>
      </c>
      <c r="F17" s="268" t="s">
        <v>2955</v>
      </c>
      <c r="G17" s="199"/>
      <c r="H17" s="93" t="s">
        <v>2841</v>
      </c>
      <c r="I17" s="201" t="s">
        <v>181</v>
      </c>
      <c r="J17" s="199"/>
      <c r="K17" s="202">
        <v>8250.0</v>
      </c>
      <c r="L17" s="202">
        <v>2250.0</v>
      </c>
      <c r="M17" s="203"/>
      <c r="N17" s="210"/>
      <c r="O17" s="211"/>
      <c r="P17" s="199"/>
      <c r="Q17" s="201">
        <v>6.0</v>
      </c>
      <c r="R17" s="206"/>
      <c r="S17" s="201" t="s">
        <v>105</v>
      </c>
      <c r="T17" s="201" t="s">
        <v>2956</v>
      </c>
      <c r="V17" s="104"/>
    </row>
    <row r="18" ht="15.75" customHeight="1">
      <c r="A18" s="91"/>
      <c r="B18" s="269">
        <v>46054.0</v>
      </c>
      <c r="C18" s="201" t="s">
        <v>360</v>
      </c>
      <c r="D18" s="199"/>
      <c r="E18" s="267">
        <v>6.0561605E7</v>
      </c>
      <c r="F18" s="139" t="s">
        <v>2957</v>
      </c>
      <c r="G18" s="199"/>
      <c r="H18" s="93" t="s">
        <v>2841</v>
      </c>
      <c r="I18" s="201" t="s">
        <v>181</v>
      </c>
      <c r="J18" s="199"/>
      <c r="K18" s="202">
        <v>6000.0</v>
      </c>
      <c r="L18" s="202">
        <v>3000.0</v>
      </c>
      <c r="M18" s="203"/>
      <c r="N18" s="210"/>
      <c r="O18" s="205"/>
      <c r="P18" s="199"/>
      <c r="Q18" s="201">
        <v>3.0</v>
      </c>
      <c r="R18" s="206"/>
      <c r="S18" s="201" t="s">
        <v>105</v>
      </c>
      <c r="T18" s="201"/>
      <c r="V18" s="104"/>
    </row>
    <row r="19" ht="15.75" customHeight="1">
      <c r="A19" s="91"/>
      <c r="B19" s="266">
        <v>46054.0</v>
      </c>
      <c r="C19" s="201" t="s">
        <v>2848</v>
      </c>
      <c r="D19" s="199"/>
      <c r="E19" s="267">
        <v>3.1323976E7</v>
      </c>
      <c r="F19" s="139" t="s">
        <v>2958</v>
      </c>
      <c r="G19" s="199"/>
      <c r="H19" s="93" t="s">
        <v>2834</v>
      </c>
      <c r="I19" s="201" t="s">
        <v>103</v>
      </c>
      <c r="J19" s="199"/>
      <c r="K19" s="202">
        <v>4500.0</v>
      </c>
      <c r="L19" s="202">
        <v>4500.0</v>
      </c>
      <c r="M19" s="203"/>
      <c r="N19" s="210"/>
      <c r="O19" s="211"/>
      <c r="P19" s="201">
        <v>3.0</v>
      </c>
      <c r="Q19" s="201">
        <v>3.0</v>
      </c>
      <c r="R19" s="206"/>
      <c r="S19" s="201" t="s">
        <v>105</v>
      </c>
      <c r="T19" s="201"/>
      <c r="V19" s="104"/>
    </row>
    <row r="20" ht="15.75" customHeight="1">
      <c r="A20" s="91"/>
      <c r="B20" s="266">
        <v>46054.0</v>
      </c>
      <c r="C20" s="201" t="s">
        <v>727</v>
      </c>
      <c r="D20" s="199"/>
      <c r="E20" s="267">
        <v>3.1327005E7</v>
      </c>
      <c r="F20" s="139" t="s">
        <v>2959</v>
      </c>
      <c r="G20" s="199"/>
      <c r="H20" s="93" t="s">
        <v>2841</v>
      </c>
      <c r="I20" s="201" t="s">
        <v>181</v>
      </c>
      <c r="J20" s="199"/>
      <c r="K20" s="202">
        <v>10500.0</v>
      </c>
      <c r="L20" s="202">
        <v>3000.0</v>
      </c>
      <c r="M20" s="202"/>
      <c r="N20" s="210"/>
      <c r="O20" s="211"/>
      <c r="P20" s="199"/>
      <c r="Q20" s="201">
        <v>6.0</v>
      </c>
      <c r="R20" s="206"/>
      <c r="S20" s="201" t="s">
        <v>105</v>
      </c>
      <c r="T20" s="201"/>
      <c r="V20" s="104"/>
    </row>
    <row r="21" ht="15.75" customHeight="1">
      <c r="A21" s="91"/>
      <c r="B21" s="266">
        <v>46054.0</v>
      </c>
      <c r="C21" s="201" t="s">
        <v>2960</v>
      </c>
      <c r="D21" s="199"/>
      <c r="E21" s="267">
        <v>8.1612168E7</v>
      </c>
      <c r="F21" s="139" t="s">
        <v>2961</v>
      </c>
      <c r="G21" s="199"/>
      <c r="H21" s="93"/>
      <c r="I21" s="201" t="s">
        <v>131</v>
      </c>
      <c r="J21" s="199"/>
      <c r="K21" s="202"/>
      <c r="L21" s="202"/>
      <c r="M21" s="203"/>
      <c r="N21" s="210"/>
      <c r="O21" s="211"/>
      <c r="P21" s="199"/>
      <c r="Q21" s="201"/>
      <c r="R21" s="206"/>
      <c r="S21" s="201" t="s">
        <v>90</v>
      </c>
      <c r="T21" s="201"/>
      <c r="V21" s="104"/>
    </row>
    <row r="22" ht="15.75" customHeight="1">
      <c r="A22" s="91"/>
      <c r="B22" s="266">
        <v>46054.0</v>
      </c>
      <c r="C22" s="201" t="s">
        <v>2962</v>
      </c>
      <c r="D22" s="199"/>
      <c r="E22" s="267">
        <v>4.2300423E7</v>
      </c>
      <c r="F22" s="214" t="s">
        <v>2917</v>
      </c>
      <c r="G22" s="199"/>
      <c r="H22" s="93" t="s">
        <v>2841</v>
      </c>
      <c r="I22" s="201" t="s">
        <v>181</v>
      </c>
      <c r="J22" s="199"/>
      <c r="K22" s="202">
        <v>10500.0</v>
      </c>
      <c r="L22" s="202">
        <v>3000.0</v>
      </c>
      <c r="M22" s="203"/>
      <c r="N22" s="210"/>
      <c r="O22" s="205"/>
      <c r="P22" s="199"/>
      <c r="Q22" s="201">
        <v>6.0</v>
      </c>
      <c r="R22" s="206"/>
      <c r="S22" s="201" t="s">
        <v>105</v>
      </c>
      <c r="T22" s="201"/>
      <c r="V22" s="104"/>
    </row>
    <row r="23" ht="15.75" customHeight="1">
      <c r="A23" s="91"/>
      <c r="B23" s="266">
        <v>46054.0</v>
      </c>
      <c r="C23" s="201" t="s">
        <v>1067</v>
      </c>
      <c r="D23" s="199"/>
      <c r="E23" s="139"/>
      <c r="F23" s="214" t="s">
        <v>2963</v>
      </c>
      <c r="G23" s="199"/>
      <c r="H23" s="93"/>
      <c r="I23" s="201" t="s">
        <v>131</v>
      </c>
      <c r="J23" s="199"/>
      <c r="K23" s="202"/>
      <c r="L23" s="98"/>
      <c r="M23" s="203"/>
      <c r="N23" s="210"/>
      <c r="O23" s="211"/>
      <c r="P23" s="199"/>
      <c r="Q23" s="201"/>
      <c r="R23" s="206"/>
      <c r="S23" s="201" t="s">
        <v>90</v>
      </c>
      <c r="T23" s="201" t="s">
        <v>2964</v>
      </c>
      <c r="V23" s="104"/>
    </row>
    <row r="24" ht="15.75" customHeight="1">
      <c r="A24" s="91"/>
      <c r="B24" s="266">
        <v>46054.0</v>
      </c>
      <c r="C24" s="201" t="s">
        <v>979</v>
      </c>
      <c r="D24" s="199"/>
      <c r="E24" s="267">
        <v>2.2791312E7</v>
      </c>
      <c r="F24" s="214" t="s">
        <v>2965</v>
      </c>
      <c r="G24" s="199"/>
      <c r="H24" s="93" t="s">
        <v>2834</v>
      </c>
      <c r="I24" s="201" t="s">
        <v>181</v>
      </c>
      <c r="J24" s="199"/>
      <c r="K24" s="202">
        <v>10500.0</v>
      </c>
      <c r="L24" s="202">
        <v>3000.0</v>
      </c>
      <c r="M24" s="203"/>
      <c r="N24" s="210"/>
      <c r="O24" s="211"/>
      <c r="P24" s="199"/>
      <c r="Q24" s="201">
        <v>6.0</v>
      </c>
      <c r="R24" s="206"/>
      <c r="S24" s="201" t="s">
        <v>105</v>
      </c>
      <c r="T24" s="201"/>
      <c r="V24" s="104"/>
    </row>
    <row r="25" ht="15.75" customHeight="1">
      <c r="A25" s="91"/>
      <c r="B25" s="266">
        <v>46054.0</v>
      </c>
      <c r="C25" s="201" t="s">
        <v>2966</v>
      </c>
      <c r="D25" s="199"/>
      <c r="E25" s="270" t="s">
        <v>2967</v>
      </c>
      <c r="F25" s="271" t="s">
        <v>2968</v>
      </c>
      <c r="G25" s="199"/>
      <c r="H25" s="93" t="s">
        <v>2841</v>
      </c>
      <c r="I25" s="201" t="s">
        <v>591</v>
      </c>
      <c r="J25" s="199"/>
      <c r="K25" s="202"/>
      <c r="L25" s="202"/>
      <c r="M25" s="203"/>
      <c r="N25" s="210"/>
      <c r="O25" s="211"/>
      <c r="P25" s="199"/>
      <c r="Q25" s="201"/>
      <c r="R25" s="206"/>
      <c r="S25" s="201"/>
      <c r="T25" s="201"/>
      <c r="V25" s="104"/>
    </row>
    <row r="26" ht="15.75" customHeight="1">
      <c r="A26" s="91"/>
      <c r="B26" s="266">
        <v>46054.0</v>
      </c>
      <c r="C26" s="201" t="s">
        <v>2969</v>
      </c>
      <c r="D26" s="199"/>
      <c r="E26" s="265" t="s">
        <v>2970</v>
      </c>
      <c r="F26" s="265" t="s">
        <v>2971</v>
      </c>
      <c r="G26" s="199"/>
      <c r="H26" s="93" t="s">
        <v>2841</v>
      </c>
      <c r="I26" s="201" t="s">
        <v>181</v>
      </c>
      <c r="J26" s="199"/>
      <c r="K26" s="202">
        <v>10500.0</v>
      </c>
      <c r="L26" s="202">
        <v>3000.0</v>
      </c>
      <c r="M26" s="203"/>
      <c r="N26" s="210"/>
      <c r="O26" s="211"/>
      <c r="P26" s="199"/>
      <c r="Q26" s="201">
        <v>6.0</v>
      </c>
      <c r="R26" s="206"/>
      <c r="S26" s="201" t="s">
        <v>105</v>
      </c>
      <c r="T26" s="201"/>
      <c r="V26" s="104"/>
    </row>
    <row r="27" ht="15.75" customHeight="1">
      <c r="A27" s="91"/>
      <c r="B27" s="266">
        <v>46054.0</v>
      </c>
      <c r="C27" s="93" t="s">
        <v>2972</v>
      </c>
      <c r="D27" s="199"/>
      <c r="E27" s="265" t="s">
        <v>2973</v>
      </c>
      <c r="F27" s="139" t="s">
        <v>2974</v>
      </c>
      <c r="G27" s="199"/>
      <c r="H27" s="93" t="s">
        <v>2841</v>
      </c>
      <c r="I27" s="201" t="s">
        <v>88</v>
      </c>
      <c r="J27" s="199"/>
      <c r="K27" s="202"/>
      <c r="L27" s="202"/>
      <c r="M27" s="203"/>
      <c r="N27" s="210"/>
      <c r="O27" s="211"/>
      <c r="P27" s="199"/>
      <c r="Q27" s="201"/>
      <c r="R27" s="206"/>
      <c r="S27" s="201"/>
      <c r="T27" s="201" t="s">
        <v>2964</v>
      </c>
      <c r="V27" s="104"/>
    </row>
    <row r="28" ht="15.75" customHeight="1">
      <c r="A28" s="91"/>
      <c r="B28" s="266">
        <v>46082.0</v>
      </c>
      <c r="C28" s="201" t="s">
        <v>1122</v>
      </c>
      <c r="D28" s="199"/>
      <c r="E28" s="265" t="s">
        <v>2975</v>
      </c>
      <c r="F28" s="265" t="s">
        <v>2976</v>
      </c>
      <c r="G28" s="199"/>
      <c r="H28" s="93" t="s">
        <v>2841</v>
      </c>
      <c r="I28" s="201" t="s">
        <v>181</v>
      </c>
      <c r="J28" s="199"/>
      <c r="K28" s="202">
        <v>10500.0</v>
      </c>
      <c r="L28" s="202">
        <v>3000.0</v>
      </c>
      <c r="M28" s="203"/>
      <c r="N28" s="210"/>
      <c r="O28" s="211"/>
      <c r="P28" s="199"/>
      <c r="Q28" s="201">
        <v>6.0</v>
      </c>
      <c r="R28" s="206"/>
      <c r="S28" s="201" t="s">
        <v>105</v>
      </c>
      <c r="T28" s="201"/>
      <c r="V28" s="104"/>
    </row>
    <row r="29" ht="15.75" customHeight="1">
      <c r="A29" s="91"/>
      <c r="B29" s="266">
        <v>46113.0</v>
      </c>
      <c r="C29" s="201" t="s">
        <v>777</v>
      </c>
      <c r="D29" s="199"/>
      <c r="E29" s="267">
        <v>3.0594563E7</v>
      </c>
      <c r="F29" s="272" t="s">
        <v>2977</v>
      </c>
      <c r="G29" s="199"/>
      <c r="H29" s="93" t="s">
        <v>2834</v>
      </c>
      <c r="I29" s="201" t="s">
        <v>103</v>
      </c>
      <c r="J29" s="199"/>
      <c r="K29" s="202">
        <v>6000.0</v>
      </c>
      <c r="L29" s="98">
        <v>6000.0</v>
      </c>
      <c r="M29" s="203"/>
      <c r="N29" s="210"/>
      <c r="O29" s="205"/>
      <c r="P29" s="199"/>
      <c r="Q29" s="201">
        <v>4.0</v>
      </c>
      <c r="R29" s="206"/>
      <c r="S29" s="201" t="s">
        <v>105</v>
      </c>
      <c r="T29" s="201"/>
      <c r="V29" s="104"/>
    </row>
    <row r="30" ht="15.75" customHeight="1">
      <c r="A30" s="91"/>
      <c r="B30" s="266">
        <v>46113.0</v>
      </c>
      <c r="C30" s="201" t="s">
        <v>616</v>
      </c>
      <c r="D30" s="199"/>
      <c r="E30" s="265" t="s">
        <v>2978</v>
      </c>
      <c r="F30" s="265" t="s">
        <v>2979</v>
      </c>
      <c r="G30" s="199"/>
      <c r="H30" s="93" t="s">
        <v>2834</v>
      </c>
      <c r="I30" s="201" t="s">
        <v>103</v>
      </c>
      <c r="J30" s="199"/>
      <c r="K30" s="202">
        <v>9000.0</v>
      </c>
      <c r="L30" s="202">
        <v>9000.0</v>
      </c>
      <c r="M30" s="203"/>
      <c r="N30" s="210"/>
      <c r="O30" s="211"/>
      <c r="P30" s="199"/>
      <c r="Q30" s="201">
        <v>6.0</v>
      </c>
      <c r="R30" s="206"/>
      <c r="S30" s="201" t="s">
        <v>105</v>
      </c>
      <c r="T30" s="201"/>
      <c r="V30" s="104"/>
    </row>
    <row r="31" ht="15.75" customHeight="1">
      <c r="A31" s="91"/>
      <c r="B31" s="266">
        <v>46113.0</v>
      </c>
      <c r="C31" s="97" t="s">
        <v>1127</v>
      </c>
      <c r="D31" s="199"/>
      <c r="E31" s="265" t="s">
        <v>2980</v>
      </c>
      <c r="F31" s="139" t="s">
        <v>2981</v>
      </c>
      <c r="G31" s="199"/>
      <c r="H31" s="93" t="s">
        <v>2841</v>
      </c>
      <c r="I31" s="201" t="s">
        <v>88</v>
      </c>
      <c r="J31" s="199"/>
      <c r="K31" s="202"/>
      <c r="L31" s="202"/>
      <c r="M31" s="203"/>
      <c r="N31" s="210"/>
      <c r="O31" s="205"/>
      <c r="P31" s="199"/>
      <c r="Q31" s="201"/>
      <c r="R31" s="206"/>
      <c r="S31" s="201"/>
      <c r="T31" s="201"/>
      <c r="V31" s="104"/>
    </row>
    <row r="32" ht="15.75" customHeight="1">
      <c r="A32" s="91"/>
      <c r="B32" s="266">
        <v>46113.0</v>
      </c>
      <c r="C32" s="97" t="s">
        <v>667</v>
      </c>
      <c r="D32" s="199"/>
      <c r="E32" s="265" t="s">
        <v>2982</v>
      </c>
      <c r="F32" s="265" t="s">
        <v>2983</v>
      </c>
      <c r="G32" s="199"/>
      <c r="H32" s="93" t="s">
        <v>2841</v>
      </c>
      <c r="I32" s="201" t="s">
        <v>88</v>
      </c>
      <c r="J32" s="199"/>
      <c r="K32" s="202"/>
      <c r="L32" s="202"/>
      <c r="M32" s="203"/>
      <c r="N32" s="210"/>
      <c r="O32" s="211"/>
      <c r="P32" s="199"/>
      <c r="Q32" s="201"/>
      <c r="R32" s="206"/>
      <c r="S32" s="201"/>
      <c r="T32" s="201"/>
      <c r="V32" s="104"/>
    </row>
    <row r="33" ht="15.75" customHeight="1">
      <c r="A33" s="91"/>
      <c r="B33" s="273">
        <v>46113.0</v>
      </c>
      <c r="C33" s="97" t="s">
        <v>915</v>
      </c>
      <c r="D33" s="199"/>
      <c r="E33" s="265" t="s">
        <v>2984</v>
      </c>
      <c r="F33" s="265" t="s">
        <v>2985</v>
      </c>
      <c r="G33" s="199"/>
      <c r="H33" s="93" t="s">
        <v>2834</v>
      </c>
      <c r="I33" s="201" t="s">
        <v>88</v>
      </c>
      <c r="J33" s="199"/>
      <c r="K33" s="202"/>
      <c r="L33" s="202"/>
      <c r="M33" s="203"/>
      <c r="N33" s="210"/>
      <c r="O33" s="211"/>
      <c r="P33" s="199"/>
      <c r="Q33" s="201"/>
      <c r="R33" s="206"/>
      <c r="S33" s="201"/>
      <c r="T33" s="201"/>
      <c r="V33" s="104"/>
    </row>
    <row r="34" ht="15.75" customHeight="1">
      <c r="A34" s="91"/>
      <c r="B34" s="197">
        <v>46113.0</v>
      </c>
      <c r="C34" s="97" t="s">
        <v>2986</v>
      </c>
      <c r="D34" s="199"/>
      <c r="E34" s="265" t="s">
        <v>2987</v>
      </c>
      <c r="F34" s="265" t="s">
        <v>2988</v>
      </c>
      <c r="G34" s="199"/>
      <c r="H34" s="93" t="s">
        <v>2841</v>
      </c>
      <c r="I34" s="201" t="s">
        <v>88</v>
      </c>
      <c r="J34" s="201"/>
      <c r="K34" s="202"/>
      <c r="L34" s="202"/>
      <c r="M34" s="203"/>
      <c r="N34" s="210"/>
      <c r="O34" s="211"/>
      <c r="P34" s="199"/>
      <c r="Q34" s="201"/>
      <c r="R34" s="206"/>
      <c r="S34" s="201"/>
      <c r="T34" s="201"/>
      <c r="V34" s="104"/>
    </row>
    <row r="35" ht="15.75" customHeight="1">
      <c r="A35" s="91"/>
      <c r="B35" s="273">
        <v>46113.0</v>
      </c>
      <c r="C35" s="97" t="s">
        <v>2989</v>
      </c>
      <c r="D35" s="199"/>
      <c r="E35" s="265" t="s">
        <v>2990</v>
      </c>
      <c r="F35" s="265" t="s">
        <v>2991</v>
      </c>
      <c r="G35" s="199"/>
      <c r="H35" s="93" t="s">
        <v>2841</v>
      </c>
      <c r="I35" s="201" t="s">
        <v>88</v>
      </c>
      <c r="J35" s="199"/>
      <c r="K35" s="251"/>
      <c r="L35" s="202"/>
      <c r="M35" s="203"/>
      <c r="N35" s="210"/>
      <c r="O35" s="211"/>
      <c r="P35" s="199"/>
      <c r="Q35" s="201"/>
      <c r="R35" s="206"/>
      <c r="S35" s="201"/>
      <c r="T35" s="201"/>
      <c r="V35" s="104"/>
    </row>
    <row r="36" ht="15.75" customHeight="1">
      <c r="A36" s="91"/>
      <c r="B36" s="273">
        <v>46113.0</v>
      </c>
      <c r="C36" s="97" t="s">
        <v>1122</v>
      </c>
      <c r="D36" s="94"/>
      <c r="E36" s="265" t="s">
        <v>2992</v>
      </c>
      <c r="F36" s="265" t="s">
        <v>2993</v>
      </c>
      <c r="G36" s="94"/>
      <c r="H36" s="93" t="s">
        <v>2841</v>
      </c>
      <c r="I36" s="201" t="s">
        <v>88</v>
      </c>
      <c r="J36" s="94"/>
      <c r="K36" s="202"/>
      <c r="L36" s="202"/>
      <c r="M36" s="99"/>
      <c r="N36" s="100"/>
      <c r="O36" s="101"/>
      <c r="P36" s="94"/>
      <c r="Q36" s="201"/>
      <c r="R36" s="113"/>
      <c r="S36" s="102"/>
      <c r="T36" s="102"/>
      <c r="V36" s="104"/>
    </row>
    <row r="37" ht="15.75" customHeight="1">
      <c r="A37" s="94"/>
      <c r="B37" s="273">
        <v>46143.0</v>
      </c>
      <c r="C37" s="97" t="s">
        <v>344</v>
      </c>
      <c r="D37" s="94"/>
      <c r="E37" s="265" t="s">
        <v>2994</v>
      </c>
      <c r="F37" s="265" t="s">
        <v>2995</v>
      </c>
      <c r="G37" s="94"/>
      <c r="H37" s="93" t="s">
        <v>2834</v>
      </c>
      <c r="I37" s="102" t="s">
        <v>181</v>
      </c>
      <c r="J37" s="94"/>
      <c r="K37" s="144">
        <v>10500.0</v>
      </c>
      <c r="L37" s="144">
        <v>3000.0</v>
      </c>
      <c r="M37" s="99"/>
      <c r="N37" s="100"/>
      <c r="O37" s="101"/>
      <c r="P37" s="94"/>
      <c r="Q37" s="201">
        <v>6.0</v>
      </c>
      <c r="R37" s="113"/>
      <c r="S37" s="102" t="s">
        <v>105</v>
      </c>
      <c r="T37" s="102"/>
      <c r="V37" s="104"/>
    </row>
    <row r="38" ht="15.75" customHeight="1">
      <c r="A38" s="94"/>
      <c r="B38" s="273">
        <v>46143.0</v>
      </c>
      <c r="C38" s="97" t="s">
        <v>624</v>
      </c>
      <c r="D38" s="94"/>
      <c r="E38" s="265" t="s">
        <v>2996</v>
      </c>
      <c r="F38" s="265" t="s">
        <v>2997</v>
      </c>
      <c r="G38" s="94"/>
      <c r="H38" s="93" t="s">
        <v>2841</v>
      </c>
      <c r="I38" s="201" t="s">
        <v>88</v>
      </c>
      <c r="J38" s="94"/>
      <c r="K38" s="202"/>
      <c r="L38" s="144"/>
      <c r="M38" s="99"/>
      <c r="N38" s="100"/>
      <c r="O38" s="101"/>
      <c r="P38" s="94"/>
      <c r="Q38" s="201"/>
      <c r="R38" s="113"/>
      <c r="S38" s="102"/>
      <c r="T38" s="102"/>
      <c r="V38" s="104"/>
    </row>
    <row r="39" ht="15.75" customHeight="1">
      <c r="A39" s="94"/>
      <c r="B39" s="273">
        <v>46143.0</v>
      </c>
      <c r="C39" s="97" t="s">
        <v>616</v>
      </c>
      <c r="D39" s="94"/>
      <c r="E39" s="267">
        <v>2.4434112E7</v>
      </c>
      <c r="F39" s="139" t="s">
        <v>2998</v>
      </c>
      <c r="G39" s="94"/>
      <c r="H39" s="93" t="s">
        <v>2834</v>
      </c>
      <c r="I39" s="102" t="s">
        <v>181</v>
      </c>
      <c r="J39" s="94"/>
      <c r="K39" s="202">
        <v>6000.0</v>
      </c>
      <c r="L39" s="202">
        <v>1500.0</v>
      </c>
      <c r="M39" s="99"/>
      <c r="N39" s="111"/>
      <c r="O39" s="112"/>
      <c r="P39" s="94"/>
      <c r="Q39" s="201">
        <v>3.0</v>
      </c>
      <c r="R39" s="113"/>
      <c r="S39" s="102" t="s">
        <v>105</v>
      </c>
      <c r="T39" s="102" t="s">
        <v>2999</v>
      </c>
      <c r="V39" s="104"/>
    </row>
    <row r="40" ht="15.75" customHeight="1">
      <c r="A40" s="94"/>
      <c r="B40" s="273">
        <v>46143.0</v>
      </c>
      <c r="C40" s="97" t="s">
        <v>531</v>
      </c>
      <c r="D40" s="94"/>
      <c r="E40" s="265" t="s">
        <v>3000</v>
      </c>
      <c r="F40" s="265" t="s">
        <v>3001</v>
      </c>
      <c r="G40" s="94"/>
      <c r="H40" s="93" t="s">
        <v>2834</v>
      </c>
      <c r="I40" s="102" t="s">
        <v>103</v>
      </c>
      <c r="J40" s="94"/>
      <c r="K40" s="202">
        <v>4500.0</v>
      </c>
      <c r="L40" s="202">
        <v>4500.0</v>
      </c>
      <c r="M40" s="99"/>
      <c r="N40" s="111"/>
      <c r="O40" s="112"/>
      <c r="P40" s="102">
        <v>3.0</v>
      </c>
      <c r="Q40" s="102">
        <v>3.0</v>
      </c>
      <c r="R40" s="113"/>
      <c r="S40" s="102" t="s">
        <v>105</v>
      </c>
      <c r="T40" s="102"/>
      <c r="V40" s="104"/>
    </row>
    <row r="41" ht="15.75" customHeight="1">
      <c r="A41" s="94"/>
      <c r="B41" s="273">
        <v>46143.0</v>
      </c>
      <c r="C41" s="97" t="s">
        <v>1303</v>
      </c>
      <c r="D41" s="94"/>
      <c r="E41" s="265" t="s">
        <v>3002</v>
      </c>
      <c r="F41" s="265" t="s">
        <v>3003</v>
      </c>
      <c r="G41" s="94"/>
      <c r="H41" s="93" t="s">
        <v>2834</v>
      </c>
      <c r="I41" s="102" t="s">
        <v>103</v>
      </c>
      <c r="J41" s="94"/>
      <c r="K41" s="202">
        <v>9000.0</v>
      </c>
      <c r="L41" s="202">
        <v>9000.0</v>
      </c>
      <c r="M41" s="99"/>
      <c r="N41" s="100"/>
      <c r="O41" s="101"/>
      <c r="P41" s="94"/>
      <c r="Q41" s="102">
        <v>6.0</v>
      </c>
      <c r="R41" s="113"/>
      <c r="S41" s="102" t="s">
        <v>105</v>
      </c>
      <c r="T41" s="102"/>
      <c r="V41" s="104"/>
    </row>
    <row r="42" ht="15.75" customHeight="1">
      <c r="A42" s="94"/>
      <c r="B42" s="264">
        <v>46143.0</v>
      </c>
      <c r="C42" s="97" t="s">
        <v>3004</v>
      </c>
      <c r="D42" s="94"/>
      <c r="E42" s="265" t="s">
        <v>3005</v>
      </c>
      <c r="F42" s="265" t="s">
        <v>3006</v>
      </c>
      <c r="G42" s="94"/>
      <c r="H42" s="93" t="s">
        <v>2841</v>
      </c>
      <c r="I42" s="201" t="s">
        <v>88</v>
      </c>
      <c r="J42" s="94"/>
      <c r="K42" s="202"/>
      <c r="L42" s="98"/>
      <c r="M42" s="99"/>
      <c r="N42" s="100"/>
      <c r="O42" s="101"/>
      <c r="P42" s="94"/>
      <c r="Q42" s="102"/>
      <c r="R42" s="113"/>
      <c r="S42" s="102"/>
      <c r="T42" s="102"/>
      <c r="V42" s="104"/>
    </row>
    <row r="43" ht="15.75" customHeight="1">
      <c r="A43" s="94"/>
      <c r="B43" s="273">
        <v>46143.0</v>
      </c>
      <c r="C43" s="97" t="s">
        <v>727</v>
      </c>
      <c r="D43" s="94"/>
      <c r="E43" s="265" t="s">
        <v>3007</v>
      </c>
      <c r="F43" s="265" t="s">
        <v>3008</v>
      </c>
      <c r="G43" s="94"/>
      <c r="H43" s="93"/>
      <c r="I43" s="102" t="s">
        <v>131</v>
      </c>
      <c r="J43" s="94"/>
      <c r="K43" s="202"/>
      <c r="L43" s="202"/>
      <c r="M43" s="99"/>
      <c r="N43" s="100"/>
      <c r="O43" s="101"/>
      <c r="P43" s="94"/>
      <c r="Q43" s="102"/>
      <c r="R43" s="113"/>
      <c r="S43" s="102"/>
      <c r="T43" s="102"/>
      <c r="V43" s="104"/>
    </row>
    <row r="44" ht="15.75" customHeight="1">
      <c r="A44" s="94"/>
      <c r="B44" s="273">
        <v>46143.0</v>
      </c>
      <c r="C44" s="97" t="s">
        <v>2960</v>
      </c>
      <c r="D44" s="94"/>
      <c r="E44" s="265" t="s">
        <v>3009</v>
      </c>
      <c r="F44" s="265" t="s">
        <v>3010</v>
      </c>
      <c r="G44" s="94"/>
      <c r="H44" s="93" t="s">
        <v>2834</v>
      </c>
      <c r="I44" s="102" t="s">
        <v>88</v>
      </c>
      <c r="J44" s="94"/>
      <c r="K44" s="142"/>
      <c r="L44" s="144"/>
      <c r="M44" s="99"/>
      <c r="N44" s="100"/>
      <c r="O44" s="101"/>
      <c r="P44" s="94"/>
      <c r="Q44" s="102"/>
      <c r="R44" s="113"/>
      <c r="S44" s="102"/>
      <c r="T44" s="102"/>
      <c r="V44" s="102"/>
    </row>
    <row r="45" ht="15.75" customHeight="1">
      <c r="A45" s="94"/>
      <c r="B45" s="273">
        <v>46143.0</v>
      </c>
      <c r="C45" s="97" t="s">
        <v>1834</v>
      </c>
      <c r="D45" s="94"/>
      <c r="E45" s="265" t="s">
        <v>3011</v>
      </c>
      <c r="F45" s="265" t="s">
        <v>3012</v>
      </c>
      <c r="G45" s="94"/>
      <c r="H45" s="93" t="s">
        <v>2834</v>
      </c>
      <c r="I45" s="97" t="s">
        <v>88</v>
      </c>
      <c r="J45" s="94"/>
      <c r="K45" s="202"/>
      <c r="L45" s="144"/>
      <c r="M45" s="99"/>
      <c r="N45" s="100"/>
      <c r="O45" s="101"/>
      <c r="P45" s="94"/>
      <c r="Q45" s="102"/>
      <c r="R45" s="113"/>
      <c r="S45" s="102"/>
      <c r="T45" s="102"/>
      <c r="V45" s="104"/>
    </row>
    <row r="46" ht="15.75" customHeight="1">
      <c r="A46" s="91"/>
      <c r="B46" s="273">
        <v>46174.0</v>
      </c>
      <c r="C46" s="97" t="s">
        <v>2542</v>
      </c>
      <c r="D46" s="94"/>
      <c r="E46" s="265" t="s">
        <v>3013</v>
      </c>
      <c r="F46" s="265" t="s">
        <v>3014</v>
      </c>
      <c r="G46" s="94"/>
      <c r="H46" s="93" t="s">
        <v>2834</v>
      </c>
      <c r="I46" s="97" t="s">
        <v>232</v>
      </c>
      <c r="J46" s="94"/>
      <c r="K46" s="202">
        <v>500.0</v>
      </c>
      <c r="L46" s="202">
        <v>500.0</v>
      </c>
      <c r="M46" s="99"/>
      <c r="N46" s="100"/>
      <c r="O46" s="101"/>
      <c r="P46" s="94"/>
      <c r="Q46" s="201"/>
      <c r="R46" s="105"/>
      <c r="S46" s="102" t="s">
        <v>404</v>
      </c>
      <c r="T46" s="102" t="s">
        <v>3015</v>
      </c>
      <c r="V46" s="104"/>
    </row>
    <row r="47" ht="15.75" customHeight="1">
      <c r="A47" s="91"/>
      <c r="B47" s="273">
        <v>46204.0</v>
      </c>
      <c r="C47" s="97" t="s">
        <v>10</v>
      </c>
      <c r="D47" s="94"/>
      <c r="E47" s="265" t="s">
        <v>3016</v>
      </c>
      <c r="F47" s="265" t="s">
        <v>3017</v>
      </c>
      <c r="G47" s="94"/>
      <c r="H47" s="93"/>
      <c r="I47" s="97" t="s">
        <v>1111</v>
      </c>
      <c r="J47" s="94"/>
      <c r="K47" s="202"/>
      <c r="L47" s="202"/>
      <c r="M47" s="99"/>
      <c r="N47" s="100"/>
      <c r="O47" s="101"/>
      <c r="P47" s="94"/>
      <c r="Q47" s="102"/>
      <c r="R47" s="113"/>
      <c r="S47" s="102"/>
      <c r="T47" s="102"/>
      <c r="V47" s="104"/>
    </row>
    <row r="48" ht="15.75" customHeight="1">
      <c r="A48" s="91"/>
      <c r="B48" s="273">
        <v>46204.0</v>
      </c>
      <c r="C48" s="97" t="s">
        <v>915</v>
      </c>
      <c r="D48" s="94"/>
      <c r="E48" s="265" t="s">
        <v>3018</v>
      </c>
      <c r="F48" s="265" t="s">
        <v>3019</v>
      </c>
      <c r="G48" s="94"/>
      <c r="H48" s="93" t="s">
        <v>2841</v>
      </c>
      <c r="I48" s="102" t="s">
        <v>88</v>
      </c>
      <c r="J48" s="94"/>
      <c r="K48" s="202"/>
      <c r="L48" s="202"/>
      <c r="M48" s="99"/>
      <c r="N48" s="100"/>
      <c r="O48" s="101"/>
      <c r="P48" s="94"/>
      <c r="Q48" s="102"/>
      <c r="R48" s="103"/>
      <c r="S48" s="102"/>
      <c r="T48" s="102"/>
      <c r="V48" s="104"/>
    </row>
    <row r="49" ht="15.75" customHeight="1">
      <c r="A49" s="91"/>
      <c r="B49" s="273">
        <v>46204.0</v>
      </c>
      <c r="C49" s="97" t="s">
        <v>1376</v>
      </c>
      <c r="D49" s="94"/>
      <c r="E49" s="265" t="s">
        <v>3020</v>
      </c>
      <c r="F49" s="265" t="s">
        <v>3021</v>
      </c>
      <c r="G49" s="94"/>
      <c r="H49" s="93" t="s">
        <v>2834</v>
      </c>
      <c r="I49" s="102" t="s">
        <v>232</v>
      </c>
      <c r="J49" s="94"/>
      <c r="K49" s="98">
        <v>500.0</v>
      </c>
      <c r="L49" s="98">
        <v>500.0</v>
      </c>
      <c r="M49" s="99"/>
      <c r="N49" s="100"/>
      <c r="O49" s="101"/>
      <c r="P49" s="94"/>
      <c r="Q49" s="94"/>
      <c r="R49" s="113"/>
      <c r="S49" s="102" t="s">
        <v>404</v>
      </c>
      <c r="T49" s="102" t="s">
        <v>3022</v>
      </c>
      <c r="V49" s="104"/>
    </row>
    <row r="50" ht="15.75" customHeight="1">
      <c r="A50" s="91"/>
      <c r="B50" s="273">
        <v>46204.0</v>
      </c>
      <c r="C50" s="97" t="s">
        <v>667</v>
      </c>
      <c r="D50" s="94"/>
      <c r="E50" s="265" t="s">
        <v>3023</v>
      </c>
      <c r="F50" s="265" t="s">
        <v>3024</v>
      </c>
      <c r="G50" s="94"/>
      <c r="H50" s="93" t="s">
        <v>2834</v>
      </c>
      <c r="I50" s="102" t="s">
        <v>88</v>
      </c>
      <c r="J50" s="94"/>
      <c r="K50" s="202"/>
      <c r="L50" s="202"/>
      <c r="M50" s="99"/>
      <c r="N50" s="100"/>
      <c r="O50" s="101"/>
      <c r="P50" s="94"/>
      <c r="Q50" s="102"/>
      <c r="R50" s="103"/>
      <c r="S50" s="102"/>
      <c r="T50" s="102"/>
      <c r="V50" s="104"/>
    </row>
    <row r="51" ht="15.75" customHeight="1">
      <c r="A51" s="91"/>
      <c r="B51" s="273">
        <v>46204.0</v>
      </c>
      <c r="C51" s="97" t="s">
        <v>220</v>
      </c>
      <c r="D51" s="94"/>
      <c r="E51" s="265" t="s">
        <v>3025</v>
      </c>
      <c r="F51" s="265" t="s">
        <v>3026</v>
      </c>
      <c r="G51" s="94"/>
      <c r="H51" s="93" t="s">
        <v>2841</v>
      </c>
      <c r="I51" s="102" t="s">
        <v>88</v>
      </c>
      <c r="J51" s="94"/>
      <c r="K51" s="202"/>
      <c r="L51" s="202"/>
      <c r="M51" s="99"/>
      <c r="N51" s="100"/>
      <c r="O51" s="101"/>
      <c r="P51" s="94"/>
      <c r="Q51" s="102"/>
      <c r="R51" s="103"/>
      <c r="S51" s="102"/>
      <c r="T51" s="102"/>
      <c r="V51" s="104"/>
    </row>
    <row r="52" ht="15.75" customHeight="1">
      <c r="A52" s="91"/>
      <c r="B52" s="273">
        <v>46204.0</v>
      </c>
      <c r="C52" s="97" t="s">
        <v>1019</v>
      </c>
      <c r="D52" s="94"/>
      <c r="E52" s="265" t="s">
        <v>3027</v>
      </c>
      <c r="F52" s="265" t="s">
        <v>3028</v>
      </c>
      <c r="G52" s="94"/>
      <c r="H52" s="93"/>
      <c r="I52" s="102" t="s">
        <v>1111</v>
      </c>
      <c r="J52" s="94"/>
      <c r="K52" s="98"/>
      <c r="L52" s="98"/>
      <c r="M52" s="99"/>
      <c r="N52" s="100"/>
      <c r="O52" s="101"/>
      <c r="P52" s="94"/>
      <c r="Q52" s="102"/>
      <c r="R52" s="113"/>
      <c r="S52" s="102"/>
      <c r="T52" s="102"/>
      <c r="V52" s="104"/>
    </row>
    <row r="53" ht="15.75" customHeight="1">
      <c r="A53" s="91"/>
      <c r="B53" s="273">
        <v>46204.0</v>
      </c>
      <c r="C53" s="97" t="s">
        <v>3029</v>
      </c>
      <c r="D53" s="94"/>
      <c r="E53" s="265" t="s">
        <v>3030</v>
      </c>
      <c r="F53" s="265" t="s">
        <v>3031</v>
      </c>
      <c r="G53" s="94"/>
      <c r="H53" s="93" t="s">
        <v>2834</v>
      </c>
      <c r="I53" s="102" t="s">
        <v>181</v>
      </c>
      <c r="J53" s="94"/>
      <c r="K53" s="98">
        <v>10500.0</v>
      </c>
      <c r="L53" s="98">
        <v>3000.0</v>
      </c>
      <c r="M53" s="99"/>
      <c r="N53" s="100"/>
      <c r="O53" s="101"/>
      <c r="P53" s="94"/>
      <c r="Q53" s="102">
        <v>6.0</v>
      </c>
      <c r="R53" s="106"/>
      <c r="S53" s="102" t="s">
        <v>105</v>
      </c>
      <c r="T53" s="102"/>
      <c r="V53" s="104"/>
    </row>
    <row r="54" ht="15.75" customHeight="1">
      <c r="A54" s="91"/>
      <c r="B54" s="273">
        <v>46235.0</v>
      </c>
      <c r="C54" s="97" t="s">
        <v>10</v>
      </c>
      <c r="D54" s="94"/>
      <c r="E54" s="265" t="s">
        <v>3016</v>
      </c>
      <c r="F54" s="265" t="s">
        <v>3017</v>
      </c>
      <c r="G54" s="94"/>
      <c r="H54" s="93" t="s">
        <v>2834</v>
      </c>
      <c r="I54" s="102" t="s">
        <v>88</v>
      </c>
      <c r="J54" s="94"/>
      <c r="K54" s="202"/>
      <c r="L54" s="98"/>
      <c r="M54" s="99"/>
      <c r="N54" s="100"/>
      <c r="O54" s="101"/>
      <c r="P54" s="94"/>
      <c r="Q54" s="102"/>
      <c r="R54" s="113"/>
      <c r="S54" s="102"/>
      <c r="V54" s="104"/>
    </row>
    <row r="55" ht="15.75" customHeight="1">
      <c r="A55" s="91"/>
      <c r="B55" s="273">
        <v>46235.0</v>
      </c>
      <c r="C55" s="97" t="s">
        <v>724</v>
      </c>
      <c r="D55" s="94"/>
      <c r="E55" s="265" t="s">
        <v>3032</v>
      </c>
      <c r="F55" s="265" t="s">
        <v>3033</v>
      </c>
      <c r="G55" s="94"/>
      <c r="H55" s="93" t="s">
        <v>2841</v>
      </c>
      <c r="I55" s="102" t="s">
        <v>88</v>
      </c>
      <c r="J55" s="94"/>
      <c r="K55" s="202"/>
      <c r="L55" s="202"/>
      <c r="M55" s="99"/>
      <c r="N55" s="100"/>
      <c r="O55" s="101"/>
      <c r="P55" s="94"/>
      <c r="Q55" s="201"/>
      <c r="R55" s="113"/>
      <c r="S55" s="102"/>
      <c r="T55" s="102"/>
      <c r="V55" s="104"/>
    </row>
    <row r="56" ht="15.75" customHeight="1">
      <c r="A56" s="91"/>
      <c r="B56" s="273">
        <v>46235.0</v>
      </c>
      <c r="C56" s="97" t="s">
        <v>2018</v>
      </c>
      <c r="D56" s="94"/>
      <c r="E56" s="265" t="s">
        <v>3034</v>
      </c>
      <c r="F56" s="265" t="s">
        <v>3035</v>
      </c>
      <c r="G56" s="94"/>
      <c r="H56" s="93" t="s">
        <v>2841</v>
      </c>
      <c r="I56" s="102" t="s">
        <v>181</v>
      </c>
      <c r="J56" s="94"/>
      <c r="K56" s="144">
        <v>10500.0</v>
      </c>
      <c r="L56" s="144">
        <v>3000.0</v>
      </c>
      <c r="M56" s="99"/>
      <c r="N56" s="100"/>
      <c r="O56" s="101"/>
      <c r="P56" s="94"/>
      <c r="Q56" s="102">
        <v>6.0</v>
      </c>
      <c r="R56" s="103"/>
      <c r="S56" s="102" t="s">
        <v>105</v>
      </c>
      <c r="T56" s="102" t="s">
        <v>3036</v>
      </c>
      <c r="V56" s="104"/>
    </row>
    <row r="57" ht="15.75" customHeight="1">
      <c r="A57" s="91"/>
      <c r="B57" s="273">
        <v>46235.0</v>
      </c>
      <c r="C57" s="265" t="s">
        <v>3037</v>
      </c>
      <c r="D57" s="94"/>
      <c r="E57" s="265" t="s">
        <v>3038</v>
      </c>
      <c r="F57" s="265" t="s">
        <v>3039</v>
      </c>
      <c r="G57" s="94"/>
      <c r="H57" s="93" t="s">
        <v>2834</v>
      </c>
      <c r="I57" s="102" t="s">
        <v>103</v>
      </c>
      <c r="J57" s="94"/>
      <c r="K57" s="202">
        <v>4500.0</v>
      </c>
      <c r="L57" s="98">
        <v>4500.0</v>
      </c>
      <c r="M57" s="99"/>
      <c r="N57" s="100"/>
      <c r="O57" s="101"/>
      <c r="P57" s="102">
        <v>3.0</v>
      </c>
      <c r="Q57" s="102">
        <v>3.0</v>
      </c>
      <c r="R57" s="113"/>
      <c r="S57" s="102" t="s">
        <v>105</v>
      </c>
      <c r="T57" s="102"/>
      <c r="V57" s="104"/>
    </row>
    <row r="58" ht="15.75" customHeight="1">
      <c r="A58" s="91"/>
      <c r="B58" s="273">
        <v>46235.0</v>
      </c>
      <c r="C58" s="265" t="s">
        <v>3040</v>
      </c>
      <c r="D58" s="94"/>
      <c r="E58" s="265" t="s">
        <v>3027</v>
      </c>
      <c r="F58" s="265" t="s">
        <v>3028</v>
      </c>
      <c r="G58" s="94"/>
      <c r="H58" s="93" t="s">
        <v>2841</v>
      </c>
      <c r="I58" s="102" t="s">
        <v>181</v>
      </c>
      <c r="J58" s="94"/>
      <c r="K58" s="98">
        <v>10500.0</v>
      </c>
      <c r="L58" s="98">
        <v>1500.0</v>
      </c>
      <c r="M58" s="99"/>
      <c r="N58" s="100"/>
      <c r="O58" s="101"/>
      <c r="P58" s="94"/>
      <c r="Q58" s="102">
        <v>6.0</v>
      </c>
      <c r="R58" s="113"/>
      <c r="S58" s="102" t="s">
        <v>105</v>
      </c>
      <c r="T58" s="102" t="s">
        <v>2999</v>
      </c>
      <c r="V58" s="104"/>
    </row>
    <row r="59" ht="15.75" customHeight="1">
      <c r="A59" s="91"/>
      <c r="B59" s="273">
        <v>46235.0</v>
      </c>
      <c r="C59" s="265" t="s">
        <v>410</v>
      </c>
      <c r="D59" s="94"/>
      <c r="E59" s="265" t="s">
        <v>3041</v>
      </c>
      <c r="F59" s="265" t="s">
        <v>3042</v>
      </c>
      <c r="G59" s="94"/>
      <c r="H59" s="93" t="s">
        <v>2834</v>
      </c>
      <c r="I59" s="102" t="s">
        <v>88</v>
      </c>
      <c r="J59" s="94"/>
      <c r="K59" s="98">
        <v>100.0</v>
      </c>
      <c r="L59" s="98">
        <v>100.0</v>
      </c>
      <c r="M59" s="99"/>
      <c r="N59" s="100"/>
      <c r="O59" s="101"/>
      <c r="P59" s="94"/>
      <c r="Q59" s="102">
        <v>6.0</v>
      </c>
      <c r="R59" s="113"/>
      <c r="S59" s="102" t="s">
        <v>124</v>
      </c>
      <c r="T59" s="102" t="s">
        <v>3043</v>
      </c>
      <c r="V59" s="104"/>
    </row>
    <row r="60" ht="15.75" customHeight="1">
      <c r="A60" s="91"/>
      <c r="B60" s="273">
        <v>46266.0</v>
      </c>
      <c r="C60" s="102" t="s">
        <v>252</v>
      </c>
      <c r="D60" s="94"/>
      <c r="E60" s="270">
        <v>2.7296568E7</v>
      </c>
      <c r="F60" s="274" t="s">
        <v>3044</v>
      </c>
      <c r="G60" s="94"/>
      <c r="H60" s="93" t="s">
        <v>2841</v>
      </c>
      <c r="I60" s="102" t="s">
        <v>181</v>
      </c>
      <c r="J60" s="94"/>
      <c r="K60" s="98">
        <v>10500.0</v>
      </c>
      <c r="L60" s="98">
        <v>3000.0</v>
      </c>
      <c r="M60" s="99"/>
      <c r="N60" s="100"/>
      <c r="O60" s="101"/>
      <c r="P60" s="94"/>
      <c r="Q60" s="102">
        <v>6.0</v>
      </c>
      <c r="R60" s="113"/>
      <c r="S60" s="102" t="s">
        <v>105</v>
      </c>
      <c r="T60" s="102"/>
      <c r="V60" s="104"/>
    </row>
    <row r="61" ht="15.75" customHeight="1">
      <c r="A61" s="91"/>
      <c r="B61" s="273">
        <v>46266.0</v>
      </c>
      <c r="C61" s="97" t="s">
        <v>887</v>
      </c>
      <c r="D61" s="94"/>
      <c r="E61" s="265" t="s">
        <v>3045</v>
      </c>
      <c r="F61" s="265" t="s">
        <v>3046</v>
      </c>
      <c r="G61" s="94"/>
      <c r="H61" s="93" t="s">
        <v>2834</v>
      </c>
      <c r="I61" s="102" t="s">
        <v>131</v>
      </c>
      <c r="J61" s="94"/>
      <c r="K61" s="202"/>
      <c r="L61" s="202"/>
      <c r="M61" s="99"/>
      <c r="N61" s="100"/>
      <c r="O61" s="101"/>
      <c r="P61" s="94"/>
      <c r="Q61" s="102"/>
      <c r="R61" s="103"/>
      <c r="S61" s="102"/>
      <c r="T61" s="102"/>
      <c r="V61" s="104"/>
    </row>
    <row r="62" ht="15.75" customHeight="1">
      <c r="A62" s="91"/>
      <c r="B62" s="273">
        <v>46266.0</v>
      </c>
      <c r="C62" s="97" t="s">
        <v>894</v>
      </c>
      <c r="D62" s="94"/>
      <c r="E62" s="265" t="s">
        <v>3047</v>
      </c>
      <c r="F62" s="265" t="s">
        <v>3048</v>
      </c>
      <c r="G62" s="94"/>
      <c r="H62" s="93" t="s">
        <v>2834</v>
      </c>
      <c r="I62" s="102" t="s">
        <v>181</v>
      </c>
      <c r="J62" s="94"/>
      <c r="K62" s="202">
        <v>7500.0</v>
      </c>
      <c r="L62" s="202">
        <v>3000.0</v>
      </c>
      <c r="M62" s="99"/>
      <c r="N62" s="100"/>
      <c r="O62" s="101"/>
      <c r="P62" s="94"/>
      <c r="Q62" s="201">
        <v>4.0</v>
      </c>
      <c r="R62" s="103"/>
      <c r="S62" s="102" t="s">
        <v>105</v>
      </c>
      <c r="V62" s="104"/>
    </row>
    <row r="63" ht="15.75" customHeight="1">
      <c r="A63" s="91"/>
      <c r="B63" s="198">
        <v>10.0</v>
      </c>
      <c r="C63" s="97" t="s">
        <v>3049</v>
      </c>
      <c r="D63" s="94"/>
      <c r="E63" s="250">
        <v>2.5544588E7</v>
      </c>
      <c r="F63" s="139" t="s">
        <v>3050</v>
      </c>
      <c r="G63" s="94"/>
      <c r="H63" s="93" t="s">
        <v>2834</v>
      </c>
      <c r="I63" s="102" t="s">
        <v>103</v>
      </c>
      <c r="J63" s="94"/>
      <c r="K63" s="202">
        <v>6000.0</v>
      </c>
      <c r="L63" s="202">
        <v>6000.0</v>
      </c>
      <c r="M63" s="99"/>
      <c r="N63" s="100"/>
      <c r="O63" s="101"/>
      <c r="P63" s="94"/>
      <c r="Q63" s="102">
        <v>4.0</v>
      </c>
      <c r="R63" s="103"/>
      <c r="S63" s="102" t="s">
        <v>105</v>
      </c>
      <c r="T63" s="102"/>
      <c r="V63" s="104"/>
    </row>
    <row r="64" ht="15.75" customHeight="1">
      <c r="A64" s="91"/>
      <c r="B64" s="198">
        <v>10.0</v>
      </c>
      <c r="C64" s="97" t="s">
        <v>1662</v>
      </c>
      <c r="D64" s="94"/>
      <c r="E64" s="139" t="s">
        <v>3051</v>
      </c>
      <c r="F64" s="139" t="s">
        <v>3052</v>
      </c>
      <c r="G64" s="94"/>
      <c r="H64" s="93" t="s">
        <v>2834</v>
      </c>
      <c r="I64" s="102" t="s">
        <v>103</v>
      </c>
      <c r="J64" s="94"/>
      <c r="K64" s="202">
        <v>6000.0</v>
      </c>
      <c r="L64" s="202">
        <v>6000.0</v>
      </c>
      <c r="M64" s="99"/>
      <c r="N64" s="100"/>
      <c r="O64" s="101"/>
      <c r="P64" s="94"/>
      <c r="Q64" s="102">
        <v>4.0</v>
      </c>
      <c r="R64" s="103"/>
      <c r="S64" s="102" t="s">
        <v>105</v>
      </c>
      <c r="T64" s="102"/>
      <c r="V64" s="104"/>
    </row>
    <row r="65" ht="15.75" customHeight="1">
      <c r="A65" s="91"/>
      <c r="B65" s="198">
        <v>10.0</v>
      </c>
      <c r="C65" s="97" t="s">
        <v>344</v>
      </c>
      <c r="D65" s="94"/>
      <c r="E65" s="139" t="s">
        <v>3053</v>
      </c>
      <c r="F65" s="139" t="s">
        <v>3054</v>
      </c>
      <c r="G65" s="94"/>
      <c r="H65" s="93" t="s">
        <v>2834</v>
      </c>
      <c r="I65" s="102" t="s">
        <v>88</v>
      </c>
      <c r="J65" s="94"/>
      <c r="K65" s="98"/>
      <c r="L65" s="98"/>
      <c r="M65" s="99"/>
      <c r="N65" s="100" t="s">
        <v>98</v>
      </c>
      <c r="O65" s="101" t="s">
        <v>3055</v>
      </c>
      <c r="P65" s="94"/>
      <c r="Q65" s="102"/>
      <c r="R65" s="113"/>
      <c r="S65" s="102" t="s">
        <v>124</v>
      </c>
      <c r="T65" s="102" t="s">
        <v>3056</v>
      </c>
      <c r="V65" s="104"/>
    </row>
    <row r="66" ht="15.75" customHeight="1">
      <c r="A66" s="91"/>
      <c r="B66" s="198">
        <v>10.0</v>
      </c>
      <c r="C66" s="139" t="s">
        <v>3057</v>
      </c>
      <c r="D66" s="94"/>
      <c r="E66" s="139" t="s">
        <v>3058</v>
      </c>
      <c r="F66" s="139" t="s">
        <v>3057</v>
      </c>
      <c r="G66" s="94"/>
      <c r="H66" s="93" t="s">
        <v>2834</v>
      </c>
      <c r="I66" s="102" t="s">
        <v>88</v>
      </c>
      <c r="J66" s="94"/>
      <c r="K66" s="98"/>
      <c r="L66" s="98"/>
      <c r="M66" s="99"/>
      <c r="N66" s="100" t="s">
        <v>50</v>
      </c>
      <c r="O66" s="101" t="s">
        <v>3059</v>
      </c>
      <c r="P66" s="94"/>
      <c r="Q66" s="102"/>
      <c r="R66" s="103"/>
      <c r="S66" s="102" t="s">
        <v>124</v>
      </c>
      <c r="T66" s="102" t="s">
        <v>3060</v>
      </c>
      <c r="V66" s="104"/>
    </row>
    <row r="67" ht="15.75" customHeight="1">
      <c r="A67" s="91"/>
      <c r="B67" s="198">
        <v>11.0</v>
      </c>
      <c r="C67" s="102" t="s">
        <v>1082</v>
      </c>
      <c r="D67" s="94"/>
      <c r="E67" s="139" t="s">
        <v>3061</v>
      </c>
      <c r="F67" s="139" t="s">
        <v>3062</v>
      </c>
      <c r="G67" s="94"/>
      <c r="H67" s="93"/>
      <c r="I67" s="102" t="s">
        <v>131</v>
      </c>
      <c r="J67" s="94"/>
      <c r="K67" s="98"/>
      <c r="L67" s="98"/>
      <c r="M67" s="99"/>
      <c r="N67" s="100"/>
      <c r="O67" s="101"/>
      <c r="P67" s="94"/>
      <c r="Q67" s="102"/>
      <c r="R67" s="113"/>
      <c r="S67" s="102"/>
      <c r="T67" s="102"/>
      <c r="V67" s="104"/>
    </row>
    <row r="68" ht="15.75" customHeight="1">
      <c r="A68" s="91"/>
      <c r="B68" s="198">
        <v>11.0</v>
      </c>
      <c r="C68" s="102" t="s">
        <v>727</v>
      </c>
      <c r="D68" s="94"/>
      <c r="E68" s="139" t="s">
        <v>3063</v>
      </c>
      <c r="F68" s="139" t="s">
        <v>3064</v>
      </c>
      <c r="G68" s="94"/>
      <c r="H68" s="93" t="s">
        <v>2834</v>
      </c>
      <c r="I68" s="102" t="s">
        <v>232</v>
      </c>
      <c r="J68" s="94"/>
      <c r="K68" s="108"/>
      <c r="L68" s="98" t="s">
        <v>374</v>
      </c>
      <c r="M68" s="99"/>
      <c r="N68" s="100" t="s">
        <v>45</v>
      </c>
      <c r="O68" s="101"/>
      <c r="P68" s="94"/>
      <c r="Q68" s="102">
        <v>3.0</v>
      </c>
      <c r="R68" s="113"/>
      <c r="S68" s="102" t="s">
        <v>404</v>
      </c>
      <c r="T68" s="102" t="s">
        <v>3065</v>
      </c>
      <c r="V68" s="104"/>
    </row>
    <row r="69" ht="15.75" customHeight="1">
      <c r="A69" s="91"/>
      <c r="B69" s="198">
        <v>11.0</v>
      </c>
      <c r="C69" s="97" t="s">
        <v>360</v>
      </c>
      <c r="D69" s="94"/>
      <c r="E69" s="139" t="s">
        <v>3066</v>
      </c>
      <c r="F69" s="139" t="s">
        <v>3067</v>
      </c>
      <c r="G69" s="94"/>
      <c r="H69" s="93" t="s">
        <v>2834</v>
      </c>
      <c r="I69" s="102" t="s">
        <v>88</v>
      </c>
      <c r="J69" s="94"/>
      <c r="K69" s="98"/>
      <c r="L69" s="98"/>
      <c r="M69" s="99"/>
      <c r="N69" s="100" t="s">
        <v>98</v>
      </c>
      <c r="O69" s="101" t="s">
        <v>3068</v>
      </c>
      <c r="P69" s="94"/>
      <c r="Q69" s="94"/>
      <c r="R69" s="113"/>
      <c r="S69" s="102" t="s">
        <v>170</v>
      </c>
      <c r="T69" s="102" t="s">
        <v>3069</v>
      </c>
      <c r="V69" s="104"/>
    </row>
    <row r="70" ht="15.75" customHeight="1">
      <c r="A70" s="91"/>
      <c r="B70" s="198">
        <v>12.0</v>
      </c>
      <c r="C70" s="97" t="s">
        <v>291</v>
      </c>
      <c r="D70" s="94"/>
      <c r="E70" s="139" t="s">
        <v>3070</v>
      </c>
      <c r="F70" s="139" t="s">
        <v>3071</v>
      </c>
      <c r="G70" s="94"/>
      <c r="H70" s="93" t="s">
        <v>2841</v>
      </c>
      <c r="I70" s="102" t="s">
        <v>88</v>
      </c>
      <c r="J70" s="94"/>
      <c r="K70" s="108"/>
      <c r="L70" s="108"/>
      <c r="M70" s="99"/>
      <c r="N70" s="100" t="s">
        <v>98</v>
      </c>
      <c r="O70" s="101" t="s">
        <v>647</v>
      </c>
      <c r="P70" s="94"/>
      <c r="Q70" s="94"/>
      <c r="R70" s="113"/>
      <c r="S70" s="102" t="s">
        <v>90</v>
      </c>
      <c r="T70" s="102" t="s">
        <v>3072</v>
      </c>
      <c r="V70" s="104"/>
    </row>
    <row r="71" ht="15.75" customHeight="1">
      <c r="A71" s="91"/>
      <c r="B71" s="198">
        <v>12.0</v>
      </c>
      <c r="C71" s="97" t="s">
        <v>727</v>
      </c>
      <c r="D71" s="94"/>
      <c r="E71" s="139" t="s">
        <v>3073</v>
      </c>
      <c r="F71" s="139" t="s">
        <v>3074</v>
      </c>
      <c r="G71" s="94"/>
      <c r="H71" s="93" t="s">
        <v>2834</v>
      </c>
      <c r="I71" s="102" t="s">
        <v>181</v>
      </c>
      <c r="J71" s="94"/>
      <c r="K71" s="98">
        <v>5500.0</v>
      </c>
      <c r="L71" s="98">
        <v>2500.0</v>
      </c>
      <c r="M71" s="99"/>
      <c r="N71" s="100"/>
      <c r="O71" s="101"/>
      <c r="P71" s="94"/>
      <c r="Q71" s="109"/>
      <c r="R71" s="106"/>
      <c r="S71" s="102" t="s">
        <v>105</v>
      </c>
      <c r="T71" s="102" t="s">
        <v>3075</v>
      </c>
      <c r="V71" s="104"/>
    </row>
    <row r="72" ht="15.75" customHeight="1">
      <c r="A72" s="91"/>
      <c r="B72" s="198">
        <v>12.0</v>
      </c>
      <c r="C72" s="97" t="s">
        <v>318</v>
      </c>
      <c r="D72" s="94"/>
      <c r="E72" s="139" t="s">
        <v>3076</v>
      </c>
      <c r="F72" s="139" t="s">
        <v>3077</v>
      </c>
      <c r="G72" s="94"/>
      <c r="H72" s="93" t="s">
        <v>2834</v>
      </c>
      <c r="I72" s="102" t="s">
        <v>591</v>
      </c>
      <c r="J72" s="94"/>
      <c r="K72" s="202"/>
      <c r="L72" s="202"/>
      <c r="M72" s="99"/>
      <c r="N72" s="100" t="s">
        <v>60</v>
      </c>
      <c r="O72" s="101"/>
      <c r="P72" s="94"/>
      <c r="Q72" s="201"/>
      <c r="R72" s="103"/>
      <c r="S72" s="102" t="s">
        <v>90</v>
      </c>
      <c r="T72" s="102" t="s">
        <v>3078</v>
      </c>
      <c r="V72" s="104"/>
    </row>
    <row r="73" ht="15.75" customHeight="1">
      <c r="A73" s="91"/>
      <c r="B73" s="198">
        <v>12.0</v>
      </c>
      <c r="C73" s="97" t="s">
        <v>410</v>
      </c>
      <c r="D73" s="94"/>
      <c r="E73" s="139" t="s">
        <v>3079</v>
      </c>
      <c r="F73" s="139" t="s">
        <v>3080</v>
      </c>
      <c r="G73" s="94"/>
      <c r="H73" s="93" t="s">
        <v>2834</v>
      </c>
      <c r="I73" s="102" t="s">
        <v>103</v>
      </c>
      <c r="J73" s="94"/>
      <c r="K73" s="202">
        <v>9000.0</v>
      </c>
      <c r="L73" s="202">
        <v>9000.0</v>
      </c>
      <c r="M73" s="99"/>
      <c r="N73" s="100"/>
      <c r="O73" s="101"/>
      <c r="P73" s="94"/>
      <c r="Q73" s="201">
        <v>6.0</v>
      </c>
      <c r="R73" s="103"/>
      <c r="S73" s="102" t="s">
        <v>105</v>
      </c>
      <c r="T73" s="102"/>
      <c r="V73" s="104"/>
    </row>
    <row r="74" ht="15.75" customHeight="1">
      <c r="A74" s="91"/>
      <c r="B74" s="198">
        <v>13.0</v>
      </c>
      <c r="C74" s="102" t="s">
        <v>654</v>
      </c>
      <c r="D74" s="94"/>
      <c r="E74" s="139" t="s">
        <v>3081</v>
      </c>
      <c r="F74" s="139" t="s">
        <v>3082</v>
      </c>
      <c r="G74" s="94"/>
      <c r="H74" s="93" t="s">
        <v>2834</v>
      </c>
      <c r="I74" s="102" t="s">
        <v>181</v>
      </c>
      <c r="J74" s="94"/>
      <c r="K74" s="98">
        <v>10500.0</v>
      </c>
      <c r="L74" s="98">
        <v>3000.0</v>
      </c>
      <c r="M74" s="99"/>
      <c r="N74" s="100"/>
      <c r="O74" s="101"/>
      <c r="P74" s="94"/>
      <c r="Q74" s="102">
        <v>6.0</v>
      </c>
      <c r="R74" s="113"/>
      <c r="S74" s="102" t="s">
        <v>105</v>
      </c>
      <c r="T74" s="102"/>
      <c r="V74" s="104"/>
    </row>
    <row r="75" ht="15.75" customHeight="1">
      <c r="A75" s="91"/>
      <c r="B75" s="198">
        <v>13.0</v>
      </c>
      <c r="C75" s="97" t="s">
        <v>410</v>
      </c>
      <c r="D75" s="94"/>
      <c r="E75" s="139" t="s">
        <v>3083</v>
      </c>
      <c r="F75" s="139" t="s">
        <v>3084</v>
      </c>
      <c r="G75" s="94"/>
      <c r="H75" s="93" t="s">
        <v>2834</v>
      </c>
      <c r="I75" s="102" t="s">
        <v>88</v>
      </c>
      <c r="J75" s="94"/>
      <c r="K75" s="98"/>
      <c r="L75" s="98"/>
      <c r="M75" s="99"/>
      <c r="N75" s="100" t="s">
        <v>98</v>
      </c>
      <c r="O75" s="101" t="s">
        <v>647</v>
      </c>
      <c r="P75" s="94"/>
      <c r="Q75" s="102"/>
      <c r="R75" s="113"/>
      <c r="S75" s="102" t="s">
        <v>383</v>
      </c>
      <c r="T75" s="102" t="s">
        <v>3085</v>
      </c>
      <c r="V75" s="104"/>
    </row>
    <row r="76" ht="15.75" customHeight="1">
      <c r="A76" s="91"/>
      <c r="B76" s="198">
        <v>13.0</v>
      </c>
      <c r="C76" s="121" t="s">
        <v>1067</v>
      </c>
      <c r="D76" s="94"/>
      <c r="E76" s="139" t="s">
        <v>3086</v>
      </c>
      <c r="F76" s="139" t="s">
        <v>3087</v>
      </c>
      <c r="G76" s="94"/>
      <c r="H76" s="93" t="s">
        <v>2841</v>
      </c>
      <c r="I76" s="102" t="s">
        <v>88</v>
      </c>
      <c r="J76" s="94"/>
      <c r="K76" s="98"/>
      <c r="L76" s="98"/>
      <c r="M76" s="99"/>
      <c r="N76" s="100" t="s">
        <v>45</v>
      </c>
      <c r="O76" s="101" t="s">
        <v>584</v>
      </c>
      <c r="P76" s="94"/>
      <c r="Q76" s="102"/>
      <c r="R76" s="113"/>
      <c r="S76" s="102" t="s">
        <v>383</v>
      </c>
      <c r="T76" s="102" t="s">
        <v>3088</v>
      </c>
      <c r="V76" s="103" t="s">
        <v>2718</v>
      </c>
    </row>
    <row r="77" ht="15.75" customHeight="1">
      <c r="A77" s="91"/>
      <c r="B77" s="198">
        <v>14.0</v>
      </c>
      <c r="C77" s="97" t="s">
        <v>850</v>
      </c>
      <c r="D77" s="94"/>
      <c r="E77" s="139" t="s">
        <v>3089</v>
      </c>
      <c r="F77" s="139" t="s">
        <v>3090</v>
      </c>
      <c r="G77" s="94"/>
      <c r="H77" s="93" t="s">
        <v>2841</v>
      </c>
      <c r="I77" s="102" t="s">
        <v>88</v>
      </c>
      <c r="J77" s="94"/>
      <c r="K77" s="98"/>
      <c r="L77" s="98"/>
      <c r="M77" s="99"/>
      <c r="N77" s="100" t="s">
        <v>98</v>
      </c>
      <c r="O77" s="101" t="s">
        <v>3091</v>
      </c>
      <c r="P77" s="94"/>
      <c r="Q77" s="102"/>
      <c r="R77" s="103"/>
      <c r="S77" s="102" t="s">
        <v>170</v>
      </c>
      <c r="T77" s="102" t="s">
        <v>3092</v>
      </c>
      <c r="V77" s="104"/>
    </row>
    <row r="78" ht="15.75" customHeight="1">
      <c r="A78" s="91"/>
      <c r="B78" s="198">
        <v>14.0</v>
      </c>
      <c r="C78" s="121" t="s">
        <v>3093</v>
      </c>
      <c r="D78" s="94"/>
      <c r="E78" s="139" t="s">
        <v>3094</v>
      </c>
      <c r="F78" s="139" t="s">
        <v>3095</v>
      </c>
      <c r="G78" s="94"/>
      <c r="H78" s="93" t="s">
        <v>2841</v>
      </c>
      <c r="I78" s="102" t="s">
        <v>103</v>
      </c>
      <c r="J78" s="94"/>
      <c r="K78" s="202">
        <v>9000.0</v>
      </c>
      <c r="L78" s="202">
        <v>9000.0</v>
      </c>
      <c r="M78" s="99"/>
      <c r="N78" s="100"/>
      <c r="O78" s="101"/>
      <c r="P78" s="94"/>
      <c r="Q78" s="102">
        <v>6.0</v>
      </c>
      <c r="R78" s="123"/>
      <c r="S78" s="102" t="s">
        <v>105</v>
      </c>
      <c r="T78" s="102"/>
      <c r="V78" s="104"/>
    </row>
    <row r="79" ht="15.75" customHeight="1">
      <c r="A79" s="91"/>
      <c r="B79" s="198">
        <v>14.0</v>
      </c>
      <c r="C79" s="97" t="s">
        <v>1067</v>
      </c>
      <c r="D79" s="94"/>
      <c r="E79" s="139" t="s">
        <v>3096</v>
      </c>
      <c r="F79" s="139" t="s">
        <v>3097</v>
      </c>
      <c r="G79" s="94"/>
      <c r="H79" s="93" t="s">
        <v>2834</v>
      </c>
      <c r="I79" s="102" t="s">
        <v>181</v>
      </c>
      <c r="J79" s="94"/>
      <c r="K79" s="98">
        <v>6000.0</v>
      </c>
      <c r="L79" s="98">
        <v>3000.0</v>
      </c>
      <c r="M79" s="99"/>
      <c r="N79" s="100"/>
      <c r="O79" s="101"/>
      <c r="P79" s="94"/>
      <c r="Q79" s="102">
        <v>3.0</v>
      </c>
      <c r="R79" s="103"/>
      <c r="S79" s="102" t="s">
        <v>105</v>
      </c>
      <c r="T79" s="102" t="s">
        <v>3098</v>
      </c>
      <c r="V79" s="104"/>
    </row>
    <row r="80" ht="15.75" customHeight="1">
      <c r="A80" s="91"/>
      <c r="B80" s="198">
        <v>15.0</v>
      </c>
      <c r="C80" s="97" t="s">
        <v>3099</v>
      </c>
      <c r="D80" s="94"/>
      <c r="E80" s="139" t="s">
        <v>3100</v>
      </c>
      <c r="F80" s="139" t="s">
        <v>3101</v>
      </c>
      <c r="G80" s="94"/>
      <c r="H80" s="93" t="s">
        <v>2834</v>
      </c>
      <c r="I80" s="102" t="s">
        <v>181</v>
      </c>
      <c r="J80" s="94"/>
      <c r="K80" s="98">
        <v>10500.0</v>
      </c>
      <c r="L80" s="98">
        <v>3000.0</v>
      </c>
      <c r="M80" s="99"/>
      <c r="N80" s="100"/>
      <c r="O80" s="101"/>
      <c r="P80" s="94"/>
      <c r="Q80" s="102">
        <v>6.0</v>
      </c>
      <c r="R80" s="103"/>
      <c r="S80" s="102" t="s">
        <v>105</v>
      </c>
      <c r="T80" s="102" t="s">
        <v>3102</v>
      </c>
      <c r="V80" s="104"/>
    </row>
    <row r="81" ht="15.75" customHeight="1">
      <c r="A81" s="91"/>
      <c r="B81" s="198">
        <v>15.0</v>
      </c>
      <c r="C81" s="97" t="s">
        <v>3103</v>
      </c>
      <c r="D81" s="94"/>
      <c r="E81" s="139" t="s">
        <v>3104</v>
      </c>
      <c r="F81" s="139" t="s">
        <v>3105</v>
      </c>
      <c r="G81" s="94"/>
      <c r="H81" s="93"/>
      <c r="I81" s="102" t="s">
        <v>131</v>
      </c>
      <c r="J81" s="94"/>
      <c r="K81" s="202"/>
      <c r="L81" s="202"/>
      <c r="M81" s="99"/>
      <c r="N81" s="100"/>
      <c r="O81" s="101"/>
      <c r="P81" s="94"/>
      <c r="Q81" s="102"/>
      <c r="R81" s="113"/>
      <c r="S81" s="102"/>
      <c r="T81" s="102"/>
      <c r="V81" s="104"/>
    </row>
    <row r="82" ht="15.75" customHeight="1">
      <c r="A82" s="91"/>
      <c r="B82" s="198">
        <v>15.0</v>
      </c>
      <c r="C82" s="102" t="s">
        <v>3106</v>
      </c>
      <c r="D82" s="94"/>
      <c r="E82" s="139" t="s">
        <v>3107</v>
      </c>
      <c r="F82" s="139" t="s">
        <v>3108</v>
      </c>
      <c r="G82" s="94"/>
      <c r="H82" s="93" t="s">
        <v>2841</v>
      </c>
      <c r="I82" s="102" t="s">
        <v>88</v>
      </c>
      <c r="J82" s="94"/>
      <c r="K82" s="108"/>
      <c r="L82" s="98"/>
      <c r="M82" s="99"/>
      <c r="N82" s="100" t="s">
        <v>55</v>
      </c>
      <c r="O82" s="101" t="s">
        <v>3109</v>
      </c>
      <c r="P82" s="94"/>
      <c r="Q82" s="109"/>
      <c r="R82" s="103"/>
      <c r="S82" s="102" t="s">
        <v>383</v>
      </c>
      <c r="T82" s="102" t="s">
        <v>3110</v>
      </c>
      <c r="V82" s="104"/>
    </row>
    <row r="83" ht="15.75" customHeight="1">
      <c r="A83" s="91"/>
      <c r="B83" s="198">
        <v>15.0</v>
      </c>
      <c r="C83" s="121" t="s">
        <v>3111</v>
      </c>
      <c r="D83" s="94"/>
      <c r="E83" s="139" t="s">
        <v>3112</v>
      </c>
      <c r="F83" s="139" t="s">
        <v>3113</v>
      </c>
      <c r="G83" s="94"/>
      <c r="H83" s="93" t="s">
        <v>2834</v>
      </c>
      <c r="I83" s="102" t="s">
        <v>88</v>
      </c>
      <c r="J83" s="94"/>
      <c r="K83" s="98"/>
      <c r="L83" s="98"/>
      <c r="M83" s="99"/>
      <c r="N83" s="100" t="s">
        <v>98</v>
      </c>
      <c r="O83" s="101" t="s">
        <v>3114</v>
      </c>
      <c r="P83" s="94"/>
      <c r="R83" s="113"/>
      <c r="S83" s="102" t="s">
        <v>383</v>
      </c>
      <c r="T83" s="102" t="s">
        <v>3115</v>
      </c>
      <c r="V83" s="104"/>
    </row>
    <row r="84" ht="15.75" customHeight="1">
      <c r="A84" s="91"/>
      <c r="B84" s="198">
        <v>16.0</v>
      </c>
      <c r="C84" s="121" t="s">
        <v>310</v>
      </c>
      <c r="D84" s="94"/>
      <c r="E84" s="139" t="s">
        <v>3116</v>
      </c>
      <c r="F84" s="139" t="s">
        <v>3117</v>
      </c>
      <c r="G84" s="94"/>
      <c r="H84" s="93" t="s">
        <v>2834</v>
      </c>
      <c r="I84" s="102" t="s">
        <v>88</v>
      </c>
      <c r="J84" s="94"/>
      <c r="K84" s="108"/>
      <c r="L84" s="98"/>
      <c r="M84" s="99"/>
      <c r="N84" s="100" t="s">
        <v>98</v>
      </c>
      <c r="O84" s="101"/>
      <c r="P84" s="94"/>
      <c r="Q84" s="102"/>
      <c r="R84" s="103"/>
      <c r="S84" s="102" t="s">
        <v>124</v>
      </c>
      <c r="T84" s="102" t="s">
        <v>3118</v>
      </c>
      <c r="V84" s="104"/>
    </row>
    <row r="85" ht="15.75" customHeight="1">
      <c r="A85" s="91"/>
      <c r="B85" s="198">
        <v>16.0</v>
      </c>
      <c r="C85" s="121" t="s">
        <v>850</v>
      </c>
      <c r="D85" s="94"/>
      <c r="E85" s="139" t="s">
        <v>3119</v>
      </c>
      <c r="F85" s="139" t="s">
        <v>3120</v>
      </c>
      <c r="G85" s="94"/>
      <c r="H85" s="93" t="s">
        <v>2834</v>
      </c>
      <c r="I85" s="102" t="s">
        <v>88</v>
      </c>
      <c r="J85" s="94"/>
      <c r="K85" s="98"/>
      <c r="L85" s="98"/>
      <c r="M85" s="99"/>
      <c r="N85" s="100" t="s">
        <v>60</v>
      </c>
      <c r="O85" s="101" t="s">
        <v>2378</v>
      </c>
      <c r="P85" s="94"/>
      <c r="Q85" s="102"/>
      <c r="R85" s="113"/>
      <c r="S85" s="102" t="s">
        <v>124</v>
      </c>
      <c r="T85" s="102" t="s">
        <v>3121</v>
      </c>
      <c r="V85" s="104"/>
    </row>
    <row r="86" ht="15.75" customHeight="1">
      <c r="A86" s="91"/>
      <c r="B86" s="198">
        <v>16.0</v>
      </c>
      <c r="C86" s="121" t="s">
        <v>514</v>
      </c>
      <c r="D86" s="94"/>
      <c r="E86" s="139" t="s">
        <v>3122</v>
      </c>
      <c r="F86" s="139" t="s">
        <v>3123</v>
      </c>
      <c r="G86" s="94"/>
      <c r="H86" s="93" t="s">
        <v>2834</v>
      </c>
      <c r="I86" s="102" t="s">
        <v>181</v>
      </c>
      <c r="J86" s="94"/>
      <c r="K86" s="98">
        <v>10500.0</v>
      </c>
      <c r="L86" s="98">
        <v>3000.0</v>
      </c>
      <c r="M86" s="99"/>
      <c r="N86" s="100"/>
      <c r="O86" s="101"/>
      <c r="P86" s="94"/>
      <c r="Q86" s="102">
        <v>6.0</v>
      </c>
      <c r="R86" s="113"/>
      <c r="S86" s="102" t="s">
        <v>105</v>
      </c>
      <c r="T86" s="102"/>
      <c r="V86" s="104"/>
    </row>
    <row r="87" ht="15.75" customHeight="1">
      <c r="A87" s="91"/>
      <c r="B87" s="198">
        <v>16.0</v>
      </c>
      <c r="C87" s="121" t="s">
        <v>597</v>
      </c>
      <c r="D87" s="94"/>
      <c r="E87" s="139" t="s">
        <v>3124</v>
      </c>
      <c r="F87" s="139" t="s">
        <v>3125</v>
      </c>
      <c r="G87" s="94"/>
      <c r="H87" s="93" t="s">
        <v>2834</v>
      </c>
      <c r="I87" s="102" t="s">
        <v>88</v>
      </c>
      <c r="J87" s="94"/>
      <c r="K87" s="98"/>
      <c r="L87" s="98"/>
      <c r="M87" s="99"/>
      <c r="N87" s="100" t="s">
        <v>45</v>
      </c>
      <c r="O87" s="101" t="s">
        <v>584</v>
      </c>
      <c r="P87" s="94"/>
      <c r="Q87" s="94"/>
      <c r="R87" s="113"/>
      <c r="S87" s="102" t="s">
        <v>383</v>
      </c>
      <c r="T87" s="102" t="s">
        <v>3126</v>
      </c>
      <c r="V87" s="104"/>
    </row>
    <row r="88" ht="15.75" customHeight="1">
      <c r="A88" s="91"/>
      <c r="B88" s="198">
        <v>16.0</v>
      </c>
      <c r="C88" s="121" t="s">
        <v>559</v>
      </c>
      <c r="D88" s="94"/>
      <c r="E88" s="139" t="s">
        <v>3127</v>
      </c>
      <c r="F88" s="139" t="s">
        <v>3128</v>
      </c>
      <c r="G88" s="94"/>
      <c r="H88" s="93" t="s">
        <v>2834</v>
      </c>
      <c r="I88" s="102" t="s">
        <v>181</v>
      </c>
      <c r="J88" s="94"/>
      <c r="K88" s="98">
        <v>10500.0</v>
      </c>
      <c r="L88" s="98">
        <v>3000.0</v>
      </c>
      <c r="M88" s="99"/>
      <c r="N88" s="100"/>
      <c r="O88" s="101" t="s">
        <v>3129</v>
      </c>
      <c r="P88" s="94"/>
      <c r="Q88" s="102"/>
      <c r="R88" s="106"/>
      <c r="S88" s="102" t="s">
        <v>105</v>
      </c>
      <c r="T88" s="102" t="s">
        <v>3130</v>
      </c>
      <c r="V88" s="104"/>
    </row>
    <row r="89" ht="15.75" customHeight="1">
      <c r="A89" s="91"/>
      <c r="B89" s="198">
        <v>17.0</v>
      </c>
      <c r="C89" s="121" t="s">
        <v>3131</v>
      </c>
      <c r="D89" s="94"/>
      <c r="E89" s="139" t="s">
        <v>3132</v>
      </c>
      <c r="F89" s="139" t="s">
        <v>3133</v>
      </c>
      <c r="G89" s="94"/>
      <c r="H89" s="93" t="s">
        <v>2834</v>
      </c>
      <c r="I89" s="102" t="s">
        <v>181</v>
      </c>
      <c r="J89" s="94"/>
      <c r="K89" s="98">
        <v>10500.0</v>
      </c>
      <c r="L89" s="98">
        <v>3000.0</v>
      </c>
      <c r="M89" s="99"/>
      <c r="N89" s="100"/>
      <c r="O89" s="101"/>
      <c r="P89" s="94"/>
      <c r="Q89" s="102">
        <v>6.0</v>
      </c>
      <c r="R89" s="106"/>
      <c r="S89" s="102" t="s">
        <v>105</v>
      </c>
      <c r="T89" s="102"/>
      <c r="V89" s="104"/>
    </row>
    <row r="90" ht="15.75" customHeight="1">
      <c r="A90" s="91"/>
      <c r="B90" s="198">
        <v>17.0</v>
      </c>
      <c r="C90" s="121" t="s">
        <v>616</v>
      </c>
      <c r="D90" s="94"/>
      <c r="E90" s="139" t="s">
        <v>3134</v>
      </c>
      <c r="F90" s="139" t="s">
        <v>3135</v>
      </c>
      <c r="G90" s="94"/>
      <c r="H90" s="93" t="s">
        <v>2834</v>
      </c>
      <c r="I90" s="102" t="s">
        <v>88</v>
      </c>
      <c r="J90" s="94"/>
      <c r="K90" s="98"/>
      <c r="L90" s="98"/>
      <c r="M90" s="99"/>
      <c r="N90" s="100" t="s">
        <v>98</v>
      </c>
      <c r="O90" s="101" t="s">
        <v>3136</v>
      </c>
      <c r="P90" s="94"/>
      <c r="Q90" s="102"/>
      <c r="R90" s="113"/>
      <c r="S90" s="240" t="s">
        <v>105</v>
      </c>
      <c r="T90" s="102" t="s">
        <v>3137</v>
      </c>
      <c r="V90" s="104"/>
    </row>
    <row r="91" ht="15.75" customHeight="1">
      <c r="A91" s="91"/>
      <c r="B91" s="198">
        <v>18.0</v>
      </c>
      <c r="C91" s="102" t="s">
        <v>2126</v>
      </c>
      <c r="D91" s="94"/>
      <c r="E91" s="139" t="s">
        <v>3138</v>
      </c>
      <c r="F91" s="139" t="s">
        <v>3138</v>
      </c>
      <c r="G91" s="94"/>
      <c r="H91" s="93" t="s">
        <v>2834</v>
      </c>
      <c r="I91" s="102" t="s">
        <v>181</v>
      </c>
      <c r="J91" s="94"/>
      <c r="K91" s="98">
        <v>10500.0</v>
      </c>
      <c r="L91" s="98">
        <v>3000.0</v>
      </c>
      <c r="M91" s="99"/>
      <c r="N91" s="100"/>
      <c r="O91" s="101"/>
      <c r="P91" s="94"/>
      <c r="Q91" s="102">
        <v>6.0</v>
      </c>
      <c r="R91" s="103"/>
      <c r="S91" s="102" t="s">
        <v>105</v>
      </c>
      <c r="T91" s="102"/>
      <c r="V91" s="104"/>
    </row>
    <row r="92" ht="15.75" customHeight="1">
      <c r="A92" s="91"/>
      <c r="B92" s="198">
        <v>18.0</v>
      </c>
      <c r="C92" s="103" t="s">
        <v>949</v>
      </c>
      <c r="D92" s="94"/>
      <c r="E92" s="139" t="s">
        <v>3139</v>
      </c>
      <c r="F92" s="139" t="s">
        <v>3140</v>
      </c>
      <c r="G92" s="94"/>
      <c r="H92" s="93" t="s">
        <v>2834</v>
      </c>
      <c r="I92" s="102" t="s">
        <v>232</v>
      </c>
      <c r="J92" s="94"/>
      <c r="K92" s="202"/>
      <c r="L92" s="202"/>
      <c r="M92" s="99"/>
      <c r="N92" s="100" t="s">
        <v>45</v>
      </c>
      <c r="O92" s="101" t="s">
        <v>396</v>
      </c>
      <c r="P92" s="94"/>
      <c r="Q92" s="117"/>
      <c r="R92" s="113"/>
      <c r="S92" s="102" t="s">
        <v>404</v>
      </c>
      <c r="T92" s="241" t="s">
        <v>3141</v>
      </c>
      <c r="V92" s="104"/>
    </row>
    <row r="93" ht="15.75" customHeight="1">
      <c r="A93" s="91"/>
      <c r="B93" s="198">
        <v>18.0</v>
      </c>
      <c r="C93" s="93" t="s">
        <v>344</v>
      </c>
      <c r="D93" s="94"/>
      <c r="E93" s="139" t="s">
        <v>3142</v>
      </c>
      <c r="F93" s="139" t="s">
        <v>3143</v>
      </c>
      <c r="G93" s="94"/>
      <c r="H93" s="93" t="s">
        <v>2834</v>
      </c>
      <c r="I93" s="102" t="s">
        <v>181</v>
      </c>
      <c r="J93" s="94"/>
      <c r="K93" s="202">
        <v>7500.0</v>
      </c>
      <c r="L93" s="202">
        <v>2500.0</v>
      </c>
      <c r="M93" s="99"/>
      <c r="N93" s="111"/>
      <c r="O93" s="112"/>
      <c r="P93" s="94"/>
      <c r="Q93" s="102">
        <v>6.0</v>
      </c>
      <c r="R93" s="103"/>
      <c r="S93" s="102" t="s">
        <v>105</v>
      </c>
      <c r="T93" s="102"/>
      <c r="V93" s="104"/>
    </row>
    <row r="94" ht="15.75" customHeight="1">
      <c r="A94" s="91"/>
      <c r="B94" s="198">
        <v>18.0</v>
      </c>
      <c r="C94" s="93" t="s">
        <v>3144</v>
      </c>
      <c r="D94" s="94"/>
      <c r="E94" s="139" t="s">
        <v>3142</v>
      </c>
      <c r="F94" s="238" t="s">
        <v>3144</v>
      </c>
      <c r="G94" s="94"/>
      <c r="H94" s="93" t="s">
        <v>2841</v>
      </c>
      <c r="I94" s="102" t="s">
        <v>181</v>
      </c>
      <c r="J94" s="94"/>
      <c r="K94" s="202">
        <v>7500.0</v>
      </c>
      <c r="L94" s="202">
        <v>2500.0</v>
      </c>
      <c r="M94" s="99"/>
      <c r="N94" s="100"/>
      <c r="O94" s="101"/>
      <c r="P94" s="94"/>
      <c r="Q94" s="102">
        <v>6.0</v>
      </c>
      <c r="R94" s="113"/>
      <c r="S94" s="102" t="s">
        <v>105</v>
      </c>
      <c r="T94" s="102"/>
      <c r="V94" s="104"/>
    </row>
    <row r="95" ht="15.75" customHeight="1">
      <c r="A95" s="91"/>
      <c r="B95" s="198">
        <v>18.0</v>
      </c>
      <c r="C95" s="93" t="s">
        <v>616</v>
      </c>
      <c r="D95" s="94"/>
      <c r="E95" s="139" t="s">
        <v>3145</v>
      </c>
      <c r="F95" s="139" t="s">
        <v>3146</v>
      </c>
      <c r="G95" s="94"/>
      <c r="H95" s="93" t="s">
        <v>2834</v>
      </c>
      <c r="I95" s="102" t="s">
        <v>88</v>
      </c>
      <c r="J95" s="94"/>
      <c r="K95" s="98"/>
      <c r="L95" s="98"/>
      <c r="M95" s="99"/>
      <c r="N95" s="100" t="s">
        <v>98</v>
      </c>
      <c r="O95" s="101"/>
      <c r="P95" s="94"/>
      <c r="Q95" s="102"/>
      <c r="R95" s="103"/>
      <c r="S95" s="102" t="s">
        <v>124</v>
      </c>
      <c r="T95" s="102" t="s">
        <v>3147</v>
      </c>
      <c r="V95" s="104"/>
    </row>
    <row r="96" ht="15.75" customHeight="1">
      <c r="A96" s="91"/>
      <c r="B96" s="198">
        <v>18.0</v>
      </c>
      <c r="C96" s="93" t="s">
        <v>3111</v>
      </c>
      <c r="D96" s="94"/>
      <c r="E96" s="139" t="s">
        <v>3148</v>
      </c>
      <c r="F96" s="139" t="s">
        <v>3149</v>
      </c>
      <c r="G96" s="94"/>
      <c r="H96" s="93" t="s">
        <v>2834</v>
      </c>
      <c r="I96" s="102" t="s">
        <v>181</v>
      </c>
      <c r="J96" s="94"/>
      <c r="K96" s="98">
        <v>10500.0</v>
      </c>
      <c r="L96" s="98">
        <v>3000.0</v>
      </c>
      <c r="M96" s="99"/>
      <c r="N96" s="100"/>
      <c r="O96" s="101"/>
      <c r="P96" s="94"/>
      <c r="Q96" s="102">
        <v>6.0</v>
      </c>
      <c r="R96" s="103"/>
      <c r="S96" s="102" t="s">
        <v>105</v>
      </c>
      <c r="T96" s="102"/>
      <c r="V96" s="104"/>
    </row>
    <row r="97" ht="15.75" customHeight="1">
      <c r="A97" s="91"/>
      <c r="B97" s="198">
        <v>19.0</v>
      </c>
      <c r="C97" s="93" t="s">
        <v>1624</v>
      </c>
      <c r="D97" s="94"/>
      <c r="E97" s="139" t="s">
        <v>3061</v>
      </c>
      <c r="F97" s="139" t="s">
        <v>3150</v>
      </c>
      <c r="G97" s="94"/>
      <c r="H97" s="93" t="s">
        <v>2834</v>
      </c>
      <c r="I97" s="102" t="s">
        <v>88</v>
      </c>
      <c r="J97" s="94"/>
      <c r="K97" s="202"/>
      <c r="L97" s="202"/>
      <c r="M97" s="99"/>
      <c r="N97" s="100" t="s">
        <v>45</v>
      </c>
      <c r="O97" s="101" t="s">
        <v>3151</v>
      </c>
      <c r="P97" s="94"/>
      <c r="Q97" s="102"/>
      <c r="R97" s="103"/>
      <c r="S97" s="102" t="s">
        <v>124</v>
      </c>
      <c r="T97" s="102" t="s">
        <v>3152</v>
      </c>
      <c r="V97" s="104"/>
    </row>
    <row r="98" ht="15.75" customHeight="1">
      <c r="A98" s="91"/>
      <c r="B98" s="198">
        <v>19.0</v>
      </c>
      <c r="C98" s="103" t="s">
        <v>3153</v>
      </c>
      <c r="D98" s="94"/>
      <c r="E98" s="139" t="s">
        <v>3154</v>
      </c>
      <c r="F98" s="139" t="s">
        <v>3155</v>
      </c>
      <c r="G98" s="94"/>
      <c r="H98" s="93" t="s">
        <v>2834</v>
      </c>
      <c r="I98" s="102" t="s">
        <v>88</v>
      </c>
      <c r="J98" s="94"/>
      <c r="K98" s="108"/>
      <c r="L98" s="108"/>
      <c r="M98" s="99"/>
      <c r="N98" s="100" t="s">
        <v>60</v>
      </c>
      <c r="O98" s="101" t="s">
        <v>3156</v>
      </c>
      <c r="P98" s="94"/>
      <c r="Q98" s="109"/>
      <c r="R98" s="103"/>
      <c r="S98" s="102" t="s">
        <v>124</v>
      </c>
      <c r="T98" s="102" t="s">
        <v>3157</v>
      </c>
      <c r="V98" s="104"/>
    </row>
    <row r="99" ht="15.75" customHeight="1">
      <c r="A99" s="91"/>
      <c r="B99" s="198">
        <v>19.0</v>
      </c>
      <c r="C99" s="103" t="s">
        <v>220</v>
      </c>
      <c r="D99" s="94"/>
      <c r="E99" s="139" t="s">
        <v>3158</v>
      </c>
      <c r="F99" s="139" t="s">
        <v>3159</v>
      </c>
      <c r="G99" s="94"/>
      <c r="H99" s="93" t="s">
        <v>2834</v>
      </c>
      <c r="I99" s="102" t="s">
        <v>103</v>
      </c>
      <c r="J99" s="94"/>
      <c r="K99" s="98">
        <v>9000.0</v>
      </c>
      <c r="L99" s="98">
        <v>9000.0</v>
      </c>
      <c r="M99" s="99"/>
      <c r="N99" s="100"/>
      <c r="O99" s="101"/>
      <c r="P99" s="94"/>
      <c r="Q99" s="102">
        <v>6.0</v>
      </c>
      <c r="R99" s="113"/>
      <c r="S99" s="102" t="s">
        <v>105</v>
      </c>
      <c r="T99" s="102"/>
      <c r="V99" s="104"/>
    </row>
    <row r="100" ht="15.75" customHeight="1">
      <c r="A100" s="91"/>
      <c r="B100" s="198">
        <v>19.0</v>
      </c>
      <c r="C100" s="93" t="s">
        <v>366</v>
      </c>
      <c r="D100" s="94"/>
      <c r="E100" s="139" t="s">
        <v>3160</v>
      </c>
      <c r="F100" s="139" t="s">
        <v>3161</v>
      </c>
      <c r="G100" s="94"/>
      <c r="H100" s="93" t="s">
        <v>2834</v>
      </c>
      <c r="I100" s="102" t="s">
        <v>103</v>
      </c>
      <c r="J100" s="94"/>
      <c r="K100" s="98">
        <v>9000.0</v>
      </c>
      <c r="L100" s="98">
        <v>9000.0</v>
      </c>
      <c r="M100" s="99"/>
      <c r="N100" s="100"/>
      <c r="O100" s="101"/>
      <c r="P100" s="94"/>
      <c r="Q100" s="102">
        <v>6.0</v>
      </c>
      <c r="R100" s="103"/>
      <c r="S100" s="102" t="s">
        <v>105</v>
      </c>
      <c r="T100" s="102"/>
      <c r="V100" s="104"/>
    </row>
    <row r="101" ht="15.75" customHeight="1">
      <c r="A101" s="91"/>
      <c r="B101" s="93">
        <v>20.0</v>
      </c>
      <c r="C101" s="93" t="s">
        <v>410</v>
      </c>
      <c r="D101" s="94"/>
      <c r="E101" s="139" t="s">
        <v>3162</v>
      </c>
      <c r="F101" s="139" t="s">
        <v>3163</v>
      </c>
      <c r="G101" s="94"/>
      <c r="H101" s="93" t="s">
        <v>2834</v>
      </c>
      <c r="I101" s="102" t="s">
        <v>88</v>
      </c>
      <c r="J101" s="94"/>
      <c r="K101" s="202"/>
      <c r="L101" s="202">
        <v>50.0</v>
      </c>
      <c r="M101" s="99"/>
      <c r="N101" s="100"/>
      <c r="O101" s="101"/>
      <c r="P101" s="94"/>
      <c r="Q101" s="102"/>
      <c r="R101" s="113"/>
      <c r="S101" s="102" t="s">
        <v>383</v>
      </c>
      <c r="T101" s="102" t="s">
        <v>3164</v>
      </c>
      <c r="V101" s="104"/>
    </row>
    <row r="102" ht="15.75" customHeight="1">
      <c r="A102" s="91"/>
      <c r="B102" s="93">
        <v>20.0</v>
      </c>
      <c r="C102" s="93" t="s">
        <v>1407</v>
      </c>
      <c r="D102" s="94"/>
      <c r="E102" s="139" t="s">
        <v>3165</v>
      </c>
      <c r="F102" s="139" t="s">
        <v>3166</v>
      </c>
      <c r="G102" s="94"/>
      <c r="H102" s="93" t="s">
        <v>2841</v>
      </c>
      <c r="I102" s="102" t="s">
        <v>103</v>
      </c>
      <c r="J102" s="94"/>
      <c r="K102" s="98">
        <v>12000.0</v>
      </c>
      <c r="L102" s="98">
        <v>12000.0</v>
      </c>
      <c r="M102" s="99"/>
      <c r="N102" s="100"/>
      <c r="O102" s="101"/>
      <c r="P102" s="94"/>
      <c r="Q102" s="102">
        <v>3.0</v>
      </c>
      <c r="R102" s="103"/>
      <c r="S102" s="102" t="s">
        <v>105</v>
      </c>
      <c r="T102" s="102" t="s">
        <v>3167</v>
      </c>
      <c r="V102" s="104"/>
    </row>
    <row r="103" ht="15.75" customHeight="1">
      <c r="A103" s="91"/>
      <c r="B103" s="93">
        <v>20.0</v>
      </c>
      <c r="C103" s="93" t="s">
        <v>979</v>
      </c>
      <c r="D103" s="94"/>
      <c r="E103" s="139" t="s">
        <v>3168</v>
      </c>
      <c r="F103" s="139" t="s">
        <v>3169</v>
      </c>
      <c r="G103" s="94"/>
      <c r="H103" s="93" t="s">
        <v>2834</v>
      </c>
      <c r="I103" s="102" t="s">
        <v>591</v>
      </c>
      <c r="J103" s="94"/>
      <c r="K103" s="202"/>
      <c r="L103" s="202"/>
      <c r="M103" s="99"/>
      <c r="N103" s="100" t="s">
        <v>45</v>
      </c>
      <c r="O103" s="101" t="s">
        <v>584</v>
      </c>
      <c r="P103" s="94"/>
      <c r="Q103" s="102"/>
      <c r="R103" s="113"/>
      <c r="S103" s="102" t="s">
        <v>383</v>
      </c>
      <c r="T103" s="102" t="s">
        <v>3170</v>
      </c>
      <c r="V103" s="104"/>
    </row>
    <row r="104" ht="15.75" customHeight="1">
      <c r="A104" s="91"/>
      <c r="B104" s="93">
        <v>20.0</v>
      </c>
      <c r="C104" s="93" t="s">
        <v>616</v>
      </c>
      <c r="D104" s="94"/>
      <c r="E104" s="139" t="s">
        <v>3171</v>
      </c>
      <c r="F104" s="139" t="s">
        <v>3172</v>
      </c>
      <c r="G104" s="94"/>
      <c r="H104" s="93" t="s">
        <v>2834</v>
      </c>
      <c r="I104" s="102" t="s">
        <v>88</v>
      </c>
      <c r="J104" s="94"/>
      <c r="K104" s="98"/>
      <c r="L104" s="98"/>
      <c r="M104" s="99"/>
      <c r="N104" s="100" t="s">
        <v>45</v>
      </c>
      <c r="O104" s="101" t="s">
        <v>3151</v>
      </c>
      <c r="P104" s="94"/>
      <c r="Q104" s="102"/>
      <c r="R104" s="103"/>
      <c r="S104" s="102" t="s">
        <v>383</v>
      </c>
      <c r="T104" s="102" t="s">
        <v>3173</v>
      </c>
      <c r="V104" s="104"/>
    </row>
    <row r="105" ht="15.75" customHeight="1">
      <c r="A105" s="91"/>
      <c r="B105" s="93">
        <v>20.0</v>
      </c>
      <c r="C105" s="103" t="s">
        <v>318</v>
      </c>
      <c r="D105" s="94"/>
      <c r="E105" s="139" t="s">
        <v>3174</v>
      </c>
      <c r="F105" s="139" t="s">
        <v>3175</v>
      </c>
      <c r="G105" s="94"/>
      <c r="H105" s="93" t="s">
        <v>2834</v>
      </c>
      <c r="I105" s="102" t="s">
        <v>131</v>
      </c>
      <c r="J105" s="94"/>
      <c r="K105" s="98"/>
      <c r="L105" s="98"/>
      <c r="M105" s="99"/>
      <c r="N105" s="100"/>
      <c r="O105" s="101"/>
      <c r="P105" s="94"/>
      <c r="Q105" s="109"/>
      <c r="R105" s="127"/>
      <c r="S105" s="102"/>
      <c r="T105" s="102"/>
      <c r="V105" s="104"/>
    </row>
    <row r="106" ht="15.75" customHeight="1">
      <c r="A106" s="91"/>
      <c r="B106" s="93">
        <v>21.0</v>
      </c>
      <c r="C106" s="103" t="s">
        <v>1848</v>
      </c>
      <c r="D106" s="94"/>
      <c r="E106" s="139" t="s">
        <v>3176</v>
      </c>
      <c r="F106" s="139" t="s">
        <v>3177</v>
      </c>
      <c r="G106" s="94"/>
      <c r="H106" s="93" t="s">
        <v>2834</v>
      </c>
      <c r="I106" s="102" t="s">
        <v>181</v>
      </c>
      <c r="J106" s="94"/>
      <c r="K106" s="202">
        <v>8100.0</v>
      </c>
      <c r="L106" s="202">
        <v>2600.0</v>
      </c>
      <c r="M106" s="99"/>
      <c r="N106" s="100"/>
      <c r="O106" s="101"/>
      <c r="P106" s="94"/>
      <c r="Q106" s="102"/>
      <c r="R106" s="103"/>
      <c r="S106" s="102" t="s">
        <v>105</v>
      </c>
      <c r="T106" s="102" t="s">
        <v>3178</v>
      </c>
      <c r="V106" s="104"/>
    </row>
    <row r="107" ht="15.75" customHeight="1">
      <c r="A107" s="91"/>
      <c r="B107" s="93">
        <v>21.0</v>
      </c>
      <c r="C107" s="93" t="s">
        <v>3179</v>
      </c>
      <c r="D107" s="94"/>
      <c r="E107" s="139" t="s">
        <v>3180</v>
      </c>
      <c r="F107" s="139" t="s">
        <v>3181</v>
      </c>
      <c r="G107" s="94"/>
      <c r="H107" s="93" t="s">
        <v>2841</v>
      </c>
      <c r="I107" s="102" t="s">
        <v>181</v>
      </c>
      <c r="J107" s="94"/>
      <c r="K107" s="202">
        <v>6000.0</v>
      </c>
      <c r="L107" s="202">
        <v>1875.0</v>
      </c>
      <c r="M107" s="99"/>
      <c r="N107" s="100"/>
      <c r="O107" s="112"/>
      <c r="P107" s="94"/>
      <c r="Q107" s="102">
        <v>3.0</v>
      </c>
      <c r="R107" s="113"/>
      <c r="S107" s="102" t="s">
        <v>105</v>
      </c>
      <c r="T107" s="102" t="s">
        <v>3182</v>
      </c>
      <c r="V107" s="104"/>
    </row>
    <row r="108" ht="15.75" customHeight="1">
      <c r="A108" s="91"/>
      <c r="B108" s="93">
        <v>21.0</v>
      </c>
      <c r="C108" s="93" t="s">
        <v>979</v>
      </c>
      <c r="D108" s="94"/>
      <c r="E108" s="139" t="s">
        <v>3183</v>
      </c>
      <c r="F108" s="139" t="s">
        <v>3184</v>
      </c>
      <c r="G108" s="94"/>
      <c r="H108" s="93" t="s">
        <v>2841</v>
      </c>
      <c r="I108" s="102" t="s">
        <v>88</v>
      </c>
      <c r="J108" s="94"/>
      <c r="K108" s="98"/>
      <c r="L108" s="98"/>
      <c r="M108" s="99"/>
      <c r="N108" s="100" t="s">
        <v>45</v>
      </c>
      <c r="O108" s="101" t="s">
        <v>3185</v>
      </c>
      <c r="P108" s="94"/>
      <c r="Q108" s="102"/>
      <c r="R108" s="113"/>
      <c r="S108" s="102" t="s">
        <v>383</v>
      </c>
      <c r="T108" s="102" t="s">
        <v>3186</v>
      </c>
      <c r="V108" s="104"/>
    </row>
    <row r="109" ht="15.75" customHeight="1">
      <c r="A109" s="91"/>
      <c r="B109" s="93">
        <v>21.0</v>
      </c>
      <c r="C109" s="128" t="s">
        <v>318</v>
      </c>
      <c r="D109" s="94"/>
      <c r="E109" s="139" t="s">
        <v>3187</v>
      </c>
      <c r="F109" s="139" t="s">
        <v>3188</v>
      </c>
      <c r="G109" s="94"/>
      <c r="H109" s="93"/>
      <c r="I109" s="102" t="s">
        <v>131</v>
      </c>
      <c r="J109" s="94"/>
      <c r="K109" s="98"/>
      <c r="L109" s="98"/>
      <c r="M109" s="99"/>
      <c r="N109" s="100"/>
      <c r="O109" s="112"/>
      <c r="P109" s="94"/>
      <c r="Q109" s="120"/>
      <c r="R109" s="113"/>
      <c r="S109" s="102"/>
      <c r="T109" s="102"/>
      <c r="V109" s="104"/>
    </row>
    <row r="110" ht="15.75" customHeight="1">
      <c r="A110" s="91"/>
      <c r="B110" s="93">
        <v>21.0</v>
      </c>
      <c r="C110" s="97" t="s">
        <v>1106</v>
      </c>
      <c r="D110" s="94"/>
      <c r="E110" s="139" t="s">
        <v>3189</v>
      </c>
      <c r="F110" s="139" t="s">
        <v>3190</v>
      </c>
      <c r="G110" s="94"/>
      <c r="H110" s="93" t="s">
        <v>2834</v>
      </c>
      <c r="I110" s="102" t="s">
        <v>103</v>
      </c>
      <c r="J110" s="94"/>
      <c r="K110" s="98">
        <v>9000.0</v>
      </c>
      <c r="L110" s="98">
        <v>9000.0</v>
      </c>
      <c r="M110" s="99"/>
      <c r="N110" s="111"/>
      <c r="O110" s="101"/>
      <c r="P110" s="94"/>
      <c r="Q110" s="102">
        <v>6.0</v>
      </c>
      <c r="R110" s="106"/>
      <c r="S110" s="102" t="s">
        <v>105</v>
      </c>
      <c r="T110" s="102"/>
      <c r="V110" s="104"/>
    </row>
    <row r="111" ht="15.75" customHeight="1">
      <c r="A111" s="91"/>
      <c r="B111" s="93">
        <v>21.0</v>
      </c>
      <c r="C111" s="93" t="s">
        <v>727</v>
      </c>
      <c r="D111" s="94"/>
      <c r="E111" s="139" t="s">
        <v>3191</v>
      </c>
      <c r="F111" s="139" t="s">
        <v>3192</v>
      </c>
      <c r="G111" s="94"/>
      <c r="H111" s="93" t="s">
        <v>2834</v>
      </c>
      <c r="I111" s="102" t="s">
        <v>232</v>
      </c>
      <c r="J111" s="94"/>
      <c r="K111" s="98"/>
      <c r="L111" s="98">
        <v>50.0</v>
      </c>
      <c r="M111" s="99"/>
      <c r="N111" s="111"/>
      <c r="O111" s="101"/>
      <c r="P111" s="94"/>
      <c r="Q111" s="120"/>
      <c r="R111" s="103"/>
      <c r="S111" s="102" t="s">
        <v>404</v>
      </c>
      <c r="T111" s="102" t="s">
        <v>3141</v>
      </c>
      <c r="V111" s="104"/>
    </row>
    <row r="112" ht="15.75" customHeight="1">
      <c r="A112" s="91"/>
      <c r="B112" s="93">
        <v>21.0</v>
      </c>
      <c r="C112" s="93" t="s">
        <v>2302</v>
      </c>
      <c r="D112" s="94"/>
      <c r="E112" s="139" t="s">
        <v>3193</v>
      </c>
      <c r="F112" s="139" t="s">
        <v>3194</v>
      </c>
      <c r="G112" s="94"/>
      <c r="H112" s="93" t="s">
        <v>2841</v>
      </c>
      <c r="I112" s="102" t="s">
        <v>591</v>
      </c>
      <c r="N112" s="100" t="s">
        <v>60</v>
      </c>
      <c r="O112" s="101" t="s">
        <v>1950</v>
      </c>
      <c r="P112" s="94"/>
      <c r="Q112" s="109"/>
      <c r="R112" s="103"/>
      <c r="S112" s="102" t="s">
        <v>383</v>
      </c>
      <c r="T112" s="102" t="s">
        <v>3195</v>
      </c>
      <c r="V112" s="104"/>
    </row>
    <row r="113" ht="15.75" customHeight="1">
      <c r="A113" s="91"/>
      <c r="B113" s="93">
        <v>21.0</v>
      </c>
      <c r="C113" s="93" t="s">
        <v>344</v>
      </c>
      <c r="D113" s="94"/>
      <c r="E113" s="139" t="s">
        <v>3196</v>
      </c>
      <c r="F113" s="139" t="s">
        <v>3197</v>
      </c>
      <c r="G113" s="94"/>
      <c r="H113" s="93" t="s">
        <v>2841</v>
      </c>
      <c r="I113" s="102" t="s">
        <v>181</v>
      </c>
      <c r="J113" s="94"/>
      <c r="K113" s="275">
        <v>5500.0</v>
      </c>
      <c r="L113" s="98">
        <v>2500.0</v>
      </c>
      <c r="M113" s="99"/>
      <c r="N113" s="111"/>
      <c r="O113" s="112"/>
      <c r="P113" s="94"/>
      <c r="Q113" s="102">
        <v>4.0</v>
      </c>
      <c r="R113" s="113"/>
      <c r="S113" s="102" t="s">
        <v>105</v>
      </c>
      <c r="T113" s="102" t="s">
        <v>3198</v>
      </c>
      <c r="V113" s="104"/>
    </row>
    <row r="114" ht="15.75" customHeight="1">
      <c r="A114" s="91"/>
      <c r="B114" s="93">
        <v>22.0</v>
      </c>
      <c r="C114" s="96" t="s">
        <v>2145</v>
      </c>
      <c r="D114" s="94"/>
      <c r="E114" s="139" t="s">
        <v>3199</v>
      </c>
      <c r="F114" s="139" t="s">
        <v>3200</v>
      </c>
      <c r="G114" s="94"/>
      <c r="H114" s="93" t="s">
        <v>2841</v>
      </c>
      <c r="I114" s="102" t="s">
        <v>88</v>
      </c>
      <c r="J114" s="94"/>
      <c r="K114" s="108"/>
      <c r="L114" s="108"/>
      <c r="M114" s="99"/>
      <c r="N114" s="100" t="s">
        <v>45</v>
      </c>
      <c r="O114" s="101" t="s">
        <v>584</v>
      </c>
      <c r="P114" s="94"/>
      <c r="Q114" s="102"/>
      <c r="R114" s="103"/>
      <c r="S114" s="102" t="s">
        <v>383</v>
      </c>
      <c r="T114" s="102" t="s">
        <v>3201</v>
      </c>
      <c r="V114" s="104"/>
    </row>
    <row r="115" ht="15.75" customHeight="1">
      <c r="A115" s="91"/>
      <c r="B115" s="93">
        <v>22.0</v>
      </c>
      <c r="C115" s="110" t="s">
        <v>1019</v>
      </c>
      <c r="D115" s="94"/>
      <c r="E115" s="139" t="s">
        <v>3202</v>
      </c>
      <c r="F115" s="139" t="s">
        <v>3203</v>
      </c>
      <c r="G115" s="94"/>
      <c r="H115" s="93" t="s">
        <v>2834</v>
      </c>
      <c r="I115" s="102" t="s">
        <v>103</v>
      </c>
      <c r="J115" s="94"/>
      <c r="K115" s="98">
        <v>9000.0</v>
      </c>
      <c r="L115" s="98">
        <v>9000.0</v>
      </c>
      <c r="M115" s="99"/>
      <c r="N115" s="111"/>
      <c r="O115" s="112"/>
      <c r="P115" s="94"/>
      <c r="Q115" s="102">
        <v>6.0</v>
      </c>
      <c r="R115" s="113"/>
      <c r="S115" s="102" t="s">
        <v>105</v>
      </c>
      <c r="T115" s="102" t="s">
        <v>3204</v>
      </c>
      <c r="V115" s="104"/>
    </row>
    <row r="116" ht="15.75" customHeight="1">
      <c r="A116" s="91"/>
      <c r="B116" s="93">
        <v>22.0</v>
      </c>
      <c r="C116" s="96" t="s">
        <v>493</v>
      </c>
      <c r="D116" s="94"/>
      <c r="E116" s="139" t="s">
        <v>3205</v>
      </c>
      <c r="F116" s="139" t="s">
        <v>3206</v>
      </c>
      <c r="G116" s="94"/>
      <c r="H116" s="93" t="s">
        <v>2841</v>
      </c>
      <c r="I116" s="102" t="s">
        <v>88</v>
      </c>
      <c r="J116" s="94"/>
      <c r="K116" s="126"/>
      <c r="L116" s="126"/>
      <c r="M116" s="99"/>
      <c r="N116" s="100" t="s">
        <v>45</v>
      </c>
      <c r="O116" s="101" t="s">
        <v>396</v>
      </c>
      <c r="P116" s="94"/>
      <c r="Q116" s="117"/>
      <c r="R116" s="103"/>
      <c r="S116" s="102" t="s">
        <v>383</v>
      </c>
      <c r="T116" s="102" t="s">
        <v>3207</v>
      </c>
      <c r="V116" s="104"/>
    </row>
    <row r="117" ht="15.75" customHeight="1">
      <c r="A117" s="91"/>
      <c r="B117" s="93">
        <v>22.0</v>
      </c>
      <c r="C117" s="110" t="s">
        <v>772</v>
      </c>
      <c r="D117" s="94"/>
      <c r="E117" s="139" t="s">
        <v>3208</v>
      </c>
      <c r="F117" s="139" t="s">
        <v>3209</v>
      </c>
      <c r="G117" s="94"/>
      <c r="H117" s="93" t="s">
        <v>2841</v>
      </c>
      <c r="I117" s="102" t="s">
        <v>88</v>
      </c>
      <c r="J117" s="94"/>
      <c r="K117" s="125"/>
      <c r="L117" s="125"/>
      <c r="M117" s="99"/>
      <c r="N117" s="100" t="s">
        <v>45</v>
      </c>
      <c r="O117" s="101" t="s">
        <v>584</v>
      </c>
      <c r="P117" s="94"/>
      <c r="Q117" s="120"/>
      <c r="R117" s="113"/>
      <c r="S117" s="102" t="s">
        <v>383</v>
      </c>
      <c r="T117" s="102" t="s">
        <v>3210</v>
      </c>
      <c r="V117" s="104"/>
    </row>
    <row r="118" ht="15.75" customHeight="1">
      <c r="A118" s="91"/>
      <c r="B118" s="93">
        <v>22.0</v>
      </c>
      <c r="C118" s="93" t="s">
        <v>1611</v>
      </c>
      <c r="D118" s="94"/>
      <c r="E118" s="139" t="s">
        <v>3211</v>
      </c>
      <c r="F118" s="139" t="s">
        <v>3212</v>
      </c>
      <c r="G118" s="94"/>
      <c r="H118" s="93" t="s">
        <v>2834</v>
      </c>
      <c r="I118" s="102" t="s">
        <v>103</v>
      </c>
      <c r="J118" s="94"/>
      <c r="K118" s="202">
        <v>6000.0</v>
      </c>
      <c r="L118" s="202">
        <v>6000.0</v>
      </c>
      <c r="M118" s="99"/>
      <c r="N118" s="111"/>
      <c r="O118" s="112"/>
      <c r="P118" s="94"/>
      <c r="Q118" s="102">
        <v>4.0</v>
      </c>
      <c r="R118" s="113"/>
      <c r="S118" s="102" t="s">
        <v>105</v>
      </c>
      <c r="T118" s="94"/>
      <c r="V118" s="104"/>
    </row>
    <row r="119" ht="15.75" customHeight="1">
      <c r="A119" s="91"/>
      <c r="B119" s="93">
        <v>23.0</v>
      </c>
      <c r="C119" s="93" t="s">
        <v>915</v>
      </c>
      <c r="D119" s="94"/>
      <c r="E119" s="139" t="s">
        <v>3213</v>
      </c>
      <c r="F119" s="139" t="s">
        <v>3214</v>
      </c>
      <c r="G119" s="94"/>
      <c r="H119" s="93" t="s">
        <v>2834</v>
      </c>
      <c r="I119" s="102" t="s">
        <v>88</v>
      </c>
      <c r="J119" s="94"/>
      <c r="K119" s="125"/>
      <c r="L119" s="125"/>
      <c r="M119" s="99"/>
      <c r="N119" s="100" t="s">
        <v>98</v>
      </c>
      <c r="O119" s="101" t="s">
        <v>3215</v>
      </c>
      <c r="P119" s="94"/>
      <c r="Q119" s="109"/>
      <c r="R119" s="103"/>
      <c r="S119" s="102" t="s">
        <v>383</v>
      </c>
      <c r="T119" s="102" t="s">
        <v>3216</v>
      </c>
      <c r="V119" s="104"/>
    </row>
    <row r="120" ht="15.75" customHeight="1">
      <c r="A120" s="91"/>
      <c r="B120" s="93">
        <v>23.0</v>
      </c>
      <c r="C120" s="93" t="s">
        <v>220</v>
      </c>
      <c r="D120" s="94"/>
      <c r="E120" s="139" t="s">
        <v>3217</v>
      </c>
      <c r="F120" s="139" t="s">
        <v>3218</v>
      </c>
      <c r="G120" s="94"/>
      <c r="H120" s="93" t="s">
        <v>2841</v>
      </c>
      <c r="I120" s="102" t="s">
        <v>181</v>
      </c>
      <c r="J120" s="94"/>
      <c r="K120" s="98">
        <v>10500.0</v>
      </c>
      <c r="L120" s="98">
        <v>3000.0</v>
      </c>
      <c r="M120" s="99"/>
      <c r="N120" s="111"/>
      <c r="O120" s="112"/>
      <c r="P120" s="94"/>
      <c r="Q120" s="102">
        <v>6.0</v>
      </c>
      <c r="R120" s="113"/>
      <c r="S120" s="102" t="s">
        <v>105</v>
      </c>
      <c r="T120" s="94"/>
      <c r="V120" s="104"/>
    </row>
    <row r="121" ht="15.75" customHeight="1">
      <c r="A121" s="91"/>
      <c r="B121" s="93">
        <v>23.0</v>
      </c>
      <c r="C121" s="93" t="s">
        <v>979</v>
      </c>
      <c r="D121" s="94"/>
      <c r="E121" s="139" t="s">
        <v>3219</v>
      </c>
      <c r="F121" s="139" t="s">
        <v>3220</v>
      </c>
      <c r="G121" s="94"/>
      <c r="H121" s="93" t="s">
        <v>2841</v>
      </c>
      <c r="I121" s="102" t="s">
        <v>88</v>
      </c>
      <c r="J121" s="94"/>
      <c r="L121" s="125"/>
      <c r="M121" s="99"/>
      <c r="N121" s="100" t="s">
        <v>45</v>
      </c>
      <c r="O121" s="112"/>
      <c r="P121" s="94"/>
      <c r="Q121" s="120"/>
      <c r="R121" s="113"/>
      <c r="S121" s="102" t="s">
        <v>90</v>
      </c>
      <c r="T121" s="102" t="s">
        <v>3221</v>
      </c>
      <c r="V121" s="104"/>
    </row>
    <row r="122" ht="15.75" customHeight="1">
      <c r="A122" s="91"/>
      <c r="B122" s="93">
        <v>23.0</v>
      </c>
      <c r="C122" s="103" t="s">
        <v>291</v>
      </c>
      <c r="D122" s="94"/>
      <c r="E122" s="139" t="s">
        <v>3222</v>
      </c>
      <c r="F122" s="139" t="s">
        <v>3223</v>
      </c>
      <c r="G122" s="94"/>
      <c r="H122" s="93" t="s">
        <v>2834</v>
      </c>
      <c r="I122" s="102" t="s">
        <v>232</v>
      </c>
      <c r="J122" s="94"/>
      <c r="L122" s="126"/>
      <c r="M122" s="99"/>
      <c r="N122" s="100" t="s">
        <v>45</v>
      </c>
      <c r="O122" s="101" t="s">
        <v>584</v>
      </c>
      <c r="P122" s="94"/>
      <c r="Q122" s="117"/>
      <c r="R122" s="103"/>
      <c r="S122" s="102" t="s">
        <v>404</v>
      </c>
      <c r="T122" s="102" t="s">
        <v>3224</v>
      </c>
      <c r="V122" s="104"/>
    </row>
    <row r="123" ht="15.75" customHeight="1">
      <c r="A123" s="91"/>
      <c r="B123" s="93">
        <v>23.0</v>
      </c>
      <c r="C123" s="103" t="s">
        <v>393</v>
      </c>
      <c r="D123" s="94"/>
      <c r="E123" s="139" t="s">
        <v>3225</v>
      </c>
      <c r="F123" s="139" t="s">
        <v>3226</v>
      </c>
      <c r="G123" s="94"/>
      <c r="H123" s="93" t="s">
        <v>2834</v>
      </c>
      <c r="I123" s="102" t="s">
        <v>181</v>
      </c>
      <c r="J123" s="94"/>
      <c r="K123" s="98">
        <v>10500.0</v>
      </c>
      <c r="L123" s="98">
        <v>3000.0</v>
      </c>
      <c r="M123" s="99"/>
      <c r="N123" s="111"/>
      <c r="O123" s="112"/>
      <c r="P123" s="94"/>
      <c r="Q123" s="102">
        <v>6.0</v>
      </c>
      <c r="R123" s="103"/>
      <c r="S123" s="102" t="s">
        <v>105</v>
      </c>
      <c r="T123" s="102"/>
      <c r="V123" s="104"/>
    </row>
    <row r="124" ht="15.75" customHeight="1">
      <c r="A124" s="91"/>
      <c r="B124" s="93">
        <v>23.0</v>
      </c>
      <c r="C124" s="93" t="s">
        <v>322</v>
      </c>
      <c r="D124" s="94"/>
      <c r="E124" s="139" t="s">
        <v>3227</v>
      </c>
      <c r="F124" s="139" t="s">
        <v>3228</v>
      </c>
      <c r="G124" s="94"/>
      <c r="H124" s="93" t="s">
        <v>2834</v>
      </c>
      <c r="I124" s="102" t="s">
        <v>232</v>
      </c>
      <c r="J124" s="94"/>
      <c r="K124" s="126"/>
      <c r="L124" s="126"/>
      <c r="M124" s="99"/>
      <c r="N124" s="100" t="s">
        <v>45</v>
      </c>
      <c r="O124" s="112"/>
      <c r="P124" s="94"/>
      <c r="Q124" s="120"/>
      <c r="R124" s="113"/>
      <c r="S124" s="102" t="s">
        <v>404</v>
      </c>
      <c r="T124" s="102" t="s">
        <v>3229</v>
      </c>
      <c r="V124" s="104"/>
    </row>
    <row r="125" ht="15.75" customHeight="1">
      <c r="A125" s="91"/>
      <c r="B125" s="93">
        <v>23.0</v>
      </c>
      <c r="C125" s="93" t="s">
        <v>410</v>
      </c>
      <c r="D125" s="94"/>
      <c r="E125" s="139" t="s">
        <v>3230</v>
      </c>
      <c r="F125" s="139" t="s">
        <v>3231</v>
      </c>
      <c r="G125" s="94"/>
      <c r="H125" s="93" t="s">
        <v>2841</v>
      </c>
      <c r="I125" s="102" t="s">
        <v>88</v>
      </c>
      <c r="J125" s="94"/>
      <c r="K125" s="125"/>
      <c r="L125" s="125"/>
      <c r="M125" s="99"/>
      <c r="N125" s="100" t="s">
        <v>45</v>
      </c>
      <c r="O125" s="101" t="s">
        <v>3232</v>
      </c>
      <c r="P125" s="94"/>
      <c r="Q125" s="94"/>
      <c r="R125" s="113"/>
      <c r="S125" s="102" t="s">
        <v>90</v>
      </c>
      <c r="T125" s="102" t="s">
        <v>3233</v>
      </c>
      <c r="V125" s="104"/>
    </row>
    <row r="126" ht="15.75" customHeight="1">
      <c r="A126" s="91"/>
      <c r="B126" s="93">
        <v>23.0</v>
      </c>
      <c r="C126" s="93" t="s">
        <v>3234</v>
      </c>
      <c r="D126" s="94"/>
      <c r="E126" s="139" t="s">
        <v>3235</v>
      </c>
      <c r="F126" s="139" t="s">
        <v>3236</v>
      </c>
      <c r="G126" s="94"/>
      <c r="H126" s="93" t="s">
        <v>2834</v>
      </c>
      <c r="I126" s="102" t="s">
        <v>181</v>
      </c>
      <c r="J126" s="94"/>
      <c r="K126" s="202">
        <v>7500.0</v>
      </c>
      <c r="L126" s="202">
        <v>3000.0</v>
      </c>
      <c r="M126" s="99"/>
      <c r="N126" s="100" t="s">
        <v>98</v>
      </c>
      <c r="O126" s="101" t="s">
        <v>647</v>
      </c>
      <c r="P126" s="94"/>
      <c r="Q126" s="109"/>
      <c r="R126" s="106"/>
      <c r="S126" s="102" t="s">
        <v>105</v>
      </c>
      <c r="T126" s="102" t="s">
        <v>3237</v>
      </c>
      <c r="V126" s="104"/>
    </row>
    <row r="127" ht="15.75" customHeight="1">
      <c r="A127" s="91"/>
      <c r="B127" s="93">
        <v>23.0</v>
      </c>
      <c r="C127" s="93" t="s">
        <v>559</v>
      </c>
      <c r="D127" s="94"/>
      <c r="E127" s="139" t="s">
        <v>3238</v>
      </c>
      <c r="F127" s="139" t="s">
        <v>3239</v>
      </c>
      <c r="G127" s="94"/>
      <c r="H127" s="93" t="s">
        <v>2834</v>
      </c>
      <c r="I127" s="102" t="s">
        <v>88</v>
      </c>
      <c r="J127" s="94"/>
      <c r="K127" s="125"/>
      <c r="L127" s="125"/>
      <c r="M127" s="99"/>
      <c r="N127" s="100" t="s">
        <v>98</v>
      </c>
      <c r="O127" s="101" t="s">
        <v>647</v>
      </c>
      <c r="P127" s="94"/>
      <c r="Q127" s="120"/>
      <c r="R127" s="113"/>
      <c r="S127" s="102" t="s">
        <v>124</v>
      </c>
      <c r="T127" s="102" t="s">
        <v>3240</v>
      </c>
      <c r="V127" s="104"/>
    </row>
    <row r="128" ht="15.75" customHeight="1">
      <c r="A128" s="91"/>
      <c r="B128" s="93">
        <v>26.0</v>
      </c>
      <c r="C128" s="93" t="s">
        <v>252</v>
      </c>
      <c r="D128" s="94"/>
      <c r="E128" s="139" t="s">
        <v>3241</v>
      </c>
      <c r="F128" s="139" t="s">
        <v>3242</v>
      </c>
      <c r="G128" s="94"/>
      <c r="H128" s="93" t="s">
        <v>2834</v>
      </c>
      <c r="I128" s="102" t="s">
        <v>88</v>
      </c>
      <c r="J128" s="94"/>
      <c r="K128" s="126"/>
      <c r="L128" s="126"/>
      <c r="M128" s="99"/>
      <c r="N128" s="100" t="s">
        <v>98</v>
      </c>
      <c r="O128" s="101" t="s">
        <v>647</v>
      </c>
      <c r="P128" s="94"/>
      <c r="Q128" s="94"/>
      <c r="R128" s="113"/>
      <c r="S128" s="102" t="s">
        <v>383</v>
      </c>
      <c r="T128" s="102" t="s">
        <v>3243</v>
      </c>
      <c r="V128" s="104"/>
    </row>
    <row r="129" ht="15.75" customHeight="1">
      <c r="A129" s="91"/>
      <c r="B129" s="93">
        <v>26.0</v>
      </c>
      <c r="C129" s="238" t="s">
        <v>3244</v>
      </c>
      <c r="D129" s="94"/>
      <c r="E129" s="276">
        <v>2.8100472E7</v>
      </c>
      <c r="F129" s="238" t="s">
        <v>3244</v>
      </c>
      <c r="G129" s="94"/>
      <c r="H129" s="93" t="s">
        <v>2841</v>
      </c>
      <c r="I129" s="102" t="s">
        <v>181</v>
      </c>
      <c r="J129" s="94"/>
      <c r="K129" s="202">
        <v>6000.0</v>
      </c>
      <c r="L129" s="202">
        <v>3000.0</v>
      </c>
      <c r="M129" s="99"/>
      <c r="N129" s="100"/>
      <c r="O129" s="112"/>
      <c r="P129" s="94"/>
      <c r="Q129" s="102">
        <v>3.0</v>
      </c>
      <c r="R129" s="113"/>
      <c r="S129" s="102" t="s">
        <v>105</v>
      </c>
      <c r="T129" s="94"/>
      <c r="V129" s="104"/>
    </row>
    <row r="130" ht="15.75" customHeight="1">
      <c r="A130" s="91"/>
      <c r="B130" s="93">
        <v>26.0</v>
      </c>
      <c r="C130" s="103" t="s">
        <v>3245</v>
      </c>
      <c r="D130" s="94"/>
      <c r="E130" s="139" t="s">
        <v>3246</v>
      </c>
      <c r="F130" s="139" t="s">
        <v>3247</v>
      </c>
      <c r="G130" s="94"/>
      <c r="H130" s="93" t="s">
        <v>2841</v>
      </c>
      <c r="I130" s="102" t="s">
        <v>88</v>
      </c>
      <c r="J130" s="94"/>
      <c r="K130" s="126"/>
      <c r="L130" s="98">
        <v>500.0</v>
      </c>
      <c r="M130" s="99"/>
      <c r="N130" s="100"/>
      <c r="O130" s="112"/>
      <c r="P130" s="94"/>
      <c r="Q130" s="120"/>
      <c r="R130" s="113"/>
      <c r="S130" s="102" t="s">
        <v>124</v>
      </c>
      <c r="T130" s="102" t="s">
        <v>3248</v>
      </c>
      <c r="V130" s="104"/>
    </row>
    <row r="131" ht="15.75" customHeight="1">
      <c r="A131" s="91"/>
      <c r="B131" s="93">
        <v>26.0</v>
      </c>
      <c r="C131" s="93" t="s">
        <v>772</v>
      </c>
      <c r="D131" s="94"/>
      <c r="E131" s="139" t="s">
        <v>3249</v>
      </c>
      <c r="F131" s="139" t="s">
        <v>3250</v>
      </c>
      <c r="G131" s="94"/>
      <c r="H131" s="93" t="s">
        <v>2834</v>
      </c>
      <c r="I131" s="102" t="s">
        <v>232</v>
      </c>
      <c r="J131" s="94"/>
      <c r="K131" s="125"/>
      <c r="L131" s="125"/>
      <c r="M131" s="99"/>
      <c r="N131" s="100" t="s">
        <v>45</v>
      </c>
      <c r="O131" s="101" t="s">
        <v>396</v>
      </c>
      <c r="P131" s="94"/>
      <c r="Q131" s="120"/>
      <c r="R131" s="113"/>
      <c r="S131" s="102" t="s">
        <v>404</v>
      </c>
      <c r="T131" s="102" t="s">
        <v>3251</v>
      </c>
      <c r="V131" s="104"/>
    </row>
    <row r="132" ht="15.75" customHeight="1">
      <c r="A132" s="91"/>
      <c r="B132" s="93">
        <v>26.0</v>
      </c>
      <c r="C132" s="93" t="s">
        <v>3252</v>
      </c>
      <c r="D132" s="94"/>
      <c r="E132" s="139" t="s">
        <v>3253</v>
      </c>
      <c r="F132" s="139" t="s">
        <v>3254</v>
      </c>
      <c r="G132" s="94"/>
      <c r="H132" s="93"/>
      <c r="I132" s="102" t="s">
        <v>131</v>
      </c>
      <c r="J132" s="94"/>
      <c r="K132" s="126"/>
      <c r="L132" s="126"/>
      <c r="M132" s="99"/>
      <c r="N132" s="100"/>
      <c r="O132" s="112"/>
      <c r="P132" s="94"/>
      <c r="Q132" s="94"/>
      <c r="R132" s="113"/>
      <c r="S132" s="102"/>
      <c r="T132" s="94"/>
      <c r="V132" s="104"/>
    </row>
    <row r="133" ht="15.75" customHeight="1">
      <c r="A133" s="91"/>
      <c r="B133" s="93">
        <v>26.0</v>
      </c>
      <c r="C133" s="93" t="s">
        <v>3255</v>
      </c>
      <c r="D133" s="94"/>
      <c r="E133" s="139" t="s">
        <v>3256</v>
      </c>
      <c r="F133" s="139" t="s">
        <v>3257</v>
      </c>
      <c r="G133" s="94"/>
      <c r="H133" s="93" t="s">
        <v>2841</v>
      </c>
      <c r="I133" s="102" t="s">
        <v>88</v>
      </c>
      <c r="J133" s="94"/>
      <c r="K133" s="125"/>
      <c r="L133" s="125"/>
      <c r="M133" s="99"/>
      <c r="N133" s="100" t="s">
        <v>45</v>
      </c>
      <c r="O133" s="112"/>
      <c r="P133" s="94"/>
      <c r="Q133" s="120"/>
      <c r="R133" s="113"/>
      <c r="S133" s="102" t="s">
        <v>383</v>
      </c>
      <c r="T133" s="102" t="s">
        <v>3258</v>
      </c>
      <c r="V133" s="104"/>
    </row>
    <row r="134" ht="15.75" customHeight="1">
      <c r="A134" s="91"/>
      <c r="B134" s="93">
        <v>27.0</v>
      </c>
      <c r="C134" s="93" t="s">
        <v>772</v>
      </c>
      <c r="D134" s="94"/>
      <c r="E134" s="139" t="s">
        <v>3259</v>
      </c>
      <c r="F134" s="139" t="s">
        <v>3260</v>
      </c>
      <c r="G134" s="94"/>
      <c r="H134" s="93" t="s">
        <v>2834</v>
      </c>
      <c r="I134" s="97" t="s">
        <v>88</v>
      </c>
      <c r="J134" s="94"/>
      <c r="K134" s="126"/>
      <c r="L134" s="126"/>
      <c r="M134" s="99"/>
      <c r="N134" s="100" t="s">
        <v>45</v>
      </c>
      <c r="O134" s="112"/>
      <c r="P134" s="94"/>
      <c r="Q134" s="94"/>
      <c r="R134" s="113"/>
      <c r="S134" s="102" t="s">
        <v>124</v>
      </c>
      <c r="T134" s="102" t="s">
        <v>3261</v>
      </c>
      <c r="V134" s="104"/>
    </row>
    <row r="135" ht="15.75" customHeight="1">
      <c r="A135" s="91"/>
      <c r="B135" s="93">
        <v>27.0</v>
      </c>
      <c r="C135" s="93" t="s">
        <v>538</v>
      </c>
      <c r="D135" s="94"/>
      <c r="E135" s="139" t="s">
        <v>3262</v>
      </c>
      <c r="F135" s="139" t="s">
        <v>3263</v>
      </c>
      <c r="G135" s="94"/>
      <c r="H135" s="93" t="s">
        <v>2834</v>
      </c>
      <c r="I135" s="102" t="s">
        <v>181</v>
      </c>
      <c r="J135" s="94"/>
      <c r="K135" s="98">
        <v>10500.0</v>
      </c>
      <c r="L135" s="98">
        <v>3000.0</v>
      </c>
      <c r="M135" s="99"/>
      <c r="N135" s="111"/>
      <c r="O135" s="112"/>
      <c r="P135" s="94"/>
      <c r="Q135" s="102">
        <v>6.0</v>
      </c>
      <c r="R135" s="113"/>
      <c r="S135" s="102" t="s">
        <v>105</v>
      </c>
      <c r="T135" s="94"/>
      <c r="V135" s="104"/>
    </row>
    <row r="136" ht="15.75" customHeight="1">
      <c r="A136" s="91"/>
      <c r="B136" s="93">
        <v>27.0</v>
      </c>
      <c r="C136" s="103" t="s">
        <v>777</v>
      </c>
      <c r="D136" s="94"/>
      <c r="E136" s="139" t="s">
        <v>3264</v>
      </c>
      <c r="F136" s="139" t="s">
        <v>3265</v>
      </c>
      <c r="G136" s="94"/>
      <c r="H136" s="93" t="s">
        <v>2841</v>
      </c>
      <c r="I136" s="102" t="s">
        <v>103</v>
      </c>
      <c r="J136" s="94"/>
      <c r="K136" s="98">
        <v>9000.0</v>
      </c>
      <c r="L136" s="98">
        <v>9000.0</v>
      </c>
      <c r="M136" s="99"/>
      <c r="N136" s="111"/>
      <c r="O136" s="112"/>
      <c r="P136" s="94"/>
      <c r="Q136" s="102">
        <v>6.0</v>
      </c>
      <c r="R136" s="113"/>
      <c r="S136" s="102" t="s">
        <v>105</v>
      </c>
      <c r="T136" s="94"/>
      <c r="V136" s="104"/>
    </row>
    <row r="137" ht="15.75" customHeight="1">
      <c r="A137" s="91"/>
      <c r="B137" s="93">
        <v>28.0</v>
      </c>
      <c r="C137" s="103" t="s">
        <v>3266</v>
      </c>
      <c r="D137" s="94"/>
      <c r="E137" s="139" t="s">
        <v>3267</v>
      </c>
      <c r="F137" s="139" t="s">
        <v>3268</v>
      </c>
      <c r="G137" s="94"/>
      <c r="H137" s="93" t="s">
        <v>2834</v>
      </c>
      <c r="I137" s="102" t="s">
        <v>103</v>
      </c>
      <c r="J137" s="94"/>
      <c r="K137" s="202">
        <v>6000.0</v>
      </c>
      <c r="L137" s="202">
        <v>6000.0</v>
      </c>
      <c r="M137" s="99"/>
      <c r="N137" s="111"/>
      <c r="O137" s="112"/>
      <c r="P137" s="94"/>
      <c r="Q137" s="102">
        <v>4.0</v>
      </c>
      <c r="R137" s="113"/>
      <c r="S137" s="102" t="s">
        <v>105</v>
      </c>
      <c r="T137" s="102" t="s">
        <v>3269</v>
      </c>
      <c r="V137" s="104"/>
    </row>
    <row r="138" ht="15.75" customHeight="1">
      <c r="A138" s="91"/>
      <c r="B138" s="93">
        <v>28.0</v>
      </c>
      <c r="C138" s="103" t="s">
        <v>252</v>
      </c>
      <c r="D138" s="94"/>
      <c r="E138" s="139" t="s">
        <v>3270</v>
      </c>
      <c r="F138" s="139" t="s">
        <v>3271</v>
      </c>
      <c r="G138" s="94"/>
      <c r="H138" s="93" t="s">
        <v>2834</v>
      </c>
      <c r="I138" s="102" t="s">
        <v>232</v>
      </c>
      <c r="J138" s="94"/>
      <c r="K138" s="126"/>
      <c r="L138" s="126"/>
      <c r="M138" s="99"/>
      <c r="N138" s="111"/>
      <c r="O138" s="112"/>
      <c r="P138" s="94"/>
      <c r="Q138" s="94"/>
      <c r="R138" s="113"/>
      <c r="S138" s="102" t="s">
        <v>404</v>
      </c>
      <c r="T138" s="102" t="s">
        <v>3272</v>
      </c>
      <c r="V138" s="104"/>
    </row>
    <row r="139" ht="15.75" customHeight="1">
      <c r="A139" s="91"/>
      <c r="B139" s="93">
        <v>28.0</v>
      </c>
      <c r="C139" s="93" t="s">
        <v>410</v>
      </c>
      <c r="D139" s="94"/>
      <c r="E139" s="139" t="s">
        <v>3273</v>
      </c>
      <c r="F139" s="139" t="s">
        <v>3274</v>
      </c>
      <c r="G139" s="94"/>
      <c r="H139" s="93" t="s">
        <v>2834</v>
      </c>
      <c r="I139" s="102" t="s">
        <v>88</v>
      </c>
      <c r="J139" s="94"/>
      <c r="K139" s="125"/>
      <c r="L139" s="125"/>
      <c r="M139" s="99"/>
      <c r="N139" s="100" t="s">
        <v>45</v>
      </c>
      <c r="O139" s="101" t="s">
        <v>584</v>
      </c>
      <c r="P139" s="94"/>
      <c r="Q139" s="94"/>
      <c r="R139" s="113"/>
      <c r="S139" s="102" t="s">
        <v>383</v>
      </c>
      <c r="T139" s="102" t="s">
        <v>3275</v>
      </c>
      <c r="V139" s="104"/>
    </row>
    <row r="140" ht="15.75" customHeight="1">
      <c r="A140" s="91"/>
      <c r="B140" s="93">
        <v>29.0</v>
      </c>
      <c r="C140" s="93" t="s">
        <v>220</v>
      </c>
      <c r="D140" s="94"/>
      <c r="E140" s="139" t="s">
        <v>3276</v>
      </c>
      <c r="F140" s="139" t="s">
        <v>3277</v>
      </c>
      <c r="G140" s="94"/>
      <c r="H140" s="93"/>
      <c r="I140" s="102" t="s">
        <v>131</v>
      </c>
      <c r="J140" s="94"/>
      <c r="K140" s="126"/>
      <c r="L140" s="126"/>
      <c r="M140" s="99"/>
      <c r="N140" s="111"/>
      <c r="O140" s="112"/>
      <c r="P140" s="94"/>
      <c r="Q140" s="94"/>
      <c r="R140" s="113"/>
      <c r="S140" s="94"/>
      <c r="T140" s="94"/>
      <c r="V140" s="104"/>
    </row>
    <row r="141" ht="15.75" customHeight="1">
      <c r="A141" s="91"/>
      <c r="B141" s="93">
        <v>29.0</v>
      </c>
      <c r="C141" s="93" t="s">
        <v>1019</v>
      </c>
      <c r="D141" s="94"/>
      <c r="E141" s="139" t="s">
        <v>3278</v>
      </c>
      <c r="F141" s="139" t="s">
        <v>3279</v>
      </c>
      <c r="G141" s="94"/>
      <c r="H141" s="93" t="s">
        <v>2841</v>
      </c>
      <c r="I141" s="102" t="s">
        <v>88</v>
      </c>
      <c r="J141" s="94"/>
      <c r="K141" s="125"/>
      <c r="L141" s="125"/>
      <c r="M141" s="99"/>
      <c r="N141" s="100" t="s">
        <v>98</v>
      </c>
      <c r="O141" s="101" t="s">
        <v>584</v>
      </c>
      <c r="P141" s="94"/>
      <c r="Q141" s="94"/>
      <c r="R141" s="113"/>
      <c r="S141" s="102" t="s">
        <v>170</v>
      </c>
      <c r="T141" s="102" t="s">
        <v>3280</v>
      </c>
      <c r="V141" s="104"/>
    </row>
    <row r="142" ht="15.75" customHeight="1">
      <c r="A142" s="91"/>
      <c r="B142" s="93">
        <v>29.0</v>
      </c>
      <c r="C142" s="93" t="s">
        <v>3281</v>
      </c>
      <c r="D142" s="94"/>
      <c r="E142" s="139" t="s">
        <v>3282</v>
      </c>
      <c r="F142" s="139" t="s">
        <v>3283</v>
      </c>
      <c r="G142" s="94"/>
      <c r="H142" s="93" t="s">
        <v>2834</v>
      </c>
      <c r="I142" s="102" t="s">
        <v>181</v>
      </c>
      <c r="J142" s="94"/>
      <c r="K142" s="98">
        <v>10500.0</v>
      </c>
      <c r="L142" s="98">
        <v>3000.0</v>
      </c>
      <c r="M142" s="99"/>
      <c r="N142" s="111"/>
      <c r="O142" s="112"/>
      <c r="P142" s="94"/>
      <c r="Q142" s="102">
        <v>6.0</v>
      </c>
      <c r="R142" s="113"/>
      <c r="S142" s="102" t="s">
        <v>105</v>
      </c>
      <c r="T142" s="102" t="s">
        <v>3284</v>
      </c>
      <c r="V142" s="104"/>
    </row>
    <row r="143" ht="15.75" customHeight="1">
      <c r="A143" s="91"/>
      <c r="B143" s="93">
        <v>30.0</v>
      </c>
      <c r="C143" s="93" t="s">
        <v>777</v>
      </c>
      <c r="D143" s="94"/>
      <c r="E143" s="139" t="s">
        <v>3285</v>
      </c>
      <c r="F143" s="139" t="s">
        <v>3286</v>
      </c>
      <c r="G143" s="94"/>
      <c r="H143" s="93" t="s">
        <v>2841</v>
      </c>
      <c r="I143" s="102" t="s">
        <v>88</v>
      </c>
      <c r="J143" s="94"/>
      <c r="K143" s="125"/>
      <c r="L143" s="125"/>
      <c r="M143" s="99"/>
      <c r="N143" s="100" t="s">
        <v>45</v>
      </c>
      <c r="O143" s="101" t="s">
        <v>396</v>
      </c>
      <c r="P143" s="94"/>
      <c r="Q143" s="120"/>
      <c r="R143" s="113"/>
      <c r="S143" s="102" t="s">
        <v>124</v>
      </c>
      <c r="T143" s="102" t="s">
        <v>3287</v>
      </c>
      <c r="V143" s="104"/>
    </row>
    <row r="144" ht="15.75" customHeight="1">
      <c r="A144" s="91"/>
      <c r="B144" s="93">
        <v>30.0</v>
      </c>
      <c r="C144" s="103" t="s">
        <v>1019</v>
      </c>
      <c r="D144" s="94"/>
      <c r="E144" s="139" t="s">
        <v>3288</v>
      </c>
      <c r="F144" s="139" t="s">
        <v>3289</v>
      </c>
      <c r="G144" s="94"/>
      <c r="H144" s="93" t="s">
        <v>2834</v>
      </c>
      <c r="I144" s="102" t="s">
        <v>181</v>
      </c>
      <c r="J144" s="94"/>
      <c r="K144" s="98">
        <v>10500.0</v>
      </c>
      <c r="L144" s="98">
        <v>3000.0</v>
      </c>
      <c r="M144" s="99"/>
      <c r="N144" s="111"/>
      <c r="O144" s="112"/>
      <c r="P144" s="94"/>
      <c r="Q144" s="102">
        <v>6.0</v>
      </c>
      <c r="R144" s="113"/>
      <c r="S144" s="102" t="s">
        <v>105</v>
      </c>
      <c r="T144" s="94"/>
      <c r="V144" s="104"/>
    </row>
    <row r="145" ht="15.75" customHeight="1">
      <c r="A145" s="91"/>
      <c r="B145" s="93">
        <v>30.0</v>
      </c>
      <c r="C145" s="103" t="s">
        <v>252</v>
      </c>
      <c r="D145" s="94"/>
      <c r="E145" s="139" t="s">
        <v>3290</v>
      </c>
      <c r="F145" s="139" t="s">
        <v>3291</v>
      </c>
      <c r="G145" s="94"/>
      <c r="H145" s="93" t="s">
        <v>2834</v>
      </c>
      <c r="I145" s="102" t="s">
        <v>103</v>
      </c>
      <c r="J145" s="94"/>
      <c r="K145" s="202">
        <v>6000.0</v>
      </c>
      <c r="L145" s="202">
        <v>6000.0</v>
      </c>
      <c r="M145" s="99"/>
      <c r="N145" s="111"/>
      <c r="O145" s="112"/>
      <c r="P145" s="94"/>
      <c r="Q145" s="102">
        <v>4.0</v>
      </c>
      <c r="R145" s="113"/>
      <c r="S145" s="102" t="s">
        <v>105</v>
      </c>
      <c r="T145" s="94"/>
      <c r="V145" s="104"/>
    </row>
    <row r="146" ht="15.75" customHeight="1">
      <c r="A146" s="91"/>
      <c r="B146" s="93">
        <v>30.0</v>
      </c>
      <c r="C146" s="103" t="s">
        <v>777</v>
      </c>
      <c r="D146" s="94"/>
      <c r="E146" s="139" t="s">
        <v>3292</v>
      </c>
      <c r="F146" s="139" t="s">
        <v>3293</v>
      </c>
      <c r="G146" s="94"/>
      <c r="H146" s="93" t="s">
        <v>2841</v>
      </c>
      <c r="I146" s="102" t="s">
        <v>88</v>
      </c>
      <c r="J146" s="94"/>
      <c r="K146" s="126"/>
      <c r="L146" s="126"/>
      <c r="M146" s="99"/>
      <c r="N146" s="100" t="s">
        <v>98</v>
      </c>
      <c r="O146" s="112"/>
      <c r="P146" s="94"/>
      <c r="Q146" s="120"/>
      <c r="R146" s="113"/>
      <c r="S146" s="102" t="s">
        <v>383</v>
      </c>
      <c r="T146" s="102" t="s">
        <v>3294</v>
      </c>
      <c r="V146" s="104"/>
    </row>
    <row r="147" ht="15.75" customHeight="1">
      <c r="A147" s="91"/>
      <c r="B147" s="93">
        <v>31.0</v>
      </c>
      <c r="C147" s="93" t="s">
        <v>360</v>
      </c>
      <c r="D147" s="94"/>
      <c r="E147" s="139" t="s">
        <v>3295</v>
      </c>
      <c r="F147" s="139" t="s">
        <v>3296</v>
      </c>
      <c r="G147" s="94"/>
      <c r="H147" s="93" t="s">
        <v>2841</v>
      </c>
      <c r="I147" s="102" t="s">
        <v>88</v>
      </c>
      <c r="J147" s="94"/>
      <c r="K147" s="125"/>
      <c r="L147" s="125"/>
      <c r="M147" s="99"/>
      <c r="N147" s="100" t="s">
        <v>45</v>
      </c>
      <c r="O147" s="101" t="s">
        <v>584</v>
      </c>
      <c r="P147" s="94"/>
      <c r="Q147" s="120"/>
      <c r="R147" s="113"/>
      <c r="S147" s="102" t="s">
        <v>383</v>
      </c>
      <c r="T147" s="102" t="s">
        <v>3297</v>
      </c>
      <c r="V147" s="104"/>
    </row>
    <row r="148" ht="15.75" customHeight="1">
      <c r="A148" s="91"/>
      <c r="B148" s="93">
        <v>31.0</v>
      </c>
      <c r="C148" s="93" t="s">
        <v>410</v>
      </c>
      <c r="D148" s="94"/>
      <c r="E148" s="139" t="s">
        <v>3298</v>
      </c>
      <c r="F148" s="139" t="s">
        <v>3299</v>
      </c>
      <c r="G148" s="94"/>
      <c r="H148" s="93" t="s">
        <v>2834</v>
      </c>
      <c r="I148" s="102" t="s">
        <v>181</v>
      </c>
      <c r="J148" s="94"/>
      <c r="K148" s="98">
        <v>10500.0</v>
      </c>
      <c r="L148" s="98">
        <v>3000.0</v>
      </c>
      <c r="M148" s="99"/>
      <c r="N148" s="111"/>
      <c r="O148" s="112"/>
      <c r="P148" s="94"/>
      <c r="Q148" s="102">
        <v>6.0</v>
      </c>
      <c r="R148" s="113"/>
      <c r="S148" s="102" t="s">
        <v>105</v>
      </c>
      <c r="T148" s="94"/>
      <c r="V148" s="104"/>
    </row>
    <row r="149" ht="15.75" customHeight="1">
      <c r="A149" s="91"/>
      <c r="B149" s="131"/>
      <c r="C149" s="132"/>
      <c r="D149" s="94"/>
      <c r="E149" s="247"/>
      <c r="F149" s="238"/>
      <c r="G149" s="94"/>
      <c r="H149" s="93"/>
      <c r="I149" s="94"/>
      <c r="J149" s="94"/>
      <c r="K149" s="125"/>
      <c r="L149" s="125"/>
      <c r="M149" s="99"/>
      <c r="N149" s="111"/>
      <c r="O149" s="112"/>
      <c r="P149" s="94"/>
      <c r="Q149" s="120"/>
      <c r="R149" s="113"/>
      <c r="S149" s="94"/>
      <c r="T149" s="94"/>
      <c r="V149" s="104"/>
    </row>
    <row r="150" ht="15.75" customHeight="1">
      <c r="A150" s="91"/>
      <c r="B150" s="131"/>
      <c r="C150" s="132"/>
      <c r="D150" s="94"/>
      <c r="E150" s="247"/>
      <c r="F150" s="238"/>
      <c r="G150" s="94"/>
      <c r="H150" s="93"/>
      <c r="I150" s="94"/>
      <c r="J150" s="94"/>
      <c r="K150" s="126"/>
      <c r="L150" s="126"/>
      <c r="M150" s="99"/>
      <c r="N150" s="111"/>
      <c r="O150" s="112"/>
      <c r="P150" s="94"/>
      <c r="Q150" s="120"/>
      <c r="R150" s="113"/>
      <c r="S150" s="94"/>
      <c r="T150" s="94"/>
      <c r="V150" s="104"/>
    </row>
    <row r="151" ht="15.75" customHeight="1">
      <c r="A151" s="91"/>
      <c r="B151" s="131"/>
      <c r="C151" s="132"/>
      <c r="D151" s="94"/>
      <c r="E151" s="247"/>
      <c r="F151" s="247"/>
      <c r="G151" s="94"/>
      <c r="H151" s="93"/>
      <c r="I151" s="94"/>
      <c r="J151" s="94"/>
      <c r="K151" s="125"/>
      <c r="L151" s="125"/>
      <c r="M151" s="99"/>
      <c r="N151" s="111"/>
      <c r="O151" s="112"/>
      <c r="P151" s="94"/>
      <c r="Q151" s="120"/>
      <c r="R151" s="113"/>
      <c r="S151" s="94"/>
      <c r="T151" s="94"/>
      <c r="V151" s="104"/>
    </row>
    <row r="152" ht="15.75" customHeight="1">
      <c r="A152" s="91"/>
      <c r="B152" s="131"/>
      <c r="C152" s="104"/>
      <c r="D152" s="94"/>
      <c r="E152" s="247"/>
      <c r="F152" s="247"/>
      <c r="G152" s="94"/>
      <c r="H152" s="93"/>
      <c r="I152" s="94"/>
      <c r="J152" s="94"/>
      <c r="K152" s="126"/>
      <c r="L152" s="126"/>
      <c r="M152" s="99"/>
      <c r="N152" s="111"/>
      <c r="O152" s="112"/>
      <c r="P152" s="94"/>
      <c r="Q152" s="94"/>
      <c r="R152" s="113"/>
      <c r="S152" s="94"/>
      <c r="T152" s="94"/>
      <c r="V152" s="104"/>
    </row>
    <row r="153" ht="15.75" customHeight="1">
      <c r="A153" s="91"/>
      <c r="B153" s="131"/>
      <c r="C153" s="104"/>
      <c r="D153" s="94"/>
      <c r="E153" s="247"/>
      <c r="F153" s="247"/>
      <c r="G153" s="94"/>
      <c r="H153" s="93"/>
      <c r="I153" s="94"/>
      <c r="J153" s="94"/>
      <c r="K153" s="125"/>
      <c r="L153" s="125"/>
      <c r="M153" s="99"/>
      <c r="N153" s="111"/>
      <c r="O153" s="112"/>
      <c r="P153" s="94"/>
      <c r="Q153" s="120"/>
      <c r="R153" s="113"/>
      <c r="S153" s="94"/>
      <c r="T153" s="94"/>
      <c r="V153" s="104"/>
    </row>
    <row r="154" ht="15.75" customHeight="1">
      <c r="A154" s="91"/>
      <c r="B154" s="131"/>
      <c r="C154" s="104"/>
      <c r="D154" s="94"/>
      <c r="E154" s="247"/>
      <c r="F154" s="247"/>
      <c r="G154" s="94"/>
      <c r="H154" s="93"/>
      <c r="I154" s="94"/>
      <c r="J154" s="94"/>
      <c r="K154" s="126"/>
      <c r="L154" s="126"/>
      <c r="M154" s="99"/>
      <c r="N154" s="111"/>
      <c r="O154" s="112"/>
      <c r="P154" s="94"/>
      <c r="Q154" s="94"/>
      <c r="R154" s="113"/>
      <c r="S154" s="94"/>
      <c r="T154" s="94"/>
      <c r="V154" s="104"/>
    </row>
    <row r="155" ht="15.75" customHeight="1">
      <c r="A155" s="91"/>
      <c r="B155" s="131"/>
      <c r="C155" s="132"/>
      <c r="D155" s="94"/>
      <c r="E155" s="247"/>
      <c r="F155" s="247"/>
      <c r="G155" s="94"/>
      <c r="H155" s="93"/>
      <c r="I155" s="94"/>
      <c r="J155" s="94"/>
      <c r="K155" s="125"/>
      <c r="L155" s="125"/>
      <c r="M155" s="99"/>
      <c r="N155" s="111"/>
      <c r="O155" s="112"/>
      <c r="P155" s="94"/>
      <c r="Q155" s="94"/>
      <c r="R155" s="113"/>
      <c r="S155" s="94"/>
      <c r="T155" s="94"/>
      <c r="V155" s="104"/>
    </row>
    <row r="156" ht="15.75" customHeight="1">
      <c r="A156" s="91"/>
      <c r="B156" s="131"/>
      <c r="C156" s="132"/>
      <c r="D156" s="94"/>
      <c r="E156" s="247"/>
      <c r="F156" s="247"/>
      <c r="G156" s="94"/>
      <c r="H156" s="93"/>
      <c r="I156" s="94"/>
      <c r="J156" s="94"/>
      <c r="K156" s="126"/>
      <c r="L156" s="126"/>
      <c r="M156" s="99"/>
      <c r="N156" s="111"/>
      <c r="O156" s="112"/>
      <c r="P156" s="94"/>
      <c r="Q156" s="120"/>
      <c r="R156" s="113"/>
      <c r="S156" s="94"/>
      <c r="T156" s="94"/>
      <c r="V156" s="104"/>
    </row>
    <row r="157" ht="15.75" customHeight="1">
      <c r="A157" s="91"/>
      <c r="B157" s="131"/>
      <c r="C157" s="132"/>
      <c r="D157" s="94"/>
      <c r="E157" s="247"/>
      <c r="F157" s="247"/>
      <c r="G157" s="94"/>
      <c r="H157" s="93"/>
      <c r="I157" s="94"/>
      <c r="J157" s="94"/>
      <c r="K157" s="125"/>
      <c r="L157" s="125"/>
      <c r="M157" s="99"/>
      <c r="N157" s="111"/>
      <c r="O157" s="112"/>
      <c r="P157" s="94"/>
      <c r="Q157" s="94"/>
      <c r="R157" s="113"/>
      <c r="S157" s="94"/>
      <c r="T157" s="94"/>
      <c r="V157" s="104"/>
    </row>
    <row r="158" ht="15.75" customHeight="1">
      <c r="A158" s="91"/>
      <c r="B158" s="131"/>
      <c r="C158" s="132"/>
      <c r="D158" s="94"/>
      <c r="E158" s="247"/>
      <c r="F158" s="247"/>
      <c r="G158" s="94"/>
      <c r="H158" s="93"/>
      <c r="I158" s="94"/>
      <c r="J158" s="94"/>
      <c r="K158" s="126"/>
      <c r="L158" s="126"/>
      <c r="M158" s="99"/>
      <c r="N158" s="111"/>
      <c r="O158" s="112"/>
      <c r="P158" s="94"/>
      <c r="Q158" s="94"/>
      <c r="R158" s="113"/>
      <c r="S158" s="94"/>
      <c r="T158" s="94"/>
      <c r="V158" s="104"/>
    </row>
    <row r="159" ht="15.75" customHeight="1">
      <c r="A159" s="91"/>
      <c r="B159" s="131"/>
      <c r="C159" s="132"/>
      <c r="D159" s="94"/>
      <c r="E159" s="247"/>
      <c r="F159" s="247"/>
      <c r="G159" s="94"/>
      <c r="H159" s="93"/>
      <c r="I159" s="94"/>
      <c r="J159" s="94"/>
      <c r="K159" s="125"/>
      <c r="L159" s="125"/>
      <c r="M159" s="99"/>
      <c r="N159" s="111"/>
      <c r="O159" s="112"/>
      <c r="P159" s="94"/>
      <c r="Q159" s="120"/>
      <c r="R159" s="113"/>
      <c r="S159" s="94"/>
      <c r="T159" s="94"/>
      <c r="V159" s="104"/>
    </row>
    <row r="160" ht="15.75" customHeight="1">
      <c r="A160" s="91"/>
      <c r="B160" s="131"/>
      <c r="C160" s="104"/>
      <c r="D160" s="94"/>
      <c r="E160" s="247"/>
      <c r="F160" s="247"/>
      <c r="G160" s="94"/>
      <c r="H160" s="93"/>
      <c r="I160" s="94"/>
      <c r="J160" s="94"/>
      <c r="K160" s="126"/>
      <c r="L160" s="126"/>
      <c r="M160" s="99"/>
      <c r="N160" s="111"/>
      <c r="O160" s="112"/>
      <c r="P160" s="94"/>
      <c r="Q160" s="94"/>
      <c r="R160" s="113"/>
      <c r="S160" s="94"/>
      <c r="T160" s="94"/>
      <c r="V160" s="104"/>
    </row>
    <row r="161" ht="15.75" customHeight="1">
      <c r="A161" s="91"/>
      <c r="B161" s="131"/>
      <c r="C161" s="104"/>
      <c r="D161" s="94"/>
      <c r="E161" s="247"/>
      <c r="F161" s="247"/>
      <c r="G161" s="94"/>
      <c r="H161" s="93"/>
      <c r="I161" s="94"/>
      <c r="J161" s="94"/>
      <c r="K161" s="125"/>
      <c r="L161" s="125"/>
      <c r="M161" s="99"/>
      <c r="N161" s="111"/>
      <c r="O161" s="112"/>
      <c r="P161" s="94"/>
      <c r="Q161" s="120"/>
      <c r="R161" s="113"/>
      <c r="S161" s="94"/>
      <c r="T161" s="94"/>
      <c r="V161" s="104"/>
    </row>
    <row r="162" ht="15.75" customHeight="1">
      <c r="A162" s="91"/>
      <c r="B162" s="131"/>
      <c r="C162" s="104"/>
      <c r="D162" s="94"/>
      <c r="E162" s="247"/>
      <c r="F162" s="247"/>
      <c r="G162" s="94"/>
      <c r="H162" s="93"/>
      <c r="I162" s="94"/>
      <c r="J162" s="94"/>
      <c r="K162" s="126"/>
      <c r="L162" s="126"/>
      <c r="M162" s="99"/>
      <c r="N162" s="111"/>
      <c r="O162" s="112"/>
      <c r="P162" s="94"/>
      <c r="Q162" s="120"/>
      <c r="R162" s="113"/>
      <c r="S162" s="94"/>
      <c r="T162" s="94"/>
      <c r="V162" s="104"/>
    </row>
    <row r="163" ht="15.75" customHeight="1">
      <c r="A163" s="91"/>
      <c r="B163" s="131"/>
      <c r="C163" s="132"/>
      <c r="D163" s="94"/>
      <c r="E163" s="247"/>
      <c r="F163" s="247"/>
      <c r="G163" s="94"/>
      <c r="H163" s="93"/>
      <c r="I163" s="94"/>
      <c r="J163" s="94"/>
      <c r="K163" s="125"/>
      <c r="L163" s="125"/>
      <c r="M163" s="99"/>
      <c r="N163" s="111"/>
      <c r="O163" s="112"/>
      <c r="P163" s="94"/>
      <c r="Q163" s="120"/>
      <c r="R163" s="113"/>
      <c r="S163" s="94"/>
      <c r="T163" s="94"/>
      <c r="V163" s="104"/>
    </row>
    <row r="164" ht="15.75" customHeight="1">
      <c r="A164" s="91"/>
      <c r="B164" s="131"/>
      <c r="C164" s="132"/>
      <c r="D164" s="94"/>
      <c r="E164" s="247"/>
      <c r="F164" s="247"/>
      <c r="G164" s="94"/>
      <c r="H164" s="93"/>
      <c r="I164" s="94"/>
      <c r="J164" s="94"/>
      <c r="K164" s="126"/>
      <c r="L164" s="126"/>
      <c r="M164" s="99"/>
      <c r="N164" s="111"/>
      <c r="O164" s="112"/>
      <c r="P164" s="94"/>
      <c r="Q164" s="94"/>
      <c r="R164" s="113"/>
      <c r="S164" s="94"/>
      <c r="T164" s="94"/>
      <c r="V164" s="104"/>
    </row>
    <row r="165" ht="15.75" customHeight="1">
      <c r="A165" s="91"/>
      <c r="B165" s="131"/>
      <c r="C165" s="132"/>
      <c r="D165" s="94"/>
      <c r="E165" s="247"/>
      <c r="F165" s="247"/>
      <c r="G165" s="94"/>
      <c r="H165" s="93"/>
      <c r="I165" s="94"/>
      <c r="J165" s="94"/>
      <c r="K165" s="125"/>
      <c r="L165" s="125"/>
      <c r="M165" s="99"/>
      <c r="N165" s="111"/>
      <c r="O165" s="112"/>
      <c r="P165" s="94"/>
      <c r="Q165" s="120"/>
      <c r="R165" s="113"/>
      <c r="S165" s="94"/>
      <c r="T165" s="94"/>
      <c r="V165" s="104"/>
    </row>
    <row r="166" ht="15.75" customHeight="1">
      <c r="A166" s="91"/>
      <c r="B166" s="131"/>
      <c r="C166" s="132"/>
      <c r="D166" s="94"/>
      <c r="E166" s="247"/>
      <c r="F166" s="247"/>
      <c r="G166" s="94"/>
      <c r="H166" s="93"/>
      <c r="I166" s="94"/>
      <c r="J166" s="94"/>
      <c r="K166" s="126"/>
      <c r="L166" s="126"/>
      <c r="M166" s="99"/>
      <c r="N166" s="111"/>
      <c r="O166" s="112"/>
      <c r="P166" s="94"/>
      <c r="Q166" s="94"/>
      <c r="R166" s="113"/>
      <c r="S166" s="94"/>
      <c r="T166" s="94"/>
      <c r="V166" s="104"/>
    </row>
    <row r="167" ht="15.75" customHeight="1">
      <c r="A167" s="91"/>
      <c r="B167" s="131"/>
      <c r="C167" s="132"/>
      <c r="D167" s="94"/>
      <c r="E167" s="247"/>
      <c r="F167" s="248"/>
      <c r="G167" s="94"/>
      <c r="H167" s="93"/>
      <c r="I167" s="94"/>
      <c r="J167" s="94"/>
      <c r="K167" s="125"/>
      <c r="L167" s="125"/>
      <c r="M167" s="99"/>
      <c r="N167" s="111"/>
      <c r="O167" s="112"/>
      <c r="P167" s="94"/>
      <c r="Q167" s="120"/>
      <c r="R167" s="113"/>
      <c r="S167" s="94"/>
      <c r="T167" s="94"/>
      <c r="V167" s="104"/>
    </row>
    <row r="168" ht="15.75" customHeight="1">
      <c r="A168" s="91"/>
      <c r="B168" s="131"/>
      <c r="C168" s="104"/>
      <c r="D168" s="94"/>
      <c r="E168" s="247"/>
      <c r="F168" s="247"/>
      <c r="G168" s="94"/>
      <c r="H168" s="93"/>
      <c r="I168" s="94"/>
      <c r="J168" s="94"/>
      <c r="K168" s="126"/>
      <c r="L168" s="126"/>
      <c r="M168" s="99"/>
      <c r="N168" s="111"/>
      <c r="O168" s="112"/>
      <c r="P168" s="94"/>
      <c r="Q168" s="94"/>
      <c r="R168" s="113"/>
      <c r="S168" s="94"/>
      <c r="T168" s="94"/>
      <c r="V168" s="104"/>
    </row>
    <row r="169" ht="15.75" customHeight="1">
      <c r="A169" s="91"/>
      <c r="B169" s="131"/>
      <c r="C169" s="104"/>
      <c r="D169" s="94"/>
      <c r="E169" s="247"/>
      <c r="F169" s="247"/>
      <c r="G169" s="94"/>
      <c r="H169" s="93"/>
      <c r="I169" s="94"/>
      <c r="J169" s="94"/>
      <c r="K169" s="125"/>
      <c r="L169" s="125"/>
      <c r="M169" s="99"/>
      <c r="N169" s="111"/>
      <c r="O169" s="112"/>
      <c r="P169" s="94"/>
      <c r="Q169" s="120"/>
      <c r="R169" s="113"/>
      <c r="S169" s="94"/>
      <c r="T169" s="94"/>
      <c r="V169" s="104"/>
    </row>
    <row r="170" ht="15.75" customHeight="1">
      <c r="A170" s="91"/>
      <c r="B170" s="131"/>
      <c r="C170" s="132"/>
      <c r="D170" s="94"/>
      <c r="E170" s="247"/>
      <c r="F170" s="247"/>
      <c r="G170" s="94"/>
      <c r="H170" s="93"/>
      <c r="I170" s="94"/>
      <c r="J170" s="94"/>
      <c r="K170" s="126"/>
      <c r="L170" s="126"/>
      <c r="M170" s="99"/>
      <c r="N170" s="111"/>
      <c r="O170" s="112"/>
      <c r="P170" s="94"/>
      <c r="Q170" s="120"/>
      <c r="R170" s="113"/>
      <c r="S170" s="94"/>
      <c r="T170" s="94"/>
      <c r="V170" s="104"/>
    </row>
    <row r="171" ht="15.75" customHeight="1">
      <c r="A171" s="91"/>
      <c r="B171" s="131"/>
      <c r="C171" s="132"/>
      <c r="D171" s="94"/>
      <c r="E171" s="247"/>
      <c r="F171" s="247"/>
      <c r="G171" s="94"/>
      <c r="H171" s="93"/>
      <c r="I171" s="94"/>
      <c r="J171" s="94"/>
      <c r="K171" s="125"/>
      <c r="L171" s="125"/>
      <c r="M171" s="99"/>
      <c r="N171" s="111"/>
      <c r="O171" s="112"/>
      <c r="P171" s="94"/>
      <c r="Q171" s="120"/>
      <c r="R171" s="113"/>
      <c r="S171" s="94"/>
      <c r="T171" s="94"/>
      <c r="V171" s="104"/>
    </row>
    <row r="172" ht="15.75" customHeight="1">
      <c r="A172" s="91"/>
      <c r="B172" s="131"/>
      <c r="C172" s="132"/>
      <c r="D172" s="94"/>
      <c r="E172" s="247"/>
      <c r="F172" s="247"/>
      <c r="G172" s="94"/>
      <c r="H172" s="93"/>
      <c r="I172" s="94"/>
      <c r="J172" s="94"/>
      <c r="K172" s="126"/>
      <c r="L172" s="126"/>
      <c r="M172" s="99"/>
      <c r="N172" s="111"/>
      <c r="O172" s="112"/>
      <c r="P172" s="94"/>
      <c r="Q172" s="120"/>
      <c r="R172" s="113"/>
      <c r="S172" s="94"/>
      <c r="T172" s="94"/>
      <c r="V172" s="104"/>
    </row>
    <row r="173" ht="15.75" customHeight="1">
      <c r="A173" s="91"/>
      <c r="B173" s="131"/>
      <c r="C173" s="132"/>
      <c r="D173" s="94"/>
      <c r="E173" s="247"/>
      <c r="F173" s="247"/>
      <c r="G173" s="94"/>
      <c r="H173" s="93"/>
      <c r="I173" s="94"/>
      <c r="J173" s="94"/>
      <c r="K173" s="125"/>
      <c r="L173" s="125"/>
      <c r="M173" s="99"/>
      <c r="N173" s="111"/>
      <c r="O173" s="112"/>
      <c r="P173" s="94"/>
      <c r="Q173" s="120"/>
      <c r="R173" s="113"/>
      <c r="S173" s="94"/>
      <c r="T173" s="94"/>
      <c r="V173" s="104"/>
    </row>
    <row r="174" ht="15.75" customHeight="1">
      <c r="A174" s="91"/>
      <c r="B174" s="131"/>
      <c r="C174" s="132"/>
      <c r="D174" s="94"/>
      <c r="E174" s="247"/>
      <c r="F174" s="247"/>
      <c r="G174" s="94"/>
      <c r="H174" s="93"/>
      <c r="I174" s="94"/>
      <c r="J174" s="94"/>
      <c r="K174" s="126"/>
      <c r="L174" s="126"/>
      <c r="M174" s="99"/>
      <c r="N174" s="111"/>
      <c r="O174" s="112"/>
      <c r="P174" s="94"/>
      <c r="Q174" s="120"/>
      <c r="R174" s="113"/>
      <c r="S174" s="94"/>
      <c r="T174" s="94"/>
      <c r="V174" s="104"/>
    </row>
    <row r="175" ht="15.75" customHeight="1">
      <c r="A175" s="91"/>
      <c r="B175" s="131"/>
      <c r="C175" s="104"/>
      <c r="D175" s="94"/>
      <c r="E175" s="247"/>
      <c r="F175" s="247"/>
      <c r="G175" s="94"/>
      <c r="H175" s="93"/>
      <c r="I175" s="94"/>
      <c r="J175" s="94"/>
      <c r="K175" s="125"/>
      <c r="L175" s="125"/>
      <c r="M175" s="99"/>
      <c r="N175" s="111"/>
      <c r="O175" s="112"/>
      <c r="P175" s="94"/>
      <c r="Q175" s="120"/>
      <c r="R175" s="113"/>
      <c r="S175" s="94"/>
      <c r="T175" s="94"/>
      <c r="V175" s="104"/>
    </row>
    <row r="176" ht="15.75" customHeight="1">
      <c r="A176" s="91"/>
      <c r="B176" s="131"/>
      <c r="C176" s="132"/>
      <c r="D176" s="94"/>
      <c r="E176" s="247"/>
      <c r="F176" s="247"/>
      <c r="G176" s="94"/>
      <c r="H176" s="93"/>
      <c r="I176" s="94"/>
      <c r="J176" s="94"/>
      <c r="K176" s="126"/>
      <c r="L176" s="126"/>
      <c r="M176" s="99"/>
      <c r="N176" s="111"/>
      <c r="O176" s="112"/>
      <c r="P176" s="94"/>
      <c r="Q176" s="120"/>
      <c r="R176" s="113"/>
      <c r="S176" s="94"/>
      <c r="T176" s="94"/>
      <c r="V176" s="104"/>
    </row>
    <row r="177" ht="15.75" customHeight="1">
      <c r="A177" s="91"/>
      <c r="B177" s="131"/>
      <c r="C177" s="132"/>
      <c r="D177" s="94"/>
      <c r="E177" s="247"/>
      <c r="F177" s="247"/>
      <c r="G177" s="94"/>
      <c r="H177" s="93"/>
      <c r="I177" s="94"/>
      <c r="J177" s="94"/>
      <c r="K177" s="125"/>
      <c r="L177" s="125"/>
      <c r="M177" s="99"/>
      <c r="N177" s="111"/>
      <c r="O177" s="112"/>
      <c r="P177" s="94"/>
      <c r="Q177" s="120"/>
      <c r="R177" s="113"/>
      <c r="S177" s="94"/>
      <c r="T177" s="94"/>
      <c r="V177" s="104"/>
    </row>
    <row r="178" ht="15.75" customHeight="1">
      <c r="A178" s="91"/>
      <c r="B178" s="131"/>
      <c r="C178" s="132"/>
      <c r="D178" s="94"/>
      <c r="E178" s="247"/>
      <c r="F178" s="247"/>
      <c r="G178" s="94"/>
      <c r="H178" s="93"/>
      <c r="I178" s="94"/>
      <c r="J178" s="94"/>
      <c r="K178" s="126"/>
      <c r="L178" s="126"/>
      <c r="M178" s="99"/>
      <c r="N178" s="111"/>
      <c r="O178" s="112"/>
      <c r="P178" s="94"/>
      <c r="Q178" s="120"/>
      <c r="R178" s="113"/>
      <c r="S178" s="94"/>
      <c r="T178" s="94"/>
      <c r="V178" s="104"/>
    </row>
    <row r="179" ht="15.75" customHeight="1">
      <c r="A179" s="91"/>
      <c r="B179" s="131"/>
      <c r="C179" s="132"/>
      <c r="D179" s="94"/>
      <c r="E179" s="247"/>
      <c r="F179" s="247"/>
      <c r="G179" s="94"/>
      <c r="H179" s="93"/>
      <c r="I179" s="94"/>
      <c r="J179" s="94"/>
      <c r="K179" s="125"/>
      <c r="L179" s="125"/>
      <c r="M179" s="99"/>
      <c r="N179" s="111"/>
      <c r="O179" s="112"/>
      <c r="P179" s="94"/>
      <c r="Q179" s="120"/>
      <c r="R179" s="113"/>
      <c r="S179" s="94"/>
      <c r="T179" s="94"/>
      <c r="V179" s="104"/>
    </row>
    <row r="180" ht="15.75" customHeight="1">
      <c r="A180" s="91"/>
      <c r="B180" s="131"/>
      <c r="C180" s="132"/>
      <c r="D180" s="94"/>
      <c r="E180" s="247"/>
      <c r="F180" s="247"/>
      <c r="G180" s="94"/>
      <c r="H180" s="93"/>
      <c r="I180" s="94"/>
      <c r="J180" s="94"/>
      <c r="K180" s="126"/>
      <c r="L180" s="126"/>
      <c r="M180" s="99"/>
      <c r="N180" s="111"/>
      <c r="O180" s="112"/>
      <c r="P180" s="94"/>
      <c r="Q180" s="120"/>
      <c r="R180" s="113"/>
      <c r="S180" s="94"/>
      <c r="T180" s="94"/>
      <c r="V180" s="104"/>
    </row>
    <row r="181" ht="15.75" customHeight="1">
      <c r="A181" s="91"/>
      <c r="B181" s="131"/>
      <c r="C181" s="104"/>
      <c r="D181" s="94"/>
      <c r="E181" s="247"/>
      <c r="F181" s="247"/>
      <c r="G181" s="94"/>
      <c r="H181" s="93"/>
      <c r="I181" s="94"/>
      <c r="J181" s="94"/>
      <c r="K181" s="125"/>
      <c r="L181" s="125"/>
      <c r="M181" s="99"/>
      <c r="N181" s="111"/>
      <c r="O181" s="112"/>
      <c r="P181" s="94"/>
      <c r="Q181" s="120"/>
      <c r="R181" s="113"/>
      <c r="S181" s="94"/>
      <c r="T181" s="94"/>
      <c r="V181" s="104"/>
    </row>
    <row r="182" ht="15.75" customHeight="1">
      <c r="A182" s="91"/>
      <c r="B182" s="131"/>
      <c r="C182" s="132"/>
      <c r="D182" s="94"/>
      <c r="E182" s="247"/>
      <c r="F182" s="247"/>
      <c r="G182" s="94"/>
      <c r="H182" s="93"/>
      <c r="I182" s="94"/>
      <c r="J182" s="94"/>
      <c r="K182" s="126"/>
      <c r="L182" s="126"/>
      <c r="M182" s="99"/>
      <c r="N182" s="111"/>
      <c r="O182" s="112"/>
      <c r="P182" s="94"/>
      <c r="Q182" s="120"/>
      <c r="R182" s="113"/>
      <c r="S182" s="94"/>
      <c r="T182" s="94"/>
      <c r="V182" s="104"/>
    </row>
    <row r="183" ht="15.75" customHeight="1">
      <c r="A183" s="91"/>
      <c r="B183" s="131"/>
      <c r="C183" s="132"/>
      <c r="D183" s="94"/>
      <c r="E183" s="247"/>
      <c r="F183" s="247"/>
      <c r="G183" s="94"/>
      <c r="H183" s="93"/>
      <c r="I183" s="94"/>
      <c r="J183" s="94"/>
      <c r="K183" s="125"/>
      <c r="L183" s="125"/>
      <c r="M183" s="99"/>
      <c r="N183" s="111"/>
      <c r="O183" s="112"/>
      <c r="P183" s="94"/>
      <c r="Q183" s="120"/>
      <c r="R183" s="113"/>
      <c r="S183" s="94"/>
      <c r="T183" s="94"/>
      <c r="V183" s="104"/>
    </row>
    <row r="184" ht="15.75" customHeight="1">
      <c r="A184" s="91"/>
      <c r="B184" s="131"/>
      <c r="C184" s="132"/>
      <c r="D184" s="94"/>
      <c r="E184" s="247"/>
      <c r="F184" s="247"/>
      <c r="G184" s="94"/>
      <c r="H184" s="93"/>
      <c r="I184" s="94"/>
      <c r="J184" s="94"/>
      <c r="K184" s="126"/>
      <c r="L184" s="126"/>
      <c r="M184" s="99"/>
      <c r="N184" s="111"/>
      <c r="O184" s="112"/>
      <c r="P184" s="94"/>
      <c r="Q184" s="120"/>
      <c r="R184" s="113"/>
      <c r="S184" s="94"/>
      <c r="T184" s="94"/>
      <c r="V184" s="104"/>
    </row>
    <row r="185" ht="15.75" customHeight="1">
      <c r="A185" s="91"/>
      <c r="B185" s="131"/>
      <c r="C185" s="132"/>
      <c r="D185" s="94"/>
      <c r="E185" s="247"/>
      <c r="F185" s="247"/>
      <c r="G185" s="94"/>
      <c r="H185" s="93"/>
      <c r="I185" s="94"/>
      <c r="J185" s="94"/>
      <c r="K185" s="125"/>
      <c r="L185" s="125"/>
      <c r="M185" s="99"/>
      <c r="N185" s="111"/>
      <c r="O185" s="112"/>
      <c r="P185" s="94"/>
      <c r="Q185" s="120"/>
      <c r="R185" s="113"/>
      <c r="S185" s="94"/>
      <c r="T185" s="94"/>
      <c r="V185" s="104"/>
    </row>
    <row r="186" ht="15.75" customHeight="1">
      <c r="A186" s="91"/>
      <c r="B186" s="131"/>
      <c r="C186" s="132"/>
      <c r="D186" s="94"/>
      <c r="E186" s="247"/>
      <c r="F186" s="247"/>
      <c r="G186" s="94"/>
      <c r="H186" s="93"/>
      <c r="I186" s="94"/>
      <c r="J186" s="94"/>
      <c r="K186" s="126"/>
      <c r="L186" s="126"/>
      <c r="M186" s="99"/>
      <c r="N186" s="111"/>
      <c r="O186" s="112"/>
      <c r="P186" s="94"/>
      <c r="Q186" s="120"/>
      <c r="R186" s="113"/>
      <c r="S186" s="94"/>
      <c r="T186" s="94"/>
      <c r="V186" s="104"/>
    </row>
    <row r="187" ht="15.75" customHeight="1">
      <c r="A187" s="91"/>
      <c r="B187" s="131"/>
      <c r="C187" s="104"/>
      <c r="D187" s="94"/>
      <c r="E187" s="247"/>
      <c r="F187" s="247"/>
      <c r="G187" s="94"/>
      <c r="H187" s="93"/>
      <c r="I187" s="94"/>
      <c r="J187" s="94"/>
      <c r="K187" s="125"/>
      <c r="L187" s="125"/>
      <c r="M187" s="99"/>
      <c r="N187" s="111"/>
      <c r="O187" s="112"/>
      <c r="P187" s="94"/>
      <c r="Q187" s="120"/>
      <c r="R187" s="113"/>
      <c r="S187" s="94"/>
      <c r="T187" s="94"/>
      <c r="V187" s="104"/>
    </row>
    <row r="188" ht="15.75" customHeight="1">
      <c r="A188" s="91"/>
      <c r="B188" s="131"/>
      <c r="C188" s="132"/>
      <c r="D188" s="94"/>
      <c r="E188" s="247"/>
      <c r="F188" s="247"/>
      <c r="G188" s="94"/>
      <c r="H188" s="93"/>
      <c r="I188" s="94"/>
      <c r="J188" s="94"/>
      <c r="K188" s="126"/>
      <c r="L188" s="126"/>
      <c r="M188" s="99"/>
      <c r="N188" s="111"/>
      <c r="O188" s="112"/>
      <c r="P188" s="94"/>
      <c r="Q188" s="120"/>
      <c r="R188" s="113"/>
      <c r="S188" s="94"/>
      <c r="T188" s="94"/>
      <c r="V188" s="104"/>
    </row>
    <row r="189" ht="15.75" customHeight="1">
      <c r="A189" s="91"/>
      <c r="B189" s="131"/>
      <c r="C189" s="132"/>
      <c r="D189" s="94"/>
      <c r="E189" s="247"/>
      <c r="F189" s="247"/>
      <c r="G189" s="94"/>
      <c r="H189" s="93"/>
      <c r="I189" s="94"/>
      <c r="J189" s="94"/>
      <c r="K189" s="125"/>
      <c r="L189" s="125"/>
      <c r="M189" s="99"/>
      <c r="N189" s="111"/>
      <c r="O189" s="112"/>
      <c r="P189" s="94"/>
      <c r="Q189" s="120"/>
      <c r="R189" s="113"/>
      <c r="S189" s="94"/>
      <c r="T189" s="94"/>
      <c r="V189" s="104"/>
    </row>
    <row r="190" ht="15.75" customHeight="1">
      <c r="A190" s="91"/>
      <c r="B190" s="131"/>
      <c r="C190" s="132"/>
      <c r="D190" s="94"/>
      <c r="E190" s="247"/>
      <c r="F190" s="247"/>
      <c r="G190" s="94"/>
      <c r="H190" s="93"/>
      <c r="I190" s="94"/>
      <c r="J190" s="94"/>
      <c r="K190" s="126"/>
      <c r="L190" s="126"/>
      <c r="M190" s="99"/>
      <c r="N190" s="111"/>
      <c r="O190" s="112"/>
      <c r="P190" s="94"/>
      <c r="Q190" s="120"/>
      <c r="R190" s="113"/>
      <c r="S190" s="94"/>
      <c r="T190" s="94"/>
      <c r="V190" s="104"/>
    </row>
    <row r="191" ht="15.75" customHeight="1">
      <c r="A191" s="91"/>
      <c r="B191" s="131"/>
      <c r="C191" s="132"/>
      <c r="D191" s="94"/>
      <c r="E191" s="247"/>
      <c r="F191" s="247"/>
      <c r="G191" s="94"/>
      <c r="H191" s="93"/>
      <c r="I191" s="94"/>
      <c r="J191" s="94"/>
      <c r="K191" s="125"/>
      <c r="L191" s="125"/>
      <c r="M191" s="99"/>
      <c r="N191" s="111"/>
      <c r="O191" s="112"/>
      <c r="P191" s="94"/>
      <c r="Q191" s="120"/>
      <c r="R191" s="113"/>
      <c r="S191" s="94"/>
      <c r="T191" s="94"/>
      <c r="V191" s="104"/>
    </row>
    <row r="192" ht="15.75" customHeight="1">
      <c r="A192" s="91"/>
      <c r="B192" s="131"/>
      <c r="C192" s="132"/>
      <c r="D192" s="94"/>
      <c r="E192" s="247"/>
      <c r="F192" s="247"/>
      <c r="G192" s="94"/>
      <c r="H192" s="93"/>
      <c r="I192" s="94"/>
      <c r="J192" s="94"/>
      <c r="K192" s="126"/>
      <c r="L192" s="126"/>
      <c r="M192" s="99"/>
      <c r="N192" s="111"/>
      <c r="O192" s="112"/>
      <c r="P192" s="94"/>
      <c r="Q192" s="120"/>
      <c r="R192" s="113"/>
      <c r="S192" s="94"/>
      <c r="T192" s="94"/>
      <c r="V192" s="104"/>
    </row>
    <row r="193" ht="15.75" customHeight="1">
      <c r="A193" s="91"/>
      <c r="B193" s="131"/>
      <c r="C193" s="104"/>
      <c r="D193" s="94"/>
      <c r="E193" s="247"/>
      <c r="F193" s="247"/>
      <c r="G193" s="94"/>
      <c r="H193" s="93"/>
      <c r="I193" s="94"/>
      <c r="J193" s="94"/>
      <c r="K193" s="125"/>
      <c r="L193" s="125"/>
      <c r="M193" s="99"/>
      <c r="N193" s="111"/>
      <c r="O193" s="112"/>
      <c r="P193" s="94"/>
      <c r="Q193" s="120"/>
      <c r="R193" s="113"/>
      <c r="S193" s="94"/>
      <c r="T193" s="94"/>
      <c r="V193" s="104"/>
    </row>
    <row r="194" ht="15.75" customHeight="1">
      <c r="A194" s="91"/>
      <c r="B194" s="131"/>
      <c r="C194" s="132"/>
      <c r="D194" s="94"/>
      <c r="E194" s="247"/>
      <c r="F194" s="247"/>
      <c r="G194" s="94"/>
      <c r="H194" s="93"/>
      <c r="I194" s="94"/>
      <c r="J194" s="94"/>
      <c r="K194" s="126"/>
      <c r="L194" s="126"/>
      <c r="M194" s="99"/>
      <c r="N194" s="111"/>
      <c r="O194" s="112"/>
      <c r="P194" s="94"/>
      <c r="Q194" s="120"/>
      <c r="R194" s="113"/>
      <c r="S194" s="94"/>
      <c r="T194" s="94"/>
      <c r="V194" s="104"/>
    </row>
    <row r="195" ht="15.75" customHeight="1">
      <c r="A195" s="91"/>
      <c r="B195" s="131"/>
      <c r="C195" s="132"/>
      <c r="D195" s="94"/>
      <c r="E195" s="247"/>
      <c r="F195" s="247"/>
      <c r="G195" s="94"/>
      <c r="H195" s="93"/>
      <c r="I195" s="94"/>
      <c r="J195" s="94"/>
      <c r="K195" s="125"/>
      <c r="L195" s="125"/>
      <c r="M195" s="99"/>
      <c r="N195" s="111"/>
      <c r="O195" s="112"/>
      <c r="P195" s="94"/>
      <c r="Q195" s="120"/>
      <c r="R195" s="113"/>
      <c r="S195" s="94"/>
      <c r="T195" s="94"/>
      <c r="V195" s="104"/>
    </row>
    <row r="196" ht="15.75" customHeight="1">
      <c r="A196" s="91"/>
      <c r="B196" s="131"/>
      <c r="C196" s="132"/>
      <c r="D196" s="94"/>
      <c r="E196" s="247"/>
      <c r="F196" s="247"/>
      <c r="G196" s="94"/>
      <c r="H196" s="93"/>
      <c r="I196" s="94"/>
      <c r="J196" s="94"/>
      <c r="K196" s="126"/>
      <c r="L196" s="126"/>
      <c r="M196" s="99"/>
      <c r="N196" s="111"/>
      <c r="O196" s="112"/>
      <c r="P196" s="94"/>
      <c r="Q196" s="120"/>
      <c r="R196" s="113"/>
      <c r="S196" s="94"/>
      <c r="T196" s="94"/>
      <c r="V196" s="104"/>
    </row>
    <row r="197" ht="15.75" customHeight="1">
      <c r="A197" s="91"/>
      <c r="B197" s="131"/>
      <c r="C197" s="132"/>
      <c r="D197" s="94"/>
      <c r="E197" s="247"/>
      <c r="F197" s="247"/>
      <c r="G197" s="94"/>
      <c r="H197" s="93"/>
      <c r="I197" s="94"/>
      <c r="J197" s="94"/>
      <c r="K197" s="125"/>
      <c r="L197" s="125"/>
      <c r="M197" s="99"/>
      <c r="N197" s="111"/>
      <c r="O197" s="112"/>
      <c r="P197" s="94"/>
      <c r="Q197" s="120"/>
      <c r="R197" s="113"/>
      <c r="S197" s="94"/>
      <c r="T197" s="94"/>
      <c r="V197" s="104"/>
    </row>
    <row r="198" ht="15.75" customHeight="1">
      <c r="A198" s="91"/>
      <c r="B198" s="131"/>
      <c r="C198" s="132"/>
      <c r="D198" s="94"/>
      <c r="E198" s="247"/>
      <c r="F198" s="247"/>
      <c r="G198" s="94"/>
      <c r="H198" s="93"/>
      <c r="I198" s="94"/>
      <c r="J198" s="94"/>
      <c r="K198" s="126"/>
      <c r="L198" s="126"/>
      <c r="M198" s="99"/>
      <c r="N198" s="111"/>
      <c r="O198" s="112"/>
      <c r="P198" s="94"/>
      <c r="Q198" s="120"/>
      <c r="R198" s="113"/>
      <c r="S198" s="94"/>
      <c r="T198" s="94"/>
      <c r="V198" s="104"/>
    </row>
    <row r="199" ht="15.75" customHeight="1">
      <c r="A199" s="91"/>
      <c r="B199" s="131"/>
      <c r="C199" s="104"/>
      <c r="D199" s="94"/>
      <c r="E199" s="247"/>
      <c r="F199" s="247"/>
      <c r="G199" s="94"/>
      <c r="H199" s="93"/>
      <c r="I199" s="94"/>
      <c r="J199" s="94"/>
      <c r="K199" s="125"/>
      <c r="L199" s="125"/>
      <c r="M199" s="99"/>
      <c r="N199" s="111"/>
      <c r="O199" s="112"/>
      <c r="P199" s="94"/>
      <c r="Q199" s="120"/>
      <c r="R199" s="113"/>
      <c r="S199" s="94"/>
      <c r="T199" s="94"/>
      <c r="V199" s="104"/>
    </row>
    <row r="200" ht="15.75" customHeight="1">
      <c r="A200" s="91"/>
      <c r="B200" s="131"/>
      <c r="C200" s="132"/>
      <c r="D200" s="94"/>
      <c r="E200" s="247"/>
      <c r="F200" s="247"/>
      <c r="G200" s="94"/>
      <c r="H200" s="93"/>
      <c r="I200" s="94"/>
      <c r="J200" s="94"/>
      <c r="K200" s="126"/>
      <c r="L200" s="126"/>
      <c r="M200" s="99"/>
      <c r="N200" s="111"/>
      <c r="O200" s="112"/>
      <c r="P200" s="94"/>
      <c r="Q200" s="120"/>
      <c r="R200" s="113"/>
      <c r="S200" s="94"/>
      <c r="T200" s="94"/>
      <c r="V200" s="104"/>
    </row>
    <row r="201" ht="15.75" customHeight="1">
      <c r="A201" s="91"/>
      <c r="B201" s="131"/>
      <c r="C201" s="132"/>
      <c r="D201" s="94"/>
      <c r="E201" s="247"/>
      <c r="F201" s="247"/>
      <c r="G201" s="94"/>
      <c r="H201" s="93"/>
      <c r="I201" s="94"/>
      <c r="J201" s="94"/>
      <c r="K201" s="125"/>
      <c r="L201" s="125"/>
      <c r="M201" s="99"/>
      <c r="N201" s="111"/>
      <c r="O201" s="112"/>
      <c r="P201" s="94"/>
      <c r="Q201" s="120"/>
      <c r="R201" s="113"/>
      <c r="S201" s="94"/>
      <c r="T201" s="94"/>
      <c r="V201" s="104"/>
    </row>
    <row r="202" ht="15.75" customHeight="1">
      <c r="A202" s="91"/>
      <c r="B202" s="131"/>
      <c r="C202" s="132"/>
      <c r="D202" s="94"/>
      <c r="E202" s="247"/>
      <c r="F202" s="247"/>
      <c r="G202" s="94"/>
      <c r="H202" s="93"/>
      <c r="I202" s="94"/>
      <c r="J202" s="94"/>
      <c r="K202" s="126"/>
      <c r="L202" s="126"/>
      <c r="M202" s="99"/>
      <c r="N202" s="111"/>
      <c r="O202" s="112"/>
      <c r="P202" s="94"/>
      <c r="Q202" s="120"/>
      <c r="R202" s="113"/>
      <c r="S202" s="94"/>
      <c r="T202" s="94"/>
      <c r="V202" s="104"/>
    </row>
    <row r="203" ht="15.75" customHeight="1">
      <c r="A203" s="91"/>
      <c r="B203" s="131"/>
      <c r="C203" s="132"/>
      <c r="D203" s="94"/>
      <c r="E203" s="247"/>
      <c r="F203" s="247"/>
      <c r="G203" s="94"/>
      <c r="H203" s="93"/>
      <c r="I203" s="94"/>
      <c r="J203" s="94"/>
      <c r="K203" s="125"/>
      <c r="L203" s="125"/>
      <c r="M203" s="99"/>
      <c r="N203" s="111"/>
      <c r="O203" s="112"/>
      <c r="P203" s="94"/>
      <c r="Q203" s="120"/>
      <c r="R203" s="113"/>
      <c r="S203" s="94"/>
      <c r="T203" s="94"/>
      <c r="V203" s="104"/>
    </row>
    <row r="204" ht="15.75" customHeight="1">
      <c r="A204" s="91"/>
      <c r="B204" s="131"/>
      <c r="C204" s="132"/>
      <c r="D204" s="94"/>
      <c r="E204" s="247"/>
      <c r="F204" s="247"/>
      <c r="G204" s="94"/>
      <c r="H204" s="93"/>
      <c r="I204" s="94"/>
      <c r="J204" s="94"/>
      <c r="K204" s="126"/>
      <c r="L204" s="126"/>
      <c r="M204" s="99"/>
      <c r="N204" s="111"/>
      <c r="O204" s="112"/>
      <c r="P204" s="94"/>
      <c r="Q204" s="120"/>
      <c r="R204" s="113"/>
      <c r="S204" s="94"/>
      <c r="T204" s="94"/>
      <c r="V204" s="104"/>
    </row>
    <row r="205" ht="15.75" customHeight="1">
      <c r="A205" s="91"/>
      <c r="B205" s="131"/>
      <c r="C205" s="104"/>
      <c r="D205" s="94"/>
      <c r="E205" s="247"/>
      <c r="F205" s="247"/>
      <c r="G205" s="94"/>
      <c r="H205" s="93"/>
      <c r="I205" s="94"/>
      <c r="J205" s="94"/>
      <c r="K205" s="125"/>
      <c r="L205" s="125"/>
      <c r="M205" s="99"/>
      <c r="N205" s="111"/>
      <c r="O205" s="112"/>
      <c r="P205" s="94"/>
      <c r="Q205" s="120"/>
      <c r="R205" s="113"/>
      <c r="S205" s="94"/>
      <c r="T205" s="94"/>
      <c r="V205" s="104"/>
    </row>
    <row r="206" ht="15.75" customHeight="1">
      <c r="A206" s="91"/>
      <c r="B206" s="131"/>
      <c r="C206" s="132"/>
      <c r="D206" s="94"/>
      <c r="E206" s="247"/>
      <c r="F206" s="247"/>
      <c r="G206" s="94"/>
      <c r="H206" s="93"/>
      <c r="I206" s="94"/>
      <c r="J206" s="94"/>
      <c r="K206" s="126"/>
      <c r="L206" s="126"/>
      <c r="M206" s="99"/>
      <c r="N206" s="111"/>
      <c r="O206" s="112"/>
      <c r="P206" s="94"/>
      <c r="Q206" s="120"/>
      <c r="R206" s="113"/>
      <c r="S206" s="94"/>
      <c r="T206" s="94"/>
      <c r="V206" s="104"/>
    </row>
    <row r="207" ht="15.75" customHeight="1">
      <c r="A207" s="91"/>
      <c r="B207" s="131"/>
      <c r="C207" s="132"/>
      <c r="D207" s="94"/>
      <c r="E207" s="247"/>
      <c r="F207" s="247"/>
      <c r="G207" s="94"/>
      <c r="H207" s="93"/>
      <c r="I207" s="94"/>
      <c r="J207" s="94"/>
      <c r="K207" s="125"/>
      <c r="L207" s="125"/>
      <c r="M207" s="99"/>
      <c r="N207" s="111"/>
      <c r="O207" s="112"/>
      <c r="P207" s="94"/>
      <c r="Q207" s="120"/>
      <c r="R207" s="113"/>
      <c r="S207" s="94"/>
      <c r="T207" s="94"/>
      <c r="V207" s="104"/>
    </row>
    <row r="208" ht="15.75" customHeight="1">
      <c r="A208" s="91"/>
      <c r="B208" s="131"/>
      <c r="C208" s="132"/>
      <c r="D208" s="94"/>
      <c r="E208" s="247"/>
      <c r="F208" s="247"/>
      <c r="G208" s="94"/>
      <c r="H208" s="93"/>
      <c r="I208" s="94"/>
      <c r="J208" s="94"/>
      <c r="K208" s="126"/>
      <c r="L208" s="126"/>
      <c r="M208" s="99"/>
      <c r="N208" s="111"/>
      <c r="O208" s="112"/>
      <c r="P208" s="94"/>
      <c r="Q208" s="120"/>
      <c r="R208" s="113"/>
      <c r="S208" s="94"/>
      <c r="T208" s="94"/>
      <c r="V208" s="104"/>
    </row>
    <row r="209" ht="15.75" customHeight="1">
      <c r="A209" s="91"/>
      <c r="B209" s="131"/>
      <c r="C209" s="132"/>
      <c r="D209" s="94"/>
      <c r="E209" s="247"/>
      <c r="F209" s="247"/>
      <c r="G209" s="94"/>
      <c r="H209" s="93"/>
      <c r="I209" s="94"/>
      <c r="J209" s="94"/>
      <c r="K209" s="125"/>
      <c r="L209" s="125"/>
      <c r="M209" s="99"/>
      <c r="N209" s="111"/>
      <c r="O209" s="112"/>
      <c r="P209" s="94"/>
      <c r="Q209" s="120"/>
      <c r="R209" s="113"/>
      <c r="S209" s="94"/>
      <c r="T209" s="94"/>
      <c r="V209" s="104"/>
    </row>
    <row r="210" ht="15.75" customHeight="1">
      <c r="A210" s="91"/>
      <c r="B210" s="131"/>
      <c r="C210" s="132"/>
      <c r="D210" s="94"/>
      <c r="E210" s="247"/>
      <c r="F210" s="247"/>
      <c r="G210" s="94"/>
      <c r="H210" s="93"/>
      <c r="I210" s="94"/>
      <c r="J210" s="94"/>
      <c r="K210" s="126"/>
      <c r="L210" s="126"/>
      <c r="M210" s="99"/>
      <c r="N210" s="111"/>
      <c r="O210" s="112"/>
      <c r="P210" s="94"/>
      <c r="Q210" s="120"/>
      <c r="R210" s="113"/>
      <c r="S210" s="94"/>
      <c r="T210" s="94"/>
      <c r="V210" s="104"/>
    </row>
    <row r="211" ht="15.75" customHeight="1">
      <c r="A211" s="91"/>
      <c r="B211" s="131"/>
      <c r="C211" s="104"/>
      <c r="D211" s="94"/>
      <c r="E211" s="247"/>
      <c r="F211" s="247"/>
      <c r="G211" s="94"/>
      <c r="H211" s="93"/>
      <c r="I211" s="94"/>
      <c r="J211" s="94"/>
      <c r="K211" s="125"/>
      <c r="L211" s="125"/>
      <c r="M211" s="99"/>
      <c r="N211" s="111"/>
      <c r="O211" s="112"/>
      <c r="P211" s="94"/>
      <c r="Q211" s="120"/>
      <c r="R211" s="113"/>
      <c r="S211" s="94"/>
      <c r="T211" s="94"/>
      <c r="V211" s="104"/>
    </row>
    <row r="212" ht="15.75" customHeight="1">
      <c r="A212" s="91"/>
      <c r="B212" s="131"/>
      <c r="C212" s="132"/>
      <c r="D212" s="94"/>
      <c r="E212" s="247"/>
      <c r="F212" s="247"/>
      <c r="G212" s="94"/>
      <c r="H212" s="93"/>
      <c r="I212" s="94"/>
      <c r="J212" s="94"/>
      <c r="K212" s="126"/>
      <c r="L212" s="126"/>
      <c r="M212" s="99"/>
      <c r="N212" s="111"/>
      <c r="O212" s="112"/>
      <c r="P212" s="94"/>
      <c r="Q212" s="120"/>
      <c r="R212" s="113"/>
      <c r="S212" s="94"/>
      <c r="T212" s="94"/>
      <c r="V212" s="104"/>
    </row>
    <row r="213" ht="15.75" customHeight="1">
      <c r="A213" s="91"/>
      <c r="B213" s="131"/>
      <c r="C213" s="132"/>
      <c r="D213" s="94"/>
      <c r="E213" s="247"/>
      <c r="F213" s="247"/>
      <c r="G213" s="94"/>
      <c r="H213" s="93"/>
      <c r="I213" s="94"/>
      <c r="J213" s="94"/>
      <c r="K213" s="125"/>
      <c r="L213" s="125"/>
      <c r="M213" s="99"/>
      <c r="N213" s="111"/>
      <c r="O213" s="112"/>
      <c r="P213" s="94"/>
      <c r="Q213" s="120"/>
      <c r="R213" s="113"/>
      <c r="S213" s="94"/>
      <c r="T213" s="94"/>
      <c r="V213" s="104"/>
    </row>
    <row r="214" ht="15.75" customHeight="1">
      <c r="A214" s="91"/>
      <c r="B214" s="131"/>
      <c r="C214" s="132"/>
      <c r="D214" s="94"/>
      <c r="E214" s="247"/>
      <c r="F214" s="247"/>
      <c r="G214" s="94"/>
      <c r="H214" s="93"/>
      <c r="I214" s="94"/>
      <c r="J214" s="94"/>
      <c r="K214" s="126"/>
      <c r="L214" s="126"/>
      <c r="M214" s="99"/>
      <c r="N214" s="111"/>
      <c r="O214" s="112"/>
      <c r="P214" s="94"/>
      <c r="Q214" s="120"/>
      <c r="R214" s="113"/>
      <c r="S214" s="94"/>
      <c r="T214" s="94"/>
      <c r="V214" s="104"/>
    </row>
    <row r="215" ht="15.75" customHeight="1">
      <c r="A215" s="91"/>
      <c r="B215" s="131"/>
      <c r="C215" s="132"/>
      <c r="D215" s="94"/>
      <c r="E215" s="247"/>
      <c r="F215" s="247"/>
      <c r="G215" s="94"/>
      <c r="H215" s="93"/>
      <c r="I215" s="94"/>
      <c r="J215" s="94"/>
      <c r="K215" s="125"/>
      <c r="L215" s="125"/>
      <c r="M215" s="99"/>
      <c r="N215" s="111"/>
      <c r="O215" s="112"/>
      <c r="P215" s="94"/>
      <c r="Q215" s="120"/>
      <c r="R215" s="113"/>
      <c r="S215" s="94"/>
      <c r="T215" s="94"/>
      <c r="V215" s="104"/>
    </row>
    <row r="216" ht="15.75" customHeight="1">
      <c r="A216" s="91"/>
      <c r="B216" s="131"/>
      <c r="C216" s="132"/>
      <c r="D216" s="94"/>
      <c r="E216" s="247"/>
      <c r="F216" s="247"/>
      <c r="G216" s="94"/>
      <c r="H216" s="93"/>
      <c r="I216" s="94"/>
      <c r="J216" s="94"/>
      <c r="K216" s="126"/>
      <c r="L216" s="126"/>
      <c r="M216" s="99"/>
      <c r="N216" s="111"/>
      <c r="O216" s="112"/>
      <c r="P216" s="94"/>
      <c r="Q216" s="120"/>
      <c r="R216" s="113"/>
      <c r="S216" s="94"/>
      <c r="T216" s="94"/>
      <c r="V216" s="104"/>
    </row>
    <row r="217" ht="15.75" customHeight="1">
      <c r="A217" s="91"/>
      <c r="B217" s="131"/>
      <c r="C217" s="104"/>
      <c r="D217" s="94"/>
      <c r="E217" s="247"/>
      <c r="F217" s="247"/>
      <c r="G217" s="94"/>
      <c r="H217" s="93"/>
      <c r="I217" s="94"/>
      <c r="J217" s="94"/>
      <c r="K217" s="125"/>
      <c r="L217" s="125"/>
      <c r="M217" s="99"/>
      <c r="N217" s="111"/>
      <c r="O217" s="112"/>
      <c r="P217" s="94"/>
      <c r="Q217" s="120"/>
      <c r="R217" s="113"/>
      <c r="S217" s="94"/>
      <c r="T217" s="94"/>
      <c r="V217" s="104"/>
    </row>
    <row r="218" ht="15.75" customHeight="1">
      <c r="A218" s="91"/>
      <c r="B218" s="131"/>
      <c r="C218" s="132"/>
      <c r="D218" s="94"/>
      <c r="E218" s="247"/>
      <c r="F218" s="247"/>
      <c r="G218" s="94"/>
      <c r="H218" s="93"/>
      <c r="I218" s="94"/>
      <c r="J218" s="94"/>
      <c r="K218" s="126"/>
      <c r="L218" s="126"/>
      <c r="M218" s="99"/>
      <c r="N218" s="111"/>
      <c r="O218" s="112"/>
      <c r="P218" s="94"/>
      <c r="Q218" s="120"/>
      <c r="R218" s="113"/>
      <c r="S218" s="94"/>
      <c r="T218" s="94"/>
      <c r="V218" s="104"/>
    </row>
    <row r="219" ht="15.75" customHeight="1">
      <c r="A219" s="91"/>
      <c r="B219" s="131"/>
      <c r="C219" s="132"/>
      <c r="D219" s="94"/>
      <c r="E219" s="247"/>
      <c r="F219" s="247"/>
      <c r="G219" s="94"/>
      <c r="H219" s="93"/>
      <c r="I219" s="94"/>
      <c r="J219" s="94"/>
      <c r="K219" s="125"/>
      <c r="L219" s="125"/>
      <c r="M219" s="99"/>
      <c r="N219" s="111"/>
      <c r="O219" s="112"/>
      <c r="P219" s="94"/>
      <c r="Q219" s="120"/>
      <c r="R219" s="113"/>
      <c r="S219" s="94"/>
      <c r="T219" s="94"/>
      <c r="V219" s="104"/>
    </row>
    <row r="220" ht="15.75" customHeight="1">
      <c r="A220" s="91"/>
      <c r="B220" s="131"/>
      <c r="C220" s="132"/>
      <c r="D220" s="94"/>
      <c r="E220" s="247"/>
      <c r="F220" s="247"/>
      <c r="G220" s="94"/>
      <c r="H220" s="93"/>
      <c r="I220" s="94"/>
      <c r="J220" s="94"/>
      <c r="K220" s="126"/>
      <c r="L220" s="126"/>
      <c r="M220" s="99"/>
      <c r="N220" s="111"/>
      <c r="O220" s="112"/>
      <c r="P220" s="94"/>
      <c r="Q220" s="120"/>
      <c r="R220" s="113"/>
      <c r="S220" s="94"/>
      <c r="T220" s="94"/>
      <c r="V220" s="104"/>
    </row>
    <row r="221" ht="15.75" customHeight="1">
      <c r="A221" s="91"/>
      <c r="B221" s="131"/>
      <c r="C221" s="132"/>
      <c r="D221" s="94"/>
      <c r="E221" s="247"/>
      <c r="F221" s="247"/>
      <c r="G221" s="94"/>
      <c r="H221" s="93"/>
      <c r="I221" s="94"/>
      <c r="J221" s="94"/>
      <c r="K221" s="125"/>
      <c r="L221" s="125"/>
      <c r="M221" s="99"/>
      <c r="N221" s="111"/>
      <c r="O221" s="112"/>
      <c r="P221" s="94"/>
      <c r="Q221" s="120"/>
      <c r="R221" s="113"/>
      <c r="S221" s="94"/>
      <c r="T221" s="94"/>
      <c r="V221" s="104"/>
    </row>
    <row r="222" ht="15.75" customHeight="1">
      <c r="A222" s="91"/>
      <c r="B222" s="131"/>
      <c r="C222" s="132"/>
      <c r="D222" s="94"/>
      <c r="E222" s="247"/>
      <c r="F222" s="243"/>
      <c r="G222" s="94"/>
      <c r="H222" s="93"/>
      <c r="I222" s="94"/>
      <c r="J222" s="94"/>
      <c r="K222" s="126"/>
      <c r="L222" s="126"/>
      <c r="M222" s="99"/>
      <c r="N222" s="111"/>
      <c r="O222" s="112"/>
      <c r="P222" s="94"/>
      <c r="Q222" s="120"/>
      <c r="R222" s="113"/>
      <c r="S222" s="94"/>
      <c r="T222" s="94"/>
      <c r="V222" s="104"/>
    </row>
    <row r="223" ht="15.75" customHeight="1">
      <c r="A223" s="91"/>
      <c r="B223" s="131"/>
      <c r="C223" s="104"/>
      <c r="D223" s="94"/>
      <c r="E223" s="132"/>
      <c r="F223" s="132"/>
      <c r="G223" s="94"/>
      <c r="H223" s="93"/>
      <c r="I223" s="94"/>
      <c r="J223" s="94"/>
      <c r="K223" s="125"/>
      <c r="L223" s="125"/>
      <c r="M223" s="99"/>
      <c r="N223" s="111"/>
      <c r="O223" s="112"/>
      <c r="P223" s="94"/>
      <c r="Q223" s="120"/>
      <c r="R223" s="113"/>
      <c r="S223" s="94"/>
      <c r="T223" s="94"/>
      <c r="V223" s="104"/>
    </row>
    <row r="224" ht="15.75" customHeight="1">
      <c r="A224" s="91"/>
      <c r="B224" s="131"/>
      <c r="C224" s="132"/>
      <c r="D224" s="94"/>
      <c r="E224" s="132"/>
      <c r="F224" s="132"/>
      <c r="G224" s="94"/>
      <c r="H224" s="93"/>
      <c r="I224" s="94"/>
      <c r="J224" s="94"/>
      <c r="K224" s="126"/>
      <c r="L224" s="126"/>
      <c r="M224" s="99"/>
      <c r="N224" s="111"/>
      <c r="O224" s="112"/>
      <c r="P224" s="94"/>
      <c r="Q224" s="120"/>
      <c r="R224" s="113"/>
      <c r="S224" s="94"/>
      <c r="T224" s="94"/>
      <c r="V224" s="104"/>
    </row>
    <row r="225" ht="15.75" customHeight="1">
      <c r="A225" s="91"/>
      <c r="B225" s="131"/>
      <c r="C225" s="132"/>
      <c r="D225" s="94"/>
      <c r="E225" s="132"/>
      <c r="F225" s="132"/>
      <c r="G225" s="94"/>
      <c r="H225" s="93"/>
      <c r="I225" s="94"/>
      <c r="J225" s="94"/>
      <c r="K225" s="125"/>
      <c r="L225" s="125"/>
      <c r="M225" s="99"/>
      <c r="N225" s="111"/>
      <c r="O225" s="112"/>
      <c r="P225" s="94"/>
      <c r="Q225" s="120"/>
      <c r="R225" s="113"/>
      <c r="S225" s="94"/>
      <c r="T225" s="94"/>
      <c r="V225" s="104"/>
    </row>
    <row r="226" ht="15.75" customHeight="1">
      <c r="A226" s="91"/>
      <c r="B226" s="131"/>
      <c r="C226" s="132"/>
      <c r="D226" s="94"/>
      <c r="E226" s="132"/>
      <c r="F226" s="132"/>
      <c r="G226" s="94"/>
      <c r="H226" s="93"/>
      <c r="I226" s="94"/>
      <c r="J226" s="94"/>
      <c r="K226" s="126"/>
      <c r="L226" s="126"/>
      <c r="M226" s="99"/>
      <c r="N226" s="111"/>
      <c r="O226" s="112"/>
      <c r="P226" s="94"/>
      <c r="Q226" s="120"/>
      <c r="R226" s="113"/>
      <c r="S226" s="94"/>
      <c r="T226" s="94"/>
      <c r="V226" s="104"/>
    </row>
    <row r="227" ht="15.75" customHeight="1">
      <c r="A227" s="91"/>
      <c r="B227" s="131"/>
      <c r="C227" s="132"/>
      <c r="D227" s="94"/>
      <c r="E227" s="132"/>
      <c r="F227" s="132"/>
      <c r="G227" s="94"/>
      <c r="H227" s="93"/>
      <c r="I227" s="94"/>
      <c r="J227" s="94"/>
      <c r="K227" s="125"/>
      <c r="L227" s="125"/>
      <c r="M227" s="99"/>
      <c r="N227" s="111"/>
      <c r="O227" s="112"/>
      <c r="P227" s="94"/>
      <c r="Q227" s="120"/>
      <c r="R227" s="113"/>
      <c r="S227" s="94"/>
      <c r="T227" s="94"/>
      <c r="V227" s="104"/>
    </row>
    <row r="228" ht="15.75" customHeight="1">
      <c r="A228" s="91"/>
      <c r="B228" s="131"/>
      <c r="C228" s="132"/>
      <c r="D228" s="94"/>
      <c r="E228" s="132"/>
      <c r="F228" s="132"/>
      <c r="G228" s="94"/>
      <c r="H228" s="93"/>
      <c r="I228" s="94"/>
      <c r="J228" s="94"/>
      <c r="K228" s="126"/>
      <c r="L228" s="126"/>
      <c r="M228" s="99"/>
      <c r="N228" s="111"/>
      <c r="O228" s="112"/>
      <c r="P228" s="94"/>
      <c r="Q228" s="120"/>
      <c r="R228" s="113"/>
      <c r="S228" s="94"/>
      <c r="T228" s="94"/>
      <c r="V228" s="104"/>
    </row>
    <row r="229" ht="15.75" customHeight="1">
      <c r="A229" s="91"/>
      <c r="B229" s="131"/>
      <c r="C229" s="104"/>
      <c r="D229" s="94"/>
      <c r="E229" s="132"/>
      <c r="F229" s="132"/>
      <c r="G229" s="94"/>
      <c r="H229" s="93"/>
      <c r="I229" s="94"/>
      <c r="J229" s="94"/>
      <c r="K229" s="125"/>
      <c r="L229" s="125"/>
      <c r="M229" s="99"/>
      <c r="N229" s="111"/>
      <c r="O229" s="112"/>
      <c r="P229" s="94"/>
      <c r="Q229" s="120"/>
      <c r="R229" s="113"/>
      <c r="S229" s="94"/>
      <c r="T229" s="94"/>
      <c r="V229" s="104"/>
    </row>
    <row r="230" ht="15.75" customHeight="1">
      <c r="A230" s="91"/>
      <c r="B230" s="131"/>
      <c r="C230" s="132"/>
      <c r="D230" s="94"/>
      <c r="E230" s="132"/>
      <c r="F230" s="132"/>
      <c r="G230" s="94"/>
      <c r="H230" s="93"/>
      <c r="I230" s="94"/>
      <c r="J230" s="94"/>
      <c r="K230" s="126"/>
      <c r="L230" s="126"/>
      <c r="M230" s="99"/>
      <c r="N230" s="111"/>
      <c r="O230" s="112"/>
      <c r="P230" s="94"/>
      <c r="Q230" s="120"/>
      <c r="R230" s="113"/>
      <c r="S230" s="94"/>
      <c r="T230" s="94"/>
      <c r="V230" s="104"/>
    </row>
    <row r="231" ht="15.75" customHeight="1">
      <c r="A231" s="91"/>
      <c r="B231" s="131"/>
      <c r="C231" s="132"/>
      <c r="D231" s="94"/>
      <c r="E231" s="132"/>
      <c r="F231" s="132"/>
      <c r="G231" s="94"/>
      <c r="H231" s="93"/>
      <c r="I231" s="94"/>
      <c r="J231" s="94"/>
      <c r="K231" s="125"/>
      <c r="L231" s="125"/>
      <c r="M231" s="99"/>
      <c r="N231" s="111"/>
      <c r="O231" s="112"/>
      <c r="P231" s="94"/>
      <c r="Q231" s="120"/>
      <c r="R231" s="113"/>
      <c r="S231" s="94"/>
      <c r="T231" s="94"/>
      <c r="V231" s="104"/>
    </row>
    <row r="232" ht="15.75" customHeight="1">
      <c r="A232" s="91"/>
      <c r="B232" s="131"/>
      <c r="C232" s="132"/>
      <c r="D232" s="94"/>
      <c r="E232" s="132"/>
      <c r="F232" s="132"/>
      <c r="G232" s="94"/>
      <c r="H232" s="93"/>
      <c r="I232" s="94"/>
      <c r="J232" s="94"/>
      <c r="K232" s="126"/>
      <c r="L232" s="126"/>
      <c r="M232" s="99"/>
      <c r="N232" s="111"/>
      <c r="O232" s="112"/>
      <c r="P232" s="94"/>
      <c r="Q232" s="120"/>
      <c r="R232" s="113"/>
      <c r="S232" s="94"/>
      <c r="T232" s="94"/>
      <c r="V232" s="104"/>
    </row>
    <row r="233" ht="15.75" customHeight="1">
      <c r="A233" s="91"/>
      <c r="B233" s="131"/>
      <c r="C233" s="132"/>
      <c r="D233" s="94"/>
      <c r="E233" s="132"/>
      <c r="F233" s="132"/>
      <c r="G233" s="94"/>
      <c r="H233" s="93"/>
      <c r="I233" s="94"/>
      <c r="J233" s="94"/>
      <c r="K233" s="125"/>
      <c r="L233" s="125"/>
      <c r="M233" s="99"/>
      <c r="N233" s="111"/>
      <c r="O233" s="112"/>
      <c r="P233" s="94"/>
      <c r="Q233" s="120"/>
      <c r="R233" s="113"/>
      <c r="S233" s="94"/>
      <c r="T233" s="94"/>
      <c r="V233" s="104"/>
    </row>
    <row r="234" ht="15.75" customHeight="1">
      <c r="A234" s="91"/>
      <c r="B234" s="131"/>
      <c r="C234" s="132"/>
      <c r="D234" s="94"/>
      <c r="E234" s="132"/>
      <c r="F234" s="132"/>
      <c r="G234" s="94"/>
      <c r="H234" s="93"/>
      <c r="I234" s="94"/>
      <c r="J234" s="94"/>
      <c r="K234" s="126"/>
      <c r="L234" s="126"/>
      <c r="M234" s="99"/>
      <c r="N234" s="111"/>
      <c r="O234" s="112"/>
      <c r="P234" s="94"/>
      <c r="Q234" s="120"/>
      <c r="R234" s="113"/>
      <c r="S234" s="94"/>
      <c r="T234" s="94"/>
      <c r="V234" s="104"/>
    </row>
    <row r="235" ht="15.75" customHeight="1">
      <c r="A235" s="91"/>
      <c r="B235" s="131"/>
      <c r="C235" s="104"/>
      <c r="D235" s="94"/>
      <c r="E235" s="132"/>
      <c r="F235" s="132"/>
      <c r="G235" s="94"/>
      <c r="H235" s="93"/>
      <c r="I235" s="94"/>
      <c r="J235" s="94"/>
      <c r="K235" s="125"/>
      <c r="L235" s="125"/>
      <c r="M235" s="99"/>
      <c r="N235" s="111"/>
      <c r="O235" s="112"/>
      <c r="P235" s="94"/>
      <c r="Q235" s="120"/>
      <c r="R235" s="113"/>
      <c r="S235" s="94"/>
      <c r="T235" s="94"/>
      <c r="V235" s="104"/>
    </row>
    <row r="236" ht="15.75" customHeight="1">
      <c r="A236" s="91"/>
      <c r="B236" s="131"/>
      <c r="C236" s="132"/>
      <c r="D236" s="94"/>
      <c r="E236" s="132"/>
      <c r="F236" s="132"/>
      <c r="G236" s="94"/>
      <c r="H236" s="93"/>
      <c r="I236" s="94"/>
      <c r="J236" s="94"/>
      <c r="K236" s="126"/>
      <c r="L236" s="126"/>
      <c r="M236" s="99"/>
      <c r="N236" s="111"/>
      <c r="O236" s="112"/>
      <c r="P236" s="94"/>
      <c r="Q236" s="120"/>
      <c r="R236" s="113"/>
      <c r="S236" s="94"/>
      <c r="T236" s="94"/>
      <c r="V236" s="104"/>
    </row>
    <row r="237" ht="15.75" customHeight="1">
      <c r="A237" s="91"/>
      <c r="B237" s="131"/>
      <c r="C237" s="132"/>
      <c r="D237" s="94"/>
      <c r="E237" s="132"/>
      <c r="F237" s="132"/>
      <c r="G237" s="94"/>
      <c r="H237" s="93"/>
      <c r="I237" s="94"/>
      <c r="J237" s="94"/>
      <c r="K237" s="125"/>
      <c r="L237" s="125"/>
      <c r="M237" s="99"/>
      <c r="N237" s="111"/>
      <c r="O237" s="112"/>
      <c r="P237" s="94"/>
      <c r="Q237" s="120"/>
      <c r="R237" s="113"/>
      <c r="S237" s="94"/>
      <c r="T237" s="94"/>
      <c r="V237" s="104"/>
    </row>
    <row r="238" ht="15.75" customHeight="1">
      <c r="A238" s="91"/>
      <c r="B238" s="131"/>
      <c r="C238" s="132"/>
      <c r="D238" s="94"/>
      <c r="E238" s="132"/>
      <c r="F238" s="132"/>
      <c r="G238" s="94"/>
      <c r="H238" s="93"/>
      <c r="I238" s="94"/>
      <c r="J238" s="94"/>
      <c r="K238" s="126"/>
      <c r="L238" s="126"/>
      <c r="M238" s="99"/>
      <c r="N238" s="111"/>
      <c r="O238" s="112"/>
      <c r="P238" s="94"/>
      <c r="Q238" s="120"/>
      <c r="R238" s="113"/>
      <c r="S238" s="94"/>
      <c r="T238" s="94"/>
      <c r="V238" s="104"/>
    </row>
    <row r="239" ht="15.75" customHeight="1">
      <c r="A239" s="91"/>
      <c r="B239" s="131"/>
      <c r="C239" s="132"/>
      <c r="D239" s="94"/>
      <c r="E239" s="132"/>
      <c r="F239" s="132"/>
      <c r="G239" s="94"/>
      <c r="H239" s="93"/>
      <c r="I239" s="94"/>
      <c r="J239" s="94"/>
      <c r="K239" s="125"/>
      <c r="L239" s="125"/>
      <c r="M239" s="99"/>
      <c r="N239" s="111"/>
      <c r="O239" s="112"/>
      <c r="P239" s="94"/>
      <c r="Q239" s="120"/>
      <c r="R239" s="113"/>
      <c r="S239" s="94"/>
      <c r="T239" s="94"/>
      <c r="V239" s="104"/>
    </row>
    <row r="240" ht="15.75" customHeight="1">
      <c r="A240" s="91"/>
      <c r="B240" s="131"/>
      <c r="C240" s="132"/>
      <c r="D240" s="94"/>
      <c r="E240" s="132"/>
      <c r="F240" s="132"/>
      <c r="G240" s="94"/>
      <c r="H240" s="93"/>
      <c r="I240" s="94"/>
      <c r="J240" s="94"/>
      <c r="K240" s="126"/>
      <c r="L240" s="126"/>
      <c r="M240" s="99"/>
      <c r="N240" s="111"/>
      <c r="O240" s="112"/>
      <c r="P240" s="94"/>
      <c r="Q240" s="120"/>
      <c r="R240" s="113"/>
      <c r="S240" s="94"/>
      <c r="T240" s="94"/>
      <c r="V240" s="104"/>
    </row>
    <row r="241" ht="15.75" customHeight="1">
      <c r="A241" s="91"/>
      <c r="B241" s="131"/>
      <c r="C241" s="104"/>
      <c r="D241" s="94"/>
      <c r="E241" s="132"/>
      <c r="F241" s="132"/>
      <c r="G241" s="94"/>
      <c r="H241" s="93"/>
      <c r="I241" s="94"/>
      <c r="J241" s="94"/>
      <c r="K241" s="125"/>
      <c r="L241" s="125"/>
      <c r="M241" s="99"/>
      <c r="N241" s="111"/>
      <c r="O241" s="112"/>
      <c r="P241" s="94"/>
      <c r="Q241" s="120"/>
      <c r="R241" s="113"/>
      <c r="S241" s="94"/>
      <c r="T241" s="94"/>
      <c r="V241" s="104"/>
    </row>
    <row r="242" ht="15.75" customHeight="1">
      <c r="A242" s="91"/>
      <c r="B242" s="131"/>
      <c r="C242" s="132"/>
      <c r="D242" s="94"/>
      <c r="E242" s="132"/>
      <c r="F242" s="132"/>
      <c r="G242" s="94"/>
      <c r="H242" s="93"/>
      <c r="I242" s="94"/>
      <c r="J242" s="94"/>
      <c r="K242" s="126"/>
      <c r="L242" s="126"/>
      <c r="M242" s="99"/>
      <c r="N242" s="111"/>
      <c r="O242" s="112"/>
      <c r="P242" s="94"/>
      <c r="Q242" s="120"/>
      <c r="R242" s="113"/>
      <c r="S242" s="94"/>
      <c r="T242" s="94"/>
      <c r="V242" s="104"/>
    </row>
    <row r="243" ht="15.75" customHeight="1">
      <c r="A243" s="91"/>
      <c r="B243" s="131"/>
      <c r="C243" s="132"/>
      <c r="D243" s="94"/>
      <c r="E243" s="132"/>
      <c r="F243" s="132"/>
      <c r="G243" s="94"/>
      <c r="H243" s="93"/>
      <c r="I243" s="94"/>
      <c r="J243" s="94"/>
      <c r="K243" s="125"/>
      <c r="L243" s="125"/>
      <c r="M243" s="99"/>
      <c r="N243" s="111"/>
      <c r="O243" s="112"/>
      <c r="P243" s="94"/>
      <c r="Q243" s="120"/>
      <c r="R243" s="113"/>
      <c r="S243" s="94"/>
      <c r="T243" s="94"/>
      <c r="V243" s="104"/>
    </row>
    <row r="244" ht="15.75" customHeight="1">
      <c r="A244" s="91"/>
      <c r="B244" s="131"/>
      <c r="C244" s="132"/>
      <c r="D244" s="94"/>
      <c r="E244" s="132"/>
      <c r="F244" s="132"/>
      <c r="G244" s="94"/>
      <c r="H244" s="93"/>
      <c r="I244" s="94"/>
      <c r="J244" s="94"/>
      <c r="K244" s="126"/>
      <c r="L244" s="126"/>
      <c r="M244" s="99"/>
      <c r="N244" s="111"/>
      <c r="O244" s="112"/>
      <c r="P244" s="94"/>
      <c r="Q244" s="120"/>
      <c r="R244" s="113"/>
      <c r="S244" s="94"/>
      <c r="T244" s="94"/>
      <c r="V244" s="104"/>
    </row>
    <row r="245" ht="15.75" customHeight="1">
      <c r="A245" s="91"/>
      <c r="B245" s="131"/>
      <c r="C245" s="132"/>
      <c r="D245" s="94"/>
      <c r="E245" s="132"/>
      <c r="F245" s="132"/>
      <c r="G245" s="94"/>
      <c r="H245" s="93"/>
      <c r="I245" s="94"/>
      <c r="J245" s="94"/>
      <c r="K245" s="125"/>
      <c r="L245" s="125"/>
      <c r="M245" s="99"/>
      <c r="N245" s="111"/>
      <c r="O245" s="112"/>
      <c r="P245" s="94"/>
      <c r="Q245" s="120"/>
      <c r="R245" s="113"/>
      <c r="S245" s="94"/>
      <c r="T245" s="94"/>
      <c r="V245" s="104"/>
    </row>
    <row r="246" ht="15.75" customHeight="1">
      <c r="A246" s="91"/>
      <c r="B246" s="131"/>
      <c r="C246" s="132"/>
      <c r="D246" s="94"/>
      <c r="E246" s="132"/>
      <c r="F246" s="132"/>
      <c r="G246" s="94"/>
      <c r="H246" s="93"/>
      <c r="I246" s="94"/>
      <c r="J246" s="94"/>
      <c r="K246" s="126"/>
      <c r="L246" s="126"/>
      <c r="M246" s="99"/>
      <c r="N246" s="111"/>
      <c r="O246" s="112"/>
      <c r="P246" s="94"/>
      <c r="Q246" s="120"/>
      <c r="R246" s="113"/>
      <c r="S246" s="94"/>
      <c r="T246" s="94"/>
      <c r="V246" s="104"/>
    </row>
    <row r="247" ht="15.75" customHeight="1">
      <c r="A247" s="91"/>
      <c r="B247" s="131"/>
      <c r="C247" s="104"/>
      <c r="D247" s="94"/>
      <c r="E247" s="132"/>
      <c r="F247" s="132"/>
      <c r="G247" s="94"/>
      <c r="H247" s="93"/>
      <c r="I247" s="94"/>
      <c r="J247" s="94"/>
      <c r="K247" s="125"/>
      <c r="L247" s="125"/>
      <c r="M247" s="99"/>
      <c r="N247" s="111"/>
      <c r="O247" s="112"/>
      <c r="P247" s="94"/>
      <c r="Q247" s="120"/>
      <c r="R247" s="113"/>
      <c r="S247" s="94"/>
      <c r="T247" s="94"/>
      <c r="V247" s="104"/>
    </row>
    <row r="248" ht="15.75" customHeight="1">
      <c r="A248" s="91"/>
      <c r="B248" s="131"/>
      <c r="C248" s="132"/>
      <c r="D248" s="94"/>
      <c r="E248" s="132"/>
      <c r="F248" s="132"/>
      <c r="G248" s="94"/>
      <c r="H248" s="93"/>
      <c r="I248" s="94"/>
      <c r="J248" s="94"/>
      <c r="K248" s="126"/>
      <c r="L248" s="126"/>
      <c r="M248" s="99"/>
      <c r="N248" s="111"/>
      <c r="O248" s="112"/>
      <c r="P248" s="94"/>
      <c r="Q248" s="120"/>
      <c r="R248" s="113"/>
      <c r="S248" s="94"/>
      <c r="T248" s="94"/>
      <c r="V248" s="104"/>
    </row>
    <row r="249" ht="15.75" customHeight="1">
      <c r="A249" s="91"/>
      <c r="B249" s="131"/>
      <c r="C249" s="132"/>
      <c r="D249" s="94"/>
      <c r="E249" s="132"/>
      <c r="F249" s="132"/>
      <c r="G249" s="94"/>
      <c r="H249" s="93"/>
      <c r="I249" s="94"/>
      <c r="J249" s="94"/>
      <c r="K249" s="125"/>
      <c r="L249" s="125"/>
      <c r="M249" s="99"/>
      <c r="N249" s="111"/>
      <c r="O249" s="112"/>
      <c r="P249" s="94"/>
      <c r="Q249" s="120"/>
      <c r="R249" s="113"/>
      <c r="S249" s="94"/>
      <c r="T249" s="94"/>
      <c r="V249" s="104"/>
    </row>
    <row r="250" ht="15.75" customHeight="1">
      <c r="A250" s="91"/>
      <c r="B250" s="131"/>
      <c r="C250" s="132"/>
      <c r="D250" s="94"/>
      <c r="E250" s="132"/>
      <c r="F250" s="132"/>
      <c r="G250" s="94"/>
      <c r="H250" s="93"/>
      <c r="I250" s="94"/>
      <c r="J250" s="94"/>
      <c r="K250" s="126"/>
      <c r="L250" s="126"/>
      <c r="M250" s="99"/>
      <c r="N250" s="111"/>
      <c r="O250" s="112"/>
      <c r="P250" s="94"/>
      <c r="Q250" s="120"/>
      <c r="R250" s="113"/>
      <c r="S250" s="94"/>
      <c r="T250" s="94"/>
      <c r="V250" s="104"/>
    </row>
    <row r="251" ht="15.75" customHeight="1">
      <c r="A251" s="91"/>
      <c r="B251" s="131"/>
      <c r="C251" s="132"/>
      <c r="D251" s="94"/>
      <c r="E251" s="132"/>
      <c r="F251" s="132"/>
      <c r="G251" s="94"/>
      <c r="H251" s="93"/>
      <c r="I251" s="94"/>
      <c r="J251" s="94"/>
      <c r="K251" s="125"/>
      <c r="L251" s="125"/>
      <c r="M251" s="99"/>
      <c r="N251" s="111"/>
      <c r="O251" s="112"/>
      <c r="P251" s="94"/>
      <c r="Q251" s="120"/>
      <c r="R251" s="113"/>
      <c r="S251" s="94"/>
      <c r="T251" s="94"/>
      <c r="V251" s="104"/>
    </row>
    <row r="252" ht="15.75" customHeight="1">
      <c r="A252" s="91"/>
      <c r="B252" s="131"/>
      <c r="C252" s="132"/>
      <c r="D252" s="94"/>
      <c r="E252" s="132"/>
      <c r="F252" s="132"/>
      <c r="G252" s="94"/>
      <c r="H252" s="93"/>
      <c r="I252" s="94"/>
      <c r="J252" s="94"/>
      <c r="K252" s="126"/>
      <c r="L252" s="126"/>
      <c r="M252" s="99"/>
      <c r="N252" s="111"/>
      <c r="O252" s="112"/>
      <c r="P252" s="94"/>
      <c r="Q252" s="120"/>
      <c r="R252" s="113"/>
      <c r="S252" s="94"/>
      <c r="T252" s="94"/>
      <c r="V252" s="104"/>
    </row>
    <row r="253" ht="15.75" customHeight="1">
      <c r="A253" s="91"/>
      <c r="B253" s="131"/>
      <c r="C253" s="104"/>
      <c r="D253" s="94"/>
      <c r="E253" s="132"/>
      <c r="F253" s="132"/>
      <c r="G253" s="94"/>
      <c r="H253" s="93"/>
      <c r="I253" s="94"/>
      <c r="J253" s="94"/>
      <c r="K253" s="125"/>
      <c r="L253" s="125"/>
      <c r="M253" s="99"/>
      <c r="N253" s="111"/>
      <c r="O253" s="112"/>
      <c r="P253" s="94"/>
      <c r="Q253" s="120"/>
      <c r="R253" s="113"/>
      <c r="S253" s="94"/>
      <c r="T253" s="94"/>
      <c r="V253" s="104"/>
    </row>
    <row r="254" ht="15.75" customHeight="1">
      <c r="A254" s="91"/>
      <c r="B254" s="131"/>
      <c r="C254" s="132"/>
      <c r="D254" s="94"/>
      <c r="E254" s="132"/>
      <c r="F254" s="132"/>
      <c r="G254" s="94"/>
      <c r="H254" s="93"/>
      <c r="I254" s="94"/>
      <c r="J254" s="94"/>
      <c r="K254" s="126"/>
      <c r="L254" s="126"/>
      <c r="M254" s="99"/>
      <c r="N254" s="111"/>
      <c r="O254" s="112"/>
      <c r="P254" s="94"/>
      <c r="Q254" s="120"/>
      <c r="R254" s="113"/>
      <c r="S254" s="94"/>
      <c r="T254" s="94"/>
      <c r="V254" s="104"/>
    </row>
    <row r="255" ht="15.75" customHeight="1">
      <c r="A255" s="91"/>
      <c r="B255" s="131"/>
      <c r="C255" s="132"/>
      <c r="D255" s="94"/>
      <c r="E255" s="132"/>
      <c r="F255" s="132"/>
      <c r="G255" s="94"/>
      <c r="H255" s="93"/>
      <c r="I255" s="94"/>
      <c r="J255" s="94"/>
      <c r="K255" s="125"/>
      <c r="L255" s="125"/>
      <c r="M255" s="99"/>
      <c r="N255" s="111"/>
      <c r="O255" s="112"/>
      <c r="P255" s="94"/>
      <c r="Q255" s="120"/>
      <c r="R255" s="113"/>
      <c r="S255" s="94"/>
      <c r="T255" s="94"/>
      <c r="V255" s="104"/>
    </row>
    <row r="256" ht="15.75" customHeight="1">
      <c r="A256" s="91"/>
      <c r="B256" s="131"/>
      <c r="C256" s="132"/>
      <c r="D256" s="94"/>
      <c r="E256" s="132"/>
      <c r="F256" s="132"/>
      <c r="G256" s="94"/>
      <c r="H256" s="93"/>
      <c r="I256" s="94"/>
      <c r="J256" s="94"/>
      <c r="K256" s="126"/>
      <c r="L256" s="126"/>
      <c r="M256" s="99"/>
      <c r="N256" s="111"/>
      <c r="O256" s="112"/>
      <c r="P256" s="94"/>
      <c r="Q256" s="120"/>
      <c r="R256" s="113"/>
      <c r="S256" s="94"/>
      <c r="T256" s="94"/>
      <c r="V256" s="104"/>
    </row>
    <row r="257" ht="15.75" customHeight="1">
      <c r="A257" s="91"/>
      <c r="B257" s="131"/>
      <c r="C257" s="132"/>
      <c r="D257" s="94"/>
      <c r="E257" s="132"/>
      <c r="F257" s="132"/>
      <c r="G257" s="94"/>
      <c r="H257" s="93"/>
      <c r="I257" s="94"/>
      <c r="J257" s="94"/>
      <c r="K257" s="125"/>
      <c r="L257" s="125"/>
      <c r="M257" s="99"/>
      <c r="N257" s="111"/>
      <c r="O257" s="112"/>
      <c r="P257" s="94"/>
      <c r="Q257" s="120"/>
      <c r="R257" s="113"/>
      <c r="S257" s="94"/>
      <c r="T257" s="94"/>
      <c r="V257" s="104"/>
    </row>
    <row r="258" ht="15.75" customHeight="1">
      <c r="A258" s="91"/>
      <c r="B258" s="131"/>
      <c r="C258" s="132"/>
      <c r="D258" s="94"/>
      <c r="E258" s="132"/>
      <c r="F258" s="132"/>
      <c r="G258" s="94"/>
      <c r="H258" s="93"/>
      <c r="I258" s="94"/>
      <c r="J258" s="94"/>
      <c r="K258" s="126"/>
      <c r="L258" s="126"/>
      <c r="M258" s="99"/>
      <c r="N258" s="111"/>
      <c r="O258" s="112"/>
      <c r="P258" s="94"/>
      <c r="Q258" s="120"/>
      <c r="R258" s="113"/>
      <c r="S258" s="94"/>
      <c r="T258" s="94"/>
      <c r="V258" s="104"/>
    </row>
    <row r="259" ht="15.75" customHeight="1">
      <c r="A259" s="91"/>
      <c r="B259" s="131"/>
      <c r="C259" s="104"/>
      <c r="D259" s="94"/>
      <c r="E259" s="132"/>
      <c r="F259" s="132"/>
      <c r="G259" s="94"/>
      <c r="H259" s="93"/>
      <c r="I259" s="94"/>
      <c r="J259" s="94"/>
      <c r="K259" s="125"/>
      <c r="L259" s="125"/>
      <c r="M259" s="99"/>
      <c r="N259" s="111"/>
      <c r="O259" s="112"/>
      <c r="P259" s="94"/>
      <c r="Q259" s="120"/>
      <c r="R259" s="113"/>
      <c r="S259" s="94"/>
      <c r="T259" s="94"/>
      <c r="V259" s="104"/>
    </row>
    <row r="260" ht="15.75" customHeight="1">
      <c r="A260" s="91"/>
      <c r="B260" s="131"/>
      <c r="C260" s="132"/>
      <c r="D260" s="94"/>
      <c r="E260" s="132"/>
      <c r="F260" s="132"/>
      <c r="G260" s="94"/>
      <c r="H260" s="93"/>
      <c r="I260" s="94"/>
      <c r="J260" s="94"/>
      <c r="K260" s="126"/>
      <c r="L260" s="126"/>
      <c r="M260" s="99"/>
      <c r="N260" s="111"/>
      <c r="O260" s="112"/>
      <c r="P260" s="94"/>
      <c r="Q260" s="120"/>
      <c r="R260" s="113"/>
      <c r="S260" s="94"/>
      <c r="T260" s="94"/>
      <c r="V260" s="104"/>
    </row>
    <row r="261" ht="15.75" customHeight="1">
      <c r="A261" s="91"/>
      <c r="B261" s="131"/>
      <c r="C261" s="132"/>
      <c r="D261" s="94"/>
      <c r="E261" s="132"/>
      <c r="F261" s="132"/>
      <c r="G261" s="94"/>
      <c r="H261" s="93"/>
      <c r="I261" s="94"/>
      <c r="J261" s="94"/>
      <c r="K261" s="125"/>
      <c r="L261" s="125"/>
      <c r="M261" s="99"/>
      <c r="N261" s="111"/>
      <c r="O261" s="112"/>
      <c r="P261" s="94"/>
      <c r="Q261" s="120"/>
      <c r="R261" s="113"/>
      <c r="S261" s="94"/>
      <c r="T261" s="94"/>
      <c r="V261" s="104"/>
    </row>
    <row r="262" ht="15.75" customHeight="1">
      <c r="A262" s="91"/>
      <c r="B262" s="131"/>
      <c r="C262" s="132"/>
      <c r="D262" s="94"/>
      <c r="E262" s="132"/>
      <c r="F262" s="132"/>
      <c r="G262" s="94"/>
      <c r="H262" s="93"/>
      <c r="I262" s="94"/>
      <c r="J262" s="94"/>
      <c r="K262" s="126"/>
      <c r="L262" s="126"/>
      <c r="M262" s="99"/>
      <c r="N262" s="111"/>
      <c r="O262" s="112"/>
      <c r="P262" s="94"/>
      <c r="Q262" s="120"/>
      <c r="R262" s="113"/>
      <c r="S262" s="94"/>
      <c r="T262" s="94"/>
      <c r="V262" s="104"/>
    </row>
    <row r="263" ht="15.75" customHeight="1">
      <c r="A263" s="91"/>
      <c r="B263" s="131"/>
      <c r="C263" s="132"/>
      <c r="D263" s="94"/>
      <c r="E263" s="132"/>
      <c r="F263" s="132"/>
      <c r="G263" s="94"/>
      <c r="H263" s="93"/>
      <c r="I263" s="94"/>
      <c r="J263" s="94"/>
      <c r="K263" s="125"/>
      <c r="L263" s="125"/>
      <c r="M263" s="99"/>
      <c r="N263" s="111"/>
      <c r="O263" s="112"/>
      <c r="P263" s="94"/>
      <c r="Q263" s="120"/>
      <c r="R263" s="113"/>
      <c r="S263" s="94"/>
      <c r="T263" s="94"/>
      <c r="V263" s="104"/>
    </row>
    <row r="264" ht="15.75" customHeight="1">
      <c r="A264" s="91"/>
      <c r="B264" s="131"/>
      <c r="C264" s="132"/>
      <c r="D264" s="94"/>
      <c r="E264" s="132"/>
      <c r="F264" s="132"/>
      <c r="G264" s="94"/>
      <c r="H264" s="93"/>
      <c r="I264" s="94"/>
      <c r="J264" s="94"/>
      <c r="K264" s="126"/>
      <c r="L264" s="126"/>
      <c r="M264" s="99"/>
      <c r="N264" s="111"/>
      <c r="O264" s="112"/>
      <c r="P264" s="94"/>
      <c r="Q264" s="120"/>
      <c r="R264" s="113"/>
      <c r="S264" s="94"/>
      <c r="T264" s="94"/>
      <c r="V264" s="104"/>
    </row>
    <row r="265" ht="15.75" customHeight="1">
      <c r="A265" s="91"/>
      <c r="B265" s="131"/>
      <c r="C265" s="104"/>
      <c r="D265" s="94"/>
      <c r="E265" s="132"/>
      <c r="F265" s="132"/>
      <c r="G265" s="94"/>
      <c r="H265" s="93"/>
      <c r="I265" s="94"/>
      <c r="J265" s="94"/>
      <c r="K265" s="125"/>
      <c r="L265" s="125"/>
      <c r="M265" s="99"/>
      <c r="N265" s="111"/>
      <c r="O265" s="112"/>
      <c r="P265" s="94"/>
      <c r="Q265" s="120"/>
      <c r="R265" s="113"/>
      <c r="S265" s="94"/>
      <c r="T265" s="94"/>
      <c r="V265" s="104"/>
    </row>
    <row r="266" ht="15.75" customHeight="1">
      <c r="A266" s="91"/>
      <c r="B266" s="131"/>
      <c r="C266" s="132"/>
      <c r="D266" s="94"/>
      <c r="E266" s="132"/>
      <c r="F266" s="132"/>
      <c r="G266" s="94"/>
      <c r="H266" s="93"/>
      <c r="I266" s="94"/>
      <c r="J266" s="94"/>
      <c r="K266" s="126"/>
      <c r="L266" s="126"/>
      <c r="M266" s="99"/>
      <c r="N266" s="111"/>
      <c r="O266" s="112"/>
      <c r="P266" s="94"/>
      <c r="Q266" s="120"/>
      <c r="R266" s="113"/>
      <c r="S266" s="94"/>
      <c r="T266" s="94"/>
      <c r="V266" s="104"/>
    </row>
    <row r="267" ht="15.75" customHeight="1">
      <c r="A267" s="91"/>
      <c r="B267" s="131"/>
      <c r="C267" s="132"/>
      <c r="D267" s="94"/>
      <c r="E267" s="132"/>
      <c r="F267" s="132"/>
      <c r="G267" s="94"/>
      <c r="H267" s="93"/>
      <c r="I267" s="94"/>
      <c r="J267" s="94"/>
      <c r="K267" s="125"/>
      <c r="L267" s="125"/>
      <c r="M267" s="99"/>
      <c r="N267" s="111"/>
      <c r="O267" s="112"/>
      <c r="P267" s="94"/>
      <c r="Q267" s="120"/>
      <c r="R267" s="113"/>
      <c r="S267" s="94"/>
      <c r="T267" s="94"/>
      <c r="V267" s="104"/>
    </row>
    <row r="268" ht="15.75" customHeight="1">
      <c r="A268" s="91"/>
      <c r="B268" s="131"/>
      <c r="C268" s="132"/>
      <c r="D268" s="94"/>
      <c r="E268" s="132"/>
      <c r="F268" s="132"/>
      <c r="G268" s="94"/>
      <c r="H268" s="93"/>
      <c r="I268" s="94"/>
      <c r="J268" s="94"/>
      <c r="K268" s="126"/>
      <c r="L268" s="126"/>
      <c r="M268" s="99"/>
      <c r="N268" s="111"/>
      <c r="O268" s="112"/>
      <c r="P268" s="94"/>
      <c r="Q268" s="120"/>
      <c r="R268" s="113"/>
      <c r="S268" s="94"/>
      <c r="T268" s="94"/>
      <c r="V268" s="104"/>
    </row>
    <row r="269" ht="15.75" customHeight="1">
      <c r="A269" s="91"/>
      <c r="B269" s="131"/>
      <c r="C269" s="132"/>
      <c r="D269" s="94"/>
      <c r="E269" s="132"/>
      <c r="F269" s="132"/>
      <c r="G269" s="94"/>
      <c r="H269" s="93"/>
      <c r="I269" s="94"/>
      <c r="J269" s="94"/>
      <c r="K269" s="125"/>
      <c r="L269" s="125"/>
      <c r="M269" s="99"/>
      <c r="N269" s="111"/>
      <c r="O269" s="112"/>
      <c r="P269" s="94"/>
      <c r="Q269" s="120"/>
      <c r="R269" s="113"/>
      <c r="S269" s="94"/>
      <c r="T269" s="94"/>
      <c r="V269" s="104"/>
    </row>
    <row r="270" ht="15.75" customHeight="1">
      <c r="A270" s="91"/>
      <c r="B270" s="131"/>
      <c r="C270" s="132"/>
      <c r="D270" s="94"/>
      <c r="E270" s="132"/>
      <c r="F270" s="132"/>
      <c r="G270" s="94"/>
      <c r="H270" s="93"/>
      <c r="I270" s="94"/>
      <c r="J270" s="94"/>
      <c r="K270" s="126"/>
      <c r="L270" s="126"/>
      <c r="M270" s="99"/>
      <c r="N270" s="111"/>
      <c r="O270" s="112"/>
      <c r="P270" s="94"/>
      <c r="Q270" s="120"/>
      <c r="R270" s="113"/>
      <c r="S270" s="94"/>
      <c r="T270" s="94"/>
      <c r="V270" s="104"/>
    </row>
    <row r="271" ht="15.75" customHeight="1">
      <c r="A271" s="91"/>
      <c r="B271" s="131"/>
      <c r="C271" s="104"/>
      <c r="D271" s="94"/>
      <c r="E271" s="132"/>
      <c r="F271" s="132"/>
      <c r="G271" s="94"/>
      <c r="H271" s="93"/>
      <c r="I271" s="94"/>
      <c r="J271" s="94"/>
      <c r="K271" s="125"/>
      <c r="L271" s="125"/>
      <c r="M271" s="99"/>
      <c r="N271" s="111"/>
      <c r="O271" s="112"/>
      <c r="P271" s="94"/>
      <c r="Q271" s="120"/>
      <c r="R271" s="113"/>
      <c r="S271" s="94"/>
      <c r="T271" s="94"/>
      <c r="V271" s="104"/>
    </row>
    <row r="272" ht="15.75" customHeight="1">
      <c r="A272" s="91"/>
      <c r="B272" s="131"/>
      <c r="C272" s="132"/>
      <c r="D272" s="94"/>
      <c r="E272" s="132"/>
      <c r="F272" s="132"/>
      <c r="G272" s="94"/>
      <c r="H272" s="93"/>
      <c r="I272" s="94"/>
      <c r="J272" s="94"/>
      <c r="K272" s="126"/>
      <c r="L272" s="126"/>
      <c r="M272" s="99"/>
      <c r="N272" s="111"/>
      <c r="O272" s="112"/>
      <c r="P272" s="94"/>
      <c r="Q272" s="120"/>
      <c r="R272" s="113"/>
      <c r="S272" s="94"/>
      <c r="T272" s="94"/>
      <c r="V272" s="104"/>
    </row>
    <row r="273" ht="15.75" customHeight="1">
      <c r="A273" s="91"/>
      <c r="B273" s="131"/>
      <c r="C273" s="132"/>
      <c r="D273" s="94"/>
      <c r="E273" s="132"/>
      <c r="F273" s="132"/>
      <c r="G273" s="94"/>
      <c r="H273" s="93"/>
      <c r="I273" s="94"/>
      <c r="J273" s="94"/>
      <c r="K273" s="125"/>
      <c r="L273" s="125"/>
      <c r="M273" s="99"/>
      <c r="N273" s="111"/>
      <c r="O273" s="112"/>
      <c r="P273" s="94"/>
      <c r="Q273" s="120"/>
      <c r="R273" s="113"/>
      <c r="S273" s="94"/>
      <c r="T273" s="94"/>
      <c r="V273" s="104"/>
    </row>
    <row r="274" ht="15.75" customHeight="1">
      <c r="A274" s="91"/>
      <c r="B274" s="131"/>
      <c r="C274" s="132"/>
      <c r="D274" s="94"/>
      <c r="E274" s="132"/>
      <c r="F274" s="132"/>
      <c r="G274" s="94"/>
      <c r="H274" s="93"/>
      <c r="I274" s="94"/>
      <c r="J274" s="94"/>
      <c r="K274" s="126"/>
      <c r="L274" s="126"/>
      <c r="M274" s="99"/>
      <c r="N274" s="111"/>
      <c r="O274" s="112"/>
      <c r="P274" s="94"/>
      <c r="Q274" s="120"/>
      <c r="R274" s="113"/>
      <c r="S274" s="94"/>
      <c r="T274" s="94"/>
      <c r="V274" s="104"/>
    </row>
    <row r="275" ht="15.75" customHeight="1">
      <c r="A275" s="91"/>
      <c r="B275" s="131"/>
      <c r="C275" s="132"/>
      <c r="D275" s="94"/>
      <c r="E275" s="132"/>
      <c r="F275" s="132"/>
      <c r="G275" s="94"/>
      <c r="H275" s="93"/>
      <c r="I275" s="94"/>
      <c r="J275" s="94"/>
      <c r="K275" s="125"/>
      <c r="L275" s="125"/>
      <c r="M275" s="99"/>
      <c r="N275" s="111"/>
      <c r="O275" s="112"/>
      <c r="P275" s="94"/>
      <c r="Q275" s="120"/>
      <c r="R275" s="113"/>
      <c r="S275" s="94"/>
      <c r="T275" s="94"/>
      <c r="V275" s="104"/>
    </row>
    <row r="276" ht="15.75" customHeight="1">
      <c r="A276" s="91"/>
      <c r="B276" s="131"/>
      <c r="C276" s="132"/>
      <c r="D276" s="94"/>
      <c r="E276" s="132"/>
      <c r="F276" s="132"/>
      <c r="G276" s="94"/>
      <c r="H276" s="93"/>
      <c r="I276" s="94"/>
      <c r="J276" s="94"/>
      <c r="K276" s="126"/>
      <c r="L276" s="126"/>
      <c r="M276" s="99"/>
      <c r="N276" s="111"/>
      <c r="O276" s="112"/>
      <c r="P276" s="94"/>
      <c r="Q276" s="120"/>
      <c r="R276" s="113"/>
      <c r="S276" s="94"/>
      <c r="T276" s="94"/>
      <c r="V276" s="104"/>
    </row>
    <row r="277" ht="15.75" customHeight="1">
      <c r="A277" s="91"/>
      <c r="B277" s="131"/>
      <c r="C277" s="104"/>
      <c r="D277" s="94"/>
      <c r="E277" s="132"/>
      <c r="F277" s="132"/>
      <c r="G277" s="94"/>
      <c r="H277" s="93"/>
      <c r="I277" s="94"/>
      <c r="J277" s="94"/>
      <c r="K277" s="125"/>
      <c r="L277" s="125"/>
      <c r="M277" s="99"/>
      <c r="N277" s="111"/>
      <c r="O277" s="112"/>
      <c r="P277" s="94"/>
      <c r="Q277" s="120"/>
      <c r="R277" s="113"/>
      <c r="S277" s="94"/>
      <c r="T277" s="94"/>
      <c r="V277" s="104"/>
    </row>
    <row r="278" ht="15.75" customHeight="1">
      <c r="A278" s="91"/>
      <c r="B278" s="131"/>
      <c r="C278" s="132"/>
      <c r="D278" s="94"/>
      <c r="E278" s="132"/>
      <c r="F278" s="132"/>
      <c r="G278" s="94"/>
      <c r="H278" s="93"/>
      <c r="I278" s="94"/>
      <c r="J278" s="94"/>
      <c r="K278" s="126"/>
      <c r="L278" s="126"/>
      <c r="M278" s="99"/>
      <c r="N278" s="111"/>
      <c r="O278" s="112"/>
      <c r="P278" s="94"/>
      <c r="Q278" s="120"/>
      <c r="R278" s="113"/>
      <c r="S278" s="94"/>
      <c r="T278" s="94"/>
      <c r="V278" s="104"/>
    </row>
    <row r="279" ht="15.75" customHeight="1">
      <c r="A279" s="91"/>
      <c r="B279" s="131"/>
      <c r="C279" s="132"/>
      <c r="D279" s="94"/>
      <c r="E279" s="132"/>
      <c r="F279" s="132"/>
      <c r="G279" s="94"/>
      <c r="H279" s="93"/>
      <c r="I279" s="94"/>
      <c r="J279" s="94"/>
      <c r="K279" s="125"/>
      <c r="L279" s="125"/>
      <c r="M279" s="99"/>
      <c r="N279" s="111"/>
      <c r="O279" s="112"/>
      <c r="P279" s="94"/>
      <c r="Q279" s="120"/>
      <c r="R279" s="113"/>
      <c r="S279" s="94"/>
      <c r="T279" s="94"/>
      <c r="V279" s="104"/>
    </row>
    <row r="280" ht="15.75" customHeight="1">
      <c r="A280" s="91"/>
      <c r="B280" s="131"/>
      <c r="C280" s="132"/>
      <c r="D280" s="94"/>
      <c r="E280" s="132"/>
      <c r="F280" s="132"/>
      <c r="G280" s="94"/>
      <c r="H280" s="93"/>
      <c r="I280" s="94"/>
      <c r="J280" s="94"/>
      <c r="K280" s="126"/>
      <c r="L280" s="126"/>
      <c r="M280" s="99"/>
      <c r="N280" s="111"/>
      <c r="O280" s="112"/>
      <c r="P280" s="94"/>
      <c r="Q280" s="120"/>
      <c r="R280" s="113"/>
      <c r="S280" s="94"/>
      <c r="T280" s="94"/>
      <c r="V280" s="104"/>
    </row>
    <row r="281" ht="15.75" customHeight="1">
      <c r="A281" s="91"/>
      <c r="B281" s="131"/>
      <c r="C281" s="132"/>
      <c r="D281" s="94"/>
      <c r="E281" s="132"/>
      <c r="F281" s="132"/>
      <c r="G281" s="94"/>
      <c r="H281" s="93"/>
      <c r="I281" s="94"/>
      <c r="J281" s="94"/>
      <c r="K281" s="125"/>
      <c r="L281" s="125"/>
      <c r="M281" s="99"/>
      <c r="N281" s="111"/>
      <c r="O281" s="112"/>
      <c r="P281" s="94"/>
      <c r="Q281" s="120"/>
      <c r="R281" s="113"/>
      <c r="S281" s="94"/>
      <c r="T281" s="94"/>
      <c r="V281" s="104"/>
    </row>
    <row r="282" ht="15.75" customHeight="1">
      <c r="A282" s="91"/>
      <c r="B282" s="131"/>
      <c r="C282" s="132"/>
      <c r="D282" s="94"/>
      <c r="E282" s="132"/>
      <c r="F282" s="132"/>
      <c r="G282" s="94"/>
      <c r="H282" s="93"/>
      <c r="I282" s="94"/>
      <c r="J282" s="94"/>
      <c r="K282" s="126"/>
      <c r="L282" s="126"/>
      <c r="M282" s="99"/>
      <c r="N282" s="111"/>
      <c r="O282" s="112"/>
      <c r="P282" s="94"/>
      <c r="Q282" s="120"/>
      <c r="R282" s="113"/>
      <c r="S282" s="94"/>
      <c r="T282" s="94"/>
      <c r="V282" s="104"/>
    </row>
    <row r="283" ht="15.75" customHeight="1">
      <c r="A283" s="91"/>
      <c r="B283" s="131"/>
      <c r="C283" s="104"/>
      <c r="D283" s="94"/>
      <c r="E283" s="132"/>
      <c r="F283" s="132"/>
      <c r="G283" s="94"/>
      <c r="H283" s="93"/>
      <c r="I283" s="94"/>
      <c r="J283" s="94"/>
      <c r="K283" s="125"/>
      <c r="L283" s="125"/>
      <c r="M283" s="99"/>
      <c r="N283" s="111"/>
      <c r="O283" s="112"/>
      <c r="P283" s="94"/>
      <c r="Q283" s="120"/>
      <c r="R283" s="113"/>
      <c r="S283" s="94"/>
      <c r="T283" s="94"/>
      <c r="V283" s="104"/>
    </row>
    <row r="284" ht="15.75" customHeight="1">
      <c r="A284" s="91"/>
      <c r="B284" s="131"/>
      <c r="C284" s="132"/>
      <c r="D284" s="94"/>
      <c r="E284" s="132"/>
      <c r="F284" s="132"/>
      <c r="G284" s="94"/>
      <c r="H284" s="93"/>
      <c r="I284" s="94"/>
      <c r="J284" s="94"/>
      <c r="K284" s="126"/>
      <c r="L284" s="126"/>
      <c r="M284" s="99"/>
      <c r="N284" s="111"/>
      <c r="O284" s="112"/>
      <c r="P284" s="94"/>
      <c r="Q284" s="120"/>
      <c r="R284" s="113"/>
      <c r="S284" s="94"/>
      <c r="T284" s="94"/>
      <c r="V284" s="104"/>
    </row>
    <row r="285" ht="15.75" customHeight="1">
      <c r="A285" s="91"/>
      <c r="B285" s="131"/>
      <c r="C285" s="132"/>
      <c r="D285" s="94"/>
      <c r="E285" s="132"/>
      <c r="F285" s="132"/>
      <c r="G285" s="94"/>
      <c r="H285" s="93"/>
      <c r="I285" s="94"/>
      <c r="J285" s="94"/>
      <c r="K285" s="125"/>
      <c r="L285" s="125"/>
      <c r="M285" s="99"/>
      <c r="N285" s="111"/>
      <c r="O285" s="112"/>
      <c r="P285" s="94"/>
      <c r="Q285" s="120"/>
      <c r="R285" s="113"/>
      <c r="S285" s="94"/>
      <c r="T285" s="94"/>
      <c r="V285" s="104"/>
    </row>
    <row r="286" ht="15.75" customHeight="1">
      <c r="A286" s="91"/>
      <c r="B286" s="131"/>
      <c r="C286" s="132"/>
      <c r="D286" s="94"/>
      <c r="E286" s="132"/>
      <c r="F286" s="132"/>
      <c r="G286" s="94"/>
      <c r="H286" s="93"/>
      <c r="I286" s="94"/>
      <c r="J286" s="94"/>
      <c r="K286" s="126"/>
      <c r="L286" s="126"/>
      <c r="M286" s="99"/>
      <c r="N286" s="111"/>
      <c r="O286" s="112"/>
      <c r="P286" s="94"/>
      <c r="Q286" s="120"/>
      <c r="R286" s="113"/>
      <c r="S286" s="94"/>
      <c r="T286" s="94"/>
      <c r="V286" s="104"/>
    </row>
    <row r="287" ht="15.75" customHeight="1">
      <c r="A287" s="91"/>
      <c r="B287" s="131"/>
      <c r="C287" s="132"/>
      <c r="D287" s="94"/>
      <c r="E287" s="132"/>
      <c r="F287" s="132"/>
      <c r="G287" s="94"/>
      <c r="H287" s="93"/>
      <c r="I287" s="94"/>
      <c r="J287" s="94"/>
      <c r="K287" s="125"/>
      <c r="L287" s="125"/>
      <c r="M287" s="99"/>
      <c r="N287" s="111"/>
      <c r="O287" s="112"/>
      <c r="P287" s="94"/>
      <c r="Q287" s="120"/>
      <c r="R287" s="113"/>
      <c r="S287" s="94"/>
      <c r="T287" s="94"/>
      <c r="V287" s="104"/>
    </row>
    <row r="288" ht="15.75" customHeight="1">
      <c r="A288" s="91"/>
      <c r="B288" s="131"/>
      <c r="C288" s="132"/>
      <c r="D288" s="94"/>
      <c r="E288" s="132"/>
      <c r="F288" s="132"/>
      <c r="G288" s="94"/>
      <c r="H288" s="93"/>
      <c r="I288" s="94"/>
      <c r="J288" s="94"/>
      <c r="K288" s="126"/>
      <c r="L288" s="126"/>
      <c r="M288" s="99"/>
      <c r="N288" s="111"/>
      <c r="O288" s="112"/>
      <c r="P288" s="94"/>
      <c r="Q288" s="120"/>
      <c r="R288" s="113"/>
      <c r="S288" s="94"/>
      <c r="T288" s="94"/>
      <c r="V288" s="104"/>
    </row>
    <row r="289" ht="15.75" customHeight="1">
      <c r="A289" s="91"/>
      <c r="B289" s="131"/>
      <c r="C289" s="104"/>
      <c r="D289" s="94"/>
      <c r="E289" s="132"/>
      <c r="F289" s="132"/>
      <c r="G289" s="94"/>
      <c r="H289" s="93"/>
      <c r="I289" s="94"/>
      <c r="J289" s="94"/>
      <c r="K289" s="125"/>
      <c r="L289" s="125"/>
      <c r="M289" s="99"/>
      <c r="N289" s="111"/>
      <c r="O289" s="112"/>
      <c r="P289" s="94"/>
      <c r="Q289" s="120"/>
      <c r="R289" s="113"/>
      <c r="S289" s="94"/>
      <c r="T289" s="94"/>
      <c r="V289" s="104"/>
    </row>
    <row r="290" ht="15.75" customHeight="1">
      <c r="A290" s="91"/>
      <c r="B290" s="131"/>
      <c r="C290" s="132"/>
      <c r="D290" s="94"/>
      <c r="E290" s="132"/>
      <c r="F290" s="132"/>
      <c r="G290" s="94"/>
      <c r="H290" s="93"/>
      <c r="I290" s="94"/>
      <c r="J290" s="94"/>
      <c r="K290" s="126"/>
      <c r="L290" s="126"/>
      <c r="M290" s="99"/>
      <c r="N290" s="111"/>
      <c r="O290" s="112"/>
      <c r="P290" s="94"/>
      <c r="Q290" s="120"/>
      <c r="R290" s="113"/>
      <c r="S290" s="94"/>
      <c r="T290" s="94"/>
      <c r="V290" s="104"/>
    </row>
    <row r="291" ht="15.75" customHeight="1">
      <c r="A291" s="91"/>
      <c r="B291" s="131"/>
      <c r="C291" s="132"/>
      <c r="D291" s="94"/>
      <c r="E291" s="132"/>
      <c r="F291" s="132"/>
      <c r="G291" s="94"/>
      <c r="H291" s="93"/>
      <c r="I291" s="94"/>
      <c r="J291" s="94"/>
      <c r="K291" s="125"/>
      <c r="L291" s="125"/>
      <c r="M291" s="99"/>
      <c r="N291" s="111"/>
      <c r="O291" s="112"/>
      <c r="P291" s="94"/>
      <c r="Q291" s="120"/>
      <c r="R291" s="113"/>
      <c r="S291" s="94"/>
      <c r="T291" s="94"/>
      <c r="V291" s="104"/>
    </row>
    <row r="292" ht="15.75" customHeight="1">
      <c r="A292" s="91"/>
      <c r="B292" s="131"/>
      <c r="C292" s="132"/>
      <c r="D292" s="94"/>
      <c r="E292" s="132"/>
      <c r="F292" s="132"/>
      <c r="G292" s="94"/>
      <c r="H292" s="93"/>
      <c r="I292" s="94"/>
      <c r="J292" s="94"/>
      <c r="K292" s="126"/>
      <c r="L292" s="126"/>
      <c r="M292" s="99"/>
      <c r="N292" s="111"/>
      <c r="O292" s="112"/>
      <c r="P292" s="94"/>
      <c r="Q292" s="120"/>
      <c r="R292" s="113"/>
      <c r="S292" s="94"/>
      <c r="T292" s="94"/>
      <c r="V292" s="104"/>
    </row>
    <row r="293" ht="15.75" customHeight="1">
      <c r="A293" s="91"/>
      <c r="B293" s="131"/>
      <c r="C293" s="132"/>
      <c r="D293" s="94"/>
      <c r="E293" s="132"/>
      <c r="F293" s="132"/>
      <c r="G293" s="94"/>
      <c r="H293" s="93"/>
      <c r="I293" s="94"/>
      <c r="J293" s="94"/>
      <c r="K293" s="125"/>
      <c r="L293" s="125"/>
      <c r="M293" s="99"/>
      <c r="N293" s="111"/>
      <c r="O293" s="112"/>
      <c r="P293" s="94"/>
      <c r="Q293" s="120"/>
      <c r="R293" s="113"/>
      <c r="S293" s="94"/>
      <c r="T293" s="94"/>
      <c r="V293" s="104"/>
    </row>
    <row r="294" ht="15.75" customHeight="1">
      <c r="A294" s="91"/>
      <c r="B294" s="131"/>
      <c r="C294" s="132"/>
      <c r="D294" s="94"/>
      <c r="E294" s="132"/>
      <c r="F294" s="132"/>
      <c r="G294" s="94"/>
      <c r="H294" s="93"/>
      <c r="I294" s="94"/>
      <c r="J294" s="94"/>
      <c r="K294" s="126"/>
      <c r="L294" s="126"/>
      <c r="M294" s="99"/>
      <c r="N294" s="111"/>
      <c r="O294" s="112"/>
      <c r="P294" s="94"/>
      <c r="Q294" s="120"/>
      <c r="R294" s="113"/>
      <c r="S294" s="94"/>
      <c r="T294" s="94"/>
      <c r="V294" s="104"/>
    </row>
    <row r="295" ht="15.75" customHeight="1">
      <c r="A295" s="91"/>
      <c r="B295" s="131"/>
      <c r="C295" s="104"/>
      <c r="D295" s="94"/>
      <c r="E295" s="132"/>
      <c r="F295" s="132"/>
      <c r="G295" s="94"/>
      <c r="H295" s="93"/>
      <c r="I295" s="94"/>
      <c r="J295" s="94"/>
      <c r="K295" s="125"/>
      <c r="L295" s="125"/>
      <c r="M295" s="99"/>
      <c r="N295" s="111"/>
      <c r="O295" s="112"/>
      <c r="P295" s="94"/>
      <c r="Q295" s="120"/>
      <c r="R295" s="113"/>
      <c r="S295" s="94"/>
      <c r="T295" s="94"/>
      <c r="V295" s="104"/>
    </row>
    <row r="296" ht="15.75" customHeight="1">
      <c r="A296" s="91"/>
      <c r="B296" s="131"/>
      <c r="C296" s="132"/>
      <c r="D296" s="94"/>
      <c r="E296" s="132"/>
      <c r="F296" s="132"/>
      <c r="G296" s="94"/>
      <c r="H296" s="93"/>
      <c r="I296" s="94"/>
      <c r="J296" s="94"/>
      <c r="K296" s="126"/>
      <c r="L296" s="126"/>
      <c r="M296" s="99"/>
      <c r="N296" s="111"/>
      <c r="O296" s="112"/>
      <c r="P296" s="94"/>
      <c r="Q296" s="120"/>
      <c r="R296" s="113"/>
      <c r="S296" s="94"/>
      <c r="T296" s="94"/>
      <c r="V296" s="104"/>
    </row>
    <row r="297" ht="15.75" customHeight="1">
      <c r="A297" s="91"/>
      <c r="B297" s="131"/>
      <c r="C297" s="132"/>
      <c r="D297" s="94"/>
      <c r="E297" s="132"/>
      <c r="F297" s="132"/>
      <c r="G297" s="94"/>
      <c r="H297" s="93"/>
      <c r="I297" s="94"/>
      <c r="J297" s="94"/>
      <c r="K297" s="125"/>
      <c r="L297" s="125"/>
      <c r="M297" s="99"/>
      <c r="N297" s="111"/>
      <c r="O297" s="112"/>
      <c r="P297" s="94"/>
      <c r="Q297" s="120"/>
      <c r="R297" s="113"/>
      <c r="S297" s="94"/>
      <c r="T297" s="94"/>
      <c r="V297" s="104"/>
    </row>
    <row r="298" ht="15.75" customHeight="1">
      <c r="A298" s="91"/>
      <c r="B298" s="131"/>
      <c r="C298" s="132"/>
      <c r="D298" s="94"/>
      <c r="E298" s="132"/>
      <c r="F298" s="132"/>
      <c r="G298" s="94"/>
      <c r="H298" s="93"/>
      <c r="I298" s="94"/>
      <c r="J298" s="94"/>
      <c r="K298" s="126"/>
      <c r="L298" s="126"/>
      <c r="M298" s="99"/>
      <c r="N298" s="111"/>
      <c r="O298" s="112"/>
      <c r="P298" s="94"/>
      <c r="Q298" s="120"/>
      <c r="R298" s="113"/>
      <c r="S298" s="94"/>
      <c r="T298" s="94"/>
      <c r="V298" s="104"/>
    </row>
    <row r="299" ht="15.75" customHeight="1">
      <c r="A299" s="91"/>
      <c r="B299" s="131"/>
      <c r="C299" s="132"/>
      <c r="D299" s="94"/>
      <c r="E299" s="132"/>
      <c r="F299" s="132"/>
      <c r="G299" s="94"/>
      <c r="H299" s="93"/>
      <c r="I299" s="94"/>
      <c r="J299" s="94"/>
      <c r="K299" s="125"/>
      <c r="L299" s="125"/>
      <c r="M299" s="99"/>
      <c r="N299" s="111"/>
      <c r="O299" s="112"/>
      <c r="P299" s="94"/>
      <c r="Q299" s="120"/>
      <c r="R299" s="113"/>
      <c r="S299" s="94"/>
      <c r="T299" s="94"/>
      <c r="V299" s="104"/>
    </row>
    <row r="300" ht="15.75" customHeight="1">
      <c r="A300" s="91"/>
      <c r="B300" s="131"/>
      <c r="C300" s="132"/>
      <c r="D300" s="94"/>
      <c r="E300" s="132"/>
      <c r="F300" s="132"/>
      <c r="G300" s="94"/>
      <c r="H300" s="93"/>
      <c r="I300" s="94"/>
      <c r="J300" s="94"/>
      <c r="K300" s="126"/>
      <c r="L300" s="126"/>
      <c r="M300" s="99"/>
      <c r="N300" s="111"/>
      <c r="O300" s="112"/>
      <c r="P300" s="94"/>
      <c r="Q300" s="120"/>
      <c r="R300" s="113"/>
      <c r="S300" s="94"/>
      <c r="T300" s="94"/>
      <c r="V300" s="104"/>
    </row>
    <row r="301" ht="15.75" customHeight="1">
      <c r="A301" s="91"/>
      <c r="B301" s="131"/>
      <c r="C301" s="104"/>
      <c r="D301" s="94"/>
      <c r="E301" s="132"/>
      <c r="F301" s="132"/>
      <c r="G301" s="94"/>
      <c r="H301" s="93"/>
      <c r="I301" s="94"/>
      <c r="J301" s="94"/>
      <c r="K301" s="125"/>
      <c r="L301" s="125"/>
      <c r="M301" s="99"/>
      <c r="N301" s="111"/>
      <c r="O301" s="112"/>
      <c r="P301" s="94"/>
      <c r="Q301" s="120"/>
      <c r="R301" s="113"/>
      <c r="S301" s="94"/>
      <c r="T301" s="94"/>
      <c r="V301" s="104"/>
    </row>
    <row r="302" ht="15.75" customHeight="1">
      <c r="A302" s="91"/>
      <c r="B302" s="131"/>
      <c r="C302" s="132"/>
      <c r="D302" s="94"/>
      <c r="E302" s="132"/>
      <c r="F302" s="132"/>
      <c r="G302" s="94"/>
      <c r="H302" s="93"/>
      <c r="I302" s="94"/>
      <c r="J302" s="94"/>
      <c r="K302" s="126"/>
      <c r="L302" s="126"/>
      <c r="M302" s="99"/>
      <c r="N302" s="111"/>
      <c r="O302" s="112"/>
      <c r="P302" s="94"/>
      <c r="Q302" s="120"/>
      <c r="R302" s="113"/>
      <c r="S302" s="94"/>
      <c r="T302" s="94"/>
      <c r="V302" s="104"/>
    </row>
    <row r="303" ht="15.75" customHeight="1">
      <c r="A303" s="91"/>
      <c r="B303" s="131"/>
      <c r="C303" s="132"/>
      <c r="D303" s="94"/>
      <c r="E303" s="132"/>
      <c r="F303" s="132"/>
      <c r="G303" s="94"/>
      <c r="H303" s="93"/>
      <c r="I303" s="94"/>
      <c r="J303" s="94"/>
      <c r="K303" s="125"/>
      <c r="L303" s="125"/>
      <c r="M303" s="99"/>
      <c r="N303" s="111"/>
      <c r="O303" s="112"/>
      <c r="P303" s="94"/>
      <c r="Q303" s="120"/>
      <c r="R303" s="113"/>
      <c r="S303" s="94"/>
      <c r="T303" s="94"/>
      <c r="V303" s="104"/>
    </row>
    <row r="304" ht="15.75" customHeight="1">
      <c r="A304" s="91"/>
      <c r="B304" s="131"/>
      <c r="C304" s="132"/>
      <c r="D304" s="94"/>
      <c r="E304" s="132"/>
      <c r="F304" s="132"/>
      <c r="G304" s="94"/>
      <c r="H304" s="93"/>
      <c r="I304" s="94"/>
      <c r="J304" s="94"/>
      <c r="K304" s="126"/>
      <c r="L304" s="126"/>
      <c r="M304" s="99"/>
      <c r="N304" s="111"/>
      <c r="O304" s="112"/>
      <c r="P304" s="94"/>
      <c r="Q304" s="120"/>
      <c r="R304" s="113"/>
      <c r="S304" s="94"/>
      <c r="T304" s="94"/>
      <c r="V304" s="104"/>
    </row>
    <row r="305" ht="15.75" customHeight="1">
      <c r="A305" s="91"/>
      <c r="B305" s="131"/>
      <c r="C305" s="132"/>
      <c r="D305" s="94"/>
      <c r="E305" s="132"/>
      <c r="F305" s="132"/>
      <c r="G305" s="94"/>
      <c r="H305" s="93"/>
      <c r="I305" s="94"/>
      <c r="J305" s="94"/>
      <c r="K305" s="125"/>
      <c r="L305" s="125"/>
      <c r="M305" s="99"/>
      <c r="N305" s="111"/>
      <c r="O305" s="112"/>
      <c r="P305" s="94"/>
      <c r="Q305" s="120"/>
      <c r="R305" s="113"/>
      <c r="S305" s="94"/>
      <c r="T305" s="94"/>
      <c r="V305" s="104"/>
    </row>
    <row r="306" ht="15.75" customHeight="1">
      <c r="A306" s="91"/>
      <c r="B306" s="131"/>
      <c r="C306" s="132"/>
      <c r="D306" s="94"/>
      <c r="E306" s="132"/>
      <c r="F306" s="132"/>
      <c r="G306" s="94"/>
      <c r="H306" s="93"/>
      <c r="I306" s="94"/>
      <c r="J306" s="94"/>
      <c r="K306" s="126"/>
      <c r="L306" s="126"/>
      <c r="M306" s="99"/>
      <c r="N306" s="111"/>
      <c r="O306" s="112"/>
      <c r="P306" s="94"/>
      <c r="Q306" s="120"/>
      <c r="R306" s="113"/>
      <c r="S306" s="94"/>
      <c r="T306" s="94"/>
      <c r="V306" s="104"/>
    </row>
    <row r="307" ht="15.75" customHeight="1">
      <c r="A307" s="91"/>
      <c r="B307" s="131"/>
      <c r="C307" s="104"/>
      <c r="D307" s="94"/>
      <c r="E307" s="132"/>
      <c r="F307" s="132"/>
      <c r="G307" s="94"/>
      <c r="H307" s="93"/>
      <c r="I307" s="94"/>
      <c r="J307" s="94"/>
      <c r="K307" s="125"/>
      <c r="L307" s="125"/>
      <c r="M307" s="99"/>
      <c r="N307" s="111"/>
      <c r="O307" s="112"/>
      <c r="P307" s="94"/>
      <c r="Q307" s="120"/>
      <c r="R307" s="113"/>
      <c r="S307" s="94"/>
      <c r="T307" s="94"/>
      <c r="V307" s="104"/>
    </row>
    <row r="308" ht="15.75" customHeight="1">
      <c r="A308" s="91"/>
      <c r="B308" s="131"/>
      <c r="C308" s="132"/>
      <c r="D308" s="94"/>
      <c r="E308" s="132"/>
      <c r="F308" s="132"/>
      <c r="G308" s="94"/>
      <c r="H308" s="93"/>
      <c r="I308" s="94"/>
      <c r="J308" s="94"/>
      <c r="K308" s="126"/>
      <c r="L308" s="126"/>
      <c r="M308" s="99"/>
      <c r="N308" s="111"/>
      <c r="O308" s="112"/>
      <c r="P308" s="94"/>
      <c r="Q308" s="120"/>
      <c r="R308" s="113"/>
      <c r="S308" s="94"/>
      <c r="T308" s="94"/>
      <c r="V308" s="104"/>
    </row>
    <row r="309" ht="15.75" customHeight="1">
      <c r="A309" s="91"/>
      <c r="B309" s="131"/>
      <c r="C309" s="132"/>
      <c r="D309" s="94"/>
      <c r="E309" s="132"/>
      <c r="F309" s="132"/>
      <c r="G309" s="94"/>
      <c r="H309" s="93"/>
      <c r="I309" s="94"/>
      <c r="J309" s="94"/>
      <c r="K309" s="125"/>
      <c r="L309" s="125"/>
      <c r="M309" s="99"/>
      <c r="N309" s="111"/>
      <c r="O309" s="112"/>
      <c r="P309" s="94"/>
      <c r="Q309" s="120"/>
      <c r="R309" s="113"/>
      <c r="S309" s="94"/>
      <c r="T309" s="94"/>
      <c r="V309" s="104"/>
    </row>
    <row r="310" ht="15.75" customHeight="1">
      <c r="A310" s="91"/>
      <c r="B310" s="131"/>
      <c r="C310" s="132"/>
      <c r="D310" s="94"/>
      <c r="E310" s="132"/>
      <c r="F310" s="132"/>
      <c r="G310" s="94"/>
      <c r="H310" s="93"/>
      <c r="I310" s="94"/>
      <c r="J310" s="94"/>
      <c r="K310" s="126"/>
      <c r="L310" s="126"/>
      <c r="M310" s="99"/>
      <c r="N310" s="111"/>
      <c r="O310" s="112"/>
      <c r="P310" s="94"/>
      <c r="Q310" s="120"/>
      <c r="R310" s="113"/>
      <c r="S310" s="94"/>
      <c r="T310" s="94"/>
      <c r="V310" s="104"/>
    </row>
    <row r="311" ht="15.75" customHeight="1">
      <c r="A311" s="91"/>
      <c r="B311" s="131"/>
      <c r="C311" s="132"/>
      <c r="D311" s="94"/>
      <c r="E311" s="132"/>
      <c r="F311" s="132"/>
      <c r="G311" s="94"/>
      <c r="H311" s="93"/>
      <c r="I311" s="94"/>
      <c r="J311" s="94"/>
      <c r="K311" s="125"/>
      <c r="L311" s="125"/>
      <c r="M311" s="99"/>
      <c r="N311" s="111"/>
      <c r="O311" s="112"/>
      <c r="P311" s="94"/>
      <c r="Q311" s="120"/>
      <c r="R311" s="113"/>
      <c r="S311" s="94"/>
      <c r="T311" s="94"/>
      <c r="V311" s="104"/>
    </row>
    <row r="312" ht="15.75" customHeight="1">
      <c r="A312" s="91"/>
      <c r="B312" s="131"/>
      <c r="C312" s="132"/>
      <c r="D312" s="94"/>
      <c r="E312" s="132"/>
      <c r="F312" s="132"/>
      <c r="G312" s="94"/>
      <c r="H312" s="93"/>
      <c r="I312" s="94"/>
      <c r="J312" s="94"/>
      <c r="K312" s="126"/>
      <c r="L312" s="126"/>
      <c r="M312" s="99"/>
      <c r="N312" s="111"/>
      <c r="O312" s="112"/>
      <c r="P312" s="94"/>
      <c r="Q312" s="120"/>
      <c r="R312" s="113"/>
      <c r="S312" s="94"/>
      <c r="T312" s="94"/>
      <c r="V312" s="104"/>
    </row>
    <row r="313" ht="15.75" customHeight="1">
      <c r="A313" s="91"/>
      <c r="B313" s="131"/>
      <c r="C313" s="104"/>
      <c r="D313" s="94"/>
      <c r="E313" s="132"/>
      <c r="F313" s="132"/>
      <c r="G313" s="94"/>
      <c r="H313" s="93"/>
      <c r="I313" s="94"/>
      <c r="J313" s="94"/>
      <c r="K313" s="125"/>
      <c r="L313" s="125"/>
      <c r="M313" s="99"/>
      <c r="N313" s="111"/>
      <c r="O313" s="112"/>
      <c r="P313" s="94"/>
      <c r="Q313" s="120"/>
      <c r="R313" s="113"/>
      <c r="S313" s="94"/>
      <c r="T313" s="94"/>
      <c r="V313" s="104"/>
    </row>
    <row r="314" ht="15.75" customHeight="1">
      <c r="A314" s="91"/>
      <c r="B314" s="131"/>
      <c r="C314" s="132"/>
      <c r="D314" s="94"/>
      <c r="E314" s="132"/>
      <c r="F314" s="132"/>
      <c r="G314" s="94"/>
      <c r="H314" s="93"/>
      <c r="I314" s="94"/>
      <c r="J314" s="94"/>
      <c r="K314" s="126"/>
      <c r="L314" s="126"/>
      <c r="M314" s="99"/>
      <c r="N314" s="111"/>
      <c r="O314" s="112"/>
      <c r="P314" s="94"/>
      <c r="Q314" s="120"/>
      <c r="R314" s="113"/>
      <c r="S314" s="94"/>
      <c r="T314" s="94"/>
      <c r="V314" s="104"/>
    </row>
    <row r="315" ht="15.75" customHeight="1">
      <c r="A315" s="91"/>
      <c r="B315" s="131"/>
      <c r="C315" s="132"/>
      <c r="D315" s="94"/>
      <c r="E315" s="132"/>
      <c r="F315" s="132"/>
      <c r="G315" s="94"/>
      <c r="H315" s="93"/>
      <c r="I315" s="94"/>
      <c r="J315" s="94"/>
      <c r="K315" s="125"/>
      <c r="L315" s="125"/>
      <c r="M315" s="99"/>
      <c r="N315" s="111"/>
      <c r="O315" s="112"/>
      <c r="P315" s="94"/>
      <c r="Q315" s="120"/>
      <c r="R315" s="113"/>
      <c r="S315" s="94"/>
      <c r="T315" s="94"/>
      <c r="V315" s="104"/>
    </row>
    <row r="316" ht="15.75" customHeight="1">
      <c r="A316" s="91"/>
      <c r="B316" s="131"/>
      <c r="C316" s="132"/>
      <c r="D316" s="94"/>
      <c r="E316" s="132"/>
      <c r="F316" s="132"/>
      <c r="G316" s="94"/>
      <c r="H316" s="93"/>
      <c r="I316" s="94"/>
      <c r="J316" s="94"/>
      <c r="K316" s="126"/>
      <c r="L316" s="126"/>
      <c r="M316" s="99"/>
      <c r="N316" s="111"/>
      <c r="O316" s="112"/>
      <c r="P316" s="94"/>
      <c r="Q316" s="120"/>
      <c r="R316" s="113"/>
      <c r="S316" s="94"/>
      <c r="T316" s="94"/>
      <c r="V316" s="104"/>
    </row>
    <row r="317" ht="15.75" customHeight="1">
      <c r="A317" s="91"/>
      <c r="B317" s="131"/>
      <c r="C317" s="132"/>
      <c r="D317" s="94"/>
      <c r="E317" s="132"/>
      <c r="F317" s="132"/>
      <c r="G317" s="94"/>
      <c r="H317" s="93"/>
      <c r="I317" s="94"/>
      <c r="J317" s="94"/>
      <c r="K317" s="125"/>
      <c r="L317" s="125"/>
      <c r="M317" s="99"/>
      <c r="N317" s="111"/>
      <c r="O317" s="112"/>
      <c r="P317" s="94"/>
      <c r="Q317" s="120"/>
      <c r="R317" s="113"/>
      <c r="S317" s="94"/>
      <c r="T317" s="94"/>
      <c r="V317" s="104"/>
    </row>
    <row r="318" ht="15.75" customHeight="1">
      <c r="A318" s="91"/>
      <c r="B318" s="131"/>
      <c r="C318" s="132"/>
      <c r="D318" s="94"/>
      <c r="E318" s="132"/>
      <c r="F318" s="132"/>
      <c r="G318" s="94"/>
      <c r="H318" s="93"/>
      <c r="I318" s="94"/>
      <c r="J318" s="94"/>
      <c r="K318" s="126"/>
      <c r="L318" s="126"/>
      <c r="M318" s="99"/>
      <c r="N318" s="111"/>
      <c r="O318" s="112"/>
      <c r="P318" s="94"/>
      <c r="Q318" s="120"/>
      <c r="R318" s="113"/>
      <c r="S318" s="94"/>
      <c r="T318" s="94"/>
      <c r="V318" s="104"/>
    </row>
    <row r="319" ht="15.75" customHeight="1">
      <c r="A319" s="91"/>
      <c r="B319" s="131"/>
      <c r="C319" s="104"/>
      <c r="D319" s="94"/>
      <c r="E319" s="132"/>
      <c r="F319" s="132"/>
      <c r="G319" s="94"/>
      <c r="H319" s="93"/>
      <c r="I319" s="94"/>
      <c r="J319" s="94"/>
      <c r="K319" s="125"/>
      <c r="L319" s="125"/>
      <c r="M319" s="99"/>
      <c r="N319" s="111"/>
      <c r="O319" s="112"/>
      <c r="P319" s="94"/>
      <c r="Q319" s="120"/>
      <c r="R319" s="113"/>
      <c r="S319" s="94"/>
      <c r="T319" s="94"/>
      <c r="V319" s="104"/>
    </row>
    <row r="320" ht="15.75" customHeight="1">
      <c r="A320" s="91"/>
      <c r="B320" s="131"/>
      <c r="C320" s="132"/>
      <c r="D320" s="94"/>
      <c r="E320" s="132"/>
      <c r="F320" s="132"/>
      <c r="G320" s="94"/>
      <c r="H320" s="93"/>
      <c r="I320" s="94"/>
      <c r="J320" s="94"/>
      <c r="K320" s="126"/>
      <c r="L320" s="126"/>
      <c r="M320" s="99"/>
      <c r="N320" s="111"/>
      <c r="O320" s="112"/>
      <c r="P320" s="94"/>
      <c r="Q320" s="120"/>
      <c r="R320" s="113"/>
      <c r="S320" s="94"/>
      <c r="T320" s="94"/>
      <c r="V320" s="104"/>
    </row>
    <row r="321" ht="15.75" customHeight="1">
      <c r="A321" s="91"/>
      <c r="B321" s="131"/>
      <c r="C321" s="132"/>
      <c r="D321" s="94"/>
      <c r="E321" s="132"/>
      <c r="F321" s="132"/>
      <c r="G321" s="94"/>
      <c r="H321" s="93"/>
      <c r="I321" s="94"/>
      <c r="J321" s="94"/>
      <c r="K321" s="125"/>
      <c r="L321" s="125"/>
      <c r="M321" s="99"/>
      <c r="N321" s="111"/>
      <c r="O321" s="112"/>
      <c r="P321" s="94"/>
      <c r="Q321" s="120"/>
      <c r="R321" s="113"/>
      <c r="S321" s="94"/>
      <c r="T321" s="94"/>
      <c r="V321" s="104"/>
    </row>
    <row r="322" ht="15.75" customHeight="1">
      <c r="A322" s="91"/>
      <c r="B322" s="131"/>
      <c r="C322" s="132"/>
      <c r="D322" s="94"/>
      <c r="E322" s="132"/>
      <c r="F322" s="132"/>
      <c r="G322" s="94"/>
      <c r="H322" s="93"/>
      <c r="I322" s="94"/>
      <c r="J322" s="94"/>
      <c r="K322" s="126"/>
      <c r="L322" s="126"/>
      <c r="M322" s="99"/>
      <c r="N322" s="111"/>
      <c r="O322" s="112"/>
      <c r="P322" s="94"/>
      <c r="Q322" s="120"/>
      <c r="R322" s="113"/>
      <c r="S322" s="94"/>
      <c r="T322" s="94"/>
      <c r="V322" s="104"/>
    </row>
    <row r="323" ht="15.75" customHeight="1">
      <c r="A323" s="91"/>
      <c r="B323" s="131"/>
      <c r="C323" s="132"/>
      <c r="D323" s="94"/>
      <c r="E323" s="132"/>
      <c r="F323" s="132"/>
      <c r="G323" s="94"/>
      <c r="H323" s="93"/>
      <c r="I323" s="94"/>
      <c r="J323" s="94"/>
      <c r="K323" s="125"/>
      <c r="L323" s="125"/>
      <c r="M323" s="99"/>
      <c r="N323" s="111"/>
      <c r="O323" s="112"/>
      <c r="P323" s="94"/>
      <c r="Q323" s="120"/>
      <c r="R323" s="113"/>
      <c r="S323" s="94"/>
      <c r="T323" s="94"/>
      <c r="V323" s="104"/>
    </row>
    <row r="324" ht="15.75" customHeight="1">
      <c r="A324" s="91"/>
      <c r="B324" s="131"/>
      <c r="C324" s="132"/>
      <c r="D324" s="94"/>
      <c r="E324" s="132"/>
      <c r="F324" s="132"/>
      <c r="G324" s="94"/>
      <c r="H324" s="93"/>
      <c r="I324" s="94"/>
      <c r="J324" s="94"/>
      <c r="K324" s="126"/>
      <c r="L324" s="126"/>
      <c r="M324" s="99"/>
      <c r="N324" s="111"/>
      <c r="O324" s="112"/>
      <c r="P324" s="94"/>
      <c r="Q324" s="120"/>
      <c r="R324" s="113"/>
      <c r="S324" s="94"/>
      <c r="T324" s="94"/>
      <c r="V324" s="104"/>
    </row>
    <row r="325" ht="15.75" customHeight="1">
      <c r="A325" s="91"/>
      <c r="B325" s="131"/>
      <c r="C325" s="104"/>
      <c r="D325" s="94"/>
      <c r="E325" s="132"/>
      <c r="F325" s="132"/>
      <c r="G325" s="94"/>
      <c r="H325" s="93"/>
      <c r="I325" s="94"/>
      <c r="J325" s="94"/>
      <c r="K325" s="125"/>
      <c r="L325" s="125"/>
      <c r="M325" s="99"/>
      <c r="N325" s="111"/>
      <c r="O325" s="112"/>
      <c r="P325" s="94"/>
      <c r="Q325" s="120"/>
      <c r="R325" s="113"/>
      <c r="S325" s="94"/>
      <c r="T325" s="94"/>
      <c r="V325" s="104"/>
    </row>
    <row r="326" ht="15.75" customHeight="1">
      <c r="A326" s="91"/>
      <c r="B326" s="131"/>
      <c r="C326" s="132"/>
      <c r="D326" s="94"/>
      <c r="E326" s="132"/>
      <c r="F326" s="132"/>
      <c r="G326" s="94"/>
      <c r="H326" s="93"/>
      <c r="I326" s="94"/>
      <c r="J326" s="94"/>
      <c r="K326" s="126"/>
      <c r="L326" s="126"/>
      <c r="M326" s="99"/>
      <c r="N326" s="111"/>
      <c r="O326" s="112"/>
      <c r="P326" s="94"/>
      <c r="Q326" s="120"/>
      <c r="R326" s="113"/>
      <c r="S326" s="94"/>
      <c r="T326" s="94"/>
      <c r="V326" s="104"/>
    </row>
    <row r="327" ht="15.75" customHeight="1">
      <c r="A327" s="91"/>
      <c r="B327" s="131"/>
      <c r="C327" s="132"/>
      <c r="D327" s="94"/>
      <c r="E327" s="132"/>
      <c r="F327" s="132"/>
      <c r="G327" s="94"/>
      <c r="H327" s="93"/>
      <c r="I327" s="94"/>
      <c r="J327" s="94"/>
      <c r="K327" s="125"/>
      <c r="L327" s="125"/>
      <c r="M327" s="99"/>
      <c r="N327" s="111"/>
      <c r="O327" s="112"/>
      <c r="P327" s="94"/>
      <c r="Q327" s="120"/>
      <c r="R327" s="113"/>
      <c r="S327" s="94"/>
      <c r="T327" s="94"/>
      <c r="V327" s="104"/>
    </row>
    <row r="328" ht="15.75" customHeight="1">
      <c r="A328" s="91"/>
      <c r="B328" s="131"/>
      <c r="C328" s="132"/>
      <c r="D328" s="94"/>
      <c r="E328" s="132"/>
      <c r="F328" s="132"/>
      <c r="G328" s="94"/>
      <c r="H328" s="93"/>
      <c r="I328" s="94"/>
      <c r="J328" s="94"/>
      <c r="K328" s="126"/>
      <c r="L328" s="126"/>
      <c r="M328" s="99"/>
      <c r="N328" s="111"/>
      <c r="O328" s="112"/>
      <c r="P328" s="94"/>
      <c r="Q328" s="120"/>
      <c r="R328" s="113"/>
      <c r="S328" s="94"/>
      <c r="T328" s="94"/>
      <c r="V328" s="104"/>
    </row>
    <row r="329" ht="15.75" customHeight="1">
      <c r="A329" s="91"/>
      <c r="B329" s="131"/>
      <c r="C329" s="132"/>
      <c r="D329" s="94"/>
      <c r="E329" s="132"/>
      <c r="F329" s="132"/>
      <c r="G329" s="94"/>
      <c r="H329" s="93"/>
      <c r="I329" s="94"/>
      <c r="J329" s="94"/>
      <c r="K329" s="125"/>
      <c r="L329" s="125"/>
      <c r="M329" s="99"/>
      <c r="N329" s="111"/>
      <c r="O329" s="112"/>
      <c r="P329" s="94"/>
      <c r="Q329" s="120"/>
      <c r="R329" s="113"/>
      <c r="S329" s="94"/>
      <c r="T329" s="94"/>
      <c r="V329" s="104"/>
    </row>
    <row r="330" ht="15.75" customHeight="1">
      <c r="A330" s="91"/>
      <c r="B330" s="131"/>
      <c r="C330" s="132"/>
      <c r="D330" s="94"/>
      <c r="E330" s="132"/>
      <c r="F330" s="132"/>
      <c r="G330" s="94"/>
      <c r="H330" s="93"/>
      <c r="I330" s="94"/>
      <c r="J330" s="94"/>
      <c r="K330" s="126"/>
      <c r="L330" s="126"/>
      <c r="M330" s="99"/>
      <c r="N330" s="111"/>
      <c r="O330" s="112"/>
      <c r="P330" s="94"/>
      <c r="Q330" s="120"/>
      <c r="R330" s="113"/>
      <c r="S330" s="94"/>
      <c r="T330" s="94"/>
      <c r="V330" s="104"/>
    </row>
    <row r="331" ht="15.75" customHeight="1">
      <c r="A331" s="91"/>
      <c r="B331" s="131"/>
      <c r="C331" s="104"/>
      <c r="D331" s="94"/>
      <c r="E331" s="132"/>
      <c r="F331" s="132"/>
      <c r="G331" s="94"/>
      <c r="H331" s="93"/>
      <c r="I331" s="94"/>
      <c r="J331" s="94"/>
      <c r="K331" s="125"/>
      <c r="L331" s="125"/>
      <c r="M331" s="99"/>
      <c r="N331" s="111"/>
      <c r="O331" s="112"/>
      <c r="P331" s="94"/>
      <c r="Q331" s="120"/>
      <c r="R331" s="113"/>
      <c r="S331" s="94"/>
      <c r="T331" s="94"/>
      <c r="V331" s="104"/>
    </row>
    <row r="332" ht="15.75" customHeight="1">
      <c r="A332" s="91"/>
      <c r="B332" s="131"/>
      <c r="C332" s="132"/>
      <c r="D332" s="94"/>
      <c r="E332" s="132"/>
      <c r="F332" s="132"/>
      <c r="G332" s="94"/>
      <c r="H332" s="93"/>
      <c r="I332" s="94"/>
      <c r="J332" s="94"/>
      <c r="K332" s="126"/>
      <c r="L332" s="126"/>
      <c r="M332" s="99"/>
      <c r="N332" s="111"/>
      <c r="O332" s="112"/>
      <c r="P332" s="94"/>
      <c r="Q332" s="120"/>
      <c r="R332" s="113"/>
      <c r="S332" s="94"/>
      <c r="T332" s="94"/>
      <c r="V332" s="104"/>
    </row>
    <row r="333" ht="15.75" customHeight="1">
      <c r="A333" s="91"/>
      <c r="B333" s="131"/>
      <c r="C333" s="132"/>
      <c r="D333" s="94"/>
      <c r="E333" s="132"/>
      <c r="F333" s="132"/>
      <c r="G333" s="94"/>
      <c r="H333" s="93"/>
      <c r="I333" s="94"/>
      <c r="J333" s="94"/>
      <c r="K333" s="125"/>
      <c r="L333" s="125"/>
      <c r="M333" s="99"/>
      <c r="N333" s="111"/>
      <c r="O333" s="112"/>
      <c r="P333" s="94"/>
      <c r="Q333" s="120"/>
      <c r="R333" s="113"/>
      <c r="S333" s="94"/>
      <c r="T333" s="94"/>
      <c r="V333" s="104"/>
    </row>
    <row r="334" ht="15.75" customHeight="1">
      <c r="A334" s="91"/>
      <c r="B334" s="131"/>
      <c r="C334" s="132"/>
      <c r="D334" s="94"/>
      <c r="E334" s="132"/>
      <c r="F334" s="132"/>
      <c r="G334" s="94"/>
      <c r="H334" s="93"/>
      <c r="I334" s="94"/>
      <c r="J334" s="94"/>
      <c r="K334" s="126"/>
      <c r="L334" s="126"/>
      <c r="M334" s="99"/>
      <c r="N334" s="111"/>
      <c r="O334" s="112"/>
      <c r="P334" s="94"/>
      <c r="Q334" s="120"/>
      <c r="R334" s="113"/>
      <c r="S334" s="94"/>
      <c r="T334" s="94"/>
      <c r="V334" s="104"/>
    </row>
    <row r="335" ht="15.75" customHeight="1">
      <c r="A335" s="91"/>
      <c r="B335" s="131"/>
      <c r="C335" s="132"/>
      <c r="D335" s="94"/>
      <c r="E335" s="132"/>
      <c r="F335" s="132"/>
      <c r="G335" s="94"/>
      <c r="H335" s="93"/>
      <c r="I335" s="94"/>
      <c r="J335" s="94"/>
      <c r="K335" s="125"/>
      <c r="L335" s="125"/>
      <c r="M335" s="99"/>
      <c r="N335" s="111"/>
      <c r="O335" s="112"/>
      <c r="P335" s="94"/>
      <c r="Q335" s="120"/>
      <c r="R335" s="113"/>
      <c r="S335" s="94"/>
      <c r="T335" s="94"/>
      <c r="V335" s="104"/>
    </row>
    <row r="336" ht="15.75" customHeight="1">
      <c r="A336" s="91"/>
      <c r="B336" s="131"/>
      <c r="C336" s="132"/>
      <c r="D336" s="94"/>
      <c r="E336" s="132"/>
      <c r="F336" s="132"/>
      <c r="G336" s="94"/>
      <c r="H336" s="93"/>
      <c r="I336" s="94"/>
      <c r="J336" s="94"/>
      <c r="K336" s="126"/>
      <c r="L336" s="126"/>
      <c r="M336" s="99"/>
      <c r="N336" s="111"/>
      <c r="O336" s="112"/>
      <c r="P336" s="94"/>
      <c r="Q336" s="120"/>
      <c r="R336" s="113"/>
      <c r="S336" s="94"/>
      <c r="T336" s="94"/>
      <c r="V336" s="104"/>
    </row>
    <row r="337" ht="15.75" customHeight="1">
      <c r="A337" s="91"/>
      <c r="B337" s="131"/>
      <c r="C337" s="104"/>
      <c r="D337" s="94"/>
      <c r="E337" s="132"/>
      <c r="F337" s="132"/>
      <c r="G337" s="94"/>
      <c r="H337" s="93"/>
      <c r="I337" s="94"/>
      <c r="J337" s="94"/>
      <c r="K337" s="125"/>
      <c r="L337" s="125"/>
      <c r="M337" s="99"/>
      <c r="N337" s="111"/>
      <c r="O337" s="112"/>
      <c r="P337" s="94"/>
      <c r="Q337" s="120"/>
      <c r="R337" s="113"/>
      <c r="S337" s="94"/>
      <c r="T337" s="94"/>
      <c r="V337" s="104"/>
    </row>
    <row r="338" ht="15.75" customHeight="1">
      <c r="A338" s="91"/>
      <c r="B338" s="131"/>
      <c r="C338" s="132"/>
      <c r="D338" s="94"/>
      <c r="E338" s="132"/>
      <c r="F338" s="132"/>
      <c r="G338" s="94"/>
      <c r="H338" s="93"/>
      <c r="I338" s="94"/>
      <c r="J338" s="94"/>
      <c r="K338" s="126"/>
      <c r="L338" s="126"/>
      <c r="M338" s="99"/>
      <c r="N338" s="111"/>
      <c r="O338" s="112"/>
      <c r="P338" s="94"/>
      <c r="Q338" s="120"/>
      <c r="R338" s="113"/>
      <c r="S338" s="94"/>
      <c r="T338" s="94"/>
      <c r="V338" s="104"/>
    </row>
    <row r="339" ht="15.75" customHeight="1">
      <c r="A339" s="91"/>
      <c r="B339" s="131"/>
      <c r="C339" s="132"/>
      <c r="D339" s="94"/>
      <c r="E339" s="132"/>
      <c r="F339" s="132"/>
      <c r="G339" s="94"/>
      <c r="H339" s="93"/>
      <c r="I339" s="94"/>
      <c r="J339" s="94"/>
      <c r="K339" s="125"/>
      <c r="L339" s="125"/>
      <c r="M339" s="99"/>
      <c r="N339" s="111"/>
      <c r="O339" s="112"/>
      <c r="P339" s="94"/>
      <c r="Q339" s="120"/>
      <c r="R339" s="113"/>
      <c r="S339" s="94"/>
      <c r="T339" s="94"/>
      <c r="V339" s="104"/>
    </row>
    <row r="340" ht="15.75" customHeight="1">
      <c r="A340" s="91"/>
      <c r="B340" s="131"/>
      <c r="C340" s="132"/>
      <c r="D340" s="94"/>
      <c r="E340" s="132"/>
      <c r="F340" s="132"/>
      <c r="G340" s="94"/>
      <c r="H340" s="93"/>
      <c r="I340" s="94"/>
      <c r="J340" s="94"/>
      <c r="K340" s="126"/>
      <c r="L340" s="126"/>
      <c r="M340" s="99"/>
      <c r="N340" s="111"/>
      <c r="O340" s="112"/>
      <c r="P340" s="94"/>
      <c r="Q340" s="120"/>
      <c r="R340" s="113"/>
      <c r="S340" s="94"/>
      <c r="T340" s="94"/>
      <c r="V340" s="104"/>
    </row>
    <row r="341" ht="15.75" customHeight="1">
      <c r="A341" s="91"/>
      <c r="B341" s="131"/>
      <c r="C341" s="132"/>
      <c r="D341" s="94"/>
      <c r="E341" s="132"/>
      <c r="F341" s="132"/>
      <c r="G341" s="94"/>
      <c r="H341" s="93"/>
      <c r="I341" s="94"/>
      <c r="J341" s="94"/>
      <c r="K341" s="125"/>
      <c r="L341" s="125"/>
      <c r="M341" s="99"/>
      <c r="N341" s="111"/>
      <c r="O341" s="112"/>
      <c r="P341" s="94"/>
      <c r="Q341" s="120"/>
      <c r="R341" s="113"/>
      <c r="S341" s="94"/>
      <c r="T341" s="94"/>
      <c r="V341" s="104"/>
    </row>
    <row r="342" ht="15.75" customHeight="1">
      <c r="A342" s="91"/>
      <c r="B342" s="131"/>
      <c r="C342" s="132"/>
      <c r="D342" s="94"/>
      <c r="E342" s="132"/>
      <c r="F342" s="132"/>
      <c r="G342" s="94"/>
      <c r="H342" s="93"/>
      <c r="I342" s="94"/>
      <c r="J342" s="94"/>
      <c r="K342" s="126"/>
      <c r="L342" s="126"/>
      <c r="M342" s="99"/>
      <c r="N342" s="111"/>
      <c r="O342" s="112"/>
      <c r="P342" s="94"/>
      <c r="Q342" s="120"/>
      <c r="R342" s="113"/>
      <c r="S342" s="94"/>
      <c r="T342" s="94"/>
      <c r="V342" s="104"/>
    </row>
    <row r="343" ht="15.75" customHeight="1">
      <c r="A343" s="91"/>
      <c r="B343" s="131"/>
      <c r="C343" s="104"/>
      <c r="D343" s="94"/>
      <c r="E343" s="132"/>
      <c r="F343" s="132"/>
      <c r="G343" s="94"/>
      <c r="H343" s="93"/>
      <c r="I343" s="94"/>
      <c r="J343" s="94"/>
      <c r="K343" s="125"/>
      <c r="L343" s="125"/>
      <c r="M343" s="99"/>
      <c r="N343" s="111"/>
      <c r="O343" s="112"/>
      <c r="P343" s="94"/>
      <c r="Q343" s="120"/>
      <c r="R343" s="113"/>
      <c r="S343" s="94"/>
      <c r="T343" s="94"/>
      <c r="V343" s="104"/>
    </row>
    <row r="344" ht="15.75" customHeight="1">
      <c r="A344" s="91"/>
      <c r="B344" s="131"/>
      <c r="C344" s="132"/>
      <c r="D344" s="94"/>
      <c r="E344" s="132"/>
      <c r="F344" s="132"/>
      <c r="G344" s="94"/>
      <c r="H344" s="93"/>
      <c r="I344" s="94"/>
      <c r="J344" s="94"/>
      <c r="K344" s="126"/>
      <c r="L344" s="126"/>
      <c r="M344" s="99"/>
      <c r="N344" s="111"/>
      <c r="O344" s="112"/>
      <c r="P344" s="94"/>
      <c r="Q344" s="120"/>
      <c r="R344" s="113"/>
      <c r="S344" s="94"/>
      <c r="T344" s="94"/>
      <c r="V344" s="104"/>
    </row>
    <row r="345" ht="15.75" customHeight="1">
      <c r="A345" s="91"/>
      <c r="B345" s="131"/>
      <c r="C345" s="132"/>
      <c r="D345" s="94"/>
      <c r="E345" s="132"/>
      <c r="F345" s="132"/>
      <c r="G345" s="94"/>
      <c r="H345" s="93"/>
      <c r="I345" s="94"/>
      <c r="J345" s="94"/>
      <c r="K345" s="125"/>
      <c r="L345" s="125"/>
      <c r="M345" s="99"/>
      <c r="N345" s="111"/>
      <c r="O345" s="112"/>
      <c r="P345" s="94"/>
      <c r="Q345" s="120"/>
      <c r="R345" s="113"/>
      <c r="S345" s="94"/>
      <c r="T345" s="94"/>
      <c r="V345" s="104"/>
    </row>
    <row r="346" ht="15.75" customHeight="1">
      <c r="A346" s="91"/>
      <c r="B346" s="131"/>
      <c r="C346" s="132"/>
      <c r="D346" s="94"/>
      <c r="E346" s="132"/>
      <c r="F346" s="132"/>
      <c r="G346" s="94"/>
      <c r="H346" s="93"/>
      <c r="I346" s="94"/>
      <c r="J346" s="94"/>
      <c r="K346" s="126"/>
      <c r="L346" s="126"/>
      <c r="M346" s="99"/>
      <c r="N346" s="111"/>
      <c r="O346" s="112"/>
      <c r="P346" s="94"/>
      <c r="Q346" s="120"/>
      <c r="R346" s="113"/>
      <c r="S346" s="94"/>
      <c r="T346" s="94"/>
      <c r="V346" s="104"/>
    </row>
    <row r="347" ht="15.75" customHeight="1">
      <c r="A347" s="91"/>
      <c r="B347" s="131"/>
      <c r="C347" s="132"/>
      <c r="D347" s="94"/>
      <c r="E347" s="132"/>
      <c r="F347" s="132"/>
      <c r="G347" s="94"/>
      <c r="H347" s="93"/>
      <c r="I347" s="94"/>
      <c r="J347" s="94"/>
      <c r="K347" s="125"/>
      <c r="L347" s="125"/>
      <c r="M347" s="99"/>
      <c r="N347" s="111"/>
      <c r="O347" s="112"/>
      <c r="P347" s="94"/>
      <c r="Q347" s="120"/>
      <c r="R347" s="113"/>
      <c r="S347" s="94"/>
      <c r="T347" s="94"/>
      <c r="V347" s="104"/>
    </row>
    <row r="348" ht="15.75" customHeight="1">
      <c r="A348" s="91"/>
      <c r="B348" s="131"/>
      <c r="C348" s="132"/>
      <c r="D348" s="94"/>
      <c r="E348" s="132"/>
      <c r="F348" s="132"/>
      <c r="G348" s="94"/>
      <c r="H348" s="93"/>
      <c r="I348" s="94"/>
      <c r="J348" s="94"/>
      <c r="K348" s="126"/>
      <c r="L348" s="126"/>
      <c r="M348" s="99"/>
      <c r="N348" s="111"/>
      <c r="O348" s="112"/>
      <c r="P348" s="94"/>
      <c r="Q348" s="120"/>
      <c r="R348" s="113"/>
      <c r="S348" s="94"/>
      <c r="T348" s="94"/>
      <c r="V348" s="104"/>
    </row>
    <row r="349" ht="15.75" customHeight="1">
      <c r="A349" s="91"/>
      <c r="B349" s="131"/>
      <c r="C349" s="104"/>
      <c r="D349" s="94"/>
      <c r="E349" s="132"/>
      <c r="F349" s="132"/>
      <c r="G349" s="94"/>
      <c r="H349" s="93"/>
      <c r="I349" s="94"/>
      <c r="J349" s="94"/>
      <c r="K349" s="125"/>
      <c r="L349" s="125"/>
      <c r="M349" s="99"/>
      <c r="N349" s="111"/>
      <c r="O349" s="112"/>
      <c r="P349" s="94"/>
      <c r="Q349" s="120"/>
      <c r="R349" s="113"/>
      <c r="S349" s="94"/>
      <c r="T349" s="94"/>
      <c r="V349" s="104"/>
    </row>
    <row r="350" ht="15.75" customHeight="1">
      <c r="A350" s="91"/>
      <c r="B350" s="131"/>
      <c r="C350" s="132"/>
      <c r="D350" s="94"/>
      <c r="E350" s="132"/>
      <c r="F350" s="132"/>
      <c r="G350" s="94"/>
      <c r="H350" s="93"/>
      <c r="I350" s="94"/>
      <c r="J350" s="94"/>
      <c r="K350" s="126"/>
      <c r="L350" s="126"/>
      <c r="M350" s="99"/>
      <c r="N350" s="111"/>
      <c r="O350" s="112"/>
      <c r="P350" s="94"/>
      <c r="Q350" s="120"/>
      <c r="R350" s="113"/>
      <c r="S350" s="94"/>
      <c r="T350" s="94"/>
      <c r="V350" s="104"/>
    </row>
    <row r="351" ht="15.75" customHeight="1">
      <c r="A351" s="91"/>
      <c r="B351" s="131"/>
      <c r="C351" s="132"/>
      <c r="D351" s="94"/>
      <c r="E351" s="132"/>
      <c r="F351" s="132"/>
      <c r="G351" s="94"/>
      <c r="H351" s="93"/>
      <c r="I351" s="94"/>
      <c r="J351" s="94"/>
      <c r="K351" s="125"/>
      <c r="L351" s="125"/>
      <c r="M351" s="99"/>
      <c r="N351" s="111"/>
      <c r="O351" s="112"/>
      <c r="P351" s="94"/>
      <c r="Q351" s="120"/>
      <c r="R351" s="113"/>
      <c r="S351" s="94"/>
      <c r="T351" s="94"/>
      <c r="V351" s="104"/>
    </row>
    <row r="352" ht="15.75" customHeight="1">
      <c r="A352" s="91"/>
      <c r="B352" s="131"/>
      <c r="C352" s="132"/>
      <c r="D352" s="94"/>
      <c r="E352" s="132"/>
      <c r="F352" s="132"/>
      <c r="G352" s="94"/>
      <c r="H352" s="93"/>
      <c r="I352" s="94"/>
      <c r="J352" s="94"/>
      <c r="K352" s="135"/>
      <c r="L352" s="135"/>
      <c r="M352" s="99"/>
      <c r="N352" s="111"/>
      <c r="O352" s="112"/>
      <c r="P352" s="94"/>
      <c r="Q352" s="120"/>
      <c r="R352" s="113"/>
      <c r="S352" s="94"/>
      <c r="T352" s="94"/>
      <c r="V352" s="104"/>
    </row>
    <row r="353" ht="15.75" customHeight="1">
      <c r="A353" s="91"/>
      <c r="B353" s="131"/>
      <c r="C353" s="132"/>
      <c r="D353" s="94"/>
      <c r="E353" s="132"/>
      <c r="F353" s="132"/>
      <c r="G353" s="94"/>
      <c r="H353" s="93"/>
      <c r="I353" s="94"/>
      <c r="J353" s="94"/>
      <c r="K353" s="135"/>
      <c r="L353" s="135"/>
      <c r="M353" s="99"/>
      <c r="N353" s="111"/>
      <c r="O353" s="112"/>
      <c r="P353" s="94"/>
      <c r="Q353" s="120"/>
      <c r="R353" s="113"/>
      <c r="S353" s="94"/>
      <c r="T353" s="94"/>
      <c r="V353" s="104"/>
    </row>
    <row r="354" ht="15.75" customHeight="1">
      <c r="A354" s="91"/>
      <c r="B354" s="131"/>
      <c r="C354" s="132"/>
      <c r="D354" s="94"/>
      <c r="E354" s="132"/>
      <c r="F354" s="132"/>
      <c r="G354" s="94"/>
      <c r="H354" s="93"/>
      <c r="I354" s="94"/>
      <c r="J354" s="94"/>
      <c r="K354" s="135"/>
      <c r="L354" s="135"/>
      <c r="M354" s="99"/>
      <c r="N354" s="111"/>
      <c r="O354" s="112"/>
      <c r="P354" s="94"/>
      <c r="Q354" s="120"/>
      <c r="R354" s="113"/>
      <c r="S354" s="94"/>
      <c r="T354" s="94"/>
      <c r="V354" s="104"/>
    </row>
    <row r="355" ht="15.75" customHeight="1">
      <c r="A355" s="91"/>
      <c r="B355" s="131"/>
      <c r="C355" s="104"/>
      <c r="D355" s="94"/>
      <c r="E355" s="132"/>
      <c r="F355" s="132"/>
      <c r="G355" s="94"/>
      <c r="H355" s="93"/>
      <c r="I355" s="94"/>
      <c r="J355" s="94"/>
      <c r="K355" s="135"/>
      <c r="L355" s="135"/>
      <c r="M355" s="99"/>
      <c r="N355" s="111"/>
      <c r="O355" s="112"/>
      <c r="P355" s="94"/>
      <c r="Q355" s="120"/>
      <c r="R355" s="113"/>
      <c r="S355" s="94"/>
      <c r="T355" s="94"/>
      <c r="V355" s="104"/>
    </row>
    <row r="356" ht="15.75" customHeight="1">
      <c r="A356" s="91"/>
      <c r="B356" s="131"/>
      <c r="C356" s="132"/>
      <c r="D356" s="94"/>
      <c r="E356" s="132"/>
      <c r="F356" s="132"/>
      <c r="G356" s="94"/>
      <c r="H356" s="93"/>
      <c r="I356" s="94"/>
      <c r="J356" s="94"/>
      <c r="K356" s="135"/>
      <c r="L356" s="135"/>
      <c r="M356" s="99"/>
      <c r="N356" s="111"/>
      <c r="O356" s="112"/>
      <c r="P356" s="94"/>
      <c r="Q356" s="120"/>
      <c r="R356" s="113"/>
      <c r="S356" s="94"/>
      <c r="T356" s="94"/>
      <c r="V356" s="104"/>
    </row>
    <row r="357" ht="15.75" customHeight="1">
      <c r="A357" s="91"/>
      <c r="B357" s="131"/>
      <c r="C357" s="132"/>
      <c r="D357" s="94"/>
      <c r="E357" s="132"/>
      <c r="F357" s="132"/>
      <c r="G357" s="94"/>
      <c r="H357" s="93"/>
      <c r="I357" s="94"/>
      <c r="J357" s="94"/>
      <c r="K357" s="135"/>
      <c r="L357" s="135"/>
      <c r="M357" s="99"/>
      <c r="N357" s="111"/>
      <c r="O357" s="112"/>
      <c r="P357" s="94"/>
      <c r="Q357" s="120"/>
      <c r="R357" s="113"/>
      <c r="S357" s="94"/>
      <c r="T357" s="94"/>
      <c r="V357" s="104"/>
    </row>
    <row r="358" ht="15.75" customHeight="1">
      <c r="A358" s="91"/>
      <c r="B358" s="131"/>
      <c r="C358" s="132"/>
      <c r="D358" s="94"/>
      <c r="E358" s="132"/>
      <c r="F358" s="132"/>
      <c r="G358" s="94"/>
      <c r="H358" s="93"/>
      <c r="I358" s="94"/>
      <c r="J358" s="94"/>
      <c r="K358" s="135"/>
      <c r="L358" s="135"/>
      <c r="M358" s="99"/>
      <c r="N358" s="111"/>
      <c r="O358" s="112"/>
      <c r="P358" s="94"/>
      <c r="Q358" s="120"/>
      <c r="R358" s="113"/>
      <c r="S358" s="94"/>
      <c r="T358" s="94"/>
      <c r="V358" s="104"/>
    </row>
    <row r="359" ht="15.75" customHeight="1">
      <c r="A359" s="91"/>
      <c r="B359" s="131"/>
      <c r="C359" s="132"/>
      <c r="D359" s="94"/>
      <c r="E359" s="132"/>
      <c r="F359" s="132"/>
      <c r="G359" s="94"/>
      <c r="H359" s="93"/>
      <c r="I359" s="94"/>
      <c r="J359" s="94"/>
      <c r="K359" s="135"/>
      <c r="L359" s="135"/>
      <c r="M359" s="99"/>
      <c r="N359" s="111"/>
      <c r="O359" s="112"/>
      <c r="P359" s="94"/>
      <c r="Q359" s="120"/>
      <c r="R359" s="113"/>
      <c r="S359" s="94"/>
      <c r="T359" s="94"/>
      <c r="V359" s="104"/>
    </row>
    <row r="360" ht="15.75" customHeight="1">
      <c r="A360" s="91"/>
      <c r="B360" s="131"/>
      <c r="C360" s="132"/>
      <c r="D360" s="94"/>
      <c r="E360" s="132"/>
      <c r="F360" s="132"/>
      <c r="G360" s="94"/>
      <c r="H360" s="93"/>
      <c r="I360" s="94"/>
      <c r="J360" s="94"/>
      <c r="K360" s="135"/>
      <c r="L360" s="135"/>
      <c r="M360" s="99"/>
      <c r="N360" s="111"/>
      <c r="O360" s="112"/>
      <c r="P360" s="94"/>
      <c r="Q360" s="120"/>
      <c r="R360" s="113"/>
      <c r="S360" s="94"/>
      <c r="T360" s="94"/>
      <c r="V360" s="104"/>
    </row>
    <row r="361" ht="15.75" customHeight="1">
      <c r="A361" s="91"/>
      <c r="B361" s="131"/>
      <c r="C361" s="104"/>
      <c r="D361" s="94"/>
      <c r="E361" s="132"/>
      <c r="F361" s="132"/>
      <c r="G361" s="94"/>
      <c r="H361" s="93"/>
      <c r="I361" s="94"/>
      <c r="J361" s="94"/>
      <c r="K361" s="135"/>
      <c r="L361" s="135"/>
      <c r="M361" s="99"/>
      <c r="N361" s="111"/>
      <c r="O361" s="112"/>
      <c r="P361" s="94"/>
      <c r="Q361" s="120"/>
      <c r="R361" s="113"/>
      <c r="S361" s="94"/>
      <c r="T361" s="94"/>
      <c r="V361" s="104"/>
    </row>
    <row r="362" ht="15.75" customHeight="1">
      <c r="A362" s="91"/>
      <c r="B362" s="131"/>
      <c r="C362" s="132"/>
      <c r="D362" s="94"/>
      <c r="E362" s="132"/>
      <c r="F362" s="132"/>
      <c r="G362" s="94"/>
      <c r="H362" s="93"/>
      <c r="I362" s="94"/>
      <c r="J362" s="94"/>
      <c r="K362" s="135"/>
      <c r="L362" s="135"/>
      <c r="M362" s="99"/>
      <c r="N362" s="111"/>
      <c r="O362" s="112"/>
      <c r="P362" s="94"/>
      <c r="Q362" s="120"/>
      <c r="R362" s="113"/>
      <c r="S362" s="94"/>
      <c r="T362" s="94"/>
      <c r="V362" s="104"/>
    </row>
    <row r="363" ht="15.75" customHeight="1">
      <c r="A363" s="91"/>
      <c r="B363" s="131"/>
      <c r="C363" s="132"/>
      <c r="D363" s="94"/>
      <c r="E363" s="132"/>
      <c r="F363" s="132"/>
      <c r="G363" s="94"/>
      <c r="H363" s="93"/>
      <c r="I363" s="94"/>
      <c r="J363" s="94"/>
      <c r="K363" s="135"/>
      <c r="L363" s="135"/>
      <c r="M363" s="99"/>
      <c r="N363" s="111"/>
      <c r="O363" s="112"/>
      <c r="P363" s="94"/>
      <c r="Q363" s="120"/>
      <c r="R363" s="113"/>
      <c r="S363" s="94"/>
      <c r="T363" s="94"/>
      <c r="V363" s="104"/>
    </row>
    <row r="364" ht="15.75" customHeight="1">
      <c r="A364" s="91"/>
      <c r="B364" s="131"/>
      <c r="C364" s="132"/>
      <c r="D364" s="94"/>
      <c r="E364" s="132"/>
      <c r="F364" s="132"/>
      <c r="G364" s="94"/>
      <c r="H364" s="93"/>
      <c r="I364" s="94"/>
      <c r="J364" s="94"/>
      <c r="K364" s="135"/>
      <c r="L364" s="135"/>
      <c r="M364" s="99"/>
      <c r="N364" s="111"/>
      <c r="O364" s="112"/>
      <c r="P364" s="94"/>
      <c r="Q364" s="120"/>
      <c r="R364" s="113"/>
      <c r="S364" s="94"/>
      <c r="T364" s="94"/>
      <c r="V364" s="104"/>
    </row>
    <row r="365" ht="15.75" customHeight="1">
      <c r="A365" s="91"/>
      <c r="B365" s="131"/>
      <c r="C365" s="132"/>
      <c r="D365" s="94"/>
      <c r="E365" s="132"/>
      <c r="F365" s="132"/>
      <c r="G365" s="94"/>
      <c r="H365" s="93"/>
      <c r="I365" s="94"/>
      <c r="J365" s="94"/>
      <c r="K365" s="135"/>
      <c r="L365" s="135"/>
      <c r="M365" s="99"/>
      <c r="N365" s="111"/>
      <c r="O365" s="112"/>
      <c r="P365" s="94"/>
      <c r="Q365" s="120"/>
      <c r="R365" s="113"/>
      <c r="S365" s="94"/>
      <c r="T365" s="94"/>
      <c r="V365" s="104"/>
    </row>
    <row r="366" ht="15.75" customHeight="1">
      <c r="A366" s="91"/>
      <c r="B366" s="131"/>
      <c r="C366" s="132"/>
      <c r="D366" s="94"/>
      <c r="E366" s="132"/>
      <c r="F366" s="132"/>
      <c r="G366" s="94"/>
      <c r="H366" s="93"/>
      <c r="I366" s="94"/>
      <c r="J366" s="94"/>
      <c r="K366" s="135"/>
      <c r="L366" s="135"/>
      <c r="M366" s="99"/>
      <c r="N366" s="111"/>
      <c r="O366" s="112"/>
      <c r="P366" s="94"/>
      <c r="Q366" s="120"/>
      <c r="R366" s="113"/>
      <c r="S366" s="94"/>
      <c r="T366" s="94"/>
      <c r="V366" s="104"/>
    </row>
    <row r="367" ht="15.75" customHeight="1">
      <c r="A367" s="91"/>
      <c r="B367" s="131"/>
      <c r="C367" s="104"/>
      <c r="D367" s="94"/>
      <c r="E367" s="132"/>
      <c r="F367" s="132"/>
      <c r="G367" s="94"/>
      <c r="H367" s="93"/>
      <c r="I367" s="94"/>
      <c r="J367" s="94"/>
      <c r="K367" s="135"/>
      <c r="L367" s="135"/>
      <c r="M367" s="99"/>
      <c r="N367" s="111"/>
      <c r="O367" s="112"/>
      <c r="P367" s="94"/>
      <c r="Q367" s="120"/>
      <c r="R367" s="113"/>
      <c r="S367" s="94"/>
      <c r="T367" s="94"/>
      <c r="V367" s="104"/>
    </row>
    <row r="368" ht="15.75" customHeight="1">
      <c r="A368" s="91"/>
      <c r="B368" s="131"/>
      <c r="C368" s="132"/>
      <c r="D368" s="94"/>
      <c r="E368" s="132"/>
      <c r="F368" s="132"/>
      <c r="G368" s="94"/>
      <c r="H368" s="93"/>
      <c r="I368" s="94"/>
      <c r="J368" s="94"/>
      <c r="K368" s="135"/>
      <c r="L368" s="135"/>
      <c r="M368" s="99"/>
      <c r="N368" s="111"/>
      <c r="O368" s="112"/>
      <c r="P368" s="94"/>
      <c r="Q368" s="120"/>
      <c r="R368" s="113"/>
      <c r="S368" s="94"/>
      <c r="T368" s="94"/>
      <c r="V368" s="104"/>
    </row>
    <row r="369" ht="15.75" customHeight="1">
      <c r="A369" s="91"/>
      <c r="B369" s="131"/>
      <c r="C369" s="132"/>
      <c r="D369" s="94"/>
      <c r="E369" s="132"/>
      <c r="F369" s="132"/>
      <c r="G369" s="94"/>
      <c r="H369" s="93"/>
      <c r="I369" s="94"/>
      <c r="J369" s="94"/>
      <c r="K369" s="135"/>
      <c r="L369" s="135"/>
      <c r="M369" s="99"/>
      <c r="N369" s="111"/>
      <c r="O369" s="112"/>
      <c r="P369" s="94"/>
      <c r="Q369" s="120"/>
      <c r="R369" s="113"/>
      <c r="S369" s="94"/>
      <c r="T369" s="94"/>
      <c r="V369" s="104"/>
    </row>
    <row r="370" ht="15.75" customHeight="1">
      <c r="A370" s="91"/>
      <c r="B370" s="131"/>
      <c r="C370" s="132"/>
      <c r="D370" s="94"/>
      <c r="E370" s="132"/>
      <c r="F370" s="132"/>
      <c r="G370" s="94"/>
      <c r="H370" s="93"/>
      <c r="I370" s="94"/>
      <c r="J370" s="94"/>
      <c r="K370" s="135"/>
      <c r="L370" s="135"/>
      <c r="M370" s="99"/>
      <c r="N370" s="111"/>
      <c r="O370" s="112"/>
      <c r="P370" s="94"/>
      <c r="Q370" s="120"/>
      <c r="R370" s="113"/>
      <c r="S370" s="94"/>
      <c r="T370" s="94"/>
      <c r="V370" s="104"/>
    </row>
    <row r="371" ht="15.75" customHeight="1">
      <c r="A371" s="91"/>
      <c r="B371" s="131"/>
      <c r="C371" s="132"/>
      <c r="D371" s="94"/>
      <c r="E371" s="132"/>
      <c r="F371" s="132"/>
      <c r="G371" s="94"/>
      <c r="H371" s="93"/>
      <c r="I371" s="94"/>
      <c r="J371" s="94"/>
      <c r="K371" s="135"/>
      <c r="L371" s="135"/>
      <c r="M371" s="99"/>
      <c r="N371" s="111"/>
      <c r="O371" s="112"/>
      <c r="P371" s="94"/>
      <c r="Q371" s="120"/>
      <c r="R371" s="113"/>
      <c r="S371" s="94"/>
      <c r="T371" s="94"/>
      <c r="V371" s="104"/>
    </row>
    <row r="372" ht="15.75" customHeight="1">
      <c r="A372" s="91"/>
      <c r="B372" s="131"/>
      <c r="C372" s="132"/>
      <c r="D372" s="94"/>
      <c r="E372" s="132"/>
      <c r="F372" s="132"/>
      <c r="G372" s="94"/>
      <c r="H372" s="93"/>
      <c r="I372" s="94"/>
      <c r="J372" s="94"/>
      <c r="K372" s="135"/>
      <c r="L372" s="135"/>
      <c r="M372" s="99"/>
      <c r="N372" s="111"/>
      <c r="O372" s="112"/>
      <c r="P372" s="94"/>
      <c r="Q372" s="120"/>
      <c r="R372" s="113"/>
      <c r="S372" s="94"/>
      <c r="T372" s="94"/>
      <c r="V372" s="104"/>
    </row>
    <row r="373" ht="15.75" customHeight="1">
      <c r="A373" s="91"/>
      <c r="B373" s="131"/>
      <c r="C373" s="104"/>
      <c r="D373" s="94"/>
      <c r="E373" s="132"/>
      <c r="F373" s="132"/>
      <c r="G373" s="94"/>
      <c r="H373" s="93"/>
      <c r="I373" s="94"/>
      <c r="J373" s="94"/>
      <c r="K373" s="135"/>
      <c r="L373" s="135"/>
      <c r="M373" s="99"/>
      <c r="N373" s="111"/>
      <c r="O373" s="112"/>
      <c r="P373" s="94"/>
      <c r="Q373" s="120"/>
      <c r="R373" s="113"/>
      <c r="S373" s="94"/>
      <c r="T373" s="94"/>
      <c r="V373" s="104"/>
    </row>
    <row r="374" ht="15.75" customHeight="1">
      <c r="A374" s="91"/>
      <c r="B374" s="131"/>
      <c r="C374" s="132"/>
      <c r="D374" s="94"/>
      <c r="E374" s="132"/>
      <c r="F374" s="132"/>
      <c r="G374" s="94"/>
      <c r="H374" s="93"/>
      <c r="I374" s="94"/>
      <c r="J374" s="94"/>
      <c r="K374" s="135"/>
      <c r="L374" s="135"/>
      <c r="M374" s="99"/>
      <c r="N374" s="111"/>
      <c r="O374" s="112"/>
      <c r="P374" s="94"/>
      <c r="Q374" s="120"/>
      <c r="R374" s="113"/>
      <c r="S374" s="94"/>
      <c r="T374" s="94"/>
      <c r="V374" s="104"/>
    </row>
    <row r="375" ht="15.75" customHeight="1">
      <c r="A375" s="91"/>
      <c r="B375" s="131"/>
      <c r="C375" s="132"/>
      <c r="D375" s="94"/>
      <c r="E375" s="132"/>
      <c r="F375" s="132"/>
      <c r="G375" s="94"/>
      <c r="H375" s="93"/>
      <c r="I375" s="94"/>
      <c r="J375" s="94"/>
      <c r="K375" s="135"/>
      <c r="L375" s="135"/>
      <c r="M375" s="99"/>
      <c r="N375" s="111"/>
      <c r="O375" s="112"/>
      <c r="P375" s="94"/>
      <c r="Q375" s="120"/>
      <c r="R375" s="113"/>
      <c r="S375" s="94"/>
      <c r="T375" s="94"/>
      <c r="V375" s="104"/>
    </row>
    <row r="376" ht="15.75" customHeight="1">
      <c r="A376" s="91"/>
      <c r="B376" s="131"/>
      <c r="C376" s="132"/>
      <c r="D376" s="94"/>
      <c r="E376" s="132"/>
      <c r="F376" s="132"/>
      <c r="G376" s="94"/>
      <c r="H376" s="93"/>
      <c r="I376" s="94"/>
      <c r="J376" s="94"/>
      <c r="K376" s="135"/>
      <c r="L376" s="135"/>
      <c r="M376" s="99"/>
      <c r="N376" s="111"/>
      <c r="O376" s="112"/>
      <c r="P376" s="94"/>
      <c r="Q376" s="120"/>
      <c r="R376" s="113"/>
      <c r="S376" s="94"/>
      <c r="T376" s="94"/>
      <c r="V376" s="104"/>
    </row>
    <row r="377" ht="15.75" customHeight="1">
      <c r="A377" s="91"/>
      <c r="B377" s="131"/>
      <c r="C377" s="132"/>
      <c r="D377" s="94"/>
      <c r="E377" s="132"/>
      <c r="F377" s="132"/>
      <c r="G377" s="94"/>
      <c r="H377" s="93"/>
      <c r="I377" s="94"/>
      <c r="J377" s="94"/>
      <c r="K377" s="135"/>
      <c r="L377" s="135"/>
      <c r="M377" s="99"/>
      <c r="N377" s="111"/>
      <c r="O377" s="112"/>
      <c r="P377" s="94"/>
      <c r="Q377" s="120"/>
      <c r="R377" s="113"/>
      <c r="S377" s="94"/>
      <c r="T377" s="94"/>
      <c r="V377" s="104"/>
    </row>
    <row r="378" ht="15.75" customHeight="1">
      <c r="A378" s="91"/>
      <c r="B378" s="131"/>
      <c r="C378" s="132"/>
      <c r="D378" s="94"/>
      <c r="E378" s="132"/>
      <c r="F378" s="132"/>
      <c r="G378" s="94"/>
      <c r="H378" s="93"/>
      <c r="I378" s="94"/>
      <c r="J378" s="94"/>
      <c r="K378" s="135"/>
      <c r="L378" s="135"/>
      <c r="M378" s="99"/>
      <c r="N378" s="111"/>
      <c r="O378" s="112"/>
      <c r="P378" s="94"/>
      <c r="Q378" s="120"/>
      <c r="R378" s="113"/>
      <c r="S378" s="94"/>
      <c r="T378" s="94"/>
      <c r="V378" s="104"/>
    </row>
    <row r="379" ht="15.75" customHeight="1">
      <c r="A379" s="91"/>
      <c r="B379" s="131"/>
      <c r="C379" s="104"/>
      <c r="D379" s="94"/>
      <c r="E379" s="132"/>
      <c r="F379" s="132"/>
      <c r="G379" s="94"/>
      <c r="H379" s="93"/>
      <c r="I379" s="94"/>
      <c r="J379" s="94"/>
      <c r="K379" s="135"/>
      <c r="L379" s="135"/>
      <c r="M379" s="99"/>
      <c r="N379" s="111"/>
      <c r="O379" s="112"/>
      <c r="P379" s="94"/>
      <c r="Q379" s="120"/>
      <c r="R379" s="113"/>
      <c r="S379" s="94"/>
      <c r="T379" s="94"/>
      <c r="V379" s="104"/>
    </row>
    <row r="380" ht="15.75" customHeight="1">
      <c r="A380" s="91"/>
      <c r="B380" s="131"/>
      <c r="C380" s="132"/>
      <c r="D380" s="94"/>
      <c r="E380" s="132"/>
      <c r="F380" s="132"/>
      <c r="G380" s="94"/>
      <c r="H380" s="93"/>
      <c r="I380" s="94"/>
      <c r="J380" s="94"/>
      <c r="K380" s="135"/>
      <c r="L380" s="135"/>
      <c r="M380" s="99"/>
      <c r="N380" s="111"/>
      <c r="O380" s="112"/>
      <c r="P380" s="94"/>
      <c r="Q380" s="120"/>
      <c r="R380" s="113"/>
      <c r="S380" s="94"/>
      <c r="T380" s="94"/>
      <c r="V380" s="104"/>
    </row>
    <row r="381" ht="15.75" customHeight="1">
      <c r="A381" s="91"/>
      <c r="B381" s="131"/>
      <c r="C381" s="132"/>
      <c r="D381" s="94"/>
      <c r="E381" s="132"/>
      <c r="F381" s="132"/>
      <c r="G381" s="94"/>
      <c r="H381" s="93"/>
      <c r="I381" s="94"/>
      <c r="J381" s="94"/>
      <c r="K381" s="135"/>
      <c r="L381" s="135"/>
      <c r="M381" s="99"/>
      <c r="N381" s="111"/>
      <c r="O381" s="112"/>
      <c r="P381" s="94"/>
      <c r="Q381" s="120"/>
      <c r="R381" s="113"/>
      <c r="S381" s="94"/>
      <c r="T381" s="94"/>
      <c r="V381" s="104"/>
    </row>
    <row r="382" ht="15.75" customHeight="1">
      <c r="A382" s="91"/>
      <c r="B382" s="131"/>
      <c r="C382" s="132"/>
      <c r="D382" s="94"/>
      <c r="E382" s="132"/>
      <c r="F382" s="132"/>
      <c r="G382" s="94"/>
      <c r="H382" s="93"/>
      <c r="I382" s="94"/>
      <c r="J382" s="94"/>
      <c r="K382" s="135"/>
      <c r="L382" s="135"/>
      <c r="M382" s="99"/>
      <c r="N382" s="111"/>
      <c r="O382" s="112"/>
      <c r="P382" s="94"/>
      <c r="Q382" s="120"/>
      <c r="R382" s="113"/>
      <c r="S382" s="94"/>
      <c r="T382" s="94"/>
      <c r="V382" s="104"/>
    </row>
    <row r="383" ht="15.75" customHeight="1">
      <c r="A383" s="91"/>
      <c r="B383" s="131"/>
      <c r="C383" s="132"/>
      <c r="D383" s="94"/>
      <c r="E383" s="132"/>
      <c r="F383" s="132"/>
      <c r="G383" s="94"/>
      <c r="H383" s="93"/>
      <c r="I383" s="94"/>
      <c r="J383" s="94"/>
      <c r="K383" s="135"/>
      <c r="L383" s="135"/>
      <c r="M383" s="99"/>
      <c r="N383" s="111"/>
      <c r="O383" s="112"/>
      <c r="P383" s="94"/>
      <c r="Q383" s="120"/>
      <c r="R383" s="113"/>
      <c r="S383" s="94"/>
      <c r="T383" s="94"/>
      <c r="V383" s="104"/>
    </row>
    <row r="384" ht="15.75" customHeight="1">
      <c r="A384" s="91"/>
      <c r="B384" s="131"/>
      <c r="C384" s="132"/>
      <c r="D384" s="94"/>
      <c r="E384" s="132"/>
      <c r="F384" s="132"/>
      <c r="G384" s="94"/>
      <c r="H384" s="93"/>
      <c r="I384" s="94"/>
      <c r="J384" s="94"/>
      <c r="K384" s="135"/>
      <c r="L384" s="135"/>
      <c r="M384" s="99"/>
      <c r="N384" s="111"/>
      <c r="O384" s="112"/>
      <c r="P384" s="94"/>
      <c r="Q384" s="120"/>
      <c r="R384" s="113"/>
      <c r="S384" s="94"/>
      <c r="T384" s="94"/>
      <c r="V384" s="104"/>
    </row>
  </sheetData>
  <autoFilter ref="$A$12:$V$148"/>
  <customSheetViews>
    <customSheetView guid="{FE509773-0638-41EB-A036-A8EE905B9B6D}" filter="1" showAutoFilter="1">
      <autoFilter ref="$R$43:$R$44"/>
    </customSheetView>
  </customSheetViews>
  <mergeCells count="372">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5:U55"/>
    <mergeCell ref="T56:U56"/>
    <mergeCell ref="T57:U57"/>
    <mergeCell ref="T58:U58"/>
    <mergeCell ref="T59:U59"/>
    <mergeCell ref="T60:U60"/>
    <mergeCell ref="T61:U61"/>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56:U356"/>
    <mergeCell ref="T357:U357"/>
    <mergeCell ref="T358:U358"/>
    <mergeCell ref="T359:U359"/>
    <mergeCell ref="T360:U360"/>
    <mergeCell ref="T361:U361"/>
    <mergeCell ref="T362:U362"/>
    <mergeCell ref="T363:U363"/>
    <mergeCell ref="T364:U364"/>
    <mergeCell ref="T365:U365"/>
    <mergeCell ref="T366:U366"/>
    <mergeCell ref="T367:U367"/>
    <mergeCell ref="T368:U368"/>
    <mergeCell ref="T369:U369"/>
    <mergeCell ref="T377:U377"/>
    <mergeCell ref="T378:U378"/>
    <mergeCell ref="T379:U379"/>
    <mergeCell ref="T380:U380"/>
    <mergeCell ref="T381:U381"/>
    <mergeCell ref="T382:U382"/>
    <mergeCell ref="T383:U383"/>
    <mergeCell ref="T384:U384"/>
    <mergeCell ref="T370:U370"/>
    <mergeCell ref="T371:U371"/>
    <mergeCell ref="T372:U372"/>
    <mergeCell ref="T373:U373"/>
    <mergeCell ref="T374:U374"/>
    <mergeCell ref="T375:U375"/>
    <mergeCell ref="T376:U37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 ref="T352:U352"/>
    <mergeCell ref="T353:U353"/>
    <mergeCell ref="T354:U354"/>
    <mergeCell ref="T355:U355"/>
  </mergeCells>
  <dataValidations>
    <dataValidation type="list" allowBlank="1" showErrorMessage="1" sqref="N13:N384">
      <formula1>"Think About It,Money,Partner,Time,Fear,Value"</formula1>
    </dataValidation>
    <dataValidation type="list" allowBlank="1" sqref="H13:H384">
      <formula1>"Håndværker,Ikkehåndværker"</formula1>
    </dataValidation>
    <dataValidation type="list" allowBlank="1" showErrorMessage="1" sqref="I13:J14 I15:I33 I34:J59 I60 I61:J108 I109:I110 I111:J111 I112 I113:J126 I127:I133 I134:J384">
      <formula1>"Full-Pay,Split-Pay,Deposit,Offer &amp; Didn't Buy,Bad Fit &amp; No Offer,Drag Over &amp; Show,Rescheduled,Cancelled,No-Show"</formula1>
    </dataValidation>
    <dataValidation type="list" allowBlank="1" showErrorMessage="1" sqref="S13:S384">
      <formula1>"Closed,Follow Up,Hot Follow Up,Deposit (Follow Up Set),Follow Up Set,X"</formula1>
    </dataValidation>
    <dataValidation type="list" allowBlank="1" showErrorMessage="1" sqref="J15:J33 J60">
      <formula1>"Full-Pay,Split-Pay,Deposit,Offer &amp; Didn't Buy,Bad Fit &amp; No Offer,Drag Over &amp; Show,Rescheduled,Cancelled,No-Show"</formula1>
    </dataValidation>
  </dataValidations>
  <hyperlinks>
    <hyperlink r:id="rId2" ref="F29"/>
  </hyperlinks>
  <drawing r:id="rId3"/>
  <legacy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0.38"/>
    <col customWidth="1" min="3" max="3" width="13.38"/>
    <col customWidth="1" min="4" max="4" width="0.38"/>
    <col customWidth="1" min="5" max="5" width="15.13"/>
    <col customWidth="1" min="6" max="6" width="16.38"/>
    <col customWidth="1" min="7" max="7" width="0.38"/>
    <col customWidth="1" min="8" max="8" width="15.63"/>
    <col customWidth="1" min="9" max="9" width="13.88"/>
    <col customWidth="1" min="10" max="10" width="0.38"/>
    <col customWidth="1" min="11" max="11" width="15.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t="s">
        <v>1300</v>
      </c>
      <c r="B1" s="6" t="s">
        <v>31</v>
      </c>
      <c r="C1" s="6" t="s">
        <v>32</v>
      </c>
      <c r="D1" s="39"/>
      <c r="E1" s="226" t="s">
        <v>1714</v>
      </c>
      <c r="F1" s="39"/>
      <c r="H1" s="40" t="s">
        <v>33</v>
      </c>
      <c r="I1" s="41"/>
      <c r="J1" s="39"/>
      <c r="K1" s="40" t="s">
        <v>34</v>
      </c>
      <c r="L1" s="41"/>
      <c r="M1" s="13"/>
      <c r="N1" s="42" t="s">
        <v>35</v>
      </c>
      <c r="O1" s="43"/>
      <c r="P1" s="13"/>
      <c r="Q1" s="40" t="s">
        <v>36</v>
      </c>
      <c r="R1" s="44"/>
      <c r="S1" s="39"/>
      <c r="T1" s="40" t="s">
        <v>37</v>
      </c>
      <c r="U1" s="45"/>
      <c r="V1" s="39"/>
    </row>
    <row r="2">
      <c r="A2" s="39"/>
      <c r="B2" s="41"/>
      <c r="C2" s="41"/>
      <c r="D2" s="13"/>
      <c r="E2" s="227" t="s">
        <v>1715</v>
      </c>
      <c r="F2" s="228">
        <f>C3/C6</f>
        <v>3042.253521</v>
      </c>
      <c r="H2" s="46" t="s">
        <v>26</v>
      </c>
      <c r="I2" s="47">
        <f>IFERROR(COUNTIFS(I13:I311, "Full-Pay"),"")</f>
        <v>11</v>
      </c>
      <c r="J2" s="13"/>
      <c r="K2" s="48" t="s">
        <v>16</v>
      </c>
      <c r="L2" s="49">
        <f>iferror(L10/L8,"")</f>
        <v>0.338028169</v>
      </c>
      <c r="M2" s="12"/>
      <c r="N2" s="50" t="s">
        <v>39</v>
      </c>
      <c r="O2" s="51">
        <f>iferror(I8/L6,"")</f>
        <v>0</v>
      </c>
      <c r="P2" s="12"/>
      <c r="Q2" s="52" t="s">
        <v>40</v>
      </c>
      <c r="R2" s="53">
        <f>IFERROR(COUNTIFS(N35:N310, "think about it"),"")</f>
        <v>7</v>
      </c>
      <c r="S2" s="13"/>
      <c r="T2" s="54" t="s">
        <v>41</v>
      </c>
      <c r="U2" s="55">
        <f>IFERROR(COUNTIF(H35:H310,"setter"),"")</f>
        <v>0</v>
      </c>
      <c r="V2" s="58"/>
    </row>
    <row r="3">
      <c r="A3" s="13"/>
      <c r="B3" s="59" t="s">
        <v>43</v>
      </c>
      <c r="C3" s="60">
        <f>IFERROR(SUM(K13:K307),"")</f>
        <v>216000</v>
      </c>
      <c r="D3" s="61"/>
      <c r="E3" s="229" t="s">
        <v>1716</v>
      </c>
      <c r="F3" s="230">
        <f>C4/C6</f>
        <v>1694.014085</v>
      </c>
      <c r="H3" s="46" t="s">
        <v>27</v>
      </c>
      <c r="I3" s="47">
        <f>IFERROR(COUNTIFS(I13:I311, "Split-Pay"),"")</f>
        <v>13</v>
      </c>
      <c r="J3" s="13"/>
      <c r="K3" s="48" t="s">
        <v>17</v>
      </c>
      <c r="L3" s="49">
        <f>IFERROR(L10/L9,"")</f>
        <v>0.3529411765</v>
      </c>
      <c r="M3" s="12"/>
      <c r="N3" s="50" t="s">
        <v>44</v>
      </c>
      <c r="O3" s="51">
        <f>iferror(I9/L6,"")</f>
        <v>0.1162790698</v>
      </c>
      <c r="P3" s="12"/>
      <c r="Q3" s="52" t="s">
        <v>45</v>
      </c>
      <c r="R3" s="62">
        <f>IFERROR(COUNTIFS(N35:N310, "money"),"")</f>
        <v>14</v>
      </c>
      <c r="S3" s="13"/>
      <c r="T3" s="54" t="s">
        <v>46</v>
      </c>
      <c r="U3" s="55">
        <f>IFERROR(COUNTIF(H35:H310,"IG"),"")</f>
        <v>0</v>
      </c>
      <c r="V3" s="58"/>
    </row>
    <row r="4">
      <c r="A4" s="13"/>
      <c r="B4" s="63" t="s">
        <v>48</v>
      </c>
      <c r="C4" s="64">
        <f>IFERROR(SUM(L13:L308),"")</f>
        <v>120275</v>
      </c>
      <c r="D4" s="61"/>
      <c r="E4" s="229" t="s">
        <v>1717</v>
      </c>
      <c r="F4" s="231">
        <f>C4/C3*100</f>
        <v>55.68287037</v>
      </c>
      <c r="H4" s="46" t="s">
        <v>28</v>
      </c>
      <c r="I4" s="47">
        <f>IFERROR(COUNTIFS(I13:I311, "Deposit"),"")</f>
        <v>5</v>
      </c>
      <c r="J4" s="13"/>
      <c r="K4" s="48" t="s">
        <v>18</v>
      </c>
      <c r="L4" s="49">
        <f>IFERROR(L9/L8,"")</f>
        <v>0.9577464789</v>
      </c>
      <c r="M4" s="12"/>
      <c r="N4" s="50" t="s">
        <v>49</v>
      </c>
      <c r="O4" s="51">
        <f>iferror(I10/L6,"")</f>
        <v>0.05813953488</v>
      </c>
      <c r="P4" s="12"/>
      <c r="Q4" s="52" t="s">
        <v>50</v>
      </c>
      <c r="R4" s="53">
        <f>IFERROR(COUNTIFS(N35:N310, "time"),"")</f>
        <v>2</v>
      </c>
      <c r="S4" s="13"/>
      <c r="T4" s="54" t="s">
        <v>51</v>
      </c>
      <c r="U4" s="55">
        <f>IFERROR(COUNTIF(H35:H310,"youtube"),"")</f>
        <v>0</v>
      </c>
      <c r="V4" s="39"/>
    </row>
    <row r="5">
      <c r="A5" s="39"/>
      <c r="B5" s="41"/>
      <c r="C5" s="41"/>
      <c r="D5" s="13"/>
      <c r="E5" s="229" t="s">
        <v>1718</v>
      </c>
      <c r="F5" s="232">
        <f>I2/C7*100</f>
        <v>45.83333333</v>
      </c>
      <c r="H5" s="46" t="s">
        <v>53</v>
      </c>
      <c r="I5" s="47">
        <f>IFERROR(COUNTIFS(I13:I311, "Offer &amp; Didn't Buy"),"")</f>
        <v>39</v>
      </c>
      <c r="J5" s="13"/>
      <c r="K5" s="48" t="s">
        <v>54</v>
      </c>
      <c r="L5" s="49">
        <f>IFERROR(I7/(C6+I7+I8),"")</f>
        <v>0</v>
      </c>
      <c r="M5" s="13"/>
      <c r="N5" s="50" t="s">
        <v>54</v>
      </c>
      <c r="O5" s="51">
        <f>iferror(I7/L6,"")</f>
        <v>0</v>
      </c>
      <c r="P5" s="12"/>
      <c r="Q5" s="52" t="s">
        <v>55</v>
      </c>
      <c r="R5" s="53">
        <f>IFERROR(COUNTIFS(N35:N310, "partner"),"")</f>
        <v>2</v>
      </c>
      <c r="S5" s="13"/>
      <c r="T5" s="56" t="s">
        <v>56</v>
      </c>
      <c r="U5" s="55">
        <f>IFERROR(COUNTIF(H35:H310,"email"),"")</f>
        <v>0</v>
      </c>
      <c r="V5" s="58"/>
    </row>
    <row r="6">
      <c r="A6" s="13"/>
      <c r="B6" s="65" t="s">
        <v>58</v>
      </c>
      <c r="C6" s="66">
        <f>IFERROR(SUM(I2:I6),"")</f>
        <v>71</v>
      </c>
      <c r="D6" s="13"/>
      <c r="E6" s="229" t="s">
        <v>1719</v>
      </c>
      <c r="F6" s="233">
        <f>AVERAGE(Q13:Q104)</f>
        <v>4.941176471</v>
      </c>
      <c r="H6" s="46" t="s">
        <v>59</v>
      </c>
      <c r="I6" s="47">
        <f>IFERROR(COUNTIFS(I13:I311, "Bad Fit &amp; No Offer"),"")</f>
        <v>3</v>
      </c>
      <c r="J6" s="13"/>
      <c r="K6" s="48" t="s">
        <v>21</v>
      </c>
      <c r="L6" s="67">
        <f>IFERROR(SUM(I2:I10),"")</f>
        <v>86</v>
      </c>
      <c r="M6" s="13"/>
      <c r="N6" s="68" t="s">
        <v>29</v>
      </c>
      <c r="O6" s="51">
        <f>iferror(L7/L6,"")</f>
        <v>0.8255813953</v>
      </c>
      <c r="P6" s="12"/>
      <c r="Q6" s="52" t="s">
        <v>60</v>
      </c>
      <c r="R6" s="53">
        <f>IFERROR(COUNTIFS(N35:N310, "fear"),"")</f>
        <v>5</v>
      </c>
      <c r="S6" s="13"/>
      <c r="T6" s="56" t="s">
        <v>61</v>
      </c>
      <c r="U6" s="55">
        <f>IFERROR(COUNTIF(H35:H310,"facebook"),"")</f>
        <v>0</v>
      </c>
      <c r="V6" s="58"/>
    </row>
    <row r="7">
      <c r="A7" s="13"/>
      <c r="B7" s="65" t="s">
        <v>63</v>
      </c>
      <c r="C7" s="69">
        <f>IFERROR(I2+I3,"")</f>
        <v>24</v>
      </c>
      <c r="D7" s="13"/>
      <c r="E7" s="229" t="s">
        <v>1720</v>
      </c>
      <c r="F7" s="230">
        <f>C3/C7</f>
        <v>9000</v>
      </c>
      <c r="H7" s="46" t="s">
        <v>64</v>
      </c>
      <c r="I7" s="47">
        <f>IFERROR(COUNTIFS(I13:I311, "Drag Over &amp; Show"),"")</f>
        <v>0</v>
      </c>
      <c r="J7" s="13"/>
      <c r="K7" s="48" t="s">
        <v>22</v>
      </c>
      <c r="L7" s="67">
        <f>IFERROR(SUM(I2:I7),"")</f>
        <v>71</v>
      </c>
      <c r="M7" s="13"/>
      <c r="N7" s="70" t="s">
        <v>30</v>
      </c>
      <c r="O7" s="71">
        <f>IFERROR(L8/L6,"")</f>
        <v>0.8255813953</v>
      </c>
      <c r="P7" s="12"/>
      <c r="Q7" s="72" t="s">
        <v>65</v>
      </c>
      <c r="R7" s="73">
        <f>IFERROR(COUNTIFS(N36:N311, "value"),"")</f>
        <v>0</v>
      </c>
      <c r="S7" s="13"/>
      <c r="T7" s="56" t="s">
        <v>66</v>
      </c>
      <c r="U7" s="55">
        <f>IFERROR(COUNTIF(H35:H310,"facebook ads"),"")</f>
        <v>0</v>
      </c>
      <c r="V7" s="39"/>
    </row>
    <row r="8">
      <c r="A8" s="13"/>
      <c r="B8" s="65" t="s">
        <v>68</v>
      </c>
      <c r="C8" s="74">
        <f>COUNTIF(I13:I310,"offer &amp; didn't buy")+COUNTIF(I35:I310,"deposit")+COUNTIF(I35:I310,"bad fit &amp; no offer")</f>
        <v>46</v>
      </c>
      <c r="D8" s="75"/>
      <c r="E8" s="229" t="s">
        <v>1721</v>
      </c>
      <c r="F8" s="230">
        <f>C4/C7</f>
        <v>5011.458333</v>
      </c>
      <c r="H8" s="46" t="s">
        <v>69</v>
      </c>
      <c r="I8" s="47">
        <f>IFERROR(COUNTIFS(I13:I311, "Rescheduled"),"")</f>
        <v>0</v>
      </c>
      <c r="J8" s="13"/>
      <c r="K8" s="48" t="s">
        <v>23</v>
      </c>
      <c r="L8" s="67">
        <f>IFERROR(SUM(I2:I6),"")</f>
        <v>71</v>
      </c>
      <c r="M8" s="39"/>
      <c r="N8" s="39"/>
      <c r="O8" s="39"/>
      <c r="P8" s="39"/>
      <c r="Q8" s="39"/>
      <c r="R8" s="76"/>
      <c r="S8" s="13"/>
      <c r="T8" s="77" t="s">
        <v>70</v>
      </c>
      <c r="U8" s="78">
        <f>IFERROR(COUNTIF(H35:H310,T8),"")</f>
        <v>0</v>
      </c>
      <c r="V8" s="39"/>
    </row>
    <row r="9">
      <c r="A9" s="13"/>
      <c r="B9" s="80" t="s">
        <v>72</v>
      </c>
      <c r="C9" s="81">
        <f>iferror(SUM(C7/C6),"")</f>
        <v>0.338028169</v>
      </c>
      <c r="D9" s="12"/>
      <c r="E9" s="262" t="s">
        <v>2832</v>
      </c>
      <c r="F9" s="235">
        <f>IFERROR(COUNTIFS(H13:H311, "Håndværker"),"")/C6</f>
        <v>0.6901408451</v>
      </c>
      <c r="H9" s="46" t="s">
        <v>73</v>
      </c>
      <c r="I9" s="47">
        <f>IFERROR(COUNTIFS(I13:I311, "Cancelled"),"")</f>
        <v>10</v>
      </c>
      <c r="J9" s="13"/>
      <c r="K9" s="48" t="s">
        <v>24</v>
      </c>
      <c r="L9" s="67">
        <f>IFERROR(sum(I2:I5),"")</f>
        <v>68</v>
      </c>
      <c r="M9" s="39"/>
      <c r="N9" s="38">
        <v>5500.0</v>
      </c>
      <c r="O9" s="39">
        <f>N9*C6</f>
        <v>390500</v>
      </c>
      <c r="P9" s="39"/>
      <c r="Q9" s="39"/>
      <c r="R9" s="76"/>
      <c r="S9" s="39"/>
      <c r="T9" s="39"/>
      <c r="U9" s="39"/>
      <c r="V9" s="39"/>
    </row>
    <row r="10">
      <c r="A10" s="39"/>
      <c r="B10" s="82"/>
      <c r="C10" s="83"/>
      <c r="D10" s="13"/>
      <c r="E10" s="263" t="s">
        <v>2833</v>
      </c>
      <c r="F10" s="235">
        <f>IFERROR(COUNTIFS(H13:H312, "Ikkehåndværker"),"")/C6</f>
        <v>0.5211267606</v>
      </c>
      <c r="H10" s="84" t="s">
        <v>74</v>
      </c>
      <c r="I10" s="85">
        <f>IFERROR(COUNTIFS(I13:I311, "No-Show"),"")</f>
        <v>5</v>
      </c>
      <c r="J10" s="13"/>
      <c r="K10" s="86" t="s">
        <v>75</v>
      </c>
      <c r="L10" s="87">
        <f>I2+I3</f>
        <v>24</v>
      </c>
      <c r="M10" s="39"/>
      <c r="N10" s="39"/>
      <c r="O10" s="39"/>
      <c r="P10" s="39"/>
      <c r="Q10" s="39"/>
      <c r="R10" s="76"/>
      <c r="S10" s="39"/>
      <c r="T10" s="39"/>
      <c r="U10" s="39"/>
      <c r="V10" s="39"/>
    </row>
    <row r="11" ht="6.0" customHeight="1">
      <c r="A11" s="39"/>
      <c r="B11" s="39"/>
      <c r="C11" s="39"/>
      <c r="D11" s="39"/>
      <c r="E11" s="39"/>
      <c r="F11" s="39"/>
      <c r="G11" s="39"/>
      <c r="H11" s="39"/>
      <c r="I11" s="39"/>
      <c r="J11" s="39"/>
      <c r="K11" s="39"/>
      <c r="L11" s="39"/>
      <c r="M11" s="39"/>
      <c r="N11" s="39"/>
      <c r="O11" s="76"/>
      <c r="P11" s="39"/>
      <c r="Q11" s="39"/>
      <c r="R11" s="39"/>
      <c r="S11" s="39"/>
      <c r="T11" s="39"/>
      <c r="V11" s="39"/>
    </row>
    <row r="12">
      <c r="A12" s="39"/>
      <c r="B12" s="88" t="s">
        <v>76</v>
      </c>
      <c r="C12" s="88" t="s">
        <v>32</v>
      </c>
      <c r="D12" s="39"/>
      <c r="E12" s="6" t="s">
        <v>77</v>
      </c>
      <c r="F12" s="89" t="s">
        <v>78</v>
      </c>
      <c r="G12" s="39"/>
      <c r="H12" s="6" t="s">
        <v>37</v>
      </c>
      <c r="I12" s="6" t="s">
        <v>33</v>
      </c>
      <c r="J12" s="39"/>
      <c r="K12" s="6" t="s">
        <v>79</v>
      </c>
      <c r="L12" s="6" t="s">
        <v>48</v>
      </c>
      <c r="M12" s="39"/>
      <c r="N12" s="6" t="s">
        <v>80</v>
      </c>
      <c r="O12" s="90" t="s">
        <v>81</v>
      </c>
      <c r="P12" s="39"/>
      <c r="Q12" s="6" t="s">
        <v>82</v>
      </c>
      <c r="R12" s="6" t="s">
        <v>83</v>
      </c>
      <c r="S12" s="6" t="s">
        <v>84</v>
      </c>
      <c r="T12" s="6" t="s">
        <v>85</v>
      </c>
      <c r="V12" s="58"/>
    </row>
    <row r="13" ht="15.75" customHeight="1">
      <c r="A13" s="91"/>
      <c r="B13" s="277">
        <v>1.0</v>
      </c>
      <c r="C13" s="93" t="s">
        <v>3300</v>
      </c>
      <c r="D13" s="102"/>
      <c r="E13" s="265" t="s">
        <v>3301</v>
      </c>
      <c r="F13" s="249" t="s">
        <v>3057</v>
      </c>
      <c r="G13" s="94"/>
      <c r="H13" s="93" t="s">
        <v>2834</v>
      </c>
      <c r="I13" s="102" t="s">
        <v>103</v>
      </c>
      <c r="J13" s="94"/>
      <c r="K13" s="98">
        <v>4500.0</v>
      </c>
      <c r="L13" s="98">
        <v>4500.0</v>
      </c>
      <c r="M13" s="99"/>
      <c r="N13" s="100" t="s">
        <v>98</v>
      </c>
      <c r="O13" s="101"/>
      <c r="P13" s="94"/>
      <c r="Q13" s="102">
        <v>3.0</v>
      </c>
      <c r="R13" s="113"/>
      <c r="S13" s="102" t="s">
        <v>105</v>
      </c>
      <c r="T13" s="201"/>
      <c r="V13" s="104"/>
    </row>
    <row r="14" ht="15.75" customHeight="1">
      <c r="A14" s="91"/>
      <c r="B14" s="277">
        <v>2.0</v>
      </c>
      <c r="C14" s="93" t="s">
        <v>915</v>
      </c>
      <c r="D14" s="94"/>
      <c r="E14" s="139" t="s">
        <v>3302</v>
      </c>
      <c r="F14" s="139" t="s">
        <v>3303</v>
      </c>
      <c r="G14" s="94"/>
      <c r="H14" s="93" t="s">
        <v>2841</v>
      </c>
      <c r="I14" s="102" t="s">
        <v>181</v>
      </c>
      <c r="J14" s="94"/>
      <c r="K14" s="98">
        <v>7500.0</v>
      </c>
      <c r="L14" s="98">
        <v>1875.0</v>
      </c>
      <c r="M14" s="99"/>
      <c r="N14" s="100"/>
      <c r="O14" s="101"/>
      <c r="P14" s="94"/>
      <c r="Q14" s="102">
        <v>4.0</v>
      </c>
      <c r="R14" s="113"/>
      <c r="S14" s="102" t="s">
        <v>105</v>
      </c>
      <c r="T14" s="201"/>
      <c r="V14" s="104"/>
    </row>
    <row r="15" ht="15.75" customHeight="1">
      <c r="A15" s="91"/>
      <c r="B15" s="277">
        <v>2.0</v>
      </c>
      <c r="C15" s="201" t="s">
        <v>3304</v>
      </c>
      <c r="D15" s="199"/>
      <c r="E15" s="139" t="s">
        <v>3305</v>
      </c>
      <c r="F15" s="139" t="s">
        <v>3306</v>
      </c>
      <c r="G15" s="199"/>
      <c r="H15" s="93" t="s">
        <v>2841</v>
      </c>
      <c r="I15" s="201" t="s">
        <v>88</v>
      </c>
      <c r="J15" s="199"/>
      <c r="K15" s="202"/>
      <c r="L15" s="98"/>
      <c r="M15" s="203"/>
      <c r="N15" s="210" t="s">
        <v>55</v>
      </c>
      <c r="O15" s="211" t="s">
        <v>3307</v>
      </c>
      <c r="P15" s="199"/>
      <c r="Q15" s="201"/>
      <c r="R15" s="206"/>
      <c r="S15" s="201" t="s">
        <v>124</v>
      </c>
      <c r="T15" s="201" t="s">
        <v>3308</v>
      </c>
      <c r="V15" s="104"/>
    </row>
    <row r="16" ht="15.75" customHeight="1">
      <c r="A16" s="91"/>
      <c r="B16" s="277">
        <v>2.0</v>
      </c>
      <c r="C16" s="201" t="s">
        <v>490</v>
      </c>
      <c r="D16" s="199"/>
      <c r="E16" s="139" t="s">
        <v>3309</v>
      </c>
      <c r="F16" s="139" t="s">
        <v>3310</v>
      </c>
      <c r="G16" s="199"/>
      <c r="H16" s="93" t="s">
        <v>2834</v>
      </c>
      <c r="I16" s="201" t="s">
        <v>88</v>
      </c>
      <c r="J16" s="199"/>
      <c r="K16" s="202"/>
      <c r="L16" s="202"/>
      <c r="M16" s="203"/>
      <c r="N16" s="210" t="s">
        <v>45</v>
      </c>
      <c r="O16" s="211" t="s">
        <v>396</v>
      </c>
      <c r="P16" s="199"/>
      <c r="Q16" s="201"/>
      <c r="R16" s="206"/>
      <c r="S16" s="201" t="s">
        <v>124</v>
      </c>
      <c r="T16" s="201" t="s">
        <v>3311</v>
      </c>
      <c r="V16" s="104"/>
    </row>
    <row r="17" ht="15.75" customHeight="1">
      <c r="A17" s="91"/>
      <c r="B17" s="277">
        <v>2.0</v>
      </c>
      <c r="C17" s="201" t="s">
        <v>597</v>
      </c>
      <c r="D17" s="199"/>
      <c r="E17" s="139" t="s">
        <v>3312</v>
      </c>
      <c r="F17" s="139" t="s">
        <v>3313</v>
      </c>
      <c r="G17" s="199"/>
      <c r="H17" s="93" t="s">
        <v>2834</v>
      </c>
      <c r="I17" s="201" t="s">
        <v>181</v>
      </c>
      <c r="J17" s="199"/>
      <c r="K17" s="202">
        <v>10500.0</v>
      </c>
      <c r="L17" s="202">
        <v>3000.0</v>
      </c>
      <c r="M17" s="203"/>
      <c r="N17" s="210"/>
      <c r="O17" s="211"/>
      <c r="P17" s="199"/>
      <c r="Q17" s="201">
        <v>6.0</v>
      </c>
      <c r="R17" s="206"/>
      <c r="S17" s="201" t="s">
        <v>105</v>
      </c>
      <c r="T17" s="201"/>
      <c r="V17" s="104"/>
    </row>
    <row r="18" ht="15.75" customHeight="1">
      <c r="A18" s="91"/>
      <c r="B18" s="277">
        <v>3.0</v>
      </c>
      <c r="C18" s="201" t="s">
        <v>1122</v>
      </c>
      <c r="D18" s="199"/>
      <c r="E18" s="139" t="s">
        <v>3314</v>
      </c>
      <c r="F18" s="139" t="s">
        <v>3315</v>
      </c>
      <c r="G18" s="199"/>
      <c r="H18" s="93" t="s">
        <v>2834</v>
      </c>
      <c r="I18" s="201" t="s">
        <v>181</v>
      </c>
      <c r="J18" s="199"/>
      <c r="K18" s="202">
        <v>6000.0</v>
      </c>
      <c r="L18" s="202">
        <v>3000.0</v>
      </c>
      <c r="M18" s="203"/>
      <c r="N18" s="210"/>
      <c r="O18" s="205"/>
      <c r="P18" s="199"/>
      <c r="Q18" s="201">
        <v>3.0</v>
      </c>
      <c r="R18" s="206"/>
      <c r="S18" s="201" t="s">
        <v>105</v>
      </c>
      <c r="T18" s="201"/>
      <c r="V18" s="104"/>
    </row>
    <row r="19" ht="15.75" customHeight="1">
      <c r="A19" s="91"/>
      <c r="B19" s="277">
        <v>3.0</v>
      </c>
      <c r="C19" s="201" t="s">
        <v>1210</v>
      </c>
      <c r="D19" s="199"/>
      <c r="E19" s="139" t="s">
        <v>3316</v>
      </c>
      <c r="F19" s="139" t="s">
        <v>3317</v>
      </c>
      <c r="G19" s="199"/>
      <c r="H19" s="93" t="s">
        <v>2841</v>
      </c>
      <c r="I19" s="201" t="s">
        <v>103</v>
      </c>
      <c r="J19" s="199"/>
      <c r="K19" s="202">
        <v>9000.0</v>
      </c>
      <c r="L19" s="202">
        <v>9000.0</v>
      </c>
      <c r="M19" s="203"/>
      <c r="N19" s="210"/>
      <c r="O19" s="211"/>
      <c r="P19" s="201"/>
      <c r="Q19" s="201">
        <v>6.0</v>
      </c>
      <c r="R19" s="206"/>
      <c r="S19" s="201" t="s">
        <v>105</v>
      </c>
      <c r="T19" s="201"/>
      <c r="V19" s="104"/>
    </row>
    <row r="20" ht="15.75" customHeight="1">
      <c r="A20" s="91"/>
      <c r="B20" s="277">
        <v>4.0</v>
      </c>
      <c r="C20" s="201" t="s">
        <v>3318</v>
      </c>
      <c r="D20" s="199"/>
      <c r="E20" s="139" t="s">
        <v>3319</v>
      </c>
      <c r="F20" s="139" t="s">
        <v>3320</v>
      </c>
      <c r="G20" s="199"/>
      <c r="H20" s="93" t="s">
        <v>2834</v>
      </c>
      <c r="I20" s="201" t="s">
        <v>88</v>
      </c>
      <c r="J20" s="199"/>
      <c r="K20" s="202"/>
      <c r="L20" s="202"/>
      <c r="M20" s="202"/>
      <c r="N20" s="210" t="s">
        <v>45</v>
      </c>
      <c r="O20" s="211" t="s">
        <v>584</v>
      </c>
      <c r="P20" s="199"/>
      <c r="Q20" s="201"/>
      <c r="R20" s="206"/>
      <c r="S20" s="201" t="s">
        <v>170</v>
      </c>
      <c r="T20" s="201" t="s">
        <v>3321</v>
      </c>
      <c r="V20" s="104"/>
    </row>
    <row r="21" ht="15.75" customHeight="1">
      <c r="A21" s="91"/>
      <c r="B21" s="277">
        <v>4.0</v>
      </c>
      <c r="C21" s="201" t="s">
        <v>616</v>
      </c>
      <c r="D21" s="199"/>
      <c r="E21" s="139" t="s">
        <v>3322</v>
      </c>
      <c r="F21" s="139" t="s">
        <v>3323</v>
      </c>
      <c r="G21" s="199"/>
      <c r="H21" s="93" t="s">
        <v>2834</v>
      </c>
      <c r="I21" s="201" t="s">
        <v>181</v>
      </c>
      <c r="J21" s="199"/>
      <c r="K21" s="202">
        <v>7500.0</v>
      </c>
      <c r="L21" s="202">
        <v>1800.0</v>
      </c>
      <c r="M21" s="203"/>
      <c r="N21" s="210"/>
      <c r="O21" s="211"/>
      <c r="P21" s="199"/>
      <c r="Q21" s="201">
        <v>6.0</v>
      </c>
      <c r="R21" s="206"/>
      <c r="S21" s="201" t="s">
        <v>105</v>
      </c>
      <c r="T21" s="201"/>
      <c r="V21" s="104"/>
    </row>
    <row r="22" ht="15.75" customHeight="1">
      <c r="A22" s="91"/>
      <c r="B22" s="278">
        <v>5.0</v>
      </c>
      <c r="C22" s="201" t="s">
        <v>1067</v>
      </c>
      <c r="D22" s="199"/>
      <c r="E22" s="271" t="s">
        <v>3301</v>
      </c>
      <c r="F22" s="214" t="s">
        <v>3097</v>
      </c>
      <c r="G22" s="199"/>
      <c r="H22" s="93" t="s">
        <v>2834</v>
      </c>
      <c r="I22" s="201" t="s">
        <v>181</v>
      </c>
      <c r="J22" s="199"/>
      <c r="K22" s="202">
        <v>10500.0</v>
      </c>
      <c r="L22" s="202">
        <v>3000.0</v>
      </c>
      <c r="M22" s="203"/>
      <c r="N22" s="210"/>
      <c r="O22" s="205"/>
      <c r="P22" s="199"/>
      <c r="Q22" s="201">
        <v>6.0</v>
      </c>
      <c r="R22" s="206"/>
      <c r="S22" s="201" t="s">
        <v>105</v>
      </c>
      <c r="T22" s="201"/>
      <c r="V22" s="104"/>
    </row>
    <row r="23" ht="15.75" customHeight="1">
      <c r="A23" s="91"/>
      <c r="B23" s="278">
        <v>6.0</v>
      </c>
      <c r="C23" s="201" t="s">
        <v>727</v>
      </c>
      <c r="D23" s="199"/>
      <c r="E23" s="139" t="s">
        <v>3324</v>
      </c>
      <c r="F23" s="139" t="s">
        <v>3325</v>
      </c>
      <c r="G23" s="199"/>
      <c r="H23" s="93" t="s">
        <v>2841</v>
      </c>
      <c r="I23" s="201" t="s">
        <v>591</v>
      </c>
      <c r="J23" s="199"/>
      <c r="K23" s="202"/>
      <c r="L23" s="98"/>
      <c r="M23" s="203"/>
      <c r="N23" s="210" t="s">
        <v>50</v>
      </c>
      <c r="O23" s="211" t="s">
        <v>3326</v>
      </c>
      <c r="P23" s="199"/>
      <c r="Q23" s="201"/>
      <c r="R23" s="206"/>
      <c r="S23" s="201" t="s">
        <v>90</v>
      </c>
      <c r="T23" s="201" t="s">
        <v>3327</v>
      </c>
      <c r="V23" s="104"/>
    </row>
    <row r="24" ht="15.75" customHeight="1">
      <c r="A24" s="91"/>
      <c r="B24" s="278">
        <v>6.0</v>
      </c>
      <c r="C24" s="201" t="s">
        <v>3328</v>
      </c>
      <c r="D24" s="199"/>
      <c r="E24" s="139" t="s">
        <v>3329</v>
      </c>
      <c r="F24" s="139" t="s">
        <v>3330</v>
      </c>
      <c r="G24" s="199"/>
      <c r="H24" s="93" t="s">
        <v>2841</v>
      </c>
      <c r="I24" s="201" t="s">
        <v>88</v>
      </c>
      <c r="J24" s="199"/>
      <c r="K24" s="202"/>
      <c r="L24" s="202"/>
      <c r="M24" s="203"/>
      <c r="N24" s="210" t="s">
        <v>45</v>
      </c>
      <c r="O24" s="211" t="s">
        <v>584</v>
      </c>
      <c r="P24" s="199"/>
      <c r="Q24" s="201"/>
      <c r="R24" s="206"/>
      <c r="S24" s="201" t="s">
        <v>383</v>
      </c>
      <c r="T24" s="201" t="s">
        <v>3331</v>
      </c>
      <c r="V24" s="104"/>
    </row>
    <row r="25" ht="15.75" customHeight="1">
      <c r="A25" s="91"/>
      <c r="B25" s="278">
        <v>6.0</v>
      </c>
      <c r="C25" s="201" t="s">
        <v>543</v>
      </c>
      <c r="D25" s="199"/>
      <c r="E25" s="139" t="s">
        <v>3332</v>
      </c>
      <c r="F25" s="139" t="s">
        <v>3333</v>
      </c>
      <c r="G25" s="199"/>
      <c r="H25" s="93" t="s">
        <v>2834</v>
      </c>
      <c r="I25" s="201" t="s">
        <v>88</v>
      </c>
      <c r="J25" s="199"/>
      <c r="K25" s="202"/>
      <c r="L25" s="202"/>
      <c r="M25" s="203"/>
      <c r="N25" s="210" t="s">
        <v>45</v>
      </c>
      <c r="O25" s="211" t="s">
        <v>396</v>
      </c>
      <c r="P25" s="199"/>
      <c r="Q25" s="201"/>
      <c r="R25" s="206"/>
      <c r="S25" s="201" t="s">
        <v>383</v>
      </c>
      <c r="T25" s="201" t="s">
        <v>3334</v>
      </c>
      <c r="V25" s="104"/>
    </row>
    <row r="26" ht="15.75" customHeight="1">
      <c r="A26" s="91"/>
      <c r="B26" s="278">
        <v>6.0</v>
      </c>
      <c r="C26" s="201" t="s">
        <v>310</v>
      </c>
      <c r="D26" s="199"/>
      <c r="E26" s="139" t="s">
        <v>3335</v>
      </c>
      <c r="F26" s="139" t="s">
        <v>3336</v>
      </c>
      <c r="G26" s="199"/>
      <c r="H26" s="93" t="s">
        <v>2834</v>
      </c>
      <c r="I26" s="201" t="s">
        <v>88</v>
      </c>
      <c r="J26" s="199"/>
      <c r="K26" s="202"/>
      <c r="L26" s="202"/>
      <c r="M26" s="203"/>
      <c r="N26" s="210" t="s">
        <v>60</v>
      </c>
      <c r="O26" s="211" t="s">
        <v>2360</v>
      </c>
      <c r="P26" s="199"/>
      <c r="Q26" s="201"/>
      <c r="R26" s="206"/>
      <c r="S26" s="201" t="s">
        <v>383</v>
      </c>
      <c r="T26" s="201" t="s">
        <v>3337</v>
      </c>
      <c r="V26" s="104"/>
    </row>
    <row r="27" ht="15.75" customHeight="1">
      <c r="A27" s="91"/>
      <c r="B27" s="278">
        <v>7.0</v>
      </c>
      <c r="C27" s="93" t="s">
        <v>2018</v>
      </c>
      <c r="D27" s="199"/>
      <c r="E27" s="139" t="s">
        <v>3338</v>
      </c>
      <c r="F27" s="139" t="s">
        <v>3339</v>
      </c>
      <c r="G27" s="199"/>
      <c r="H27" s="93" t="s">
        <v>2841</v>
      </c>
      <c r="I27" s="201" t="s">
        <v>88</v>
      </c>
      <c r="J27" s="199"/>
      <c r="K27" s="202"/>
      <c r="L27" s="202"/>
      <c r="M27" s="203"/>
      <c r="N27" s="210" t="s">
        <v>45</v>
      </c>
      <c r="O27" s="211" t="s">
        <v>396</v>
      </c>
      <c r="P27" s="199"/>
      <c r="Q27" s="201"/>
      <c r="R27" s="206"/>
      <c r="S27" s="201" t="s">
        <v>383</v>
      </c>
      <c r="T27" s="201" t="s">
        <v>3340</v>
      </c>
      <c r="V27" s="104"/>
    </row>
    <row r="28" ht="15.75" customHeight="1">
      <c r="A28" s="91"/>
      <c r="B28" s="278">
        <v>7.0</v>
      </c>
      <c r="C28" s="201" t="s">
        <v>410</v>
      </c>
      <c r="D28" s="199"/>
      <c r="E28" s="139" t="s">
        <v>3341</v>
      </c>
      <c r="F28" s="139" t="s">
        <v>3342</v>
      </c>
      <c r="G28" s="199"/>
      <c r="H28" s="93" t="s">
        <v>2841</v>
      </c>
      <c r="I28" s="201" t="s">
        <v>88</v>
      </c>
      <c r="J28" s="199"/>
      <c r="K28" s="202"/>
      <c r="L28" s="202"/>
      <c r="M28" s="203"/>
      <c r="N28" s="210" t="s">
        <v>45</v>
      </c>
      <c r="O28" s="211" t="s">
        <v>396</v>
      </c>
      <c r="P28" s="199"/>
      <c r="Q28" s="201"/>
      <c r="R28" s="206"/>
      <c r="S28" s="201" t="s">
        <v>383</v>
      </c>
      <c r="T28" s="201" t="s">
        <v>3340</v>
      </c>
      <c r="V28" s="104"/>
    </row>
    <row r="29" ht="15.75" customHeight="1">
      <c r="A29" s="91"/>
      <c r="B29" s="278">
        <v>8.0</v>
      </c>
      <c r="C29" s="201" t="s">
        <v>1518</v>
      </c>
      <c r="D29" s="199"/>
      <c r="E29" s="139" t="s">
        <v>3343</v>
      </c>
      <c r="F29" s="139" t="s">
        <v>3344</v>
      </c>
      <c r="G29" s="199"/>
      <c r="H29" s="93" t="s">
        <v>2841</v>
      </c>
      <c r="I29" s="201" t="s">
        <v>103</v>
      </c>
      <c r="J29" s="199"/>
      <c r="K29" s="202">
        <v>9000.0</v>
      </c>
      <c r="L29" s="202">
        <v>9000.0</v>
      </c>
      <c r="M29" s="203"/>
      <c r="N29" s="210"/>
      <c r="O29" s="205"/>
      <c r="P29" s="199"/>
      <c r="Q29" s="201">
        <v>6.0</v>
      </c>
      <c r="R29" s="206"/>
      <c r="S29" s="201" t="s">
        <v>105</v>
      </c>
      <c r="T29" s="201"/>
      <c r="V29" s="104"/>
    </row>
    <row r="30" ht="15.75" customHeight="1">
      <c r="A30" s="91"/>
      <c r="B30" s="278">
        <v>8.0</v>
      </c>
      <c r="C30" s="201" t="s">
        <v>360</v>
      </c>
      <c r="D30" s="199"/>
      <c r="E30" s="276">
        <v>2.3622942E7</v>
      </c>
      <c r="F30" s="279" t="s">
        <v>3345</v>
      </c>
      <c r="G30" s="199"/>
      <c r="H30" s="93" t="s">
        <v>2841</v>
      </c>
      <c r="I30" s="201" t="s">
        <v>103</v>
      </c>
      <c r="J30" s="199"/>
      <c r="K30" s="202">
        <v>9000.0</v>
      </c>
      <c r="L30" s="202">
        <v>9000.0</v>
      </c>
      <c r="M30" s="203"/>
      <c r="N30" s="210"/>
      <c r="O30" s="211"/>
      <c r="P30" s="201">
        <v>6.0</v>
      </c>
      <c r="Q30" s="201">
        <v>6.0</v>
      </c>
      <c r="R30" s="206"/>
      <c r="S30" s="201" t="s">
        <v>105</v>
      </c>
      <c r="T30" s="201"/>
      <c r="V30" s="104"/>
    </row>
    <row r="31" ht="15.75" customHeight="1">
      <c r="A31" s="91"/>
      <c r="B31" s="278">
        <v>9.0</v>
      </c>
      <c r="C31" s="97" t="s">
        <v>322</v>
      </c>
      <c r="D31" s="199"/>
      <c r="E31" s="139" t="s">
        <v>3346</v>
      </c>
      <c r="F31" s="139" t="s">
        <v>3347</v>
      </c>
      <c r="G31" s="199"/>
      <c r="H31" s="93" t="s">
        <v>2841</v>
      </c>
      <c r="I31" s="201" t="s">
        <v>88</v>
      </c>
      <c r="J31" s="199"/>
      <c r="K31" s="202"/>
      <c r="L31" s="202"/>
      <c r="M31" s="203"/>
      <c r="N31" s="210" t="s">
        <v>60</v>
      </c>
      <c r="O31" s="211" t="s">
        <v>2360</v>
      </c>
      <c r="P31" s="199"/>
      <c r="Q31" s="201"/>
      <c r="R31" s="206"/>
      <c r="S31" s="201" t="s">
        <v>383</v>
      </c>
      <c r="T31" s="201" t="s">
        <v>3348</v>
      </c>
      <c r="V31" s="104"/>
    </row>
    <row r="32" ht="15.75" customHeight="1">
      <c r="A32" s="91"/>
      <c r="B32" s="278">
        <v>9.0</v>
      </c>
      <c r="C32" s="97" t="s">
        <v>1518</v>
      </c>
      <c r="D32" s="199"/>
      <c r="E32" s="139" t="s">
        <v>3349</v>
      </c>
      <c r="F32" s="139" t="s">
        <v>3350</v>
      </c>
      <c r="G32" s="199"/>
      <c r="H32" s="93" t="s">
        <v>2834</v>
      </c>
      <c r="I32" s="201" t="s">
        <v>88</v>
      </c>
      <c r="J32" s="199"/>
      <c r="K32" s="202"/>
      <c r="L32" s="202"/>
      <c r="M32" s="203"/>
      <c r="N32" s="210" t="s">
        <v>55</v>
      </c>
      <c r="O32" s="211" t="s">
        <v>3351</v>
      </c>
      <c r="P32" s="199"/>
      <c r="Q32" s="201"/>
      <c r="R32" s="206"/>
      <c r="S32" s="201" t="s">
        <v>124</v>
      </c>
      <c r="T32" s="201" t="s">
        <v>3352</v>
      </c>
      <c r="V32" s="104"/>
    </row>
    <row r="33" ht="15.75" customHeight="1">
      <c r="A33" s="91"/>
      <c r="B33" s="198">
        <v>10.0</v>
      </c>
      <c r="C33" s="97" t="s">
        <v>410</v>
      </c>
      <c r="D33" s="199"/>
      <c r="E33" s="139" t="s">
        <v>3353</v>
      </c>
      <c r="F33" s="139" t="s">
        <v>3354</v>
      </c>
      <c r="G33" s="199"/>
      <c r="H33" s="93" t="s">
        <v>2841</v>
      </c>
      <c r="I33" s="201" t="s">
        <v>131</v>
      </c>
      <c r="J33" s="199"/>
      <c r="K33" s="202"/>
      <c r="L33" s="202"/>
      <c r="M33" s="203"/>
      <c r="N33" s="210"/>
      <c r="O33" s="211"/>
      <c r="P33" s="199"/>
      <c r="Q33" s="201"/>
      <c r="R33" s="206"/>
      <c r="S33" s="201"/>
      <c r="T33" s="201"/>
      <c r="V33" s="104"/>
    </row>
    <row r="34" ht="15.75" customHeight="1">
      <c r="A34" s="91"/>
      <c r="B34" s="198">
        <v>10.0</v>
      </c>
      <c r="C34" s="97" t="s">
        <v>538</v>
      </c>
      <c r="D34" s="199"/>
      <c r="E34" s="139" t="s">
        <v>3355</v>
      </c>
      <c r="F34" s="139" t="s">
        <v>3356</v>
      </c>
      <c r="G34" s="199"/>
      <c r="H34" s="93" t="s">
        <v>2834</v>
      </c>
      <c r="I34" s="201" t="s">
        <v>88</v>
      </c>
      <c r="J34" s="201"/>
      <c r="K34" s="202"/>
      <c r="L34" s="202"/>
      <c r="M34" s="203"/>
      <c r="N34" s="210" t="s">
        <v>60</v>
      </c>
      <c r="O34" s="211" t="s">
        <v>3357</v>
      </c>
      <c r="P34" s="199"/>
      <c r="Q34" s="201"/>
      <c r="R34" s="206"/>
      <c r="S34" s="201" t="s">
        <v>383</v>
      </c>
      <c r="T34" s="201" t="s">
        <v>3358</v>
      </c>
      <c r="V34" s="104"/>
    </row>
    <row r="35" ht="15.75" customHeight="1">
      <c r="A35" s="91"/>
      <c r="B35" s="198">
        <v>10.0</v>
      </c>
      <c r="C35" s="97" t="s">
        <v>2026</v>
      </c>
      <c r="D35" s="199"/>
      <c r="E35" s="139" t="s">
        <v>3359</v>
      </c>
      <c r="F35" s="139" t="s">
        <v>3360</v>
      </c>
      <c r="G35" s="199"/>
      <c r="H35" s="93" t="s">
        <v>2841</v>
      </c>
      <c r="I35" s="201" t="s">
        <v>131</v>
      </c>
      <c r="J35" s="199"/>
      <c r="K35" s="251"/>
      <c r="L35" s="202"/>
      <c r="M35" s="203"/>
      <c r="N35" s="210"/>
      <c r="O35" s="211"/>
      <c r="P35" s="199"/>
      <c r="Q35" s="201"/>
      <c r="R35" s="206"/>
      <c r="S35" s="201"/>
      <c r="T35" s="201"/>
      <c r="V35" s="104"/>
    </row>
    <row r="36" ht="15.75" customHeight="1">
      <c r="A36" s="91"/>
      <c r="B36" s="198">
        <v>11.0</v>
      </c>
      <c r="C36" s="97" t="s">
        <v>1210</v>
      </c>
      <c r="D36" s="94"/>
      <c r="E36" s="139" t="s">
        <v>3361</v>
      </c>
      <c r="F36" s="139" t="s">
        <v>3362</v>
      </c>
      <c r="G36" s="94"/>
      <c r="H36" s="93" t="s">
        <v>2841</v>
      </c>
      <c r="I36" s="201" t="s">
        <v>181</v>
      </c>
      <c r="J36" s="94"/>
      <c r="K36" s="202">
        <v>7500.0</v>
      </c>
      <c r="L36" s="202">
        <v>3000.0</v>
      </c>
      <c r="M36" s="99"/>
      <c r="N36" s="100"/>
      <c r="O36" s="101"/>
      <c r="P36" s="94"/>
      <c r="Q36" s="201">
        <v>4.0</v>
      </c>
      <c r="R36" s="113"/>
      <c r="S36" s="102" t="s">
        <v>105</v>
      </c>
      <c r="T36" s="102"/>
      <c r="V36" s="104"/>
    </row>
    <row r="37" ht="15.75" customHeight="1">
      <c r="A37" s="94"/>
      <c r="B37" s="198">
        <v>11.0</v>
      </c>
      <c r="C37" s="97" t="s">
        <v>1834</v>
      </c>
      <c r="D37" s="94"/>
      <c r="E37" s="139" t="s">
        <v>3363</v>
      </c>
      <c r="F37" s="139" t="s">
        <v>3364</v>
      </c>
      <c r="G37" s="94"/>
      <c r="H37" s="93" t="s">
        <v>2841</v>
      </c>
      <c r="I37" s="102" t="s">
        <v>88</v>
      </c>
      <c r="J37" s="94"/>
      <c r="K37" s="144"/>
      <c r="L37" s="144"/>
      <c r="M37" s="99"/>
      <c r="N37" s="100" t="s">
        <v>45</v>
      </c>
      <c r="O37" s="101" t="s">
        <v>396</v>
      </c>
      <c r="P37" s="94"/>
      <c r="Q37" s="201"/>
      <c r="R37" s="113"/>
      <c r="S37" s="102" t="s">
        <v>383</v>
      </c>
      <c r="T37" s="102" t="s">
        <v>3365</v>
      </c>
      <c r="V37" s="104"/>
    </row>
    <row r="38" ht="15.75" customHeight="1">
      <c r="A38" s="94"/>
      <c r="B38" s="198">
        <v>11.0</v>
      </c>
      <c r="C38" s="97" t="s">
        <v>136</v>
      </c>
      <c r="D38" s="94"/>
      <c r="E38" s="139" t="s">
        <v>3366</v>
      </c>
      <c r="F38" s="139" t="s">
        <v>3367</v>
      </c>
      <c r="G38" s="94"/>
      <c r="H38" s="93" t="s">
        <v>2834</v>
      </c>
      <c r="I38" s="201" t="s">
        <v>181</v>
      </c>
      <c r="J38" s="94"/>
      <c r="K38" s="202">
        <v>10500.0</v>
      </c>
      <c r="L38" s="202">
        <v>3000.0</v>
      </c>
      <c r="M38" s="99"/>
      <c r="N38" s="100"/>
      <c r="O38" s="101"/>
      <c r="P38" s="94"/>
      <c r="Q38" s="201">
        <v>6.0</v>
      </c>
      <c r="R38" s="113"/>
      <c r="S38" s="102" t="s">
        <v>105</v>
      </c>
      <c r="T38" s="102"/>
      <c r="V38" s="104"/>
    </row>
    <row r="39" ht="15.75" customHeight="1">
      <c r="A39" s="94"/>
      <c r="B39" s="198">
        <v>12.0</v>
      </c>
      <c r="C39" s="97" t="s">
        <v>3368</v>
      </c>
      <c r="D39" s="94"/>
      <c r="E39" s="139" t="s">
        <v>3369</v>
      </c>
      <c r="F39" s="139" t="s">
        <v>3370</v>
      </c>
      <c r="G39" s="94"/>
      <c r="H39" s="93"/>
      <c r="I39" s="102" t="s">
        <v>131</v>
      </c>
      <c r="J39" s="94"/>
      <c r="K39" s="202"/>
      <c r="L39" s="202"/>
      <c r="M39" s="99"/>
      <c r="N39" s="111"/>
      <c r="O39" s="112"/>
      <c r="P39" s="94"/>
      <c r="Q39" s="201"/>
      <c r="R39" s="113"/>
      <c r="S39" s="102"/>
      <c r="T39" s="102"/>
      <c r="V39" s="104"/>
    </row>
    <row r="40" ht="15.75" customHeight="1">
      <c r="A40" s="94"/>
      <c r="B40" s="198">
        <v>12.0</v>
      </c>
      <c r="C40" s="97" t="s">
        <v>167</v>
      </c>
      <c r="D40" s="94"/>
      <c r="E40" s="139" t="s">
        <v>3371</v>
      </c>
      <c r="F40" s="139" t="s">
        <v>3372</v>
      </c>
      <c r="G40" s="94"/>
      <c r="H40" s="93" t="s">
        <v>2841</v>
      </c>
      <c r="I40" s="102" t="s">
        <v>232</v>
      </c>
      <c r="J40" s="94"/>
      <c r="K40" s="202"/>
      <c r="L40" s="202">
        <v>500.0</v>
      </c>
      <c r="M40" s="99"/>
      <c r="N40" s="111"/>
      <c r="O40" s="112"/>
      <c r="P40" s="102"/>
      <c r="Q40" s="102"/>
      <c r="R40" s="113"/>
      <c r="S40" s="102" t="s">
        <v>404</v>
      </c>
      <c r="T40" s="102" t="s">
        <v>3373</v>
      </c>
      <c r="V40" s="104"/>
    </row>
    <row r="41" ht="15.75" customHeight="1">
      <c r="A41" s="94"/>
      <c r="B41" s="198">
        <v>12.0</v>
      </c>
      <c r="C41" s="97" t="s">
        <v>979</v>
      </c>
      <c r="D41" s="94"/>
      <c r="E41" s="139" t="s">
        <v>3374</v>
      </c>
      <c r="F41" s="139" t="s">
        <v>3375</v>
      </c>
      <c r="G41" s="94"/>
      <c r="H41" s="93" t="s">
        <v>2834</v>
      </c>
      <c r="I41" s="102" t="s">
        <v>181</v>
      </c>
      <c r="J41" s="94"/>
      <c r="K41" s="202">
        <v>10500.0</v>
      </c>
      <c r="L41" s="202">
        <v>3000.0</v>
      </c>
      <c r="M41" s="99"/>
      <c r="N41" s="100"/>
      <c r="O41" s="101"/>
      <c r="P41" s="94"/>
      <c r="Q41" s="102">
        <v>6.0</v>
      </c>
      <c r="R41" s="113"/>
      <c r="S41" s="102" t="s">
        <v>105</v>
      </c>
      <c r="T41" s="102"/>
      <c r="V41" s="104"/>
    </row>
    <row r="42" ht="15.75" customHeight="1">
      <c r="A42" s="94"/>
      <c r="B42" s="118">
        <v>13.0</v>
      </c>
      <c r="C42" s="97" t="s">
        <v>1346</v>
      </c>
      <c r="D42" s="94"/>
      <c r="E42" s="139" t="s">
        <v>3376</v>
      </c>
      <c r="F42" s="139" t="s">
        <v>3377</v>
      </c>
      <c r="G42" s="94"/>
      <c r="H42" s="93" t="s">
        <v>2841</v>
      </c>
      <c r="I42" s="201" t="s">
        <v>103</v>
      </c>
      <c r="J42" s="94"/>
      <c r="K42" s="202">
        <v>6000.0</v>
      </c>
      <c r="L42" s="98">
        <v>6000.0</v>
      </c>
      <c r="M42" s="99"/>
      <c r="N42" s="100"/>
      <c r="O42" s="101"/>
      <c r="P42" s="94"/>
      <c r="Q42" s="102">
        <v>4.0</v>
      </c>
      <c r="R42" s="113"/>
      <c r="S42" s="102" t="s">
        <v>105</v>
      </c>
      <c r="T42" s="102"/>
      <c r="V42" s="104"/>
    </row>
    <row r="43" ht="15.75" customHeight="1">
      <c r="A43" s="94"/>
      <c r="B43" s="198">
        <v>13.0</v>
      </c>
      <c r="C43" s="97" t="s">
        <v>2276</v>
      </c>
      <c r="D43" s="94"/>
      <c r="E43" s="139" t="s">
        <v>3378</v>
      </c>
      <c r="F43" s="139" t="s">
        <v>3379</v>
      </c>
      <c r="G43" s="94"/>
      <c r="H43" s="93" t="s">
        <v>2834</v>
      </c>
      <c r="I43" s="102" t="s">
        <v>88</v>
      </c>
      <c r="J43" s="94"/>
      <c r="K43" s="202"/>
      <c r="L43" s="202"/>
      <c r="M43" s="99"/>
      <c r="N43" s="100" t="s">
        <v>45</v>
      </c>
      <c r="O43" s="101" t="s">
        <v>396</v>
      </c>
      <c r="P43" s="94"/>
      <c r="Q43" s="102"/>
      <c r="R43" s="113"/>
      <c r="S43" s="102" t="s">
        <v>124</v>
      </c>
      <c r="T43" s="102" t="s">
        <v>3380</v>
      </c>
      <c r="V43" s="104"/>
    </row>
    <row r="44" ht="15.75" customHeight="1">
      <c r="A44" s="94"/>
      <c r="B44" s="198">
        <v>13.0</v>
      </c>
      <c r="C44" s="97" t="s">
        <v>915</v>
      </c>
      <c r="D44" s="94"/>
      <c r="E44" s="139" t="s">
        <v>3381</v>
      </c>
      <c r="F44" s="139" t="s">
        <v>3382</v>
      </c>
      <c r="G44" s="94"/>
      <c r="H44" s="93" t="s">
        <v>2834</v>
      </c>
      <c r="I44" s="102" t="s">
        <v>181</v>
      </c>
      <c r="J44" s="94"/>
      <c r="K44" s="144">
        <v>7500.0</v>
      </c>
      <c r="L44" s="144">
        <v>3000.0</v>
      </c>
      <c r="M44" s="99"/>
      <c r="N44" s="100" t="s">
        <v>55</v>
      </c>
      <c r="O44" s="101" t="s">
        <v>3383</v>
      </c>
      <c r="P44" s="94"/>
      <c r="Q44" s="102"/>
      <c r="R44" s="113"/>
      <c r="S44" s="102" t="s">
        <v>105</v>
      </c>
      <c r="T44" s="102" t="s">
        <v>3384</v>
      </c>
      <c r="V44" s="102"/>
    </row>
    <row r="45" ht="15.75" customHeight="1">
      <c r="A45" s="94"/>
      <c r="B45" s="198">
        <v>14.0</v>
      </c>
      <c r="C45" s="97" t="s">
        <v>220</v>
      </c>
      <c r="D45" s="94"/>
      <c r="E45" s="139" t="s">
        <v>3385</v>
      </c>
      <c r="F45" s="139" t="s">
        <v>3386</v>
      </c>
      <c r="G45" s="94"/>
      <c r="H45" s="93" t="s">
        <v>2841</v>
      </c>
      <c r="I45" s="97" t="s">
        <v>103</v>
      </c>
      <c r="J45" s="94"/>
      <c r="K45" s="202">
        <v>4500.0</v>
      </c>
      <c r="L45" s="144">
        <v>4500.0</v>
      </c>
      <c r="M45" s="99"/>
      <c r="N45" s="100"/>
      <c r="O45" s="101"/>
      <c r="P45" s="94"/>
      <c r="Q45" s="102">
        <v>3.0</v>
      </c>
      <c r="R45" s="113"/>
      <c r="S45" s="102" t="s">
        <v>105</v>
      </c>
      <c r="T45" s="102"/>
      <c r="V45" s="104"/>
    </row>
    <row r="46" ht="15.75" customHeight="1">
      <c r="A46" s="91"/>
      <c r="B46" s="198">
        <v>14.0</v>
      </c>
      <c r="C46" s="97" t="s">
        <v>360</v>
      </c>
      <c r="D46" s="94"/>
      <c r="E46" s="139" t="s">
        <v>3387</v>
      </c>
      <c r="F46" s="139" t="s">
        <v>3388</v>
      </c>
      <c r="G46" s="94"/>
      <c r="H46" s="93" t="s">
        <v>2841</v>
      </c>
      <c r="I46" s="97" t="s">
        <v>88</v>
      </c>
      <c r="J46" s="94"/>
      <c r="K46" s="202"/>
      <c r="L46" s="202"/>
      <c r="M46" s="99"/>
      <c r="N46" s="100" t="s">
        <v>45</v>
      </c>
      <c r="O46" s="101" t="s">
        <v>396</v>
      </c>
      <c r="P46" s="94"/>
      <c r="Q46" s="201"/>
      <c r="R46" s="105"/>
      <c r="S46" s="102" t="s">
        <v>124</v>
      </c>
      <c r="T46" s="102" t="s">
        <v>3389</v>
      </c>
      <c r="V46" s="104"/>
    </row>
    <row r="47" ht="15.75" customHeight="1">
      <c r="A47" s="91"/>
      <c r="B47" s="198">
        <v>15.0</v>
      </c>
      <c r="C47" s="97" t="s">
        <v>2055</v>
      </c>
      <c r="D47" s="94"/>
      <c r="E47" s="139" t="s">
        <v>3390</v>
      </c>
      <c r="F47" s="139" t="s">
        <v>3391</v>
      </c>
      <c r="G47" s="94"/>
      <c r="H47" s="93" t="s">
        <v>2841</v>
      </c>
      <c r="I47" s="97" t="s">
        <v>181</v>
      </c>
      <c r="J47" s="94"/>
      <c r="K47" s="202">
        <v>9000.0</v>
      </c>
      <c r="L47" s="202">
        <v>3000.0</v>
      </c>
      <c r="M47" s="99"/>
      <c r="N47" s="100"/>
      <c r="O47" s="101"/>
      <c r="P47" s="94"/>
      <c r="Q47" s="102">
        <v>5.0</v>
      </c>
      <c r="R47" s="113"/>
      <c r="S47" s="102" t="s">
        <v>105</v>
      </c>
      <c r="T47" s="102"/>
      <c r="V47" s="104"/>
    </row>
    <row r="48" ht="15.75" customHeight="1">
      <c r="A48" s="91"/>
      <c r="B48" s="198">
        <v>16.0</v>
      </c>
      <c r="C48" s="97" t="s">
        <v>727</v>
      </c>
      <c r="D48" s="94"/>
      <c r="E48" s="139" t="s">
        <v>3392</v>
      </c>
      <c r="F48" s="139" t="s">
        <v>3393</v>
      </c>
      <c r="G48" s="94"/>
      <c r="H48" s="93" t="s">
        <v>2834</v>
      </c>
      <c r="I48" s="102" t="s">
        <v>88</v>
      </c>
      <c r="J48" s="94"/>
      <c r="K48" s="202"/>
      <c r="L48" s="202"/>
      <c r="M48" s="99"/>
      <c r="N48" s="100" t="s">
        <v>45</v>
      </c>
      <c r="O48" s="101" t="s">
        <v>584</v>
      </c>
      <c r="P48" s="94"/>
      <c r="Q48" s="102"/>
      <c r="R48" s="103"/>
      <c r="S48" s="102" t="s">
        <v>124</v>
      </c>
      <c r="T48" s="102" t="s">
        <v>3394</v>
      </c>
      <c r="V48" s="104"/>
    </row>
    <row r="49" ht="15.75" customHeight="1">
      <c r="A49" s="91"/>
      <c r="B49" s="198">
        <v>16.0</v>
      </c>
      <c r="C49" s="97" t="s">
        <v>252</v>
      </c>
      <c r="D49" s="94"/>
      <c r="E49" s="139" t="s">
        <v>3395</v>
      </c>
      <c r="F49" s="139" t="s">
        <v>3396</v>
      </c>
      <c r="G49" s="94"/>
      <c r="H49" s="93" t="s">
        <v>2834</v>
      </c>
      <c r="I49" s="102" t="s">
        <v>103</v>
      </c>
      <c r="J49" s="94"/>
      <c r="K49" s="202">
        <v>9000.0</v>
      </c>
      <c r="L49" s="202">
        <v>9000.0</v>
      </c>
      <c r="M49" s="99"/>
      <c r="N49" s="100"/>
      <c r="O49" s="101"/>
      <c r="P49" s="94"/>
      <c r="Q49" s="102">
        <v>6.0</v>
      </c>
      <c r="R49" s="113"/>
      <c r="S49" s="102" t="s">
        <v>105</v>
      </c>
      <c r="T49" s="102"/>
      <c r="V49" s="104"/>
    </row>
    <row r="50" ht="15.75" customHeight="1">
      <c r="A50" s="91"/>
      <c r="B50" s="198">
        <v>17.0</v>
      </c>
      <c r="C50" s="97" t="s">
        <v>322</v>
      </c>
      <c r="D50" s="94"/>
      <c r="E50" s="139" t="s">
        <v>3397</v>
      </c>
      <c r="F50" s="139" t="s">
        <v>3398</v>
      </c>
      <c r="G50" s="94"/>
      <c r="H50" s="93" t="s">
        <v>2841</v>
      </c>
      <c r="I50" s="102" t="s">
        <v>88</v>
      </c>
      <c r="J50" s="94"/>
      <c r="K50" s="202"/>
      <c r="L50" s="202"/>
      <c r="M50" s="99"/>
      <c r="N50" s="100" t="s">
        <v>45</v>
      </c>
      <c r="O50" s="101" t="s">
        <v>584</v>
      </c>
      <c r="P50" s="94"/>
      <c r="Q50" s="102"/>
      <c r="R50" s="103"/>
      <c r="S50" s="102" t="s">
        <v>124</v>
      </c>
      <c r="T50" s="102" t="s">
        <v>3399</v>
      </c>
      <c r="V50" s="104"/>
    </row>
    <row r="51" ht="15.75" customHeight="1">
      <c r="A51" s="91"/>
      <c r="B51" s="198">
        <v>17.0</v>
      </c>
      <c r="C51" s="97" t="s">
        <v>777</v>
      </c>
      <c r="D51" s="94"/>
      <c r="E51" s="139" t="s">
        <v>3400</v>
      </c>
      <c r="F51" s="139" t="s">
        <v>3401</v>
      </c>
      <c r="G51" s="94"/>
      <c r="H51" s="93" t="s">
        <v>2834</v>
      </c>
      <c r="I51" s="102" t="s">
        <v>88</v>
      </c>
      <c r="J51" s="94"/>
      <c r="K51" s="202"/>
      <c r="L51" s="202"/>
      <c r="M51" s="99"/>
      <c r="N51" s="100" t="s">
        <v>60</v>
      </c>
      <c r="O51" s="101" t="s">
        <v>2360</v>
      </c>
      <c r="P51" s="94"/>
      <c r="Q51" s="102"/>
      <c r="R51" s="103"/>
      <c r="S51" s="102" t="s">
        <v>124</v>
      </c>
      <c r="T51" s="102" t="s">
        <v>3402</v>
      </c>
      <c r="V51" s="104"/>
    </row>
    <row r="52" ht="15.75" customHeight="1">
      <c r="A52" s="91"/>
      <c r="B52" s="198">
        <v>17.0</v>
      </c>
      <c r="C52" s="97" t="s">
        <v>3403</v>
      </c>
      <c r="D52" s="94"/>
      <c r="E52" s="139" t="s">
        <v>3404</v>
      </c>
      <c r="F52" s="139" t="s">
        <v>3405</v>
      </c>
      <c r="G52" s="94"/>
      <c r="H52" s="93" t="s">
        <v>2841</v>
      </c>
      <c r="I52" s="102" t="s">
        <v>88</v>
      </c>
      <c r="J52" s="94"/>
      <c r="K52" s="98"/>
      <c r="L52" s="98"/>
      <c r="M52" s="99"/>
      <c r="N52" s="100" t="s">
        <v>45</v>
      </c>
      <c r="O52" s="101" t="s">
        <v>396</v>
      </c>
      <c r="P52" s="94"/>
      <c r="Q52" s="102"/>
      <c r="R52" s="113"/>
      <c r="S52" s="102" t="s">
        <v>124</v>
      </c>
      <c r="T52" s="102" t="s">
        <v>3406</v>
      </c>
      <c r="V52" s="104"/>
    </row>
    <row r="53" ht="15.75" customHeight="1">
      <c r="A53" s="91"/>
      <c r="B53" s="198">
        <v>18.0</v>
      </c>
      <c r="C53" s="97" t="s">
        <v>2368</v>
      </c>
      <c r="D53" s="94"/>
      <c r="E53" s="139" t="s">
        <v>3407</v>
      </c>
      <c r="F53" s="139" t="s">
        <v>3408</v>
      </c>
      <c r="G53" s="94"/>
      <c r="H53" s="93" t="s">
        <v>2834</v>
      </c>
      <c r="I53" s="102" t="s">
        <v>103</v>
      </c>
      <c r="J53" s="94"/>
      <c r="K53" s="202">
        <v>6000.0</v>
      </c>
      <c r="L53" s="202">
        <v>6000.0</v>
      </c>
      <c r="M53" s="99"/>
      <c r="N53" s="100"/>
      <c r="O53" s="101"/>
      <c r="P53" s="94"/>
      <c r="Q53" s="102">
        <v>4.0</v>
      </c>
      <c r="R53" s="106"/>
      <c r="S53" s="102" t="s">
        <v>105</v>
      </c>
      <c r="T53" s="102"/>
      <c r="V53" s="104"/>
    </row>
    <row r="54" ht="15.75" customHeight="1">
      <c r="A54" s="91"/>
      <c r="B54" s="198">
        <v>18.0</v>
      </c>
      <c r="C54" s="97" t="s">
        <v>887</v>
      </c>
      <c r="D54" s="94"/>
      <c r="E54" s="139" t="s">
        <v>3409</v>
      </c>
      <c r="F54" s="139" t="s">
        <v>3410</v>
      </c>
      <c r="G54" s="94"/>
      <c r="H54" s="93" t="s">
        <v>2834</v>
      </c>
      <c r="I54" s="102" t="s">
        <v>232</v>
      </c>
      <c r="J54" s="94"/>
      <c r="K54" s="202"/>
      <c r="L54" s="98"/>
      <c r="M54" s="99"/>
      <c r="N54" s="100" t="s">
        <v>45</v>
      </c>
      <c r="O54" s="101" t="s">
        <v>584</v>
      </c>
      <c r="P54" s="94"/>
      <c r="Q54" s="102"/>
      <c r="R54" s="113"/>
      <c r="S54" s="102" t="s">
        <v>404</v>
      </c>
      <c r="T54" s="118" t="s">
        <v>3411</v>
      </c>
      <c r="V54" s="104"/>
    </row>
    <row r="55" ht="15.75" customHeight="1">
      <c r="A55" s="91"/>
      <c r="B55" s="198">
        <v>18.0</v>
      </c>
      <c r="C55" s="97" t="s">
        <v>393</v>
      </c>
      <c r="D55" s="94"/>
      <c r="E55" s="139" t="s">
        <v>3412</v>
      </c>
      <c r="F55" s="139" t="s">
        <v>3413</v>
      </c>
      <c r="G55" s="94"/>
      <c r="H55" s="93" t="s">
        <v>2834</v>
      </c>
      <c r="I55" s="102" t="s">
        <v>88</v>
      </c>
      <c r="J55" s="94"/>
      <c r="K55" s="202"/>
      <c r="L55" s="202"/>
      <c r="M55" s="99"/>
      <c r="N55" s="100" t="s">
        <v>45</v>
      </c>
      <c r="O55" s="101" t="s">
        <v>396</v>
      </c>
      <c r="P55" s="94"/>
      <c r="Q55" s="201"/>
      <c r="R55" s="113"/>
      <c r="S55" s="102" t="s">
        <v>124</v>
      </c>
      <c r="T55" s="102" t="s">
        <v>3414</v>
      </c>
      <c r="V55" s="104"/>
    </row>
    <row r="56" ht="15.75" customHeight="1">
      <c r="A56" s="91"/>
      <c r="B56" s="198">
        <v>18.0</v>
      </c>
      <c r="C56" s="97" t="s">
        <v>3415</v>
      </c>
      <c r="D56" s="94"/>
      <c r="E56" s="139" t="s">
        <v>3416</v>
      </c>
      <c r="F56" s="265" t="s">
        <v>3417</v>
      </c>
      <c r="G56" s="94"/>
      <c r="H56" s="93" t="s">
        <v>2834</v>
      </c>
      <c r="I56" s="102" t="s">
        <v>110</v>
      </c>
      <c r="J56" s="94"/>
      <c r="K56" s="144"/>
      <c r="L56" s="144"/>
      <c r="M56" s="99"/>
      <c r="N56" s="100"/>
      <c r="O56" s="101"/>
      <c r="P56" s="94"/>
      <c r="Q56" s="102"/>
      <c r="R56" s="103"/>
      <c r="S56" s="102"/>
      <c r="T56" s="102" t="s">
        <v>3418</v>
      </c>
      <c r="V56" s="104"/>
    </row>
    <row r="57" ht="15.75" customHeight="1">
      <c r="A57" s="91"/>
      <c r="B57" s="198">
        <v>19.0</v>
      </c>
      <c r="C57" s="97" t="s">
        <v>3419</v>
      </c>
      <c r="D57" s="94"/>
      <c r="E57" s="139" t="s">
        <v>3420</v>
      </c>
      <c r="F57" s="139" t="s">
        <v>3421</v>
      </c>
      <c r="G57" s="94"/>
      <c r="H57" s="93" t="s">
        <v>2841</v>
      </c>
      <c r="I57" s="102" t="s">
        <v>88</v>
      </c>
      <c r="J57" s="94"/>
      <c r="K57" s="202"/>
      <c r="L57" s="98"/>
      <c r="M57" s="99"/>
      <c r="N57" s="100" t="s">
        <v>45</v>
      </c>
      <c r="O57" s="101" t="s">
        <v>396</v>
      </c>
      <c r="P57" s="102"/>
      <c r="Q57" s="102"/>
      <c r="R57" s="113"/>
      <c r="S57" s="102" t="s">
        <v>90</v>
      </c>
      <c r="T57" s="102" t="s">
        <v>3422</v>
      </c>
      <c r="V57" s="104"/>
    </row>
    <row r="58" ht="15.75" customHeight="1">
      <c r="A58" s="91"/>
      <c r="B58" s="198">
        <v>19.0</v>
      </c>
      <c r="C58" s="97" t="s">
        <v>677</v>
      </c>
      <c r="D58" s="94"/>
      <c r="E58" s="139" t="s">
        <v>3423</v>
      </c>
      <c r="F58" s="139" t="s">
        <v>3424</v>
      </c>
      <c r="G58" s="94"/>
      <c r="H58" s="93" t="s">
        <v>2834</v>
      </c>
      <c r="I58" s="102" t="s">
        <v>110</v>
      </c>
      <c r="J58" s="94"/>
      <c r="K58" s="98"/>
      <c r="L58" s="98"/>
      <c r="M58" s="99"/>
      <c r="N58" s="100"/>
      <c r="O58" s="101"/>
      <c r="P58" s="94"/>
      <c r="Q58" s="102"/>
      <c r="R58" s="113"/>
      <c r="S58" s="102"/>
      <c r="T58" s="102" t="s">
        <v>3425</v>
      </c>
      <c r="V58" s="104"/>
    </row>
    <row r="59" ht="15.75" customHeight="1">
      <c r="A59" s="91"/>
      <c r="B59" s="198">
        <v>19.0</v>
      </c>
      <c r="C59" s="97" t="s">
        <v>3426</v>
      </c>
      <c r="D59" s="94"/>
      <c r="E59" s="139" t="s">
        <v>3427</v>
      </c>
      <c r="F59" s="139" t="s">
        <v>3428</v>
      </c>
      <c r="G59" s="94"/>
      <c r="H59" s="93" t="s">
        <v>2834</v>
      </c>
      <c r="I59" s="102" t="s">
        <v>88</v>
      </c>
      <c r="J59" s="94"/>
      <c r="K59" s="98"/>
      <c r="L59" s="98"/>
      <c r="M59" s="99"/>
      <c r="N59" s="100" t="s">
        <v>45</v>
      </c>
      <c r="O59" s="101" t="s">
        <v>584</v>
      </c>
      <c r="P59" s="94"/>
      <c r="Q59" s="102"/>
      <c r="R59" s="113"/>
      <c r="S59" s="102" t="s">
        <v>383</v>
      </c>
      <c r="T59" s="102" t="s">
        <v>3429</v>
      </c>
      <c r="V59" s="104"/>
    </row>
    <row r="60" ht="15.75" customHeight="1">
      <c r="A60" s="91"/>
      <c r="B60" s="198">
        <v>19.0</v>
      </c>
      <c r="C60" s="97" t="s">
        <v>2636</v>
      </c>
      <c r="D60" s="94"/>
      <c r="E60" s="139" t="s">
        <v>3430</v>
      </c>
      <c r="F60" s="139" t="s">
        <v>3431</v>
      </c>
      <c r="G60" s="94"/>
      <c r="H60" s="93" t="s">
        <v>2841</v>
      </c>
      <c r="I60" s="102" t="s">
        <v>88</v>
      </c>
      <c r="J60" s="94"/>
      <c r="K60" s="98"/>
      <c r="L60" s="98"/>
      <c r="M60" s="99"/>
      <c r="N60" s="100" t="s">
        <v>45</v>
      </c>
      <c r="O60" s="101" t="s">
        <v>584</v>
      </c>
      <c r="P60" s="94"/>
      <c r="Q60" s="102"/>
      <c r="R60" s="113"/>
      <c r="S60" s="102" t="s">
        <v>383</v>
      </c>
      <c r="T60" s="102" t="s">
        <v>3432</v>
      </c>
      <c r="V60" s="104"/>
    </row>
    <row r="61" ht="15.75" customHeight="1">
      <c r="A61" s="91"/>
      <c r="B61" s="198">
        <v>19.0</v>
      </c>
      <c r="C61" s="97" t="s">
        <v>3433</v>
      </c>
      <c r="D61" s="94"/>
      <c r="E61" s="139" t="s">
        <v>3434</v>
      </c>
      <c r="F61" s="139" t="s">
        <v>3435</v>
      </c>
      <c r="G61" s="94"/>
      <c r="H61" s="93" t="s">
        <v>2834</v>
      </c>
      <c r="I61" s="102" t="s">
        <v>110</v>
      </c>
      <c r="J61" s="94"/>
      <c r="K61" s="202"/>
      <c r="L61" s="202"/>
      <c r="M61" s="99"/>
      <c r="N61" s="100"/>
      <c r="O61" s="101"/>
      <c r="P61" s="94"/>
      <c r="Q61" s="102"/>
      <c r="R61" s="103"/>
      <c r="S61" s="102"/>
      <c r="T61" s="102"/>
      <c r="V61" s="104"/>
    </row>
    <row r="62" ht="15.75" customHeight="1">
      <c r="A62" s="91"/>
      <c r="B62" s="198">
        <v>20.0</v>
      </c>
      <c r="C62" s="97" t="s">
        <v>3436</v>
      </c>
      <c r="D62" s="102" t="s">
        <v>1300</v>
      </c>
      <c r="E62" s="139" t="s">
        <v>3437</v>
      </c>
      <c r="F62" s="139" t="s">
        <v>3438</v>
      </c>
      <c r="G62" s="94"/>
      <c r="H62" s="93" t="s">
        <v>2834</v>
      </c>
      <c r="I62" s="102" t="s">
        <v>110</v>
      </c>
      <c r="J62" s="94"/>
      <c r="K62" s="202"/>
      <c r="L62" s="202"/>
      <c r="M62" s="99"/>
      <c r="N62" s="100"/>
      <c r="O62" s="101"/>
      <c r="P62" s="94"/>
      <c r="Q62" s="201"/>
      <c r="R62" s="103"/>
      <c r="S62" s="102"/>
      <c r="V62" s="104"/>
    </row>
    <row r="63" ht="15.75" customHeight="1">
      <c r="A63" s="91"/>
      <c r="B63" s="198">
        <v>20.0</v>
      </c>
      <c r="C63" s="97" t="s">
        <v>318</v>
      </c>
      <c r="D63" s="94"/>
      <c r="E63" s="139" t="s">
        <v>3439</v>
      </c>
      <c r="F63" s="139" t="s">
        <v>3440</v>
      </c>
      <c r="G63" s="94"/>
      <c r="H63" s="93" t="s">
        <v>2834</v>
      </c>
      <c r="I63" s="102" t="s">
        <v>88</v>
      </c>
      <c r="J63" s="94"/>
      <c r="K63" s="202"/>
      <c r="L63" s="202"/>
      <c r="M63" s="99"/>
      <c r="N63" s="100" t="s">
        <v>98</v>
      </c>
      <c r="O63" s="101" t="s">
        <v>3441</v>
      </c>
      <c r="P63" s="94"/>
      <c r="Q63" s="102"/>
      <c r="R63" s="103"/>
      <c r="S63" s="102" t="s">
        <v>124</v>
      </c>
      <c r="T63" s="102" t="s">
        <v>3442</v>
      </c>
      <c r="V63" s="104"/>
    </row>
    <row r="64" ht="15.75" customHeight="1">
      <c r="A64" s="91"/>
      <c r="B64" s="198">
        <v>20.0</v>
      </c>
      <c r="C64" s="97" t="s">
        <v>979</v>
      </c>
      <c r="D64" s="94"/>
      <c r="E64" s="139" t="s">
        <v>3443</v>
      </c>
      <c r="F64" s="139" t="s">
        <v>3444</v>
      </c>
      <c r="G64" s="94"/>
      <c r="H64" s="93" t="s">
        <v>2834</v>
      </c>
      <c r="I64" s="102" t="s">
        <v>88</v>
      </c>
      <c r="J64" s="94"/>
      <c r="K64" s="202"/>
      <c r="L64" s="202"/>
      <c r="M64" s="99"/>
      <c r="N64" s="100" t="s">
        <v>50</v>
      </c>
      <c r="O64" s="101" t="s">
        <v>3445</v>
      </c>
      <c r="P64" s="94"/>
      <c r="Q64" s="102"/>
      <c r="R64" s="103"/>
      <c r="S64" s="102" t="s">
        <v>124</v>
      </c>
      <c r="T64" s="102" t="s">
        <v>3446</v>
      </c>
      <c r="V64" s="104"/>
    </row>
    <row r="65" ht="15.75" customHeight="1">
      <c r="A65" s="91"/>
      <c r="B65" s="198">
        <v>20.0</v>
      </c>
      <c r="C65" s="97" t="s">
        <v>667</v>
      </c>
      <c r="D65" s="94"/>
      <c r="E65" s="139" t="s">
        <v>3447</v>
      </c>
      <c r="F65" s="139" t="s">
        <v>3448</v>
      </c>
      <c r="G65" s="94"/>
      <c r="H65" s="93" t="s">
        <v>2834</v>
      </c>
      <c r="I65" s="102" t="s">
        <v>88</v>
      </c>
      <c r="J65" s="94"/>
      <c r="K65" s="98"/>
      <c r="L65" s="98"/>
      <c r="M65" s="99"/>
      <c r="N65" s="100" t="s">
        <v>98</v>
      </c>
      <c r="O65" s="101" t="s">
        <v>3441</v>
      </c>
      <c r="P65" s="94"/>
      <c r="Q65" s="102"/>
      <c r="R65" s="113"/>
      <c r="S65" s="102" t="s">
        <v>124</v>
      </c>
      <c r="T65" s="102" t="s">
        <v>3449</v>
      </c>
      <c r="V65" s="104"/>
    </row>
    <row r="66" ht="15.75" customHeight="1">
      <c r="A66" s="91"/>
      <c r="B66" s="198">
        <v>20.0</v>
      </c>
      <c r="C66" s="97" t="s">
        <v>1518</v>
      </c>
      <c r="D66" s="94"/>
      <c r="E66" s="139" t="s">
        <v>3450</v>
      </c>
      <c r="F66" s="139" t="s">
        <v>3451</v>
      </c>
      <c r="G66" s="94"/>
      <c r="H66" s="93" t="s">
        <v>2834</v>
      </c>
      <c r="I66" s="102" t="s">
        <v>88</v>
      </c>
      <c r="J66" s="94"/>
      <c r="K66" s="98"/>
      <c r="L66" s="98"/>
      <c r="M66" s="99"/>
      <c r="N66" s="100" t="s">
        <v>50</v>
      </c>
      <c r="O66" s="101" t="s">
        <v>3452</v>
      </c>
      <c r="P66" s="94"/>
      <c r="Q66" s="102"/>
      <c r="R66" s="103"/>
      <c r="S66" s="102" t="s">
        <v>124</v>
      </c>
      <c r="T66" s="102" t="s">
        <v>3453</v>
      </c>
      <c r="V66" s="104"/>
    </row>
    <row r="67" ht="15.75" customHeight="1">
      <c r="A67" s="91"/>
      <c r="B67" s="198">
        <v>21.0</v>
      </c>
      <c r="C67" s="97" t="s">
        <v>777</v>
      </c>
      <c r="D67" s="94"/>
      <c r="E67" s="139" t="s">
        <v>3454</v>
      </c>
      <c r="F67" s="139" t="s">
        <v>3455</v>
      </c>
      <c r="G67" s="94"/>
      <c r="H67" s="93" t="s">
        <v>2834</v>
      </c>
      <c r="I67" s="102" t="s">
        <v>591</v>
      </c>
      <c r="J67" s="94"/>
      <c r="K67" s="98"/>
      <c r="L67" s="98"/>
      <c r="M67" s="99"/>
      <c r="N67" s="100"/>
      <c r="O67" s="101"/>
      <c r="P67" s="94"/>
      <c r="Q67" s="102"/>
      <c r="R67" s="113"/>
      <c r="S67" s="102" t="s">
        <v>90</v>
      </c>
      <c r="T67" s="102" t="s">
        <v>3456</v>
      </c>
      <c r="V67" s="104"/>
    </row>
    <row r="68" ht="15.75" customHeight="1">
      <c r="A68" s="91"/>
      <c r="B68" s="198">
        <v>21.0</v>
      </c>
      <c r="C68" s="102" t="s">
        <v>915</v>
      </c>
      <c r="D68" s="94"/>
      <c r="E68" s="139" t="s">
        <v>3457</v>
      </c>
      <c r="F68" s="139" t="s">
        <v>3458</v>
      </c>
      <c r="G68" s="94"/>
      <c r="H68" s="93" t="s">
        <v>2834</v>
      </c>
      <c r="I68" s="102" t="s">
        <v>88</v>
      </c>
      <c r="J68" s="94"/>
      <c r="K68" s="108"/>
      <c r="L68" s="98"/>
      <c r="M68" s="99"/>
      <c r="N68" s="100" t="s">
        <v>55</v>
      </c>
      <c r="O68" s="101" t="s">
        <v>1988</v>
      </c>
      <c r="P68" s="94"/>
      <c r="Q68" s="102"/>
      <c r="R68" s="113"/>
      <c r="S68" s="102" t="s">
        <v>383</v>
      </c>
      <c r="T68" s="102" t="s">
        <v>3459</v>
      </c>
      <c r="V68" s="104"/>
    </row>
    <row r="69" ht="15.75" customHeight="1">
      <c r="A69" s="91"/>
      <c r="B69" s="198">
        <v>22.0</v>
      </c>
      <c r="C69" s="97" t="s">
        <v>3460</v>
      </c>
      <c r="D69" s="94"/>
      <c r="E69" s="139" t="s">
        <v>3461</v>
      </c>
      <c r="F69" s="139" t="s">
        <v>3462</v>
      </c>
      <c r="G69" s="94"/>
      <c r="H69" s="93" t="s">
        <v>2834</v>
      </c>
      <c r="I69" s="102" t="s">
        <v>88</v>
      </c>
      <c r="J69" s="94"/>
      <c r="K69" s="98"/>
      <c r="L69" s="98"/>
      <c r="M69" s="99"/>
      <c r="N69" s="100" t="s">
        <v>60</v>
      </c>
      <c r="O69" s="101" t="s">
        <v>2360</v>
      </c>
      <c r="P69" s="94"/>
      <c r="Q69" s="94"/>
      <c r="R69" s="113"/>
      <c r="S69" s="102" t="s">
        <v>383</v>
      </c>
      <c r="T69" s="102" t="s">
        <v>3463</v>
      </c>
      <c r="V69" s="104"/>
    </row>
    <row r="70" ht="15.75" customHeight="1">
      <c r="A70" s="91"/>
      <c r="B70" s="198">
        <v>22.0</v>
      </c>
      <c r="C70" s="97" t="s">
        <v>3464</v>
      </c>
      <c r="D70" s="94"/>
      <c r="E70" s="139" t="s">
        <v>3465</v>
      </c>
      <c r="F70" s="139" t="s">
        <v>3466</v>
      </c>
      <c r="G70" s="94"/>
      <c r="H70" s="93" t="s">
        <v>2841</v>
      </c>
      <c r="I70" s="102" t="s">
        <v>88</v>
      </c>
      <c r="J70" s="94"/>
      <c r="K70" s="108"/>
      <c r="L70" s="108"/>
      <c r="M70" s="99"/>
      <c r="N70" s="100" t="s">
        <v>45</v>
      </c>
      <c r="O70" s="101" t="s">
        <v>584</v>
      </c>
      <c r="P70" s="94"/>
      <c r="Q70" s="94"/>
      <c r="R70" s="113"/>
      <c r="S70" s="102" t="s">
        <v>383</v>
      </c>
      <c r="T70" s="102" t="s">
        <v>3467</v>
      </c>
      <c r="V70" s="104"/>
    </row>
    <row r="71" ht="15.75" customHeight="1">
      <c r="A71" s="91"/>
      <c r="B71" s="198">
        <v>22.0</v>
      </c>
      <c r="C71" s="97" t="s">
        <v>531</v>
      </c>
      <c r="D71" s="94"/>
      <c r="E71" s="139" t="s">
        <v>3468</v>
      </c>
      <c r="F71" s="139" t="s">
        <v>3469</v>
      </c>
      <c r="G71" s="94"/>
      <c r="H71" s="93" t="s">
        <v>2841</v>
      </c>
      <c r="I71" s="102" t="s">
        <v>232</v>
      </c>
      <c r="J71" s="94"/>
      <c r="K71" s="98">
        <v>10500.0</v>
      </c>
      <c r="L71" s="98">
        <v>3000.0</v>
      </c>
      <c r="M71" s="99"/>
      <c r="N71" s="100"/>
      <c r="O71" s="101"/>
      <c r="P71" s="94"/>
      <c r="Q71" s="109"/>
      <c r="R71" s="106"/>
      <c r="S71" s="102" t="s">
        <v>105</v>
      </c>
      <c r="T71" s="102" t="s">
        <v>3470</v>
      </c>
      <c r="V71" s="104"/>
    </row>
    <row r="72" ht="15.75" customHeight="1">
      <c r="A72" s="91"/>
      <c r="B72" s="198">
        <v>22.0</v>
      </c>
      <c r="C72" s="97" t="s">
        <v>220</v>
      </c>
      <c r="D72" s="94"/>
      <c r="E72" s="139" t="s">
        <v>3471</v>
      </c>
      <c r="F72" s="139" t="s">
        <v>3472</v>
      </c>
      <c r="G72" s="94"/>
      <c r="H72" s="93" t="s">
        <v>2841</v>
      </c>
      <c r="I72" s="102" t="s">
        <v>232</v>
      </c>
      <c r="J72" s="94"/>
      <c r="K72" s="202"/>
      <c r="L72" s="202">
        <v>500.0</v>
      </c>
      <c r="M72" s="99"/>
      <c r="N72" s="100"/>
      <c r="O72" s="101"/>
      <c r="P72" s="94"/>
      <c r="Q72" s="201"/>
      <c r="R72" s="103"/>
      <c r="S72" s="102" t="s">
        <v>404</v>
      </c>
      <c r="T72" s="102" t="s">
        <v>3470</v>
      </c>
      <c r="V72" s="104"/>
    </row>
    <row r="73" ht="15.75" customHeight="1">
      <c r="A73" s="91"/>
      <c r="B73" s="198">
        <v>23.0</v>
      </c>
      <c r="C73" s="97" t="s">
        <v>636</v>
      </c>
      <c r="D73" s="94"/>
      <c r="E73" s="139" t="s">
        <v>3473</v>
      </c>
      <c r="F73" s="139" t="s">
        <v>3474</v>
      </c>
      <c r="G73" s="94"/>
      <c r="H73" s="93" t="s">
        <v>2841</v>
      </c>
      <c r="I73" s="102" t="s">
        <v>110</v>
      </c>
      <c r="J73" s="94"/>
      <c r="K73" s="202"/>
      <c r="L73" s="202"/>
      <c r="M73" s="99"/>
      <c r="N73" s="100"/>
      <c r="O73" s="101"/>
      <c r="P73" s="94"/>
      <c r="Q73" s="201"/>
      <c r="R73" s="103"/>
      <c r="S73" s="102"/>
      <c r="T73" s="102" t="s">
        <v>3475</v>
      </c>
      <c r="V73" s="104"/>
    </row>
    <row r="74" ht="15.75" customHeight="1">
      <c r="A74" s="91"/>
      <c r="B74" s="198">
        <v>23.0</v>
      </c>
      <c r="C74" s="139" t="s">
        <v>3476</v>
      </c>
      <c r="D74" s="94"/>
      <c r="E74" s="139" t="s">
        <v>3477</v>
      </c>
      <c r="F74" s="139" t="s">
        <v>3476</v>
      </c>
      <c r="G74" s="94"/>
      <c r="H74" s="93" t="s">
        <v>2834</v>
      </c>
      <c r="I74" s="102" t="s">
        <v>103</v>
      </c>
      <c r="J74" s="94"/>
      <c r="K74" s="98">
        <v>6000.0</v>
      </c>
      <c r="L74" s="98">
        <v>6000.0</v>
      </c>
      <c r="M74" s="99"/>
      <c r="N74" s="100"/>
      <c r="O74" s="101"/>
      <c r="P74" s="94"/>
      <c r="Q74" s="102"/>
      <c r="R74" s="113"/>
      <c r="S74" s="102" t="s">
        <v>105</v>
      </c>
      <c r="T74" s="102"/>
      <c r="V74" s="104"/>
    </row>
    <row r="75" ht="15.75" customHeight="1">
      <c r="A75" s="91"/>
      <c r="B75" s="198">
        <v>23.0</v>
      </c>
      <c r="C75" s="97" t="s">
        <v>905</v>
      </c>
      <c r="D75" s="94"/>
      <c r="E75" s="139" t="s">
        <v>3478</v>
      </c>
      <c r="F75" s="139" t="s">
        <v>3479</v>
      </c>
      <c r="G75" s="94"/>
      <c r="H75" s="93" t="s">
        <v>2834</v>
      </c>
      <c r="I75" s="102" t="s">
        <v>103</v>
      </c>
      <c r="J75" s="94"/>
      <c r="K75" s="98">
        <v>6000.0</v>
      </c>
      <c r="L75" s="98">
        <v>6000.0</v>
      </c>
      <c r="M75" s="99"/>
      <c r="N75" s="100"/>
      <c r="O75" s="101"/>
      <c r="P75" s="94"/>
      <c r="Q75" s="102"/>
      <c r="R75" s="113"/>
      <c r="S75" s="102" t="s">
        <v>105</v>
      </c>
      <c r="T75" s="102"/>
      <c r="V75" s="104"/>
    </row>
    <row r="76" ht="15.75" customHeight="1">
      <c r="A76" s="91"/>
      <c r="B76" s="198">
        <v>23.0</v>
      </c>
      <c r="C76" s="121" t="s">
        <v>410</v>
      </c>
      <c r="D76" s="94"/>
      <c r="E76" s="139" t="s">
        <v>3480</v>
      </c>
      <c r="F76" s="139" t="s">
        <v>3481</v>
      </c>
      <c r="G76" s="94"/>
      <c r="H76" s="93" t="s">
        <v>2841</v>
      </c>
      <c r="I76" s="102" t="s">
        <v>131</v>
      </c>
      <c r="J76" s="94"/>
      <c r="K76" s="98"/>
      <c r="L76" s="98"/>
      <c r="M76" s="99"/>
      <c r="N76" s="100"/>
      <c r="O76" s="101"/>
      <c r="P76" s="94"/>
      <c r="Q76" s="102"/>
      <c r="R76" s="113"/>
      <c r="S76" s="102"/>
      <c r="T76" s="102"/>
      <c r="V76" s="103" t="s">
        <v>2718</v>
      </c>
    </row>
    <row r="77" ht="15.75" customHeight="1">
      <c r="A77" s="91"/>
      <c r="B77" s="198">
        <v>23.0</v>
      </c>
      <c r="C77" s="97" t="s">
        <v>559</v>
      </c>
      <c r="D77" s="94"/>
      <c r="E77" s="139" t="s">
        <v>3482</v>
      </c>
      <c r="F77" s="139" t="s">
        <v>3483</v>
      </c>
      <c r="G77" s="94"/>
      <c r="H77" s="93" t="s">
        <v>2841</v>
      </c>
      <c r="I77" s="102" t="s">
        <v>88</v>
      </c>
      <c r="J77" s="94"/>
      <c r="K77" s="98"/>
      <c r="L77" s="98"/>
      <c r="M77" s="99"/>
      <c r="N77" s="100" t="s">
        <v>98</v>
      </c>
      <c r="O77" s="101" t="s">
        <v>3484</v>
      </c>
      <c r="P77" s="94"/>
      <c r="Q77" s="102"/>
      <c r="R77" s="103"/>
      <c r="S77" s="102" t="s">
        <v>383</v>
      </c>
      <c r="T77" s="102" t="s">
        <v>3485</v>
      </c>
      <c r="V77" s="104"/>
    </row>
    <row r="78" ht="15.75" customHeight="1">
      <c r="A78" s="91"/>
      <c r="B78" s="198">
        <v>23.0</v>
      </c>
      <c r="C78" s="121" t="s">
        <v>616</v>
      </c>
      <c r="D78" s="94"/>
      <c r="E78" s="139" t="s">
        <v>3486</v>
      </c>
      <c r="F78" s="139" t="s">
        <v>3487</v>
      </c>
      <c r="G78" s="94"/>
      <c r="H78" s="93" t="s">
        <v>2841</v>
      </c>
      <c r="I78" s="102" t="s">
        <v>88</v>
      </c>
      <c r="J78" s="94"/>
      <c r="K78" s="202"/>
      <c r="L78" s="202"/>
      <c r="M78" s="99"/>
      <c r="N78" s="100" t="s">
        <v>98</v>
      </c>
      <c r="O78" s="101" t="s">
        <v>2749</v>
      </c>
      <c r="P78" s="94"/>
      <c r="Q78" s="102"/>
      <c r="R78" s="123"/>
      <c r="S78" s="102" t="s">
        <v>90</v>
      </c>
      <c r="T78" s="102" t="s">
        <v>3488</v>
      </c>
      <c r="V78" s="104"/>
    </row>
    <row r="79" ht="15.75" customHeight="1">
      <c r="A79" s="91"/>
      <c r="B79" s="198">
        <v>23.0</v>
      </c>
      <c r="C79" s="97" t="s">
        <v>514</v>
      </c>
      <c r="D79" s="94"/>
      <c r="E79" s="139" t="s">
        <v>3489</v>
      </c>
      <c r="F79" s="139" t="s">
        <v>3490</v>
      </c>
      <c r="G79" s="94"/>
      <c r="H79" s="93" t="s">
        <v>2841</v>
      </c>
      <c r="I79" s="102" t="s">
        <v>181</v>
      </c>
      <c r="J79" s="94"/>
      <c r="K79" s="98">
        <v>10500.0</v>
      </c>
      <c r="L79" s="98">
        <v>3000.0</v>
      </c>
      <c r="M79" s="99"/>
      <c r="N79" s="100"/>
      <c r="O79" s="101"/>
      <c r="P79" s="94"/>
      <c r="Q79" s="102"/>
      <c r="R79" s="103"/>
      <c r="S79" s="102" t="s">
        <v>105</v>
      </c>
      <c r="T79" s="102"/>
      <c r="V79" s="104"/>
    </row>
    <row r="80" ht="15.75" customHeight="1">
      <c r="A80" s="91"/>
      <c r="B80" s="198">
        <v>24.0</v>
      </c>
      <c r="C80" s="97" t="s">
        <v>777</v>
      </c>
      <c r="D80" s="94"/>
      <c r="E80" s="139" t="s">
        <v>3491</v>
      </c>
      <c r="F80" s="139" t="s">
        <v>3492</v>
      </c>
      <c r="G80" s="94"/>
      <c r="H80" s="93" t="s">
        <v>2834</v>
      </c>
      <c r="I80" s="102" t="s">
        <v>110</v>
      </c>
      <c r="J80" s="94"/>
      <c r="K80" s="98"/>
      <c r="L80" s="98"/>
      <c r="M80" s="99"/>
      <c r="N80" s="100"/>
      <c r="O80" s="101"/>
      <c r="P80" s="94"/>
      <c r="Q80" s="102"/>
      <c r="R80" s="103"/>
      <c r="S80" s="102"/>
      <c r="T80" s="102"/>
      <c r="V80" s="104"/>
    </row>
    <row r="81" ht="15.75" customHeight="1">
      <c r="A81" s="91"/>
      <c r="B81" s="198">
        <v>24.0</v>
      </c>
      <c r="C81" s="97" t="s">
        <v>3493</v>
      </c>
      <c r="D81" s="94"/>
      <c r="E81" s="139" t="s">
        <v>3494</v>
      </c>
      <c r="F81" s="139" t="s">
        <v>3495</v>
      </c>
      <c r="G81" s="94"/>
      <c r="H81" s="93" t="s">
        <v>2834</v>
      </c>
      <c r="I81" s="102" t="s">
        <v>181</v>
      </c>
      <c r="J81" s="94"/>
      <c r="K81" s="98">
        <v>10500.0</v>
      </c>
      <c r="L81" s="98">
        <v>3000.0</v>
      </c>
      <c r="M81" s="99"/>
      <c r="N81" s="100"/>
      <c r="O81" s="101"/>
      <c r="P81" s="94"/>
      <c r="Q81" s="102"/>
      <c r="R81" s="113"/>
      <c r="S81" s="102" t="s">
        <v>105</v>
      </c>
      <c r="T81" s="102"/>
      <c r="V81" s="104"/>
    </row>
    <row r="82" ht="15.75" customHeight="1">
      <c r="A82" s="91"/>
      <c r="B82" s="198">
        <v>24.0</v>
      </c>
      <c r="C82" s="102" t="s">
        <v>3496</v>
      </c>
      <c r="D82" s="94"/>
      <c r="E82" s="139" t="s">
        <v>3497</v>
      </c>
      <c r="F82" s="139" t="s">
        <v>3498</v>
      </c>
      <c r="G82" s="94"/>
      <c r="H82" s="93" t="s">
        <v>2834</v>
      </c>
      <c r="I82" s="102" t="s">
        <v>88</v>
      </c>
      <c r="J82" s="94"/>
      <c r="K82" s="108"/>
      <c r="L82" s="98"/>
      <c r="M82" s="99"/>
      <c r="N82" s="100" t="s">
        <v>60</v>
      </c>
      <c r="O82" s="101"/>
      <c r="P82" s="94"/>
      <c r="Q82" s="109"/>
      <c r="R82" s="103"/>
      <c r="S82" s="102" t="s">
        <v>124</v>
      </c>
      <c r="T82" s="102" t="s">
        <v>3499</v>
      </c>
      <c r="V82" s="104"/>
    </row>
    <row r="83" ht="15.75" customHeight="1">
      <c r="A83" s="91"/>
      <c r="B83" s="198">
        <v>25.0</v>
      </c>
      <c r="C83" s="121" t="s">
        <v>393</v>
      </c>
      <c r="D83" s="94"/>
      <c r="E83" s="139" t="s">
        <v>3500</v>
      </c>
      <c r="F83" s="139" t="s">
        <v>3501</v>
      </c>
      <c r="G83" s="94"/>
      <c r="H83" s="93" t="s">
        <v>2834</v>
      </c>
      <c r="I83" s="102" t="s">
        <v>110</v>
      </c>
      <c r="J83" s="94"/>
      <c r="K83" s="98"/>
      <c r="L83" s="98"/>
      <c r="M83" s="99"/>
      <c r="N83" s="100"/>
      <c r="O83" s="101"/>
      <c r="P83" s="94"/>
      <c r="R83" s="113"/>
      <c r="S83" s="102"/>
      <c r="T83" s="102"/>
      <c r="V83" s="104"/>
    </row>
    <row r="84" ht="15.75" customHeight="1">
      <c r="A84" s="91"/>
      <c r="B84" s="198">
        <v>25.0</v>
      </c>
      <c r="C84" s="121" t="s">
        <v>337</v>
      </c>
      <c r="D84" s="94"/>
      <c r="E84" s="139" t="s">
        <v>3502</v>
      </c>
      <c r="F84" s="139" t="s">
        <v>3503</v>
      </c>
      <c r="G84" s="94"/>
      <c r="H84" s="93" t="s">
        <v>2834</v>
      </c>
      <c r="I84" s="102" t="s">
        <v>110</v>
      </c>
      <c r="J84" s="94"/>
      <c r="K84" s="108"/>
      <c r="L84" s="98"/>
      <c r="M84" s="99"/>
      <c r="N84" s="100"/>
      <c r="O84" s="101"/>
      <c r="P84" s="94"/>
      <c r="Q84" s="102"/>
      <c r="R84" s="103"/>
      <c r="S84" s="102"/>
      <c r="T84" s="102"/>
      <c r="V84" s="104"/>
    </row>
    <row r="85" ht="15.75" customHeight="1">
      <c r="A85" s="91"/>
      <c r="B85" s="198">
        <v>25.0</v>
      </c>
      <c r="C85" s="121" t="s">
        <v>3504</v>
      </c>
      <c r="D85" s="94"/>
      <c r="E85" s="139" t="s">
        <v>3505</v>
      </c>
      <c r="F85" s="139" t="s">
        <v>3506</v>
      </c>
      <c r="G85" s="94"/>
      <c r="H85" s="93" t="s">
        <v>2834</v>
      </c>
      <c r="I85" s="102" t="s">
        <v>181</v>
      </c>
      <c r="J85" s="94"/>
      <c r="K85" s="98">
        <v>10500.0</v>
      </c>
      <c r="L85" s="98">
        <v>3000.0</v>
      </c>
      <c r="M85" s="99"/>
      <c r="N85" s="100"/>
      <c r="O85" s="101"/>
      <c r="P85" s="94"/>
      <c r="Q85" s="102"/>
      <c r="R85" s="113"/>
      <c r="S85" s="102" t="s">
        <v>105</v>
      </c>
      <c r="T85" s="102" t="s">
        <v>3507</v>
      </c>
      <c r="V85" s="104"/>
    </row>
    <row r="86" ht="15.75" customHeight="1">
      <c r="A86" s="91"/>
      <c r="B86" s="198">
        <v>26.0</v>
      </c>
      <c r="C86" s="121" t="s">
        <v>360</v>
      </c>
      <c r="D86" s="94"/>
      <c r="E86" s="139" t="s">
        <v>3508</v>
      </c>
      <c r="F86" s="139" t="s">
        <v>3509</v>
      </c>
      <c r="G86" s="94"/>
      <c r="H86" s="93" t="s">
        <v>2834</v>
      </c>
      <c r="I86" s="102" t="s">
        <v>88</v>
      </c>
      <c r="J86" s="94"/>
      <c r="K86" s="98"/>
      <c r="L86" s="98"/>
      <c r="M86" s="99"/>
      <c r="N86" s="100" t="s">
        <v>98</v>
      </c>
      <c r="O86" s="101" t="s">
        <v>647</v>
      </c>
      <c r="P86" s="94"/>
      <c r="Q86" s="102"/>
      <c r="R86" s="113"/>
      <c r="S86" s="102" t="s">
        <v>383</v>
      </c>
      <c r="T86" s="102" t="s">
        <v>3510</v>
      </c>
      <c r="V86" s="104"/>
    </row>
    <row r="87" ht="15.75" customHeight="1">
      <c r="A87" s="91"/>
      <c r="B87" s="198">
        <v>26.0</v>
      </c>
      <c r="C87" s="121" t="s">
        <v>877</v>
      </c>
      <c r="D87" s="94"/>
      <c r="E87" s="139" t="s">
        <v>3511</v>
      </c>
      <c r="F87" s="139" t="s">
        <v>3512</v>
      </c>
      <c r="G87" s="94"/>
      <c r="H87" s="93" t="s">
        <v>2834</v>
      </c>
      <c r="I87" s="102" t="s">
        <v>131</v>
      </c>
      <c r="J87" s="94"/>
      <c r="K87" s="98"/>
      <c r="L87" s="98"/>
      <c r="M87" s="99"/>
      <c r="N87" s="100"/>
      <c r="O87" s="101"/>
      <c r="P87" s="94"/>
      <c r="Q87" s="94"/>
      <c r="R87" s="113"/>
      <c r="S87" s="102"/>
      <c r="T87" s="102"/>
      <c r="V87" s="104"/>
    </row>
    <row r="88" ht="15.75" customHeight="1">
      <c r="A88" s="91"/>
      <c r="B88" s="198">
        <v>26.0</v>
      </c>
      <c r="C88" s="121" t="s">
        <v>3513</v>
      </c>
      <c r="D88" s="94"/>
      <c r="E88" s="139" t="s">
        <v>3514</v>
      </c>
      <c r="F88" s="139" t="s">
        <v>3515</v>
      </c>
      <c r="G88" s="94"/>
      <c r="H88" s="93" t="s">
        <v>2834</v>
      </c>
      <c r="I88" s="102" t="s">
        <v>88</v>
      </c>
      <c r="J88" s="94"/>
      <c r="K88" s="98"/>
      <c r="L88" s="98"/>
      <c r="M88" s="99"/>
      <c r="N88" s="100" t="s">
        <v>45</v>
      </c>
      <c r="O88" s="101" t="s">
        <v>584</v>
      </c>
      <c r="P88" s="94"/>
      <c r="Q88" s="102"/>
      <c r="R88" s="106"/>
      <c r="S88" s="102" t="s">
        <v>124</v>
      </c>
      <c r="T88" s="102" t="s">
        <v>3516</v>
      </c>
      <c r="V88" s="104"/>
    </row>
    <row r="89" ht="15.75" customHeight="1">
      <c r="A89" s="91"/>
      <c r="B89" s="198">
        <v>26.0</v>
      </c>
      <c r="C89" s="121" t="s">
        <v>126</v>
      </c>
      <c r="D89" s="94"/>
      <c r="E89" s="139" t="s">
        <v>3517</v>
      </c>
      <c r="F89" s="139" t="s">
        <v>3518</v>
      </c>
      <c r="G89" s="94"/>
      <c r="H89" s="93" t="s">
        <v>2834</v>
      </c>
      <c r="I89" s="102" t="s">
        <v>103</v>
      </c>
      <c r="J89" s="94"/>
      <c r="K89" s="98">
        <v>7500.0</v>
      </c>
      <c r="L89" s="98">
        <v>7500.0</v>
      </c>
      <c r="M89" s="99"/>
      <c r="N89" s="100"/>
      <c r="O89" s="101"/>
      <c r="P89" s="94"/>
      <c r="Q89" s="102"/>
      <c r="R89" s="106"/>
      <c r="S89" s="102" t="s">
        <v>105</v>
      </c>
      <c r="T89" s="102"/>
      <c r="V89" s="104"/>
    </row>
    <row r="90" ht="15.75" customHeight="1">
      <c r="A90" s="91"/>
      <c r="B90" s="198">
        <v>26.0</v>
      </c>
      <c r="C90" s="121" t="s">
        <v>850</v>
      </c>
      <c r="D90" s="94"/>
      <c r="E90" s="139" t="s">
        <v>3519</v>
      </c>
      <c r="F90" s="139" t="s">
        <v>3520</v>
      </c>
      <c r="G90" s="94"/>
      <c r="H90" s="93" t="s">
        <v>2841</v>
      </c>
      <c r="I90" s="102" t="s">
        <v>88</v>
      </c>
      <c r="J90" s="94"/>
      <c r="K90" s="98"/>
      <c r="L90" s="98"/>
      <c r="M90" s="99"/>
      <c r="N90" s="100" t="s">
        <v>45</v>
      </c>
      <c r="O90" s="101" t="s">
        <v>584</v>
      </c>
      <c r="P90" s="94"/>
      <c r="Q90" s="102"/>
      <c r="R90" s="113"/>
      <c r="S90" s="240" t="s">
        <v>124</v>
      </c>
      <c r="T90" s="102" t="s">
        <v>3521</v>
      </c>
      <c r="V90" s="104"/>
    </row>
    <row r="91" ht="15.75" customHeight="1">
      <c r="A91" s="91"/>
      <c r="B91" s="198">
        <v>27.0</v>
      </c>
      <c r="C91" s="102" t="s">
        <v>310</v>
      </c>
      <c r="D91" s="94"/>
      <c r="E91" s="139" t="s">
        <v>3522</v>
      </c>
      <c r="F91" s="139" t="s">
        <v>3523</v>
      </c>
      <c r="G91" s="94"/>
      <c r="H91" s="93" t="s">
        <v>2841</v>
      </c>
      <c r="I91" s="102" t="s">
        <v>88</v>
      </c>
      <c r="J91" s="94"/>
      <c r="K91" s="98"/>
      <c r="L91" s="98"/>
      <c r="M91" s="99"/>
      <c r="N91" s="100" t="s">
        <v>98</v>
      </c>
      <c r="O91" s="101" t="s">
        <v>3524</v>
      </c>
      <c r="P91" s="94"/>
      <c r="Q91" s="102"/>
      <c r="R91" s="103"/>
      <c r="S91" s="102" t="s">
        <v>170</v>
      </c>
      <c r="T91" s="102" t="s">
        <v>3525</v>
      </c>
      <c r="V91" s="104"/>
    </row>
    <row r="92" ht="15.75" customHeight="1">
      <c r="A92" s="91"/>
      <c r="B92" s="198">
        <v>27.0</v>
      </c>
      <c r="C92" s="103" t="s">
        <v>3460</v>
      </c>
      <c r="D92" s="94"/>
      <c r="E92" s="139" t="s">
        <v>3526</v>
      </c>
      <c r="F92" s="139" t="s">
        <v>3527</v>
      </c>
      <c r="G92" s="94"/>
      <c r="H92" s="93" t="s">
        <v>2834</v>
      </c>
      <c r="I92" s="102" t="s">
        <v>88</v>
      </c>
      <c r="J92" s="94"/>
      <c r="K92" s="202"/>
      <c r="L92" s="202"/>
      <c r="M92" s="99"/>
      <c r="N92" s="100" t="s">
        <v>98</v>
      </c>
      <c r="O92" s="101"/>
      <c r="P92" s="94"/>
      <c r="Q92" s="117"/>
      <c r="R92" s="113"/>
      <c r="S92" s="102" t="s">
        <v>124</v>
      </c>
      <c r="T92" s="241" t="s">
        <v>3528</v>
      </c>
      <c r="V92" s="104"/>
    </row>
    <row r="93" ht="15.75" customHeight="1">
      <c r="A93" s="91"/>
      <c r="B93" s="198">
        <v>27.0</v>
      </c>
      <c r="C93" s="93" t="s">
        <v>1210</v>
      </c>
      <c r="D93" s="94"/>
      <c r="E93" s="139" t="s">
        <v>3529</v>
      </c>
      <c r="F93" s="139" t="s">
        <v>3530</v>
      </c>
      <c r="G93" s="94"/>
      <c r="H93" s="93" t="s">
        <v>2834</v>
      </c>
      <c r="I93" s="102" t="s">
        <v>232</v>
      </c>
      <c r="J93" s="94"/>
      <c r="K93" s="202"/>
      <c r="L93" s="202">
        <v>100.0</v>
      </c>
      <c r="M93" s="99"/>
      <c r="N93" s="111"/>
      <c r="O93" s="112"/>
      <c r="P93" s="94"/>
      <c r="Q93" s="102"/>
      <c r="R93" s="103"/>
      <c r="S93" s="102" t="s">
        <v>404</v>
      </c>
      <c r="T93" s="102" t="s">
        <v>3531</v>
      </c>
      <c r="V93" s="104"/>
    </row>
    <row r="94" ht="15.75" customHeight="1">
      <c r="A94" s="91"/>
      <c r="B94" s="198">
        <v>27.0</v>
      </c>
      <c r="C94" s="93" t="s">
        <v>1412</v>
      </c>
      <c r="D94" s="94"/>
      <c r="E94" s="139" t="s">
        <v>3532</v>
      </c>
      <c r="F94" s="139" t="s">
        <v>3533</v>
      </c>
      <c r="G94" s="94"/>
      <c r="H94" s="93" t="s">
        <v>2841</v>
      </c>
      <c r="I94" s="102" t="s">
        <v>88</v>
      </c>
      <c r="J94" s="94"/>
      <c r="K94" s="202"/>
      <c r="L94" s="202"/>
      <c r="M94" s="99"/>
      <c r="N94" s="100" t="s">
        <v>60</v>
      </c>
      <c r="O94" s="101" t="s">
        <v>1950</v>
      </c>
      <c r="P94" s="94"/>
      <c r="Q94" s="102"/>
      <c r="R94" s="113"/>
      <c r="S94" s="102" t="s">
        <v>124</v>
      </c>
      <c r="T94" s="102" t="s">
        <v>3534</v>
      </c>
      <c r="V94" s="104"/>
    </row>
    <row r="95" ht="15.75" customHeight="1">
      <c r="A95" s="91"/>
      <c r="B95" s="198">
        <v>27.0</v>
      </c>
      <c r="C95" s="93" t="s">
        <v>3535</v>
      </c>
      <c r="D95" s="94"/>
      <c r="E95" s="139" t="s">
        <v>3536</v>
      </c>
      <c r="F95" s="139" t="s">
        <v>3537</v>
      </c>
      <c r="G95" s="94"/>
      <c r="H95" s="93" t="s">
        <v>2841</v>
      </c>
      <c r="I95" s="102" t="s">
        <v>591</v>
      </c>
      <c r="J95" s="94"/>
      <c r="K95" s="98"/>
      <c r="L95" s="98"/>
      <c r="M95" s="99"/>
      <c r="N95" s="100"/>
      <c r="O95" s="101"/>
      <c r="P95" s="94"/>
      <c r="Q95" s="102"/>
      <c r="R95" s="103"/>
      <c r="S95" s="102"/>
      <c r="T95" s="102" t="s">
        <v>3538</v>
      </c>
      <c r="V95" s="104"/>
    </row>
    <row r="96" ht="15.75" customHeight="1">
      <c r="A96" s="91"/>
      <c r="B96" s="198">
        <v>28.0</v>
      </c>
      <c r="C96" s="93" t="s">
        <v>360</v>
      </c>
      <c r="D96" s="94"/>
      <c r="E96" s="139" t="s">
        <v>3539</v>
      </c>
      <c r="F96" s="139" t="s">
        <v>3540</v>
      </c>
      <c r="G96" s="94"/>
      <c r="H96" s="93" t="s">
        <v>2834</v>
      </c>
      <c r="I96" s="102"/>
      <c r="J96" s="94"/>
      <c r="K96" s="98">
        <v>10500.0</v>
      </c>
      <c r="L96" s="98">
        <v>3000.0</v>
      </c>
      <c r="M96" s="99"/>
      <c r="N96" s="100"/>
      <c r="O96" s="101"/>
      <c r="P96" s="94"/>
      <c r="Q96" s="102"/>
      <c r="R96" s="103"/>
      <c r="S96" s="102" t="s">
        <v>105</v>
      </c>
      <c r="T96" s="102"/>
      <c r="V96" s="104"/>
    </row>
    <row r="97" ht="15.75" customHeight="1">
      <c r="A97" s="91"/>
      <c r="B97" s="198">
        <v>28.0</v>
      </c>
      <c r="C97" s="93" t="s">
        <v>1635</v>
      </c>
      <c r="D97" s="94"/>
      <c r="E97" s="139" t="s">
        <v>3541</v>
      </c>
      <c r="F97" s="139" t="s">
        <v>3542</v>
      </c>
      <c r="G97" s="94"/>
      <c r="H97" s="93" t="s">
        <v>2834</v>
      </c>
      <c r="I97" s="102" t="s">
        <v>88</v>
      </c>
      <c r="J97" s="94"/>
      <c r="K97" s="202"/>
      <c r="L97" s="202"/>
      <c r="M97" s="99"/>
      <c r="N97" s="100" t="s">
        <v>60</v>
      </c>
      <c r="O97" s="101"/>
      <c r="P97" s="94"/>
      <c r="Q97" s="102"/>
      <c r="R97" s="103"/>
      <c r="S97" s="102" t="s">
        <v>124</v>
      </c>
      <c r="T97" s="102" t="s">
        <v>3543</v>
      </c>
      <c r="V97" s="104"/>
    </row>
    <row r="98" ht="15.75" customHeight="1">
      <c r="A98" s="91"/>
      <c r="B98" s="198">
        <v>28.0</v>
      </c>
      <c r="C98" s="103" t="s">
        <v>1658</v>
      </c>
      <c r="D98" s="94"/>
      <c r="E98" s="139" t="s">
        <v>3544</v>
      </c>
      <c r="F98" s="139" t="s">
        <v>3545</v>
      </c>
      <c r="G98" s="94"/>
      <c r="H98" s="93" t="s">
        <v>2841</v>
      </c>
      <c r="I98" s="102" t="s">
        <v>110</v>
      </c>
      <c r="J98" s="94"/>
      <c r="K98" s="108"/>
      <c r="L98" s="108"/>
      <c r="M98" s="99"/>
      <c r="N98" s="100"/>
      <c r="O98" s="101"/>
      <c r="P98" s="94"/>
      <c r="Q98" s="109"/>
      <c r="R98" s="103"/>
      <c r="S98" s="102"/>
      <c r="T98" s="102" t="s">
        <v>208</v>
      </c>
      <c r="V98" s="104"/>
    </row>
    <row r="99" ht="15.75" customHeight="1">
      <c r="A99" s="91"/>
      <c r="B99" s="198">
        <v>28.0</v>
      </c>
      <c r="C99" s="103" t="s">
        <v>3546</v>
      </c>
      <c r="D99" s="94"/>
      <c r="E99" s="139" t="s">
        <v>3547</v>
      </c>
      <c r="F99" s="139" t="s">
        <v>3548</v>
      </c>
      <c r="G99" s="94"/>
      <c r="H99" s="93" t="s">
        <v>2841</v>
      </c>
      <c r="I99" s="102" t="s">
        <v>110</v>
      </c>
      <c r="J99" s="94"/>
      <c r="K99" s="98"/>
      <c r="L99" s="98"/>
      <c r="M99" s="99"/>
      <c r="N99" s="100"/>
      <c r="O99" s="101"/>
      <c r="P99" s="94"/>
      <c r="Q99" s="102"/>
      <c r="R99" s="113"/>
      <c r="S99" s="102"/>
      <c r="T99" s="102" t="s">
        <v>3549</v>
      </c>
      <c r="V99" s="104"/>
    </row>
    <row r="100" ht="15.75" customHeight="1">
      <c r="A100" s="91"/>
      <c r="B100" s="198"/>
      <c r="C100" s="93"/>
      <c r="D100" s="94"/>
      <c r="E100" s="139"/>
      <c r="F100" s="139"/>
      <c r="G100" s="94"/>
      <c r="H100" s="93"/>
      <c r="I100" s="102"/>
      <c r="J100" s="94"/>
      <c r="K100" s="98"/>
      <c r="L100" s="98"/>
      <c r="M100" s="99"/>
      <c r="N100" s="100"/>
      <c r="O100" s="101"/>
      <c r="P100" s="94"/>
      <c r="Q100" s="102"/>
      <c r="R100" s="103"/>
      <c r="S100" s="102"/>
      <c r="T100" s="102"/>
      <c r="V100" s="104"/>
    </row>
    <row r="101" ht="15.75" customHeight="1">
      <c r="A101" s="91"/>
      <c r="B101" s="93"/>
      <c r="C101" s="93"/>
      <c r="D101" s="94"/>
      <c r="E101" s="139"/>
      <c r="F101" s="139"/>
      <c r="G101" s="94"/>
      <c r="H101" s="93"/>
      <c r="I101" s="102"/>
      <c r="J101" s="94"/>
      <c r="K101" s="202"/>
      <c r="L101" s="202"/>
      <c r="M101" s="99"/>
      <c r="N101" s="100"/>
      <c r="O101" s="101"/>
      <c r="P101" s="94"/>
      <c r="Q101" s="102"/>
      <c r="R101" s="113"/>
      <c r="S101" s="102"/>
      <c r="T101" s="102"/>
      <c r="V101" s="104"/>
    </row>
    <row r="102" ht="15.75" customHeight="1">
      <c r="A102" s="91"/>
      <c r="B102" s="93"/>
      <c r="C102" s="93"/>
      <c r="D102" s="94"/>
      <c r="E102" s="139"/>
      <c r="F102" s="139"/>
      <c r="G102" s="94"/>
      <c r="H102" s="93"/>
      <c r="I102" s="102"/>
      <c r="J102" s="94"/>
      <c r="K102" s="98"/>
      <c r="L102" s="98"/>
      <c r="M102" s="99"/>
      <c r="N102" s="100"/>
      <c r="O102" s="101"/>
      <c r="P102" s="94"/>
      <c r="Q102" s="102"/>
      <c r="R102" s="103"/>
      <c r="S102" s="102"/>
      <c r="T102" s="102"/>
      <c r="V102" s="104"/>
    </row>
    <row r="103" ht="15.75" customHeight="1">
      <c r="A103" s="91"/>
      <c r="B103" s="93"/>
      <c r="C103" s="93"/>
      <c r="D103" s="94"/>
      <c r="E103" s="139"/>
      <c r="F103" s="139"/>
      <c r="G103" s="94"/>
      <c r="H103" s="93"/>
      <c r="I103" s="102"/>
      <c r="J103" s="94"/>
      <c r="K103" s="202"/>
      <c r="L103" s="202"/>
      <c r="M103" s="99"/>
      <c r="N103" s="100"/>
      <c r="O103" s="101"/>
      <c r="P103" s="94"/>
      <c r="Q103" s="102"/>
      <c r="R103" s="113"/>
      <c r="S103" s="102"/>
      <c r="T103" s="102"/>
      <c r="V103" s="104"/>
    </row>
    <row r="104" ht="15.75" customHeight="1">
      <c r="A104" s="91"/>
      <c r="B104" s="93"/>
      <c r="C104" s="93"/>
      <c r="D104" s="94"/>
      <c r="E104" s="139"/>
      <c r="F104" s="139"/>
      <c r="G104" s="94"/>
      <c r="H104" s="93"/>
      <c r="I104" s="102"/>
      <c r="J104" s="94"/>
      <c r="K104" s="98"/>
      <c r="L104" s="98"/>
      <c r="M104" s="99"/>
      <c r="N104" s="100"/>
      <c r="O104" s="101"/>
      <c r="P104" s="94"/>
      <c r="Q104" s="102"/>
      <c r="R104" s="103"/>
      <c r="S104" s="102"/>
      <c r="T104" s="102"/>
      <c r="V104" s="104"/>
    </row>
    <row r="105" ht="15.75" customHeight="1">
      <c r="A105" s="91"/>
      <c r="B105" s="93"/>
      <c r="C105" s="103"/>
      <c r="D105" s="94"/>
      <c r="E105" s="139"/>
      <c r="F105" s="139"/>
      <c r="G105" s="94"/>
      <c r="H105" s="93"/>
      <c r="I105" s="102"/>
      <c r="J105" s="94"/>
      <c r="K105" s="98"/>
      <c r="L105" s="98"/>
      <c r="M105" s="99"/>
      <c r="N105" s="100"/>
      <c r="O105" s="101"/>
      <c r="P105" s="94"/>
      <c r="Q105" s="109"/>
      <c r="R105" s="127"/>
      <c r="S105" s="102"/>
      <c r="T105" s="102"/>
      <c r="V105" s="104"/>
    </row>
    <row r="106" ht="15.75" customHeight="1">
      <c r="A106" s="91"/>
      <c r="B106" s="93"/>
      <c r="C106" s="103"/>
      <c r="D106" s="94"/>
      <c r="E106" s="139"/>
      <c r="F106" s="139"/>
      <c r="G106" s="94"/>
      <c r="H106" s="93"/>
      <c r="I106" s="102"/>
      <c r="J106" s="94"/>
      <c r="K106" s="202"/>
      <c r="L106" s="202"/>
      <c r="M106" s="99"/>
      <c r="N106" s="100"/>
      <c r="O106" s="101"/>
      <c r="P106" s="94"/>
      <c r="Q106" s="102"/>
      <c r="R106" s="103"/>
      <c r="S106" s="102"/>
      <c r="T106" s="102"/>
      <c r="V106" s="104"/>
    </row>
    <row r="107" ht="15.75" customHeight="1">
      <c r="A107" s="91"/>
      <c r="B107" s="93"/>
      <c r="C107" s="93"/>
      <c r="D107" s="94"/>
      <c r="E107" s="139"/>
      <c r="F107" s="139"/>
      <c r="G107" s="94"/>
      <c r="H107" s="93"/>
      <c r="I107" s="102"/>
      <c r="J107" s="94"/>
      <c r="K107" s="202"/>
      <c r="L107" s="202"/>
      <c r="M107" s="99"/>
      <c r="N107" s="100"/>
      <c r="O107" s="112"/>
      <c r="P107" s="94"/>
      <c r="Q107" s="102"/>
      <c r="R107" s="113"/>
      <c r="S107" s="102"/>
      <c r="T107" s="102"/>
      <c r="V107" s="104"/>
    </row>
    <row r="108" ht="15.75" customHeight="1">
      <c r="A108" s="91"/>
      <c r="B108" s="93"/>
      <c r="C108" s="93"/>
      <c r="D108" s="94"/>
      <c r="E108" s="139"/>
      <c r="F108" s="139"/>
      <c r="G108" s="94"/>
      <c r="H108" s="93"/>
      <c r="I108" s="102"/>
      <c r="J108" s="94"/>
      <c r="K108" s="98"/>
      <c r="L108" s="98"/>
      <c r="M108" s="99"/>
      <c r="N108" s="100"/>
      <c r="O108" s="101"/>
      <c r="P108" s="94"/>
      <c r="Q108" s="102"/>
      <c r="R108" s="113"/>
      <c r="S108" s="102"/>
      <c r="T108" s="102"/>
      <c r="V108" s="104"/>
    </row>
    <row r="109" ht="15.75" customHeight="1">
      <c r="A109" s="91"/>
      <c r="B109" s="93"/>
      <c r="C109" s="128"/>
      <c r="D109" s="94"/>
      <c r="E109" s="139"/>
      <c r="F109" s="139"/>
      <c r="G109" s="94"/>
      <c r="H109" s="93"/>
      <c r="I109" s="102"/>
      <c r="J109" s="94"/>
      <c r="K109" s="98"/>
      <c r="L109" s="98"/>
      <c r="M109" s="99"/>
      <c r="N109" s="100"/>
      <c r="O109" s="112"/>
      <c r="P109" s="94"/>
      <c r="Q109" s="120"/>
      <c r="R109" s="113"/>
      <c r="S109" s="102"/>
      <c r="T109" s="102"/>
      <c r="V109" s="104"/>
    </row>
    <row r="110" ht="15.75" customHeight="1">
      <c r="A110" s="91"/>
      <c r="B110" s="93"/>
      <c r="C110" s="97"/>
      <c r="D110" s="94"/>
      <c r="E110" s="139"/>
      <c r="F110" s="139"/>
      <c r="G110" s="94"/>
      <c r="H110" s="93"/>
      <c r="I110" s="102"/>
      <c r="J110" s="94"/>
      <c r="K110" s="98"/>
      <c r="L110" s="98"/>
      <c r="M110" s="99"/>
      <c r="N110" s="111"/>
      <c r="O110" s="101"/>
      <c r="P110" s="94"/>
      <c r="Q110" s="102"/>
      <c r="R110" s="106"/>
      <c r="S110" s="102"/>
      <c r="T110" s="102"/>
      <c r="V110" s="104"/>
    </row>
    <row r="111" ht="15.75" customHeight="1">
      <c r="A111" s="91"/>
      <c r="B111" s="93"/>
      <c r="C111" s="93"/>
      <c r="D111" s="94"/>
      <c r="E111" s="139"/>
      <c r="F111" s="139"/>
      <c r="G111" s="94"/>
      <c r="H111" s="93"/>
      <c r="I111" s="102"/>
      <c r="J111" s="94"/>
      <c r="K111" s="98"/>
      <c r="L111" s="98"/>
      <c r="M111" s="99"/>
      <c r="N111" s="111"/>
      <c r="O111" s="101"/>
      <c r="P111" s="94"/>
      <c r="Q111" s="120"/>
      <c r="R111" s="103"/>
      <c r="S111" s="102"/>
      <c r="T111" s="102"/>
      <c r="V111" s="104"/>
    </row>
    <row r="112" ht="15.75" customHeight="1">
      <c r="A112" s="91"/>
      <c r="B112" s="93"/>
      <c r="C112" s="93"/>
      <c r="D112" s="94"/>
      <c r="E112" s="139"/>
      <c r="F112" s="139"/>
      <c r="G112" s="94"/>
      <c r="H112" s="93"/>
      <c r="I112" s="102"/>
      <c r="N112" s="100"/>
      <c r="O112" s="101"/>
      <c r="P112" s="94"/>
      <c r="Q112" s="109"/>
      <c r="R112" s="103"/>
      <c r="S112" s="102"/>
      <c r="T112" s="102"/>
      <c r="V112" s="104"/>
    </row>
    <row r="113" ht="15.75" customHeight="1">
      <c r="A113" s="91"/>
      <c r="B113" s="93"/>
      <c r="C113" s="93"/>
      <c r="D113" s="94"/>
      <c r="E113" s="139"/>
      <c r="F113" s="139"/>
      <c r="G113" s="94"/>
      <c r="H113" s="93"/>
      <c r="I113" s="102"/>
      <c r="J113" s="94"/>
      <c r="K113" s="275"/>
      <c r="L113" s="98"/>
      <c r="M113" s="99"/>
      <c r="N113" s="111"/>
      <c r="O113" s="112"/>
      <c r="P113" s="94"/>
      <c r="Q113" s="102"/>
      <c r="R113" s="113"/>
      <c r="S113" s="102"/>
      <c r="T113" s="102"/>
      <c r="V113" s="104"/>
    </row>
    <row r="114" ht="15.75" customHeight="1">
      <c r="A114" s="91"/>
      <c r="B114" s="93"/>
      <c r="C114" s="96"/>
      <c r="D114" s="94"/>
      <c r="E114" s="139"/>
      <c r="F114" s="139"/>
      <c r="G114" s="94"/>
      <c r="H114" s="93"/>
      <c r="I114" s="102"/>
      <c r="J114" s="94"/>
      <c r="K114" s="108"/>
      <c r="L114" s="108"/>
      <c r="M114" s="99"/>
      <c r="N114" s="100"/>
      <c r="O114" s="101"/>
      <c r="P114" s="94"/>
      <c r="Q114" s="102"/>
      <c r="R114" s="103"/>
      <c r="S114" s="102"/>
      <c r="T114" s="102"/>
      <c r="V114" s="104"/>
    </row>
    <row r="115" ht="15.75" customHeight="1">
      <c r="A115" s="91"/>
      <c r="B115" s="93"/>
      <c r="C115" s="110"/>
      <c r="D115" s="94"/>
      <c r="E115" s="139"/>
      <c r="F115" s="139"/>
      <c r="G115" s="94"/>
      <c r="H115" s="93"/>
      <c r="I115" s="102"/>
      <c r="J115" s="94"/>
      <c r="K115" s="98"/>
      <c r="L115" s="98"/>
      <c r="M115" s="99"/>
      <c r="N115" s="111"/>
      <c r="O115" s="112"/>
      <c r="P115" s="94"/>
      <c r="Q115" s="102"/>
      <c r="R115" s="113"/>
      <c r="S115" s="102"/>
      <c r="T115" s="102"/>
      <c r="V115" s="104"/>
    </row>
    <row r="116" ht="15.75" customHeight="1">
      <c r="A116" s="91"/>
      <c r="B116" s="93"/>
      <c r="C116" s="96"/>
      <c r="D116" s="94"/>
      <c r="E116" s="139"/>
      <c r="F116" s="139"/>
      <c r="G116" s="94"/>
      <c r="H116" s="93"/>
      <c r="I116" s="102"/>
      <c r="J116" s="94"/>
      <c r="K116" s="126"/>
      <c r="L116" s="126"/>
      <c r="M116" s="99"/>
      <c r="N116" s="100"/>
      <c r="O116" s="101"/>
      <c r="P116" s="94"/>
      <c r="Q116" s="117"/>
      <c r="R116" s="103"/>
      <c r="S116" s="102"/>
      <c r="T116" s="102"/>
      <c r="V116" s="104"/>
    </row>
    <row r="117" ht="15.75" customHeight="1">
      <c r="A117" s="91"/>
      <c r="B117" s="93"/>
      <c r="C117" s="110"/>
      <c r="D117" s="94"/>
      <c r="E117" s="139"/>
      <c r="F117" s="139"/>
      <c r="G117" s="94"/>
      <c r="H117" s="93"/>
      <c r="I117" s="102"/>
      <c r="J117" s="94"/>
      <c r="K117" s="125"/>
      <c r="L117" s="125"/>
      <c r="M117" s="99"/>
      <c r="N117" s="100"/>
      <c r="O117" s="101"/>
      <c r="P117" s="94"/>
      <c r="Q117" s="120"/>
      <c r="R117" s="113"/>
      <c r="S117" s="102"/>
      <c r="T117" s="102"/>
      <c r="V117" s="104"/>
    </row>
    <row r="118" ht="15.75" customHeight="1">
      <c r="A118" s="91"/>
      <c r="B118" s="93"/>
      <c r="C118" s="93"/>
      <c r="D118" s="94"/>
      <c r="E118" s="139"/>
      <c r="F118" s="139"/>
      <c r="G118" s="94"/>
      <c r="H118" s="93"/>
      <c r="I118" s="102"/>
      <c r="J118" s="94"/>
      <c r="K118" s="202"/>
      <c r="L118" s="202"/>
      <c r="M118" s="99"/>
      <c r="N118" s="111"/>
      <c r="O118" s="112"/>
      <c r="P118" s="94"/>
      <c r="Q118" s="102"/>
      <c r="R118" s="113"/>
      <c r="S118" s="102"/>
      <c r="T118" s="94"/>
      <c r="V118" s="104"/>
    </row>
    <row r="119" ht="15.75" customHeight="1">
      <c r="A119" s="91"/>
      <c r="B119" s="93"/>
      <c r="C119" s="93"/>
      <c r="D119" s="94"/>
      <c r="E119" s="139"/>
      <c r="F119" s="139"/>
      <c r="G119" s="94"/>
      <c r="H119" s="93"/>
      <c r="I119" s="102"/>
      <c r="J119" s="94"/>
      <c r="K119" s="125"/>
      <c r="L119" s="125"/>
      <c r="M119" s="99"/>
      <c r="N119" s="100"/>
      <c r="O119" s="101"/>
      <c r="P119" s="94"/>
      <c r="Q119" s="109"/>
      <c r="R119" s="103"/>
      <c r="S119" s="102"/>
      <c r="T119" s="102"/>
      <c r="V119" s="104"/>
    </row>
    <row r="120" ht="15.75" customHeight="1">
      <c r="A120" s="91"/>
      <c r="B120" s="93"/>
      <c r="C120" s="93"/>
      <c r="D120" s="94"/>
      <c r="E120" s="139"/>
      <c r="F120" s="139"/>
      <c r="G120" s="94"/>
      <c r="H120" s="93"/>
      <c r="I120" s="102"/>
      <c r="J120" s="94"/>
      <c r="K120" s="98"/>
      <c r="L120" s="98"/>
      <c r="M120" s="99"/>
      <c r="N120" s="111"/>
      <c r="O120" s="112"/>
      <c r="P120" s="94"/>
      <c r="Q120" s="102"/>
      <c r="R120" s="113"/>
      <c r="S120" s="102"/>
      <c r="T120" s="94"/>
      <c r="V120" s="104"/>
    </row>
    <row r="121" ht="15.75" customHeight="1">
      <c r="A121" s="91"/>
      <c r="B121" s="93"/>
      <c r="C121" s="93"/>
      <c r="D121" s="94"/>
      <c r="E121" s="139"/>
      <c r="F121" s="139"/>
      <c r="G121" s="94"/>
      <c r="H121" s="93"/>
      <c r="I121" s="102"/>
      <c r="J121" s="94"/>
      <c r="L121" s="125"/>
      <c r="M121" s="99"/>
      <c r="N121" s="100"/>
      <c r="O121" s="112"/>
      <c r="P121" s="94"/>
      <c r="Q121" s="120"/>
      <c r="R121" s="113"/>
      <c r="S121" s="102"/>
      <c r="T121" s="102"/>
      <c r="V121" s="104"/>
    </row>
    <row r="122" ht="15.75" customHeight="1">
      <c r="A122" s="91"/>
      <c r="B122" s="93"/>
      <c r="C122" s="103"/>
      <c r="D122" s="94"/>
      <c r="E122" s="139"/>
      <c r="F122" s="139"/>
      <c r="G122" s="94"/>
      <c r="H122" s="93"/>
      <c r="I122" s="102"/>
      <c r="J122" s="94"/>
      <c r="L122" s="126"/>
      <c r="M122" s="99"/>
      <c r="N122" s="100"/>
      <c r="O122" s="101"/>
      <c r="P122" s="94"/>
      <c r="Q122" s="117"/>
      <c r="R122" s="103"/>
      <c r="S122" s="102"/>
      <c r="T122" s="102"/>
      <c r="V122" s="104"/>
    </row>
    <row r="123" ht="15.75" customHeight="1">
      <c r="A123" s="91"/>
      <c r="B123" s="93"/>
      <c r="C123" s="103"/>
      <c r="D123" s="94"/>
      <c r="E123" s="139"/>
      <c r="F123" s="139"/>
      <c r="G123" s="94"/>
      <c r="H123" s="93"/>
      <c r="I123" s="102"/>
      <c r="J123" s="94"/>
      <c r="K123" s="98"/>
      <c r="L123" s="98"/>
      <c r="M123" s="99"/>
      <c r="N123" s="111"/>
      <c r="O123" s="112"/>
      <c r="P123" s="94"/>
      <c r="Q123" s="102"/>
      <c r="R123" s="103"/>
      <c r="S123" s="102"/>
      <c r="T123" s="102"/>
      <c r="V123" s="104"/>
    </row>
    <row r="124" ht="15.75" customHeight="1">
      <c r="A124" s="91"/>
      <c r="B124" s="93"/>
      <c r="C124" s="93"/>
      <c r="D124" s="94"/>
      <c r="E124" s="139"/>
      <c r="F124" s="139"/>
      <c r="G124" s="94"/>
      <c r="H124" s="93"/>
      <c r="I124" s="102"/>
      <c r="J124" s="94"/>
      <c r="K124" s="126"/>
      <c r="L124" s="126"/>
      <c r="M124" s="99"/>
      <c r="N124" s="100"/>
      <c r="O124" s="112"/>
      <c r="P124" s="94"/>
      <c r="Q124" s="120"/>
      <c r="R124" s="113"/>
      <c r="S124" s="102"/>
      <c r="T124" s="102"/>
      <c r="V124" s="104"/>
    </row>
    <row r="125" ht="15.75" customHeight="1">
      <c r="A125" s="91"/>
      <c r="B125" s="93"/>
      <c r="C125" s="93"/>
      <c r="D125" s="94"/>
      <c r="E125" s="139"/>
      <c r="F125" s="139"/>
      <c r="G125" s="94"/>
      <c r="H125" s="93"/>
      <c r="I125" s="102"/>
      <c r="J125" s="94"/>
      <c r="K125" s="125"/>
      <c r="L125" s="125"/>
      <c r="M125" s="99"/>
      <c r="N125" s="100"/>
      <c r="O125" s="101"/>
      <c r="P125" s="94"/>
      <c r="Q125" s="94"/>
      <c r="R125" s="113"/>
      <c r="S125" s="102"/>
      <c r="T125" s="102"/>
      <c r="V125" s="104"/>
    </row>
    <row r="126" ht="15.75" customHeight="1">
      <c r="A126" s="91"/>
      <c r="B126" s="93"/>
      <c r="C126" s="93"/>
      <c r="D126" s="94"/>
      <c r="E126" s="139"/>
      <c r="F126" s="139"/>
      <c r="G126" s="94"/>
      <c r="H126" s="93"/>
      <c r="I126" s="102"/>
      <c r="J126" s="94"/>
      <c r="K126" s="202"/>
      <c r="L126" s="202"/>
      <c r="M126" s="99"/>
      <c r="N126" s="100"/>
      <c r="O126" s="101"/>
      <c r="P126" s="94"/>
      <c r="Q126" s="109"/>
      <c r="R126" s="106"/>
      <c r="S126" s="102"/>
      <c r="T126" s="102"/>
      <c r="V126" s="104"/>
    </row>
    <row r="127" ht="15.75" customHeight="1">
      <c r="A127" s="91"/>
      <c r="B127" s="93"/>
      <c r="C127" s="93"/>
      <c r="D127" s="94"/>
      <c r="E127" s="139"/>
      <c r="F127" s="139"/>
      <c r="G127" s="94"/>
      <c r="H127" s="93"/>
      <c r="I127" s="102"/>
      <c r="J127" s="94"/>
      <c r="K127" s="125"/>
      <c r="L127" s="125"/>
      <c r="M127" s="99"/>
      <c r="N127" s="100"/>
      <c r="O127" s="101"/>
      <c r="P127" s="94"/>
      <c r="Q127" s="120"/>
      <c r="R127" s="113"/>
      <c r="S127" s="102"/>
      <c r="T127" s="102"/>
      <c r="V127" s="104"/>
    </row>
    <row r="128" ht="15.75" customHeight="1">
      <c r="A128" s="91"/>
      <c r="B128" s="93"/>
      <c r="C128" s="93"/>
      <c r="D128" s="94"/>
      <c r="E128" s="139"/>
      <c r="F128" s="139"/>
      <c r="G128" s="94"/>
      <c r="H128" s="93"/>
      <c r="I128" s="102"/>
      <c r="J128" s="94"/>
      <c r="K128" s="126"/>
      <c r="L128" s="126"/>
      <c r="M128" s="99"/>
      <c r="N128" s="100"/>
      <c r="O128" s="101"/>
      <c r="P128" s="94"/>
      <c r="Q128" s="94"/>
      <c r="R128" s="113"/>
      <c r="S128" s="102"/>
      <c r="T128" s="102"/>
      <c r="V128" s="104"/>
    </row>
    <row r="129" ht="15.75" customHeight="1">
      <c r="A129" s="91"/>
      <c r="B129" s="93"/>
      <c r="C129" s="238"/>
      <c r="D129" s="94"/>
      <c r="E129" s="276"/>
      <c r="F129" s="139"/>
      <c r="G129" s="94"/>
      <c r="H129" s="93"/>
      <c r="I129" s="102"/>
      <c r="J129" s="94"/>
      <c r="K129" s="202"/>
      <c r="L129" s="202"/>
      <c r="M129" s="99"/>
      <c r="N129" s="100"/>
      <c r="O129" s="112"/>
      <c r="P129" s="94"/>
      <c r="Q129" s="102"/>
      <c r="R129" s="113"/>
      <c r="S129" s="102"/>
      <c r="T129" s="94"/>
      <c r="V129" s="104"/>
    </row>
    <row r="130" ht="15.75" customHeight="1">
      <c r="A130" s="91"/>
      <c r="B130" s="93"/>
      <c r="C130" s="103"/>
      <c r="D130" s="94"/>
      <c r="E130" s="139"/>
      <c r="F130" s="139"/>
      <c r="G130" s="94"/>
      <c r="H130" s="93"/>
      <c r="I130" s="102"/>
      <c r="J130" s="94"/>
      <c r="K130" s="126"/>
      <c r="L130" s="98"/>
      <c r="M130" s="99"/>
      <c r="N130" s="100"/>
      <c r="O130" s="112"/>
      <c r="P130" s="94"/>
      <c r="Q130" s="120"/>
      <c r="R130" s="113"/>
      <c r="S130" s="102"/>
      <c r="T130" s="102"/>
      <c r="V130" s="104"/>
    </row>
    <row r="131" ht="15.75" customHeight="1">
      <c r="A131" s="91"/>
      <c r="B131" s="93"/>
      <c r="C131" s="93"/>
      <c r="D131" s="94"/>
      <c r="E131" s="139"/>
      <c r="F131" s="139"/>
      <c r="G131" s="94"/>
      <c r="H131" s="93"/>
      <c r="I131" s="102"/>
      <c r="J131" s="94"/>
      <c r="K131" s="125"/>
      <c r="L131" s="125"/>
      <c r="M131" s="99"/>
      <c r="N131" s="100"/>
      <c r="O131" s="101"/>
      <c r="P131" s="94"/>
      <c r="Q131" s="120"/>
      <c r="R131" s="113"/>
      <c r="S131" s="102"/>
      <c r="T131" s="102"/>
      <c r="V131" s="104"/>
    </row>
    <row r="132" ht="15.75" customHeight="1">
      <c r="A132" s="91"/>
      <c r="B132" s="93"/>
      <c r="C132" s="93"/>
      <c r="D132" s="94"/>
      <c r="E132" s="139"/>
      <c r="F132" s="139"/>
      <c r="G132" s="94"/>
      <c r="H132" s="93"/>
      <c r="I132" s="102"/>
      <c r="J132" s="94"/>
      <c r="K132" s="126"/>
      <c r="L132" s="126"/>
      <c r="M132" s="99"/>
      <c r="N132" s="100"/>
      <c r="O132" s="112"/>
      <c r="P132" s="94"/>
      <c r="Q132" s="94"/>
      <c r="R132" s="113"/>
      <c r="S132" s="102"/>
      <c r="T132" s="94"/>
      <c r="V132" s="104"/>
    </row>
    <row r="133" ht="15.75" customHeight="1">
      <c r="A133" s="91"/>
      <c r="B133" s="93"/>
      <c r="C133" s="93"/>
      <c r="D133" s="94"/>
      <c r="E133" s="139"/>
      <c r="F133" s="139"/>
      <c r="G133" s="94"/>
      <c r="H133" s="93"/>
      <c r="I133" s="102"/>
      <c r="J133" s="94"/>
      <c r="K133" s="125"/>
      <c r="L133" s="125"/>
      <c r="M133" s="99"/>
      <c r="N133" s="100"/>
      <c r="O133" s="112"/>
      <c r="P133" s="94"/>
      <c r="Q133" s="120"/>
      <c r="R133" s="113"/>
      <c r="S133" s="102"/>
      <c r="T133" s="102"/>
      <c r="V133" s="104"/>
    </row>
    <row r="134" ht="15.75" customHeight="1">
      <c r="A134" s="91"/>
      <c r="B134" s="93"/>
      <c r="C134" s="93"/>
      <c r="D134" s="94"/>
      <c r="E134" s="139"/>
      <c r="F134" s="139"/>
      <c r="G134" s="94"/>
      <c r="H134" s="93"/>
      <c r="I134" s="97"/>
      <c r="J134" s="94"/>
      <c r="K134" s="126"/>
      <c r="L134" s="126"/>
      <c r="M134" s="99"/>
      <c r="N134" s="100"/>
      <c r="O134" s="112"/>
      <c r="P134" s="94"/>
      <c r="Q134" s="94"/>
      <c r="R134" s="113"/>
      <c r="S134" s="102"/>
      <c r="T134" s="102"/>
      <c r="V134" s="104"/>
    </row>
    <row r="135" ht="15.75" customHeight="1">
      <c r="A135" s="91"/>
      <c r="B135" s="93"/>
      <c r="C135" s="93"/>
      <c r="D135" s="94"/>
      <c r="E135" s="139"/>
      <c r="F135" s="139"/>
      <c r="G135" s="94"/>
      <c r="H135" s="93"/>
      <c r="I135" s="102"/>
      <c r="J135" s="94"/>
      <c r="K135" s="98"/>
      <c r="L135" s="98"/>
      <c r="M135" s="99"/>
      <c r="N135" s="111"/>
      <c r="O135" s="112"/>
      <c r="P135" s="94"/>
      <c r="Q135" s="102"/>
      <c r="R135" s="113"/>
      <c r="S135" s="102"/>
      <c r="T135" s="94"/>
      <c r="V135" s="104"/>
    </row>
    <row r="136" ht="15.75" customHeight="1">
      <c r="A136" s="91"/>
      <c r="B136" s="93"/>
      <c r="C136" s="103"/>
      <c r="D136" s="94"/>
      <c r="E136" s="139"/>
      <c r="F136" s="139"/>
      <c r="G136" s="94"/>
      <c r="H136" s="93"/>
      <c r="I136" s="102"/>
      <c r="J136" s="94"/>
      <c r="K136" s="98"/>
      <c r="L136" s="98"/>
      <c r="M136" s="99"/>
      <c r="N136" s="111"/>
      <c r="O136" s="112"/>
      <c r="P136" s="94"/>
      <c r="Q136" s="102"/>
      <c r="R136" s="113"/>
      <c r="S136" s="102"/>
      <c r="T136" s="94"/>
      <c r="V136" s="104"/>
    </row>
    <row r="137" ht="15.75" customHeight="1">
      <c r="A137" s="91"/>
      <c r="B137" s="93"/>
      <c r="C137" s="103"/>
      <c r="D137" s="94"/>
      <c r="E137" s="139"/>
      <c r="F137" s="139"/>
      <c r="G137" s="94"/>
      <c r="H137" s="93"/>
      <c r="I137" s="102"/>
      <c r="J137" s="94"/>
      <c r="K137" s="202"/>
      <c r="L137" s="202"/>
      <c r="M137" s="99"/>
      <c r="N137" s="111"/>
      <c r="O137" s="112"/>
      <c r="P137" s="94"/>
      <c r="Q137" s="102"/>
      <c r="R137" s="113"/>
      <c r="S137" s="102"/>
      <c r="T137" s="102"/>
      <c r="V137" s="104"/>
    </row>
    <row r="138" ht="15.75" customHeight="1">
      <c r="A138" s="91"/>
      <c r="B138" s="93"/>
      <c r="C138" s="103"/>
      <c r="D138" s="94"/>
      <c r="E138" s="139"/>
      <c r="F138" s="139"/>
      <c r="G138" s="94"/>
      <c r="H138" s="93"/>
      <c r="I138" s="102"/>
      <c r="J138" s="94"/>
      <c r="K138" s="126"/>
      <c r="L138" s="126"/>
      <c r="M138" s="99"/>
      <c r="N138" s="111"/>
      <c r="O138" s="112"/>
      <c r="P138" s="94"/>
      <c r="Q138" s="94"/>
      <c r="R138" s="113"/>
      <c r="S138" s="102"/>
      <c r="T138" s="102"/>
      <c r="V138" s="104"/>
    </row>
    <row r="139" ht="15.75" customHeight="1">
      <c r="A139" s="91"/>
      <c r="B139" s="93"/>
      <c r="C139" s="93"/>
      <c r="D139" s="94"/>
      <c r="E139" s="139"/>
      <c r="F139" s="139"/>
      <c r="G139" s="94"/>
      <c r="H139" s="93"/>
      <c r="I139" s="102"/>
      <c r="J139" s="94"/>
      <c r="K139" s="125"/>
      <c r="L139" s="125"/>
      <c r="M139" s="99"/>
      <c r="N139" s="100"/>
      <c r="O139" s="101"/>
      <c r="P139" s="94"/>
      <c r="Q139" s="94"/>
      <c r="R139" s="113"/>
      <c r="S139" s="102"/>
      <c r="T139" s="102"/>
      <c r="V139" s="104"/>
    </row>
    <row r="140" ht="15.75" customHeight="1">
      <c r="A140" s="91"/>
      <c r="B140" s="93"/>
      <c r="C140" s="93"/>
      <c r="D140" s="94"/>
      <c r="E140" s="139"/>
      <c r="F140" s="139"/>
      <c r="G140" s="94"/>
      <c r="H140" s="93"/>
      <c r="I140" s="102"/>
      <c r="J140" s="94"/>
      <c r="K140" s="126"/>
      <c r="L140" s="126"/>
      <c r="M140" s="99"/>
      <c r="N140" s="111"/>
      <c r="O140" s="112"/>
      <c r="P140" s="94"/>
      <c r="Q140" s="94"/>
      <c r="R140" s="113"/>
      <c r="S140" s="94"/>
      <c r="T140" s="94"/>
      <c r="V140" s="104"/>
    </row>
    <row r="141" ht="15.75" customHeight="1">
      <c r="A141" s="91"/>
      <c r="B141" s="93"/>
      <c r="C141" s="93"/>
      <c r="D141" s="94"/>
      <c r="E141" s="139"/>
      <c r="F141" s="139"/>
      <c r="G141" s="94"/>
      <c r="H141" s="93"/>
      <c r="I141" s="102"/>
      <c r="J141" s="94"/>
      <c r="K141" s="125"/>
      <c r="L141" s="125"/>
      <c r="M141" s="99"/>
      <c r="N141" s="100"/>
      <c r="O141" s="101"/>
      <c r="P141" s="94"/>
      <c r="Q141" s="94"/>
      <c r="R141" s="113"/>
      <c r="S141" s="102"/>
      <c r="T141" s="102"/>
      <c r="V141" s="104"/>
    </row>
    <row r="142" ht="15.75" customHeight="1">
      <c r="A142" s="91"/>
      <c r="B142" s="93"/>
      <c r="C142" s="93"/>
      <c r="D142" s="94"/>
      <c r="E142" s="139"/>
      <c r="F142" s="139"/>
      <c r="G142" s="94"/>
      <c r="H142" s="93"/>
      <c r="I142" s="102"/>
      <c r="J142" s="94"/>
      <c r="K142" s="98"/>
      <c r="L142" s="98"/>
      <c r="M142" s="99"/>
      <c r="N142" s="111"/>
      <c r="O142" s="112"/>
      <c r="P142" s="94"/>
      <c r="Q142" s="102"/>
      <c r="R142" s="113"/>
      <c r="S142" s="102"/>
      <c r="T142" s="102"/>
      <c r="V142" s="104"/>
    </row>
    <row r="143" ht="15.75" customHeight="1">
      <c r="A143" s="91"/>
      <c r="B143" s="131"/>
      <c r="C143" s="132"/>
      <c r="D143" s="94"/>
      <c r="E143" s="247"/>
      <c r="F143" s="238"/>
      <c r="G143" s="94"/>
      <c r="H143" s="93"/>
      <c r="I143" s="94"/>
      <c r="J143" s="94"/>
      <c r="K143" s="125"/>
      <c r="L143" s="125"/>
      <c r="M143" s="99"/>
      <c r="N143" s="111"/>
      <c r="O143" s="112"/>
      <c r="P143" s="94"/>
      <c r="Q143" s="120"/>
      <c r="R143" s="113"/>
      <c r="S143" s="94"/>
      <c r="T143" s="94"/>
      <c r="V143" s="104"/>
    </row>
    <row r="144" ht="15.75" customHeight="1">
      <c r="A144" s="91"/>
      <c r="B144" s="131"/>
      <c r="C144" s="104"/>
      <c r="D144" s="94"/>
      <c r="E144" s="247"/>
      <c r="F144" s="238"/>
      <c r="G144" s="94"/>
      <c r="H144" s="93"/>
      <c r="I144" s="94"/>
      <c r="J144" s="94"/>
      <c r="K144" s="126"/>
      <c r="L144" s="126"/>
      <c r="M144" s="99"/>
      <c r="N144" s="111"/>
      <c r="O144" s="112"/>
      <c r="P144" s="94"/>
      <c r="Q144" s="94"/>
      <c r="R144" s="113"/>
      <c r="S144" s="94"/>
      <c r="T144" s="94"/>
      <c r="V144" s="104"/>
    </row>
    <row r="145" ht="15.75" customHeight="1">
      <c r="A145" s="91"/>
      <c r="B145" s="131"/>
      <c r="C145" s="104"/>
      <c r="D145" s="94"/>
      <c r="E145" s="247"/>
      <c r="F145" s="238"/>
      <c r="G145" s="94"/>
      <c r="H145" s="93"/>
      <c r="I145" s="94"/>
      <c r="J145" s="94"/>
      <c r="K145" s="125"/>
      <c r="L145" s="125"/>
      <c r="M145" s="99"/>
      <c r="N145" s="111"/>
      <c r="O145" s="112"/>
      <c r="P145" s="94"/>
      <c r="Q145" s="94"/>
      <c r="R145" s="113"/>
      <c r="S145" s="94"/>
      <c r="T145" s="94"/>
      <c r="V145" s="104"/>
    </row>
    <row r="146" ht="15.75" customHeight="1">
      <c r="A146" s="91"/>
      <c r="B146" s="131"/>
      <c r="C146" s="104"/>
      <c r="D146" s="94"/>
      <c r="E146" s="247"/>
      <c r="F146" s="238"/>
      <c r="G146" s="94"/>
      <c r="H146" s="93"/>
      <c r="I146" s="94"/>
      <c r="J146" s="94"/>
      <c r="K146" s="126"/>
      <c r="L146" s="126"/>
      <c r="M146" s="99"/>
      <c r="N146" s="111"/>
      <c r="O146" s="112"/>
      <c r="P146" s="94"/>
      <c r="Q146" s="120"/>
      <c r="R146" s="113"/>
      <c r="S146" s="94"/>
      <c r="T146" s="94"/>
      <c r="V146" s="104"/>
    </row>
    <row r="147" ht="15.75" customHeight="1">
      <c r="A147" s="91"/>
      <c r="B147" s="131"/>
      <c r="C147" s="132"/>
      <c r="D147" s="94"/>
      <c r="E147" s="247"/>
      <c r="F147" s="238"/>
      <c r="G147" s="94"/>
      <c r="H147" s="93"/>
      <c r="I147" s="94"/>
      <c r="J147" s="94"/>
      <c r="K147" s="125"/>
      <c r="L147" s="125"/>
      <c r="M147" s="99"/>
      <c r="N147" s="111"/>
      <c r="O147" s="112"/>
      <c r="P147" s="94"/>
      <c r="Q147" s="120"/>
      <c r="R147" s="113"/>
      <c r="S147" s="94"/>
      <c r="T147" s="94"/>
      <c r="V147" s="104"/>
    </row>
    <row r="148" ht="15.75" customHeight="1">
      <c r="A148" s="91"/>
      <c r="B148" s="131"/>
      <c r="C148" s="132"/>
      <c r="D148" s="94"/>
      <c r="E148" s="247"/>
      <c r="F148" s="238"/>
      <c r="G148" s="94"/>
      <c r="H148" s="93"/>
      <c r="I148" s="94"/>
      <c r="J148" s="94"/>
      <c r="K148" s="126"/>
      <c r="L148" s="126"/>
      <c r="M148" s="99"/>
      <c r="N148" s="111"/>
      <c r="O148" s="112"/>
      <c r="P148" s="94"/>
      <c r="Q148" s="120"/>
      <c r="R148" s="113"/>
      <c r="S148" s="94"/>
      <c r="T148" s="94"/>
      <c r="V148" s="104"/>
    </row>
    <row r="149" ht="15.75" customHeight="1">
      <c r="A149" s="91"/>
      <c r="B149" s="131"/>
      <c r="C149" s="132"/>
      <c r="D149" s="94"/>
      <c r="E149" s="247"/>
      <c r="F149" s="238"/>
      <c r="G149" s="94"/>
      <c r="H149" s="93"/>
      <c r="I149" s="94"/>
      <c r="J149" s="94"/>
      <c r="K149" s="125"/>
      <c r="L149" s="125"/>
      <c r="M149" s="99"/>
      <c r="N149" s="111"/>
      <c r="O149" s="112"/>
      <c r="P149" s="94"/>
      <c r="Q149" s="120"/>
      <c r="R149" s="113"/>
      <c r="S149" s="94"/>
      <c r="T149" s="94"/>
      <c r="V149" s="104"/>
    </row>
    <row r="150" ht="15.75" customHeight="1">
      <c r="A150" s="91"/>
      <c r="B150" s="131"/>
      <c r="C150" s="132"/>
      <c r="D150" s="94"/>
      <c r="E150" s="247"/>
      <c r="F150" s="238"/>
      <c r="G150" s="94"/>
      <c r="H150" s="93"/>
      <c r="I150" s="94"/>
      <c r="J150" s="94"/>
      <c r="K150" s="126"/>
      <c r="L150" s="126"/>
      <c r="M150" s="99"/>
      <c r="N150" s="111"/>
      <c r="O150" s="112"/>
      <c r="P150" s="94"/>
      <c r="Q150" s="120"/>
      <c r="R150" s="113"/>
      <c r="S150" s="94"/>
      <c r="T150" s="94"/>
      <c r="V150" s="104"/>
    </row>
    <row r="151" ht="15.75" customHeight="1">
      <c r="A151" s="91"/>
      <c r="B151" s="131"/>
      <c r="C151" s="132"/>
      <c r="D151" s="94"/>
      <c r="E151" s="247"/>
      <c r="F151" s="247"/>
      <c r="G151" s="94"/>
      <c r="H151" s="93"/>
      <c r="I151" s="94"/>
      <c r="J151" s="94"/>
      <c r="K151" s="125"/>
      <c r="L151" s="125"/>
      <c r="M151" s="99"/>
      <c r="N151" s="111"/>
      <c r="O151" s="112"/>
      <c r="P151" s="94"/>
      <c r="Q151" s="120"/>
      <c r="R151" s="113"/>
      <c r="S151" s="94"/>
      <c r="T151" s="94"/>
      <c r="V151" s="104"/>
    </row>
    <row r="152" ht="15.75" customHeight="1">
      <c r="A152" s="91"/>
      <c r="B152" s="131"/>
      <c r="C152" s="104"/>
      <c r="D152" s="94"/>
      <c r="E152" s="247"/>
      <c r="F152" s="247"/>
      <c r="G152" s="94"/>
      <c r="H152" s="93"/>
      <c r="I152" s="94"/>
      <c r="J152" s="94"/>
      <c r="K152" s="126"/>
      <c r="L152" s="126"/>
      <c r="M152" s="99"/>
      <c r="N152" s="111"/>
      <c r="O152" s="112"/>
      <c r="P152" s="94"/>
      <c r="Q152" s="94"/>
      <c r="R152" s="113"/>
      <c r="S152" s="94"/>
      <c r="T152" s="94"/>
      <c r="V152" s="104"/>
    </row>
    <row r="153" ht="15.75" customHeight="1">
      <c r="A153" s="91"/>
      <c r="B153" s="131"/>
      <c r="C153" s="104"/>
      <c r="D153" s="94"/>
      <c r="E153" s="247"/>
      <c r="F153" s="247"/>
      <c r="G153" s="94"/>
      <c r="H153" s="93"/>
      <c r="I153" s="94"/>
      <c r="J153" s="94"/>
      <c r="K153" s="125"/>
      <c r="L153" s="125"/>
      <c r="M153" s="99"/>
      <c r="N153" s="111"/>
      <c r="O153" s="112"/>
      <c r="P153" s="94"/>
      <c r="Q153" s="120"/>
      <c r="R153" s="113"/>
      <c r="S153" s="94"/>
      <c r="T153" s="94"/>
      <c r="V153" s="104"/>
    </row>
    <row r="154" ht="15.75" customHeight="1">
      <c r="A154" s="91"/>
      <c r="B154" s="131"/>
      <c r="C154" s="104"/>
      <c r="D154" s="94"/>
      <c r="E154" s="247"/>
      <c r="F154" s="247"/>
      <c r="G154" s="94"/>
      <c r="H154" s="93"/>
      <c r="I154" s="94"/>
      <c r="J154" s="94"/>
      <c r="K154" s="126"/>
      <c r="L154" s="126"/>
      <c r="M154" s="99"/>
      <c r="N154" s="111"/>
      <c r="O154" s="112"/>
      <c r="P154" s="94"/>
      <c r="Q154" s="94"/>
      <c r="R154" s="113"/>
      <c r="S154" s="94"/>
      <c r="T154" s="94"/>
      <c r="V154" s="104"/>
    </row>
    <row r="155" ht="15.75" customHeight="1">
      <c r="A155" s="91"/>
      <c r="B155" s="131"/>
      <c r="C155" s="132"/>
      <c r="D155" s="94"/>
      <c r="E155" s="247"/>
      <c r="F155" s="247"/>
      <c r="G155" s="94"/>
      <c r="H155" s="93"/>
      <c r="I155" s="94"/>
      <c r="J155" s="94"/>
      <c r="K155" s="125"/>
      <c r="L155" s="125"/>
      <c r="M155" s="99"/>
      <c r="N155" s="111"/>
      <c r="O155" s="112"/>
      <c r="P155" s="94"/>
      <c r="Q155" s="94"/>
      <c r="R155" s="113"/>
      <c r="S155" s="94"/>
      <c r="T155" s="94"/>
      <c r="V155" s="104"/>
    </row>
    <row r="156" ht="15.75" customHeight="1">
      <c r="A156" s="91"/>
      <c r="B156" s="131"/>
      <c r="C156" s="132"/>
      <c r="D156" s="94"/>
      <c r="E156" s="247"/>
      <c r="F156" s="247"/>
      <c r="G156" s="94"/>
      <c r="H156" s="93"/>
      <c r="I156" s="94"/>
      <c r="J156" s="94"/>
      <c r="K156" s="126"/>
      <c r="L156" s="126"/>
      <c r="M156" s="99"/>
      <c r="N156" s="111"/>
      <c r="O156" s="112"/>
      <c r="P156" s="94"/>
      <c r="Q156" s="120"/>
      <c r="R156" s="113"/>
      <c r="S156" s="94"/>
      <c r="T156" s="94"/>
      <c r="V156" s="104"/>
    </row>
    <row r="157" ht="15.75" customHeight="1">
      <c r="A157" s="91"/>
      <c r="B157" s="131"/>
      <c r="C157" s="132"/>
      <c r="D157" s="94"/>
      <c r="E157" s="247"/>
      <c r="F157" s="247"/>
      <c r="G157" s="94"/>
      <c r="H157" s="93"/>
      <c r="I157" s="94"/>
      <c r="J157" s="94"/>
      <c r="K157" s="125"/>
      <c r="L157" s="125"/>
      <c r="M157" s="99"/>
      <c r="N157" s="111"/>
      <c r="O157" s="112"/>
      <c r="P157" s="94"/>
      <c r="Q157" s="94"/>
      <c r="R157" s="113"/>
      <c r="S157" s="94"/>
      <c r="T157" s="94"/>
      <c r="V157" s="104"/>
    </row>
    <row r="158" ht="15.75" customHeight="1">
      <c r="A158" s="91"/>
      <c r="B158" s="131"/>
      <c r="C158" s="132"/>
      <c r="D158" s="94"/>
      <c r="E158" s="247"/>
      <c r="F158" s="247"/>
      <c r="G158" s="94"/>
      <c r="H158" s="93"/>
      <c r="I158" s="94"/>
      <c r="J158" s="94"/>
      <c r="K158" s="126"/>
      <c r="L158" s="126"/>
      <c r="M158" s="99"/>
      <c r="N158" s="111"/>
      <c r="O158" s="112"/>
      <c r="P158" s="94"/>
      <c r="Q158" s="94"/>
      <c r="R158" s="113"/>
      <c r="S158" s="94"/>
      <c r="T158" s="94"/>
      <c r="V158" s="104"/>
    </row>
    <row r="159" ht="15.75" customHeight="1">
      <c r="A159" s="91"/>
      <c r="B159" s="131"/>
      <c r="C159" s="132"/>
      <c r="D159" s="94"/>
      <c r="E159" s="247"/>
      <c r="F159" s="247"/>
      <c r="G159" s="94"/>
      <c r="H159" s="93"/>
      <c r="I159" s="94"/>
      <c r="J159" s="94"/>
      <c r="K159" s="125"/>
      <c r="L159" s="125"/>
      <c r="M159" s="99"/>
      <c r="N159" s="111"/>
      <c r="O159" s="112"/>
      <c r="P159" s="94"/>
      <c r="Q159" s="120"/>
      <c r="R159" s="113"/>
      <c r="S159" s="94"/>
      <c r="T159" s="94"/>
      <c r="V159" s="104"/>
    </row>
    <row r="160" ht="15.75" customHeight="1">
      <c r="A160" s="91"/>
      <c r="B160" s="131"/>
      <c r="C160" s="104"/>
      <c r="D160" s="94"/>
      <c r="E160" s="247"/>
      <c r="F160" s="247"/>
      <c r="G160" s="94"/>
      <c r="H160" s="93"/>
      <c r="I160" s="94"/>
      <c r="J160" s="94"/>
      <c r="K160" s="126"/>
      <c r="L160" s="126"/>
      <c r="M160" s="99"/>
      <c r="N160" s="111"/>
      <c r="O160" s="112"/>
      <c r="P160" s="94"/>
      <c r="Q160" s="94"/>
      <c r="R160" s="113"/>
      <c r="S160" s="94"/>
      <c r="T160" s="94"/>
      <c r="V160" s="104"/>
    </row>
    <row r="161" ht="15.75" customHeight="1">
      <c r="A161" s="91"/>
      <c r="B161" s="131"/>
      <c r="C161" s="104"/>
      <c r="D161" s="94"/>
      <c r="E161" s="247"/>
      <c r="F161" s="247"/>
      <c r="G161" s="94"/>
      <c r="H161" s="93"/>
      <c r="I161" s="94"/>
      <c r="J161" s="94"/>
      <c r="K161" s="125"/>
      <c r="L161" s="125"/>
      <c r="M161" s="99"/>
      <c r="N161" s="111"/>
      <c r="O161" s="112"/>
      <c r="P161" s="94"/>
      <c r="Q161" s="120"/>
      <c r="R161" s="113"/>
      <c r="S161" s="94"/>
      <c r="T161" s="94"/>
      <c r="V161" s="104"/>
    </row>
    <row r="162" ht="15.75" customHeight="1">
      <c r="A162" s="91"/>
      <c r="B162" s="131"/>
      <c r="C162" s="104"/>
      <c r="D162" s="94"/>
      <c r="E162" s="247"/>
      <c r="F162" s="247"/>
      <c r="G162" s="94"/>
      <c r="H162" s="93"/>
      <c r="I162" s="94"/>
      <c r="J162" s="94"/>
      <c r="K162" s="126"/>
      <c r="L162" s="126"/>
      <c r="M162" s="99"/>
      <c r="N162" s="111"/>
      <c r="O162" s="112"/>
      <c r="P162" s="94"/>
      <c r="Q162" s="120"/>
      <c r="R162" s="113"/>
      <c r="S162" s="94"/>
      <c r="T162" s="94"/>
      <c r="V162" s="104"/>
    </row>
    <row r="163" ht="15.75" customHeight="1">
      <c r="A163" s="91"/>
      <c r="B163" s="131"/>
      <c r="C163" s="132"/>
      <c r="D163" s="94"/>
      <c r="E163" s="247"/>
      <c r="F163" s="247"/>
      <c r="G163" s="94"/>
      <c r="H163" s="93"/>
      <c r="I163" s="94"/>
      <c r="J163" s="94"/>
      <c r="K163" s="125"/>
      <c r="L163" s="125"/>
      <c r="M163" s="99"/>
      <c r="N163" s="111"/>
      <c r="O163" s="112"/>
      <c r="P163" s="94"/>
      <c r="Q163" s="120"/>
      <c r="R163" s="113"/>
      <c r="S163" s="94"/>
      <c r="T163" s="94"/>
      <c r="V163" s="104"/>
    </row>
    <row r="164" ht="15.75" customHeight="1">
      <c r="A164" s="91"/>
      <c r="B164" s="131"/>
      <c r="C164" s="132"/>
      <c r="D164" s="94"/>
      <c r="E164" s="247"/>
      <c r="F164" s="247"/>
      <c r="G164" s="94"/>
      <c r="H164" s="93"/>
      <c r="I164" s="94"/>
      <c r="J164" s="94"/>
      <c r="K164" s="126"/>
      <c r="L164" s="126"/>
      <c r="M164" s="99"/>
      <c r="N164" s="111"/>
      <c r="O164" s="112"/>
      <c r="P164" s="94"/>
      <c r="Q164" s="94"/>
      <c r="R164" s="113"/>
      <c r="S164" s="94"/>
      <c r="T164" s="94"/>
      <c r="V164" s="104"/>
    </row>
    <row r="165" ht="15.75" customHeight="1">
      <c r="A165" s="91"/>
      <c r="B165" s="131"/>
      <c r="C165" s="132"/>
      <c r="D165" s="94"/>
      <c r="E165" s="247"/>
      <c r="F165" s="247"/>
      <c r="G165" s="94"/>
      <c r="H165" s="93"/>
      <c r="I165" s="94"/>
      <c r="J165" s="94"/>
      <c r="K165" s="125"/>
      <c r="L165" s="125"/>
      <c r="M165" s="99"/>
      <c r="N165" s="111"/>
      <c r="O165" s="112"/>
      <c r="P165" s="94"/>
      <c r="Q165" s="120"/>
      <c r="R165" s="113"/>
      <c r="S165" s="94"/>
      <c r="T165" s="94"/>
      <c r="V165" s="104"/>
    </row>
    <row r="166" ht="15.75" customHeight="1">
      <c r="A166" s="91"/>
      <c r="B166" s="131"/>
      <c r="C166" s="132"/>
      <c r="D166" s="94"/>
      <c r="E166" s="247"/>
      <c r="F166" s="247"/>
      <c r="G166" s="94"/>
      <c r="H166" s="93"/>
      <c r="I166" s="94"/>
      <c r="J166" s="94"/>
      <c r="K166" s="126"/>
      <c r="L166" s="126"/>
      <c r="M166" s="99"/>
      <c r="N166" s="111"/>
      <c r="O166" s="112"/>
      <c r="P166" s="94"/>
      <c r="Q166" s="94"/>
      <c r="R166" s="113"/>
      <c r="S166" s="94"/>
      <c r="T166" s="94"/>
      <c r="V166" s="104"/>
    </row>
    <row r="167" ht="15.75" customHeight="1">
      <c r="A167" s="91"/>
      <c r="B167" s="131"/>
      <c r="C167" s="132"/>
      <c r="D167" s="94"/>
      <c r="E167" s="247"/>
      <c r="F167" s="248"/>
      <c r="G167" s="94"/>
      <c r="H167" s="93"/>
      <c r="I167" s="94"/>
      <c r="J167" s="94"/>
      <c r="K167" s="125"/>
      <c r="L167" s="125"/>
      <c r="M167" s="99"/>
      <c r="N167" s="111"/>
      <c r="O167" s="112"/>
      <c r="P167" s="94"/>
      <c r="Q167" s="120"/>
      <c r="R167" s="113"/>
      <c r="S167" s="94"/>
      <c r="T167" s="94"/>
      <c r="V167" s="104"/>
    </row>
    <row r="168" ht="15.75" customHeight="1">
      <c r="A168" s="91"/>
      <c r="B168" s="131"/>
      <c r="C168" s="104"/>
      <c r="D168" s="94"/>
      <c r="E168" s="247"/>
      <c r="F168" s="247"/>
      <c r="G168" s="94"/>
      <c r="H168" s="93"/>
      <c r="I168" s="94"/>
      <c r="J168" s="94"/>
      <c r="K168" s="126"/>
      <c r="L168" s="126"/>
      <c r="M168" s="99"/>
      <c r="N168" s="111"/>
      <c r="O168" s="112"/>
      <c r="P168" s="94"/>
      <c r="Q168" s="94"/>
      <c r="R168" s="113"/>
      <c r="S168" s="94"/>
      <c r="T168" s="94"/>
      <c r="V168" s="104"/>
    </row>
    <row r="169" ht="15.75" customHeight="1">
      <c r="A169" s="91"/>
      <c r="B169" s="131"/>
      <c r="C169" s="104"/>
      <c r="D169" s="94"/>
      <c r="E169" s="247"/>
      <c r="F169" s="247"/>
      <c r="G169" s="94"/>
      <c r="H169" s="93"/>
      <c r="I169" s="94"/>
      <c r="J169" s="94"/>
      <c r="K169" s="125"/>
      <c r="L169" s="125"/>
      <c r="M169" s="99"/>
      <c r="N169" s="111"/>
      <c r="O169" s="112"/>
      <c r="P169" s="94"/>
      <c r="Q169" s="120"/>
      <c r="R169" s="113"/>
      <c r="S169" s="94"/>
      <c r="T169" s="94"/>
      <c r="V169" s="104"/>
    </row>
    <row r="170" ht="15.75" customHeight="1">
      <c r="A170" s="91"/>
      <c r="B170" s="131"/>
      <c r="C170" s="132"/>
      <c r="D170" s="94"/>
      <c r="E170" s="247"/>
      <c r="F170" s="247"/>
      <c r="G170" s="94"/>
      <c r="H170" s="93"/>
      <c r="I170" s="94"/>
      <c r="J170" s="94"/>
      <c r="K170" s="126"/>
      <c r="L170" s="126"/>
      <c r="M170" s="99"/>
      <c r="N170" s="111"/>
      <c r="O170" s="112"/>
      <c r="P170" s="94"/>
      <c r="Q170" s="120"/>
      <c r="R170" s="113"/>
      <c r="S170" s="94"/>
      <c r="T170" s="94"/>
      <c r="V170" s="104"/>
    </row>
    <row r="171" ht="15.75" customHeight="1">
      <c r="A171" s="91"/>
      <c r="B171" s="131"/>
      <c r="C171" s="132"/>
      <c r="D171" s="94"/>
      <c r="E171" s="247"/>
      <c r="F171" s="247"/>
      <c r="G171" s="94"/>
      <c r="H171" s="93"/>
      <c r="I171" s="94"/>
      <c r="J171" s="94"/>
      <c r="K171" s="125"/>
      <c r="L171" s="125"/>
      <c r="M171" s="99"/>
      <c r="N171" s="111"/>
      <c r="O171" s="112"/>
      <c r="P171" s="94"/>
      <c r="Q171" s="120"/>
      <c r="R171" s="113"/>
      <c r="S171" s="94"/>
      <c r="T171" s="94"/>
      <c r="V171" s="104"/>
    </row>
    <row r="172" ht="15.75" customHeight="1">
      <c r="A172" s="91"/>
      <c r="B172" s="131"/>
      <c r="C172" s="132"/>
      <c r="D172" s="94"/>
      <c r="E172" s="247"/>
      <c r="F172" s="247"/>
      <c r="G172" s="94"/>
      <c r="H172" s="93"/>
      <c r="I172" s="94"/>
      <c r="J172" s="94"/>
      <c r="K172" s="126"/>
      <c r="L172" s="126"/>
      <c r="M172" s="99"/>
      <c r="N172" s="111"/>
      <c r="O172" s="112"/>
      <c r="P172" s="94"/>
      <c r="Q172" s="120"/>
      <c r="R172" s="113"/>
      <c r="S172" s="94"/>
      <c r="T172" s="94"/>
      <c r="V172" s="104"/>
    </row>
    <row r="173" ht="15.75" customHeight="1">
      <c r="A173" s="91"/>
      <c r="B173" s="131"/>
      <c r="C173" s="132"/>
      <c r="D173" s="94"/>
      <c r="E173" s="247"/>
      <c r="F173" s="247"/>
      <c r="G173" s="94"/>
      <c r="H173" s="93"/>
      <c r="I173" s="94"/>
      <c r="J173" s="94"/>
      <c r="K173" s="125"/>
      <c r="L173" s="125"/>
      <c r="M173" s="99"/>
      <c r="N173" s="111"/>
      <c r="O173" s="112"/>
      <c r="P173" s="94"/>
      <c r="Q173" s="120"/>
      <c r="R173" s="113"/>
      <c r="S173" s="94"/>
      <c r="T173" s="94"/>
      <c r="V173" s="104"/>
    </row>
    <row r="174" ht="15.75" customHeight="1">
      <c r="A174" s="91"/>
      <c r="B174" s="131"/>
      <c r="C174" s="132"/>
      <c r="D174" s="94"/>
      <c r="E174" s="247"/>
      <c r="F174" s="247"/>
      <c r="G174" s="94"/>
      <c r="H174" s="93"/>
      <c r="I174" s="94"/>
      <c r="J174" s="94"/>
      <c r="K174" s="126"/>
      <c r="L174" s="126"/>
      <c r="M174" s="99"/>
      <c r="N174" s="111"/>
      <c r="O174" s="112"/>
      <c r="P174" s="94"/>
      <c r="Q174" s="120"/>
      <c r="R174" s="113"/>
      <c r="S174" s="94"/>
      <c r="T174" s="94"/>
      <c r="V174" s="104"/>
    </row>
    <row r="175" ht="15.75" customHeight="1">
      <c r="A175" s="91"/>
      <c r="B175" s="131"/>
      <c r="C175" s="104"/>
      <c r="D175" s="94"/>
      <c r="E175" s="247"/>
      <c r="F175" s="247"/>
      <c r="G175" s="94"/>
      <c r="H175" s="93"/>
      <c r="I175" s="94"/>
      <c r="J175" s="94"/>
      <c r="K175" s="125"/>
      <c r="L175" s="125"/>
      <c r="M175" s="99"/>
      <c r="N175" s="111"/>
      <c r="O175" s="112"/>
      <c r="P175" s="94"/>
      <c r="Q175" s="120"/>
      <c r="R175" s="113"/>
      <c r="S175" s="94"/>
      <c r="T175" s="94"/>
      <c r="V175" s="104"/>
    </row>
    <row r="176" ht="15.75" customHeight="1">
      <c r="A176" s="91"/>
      <c r="B176" s="131"/>
      <c r="C176" s="132"/>
      <c r="D176" s="94"/>
      <c r="E176" s="247"/>
      <c r="F176" s="247"/>
      <c r="G176" s="94"/>
      <c r="H176" s="93"/>
      <c r="I176" s="94"/>
      <c r="J176" s="94"/>
      <c r="K176" s="126"/>
      <c r="L176" s="126"/>
      <c r="M176" s="99"/>
      <c r="N176" s="111"/>
      <c r="O176" s="112"/>
      <c r="P176" s="94"/>
      <c r="Q176" s="120"/>
      <c r="R176" s="113"/>
      <c r="S176" s="94"/>
      <c r="T176" s="94"/>
      <c r="V176" s="104"/>
    </row>
    <row r="177" ht="15.75" customHeight="1">
      <c r="A177" s="91"/>
      <c r="B177" s="131"/>
      <c r="C177" s="132"/>
      <c r="D177" s="94"/>
      <c r="E177" s="247"/>
      <c r="F177" s="247"/>
      <c r="G177" s="94"/>
      <c r="H177" s="93"/>
      <c r="I177" s="94"/>
      <c r="J177" s="94"/>
      <c r="K177" s="125"/>
      <c r="L177" s="125"/>
      <c r="M177" s="99"/>
      <c r="N177" s="111"/>
      <c r="O177" s="112"/>
      <c r="P177" s="94"/>
      <c r="Q177" s="120"/>
      <c r="R177" s="113"/>
      <c r="S177" s="94"/>
      <c r="T177" s="94"/>
      <c r="V177" s="104"/>
    </row>
    <row r="178" ht="15.75" customHeight="1">
      <c r="A178" s="91"/>
      <c r="B178" s="131"/>
      <c r="C178" s="132"/>
      <c r="D178" s="94"/>
      <c r="E178" s="247"/>
      <c r="F178" s="247"/>
      <c r="G178" s="94"/>
      <c r="H178" s="93"/>
      <c r="I178" s="94"/>
      <c r="J178" s="94"/>
      <c r="K178" s="126"/>
      <c r="L178" s="126"/>
      <c r="M178" s="99"/>
      <c r="N178" s="111"/>
      <c r="O178" s="112"/>
      <c r="P178" s="94"/>
      <c r="Q178" s="120"/>
      <c r="R178" s="113"/>
      <c r="S178" s="94"/>
      <c r="T178" s="94"/>
      <c r="V178" s="104"/>
    </row>
    <row r="179" ht="15.75" customHeight="1">
      <c r="A179" s="91"/>
      <c r="B179" s="131"/>
      <c r="C179" s="132"/>
      <c r="D179" s="94"/>
      <c r="E179" s="247"/>
      <c r="F179" s="247"/>
      <c r="G179" s="94"/>
      <c r="H179" s="93"/>
      <c r="I179" s="94"/>
      <c r="J179" s="94"/>
      <c r="K179" s="125"/>
      <c r="L179" s="125"/>
      <c r="M179" s="99"/>
      <c r="N179" s="111"/>
      <c r="O179" s="112"/>
      <c r="P179" s="94"/>
      <c r="Q179" s="120"/>
      <c r="R179" s="113"/>
      <c r="S179" s="94"/>
      <c r="T179" s="94"/>
      <c r="V179" s="104"/>
    </row>
    <row r="180" ht="15.75" customHeight="1">
      <c r="A180" s="91"/>
      <c r="B180" s="131"/>
      <c r="C180" s="132"/>
      <c r="D180" s="94"/>
      <c r="E180" s="247"/>
      <c r="F180" s="247"/>
      <c r="G180" s="94"/>
      <c r="H180" s="93"/>
      <c r="I180" s="94"/>
      <c r="J180" s="94"/>
      <c r="K180" s="126"/>
      <c r="L180" s="126"/>
      <c r="M180" s="99"/>
      <c r="N180" s="111"/>
      <c r="O180" s="112"/>
      <c r="P180" s="94"/>
      <c r="Q180" s="120"/>
      <c r="R180" s="113"/>
      <c r="S180" s="94"/>
      <c r="T180" s="94"/>
      <c r="V180" s="104"/>
    </row>
    <row r="181" ht="15.75" customHeight="1">
      <c r="A181" s="91"/>
      <c r="B181" s="131"/>
      <c r="C181" s="104"/>
      <c r="D181" s="94"/>
      <c r="E181" s="247"/>
      <c r="F181" s="247"/>
      <c r="G181" s="94"/>
      <c r="H181" s="93"/>
      <c r="I181" s="94"/>
      <c r="J181" s="94"/>
      <c r="K181" s="125"/>
      <c r="L181" s="125"/>
      <c r="M181" s="99"/>
      <c r="N181" s="111"/>
      <c r="O181" s="112"/>
      <c r="P181" s="94"/>
      <c r="Q181" s="120"/>
      <c r="R181" s="113"/>
      <c r="S181" s="94"/>
      <c r="T181" s="94"/>
      <c r="V181" s="104"/>
    </row>
    <row r="182" ht="15.75" customHeight="1">
      <c r="A182" s="91"/>
      <c r="B182" s="131"/>
      <c r="C182" s="132"/>
      <c r="D182" s="94"/>
      <c r="E182" s="247"/>
      <c r="F182" s="247"/>
      <c r="G182" s="94"/>
      <c r="H182" s="93"/>
      <c r="I182" s="94"/>
      <c r="J182" s="94"/>
      <c r="K182" s="126"/>
      <c r="L182" s="126"/>
      <c r="M182" s="99"/>
      <c r="N182" s="111"/>
      <c r="O182" s="112"/>
      <c r="P182" s="94"/>
      <c r="Q182" s="120"/>
      <c r="R182" s="113"/>
      <c r="S182" s="94"/>
      <c r="T182" s="94"/>
      <c r="V182" s="104"/>
    </row>
    <row r="183" ht="15.75" customHeight="1">
      <c r="A183" s="91"/>
      <c r="B183" s="131"/>
      <c r="C183" s="132"/>
      <c r="D183" s="94"/>
      <c r="E183" s="247"/>
      <c r="F183" s="247"/>
      <c r="G183" s="94"/>
      <c r="H183" s="93"/>
      <c r="I183" s="94"/>
      <c r="J183" s="94"/>
      <c r="K183" s="125"/>
      <c r="L183" s="125"/>
      <c r="M183" s="99"/>
      <c r="N183" s="111"/>
      <c r="O183" s="112"/>
      <c r="P183" s="94"/>
      <c r="Q183" s="120"/>
      <c r="R183" s="113"/>
      <c r="S183" s="94"/>
      <c r="T183" s="94"/>
      <c r="V183" s="104"/>
    </row>
    <row r="184" ht="15.75" customHeight="1">
      <c r="A184" s="91"/>
      <c r="B184" s="131"/>
      <c r="C184" s="132"/>
      <c r="D184" s="94"/>
      <c r="E184" s="247"/>
      <c r="F184" s="247"/>
      <c r="G184" s="94"/>
      <c r="H184" s="93"/>
      <c r="I184" s="94"/>
      <c r="J184" s="94"/>
      <c r="K184" s="126"/>
      <c r="L184" s="126"/>
      <c r="M184" s="99"/>
      <c r="N184" s="111"/>
      <c r="O184" s="112"/>
      <c r="P184" s="94"/>
      <c r="Q184" s="120"/>
      <c r="R184" s="113"/>
      <c r="S184" s="94"/>
      <c r="T184" s="94"/>
      <c r="V184" s="104"/>
    </row>
    <row r="185" ht="15.75" customHeight="1">
      <c r="A185" s="91"/>
      <c r="B185" s="131"/>
      <c r="C185" s="132"/>
      <c r="D185" s="94"/>
      <c r="E185" s="247"/>
      <c r="F185" s="247"/>
      <c r="G185" s="94"/>
      <c r="H185" s="93"/>
      <c r="I185" s="94"/>
      <c r="J185" s="94"/>
      <c r="K185" s="125"/>
      <c r="L185" s="125"/>
      <c r="M185" s="99"/>
      <c r="N185" s="111"/>
      <c r="O185" s="112"/>
      <c r="P185" s="94"/>
      <c r="Q185" s="120"/>
      <c r="R185" s="113"/>
      <c r="S185" s="94"/>
      <c r="T185" s="94"/>
      <c r="V185" s="104"/>
    </row>
    <row r="186" ht="15.75" customHeight="1">
      <c r="A186" s="91"/>
      <c r="B186" s="131"/>
      <c r="C186" s="132"/>
      <c r="D186" s="94"/>
      <c r="E186" s="247"/>
      <c r="F186" s="247"/>
      <c r="G186" s="94"/>
      <c r="H186" s="93"/>
      <c r="I186" s="94"/>
      <c r="J186" s="94"/>
      <c r="K186" s="126"/>
      <c r="L186" s="126"/>
      <c r="M186" s="99"/>
      <c r="N186" s="111"/>
      <c r="O186" s="112"/>
      <c r="P186" s="94"/>
      <c r="Q186" s="120"/>
      <c r="R186" s="113"/>
      <c r="S186" s="94"/>
      <c r="T186" s="94"/>
      <c r="V186" s="104"/>
    </row>
    <row r="187" ht="15.75" customHeight="1">
      <c r="A187" s="91"/>
      <c r="B187" s="131"/>
      <c r="C187" s="104"/>
      <c r="D187" s="94"/>
      <c r="E187" s="247"/>
      <c r="F187" s="247"/>
      <c r="G187" s="94"/>
      <c r="H187" s="93"/>
      <c r="I187" s="94"/>
      <c r="J187" s="94"/>
      <c r="K187" s="125"/>
      <c r="L187" s="125"/>
      <c r="M187" s="99"/>
      <c r="N187" s="111"/>
      <c r="O187" s="112"/>
      <c r="P187" s="94"/>
      <c r="Q187" s="120"/>
      <c r="R187" s="113"/>
      <c r="S187" s="94"/>
      <c r="T187" s="94"/>
      <c r="V187" s="104"/>
    </row>
    <row r="188" ht="15.75" customHeight="1">
      <c r="A188" s="91"/>
      <c r="B188" s="131"/>
      <c r="C188" s="132"/>
      <c r="D188" s="94"/>
      <c r="E188" s="247"/>
      <c r="F188" s="247"/>
      <c r="G188" s="94"/>
      <c r="H188" s="93"/>
      <c r="I188" s="94"/>
      <c r="J188" s="94"/>
      <c r="K188" s="126"/>
      <c r="L188" s="126"/>
      <c r="M188" s="99"/>
      <c r="N188" s="111"/>
      <c r="O188" s="112"/>
      <c r="P188" s="94"/>
      <c r="Q188" s="120"/>
      <c r="R188" s="113"/>
      <c r="S188" s="94"/>
      <c r="T188" s="94"/>
      <c r="V188" s="104"/>
    </row>
    <row r="189" ht="15.75" customHeight="1">
      <c r="A189" s="91"/>
      <c r="B189" s="131"/>
      <c r="C189" s="132"/>
      <c r="D189" s="94"/>
      <c r="E189" s="247"/>
      <c r="F189" s="247"/>
      <c r="G189" s="94"/>
      <c r="H189" s="93"/>
      <c r="I189" s="94"/>
      <c r="J189" s="94"/>
      <c r="K189" s="125"/>
      <c r="L189" s="125"/>
      <c r="M189" s="99"/>
      <c r="N189" s="111"/>
      <c r="O189" s="112"/>
      <c r="P189" s="94"/>
      <c r="Q189" s="120"/>
      <c r="R189" s="113"/>
      <c r="S189" s="94"/>
      <c r="T189" s="94"/>
      <c r="V189" s="104"/>
    </row>
    <row r="190" ht="15.75" customHeight="1">
      <c r="A190" s="91"/>
      <c r="B190" s="131"/>
      <c r="C190" s="132"/>
      <c r="D190" s="94"/>
      <c r="E190" s="247"/>
      <c r="F190" s="247"/>
      <c r="G190" s="94"/>
      <c r="H190" s="93"/>
      <c r="I190" s="94"/>
      <c r="J190" s="94"/>
      <c r="K190" s="126"/>
      <c r="L190" s="126"/>
      <c r="M190" s="99"/>
      <c r="N190" s="111"/>
      <c r="O190" s="112"/>
      <c r="P190" s="94"/>
      <c r="Q190" s="120"/>
      <c r="R190" s="113"/>
      <c r="S190" s="94"/>
      <c r="T190" s="94"/>
      <c r="V190" s="104"/>
    </row>
    <row r="191" ht="15.75" customHeight="1">
      <c r="A191" s="91"/>
      <c r="B191" s="131"/>
      <c r="C191" s="132"/>
      <c r="D191" s="94"/>
      <c r="E191" s="247"/>
      <c r="F191" s="247"/>
      <c r="G191" s="94"/>
      <c r="H191" s="93"/>
      <c r="I191" s="94"/>
      <c r="J191" s="94"/>
      <c r="K191" s="125"/>
      <c r="L191" s="125"/>
      <c r="M191" s="99"/>
      <c r="N191" s="111"/>
      <c r="O191" s="112"/>
      <c r="P191" s="94"/>
      <c r="Q191" s="120"/>
      <c r="R191" s="113"/>
      <c r="S191" s="94"/>
      <c r="T191" s="94"/>
      <c r="V191" s="104"/>
    </row>
    <row r="192" ht="15.75" customHeight="1">
      <c r="A192" s="91"/>
      <c r="B192" s="131"/>
      <c r="C192" s="132"/>
      <c r="D192" s="94"/>
      <c r="E192" s="247"/>
      <c r="F192" s="247"/>
      <c r="G192" s="94"/>
      <c r="H192" s="93"/>
      <c r="I192" s="94"/>
      <c r="J192" s="94"/>
      <c r="K192" s="126"/>
      <c r="L192" s="126"/>
      <c r="M192" s="99"/>
      <c r="N192" s="111"/>
      <c r="O192" s="112"/>
      <c r="P192" s="94"/>
      <c r="Q192" s="120"/>
      <c r="R192" s="113"/>
      <c r="S192" s="94"/>
      <c r="T192" s="94"/>
      <c r="V192" s="104"/>
    </row>
    <row r="193" ht="15.75" customHeight="1">
      <c r="A193" s="91"/>
      <c r="B193" s="131"/>
      <c r="C193" s="104"/>
      <c r="D193" s="94"/>
      <c r="E193" s="247"/>
      <c r="F193" s="247"/>
      <c r="G193" s="94"/>
      <c r="H193" s="93"/>
      <c r="I193" s="94"/>
      <c r="J193" s="94"/>
      <c r="K193" s="125"/>
      <c r="L193" s="125"/>
      <c r="M193" s="99"/>
      <c r="N193" s="111"/>
      <c r="O193" s="112"/>
      <c r="P193" s="94"/>
      <c r="Q193" s="120"/>
      <c r="R193" s="113"/>
      <c r="S193" s="94"/>
      <c r="T193" s="94"/>
      <c r="V193" s="104"/>
    </row>
    <row r="194" ht="15.75" customHeight="1">
      <c r="A194" s="91"/>
      <c r="B194" s="131"/>
      <c r="C194" s="132"/>
      <c r="D194" s="94"/>
      <c r="E194" s="247"/>
      <c r="F194" s="247"/>
      <c r="G194" s="94"/>
      <c r="H194" s="93"/>
      <c r="I194" s="94"/>
      <c r="J194" s="94"/>
      <c r="K194" s="126"/>
      <c r="L194" s="126"/>
      <c r="M194" s="99"/>
      <c r="N194" s="111"/>
      <c r="O194" s="112"/>
      <c r="P194" s="94"/>
      <c r="Q194" s="120"/>
      <c r="R194" s="113"/>
      <c r="S194" s="94"/>
      <c r="T194" s="94"/>
      <c r="V194" s="104"/>
    </row>
    <row r="195" ht="15.75" customHeight="1">
      <c r="A195" s="91"/>
      <c r="B195" s="131"/>
      <c r="C195" s="132"/>
      <c r="D195" s="94"/>
      <c r="E195" s="247"/>
      <c r="F195" s="247"/>
      <c r="G195" s="94"/>
      <c r="H195" s="93"/>
      <c r="I195" s="94"/>
      <c r="J195" s="94"/>
      <c r="K195" s="125"/>
      <c r="L195" s="125"/>
      <c r="M195" s="99"/>
      <c r="N195" s="111"/>
      <c r="O195" s="112"/>
      <c r="P195" s="94"/>
      <c r="Q195" s="120"/>
      <c r="R195" s="113"/>
      <c r="S195" s="94"/>
      <c r="T195" s="94"/>
      <c r="V195" s="104"/>
    </row>
    <row r="196" ht="15.75" customHeight="1">
      <c r="A196" s="91"/>
      <c r="B196" s="131"/>
      <c r="C196" s="132"/>
      <c r="D196" s="94"/>
      <c r="E196" s="247"/>
      <c r="F196" s="247"/>
      <c r="G196" s="94"/>
      <c r="H196" s="93"/>
      <c r="I196" s="94"/>
      <c r="J196" s="94"/>
      <c r="K196" s="126"/>
      <c r="L196" s="126"/>
      <c r="M196" s="99"/>
      <c r="N196" s="111"/>
      <c r="O196" s="112"/>
      <c r="P196" s="94"/>
      <c r="Q196" s="120"/>
      <c r="R196" s="113"/>
      <c r="S196" s="94"/>
      <c r="T196" s="94"/>
      <c r="V196" s="104"/>
    </row>
    <row r="197" ht="15.75" customHeight="1">
      <c r="A197" s="91"/>
      <c r="B197" s="131"/>
      <c r="C197" s="132"/>
      <c r="D197" s="94"/>
      <c r="E197" s="247"/>
      <c r="F197" s="247"/>
      <c r="G197" s="94"/>
      <c r="H197" s="93"/>
      <c r="I197" s="94"/>
      <c r="J197" s="94"/>
      <c r="K197" s="125"/>
      <c r="L197" s="125"/>
      <c r="M197" s="99"/>
      <c r="N197" s="111"/>
      <c r="O197" s="112"/>
      <c r="P197" s="94"/>
      <c r="Q197" s="120"/>
      <c r="R197" s="113"/>
      <c r="S197" s="94"/>
      <c r="T197" s="94"/>
      <c r="V197" s="104"/>
    </row>
    <row r="198" ht="15.75" customHeight="1">
      <c r="A198" s="91"/>
      <c r="B198" s="131"/>
      <c r="C198" s="132"/>
      <c r="D198" s="94"/>
      <c r="E198" s="247"/>
      <c r="F198" s="247"/>
      <c r="G198" s="94"/>
      <c r="H198" s="93"/>
      <c r="I198" s="94"/>
      <c r="J198" s="94"/>
      <c r="K198" s="126"/>
      <c r="L198" s="126"/>
      <c r="M198" s="99"/>
      <c r="N198" s="111"/>
      <c r="O198" s="112"/>
      <c r="P198" s="94"/>
      <c r="Q198" s="120"/>
      <c r="R198" s="113"/>
      <c r="S198" s="94"/>
      <c r="T198" s="94"/>
      <c r="V198" s="104"/>
    </row>
    <row r="199" ht="15.75" customHeight="1">
      <c r="A199" s="91"/>
      <c r="B199" s="131"/>
      <c r="C199" s="104"/>
      <c r="D199" s="94"/>
      <c r="E199" s="247"/>
      <c r="F199" s="247"/>
      <c r="G199" s="94"/>
      <c r="H199" s="93"/>
      <c r="I199" s="94"/>
      <c r="J199" s="94"/>
      <c r="K199" s="125"/>
      <c r="L199" s="125"/>
      <c r="M199" s="99"/>
      <c r="N199" s="111"/>
      <c r="O199" s="112"/>
      <c r="P199" s="94"/>
      <c r="Q199" s="120"/>
      <c r="R199" s="113"/>
      <c r="S199" s="94"/>
      <c r="T199" s="94"/>
      <c r="V199" s="104"/>
    </row>
    <row r="200" ht="15.75" customHeight="1">
      <c r="A200" s="91"/>
      <c r="B200" s="131"/>
      <c r="C200" s="132"/>
      <c r="D200" s="94"/>
      <c r="E200" s="247"/>
      <c r="F200" s="247"/>
      <c r="G200" s="94"/>
      <c r="H200" s="93"/>
      <c r="I200" s="94"/>
      <c r="J200" s="94"/>
      <c r="K200" s="126"/>
      <c r="L200" s="126"/>
      <c r="M200" s="99"/>
      <c r="N200" s="111"/>
      <c r="O200" s="112"/>
      <c r="P200" s="94"/>
      <c r="Q200" s="120"/>
      <c r="R200" s="113"/>
      <c r="S200" s="94"/>
      <c r="T200" s="94"/>
      <c r="V200" s="104"/>
    </row>
    <row r="201" ht="15.75" customHeight="1">
      <c r="A201" s="91"/>
      <c r="B201" s="131"/>
      <c r="C201" s="132"/>
      <c r="D201" s="94"/>
      <c r="E201" s="247"/>
      <c r="F201" s="247"/>
      <c r="G201" s="94"/>
      <c r="H201" s="93"/>
      <c r="I201" s="94"/>
      <c r="J201" s="94"/>
      <c r="K201" s="125"/>
      <c r="L201" s="125"/>
      <c r="M201" s="99"/>
      <c r="N201" s="111"/>
      <c r="O201" s="112"/>
      <c r="P201" s="94"/>
      <c r="Q201" s="120"/>
      <c r="R201" s="113"/>
      <c r="S201" s="94"/>
      <c r="T201" s="94"/>
      <c r="V201" s="104"/>
    </row>
    <row r="202" ht="15.75" customHeight="1">
      <c r="A202" s="91"/>
      <c r="B202" s="131"/>
      <c r="C202" s="132"/>
      <c r="D202" s="94"/>
      <c r="E202" s="247"/>
      <c r="F202" s="247"/>
      <c r="G202" s="94"/>
      <c r="H202" s="93"/>
      <c r="I202" s="94"/>
      <c r="J202" s="94"/>
      <c r="K202" s="126"/>
      <c r="L202" s="126"/>
      <c r="M202" s="99"/>
      <c r="N202" s="111"/>
      <c r="O202" s="112"/>
      <c r="P202" s="94"/>
      <c r="Q202" s="120"/>
      <c r="R202" s="113"/>
      <c r="S202" s="94"/>
      <c r="T202" s="94"/>
      <c r="V202" s="104"/>
    </row>
    <row r="203" ht="15.75" customHeight="1">
      <c r="A203" s="91"/>
      <c r="B203" s="131"/>
      <c r="C203" s="132"/>
      <c r="D203" s="94"/>
      <c r="E203" s="247"/>
      <c r="F203" s="247"/>
      <c r="G203" s="94"/>
      <c r="H203" s="93"/>
      <c r="I203" s="94"/>
      <c r="J203" s="94"/>
      <c r="K203" s="125"/>
      <c r="L203" s="125"/>
      <c r="M203" s="99"/>
      <c r="N203" s="111"/>
      <c r="O203" s="112"/>
      <c r="P203" s="94"/>
      <c r="Q203" s="120"/>
      <c r="R203" s="113"/>
      <c r="S203" s="94"/>
      <c r="T203" s="94"/>
      <c r="V203" s="104"/>
    </row>
    <row r="204" ht="15.75" customHeight="1">
      <c r="A204" s="91"/>
      <c r="B204" s="131"/>
      <c r="C204" s="132"/>
      <c r="D204" s="94"/>
      <c r="E204" s="247"/>
      <c r="F204" s="247"/>
      <c r="G204" s="94"/>
      <c r="H204" s="93"/>
      <c r="I204" s="94"/>
      <c r="J204" s="94"/>
      <c r="K204" s="126"/>
      <c r="L204" s="126"/>
      <c r="M204" s="99"/>
      <c r="N204" s="111"/>
      <c r="O204" s="112"/>
      <c r="P204" s="94"/>
      <c r="Q204" s="120"/>
      <c r="R204" s="113"/>
      <c r="S204" s="94"/>
      <c r="T204" s="94"/>
      <c r="V204" s="104"/>
    </row>
    <row r="205" ht="15.75" customHeight="1">
      <c r="A205" s="91"/>
      <c r="B205" s="131"/>
      <c r="C205" s="104"/>
      <c r="D205" s="94"/>
      <c r="E205" s="247"/>
      <c r="F205" s="247"/>
      <c r="G205" s="94"/>
      <c r="H205" s="93"/>
      <c r="I205" s="94"/>
      <c r="J205" s="94"/>
      <c r="K205" s="125"/>
      <c r="L205" s="125"/>
      <c r="M205" s="99"/>
      <c r="N205" s="111"/>
      <c r="O205" s="112"/>
      <c r="P205" s="94"/>
      <c r="Q205" s="120"/>
      <c r="R205" s="113"/>
      <c r="S205" s="94"/>
      <c r="T205" s="94"/>
      <c r="V205" s="104"/>
    </row>
    <row r="206" ht="15.75" customHeight="1">
      <c r="A206" s="91"/>
      <c r="B206" s="131"/>
      <c r="C206" s="132"/>
      <c r="D206" s="94"/>
      <c r="E206" s="247"/>
      <c r="F206" s="247"/>
      <c r="G206" s="94"/>
      <c r="H206" s="93"/>
      <c r="I206" s="94"/>
      <c r="J206" s="94"/>
      <c r="K206" s="126"/>
      <c r="L206" s="126"/>
      <c r="M206" s="99"/>
      <c r="N206" s="111"/>
      <c r="O206" s="112"/>
      <c r="P206" s="94"/>
      <c r="Q206" s="120"/>
      <c r="R206" s="113"/>
      <c r="S206" s="94"/>
      <c r="T206" s="94"/>
      <c r="V206" s="104"/>
    </row>
    <row r="207" ht="15.75" customHeight="1">
      <c r="A207" s="91"/>
      <c r="B207" s="131"/>
      <c r="C207" s="132"/>
      <c r="D207" s="94"/>
      <c r="E207" s="247"/>
      <c r="F207" s="247"/>
      <c r="G207" s="94"/>
      <c r="H207" s="93"/>
      <c r="I207" s="94"/>
      <c r="J207" s="94"/>
      <c r="K207" s="125"/>
      <c r="L207" s="125"/>
      <c r="M207" s="99"/>
      <c r="N207" s="111"/>
      <c r="O207" s="112"/>
      <c r="P207" s="94"/>
      <c r="Q207" s="120"/>
      <c r="R207" s="113"/>
      <c r="S207" s="94"/>
      <c r="T207" s="94"/>
      <c r="V207" s="104"/>
    </row>
    <row r="208" ht="15.75" customHeight="1">
      <c r="A208" s="91"/>
      <c r="B208" s="131"/>
      <c r="C208" s="132"/>
      <c r="D208" s="94"/>
      <c r="E208" s="247"/>
      <c r="F208" s="247"/>
      <c r="G208" s="94"/>
      <c r="H208" s="93"/>
      <c r="I208" s="94"/>
      <c r="J208" s="94"/>
      <c r="K208" s="126"/>
      <c r="L208" s="126"/>
      <c r="M208" s="99"/>
      <c r="N208" s="111"/>
      <c r="O208" s="112"/>
      <c r="P208" s="94"/>
      <c r="Q208" s="120"/>
      <c r="R208" s="113"/>
      <c r="S208" s="94"/>
      <c r="T208" s="94"/>
      <c r="V208" s="104"/>
    </row>
    <row r="209" ht="15.75" customHeight="1">
      <c r="A209" s="91"/>
      <c r="B209" s="131"/>
      <c r="C209" s="132"/>
      <c r="D209" s="94"/>
      <c r="E209" s="247"/>
      <c r="F209" s="247"/>
      <c r="G209" s="94"/>
      <c r="H209" s="93"/>
      <c r="I209" s="94"/>
      <c r="J209" s="94"/>
      <c r="K209" s="125"/>
      <c r="L209" s="125"/>
      <c r="M209" s="99"/>
      <c r="N209" s="111"/>
      <c r="O209" s="112"/>
      <c r="P209" s="94"/>
      <c r="Q209" s="120"/>
      <c r="R209" s="113"/>
      <c r="S209" s="94"/>
      <c r="T209" s="94"/>
      <c r="V209" s="104"/>
    </row>
    <row r="210" ht="15.75" customHeight="1">
      <c r="A210" s="91"/>
      <c r="B210" s="131"/>
      <c r="C210" s="132"/>
      <c r="D210" s="94"/>
      <c r="E210" s="247"/>
      <c r="F210" s="247"/>
      <c r="G210" s="94"/>
      <c r="H210" s="93"/>
      <c r="I210" s="94"/>
      <c r="J210" s="94"/>
      <c r="K210" s="126"/>
      <c r="L210" s="126"/>
      <c r="M210" s="99"/>
      <c r="N210" s="111"/>
      <c r="O210" s="112"/>
      <c r="P210" s="94"/>
      <c r="Q210" s="120"/>
      <c r="R210" s="113"/>
      <c r="S210" s="94"/>
      <c r="T210" s="94"/>
      <c r="V210" s="104"/>
    </row>
    <row r="211" ht="15.75" customHeight="1">
      <c r="A211" s="91"/>
      <c r="B211" s="131"/>
      <c r="C211" s="104"/>
      <c r="D211" s="94"/>
      <c r="E211" s="247"/>
      <c r="F211" s="247"/>
      <c r="G211" s="94"/>
      <c r="H211" s="93"/>
      <c r="I211" s="94"/>
      <c r="J211" s="94"/>
      <c r="K211" s="125"/>
      <c r="L211" s="125"/>
      <c r="M211" s="99"/>
      <c r="N211" s="111"/>
      <c r="O211" s="112"/>
      <c r="P211" s="94"/>
      <c r="Q211" s="120"/>
      <c r="R211" s="113"/>
      <c r="S211" s="94"/>
      <c r="T211" s="94"/>
      <c r="V211" s="104"/>
    </row>
    <row r="212" ht="15.75" customHeight="1">
      <c r="A212" s="91"/>
      <c r="B212" s="131"/>
      <c r="C212" s="132"/>
      <c r="D212" s="94"/>
      <c r="E212" s="247"/>
      <c r="F212" s="247"/>
      <c r="G212" s="94"/>
      <c r="H212" s="93"/>
      <c r="I212" s="94"/>
      <c r="J212" s="94"/>
      <c r="K212" s="126"/>
      <c r="L212" s="126"/>
      <c r="M212" s="99"/>
      <c r="N212" s="111"/>
      <c r="O212" s="112"/>
      <c r="P212" s="94"/>
      <c r="Q212" s="120"/>
      <c r="R212" s="113"/>
      <c r="S212" s="94"/>
      <c r="T212" s="94"/>
      <c r="V212" s="104"/>
    </row>
    <row r="213" ht="15.75" customHeight="1">
      <c r="A213" s="91"/>
      <c r="B213" s="131"/>
      <c r="C213" s="132"/>
      <c r="D213" s="94"/>
      <c r="E213" s="247"/>
      <c r="F213" s="247"/>
      <c r="G213" s="94"/>
      <c r="H213" s="93"/>
      <c r="I213" s="94"/>
      <c r="J213" s="94"/>
      <c r="K213" s="125"/>
      <c r="L213" s="125"/>
      <c r="M213" s="99"/>
      <c r="N213" s="111"/>
      <c r="O213" s="112"/>
      <c r="P213" s="94"/>
      <c r="Q213" s="120"/>
      <c r="R213" s="113"/>
      <c r="S213" s="94"/>
      <c r="T213" s="94"/>
      <c r="V213" s="104"/>
    </row>
    <row r="214" ht="15.75" customHeight="1">
      <c r="A214" s="91"/>
      <c r="B214" s="131"/>
      <c r="C214" s="132"/>
      <c r="D214" s="94"/>
      <c r="E214" s="247"/>
      <c r="F214" s="247"/>
      <c r="G214" s="94"/>
      <c r="H214" s="93"/>
      <c r="I214" s="94"/>
      <c r="J214" s="94"/>
      <c r="K214" s="126"/>
      <c r="L214" s="126"/>
      <c r="M214" s="99"/>
      <c r="N214" s="111"/>
      <c r="O214" s="112"/>
      <c r="P214" s="94"/>
      <c r="Q214" s="120"/>
      <c r="R214" s="113"/>
      <c r="S214" s="94"/>
      <c r="T214" s="94"/>
      <c r="V214" s="104"/>
    </row>
    <row r="215" ht="15.75" customHeight="1">
      <c r="A215" s="91"/>
      <c r="B215" s="131"/>
      <c r="C215" s="132"/>
      <c r="D215" s="94"/>
      <c r="E215" s="247"/>
      <c r="F215" s="247"/>
      <c r="G215" s="94"/>
      <c r="H215" s="93"/>
      <c r="I215" s="94"/>
      <c r="J215" s="94"/>
      <c r="K215" s="125"/>
      <c r="L215" s="125"/>
      <c r="M215" s="99"/>
      <c r="N215" s="111"/>
      <c r="O215" s="112"/>
      <c r="P215" s="94"/>
      <c r="Q215" s="120"/>
      <c r="R215" s="113"/>
      <c r="S215" s="94"/>
      <c r="T215" s="94"/>
      <c r="V215" s="104"/>
    </row>
    <row r="216" ht="15.75" customHeight="1">
      <c r="A216" s="91"/>
      <c r="B216" s="131"/>
      <c r="C216" s="132"/>
      <c r="D216" s="94"/>
      <c r="E216" s="247"/>
      <c r="F216" s="247"/>
      <c r="G216" s="94"/>
      <c r="H216" s="93"/>
      <c r="I216" s="94"/>
      <c r="J216" s="94"/>
      <c r="K216" s="126"/>
      <c r="L216" s="126"/>
      <c r="M216" s="99"/>
      <c r="N216" s="111"/>
      <c r="O216" s="112"/>
      <c r="P216" s="94"/>
      <c r="Q216" s="120"/>
      <c r="R216" s="113"/>
      <c r="S216" s="94"/>
      <c r="T216" s="94"/>
      <c r="V216" s="104"/>
    </row>
    <row r="217" ht="15.75" customHeight="1">
      <c r="A217" s="91"/>
      <c r="B217" s="131"/>
      <c r="C217" s="104"/>
      <c r="D217" s="94"/>
      <c r="E217" s="247"/>
      <c r="F217" s="247"/>
      <c r="G217" s="94"/>
      <c r="H217" s="93"/>
      <c r="I217" s="94"/>
      <c r="J217" s="94"/>
      <c r="K217" s="125"/>
      <c r="L217" s="125"/>
      <c r="M217" s="99"/>
      <c r="N217" s="111"/>
      <c r="O217" s="112"/>
      <c r="P217" s="94"/>
      <c r="Q217" s="120"/>
      <c r="R217" s="113"/>
      <c r="S217" s="94"/>
      <c r="T217" s="94"/>
      <c r="V217" s="104"/>
    </row>
    <row r="218" ht="15.75" customHeight="1">
      <c r="A218" s="91"/>
      <c r="B218" s="131"/>
      <c r="C218" s="132"/>
      <c r="D218" s="94"/>
      <c r="E218" s="247"/>
      <c r="F218" s="247"/>
      <c r="G218" s="94"/>
      <c r="H218" s="93"/>
      <c r="I218" s="94"/>
      <c r="J218" s="94"/>
      <c r="K218" s="126"/>
      <c r="L218" s="126"/>
      <c r="M218" s="99"/>
      <c r="N218" s="111"/>
      <c r="O218" s="112"/>
      <c r="P218" s="94"/>
      <c r="Q218" s="120"/>
      <c r="R218" s="113"/>
      <c r="S218" s="94"/>
      <c r="T218" s="94"/>
      <c r="V218" s="104"/>
    </row>
    <row r="219" ht="15.75" customHeight="1">
      <c r="A219" s="91"/>
      <c r="B219" s="131"/>
      <c r="C219" s="132"/>
      <c r="D219" s="94"/>
      <c r="E219" s="247"/>
      <c r="F219" s="247"/>
      <c r="G219" s="94"/>
      <c r="H219" s="93"/>
      <c r="I219" s="94"/>
      <c r="J219" s="94"/>
      <c r="K219" s="125"/>
      <c r="L219" s="125"/>
      <c r="M219" s="99"/>
      <c r="N219" s="111"/>
      <c r="O219" s="112"/>
      <c r="P219" s="94"/>
      <c r="Q219" s="120"/>
      <c r="R219" s="113"/>
      <c r="S219" s="94"/>
      <c r="T219" s="94"/>
      <c r="V219" s="104"/>
    </row>
    <row r="220" ht="15.75" customHeight="1">
      <c r="A220" s="91"/>
      <c r="B220" s="131"/>
      <c r="C220" s="132"/>
      <c r="D220" s="94"/>
      <c r="E220" s="247"/>
      <c r="F220" s="247"/>
      <c r="G220" s="94"/>
      <c r="H220" s="93"/>
      <c r="I220" s="94"/>
      <c r="J220" s="94"/>
      <c r="K220" s="126"/>
      <c r="L220" s="126"/>
      <c r="M220" s="99"/>
      <c r="N220" s="111"/>
      <c r="O220" s="112"/>
      <c r="P220" s="94"/>
      <c r="Q220" s="120"/>
      <c r="R220" s="113"/>
      <c r="S220" s="94"/>
      <c r="T220" s="94"/>
      <c r="V220" s="104"/>
    </row>
    <row r="221" ht="15.75" customHeight="1">
      <c r="A221" s="91"/>
      <c r="B221" s="131"/>
      <c r="C221" s="132"/>
      <c r="D221" s="94"/>
      <c r="E221" s="247"/>
      <c r="F221" s="247"/>
      <c r="G221" s="94"/>
      <c r="H221" s="93"/>
      <c r="I221" s="94"/>
      <c r="J221" s="94"/>
      <c r="K221" s="125"/>
      <c r="L221" s="125"/>
      <c r="M221" s="99"/>
      <c r="N221" s="111"/>
      <c r="O221" s="112"/>
      <c r="P221" s="94"/>
      <c r="Q221" s="120"/>
      <c r="R221" s="113"/>
      <c r="S221" s="94"/>
      <c r="T221" s="94"/>
      <c r="V221" s="104"/>
    </row>
    <row r="222" ht="15.75" customHeight="1">
      <c r="A222" s="91"/>
      <c r="B222" s="131"/>
      <c r="C222" s="132"/>
      <c r="D222" s="94"/>
      <c r="E222" s="247"/>
      <c r="F222" s="243"/>
      <c r="G222" s="94"/>
      <c r="H222" s="93"/>
      <c r="I222" s="94"/>
      <c r="J222" s="94"/>
      <c r="K222" s="126"/>
      <c r="L222" s="126"/>
      <c r="M222" s="99"/>
      <c r="N222" s="111"/>
      <c r="O222" s="112"/>
      <c r="P222" s="94"/>
      <c r="Q222" s="120"/>
      <c r="R222" s="113"/>
      <c r="S222" s="94"/>
      <c r="T222" s="94"/>
      <c r="V222" s="104"/>
    </row>
    <row r="223" ht="15.75" customHeight="1">
      <c r="A223" s="91"/>
      <c r="B223" s="131"/>
      <c r="C223" s="104"/>
      <c r="D223" s="94"/>
      <c r="E223" s="132"/>
      <c r="F223" s="132"/>
      <c r="G223" s="94"/>
      <c r="H223" s="93"/>
      <c r="I223" s="94"/>
      <c r="J223" s="94"/>
      <c r="K223" s="125"/>
      <c r="L223" s="125"/>
      <c r="M223" s="99"/>
      <c r="N223" s="111"/>
      <c r="O223" s="112"/>
      <c r="P223" s="94"/>
      <c r="Q223" s="120"/>
      <c r="R223" s="113"/>
      <c r="S223" s="94"/>
      <c r="T223" s="94"/>
      <c r="V223" s="104"/>
    </row>
    <row r="224" ht="15.75" customHeight="1">
      <c r="A224" s="91"/>
      <c r="B224" s="131"/>
      <c r="C224" s="132"/>
      <c r="D224" s="94"/>
      <c r="E224" s="132"/>
      <c r="F224" s="132"/>
      <c r="G224" s="94"/>
      <c r="H224" s="93"/>
      <c r="I224" s="94"/>
      <c r="J224" s="94"/>
      <c r="K224" s="126"/>
      <c r="L224" s="126"/>
      <c r="M224" s="99"/>
      <c r="N224" s="111"/>
      <c r="O224" s="112"/>
      <c r="P224" s="94"/>
      <c r="Q224" s="120"/>
      <c r="R224" s="113"/>
      <c r="S224" s="94"/>
      <c r="T224" s="94"/>
      <c r="V224" s="104"/>
    </row>
    <row r="225" ht="15.75" customHeight="1">
      <c r="A225" s="91"/>
      <c r="B225" s="131"/>
      <c r="C225" s="132"/>
      <c r="D225" s="94"/>
      <c r="E225" s="132"/>
      <c r="F225" s="132"/>
      <c r="G225" s="94"/>
      <c r="H225" s="93"/>
      <c r="I225" s="94"/>
      <c r="J225" s="94"/>
      <c r="K225" s="125"/>
      <c r="L225" s="125"/>
      <c r="M225" s="99"/>
      <c r="N225" s="111"/>
      <c r="O225" s="112"/>
      <c r="P225" s="94"/>
      <c r="Q225" s="120"/>
      <c r="R225" s="113"/>
      <c r="S225" s="94"/>
      <c r="T225" s="94"/>
      <c r="V225" s="104"/>
    </row>
    <row r="226" ht="15.75" customHeight="1">
      <c r="A226" s="91"/>
      <c r="B226" s="131"/>
      <c r="C226" s="132"/>
      <c r="D226" s="94"/>
      <c r="E226" s="132"/>
      <c r="F226" s="132"/>
      <c r="G226" s="94"/>
      <c r="H226" s="93"/>
      <c r="I226" s="94"/>
      <c r="J226" s="94"/>
      <c r="K226" s="126"/>
      <c r="L226" s="126"/>
      <c r="M226" s="99"/>
      <c r="N226" s="111"/>
      <c r="O226" s="112"/>
      <c r="P226" s="94"/>
      <c r="Q226" s="120"/>
      <c r="R226" s="113"/>
      <c r="S226" s="94"/>
      <c r="T226" s="94"/>
      <c r="V226" s="104"/>
    </row>
    <row r="227" ht="15.75" customHeight="1">
      <c r="A227" s="91"/>
      <c r="B227" s="131"/>
      <c r="C227" s="132"/>
      <c r="D227" s="94"/>
      <c r="E227" s="132"/>
      <c r="F227" s="132"/>
      <c r="G227" s="94"/>
      <c r="H227" s="93"/>
      <c r="I227" s="94"/>
      <c r="J227" s="94"/>
      <c r="K227" s="125"/>
      <c r="L227" s="125"/>
      <c r="M227" s="99"/>
      <c r="N227" s="111"/>
      <c r="O227" s="112"/>
      <c r="P227" s="94"/>
      <c r="Q227" s="120"/>
      <c r="R227" s="113"/>
      <c r="S227" s="94"/>
      <c r="T227" s="94"/>
      <c r="V227" s="104"/>
    </row>
    <row r="228" ht="15.75" customHeight="1">
      <c r="A228" s="91"/>
      <c r="B228" s="131"/>
      <c r="C228" s="132"/>
      <c r="D228" s="94"/>
      <c r="E228" s="132"/>
      <c r="F228" s="132"/>
      <c r="G228" s="94"/>
      <c r="H228" s="93"/>
      <c r="I228" s="94"/>
      <c r="J228" s="94"/>
      <c r="K228" s="126"/>
      <c r="L228" s="126"/>
      <c r="M228" s="99"/>
      <c r="N228" s="111"/>
      <c r="O228" s="112"/>
      <c r="P228" s="94"/>
      <c r="Q228" s="120"/>
      <c r="R228" s="113"/>
      <c r="S228" s="94"/>
      <c r="T228" s="94"/>
      <c r="V228" s="104"/>
    </row>
    <row r="229" ht="15.75" customHeight="1">
      <c r="A229" s="91"/>
      <c r="B229" s="131"/>
      <c r="C229" s="104"/>
      <c r="D229" s="94"/>
      <c r="E229" s="132"/>
      <c r="F229" s="132"/>
      <c r="G229" s="94"/>
      <c r="H229" s="93"/>
      <c r="I229" s="94"/>
      <c r="J229" s="94"/>
      <c r="K229" s="125"/>
      <c r="L229" s="125"/>
      <c r="M229" s="99"/>
      <c r="N229" s="111"/>
      <c r="O229" s="112"/>
      <c r="P229" s="94"/>
      <c r="Q229" s="120"/>
      <c r="R229" s="113"/>
      <c r="S229" s="94"/>
      <c r="T229" s="94"/>
      <c r="V229" s="104"/>
    </row>
    <row r="230" ht="15.75" customHeight="1">
      <c r="A230" s="91"/>
      <c r="B230" s="131"/>
      <c r="C230" s="132"/>
      <c r="D230" s="94"/>
      <c r="E230" s="132"/>
      <c r="F230" s="132"/>
      <c r="G230" s="94"/>
      <c r="H230" s="93"/>
      <c r="I230" s="94"/>
      <c r="J230" s="94"/>
      <c r="K230" s="126"/>
      <c r="L230" s="126"/>
      <c r="M230" s="99"/>
      <c r="N230" s="111"/>
      <c r="O230" s="112"/>
      <c r="P230" s="94"/>
      <c r="Q230" s="120"/>
      <c r="R230" s="113"/>
      <c r="S230" s="94"/>
      <c r="T230" s="94"/>
      <c r="V230" s="104"/>
    </row>
    <row r="231" ht="15.75" customHeight="1">
      <c r="A231" s="91"/>
      <c r="B231" s="131"/>
      <c r="C231" s="132"/>
      <c r="D231" s="94"/>
      <c r="E231" s="132"/>
      <c r="F231" s="132"/>
      <c r="G231" s="94"/>
      <c r="H231" s="93"/>
      <c r="I231" s="94"/>
      <c r="J231" s="94"/>
      <c r="K231" s="125"/>
      <c r="L231" s="125"/>
      <c r="M231" s="99"/>
      <c r="N231" s="111"/>
      <c r="O231" s="112"/>
      <c r="P231" s="94"/>
      <c r="Q231" s="120"/>
      <c r="R231" s="113"/>
      <c r="S231" s="94"/>
      <c r="T231" s="94"/>
      <c r="V231" s="104"/>
    </row>
    <row r="232" ht="15.75" customHeight="1">
      <c r="A232" s="91"/>
      <c r="B232" s="131"/>
      <c r="C232" s="132"/>
      <c r="D232" s="94"/>
      <c r="E232" s="132"/>
      <c r="F232" s="132"/>
      <c r="G232" s="94"/>
      <c r="H232" s="93"/>
      <c r="I232" s="94"/>
      <c r="J232" s="94"/>
      <c r="K232" s="126"/>
      <c r="L232" s="126"/>
      <c r="M232" s="99"/>
      <c r="N232" s="111"/>
      <c r="O232" s="112"/>
      <c r="P232" s="94"/>
      <c r="Q232" s="120"/>
      <c r="R232" s="113"/>
      <c r="S232" s="94"/>
      <c r="T232" s="94"/>
      <c r="V232" s="104"/>
    </row>
    <row r="233" ht="15.75" customHeight="1">
      <c r="A233" s="91"/>
      <c r="B233" s="131"/>
      <c r="C233" s="132"/>
      <c r="D233" s="94"/>
      <c r="E233" s="132"/>
      <c r="F233" s="132"/>
      <c r="G233" s="94"/>
      <c r="H233" s="93"/>
      <c r="I233" s="94"/>
      <c r="J233" s="94"/>
      <c r="K233" s="125"/>
      <c r="L233" s="125"/>
      <c r="M233" s="99"/>
      <c r="N233" s="111"/>
      <c r="O233" s="112"/>
      <c r="P233" s="94"/>
      <c r="Q233" s="120"/>
      <c r="R233" s="113"/>
      <c r="S233" s="94"/>
      <c r="T233" s="94"/>
      <c r="V233" s="104"/>
    </row>
    <row r="234" ht="15.75" customHeight="1">
      <c r="A234" s="91"/>
      <c r="B234" s="131"/>
      <c r="C234" s="132"/>
      <c r="D234" s="94"/>
      <c r="E234" s="132"/>
      <c r="F234" s="132"/>
      <c r="G234" s="94"/>
      <c r="H234" s="93"/>
      <c r="I234" s="94"/>
      <c r="J234" s="94"/>
      <c r="K234" s="126"/>
      <c r="L234" s="126"/>
      <c r="M234" s="99"/>
      <c r="N234" s="111"/>
      <c r="O234" s="112"/>
      <c r="P234" s="94"/>
      <c r="Q234" s="120"/>
      <c r="R234" s="113"/>
      <c r="S234" s="94"/>
      <c r="T234" s="94"/>
      <c r="V234" s="104"/>
    </row>
    <row r="235" ht="15.75" customHeight="1">
      <c r="A235" s="91"/>
      <c r="B235" s="131"/>
      <c r="C235" s="104"/>
      <c r="D235" s="94"/>
      <c r="E235" s="132"/>
      <c r="F235" s="132"/>
      <c r="G235" s="94"/>
      <c r="H235" s="93"/>
      <c r="I235" s="94"/>
      <c r="J235" s="94"/>
      <c r="K235" s="125"/>
      <c r="L235" s="125"/>
      <c r="M235" s="99"/>
      <c r="N235" s="111"/>
      <c r="O235" s="112"/>
      <c r="P235" s="94"/>
      <c r="Q235" s="120"/>
      <c r="R235" s="113"/>
      <c r="S235" s="94"/>
      <c r="T235" s="94"/>
      <c r="V235" s="104"/>
    </row>
    <row r="236" ht="15.75" customHeight="1">
      <c r="A236" s="91"/>
      <c r="B236" s="131"/>
      <c r="C236" s="132"/>
      <c r="D236" s="94"/>
      <c r="E236" s="132"/>
      <c r="F236" s="132"/>
      <c r="G236" s="94"/>
      <c r="H236" s="93"/>
      <c r="I236" s="94"/>
      <c r="J236" s="94"/>
      <c r="K236" s="126"/>
      <c r="L236" s="126"/>
      <c r="M236" s="99"/>
      <c r="N236" s="111"/>
      <c r="O236" s="112"/>
      <c r="P236" s="94"/>
      <c r="Q236" s="120"/>
      <c r="R236" s="113"/>
      <c r="S236" s="94"/>
      <c r="T236" s="94"/>
      <c r="V236" s="104"/>
    </row>
    <row r="237" ht="15.75" customHeight="1">
      <c r="A237" s="91"/>
      <c r="B237" s="131"/>
      <c r="C237" s="132"/>
      <c r="D237" s="94"/>
      <c r="E237" s="132"/>
      <c r="F237" s="132"/>
      <c r="G237" s="94"/>
      <c r="H237" s="93"/>
      <c r="I237" s="94"/>
      <c r="J237" s="94"/>
      <c r="K237" s="125"/>
      <c r="L237" s="125"/>
      <c r="M237" s="99"/>
      <c r="N237" s="111"/>
      <c r="O237" s="112"/>
      <c r="P237" s="94"/>
      <c r="Q237" s="120"/>
      <c r="R237" s="113"/>
      <c r="S237" s="94"/>
      <c r="T237" s="94"/>
      <c r="V237" s="104"/>
    </row>
    <row r="238" ht="15.75" customHeight="1">
      <c r="A238" s="91"/>
      <c r="B238" s="131"/>
      <c r="C238" s="132"/>
      <c r="D238" s="94"/>
      <c r="E238" s="132"/>
      <c r="F238" s="132"/>
      <c r="G238" s="94"/>
      <c r="H238" s="93"/>
      <c r="I238" s="94"/>
      <c r="J238" s="94"/>
      <c r="K238" s="126"/>
      <c r="L238" s="126"/>
      <c r="M238" s="99"/>
      <c r="N238" s="111"/>
      <c r="O238" s="112"/>
      <c r="P238" s="94"/>
      <c r="Q238" s="120"/>
      <c r="R238" s="113"/>
      <c r="S238" s="94"/>
      <c r="T238" s="94"/>
      <c r="V238" s="104"/>
    </row>
    <row r="239" ht="15.75" customHeight="1">
      <c r="A239" s="91"/>
      <c r="B239" s="131"/>
      <c r="C239" s="132"/>
      <c r="D239" s="94"/>
      <c r="E239" s="132"/>
      <c r="F239" s="132"/>
      <c r="G239" s="94"/>
      <c r="H239" s="93"/>
      <c r="I239" s="94"/>
      <c r="J239" s="94"/>
      <c r="K239" s="125"/>
      <c r="L239" s="125"/>
      <c r="M239" s="99"/>
      <c r="N239" s="111"/>
      <c r="O239" s="112"/>
      <c r="P239" s="94"/>
      <c r="Q239" s="120"/>
      <c r="R239" s="113"/>
      <c r="S239" s="94"/>
      <c r="T239" s="94"/>
      <c r="V239" s="104"/>
    </row>
    <row r="240" ht="15.75" customHeight="1">
      <c r="A240" s="91"/>
      <c r="B240" s="131"/>
      <c r="C240" s="132"/>
      <c r="D240" s="94"/>
      <c r="E240" s="132"/>
      <c r="F240" s="132"/>
      <c r="G240" s="94"/>
      <c r="H240" s="93"/>
      <c r="I240" s="94"/>
      <c r="J240" s="94"/>
      <c r="K240" s="126"/>
      <c r="L240" s="126"/>
      <c r="M240" s="99"/>
      <c r="N240" s="111"/>
      <c r="O240" s="112"/>
      <c r="P240" s="94"/>
      <c r="Q240" s="120"/>
      <c r="R240" s="113"/>
      <c r="S240" s="94"/>
      <c r="T240" s="94"/>
      <c r="V240" s="104"/>
    </row>
    <row r="241" ht="15.75" customHeight="1">
      <c r="A241" s="91"/>
      <c r="B241" s="131"/>
      <c r="C241" s="104"/>
      <c r="D241" s="94"/>
      <c r="E241" s="132"/>
      <c r="F241" s="132"/>
      <c r="G241" s="94"/>
      <c r="H241" s="93"/>
      <c r="I241" s="94"/>
      <c r="J241" s="94"/>
      <c r="K241" s="125"/>
      <c r="L241" s="125"/>
      <c r="M241" s="99"/>
      <c r="N241" s="111"/>
      <c r="O241" s="112"/>
      <c r="P241" s="94"/>
      <c r="Q241" s="120"/>
      <c r="R241" s="113"/>
      <c r="S241" s="94"/>
      <c r="T241" s="94"/>
      <c r="V241" s="104"/>
    </row>
    <row r="242" ht="15.75" customHeight="1">
      <c r="A242" s="91"/>
      <c r="B242" s="131"/>
      <c r="C242" s="132"/>
      <c r="D242" s="94"/>
      <c r="E242" s="132"/>
      <c r="F242" s="132"/>
      <c r="G242" s="94"/>
      <c r="H242" s="93"/>
      <c r="I242" s="94"/>
      <c r="J242" s="94"/>
      <c r="K242" s="126"/>
      <c r="L242" s="126"/>
      <c r="M242" s="99"/>
      <c r="N242" s="111"/>
      <c r="O242" s="112"/>
      <c r="P242" s="94"/>
      <c r="Q242" s="120"/>
      <c r="R242" s="113"/>
      <c r="S242" s="94"/>
      <c r="T242" s="94"/>
      <c r="V242" s="104"/>
    </row>
    <row r="243" ht="15.75" customHeight="1">
      <c r="A243" s="91"/>
      <c r="B243" s="131"/>
      <c r="C243" s="132"/>
      <c r="D243" s="94"/>
      <c r="E243" s="132"/>
      <c r="F243" s="132"/>
      <c r="G243" s="94"/>
      <c r="H243" s="93"/>
      <c r="I243" s="94"/>
      <c r="J243" s="94"/>
      <c r="K243" s="125"/>
      <c r="L243" s="125"/>
      <c r="M243" s="99"/>
      <c r="N243" s="111"/>
      <c r="O243" s="112"/>
      <c r="P243" s="94"/>
      <c r="Q243" s="120"/>
      <c r="R243" s="113"/>
      <c r="S243" s="94"/>
      <c r="T243" s="94"/>
      <c r="V243" s="104"/>
    </row>
    <row r="244" ht="15.75" customHeight="1">
      <c r="A244" s="91"/>
      <c r="B244" s="131"/>
      <c r="C244" s="132"/>
      <c r="D244" s="94"/>
      <c r="E244" s="132"/>
      <c r="F244" s="132"/>
      <c r="G244" s="94"/>
      <c r="H244" s="93"/>
      <c r="I244" s="94"/>
      <c r="J244" s="94"/>
      <c r="K244" s="126"/>
      <c r="L244" s="126"/>
      <c r="M244" s="99"/>
      <c r="N244" s="111"/>
      <c r="O244" s="112"/>
      <c r="P244" s="94"/>
      <c r="Q244" s="120"/>
      <c r="R244" s="113"/>
      <c r="S244" s="94"/>
      <c r="T244" s="94"/>
      <c r="V244" s="104"/>
    </row>
    <row r="245" ht="15.75" customHeight="1">
      <c r="A245" s="91"/>
      <c r="B245" s="131"/>
      <c r="C245" s="132"/>
      <c r="D245" s="94"/>
      <c r="E245" s="132"/>
      <c r="F245" s="132"/>
      <c r="G245" s="94"/>
      <c r="H245" s="93"/>
      <c r="I245" s="94"/>
      <c r="J245" s="94"/>
      <c r="K245" s="125"/>
      <c r="L245" s="125"/>
      <c r="M245" s="99"/>
      <c r="N245" s="111"/>
      <c r="O245" s="112"/>
      <c r="P245" s="94"/>
      <c r="Q245" s="120"/>
      <c r="R245" s="113"/>
      <c r="S245" s="94"/>
      <c r="T245" s="94"/>
      <c r="V245" s="104"/>
    </row>
    <row r="246" ht="15.75" customHeight="1">
      <c r="A246" s="91"/>
      <c r="B246" s="131"/>
      <c r="C246" s="132"/>
      <c r="D246" s="94"/>
      <c r="E246" s="132"/>
      <c r="F246" s="132"/>
      <c r="G246" s="94"/>
      <c r="H246" s="93"/>
      <c r="I246" s="94"/>
      <c r="J246" s="94"/>
      <c r="K246" s="126"/>
      <c r="L246" s="126"/>
      <c r="M246" s="99"/>
      <c r="N246" s="111"/>
      <c r="O246" s="112"/>
      <c r="P246" s="94"/>
      <c r="Q246" s="120"/>
      <c r="R246" s="113"/>
      <c r="S246" s="94"/>
      <c r="T246" s="94"/>
      <c r="V246" s="104"/>
    </row>
    <row r="247" ht="15.75" customHeight="1">
      <c r="A247" s="91"/>
      <c r="B247" s="131"/>
      <c r="C247" s="104"/>
      <c r="D247" s="94"/>
      <c r="E247" s="132"/>
      <c r="F247" s="132"/>
      <c r="G247" s="94"/>
      <c r="H247" s="93"/>
      <c r="I247" s="94"/>
      <c r="J247" s="94"/>
      <c r="K247" s="125"/>
      <c r="L247" s="125"/>
      <c r="M247" s="99"/>
      <c r="N247" s="111"/>
      <c r="O247" s="112"/>
      <c r="P247" s="94"/>
      <c r="Q247" s="120"/>
      <c r="R247" s="113"/>
      <c r="S247" s="94"/>
      <c r="T247" s="94"/>
      <c r="V247" s="104"/>
    </row>
    <row r="248" ht="15.75" customHeight="1">
      <c r="A248" s="91"/>
      <c r="B248" s="131"/>
      <c r="C248" s="132"/>
      <c r="D248" s="94"/>
      <c r="E248" s="132"/>
      <c r="F248" s="132"/>
      <c r="G248" s="94"/>
      <c r="H248" s="93"/>
      <c r="I248" s="94"/>
      <c r="J248" s="94"/>
      <c r="K248" s="126"/>
      <c r="L248" s="126"/>
      <c r="M248" s="99"/>
      <c r="N248" s="111"/>
      <c r="O248" s="112"/>
      <c r="P248" s="94"/>
      <c r="Q248" s="120"/>
      <c r="R248" s="113"/>
      <c r="S248" s="94"/>
      <c r="T248" s="94"/>
      <c r="V248" s="104"/>
    </row>
    <row r="249" ht="15.75" customHeight="1">
      <c r="A249" s="91"/>
      <c r="B249" s="131"/>
      <c r="C249" s="132"/>
      <c r="D249" s="94"/>
      <c r="E249" s="132"/>
      <c r="F249" s="132"/>
      <c r="G249" s="94"/>
      <c r="H249" s="93"/>
      <c r="I249" s="94"/>
      <c r="J249" s="94"/>
      <c r="K249" s="125"/>
      <c r="L249" s="125"/>
      <c r="M249" s="99"/>
      <c r="N249" s="111"/>
      <c r="O249" s="112"/>
      <c r="P249" s="94"/>
      <c r="Q249" s="120"/>
      <c r="R249" s="113"/>
      <c r="S249" s="94"/>
      <c r="T249" s="94"/>
      <c r="V249" s="104"/>
    </row>
    <row r="250" ht="15.75" customHeight="1">
      <c r="A250" s="91"/>
      <c r="B250" s="131"/>
      <c r="C250" s="132"/>
      <c r="D250" s="94"/>
      <c r="E250" s="132"/>
      <c r="F250" s="132"/>
      <c r="G250" s="94"/>
      <c r="H250" s="93"/>
      <c r="I250" s="94"/>
      <c r="J250" s="94"/>
      <c r="K250" s="126"/>
      <c r="L250" s="126"/>
      <c r="M250" s="99"/>
      <c r="N250" s="111"/>
      <c r="O250" s="112"/>
      <c r="P250" s="94"/>
      <c r="Q250" s="120"/>
      <c r="R250" s="113"/>
      <c r="S250" s="94"/>
      <c r="T250" s="94"/>
      <c r="V250" s="104"/>
    </row>
    <row r="251" ht="15.75" customHeight="1">
      <c r="A251" s="91"/>
      <c r="B251" s="131"/>
      <c r="C251" s="132"/>
      <c r="D251" s="94"/>
      <c r="E251" s="132"/>
      <c r="F251" s="132"/>
      <c r="G251" s="94"/>
      <c r="H251" s="93"/>
      <c r="I251" s="94"/>
      <c r="J251" s="94"/>
      <c r="K251" s="125"/>
      <c r="L251" s="125"/>
      <c r="M251" s="99"/>
      <c r="N251" s="111"/>
      <c r="O251" s="112"/>
      <c r="P251" s="94"/>
      <c r="Q251" s="120"/>
      <c r="R251" s="113"/>
      <c r="S251" s="94"/>
      <c r="T251" s="94"/>
      <c r="V251" s="104"/>
    </row>
    <row r="252" ht="15.75" customHeight="1">
      <c r="A252" s="91"/>
      <c r="B252" s="131"/>
      <c r="C252" s="132"/>
      <c r="D252" s="94"/>
      <c r="E252" s="132"/>
      <c r="F252" s="132"/>
      <c r="G252" s="94"/>
      <c r="H252" s="93"/>
      <c r="I252" s="94"/>
      <c r="J252" s="94"/>
      <c r="K252" s="126"/>
      <c r="L252" s="126"/>
      <c r="M252" s="99"/>
      <c r="N252" s="111"/>
      <c r="O252" s="112"/>
      <c r="P252" s="94"/>
      <c r="Q252" s="120"/>
      <c r="R252" s="113"/>
      <c r="S252" s="94"/>
      <c r="T252" s="94"/>
      <c r="V252" s="104"/>
    </row>
    <row r="253" ht="15.75" customHeight="1">
      <c r="A253" s="91"/>
      <c r="B253" s="131"/>
      <c r="C253" s="104"/>
      <c r="D253" s="94"/>
      <c r="E253" s="132"/>
      <c r="F253" s="132"/>
      <c r="G253" s="94"/>
      <c r="H253" s="93"/>
      <c r="I253" s="94"/>
      <c r="J253" s="94"/>
      <c r="K253" s="125"/>
      <c r="L253" s="125"/>
      <c r="M253" s="99"/>
      <c r="N253" s="111"/>
      <c r="O253" s="112"/>
      <c r="P253" s="94"/>
      <c r="Q253" s="120"/>
      <c r="R253" s="113"/>
      <c r="S253" s="94"/>
      <c r="T253" s="94"/>
      <c r="V253" s="104"/>
    </row>
    <row r="254" ht="15.75" customHeight="1">
      <c r="A254" s="91"/>
      <c r="B254" s="131"/>
      <c r="C254" s="132"/>
      <c r="D254" s="94"/>
      <c r="E254" s="132"/>
      <c r="F254" s="132"/>
      <c r="G254" s="94"/>
      <c r="H254" s="93"/>
      <c r="I254" s="94"/>
      <c r="J254" s="94"/>
      <c r="K254" s="126"/>
      <c r="L254" s="126"/>
      <c r="M254" s="99"/>
      <c r="N254" s="111"/>
      <c r="O254" s="112"/>
      <c r="P254" s="94"/>
      <c r="Q254" s="120"/>
      <c r="R254" s="113"/>
      <c r="S254" s="94"/>
      <c r="T254" s="94"/>
      <c r="V254" s="104"/>
    </row>
    <row r="255" ht="15.75" customHeight="1">
      <c r="A255" s="91"/>
      <c r="B255" s="131"/>
      <c r="C255" s="132"/>
      <c r="D255" s="94"/>
      <c r="E255" s="132"/>
      <c r="F255" s="132"/>
      <c r="G255" s="94"/>
      <c r="H255" s="93"/>
      <c r="I255" s="94"/>
      <c r="J255" s="94"/>
      <c r="K255" s="125"/>
      <c r="L255" s="125"/>
      <c r="M255" s="99"/>
      <c r="N255" s="111"/>
      <c r="O255" s="112"/>
      <c r="P255" s="94"/>
      <c r="Q255" s="120"/>
      <c r="R255" s="113"/>
      <c r="S255" s="94"/>
      <c r="T255" s="94"/>
      <c r="V255" s="104"/>
    </row>
    <row r="256" ht="15.75" customHeight="1">
      <c r="A256" s="91"/>
      <c r="B256" s="131"/>
      <c r="C256" s="132"/>
      <c r="D256" s="94"/>
      <c r="E256" s="132"/>
      <c r="F256" s="132"/>
      <c r="G256" s="94"/>
      <c r="H256" s="93"/>
      <c r="I256" s="94"/>
      <c r="J256" s="94"/>
      <c r="K256" s="126"/>
      <c r="L256" s="126"/>
      <c r="M256" s="99"/>
      <c r="N256" s="111"/>
      <c r="O256" s="112"/>
      <c r="P256" s="94"/>
      <c r="Q256" s="120"/>
      <c r="R256" s="113"/>
      <c r="S256" s="94"/>
      <c r="T256" s="94"/>
      <c r="V256" s="104"/>
    </row>
    <row r="257" ht="15.75" customHeight="1">
      <c r="A257" s="91"/>
      <c r="B257" s="131"/>
      <c r="C257" s="132"/>
      <c r="D257" s="94"/>
      <c r="E257" s="132"/>
      <c r="F257" s="132"/>
      <c r="G257" s="94"/>
      <c r="H257" s="93"/>
      <c r="I257" s="94"/>
      <c r="J257" s="94"/>
      <c r="K257" s="125"/>
      <c r="L257" s="125"/>
      <c r="M257" s="99"/>
      <c r="N257" s="111"/>
      <c r="O257" s="112"/>
      <c r="P257" s="94"/>
      <c r="Q257" s="120"/>
      <c r="R257" s="113"/>
      <c r="S257" s="94"/>
      <c r="T257" s="94"/>
      <c r="V257" s="104"/>
    </row>
    <row r="258" ht="15.75" customHeight="1">
      <c r="A258" s="91"/>
      <c r="B258" s="131"/>
      <c r="C258" s="132"/>
      <c r="D258" s="94"/>
      <c r="E258" s="132"/>
      <c r="F258" s="132"/>
      <c r="G258" s="94"/>
      <c r="H258" s="93"/>
      <c r="I258" s="94"/>
      <c r="J258" s="94"/>
      <c r="K258" s="126"/>
      <c r="L258" s="126"/>
      <c r="M258" s="99"/>
      <c r="N258" s="111"/>
      <c r="O258" s="112"/>
      <c r="P258" s="94"/>
      <c r="Q258" s="120"/>
      <c r="R258" s="113"/>
      <c r="S258" s="94"/>
      <c r="T258" s="94"/>
      <c r="V258" s="104"/>
    </row>
    <row r="259" ht="15.75" customHeight="1">
      <c r="A259" s="91"/>
      <c r="B259" s="131"/>
      <c r="C259" s="104"/>
      <c r="D259" s="94"/>
      <c r="E259" s="132"/>
      <c r="F259" s="132"/>
      <c r="G259" s="94"/>
      <c r="H259" s="93"/>
      <c r="I259" s="94"/>
      <c r="J259" s="94"/>
      <c r="K259" s="125"/>
      <c r="L259" s="125"/>
      <c r="M259" s="99"/>
      <c r="N259" s="111"/>
      <c r="O259" s="112"/>
      <c r="P259" s="94"/>
      <c r="Q259" s="120"/>
      <c r="R259" s="113"/>
      <c r="S259" s="94"/>
      <c r="T259" s="94"/>
      <c r="V259" s="104"/>
    </row>
    <row r="260" ht="15.75" customHeight="1">
      <c r="A260" s="91"/>
      <c r="B260" s="131"/>
      <c r="C260" s="132"/>
      <c r="D260" s="94"/>
      <c r="E260" s="132"/>
      <c r="F260" s="132"/>
      <c r="G260" s="94"/>
      <c r="H260" s="93"/>
      <c r="I260" s="94"/>
      <c r="J260" s="94"/>
      <c r="K260" s="126"/>
      <c r="L260" s="126"/>
      <c r="M260" s="99"/>
      <c r="N260" s="111"/>
      <c r="O260" s="112"/>
      <c r="P260" s="94"/>
      <c r="Q260" s="120"/>
      <c r="R260" s="113"/>
      <c r="S260" s="94"/>
      <c r="T260" s="94"/>
      <c r="V260" s="104"/>
    </row>
    <row r="261" ht="15.75" customHeight="1">
      <c r="A261" s="91"/>
      <c r="B261" s="131"/>
      <c r="C261" s="132"/>
      <c r="D261" s="94"/>
      <c r="E261" s="132"/>
      <c r="F261" s="132"/>
      <c r="G261" s="94"/>
      <c r="H261" s="93"/>
      <c r="I261" s="94"/>
      <c r="J261" s="94"/>
      <c r="K261" s="125"/>
      <c r="L261" s="125"/>
      <c r="M261" s="99"/>
      <c r="N261" s="111"/>
      <c r="O261" s="112"/>
      <c r="P261" s="94"/>
      <c r="Q261" s="120"/>
      <c r="R261" s="113"/>
      <c r="S261" s="94"/>
      <c r="T261" s="94"/>
      <c r="V261" s="104"/>
    </row>
    <row r="262" ht="15.75" customHeight="1">
      <c r="A262" s="91"/>
      <c r="B262" s="131"/>
      <c r="C262" s="132"/>
      <c r="D262" s="94"/>
      <c r="E262" s="132"/>
      <c r="F262" s="132"/>
      <c r="G262" s="94"/>
      <c r="H262" s="93"/>
      <c r="I262" s="94"/>
      <c r="J262" s="94"/>
      <c r="K262" s="126"/>
      <c r="L262" s="126"/>
      <c r="M262" s="99"/>
      <c r="N262" s="111"/>
      <c r="O262" s="112"/>
      <c r="P262" s="94"/>
      <c r="Q262" s="120"/>
      <c r="R262" s="113"/>
      <c r="S262" s="94"/>
      <c r="T262" s="94"/>
      <c r="V262" s="104"/>
    </row>
    <row r="263" ht="15.75" customHeight="1">
      <c r="A263" s="91"/>
      <c r="B263" s="131"/>
      <c r="C263" s="132"/>
      <c r="D263" s="94"/>
      <c r="E263" s="132"/>
      <c r="F263" s="132"/>
      <c r="G263" s="94"/>
      <c r="H263" s="93"/>
      <c r="I263" s="94"/>
      <c r="J263" s="94"/>
      <c r="K263" s="125"/>
      <c r="L263" s="125"/>
      <c r="M263" s="99"/>
      <c r="N263" s="111"/>
      <c r="O263" s="112"/>
      <c r="P263" s="94"/>
      <c r="Q263" s="120"/>
      <c r="R263" s="113"/>
      <c r="S263" s="94"/>
      <c r="T263" s="94"/>
      <c r="V263" s="104"/>
    </row>
    <row r="264" ht="15.75" customHeight="1">
      <c r="A264" s="91"/>
      <c r="B264" s="131"/>
      <c r="C264" s="132"/>
      <c r="D264" s="94"/>
      <c r="E264" s="132"/>
      <c r="F264" s="132"/>
      <c r="G264" s="94"/>
      <c r="H264" s="93"/>
      <c r="I264" s="94"/>
      <c r="J264" s="94"/>
      <c r="K264" s="126"/>
      <c r="L264" s="126"/>
      <c r="M264" s="99"/>
      <c r="N264" s="111"/>
      <c r="O264" s="112"/>
      <c r="P264" s="94"/>
      <c r="Q264" s="120"/>
      <c r="R264" s="113"/>
      <c r="S264" s="94"/>
      <c r="T264" s="94"/>
      <c r="V264" s="104"/>
    </row>
    <row r="265" ht="15.75" customHeight="1">
      <c r="A265" s="91"/>
      <c r="B265" s="131"/>
      <c r="C265" s="104"/>
      <c r="D265" s="94"/>
      <c r="E265" s="132"/>
      <c r="F265" s="132"/>
      <c r="G265" s="94"/>
      <c r="H265" s="93"/>
      <c r="I265" s="94"/>
      <c r="J265" s="94"/>
      <c r="K265" s="125"/>
      <c r="L265" s="125"/>
      <c r="M265" s="99"/>
      <c r="N265" s="111"/>
      <c r="O265" s="112"/>
      <c r="P265" s="94"/>
      <c r="Q265" s="120"/>
      <c r="R265" s="113"/>
      <c r="S265" s="94"/>
      <c r="T265" s="94"/>
      <c r="V265" s="104"/>
    </row>
    <row r="266" ht="15.75" customHeight="1">
      <c r="A266" s="91"/>
      <c r="B266" s="131"/>
      <c r="C266" s="132"/>
      <c r="D266" s="94"/>
      <c r="E266" s="132"/>
      <c r="F266" s="132"/>
      <c r="G266" s="94"/>
      <c r="H266" s="93"/>
      <c r="I266" s="94"/>
      <c r="J266" s="94"/>
      <c r="K266" s="126"/>
      <c r="L266" s="126"/>
      <c r="M266" s="99"/>
      <c r="N266" s="111"/>
      <c r="O266" s="112"/>
      <c r="P266" s="94"/>
      <c r="Q266" s="120"/>
      <c r="R266" s="113"/>
      <c r="S266" s="94"/>
      <c r="T266" s="94"/>
      <c r="V266" s="104"/>
    </row>
    <row r="267" ht="15.75" customHeight="1">
      <c r="A267" s="91"/>
      <c r="B267" s="131"/>
      <c r="C267" s="132"/>
      <c r="D267" s="94"/>
      <c r="E267" s="132"/>
      <c r="F267" s="132"/>
      <c r="G267" s="94"/>
      <c r="H267" s="93"/>
      <c r="I267" s="94"/>
      <c r="J267" s="94"/>
      <c r="K267" s="125"/>
      <c r="L267" s="125"/>
      <c r="M267" s="99"/>
      <c r="N267" s="111"/>
      <c r="O267" s="112"/>
      <c r="P267" s="94"/>
      <c r="Q267" s="120"/>
      <c r="R267" s="113"/>
      <c r="S267" s="94"/>
      <c r="T267" s="94"/>
      <c r="V267" s="104"/>
    </row>
    <row r="268" ht="15.75" customHeight="1">
      <c r="A268" s="91"/>
      <c r="B268" s="131"/>
      <c r="C268" s="132"/>
      <c r="D268" s="94"/>
      <c r="E268" s="132"/>
      <c r="F268" s="132"/>
      <c r="G268" s="94"/>
      <c r="H268" s="93"/>
      <c r="I268" s="94"/>
      <c r="J268" s="94"/>
      <c r="K268" s="126"/>
      <c r="L268" s="126"/>
      <c r="M268" s="99"/>
      <c r="N268" s="111"/>
      <c r="O268" s="112"/>
      <c r="P268" s="94"/>
      <c r="Q268" s="120"/>
      <c r="R268" s="113"/>
      <c r="S268" s="94"/>
      <c r="T268" s="94"/>
      <c r="V268" s="104"/>
    </row>
    <row r="269" ht="15.75" customHeight="1">
      <c r="A269" s="91"/>
      <c r="B269" s="131"/>
      <c r="C269" s="132"/>
      <c r="D269" s="94"/>
      <c r="E269" s="132"/>
      <c r="F269" s="132"/>
      <c r="G269" s="94"/>
      <c r="H269" s="93"/>
      <c r="I269" s="94"/>
      <c r="J269" s="94"/>
      <c r="K269" s="125"/>
      <c r="L269" s="125"/>
      <c r="M269" s="99"/>
      <c r="N269" s="111"/>
      <c r="O269" s="112"/>
      <c r="P269" s="94"/>
      <c r="Q269" s="120"/>
      <c r="R269" s="113"/>
      <c r="S269" s="94"/>
      <c r="T269" s="94"/>
      <c r="V269" s="104"/>
    </row>
    <row r="270" ht="15.75" customHeight="1">
      <c r="A270" s="91"/>
      <c r="B270" s="131"/>
      <c r="C270" s="132"/>
      <c r="D270" s="94"/>
      <c r="E270" s="132"/>
      <c r="F270" s="132"/>
      <c r="G270" s="94"/>
      <c r="H270" s="93"/>
      <c r="I270" s="94"/>
      <c r="J270" s="94"/>
      <c r="K270" s="126"/>
      <c r="L270" s="126"/>
      <c r="M270" s="99"/>
      <c r="N270" s="111"/>
      <c r="O270" s="112"/>
      <c r="P270" s="94"/>
      <c r="Q270" s="120"/>
      <c r="R270" s="113"/>
      <c r="S270" s="94"/>
      <c r="T270" s="94"/>
      <c r="V270" s="104"/>
    </row>
    <row r="271" ht="15.75" customHeight="1">
      <c r="A271" s="91"/>
      <c r="B271" s="131"/>
      <c r="C271" s="104"/>
      <c r="D271" s="94"/>
      <c r="E271" s="132"/>
      <c r="F271" s="132"/>
      <c r="G271" s="94"/>
      <c r="H271" s="93"/>
      <c r="I271" s="94"/>
      <c r="J271" s="94"/>
      <c r="K271" s="125"/>
      <c r="L271" s="125"/>
      <c r="M271" s="99"/>
      <c r="N271" s="111"/>
      <c r="O271" s="112"/>
      <c r="P271" s="94"/>
      <c r="Q271" s="120"/>
      <c r="R271" s="113"/>
      <c r="S271" s="94"/>
      <c r="T271" s="94"/>
      <c r="V271" s="104"/>
    </row>
    <row r="272" ht="15.75" customHeight="1">
      <c r="A272" s="91"/>
      <c r="B272" s="131"/>
      <c r="C272" s="132"/>
      <c r="D272" s="94"/>
      <c r="E272" s="132"/>
      <c r="F272" s="132"/>
      <c r="G272" s="94"/>
      <c r="H272" s="93"/>
      <c r="I272" s="94"/>
      <c r="J272" s="94"/>
      <c r="K272" s="126"/>
      <c r="L272" s="126"/>
      <c r="M272" s="99"/>
      <c r="N272" s="111"/>
      <c r="O272" s="112"/>
      <c r="P272" s="94"/>
      <c r="Q272" s="120"/>
      <c r="R272" s="113"/>
      <c r="S272" s="94"/>
      <c r="T272" s="94"/>
      <c r="V272" s="104"/>
    </row>
    <row r="273" ht="15.75" customHeight="1">
      <c r="A273" s="91"/>
      <c r="B273" s="131"/>
      <c r="C273" s="132"/>
      <c r="D273" s="94"/>
      <c r="E273" s="132"/>
      <c r="F273" s="132"/>
      <c r="G273" s="94"/>
      <c r="H273" s="93"/>
      <c r="I273" s="94"/>
      <c r="J273" s="94"/>
      <c r="K273" s="125"/>
      <c r="L273" s="125"/>
      <c r="M273" s="99"/>
      <c r="N273" s="111"/>
      <c r="O273" s="112"/>
      <c r="P273" s="94"/>
      <c r="Q273" s="120"/>
      <c r="R273" s="113"/>
      <c r="S273" s="94"/>
      <c r="T273" s="94"/>
      <c r="V273" s="104"/>
    </row>
    <row r="274" ht="15.75" customHeight="1">
      <c r="A274" s="91"/>
      <c r="B274" s="131"/>
      <c r="C274" s="132"/>
      <c r="D274" s="94"/>
      <c r="E274" s="132"/>
      <c r="F274" s="132"/>
      <c r="G274" s="94"/>
      <c r="H274" s="93"/>
      <c r="I274" s="94"/>
      <c r="J274" s="94"/>
      <c r="K274" s="126"/>
      <c r="L274" s="126"/>
      <c r="M274" s="99"/>
      <c r="N274" s="111"/>
      <c r="O274" s="112"/>
      <c r="P274" s="94"/>
      <c r="Q274" s="120"/>
      <c r="R274" s="113"/>
      <c r="S274" s="94"/>
      <c r="T274" s="94"/>
      <c r="V274" s="104"/>
    </row>
    <row r="275" ht="15.75" customHeight="1">
      <c r="A275" s="91"/>
      <c r="B275" s="131"/>
      <c r="C275" s="132"/>
      <c r="D275" s="94"/>
      <c r="E275" s="132"/>
      <c r="F275" s="132"/>
      <c r="G275" s="94"/>
      <c r="H275" s="93"/>
      <c r="I275" s="94"/>
      <c r="J275" s="94"/>
      <c r="K275" s="125"/>
      <c r="L275" s="125"/>
      <c r="M275" s="99"/>
      <c r="N275" s="111"/>
      <c r="O275" s="112"/>
      <c r="P275" s="94"/>
      <c r="Q275" s="120"/>
      <c r="R275" s="113"/>
      <c r="S275" s="94"/>
      <c r="T275" s="94"/>
      <c r="V275" s="104"/>
    </row>
    <row r="276" ht="15.75" customHeight="1">
      <c r="A276" s="91"/>
      <c r="B276" s="131"/>
      <c r="C276" s="132"/>
      <c r="D276" s="94"/>
      <c r="E276" s="132"/>
      <c r="F276" s="132"/>
      <c r="G276" s="94"/>
      <c r="H276" s="93"/>
      <c r="I276" s="94"/>
      <c r="J276" s="94"/>
      <c r="K276" s="126"/>
      <c r="L276" s="126"/>
      <c r="M276" s="99"/>
      <c r="N276" s="111"/>
      <c r="O276" s="112"/>
      <c r="P276" s="94"/>
      <c r="Q276" s="120"/>
      <c r="R276" s="113"/>
      <c r="S276" s="94"/>
      <c r="T276" s="94"/>
      <c r="V276" s="104"/>
    </row>
    <row r="277" ht="15.75" customHeight="1">
      <c r="A277" s="91"/>
      <c r="B277" s="131"/>
      <c r="C277" s="104"/>
      <c r="D277" s="94"/>
      <c r="E277" s="132"/>
      <c r="F277" s="132"/>
      <c r="G277" s="94"/>
      <c r="H277" s="93"/>
      <c r="I277" s="94"/>
      <c r="J277" s="94"/>
      <c r="K277" s="125"/>
      <c r="L277" s="125"/>
      <c r="M277" s="99"/>
      <c r="N277" s="111"/>
      <c r="O277" s="112"/>
      <c r="P277" s="94"/>
      <c r="Q277" s="120"/>
      <c r="R277" s="113"/>
      <c r="S277" s="94"/>
      <c r="T277" s="94"/>
      <c r="V277" s="104"/>
    </row>
    <row r="278" ht="15.75" customHeight="1">
      <c r="A278" s="91"/>
      <c r="B278" s="131"/>
      <c r="C278" s="132"/>
      <c r="D278" s="94"/>
      <c r="E278" s="132"/>
      <c r="F278" s="132"/>
      <c r="G278" s="94"/>
      <c r="H278" s="93"/>
      <c r="I278" s="94"/>
      <c r="J278" s="94"/>
      <c r="K278" s="126"/>
      <c r="L278" s="126"/>
      <c r="M278" s="99"/>
      <c r="N278" s="111"/>
      <c r="O278" s="112"/>
      <c r="P278" s="94"/>
      <c r="Q278" s="120"/>
      <c r="R278" s="113"/>
      <c r="S278" s="94"/>
      <c r="T278" s="94"/>
      <c r="V278" s="104"/>
    </row>
    <row r="279" ht="15.75" customHeight="1">
      <c r="A279" s="91"/>
      <c r="B279" s="131"/>
      <c r="C279" s="132"/>
      <c r="D279" s="94"/>
      <c r="E279" s="132"/>
      <c r="F279" s="132"/>
      <c r="G279" s="94"/>
      <c r="H279" s="93"/>
      <c r="I279" s="94"/>
      <c r="J279" s="94"/>
      <c r="K279" s="125"/>
      <c r="L279" s="125"/>
      <c r="M279" s="99"/>
      <c r="N279" s="111"/>
      <c r="O279" s="112"/>
      <c r="P279" s="94"/>
      <c r="Q279" s="120"/>
      <c r="R279" s="113"/>
      <c r="S279" s="94"/>
      <c r="T279" s="94"/>
      <c r="V279" s="104"/>
    </row>
    <row r="280" ht="15.75" customHeight="1">
      <c r="A280" s="91"/>
      <c r="B280" s="131"/>
      <c r="C280" s="132"/>
      <c r="D280" s="94"/>
      <c r="E280" s="132"/>
      <c r="F280" s="132"/>
      <c r="G280" s="94"/>
      <c r="H280" s="93"/>
      <c r="I280" s="94"/>
      <c r="J280" s="94"/>
      <c r="K280" s="126"/>
      <c r="L280" s="126"/>
      <c r="M280" s="99"/>
      <c r="N280" s="111"/>
      <c r="O280" s="112"/>
      <c r="P280" s="94"/>
      <c r="Q280" s="120"/>
      <c r="R280" s="113"/>
      <c r="S280" s="94"/>
      <c r="T280" s="94"/>
      <c r="V280" s="104"/>
    </row>
    <row r="281" ht="15.75" customHeight="1">
      <c r="A281" s="91"/>
      <c r="B281" s="131"/>
      <c r="C281" s="132"/>
      <c r="D281" s="94"/>
      <c r="E281" s="132"/>
      <c r="F281" s="132"/>
      <c r="G281" s="94"/>
      <c r="H281" s="93"/>
      <c r="I281" s="94"/>
      <c r="J281" s="94"/>
      <c r="K281" s="125"/>
      <c r="L281" s="125"/>
      <c r="M281" s="99"/>
      <c r="N281" s="111"/>
      <c r="O281" s="112"/>
      <c r="P281" s="94"/>
      <c r="Q281" s="120"/>
      <c r="R281" s="113"/>
      <c r="S281" s="94"/>
      <c r="T281" s="94"/>
      <c r="V281" s="104"/>
    </row>
    <row r="282" ht="15.75" customHeight="1">
      <c r="A282" s="91"/>
      <c r="B282" s="131"/>
      <c r="C282" s="132"/>
      <c r="D282" s="94"/>
      <c r="E282" s="132"/>
      <c r="F282" s="132"/>
      <c r="G282" s="94"/>
      <c r="H282" s="93"/>
      <c r="I282" s="94"/>
      <c r="J282" s="94"/>
      <c r="K282" s="126"/>
      <c r="L282" s="126"/>
      <c r="M282" s="99"/>
      <c r="N282" s="111"/>
      <c r="O282" s="112"/>
      <c r="P282" s="94"/>
      <c r="Q282" s="120"/>
      <c r="R282" s="113"/>
      <c r="S282" s="94"/>
      <c r="T282" s="94"/>
      <c r="V282" s="104"/>
    </row>
    <row r="283" ht="15.75" customHeight="1">
      <c r="A283" s="91"/>
      <c r="B283" s="131"/>
      <c r="C283" s="104"/>
      <c r="D283" s="94"/>
      <c r="E283" s="132"/>
      <c r="F283" s="132"/>
      <c r="G283" s="94"/>
      <c r="H283" s="93"/>
      <c r="I283" s="94"/>
      <c r="J283" s="94"/>
      <c r="K283" s="125"/>
      <c r="L283" s="125"/>
      <c r="M283" s="99"/>
      <c r="N283" s="111"/>
      <c r="O283" s="112"/>
      <c r="P283" s="94"/>
      <c r="Q283" s="120"/>
      <c r="R283" s="113"/>
      <c r="S283" s="94"/>
      <c r="T283" s="94"/>
      <c r="V283" s="104"/>
    </row>
    <row r="284" ht="15.75" customHeight="1">
      <c r="A284" s="91"/>
      <c r="B284" s="131"/>
      <c r="C284" s="132"/>
      <c r="D284" s="94"/>
      <c r="E284" s="132"/>
      <c r="F284" s="132"/>
      <c r="G284" s="94"/>
      <c r="H284" s="93"/>
      <c r="I284" s="94"/>
      <c r="J284" s="94"/>
      <c r="K284" s="126"/>
      <c r="L284" s="126"/>
      <c r="M284" s="99"/>
      <c r="N284" s="111"/>
      <c r="O284" s="112"/>
      <c r="P284" s="94"/>
      <c r="Q284" s="120"/>
      <c r="R284" s="113"/>
      <c r="S284" s="94"/>
      <c r="T284" s="94"/>
      <c r="V284" s="104"/>
    </row>
    <row r="285" ht="15.75" customHeight="1">
      <c r="A285" s="91"/>
      <c r="B285" s="131"/>
      <c r="C285" s="132"/>
      <c r="D285" s="94"/>
      <c r="E285" s="132"/>
      <c r="F285" s="132"/>
      <c r="G285" s="94"/>
      <c r="H285" s="93"/>
      <c r="I285" s="94"/>
      <c r="J285" s="94"/>
      <c r="K285" s="125"/>
      <c r="L285" s="125"/>
      <c r="M285" s="99"/>
      <c r="N285" s="111"/>
      <c r="O285" s="112"/>
      <c r="P285" s="94"/>
      <c r="Q285" s="120"/>
      <c r="R285" s="113"/>
      <c r="S285" s="94"/>
      <c r="T285" s="94"/>
      <c r="V285" s="104"/>
    </row>
    <row r="286" ht="15.75" customHeight="1">
      <c r="A286" s="91"/>
      <c r="B286" s="131"/>
      <c r="C286" s="132"/>
      <c r="D286" s="94"/>
      <c r="E286" s="132"/>
      <c r="F286" s="132"/>
      <c r="G286" s="94"/>
      <c r="H286" s="93"/>
      <c r="I286" s="94"/>
      <c r="J286" s="94"/>
      <c r="K286" s="126"/>
      <c r="L286" s="126"/>
      <c r="M286" s="99"/>
      <c r="N286" s="111"/>
      <c r="O286" s="112"/>
      <c r="P286" s="94"/>
      <c r="Q286" s="120"/>
      <c r="R286" s="113"/>
      <c r="S286" s="94"/>
      <c r="T286" s="94"/>
      <c r="V286" s="104"/>
    </row>
    <row r="287" ht="15.75" customHeight="1">
      <c r="A287" s="91"/>
      <c r="B287" s="131"/>
      <c r="C287" s="132"/>
      <c r="D287" s="94"/>
      <c r="E287" s="132"/>
      <c r="F287" s="132"/>
      <c r="G287" s="94"/>
      <c r="H287" s="93"/>
      <c r="I287" s="94"/>
      <c r="J287" s="94"/>
      <c r="K287" s="125"/>
      <c r="L287" s="125"/>
      <c r="M287" s="99"/>
      <c r="N287" s="111"/>
      <c r="O287" s="112"/>
      <c r="P287" s="94"/>
      <c r="Q287" s="120"/>
      <c r="R287" s="113"/>
      <c r="S287" s="94"/>
      <c r="T287" s="94"/>
      <c r="V287" s="104"/>
    </row>
    <row r="288" ht="15.75" customHeight="1">
      <c r="A288" s="91"/>
      <c r="B288" s="131"/>
      <c r="C288" s="132"/>
      <c r="D288" s="94"/>
      <c r="E288" s="132"/>
      <c r="F288" s="132"/>
      <c r="G288" s="94"/>
      <c r="H288" s="93"/>
      <c r="I288" s="94"/>
      <c r="J288" s="94"/>
      <c r="K288" s="126"/>
      <c r="L288" s="126"/>
      <c r="M288" s="99"/>
      <c r="N288" s="111"/>
      <c r="O288" s="112"/>
      <c r="P288" s="94"/>
      <c r="Q288" s="120"/>
      <c r="R288" s="113"/>
      <c r="S288" s="94"/>
      <c r="T288" s="94"/>
      <c r="V288" s="104"/>
    </row>
    <row r="289" ht="15.75" customHeight="1">
      <c r="A289" s="91"/>
      <c r="B289" s="131"/>
      <c r="C289" s="104"/>
      <c r="D289" s="94"/>
      <c r="E289" s="132"/>
      <c r="F289" s="132"/>
      <c r="G289" s="94"/>
      <c r="H289" s="93"/>
      <c r="I289" s="94"/>
      <c r="J289" s="94"/>
      <c r="K289" s="125"/>
      <c r="L289" s="125"/>
      <c r="M289" s="99"/>
      <c r="N289" s="111"/>
      <c r="O289" s="112"/>
      <c r="P289" s="94"/>
      <c r="Q289" s="120"/>
      <c r="R289" s="113"/>
      <c r="S289" s="94"/>
      <c r="T289" s="94"/>
      <c r="V289" s="104"/>
    </row>
    <row r="290" ht="15.75" customHeight="1">
      <c r="A290" s="91"/>
      <c r="B290" s="131"/>
      <c r="C290" s="132"/>
      <c r="D290" s="94"/>
      <c r="E290" s="132"/>
      <c r="F290" s="132"/>
      <c r="G290" s="94"/>
      <c r="H290" s="93"/>
      <c r="I290" s="94"/>
      <c r="J290" s="94"/>
      <c r="K290" s="126"/>
      <c r="L290" s="126"/>
      <c r="M290" s="99"/>
      <c r="N290" s="111"/>
      <c r="O290" s="112"/>
      <c r="P290" s="94"/>
      <c r="Q290" s="120"/>
      <c r="R290" s="113"/>
      <c r="S290" s="94"/>
      <c r="T290" s="94"/>
      <c r="V290" s="104"/>
    </row>
    <row r="291" ht="15.75" customHeight="1">
      <c r="A291" s="91"/>
      <c r="B291" s="131"/>
      <c r="C291" s="132"/>
      <c r="D291" s="94"/>
      <c r="E291" s="132"/>
      <c r="F291" s="132"/>
      <c r="G291" s="94"/>
      <c r="H291" s="93"/>
      <c r="I291" s="94"/>
      <c r="J291" s="94"/>
      <c r="K291" s="125"/>
      <c r="L291" s="125"/>
      <c r="M291" s="99"/>
      <c r="N291" s="111"/>
      <c r="O291" s="112"/>
      <c r="P291" s="94"/>
      <c r="Q291" s="120"/>
      <c r="R291" s="113"/>
      <c r="S291" s="94"/>
      <c r="T291" s="94"/>
      <c r="V291" s="104"/>
    </row>
    <row r="292" ht="15.75" customHeight="1">
      <c r="A292" s="91"/>
      <c r="B292" s="131"/>
      <c r="C292" s="132"/>
      <c r="D292" s="94"/>
      <c r="E292" s="132"/>
      <c r="F292" s="132"/>
      <c r="G292" s="94"/>
      <c r="H292" s="93"/>
      <c r="I292" s="94"/>
      <c r="J292" s="94"/>
      <c r="K292" s="126"/>
      <c r="L292" s="126"/>
      <c r="M292" s="99"/>
      <c r="N292" s="111"/>
      <c r="O292" s="112"/>
      <c r="P292" s="94"/>
      <c r="Q292" s="120"/>
      <c r="R292" s="113"/>
      <c r="S292" s="94"/>
      <c r="T292" s="94"/>
      <c r="V292" s="104"/>
    </row>
    <row r="293" ht="15.75" customHeight="1">
      <c r="A293" s="91"/>
      <c r="B293" s="131"/>
      <c r="C293" s="132"/>
      <c r="D293" s="94"/>
      <c r="E293" s="132"/>
      <c r="F293" s="132"/>
      <c r="G293" s="94"/>
      <c r="H293" s="93"/>
      <c r="I293" s="94"/>
      <c r="J293" s="94"/>
      <c r="K293" s="125"/>
      <c r="L293" s="125"/>
      <c r="M293" s="99"/>
      <c r="N293" s="111"/>
      <c r="O293" s="112"/>
      <c r="P293" s="94"/>
      <c r="Q293" s="120"/>
      <c r="R293" s="113"/>
      <c r="S293" s="94"/>
      <c r="T293" s="94"/>
      <c r="V293" s="104"/>
    </row>
    <row r="294" ht="15.75" customHeight="1">
      <c r="A294" s="91"/>
      <c r="B294" s="131"/>
      <c r="C294" s="132"/>
      <c r="D294" s="94"/>
      <c r="E294" s="132"/>
      <c r="F294" s="132"/>
      <c r="G294" s="94"/>
      <c r="H294" s="93"/>
      <c r="I294" s="94"/>
      <c r="J294" s="94"/>
      <c r="K294" s="126"/>
      <c r="L294" s="126"/>
      <c r="M294" s="99"/>
      <c r="N294" s="111"/>
      <c r="O294" s="112"/>
      <c r="P294" s="94"/>
      <c r="Q294" s="120"/>
      <c r="R294" s="113"/>
      <c r="S294" s="94"/>
      <c r="T294" s="94"/>
      <c r="V294" s="104"/>
    </row>
    <row r="295" ht="15.75" customHeight="1">
      <c r="A295" s="91"/>
      <c r="B295" s="131"/>
      <c r="C295" s="104"/>
      <c r="D295" s="94"/>
      <c r="E295" s="132"/>
      <c r="F295" s="132"/>
      <c r="G295" s="94"/>
      <c r="H295" s="93"/>
      <c r="I295" s="94"/>
      <c r="J295" s="94"/>
      <c r="K295" s="125"/>
      <c r="L295" s="125"/>
      <c r="M295" s="99"/>
      <c r="N295" s="111"/>
      <c r="O295" s="112"/>
      <c r="P295" s="94"/>
      <c r="Q295" s="120"/>
      <c r="R295" s="113"/>
      <c r="S295" s="94"/>
      <c r="T295" s="94"/>
      <c r="V295" s="104"/>
    </row>
    <row r="296" ht="15.75" customHeight="1">
      <c r="A296" s="91"/>
      <c r="B296" s="131"/>
      <c r="C296" s="132"/>
      <c r="D296" s="94"/>
      <c r="E296" s="132"/>
      <c r="F296" s="132"/>
      <c r="G296" s="94"/>
      <c r="H296" s="93"/>
      <c r="I296" s="94"/>
      <c r="J296" s="94"/>
      <c r="K296" s="126"/>
      <c r="L296" s="126"/>
      <c r="M296" s="99"/>
      <c r="N296" s="111"/>
      <c r="O296" s="112"/>
      <c r="P296" s="94"/>
      <c r="Q296" s="120"/>
      <c r="R296" s="113"/>
      <c r="S296" s="94"/>
      <c r="T296" s="94"/>
      <c r="V296" s="104"/>
    </row>
    <row r="297" ht="15.75" customHeight="1">
      <c r="A297" s="91"/>
      <c r="B297" s="131"/>
      <c r="C297" s="132"/>
      <c r="D297" s="94"/>
      <c r="E297" s="132"/>
      <c r="F297" s="132"/>
      <c r="G297" s="94"/>
      <c r="H297" s="93"/>
      <c r="I297" s="94"/>
      <c r="J297" s="94"/>
      <c r="K297" s="125"/>
      <c r="L297" s="125"/>
      <c r="M297" s="99"/>
      <c r="N297" s="111"/>
      <c r="O297" s="112"/>
      <c r="P297" s="94"/>
      <c r="Q297" s="120"/>
      <c r="R297" s="113"/>
      <c r="S297" s="94"/>
      <c r="T297" s="94"/>
      <c r="V297" s="104"/>
    </row>
    <row r="298" ht="15.75" customHeight="1">
      <c r="A298" s="91"/>
      <c r="B298" s="131"/>
      <c r="C298" s="132"/>
      <c r="D298" s="94"/>
      <c r="E298" s="132"/>
      <c r="F298" s="132"/>
      <c r="G298" s="94"/>
      <c r="H298" s="93"/>
      <c r="I298" s="94"/>
      <c r="J298" s="94"/>
      <c r="K298" s="126"/>
      <c r="L298" s="126"/>
      <c r="M298" s="99"/>
      <c r="N298" s="111"/>
      <c r="O298" s="112"/>
      <c r="P298" s="94"/>
      <c r="Q298" s="120"/>
      <c r="R298" s="113"/>
      <c r="S298" s="94"/>
      <c r="T298" s="94"/>
      <c r="V298" s="104"/>
    </row>
    <row r="299" ht="15.75" customHeight="1">
      <c r="A299" s="91"/>
      <c r="B299" s="131"/>
      <c r="C299" s="132"/>
      <c r="D299" s="94"/>
      <c r="E299" s="132"/>
      <c r="F299" s="132"/>
      <c r="G299" s="94"/>
      <c r="H299" s="93"/>
      <c r="I299" s="94"/>
      <c r="J299" s="94"/>
      <c r="K299" s="125"/>
      <c r="L299" s="125"/>
      <c r="M299" s="99"/>
      <c r="N299" s="111"/>
      <c r="O299" s="112"/>
      <c r="P299" s="94"/>
      <c r="Q299" s="120"/>
      <c r="R299" s="113"/>
      <c r="S299" s="94"/>
      <c r="T299" s="94"/>
      <c r="V299" s="104"/>
    </row>
    <row r="300" ht="15.75" customHeight="1">
      <c r="A300" s="91"/>
      <c r="B300" s="131"/>
      <c r="C300" s="132"/>
      <c r="D300" s="94"/>
      <c r="E300" s="132"/>
      <c r="F300" s="132"/>
      <c r="G300" s="94"/>
      <c r="H300" s="93"/>
      <c r="I300" s="94"/>
      <c r="J300" s="94"/>
      <c r="K300" s="126"/>
      <c r="L300" s="126"/>
      <c r="M300" s="99"/>
      <c r="N300" s="111"/>
      <c r="O300" s="112"/>
      <c r="P300" s="94"/>
      <c r="Q300" s="120"/>
      <c r="R300" s="113"/>
      <c r="S300" s="94"/>
      <c r="T300" s="94"/>
      <c r="V300" s="104"/>
    </row>
    <row r="301" ht="15.75" customHeight="1">
      <c r="A301" s="91"/>
      <c r="B301" s="131"/>
      <c r="C301" s="104"/>
      <c r="D301" s="94"/>
      <c r="E301" s="132"/>
      <c r="F301" s="132"/>
      <c r="G301" s="94"/>
      <c r="H301" s="93"/>
      <c r="I301" s="94"/>
      <c r="J301" s="94"/>
      <c r="K301" s="125"/>
      <c r="L301" s="125"/>
      <c r="M301" s="99"/>
      <c r="N301" s="111"/>
      <c r="O301" s="112"/>
      <c r="P301" s="94"/>
      <c r="Q301" s="120"/>
      <c r="R301" s="113"/>
      <c r="S301" s="94"/>
      <c r="T301" s="94"/>
      <c r="V301" s="104"/>
    </row>
    <row r="302" ht="15.75" customHeight="1">
      <c r="A302" s="91"/>
      <c r="B302" s="131"/>
      <c r="C302" s="132"/>
      <c r="D302" s="94"/>
      <c r="E302" s="132"/>
      <c r="F302" s="132"/>
      <c r="G302" s="94"/>
      <c r="H302" s="93"/>
      <c r="I302" s="94"/>
      <c r="J302" s="94"/>
      <c r="K302" s="126"/>
      <c r="L302" s="126"/>
      <c r="M302" s="99"/>
      <c r="N302" s="111"/>
      <c r="O302" s="112"/>
      <c r="P302" s="94"/>
      <c r="Q302" s="120"/>
      <c r="R302" s="113"/>
      <c r="S302" s="94"/>
      <c r="T302" s="94"/>
      <c r="V302" s="104"/>
    </row>
    <row r="303" ht="15.75" customHeight="1">
      <c r="A303" s="91"/>
      <c r="B303" s="131"/>
      <c r="C303" s="132"/>
      <c r="D303" s="94"/>
      <c r="E303" s="132"/>
      <c r="F303" s="132"/>
      <c r="G303" s="94"/>
      <c r="H303" s="93"/>
      <c r="I303" s="94"/>
      <c r="J303" s="94"/>
      <c r="K303" s="125"/>
      <c r="L303" s="125"/>
      <c r="M303" s="99"/>
      <c r="N303" s="111"/>
      <c r="O303" s="112"/>
      <c r="P303" s="94"/>
      <c r="Q303" s="120"/>
      <c r="R303" s="113"/>
      <c r="S303" s="94"/>
      <c r="T303" s="94"/>
      <c r="V303" s="104"/>
    </row>
    <row r="304" ht="15.75" customHeight="1">
      <c r="A304" s="91"/>
      <c r="B304" s="131"/>
      <c r="C304" s="132"/>
      <c r="D304" s="94"/>
      <c r="E304" s="132"/>
      <c r="F304" s="132"/>
      <c r="G304" s="94"/>
      <c r="H304" s="93"/>
      <c r="I304" s="94"/>
      <c r="J304" s="94"/>
      <c r="K304" s="126"/>
      <c r="L304" s="126"/>
      <c r="M304" s="99"/>
      <c r="N304" s="111"/>
      <c r="O304" s="112"/>
      <c r="P304" s="94"/>
      <c r="Q304" s="120"/>
      <c r="R304" s="113"/>
      <c r="S304" s="94"/>
      <c r="T304" s="94"/>
      <c r="V304" s="104"/>
    </row>
    <row r="305" ht="15.75" customHeight="1">
      <c r="A305" s="91"/>
      <c r="B305" s="131"/>
      <c r="C305" s="132"/>
      <c r="D305" s="94"/>
      <c r="E305" s="132"/>
      <c r="F305" s="132"/>
      <c r="G305" s="94"/>
      <c r="H305" s="93"/>
      <c r="I305" s="94"/>
      <c r="J305" s="94"/>
      <c r="K305" s="125"/>
      <c r="L305" s="125"/>
      <c r="M305" s="99"/>
      <c r="N305" s="111"/>
      <c r="O305" s="112"/>
      <c r="P305" s="94"/>
      <c r="Q305" s="120"/>
      <c r="R305" s="113"/>
      <c r="S305" s="94"/>
      <c r="T305" s="94"/>
      <c r="V305" s="104"/>
    </row>
    <row r="306" ht="15.75" customHeight="1">
      <c r="A306" s="91"/>
      <c r="B306" s="131"/>
      <c r="C306" s="132"/>
      <c r="D306" s="94"/>
      <c r="E306" s="132"/>
      <c r="F306" s="132"/>
      <c r="G306" s="94"/>
      <c r="H306" s="93"/>
      <c r="I306" s="94"/>
      <c r="J306" s="94"/>
      <c r="K306" s="126"/>
      <c r="L306" s="126"/>
      <c r="M306" s="99"/>
      <c r="N306" s="111"/>
      <c r="O306" s="112"/>
      <c r="P306" s="94"/>
      <c r="Q306" s="120"/>
      <c r="R306" s="113"/>
      <c r="S306" s="94"/>
      <c r="T306" s="94"/>
      <c r="V306" s="104"/>
    </row>
    <row r="307" ht="15.75" customHeight="1">
      <c r="A307" s="91"/>
      <c r="B307" s="131"/>
      <c r="C307" s="104"/>
      <c r="D307" s="94"/>
      <c r="E307" s="132"/>
      <c r="F307" s="132"/>
      <c r="G307" s="94"/>
      <c r="H307" s="93"/>
      <c r="I307" s="94"/>
      <c r="J307" s="94"/>
      <c r="K307" s="125"/>
      <c r="L307" s="125"/>
      <c r="M307" s="99"/>
      <c r="N307" s="111"/>
      <c r="O307" s="112"/>
      <c r="P307" s="94"/>
      <c r="Q307" s="120"/>
      <c r="R307" s="113"/>
      <c r="S307" s="94"/>
      <c r="T307" s="94"/>
      <c r="V307" s="104"/>
    </row>
    <row r="308" ht="15.75" customHeight="1">
      <c r="A308" s="91"/>
      <c r="B308" s="131"/>
      <c r="C308" s="132"/>
      <c r="D308" s="94"/>
      <c r="E308" s="132"/>
      <c r="F308" s="132"/>
      <c r="G308" s="94"/>
      <c r="H308" s="93"/>
      <c r="I308" s="94"/>
      <c r="J308" s="94"/>
      <c r="K308" s="126"/>
      <c r="L308" s="126"/>
      <c r="M308" s="99"/>
      <c r="N308" s="111"/>
      <c r="O308" s="112"/>
      <c r="P308" s="94"/>
      <c r="Q308" s="120"/>
      <c r="R308" s="113"/>
      <c r="S308" s="94"/>
      <c r="T308" s="94"/>
      <c r="V308" s="104"/>
    </row>
    <row r="309" ht="15.75" customHeight="1">
      <c r="A309" s="91"/>
      <c r="B309" s="131"/>
      <c r="C309" s="132"/>
      <c r="D309" s="94"/>
      <c r="E309" s="132"/>
      <c r="F309" s="132"/>
      <c r="G309" s="94"/>
      <c r="H309" s="93"/>
      <c r="I309" s="94"/>
      <c r="J309" s="94"/>
      <c r="K309" s="125"/>
      <c r="L309" s="125"/>
      <c r="M309" s="99"/>
      <c r="N309" s="111"/>
      <c r="O309" s="112"/>
      <c r="P309" s="94"/>
      <c r="Q309" s="120"/>
      <c r="R309" s="113"/>
      <c r="S309" s="94"/>
      <c r="T309" s="94"/>
      <c r="V309" s="104"/>
    </row>
    <row r="310" ht="15.75" customHeight="1">
      <c r="A310" s="91"/>
      <c r="B310" s="131"/>
      <c r="C310" s="132"/>
      <c r="D310" s="94"/>
      <c r="E310" s="132"/>
      <c r="F310" s="132"/>
      <c r="G310" s="94"/>
      <c r="H310" s="93"/>
      <c r="I310" s="94"/>
      <c r="J310" s="94"/>
      <c r="K310" s="126"/>
      <c r="L310" s="126"/>
      <c r="M310" s="99"/>
      <c r="N310" s="111"/>
      <c r="O310" s="112"/>
      <c r="P310" s="94"/>
      <c r="Q310" s="120"/>
      <c r="R310" s="113"/>
      <c r="S310" s="94"/>
      <c r="T310" s="94"/>
      <c r="V310" s="104"/>
    </row>
    <row r="311" ht="15.75" customHeight="1">
      <c r="A311" s="91"/>
      <c r="B311" s="131"/>
      <c r="C311" s="132"/>
      <c r="D311" s="94"/>
      <c r="E311" s="132"/>
      <c r="F311" s="132"/>
      <c r="G311" s="94"/>
      <c r="H311" s="93"/>
      <c r="I311" s="94"/>
      <c r="J311" s="94"/>
      <c r="K311" s="125"/>
      <c r="L311" s="125"/>
      <c r="M311" s="99"/>
      <c r="N311" s="111"/>
      <c r="O311" s="112"/>
      <c r="P311" s="94"/>
      <c r="Q311" s="120"/>
      <c r="R311" s="113"/>
      <c r="S311" s="94"/>
      <c r="T311" s="94"/>
      <c r="V311" s="104"/>
    </row>
    <row r="312" ht="15.75" customHeight="1">
      <c r="A312" s="91"/>
      <c r="B312" s="131"/>
      <c r="C312" s="132"/>
      <c r="D312" s="94"/>
      <c r="E312" s="132"/>
      <c r="F312" s="132"/>
      <c r="G312" s="94"/>
      <c r="H312" s="93"/>
      <c r="I312" s="94"/>
      <c r="J312" s="94"/>
      <c r="K312" s="126"/>
      <c r="L312" s="126"/>
      <c r="M312" s="99"/>
      <c r="N312" s="111"/>
      <c r="O312" s="112"/>
      <c r="P312" s="94"/>
      <c r="Q312" s="120"/>
      <c r="R312" s="113"/>
      <c r="S312" s="94"/>
      <c r="T312" s="94"/>
      <c r="V312" s="104"/>
    </row>
    <row r="313" ht="15.75" customHeight="1">
      <c r="A313" s="91"/>
      <c r="B313" s="131"/>
      <c r="C313" s="104"/>
      <c r="D313" s="94"/>
      <c r="E313" s="132"/>
      <c r="F313" s="132"/>
      <c r="G313" s="94"/>
      <c r="H313" s="93"/>
      <c r="I313" s="94"/>
      <c r="J313" s="94"/>
      <c r="K313" s="125"/>
      <c r="L313" s="125"/>
      <c r="M313" s="99"/>
      <c r="N313" s="111"/>
      <c r="O313" s="112"/>
      <c r="P313" s="94"/>
      <c r="Q313" s="120"/>
      <c r="R313" s="113"/>
      <c r="S313" s="94"/>
      <c r="T313" s="94"/>
      <c r="V313" s="104"/>
    </row>
    <row r="314" ht="15.75" customHeight="1">
      <c r="A314" s="91"/>
      <c r="B314" s="131"/>
      <c r="C314" s="132"/>
      <c r="D314" s="94"/>
      <c r="E314" s="132"/>
      <c r="F314" s="132"/>
      <c r="G314" s="94"/>
      <c r="H314" s="93"/>
      <c r="I314" s="94"/>
      <c r="J314" s="94"/>
      <c r="K314" s="126"/>
      <c r="L314" s="126"/>
      <c r="M314" s="99"/>
      <c r="N314" s="111"/>
      <c r="O314" s="112"/>
      <c r="P314" s="94"/>
      <c r="Q314" s="120"/>
      <c r="R314" s="113"/>
      <c r="S314" s="94"/>
      <c r="T314" s="94"/>
      <c r="V314" s="104"/>
    </row>
    <row r="315" ht="15.75" customHeight="1">
      <c r="A315" s="91"/>
      <c r="B315" s="131"/>
      <c r="C315" s="132"/>
      <c r="D315" s="94"/>
      <c r="E315" s="132"/>
      <c r="F315" s="132"/>
      <c r="G315" s="94"/>
      <c r="H315" s="93"/>
      <c r="I315" s="94"/>
      <c r="J315" s="94"/>
      <c r="K315" s="125"/>
      <c r="L315" s="125"/>
      <c r="M315" s="99"/>
      <c r="N315" s="111"/>
      <c r="O315" s="112"/>
      <c r="P315" s="94"/>
      <c r="Q315" s="120"/>
      <c r="R315" s="113"/>
      <c r="S315" s="94"/>
      <c r="T315" s="94"/>
      <c r="V315" s="104"/>
    </row>
    <row r="316" ht="15.75" customHeight="1">
      <c r="A316" s="91"/>
      <c r="B316" s="131"/>
      <c r="C316" s="132"/>
      <c r="D316" s="94"/>
      <c r="E316" s="132"/>
      <c r="F316" s="132"/>
      <c r="G316" s="94"/>
      <c r="H316" s="93"/>
      <c r="I316" s="94"/>
      <c r="J316" s="94"/>
      <c r="K316" s="126"/>
      <c r="L316" s="126"/>
      <c r="M316" s="99"/>
      <c r="N316" s="111"/>
      <c r="O316" s="112"/>
      <c r="P316" s="94"/>
      <c r="Q316" s="120"/>
      <c r="R316" s="113"/>
      <c r="S316" s="94"/>
      <c r="T316" s="94"/>
      <c r="V316" s="104"/>
    </row>
    <row r="317" ht="15.75" customHeight="1">
      <c r="A317" s="91"/>
      <c r="B317" s="131"/>
      <c r="C317" s="132"/>
      <c r="D317" s="94"/>
      <c r="E317" s="132"/>
      <c r="F317" s="132"/>
      <c r="G317" s="94"/>
      <c r="H317" s="93"/>
      <c r="I317" s="94"/>
      <c r="J317" s="94"/>
      <c r="K317" s="125"/>
      <c r="L317" s="125"/>
      <c r="M317" s="99"/>
      <c r="N317" s="111"/>
      <c r="O317" s="112"/>
      <c r="P317" s="94"/>
      <c r="Q317" s="120"/>
      <c r="R317" s="113"/>
      <c r="S317" s="94"/>
      <c r="T317" s="94"/>
      <c r="V317" s="104"/>
    </row>
    <row r="318" ht="15.75" customHeight="1">
      <c r="A318" s="91"/>
      <c r="B318" s="131"/>
      <c r="C318" s="132"/>
      <c r="D318" s="94"/>
      <c r="E318" s="132"/>
      <c r="F318" s="132"/>
      <c r="G318" s="94"/>
      <c r="H318" s="93"/>
      <c r="I318" s="94"/>
      <c r="J318" s="94"/>
      <c r="K318" s="126"/>
      <c r="L318" s="126"/>
      <c r="M318" s="99"/>
      <c r="N318" s="111"/>
      <c r="O318" s="112"/>
      <c r="P318" s="94"/>
      <c r="Q318" s="120"/>
      <c r="R318" s="113"/>
      <c r="S318" s="94"/>
      <c r="T318" s="94"/>
      <c r="V318" s="104"/>
    </row>
    <row r="319" ht="15.75" customHeight="1">
      <c r="A319" s="91"/>
      <c r="B319" s="131"/>
      <c r="C319" s="104"/>
      <c r="D319" s="94"/>
      <c r="E319" s="132"/>
      <c r="F319" s="132"/>
      <c r="G319" s="94"/>
      <c r="H319" s="93"/>
      <c r="I319" s="94"/>
      <c r="J319" s="94"/>
      <c r="K319" s="125"/>
      <c r="L319" s="125"/>
      <c r="M319" s="99"/>
      <c r="N319" s="111"/>
      <c r="O319" s="112"/>
      <c r="P319" s="94"/>
      <c r="Q319" s="120"/>
      <c r="R319" s="113"/>
      <c r="S319" s="94"/>
      <c r="T319" s="94"/>
      <c r="V319" s="104"/>
    </row>
    <row r="320" ht="15.75" customHeight="1">
      <c r="A320" s="91"/>
      <c r="B320" s="131"/>
      <c r="C320" s="132"/>
      <c r="D320" s="94"/>
      <c r="E320" s="132"/>
      <c r="F320" s="132"/>
      <c r="G320" s="94"/>
      <c r="H320" s="93"/>
      <c r="I320" s="94"/>
      <c r="J320" s="94"/>
      <c r="K320" s="126"/>
      <c r="L320" s="126"/>
      <c r="M320" s="99"/>
      <c r="N320" s="111"/>
      <c r="O320" s="112"/>
      <c r="P320" s="94"/>
      <c r="Q320" s="120"/>
      <c r="R320" s="113"/>
      <c r="S320" s="94"/>
      <c r="T320" s="94"/>
      <c r="V320" s="104"/>
    </row>
    <row r="321" ht="15.75" customHeight="1">
      <c r="A321" s="91"/>
      <c r="B321" s="131"/>
      <c r="C321" s="132"/>
      <c r="D321" s="94"/>
      <c r="E321" s="132"/>
      <c r="F321" s="132"/>
      <c r="G321" s="94"/>
      <c r="H321" s="93"/>
      <c r="I321" s="94"/>
      <c r="J321" s="94"/>
      <c r="K321" s="125"/>
      <c r="L321" s="125"/>
      <c r="M321" s="99"/>
      <c r="N321" s="111"/>
      <c r="O321" s="112"/>
      <c r="P321" s="94"/>
      <c r="Q321" s="120"/>
      <c r="R321" s="113"/>
      <c r="S321" s="94"/>
      <c r="T321" s="94"/>
      <c r="V321" s="104"/>
    </row>
    <row r="322" ht="15.75" customHeight="1">
      <c r="A322" s="91"/>
      <c r="B322" s="131"/>
      <c r="C322" s="132"/>
      <c r="D322" s="94"/>
      <c r="E322" s="132"/>
      <c r="F322" s="132"/>
      <c r="G322" s="94"/>
      <c r="H322" s="93"/>
      <c r="I322" s="94"/>
      <c r="J322" s="94"/>
      <c r="K322" s="126"/>
      <c r="L322" s="126"/>
      <c r="M322" s="99"/>
      <c r="N322" s="111"/>
      <c r="O322" s="112"/>
      <c r="P322" s="94"/>
      <c r="Q322" s="120"/>
      <c r="R322" s="113"/>
      <c r="S322" s="94"/>
      <c r="T322" s="94"/>
      <c r="V322" s="104"/>
    </row>
    <row r="323" ht="15.75" customHeight="1">
      <c r="A323" s="91"/>
      <c r="B323" s="131"/>
      <c r="C323" s="132"/>
      <c r="D323" s="94"/>
      <c r="E323" s="132"/>
      <c r="F323" s="132"/>
      <c r="G323" s="94"/>
      <c r="H323" s="93"/>
      <c r="I323" s="94"/>
      <c r="J323" s="94"/>
      <c r="K323" s="125"/>
      <c r="L323" s="125"/>
      <c r="M323" s="99"/>
      <c r="N323" s="111"/>
      <c r="O323" s="112"/>
      <c r="P323" s="94"/>
      <c r="Q323" s="120"/>
      <c r="R323" s="113"/>
      <c r="S323" s="94"/>
      <c r="T323" s="94"/>
      <c r="V323" s="104"/>
    </row>
    <row r="324" ht="15.75" customHeight="1">
      <c r="A324" s="91"/>
      <c r="B324" s="131"/>
      <c r="C324" s="132"/>
      <c r="D324" s="94"/>
      <c r="E324" s="132"/>
      <c r="F324" s="132"/>
      <c r="G324" s="94"/>
      <c r="H324" s="93"/>
      <c r="I324" s="94"/>
      <c r="J324" s="94"/>
      <c r="K324" s="126"/>
      <c r="L324" s="126"/>
      <c r="M324" s="99"/>
      <c r="N324" s="111"/>
      <c r="O324" s="112"/>
      <c r="P324" s="94"/>
      <c r="Q324" s="120"/>
      <c r="R324" s="113"/>
      <c r="S324" s="94"/>
      <c r="T324" s="94"/>
      <c r="V324" s="104"/>
    </row>
    <row r="325" ht="15.75" customHeight="1">
      <c r="A325" s="91"/>
      <c r="B325" s="131"/>
      <c r="C325" s="104"/>
      <c r="D325" s="94"/>
      <c r="E325" s="132"/>
      <c r="F325" s="132"/>
      <c r="G325" s="94"/>
      <c r="H325" s="93"/>
      <c r="I325" s="94"/>
      <c r="J325" s="94"/>
      <c r="K325" s="125"/>
      <c r="L325" s="125"/>
      <c r="M325" s="99"/>
      <c r="N325" s="111"/>
      <c r="O325" s="112"/>
      <c r="P325" s="94"/>
      <c r="Q325" s="120"/>
      <c r="R325" s="113"/>
      <c r="S325" s="94"/>
      <c r="T325" s="94"/>
      <c r="V325" s="104"/>
    </row>
    <row r="326" ht="15.75" customHeight="1">
      <c r="A326" s="91"/>
      <c r="B326" s="131"/>
      <c r="C326" s="132"/>
      <c r="D326" s="94"/>
      <c r="E326" s="132"/>
      <c r="F326" s="132"/>
      <c r="G326" s="94"/>
      <c r="H326" s="93"/>
      <c r="I326" s="94"/>
      <c r="J326" s="94"/>
      <c r="K326" s="126"/>
      <c r="L326" s="126"/>
      <c r="M326" s="99"/>
      <c r="N326" s="111"/>
      <c r="O326" s="112"/>
      <c r="P326" s="94"/>
      <c r="Q326" s="120"/>
      <c r="R326" s="113"/>
      <c r="S326" s="94"/>
      <c r="T326" s="94"/>
      <c r="V326" s="104"/>
    </row>
    <row r="327" ht="15.75" customHeight="1">
      <c r="A327" s="91"/>
      <c r="B327" s="131"/>
      <c r="C327" s="132"/>
      <c r="D327" s="94"/>
      <c r="E327" s="132"/>
      <c r="F327" s="132"/>
      <c r="G327" s="94"/>
      <c r="H327" s="93"/>
      <c r="I327" s="94"/>
      <c r="J327" s="94"/>
      <c r="K327" s="125"/>
      <c r="L327" s="125"/>
      <c r="M327" s="99"/>
      <c r="N327" s="111"/>
      <c r="O327" s="112"/>
      <c r="P327" s="94"/>
      <c r="Q327" s="120"/>
      <c r="R327" s="113"/>
      <c r="S327" s="94"/>
      <c r="T327" s="94"/>
      <c r="V327" s="104"/>
    </row>
    <row r="328" ht="15.75" customHeight="1">
      <c r="A328" s="91"/>
      <c r="B328" s="131"/>
      <c r="C328" s="132"/>
      <c r="D328" s="94"/>
      <c r="E328" s="132"/>
      <c r="F328" s="132"/>
      <c r="G328" s="94"/>
      <c r="H328" s="93"/>
      <c r="I328" s="94"/>
      <c r="J328" s="94"/>
      <c r="K328" s="126"/>
      <c r="L328" s="126"/>
      <c r="M328" s="99"/>
      <c r="N328" s="111"/>
      <c r="O328" s="112"/>
      <c r="P328" s="94"/>
      <c r="Q328" s="120"/>
      <c r="R328" s="113"/>
      <c r="S328" s="94"/>
      <c r="T328" s="94"/>
      <c r="V328" s="104"/>
    </row>
    <row r="329" ht="15.75" customHeight="1">
      <c r="A329" s="91"/>
      <c r="B329" s="131"/>
      <c r="C329" s="132"/>
      <c r="D329" s="94"/>
      <c r="E329" s="132"/>
      <c r="F329" s="132"/>
      <c r="G329" s="94"/>
      <c r="H329" s="93"/>
      <c r="I329" s="94"/>
      <c r="J329" s="94"/>
      <c r="K329" s="125"/>
      <c r="L329" s="125"/>
      <c r="M329" s="99"/>
      <c r="N329" s="111"/>
      <c r="O329" s="112"/>
      <c r="P329" s="94"/>
      <c r="Q329" s="120"/>
      <c r="R329" s="113"/>
      <c r="S329" s="94"/>
      <c r="T329" s="94"/>
      <c r="V329" s="104"/>
    </row>
    <row r="330" ht="15.75" customHeight="1">
      <c r="A330" s="91"/>
      <c r="B330" s="131"/>
      <c r="C330" s="132"/>
      <c r="D330" s="94"/>
      <c r="E330" s="132"/>
      <c r="F330" s="132"/>
      <c r="G330" s="94"/>
      <c r="H330" s="93"/>
      <c r="I330" s="94"/>
      <c r="J330" s="94"/>
      <c r="K330" s="126"/>
      <c r="L330" s="126"/>
      <c r="M330" s="99"/>
      <c r="N330" s="111"/>
      <c r="O330" s="112"/>
      <c r="P330" s="94"/>
      <c r="Q330" s="120"/>
      <c r="R330" s="113"/>
      <c r="S330" s="94"/>
      <c r="T330" s="94"/>
      <c r="V330" s="104"/>
    </row>
    <row r="331" ht="15.75" customHeight="1">
      <c r="A331" s="91"/>
      <c r="B331" s="131"/>
      <c r="C331" s="104"/>
      <c r="D331" s="94"/>
      <c r="E331" s="132"/>
      <c r="F331" s="132"/>
      <c r="G331" s="94"/>
      <c r="H331" s="93"/>
      <c r="I331" s="94"/>
      <c r="J331" s="94"/>
      <c r="K331" s="125"/>
      <c r="L331" s="125"/>
      <c r="M331" s="99"/>
      <c r="N331" s="111"/>
      <c r="O331" s="112"/>
      <c r="P331" s="94"/>
      <c r="Q331" s="120"/>
      <c r="R331" s="113"/>
      <c r="S331" s="94"/>
      <c r="T331" s="94"/>
      <c r="V331" s="104"/>
    </row>
    <row r="332" ht="15.75" customHeight="1">
      <c r="A332" s="91"/>
      <c r="B332" s="131"/>
      <c r="C332" s="132"/>
      <c r="D332" s="94"/>
      <c r="E332" s="132"/>
      <c r="F332" s="132"/>
      <c r="G332" s="94"/>
      <c r="H332" s="93"/>
      <c r="I332" s="94"/>
      <c r="J332" s="94"/>
      <c r="K332" s="126"/>
      <c r="L332" s="126"/>
      <c r="M332" s="99"/>
      <c r="N332" s="111"/>
      <c r="O332" s="112"/>
      <c r="P332" s="94"/>
      <c r="Q332" s="120"/>
      <c r="R332" s="113"/>
      <c r="S332" s="94"/>
      <c r="T332" s="94"/>
      <c r="V332" s="104"/>
    </row>
    <row r="333" ht="15.75" customHeight="1">
      <c r="A333" s="91"/>
      <c r="B333" s="131"/>
      <c r="C333" s="132"/>
      <c r="D333" s="94"/>
      <c r="E333" s="132"/>
      <c r="F333" s="132"/>
      <c r="G333" s="94"/>
      <c r="H333" s="93"/>
      <c r="I333" s="94"/>
      <c r="J333" s="94"/>
      <c r="K333" s="125"/>
      <c r="L333" s="125"/>
      <c r="M333" s="99"/>
      <c r="N333" s="111"/>
      <c r="O333" s="112"/>
      <c r="P333" s="94"/>
      <c r="Q333" s="120"/>
      <c r="R333" s="113"/>
      <c r="S333" s="94"/>
      <c r="T333" s="94"/>
      <c r="V333" s="104"/>
    </row>
    <row r="334" ht="15.75" customHeight="1">
      <c r="A334" s="91"/>
      <c r="B334" s="131"/>
      <c r="C334" s="132"/>
      <c r="D334" s="94"/>
      <c r="E334" s="132"/>
      <c r="F334" s="132"/>
      <c r="G334" s="94"/>
      <c r="H334" s="93"/>
      <c r="I334" s="94"/>
      <c r="J334" s="94"/>
      <c r="K334" s="126"/>
      <c r="L334" s="126"/>
      <c r="M334" s="99"/>
      <c r="N334" s="111"/>
      <c r="O334" s="112"/>
      <c r="P334" s="94"/>
      <c r="Q334" s="120"/>
      <c r="R334" s="113"/>
      <c r="S334" s="94"/>
      <c r="T334" s="94"/>
      <c r="V334" s="104"/>
    </row>
    <row r="335" ht="15.75" customHeight="1">
      <c r="A335" s="91"/>
      <c r="B335" s="131"/>
      <c r="C335" s="132"/>
      <c r="D335" s="94"/>
      <c r="E335" s="132"/>
      <c r="F335" s="132"/>
      <c r="G335" s="94"/>
      <c r="H335" s="93"/>
      <c r="I335" s="94"/>
      <c r="J335" s="94"/>
      <c r="K335" s="125"/>
      <c r="L335" s="125"/>
      <c r="M335" s="99"/>
      <c r="N335" s="111"/>
      <c r="O335" s="112"/>
      <c r="P335" s="94"/>
      <c r="Q335" s="120"/>
      <c r="R335" s="113"/>
      <c r="S335" s="94"/>
      <c r="T335" s="94"/>
      <c r="V335" s="104"/>
    </row>
    <row r="336" ht="15.75" customHeight="1">
      <c r="A336" s="91"/>
      <c r="B336" s="131"/>
      <c r="C336" s="132"/>
      <c r="D336" s="94"/>
      <c r="E336" s="132"/>
      <c r="F336" s="132"/>
      <c r="G336" s="94"/>
      <c r="H336" s="93"/>
      <c r="I336" s="94"/>
      <c r="J336" s="94"/>
      <c r="K336" s="126"/>
      <c r="L336" s="126"/>
      <c r="M336" s="99"/>
      <c r="N336" s="111"/>
      <c r="O336" s="112"/>
      <c r="P336" s="94"/>
      <c r="Q336" s="120"/>
      <c r="R336" s="113"/>
      <c r="S336" s="94"/>
      <c r="T336" s="94"/>
      <c r="V336" s="104"/>
    </row>
    <row r="337" ht="15.75" customHeight="1">
      <c r="A337" s="91"/>
      <c r="B337" s="131"/>
      <c r="C337" s="104"/>
      <c r="D337" s="94"/>
      <c r="E337" s="132"/>
      <c r="F337" s="132"/>
      <c r="G337" s="94"/>
      <c r="H337" s="93"/>
      <c r="I337" s="94"/>
      <c r="J337" s="94"/>
      <c r="K337" s="125"/>
      <c r="L337" s="125"/>
      <c r="M337" s="99"/>
      <c r="N337" s="111"/>
      <c r="O337" s="112"/>
      <c r="P337" s="94"/>
      <c r="Q337" s="120"/>
      <c r="R337" s="113"/>
      <c r="S337" s="94"/>
      <c r="T337" s="94"/>
      <c r="V337" s="104"/>
    </row>
    <row r="338" ht="15.75" customHeight="1">
      <c r="A338" s="91"/>
      <c r="B338" s="131"/>
      <c r="C338" s="132"/>
      <c r="D338" s="94"/>
      <c r="E338" s="132"/>
      <c r="F338" s="132"/>
      <c r="G338" s="94"/>
      <c r="H338" s="93"/>
      <c r="I338" s="94"/>
      <c r="J338" s="94"/>
      <c r="K338" s="126"/>
      <c r="L338" s="126"/>
      <c r="M338" s="99"/>
      <c r="N338" s="111"/>
      <c r="O338" s="112"/>
      <c r="P338" s="94"/>
      <c r="Q338" s="120"/>
      <c r="R338" s="113"/>
      <c r="S338" s="94"/>
      <c r="T338" s="94"/>
      <c r="V338" s="104"/>
    </row>
    <row r="339" ht="15.75" customHeight="1">
      <c r="A339" s="91"/>
      <c r="B339" s="131"/>
      <c r="C339" s="132"/>
      <c r="D339" s="94"/>
      <c r="E339" s="132"/>
      <c r="F339" s="132"/>
      <c r="G339" s="94"/>
      <c r="H339" s="93"/>
      <c r="I339" s="94"/>
      <c r="J339" s="94"/>
      <c r="K339" s="125"/>
      <c r="L339" s="125"/>
      <c r="M339" s="99"/>
      <c r="N339" s="111"/>
      <c r="O339" s="112"/>
      <c r="P339" s="94"/>
      <c r="Q339" s="120"/>
      <c r="R339" s="113"/>
      <c r="S339" s="94"/>
      <c r="T339" s="94"/>
      <c r="V339" s="104"/>
    </row>
    <row r="340" ht="15.75" customHeight="1">
      <c r="A340" s="91"/>
      <c r="B340" s="131"/>
      <c r="C340" s="132"/>
      <c r="D340" s="94"/>
      <c r="E340" s="132"/>
      <c r="F340" s="132"/>
      <c r="G340" s="94"/>
      <c r="H340" s="93"/>
      <c r="I340" s="94"/>
      <c r="J340" s="94"/>
      <c r="K340" s="126"/>
      <c r="L340" s="126"/>
      <c r="M340" s="99"/>
      <c r="N340" s="111"/>
      <c r="O340" s="112"/>
      <c r="P340" s="94"/>
      <c r="Q340" s="120"/>
      <c r="R340" s="113"/>
      <c r="S340" s="94"/>
      <c r="T340" s="94"/>
      <c r="V340" s="104"/>
    </row>
    <row r="341" ht="15.75" customHeight="1">
      <c r="A341" s="91"/>
      <c r="B341" s="131"/>
      <c r="C341" s="132"/>
      <c r="D341" s="94"/>
      <c r="E341" s="132"/>
      <c r="F341" s="132"/>
      <c r="G341" s="94"/>
      <c r="H341" s="93"/>
      <c r="I341" s="94"/>
      <c r="J341" s="94"/>
      <c r="K341" s="125"/>
      <c r="L341" s="125"/>
      <c r="M341" s="99"/>
      <c r="N341" s="111"/>
      <c r="O341" s="112"/>
      <c r="P341" s="94"/>
      <c r="Q341" s="120"/>
      <c r="R341" s="113"/>
      <c r="S341" s="94"/>
      <c r="T341" s="94"/>
      <c r="V341" s="104"/>
    </row>
    <row r="342" ht="15.75" customHeight="1">
      <c r="A342" s="91"/>
      <c r="B342" s="131"/>
      <c r="C342" s="132"/>
      <c r="D342" s="94"/>
      <c r="E342" s="132"/>
      <c r="F342" s="132"/>
      <c r="G342" s="94"/>
      <c r="H342" s="93"/>
      <c r="I342" s="94"/>
      <c r="J342" s="94"/>
      <c r="K342" s="126"/>
      <c r="L342" s="126"/>
      <c r="M342" s="99"/>
      <c r="N342" s="111"/>
      <c r="O342" s="112"/>
      <c r="P342" s="94"/>
      <c r="Q342" s="120"/>
      <c r="R342" s="113"/>
      <c r="S342" s="94"/>
      <c r="T342" s="94"/>
      <c r="V342" s="104"/>
    </row>
    <row r="343" ht="15.75" customHeight="1">
      <c r="A343" s="91"/>
      <c r="B343" s="131"/>
      <c r="C343" s="104"/>
      <c r="D343" s="94"/>
      <c r="E343" s="132"/>
      <c r="F343" s="132"/>
      <c r="G343" s="94"/>
      <c r="H343" s="93"/>
      <c r="I343" s="94"/>
      <c r="J343" s="94"/>
      <c r="K343" s="125"/>
      <c r="L343" s="125"/>
      <c r="M343" s="99"/>
      <c r="N343" s="111"/>
      <c r="O343" s="112"/>
      <c r="P343" s="94"/>
      <c r="Q343" s="120"/>
      <c r="R343" s="113"/>
      <c r="S343" s="94"/>
      <c r="T343" s="94"/>
      <c r="V343" s="104"/>
    </row>
    <row r="344" ht="15.75" customHeight="1">
      <c r="A344" s="91"/>
      <c r="B344" s="131"/>
      <c r="C344" s="132"/>
      <c r="D344" s="94"/>
      <c r="E344" s="132"/>
      <c r="F344" s="132"/>
      <c r="G344" s="94"/>
      <c r="H344" s="93"/>
      <c r="I344" s="94"/>
      <c r="J344" s="94"/>
      <c r="K344" s="126"/>
      <c r="L344" s="126"/>
      <c r="M344" s="99"/>
      <c r="N344" s="111"/>
      <c r="O344" s="112"/>
      <c r="P344" s="94"/>
      <c r="Q344" s="120"/>
      <c r="R344" s="113"/>
      <c r="S344" s="94"/>
      <c r="T344" s="94"/>
      <c r="V344" s="104"/>
    </row>
    <row r="345" ht="15.75" customHeight="1">
      <c r="A345" s="91"/>
      <c r="B345" s="131"/>
      <c r="C345" s="132"/>
      <c r="D345" s="94"/>
      <c r="E345" s="132"/>
      <c r="F345" s="132"/>
      <c r="G345" s="94"/>
      <c r="H345" s="93"/>
      <c r="I345" s="94"/>
      <c r="J345" s="94"/>
      <c r="K345" s="125"/>
      <c r="L345" s="125"/>
      <c r="M345" s="99"/>
      <c r="N345" s="111"/>
      <c r="O345" s="112"/>
      <c r="P345" s="94"/>
      <c r="Q345" s="120"/>
      <c r="R345" s="113"/>
      <c r="S345" s="94"/>
      <c r="T345" s="94"/>
      <c r="V345" s="104"/>
    </row>
    <row r="346" ht="15.75" customHeight="1">
      <c r="A346" s="91"/>
      <c r="B346" s="131"/>
      <c r="C346" s="132"/>
      <c r="D346" s="94"/>
      <c r="E346" s="132"/>
      <c r="F346" s="132"/>
      <c r="G346" s="94"/>
      <c r="H346" s="93"/>
      <c r="I346" s="94"/>
      <c r="J346" s="94"/>
      <c r="K346" s="126"/>
      <c r="L346" s="126"/>
      <c r="M346" s="99"/>
      <c r="N346" s="111"/>
      <c r="O346" s="112"/>
      <c r="P346" s="94"/>
      <c r="Q346" s="120"/>
      <c r="R346" s="113"/>
      <c r="S346" s="94"/>
      <c r="T346" s="94"/>
      <c r="V346" s="104"/>
    </row>
    <row r="347" ht="15.75" customHeight="1">
      <c r="A347" s="91"/>
      <c r="B347" s="131"/>
      <c r="C347" s="132"/>
      <c r="D347" s="94"/>
      <c r="E347" s="132"/>
      <c r="F347" s="132"/>
      <c r="G347" s="94"/>
      <c r="H347" s="93"/>
      <c r="I347" s="94"/>
      <c r="J347" s="94"/>
      <c r="K347" s="125"/>
      <c r="L347" s="125"/>
      <c r="M347" s="99"/>
      <c r="N347" s="111"/>
      <c r="O347" s="112"/>
      <c r="P347" s="94"/>
      <c r="Q347" s="120"/>
      <c r="R347" s="113"/>
      <c r="S347" s="94"/>
      <c r="T347" s="94"/>
      <c r="V347" s="104"/>
    </row>
    <row r="348" ht="15.75" customHeight="1">
      <c r="A348" s="91"/>
      <c r="B348" s="131"/>
      <c r="C348" s="132"/>
      <c r="D348" s="94"/>
      <c r="E348" s="132"/>
      <c r="F348" s="132"/>
      <c r="G348" s="94"/>
      <c r="H348" s="93"/>
      <c r="I348" s="94"/>
      <c r="J348" s="94"/>
      <c r="K348" s="126"/>
      <c r="L348" s="126"/>
      <c r="M348" s="99"/>
      <c r="N348" s="111"/>
      <c r="O348" s="112"/>
      <c r="P348" s="94"/>
      <c r="Q348" s="120"/>
      <c r="R348" s="113"/>
      <c r="S348" s="94"/>
      <c r="T348" s="94"/>
      <c r="V348" s="104"/>
    </row>
    <row r="349" ht="15.75" customHeight="1">
      <c r="A349" s="91"/>
      <c r="B349" s="131"/>
      <c r="C349" s="104"/>
      <c r="D349" s="94"/>
      <c r="E349" s="132"/>
      <c r="F349" s="132"/>
      <c r="G349" s="94"/>
      <c r="H349" s="93"/>
      <c r="I349" s="94"/>
      <c r="J349" s="94"/>
      <c r="K349" s="125"/>
      <c r="L349" s="125"/>
      <c r="M349" s="99"/>
      <c r="N349" s="111"/>
      <c r="O349" s="112"/>
      <c r="P349" s="94"/>
      <c r="Q349" s="120"/>
      <c r="R349" s="113"/>
      <c r="S349" s="94"/>
      <c r="T349" s="94"/>
      <c r="V349" s="104"/>
    </row>
    <row r="350" ht="15.75" customHeight="1">
      <c r="A350" s="91"/>
      <c r="B350" s="131"/>
      <c r="C350" s="132"/>
      <c r="D350" s="94"/>
      <c r="E350" s="132"/>
      <c r="F350" s="132"/>
      <c r="G350" s="94"/>
      <c r="H350" s="93"/>
      <c r="I350" s="94"/>
      <c r="J350" s="94"/>
      <c r="K350" s="126"/>
      <c r="L350" s="126"/>
      <c r="M350" s="99"/>
      <c r="N350" s="111"/>
      <c r="O350" s="112"/>
      <c r="P350" s="94"/>
      <c r="Q350" s="120"/>
      <c r="R350" s="113"/>
      <c r="S350" s="94"/>
      <c r="T350" s="94"/>
      <c r="V350" s="104"/>
    </row>
    <row r="351" ht="15.75" customHeight="1">
      <c r="A351" s="91"/>
      <c r="B351" s="131"/>
      <c r="C351" s="132"/>
      <c r="D351" s="94"/>
      <c r="E351" s="132"/>
      <c r="F351" s="132"/>
      <c r="G351" s="94"/>
      <c r="H351" s="93"/>
      <c r="I351" s="94"/>
      <c r="J351" s="94"/>
      <c r="K351" s="125"/>
      <c r="L351" s="125"/>
      <c r="M351" s="99"/>
      <c r="N351" s="111"/>
      <c r="O351" s="112"/>
      <c r="P351" s="94"/>
      <c r="Q351" s="120"/>
      <c r="R351" s="113"/>
      <c r="S351" s="94"/>
      <c r="T351" s="94"/>
      <c r="V351" s="104"/>
    </row>
    <row r="352" ht="15.75" customHeight="1">
      <c r="A352" s="91"/>
      <c r="B352" s="131"/>
      <c r="C352" s="132"/>
      <c r="D352" s="94"/>
      <c r="E352" s="132"/>
      <c r="F352" s="132"/>
      <c r="G352" s="94"/>
      <c r="H352" s="93"/>
      <c r="I352" s="94"/>
      <c r="J352" s="94"/>
      <c r="K352" s="135"/>
      <c r="L352" s="135"/>
      <c r="M352" s="99"/>
      <c r="N352" s="111"/>
      <c r="O352" s="112"/>
      <c r="P352" s="94"/>
      <c r="Q352" s="120"/>
      <c r="R352" s="113"/>
      <c r="S352" s="94"/>
      <c r="T352" s="94"/>
      <c r="V352" s="104"/>
    </row>
    <row r="353" ht="15.75" customHeight="1">
      <c r="A353" s="91"/>
      <c r="B353" s="131"/>
      <c r="C353" s="132"/>
      <c r="D353" s="94"/>
      <c r="E353" s="132"/>
      <c r="F353" s="132"/>
      <c r="G353" s="94"/>
      <c r="H353" s="93"/>
      <c r="I353" s="94"/>
      <c r="J353" s="94"/>
      <c r="K353" s="135"/>
      <c r="L353" s="135"/>
      <c r="M353" s="99"/>
      <c r="N353" s="111"/>
      <c r="O353" s="112"/>
      <c r="P353" s="94"/>
      <c r="Q353" s="120"/>
      <c r="R353" s="113"/>
      <c r="S353" s="94"/>
      <c r="T353" s="94"/>
      <c r="V353" s="104"/>
    </row>
    <row r="354" ht="15.75" customHeight="1">
      <c r="A354" s="91"/>
      <c r="B354" s="131"/>
      <c r="C354" s="132"/>
      <c r="D354" s="94"/>
      <c r="E354" s="132"/>
      <c r="F354" s="132"/>
      <c r="G354" s="94"/>
      <c r="H354" s="93"/>
      <c r="I354" s="94"/>
      <c r="J354" s="94"/>
      <c r="K354" s="135"/>
      <c r="L354" s="135"/>
      <c r="M354" s="99"/>
      <c r="N354" s="111"/>
      <c r="O354" s="112"/>
      <c r="P354" s="94"/>
      <c r="Q354" s="120"/>
      <c r="R354" s="113"/>
      <c r="S354" s="94"/>
      <c r="T354" s="94"/>
      <c r="V354" s="104"/>
    </row>
    <row r="355" ht="15.75" customHeight="1">
      <c r="A355" s="91"/>
      <c r="B355" s="131"/>
      <c r="C355" s="104"/>
      <c r="D355" s="94"/>
      <c r="E355" s="132"/>
      <c r="F355" s="132"/>
      <c r="G355" s="94"/>
      <c r="H355" s="93"/>
      <c r="I355" s="94"/>
      <c r="J355" s="94"/>
      <c r="K355" s="135"/>
      <c r="L355" s="135"/>
      <c r="M355" s="99"/>
      <c r="N355" s="111"/>
      <c r="O355" s="112"/>
      <c r="P355" s="94"/>
      <c r="Q355" s="120"/>
      <c r="R355" s="113"/>
      <c r="S355" s="94"/>
      <c r="T355" s="94"/>
      <c r="V355" s="104"/>
    </row>
    <row r="356" ht="15.75" customHeight="1">
      <c r="A356" s="91"/>
      <c r="B356" s="131"/>
      <c r="C356" s="132"/>
      <c r="D356" s="94"/>
      <c r="E356" s="132"/>
      <c r="F356" s="132"/>
      <c r="G356" s="94"/>
      <c r="H356" s="93"/>
      <c r="I356" s="94"/>
      <c r="J356" s="94"/>
      <c r="K356" s="135"/>
      <c r="L356" s="135"/>
      <c r="M356" s="99"/>
      <c r="N356" s="111"/>
      <c r="O356" s="112"/>
      <c r="P356" s="94"/>
      <c r="Q356" s="120"/>
      <c r="R356" s="113"/>
      <c r="S356" s="94"/>
      <c r="T356" s="94"/>
      <c r="V356" s="104"/>
    </row>
    <row r="357" ht="15.75" customHeight="1">
      <c r="A357" s="91"/>
      <c r="B357" s="131"/>
      <c r="C357" s="132"/>
      <c r="D357" s="94"/>
      <c r="E357" s="132"/>
      <c r="F357" s="132"/>
      <c r="G357" s="94"/>
      <c r="H357" s="93"/>
      <c r="I357" s="94"/>
      <c r="J357" s="94"/>
      <c r="K357" s="135"/>
      <c r="L357" s="135"/>
      <c r="M357" s="99"/>
      <c r="N357" s="111"/>
      <c r="O357" s="112"/>
      <c r="P357" s="94"/>
      <c r="Q357" s="120"/>
      <c r="R357" s="113"/>
      <c r="S357" s="94"/>
      <c r="T357" s="94"/>
      <c r="V357" s="104"/>
    </row>
    <row r="358" ht="15.75" customHeight="1">
      <c r="A358" s="91"/>
      <c r="B358" s="131"/>
      <c r="C358" s="132"/>
      <c r="D358" s="94"/>
      <c r="E358" s="132"/>
      <c r="F358" s="132"/>
      <c r="G358" s="94"/>
      <c r="H358" s="93"/>
      <c r="I358" s="94"/>
      <c r="J358" s="94"/>
      <c r="K358" s="135"/>
      <c r="L358" s="135"/>
      <c r="M358" s="99"/>
      <c r="N358" s="111"/>
      <c r="O358" s="112"/>
      <c r="P358" s="94"/>
      <c r="Q358" s="120"/>
      <c r="R358" s="113"/>
      <c r="S358" s="94"/>
      <c r="T358" s="94"/>
      <c r="V358" s="104"/>
    </row>
    <row r="359" ht="15.75" customHeight="1">
      <c r="A359" s="91"/>
      <c r="B359" s="131"/>
      <c r="C359" s="132"/>
      <c r="D359" s="94"/>
      <c r="E359" s="132"/>
      <c r="F359" s="132"/>
      <c r="G359" s="94"/>
      <c r="H359" s="93"/>
      <c r="I359" s="94"/>
      <c r="J359" s="94"/>
      <c r="K359" s="135"/>
      <c r="L359" s="135"/>
      <c r="M359" s="99"/>
      <c r="N359" s="111"/>
      <c r="O359" s="112"/>
      <c r="P359" s="94"/>
      <c r="Q359" s="120"/>
      <c r="R359" s="113"/>
      <c r="S359" s="94"/>
      <c r="T359" s="94"/>
      <c r="V359" s="104"/>
    </row>
    <row r="360" ht="15.75" customHeight="1">
      <c r="A360" s="91"/>
      <c r="B360" s="131"/>
      <c r="C360" s="132"/>
      <c r="D360" s="94"/>
      <c r="E360" s="132"/>
      <c r="F360" s="132"/>
      <c r="G360" s="94"/>
      <c r="H360" s="93"/>
      <c r="I360" s="94"/>
      <c r="J360" s="94"/>
      <c r="K360" s="135"/>
      <c r="L360" s="135"/>
      <c r="M360" s="99"/>
      <c r="N360" s="111"/>
      <c r="O360" s="112"/>
      <c r="P360" s="94"/>
      <c r="Q360" s="120"/>
      <c r="R360" s="113"/>
      <c r="S360" s="94"/>
      <c r="T360" s="94"/>
      <c r="V360" s="104"/>
    </row>
    <row r="361" ht="15.75" customHeight="1">
      <c r="A361" s="91"/>
      <c r="B361" s="131"/>
      <c r="C361" s="104"/>
      <c r="D361" s="94"/>
      <c r="E361" s="132"/>
      <c r="F361" s="132"/>
      <c r="G361" s="94"/>
      <c r="H361" s="93"/>
      <c r="I361" s="94"/>
      <c r="J361" s="94"/>
      <c r="K361" s="135"/>
      <c r="L361" s="135"/>
      <c r="M361" s="99"/>
      <c r="N361" s="111"/>
      <c r="O361" s="112"/>
      <c r="P361" s="94"/>
      <c r="Q361" s="120"/>
      <c r="R361" s="113"/>
      <c r="S361" s="94"/>
      <c r="T361" s="94"/>
      <c r="V361" s="104"/>
    </row>
    <row r="362" ht="15.75" customHeight="1">
      <c r="A362" s="91"/>
      <c r="B362" s="131"/>
      <c r="C362" s="132"/>
      <c r="D362" s="94"/>
      <c r="E362" s="132"/>
      <c r="F362" s="132"/>
      <c r="G362" s="94"/>
      <c r="H362" s="93"/>
      <c r="I362" s="94"/>
      <c r="J362" s="94"/>
      <c r="K362" s="135"/>
      <c r="L362" s="135"/>
      <c r="M362" s="99"/>
      <c r="N362" s="111"/>
      <c r="O362" s="112"/>
      <c r="P362" s="94"/>
      <c r="Q362" s="120"/>
      <c r="R362" s="113"/>
      <c r="S362" s="94"/>
      <c r="T362" s="94"/>
      <c r="V362" s="104"/>
    </row>
    <row r="363" ht="15.75" customHeight="1">
      <c r="A363" s="91"/>
      <c r="B363" s="131"/>
      <c r="C363" s="132"/>
      <c r="D363" s="94"/>
      <c r="E363" s="132"/>
      <c r="F363" s="132"/>
      <c r="G363" s="94"/>
      <c r="H363" s="93"/>
      <c r="I363" s="94"/>
      <c r="J363" s="94"/>
      <c r="K363" s="135"/>
      <c r="L363" s="135"/>
      <c r="M363" s="99"/>
      <c r="N363" s="111"/>
      <c r="O363" s="112"/>
      <c r="P363" s="94"/>
      <c r="Q363" s="120"/>
      <c r="R363" s="113"/>
      <c r="S363" s="94"/>
      <c r="T363" s="94"/>
      <c r="V363" s="104"/>
    </row>
    <row r="364" ht="15.75" customHeight="1">
      <c r="A364" s="91"/>
      <c r="B364" s="131"/>
      <c r="C364" s="132"/>
      <c r="D364" s="94"/>
      <c r="E364" s="132"/>
      <c r="F364" s="132"/>
      <c r="G364" s="94"/>
      <c r="H364" s="93"/>
      <c r="I364" s="94"/>
      <c r="J364" s="94"/>
      <c r="K364" s="135"/>
      <c r="L364" s="135"/>
      <c r="M364" s="99"/>
      <c r="N364" s="111"/>
      <c r="O364" s="112"/>
      <c r="P364" s="94"/>
      <c r="Q364" s="120"/>
      <c r="R364" s="113"/>
      <c r="S364" s="94"/>
      <c r="T364" s="94"/>
      <c r="V364" s="104"/>
    </row>
    <row r="365" ht="15.75" customHeight="1">
      <c r="A365" s="91"/>
      <c r="B365" s="131"/>
      <c r="C365" s="132"/>
      <c r="D365" s="94"/>
      <c r="E365" s="132"/>
      <c r="F365" s="132"/>
      <c r="G365" s="94"/>
      <c r="H365" s="93"/>
      <c r="I365" s="94"/>
      <c r="J365" s="94"/>
      <c r="K365" s="135"/>
      <c r="L365" s="135"/>
      <c r="M365" s="99"/>
      <c r="N365" s="111"/>
      <c r="O365" s="112"/>
      <c r="P365" s="94"/>
      <c r="Q365" s="120"/>
      <c r="R365" s="113"/>
      <c r="S365" s="94"/>
      <c r="T365" s="94"/>
      <c r="V365" s="104"/>
    </row>
    <row r="366" ht="15.75" customHeight="1">
      <c r="A366" s="91"/>
      <c r="B366" s="131"/>
      <c r="C366" s="132"/>
      <c r="D366" s="94"/>
      <c r="E366" s="132"/>
      <c r="F366" s="132"/>
      <c r="G366" s="94"/>
      <c r="H366" s="93"/>
      <c r="I366" s="94"/>
      <c r="J366" s="94"/>
      <c r="K366" s="135"/>
      <c r="L366" s="135"/>
      <c r="M366" s="99"/>
      <c r="N366" s="111"/>
      <c r="O366" s="112"/>
      <c r="P366" s="94"/>
      <c r="Q366" s="120"/>
      <c r="R366" s="113"/>
      <c r="S366" s="94"/>
      <c r="T366" s="94"/>
      <c r="V366" s="104"/>
    </row>
    <row r="367" ht="15.75" customHeight="1">
      <c r="A367" s="91"/>
      <c r="B367" s="131"/>
      <c r="C367" s="104"/>
      <c r="D367" s="94"/>
      <c r="E367" s="132"/>
      <c r="F367" s="132"/>
      <c r="G367" s="94"/>
      <c r="H367" s="93"/>
      <c r="I367" s="94"/>
      <c r="J367" s="94"/>
      <c r="K367" s="135"/>
      <c r="L367" s="135"/>
      <c r="M367" s="99"/>
      <c r="N367" s="111"/>
      <c r="O367" s="112"/>
      <c r="P367" s="94"/>
      <c r="Q367" s="120"/>
      <c r="R367" s="113"/>
      <c r="S367" s="94"/>
      <c r="T367" s="94"/>
      <c r="V367" s="104"/>
    </row>
    <row r="368" ht="15.75" customHeight="1">
      <c r="A368" s="91"/>
      <c r="B368" s="131"/>
      <c r="C368" s="132"/>
      <c r="D368" s="94"/>
      <c r="E368" s="132"/>
      <c r="F368" s="132"/>
      <c r="G368" s="94"/>
      <c r="H368" s="93"/>
      <c r="I368" s="94"/>
      <c r="J368" s="94"/>
      <c r="K368" s="135"/>
      <c r="L368" s="135"/>
      <c r="M368" s="99"/>
      <c r="N368" s="111"/>
      <c r="O368" s="112"/>
      <c r="P368" s="94"/>
      <c r="Q368" s="120"/>
      <c r="R368" s="113"/>
      <c r="S368" s="94"/>
      <c r="T368" s="94"/>
      <c r="V368" s="104"/>
    </row>
    <row r="369" ht="15.75" customHeight="1">
      <c r="A369" s="91"/>
      <c r="B369" s="131"/>
      <c r="C369" s="132"/>
      <c r="D369" s="94"/>
      <c r="E369" s="132"/>
      <c r="F369" s="132"/>
      <c r="G369" s="94"/>
      <c r="H369" s="93"/>
      <c r="I369" s="94"/>
      <c r="J369" s="94"/>
      <c r="K369" s="135"/>
      <c r="L369" s="135"/>
      <c r="M369" s="99"/>
      <c r="N369" s="111"/>
      <c r="O369" s="112"/>
      <c r="P369" s="94"/>
      <c r="Q369" s="120"/>
      <c r="R369" s="113"/>
      <c r="S369" s="94"/>
      <c r="T369" s="94"/>
      <c r="V369" s="104"/>
    </row>
    <row r="370" ht="15.75" customHeight="1">
      <c r="A370" s="91"/>
      <c r="B370" s="131"/>
      <c r="C370" s="132"/>
      <c r="D370" s="94"/>
      <c r="E370" s="132"/>
      <c r="F370" s="132"/>
      <c r="G370" s="94"/>
      <c r="H370" s="93"/>
      <c r="I370" s="94"/>
      <c r="J370" s="94"/>
      <c r="K370" s="135"/>
      <c r="L370" s="135"/>
      <c r="M370" s="99"/>
      <c r="N370" s="111"/>
      <c r="O370" s="112"/>
      <c r="P370" s="94"/>
      <c r="Q370" s="120"/>
      <c r="R370" s="113"/>
      <c r="S370" s="94"/>
      <c r="T370" s="94"/>
      <c r="V370" s="104"/>
    </row>
    <row r="371" ht="15.75" customHeight="1">
      <c r="A371" s="91"/>
      <c r="B371" s="131"/>
      <c r="C371" s="132"/>
      <c r="D371" s="94"/>
      <c r="E371" s="132"/>
      <c r="F371" s="132"/>
      <c r="G371" s="94"/>
      <c r="H371" s="93"/>
      <c r="I371" s="94"/>
      <c r="J371" s="94"/>
      <c r="K371" s="135"/>
      <c r="L371" s="135"/>
      <c r="M371" s="99"/>
      <c r="N371" s="111"/>
      <c r="O371" s="112"/>
      <c r="P371" s="94"/>
      <c r="Q371" s="120"/>
      <c r="R371" s="113"/>
      <c r="S371" s="94"/>
      <c r="T371" s="94"/>
      <c r="V371" s="104"/>
    </row>
    <row r="372" ht="15.75" customHeight="1">
      <c r="A372" s="91"/>
      <c r="B372" s="131"/>
      <c r="C372" s="132"/>
      <c r="D372" s="94"/>
      <c r="E372" s="132"/>
      <c r="F372" s="132"/>
      <c r="G372" s="94"/>
      <c r="H372" s="93"/>
      <c r="I372" s="94"/>
      <c r="J372" s="94"/>
      <c r="K372" s="135"/>
      <c r="L372" s="135"/>
      <c r="M372" s="99"/>
      <c r="N372" s="111"/>
      <c r="O372" s="112"/>
      <c r="P372" s="94"/>
      <c r="Q372" s="120"/>
      <c r="R372" s="113"/>
      <c r="S372" s="94"/>
      <c r="T372" s="94"/>
      <c r="V372" s="104"/>
    </row>
    <row r="373" ht="15.75" customHeight="1">
      <c r="A373" s="91"/>
      <c r="B373" s="131"/>
      <c r="C373" s="104"/>
      <c r="D373" s="94"/>
      <c r="E373" s="132"/>
      <c r="F373" s="132"/>
      <c r="G373" s="94"/>
      <c r="H373" s="93"/>
      <c r="I373" s="94"/>
      <c r="J373" s="94"/>
      <c r="K373" s="135"/>
      <c r="L373" s="135"/>
      <c r="M373" s="99"/>
      <c r="N373" s="111"/>
      <c r="O373" s="112"/>
      <c r="P373" s="94"/>
      <c r="Q373" s="120"/>
      <c r="R373" s="113"/>
      <c r="S373" s="94"/>
      <c r="T373" s="94"/>
      <c r="V373" s="104"/>
    </row>
    <row r="374" ht="15.75" customHeight="1">
      <c r="A374" s="91"/>
      <c r="B374" s="131"/>
      <c r="C374" s="132"/>
      <c r="D374" s="94"/>
      <c r="E374" s="132"/>
      <c r="F374" s="132"/>
      <c r="G374" s="94"/>
      <c r="H374" s="93"/>
      <c r="I374" s="94"/>
      <c r="J374" s="94"/>
      <c r="K374" s="135"/>
      <c r="L374" s="135"/>
      <c r="M374" s="99"/>
      <c r="N374" s="111"/>
      <c r="O374" s="112"/>
      <c r="P374" s="94"/>
      <c r="Q374" s="120"/>
      <c r="R374" s="113"/>
      <c r="S374" s="94"/>
      <c r="T374" s="94"/>
      <c r="V374" s="104"/>
    </row>
    <row r="375" ht="15.75" customHeight="1">
      <c r="A375" s="91"/>
      <c r="B375" s="131"/>
      <c r="C375" s="132"/>
      <c r="D375" s="94"/>
      <c r="E375" s="132"/>
      <c r="F375" s="132"/>
      <c r="G375" s="94"/>
      <c r="H375" s="93"/>
      <c r="I375" s="94"/>
      <c r="J375" s="94"/>
      <c r="K375" s="135"/>
      <c r="L375" s="135"/>
      <c r="M375" s="99"/>
      <c r="N375" s="111"/>
      <c r="O375" s="112"/>
      <c r="P375" s="94"/>
      <c r="Q375" s="120"/>
      <c r="R375" s="113"/>
      <c r="S375" s="94"/>
      <c r="T375" s="94"/>
      <c r="V375" s="104"/>
    </row>
    <row r="376" ht="15.75" customHeight="1">
      <c r="A376" s="91"/>
      <c r="B376" s="131"/>
      <c r="C376" s="132"/>
      <c r="D376" s="94"/>
      <c r="E376" s="132"/>
      <c r="F376" s="132"/>
      <c r="G376" s="94"/>
      <c r="H376" s="93"/>
      <c r="I376" s="94"/>
      <c r="J376" s="94"/>
      <c r="K376" s="135"/>
      <c r="L376" s="135"/>
      <c r="M376" s="99"/>
      <c r="N376" s="111"/>
      <c r="O376" s="112"/>
      <c r="P376" s="94"/>
      <c r="Q376" s="120"/>
      <c r="R376" s="113"/>
      <c r="S376" s="94"/>
      <c r="T376" s="94"/>
      <c r="V376" s="104"/>
    </row>
    <row r="377" ht="15.75" customHeight="1">
      <c r="A377" s="91"/>
      <c r="B377" s="131"/>
      <c r="C377" s="132"/>
      <c r="D377" s="94"/>
      <c r="E377" s="132"/>
      <c r="F377" s="132"/>
      <c r="G377" s="94"/>
      <c r="H377" s="93"/>
      <c r="I377" s="94"/>
      <c r="J377" s="94"/>
      <c r="K377" s="135"/>
      <c r="L377" s="135"/>
      <c r="M377" s="99"/>
      <c r="N377" s="111"/>
      <c r="O377" s="112"/>
      <c r="P377" s="94"/>
      <c r="Q377" s="120"/>
      <c r="R377" s="113"/>
      <c r="S377" s="94"/>
      <c r="T377" s="94"/>
      <c r="V377" s="104"/>
    </row>
    <row r="378" ht="15.75" customHeight="1">
      <c r="A378" s="91"/>
      <c r="B378" s="131"/>
      <c r="C378" s="132"/>
      <c r="D378" s="94"/>
      <c r="E378" s="132"/>
      <c r="F378" s="132"/>
      <c r="G378" s="94"/>
      <c r="H378" s="93"/>
      <c r="I378" s="94"/>
      <c r="J378" s="94"/>
      <c r="K378" s="135"/>
      <c r="L378" s="135"/>
      <c r="M378" s="99"/>
      <c r="N378" s="111"/>
      <c r="O378" s="112"/>
      <c r="P378" s="94"/>
      <c r="Q378" s="120"/>
      <c r="R378" s="113"/>
      <c r="S378" s="94"/>
      <c r="T378" s="94"/>
      <c r="V378" s="104"/>
    </row>
    <row r="379" ht="15.75" customHeight="1">
      <c r="A379" s="91"/>
      <c r="B379" s="131"/>
      <c r="C379" s="104"/>
      <c r="D379" s="94"/>
      <c r="E379" s="132"/>
      <c r="F379" s="132"/>
      <c r="G379" s="94"/>
      <c r="H379" s="93"/>
      <c r="I379" s="94"/>
      <c r="J379" s="94"/>
      <c r="K379" s="135"/>
      <c r="L379" s="135"/>
      <c r="M379" s="99"/>
      <c r="N379" s="111"/>
      <c r="O379" s="112"/>
      <c r="P379" s="94"/>
      <c r="Q379" s="120"/>
      <c r="R379" s="113"/>
      <c r="S379" s="94"/>
      <c r="T379" s="94"/>
      <c r="V379" s="104"/>
    </row>
    <row r="380" ht="15.75" customHeight="1">
      <c r="A380" s="91"/>
      <c r="B380" s="131"/>
      <c r="C380" s="132"/>
      <c r="D380" s="94"/>
      <c r="E380" s="132"/>
      <c r="F380" s="132"/>
      <c r="G380" s="94"/>
      <c r="H380" s="93"/>
      <c r="I380" s="94"/>
      <c r="J380" s="94"/>
      <c r="K380" s="135"/>
      <c r="L380" s="135"/>
      <c r="M380" s="99"/>
      <c r="N380" s="111"/>
      <c r="O380" s="112"/>
      <c r="P380" s="94"/>
      <c r="Q380" s="120"/>
      <c r="R380" s="113"/>
      <c r="S380" s="94"/>
      <c r="T380" s="94"/>
      <c r="V380" s="104"/>
    </row>
    <row r="381" ht="15.75" customHeight="1">
      <c r="A381" s="91"/>
      <c r="B381" s="131"/>
      <c r="C381" s="132"/>
      <c r="D381" s="94"/>
      <c r="E381" s="132"/>
      <c r="F381" s="132"/>
      <c r="G381" s="94"/>
      <c r="H381" s="93"/>
      <c r="I381" s="94"/>
      <c r="J381" s="94"/>
      <c r="K381" s="135"/>
      <c r="L381" s="135"/>
      <c r="M381" s="99"/>
      <c r="N381" s="111"/>
      <c r="O381" s="112"/>
      <c r="P381" s="94"/>
      <c r="Q381" s="120"/>
      <c r="R381" s="113"/>
      <c r="S381" s="94"/>
      <c r="T381" s="94"/>
      <c r="V381" s="104"/>
    </row>
    <row r="382" ht="15.75" customHeight="1">
      <c r="A382" s="91"/>
      <c r="B382" s="131"/>
      <c r="C382" s="132"/>
      <c r="D382" s="94"/>
      <c r="E382" s="132"/>
      <c r="F382" s="132"/>
      <c r="G382" s="94"/>
      <c r="H382" s="93"/>
      <c r="I382" s="94"/>
      <c r="J382" s="94"/>
      <c r="K382" s="135"/>
      <c r="L382" s="135"/>
      <c r="M382" s="99"/>
      <c r="N382" s="111"/>
      <c r="O382" s="112"/>
      <c r="P382" s="94"/>
      <c r="Q382" s="120"/>
      <c r="R382" s="113"/>
      <c r="S382" s="94"/>
      <c r="T382" s="94"/>
      <c r="V382" s="104"/>
    </row>
    <row r="383" ht="15.75" customHeight="1">
      <c r="A383" s="91"/>
      <c r="B383" s="131"/>
      <c r="C383" s="132"/>
      <c r="D383" s="94"/>
      <c r="E383" s="132"/>
      <c r="F383" s="132"/>
      <c r="G383" s="94"/>
      <c r="H383" s="93"/>
      <c r="I383" s="94"/>
      <c r="J383" s="94"/>
      <c r="K383" s="135"/>
      <c r="L383" s="135"/>
      <c r="M383" s="99"/>
      <c r="N383" s="111"/>
      <c r="O383" s="112"/>
      <c r="P383" s="94"/>
      <c r="Q383" s="120"/>
      <c r="R383" s="113"/>
      <c r="S383" s="94"/>
      <c r="T383" s="94"/>
      <c r="V383" s="104"/>
    </row>
    <row r="384" ht="15.75" customHeight="1">
      <c r="A384" s="91"/>
      <c r="B384" s="131"/>
      <c r="C384" s="132"/>
      <c r="D384" s="94"/>
      <c r="E384" s="132"/>
      <c r="F384" s="132"/>
      <c r="G384" s="94"/>
      <c r="H384" s="93"/>
      <c r="I384" s="94"/>
      <c r="J384" s="94"/>
      <c r="K384" s="135"/>
      <c r="L384" s="135"/>
      <c r="M384" s="99"/>
      <c r="N384" s="111"/>
      <c r="O384" s="112"/>
      <c r="P384" s="94"/>
      <c r="Q384" s="120"/>
      <c r="R384" s="113"/>
      <c r="S384" s="94"/>
      <c r="T384" s="94"/>
      <c r="V384" s="104"/>
    </row>
  </sheetData>
  <autoFilter ref="$A$12:$V$142"/>
  <customSheetViews>
    <customSheetView guid="{FE509773-0638-41EB-A036-A8EE905B9B6D}" filter="1" showAutoFilter="1">
      <autoFilter ref="$R$43:$R$44"/>
    </customSheetView>
  </customSheetViews>
  <mergeCells count="372">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5:U55"/>
    <mergeCell ref="T56:U56"/>
    <mergeCell ref="T57:U57"/>
    <mergeCell ref="T58:U58"/>
    <mergeCell ref="T59:U59"/>
    <mergeCell ref="T60:U60"/>
    <mergeCell ref="T61:U61"/>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56:U356"/>
    <mergeCell ref="T357:U357"/>
    <mergeCell ref="T358:U358"/>
    <mergeCell ref="T359:U359"/>
    <mergeCell ref="T360:U360"/>
    <mergeCell ref="T361:U361"/>
    <mergeCell ref="T362:U362"/>
    <mergeCell ref="T363:U363"/>
    <mergeCell ref="T364:U364"/>
    <mergeCell ref="T365:U365"/>
    <mergeCell ref="T366:U366"/>
    <mergeCell ref="T367:U367"/>
    <mergeCell ref="T368:U368"/>
    <mergeCell ref="T369:U369"/>
    <mergeCell ref="T377:U377"/>
    <mergeCell ref="T378:U378"/>
    <mergeCell ref="T379:U379"/>
    <mergeCell ref="T380:U380"/>
    <mergeCell ref="T381:U381"/>
    <mergeCell ref="T382:U382"/>
    <mergeCell ref="T383:U383"/>
    <mergeCell ref="T384:U384"/>
    <mergeCell ref="T370:U370"/>
    <mergeCell ref="T371:U371"/>
    <mergeCell ref="T372:U372"/>
    <mergeCell ref="T373:U373"/>
    <mergeCell ref="T374:U374"/>
    <mergeCell ref="T375:U375"/>
    <mergeCell ref="T376:U37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 ref="T352:U352"/>
    <mergeCell ref="T353:U353"/>
    <mergeCell ref="T354:U354"/>
    <mergeCell ref="T355:U355"/>
  </mergeCells>
  <dataValidations>
    <dataValidation type="list" allowBlank="1" showErrorMessage="1" sqref="N13:N384">
      <formula1>"Think About It,Money,Partner,Time,Fear,Value"</formula1>
    </dataValidation>
    <dataValidation type="list" allowBlank="1" sqref="H13:H384">
      <formula1>"Håndværker,Ikkehåndværker"</formula1>
    </dataValidation>
    <dataValidation type="list" allowBlank="1" showErrorMessage="1" sqref="I13:J14 I15:I33 I34:J59 I60 I61:J108 I109:I110 I111:J111 I112 I113:J126 I127:I133 I134:J384">
      <formula1>"Full-Pay,Split-Pay,Deposit,Offer &amp; Didn't Buy,Bad Fit &amp; No Offer,Drag Over &amp; Show,Rescheduled,Cancelled,No-Show"</formula1>
    </dataValidation>
    <dataValidation type="list" allowBlank="1" showErrorMessage="1" sqref="S13:S384">
      <formula1>"Closed,Follow Up,Hot Follow Up,Deposit (Follow Up Set),Follow Up Set,X"</formula1>
    </dataValidation>
    <dataValidation type="list" allowBlank="1" showErrorMessage="1" sqref="J15:J33 J60">
      <formula1>"Full-Pay,Split-Pay,Deposit,Offer &amp; Didn't Buy,Bad Fit &amp; No Offer,Drag Over &amp; Show,Rescheduled,Cancelled,No-Show"</formula1>
    </dataValidation>
  </dataValidations>
  <hyperlinks>
    <hyperlink r:id="rId2" ref="F30"/>
  </hyperlinks>
  <drawing r:id="rId3"/>
  <legacy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0.38"/>
    <col customWidth="1" min="3" max="3" width="13.38"/>
    <col customWidth="1" min="4" max="4" width="0.38"/>
    <col customWidth="1" min="5" max="5" width="15.13"/>
    <col customWidth="1" min="6" max="6" width="16.38"/>
    <col customWidth="1" min="7" max="7" width="0.38"/>
    <col customWidth="1" min="8" max="8" width="15.63"/>
    <col customWidth="1" min="9" max="9" width="13.88"/>
    <col customWidth="1" min="10" max="10" width="0.38"/>
    <col customWidth="1" min="11" max="11" width="15.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t="s">
        <v>1300</v>
      </c>
      <c r="B1" s="6" t="s">
        <v>31</v>
      </c>
      <c r="C1" s="6" t="s">
        <v>32</v>
      </c>
      <c r="D1" s="39"/>
      <c r="E1" s="226" t="s">
        <v>1714</v>
      </c>
      <c r="F1" s="39"/>
      <c r="H1" s="40" t="s">
        <v>33</v>
      </c>
      <c r="I1" s="41"/>
      <c r="J1" s="39"/>
      <c r="K1" s="40" t="s">
        <v>34</v>
      </c>
      <c r="L1" s="41"/>
      <c r="M1" s="13"/>
      <c r="N1" s="42" t="s">
        <v>35</v>
      </c>
      <c r="O1" s="43"/>
      <c r="P1" s="13"/>
      <c r="Q1" s="40" t="s">
        <v>36</v>
      </c>
      <c r="R1" s="44"/>
      <c r="S1" s="39"/>
      <c r="T1" s="40" t="s">
        <v>37</v>
      </c>
      <c r="U1" s="45"/>
      <c r="V1" s="39"/>
    </row>
    <row r="2">
      <c r="A2" s="39"/>
      <c r="B2" s="41"/>
      <c r="C2" s="41"/>
      <c r="D2" s="13"/>
      <c r="E2" s="227" t="s">
        <v>1715</v>
      </c>
      <c r="F2" s="228">
        <f>C3/C6</f>
        <v>3206.896552</v>
      </c>
      <c r="H2" s="46" t="s">
        <v>26</v>
      </c>
      <c r="I2" s="47">
        <f>IFERROR(COUNTIFS(I13:I311, "Full-Pay"),"")</f>
        <v>8</v>
      </c>
      <c r="J2" s="13"/>
      <c r="K2" s="48" t="s">
        <v>16</v>
      </c>
      <c r="L2" s="49">
        <f>iferror(L10/L8,"")</f>
        <v>0.4482758621</v>
      </c>
      <c r="M2" s="12"/>
      <c r="N2" s="50" t="s">
        <v>39</v>
      </c>
      <c r="O2" s="51">
        <f>iferror(I8/L6,"")</f>
        <v>0</v>
      </c>
      <c r="P2" s="12"/>
      <c r="Q2" s="52" t="s">
        <v>40</v>
      </c>
      <c r="R2" s="53">
        <f>IFERROR(COUNTIFS(N35:N310, "think about it"),"")</f>
        <v>0</v>
      </c>
      <c r="S2" s="13"/>
      <c r="T2" s="54" t="s">
        <v>41</v>
      </c>
      <c r="U2" s="55">
        <f>IFERROR(COUNTIF(H35:H310,"setter"),"")</f>
        <v>0</v>
      </c>
      <c r="V2" s="58"/>
    </row>
    <row r="3">
      <c r="A3" s="13"/>
      <c r="B3" s="59" t="s">
        <v>43</v>
      </c>
      <c r="C3" s="60">
        <f>IFERROR(SUM(K13:K307),"")</f>
        <v>93000</v>
      </c>
      <c r="D3" s="61"/>
      <c r="E3" s="229" t="s">
        <v>1716</v>
      </c>
      <c r="F3" s="230">
        <f>C4/C6</f>
        <v>2055.172414</v>
      </c>
      <c r="H3" s="46" t="s">
        <v>27</v>
      </c>
      <c r="I3" s="47">
        <f>IFERROR(COUNTIFS(I13:I311, "Split-Pay"),"")</f>
        <v>5</v>
      </c>
      <c r="J3" s="13"/>
      <c r="K3" s="48" t="s">
        <v>17</v>
      </c>
      <c r="L3" s="49">
        <f>IFERROR(L10/L9,"")</f>
        <v>0.5</v>
      </c>
      <c r="M3" s="12"/>
      <c r="N3" s="50" t="s">
        <v>44</v>
      </c>
      <c r="O3" s="51">
        <f>iferror(I9/L6,"")</f>
        <v>0.1428571429</v>
      </c>
      <c r="P3" s="12"/>
      <c r="Q3" s="52" t="s">
        <v>45</v>
      </c>
      <c r="R3" s="62">
        <f>IFERROR(COUNTIFS(N35:N310, "money"),"")</f>
        <v>2</v>
      </c>
      <c r="S3" s="13"/>
      <c r="T3" s="54" t="s">
        <v>46</v>
      </c>
      <c r="U3" s="55">
        <f>IFERROR(COUNTIF(H35:H310,"IG"),"")</f>
        <v>0</v>
      </c>
      <c r="V3" s="58"/>
    </row>
    <row r="4">
      <c r="A4" s="13"/>
      <c r="B4" s="63" t="s">
        <v>48</v>
      </c>
      <c r="C4" s="64">
        <f>IFERROR(SUM(L13:L308),"")</f>
        <v>59600</v>
      </c>
      <c r="D4" s="61"/>
      <c r="E4" s="229" t="s">
        <v>1717</v>
      </c>
      <c r="F4" s="231">
        <f>C4/C3*100</f>
        <v>64.08602151</v>
      </c>
      <c r="H4" s="46" t="s">
        <v>28</v>
      </c>
      <c r="I4" s="47">
        <f>IFERROR(COUNTIFS(I13:I311, "Deposit"),"")</f>
        <v>3</v>
      </c>
      <c r="J4" s="13"/>
      <c r="K4" s="48" t="s">
        <v>18</v>
      </c>
      <c r="L4" s="49">
        <f>IFERROR(L9/L8,"")</f>
        <v>0.8965517241</v>
      </c>
      <c r="M4" s="12"/>
      <c r="N4" s="50" t="s">
        <v>49</v>
      </c>
      <c r="O4" s="51">
        <f>iferror(I10/L6,"")</f>
        <v>0.02857142857</v>
      </c>
      <c r="P4" s="12"/>
      <c r="Q4" s="52" t="s">
        <v>50</v>
      </c>
      <c r="R4" s="53">
        <f>IFERROR(COUNTIFS(N35:N310, "time"),"")</f>
        <v>0</v>
      </c>
      <c r="S4" s="13"/>
      <c r="T4" s="54" t="s">
        <v>51</v>
      </c>
      <c r="U4" s="55">
        <f>IFERROR(COUNTIF(H35:H310,"youtube"),"")</f>
        <v>0</v>
      </c>
      <c r="V4" s="39"/>
    </row>
    <row r="5">
      <c r="A5" s="39"/>
      <c r="B5" s="41"/>
      <c r="C5" s="41"/>
      <c r="D5" s="13"/>
      <c r="E5" s="229" t="s">
        <v>1718</v>
      </c>
      <c r="F5" s="232">
        <f>I2/C7*100</f>
        <v>61.53846154</v>
      </c>
      <c r="H5" s="46" t="s">
        <v>53</v>
      </c>
      <c r="I5" s="47">
        <f>IFERROR(COUNTIFS(I13:I311, "Offer &amp; Didn't Buy"),"")</f>
        <v>10</v>
      </c>
      <c r="J5" s="13"/>
      <c r="K5" s="48" t="s">
        <v>54</v>
      </c>
      <c r="L5" s="49">
        <f>IFERROR(I7/(C6+I7+I8),"")</f>
        <v>0</v>
      </c>
      <c r="M5" s="13"/>
      <c r="N5" s="50" t="s">
        <v>54</v>
      </c>
      <c r="O5" s="51">
        <f>iferror(I7/L6,"")</f>
        <v>0</v>
      </c>
      <c r="P5" s="12"/>
      <c r="Q5" s="52" t="s">
        <v>55</v>
      </c>
      <c r="R5" s="53">
        <f>IFERROR(COUNTIFS(N35:N310, "partner"),"")</f>
        <v>0</v>
      </c>
      <c r="S5" s="13"/>
      <c r="T5" s="56" t="s">
        <v>56</v>
      </c>
      <c r="U5" s="55">
        <f>IFERROR(COUNTIF(H35:H310,"email"),"")</f>
        <v>0</v>
      </c>
      <c r="V5" s="58"/>
    </row>
    <row r="6">
      <c r="A6" s="13"/>
      <c r="B6" s="65" t="s">
        <v>58</v>
      </c>
      <c r="C6" s="66">
        <f>IFERROR(SUM(I2:I6),"")</f>
        <v>29</v>
      </c>
      <c r="D6" s="13"/>
      <c r="E6" s="229" t="s">
        <v>1719</v>
      </c>
      <c r="F6" s="233">
        <f>AVERAGE(Q13:Q104)</f>
        <v>4.666666667</v>
      </c>
      <c r="H6" s="46" t="s">
        <v>59</v>
      </c>
      <c r="I6" s="47">
        <f>IFERROR(COUNTIFS(I13:I311, "Bad Fit &amp; No Offer"),"")</f>
        <v>3</v>
      </c>
      <c r="J6" s="13"/>
      <c r="K6" s="48" t="s">
        <v>21</v>
      </c>
      <c r="L6" s="67">
        <f>IFERROR(SUM(I2:I10),"")</f>
        <v>35</v>
      </c>
      <c r="M6" s="13"/>
      <c r="N6" s="68" t="s">
        <v>29</v>
      </c>
      <c r="O6" s="51">
        <f>iferror(L7/L6,"")</f>
        <v>0.8285714286</v>
      </c>
      <c r="P6" s="12"/>
      <c r="Q6" s="52" t="s">
        <v>60</v>
      </c>
      <c r="R6" s="53">
        <f>IFERROR(COUNTIFS(N35:N310, "fear"),"")</f>
        <v>1</v>
      </c>
      <c r="S6" s="13"/>
      <c r="T6" s="56" t="s">
        <v>61</v>
      </c>
      <c r="U6" s="55">
        <f>IFERROR(COUNTIF(H35:H310,"facebook"),"")</f>
        <v>0</v>
      </c>
      <c r="V6" s="58"/>
    </row>
    <row r="7">
      <c r="A7" s="13"/>
      <c r="B7" s="65" t="s">
        <v>63</v>
      </c>
      <c r="C7" s="69">
        <f>IFERROR(I2+I3,"")</f>
        <v>13</v>
      </c>
      <c r="D7" s="13"/>
      <c r="E7" s="229" t="s">
        <v>1720</v>
      </c>
      <c r="F7" s="230">
        <f>C3/C7</f>
        <v>7153.846154</v>
      </c>
      <c r="H7" s="46" t="s">
        <v>64</v>
      </c>
      <c r="I7" s="47">
        <f>IFERROR(COUNTIFS(I13:I311, "Drag Over &amp; Show"),"")</f>
        <v>0</v>
      </c>
      <c r="J7" s="13"/>
      <c r="K7" s="48" t="s">
        <v>22</v>
      </c>
      <c r="L7" s="67">
        <f>IFERROR(SUM(I2:I7),"")</f>
        <v>29</v>
      </c>
      <c r="M7" s="13"/>
      <c r="N7" s="70" t="s">
        <v>30</v>
      </c>
      <c r="O7" s="71">
        <f>IFERROR(L8/L6,"")</f>
        <v>0.8285714286</v>
      </c>
      <c r="P7" s="12"/>
      <c r="Q7" s="72" t="s">
        <v>65</v>
      </c>
      <c r="R7" s="73">
        <f>IFERROR(COUNTIFS(N36:N311, "value"),"")</f>
        <v>0</v>
      </c>
      <c r="S7" s="13"/>
      <c r="T7" s="56" t="s">
        <v>66</v>
      </c>
      <c r="U7" s="55">
        <f>IFERROR(COUNTIF(H35:H310,"facebook ads"),"")</f>
        <v>0</v>
      </c>
      <c r="V7" s="39"/>
    </row>
    <row r="8">
      <c r="A8" s="13"/>
      <c r="B8" s="65" t="s">
        <v>68</v>
      </c>
      <c r="C8" s="74">
        <f>COUNTIF(I13:I310,"offer &amp; didn't buy")+COUNTIF(I35:I310,"deposit")+COUNTIF(I35:I310,"bad fit &amp; no offer")</f>
        <v>13</v>
      </c>
      <c r="D8" s="75"/>
      <c r="E8" s="229" t="s">
        <v>1721</v>
      </c>
      <c r="F8" s="230">
        <f>C4/C7</f>
        <v>4584.615385</v>
      </c>
      <c r="H8" s="46" t="s">
        <v>69</v>
      </c>
      <c r="I8" s="47">
        <f>IFERROR(COUNTIFS(I13:I311, "Rescheduled"),"")</f>
        <v>0</v>
      </c>
      <c r="J8" s="13"/>
      <c r="K8" s="48" t="s">
        <v>23</v>
      </c>
      <c r="L8" s="67">
        <f>IFERROR(SUM(I2:I6),"")</f>
        <v>29</v>
      </c>
      <c r="M8" s="39"/>
      <c r="N8" s="39"/>
      <c r="O8" s="39"/>
      <c r="P8" s="39"/>
      <c r="Q8" s="39"/>
      <c r="R8" s="76"/>
      <c r="S8" s="13"/>
      <c r="T8" s="77" t="s">
        <v>70</v>
      </c>
      <c r="U8" s="78">
        <f>IFERROR(COUNTIF(H35:H310,T8),"")</f>
        <v>0</v>
      </c>
      <c r="V8" s="39"/>
    </row>
    <row r="9">
      <c r="A9" s="13"/>
      <c r="B9" s="80" t="s">
        <v>72</v>
      </c>
      <c r="C9" s="81">
        <f>iferror(SUM(C7/C6),"")</f>
        <v>0.4482758621</v>
      </c>
      <c r="D9" s="12"/>
      <c r="E9" s="262" t="s">
        <v>2832</v>
      </c>
      <c r="F9" s="235">
        <f>IFERROR(COUNTIFS(H13:H311, "Håndværker"),"")/C6</f>
        <v>0.8620689655</v>
      </c>
      <c r="H9" s="46" t="s">
        <v>73</v>
      </c>
      <c r="I9" s="47">
        <f>IFERROR(COUNTIFS(I13:I311, "Cancelled"),"")</f>
        <v>5</v>
      </c>
      <c r="J9" s="13"/>
      <c r="K9" s="48" t="s">
        <v>24</v>
      </c>
      <c r="L9" s="67">
        <f>IFERROR(sum(I2:I5),"")</f>
        <v>26</v>
      </c>
      <c r="M9" s="39"/>
      <c r="N9" s="38">
        <v>5500.0</v>
      </c>
      <c r="O9" s="39">
        <f>N9*C6</f>
        <v>159500</v>
      </c>
      <c r="P9" s="39"/>
      <c r="Q9" s="39"/>
      <c r="R9" s="76"/>
      <c r="S9" s="39"/>
      <c r="T9" s="39"/>
      <c r="U9" s="39"/>
      <c r="V9" s="39"/>
    </row>
    <row r="10">
      <c r="A10" s="39"/>
      <c r="B10" s="82"/>
      <c r="C10" s="83"/>
      <c r="D10" s="13"/>
      <c r="E10" s="263" t="s">
        <v>2833</v>
      </c>
      <c r="F10" s="235">
        <f>IFERROR(COUNTIFS(H13:H312, "Ikkehåndværker"),"")/C6</f>
        <v>0.3103448276</v>
      </c>
      <c r="H10" s="84" t="s">
        <v>74</v>
      </c>
      <c r="I10" s="85">
        <f>IFERROR(COUNTIFS(I13:I311, "No-Show"),"")</f>
        <v>1</v>
      </c>
      <c r="J10" s="13"/>
      <c r="K10" s="86" t="s">
        <v>75</v>
      </c>
      <c r="L10" s="87">
        <f>I2+I3</f>
        <v>13</v>
      </c>
      <c r="M10" s="39"/>
      <c r="N10" s="39"/>
      <c r="O10" s="39"/>
      <c r="P10" s="39"/>
      <c r="Q10" s="39"/>
      <c r="R10" s="76"/>
      <c r="S10" s="39"/>
      <c r="T10" s="39"/>
      <c r="U10" s="39"/>
      <c r="V10" s="39"/>
    </row>
    <row r="11" ht="6.0" customHeight="1">
      <c r="A11" s="39"/>
      <c r="B11" s="39"/>
      <c r="C11" s="39"/>
      <c r="D11" s="39"/>
      <c r="E11" s="39"/>
      <c r="F11" s="39"/>
      <c r="G11" s="39"/>
      <c r="H11" s="39"/>
      <c r="I11" s="39"/>
      <c r="J11" s="39"/>
      <c r="K11" s="39"/>
      <c r="L11" s="39"/>
      <c r="M11" s="39"/>
      <c r="N11" s="39"/>
      <c r="O11" s="76"/>
      <c r="P11" s="39"/>
      <c r="Q11" s="39"/>
      <c r="R11" s="39"/>
      <c r="S11" s="39"/>
      <c r="T11" s="39"/>
      <c r="V11" s="39"/>
    </row>
    <row r="12">
      <c r="A12" s="39"/>
      <c r="B12" s="88" t="s">
        <v>76</v>
      </c>
      <c r="C12" s="88" t="s">
        <v>32</v>
      </c>
      <c r="D12" s="39"/>
      <c r="E12" s="6" t="s">
        <v>77</v>
      </c>
      <c r="F12" s="89" t="s">
        <v>78</v>
      </c>
      <c r="G12" s="39"/>
      <c r="H12" s="6" t="s">
        <v>37</v>
      </c>
      <c r="I12" s="6" t="s">
        <v>33</v>
      </c>
      <c r="J12" s="39"/>
      <c r="K12" s="6" t="s">
        <v>79</v>
      </c>
      <c r="L12" s="6" t="s">
        <v>48</v>
      </c>
      <c r="M12" s="39"/>
      <c r="N12" s="6" t="s">
        <v>80</v>
      </c>
      <c r="O12" s="90" t="s">
        <v>81</v>
      </c>
      <c r="P12" s="39"/>
      <c r="Q12" s="6" t="s">
        <v>82</v>
      </c>
      <c r="R12" s="6" t="s">
        <v>83</v>
      </c>
      <c r="S12" s="6" t="s">
        <v>84</v>
      </c>
      <c r="T12" s="6" t="s">
        <v>85</v>
      </c>
      <c r="V12" s="58"/>
    </row>
    <row r="13" ht="15.75" customHeight="1">
      <c r="A13" s="91"/>
      <c r="B13" s="249">
        <v>1.0</v>
      </c>
      <c r="C13" s="93" t="s">
        <v>1376</v>
      </c>
      <c r="D13" s="102"/>
      <c r="E13" s="265" t="s">
        <v>305</v>
      </c>
      <c r="F13" s="249" t="s">
        <v>3550</v>
      </c>
      <c r="G13" s="94"/>
      <c r="H13" s="93" t="s">
        <v>2834</v>
      </c>
      <c r="I13" s="102" t="s">
        <v>181</v>
      </c>
      <c r="J13" s="94"/>
      <c r="K13" s="98">
        <v>10500.0</v>
      </c>
      <c r="L13" s="98">
        <v>1500.0</v>
      </c>
      <c r="M13" s="99"/>
      <c r="N13" s="100"/>
      <c r="O13" s="101"/>
      <c r="P13" s="94"/>
      <c r="Q13" s="102">
        <v>6.0</v>
      </c>
      <c r="R13" s="113"/>
      <c r="S13" s="102" t="s">
        <v>105</v>
      </c>
      <c r="T13" s="201" t="s">
        <v>3551</v>
      </c>
      <c r="V13" s="104"/>
    </row>
    <row r="14" ht="15.75" customHeight="1">
      <c r="A14" s="91"/>
      <c r="B14" s="277">
        <v>2.0</v>
      </c>
      <c r="C14" s="93" t="s">
        <v>1518</v>
      </c>
      <c r="D14" s="94"/>
      <c r="E14" s="139" t="s">
        <v>3552</v>
      </c>
      <c r="F14" s="139" t="s">
        <v>3553</v>
      </c>
      <c r="G14" s="94"/>
      <c r="H14" s="93" t="s">
        <v>2834</v>
      </c>
      <c r="I14" s="102" t="s">
        <v>88</v>
      </c>
      <c r="J14" s="94"/>
      <c r="K14" s="98"/>
      <c r="L14" s="98"/>
      <c r="M14" s="99"/>
      <c r="N14" s="100" t="s">
        <v>45</v>
      </c>
      <c r="O14" s="101" t="s">
        <v>396</v>
      </c>
      <c r="P14" s="94"/>
      <c r="Q14" s="102"/>
      <c r="R14" s="113"/>
      <c r="S14" s="102" t="s">
        <v>383</v>
      </c>
      <c r="T14" s="201" t="s">
        <v>3554</v>
      </c>
      <c r="V14" s="104"/>
    </row>
    <row r="15" ht="15.75" customHeight="1">
      <c r="A15" s="91"/>
      <c r="B15" s="277">
        <v>3.0</v>
      </c>
      <c r="C15" s="201" t="s">
        <v>531</v>
      </c>
      <c r="D15" s="199"/>
      <c r="E15" s="139" t="s">
        <v>3552</v>
      </c>
      <c r="F15" s="139" t="s">
        <v>3555</v>
      </c>
      <c r="G15" s="199"/>
      <c r="H15" s="93" t="s">
        <v>2834</v>
      </c>
      <c r="I15" s="201" t="s">
        <v>88</v>
      </c>
      <c r="J15" s="199"/>
      <c r="K15" s="202"/>
      <c r="L15" s="98"/>
      <c r="M15" s="203"/>
      <c r="N15" s="210" t="s">
        <v>45</v>
      </c>
      <c r="O15" s="211" t="s">
        <v>396</v>
      </c>
      <c r="P15" s="199"/>
      <c r="Q15" s="201"/>
      <c r="R15" s="206"/>
      <c r="S15" s="201" t="s">
        <v>383</v>
      </c>
      <c r="T15" s="201" t="s">
        <v>3556</v>
      </c>
      <c r="V15" s="104"/>
    </row>
    <row r="16" ht="15.75" customHeight="1">
      <c r="A16" s="91"/>
      <c r="B16" s="277">
        <v>4.0</v>
      </c>
      <c r="C16" s="201" t="s">
        <v>360</v>
      </c>
      <c r="D16" s="199"/>
      <c r="E16" s="139" t="s">
        <v>3557</v>
      </c>
      <c r="F16" s="139" t="s">
        <v>3558</v>
      </c>
      <c r="G16" s="199"/>
      <c r="H16" s="93" t="s">
        <v>2834</v>
      </c>
      <c r="I16" s="201" t="s">
        <v>88</v>
      </c>
      <c r="J16" s="199"/>
      <c r="K16" s="202"/>
      <c r="L16" s="202"/>
      <c r="M16" s="203"/>
      <c r="N16" s="210" t="s">
        <v>45</v>
      </c>
      <c r="O16" s="211" t="s">
        <v>396</v>
      </c>
      <c r="P16" s="199"/>
      <c r="Q16" s="201"/>
      <c r="R16" s="206"/>
      <c r="S16" s="201" t="s">
        <v>383</v>
      </c>
      <c r="T16" s="201" t="s">
        <v>3556</v>
      </c>
      <c r="V16" s="104"/>
    </row>
    <row r="17" ht="15.75" customHeight="1">
      <c r="A17" s="91"/>
      <c r="B17" s="277">
        <v>7.0</v>
      </c>
      <c r="C17" s="201" t="s">
        <v>3559</v>
      </c>
      <c r="D17" s="199"/>
      <c r="E17" s="139" t="s">
        <v>3560</v>
      </c>
      <c r="F17" s="139" t="s">
        <v>3561</v>
      </c>
      <c r="G17" s="199"/>
      <c r="H17" s="93" t="s">
        <v>2841</v>
      </c>
      <c r="I17" s="201" t="s">
        <v>103</v>
      </c>
      <c r="J17" s="199"/>
      <c r="K17" s="202">
        <v>6000.0</v>
      </c>
      <c r="L17" s="202">
        <v>6000.0</v>
      </c>
      <c r="M17" s="203"/>
      <c r="N17" s="210"/>
      <c r="O17" s="211"/>
      <c r="P17" s="199"/>
      <c r="Q17" s="201">
        <v>4.0</v>
      </c>
      <c r="R17" s="206"/>
      <c r="S17" s="201" t="s">
        <v>105</v>
      </c>
      <c r="T17" s="201"/>
      <c r="V17" s="104"/>
    </row>
    <row r="18" ht="15.75" customHeight="1">
      <c r="A18" s="91"/>
      <c r="B18" s="277">
        <v>9.0</v>
      </c>
      <c r="C18" s="201" t="s">
        <v>318</v>
      </c>
      <c r="D18" s="199"/>
      <c r="E18" s="139" t="s">
        <v>3562</v>
      </c>
      <c r="F18" s="139" t="s">
        <v>3563</v>
      </c>
      <c r="G18" s="199"/>
      <c r="H18" s="93" t="s">
        <v>2841</v>
      </c>
      <c r="I18" s="201" t="s">
        <v>88</v>
      </c>
      <c r="J18" s="199"/>
      <c r="K18" s="202"/>
      <c r="L18" s="202"/>
      <c r="M18" s="203"/>
      <c r="N18" s="210" t="s">
        <v>45</v>
      </c>
      <c r="O18" s="211" t="s">
        <v>396</v>
      </c>
      <c r="P18" s="199"/>
      <c r="Q18" s="201"/>
      <c r="R18" s="206"/>
      <c r="S18" s="201" t="s">
        <v>124</v>
      </c>
      <c r="T18" s="201" t="s">
        <v>3564</v>
      </c>
      <c r="V18" s="104"/>
    </row>
    <row r="19" ht="15.75" customHeight="1">
      <c r="A19" s="91"/>
      <c r="B19" s="277">
        <v>9.0</v>
      </c>
      <c r="C19" s="201" t="s">
        <v>597</v>
      </c>
      <c r="D19" s="199"/>
      <c r="E19" s="139" t="s">
        <v>3565</v>
      </c>
      <c r="F19" s="139" t="s">
        <v>3566</v>
      </c>
      <c r="G19" s="199"/>
      <c r="H19" s="93" t="s">
        <v>2834</v>
      </c>
      <c r="I19" s="201" t="s">
        <v>591</v>
      </c>
      <c r="J19" s="199"/>
      <c r="K19" s="202"/>
      <c r="L19" s="202"/>
      <c r="M19" s="203"/>
      <c r="N19" s="210" t="s">
        <v>45</v>
      </c>
      <c r="O19" s="211"/>
      <c r="P19" s="201"/>
      <c r="Q19" s="201"/>
      <c r="R19" s="206"/>
      <c r="S19" s="201" t="s">
        <v>90</v>
      </c>
      <c r="T19" s="201" t="s">
        <v>3567</v>
      </c>
      <c r="V19" s="104"/>
    </row>
    <row r="20" ht="15.75" customHeight="1">
      <c r="A20" s="91"/>
      <c r="B20" s="277">
        <v>14.0</v>
      </c>
      <c r="C20" s="201" t="s">
        <v>870</v>
      </c>
      <c r="D20" s="199"/>
      <c r="E20" s="139" t="s">
        <v>3568</v>
      </c>
      <c r="F20" s="139" t="s">
        <v>3569</v>
      </c>
      <c r="G20" s="199"/>
      <c r="H20" s="93" t="s">
        <v>2834</v>
      </c>
      <c r="I20" s="201" t="s">
        <v>103</v>
      </c>
      <c r="J20" s="199"/>
      <c r="K20" s="202">
        <v>9000.0</v>
      </c>
      <c r="L20" s="202">
        <v>9000.0</v>
      </c>
      <c r="M20" s="202"/>
      <c r="N20" s="210"/>
      <c r="O20" s="211"/>
      <c r="P20" s="199"/>
      <c r="Q20" s="201">
        <v>6.0</v>
      </c>
      <c r="R20" s="206"/>
      <c r="S20" s="201" t="s">
        <v>105</v>
      </c>
      <c r="T20" s="201"/>
      <c r="V20" s="104"/>
    </row>
    <row r="21" ht="15.75" customHeight="1">
      <c r="A21" s="91"/>
      <c r="B21" s="277">
        <v>14.0</v>
      </c>
      <c r="C21" s="201" t="s">
        <v>915</v>
      </c>
      <c r="D21" s="199"/>
      <c r="E21" s="139" t="s">
        <v>3570</v>
      </c>
      <c r="F21" s="139" t="s">
        <v>3571</v>
      </c>
      <c r="G21" s="199"/>
      <c r="H21" s="93" t="s">
        <v>2834</v>
      </c>
      <c r="I21" s="201" t="s">
        <v>88</v>
      </c>
      <c r="J21" s="199"/>
      <c r="K21" s="202"/>
      <c r="L21" s="202"/>
      <c r="M21" s="203"/>
      <c r="N21" s="210" t="s">
        <v>45</v>
      </c>
      <c r="O21" s="211" t="s">
        <v>396</v>
      </c>
      <c r="P21" s="199"/>
      <c r="Q21" s="201"/>
      <c r="R21" s="206"/>
      <c r="S21" s="201" t="s">
        <v>124</v>
      </c>
      <c r="T21" s="201" t="s">
        <v>3572</v>
      </c>
      <c r="V21" s="104"/>
    </row>
    <row r="22" ht="15.75" customHeight="1">
      <c r="A22" s="91"/>
      <c r="B22" s="278">
        <v>15.0</v>
      </c>
      <c r="C22" s="201" t="s">
        <v>360</v>
      </c>
      <c r="D22" s="199"/>
      <c r="E22" s="139" t="s">
        <v>3573</v>
      </c>
      <c r="F22" s="139" t="s">
        <v>3574</v>
      </c>
      <c r="G22" s="199"/>
      <c r="H22" s="93" t="s">
        <v>2841</v>
      </c>
      <c r="I22" s="201" t="s">
        <v>591</v>
      </c>
      <c r="J22" s="199"/>
      <c r="K22" s="202"/>
      <c r="L22" s="202"/>
      <c r="M22" s="203"/>
      <c r="N22" s="210"/>
      <c r="O22" s="205"/>
      <c r="P22" s="199"/>
      <c r="Q22" s="201"/>
      <c r="R22" s="206"/>
      <c r="S22" s="201" t="s">
        <v>90</v>
      </c>
      <c r="T22" s="201" t="s">
        <v>3575</v>
      </c>
      <c r="V22" s="104"/>
    </row>
    <row r="23" ht="15.75" customHeight="1">
      <c r="A23" s="91"/>
      <c r="B23" s="278">
        <v>15.0</v>
      </c>
      <c r="C23" s="201" t="s">
        <v>667</v>
      </c>
      <c r="D23" s="199"/>
      <c r="E23" s="139" t="s">
        <v>3576</v>
      </c>
      <c r="F23" s="139" t="s">
        <v>3577</v>
      </c>
      <c r="G23" s="199"/>
      <c r="H23" s="93" t="s">
        <v>2834</v>
      </c>
      <c r="I23" s="201" t="s">
        <v>103</v>
      </c>
      <c r="J23" s="199"/>
      <c r="K23" s="202">
        <v>6000.0</v>
      </c>
      <c r="L23" s="202">
        <v>6000.0</v>
      </c>
      <c r="M23" s="203"/>
      <c r="N23" s="210"/>
      <c r="O23" s="211"/>
      <c r="P23" s="199"/>
      <c r="Q23" s="201">
        <v>4.0</v>
      </c>
      <c r="R23" s="206"/>
      <c r="S23" s="201" t="s">
        <v>105</v>
      </c>
      <c r="T23" s="201"/>
      <c r="V23" s="104"/>
    </row>
    <row r="24" ht="15.75" customHeight="1">
      <c r="A24" s="91"/>
      <c r="B24" s="278">
        <v>15.0</v>
      </c>
      <c r="C24" s="201" t="s">
        <v>667</v>
      </c>
      <c r="D24" s="199"/>
      <c r="E24" s="139" t="s">
        <v>3578</v>
      </c>
      <c r="F24" s="139" t="s">
        <v>3579</v>
      </c>
      <c r="G24" s="199"/>
      <c r="H24" s="93" t="s">
        <v>2834</v>
      </c>
      <c r="I24" s="201" t="s">
        <v>110</v>
      </c>
      <c r="J24" s="199"/>
      <c r="K24" s="202"/>
      <c r="L24" s="202"/>
      <c r="M24" s="203"/>
      <c r="N24" s="210"/>
      <c r="O24" s="211"/>
      <c r="P24" s="199"/>
      <c r="Q24" s="201"/>
      <c r="R24" s="206"/>
      <c r="S24" s="201"/>
      <c r="T24" s="201"/>
      <c r="V24" s="104"/>
    </row>
    <row r="25" ht="15.75" customHeight="1">
      <c r="A25" s="91"/>
      <c r="B25" s="278">
        <v>16.0</v>
      </c>
      <c r="C25" s="201" t="s">
        <v>2145</v>
      </c>
      <c r="D25" s="199"/>
      <c r="E25" s="139" t="s">
        <v>3580</v>
      </c>
      <c r="F25" s="139" t="s">
        <v>3581</v>
      </c>
      <c r="G25" s="199"/>
      <c r="H25" s="93" t="s">
        <v>2834</v>
      </c>
      <c r="I25" s="201" t="s">
        <v>103</v>
      </c>
      <c r="J25" s="199"/>
      <c r="K25" s="202">
        <v>4500.0</v>
      </c>
      <c r="L25" s="202">
        <v>4500.0</v>
      </c>
      <c r="M25" s="203"/>
      <c r="N25" s="210"/>
      <c r="O25" s="211"/>
      <c r="P25" s="199"/>
      <c r="Q25" s="201">
        <v>3.0</v>
      </c>
      <c r="R25" s="206"/>
      <c r="S25" s="201" t="s">
        <v>105</v>
      </c>
      <c r="T25" s="201"/>
      <c r="V25" s="104"/>
    </row>
    <row r="26" ht="15.75" customHeight="1">
      <c r="A26" s="91"/>
      <c r="B26" s="278">
        <v>16.0</v>
      </c>
      <c r="C26" s="201" t="s">
        <v>1538</v>
      </c>
      <c r="D26" s="199"/>
      <c r="E26" s="139" t="s">
        <v>3576</v>
      </c>
      <c r="F26" s="139" t="s">
        <v>3582</v>
      </c>
      <c r="G26" s="199"/>
      <c r="H26" s="93" t="s">
        <v>2841</v>
      </c>
      <c r="I26" s="201" t="s">
        <v>88</v>
      </c>
      <c r="J26" s="199"/>
      <c r="K26" s="202"/>
      <c r="L26" s="202"/>
      <c r="M26" s="203"/>
      <c r="N26" s="210" t="s">
        <v>45</v>
      </c>
      <c r="O26" s="211" t="s">
        <v>396</v>
      </c>
      <c r="P26" s="199"/>
      <c r="Q26" s="201"/>
      <c r="R26" s="206"/>
      <c r="S26" s="201" t="s">
        <v>383</v>
      </c>
      <c r="T26" s="201" t="s">
        <v>3583</v>
      </c>
      <c r="V26" s="104"/>
    </row>
    <row r="27" ht="15.75" customHeight="1">
      <c r="A27" s="91"/>
      <c r="B27" s="278">
        <v>17.0</v>
      </c>
      <c r="C27" s="93" t="s">
        <v>684</v>
      </c>
      <c r="D27" s="199"/>
      <c r="E27" s="139" t="s">
        <v>3584</v>
      </c>
      <c r="F27" s="139" t="s">
        <v>3585</v>
      </c>
      <c r="G27" s="199"/>
      <c r="H27" s="93" t="s">
        <v>2841</v>
      </c>
      <c r="I27" s="201" t="s">
        <v>103</v>
      </c>
      <c r="J27" s="199"/>
      <c r="K27" s="202">
        <v>4500.0</v>
      </c>
      <c r="L27" s="202">
        <v>4500.0</v>
      </c>
      <c r="M27" s="203"/>
      <c r="N27" s="210" t="s">
        <v>98</v>
      </c>
      <c r="O27" s="211"/>
      <c r="P27" s="199"/>
      <c r="Q27" s="201"/>
      <c r="R27" s="206"/>
      <c r="S27" s="201" t="s">
        <v>105</v>
      </c>
      <c r="T27" s="201" t="s">
        <v>3586</v>
      </c>
      <c r="V27" s="104"/>
    </row>
    <row r="28" ht="15.75" customHeight="1">
      <c r="A28" s="91"/>
      <c r="B28" s="278">
        <v>17.0</v>
      </c>
      <c r="C28" s="201" t="s">
        <v>639</v>
      </c>
      <c r="D28" s="199"/>
      <c r="E28" s="139" t="s">
        <v>3587</v>
      </c>
      <c r="F28" s="139" t="s">
        <v>3588</v>
      </c>
      <c r="G28" s="199"/>
      <c r="H28" s="93" t="s">
        <v>2841</v>
      </c>
      <c r="I28" s="201" t="s">
        <v>110</v>
      </c>
      <c r="J28" s="199"/>
      <c r="K28" s="202"/>
      <c r="L28" s="202"/>
      <c r="M28" s="203"/>
      <c r="N28" s="210"/>
      <c r="O28" s="211"/>
      <c r="P28" s="199"/>
      <c r="Q28" s="201"/>
      <c r="R28" s="206"/>
      <c r="S28" s="201"/>
      <c r="T28" s="201"/>
      <c r="V28" s="104"/>
    </row>
    <row r="29" ht="15.75" customHeight="1">
      <c r="A29" s="91"/>
      <c r="B29" s="278">
        <v>18.0</v>
      </c>
      <c r="C29" s="201" t="s">
        <v>360</v>
      </c>
      <c r="D29" s="199"/>
      <c r="E29" s="139" t="s">
        <v>3387</v>
      </c>
      <c r="F29" s="139" t="s">
        <v>3589</v>
      </c>
      <c r="G29" s="199"/>
      <c r="H29" s="93"/>
      <c r="I29" s="201" t="s">
        <v>110</v>
      </c>
      <c r="J29" s="199"/>
      <c r="K29" s="202"/>
      <c r="L29" s="202"/>
      <c r="M29" s="203"/>
      <c r="N29" s="210"/>
      <c r="O29" s="205"/>
      <c r="P29" s="199"/>
      <c r="Q29" s="201"/>
      <c r="R29" s="206"/>
      <c r="S29" s="201"/>
      <c r="T29" s="201"/>
      <c r="V29" s="104"/>
    </row>
    <row r="30" ht="15.75" customHeight="1">
      <c r="A30" s="91"/>
      <c r="B30" s="278">
        <v>18.0</v>
      </c>
      <c r="C30" s="201" t="s">
        <v>597</v>
      </c>
      <c r="D30" s="199"/>
      <c r="E30" s="139" t="s">
        <v>3590</v>
      </c>
      <c r="F30" s="139" t="s">
        <v>3591</v>
      </c>
      <c r="G30" s="199"/>
      <c r="H30" s="93" t="s">
        <v>2834</v>
      </c>
      <c r="I30" s="201" t="s">
        <v>232</v>
      </c>
      <c r="J30" s="199"/>
      <c r="K30" s="202"/>
      <c r="L30" s="202"/>
      <c r="M30" s="203"/>
      <c r="N30" s="210"/>
      <c r="O30" s="211"/>
      <c r="P30" s="201"/>
      <c r="Q30" s="201"/>
      <c r="R30" s="206"/>
      <c r="S30" s="201" t="s">
        <v>404</v>
      </c>
      <c r="T30" s="201" t="s">
        <v>3592</v>
      </c>
      <c r="V30" s="104"/>
    </row>
    <row r="31" ht="15.75" customHeight="1">
      <c r="A31" s="91"/>
      <c r="B31" s="278">
        <v>20.0</v>
      </c>
      <c r="C31" s="97" t="s">
        <v>850</v>
      </c>
      <c r="D31" s="199"/>
      <c r="E31" s="139" t="s">
        <v>3593</v>
      </c>
      <c r="F31" s="139" t="s">
        <v>3594</v>
      </c>
      <c r="G31" s="199"/>
      <c r="H31" s="93" t="s">
        <v>2841</v>
      </c>
      <c r="I31" s="201" t="s">
        <v>181</v>
      </c>
      <c r="J31" s="199"/>
      <c r="K31" s="202">
        <v>7500.0</v>
      </c>
      <c r="L31" s="202">
        <v>3000.0</v>
      </c>
      <c r="M31" s="203"/>
      <c r="N31" s="210"/>
      <c r="O31" s="211"/>
      <c r="P31" s="199"/>
      <c r="Q31" s="201">
        <v>4.0</v>
      </c>
      <c r="R31" s="206"/>
      <c r="S31" s="201" t="s">
        <v>105</v>
      </c>
      <c r="T31" s="201"/>
      <c r="V31" s="104"/>
    </row>
    <row r="32" ht="15.75" customHeight="1">
      <c r="A32" s="91"/>
      <c r="B32" s="278">
        <v>21.0</v>
      </c>
      <c r="C32" s="97" t="s">
        <v>344</v>
      </c>
      <c r="D32" s="199"/>
      <c r="E32" s="139" t="s">
        <v>3595</v>
      </c>
      <c r="F32" s="139" t="s">
        <v>3596</v>
      </c>
      <c r="G32" s="199"/>
      <c r="H32" s="93" t="s">
        <v>2834</v>
      </c>
      <c r="I32" s="201" t="s">
        <v>181</v>
      </c>
      <c r="J32" s="199"/>
      <c r="K32" s="98">
        <v>10500.0</v>
      </c>
      <c r="L32" s="202">
        <v>3000.0</v>
      </c>
      <c r="M32" s="203"/>
      <c r="N32" s="210"/>
      <c r="O32" s="211"/>
      <c r="P32" s="199"/>
      <c r="Q32" s="201">
        <v>6.0</v>
      </c>
      <c r="R32" s="206"/>
      <c r="S32" s="201" t="s">
        <v>105</v>
      </c>
      <c r="T32" s="201"/>
      <c r="V32" s="104"/>
    </row>
    <row r="33" ht="15.75" customHeight="1">
      <c r="A33" s="91"/>
      <c r="B33" s="278">
        <v>21.0</v>
      </c>
      <c r="C33" s="97" t="s">
        <v>2421</v>
      </c>
      <c r="D33" s="199"/>
      <c r="E33" s="139" t="s">
        <v>3597</v>
      </c>
      <c r="F33" s="139" t="s">
        <v>3598</v>
      </c>
      <c r="G33" s="199"/>
      <c r="H33" s="93" t="s">
        <v>2841</v>
      </c>
      <c r="I33" s="201" t="s">
        <v>88</v>
      </c>
      <c r="J33" s="199"/>
      <c r="K33" s="202"/>
      <c r="L33" s="202"/>
      <c r="M33" s="203"/>
      <c r="N33" s="210" t="s">
        <v>45</v>
      </c>
      <c r="O33" s="211" t="s">
        <v>584</v>
      </c>
      <c r="P33" s="199"/>
      <c r="Q33" s="201"/>
      <c r="R33" s="206"/>
      <c r="S33" s="201" t="s">
        <v>383</v>
      </c>
      <c r="T33" s="201" t="s">
        <v>3599</v>
      </c>
      <c r="V33" s="104"/>
    </row>
    <row r="34" ht="15.75" customHeight="1">
      <c r="A34" s="91"/>
      <c r="B34" s="278">
        <v>21.0</v>
      </c>
      <c r="C34" s="97" t="s">
        <v>1601</v>
      </c>
      <c r="D34" s="199"/>
      <c r="E34" s="139" t="s">
        <v>3600</v>
      </c>
      <c r="F34" s="139" t="s">
        <v>3601</v>
      </c>
      <c r="G34" s="199"/>
      <c r="H34" s="93" t="s">
        <v>2834</v>
      </c>
      <c r="I34" s="201" t="s">
        <v>88</v>
      </c>
      <c r="J34" s="201"/>
      <c r="K34" s="202"/>
      <c r="L34" s="202"/>
      <c r="M34" s="203"/>
      <c r="N34" s="210" t="s">
        <v>50</v>
      </c>
      <c r="O34" s="211" t="s">
        <v>3602</v>
      </c>
      <c r="P34" s="199"/>
      <c r="Q34" s="201"/>
      <c r="R34" s="206"/>
      <c r="S34" s="201" t="s">
        <v>124</v>
      </c>
      <c r="T34" s="201" t="s">
        <v>3603</v>
      </c>
      <c r="V34" s="104"/>
    </row>
    <row r="35" ht="15.75" customHeight="1">
      <c r="A35" s="91"/>
      <c r="B35" s="278">
        <v>21.0</v>
      </c>
      <c r="C35" s="97" t="s">
        <v>3604</v>
      </c>
      <c r="D35" s="199"/>
      <c r="E35" s="139" t="s">
        <v>3605</v>
      </c>
      <c r="F35" s="139" t="s">
        <v>3606</v>
      </c>
      <c r="G35" s="199"/>
      <c r="H35" s="93" t="s">
        <v>2834</v>
      </c>
      <c r="I35" s="201" t="s">
        <v>591</v>
      </c>
      <c r="J35" s="199"/>
      <c r="K35" s="251"/>
      <c r="L35" s="202"/>
      <c r="M35" s="203"/>
      <c r="N35" s="210" t="s">
        <v>65</v>
      </c>
      <c r="O35" s="211"/>
      <c r="P35" s="199"/>
      <c r="Q35" s="201"/>
      <c r="R35" s="206"/>
      <c r="S35" s="201" t="s">
        <v>90</v>
      </c>
      <c r="T35" s="201" t="s">
        <v>3607</v>
      </c>
      <c r="V35" s="104"/>
    </row>
    <row r="36" ht="15.75" customHeight="1">
      <c r="A36" s="91"/>
      <c r="B36" s="198">
        <v>23.0</v>
      </c>
      <c r="C36" s="97" t="s">
        <v>949</v>
      </c>
      <c r="D36" s="94"/>
      <c r="E36" s="139" t="s">
        <v>3608</v>
      </c>
      <c r="F36" s="139" t="s">
        <v>3609</v>
      </c>
      <c r="G36" s="94"/>
      <c r="H36" s="93" t="s">
        <v>2834</v>
      </c>
      <c r="I36" s="201" t="s">
        <v>103</v>
      </c>
      <c r="J36" s="94"/>
      <c r="K36" s="202">
        <v>6000.0</v>
      </c>
      <c r="L36" s="202">
        <v>6000.0</v>
      </c>
      <c r="M36" s="99"/>
      <c r="N36" s="100"/>
      <c r="O36" s="101"/>
      <c r="P36" s="94"/>
      <c r="Q36" s="201">
        <v>4.0</v>
      </c>
      <c r="R36" s="113"/>
      <c r="S36" s="102" t="s">
        <v>105</v>
      </c>
      <c r="T36" s="102"/>
      <c r="V36" s="104"/>
    </row>
    <row r="37" ht="15.75" customHeight="1">
      <c r="A37" s="94"/>
      <c r="B37" s="198">
        <v>23.0</v>
      </c>
      <c r="C37" s="97" t="s">
        <v>1210</v>
      </c>
      <c r="D37" s="94"/>
      <c r="E37" s="139" t="s">
        <v>3610</v>
      </c>
      <c r="F37" s="139" t="s">
        <v>3611</v>
      </c>
      <c r="G37" s="94"/>
      <c r="H37" s="93" t="s">
        <v>2834</v>
      </c>
      <c r="I37" s="102" t="s">
        <v>181</v>
      </c>
      <c r="J37" s="94"/>
      <c r="K37" s="98">
        <v>10500.0</v>
      </c>
      <c r="L37" s="202">
        <v>3000.0</v>
      </c>
      <c r="M37" s="99"/>
      <c r="N37" s="100"/>
      <c r="O37" s="101"/>
      <c r="P37" s="94"/>
      <c r="Q37" s="201">
        <v>6.0</v>
      </c>
      <c r="R37" s="113"/>
      <c r="S37" s="102" t="s">
        <v>105</v>
      </c>
      <c r="T37" s="102"/>
      <c r="V37" s="104"/>
    </row>
    <row r="38" ht="15.75" customHeight="1">
      <c r="A38" s="94"/>
      <c r="B38" s="198">
        <v>24.0</v>
      </c>
      <c r="C38" s="97" t="s">
        <v>3612</v>
      </c>
      <c r="D38" s="94"/>
      <c r="E38" s="139" t="s">
        <v>3613</v>
      </c>
      <c r="F38" s="139" t="s">
        <v>3614</v>
      </c>
      <c r="G38" s="94"/>
      <c r="H38" s="93" t="s">
        <v>2834</v>
      </c>
      <c r="I38" s="201" t="s">
        <v>181</v>
      </c>
      <c r="J38" s="94"/>
      <c r="K38" s="202">
        <v>7500.0</v>
      </c>
      <c r="L38" s="202">
        <v>2500.0</v>
      </c>
      <c r="M38" s="99"/>
      <c r="N38" s="100"/>
      <c r="O38" s="101"/>
      <c r="P38" s="94"/>
      <c r="Q38" s="201">
        <v>6.0</v>
      </c>
      <c r="R38" s="113"/>
      <c r="S38" s="102" t="s">
        <v>105</v>
      </c>
      <c r="T38" s="102"/>
      <c r="V38" s="104"/>
    </row>
    <row r="39" ht="15.75" customHeight="1">
      <c r="A39" s="94"/>
      <c r="B39" s="198">
        <v>24.0</v>
      </c>
      <c r="C39" s="97" t="s">
        <v>772</v>
      </c>
      <c r="D39" s="94"/>
      <c r="E39" s="139" t="s">
        <v>1439</v>
      </c>
      <c r="F39" s="249" t="s">
        <v>3615</v>
      </c>
      <c r="G39" s="94"/>
      <c r="H39" s="93" t="s">
        <v>2834</v>
      </c>
      <c r="I39" s="102" t="s">
        <v>88</v>
      </c>
      <c r="J39" s="94"/>
      <c r="K39" s="202"/>
      <c r="L39" s="202"/>
      <c r="M39" s="99"/>
      <c r="N39" s="100" t="s">
        <v>60</v>
      </c>
      <c r="O39" s="101" t="s">
        <v>1179</v>
      </c>
      <c r="P39" s="94"/>
      <c r="Q39" s="201"/>
      <c r="R39" s="113"/>
      <c r="S39" s="102" t="s">
        <v>124</v>
      </c>
      <c r="T39" s="102" t="s">
        <v>3616</v>
      </c>
      <c r="V39" s="104"/>
    </row>
    <row r="40" ht="15.75" customHeight="1">
      <c r="A40" s="94"/>
      <c r="B40" s="198">
        <v>24.0</v>
      </c>
      <c r="C40" s="97" t="s">
        <v>3617</v>
      </c>
      <c r="D40" s="94"/>
      <c r="E40" s="139" t="s">
        <v>3618</v>
      </c>
      <c r="F40" s="139" t="s">
        <v>3619</v>
      </c>
      <c r="G40" s="94"/>
      <c r="H40" s="93" t="s">
        <v>2834</v>
      </c>
      <c r="I40" s="102" t="s">
        <v>88</v>
      </c>
      <c r="J40" s="94"/>
      <c r="K40" s="202"/>
      <c r="L40" s="202"/>
      <c r="M40" s="99"/>
      <c r="N40" s="100" t="s">
        <v>45</v>
      </c>
      <c r="O40" s="101" t="s">
        <v>584</v>
      </c>
      <c r="P40" s="102"/>
      <c r="Q40" s="102"/>
      <c r="R40" s="113"/>
      <c r="S40" s="102" t="s">
        <v>383</v>
      </c>
      <c r="T40" s="102" t="s">
        <v>3620</v>
      </c>
      <c r="V40" s="104"/>
    </row>
    <row r="41" ht="15.75" customHeight="1">
      <c r="A41" s="94"/>
      <c r="B41" s="198">
        <v>24.0</v>
      </c>
      <c r="C41" s="97" t="s">
        <v>1518</v>
      </c>
      <c r="D41" s="94"/>
      <c r="E41" s="139" t="s">
        <v>3621</v>
      </c>
      <c r="F41" s="139" t="s">
        <v>3622</v>
      </c>
      <c r="G41" s="94"/>
      <c r="H41" s="93" t="s">
        <v>2834</v>
      </c>
      <c r="I41" s="102" t="s">
        <v>232</v>
      </c>
      <c r="J41" s="94"/>
      <c r="K41" s="202"/>
      <c r="L41" s="202"/>
      <c r="M41" s="99"/>
      <c r="N41" s="100" t="s">
        <v>45</v>
      </c>
      <c r="O41" s="101" t="s">
        <v>584</v>
      </c>
      <c r="P41" s="94"/>
      <c r="Q41" s="102"/>
      <c r="R41" s="113"/>
      <c r="S41" s="102" t="s">
        <v>170</v>
      </c>
      <c r="T41" s="102" t="s">
        <v>3623</v>
      </c>
      <c r="V41" s="104"/>
    </row>
    <row r="42" ht="15.75" customHeight="1">
      <c r="A42" s="94"/>
      <c r="B42" s="118">
        <v>25.0</v>
      </c>
      <c r="C42" s="97" t="s">
        <v>727</v>
      </c>
      <c r="D42" s="94"/>
      <c r="E42" s="139" t="s">
        <v>3624</v>
      </c>
      <c r="F42" s="139" t="s">
        <v>3625</v>
      </c>
      <c r="G42" s="94"/>
      <c r="H42" s="93" t="s">
        <v>2834</v>
      </c>
      <c r="I42" s="201" t="s">
        <v>110</v>
      </c>
      <c r="J42" s="94"/>
      <c r="K42" s="202"/>
      <c r="L42" s="98"/>
      <c r="M42" s="99"/>
      <c r="N42" s="100"/>
      <c r="O42" s="101"/>
      <c r="P42" s="94"/>
      <c r="Q42" s="102"/>
      <c r="R42" s="113"/>
      <c r="S42" s="102"/>
      <c r="T42" s="102"/>
      <c r="V42" s="104"/>
    </row>
    <row r="43" ht="15.75" customHeight="1">
      <c r="A43" s="94"/>
      <c r="B43" s="198">
        <v>25.0</v>
      </c>
      <c r="C43" s="97" t="s">
        <v>777</v>
      </c>
      <c r="D43" s="94"/>
      <c r="E43" s="139" t="s">
        <v>3626</v>
      </c>
      <c r="F43" s="139" t="s">
        <v>3627</v>
      </c>
      <c r="G43" s="94"/>
      <c r="H43" s="93" t="s">
        <v>2841</v>
      </c>
      <c r="I43" s="102" t="s">
        <v>131</v>
      </c>
      <c r="J43" s="94"/>
      <c r="K43" s="202"/>
      <c r="L43" s="202"/>
      <c r="M43" s="99"/>
      <c r="N43" s="100"/>
      <c r="O43" s="101"/>
      <c r="P43" s="94"/>
      <c r="Q43" s="102"/>
      <c r="R43" s="113"/>
      <c r="S43" s="102"/>
      <c r="T43" s="102"/>
      <c r="V43" s="104"/>
    </row>
    <row r="44" ht="15.75" customHeight="1">
      <c r="A44" s="94"/>
      <c r="B44" s="198">
        <v>25.0</v>
      </c>
      <c r="C44" s="97" t="s">
        <v>360</v>
      </c>
      <c r="D44" s="94"/>
      <c r="E44" s="139" t="s">
        <v>3628</v>
      </c>
      <c r="F44" s="139" t="s">
        <v>3629</v>
      </c>
      <c r="G44" s="94"/>
      <c r="H44" s="93" t="s">
        <v>2834</v>
      </c>
      <c r="I44" s="102" t="s">
        <v>103</v>
      </c>
      <c r="J44" s="94"/>
      <c r="K44" s="144">
        <v>4500.0</v>
      </c>
      <c r="L44" s="144">
        <v>4500.0</v>
      </c>
      <c r="M44" s="99"/>
      <c r="N44" s="100"/>
      <c r="O44" s="101"/>
      <c r="P44" s="94"/>
      <c r="Q44" s="102">
        <v>3.0</v>
      </c>
      <c r="R44" s="113"/>
      <c r="S44" s="102" t="s">
        <v>105</v>
      </c>
      <c r="T44" s="102"/>
      <c r="V44" s="102"/>
    </row>
    <row r="45" ht="15.75" customHeight="1">
      <c r="A45" s="94"/>
      <c r="B45" s="198">
        <v>26.0</v>
      </c>
      <c r="C45" s="97" t="s">
        <v>667</v>
      </c>
      <c r="D45" s="94"/>
      <c r="E45" s="139" t="s">
        <v>3630</v>
      </c>
      <c r="F45" s="139" t="s">
        <v>3631</v>
      </c>
      <c r="G45" s="94"/>
      <c r="H45" s="93" t="s">
        <v>2834</v>
      </c>
      <c r="I45" s="97" t="s">
        <v>103</v>
      </c>
      <c r="J45" s="94"/>
      <c r="K45" s="202">
        <v>6000.0</v>
      </c>
      <c r="L45" s="144">
        <v>6000.0</v>
      </c>
      <c r="M45" s="99"/>
      <c r="N45" s="100"/>
      <c r="O45" s="101"/>
      <c r="P45" s="94"/>
      <c r="Q45" s="102">
        <v>4.0</v>
      </c>
      <c r="R45" s="113"/>
      <c r="S45" s="102" t="s">
        <v>105</v>
      </c>
      <c r="T45" s="102"/>
      <c r="V45" s="104"/>
    </row>
    <row r="46" ht="15.75" customHeight="1">
      <c r="A46" s="91"/>
      <c r="B46" s="198">
        <v>26.0</v>
      </c>
      <c r="C46" s="97" t="s">
        <v>1979</v>
      </c>
      <c r="D46" s="94"/>
      <c r="E46" s="139" t="s">
        <v>3632</v>
      </c>
      <c r="F46" s="139" t="s">
        <v>3633</v>
      </c>
      <c r="G46" s="94"/>
      <c r="H46" s="93" t="s">
        <v>2834</v>
      </c>
      <c r="I46" s="97" t="s">
        <v>232</v>
      </c>
      <c r="J46" s="94"/>
      <c r="K46" s="202"/>
      <c r="L46" s="202">
        <v>100.0</v>
      </c>
      <c r="M46" s="99"/>
      <c r="N46" s="100"/>
      <c r="O46" s="101"/>
      <c r="P46" s="94"/>
      <c r="Q46" s="201"/>
      <c r="R46" s="105"/>
      <c r="S46" s="102"/>
      <c r="T46" s="102"/>
      <c r="V46" s="104"/>
    </row>
    <row r="47" ht="15.75" customHeight="1">
      <c r="A47" s="91"/>
      <c r="B47" s="198">
        <v>27.0</v>
      </c>
      <c r="C47" s="97" t="s">
        <v>1303</v>
      </c>
      <c r="D47" s="94"/>
      <c r="E47" s="139" t="s">
        <v>3634</v>
      </c>
      <c r="F47" s="139" t="s">
        <v>3635</v>
      </c>
      <c r="G47" s="94"/>
      <c r="H47" s="93" t="s">
        <v>2834</v>
      </c>
      <c r="I47" s="97" t="s">
        <v>110</v>
      </c>
      <c r="J47" s="94"/>
      <c r="K47" s="202"/>
      <c r="L47" s="202"/>
      <c r="M47" s="99"/>
      <c r="N47" s="100"/>
      <c r="O47" s="101"/>
      <c r="P47" s="94"/>
      <c r="Q47" s="102"/>
      <c r="R47" s="113"/>
      <c r="S47" s="102"/>
      <c r="T47" s="102"/>
      <c r="V47" s="104"/>
    </row>
    <row r="48" ht="15.75" customHeight="1">
      <c r="A48" s="91"/>
      <c r="B48" s="198"/>
      <c r="C48" s="97"/>
      <c r="D48" s="94"/>
      <c r="E48" s="139"/>
      <c r="F48" s="139"/>
      <c r="G48" s="94"/>
      <c r="H48" s="93"/>
      <c r="I48" s="102"/>
      <c r="J48" s="94"/>
      <c r="K48" s="202"/>
      <c r="L48" s="202"/>
      <c r="M48" s="99"/>
      <c r="N48" s="100"/>
      <c r="O48" s="101"/>
      <c r="P48" s="94"/>
      <c r="Q48" s="102"/>
      <c r="R48" s="103"/>
      <c r="S48" s="102"/>
      <c r="T48" s="102"/>
      <c r="V48" s="104"/>
    </row>
    <row r="49" ht="15.75" customHeight="1">
      <c r="A49" s="91"/>
      <c r="B49" s="198"/>
      <c r="C49" s="97"/>
      <c r="D49" s="94"/>
      <c r="E49" s="139"/>
      <c r="F49" s="139"/>
      <c r="G49" s="94"/>
      <c r="H49" s="93"/>
      <c r="I49" s="102"/>
      <c r="J49" s="94"/>
      <c r="K49" s="202"/>
      <c r="L49" s="202"/>
      <c r="M49" s="99"/>
      <c r="N49" s="100"/>
      <c r="O49" s="101"/>
      <c r="P49" s="94"/>
      <c r="Q49" s="102"/>
      <c r="R49" s="113"/>
      <c r="S49" s="102"/>
      <c r="T49" s="102"/>
      <c r="V49" s="104"/>
    </row>
    <row r="50" ht="15.75" customHeight="1">
      <c r="A50" s="91"/>
      <c r="B50" s="198"/>
      <c r="C50" s="97"/>
      <c r="D50" s="94"/>
      <c r="E50" s="139"/>
      <c r="F50" s="139"/>
      <c r="G50" s="94"/>
      <c r="H50" s="93"/>
      <c r="I50" s="102"/>
      <c r="J50" s="94"/>
      <c r="K50" s="202"/>
      <c r="L50" s="202"/>
      <c r="M50" s="99"/>
      <c r="N50" s="100"/>
      <c r="O50" s="101"/>
      <c r="P50" s="94"/>
      <c r="Q50" s="102"/>
      <c r="R50" s="103"/>
      <c r="S50" s="102"/>
      <c r="T50" s="102"/>
      <c r="V50" s="104"/>
    </row>
    <row r="51" ht="15.75" customHeight="1">
      <c r="A51" s="91"/>
      <c r="B51" s="198"/>
      <c r="C51" s="97"/>
      <c r="D51" s="94"/>
      <c r="E51" s="139"/>
      <c r="F51" s="139"/>
      <c r="G51" s="94"/>
      <c r="H51" s="93"/>
      <c r="I51" s="102"/>
      <c r="J51" s="94"/>
      <c r="K51" s="202"/>
      <c r="L51" s="202"/>
      <c r="M51" s="99"/>
      <c r="N51" s="100"/>
      <c r="O51" s="101"/>
      <c r="P51" s="94"/>
      <c r="Q51" s="102"/>
      <c r="R51" s="103"/>
      <c r="S51" s="102"/>
      <c r="T51" s="102"/>
      <c r="V51" s="104"/>
    </row>
    <row r="52" ht="15.75" customHeight="1">
      <c r="A52" s="91"/>
      <c r="B52" s="198"/>
      <c r="C52" s="97"/>
      <c r="D52" s="94"/>
      <c r="E52" s="139"/>
      <c r="F52" s="139"/>
      <c r="G52" s="94"/>
      <c r="H52" s="93"/>
      <c r="I52" s="102"/>
      <c r="J52" s="94"/>
      <c r="K52" s="98"/>
      <c r="L52" s="98"/>
      <c r="M52" s="99"/>
      <c r="N52" s="100"/>
      <c r="O52" s="101"/>
      <c r="P52" s="94"/>
      <c r="Q52" s="102"/>
      <c r="R52" s="113"/>
      <c r="S52" s="102"/>
      <c r="T52" s="102"/>
      <c r="V52" s="104"/>
    </row>
    <row r="53" ht="15.75" customHeight="1">
      <c r="A53" s="91"/>
      <c r="B53" s="198"/>
      <c r="C53" s="97"/>
      <c r="D53" s="94"/>
      <c r="E53" s="139"/>
      <c r="F53" s="139"/>
      <c r="G53" s="94"/>
      <c r="H53" s="93"/>
      <c r="I53" s="102"/>
      <c r="J53" s="94"/>
      <c r="K53" s="202"/>
      <c r="L53" s="202"/>
      <c r="M53" s="99"/>
      <c r="N53" s="100"/>
      <c r="O53" s="101"/>
      <c r="P53" s="94"/>
      <c r="Q53" s="102"/>
      <c r="R53" s="106"/>
      <c r="S53" s="102"/>
      <c r="T53" s="102"/>
      <c r="V53" s="104"/>
    </row>
    <row r="54" ht="15.75" customHeight="1">
      <c r="A54" s="91"/>
      <c r="B54" s="198"/>
      <c r="C54" s="97"/>
      <c r="D54" s="94"/>
      <c r="E54" s="139"/>
      <c r="F54" s="139"/>
      <c r="G54" s="94"/>
      <c r="H54" s="93"/>
      <c r="I54" s="102"/>
      <c r="J54" s="94"/>
      <c r="K54" s="202"/>
      <c r="L54" s="98"/>
      <c r="M54" s="99"/>
      <c r="N54" s="100"/>
      <c r="O54" s="101"/>
      <c r="P54" s="94"/>
      <c r="Q54" s="102"/>
      <c r="R54" s="113"/>
      <c r="S54" s="102"/>
      <c r="V54" s="104"/>
    </row>
    <row r="55" ht="15.75" customHeight="1">
      <c r="A55" s="91"/>
      <c r="B55" s="198"/>
      <c r="C55" s="97"/>
      <c r="D55" s="94"/>
      <c r="E55" s="139"/>
      <c r="F55" s="139"/>
      <c r="G55" s="94"/>
      <c r="H55" s="93"/>
      <c r="I55" s="102"/>
      <c r="J55" s="94"/>
      <c r="K55" s="202"/>
      <c r="L55" s="202"/>
      <c r="M55" s="99"/>
      <c r="N55" s="100"/>
      <c r="O55" s="101"/>
      <c r="P55" s="94"/>
      <c r="Q55" s="201"/>
      <c r="R55" s="113"/>
      <c r="S55" s="102"/>
      <c r="T55" s="102"/>
      <c r="V55" s="104"/>
    </row>
    <row r="56" ht="15.75" customHeight="1">
      <c r="A56" s="91"/>
      <c r="B56" s="198"/>
      <c r="C56" s="97"/>
      <c r="D56" s="94"/>
      <c r="E56" s="139"/>
      <c r="F56" s="265"/>
      <c r="G56" s="94"/>
      <c r="H56" s="93"/>
      <c r="I56" s="102"/>
      <c r="J56" s="94"/>
      <c r="K56" s="144"/>
      <c r="L56" s="144"/>
      <c r="M56" s="99"/>
      <c r="N56" s="100"/>
      <c r="O56" s="101"/>
      <c r="P56" s="94"/>
      <c r="Q56" s="102"/>
      <c r="R56" s="103"/>
      <c r="S56" s="102"/>
      <c r="T56" s="102"/>
      <c r="V56" s="104"/>
    </row>
    <row r="57" ht="15.75" customHeight="1">
      <c r="A57" s="91"/>
      <c r="B57" s="198"/>
      <c r="C57" s="97"/>
      <c r="D57" s="94"/>
      <c r="E57" s="139"/>
      <c r="F57" s="139"/>
      <c r="G57" s="94"/>
      <c r="H57" s="93"/>
      <c r="I57" s="102"/>
      <c r="J57" s="94"/>
      <c r="K57" s="202"/>
      <c r="L57" s="98"/>
      <c r="M57" s="99"/>
      <c r="N57" s="100"/>
      <c r="O57" s="101"/>
      <c r="P57" s="102"/>
      <c r="Q57" s="102"/>
      <c r="R57" s="113"/>
      <c r="S57" s="102"/>
      <c r="T57" s="102"/>
      <c r="V57" s="104"/>
    </row>
    <row r="58" ht="15.75" customHeight="1">
      <c r="A58" s="91"/>
      <c r="B58" s="198"/>
      <c r="C58" s="97"/>
      <c r="D58" s="94"/>
      <c r="E58" s="139"/>
      <c r="F58" s="139"/>
      <c r="G58" s="94"/>
      <c r="H58" s="93"/>
      <c r="I58" s="102"/>
      <c r="J58" s="94"/>
      <c r="K58" s="98"/>
      <c r="L58" s="98"/>
      <c r="M58" s="99"/>
      <c r="N58" s="100"/>
      <c r="O58" s="101"/>
      <c r="P58" s="94"/>
      <c r="Q58" s="102"/>
      <c r="R58" s="113"/>
      <c r="S58" s="102"/>
      <c r="T58" s="102"/>
      <c r="V58" s="104"/>
    </row>
    <row r="59" ht="15.75" customHeight="1">
      <c r="A59" s="91"/>
      <c r="B59" s="198"/>
      <c r="C59" s="97"/>
      <c r="D59" s="94"/>
      <c r="E59" s="139"/>
      <c r="F59" s="139"/>
      <c r="G59" s="94"/>
      <c r="H59" s="93"/>
      <c r="I59" s="102"/>
      <c r="J59" s="94"/>
      <c r="K59" s="98"/>
      <c r="L59" s="98"/>
      <c r="M59" s="99"/>
      <c r="N59" s="100"/>
      <c r="O59" s="101"/>
      <c r="P59" s="94"/>
      <c r="Q59" s="102"/>
      <c r="R59" s="113"/>
      <c r="S59" s="102"/>
      <c r="T59" s="102"/>
      <c r="V59" s="104"/>
    </row>
    <row r="60" ht="15.75" customHeight="1">
      <c r="A60" s="91"/>
      <c r="B60" s="198"/>
      <c r="C60" s="97"/>
      <c r="D60" s="94"/>
      <c r="E60" s="139"/>
      <c r="F60" s="139"/>
      <c r="G60" s="94"/>
      <c r="H60" s="93"/>
      <c r="I60" s="102"/>
      <c r="J60" s="94"/>
      <c r="K60" s="98"/>
      <c r="L60" s="98"/>
      <c r="M60" s="99"/>
      <c r="N60" s="100"/>
      <c r="O60" s="101"/>
      <c r="P60" s="94"/>
      <c r="Q60" s="102"/>
      <c r="R60" s="113"/>
      <c r="S60" s="102"/>
      <c r="T60" s="102"/>
      <c r="V60" s="104"/>
    </row>
    <row r="61" ht="15.75" customHeight="1">
      <c r="A61" s="91"/>
      <c r="B61" s="198"/>
      <c r="C61" s="97"/>
      <c r="D61" s="94"/>
      <c r="E61" s="139"/>
      <c r="F61" s="139"/>
      <c r="G61" s="94"/>
      <c r="H61" s="93"/>
      <c r="I61" s="102"/>
      <c r="J61" s="94"/>
      <c r="K61" s="202"/>
      <c r="L61" s="202"/>
      <c r="M61" s="99"/>
      <c r="N61" s="100"/>
      <c r="O61" s="101"/>
      <c r="P61" s="94"/>
      <c r="Q61" s="102"/>
      <c r="R61" s="103"/>
      <c r="S61" s="102"/>
      <c r="T61" s="102"/>
      <c r="V61" s="104"/>
    </row>
    <row r="62" ht="15.75" customHeight="1">
      <c r="A62" s="91"/>
      <c r="B62" s="198"/>
      <c r="C62" s="97"/>
      <c r="D62" s="102"/>
      <c r="E62" s="139"/>
      <c r="F62" s="139"/>
      <c r="G62" s="94"/>
      <c r="H62" s="93"/>
      <c r="I62" s="102"/>
      <c r="J62" s="94"/>
      <c r="K62" s="202"/>
      <c r="L62" s="202"/>
      <c r="M62" s="99"/>
      <c r="N62" s="100"/>
      <c r="O62" s="101"/>
      <c r="P62" s="94"/>
      <c r="Q62" s="201"/>
      <c r="R62" s="103"/>
      <c r="S62" s="102"/>
      <c r="V62" s="104"/>
    </row>
    <row r="63" ht="15.75" customHeight="1">
      <c r="A63" s="91"/>
      <c r="B63" s="198"/>
      <c r="C63" s="97"/>
      <c r="D63" s="94"/>
      <c r="E63" s="139"/>
      <c r="F63" s="139"/>
      <c r="G63" s="94"/>
      <c r="H63" s="93"/>
      <c r="I63" s="102"/>
      <c r="J63" s="94"/>
      <c r="K63" s="202"/>
      <c r="L63" s="202"/>
      <c r="M63" s="99"/>
      <c r="N63" s="100"/>
      <c r="O63" s="101"/>
      <c r="P63" s="94"/>
      <c r="Q63" s="102"/>
      <c r="R63" s="103"/>
      <c r="S63" s="102"/>
      <c r="T63" s="102"/>
      <c r="V63" s="104"/>
    </row>
    <row r="64" ht="15.75" customHeight="1">
      <c r="A64" s="91"/>
      <c r="B64" s="198"/>
      <c r="C64" s="97"/>
      <c r="D64" s="94"/>
      <c r="E64" s="139"/>
      <c r="F64" s="139"/>
      <c r="G64" s="94"/>
      <c r="H64" s="93"/>
      <c r="I64" s="102"/>
      <c r="J64" s="94"/>
      <c r="K64" s="202"/>
      <c r="L64" s="202"/>
      <c r="M64" s="99"/>
      <c r="N64" s="100"/>
      <c r="O64" s="101"/>
      <c r="P64" s="94"/>
      <c r="Q64" s="102"/>
      <c r="R64" s="103"/>
      <c r="S64" s="102"/>
      <c r="T64" s="102"/>
      <c r="V64" s="104"/>
    </row>
    <row r="65" ht="15.75" customHeight="1">
      <c r="A65" s="91"/>
      <c r="B65" s="198"/>
      <c r="C65" s="97"/>
      <c r="D65" s="94"/>
      <c r="E65" s="139"/>
      <c r="F65" s="139"/>
      <c r="G65" s="94"/>
      <c r="H65" s="93"/>
      <c r="I65" s="102"/>
      <c r="J65" s="94"/>
      <c r="K65" s="98"/>
      <c r="L65" s="98"/>
      <c r="M65" s="99"/>
      <c r="N65" s="100"/>
      <c r="O65" s="101"/>
      <c r="P65" s="94"/>
      <c r="Q65" s="102"/>
      <c r="R65" s="113"/>
      <c r="S65" s="102"/>
      <c r="T65" s="102"/>
      <c r="V65" s="104"/>
    </row>
    <row r="66" ht="15.75" customHeight="1">
      <c r="A66" s="91"/>
      <c r="B66" s="198"/>
      <c r="C66" s="97"/>
      <c r="D66" s="94"/>
      <c r="E66" s="139"/>
      <c r="F66" s="139"/>
      <c r="G66" s="94"/>
      <c r="H66" s="93"/>
      <c r="I66" s="102"/>
      <c r="J66" s="94"/>
      <c r="K66" s="98"/>
      <c r="L66" s="98"/>
      <c r="M66" s="99"/>
      <c r="N66" s="100"/>
      <c r="O66" s="101"/>
      <c r="P66" s="94"/>
      <c r="Q66" s="102"/>
      <c r="R66" s="103"/>
      <c r="S66" s="102"/>
      <c r="T66" s="102"/>
      <c r="V66" s="104"/>
    </row>
    <row r="67" ht="15.75" customHeight="1">
      <c r="A67" s="91"/>
      <c r="B67" s="198"/>
      <c r="C67" s="97"/>
      <c r="D67" s="94"/>
      <c r="E67" s="139"/>
      <c r="F67" s="139"/>
      <c r="G67" s="94"/>
      <c r="H67" s="93"/>
      <c r="I67" s="102"/>
      <c r="J67" s="94"/>
      <c r="K67" s="98"/>
      <c r="L67" s="98"/>
      <c r="M67" s="99"/>
      <c r="N67" s="100"/>
      <c r="O67" s="101"/>
      <c r="P67" s="94"/>
      <c r="Q67" s="102"/>
      <c r="R67" s="113"/>
      <c r="S67" s="102"/>
      <c r="T67" s="102"/>
      <c r="V67" s="104"/>
    </row>
    <row r="68" ht="15.75" customHeight="1">
      <c r="A68" s="91"/>
      <c r="B68" s="198"/>
      <c r="C68" s="102"/>
      <c r="D68" s="94"/>
      <c r="E68" s="139"/>
      <c r="F68" s="139"/>
      <c r="G68" s="94"/>
      <c r="H68" s="93"/>
      <c r="I68" s="102"/>
      <c r="J68" s="94"/>
      <c r="K68" s="108"/>
      <c r="L68" s="98"/>
      <c r="M68" s="99"/>
      <c r="N68" s="100"/>
      <c r="O68" s="101"/>
      <c r="P68" s="94"/>
      <c r="Q68" s="102"/>
      <c r="R68" s="113"/>
      <c r="S68" s="102"/>
      <c r="T68" s="102"/>
      <c r="V68" s="104"/>
    </row>
    <row r="69" ht="15.75" customHeight="1">
      <c r="A69" s="91"/>
      <c r="B69" s="198"/>
      <c r="C69" s="97"/>
      <c r="D69" s="94"/>
      <c r="E69" s="139"/>
      <c r="F69" s="139"/>
      <c r="G69" s="94"/>
      <c r="H69" s="93"/>
      <c r="I69" s="102"/>
      <c r="J69" s="94"/>
      <c r="K69" s="98"/>
      <c r="L69" s="98"/>
      <c r="M69" s="99"/>
      <c r="N69" s="100"/>
      <c r="O69" s="101"/>
      <c r="P69" s="94"/>
      <c r="Q69" s="94"/>
      <c r="R69" s="113"/>
      <c r="S69" s="102"/>
      <c r="T69" s="102"/>
      <c r="V69" s="104"/>
    </row>
    <row r="70" ht="15.75" customHeight="1">
      <c r="A70" s="91"/>
      <c r="B70" s="198"/>
      <c r="C70" s="97"/>
      <c r="D70" s="94"/>
      <c r="E70" s="139"/>
      <c r="F70" s="139"/>
      <c r="G70" s="94"/>
      <c r="H70" s="93"/>
      <c r="I70" s="102"/>
      <c r="J70" s="94"/>
      <c r="K70" s="108"/>
      <c r="L70" s="108"/>
      <c r="M70" s="99"/>
      <c r="N70" s="100"/>
      <c r="O70" s="101"/>
      <c r="P70" s="94"/>
      <c r="Q70" s="94"/>
      <c r="R70" s="113"/>
      <c r="S70" s="102"/>
      <c r="T70" s="102"/>
      <c r="V70" s="104"/>
    </row>
    <row r="71" ht="15.75" customHeight="1">
      <c r="A71" s="91"/>
      <c r="B71" s="198"/>
      <c r="C71" s="97"/>
      <c r="D71" s="94"/>
      <c r="E71" s="139"/>
      <c r="F71" s="139"/>
      <c r="G71" s="94"/>
      <c r="H71" s="93"/>
      <c r="I71" s="102"/>
      <c r="J71" s="94"/>
      <c r="K71" s="98"/>
      <c r="L71" s="98"/>
      <c r="M71" s="99"/>
      <c r="N71" s="100"/>
      <c r="O71" s="101"/>
      <c r="P71" s="94"/>
      <c r="Q71" s="109"/>
      <c r="R71" s="106"/>
      <c r="S71" s="102"/>
      <c r="T71" s="102"/>
      <c r="V71" s="104"/>
    </row>
    <row r="72" ht="15.75" customHeight="1">
      <c r="A72" s="91"/>
      <c r="B72" s="198"/>
      <c r="C72" s="97"/>
      <c r="D72" s="94"/>
      <c r="E72" s="139"/>
      <c r="F72" s="139"/>
      <c r="G72" s="94"/>
      <c r="H72" s="93"/>
      <c r="I72" s="102"/>
      <c r="J72" s="94"/>
      <c r="K72" s="202"/>
      <c r="L72" s="202"/>
      <c r="M72" s="99"/>
      <c r="N72" s="100"/>
      <c r="O72" s="101"/>
      <c r="P72" s="94"/>
      <c r="Q72" s="201"/>
      <c r="R72" s="103"/>
      <c r="S72" s="102"/>
      <c r="T72" s="102"/>
      <c r="V72" s="104"/>
    </row>
    <row r="73" ht="15.75" customHeight="1">
      <c r="A73" s="91"/>
      <c r="B73" s="198"/>
      <c r="C73" s="97"/>
      <c r="D73" s="94"/>
      <c r="E73" s="139"/>
      <c r="F73" s="139"/>
      <c r="G73" s="94"/>
      <c r="H73" s="93"/>
      <c r="I73" s="102"/>
      <c r="J73" s="94"/>
      <c r="K73" s="202"/>
      <c r="L73" s="202"/>
      <c r="M73" s="99"/>
      <c r="N73" s="100"/>
      <c r="O73" s="101"/>
      <c r="P73" s="94"/>
      <c r="Q73" s="201"/>
      <c r="R73" s="103"/>
      <c r="S73" s="102"/>
      <c r="T73" s="102"/>
      <c r="V73" s="104"/>
    </row>
    <row r="74" ht="15.75" customHeight="1">
      <c r="A74" s="91"/>
      <c r="B74" s="198"/>
      <c r="C74" s="139"/>
      <c r="D74" s="94"/>
      <c r="E74" s="139"/>
      <c r="F74" s="139"/>
      <c r="G74" s="94"/>
      <c r="H74" s="93"/>
      <c r="I74" s="102"/>
      <c r="J74" s="94"/>
      <c r="K74" s="98"/>
      <c r="L74" s="98"/>
      <c r="M74" s="99"/>
      <c r="N74" s="100"/>
      <c r="O74" s="101"/>
      <c r="P74" s="94"/>
      <c r="Q74" s="102"/>
      <c r="R74" s="113"/>
      <c r="S74" s="102"/>
      <c r="T74" s="102"/>
      <c r="V74" s="104"/>
    </row>
    <row r="75" ht="15.75" customHeight="1">
      <c r="A75" s="91"/>
      <c r="B75" s="198"/>
      <c r="C75" s="97"/>
      <c r="D75" s="94"/>
      <c r="E75" s="139"/>
      <c r="F75" s="139"/>
      <c r="G75" s="94"/>
      <c r="H75" s="93"/>
      <c r="I75" s="102"/>
      <c r="J75" s="94"/>
      <c r="K75" s="98"/>
      <c r="L75" s="98"/>
      <c r="M75" s="99"/>
      <c r="N75" s="100"/>
      <c r="O75" s="101"/>
      <c r="P75" s="94"/>
      <c r="Q75" s="102"/>
      <c r="R75" s="113"/>
      <c r="S75" s="102"/>
      <c r="T75" s="102"/>
      <c r="V75" s="104"/>
    </row>
    <row r="76" ht="15.75" customHeight="1">
      <c r="A76" s="91"/>
      <c r="B76" s="198"/>
      <c r="C76" s="121"/>
      <c r="D76" s="94"/>
      <c r="E76" s="139"/>
      <c r="F76" s="139"/>
      <c r="G76" s="94"/>
      <c r="H76" s="93"/>
      <c r="I76" s="102"/>
      <c r="J76" s="94"/>
      <c r="K76" s="98"/>
      <c r="L76" s="98"/>
      <c r="M76" s="99"/>
      <c r="N76" s="100"/>
      <c r="O76" s="101"/>
      <c r="P76" s="94"/>
      <c r="Q76" s="102"/>
      <c r="R76" s="113"/>
      <c r="S76" s="102"/>
      <c r="T76" s="102"/>
      <c r="V76" s="103" t="s">
        <v>2718</v>
      </c>
    </row>
    <row r="77" ht="15.75" customHeight="1">
      <c r="A77" s="91"/>
      <c r="B77" s="198"/>
      <c r="C77" s="97"/>
      <c r="D77" s="94"/>
      <c r="E77" s="139"/>
      <c r="F77" s="139"/>
      <c r="G77" s="94"/>
      <c r="H77" s="93"/>
      <c r="I77" s="102"/>
      <c r="J77" s="94"/>
      <c r="K77" s="98"/>
      <c r="L77" s="98"/>
      <c r="M77" s="99"/>
      <c r="N77" s="100"/>
      <c r="O77" s="101"/>
      <c r="P77" s="94"/>
      <c r="Q77" s="102"/>
      <c r="R77" s="103"/>
      <c r="S77" s="102"/>
      <c r="T77" s="102"/>
      <c r="V77" s="104"/>
    </row>
    <row r="78" ht="15.75" customHeight="1">
      <c r="A78" s="91"/>
      <c r="B78" s="198"/>
      <c r="C78" s="121"/>
      <c r="D78" s="94"/>
      <c r="E78" s="139"/>
      <c r="F78" s="139"/>
      <c r="G78" s="94"/>
      <c r="H78" s="93"/>
      <c r="I78" s="102"/>
      <c r="J78" s="94"/>
      <c r="K78" s="202"/>
      <c r="L78" s="202"/>
      <c r="M78" s="99"/>
      <c r="N78" s="100"/>
      <c r="O78" s="101"/>
      <c r="P78" s="94"/>
      <c r="Q78" s="102"/>
      <c r="R78" s="123"/>
      <c r="S78" s="102"/>
      <c r="T78" s="102"/>
      <c r="V78" s="104"/>
    </row>
    <row r="79" ht="15.75" customHeight="1">
      <c r="A79" s="91"/>
      <c r="B79" s="198"/>
      <c r="C79" s="97"/>
      <c r="D79" s="94"/>
      <c r="E79" s="139"/>
      <c r="F79" s="139"/>
      <c r="G79" s="94"/>
      <c r="H79" s="93"/>
      <c r="I79" s="102"/>
      <c r="J79" s="94"/>
      <c r="K79" s="98"/>
      <c r="L79" s="98"/>
      <c r="M79" s="99"/>
      <c r="N79" s="100"/>
      <c r="O79" s="101"/>
      <c r="P79" s="94"/>
      <c r="Q79" s="102"/>
      <c r="R79" s="103"/>
      <c r="S79" s="102"/>
      <c r="T79" s="102"/>
      <c r="V79" s="104"/>
    </row>
    <row r="80" ht="15.75" customHeight="1">
      <c r="A80" s="91"/>
      <c r="B80" s="198"/>
      <c r="C80" s="97"/>
      <c r="D80" s="94"/>
      <c r="E80" s="139"/>
      <c r="F80" s="139"/>
      <c r="G80" s="94"/>
      <c r="H80" s="93"/>
      <c r="I80" s="102"/>
      <c r="J80" s="94"/>
      <c r="K80" s="98"/>
      <c r="L80" s="98"/>
      <c r="M80" s="99"/>
      <c r="N80" s="100"/>
      <c r="O80" s="101"/>
      <c r="P80" s="94"/>
      <c r="Q80" s="102"/>
      <c r="R80" s="103"/>
      <c r="S80" s="102"/>
      <c r="T80" s="102"/>
      <c r="V80" s="104"/>
    </row>
    <row r="81" ht="15.75" customHeight="1">
      <c r="A81" s="91"/>
      <c r="B81" s="198"/>
      <c r="C81" s="97"/>
      <c r="D81" s="94"/>
      <c r="E81" s="139"/>
      <c r="F81" s="139"/>
      <c r="G81" s="94"/>
      <c r="H81" s="93"/>
      <c r="I81" s="102"/>
      <c r="J81" s="94"/>
      <c r="K81" s="98"/>
      <c r="L81" s="98"/>
      <c r="M81" s="99"/>
      <c r="N81" s="100"/>
      <c r="O81" s="101"/>
      <c r="P81" s="94"/>
      <c r="Q81" s="102"/>
      <c r="R81" s="113"/>
      <c r="S81" s="102"/>
      <c r="T81" s="102"/>
      <c r="V81" s="104"/>
    </row>
    <row r="82" ht="15.75" customHeight="1">
      <c r="A82" s="91"/>
      <c r="B82" s="198"/>
      <c r="C82" s="102"/>
      <c r="D82" s="94"/>
      <c r="E82" s="139"/>
      <c r="F82" s="139"/>
      <c r="G82" s="94"/>
      <c r="H82" s="93"/>
      <c r="I82" s="102"/>
      <c r="J82" s="94"/>
      <c r="K82" s="108"/>
      <c r="L82" s="98"/>
      <c r="M82" s="99"/>
      <c r="N82" s="100"/>
      <c r="O82" s="101"/>
      <c r="P82" s="94"/>
      <c r="Q82" s="109"/>
      <c r="R82" s="103"/>
      <c r="S82" s="102"/>
      <c r="T82" s="102"/>
      <c r="V82" s="104"/>
    </row>
    <row r="83" ht="15.75" customHeight="1">
      <c r="A83" s="91"/>
      <c r="B83" s="198"/>
      <c r="C83" s="121"/>
      <c r="D83" s="94"/>
      <c r="E83" s="139"/>
      <c r="F83" s="139"/>
      <c r="G83" s="94"/>
      <c r="H83" s="93"/>
      <c r="I83" s="102"/>
      <c r="J83" s="94"/>
      <c r="K83" s="98"/>
      <c r="L83" s="98"/>
      <c r="M83" s="99"/>
      <c r="N83" s="100"/>
      <c r="O83" s="101"/>
      <c r="P83" s="94"/>
      <c r="R83" s="113"/>
      <c r="S83" s="102"/>
      <c r="T83" s="102"/>
      <c r="V83" s="104"/>
    </row>
    <row r="84" ht="15.75" customHeight="1">
      <c r="A84" s="91"/>
      <c r="B84" s="198"/>
      <c r="C84" s="121"/>
      <c r="D84" s="94"/>
      <c r="E84" s="139"/>
      <c r="F84" s="139"/>
      <c r="G84" s="94"/>
      <c r="H84" s="93"/>
      <c r="I84" s="102"/>
      <c r="J84" s="94"/>
      <c r="K84" s="108"/>
      <c r="L84" s="98"/>
      <c r="M84" s="99"/>
      <c r="N84" s="100"/>
      <c r="O84" s="101"/>
      <c r="P84" s="94"/>
      <c r="Q84" s="102"/>
      <c r="R84" s="103"/>
      <c r="S84" s="102"/>
      <c r="T84" s="102"/>
      <c r="V84" s="104"/>
    </row>
    <row r="85" ht="15.75" customHeight="1">
      <c r="A85" s="91"/>
      <c r="B85" s="198"/>
      <c r="C85" s="121"/>
      <c r="D85" s="94"/>
      <c r="E85" s="139"/>
      <c r="F85" s="139"/>
      <c r="G85" s="94"/>
      <c r="H85" s="93"/>
      <c r="I85" s="102"/>
      <c r="J85" s="94"/>
      <c r="K85" s="98"/>
      <c r="L85" s="98"/>
      <c r="M85" s="99"/>
      <c r="N85" s="100"/>
      <c r="O85" s="101"/>
      <c r="P85" s="94"/>
      <c r="Q85" s="102"/>
      <c r="R85" s="113"/>
      <c r="S85" s="102"/>
      <c r="T85" s="102"/>
      <c r="V85" s="104"/>
    </row>
    <row r="86" ht="15.75" customHeight="1">
      <c r="A86" s="91"/>
      <c r="B86" s="198"/>
      <c r="C86" s="121"/>
      <c r="D86" s="94"/>
      <c r="E86" s="139"/>
      <c r="F86" s="139"/>
      <c r="G86" s="94"/>
      <c r="H86" s="93"/>
      <c r="I86" s="102"/>
      <c r="J86" s="94"/>
      <c r="K86" s="98"/>
      <c r="L86" s="98"/>
      <c r="M86" s="99"/>
      <c r="N86" s="100"/>
      <c r="O86" s="101"/>
      <c r="P86" s="94"/>
      <c r="Q86" s="102"/>
      <c r="R86" s="113"/>
      <c r="S86" s="102"/>
      <c r="T86" s="102"/>
      <c r="V86" s="104"/>
    </row>
    <row r="87" ht="15.75" customHeight="1">
      <c r="A87" s="91"/>
      <c r="B87" s="198"/>
      <c r="C87" s="121"/>
      <c r="D87" s="94"/>
      <c r="E87" s="139"/>
      <c r="F87" s="139"/>
      <c r="G87" s="94"/>
      <c r="H87" s="93"/>
      <c r="I87" s="102"/>
      <c r="J87" s="94"/>
      <c r="K87" s="98"/>
      <c r="L87" s="98"/>
      <c r="M87" s="99"/>
      <c r="N87" s="100"/>
      <c r="O87" s="101"/>
      <c r="P87" s="94"/>
      <c r="Q87" s="94"/>
      <c r="R87" s="113"/>
      <c r="S87" s="102"/>
      <c r="T87" s="102"/>
      <c r="V87" s="104"/>
    </row>
    <row r="88" ht="15.75" customHeight="1">
      <c r="A88" s="91"/>
      <c r="B88" s="198"/>
      <c r="C88" s="121"/>
      <c r="D88" s="94"/>
      <c r="E88" s="139"/>
      <c r="F88" s="139"/>
      <c r="G88" s="94"/>
      <c r="H88" s="93"/>
      <c r="I88" s="102"/>
      <c r="J88" s="94"/>
      <c r="K88" s="98"/>
      <c r="L88" s="98"/>
      <c r="M88" s="99"/>
      <c r="N88" s="100"/>
      <c r="O88" s="101"/>
      <c r="P88" s="94"/>
      <c r="Q88" s="102"/>
      <c r="R88" s="106"/>
      <c r="S88" s="102"/>
      <c r="T88" s="102"/>
      <c r="V88" s="104"/>
    </row>
    <row r="89" ht="15.75" customHeight="1">
      <c r="A89" s="91"/>
      <c r="B89" s="198"/>
      <c r="C89" s="121"/>
      <c r="D89" s="94"/>
      <c r="E89" s="139"/>
      <c r="F89" s="139"/>
      <c r="G89" s="94"/>
      <c r="H89" s="93"/>
      <c r="I89" s="102"/>
      <c r="J89" s="94"/>
      <c r="K89" s="98"/>
      <c r="L89" s="98"/>
      <c r="M89" s="99"/>
      <c r="N89" s="100"/>
      <c r="O89" s="101"/>
      <c r="P89" s="94"/>
      <c r="Q89" s="102"/>
      <c r="R89" s="106"/>
      <c r="S89" s="102"/>
      <c r="T89" s="102"/>
      <c r="V89" s="104"/>
    </row>
    <row r="90" ht="15.75" customHeight="1">
      <c r="A90" s="91"/>
      <c r="B90" s="198"/>
      <c r="C90" s="121"/>
      <c r="D90" s="94"/>
      <c r="E90" s="139"/>
      <c r="F90" s="139"/>
      <c r="G90" s="94"/>
      <c r="H90" s="93"/>
      <c r="I90" s="102"/>
      <c r="J90" s="94"/>
      <c r="K90" s="98"/>
      <c r="L90" s="98"/>
      <c r="M90" s="99"/>
      <c r="N90" s="100"/>
      <c r="O90" s="101"/>
      <c r="P90" s="94"/>
      <c r="Q90" s="102"/>
      <c r="R90" s="113"/>
      <c r="S90" s="240"/>
      <c r="T90" s="102"/>
      <c r="V90" s="104"/>
    </row>
    <row r="91" ht="15.75" customHeight="1">
      <c r="A91" s="91"/>
      <c r="B91" s="198"/>
      <c r="C91" s="102"/>
      <c r="D91" s="94"/>
      <c r="E91" s="139"/>
      <c r="F91" s="139"/>
      <c r="G91" s="94"/>
      <c r="H91" s="93"/>
      <c r="I91" s="102"/>
      <c r="J91" s="94"/>
      <c r="K91" s="98"/>
      <c r="L91" s="98"/>
      <c r="M91" s="99"/>
      <c r="N91" s="100"/>
      <c r="O91" s="101"/>
      <c r="P91" s="94"/>
      <c r="Q91" s="102"/>
      <c r="R91" s="103"/>
      <c r="S91" s="102"/>
      <c r="T91" s="102"/>
      <c r="V91" s="104"/>
    </row>
    <row r="92" ht="15.75" customHeight="1">
      <c r="A92" s="91"/>
      <c r="B92" s="198"/>
      <c r="C92" s="103"/>
      <c r="D92" s="94"/>
      <c r="E92" s="139"/>
      <c r="F92" s="139"/>
      <c r="G92" s="94"/>
      <c r="H92" s="93"/>
      <c r="I92" s="102"/>
      <c r="J92" s="94"/>
      <c r="K92" s="202"/>
      <c r="L92" s="202"/>
      <c r="M92" s="99"/>
      <c r="N92" s="100"/>
      <c r="O92" s="101"/>
      <c r="P92" s="94"/>
      <c r="Q92" s="117"/>
      <c r="R92" s="113"/>
      <c r="S92" s="102"/>
      <c r="T92" s="241"/>
      <c r="V92" s="104"/>
    </row>
    <row r="93" ht="15.75" customHeight="1">
      <c r="A93" s="91"/>
      <c r="B93" s="198"/>
      <c r="C93" s="93"/>
      <c r="D93" s="94"/>
      <c r="E93" s="139"/>
      <c r="F93" s="139"/>
      <c r="G93" s="94"/>
      <c r="H93" s="93"/>
      <c r="I93" s="102"/>
      <c r="J93" s="94"/>
      <c r="K93" s="202"/>
      <c r="L93" s="202"/>
      <c r="M93" s="99"/>
      <c r="N93" s="111"/>
      <c r="O93" s="112"/>
      <c r="P93" s="94"/>
      <c r="Q93" s="102"/>
      <c r="R93" s="103"/>
      <c r="S93" s="102"/>
      <c r="T93" s="102"/>
      <c r="V93" s="104"/>
    </row>
    <row r="94" ht="15.75" customHeight="1">
      <c r="A94" s="91"/>
      <c r="B94" s="198"/>
      <c r="C94" s="93"/>
      <c r="D94" s="94"/>
      <c r="E94" s="139"/>
      <c r="F94" s="139"/>
      <c r="G94" s="94"/>
      <c r="H94" s="93"/>
      <c r="I94" s="102"/>
      <c r="J94" s="94"/>
      <c r="K94" s="202"/>
      <c r="L94" s="202"/>
      <c r="M94" s="99"/>
      <c r="N94" s="100"/>
      <c r="O94" s="101"/>
      <c r="P94" s="94"/>
      <c r="Q94" s="102"/>
      <c r="R94" s="113"/>
      <c r="S94" s="102"/>
      <c r="T94" s="102"/>
      <c r="V94" s="104"/>
    </row>
    <row r="95" ht="15.75" customHeight="1">
      <c r="A95" s="91"/>
      <c r="B95" s="198"/>
      <c r="C95" s="93"/>
      <c r="D95" s="94"/>
      <c r="E95" s="139"/>
      <c r="F95" s="139"/>
      <c r="G95" s="94"/>
      <c r="H95" s="93"/>
      <c r="I95" s="102"/>
      <c r="J95" s="94"/>
      <c r="K95" s="98"/>
      <c r="L95" s="98"/>
      <c r="M95" s="99"/>
      <c r="N95" s="100"/>
      <c r="O95" s="101"/>
      <c r="P95" s="94"/>
      <c r="Q95" s="102"/>
      <c r="R95" s="103"/>
      <c r="S95" s="102"/>
      <c r="T95" s="102"/>
      <c r="V95" s="104"/>
    </row>
    <row r="96" ht="15.75" customHeight="1">
      <c r="A96" s="91"/>
      <c r="B96" s="198"/>
      <c r="C96" s="93"/>
      <c r="D96" s="94"/>
      <c r="E96" s="139"/>
      <c r="F96" s="139"/>
      <c r="G96" s="94"/>
      <c r="H96" s="93"/>
      <c r="I96" s="102"/>
      <c r="J96" s="94"/>
      <c r="K96" s="98"/>
      <c r="L96" s="98"/>
      <c r="M96" s="99"/>
      <c r="N96" s="100"/>
      <c r="O96" s="101"/>
      <c r="P96" s="94"/>
      <c r="Q96" s="102"/>
      <c r="R96" s="103"/>
      <c r="S96" s="102"/>
      <c r="T96" s="102"/>
      <c r="V96" s="104"/>
    </row>
    <row r="97" ht="15.75" customHeight="1">
      <c r="A97" s="91"/>
      <c r="B97" s="198"/>
      <c r="C97" s="93"/>
      <c r="D97" s="94"/>
      <c r="E97" s="139"/>
      <c r="F97" s="139"/>
      <c r="G97" s="94"/>
      <c r="H97" s="93"/>
      <c r="I97" s="102"/>
      <c r="J97" s="94"/>
      <c r="K97" s="202"/>
      <c r="L97" s="202"/>
      <c r="M97" s="99"/>
      <c r="N97" s="100"/>
      <c r="O97" s="101"/>
      <c r="P97" s="94"/>
      <c r="Q97" s="102"/>
      <c r="R97" s="103"/>
      <c r="S97" s="102"/>
      <c r="T97" s="102"/>
      <c r="V97" s="104"/>
    </row>
    <row r="98" ht="15.75" customHeight="1">
      <c r="A98" s="91"/>
      <c r="B98" s="198"/>
      <c r="C98" s="103"/>
      <c r="D98" s="94"/>
      <c r="E98" s="139"/>
      <c r="F98" s="139"/>
      <c r="G98" s="94"/>
      <c r="H98" s="93"/>
      <c r="I98" s="102"/>
      <c r="J98" s="94"/>
      <c r="K98" s="108"/>
      <c r="L98" s="108"/>
      <c r="M98" s="99"/>
      <c r="N98" s="100"/>
      <c r="O98" s="101"/>
      <c r="P98" s="94"/>
      <c r="Q98" s="109"/>
      <c r="R98" s="103"/>
      <c r="S98" s="102"/>
      <c r="T98" s="102"/>
      <c r="V98" s="104"/>
    </row>
    <row r="99" ht="15.75" customHeight="1">
      <c r="A99" s="91"/>
      <c r="B99" s="198"/>
      <c r="C99" s="103"/>
      <c r="D99" s="94"/>
      <c r="E99" s="139"/>
      <c r="F99" s="139"/>
      <c r="G99" s="94"/>
      <c r="H99" s="93"/>
      <c r="I99" s="102"/>
      <c r="J99" s="94"/>
      <c r="K99" s="98"/>
      <c r="L99" s="98"/>
      <c r="M99" s="99"/>
      <c r="N99" s="100"/>
      <c r="O99" s="101"/>
      <c r="P99" s="94"/>
      <c r="Q99" s="102"/>
      <c r="R99" s="113"/>
      <c r="S99" s="102"/>
      <c r="T99" s="102"/>
      <c r="V99" s="104"/>
    </row>
    <row r="100" ht="15.75" customHeight="1">
      <c r="A100" s="91"/>
      <c r="B100" s="198"/>
      <c r="C100" s="93"/>
      <c r="D100" s="94"/>
      <c r="E100" s="139"/>
      <c r="F100" s="139"/>
      <c r="G100" s="94"/>
      <c r="H100" s="93"/>
      <c r="I100" s="102"/>
      <c r="J100" s="94"/>
      <c r="K100" s="98"/>
      <c r="L100" s="98"/>
      <c r="M100" s="99"/>
      <c r="N100" s="100"/>
      <c r="O100" s="101"/>
      <c r="P100" s="94"/>
      <c r="Q100" s="102"/>
      <c r="R100" s="103"/>
      <c r="S100" s="102"/>
      <c r="T100" s="102"/>
      <c r="V100" s="104"/>
    </row>
    <row r="101" ht="15.75" customHeight="1">
      <c r="A101" s="91"/>
      <c r="B101" s="93"/>
      <c r="C101" s="93"/>
      <c r="D101" s="94"/>
      <c r="E101" s="139"/>
      <c r="F101" s="139"/>
      <c r="G101" s="94"/>
      <c r="H101" s="93"/>
      <c r="I101" s="102"/>
      <c r="J101" s="94"/>
      <c r="K101" s="202"/>
      <c r="L101" s="202"/>
      <c r="M101" s="99"/>
      <c r="N101" s="100"/>
      <c r="O101" s="101"/>
      <c r="P101" s="94"/>
      <c r="Q101" s="102"/>
      <c r="R101" s="113"/>
      <c r="S101" s="102"/>
      <c r="T101" s="102"/>
      <c r="V101" s="104"/>
    </row>
    <row r="102" ht="15.75" customHeight="1">
      <c r="A102" s="91"/>
      <c r="B102" s="93"/>
      <c r="C102" s="93"/>
      <c r="D102" s="94"/>
      <c r="E102" s="139"/>
      <c r="F102" s="139"/>
      <c r="G102" s="94"/>
      <c r="H102" s="93"/>
      <c r="I102" s="102"/>
      <c r="J102" s="94"/>
      <c r="K102" s="98"/>
      <c r="L102" s="98"/>
      <c r="M102" s="99"/>
      <c r="N102" s="100"/>
      <c r="O102" s="101"/>
      <c r="P102" s="94"/>
      <c r="Q102" s="102"/>
      <c r="R102" s="103"/>
      <c r="S102" s="102"/>
      <c r="T102" s="102"/>
      <c r="V102" s="104"/>
    </row>
    <row r="103" ht="15.75" customHeight="1">
      <c r="A103" s="91"/>
      <c r="B103" s="93"/>
      <c r="C103" s="93"/>
      <c r="D103" s="94"/>
      <c r="E103" s="139"/>
      <c r="F103" s="139"/>
      <c r="G103" s="94"/>
      <c r="H103" s="93"/>
      <c r="I103" s="102"/>
      <c r="J103" s="94"/>
      <c r="K103" s="202"/>
      <c r="L103" s="202"/>
      <c r="M103" s="99"/>
      <c r="N103" s="100"/>
      <c r="O103" s="101"/>
      <c r="P103" s="94"/>
      <c r="Q103" s="102"/>
      <c r="R103" s="113"/>
      <c r="S103" s="102"/>
      <c r="T103" s="102"/>
      <c r="V103" s="104"/>
    </row>
    <row r="104" ht="15.75" customHeight="1">
      <c r="A104" s="91"/>
      <c r="B104" s="93"/>
      <c r="C104" s="93"/>
      <c r="D104" s="94"/>
      <c r="E104" s="139"/>
      <c r="F104" s="139"/>
      <c r="G104" s="94"/>
      <c r="H104" s="93"/>
      <c r="I104" s="102"/>
      <c r="J104" s="94"/>
      <c r="K104" s="98"/>
      <c r="L104" s="98"/>
      <c r="M104" s="99"/>
      <c r="N104" s="100"/>
      <c r="O104" s="101"/>
      <c r="P104" s="94"/>
      <c r="Q104" s="102"/>
      <c r="R104" s="103"/>
      <c r="S104" s="102"/>
      <c r="T104" s="102"/>
      <c r="V104" s="104"/>
    </row>
    <row r="105" ht="15.75" customHeight="1">
      <c r="A105" s="91"/>
      <c r="B105" s="93"/>
      <c r="C105" s="103"/>
      <c r="D105" s="94"/>
      <c r="E105" s="139"/>
      <c r="F105" s="139"/>
      <c r="G105" s="94"/>
      <c r="H105" s="93"/>
      <c r="I105" s="102"/>
      <c r="J105" s="94"/>
      <c r="K105" s="98"/>
      <c r="L105" s="98"/>
      <c r="M105" s="99"/>
      <c r="N105" s="100"/>
      <c r="O105" s="101"/>
      <c r="P105" s="94"/>
      <c r="Q105" s="109"/>
      <c r="R105" s="127"/>
      <c r="S105" s="102"/>
      <c r="T105" s="102"/>
      <c r="V105" s="104"/>
    </row>
    <row r="106" ht="15.75" customHeight="1">
      <c r="A106" s="91"/>
      <c r="B106" s="93"/>
      <c r="C106" s="103"/>
      <c r="D106" s="94"/>
      <c r="E106" s="139"/>
      <c r="F106" s="139"/>
      <c r="G106" s="94"/>
      <c r="H106" s="93"/>
      <c r="I106" s="102"/>
      <c r="J106" s="94"/>
      <c r="K106" s="202"/>
      <c r="L106" s="202"/>
      <c r="M106" s="99"/>
      <c r="N106" s="100"/>
      <c r="O106" s="101"/>
      <c r="P106" s="94"/>
      <c r="Q106" s="102"/>
      <c r="R106" s="103"/>
      <c r="S106" s="102"/>
      <c r="T106" s="102"/>
      <c r="V106" s="104"/>
    </row>
    <row r="107" ht="15.75" customHeight="1">
      <c r="A107" s="91"/>
      <c r="B107" s="93"/>
      <c r="C107" s="93"/>
      <c r="D107" s="94"/>
      <c r="E107" s="139"/>
      <c r="F107" s="139"/>
      <c r="G107" s="94"/>
      <c r="H107" s="93"/>
      <c r="I107" s="102"/>
      <c r="J107" s="94"/>
      <c r="K107" s="202"/>
      <c r="L107" s="202"/>
      <c r="M107" s="99"/>
      <c r="N107" s="100"/>
      <c r="O107" s="112"/>
      <c r="P107" s="94"/>
      <c r="Q107" s="102"/>
      <c r="R107" s="113"/>
      <c r="S107" s="102"/>
      <c r="T107" s="102"/>
      <c r="V107" s="104"/>
    </row>
    <row r="108" ht="15.75" customHeight="1">
      <c r="A108" s="91"/>
      <c r="B108" s="93"/>
      <c r="C108" s="93"/>
      <c r="D108" s="94"/>
      <c r="E108" s="139"/>
      <c r="F108" s="139"/>
      <c r="G108" s="94"/>
      <c r="H108" s="93"/>
      <c r="I108" s="102"/>
      <c r="J108" s="94"/>
      <c r="K108" s="98"/>
      <c r="L108" s="98"/>
      <c r="M108" s="99"/>
      <c r="N108" s="100"/>
      <c r="O108" s="101"/>
      <c r="P108" s="94"/>
      <c r="Q108" s="102"/>
      <c r="R108" s="113"/>
      <c r="S108" s="102"/>
      <c r="T108" s="102"/>
      <c r="V108" s="104"/>
    </row>
    <row r="109" ht="15.75" customHeight="1">
      <c r="A109" s="91"/>
      <c r="B109" s="93"/>
      <c r="C109" s="128"/>
      <c r="D109" s="94"/>
      <c r="E109" s="139"/>
      <c r="F109" s="139"/>
      <c r="G109" s="94"/>
      <c r="H109" s="93"/>
      <c r="I109" s="102"/>
      <c r="J109" s="94"/>
      <c r="K109" s="98"/>
      <c r="L109" s="98"/>
      <c r="M109" s="99"/>
      <c r="N109" s="100"/>
      <c r="O109" s="112"/>
      <c r="P109" s="94"/>
      <c r="Q109" s="120"/>
      <c r="R109" s="113"/>
      <c r="S109" s="102"/>
      <c r="T109" s="102"/>
      <c r="V109" s="104"/>
    </row>
    <row r="110" ht="15.75" customHeight="1">
      <c r="A110" s="91"/>
      <c r="B110" s="93"/>
      <c r="C110" s="97"/>
      <c r="D110" s="94"/>
      <c r="E110" s="139"/>
      <c r="F110" s="139"/>
      <c r="G110" s="94"/>
      <c r="H110" s="93"/>
      <c r="I110" s="102"/>
      <c r="J110" s="94"/>
      <c r="K110" s="98"/>
      <c r="L110" s="98"/>
      <c r="M110" s="99"/>
      <c r="N110" s="111"/>
      <c r="O110" s="101"/>
      <c r="P110" s="94"/>
      <c r="Q110" s="102"/>
      <c r="R110" s="106"/>
      <c r="S110" s="102"/>
      <c r="T110" s="102"/>
      <c r="V110" s="104"/>
    </row>
    <row r="111" ht="15.75" customHeight="1">
      <c r="A111" s="91"/>
      <c r="B111" s="93"/>
      <c r="C111" s="93"/>
      <c r="D111" s="94"/>
      <c r="E111" s="139"/>
      <c r="F111" s="139"/>
      <c r="G111" s="94"/>
      <c r="H111" s="93"/>
      <c r="I111" s="102"/>
      <c r="J111" s="94"/>
      <c r="K111" s="98"/>
      <c r="L111" s="98"/>
      <c r="M111" s="99"/>
      <c r="N111" s="111"/>
      <c r="O111" s="101"/>
      <c r="P111" s="94"/>
      <c r="Q111" s="120"/>
      <c r="R111" s="103"/>
      <c r="S111" s="102"/>
      <c r="T111" s="102"/>
      <c r="V111" s="104"/>
    </row>
    <row r="112" ht="15.75" customHeight="1">
      <c r="A112" s="91"/>
      <c r="B112" s="93"/>
      <c r="C112" s="93"/>
      <c r="D112" s="94"/>
      <c r="E112" s="139"/>
      <c r="F112" s="139"/>
      <c r="G112" s="94"/>
      <c r="H112" s="93"/>
      <c r="I112" s="102"/>
      <c r="N112" s="100"/>
      <c r="O112" s="101"/>
      <c r="P112" s="94"/>
      <c r="Q112" s="109"/>
      <c r="R112" s="103"/>
      <c r="S112" s="102"/>
      <c r="T112" s="102"/>
      <c r="V112" s="104"/>
    </row>
    <row r="113" ht="15.75" customHeight="1">
      <c r="A113" s="91"/>
      <c r="B113" s="93"/>
      <c r="C113" s="93"/>
      <c r="D113" s="94"/>
      <c r="E113" s="139"/>
      <c r="F113" s="139"/>
      <c r="G113" s="94"/>
      <c r="H113" s="93"/>
      <c r="I113" s="102"/>
      <c r="J113" s="94"/>
      <c r="K113" s="275"/>
      <c r="L113" s="98"/>
      <c r="M113" s="99"/>
      <c r="N113" s="111"/>
      <c r="O113" s="112"/>
      <c r="P113" s="94"/>
      <c r="Q113" s="102"/>
      <c r="R113" s="113"/>
      <c r="S113" s="102"/>
      <c r="T113" s="102"/>
      <c r="V113" s="104"/>
    </row>
    <row r="114" ht="15.75" customHeight="1">
      <c r="A114" s="91"/>
      <c r="B114" s="93"/>
      <c r="C114" s="96"/>
      <c r="D114" s="94"/>
      <c r="E114" s="139"/>
      <c r="F114" s="139"/>
      <c r="G114" s="94"/>
      <c r="H114" s="93"/>
      <c r="I114" s="102"/>
      <c r="J114" s="94"/>
      <c r="K114" s="108"/>
      <c r="L114" s="108"/>
      <c r="M114" s="99"/>
      <c r="N114" s="100"/>
      <c r="O114" s="101"/>
      <c r="P114" s="94"/>
      <c r="Q114" s="102"/>
      <c r="R114" s="103"/>
      <c r="S114" s="102"/>
      <c r="T114" s="102"/>
      <c r="V114" s="104"/>
    </row>
    <row r="115" ht="15.75" customHeight="1">
      <c r="A115" s="91"/>
      <c r="B115" s="93"/>
      <c r="C115" s="110"/>
      <c r="D115" s="94"/>
      <c r="E115" s="139"/>
      <c r="F115" s="139"/>
      <c r="G115" s="94"/>
      <c r="H115" s="93"/>
      <c r="I115" s="102"/>
      <c r="J115" s="94"/>
      <c r="K115" s="98"/>
      <c r="L115" s="98"/>
      <c r="M115" s="99"/>
      <c r="N115" s="111"/>
      <c r="O115" s="112"/>
      <c r="P115" s="94"/>
      <c r="Q115" s="102"/>
      <c r="R115" s="113"/>
      <c r="S115" s="102"/>
      <c r="T115" s="102"/>
      <c r="V115" s="104"/>
    </row>
    <row r="116" ht="15.75" customHeight="1">
      <c r="A116" s="91"/>
      <c r="B116" s="93"/>
      <c r="C116" s="96"/>
      <c r="D116" s="94"/>
      <c r="E116" s="139"/>
      <c r="F116" s="139"/>
      <c r="G116" s="94"/>
      <c r="H116" s="93"/>
      <c r="I116" s="102"/>
      <c r="J116" s="94"/>
      <c r="K116" s="126"/>
      <c r="L116" s="126"/>
      <c r="M116" s="99"/>
      <c r="N116" s="100"/>
      <c r="O116" s="101"/>
      <c r="P116" s="94"/>
      <c r="Q116" s="117"/>
      <c r="R116" s="103"/>
      <c r="S116" s="102"/>
      <c r="T116" s="102"/>
      <c r="V116" s="104"/>
    </row>
    <row r="117" ht="15.75" customHeight="1">
      <c r="A117" s="91"/>
      <c r="B117" s="93"/>
      <c r="C117" s="110"/>
      <c r="D117" s="94"/>
      <c r="E117" s="139"/>
      <c r="F117" s="139"/>
      <c r="G117" s="94"/>
      <c r="H117" s="93"/>
      <c r="I117" s="102"/>
      <c r="J117" s="94"/>
      <c r="K117" s="125"/>
      <c r="L117" s="125"/>
      <c r="M117" s="99"/>
      <c r="N117" s="100"/>
      <c r="O117" s="101"/>
      <c r="P117" s="94"/>
      <c r="Q117" s="120"/>
      <c r="R117" s="113"/>
      <c r="S117" s="102"/>
      <c r="T117" s="102"/>
      <c r="V117" s="104"/>
    </row>
    <row r="118" ht="15.75" customHeight="1">
      <c r="A118" s="91"/>
      <c r="B118" s="93"/>
      <c r="C118" s="93"/>
      <c r="D118" s="94"/>
      <c r="E118" s="139"/>
      <c r="F118" s="139"/>
      <c r="G118" s="94"/>
      <c r="H118" s="93"/>
      <c r="I118" s="102"/>
      <c r="J118" s="94"/>
      <c r="K118" s="202"/>
      <c r="L118" s="202"/>
      <c r="M118" s="99"/>
      <c r="N118" s="111"/>
      <c r="O118" s="112"/>
      <c r="P118" s="94"/>
      <c r="Q118" s="102"/>
      <c r="R118" s="113"/>
      <c r="S118" s="102"/>
      <c r="T118" s="94"/>
      <c r="V118" s="104"/>
    </row>
    <row r="119" ht="15.75" customHeight="1">
      <c r="A119" s="91"/>
      <c r="B119" s="93"/>
      <c r="C119" s="93"/>
      <c r="D119" s="94"/>
      <c r="E119" s="139"/>
      <c r="F119" s="139"/>
      <c r="G119" s="94"/>
      <c r="H119" s="93"/>
      <c r="I119" s="102"/>
      <c r="J119" s="94"/>
      <c r="K119" s="125"/>
      <c r="L119" s="125"/>
      <c r="M119" s="99"/>
      <c r="N119" s="100"/>
      <c r="O119" s="101"/>
      <c r="P119" s="94"/>
      <c r="Q119" s="109"/>
      <c r="R119" s="103"/>
      <c r="S119" s="102"/>
      <c r="T119" s="102"/>
      <c r="V119" s="104"/>
    </row>
    <row r="120" ht="15.75" customHeight="1">
      <c r="A120" s="91"/>
      <c r="B120" s="93"/>
      <c r="C120" s="93"/>
      <c r="D120" s="94"/>
      <c r="E120" s="139"/>
      <c r="F120" s="139"/>
      <c r="G120" s="94"/>
      <c r="H120" s="93"/>
      <c r="I120" s="102"/>
      <c r="J120" s="94"/>
      <c r="K120" s="98"/>
      <c r="L120" s="98"/>
      <c r="M120" s="99"/>
      <c r="N120" s="111"/>
      <c r="O120" s="112"/>
      <c r="P120" s="94"/>
      <c r="Q120" s="102"/>
      <c r="R120" s="113"/>
      <c r="S120" s="102"/>
      <c r="T120" s="94"/>
      <c r="V120" s="104"/>
    </row>
    <row r="121" ht="15.75" customHeight="1">
      <c r="A121" s="91"/>
      <c r="B121" s="93"/>
      <c r="C121" s="93"/>
      <c r="D121" s="94"/>
      <c r="E121" s="139"/>
      <c r="F121" s="139"/>
      <c r="G121" s="94"/>
      <c r="H121" s="93"/>
      <c r="I121" s="102"/>
      <c r="J121" s="94"/>
      <c r="L121" s="125"/>
      <c r="M121" s="99"/>
      <c r="N121" s="100"/>
      <c r="O121" s="112"/>
      <c r="P121" s="94"/>
      <c r="Q121" s="120"/>
      <c r="R121" s="113"/>
      <c r="S121" s="102"/>
      <c r="T121" s="102"/>
      <c r="V121" s="104"/>
    </row>
    <row r="122" ht="15.75" customHeight="1">
      <c r="A122" s="91"/>
      <c r="B122" s="93"/>
      <c r="C122" s="103"/>
      <c r="D122" s="94"/>
      <c r="E122" s="139"/>
      <c r="F122" s="139"/>
      <c r="G122" s="94"/>
      <c r="H122" s="93"/>
      <c r="I122" s="102"/>
      <c r="J122" s="94"/>
      <c r="L122" s="126"/>
      <c r="M122" s="99"/>
      <c r="N122" s="100"/>
      <c r="O122" s="101"/>
      <c r="P122" s="94"/>
      <c r="Q122" s="117"/>
      <c r="R122" s="103"/>
      <c r="S122" s="102"/>
      <c r="T122" s="102"/>
      <c r="V122" s="104"/>
    </row>
    <row r="123" ht="15.75" customHeight="1">
      <c r="A123" s="91"/>
      <c r="B123" s="93"/>
      <c r="C123" s="103"/>
      <c r="D123" s="94"/>
      <c r="E123" s="139"/>
      <c r="F123" s="139"/>
      <c r="G123" s="94"/>
      <c r="H123" s="93"/>
      <c r="I123" s="102"/>
      <c r="J123" s="94"/>
      <c r="K123" s="98"/>
      <c r="L123" s="98"/>
      <c r="M123" s="99"/>
      <c r="N123" s="111"/>
      <c r="O123" s="112"/>
      <c r="P123" s="94"/>
      <c r="Q123" s="102"/>
      <c r="R123" s="103"/>
      <c r="S123" s="102"/>
      <c r="T123" s="102"/>
      <c r="V123" s="104"/>
    </row>
    <row r="124" ht="15.75" customHeight="1">
      <c r="A124" s="91"/>
      <c r="B124" s="93"/>
      <c r="C124" s="93"/>
      <c r="D124" s="94"/>
      <c r="E124" s="139"/>
      <c r="F124" s="139"/>
      <c r="G124" s="94"/>
      <c r="H124" s="93"/>
      <c r="I124" s="102"/>
      <c r="J124" s="94"/>
      <c r="K124" s="126"/>
      <c r="L124" s="126"/>
      <c r="M124" s="99"/>
      <c r="N124" s="100"/>
      <c r="O124" s="112"/>
      <c r="P124" s="94"/>
      <c r="Q124" s="120"/>
      <c r="R124" s="113"/>
      <c r="S124" s="102"/>
      <c r="T124" s="102"/>
      <c r="V124" s="104"/>
    </row>
    <row r="125" ht="15.75" customHeight="1">
      <c r="A125" s="91"/>
      <c r="B125" s="93"/>
      <c r="C125" s="93"/>
      <c r="D125" s="94"/>
      <c r="E125" s="139"/>
      <c r="F125" s="139"/>
      <c r="G125" s="94"/>
      <c r="H125" s="93"/>
      <c r="I125" s="102"/>
      <c r="J125" s="94"/>
      <c r="K125" s="125"/>
      <c r="L125" s="125"/>
      <c r="M125" s="99"/>
      <c r="N125" s="100"/>
      <c r="O125" s="101"/>
      <c r="P125" s="94"/>
      <c r="Q125" s="94"/>
      <c r="R125" s="113"/>
      <c r="S125" s="102"/>
      <c r="T125" s="102"/>
      <c r="V125" s="104"/>
    </row>
    <row r="126" ht="15.75" customHeight="1">
      <c r="A126" s="91"/>
      <c r="B126" s="93"/>
      <c r="C126" s="93"/>
      <c r="D126" s="94"/>
      <c r="E126" s="139"/>
      <c r="F126" s="139"/>
      <c r="G126" s="94"/>
      <c r="H126" s="93"/>
      <c r="I126" s="102"/>
      <c r="J126" s="94"/>
      <c r="K126" s="202"/>
      <c r="L126" s="202"/>
      <c r="M126" s="99"/>
      <c r="N126" s="100"/>
      <c r="O126" s="101"/>
      <c r="P126" s="94"/>
      <c r="Q126" s="109"/>
      <c r="R126" s="106"/>
      <c r="S126" s="102"/>
      <c r="T126" s="102"/>
      <c r="V126" s="104"/>
    </row>
    <row r="127" ht="15.75" customHeight="1">
      <c r="A127" s="91"/>
      <c r="B127" s="93"/>
      <c r="C127" s="93"/>
      <c r="D127" s="94"/>
      <c r="E127" s="139"/>
      <c r="F127" s="139"/>
      <c r="G127" s="94"/>
      <c r="H127" s="93"/>
      <c r="I127" s="102"/>
      <c r="J127" s="94"/>
      <c r="K127" s="125"/>
      <c r="L127" s="125"/>
      <c r="M127" s="99"/>
      <c r="N127" s="100"/>
      <c r="O127" s="101"/>
      <c r="P127" s="94"/>
      <c r="Q127" s="120"/>
      <c r="R127" s="113"/>
      <c r="S127" s="102"/>
      <c r="T127" s="102"/>
      <c r="V127" s="104"/>
    </row>
    <row r="128" ht="15.75" customHeight="1">
      <c r="A128" s="91"/>
      <c r="B128" s="93"/>
      <c r="C128" s="93"/>
      <c r="D128" s="94"/>
      <c r="E128" s="139"/>
      <c r="F128" s="139"/>
      <c r="G128" s="94"/>
      <c r="H128" s="93"/>
      <c r="I128" s="102"/>
      <c r="J128" s="94"/>
      <c r="K128" s="126"/>
      <c r="L128" s="126"/>
      <c r="M128" s="99"/>
      <c r="N128" s="100"/>
      <c r="O128" s="101"/>
      <c r="P128" s="94"/>
      <c r="Q128" s="94"/>
      <c r="R128" s="113"/>
      <c r="S128" s="102"/>
      <c r="T128" s="102"/>
      <c r="V128" s="104"/>
    </row>
    <row r="129" ht="15.75" customHeight="1">
      <c r="A129" s="91"/>
      <c r="B129" s="93"/>
      <c r="C129" s="238"/>
      <c r="D129" s="94"/>
      <c r="E129" s="276"/>
      <c r="F129" s="139"/>
      <c r="G129" s="94"/>
      <c r="H129" s="93"/>
      <c r="I129" s="102"/>
      <c r="J129" s="94"/>
      <c r="K129" s="202"/>
      <c r="L129" s="202"/>
      <c r="M129" s="99"/>
      <c r="N129" s="100"/>
      <c r="O129" s="112"/>
      <c r="P129" s="94"/>
      <c r="Q129" s="102"/>
      <c r="R129" s="113"/>
      <c r="S129" s="102"/>
      <c r="T129" s="94"/>
      <c r="V129" s="104"/>
    </row>
    <row r="130" ht="15.75" customHeight="1">
      <c r="A130" s="91"/>
      <c r="B130" s="93"/>
      <c r="C130" s="103"/>
      <c r="D130" s="94"/>
      <c r="E130" s="139"/>
      <c r="F130" s="139"/>
      <c r="G130" s="94"/>
      <c r="H130" s="93"/>
      <c r="I130" s="102"/>
      <c r="J130" s="94"/>
      <c r="K130" s="126"/>
      <c r="L130" s="98"/>
      <c r="M130" s="99"/>
      <c r="N130" s="100"/>
      <c r="O130" s="112"/>
      <c r="P130" s="94"/>
      <c r="Q130" s="120"/>
      <c r="R130" s="113"/>
      <c r="S130" s="102"/>
      <c r="T130" s="102"/>
      <c r="V130" s="104"/>
    </row>
    <row r="131" ht="15.75" customHeight="1">
      <c r="A131" s="91"/>
      <c r="B131" s="93"/>
      <c r="C131" s="93"/>
      <c r="D131" s="94"/>
      <c r="E131" s="139"/>
      <c r="F131" s="139"/>
      <c r="G131" s="94"/>
      <c r="H131" s="93"/>
      <c r="I131" s="102"/>
      <c r="J131" s="94"/>
      <c r="K131" s="125"/>
      <c r="L131" s="125"/>
      <c r="M131" s="99"/>
      <c r="N131" s="100"/>
      <c r="O131" s="101"/>
      <c r="P131" s="94"/>
      <c r="Q131" s="120"/>
      <c r="R131" s="113"/>
      <c r="S131" s="102"/>
      <c r="T131" s="102"/>
      <c r="V131" s="104"/>
    </row>
    <row r="132" ht="15.75" customHeight="1">
      <c r="A132" s="91"/>
      <c r="B132" s="93"/>
      <c r="C132" s="93"/>
      <c r="D132" s="94"/>
      <c r="E132" s="139"/>
      <c r="F132" s="139"/>
      <c r="G132" s="94"/>
      <c r="H132" s="93"/>
      <c r="I132" s="102"/>
      <c r="J132" s="94"/>
      <c r="K132" s="126"/>
      <c r="L132" s="126"/>
      <c r="M132" s="99"/>
      <c r="N132" s="100"/>
      <c r="O132" s="112"/>
      <c r="P132" s="94"/>
      <c r="Q132" s="94"/>
      <c r="R132" s="113"/>
      <c r="S132" s="102"/>
      <c r="T132" s="94"/>
      <c r="V132" s="104"/>
    </row>
    <row r="133" ht="15.75" customHeight="1">
      <c r="A133" s="91"/>
      <c r="B133" s="93"/>
      <c r="C133" s="93"/>
      <c r="D133" s="94"/>
      <c r="E133" s="139"/>
      <c r="F133" s="139"/>
      <c r="G133" s="94"/>
      <c r="H133" s="93"/>
      <c r="I133" s="102"/>
      <c r="J133" s="94"/>
      <c r="K133" s="125"/>
      <c r="L133" s="125"/>
      <c r="M133" s="99"/>
      <c r="N133" s="100"/>
      <c r="O133" s="112"/>
      <c r="P133" s="94"/>
      <c r="Q133" s="120"/>
      <c r="R133" s="113"/>
      <c r="S133" s="102"/>
      <c r="T133" s="102"/>
      <c r="V133" s="104"/>
    </row>
    <row r="134" ht="15.75" customHeight="1">
      <c r="A134" s="91"/>
      <c r="B134" s="93"/>
      <c r="C134" s="93"/>
      <c r="D134" s="94"/>
      <c r="E134" s="139"/>
      <c r="F134" s="139"/>
      <c r="G134" s="94"/>
      <c r="H134" s="93"/>
      <c r="I134" s="97"/>
      <c r="J134" s="94"/>
      <c r="K134" s="126"/>
      <c r="L134" s="126"/>
      <c r="M134" s="99"/>
      <c r="N134" s="100"/>
      <c r="O134" s="112"/>
      <c r="P134" s="94"/>
      <c r="Q134" s="94"/>
      <c r="R134" s="113"/>
      <c r="S134" s="102"/>
      <c r="T134" s="102"/>
      <c r="V134" s="104"/>
    </row>
    <row r="135" ht="15.75" customHeight="1">
      <c r="A135" s="91"/>
      <c r="B135" s="93"/>
      <c r="C135" s="93"/>
      <c r="D135" s="94"/>
      <c r="E135" s="139"/>
      <c r="F135" s="139"/>
      <c r="G135" s="94"/>
      <c r="H135" s="93"/>
      <c r="I135" s="102"/>
      <c r="J135" s="94"/>
      <c r="K135" s="98"/>
      <c r="L135" s="98"/>
      <c r="M135" s="99"/>
      <c r="N135" s="111"/>
      <c r="O135" s="112"/>
      <c r="P135" s="94"/>
      <c r="Q135" s="102"/>
      <c r="R135" s="113"/>
      <c r="S135" s="102"/>
      <c r="T135" s="94"/>
      <c r="V135" s="104"/>
    </row>
    <row r="136" ht="15.75" customHeight="1">
      <c r="A136" s="91"/>
      <c r="B136" s="93"/>
      <c r="C136" s="103"/>
      <c r="D136" s="94"/>
      <c r="E136" s="139"/>
      <c r="F136" s="139"/>
      <c r="G136" s="94"/>
      <c r="H136" s="93"/>
      <c r="I136" s="102"/>
      <c r="J136" s="94"/>
      <c r="K136" s="98"/>
      <c r="L136" s="98"/>
      <c r="M136" s="99"/>
      <c r="N136" s="111"/>
      <c r="O136" s="112"/>
      <c r="P136" s="94"/>
      <c r="Q136" s="102"/>
      <c r="R136" s="113"/>
      <c r="S136" s="102"/>
      <c r="T136" s="94"/>
      <c r="V136" s="104"/>
    </row>
    <row r="137" ht="15.75" customHeight="1">
      <c r="A137" s="91"/>
      <c r="B137" s="93"/>
      <c r="C137" s="103"/>
      <c r="D137" s="94"/>
      <c r="E137" s="139"/>
      <c r="F137" s="139"/>
      <c r="G137" s="94"/>
      <c r="H137" s="93"/>
      <c r="I137" s="102"/>
      <c r="J137" s="94"/>
      <c r="K137" s="202"/>
      <c r="L137" s="202"/>
      <c r="M137" s="99"/>
      <c r="N137" s="111"/>
      <c r="O137" s="112"/>
      <c r="P137" s="94"/>
      <c r="Q137" s="102"/>
      <c r="R137" s="113"/>
      <c r="S137" s="102"/>
      <c r="T137" s="102"/>
      <c r="V137" s="104"/>
    </row>
    <row r="138" ht="15.75" customHeight="1">
      <c r="A138" s="91"/>
      <c r="B138" s="93"/>
      <c r="C138" s="103"/>
      <c r="D138" s="94"/>
      <c r="E138" s="139"/>
      <c r="F138" s="139"/>
      <c r="G138" s="94"/>
      <c r="H138" s="93"/>
      <c r="I138" s="102"/>
      <c r="J138" s="94"/>
      <c r="K138" s="126"/>
      <c r="L138" s="126"/>
      <c r="M138" s="99"/>
      <c r="N138" s="111"/>
      <c r="O138" s="112"/>
      <c r="P138" s="94"/>
      <c r="Q138" s="94"/>
      <c r="R138" s="113"/>
      <c r="S138" s="102"/>
      <c r="T138" s="102"/>
      <c r="V138" s="104"/>
    </row>
    <row r="139" ht="15.75" customHeight="1">
      <c r="A139" s="91"/>
      <c r="B139" s="93"/>
      <c r="C139" s="93"/>
      <c r="D139" s="94"/>
      <c r="E139" s="139"/>
      <c r="F139" s="139"/>
      <c r="G139" s="94"/>
      <c r="H139" s="93"/>
      <c r="I139" s="102"/>
      <c r="J139" s="94"/>
      <c r="K139" s="125"/>
      <c r="L139" s="125"/>
      <c r="M139" s="99"/>
      <c r="N139" s="100"/>
      <c r="O139" s="101"/>
      <c r="P139" s="94"/>
      <c r="Q139" s="94"/>
      <c r="R139" s="113"/>
      <c r="S139" s="102"/>
      <c r="T139" s="102"/>
      <c r="V139" s="104"/>
    </row>
    <row r="140" ht="15.75" customHeight="1">
      <c r="A140" s="91"/>
      <c r="B140" s="93"/>
      <c r="C140" s="93"/>
      <c r="D140" s="94"/>
      <c r="E140" s="139"/>
      <c r="F140" s="139"/>
      <c r="G140" s="94"/>
      <c r="H140" s="93"/>
      <c r="I140" s="102"/>
      <c r="J140" s="94"/>
      <c r="K140" s="126"/>
      <c r="L140" s="126"/>
      <c r="M140" s="99"/>
      <c r="N140" s="111"/>
      <c r="O140" s="112"/>
      <c r="P140" s="94"/>
      <c r="Q140" s="94"/>
      <c r="R140" s="113"/>
      <c r="S140" s="94"/>
      <c r="T140" s="94"/>
      <c r="V140" s="104"/>
    </row>
    <row r="141" ht="15.75" customHeight="1">
      <c r="A141" s="91"/>
      <c r="B141" s="93"/>
      <c r="C141" s="93"/>
      <c r="D141" s="94"/>
      <c r="E141" s="139"/>
      <c r="F141" s="139"/>
      <c r="G141" s="94"/>
      <c r="H141" s="93"/>
      <c r="I141" s="102"/>
      <c r="J141" s="94"/>
      <c r="K141" s="125"/>
      <c r="L141" s="125"/>
      <c r="M141" s="99"/>
      <c r="N141" s="100"/>
      <c r="O141" s="101"/>
      <c r="P141" s="94"/>
      <c r="Q141" s="94"/>
      <c r="R141" s="113"/>
      <c r="S141" s="102"/>
      <c r="T141" s="102"/>
      <c r="V141" s="104"/>
    </row>
    <row r="142" ht="15.75" customHeight="1">
      <c r="A142" s="91"/>
      <c r="B142" s="93"/>
      <c r="C142" s="93"/>
      <c r="D142" s="94"/>
      <c r="E142" s="139"/>
      <c r="F142" s="139"/>
      <c r="G142" s="94"/>
      <c r="H142" s="93"/>
      <c r="I142" s="102"/>
      <c r="J142" s="94"/>
      <c r="K142" s="98"/>
      <c r="L142" s="98"/>
      <c r="M142" s="99"/>
      <c r="N142" s="111"/>
      <c r="O142" s="112"/>
      <c r="P142" s="94"/>
      <c r="Q142" s="102"/>
      <c r="R142" s="113"/>
      <c r="S142" s="102"/>
      <c r="T142" s="102"/>
      <c r="V142" s="104"/>
    </row>
    <row r="143" ht="15.75" customHeight="1">
      <c r="A143" s="91"/>
      <c r="B143" s="131"/>
      <c r="C143" s="132"/>
      <c r="D143" s="94"/>
      <c r="E143" s="247"/>
      <c r="F143" s="238"/>
      <c r="G143" s="94"/>
      <c r="H143" s="93"/>
      <c r="I143" s="94"/>
      <c r="J143" s="94"/>
      <c r="K143" s="125"/>
      <c r="L143" s="125"/>
      <c r="M143" s="99"/>
      <c r="N143" s="111"/>
      <c r="O143" s="112"/>
      <c r="P143" s="94"/>
      <c r="Q143" s="120"/>
      <c r="R143" s="113"/>
      <c r="S143" s="94"/>
      <c r="T143" s="94"/>
      <c r="V143" s="104"/>
    </row>
    <row r="144" ht="15.75" customHeight="1">
      <c r="A144" s="91"/>
      <c r="B144" s="131"/>
      <c r="C144" s="104"/>
      <c r="D144" s="94"/>
      <c r="E144" s="247"/>
      <c r="F144" s="238"/>
      <c r="G144" s="94"/>
      <c r="H144" s="93"/>
      <c r="I144" s="94"/>
      <c r="J144" s="94"/>
      <c r="K144" s="126"/>
      <c r="L144" s="126"/>
      <c r="M144" s="99"/>
      <c r="N144" s="111"/>
      <c r="O144" s="112"/>
      <c r="P144" s="94"/>
      <c r="Q144" s="94"/>
      <c r="R144" s="113"/>
      <c r="S144" s="94"/>
      <c r="T144" s="94"/>
      <c r="V144" s="104"/>
    </row>
    <row r="145" ht="15.75" customHeight="1">
      <c r="A145" s="91"/>
      <c r="B145" s="131"/>
      <c r="C145" s="104"/>
      <c r="D145" s="94"/>
      <c r="E145" s="247"/>
      <c r="F145" s="238"/>
      <c r="G145" s="94"/>
      <c r="H145" s="93"/>
      <c r="I145" s="94"/>
      <c r="J145" s="94"/>
      <c r="K145" s="125"/>
      <c r="L145" s="125"/>
      <c r="M145" s="99"/>
      <c r="N145" s="111"/>
      <c r="O145" s="112"/>
      <c r="P145" s="94"/>
      <c r="Q145" s="94"/>
      <c r="R145" s="113"/>
      <c r="S145" s="94"/>
      <c r="T145" s="94"/>
      <c r="V145" s="104"/>
    </row>
    <row r="146" ht="15.75" customHeight="1">
      <c r="A146" s="91"/>
      <c r="B146" s="131"/>
      <c r="C146" s="104"/>
      <c r="D146" s="94"/>
      <c r="E146" s="247"/>
      <c r="F146" s="238"/>
      <c r="G146" s="94"/>
      <c r="H146" s="93"/>
      <c r="I146" s="94"/>
      <c r="J146" s="94"/>
      <c r="K146" s="126"/>
      <c r="L146" s="126"/>
      <c r="M146" s="99"/>
      <c r="N146" s="111"/>
      <c r="O146" s="112"/>
      <c r="P146" s="94"/>
      <c r="Q146" s="120"/>
      <c r="R146" s="113"/>
      <c r="S146" s="94"/>
      <c r="T146" s="94"/>
      <c r="V146" s="104"/>
    </row>
    <row r="147" ht="15.75" customHeight="1">
      <c r="A147" s="91"/>
      <c r="B147" s="131"/>
      <c r="C147" s="132"/>
      <c r="D147" s="94"/>
      <c r="E147" s="247"/>
      <c r="F147" s="238"/>
      <c r="G147" s="94"/>
      <c r="H147" s="93"/>
      <c r="I147" s="94"/>
      <c r="J147" s="94"/>
      <c r="K147" s="125"/>
      <c r="L147" s="125"/>
      <c r="M147" s="99"/>
      <c r="N147" s="111"/>
      <c r="O147" s="112"/>
      <c r="P147" s="94"/>
      <c r="Q147" s="120"/>
      <c r="R147" s="113"/>
      <c r="S147" s="94"/>
      <c r="T147" s="94"/>
      <c r="V147" s="104"/>
    </row>
    <row r="148" ht="15.75" customHeight="1">
      <c r="A148" s="91"/>
      <c r="B148" s="131"/>
      <c r="C148" s="132"/>
      <c r="D148" s="94"/>
      <c r="E148" s="247"/>
      <c r="F148" s="238"/>
      <c r="G148" s="94"/>
      <c r="H148" s="93"/>
      <c r="I148" s="94"/>
      <c r="J148" s="94"/>
      <c r="K148" s="126"/>
      <c r="L148" s="126"/>
      <c r="M148" s="99"/>
      <c r="N148" s="111"/>
      <c r="O148" s="112"/>
      <c r="P148" s="94"/>
      <c r="Q148" s="120"/>
      <c r="R148" s="113"/>
      <c r="S148" s="94"/>
      <c r="T148" s="94"/>
      <c r="V148" s="104"/>
    </row>
    <row r="149" ht="15.75" customHeight="1">
      <c r="A149" s="91"/>
      <c r="B149" s="131"/>
      <c r="C149" s="132"/>
      <c r="D149" s="94"/>
      <c r="E149" s="247"/>
      <c r="F149" s="238"/>
      <c r="G149" s="94"/>
      <c r="H149" s="93"/>
      <c r="I149" s="94"/>
      <c r="J149" s="94"/>
      <c r="K149" s="125"/>
      <c r="L149" s="125"/>
      <c r="M149" s="99"/>
      <c r="N149" s="111"/>
      <c r="O149" s="112"/>
      <c r="P149" s="94"/>
      <c r="Q149" s="120"/>
      <c r="R149" s="113"/>
      <c r="S149" s="94"/>
      <c r="T149" s="94"/>
      <c r="V149" s="104"/>
    </row>
    <row r="150" ht="15.75" customHeight="1">
      <c r="A150" s="91"/>
      <c r="B150" s="131"/>
      <c r="C150" s="132"/>
      <c r="D150" s="94"/>
      <c r="E150" s="247"/>
      <c r="F150" s="238"/>
      <c r="G150" s="94"/>
      <c r="H150" s="93"/>
      <c r="I150" s="94"/>
      <c r="J150" s="94"/>
      <c r="K150" s="126"/>
      <c r="L150" s="126"/>
      <c r="M150" s="99"/>
      <c r="N150" s="111"/>
      <c r="O150" s="112"/>
      <c r="P150" s="94"/>
      <c r="Q150" s="120"/>
      <c r="R150" s="113"/>
      <c r="S150" s="94"/>
      <c r="T150" s="94"/>
      <c r="V150" s="104"/>
    </row>
    <row r="151" ht="15.75" customHeight="1">
      <c r="A151" s="91"/>
      <c r="B151" s="131"/>
      <c r="C151" s="132"/>
      <c r="D151" s="94"/>
      <c r="E151" s="247"/>
      <c r="F151" s="247"/>
      <c r="G151" s="94"/>
      <c r="H151" s="93"/>
      <c r="I151" s="94"/>
      <c r="J151" s="94"/>
      <c r="K151" s="125"/>
      <c r="L151" s="125"/>
      <c r="M151" s="99"/>
      <c r="N151" s="111"/>
      <c r="O151" s="112"/>
      <c r="P151" s="94"/>
      <c r="Q151" s="120"/>
      <c r="R151" s="113"/>
      <c r="S151" s="94"/>
      <c r="T151" s="94"/>
      <c r="V151" s="104"/>
    </row>
    <row r="152" ht="15.75" customHeight="1">
      <c r="A152" s="91"/>
      <c r="B152" s="131"/>
      <c r="C152" s="104"/>
      <c r="D152" s="94"/>
      <c r="E152" s="247"/>
      <c r="F152" s="247"/>
      <c r="G152" s="94"/>
      <c r="H152" s="93"/>
      <c r="I152" s="94"/>
      <c r="J152" s="94"/>
      <c r="K152" s="126"/>
      <c r="L152" s="126"/>
      <c r="M152" s="99"/>
      <c r="N152" s="111"/>
      <c r="O152" s="112"/>
      <c r="P152" s="94"/>
      <c r="Q152" s="94"/>
      <c r="R152" s="113"/>
      <c r="S152" s="94"/>
      <c r="T152" s="94"/>
      <c r="V152" s="104"/>
    </row>
    <row r="153" ht="15.75" customHeight="1">
      <c r="A153" s="91"/>
      <c r="B153" s="131"/>
      <c r="C153" s="104"/>
      <c r="D153" s="94"/>
      <c r="E153" s="247"/>
      <c r="F153" s="247"/>
      <c r="G153" s="94"/>
      <c r="H153" s="93"/>
      <c r="I153" s="94"/>
      <c r="J153" s="94"/>
      <c r="K153" s="125"/>
      <c r="L153" s="125"/>
      <c r="M153" s="99"/>
      <c r="N153" s="111"/>
      <c r="O153" s="112"/>
      <c r="P153" s="94"/>
      <c r="Q153" s="120"/>
      <c r="R153" s="113"/>
      <c r="S153" s="94"/>
      <c r="T153" s="94"/>
      <c r="V153" s="104"/>
    </row>
    <row r="154" ht="15.75" customHeight="1">
      <c r="A154" s="91"/>
      <c r="B154" s="131"/>
      <c r="C154" s="104"/>
      <c r="D154" s="94"/>
      <c r="E154" s="247"/>
      <c r="F154" s="247"/>
      <c r="G154" s="94"/>
      <c r="H154" s="93"/>
      <c r="I154" s="94"/>
      <c r="J154" s="94"/>
      <c r="K154" s="126"/>
      <c r="L154" s="126"/>
      <c r="M154" s="99"/>
      <c r="N154" s="111"/>
      <c r="O154" s="112"/>
      <c r="P154" s="94"/>
      <c r="Q154" s="94"/>
      <c r="R154" s="113"/>
      <c r="S154" s="94"/>
      <c r="T154" s="94"/>
      <c r="V154" s="104"/>
    </row>
    <row r="155" ht="15.75" customHeight="1">
      <c r="A155" s="91"/>
      <c r="B155" s="131"/>
      <c r="C155" s="132"/>
      <c r="D155" s="94"/>
      <c r="E155" s="247"/>
      <c r="F155" s="247"/>
      <c r="G155" s="94"/>
      <c r="H155" s="93"/>
      <c r="I155" s="94"/>
      <c r="J155" s="94"/>
      <c r="K155" s="125"/>
      <c r="L155" s="125"/>
      <c r="M155" s="99"/>
      <c r="N155" s="111"/>
      <c r="O155" s="112"/>
      <c r="P155" s="94"/>
      <c r="Q155" s="94"/>
      <c r="R155" s="113"/>
      <c r="S155" s="94"/>
      <c r="T155" s="94"/>
      <c r="V155" s="104"/>
    </row>
    <row r="156" ht="15.75" customHeight="1">
      <c r="A156" s="91"/>
      <c r="B156" s="131"/>
      <c r="C156" s="132"/>
      <c r="D156" s="94"/>
      <c r="E156" s="247"/>
      <c r="F156" s="247"/>
      <c r="G156" s="94"/>
      <c r="H156" s="93"/>
      <c r="I156" s="94"/>
      <c r="J156" s="94"/>
      <c r="K156" s="126"/>
      <c r="L156" s="126"/>
      <c r="M156" s="99"/>
      <c r="N156" s="111"/>
      <c r="O156" s="112"/>
      <c r="P156" s="94"/>
      <c r="Q156" s="120"/>
      <c r="R156" s="113"/>
      <c r="S156" s="94"/>
      <c r="T156" s="94"/>
      <c r="V156" s="104"/>
    </row>
    <row r="157" ht="15.75" customHeight="1">
      <c r="A157" s="91"/>
      <c r="B157" s="131"/>
      <c r="C157" s="132"/>
      <c r="D157" s="94"/>
      <c r="E157" s="247"/>
      <c r="F157" s="247"/>
      <c r="G157" s="94"/>
      <c r="H157" s="93"/>
      <c r="I157" s="94"/>
      <c r="J157" s="94"/>
      <c r="K157" s="125"/>
      <c r="L157" s="125"/>
      <c r="M157" s="99"/>
      <c r="N157" s="111"/>
      <c r="O157" s="112"/>
      <c r="P157" s="94"/>
      <c r="Q157" s="94"/>
      <c r="R157" s="113"/>
      <c r="S157" s="94"/>
      <c r="T157" s="94"/>
      <c r="V157" s="104"/>
    </row>
    <row r="158" ht="15.75" customHeight="1">
      <c r="A158" s="91"/>
      <c r="B158" s="131"/>
      <c r="C158" s="132"/>
      <c r="D158" s="94"/>
      <c r="E158" s="247"/>
      <c r="F158" s="247"/>
      <c r="G158" s="94"/>
      <c r="H158" s="93"/>
      <c r="I158" s="94"/>
      <c r="J158" s="94"/>
      <c r="K158" s="126"/>
      <c r="L158" s="126"/>
      <c r="M158" s="99"/>
      <c r="N158" s="111"/>
      <c r="O158" s="112"/>
      <c r="P158" s="94"/>
      <c r="Q158" s="94"/>
      <c r="R158" s="113"/>
      <c r="S158" s="94"/>
      <c r="T158" s="94"/>
      <c r="V158" s="104"/>
    </row>
    <row r="159" ht="15.75" customHeight="1">
      <c r="A159" s="91"/>
      <c r="B159" s="131"/>
      <c r="C159" s="132"/>
      <c r="D159" s="94"/>
      <c r="E159" s="247"/>
      <c r="F159" s="247"/>
      <c r="G159" s="94"/>
      <c r="H159" s="93"/>
      <c r="I159" s="94"/>
      <c r="J159" s="94"/>
      <c r="K159" s="125"/>
      <c r="L159" s="125"/>
      <c r="M159" s="99"/>
      <c r="N159" s="111"/>
      <c r="O159" s="112"/>
      <c r="P159" s="94"/>
      <c r="Q159" s="120"/>
      <c r="R159" s="113"/>
      <c r="S159" s="94"/>
      <c r="T159" s="94"/>
      <c r="V159" s="104"/>
    </row>
    <row r="160" ht="15.75" customHeight="1">
      <c r="A160" s="91"/>
      <c r="B160" s="131"/>
      <c r="C160" s="104"/>
      <c r="D160" s="94"/>
      <c r="E160" s="247"/>
      <c r="F160" s="247"/>
      <c r="G160" s="94"/>
      <c r="H160" s="93"/>
      <c r="I160" s="94"/>
      <c r="J160" s="94"/>
      <c r="K160" s="126"/>
      <c r="L160" s="126"/>
      <c r="M160" s="99"/>
      <c r="N160" s="111"/>
      <c r="O160" s="112"/>
      <c r="P160" s="94"/>
      <c r="Q160" s="94"/>
      <c r="R160" s="113"/>
      <c r="S160" s="94"/>
      <c r="T160" s="94"/>
      <c r="V160" s="104"/>
    </row>
    <row r="161" ht="15.75" customHeight="1">
      <c r="A161" s="91"/>
      <c r="B161" s="131"/>
      <c r="C161" s="104"/>
      <c r="D161" s="94"/>
      <c r="E161" s="247"/>
      <c r="F161" s="247"/>
      <c r="G161" s="94"/>
      <c r="H161" s="93"/>
      <c r="I161" s="94"/>
      <c r="J161" s="94"/>
      <c r="K161" s="125"/>
      <c r="L161" s="125"/>
      <c r="M161" s="99"/>
      <c r="N161" s="111"/>
      <c r="O161" s="112"/>
      <c r="P161" s="94"/>
      <c r="Q161" s="120"/>
      <c r="R161" s="113"/>
      <c r="S161" s="94"/>
      <c r="T161" s="94"/>
      <c r="V161" s="104"/>
    </row>
    <row r="162" ht="15.75" customHeight="1">
      <c r="A162" s="91"/>
      <c r="B162" s="131"/>
      <c r="C162" s="104"/>
      <c r="D162" s="94"/>
      <c r="E162" s="247"/>
      <c r="F162" s="247"/>
      <c r="G162" s="94"/>
      <c r="H162" s="93"/>
      <c r="I162" s="94"/>
      <c r="J162" s="94"/>
      <c r="K162" s="126"/>
      <c r="L162" s="126"/>
      <c r="M162" s="99"/>
      <c r="N162" s="111"/>
      <c r="O162" s="112"/>
      <c r="P162" s="94"/>
      <c r="Q162" s="120"/>
      <c r="R162" s="113"/>
      <c r="S162" s="94"/>
      <c r="T162" s="94"/>
      <c r="V162" s="104"/>
    </row>
    <row r="163" ht="15.75" customHeight="1">
      <c r="A163" s="91"/>
      <c r="B163" s="131"/>
      <c r="C163" s="132"/>
      <c r="D163" s="94"/>
      <c r="E163" s="247"/>
      <c r="F163" s="247"/>
      <c r="G163" s="94"/>
      <c r="H163" s="93"/>
      <c r="I163" s="94"/>
      <c r="J163" s="94"/>
      <c r="K163" s="125"/>
      <c r="L163" s="125"/>
      <c r="M163" s="99"/>
      <c r="N163" s="111"/>
      <c r="O163" s="112"/>
      <c r="P163" s="94"/>
      <c r="Q163" s="120"/>
      <c r="R163" s="113"/>
      <c r="S163" s="94"/>
      <c r="T163" s="94"/>
      <c r="V163" s="104"/>
    </row>
    <row r="164" ht="15.75" customHeight="1">
      <c r="A164" s="91"/>
      <c r="B164" s="131"/>
      <c r="C164" s="132"/>
      <c r="D164" s="94"/>
      <c r="E164" s="247"/>
      <c r="F164" s="247"/>
      <c r="G164" s="94"/>
      <c r="H164" s="93"/>
      <c r="I164" s="94"/>
      <c r="J164" s="94"/>
      <c r="K164" s="126"/>
      <c r="L164" s="126"/>
      <c r="M164" s="99"/>
      <c r="N164" s="111"/>
      <c r="O164" s="112"/>
      <c r="P164" s="94"/>
      <c r="Q164" s="94"/>
      <c r="R164" s="113"/>
      <c r="S164" s="94"/>
      <c r="T164" s="94"/>
      <c r="V164" s="104"/>
    </row>
    <row r="165" ht="15.75" customHeight="1">
      <c r="A165" s="91"/>
      <c r="B165" s="131"/>
      <c r="C165" s="132"/>
      <c r="D165" s="94"/>
      <c r="E165" s="247"/>
      <c r="F165" s="247"/>
      <c r="G165" s="94"/>
      <c r="H165" s="93"/>
      <c r="I165" s="94"/>
      <c r="J165" s="94"/>
      <c r="K165" s="125"/>
      <c r="L165" s="125"/>
      <c r="M165" s="99"/>
      <c r="N165" s="111"/>
      <c r="O165" s="112"/>
      <c r="P165" s="94"/>
      <c r="Q165" s="120"/>
      <c r="R165" s="113"/>
      <c r="S165" s="94"/>
      <c r="T165" s="94"/>
      <c r="V165" s="104"/>
    </row>
    <row r="166" ht="15.75" customHeight="1">
      <c r="A166" s="91"/>
      <c r="B166" s="131"/>
      <c r="C166" s="132"/>
      <c r="D166" s="94"/>
      <c r="E166" s="247"/>
      <c r="F166" s="247"/>
      <c r="G166" s="94"/>
      <c r="H166" s="93"/>
      <c r="I166" s="94"/>
      <c r="J166" s="94"/>
      <c r="K166" s="126"/>
      <c r="L166" s="126"/>
      <c r="M166" s="99"/>
      <c r="N166" s="111"/>
      <c r="O166" s="112"/>
      <c r="P166" s="94"/>
      <c r="Q166" s="94"/>
      <c r="R166" s="113"/>
      <c r="S166" s="94"/>
      <c r="T166" s="94"/>
      <c r="V166" s="104"/>
    </row>
    <row r="167" ht="15.75" customHeight="1">
      <c r="A167" s="91"/>
      <c r="B167" s="131"/>
      <c r="C167" s="132"/>
      <c r="D167" s="94"/>
      <c r="E167" s="247"/>
      <c r="F167" s="248"/>
      <c r="G167" s="94"/>
      <c r="H167" s="93"/>
      <c r="I167" s="94"/>
      <c r="J167" s="94"/>
      <c r="K167" s="125"/>
      <c r="L167" s="125"/>
      <c r="M167" s="99"/>
      <c r="N167" s="111"/>
      <c r="O167" s="112"/>
      <c r="P167" s="94"/>
      <c r="Q167" s="120"/>
      <c r="R167" s="113"/>
      <c r="S167" s="94"/>
      <c r="T167" s="94"/>
      <c r="V167" s="104"/>
    </row>
    <row r="168" ht="15.75" customHeight="1">
      <c r="A168" s="91"/>
      <c r="B168" s="131"/>
      <c r="C168" s="104"/>
      <c r="D168" s="94"/>
      <c r="E168" s="247"/>
      <c r="F168" s="247"/>
      <c r="G168" s="94"/>
      <c r="H168" s="93"/>
      <c r="I168" s="94"/>
      <c r="J168" s="94"/>
      <c r="K168" s="126"/>
      <c r="L168" s="126"/>
      <c r="M168" s="99"/>
      <c r="N168" s="111"/>
      <c r="O168" s="112"/>
      <c r="P168" s="94"/>
      <c r="Q168" s="94"/>
      <c r="R168" s="113"/>
      <c r="S168" s="94"/>
      <c r="T168" s="94"/>
      <c r="V168" s="104"/>
    </row>
    <row r="169" ht="15.75" customHeight="1">
      <c r="A169" s="91"/>
      <c r="B169" s="131"/>
      <c r="C169" s="104"/>
      <c r="D169" s="94"/>
      <c r="E169" s="247"/>
      <c r="F169" s="247"/>
      <c r="G169" s="94"/>
      <c r="H169" s="93"/>
      <c r="I169" s="94"/>
      <c r="J169" s="94"/>
      <c r="K169" s="125"/>
      <c r="L169" s="125"/>
      <c r="M169" s="99"/>
      <c r="N169" s="111"/>
      <c r="O169" s="112"/>
      <c r="P169" s="94"/>
      <c r="Q169" s="120"/>
      <c r="R169" s="113"/>
      <c r="S169" s="94"/>
      <c r="T169" s="94"/>
      <c r="V169" s="104"/>
    </row>
    <row r="170" ht="15.75" customHeight="1">
      <c r="A170" s="91"/>
      <c r="B170" s="131"/>
      <c r="C170" s="132"/>
      <c r="D170" s="94"/>
      <c r="E170" s="247"/>
      <c r="F170" s="247"/>
      <c r="G170" s="94"/>
      <c r="H170" s="93"/>
      <c r="I170" s="94"/>
      <c r="J170" s="94"/>
      <c r="K170" s="126"/>
      <c r="L170" s="126"/>
      <c r="M170" s="99"/>
      <c r="N170" s="111"/>
      <c r="O170" s="112"/>
      <c r="P170" s="94"/>
      <c r="Q170" s="120"/>
      <c r="R170" s="113"/>
      <c r="S170" s="94"/>
      <c r="T170" s="94"/>
      <c r="V170" s="104"/>
    </row>
    <row r="171" ht="15.75" customHeight="1">
      <c r="A171" s="91"/>
      <c r="B171" s="131"/>
      <c r="C171" s="132"/>
      <c r="D171" s="94"/>
      <c r="E171" s="247"/>
      <c r="F171" s="247"/>
      <c r="G171" s="94"/>
      <c r="H171" s="93"/>
      <c r="I171" s="94"/>
      <c r="J171" s="94"/>
      <c r="K171" s="125"/>
      <c r="L171" s="125"/>
      <c r="M171" s="99"/>
      <c r="N171" s="111"/>
      <c r="O171" s="112"/>
      <c r="P171" s="94"/>
      <c r="Q171" s="120"/>
      <c r="R171" s="113"/>
      <c r="S171" s="94"/>
      <c r="T171" s="94"/>
      <c r="V171" s="104"/>
    </row>
    <row r="172" ht="15.75" customHeight="1">
      <c r="A172" s="91"/>
      <c r="B172" s="131"/>
      <c r="C172" s="132"/>
      <c r="D172" s="94"/>
      <c r="E172" s="247"/>
      <c r="F172" s="247"/>
      <c r="G172" s="94"/>
      <c r="H172" s="93"/>
      <c r="I172" s="94"/>
      <c r="J172" s="94"/>
      <c r="K172" s="126"/>
      <c r="L172" s="126"/>
      <c r="M172" s="99"/>
      <c r="N172" s="111"/>
      <c r="O172" s="112"/>
      <c r="P172" s="94"/>
      <c r="Q172" s="120"/>
      <c r="R172" s="113"/>
      <c r="S172" s="94"/>
      <c r="T172" s="94"/>
      <c r="V172" s="104"/>
    </row>
    <row r="173" ht="15.75" customHeight="1">
      <c r="A173" s="91"/>
      <c r="B173" s="131"/>
      <c r="C173" s="132"/>
      <c r="D173" s="94"/>
      <c r="E173" s="247"/>
      <c r="F173" s="247"/>
      <c r="G173" s="94"/>
      <c r="H173" s="93"/>
      <c r="I173" s="94"/>
      <c r="J173" s="94"/>
      <c r="K173" s="125"/>
      <c r="L173" s="125"/>
      <c r="M173" s="99"/>
      <c r="N173" s="111"/>
      <c r="O173" s="112"/>
      <c r="P173" s="94"/>
      <c r="Q173" s="120"/>
      <c r="R173" s="113"/>
      <c r="S173" s="94"/>
      <c r="T173" s="94"/>
      <c r="V173" s="104"/>
    </row>
    <row r="174" ht="15.75" customHeight="1">
      <c r="A174" s="91"/>
      <c r="B174" s="131"/>
      <c r="C174" s="132"/>
      <c r="D174" s="94"/>
      <c r="E174" s="247"/>
      <c r="F174" s="247"/>
      <c r="G174" s="94"/>
      <c r="H174" s="93"/>
      <c r="I174" s="94"/>
      <c r="J174" s="94"/>
      <c r="K174" s="126"/>
      <c r="L174" s="126"/>
      <c r="M174" s="99"/>
      <c r="N174" s="111"/>
      <c r="O174" s="112"/>
      <c r="P174" s="94"/>
      <c r="Q174" s="120"/>
      <c r="R174" s="113"/>
      <c r="S174" s="94"/>
      <c r="T174" s="94"/>
      <c r="V174" s="104"/>
    </row>
    <row r="175" ht="15.75" customHeight="1">
      <c r="A175" s="91"/>
      <c r="B175" s="131"/>
      <c r="C175" s="104"/>
      <c r="D175" s="94"/>
      <c r="E175" s="247"/>
      <c r="F175" s="247"/>
      <c r="G175" s="94"/>
      <c r="H175" s="93"/>
      <c r="I175" s="94"/>
      <c r="J175" s="94"/>
      <c r="K175" s="125"/>
      <c r="L175" s="125"/>
      <c r="M175" s="99"/>
      <c r="N175" s="111"/>
      <c r="O175" s="112"/>
      <c r="P175" s="94"/>
      <c r="Q175" s="120"/>
      <c r="R175" s="113"/>
      <c r="S175" s="94"/>
      <c r="T175" s="94"/>
      <c r="V175" s="104"/>
    </row>
    <row r="176" ht="15.75" customHeight="1">
      <c r="A176" s="91"/>
      <c r="B176" s="131"/>
      <c r="C176" s="132"/>
      <c r="D176" s="94"/>
      <c r="E176" s="247"/>
      <c r="F176" s="247"/>
      <c r="G176" s="94"/>
      <c r="H176" s="93"/>
      <c r="I176" s="94"/>
      <c r="J176" s="94"/>
      <c r="K176" s="126"/>
      <c r="L176" s="126"/>
      <c r="M176" s="99"/>
      <c r="N176" s="111"/>
      <c r="O176" s="112"/>
      <c r="P176" s="94"/>
      <c r="Q176" s="120"/>
      <c r="R176" s="113"/>
      <c r="S176" s="94"/>
      <c r="T176" s="94"/>
      <c r="V176" s="104"/>
    </row>
    <row r="177" ht="15.75" customHeight="1">
      <c r="A177" s="91"/>
      <c r="B177" s="131"/>
      <c r="C177" s="132"/>
      <c r="D177" s="94"/>
      <c r="E177" s="247"/>
      <c r="F177" s="247"/>
      <c r="G177" s="94"/>
      <c r="H177" s="93"/>
      <c r="I177" s="94"/>
      <c r="J177" s="94"/>
      <c r="K177" s="125"/>
      <c r="L177" s="125"/>
      <c r="M177" s="99"/>
      <c r="N177" s="111"/>
      <c r="O177" s="112"/>
      <c r="P177" s="94"/>
      <c r="Q177" s="120"/>
      <c r="R177" s="113"/>
      <c r="S177" s="94"/>
      <c r="T177" s="94"/>
      <c r="V177" s="104"/>
    </row>
    <row r="178" ht="15.75" customHeight="1">
      <c r="A178" s="91"/>
      <c r="B178" s="131"/>
      <c r="C178" s="132"/>
      <c r="D178" s="94"/>
      <c r="E178" s="247"/>
      <c r="F178" s="247"/>
      <c r="G178" s="94"/>
      <c r="H178" s="93"/>
      <c r="I178" s="94"/>
      <c r="J178" s="94"/>
      <c r="K178" s="126"/>
      <c r="L178" s="126"/>
      <c r="M178" s="99"/>
      <c r="N178" s="111"/>
      <c r="O178" s="112"/>
      <c r="P178" s="94"/>
      <c r="Q178" s="120"/>
      <c r="R178" s="113"/>
      <c r="S178" s="94"/>
      <c r="T178" s="94"/>
      <c r="V178" s="104"/>
    </row>
    <row r="179" ht="15.75" customHeight="1">
      <c r="A179" s="91"/>
      <c r="B179" s="131"/>
      <c r="C179" s="132"/>
      <c r="D179" s="94"/>
      <c r="E179" s="247"/>
      <c r="F179" s="247"/>
      <c r="G179" s="94"/>
      <c r="H179" s="93"/>
      <c r="I179" s="94"/>
      <c r="J179" s="94"/>
      <c r="K179" s="125"/>
      <c r="L179" s="125"/>
      <c r="M179" s="99"/>
      <c r="N179" s="111"/>
      <c r="O179" s="112"/>
      <c r="P179" s="94"/>
      <c r="Q179" s="120"/>
      <c r="R179" s="113"/>
      <c r="S179" s="94"/>
      <c r="T179" s="94"/>
      <c r="V179" s="104"/>
    </row>
    <row r="180" ht="15.75" customHeight="1">
      <c r="A180" s="91"/>
      <c r="B180" s="131"/>
      <c r="C180" s="132"/>
      <c r="D180" s="94"/>
      <c r="E180" s="247"/>
      <c r="F180" s="247"/>
      <c r="G180" s="94"/>
      <c r="H180" s="93"/>
      <c r="I180" s="94"/>
      <c r="J180" s="94"/>
      <c r="K180" s="126"/>
      <c r="L180" s="126"/>
      <c r="M180" s="99"/>
      <c r="N180" s="111"/>
      <c r="O180" s="112"/>
      <c r="P180" s="94"/>
      <c r="Q180" s="120"/>
      <c r="R180" s="113"/>
      <c r="S180" s="94"/>
      <c r="T180" s="94"/>
      <c r="V180" s="104"/>
    </row>
    <row r="181" ht="15.75" customHeight="1">
      <c r="A181" s="91"/>
      <c r="B181" s="131"/>
      <c r="C181" s="104"/>
      <c r="D181" s="94"/>
      <c r="E181" s="247"/>
      <c r="F181" s="247"/>
      <c r="G181" s="94"/>
      <c r="H181" s="93"/>
      <c r="I181" s="94"/>
      <c r="J181" s="94"/>
      <c r="K181" s="125"/>
      <c r="L181" s="125"/>
      <c r="M181" s="99"/>
      <c r="N181" s="111"/>
      <c r="O181" s="112"/>
      <c r="P181" s="94"/>
      <c r="Q181" s="120"/>
      <c r="R181" s="113"/>
      <c r="S181" s="94"/>
      <c r="T181" s="94"/>
      <c r="V181" s="104"/>
    </row>
    <row r="182" ht="15.75" customHeight="1">
      <c r="A182" s="91"/>
      <c r="B182" s="131"/>
      <c r="C182" s="132"/>
      <c r="D182" s="94"/>
      <c r="E182" s="247"/>
      <c r="F182" s="247"/>
      <c r="G182" s="94"/>
      <c r="H182" s="93"/>
      <c r="I182" s="94"/>
      <c r="J182" s="94"/>
      <c r="K182" s="126"/>
      <c r="L182" s="126"/>
      <c r="M182" s="99"/>
      <c r="N182" s="111"/>
      <c r="O182" s="112"/>
      <c r="P182" s="94"/>
      <c r="Q182" s="120"/>
      <c r="R182" s="113"/>
      <c r="S182" s="94"/>
      <c r="T182" s="94"/>
      <c r="V182" s="104"/>
    </row>
    <row r="183" ht="15.75" customHeight="1">
      <c r="A183" s="91"/>
      <c r="B183" s="131"/>
      <c r="C183" s="132"/>
      <c r="D183" s="94"/>
      <c r="E183" s="247"/>
      <c r="F183" s="247"/>
      <c r="G183" s="94"/>
      <c r="H183" s="93"/>
      <c r="I183" s="94"/>
      <c r="J183" s="94"/>
      <c r="K183" s="125"/>
      <c r="L183" s="125"/>
      <c r="M183" s="99"/>
      <c r="N183" s="111"/>
      <c r="O183" s="112"/>
      <c r="P183" s="94"/>
      <c r="Q183" s="120"/>
      <c r="R183" s="113"/>
      <c r="S183" s="94"/>
      <c r="T183" s="94"/>
      <c r="V183" s="104"/>
    </row>
    <row r="184" ht="15.75" customHeight="1">
      <c r="A184" s="91"/>
      <c r="B184" s="131"/>
      <c r="C184" s="132"/>
      <c r="D184" s="94"/>
      <c r="E184" s="247"/>
      <c r="F184" s="247"/>
      <c r="G184" s="94"/>
      <c r="H184" s="93"/>
      <c r="I184" s="94"/>
      <c r="J184" s="94"/>
      <c r="K184" s="126"/>
      <c r="L184" s="126"/>
      <c r="M184" s="99"/>
      <c r="N184" s="111"/>
      <c r="O184" s="112"/>
      <c r="P184" s="94"/>
      <c r="Q184" s="120"/>
      <c r="R184" s="113"/>
      <c r="S184" s="94"/>
      <c r="T184" s="94"/>
      <c r="V184" s="104"/>
    </row>
    <row r="185" ht="15.75" customHeight="1">
      <c r="A185" s="91"/>
      <c r="B185" s="131"/>
      <c r="C185" s="132"/>
      <c r="D185" s="94"/>
      <c r="E185" s="247"/>
      <c r="F185" s="247"/>
      <c r="G185" s="94"/>
      <c r="H185" s="93"/>
      <c r="I185" s="94"/>
      <c r="J185" s="94"/>
      <c r="K185" s="125"/>
      <c r="L185" s="125"/>
      <c r="M185" s="99"/>
      <c r="N185" s="111"/>
      <c r="O185" s="112"/>
      <c r="P185" s="94"/>
      <c r="Q185" s="120"/>
      <c r="R185" s="113"/>
      <c r="S185" s="94"/>
      <c r="T185" s="94"/>
      <c r="V185" s="104"/>
    </row>
    <row r="186" ht="15.75" customHeight="1">
      <c r="A186" s="91"/>
      <c r="B186" s="131"/>
      <c r="C186" s="132"/>
      <c r="D186" s="94"/>
      <c r="E186" s="247"/>
      <c r="F186" s="247"/>
      <c r="G186" s="94"/>
      <c r="H186" s="93"/>
      <c r="I186" s="94"/>
      <c r="J186" s="94"/>
      <c r="K186" s="126"/>
      <c r="L186" s="126"/>
      <c r="M186" s="99"/>
      <c r="N186" s="111"/>
      <c r="O186" s="112"/>
      <c r="P186" s="94"/>
      <c r="Q186" s="120"/>
      <c r="R186" s="113"/>
      <c r="S186" s="94"/>
      <c r="T186" s="94"/>
      <c r="V186" s="104"/>
    </row>
    <row r="187" ht="15.75" customHeight="1">
      <c r="A187" s="91"/>
      <c r="B187" s="131"/>
      <c r="C187" s="104"/>
      <c r="D187" s="94"/>
      <c r="E187" s="247"/>
      <c r="F187" s="247"/>
      <c r="G187" s="94"/>
      <c r="H187" s="93"/>
      <c r="I187" s="94"/>
      <c r="J187" s="94"/>
      <c r="K187" s="125"/>
      <c r="L187" s="125"/>
      <c r="M187" s="99"/>
      <c r="N187" s="111"/>
      <c r="O187" s="112"/>
      <c r="P187" s="94"/>
      <c r="Q187" s="120"/>
      <c r="R187" s="113"/>
      <c r="S187" s="94"/>
      <c r="T187" s="94"/>
      <c r="V187" s="104"/>
    </row>
    <row r="188" ht="15.75" customHeight="1">
      <c r="A188" s="91"/>
      <c r="B188" s="131"/>
      <c r="C188" s="132"/>
      <c r="D188" s="94"/>
      <c r="E188" s="247"/>
      <c r="F188" s="247"/>
      <c r="G188" s="94"/>
      <c r="H188" s="93"/>
      <c r="I188" s="94"/>
      <c r="J188" s="94"/>
      <c r="K188" s="126"/>
      <c r="L188" s="126"/>
      <c r="M188" s="99"/>
      <c r="N188" s="111"/>
      <c r="O188" s="112"/>
      <c r="P188" s="94"/>
      <c r="Q188" s="120"/>
      <c r="R188" s="113"/>
      <c r="S188" s="94"/>
      <c r="T188" s="94"/>
      <c r="V188" s="104"/>
    </row>
    <row r="189" ht="15.75" customHeight="1">
      <c r="A189" s="91"/>
      <c r="B189" s="131"/>
      <c r="C189" s="132"/>
      <c r="D189" s="94"/>
      <c r="E189" s="247"/>
      <c r="F189" s="247"/>
      <c r="G189" s="94"/>
      <c r="H189" s="93"/>
      <c r="I189" s="94"/>
      <c r="J189" s="94"/>
      <c r="K189" s="125"/>
      <c r="L189" s="125"/>
      <c r="M189" s="99"/>
      <c r="N189" s="111"/>
      <c r="O189" s="112"/>
      <c r="P189" s="94"/>
      <c r="Q189" s="120"/>
      <c r="R189" s="113"/>
      <c r="S189" s="94"/>
      <c r="T189" s="94"/>
      <c r="V189" s="104"/>
    </row>
    <row r="190" ht="15.75" customHeight="1">
      <c r="A190" s="91"/>
      <c r="B190" s="131"/>
      <c r="C190" s="132"/>
      <c r="D190" s="94"/>
      <c r="E190" s="247"/>
      <c r="F190" s="247"/>
      <c r="G190" s="94"/>
      <c r="H190" s="93"/>
      <c r="I190" s="94"/>
      <c r="J190" s="94"/>
      <c r="K190" s="126"/>
      <c r="L190" s="126"/>
      <c r="M190" s="99"/>
      <c r="N190" s="111"/>
      <c r="O190" s="112"/>
      <c r="P190" s="94"/>
      <c r="Q190" s="120"/>
      <c r="R190" s="113"/>
      <c r="S190" s="94"/>
      <c r="T190" s="94"/>
      <c r="V190" s="104"/>
    </row>
    <row r="191" ht="15.75" customHeight="1">
      <c r="A191" s="91"/>
      <c r="B191" s="131"/>
      <c r="C191" s="132"/>
      <c r="D191" s="94"/>
      <c r="E191" s="247"/>
      <c r="F191" s="247"/>
      <c r="G191" s="94"/>
      <c r="H191" s="93"/>
      <c r="I191" s="94"/>
      <c r="J191" s="94"/>
      <c r="K191" s="125"/>
      <c r="L191" s="125"/>
      <c r="M191" s="99"/>
      <c r="N191" s="111"/>
      <c r="O191" s="112"/>
      <c r="P191" s="94"/>
      <c r="Q191" s="120"/>
      <c r="R191" s="113"/>
      <c r="S191" s="94"/>
      <c r="T191" s="94"/>
      <c r="V191" s="104"/>
    </row>
    <row r="192" ht="15.75" customHeight="1">
      <c r="A192" s="91"/>
      <c r="B192" s="131"/>
      <c r="C192" s="132"/>
      <c r="D192" s="94"/>
      <c r="E192" s="247"/>
      <c r="F192" s="247"/>
      <c r="G192" s="94"/>
      <c r="H192" s="93"/>
      <c r="I192" s="94"/>
      <c r="J192" s="94"/>
      <c r="K192" s="126"/>
      <c r="L192" s="126"/>
      <c r="M192" s="99"/>
      <c r="N192" s="111"/>
      <c r="O192" s="112"/>
      <c r="P192" s="94"/>
      <c r="Q192" s="120"/>
      <c r="R192" s="113"/>
      <c r="S192" s="94"/>
      <c r="T192" s="94"/>
      <c r="V192" s="104"/>
    </row>
    <row r="193" ht="15.75" customHeight="1">
      <c r="A193" s="91"/>
      <c r="B193" s="131"/>
      <c r="C193" s="104"/>
      <c r="D193" s="94"/>
      <c r="E193" s="247"/>
      <c r="F193" s="247"/>
      <c r="G193" s="94"/>
      <c r="H193" s="93"/>
      <c r="I193" s="94"/>
      <c r="J193" s="94"/>
      <c r="K193" s="125"/>
      <c r="L193" s="125"/>
      <c r="M193" s="99"/>
      <c r="N193" s="111"/>
      <c r="O193" s="112"/>
      <c r="P193" s="94"/>
      <c r="Q193" s="120"/>
      <c r="R193" s="113"/>
      <c r="S193" s="94"/>
      <c r="T193" s="94"/>
      <c r="V193" s="104"/>
    </row>
    <row r="194" ht="15.75" customHeight="1">
      <c r="A194" s="91"/>
      <c r="B194" s="131"/>
      <c r="C194" s="132"/>
      <c r="D194" s="94"/>
      <c r="E194" s="247"/>
      <c r="F194" s="247"/>
      <c r="G194" s="94"/>
      <c r="H194" s="93"/>
      <c r="I194" s="94"/>
      <c r="J194" s="94"/>
      <c r="K194" s="126"/>
      <c r="L194" s="126"/>
      <c r="M194" s="99"/>
      <c r="N194" s="111"/>
      <c r="O194" s="112"/>
      <c r="P194" s="94"/>
      <c r="Q194" s="120"/>
      <c r="R194" s="113"/>
      <c r="S194" s="94"/>
      <c r="T194" s="94"/>
      <c r="V194" s="104"/>
    </row>
    <row r="195" ht="15.75" customHeight="1">
      <c r="A195" s="91"/>
      <c r="B195" s="131"/>
      <c r="C195" s="132"/>
      <c r="D195" s="94"/>
      <c r="E195" s="247"/>
      <c r="F195" s="247"/>
      <c r="G195" s="94"/>
      <c r="H195" s="93"/>
      <c r="I195" s="94"/>
      <c r="J195" s="94"/>
      <c r="K195" s="125"/>
      <c r="L195" s="125"/>
      <c r="M195" s="99"/>
      <c r="N195" s="111"/>
      <c r="O195" s="112"/>
      <c r="P195" s="94"/>
      <c r="Q195" s="120"/>
      <c r="R195" s="113"/>
      <c r="S195" s="94"/>
      <c r="T195" s="94"/>
      <c r="V195" s="104"/>
    </row>
    <row r="196" ht="15.75" customHeight="1">
      <c r="A196" s="91"/>
      <c r="B196" s="131"/>
      <c r="C196" s="132"/>
      <c r="D196" s="94"/>
      <c r="E196" s="247"/>
      <c r="F196" s="247"/>
      <c r="G196" s="94"/>
      <c r="H196" s="93"/>
      <c r="I196" s="94"/>
      <c r="J196" s="94"/>
      <c r="K196" s="126"/>
      <c r="L196" s="126"/>
      <c r="M196" s="99"/>
      <c r="N196" s="111"/>
      <c r="O196" s="112"/>
      <c r="P196" s="94"/>
      <c r="Q196" s="120"/>
      <c r="R196" s="113"/>
      <c r="S196" s="94"/>
      <c r="T196" s="94"/>
      <c r="V196" s="104"/>
    </row>
    <row r="197" ht="15.75" customHeight="1">
      <c r="A197" s="91"/>
      <c r="B197" s="131"/>
      <c r="C197" s="132"/>
      <c r="D197" s="94"/>
      <c r="E197" s="247"/>
      <c r="F197" s="247"/>
      <c r="G197" s="94"/>
      <c r="H197" s="93"/>
      <c r="I197" s="94"/>
      <c r="J197" s="94"/>
      <c r="K197" s="125"/>
      <c r="L197" s="125"/>
      <c r="M197" s="99"/>
      <c r="N197" s="111"/>
      <c r="O197" s="112"/>
      <c r="P197" s="94"/>
      <c r="Q197" s="120"/>
      <c r="R197" s="113"/>
      <c r="S197" s="94"/>
      <c r="T197" s="94"/>
      <c r="V197" s="104"/>
    </row>
    <row r="198" ht="15.75" customHeight="1">
      <c r="A198" s="91"/>
      <c r="B198" s="131"/>
      <c r="C198" s="132"/>
      <c r="D198" s="94"/>
      <c r="E198" s="247"/>
      <c r="F198" s="247"/>
      <c r="G198" s="94"/>
      <c r="H198" s="93"/>
      <c r="I198" s="94"/>
      <c r="J198" s="94"/>
      <c r="K198" s="126"/>
      <c r="L198" s="126"/>
      <c r="M198" s="99"/>
      <c r="N198" s="111"/>
      <c r="O198" s="112"/>
      <c r="P198" s="94"/>
      <c r="Q198" s="120"/>
      <c r="R198" s="113"/>
      <c r="S198" s="94"/>
      <c r="T198" s="94"/>
      <c r="V198" s="104"/>
    </row>
    <row r="199" ht="15.75" customHeight="1">
      <c r="A199" s="91"/>
      <c r="B199" s="131"/>
      <c r="C199" s="104"/>
      <c r="D199" s="94"/>
      <c r="E199" s="247"/>
      <c r="F199" s="247"/>
      <c r="G199" s="94"/>
      <c r="H199" s="93"/>
      <c r="I199" s="94"/>
      <c r="J199" s="94"/>
      <c r="K199" s="125"/>
      <c r="L199" s="125"/>
      <c r="M199" s="99"/>
      <c r="N199" s="111"/>
      <c r="O199" s="112"/>
      <c r="P199" s="94"/>
      <c r="Q199" s="120"/>
      <c r="R199" s="113"/>
      <c r="S199" s="94"/>
      <c r="T199" s="94"/>
      <c r="V199" s="104"/>
    </row>
    <row r="200" ht="15.75" customHeight="1">
      <c r="A200" s="91"/>
      <c r="B200" s="131"/>
      <c r="C200" s="132"/>
      <c r="D200" s="94"/>
      <c r="E200" s="247"/>
      <c r="F200" s="247"/>
      <c r="G200" s="94"/>
      <c r="H200" s="93"/>
      <c r="I200" s="94"/>
      <c r="J200" s="94"/>
      <c r="K200" s="126"/>
      <c r="L200" s="126"/>
      <c r="M200" s="99"/>
      <c r="N200" s="111"/>
      <c r="O200" s="112"/>
      <c r="P200" s="94"/>
      <c r="Q200" s="120"/>
      <c r="R200" s="113"/>
      <c r="S200" s="94"/>
      <c r="T200" s="94"/>
      <c r="V200" s="104"/>
    </row>
    <row r="201" ht="15.75" customHeight="1">
      <c r="A201" s="91"/>
      <c r="B201" s="131"/>
      <c r="C201" s="132"/>
      <c r="D201" s="94"/>
      <c r="E201" s="247"/>
      <c r="F201" s="247"/>
      <c r="G201" s="94"/>
      <c r="H201" s="93"/>
      <c r="I201" s="94"/>
      <c r="J201" s="94"/>
      <c r="K201" s="125"/>
      <c r="L201" s="125"/>
      <c r="M201" s="99"/>
      <c r="N201" s="111"/>
      <c r="O201" s="112"/>
      <c r="P201" s="94"/>
      <c r="Q201" s="120"/>
      <c r="R201" s="113"/>
      <c r="S201" s="94"/>
      <c r="T201" s="94"/>
      <c r="V201" s="104"/>
    </row>
    <row r="202" ht="15.75" customHeight="1">
      <c r="A202" s="91"/>
      <c r="B202" s="131"/>
      <c r="C202" s="132"/>
      <c r="D202" s="94"/>
      <c r="E202" s="247"/>
      <c r="F202" s="247"/>
      <c r="G202" s="94"/>
      <c r="H202" s="93"/>
      <c r="I202" s="94"/>
      <c r="J202" s="94"/>
      <c r="K202" s="126"/>
      <c r="L202" s="126"/>
      <c r="M202" s="99"/>
      <c r="N202" s="111"/>
      <c r="O202" s="112"/>
      <c r="P202" s="94"/>
      <c r="Q202" s="120"/>
      <c r="R202" s="113"/>
      <c r="S202" s="94"/>
      <c r="T202" s="94"/>
      <c r="V202" s="104"/>
    </row>
    <row r="203" ht="15.75" customHeight="1">
      <c r="A203" s="91"/>
      <c r="B203" s="131"/>
      <c r="C203" s="132"/>
      <c r="D203" s="94"/>
      <c r="E203" s="247"/>
      <c r="F203" s="247"/>
      <c r="G203" s="94"/>
      <c r="H203" s="93"/>
      <c r="I203" s="94"/>
      <c r="J203" s="94"/>
      <c r="K203" s="125"/>
      <c r="L203" s="125"/>
      <c r="M203" s="99"/>
      <c r="N203" s="111"/>
      <c r="O203" s="112"/>
      <c r="P203" s="94"/>
      <c r="Q203" s="120"/>
      <c r="R203" s="113"/>
      <c r="S203" s="94"/>
      <c r="T203" s="94"/>
      <c r="V203" s="104"/>
    </row>
    <row r="204" ht="15.75" customHeight="1">
      <c r="A204" s="91"/>
      <c r="B204" s="131"/>
      <c r="C204" s="132"/>
      <c r="D204" s="94"/>
      <c r="E204" s="247"/>
      <c r="F204" s="247"/>
      <c r="G204" s="94"/>
      <c r="H204" s="93"/>
      <c r="I204" s="94"/>
      <c r="J204" s="94"/>
      <c r="K204" s="126"/>
      <c r="L204" s="126"/>
      <c r="M204" s="99"/>
      <c r="N204" s="111"/>
      <c r="O204" s="112"/>
      <c r="P204" s="94"/>
      <c r="Q204" s="120"/>
      <c r="R204" s="113"/>
      <c r="S204" s="94"/>
      <c r="T204" s="94"/>
      <c r="V204" s="104"/>
    </row>
    <row r="205" ht="15.75" customHeight="1">
      <c r="A205" s="91"/>
      <c r="B205" s="131"/>
      <c r="C205" s="104"/>
      <c r="D205" s="94"/>
      <c r="E205" s="247"/>
      <c r="F205" s="247"/>
      <c r="G205" s="94"/>
      <c r="H205" s="93"/>
      <c r="I205" s="94"/>
      <c r="J205" s="94"/>
      <c r="K205" s="125"/>
      <c r="L205" s="125"/>
      <c r="M205" s="99"/>
      <c r="N205" s="111"/>
      <c r="O205" s="112"/>
      <c r="P205" s="94"/>
      <c r="Q205" s="120"/>
      <c r="R205" s="113"/>
      <c r="S205" s="94"/>
      <c r="T205" s="94"/>
      <c r="V205" s="104"/>
    </row>
    <row r="206" ht="15.75" customHeight="1">
      <c r="A206" s="91"/>
      <c r="B206" s="131"/>
      <c r="C206" s="132"/>
      <c r="D206" s="94"/>
      <c r="E206" s="247"/>
      <c r="F206" s="247"/>
      <c r="G206" s="94"/>
      <c r="H206" s="93"/>
      <c r="I206" s="94"/>
      <c r="J206" s="94"/>
      <c r="K206" s="126"/>
      <c r="L206" s="126"/>
      <c r="M206" s="99"/>
      <c r="N206" s="111"/>
      <c r="O206" s="112"/>
      <c r="P206" s="94"/>
      <c r="Q206" s="120"/>
      <c r="R206" s="113"/>
      <c r="S206" s="94"/>
      <c r="T206" s="94"/>
      <c r="V206" s="104"/>
    </row>
    <row r="207" ht="15.75" customHeight="1">
      <c r="A207" s="91"/>
      <c r="B207" s="131"/>
      <c r="C207" s="132"/>
      <c r="D207" s="94"/>
      <c r="E207" s="247"/>
      <c r="F207" s="247"/>
      <c r="G207" s="94"/>
      <c r="H207" s="93"/>
      <c r="I207" s="94"/>
      <c r="J207" s="94"/>
      <c r="K207" s="125"/>
      <c r="L207" s="125"/>
      <c r="M207" s="99"/>
      <c r="N207" s="111"/>
      <c r="O207" s="112"/>
      <c r="P207" s="94"/>
      <c r="Q207" s="120"/>
      <c r="R207" s="113"/>
      <c r="S207" s="94"/>
      <c r="T207" s="94"/>
      <c r="V207" s="104"/>
    </row>
    <row r="208" ht="15.75" customHeight="1">
      <c r="A208" s="91"/>
      <c r="B208" s="131"/>
      <c r="C208" s="132"/>
      <c r="D208" s="94"/>
      <c r="E208" s="247"/>
      <c r="F208" s="247"/>
      <c r="G208" s="94"/>
      <c r="H208" s="93"/>
      <c r="I208" s="94"/>
      <c r="J208" s="94"/>
      <c r="K208" s="126"/>
      <c r="L208" s="126"/>
      <c r="M208" s="99"/>
      <c r="N208" s="111"/>
      <c r="O208" s="112"/>
      <c r="P208" s="94"/>
      <c r="Q208" s="120"/>
      <c r="R208" s="113"/>
      <c r="S208" s="94"/>
      <c r="T208" s="94"/>
      <c r="V208" s="104"/>
    </row>
    <row r="209" ht="15.75" customHeight="1">
      <c r="A209" s="91"/>
      <c r="B209" s="131"/>
      <c r="C209" s="132"/>
      <c r="D209" s="94"/>
      <c r="E209" s="247"/>
      <c r="F209" s="247"/>
      <c r="G209" s="94"/>
      <c r="H209" s="93"/>
      <c r="I209" s="94"/>
      <c r="J209" s="94"/>
      <c r="K209" s="125"/>
      <c r="L209" s="125"/>
      <c r="M209" s="99"/>
      <c r="N209" s="111"/>
      <c r="O209" s="112"/>
      <c r="P209" s="94"/>
      <c r="Q209" s="120"/>
      <c r="R209" s="113"/>
      <c r="S209" s="94"/>
      <c r="T209" s="94"/>
      <c r="V209" s="104"/>
    </row>
    <row r="210" ht="15.75" customHeight="1">
      <c r="A210" s="91"/>
      <c r="B210" s="131"/>
      <c r="C210" s="132"/>
      <c r="D210" s="94"/>
      <c r="E210" s="247"/>
      <c r="F210" s="247"/>
      <c r="G210" s="94"/>
      <c r="H210" s="93"/>
      <c r="I210" s="94"/>
      <c r="J210" s="94"/>
      <c r="K210" s="126"/>
      <c r="L210" s="126"/>
      <c r="M210" s="99"/>
      <c r="N210" s="111"/>
      <c r="O210" s="112"/>
      <c r="P210" s="94"/>
      <c r="Q210" s="120"/>
      <c r="R210" s="113"/>
      <c r="S210" s="94"/>
      <c r="T210" s="94"/>
      <c r="V210" s="104"/>
    </row>
    <row r="211" ht="15.75" customHeight="1">
      <c r="A211" s="91"/>
      <c r="B211" s="131"/>
      <c r="C211" s="104"/>
      <c r="D211" s="94"/>
      <c r="E211" s="247"/>
      <c r="F211" s="247"/>
      <c r="G211" s="94"/>
      <c r="H211" s="93"/>
      <c r="I211" s="94"/>
      <c r="J211" s="94"/>
      <c r="K211" s="125"/>
      <c r="L211" s="125"/>
      <c r="M211" s="99"/>
      <c r="N211" s="111"/>
      <c r="O211" s="112"/>
      <c r="P211" s="94"/>
      <c r="Q211" s="120"/>
      <c r="R211" s="113"/>
      <c r="S211" s="94"/>
      <c r="T211" s="94"/>
      <c r="V211" s="104"/>
    </row>
    <row r="212" ht="15.75" customHeight="1">
      <c r="A212" s="91"/>
      <c r="B212" s="131"/>
      <c r="C212" s="132"/>
      <c r="D212" s="94"/>
      <c r="E212" s="247"/>
      <c r="F212" s="247"/>
      <c r="G212" s="94"/>
      <c r="H212" s="93"/>
      <c r="I212" s="94"/>
      <c r="J212" s="94"/>
      <c r="K212" s="126"/>
      <c r="L212" s="126"/>
      <c r="M212" s="99"/>
      <c r="N212" s="111"/>
      <c r="O212" s="112"/>
      <c r="P212" s="94"/>
      <c r="Q212" s="120"/>
      <c r="R212" s="113"/>
      <c r="S212" s="94"/>
      <c r="T212" s="94"/>
      <c r="V212" s="104"/>
    </row>
    <row r="213" ht="15.75" customHeight="1">
      <c r="A213" s="91"/>
      <c r="B213" s="131"/>
      <c r="C213" s="132"/>
      <c r="D213" s="94"/>
      <c r="E213" s="247"/>
      <c r="F213" s="247"/>
      <c r="G213" s="94"/>
      <c r="H213" s="93"/>
      <c r="I213" s="94"/>
      <c r="J213" s="94"/>
      <c r="K213" s="125"/>
      <c r="L213" s="125"/>
      <c r="M213" s="99"/>
      <c r="N213" s="111"/>
      <c r="O213" s="112"/>
      <c r="P213" s="94"/>
      <c r="Q213" s="120"/>
      <c r="R213" s="113"/>
      <c r="S213" s="94"/>
      <c r="T213" s="94"/>
      <c r="V213" s="104"/>
    </row>
    <row r="214" ht="15.75" customHeight="1">
      <c r="A214" s="91"/>
      <c r="B214" s="131"/>
      <c r="C214" s="132"/>
      <c r="D214" s="94"/>
      <c r="E214" s="247"/>
      <c r="F214" s="247"/>
      <c r="G214" s="94"/>
      <c r="H214" s="93"/>
      <c r="I214" s="94"/>
      <c r="J214" s="94"/>
      <c r="K214" s="126"/>
      <c r="L214" s="126"/>
      <c r="M214" s="99"/>
      <c r="N214" s="111"/>
      <c r="O214" s="112"/>
      <c r="P214" s="94"/>
      <c r="Q214" s="120"/>
      <c r="R214" s="113"/>
      <c r="S214" s="94"/>
      <c r="T214" s="94"/>
      <c r="V214" s="104"/>
    </row>
    <row r="215" ht="15.75" customHeight="1">
      <c r="A215" s="91"/>
      <c r="B215" s="131"/>
      <c r="C215" s="132"/>
      <c r="D215" s="94"/>
      <c r="E215" s="247"/>
      <c r="F215" s="247"/>
      <c r="G215" s="94"/>
      <c r="H215" s="93"/>
      <c r="I215" s="94"/>
      <c r="J215" s="94"/>
      <c r="K215" s="125"/>
      <c r="L215" s="125"/>
      <c r="M215" s="99"/>
      <c r="N215" s="111"/>
      <c r="O215" s="112"/>
      <c r="P215" s="94"/>
      <c r="Q215" s="120"/>
      <c r="R215" s="113"/>
      <c r="S215" s="94"/>
      <c r="T215" s="94"/>
      <c r="V215" s="104"/>
    </row>
    <row r="216" ht="15.75" customHeight="1">
      <c r="A216" s="91"/>
      <c r="B216" s="131"/>
      <c r="C216" s="132"/>
      <c r="D216" s="94"/>
      <c r="E216" s="247"/>
      <c r="F216" s="247"/>
      <c r="G216" s="94"/>
      <c r="H216" s="93"/>
      <c r="I216" s="94"/>
      <c r="J216" s="94"/>
      <c r="K216" s="126"/>
      <c r="L216" s="126"/>
      <c r="M216" s="99"/>
      <c r="N216" s="111"/>
      <c r="O216" s="112"/>
      <c r="P216" s="94"/>
      <c r="Q216" s="120"/>
      <c r="R216" s="113"/>
      <c r="S216" s="94"/>
      <c r="T216" s="94"/>
      <c r="V216" s="104"/>
    </row>
    <row r="217" ht="15.75" customHeight="1">
      <c r="A217" s="91"/>
      <c r="B217" s="131"/>
      <c r="C217" s="104"/>
      <c r="D217" s="94"/>
      <c r="E217" s="247"/>
      <c r="F217" s="247"/>
      <c r="G217" s="94"/>
      <c r="H217" s="93"/>
      <c r="I217" s="94"/>
      <c r="J217" s="94"/>
      <c r="K217" s="125"/>
      <c r="L217" s="125"/>
      <c r="M217" s="99"/>
      <c r="N217" s="111"/>
      <c r="O217" s="112"/>
      <c r="P217" s="94"/>
      <c r="Q217" s="120"/>
      <c r="R217" s="113"/>
      <c r="S217" s="94"/>
      <c r="T217" s="94"/>
      <c r="V217" s="104"/>
    </row>
    <row r="218" ht="15.75" customHeight="1">
      <c r="A218" s="91"/>
      <c r="B218" s="131"/>
      <c r="C218" s="132"/>
      <c r="D218" s="94"/>
      <c r="E218" s="247"/>
      <c r="F218" s="247"/>
      <c r="G218" s="94"/>
      <c r="H218" s="93"/>
      <c r="I218" s="94"/>
      <c r="J218" s="94"/>
      <c r="K218" s="126"/>
      <c r="L218" s="126"/>
      <c r="M218" s="99"/>
      <c r="N218" s="111"/>
      <c r="O218" s="112"/>
      <c r="P218" s="94"/>
      <c r="Q218" s="120"/>
      <c r="R218" s="113"/>
      <c r="S218" s="94"/>
      <c r="T218" s="94"/>
      <c r="V218" s="104"/>
    </row>
    <row r="219" ht="15.75" customHeight="1">
      <c r="A219" s="91"/>
      <c r="B219" s="131"/>
      <c r="C219" s="132"/>
      <c r="D219" s="94"/>
      <c r="E219" s="247"/>
      <c r="F219" s="247"/>
      <c r="G219" s="94"/>
      <c r="H219" s="93"/>
      <c r="I219" s="94"/>
      <c r="J219" s="94"/>
      <c r="K219" s="125"/>
      <c r="L219" s="125"/>
      <c r="M219" s="99"/>
      <c r="N219" s="111"/>
      <c r="O219" s="112"/>
      <c r="P219" s="94"/>
      <c r="Q219" s="120"/>
      <c r="R219" s="113"/>
      <c r="S219" s="94"/>
      <c r="T219" s="94"/>
      <c r="V219" s="104"/>
    </row>
    <row r="220" ht="15.75" customHeight="1">
      <c r="A220" s="91"/>
      <c r="B220" s="131"/>
      <c r="C220" s="132"/>
      <c r="D220" s="94"/>
      <c r="E220" s="247"/>
      <c r="F220" s="247"/>
      <c r="G220" s="94"/>
      <c r="H220" s="93"/>
      <c r="I220" s="94"/>
      <c r="J220" s="94"/>
      <c r="K220" s="126"/>
      <c r="L220" s="126"/>
      <c r="M220" s="99"/>
      <c r="N220" s="111"/>
      <c r="O220" s="112"/>
      <c r="P220" s="94"/>
      <c r="Q220" s="120"/>
      <c r="R220" s="113"/>
      <c r="S220" s="94"/>
      <c r="T220" s="94"/>
      <c r="V220" s="104"/>
    </row>
    <row r="221" ht="15.75" customHeight="1">
      <c r="A221" s="91"/>
      <c r="B221" s="131"/>
      <c r="C221" s="132"/>
      <c r="D221" s="94"/>
      <c r="E221" s="247"/>
      <c r="F221" s="247"/>
      <c r="G221" s="94"/>
      <c r="H221" s="93"/>
      <c r="I221" s="94"/>
      <c r="J221" s="94"/>
      <c r="K221" s="125"/>
      <c r="L221" s="125"/>
      <c r="M221" s="99"/>
      <c r="N221" s="111"/>
      <c r="O221" s="112"/>
      <c r="P221" s="94"/>
      <c r="Q221" s="120"/>
      <c r="R221" s="113"/>
      <c r="S221" s="94"/>
      <c r="T221" s="94"/>
      <c r="V221" s="104"/>
    </row>
    <row r="222" ht="15.75" customHeight="1">
      <c r="A222" s="91"/>
      <c r="B222" s="131"/>
      <c r="C222" s="132"/>
      <c r="D222" s="94"/>
      <c r="E222" s="247"/>
      <c r="F222" s="243"/>
      <c r="G222" s="94"/>
      <c r="H222" s="93"/>
      <c r="I222" s="94"/>
      <c r="J222" s="94"/>
      <c r="K222" s="126"/>
      <c r="L222" s="126"/>
      <c r="M222" s="99"/>
      <c r="N222" s="111"/>
      <c r="O222" s="112"/>
      <c r="P222" s="94"/>
      <c r="Q222" s="120"/>
      <c r="R222" s="113"/>
      <c r="S222" s="94"/>
      <c r="T222" s="94"/>
      <c r="V222" s="104"/>
    </row>
    <row r="223" ht="15.75" customHeight="1">
      <c r="A223" s="91"/>
      <c r="B223" s="131"/>
      <c r="C223" s="104"/>
      <c r="D223" s="94"/>
      <c r="E223" s="132"/>
      <c r="F223" s="132"/>
      <c r="G223" s="94"/>
      <c r="H223" s="93"/>
      <c r="I223" s="94"/>
      <c r="J223" s="94"/>
      <c r="K223" s="125"/>
      <c r="L223" s="125"/>
      <c r="M223" s="99"/>
      <c r="N223" s="111"/>
      <c r="O223" s="112"/>
      <c r="P223" s="94"/>
      <c r="Q223" s="120"/>
      <c r="R223" s="113"/>
      <c r="S223" s="94"/>
      <c r="T223" s="94"/>
      <c r="V223" s="104"/>
    </row>
    <row r="224" ht="15.75" customHeight="1">
      <c r="A224" s="91"/>
      <c r="B224" s="131"/>
      <c r="C224" s="132"/>
      <c r="D224" s="94"/>
      <c r="E224" s="132"/>
      <c r="F224" s="132"/>
      <c r="G224" s="94"/>
      <c r="H224" s="93"/>
      <c r="I224" s="94"/>
      <c r="J224" s="94"/>
      <c r="K224" s="126"/>
      <c r="L224" s="126"/>
      <c r="M224" s="99"/>
      <c r="N224" s="111"/>
      <c r="O224" s="112"/>
      <c r="P224" s="94"/>
      <c r="Q224" s="120"/>
      <c r="R224" s="113"/>
      <c r="S224" s="94"/>
      <c r="T224" s="94"/>
      <c r="V224" s="104"/>
    </row>
    <row r="225" ht="15.75" customHeight="1">
      <c r="A225" s="91"/>
      <c r="B225" s="131"/>
      <c r="C225" s="132"/>
      <c r="D225" s="94"/>
      <c r="E225" s="132"/>
      <c r="F225" s="132"/>
      <c r="G225" s="94"/>
      <c r="H225" s="93"/>
      <c r="I225" s="94"/>
      <c r="J225" s="94"/>
      <c r="K225" s="125"/>
      <c r="L225" s="125"/>
      <c r="M225" s="99"/>
      <c r="N225" s="111"/>
      <c r="O225" s="112"/>
      <c r="P225" s="94"/>
      <c r="Q225" s="120"/>
      <c r="R225" s="113"/>
      <c r="S225" s="94"/>
      <c r="T225" s="94"/>
      <c r="V225" s="104"/>
    </row>
    <row r="226" ht="15.75" customHeight="1">
      <c r="A226" s="91"/>
      <c r="B226" s="131"/>
      <c r="C226" s="132"/>
      <c r="D226" s="94"/>
      <c r="E226" s="132"/>
      <c r="F226" s="132"/>
      <c r="G226" s="94"/>
      <c r="H226" s="93"/>
      <c r="I226" s="94"/>
      <c r="J226" s="94"/>
      <c r="K226" s="126"/>
      <c r="L226" s="126"/>
      <c r="M226" s="99"/>
      <c r="N226" s="111"/>
      <c r="O226" s="112"/>
      <c r="P226" s="94"/>
      <c r="Q226" s="120"/>
      <c r="R226" s="113"/>
      <c r="S226" s="94"/>
      <c r="T226" s="94"/>
      <c r="V226" s="104"/>
    </row>
    <row r="227" ht="15.75" customHeight="1">
      <c r="A227" s="91"/>
      <c r="B227" s="131"/>
      <c r="C227" s="132"/>
      <c r="D227" s="94"/>
      <c r="E227" s="132"/>
      <c r="F227" s="132"/>
      <c r="G227" s="94"/>
      <c r="H227" s="93"/>
      <c r="I227" s="94"/>
      <c r="J227" s="94"/>
      <c r="K227" s="125"/>
      <c r="L227" s="125"/>
      <c r="M227" s="99"/>
      <c r="N227" s="111"/>
      <c r="O227" s="112"/>
      <c r="P227" s="94"/>
      <c r="Q227" s="120"/>
      <c r="R227" s="113"/>
      <c r="S227" s="94"/>
      <c r="T227" s="94"/>
      <c r="V227" s="104"/>
    </row>
    <row r="228" ht="15.75" customHeight="1">
      <c r="A228" s="91"/>
      <c r="B228" s="131"/>
      <c r="C228" s="132"/>
      <c r="D228" s="94"/>
      <c r="E228" s="132"/>
      <c r="F228" s="132"/>
      <c r="G228" s="94"/>
      <c r="H228" s="93"/>
      <c r="I228" s="94"/>
      <c r="J228" s="94"/>
      <c r="K228" s="126"/>
      <c r="L228" s="126"/>
      <c r="M228" s="99"/>
      <c r="N228" s="111"/>
      <c r="O228" s="112"/>
      <c r="P228" s="94"/>
      <c r="Q228" s="120"/>
      <c r="R228" s="113"/>
      <c r="S228" s="94"/>
      <c r="T228" s="94"/>
      <c r="V228" s="104"/>
    </row>
    <row r="229" ht="15.75" customHeight="1">
      <c r="A229" s="91"/>
      <c r="B229" s="131"/>
      <c r="C229" s="104"/>
      <c r="D229" s="94"/>
      <c r="E229" s="132"/>
      <c r="F229" s="132"/>
      <c r="G229" s="94"/>
      <c r="H229" s="93"/>
      <c r="I229" s="94"/>
      <c r="J229" s="94"/>
      <c r="K229" s="125"/>
      <c r="L229" s="125"/>
      <c r="M229" s="99"/>
      <c r="N229" s="111"/>
      <c r="O229" s="112"/>
      <c r="P229" s="94"/>
      <c r="Q229" s="120"/>
      <c r="R229" s="113"/>
      <c r="S229" s="94"/>
      <c r="T229" s="94"/>
      <c r="V229" s="104"/>
    </row>
    <row r="230" ht="15.75" customHeight="1">
      <c r="A230" s="91"/>
      <c r="B230" s="131"/>
      <c r="C230" s="132"/>
      <c r="D230" s="94"/>
      <c r="E230" s="132"/>
      <c r="F230" s="132"/>
      <c r="G230" s="94"/>
      <c r="H230" s="93"/>
      <c r="I230" s="94"/>
      <c r="J230" s="94"/>
      <c r="K230" s="126"/>
      <c r="L230" s="126"/>
      <c r="M230" s="99"/>
      <c r="N230" s="111"/>
      <c r="O230" s="112"/>
      <c r="P230" s="94"/>
      <c r="Q230" s="120"/>
      <c r="R230" s="113"/>
      <c r="S230" s="94"/>
      <c r="T230" s="94"/>
      <c r="V230" s="104"/>
    </row>
    <row r="231" ht="15.75" customHeight="1">
      <c r="A231" s="91"/>
      <c r="B231" s="131"/>
      <c r="C231" s="132"/>
      <c r="D231" s="94"/>
      <c r="E231" s="132"/>
      <c r="F231" s="132"/>
      <c r="G231" s="94"/>
      <c r="H231" s="93"/>
      <c r="I231" s="94"/>
      <c r="J231" s="94"/>
      <c r="K231" s="125"/>
      <c r="L231" s="125"/>
      <c r="M231" s="99"/>
      <c r="N231" s="111"/>
      <c r="O231" s="112"/>
      <c r="P231" s="94"/>
      <c r="Q231" s="120"/>
      <c r="R231" s="113"/>
      <c r="S231" s="94"/>
      <c r="T231" s="94"/>
      <c r="V231" s="104"/>
    </row>
    <row r="232" ht="15.75" customHeight="1">
      <c r="A232" s="91"/>
      <c r="B232" s="131"/>
      <c r="C232" s="132"/>
      <c r="D232" s="94"/>
      <c r="E232" s="132"/>
      <c r="F232" s="132"/>
      <c r="G232" s="94"/>
      <c r="H232" s="93"/>
      <c r="I232" s="94"/>
      <c r="J232" s="94"/>
      <c r="K232" s="126"/>
      <c r="L232" s="126"/>
      <c r="M232" s="99"/>
      <c r="N232" s="111"/>
      <c r="O232" s="112"/>
      <c r="P232" s="94"/>
      <c r="Q232" s="120"/>
      <c r="R232" s="113"/>
      <c r="S232" s="94"/>
      <c r="T232" s="94"/>
      <c r="V232" s="104"/>
    </row>
    <row r="233" ht="15.75" customHeight="1">
      <c r="A233" s="91"/>
      <c r="B233" s="131"/>
      <c r="C233" s="132"/>
      <c r="D233" s="94"/>
      <c r="E233" s="132"/>
      <c r="F233" s="132"/>
      <c r="G233" s="94"/>
      <c r="H233" s="93"/>
      <c r="I233" s="94"/>
      <c r="J233" s="94"/>
      <c r="K233" s="125"/>
      <c r="L233" s="125"/>
      <c r="M233" s="99"/>
      <c r="N233" s="111"/>
      <c r="O233" s="112"/>
      <c r="P233" s="94"/>
      <c r="Q233" s="120"/>
      <c r="R233" s="113"/>
      <c r="S233" s="94"/>
      <c r="T233" s="94"/>
      <c r="V233" s="104"/>
    </row>
    <row r="234" ht="15.75" customHeight="1">
      <c r="A234" s="91"/>
      <c r="B234" s="131"/>
      <c r="C234" s="132"/>
      <c r="D234" s="94"/>
      <c r="E234" s="132"/>
      <c r="F234" s="132"/>
      <c r="G234" s="94"/>
      <c r="H234" s="93"/>
      <c r="I234" s="94"/>
      <c r="J234" s="94"/>
      <c r="K234" s="126"/>
      <c r="L234" s="126"/>
      <c r="M234" s="99"/>
      <c r="N234" s="111"/>
      <c r="O234" s="112"/>
      <c r="P234" s="94"/>
      <c r="Q234" s="120"/>
      <c r="R234" s="113"/>
      <c r="S234" s="94"/>
      <c r="T234" s="94"/>
      <c r="V234" s="104"/>
    </row>
    <row r="235" ht="15.75" customHeight="1">
      <c r="A235" s="91"/>
      <c r="B235" s="131"/>
      <c r="C235" s="104"/>
      <c r="D235" s="94"/>
      <c r="E235" s="132"/>
      <c r="F235" s="132"/>
      <c r="G235" s="94"/>
      <c r="H235" s="93"/>
      <c r="I235" s="94"/>
      <c r="J235" s="94"/>
      <c r="K235" s="125"/>
      <c r="L235" s="125"/>
      <c r="M235" s="99"/>
      <c r="N235" s="111"/>
      <c r="O235" s="112"/>
      <c r="P235" s="94"/>
      <c r="Q235" s="120"/>
      <c r="R235" s="113"/>
      <c r="S235" s="94"/>
      <c r="T235" s="94"/>
      <c r="V235" s="104"/>
    </row>
    <row r="236" ht="15.75" customHeight="1">
      <c r="A236" s="91"/>
      <c r="B236" s="131"/>
      <c r="C236" s="132"/>
      <c r="D236" s="94"/>
      <c r="E236" s="132"/>
      <c r="F236" s="132"/>
      <c r="G236" s="94"/>
      <c r="H236" s="93"/>
      <c r="I236" s="94"/>
      <c r="J236" s="94"/>
      <c r="K236" s="126"/>
      <c r="L236" s="126"/>
      <c r="M236" s="99"/>
      <c r="N236" s="111"/>
      <c r="O236" s="112"/>
      <c r="P236" s="94"/>
      <c r="Q236" s="120"/>
      <c r="R236" s="113"/>
      <c r="S236" s="94"/>
      <c r="T236" s="94"/>
      <c r="V236" s="104"/>
    </row>
    <row r="237" ht="15.75" customHeight="1">
      <c r="A237" s="91"/>
      <c r="B237" s="131"/>
      <c r="C237" s="132"/>
      <c r="D237" s="94"/>
      <c r="E237" s="132"/>
      <c r="F237" s="132"/>
      <c r="G237" s="94"/>
      <c r="H237" s="93"/>
      <c r="I237" s="94"/>
      <c r="J237" s="94"/>
      <c r="K237" s="125"/>
      <c r="L237" s="125"/>
      <c r="M237" s="99"/>
      <c r="N237" s="111"/>
      <c r="O237" s="112"/>
      <c r="P237" s="94"/>
      <c r="Q237" s="120"/>
      <c r="R237" s="113"/>
      <c r="S237" s="94"/>
      <c r="T237" s="94"/>
      <c r="V237" s="104"/>
    </row>
    <row r="238" ht="15.75" customHeight="1">
      <c r="A238" s="91"/>
      <c r="B238" s="131"/>
      <c r="C238" s="132"/>
      <c r="D238" s="94"/>
      <c r="E238" s="132"/>
      <c r="F238" s="132"/>
      <c r="G238" s="94"/>
      <c r="H238" s="93"/>
      <c r="I238" s="94"/>
      <c r="J238" s="94"/>
      <c r="K238" s="126"/>
      <c r="L238" s="126"/>
      <c r="M238" s="99"/>
      <c r="N238" s="111"/>
      <c r="O238" s="112"/>
      <c r="P238" s="94"/>
      <c r="Q238" s="120"/>
      <c r="R238" s="113"/>
      <c r="S238" s="94"/>
      <c r="T238" s="94"/>
      <c r="V238" s="104"/>
    </row>
    <row r="239" ht="15.75" customHeight="1">
      <c r="A239" s="91"/>
      <c r="B239" s="131"/>
      <c r="C239" s="132"/>
      <c r="D239" s="94"/>
      <c r="E239" s="132"/>
      <c r="F239" s="132"/>
      <c r="G239" s="94"/>
      <c r="H239" s="93"/>
      <c r="I239" s="94"/>
      <c r="J239" s="94"/>
      <c r="K239" s="125"/>
      <c r="L239" s="125"/>
      <c r="M239" s="99"/>
      <c r="N239" s="111"/>
      <c r="O239" s="112"/>
      <c r="P239" s="94"/>
      <c r="Q239" s="120"/>
      <c r="R239" s="113"/>
      <c r="S239" s="94"/>
      <c r="T239" s="94"/>
      <c r="V239" s="104"/>
    </row>
    <row r="240" ht="15.75" customHeight="1">
      <c r="A240" s="91"/>
      <c r="B240" s="131"/>
      <c r="C240" s="132"/>
      <c r="D240" s="94"/>
      <c r="E240" s="132"/>
      <c r="F240" s="132"/>
      <c r="G240" s="94"/>
      <c r="H240" s="93"/>
      <c r="I240" s="94"/>
      <c r="J240" s="94"/>
      <c r="K240" s="126"/>
      <c r="L240" s="126"/>
      <c r="M240" s="99"/>
      <c r="N240" s="111"/>
      <c r="O240" s="112"/>
      <c r="P240" s="94"/>
      <c r="Q240" s="120"/>
      <c r="R240" s="113"/>
      <c r="S240" s="94"/>
      <c r="T240" s="94"/>
      <c r="V240" s="104"/>
    </row>
    <row r="241" ht="15.75" customHeight="1">
      <c r="A241" s="91"/>
      <c r="B241" s="131"/>
      <c r="C241" s="104"/>
      <c r="D241" s="94"/>
      <c r="E241" s="132"/>
      <c r="F241" s="132"/>
      <c r="G241" s="94"/>
      <c r="H241" s="93"/>
      <c r="I241" s="94"/>
      <c r="J241" s="94"/>
      <c r="K241" s="125"/>
      <c r="L241" s="125"/>
      <c r="M241" s="99"/>
      <c r="N241" s="111"/>
      <c r="O241" s="112"/>
      <c r="P241" s="94"/>
      <c r="Q241" s="120"/>
      <c r="R241" s="113"/>
      <c r="S241" s="94"/>
      <c r="T241" s="94"/>
      <c r="V241" s="104"/>
    </row>
    <row r="242" ht="15.75" customHeight="1">
      <c r="A242" s="91"/>
      <c r="B242" s="131"/>
      <c r="C242" s="132"/>
      <c r="D242" s="94"/>
      <c r="E242" s="132"/>
      <c r="F242" s="132"/>
      <c r="G242" s="94"/>
      <c r="H242" s="93"/>
      <c r="I242" s="94"/>
      <c r="J242" s="94"/>
      <c r="K242" s="126"/>
      <c r="L242" s="126"/>
      <c r="M242" s="99"/>
      <c r="N242" s="111"/>
      <c r="O242" s="112"/>
      <c r="P242" s="94"/>
      <c r="Q242" s="120"/>
      <c r="R242" s="113"/>
      <c r="S242" s="94"/>
      <c r="T242" s="94"/>
      <c r="V242" s="104"/>
    </row>
    <row r="243" ht="15.75" customHeight="1">
      <c r="A243" s="91"/>
      <c r="B243" s="131"/>
      <c r="C243" s="132"/>
      <c r="D243" s="94"/>
      <c r="E243" s="132"/>
      <c r="F243" s="132"/>
      <c r="G243" s="94"/>
      <c r="H243" s="93"/>
      <c r="I243" s="94"/>
      <c r="J243" s="94"/>
      <c r="K243" s="125"/>
      <c r="L243" s="125"/>
      <c r="M243" s="99"/>
      <c r="N243" s="111"/>
      <c r="O243" s="112"/>
      <c r="P243" s="94"/>
      <c r="Q243" s="120"/>
      <c r="R243" s="113"/>
      <c r="S243" s="94"/>
      <c r="T243" s="94"/>
      <c r="V243" s="104"/>
    </row>
    <row r="244" ht="15.75" customHeight="1">
      <c r="A244" s="91"/>
      <c r="B244" s="131"/>
      <c r="C244" s="132"/>
      <c r="D244" s="94"/>
      <c r="E244" s="132"/>
      <c r="F244" s="132"/>
      <c r="G244" s="94"/>
      <c r="H244" s="93"/>
      <c r="I244" s="94"/>
      <c r="J244" s="94"/>
      <c r="K244" s="126"/>
      <c r="L244" s="126"/>
      <c r="M244" s="99"/>
      <c r="N244" s="111"/>
      <c r="O244" s="112"/>
      <c r="P244" s="94"/>
      <c r="Q244" s="120"/>
      <c r="R244" s="113"/>
      <c r="S244" s="94"/>
      <c r="T244" s="94"/>
      <c r="V244" s="104"/>
    </row>
    <row r="245" ht="15.75" customHeight="1">
      <c r="A245" s="91"/>
      <c r="B245" s="131"/>
      <c r="C245" s="132"/>
      <c r="D245" s="94"/>
      <c r="E245" s="132"/>
      <c r="F245" s="132"/>
      <c r="G245" s="94"/>
      <c r="H245" s="93"/>
      <c r="I245" s="94"/>
      <c r="J245" s="94"/>
      <c r="K245" s="125"/>
      <c r="L245" s="125"/>
      <c r="M245" s="99"/>
      <c r="N245" s="111"/>
      <c r="O245" s="112"/>
      <c r="P245" s="94"/>
      <c r="Q245" s="120"/>
      <c r="R245" s="113"/>
      <c r="S245" s="94"/>
      <c r="T245" s="94"/>
      <c r="V245" s="104"/>
    </row>
    <row r="246" ht="15.75" customHeight="1">
      <c r="A246" s="91"/>
      <c r="B246" s="131"/>
      <c r="C246" s="132"/>
      <c r="D246" s="94"/>
      <c r="E246" s="132"/>
      <c r="F246" s="132"/>
      <c r="G246" s="94"/>
      <c r="H246" s="93"/>
      <c r="I246" s="94"/>
      <c r="J246" s="94"/>
      <c r="K246" s="126"/>
      <c r="L246" s="126"/>
      <c r="M246" s="99"/>
      <c r="N246" s="111"/>
      <c r="O246" s="112"/>
      <c r="P246" s="94"/>
      <c r="Q246" s="120"/>
      <c r="R246" s="113"/>
      <c r="S246" s="94"/>
      <c r="T246" s="94"/>
      <c r="V246" s="104"/>
    </row>
    <row r="247" ht="15.75" customHeight="1">
      <c r="A247" s="91"/>
      <c r="B247" s="131"/>
      <c r="C247" s="104"/>
      <c r="D247" s="94"/>
      <c r="E247" s="132"/>
      <c r="F247" s="132"/>
      <c r="G247" s="94"/>
      <c r="H247" s="93"/>
      <c r="I247" s="94"/>
      <c r="J247" s="94"/>
      <c r="K247" s="125"/>
      <c r="L247" s="125"/>
      <c r="M247" s="99"/>
      <c r="N247" s="111"/>
      <c r="O247" s="112"/>
      <c r="P247" s="94"/>
      <c r="Q247" s="120"/>
      <c r="R247" s="113"/>
      <c r="S247" s="94"/>
      <c r="T247" s="94"/>
      <c r="V247" s="104"/>
    </row>
    <row r="248" ht="15.75" customHeight="1">
      <c r="A248" s="91"/>
      <c r="B248" s="131"/>
      <c r="C248" s="132"/>
      <c r="D248" s="94"/>
      <c r="E248" s="132"/>
      <c r="F248" s="132"/>
      <c r="G248" s="94"/>
      <c r="H248" s="93"/>
      <c r="I248" s="94"/>
      <c r="J248" s="94"/>
      <c r="K248" s="126"/>
      <c r="L248" s="126"/>
      <c r="M248" s="99"/>
      <c r="N248" s="111"/>
      <c r="O248" s="112"/>
      <c r="P248" s="94"/>
      <c r="Q248" s="120"/>
      <c r="R248" s="113"/>
      <c r="S248" s="94"/>
      <c r="T248" s="94"/>
      <c r="V248" s="104"/>
    </row>
    <row r="249" ht="15.75" customHeight="1">
      <c r="A249" s="91"/>
      <c r="B249" s="131"/>
      <c r="C249" s="132"/>
      <c r="D249" s="94"/>
      <c r="E249" s="132"/>
      <c r="F249" s="132"/>
      <c r="G249" s="94"/>
      <c r="H249" s="93"/>
      <c r="I249" s="94"/>
      <c r="J249" s="94"/>
      <c r="K249" s="125"/>
      <c r="L249" s="125"/>
      <c r="M249" s="99"/>
      <c r="N249" s="111"/>
      <c r="O249" s="112"/>
      <c r="P249" s="94"/>
      <c r="Q249" s="120"/>
      <c r="R249" s="113"/>
      <c r="S249" s="94"/>
      <c r="T249" s="94"/>
      <c r="V249" s="104"/>
    </row>
    <row r="250" ht="15.75" customHeight="1">
      <c r="A250" s="91"/>
      <c r="B250" s="131"/>
      <c r="C250" s="132"/>
      <c r="D250" s="94"/>
      <c r="E250" s="132"/>
      <c r="F250" s="132"/>
      <c r="G250" s="94"/>
      <c r="H250" s="93"/>
      <c r="I250" s="94"/>
      <c r="J250" s="94"/>
      <c r="K250" s="126"/>
      <c r="L250" s="126"/>
      <c r="M250" s="99"/>
      <c r="N250" s="111"/>
      <c r="O250" s="112"/>
      <c r="P250" s="94"/>
      <c r="Q250" s="120"/>
      <c r="R250" s="113"/>
      <c r="S250" s="94"/>
      <c r="T250" s="94"/>
      <c r="V250" s="104"/>
    </row>
    <row r="251" ht="15.75" customHeight="1">
      <c r="A251" s="91"/>
      <c r="B251" s="131"/>
      <c r="C251" s="132"/>
      <c r="D251" s="94"/>
      <c r="E251" s="132"/>
      <c r="F251" s="132"/>
      <c r="G251" s="94"/>
      <c r="H251" s="93"/>
      <c r="I251" s="94"/>
      <c r="J251" s="94"/>
      <c r="K251" s="125"/>
      <c r="L251" s="125"/>
      <c r="M251" s="99"/>
      <c r="N251" s="111"/>
      <c r="O251" s="112"/>
      <c r="P251" s="94"/>
      <c r="Q251" s="120"/>
      <c r="R251" s="113"/>
      <c r="S251" s="94"/>
      <c r="T251" s="94"/>
      <c r="V251" s="104"/>
    </row>
    <row r="252" ht="15.75" customHeight="1">
      <c r="A252" s="91"/>
      <c r="B252" s="131"/>
      <c r="C252" s="132"/>
      <c r="D252" s="94"/>
      <c r="E252" s="132"/>
      <c r="F252" s="132"/>
      <c r="G252" s="94"/>
      <c r="H252" s="93"/>
      <c r="I252" s="94"/>
      <c r="J252" s="94"/>
      <c r="K252" s="126"/>
      <c r="L252" s="126"/>
      <c r="M252" s="99"/>
      <c r="N252" s="111"/>
      <c r="O252" s="112"/>
      <c r="P252" s="94"/>
      <c r="Q252" s="120"/>
      <c r="R252" s="113"/>
      <c r="S252" s="94"/>
      <c r="T252" s="94"/>
      <c r="V252" s="104"/>
    </row>
    <row r="253" ht="15.75" customHeight="1">
      <c r="A253" s="91"/>
      <c r="B253" s="131"/>
      <c r="C253" s="104"/>
      <c r="D253" s="94"/>
      <c r="E253" s="132"/>
      <c r="F253" s="132"/>
      <c r="G253" s="94"/>
      <c r="H253" s="93"/>
      <c r="I253" s="94"/>
      <c r="J253" s="94"/>
      <c r="K253" s="125"/>
      <c r="L253" s="125"/>
      <c r="M253" s="99"/>
      <c r="N253" s="111"/>
      <c r="O253" s="112"/>
      <c r="P253" s="94"/>
      <c r="Q253" s="120"/>
      <c r="R253" s="113"/>
      <c r="S253" s="94"/>
      <c r="T253" s="94"/>
      <c r="V253" s="104"/>
    </row>
    <row r="254" ht="15.75" customHeight="1">
      <c r="A254" s="91"/>
      <c r="B254" s="131"/>
      <c r="C254" s="132"/>
      <c r="D254" s="94"/>
      <c r="E254" s="132"/>
      <c r="F254" s="132"/>
      <c r="G254" s="94"/>
      <c r="H254" s="93"/>
      <c r="I254" s="94"/>
      <c r="J254" s="94"/>
      <c r="K254" s="126"/>
      <c r="L254" s="126"/>
      <c r="M254" s="99"/>
      <c r="N254" s="111"/>
      <c r="O254" s="112"/>
      <c r="P254" s="94"/>
      <c r="Q254" s="120"/>
      <c r="R254" s="113"/>
      <c r="S254" s="94"/>
      <c r="T254" s="94"/>
      <c r="V254" s="104"/>
    </row>
    <row r="255" ht="15.75" customHeight="1">
      <c r="A255" s="91"/>
      <c r="B255" s="131"/>
      <c r="C255" s="132"/>
      <c r="D255" s="94"/>
      <c r="E255" s="132"/>
      <c r="F255" s="132"/>
      <c r="G255" s="94"/>
      <c r="H255" s="93"/>
      <c r="I255" s="94"/>
      <c r="J255" s="94"/>
      <c r="K255" s="125"/>
      <c r="L255" s="125"/>
      <c r="M255" s="99"/>
      <c r="N255" s="111"/>
      <c r="O255" s="112"/>
      <c r="P255" s="94"/>
      <c r="Q255" s="120"/>
      <c r="R255" s="113"/>
      <c r="S255" s="94"/>
      <c r="T255" s="94"/>
      <c r="V255" s="104"/>
    </row>
    <row r="256" ht="15.75" customHeight="1">
      <c r="A256" s="91"/>
      <c r="B256" s="131"/>
      <c r="C256" s="132"/>
      <c r="D256" s="94"/>
      <c r="E256" s="132"/>
      <c r="F256" s="132"/>
      <c r="G256" s="94"/>
      <c r="H256" s="93"/>
      <c r="I256" s="94"/>
      <c r="J256" s="94"/>
      <c r="K256" s="126"/>
      <c r="L256" s="126"/>
      <c r="M256" s="99"/>
      <c r="N256" s="111"/>
      <c r="O256" s="112"/>
      <c r="P256" s="94"/>
      <c r="Q256" s="120"/>
      <c r="R256" s="113"/>
      <c r="S256" s="94"/>
      <c r="T256" s="94"/>
      <c r="V256" s="104"/>
    </row>
    <row r="257" ht="15.75" customHeight="1">
      <c r="A257" s="91"/>
      <c r="B257" s="131"/>
      <c r="C257" s="132"/>
      <c r="D257" s="94"/>
      <c r="E257" s="132"/>
      <c r="F257" s="132"/>
      <c r="G257" s="94"/>
      <c r="H257" s="93"/>
      <c r="I257" s="94"/>
      <c r="J257" s="94"/>
      <c r="K257" s="125"/>
      <c r="L257" s="125"/>
      <c r="M257" s="99"/>
      <c r="N257" s="111"/>
      <c r="O257" s="112"/>
      <c r="P257" s="94"/>
      <c r="Q257" s="120"/>
      <c r="R257" s="113"/>
      <c r="S257" s="94"/>
      <c r="T257" s="94"/>
      <c r="V257" s="104"/>
    </row>
    <row r="258" ht="15.75" customHeight="1">
      <c r="A258" s="91"/>
      <c r="B258" s="131"/>
      <c r="C258" s="132"/>
      <c r="D258" s="94"/>
      <c r="E258" s="132"/>
      <c r="F258" s="132"/>
      <c r="G258" s="94"/>
      <c r="H258" s="93"/>
      <c r="I258" s="94"/>
      <c r="J258" s="94"/>
      <c r="K258" s="126"/>
      <c r="L258" s="126"/>
      <c r="M258" s="99"/>
      <c r="N258" s="111"/>
      <c r="O258" s="112"/>
      <c r="P258" s="94"/>
      <c r="Q258" s="120"/>
      <c r="R258" s="113"/>
      <c r="S258" s="94"/>
      <c r="T258" s="94"/>
      <c r="V258" s="104"/>
    </row>
    <row r="259" ht="15.75" customHeight="1">
      <c r="A259" s="91"/>
      <c r="B259" s="131"/>
      <c r="C259" s="104"/>
      <c r="D259" s="94"/>
      <c r="E259" s="132"/>
      <c r="F259" s="132"/>
      <c r="G259" s="94"/>
      <c r="H259" s="93"/>
      <c r="I259" s="94"/>
      <c r="J259" s="94"/>
      <c r="K259" s="125"/>
      <c r="L259" s="125"/>
      <c r="M259" s="99"/>
      <c r="N259" s="111"/>
      <c r="O259" s="112"/>
      <c r="P259" s="94"/>
      <c r="Q259" s="120"/>
      <c r="R259" s="113"/>
      <c r="S259" s="94"/>
      <c r="T259" s="94"/>
      <c r="V259" s="104"/>
    </row>
    <row r="260" ht="15.75" customHeight="1">
      <c r="A260" s="91"/>
      <c r="B260" s="131"/>
      <c r="C260" s="132"/>
      <c r="D260" s="94"/>
      <c r="E260" s="132"/>
      <c r="F260" s="132"/>
      <c r="G260" s="94"/>
      <c r="H260" s="93"/>
      <c r="I260" s="94"/>
      <c r="J260" s="94"/>
      <c r="K260" s="126"/>
      <c r="L260" s="126"/>
      <c r="M260" s="99"/>
      <c r="N260" s="111"/>
      <c r="O260" s="112"/>
      <c r="P260" s="94"/>
      <c r="Q260" s="120"/>
      <c r="R260" s="113"/>
      <c r="S260" s="94"/>
      <c r="T260" s="94"/>
      <c r="V260" s="104"/>
    </row>
    <row r="261" ht="15.75" customHeight="1">
      <c r="A261" s="91"/>
      <c r="B261" s="131"/>
      <c r="C261" s="132"/>
      <c r="D261" s="94"/>
      <c r="E261" s="132"/>
      <c r="F261" s="132"/>
      <c r="G261" s="94"/>
      <c r="H261" s="93"/>
      <c r="I261" s="94"/>
      <c r="J261" s="94"/>
      <c r="K261" s="125"/>
      <c r="L261" s="125"/>
      <c r="M261" s="99"/>
      <c r="N261" s="111"/>
      <c r="O261" s="112"/>
      <c r="P261" s="94"/>
      <c r="Q261" s="120"/>
      <c r="R261" s="113"/>
      <c r="S261" s="94"/>
      <c r="T261" s="94"/>
      <c r="V261" s="104"/>
    </row>
    <row r="262" ht="15.75" customHeight="1">
      <c r="A262" s="91"/>
      <c r="B262" s="131"/>
      <c r="C262" s="132"/>
      <c r="D262" s="94"/>
      <c r="E262" s="132"/>
      <c r="F262" s="132"/>
      <c r="G262" s="94"/>
      <c r="H262" s="93"/>
      <c r="I262" s="94"/>
      <c r="J262" s="94"/>
      <c r="K262" s="126"/>
      <c r="L262" s="126"/>
      <c r="M262" s="99"/>
      <c r="N262" s="111"/>
      <c r="O262" s="112"/>
      <c r="P262" s="94"/>
      <c r="Q262" s="120"/>
      <c r="R262" s="113"/>
      <c r="S262" s="94"/>
      <c r="T262" s="94"/>
      <c r="V262" s="104"/>
    </row>
    <row r="263" ht="15.75" customHeight="1">
      <c r="A263" s="91"/>
      <c r="B263" s="131"/>
      <c r="C263" s="132"/>
      <c r="D263" s="94"/>
      <c r="E263" s="132"/>
      <c r="F263" s="132"/>
      <c r="G263" s="94"/>
      <c r="H263" s="93"/>
      <c r="I263" s="94"/>
      <c r="J263" s="94"/>
      <c r="K263" s="125"/>
      <c r="L263" s="125"/>
      <c r="M263" s="99"/>
      <c r="N263" s="111"/>
      <c r="O263" s="112"/>
      <c r="P263" s="94"/>
      <c r="Q263" s="120"/>
      <c r="R263" s="113"/>
      <c r="S263" s="94"/>
      <c r="T263" s="94"/>
      <c r="V263" s="104"/>
    </row>
    <row r="264" ht="15.75" customHeight="1">
      <c r="A264" s="91"/>
      <c r="B264" s="131"/>
      <c r="C264" s="132"/>
      <c r="D264" s="94"/>
      <c r="E264" s="132"/>
      <c r="F264" s="132"/>
      <c r="G264" s="94"/>
      <c r="H264" s="93"/>
      <c r="I264" s="94"/>
      <c r="J264" s="94"/>
      <c r="K264" s="126"/>
      <c r="L264" s="126"/>
      <c r="M264" s="99"/>
      <c r="N264" s="111"/>
      <c r="O264" s="112"/>
      <c r="P264" s="94"/>
      <c r="Q264" s="120"/>
      <c r="R264" s="113"/>
      <c r="S264" s="94"/>
      <c r="T264" s="94"/>
      <c r="V264" s="104"/>
    </row>
    <row r="265" ht="15.75" customHeight="1">
      <c r="A265" s="91"/>
      <c r="B265" s="131"/>
      <c r="C265" s="104"/>
      <c r="D265" s="94"/>
      <c r="E265" s="132"/>
      <c r="F265" s="132"/>
      <c r="G265" s="94"/>
      <c r="H265" s="93"/>
      <c r="I265" s="94"/>
      <c r="J265" s="94"/>
      <c r="K265" s="125"/>
      <c r="L265" s="125"/>
      <c r="M265" s="99"/>
      <c r="N265" s="111"/>
      <c r="O265" s="112"/>
      <c r="P265" s="94"/>
      <c r="Q265" s="120"/>
      <c r="R265" s="113"/>
      <c r="S265" s="94"/>
      <c r="T265" s="94"/>
      <c r="V265" s="104"/>
    </row>
    <row r="266" ht="15.75" customHeight="1">
      <c r="A266" s="91"/>
      <c r="B266" s="131"/>
      <c r="C266" s="132"/>
      <c r="D266" s="94"/>
      <c r="E266" s="132"/>
      <c r="F266" s="132"/>
      <c r="G266" s="94"/>
      <c r="H266" s="93"/>
      <c r="I266" s="94"/>
      <c r="J266" s="94"/>
      <c r="K266" s="126"/>
      <c r="L266" s="126"/>
      <c r="M266" s="99"/>
      <c r="N266" s="111"/>
      <c r="O266" s="112"/>
      <c r="P266" s="94"/>
      <c r="Q266" s="120"/>
      <c r="R266" s="113"/>
      <c r="S266" s="94"/>
      <c r="T266" s="94"/>
      <c r="V266" s="104"/>
    </row>
    <row r="267" ht="15.75" customHeight="1">
      <c r="A267" s="91"/>
      <c r="B267" s="131"/>
      <c r="C267" s="132"/>
      <c r="D267" s="94"/>
      <c r="E267" s="132"/>
      <c r="F267" s="132"/>
      <c r="G267" s="94"/>
      <c r="H267" s="93"/>
      <c r="I267" s="94"/>
      <c r="J267" s="94"/>
      <c r="K267" s="125"/>
      <c r="L267" s="125"/>
      <c r="M267" s="99"/>
      <c r="N267" s="111"/>
      <c r="O267" s="112"/>
      <c r="P267" s="94"/>
      <c r="Q267" s="120"/>
      <c r="R267" s="113"/>
      <c r="S267" s="94"/>
      <c r="T267" s="94"/>
      <c r="V267" s="104"/>
    </row>
    <row r="268" ht="15.75" customHeight="1">
      <c r="A268" s="91"/>
      <c r="B268" s="131"/>
      <c r="C268" s="132"/>
      <c r="D268" s="94"/>
      <c r="E268" s="132"/>
      <c r="F268" s="132"/>
      <c r="G268" s="94"/>
      <c r="H268" s="93"/>
      <c r="I268" s="94"/>
      <c r="J268" s="94"/>
      <c r="K268" s="126"/>
      <c r="L268" s="126"/>
      <c r="M268" s="99"/>
      <c r="N268" s="111"/>
      <c r="O268" s="112"/>
      <c r="P268" s="94"/>
      <c r="Q268" s="120"/>
      <c r="R268" s="113"/>
      <c r="S268" s="94"/>
      <c r="T268" s="94"/>
      <c r="V268" s="104"/>
    </row>
    <row r="269" ht="15.75" customHeight="1">
      <c r="A269" s="91"/>
      <c r="B269" s="131"/>
      <c r="C269" s="132"/>
      <c r="D269" s="94"/>
      <c r="E269" s="132"/>
      <c r="F269" s="132"/>
      <c r="G269" s="94"/>
      <c r="H269" s="93"/>
      <c r="I269" s="94"/>
      <c r="J269" s="94"/>
      <c r="K269" s="125"/>
      <c r="L269" s="125"/>
      <c r="M269" s="99"/>
      <c r="N269" s="111"/>
      <c r="O269" s="112"/>
      <c r="P269" s="94"/>
      <c r="Q269" s="120"/>
      <c r="R269" s="113"/>
      <c r="S269" s="94"/>
      <c r="T269" s="94"/>
      <c r="V269" s="104"/>
    </row>
    <row r="270" ht="15.75" customHeight="1">
      <c r="A270" s="91"/>
      <c r="B270" s="131"/>
      <c r="C270" s="132"/>
      <c r="D270" s="94"/>
      <c r="E270" s="132"/>
      <c r="F270" s="132"/>
      <c r="G270" s="94"/>
      <c r="H270" s="93"/>
      <c r="I270" s="94"/>
      <c r="J270" s="94"/>
      <c r="K270" s="126"/>
      <c r="L270" s="126"/>
      <c r="M270" s="99"/>
      <c r="N270" s="111"/>
      <c r="O270" s="112"/>
      <c r="P270" s="94"/>
      <c r="Q270" s="120"/>
      <c r="R270" s="113"/>
      <c r="S270" s="94"/>
      <c r="T270" s="94"/>
      <c r="V270" s="104"/>
    </row>
    <row r="271" ht="15.75" customHeight="1">
      <c r="A271" s="91"/>
      <c r="B271" s="131"/>
      <c r="C271" s="104"/>
      <c r="D271" s="94"/>
      <c r="E271" s="132"/>
      <c r="F271" s="132"/>
      <c r="G271" s="94"/>
      <c r="H271" s="93"/>
      <c r="I271" s="94"/>
      <c r="J271" s="94"/>
      <c r="K271" s="125"/>
      <c r="L271" s="125"/>
      <c r="M271" s="99"/>
      <c r="N271" s="111"/>
      <c r="O271" s="112"/>
      <c r="P271" s="94"/>
      <c r="Q271" s="120"/>
      <c r="R271" s="113"/>
      <c r="S271" s="94"/>
      <c r="T271" s="94"/>
      <c r="V271" s="104"/>
    </row>
    <row r="272" ht="15.75" customHeight="1">
      <c r="A272" s="91"/>
      <c r="B272" s="131"/>
      <c r="C272" s="132"/>
      <c r="D272" s="94"/>
      <c r="E272" s="132"/>
      <c r="F272" s="132"/>
      <c r="G272" s="94"/>
      <c r="H272" s="93"/>
      <c r="I272" s="94"/>
      <c r="J272" s="94"/>
      <c r="K272" s="126"/>
      <c r="L272" s="126"/>
      <c r="M272" s="99"/>
      <c r="N272" s="111"/>
      <c r="O272" s="112"/>
      <c r="P272" s="94"/>
      <c r="Q272" s="120"/>
      <c r="R272" s="113"/>
      <c r="S272" s="94"/>
      <c r="T272" s="94"/>
      <c r="V272" s="104"/>
    </row>
    <row r="273" ht="15.75" customHeight="1">
      <c r="A273" s="91"/>
      <c r="B273" s="131"/>
      <c r="C273" s="132"/>
      <c r="D273" s="94"/>
      <c r="E273" s="132"/>
      <c r="F273" s="132"/>
      <c r="G273" s="94"/>
      <c r="H273" s="93"/>
      <c r="I273" s="94"/>
      <c r="J273" s="94"/>
      <c r="K273" s="125"/>
      <c r="L273" s="125"/>
      <c r="M273" s="99"/>
      <c r="N273" s="111"/>
      <c r="O273" s="112"/>
      <c r="P273" s="94"/>
      <c r="Q273" s="120"/>
      <c r="R273" s="113"/>
      <c r="S273" s="94"/>
      <c r="T273" s="94"/>
      <c r="V273" s="104"/>
    </row>
    <row r="274" ht="15.75" customHeight="1">
      <c r="A274" s="91"/>
      <c r="B274" s="131"/>
      <c r="C274" s="132"/>
      <c r="D274" s="94"/>
      <c r="E274" s="132"/>
      <c r="F274" s="132"/>
      <c r="G274" s="94"/>
      <c r="H274" s="93"/>
      <c r="I274" s="94"/>
      <c r="J274" s="94"/>
      <c r="K274" s="126"/>
      <c r="L274" s="126"/>
      <c r="M274" s="99"/>
      <c r="N274" s="111"/>
      <c r="O274" s="112"/>
      <c r="P274" s="94"/>
      <c r="Q274" s="120"/>
      <c r="R274" s="113"/>
      <c r="S274" s="94"/>
      <c r="T274" s="94"/>
      <c r="V274" s="104"/>
    </row>
    <row r="275" ht="15.75" customHeight="1">
      <c r="A275" s="91"/>
      <c r="B275" s="131"/>
      <c r="C275" s="132"/>
      <c r="D275" s="94"/>
      <c r="E275" s="132"/>
      <c r="F275" s="132"/>
      <c r="G275" s="94"/>
      <c r="H275" s="93"/>
      <c r="I275" s="94"/>
      <c r="J275" s="94"/>
      <c r="K275" s="125"/>
      <c r="L275" s="125"/>
      <c r="M275" s="99"/>
      <c r="N275" s="111"/>
      <c r="O275" s="112"/>
      <c r="P275" s="94"/>
      <c r="Q275" s="120"/>
      <c r="R275" s="113"/>
      <c r="S275" s="94"/>
      <c r="T275" s="94"/>
      <c r="V275" s="104"/>
    </row>
    <row r="276" ht="15.75" customHeight="1">
      <c r="A276" s="91"/>
      <c r="B276" s="131"/>
      <c r="C276" s="132"/>
      <c r="D276" s="94"/>
      <c r="E276" s="132"/>
      <c r="F276" s="132"/>
      <c r="G276" s="94"/>
      <c r="H276" s="93"/>
      <c r="I276" s="94"/>
      <c r="J276" s="94"/>
      <c r="K276" s="126"/>
      <c r="L276" s="126"/>
      <c r="M276" s="99"/>
      <c r="N276" s="111"/>
      <c r="O276" s="112"/>
      <c r="P276" s="94"/>
      <c r="Q276" s="120"/>
      <c r="R276" s="113"/>
      <c r="S276" s="94"/>
      <c r="T276" s="94"/>
      <c r="V276" s="104"/>
    </row>
    <row r="277" ht="15.75" customHeight="1">
      <c r="A277" s="91"/>
      <c r="B277" s="131"/>
      <c r="C277" s="104"/>
      <c r="D277" s="94"/>
      <c r="E277" s="132"/>
      <c r="F277" s="132"/>
      <c r="G277" s="94"/>
      <c r="H277" s="93"/>
      <c r="I277" s="94"/>
      <c r="J277" s="94"/>
      <c r="K277" s="125"/>
      <c r="L277" s="125"/>
      <c r="M277" s="99"/>
      <c r="N277" s="111"/>
      <c r="O277" s="112"/>
      <c r="P277" s="94"/>
      <c r="Q277" s="120"/>
      <c r="R277" s="113"/>
      <c r="S277" s="94"/>
      <c r="T277" s="94"/>
      <c r="V277" s="104"/>
    </row>
    <row r="278" ht="15.75" customHeight="1">
      <c r="A278" s="91"/>
      <c r="B278" s="131"/>
      <c r="C278" s="132"/>
      <c r="D278" s="94"/>
      <c r="E278" s="132"/>
      <c r="F278" s="132"/>
      <c r="G278" s="94"/>
      <c r="H278" s="93"/>
      <c r="I278" s="94"/>
      <c r="J278" s="94"/>
      <c r="K278" s="126"/>
      <c r="L278" s="126"/>
      <c r="M278" s="99"/>
      <c r="N278" s="111"/>
      <c r="O278" s="112"/>
      <c r="P278" s="94"/>
      <c r="Q278" s="120"/>
      <c r="R278" s="113"/>
      <c r="S278" s="94"/>
      <c r="T278" s="94"/>
      <c r="V278" s="104"/>
    </row>
    <row r="279" ht="15.75" customHeight="1">
      <c r="A279" s="91"/>
      <c r="B279" s="131"/>
      <c r="C279" s="132"/>
      <c r="D279" s="94"/>
      <c r="E279" s="132"/>
      <c r="F279" s="132"/>
      <c r="G279" s="94"/>
      <c r="H279" s="93"/>
      <c r="I279" s="94"/>
      <c r="J279" s="94"/>
      <c r="K279" s="125"/>
      <c r="L279" s="125"/>
      <c r="M279" s="99"/>
      <c r="N279" s="111"/>
      <c r="O279" s="112"/>
      <c r="P279" s="94"/>
      <c r="Q279" s="120"/>
      <c r="R279" s="113"/>
      <c r="S279" s="94"/>
      <c r="T279" s="94"/>
      <c r="V279" s="104"/>
    </row>
    <row r="280" ht="15.75" customHeight="1">
      <c r="A280" s="91"/>
      <c r="B280" s="131"/>
      <c r="C280" s="132"/>
      <c r="D280" s="94"/>
      <c r="E280" s="132"/>
      <c r="F280" s="132"/>
      <c r="G280" s="94"/>
      <c r="H280" s="93"/>
      <c r="I280" s="94"/>
      <c r="J280" s="94"/>
      <c r="K280" s="126"/>
      <c r="L280" s="126"/>
      <c r="M280" s="99"/>
      <c r="N280" s="111"/>
      <c r="O280" s="112"/>
      <c r="P280" s="94"/>
      <c r="Q280" s="120"/>
      <c r="R280" s="113"/>
      <c r="S280" s="94"/>
      <c r="T280" s="94"/>
      <c r="V280" s="104"/>
    </row>
    <row r="281" ht="15.75" customHeight="1">
      <c r="A281" s="91"/>
      <c r="B281" s="131"/>
      <c r="C281" s="132"/>
      <c r="D281" s="94"/>
      <c r="E281" s="132"/>
      <c r="F281" s="132"/>
      <c r="G281" s="94"/>
      <c r="H281" s="93"/>
      <c r="I281" s="94"/>
      <c r="J281" s="94"/>
      <c r="K281" s="125"/>
      <c r="L281" s="125"/>
      <c r="M281" s="99"/>
      <c r="N281" s="111"/>
      <c r="O281" s="112"/>
      <c r="P281" s="94"/>
      <c r="Q281" s="120"/>
      <c r="R281" s="113"/>
      <c r="S281" s="94"/>
      <c r="T281" s="94"/>
      <c r="V281" s="104"/>
    </row>
    <row r="282" ht="15.75" customHeight="1">
      <c r="A282" s="91"/>
      <c r="B282" s="131"/>
      <c r="C282" s="132"/>
      <c r="D282" s="94"/>
      <c r="E282" s="132"/>
      <c r="F282" s="132"/>
      <c r="G282" s="94"/>
      <c r="H282" s="93"/>
      <c r="I282" s="94"/>
      <c r="J282" s="94"/>
      <c r="K282" s="126"/>
      <c r="L282" s="126"/>
      <c r="M282" s="99"/>
      <c r="N282" s="111"/>
      <c r="O282" s="112"/>
      <c r="P282" s="94"/>
      <c r="Q282" s="120"/>
      <c r="R282" s="113"/>
      <c r="S282" s="94"/>
      <c r="T282" s="94"/>
      <c r="V282" s="104"/>
    </row>
    <row r="283" ht="15.75" customHeight="1">
      <c r="A283" s="91"/>
      <c r="B283" s="131"/>
      <c r="C283" s="104"/>
      <c r="D283" s="94"/>
      <c r="E283" s="132"/>
      <c r="F283" s="132"/>
      <c r="G283" s="94"/>
      <c r="H283" s="93"/>
      <c r="I283" s="94"/>
      <c r="J283" s="94"/>
      <c r="K283" s="125"/>
      <c r="L283" s="125"/>
      <c r="M283" s="99"/>
      <c r="N283" s="111"/>
      <c r="O283" s="112"/>
      <c r="P283" s="94"/>
      <c r="Q283" s="120"/>
      <c r="R283" s="113"/>
      <c r="S283" s="94"/>
      <c r="T283" s="94"/>
      <c r="V283" s="104"/>
    </row>
    <row r="284" ht="15.75" customHeight="1">
      <c r="A284" s="91"/>
      <c r="B284" s="131"/>
      <c r="C284" s="132"/>
      <c r="D284" s="94"/>
      <c r="E284" s="132"/>
      <c r="F284" s="132"/>
      <c r="G284" s="94"/>
      <c r="H284" s="93"/>
      <c r="I284" s="94"/>
      <c r="J284" s="94"/>
      <c r="K284" s="126"/>
      <c r="L284" s="126"/>
      <c r="M284" s="99"/>
      <c r="N284" s="111"/>
      <c r="O284" s="112"/>
      <c r="P284" s="94"/>
      <c r="Q284" s="120"/>
      <c r="R284" s="113"/>
      <c r="S284" s="94"/>
      <c r="T284" s="94"/>
      <c r="V284" s="104"/>
    </row>
    <row r="285" ht="15.75" customHeight="1">
      <c r="A285" s="91"/>
      <c r="B285" s="131"/>
      <c r="C285" s="132"/>
      <c r="D285" s="94"/>
      <c r="E285" s="132"/>
      <c r="F285" s="132"/>
      <c r="G285" s="94"/>
      <c r="H285" s="93"/>
      <c r="I285" s="94"/>
      <c r="J285" s="94"/>
      <c r="K285" s="125"/>
      <c r="L285" s="125"/>
      <c r="M285" s="99"/>
      <c r="N285" s="111"/>
      <c r="O285" s="112"/>
      <c r="P285" s="94"/>
      <c r="Q285" s="120"/>
      <c r="R285" s="113"/>
      <c r="S285" s="94"/>
      <c r="T285" s="94"/>
      <c r="V285" s="104"/>
    </row>
    <row r="286" ht="15.75" customHeight="1">
      <c r="A286" s="91"/>
      <c r="B286" s="131"/>
      <c r="C286" s="132"/>
      <c r="D286" s="94"/>
      <c r="E286" s="132"/>
      <c r="F286" s="132"/>
      <c r="G286" s="94"/>
      <c r="H286" s="93"/>
      <c r="I286" s="94"/>
      <c r="J286" s="94"/>
      <c r="K286" s="126"/>
      <c r="L286" s="126"/>
      <c r="M286" s="99"/>
      <c r="N286" s="111"/>
      <c r="O286" s="112"/>
      <c r="P286" s="94"/>
      <c r="Q286" s="120"/>
      <c r="R286" s="113"/>
      <c r="S286" s="94"/>
      <c r="T286" s="94"/>
      <c r="V286" s="104"/>
    </row>
    <row r="287" ht="15.75" customHeight="1">
      <c r="A287" s="91"/>
      <c r="B287" s="131"/>
      <c r="C287" s="132"/>
      <c r="D287" s="94"/>
      <c r="E287" s="132"/>
      <c r="F287" s="132"/>
      <c r="G287" s="94"/>
      <c r="H287" s="93"/>
      <c r="I287" s="94"/>
      <c r="J287" s="94"/>
      <c r="K287" s="125"/>
      <c r="L287" s="125"/>
      <c r="M287" s="99"/>
      <c r="N287" s="111"/>
      <c r="O287" s="112"/>
      <c r="P287" s="94"/>
      <c r="Q287" s="120"/>
      <c r="R287" s="113"/>
      <c r="S287" s="94"/>
      <c r="T287" s="94"/>
      <c r="V287" s="104"/>
    </row>
    <row r="288" ht="15.75" customHeight="1">
      <c r="A288" s="91"/>
      <c r="B288" s="131"/>
      <c r="C288" s="132"/>
      <c r="D288" s="94"/>
      <c r="E288" s="132"/>
      <c r="F288" s="132"/>
      <c r="G288" s="94"/>
      <c r="H288" s="93"/>
      <c r="I288" s="94"/>
      <c r="J288" s="94"/>
      <c r="K288" s="126"/>
      <c r="L288" s="126"/>
      <c r="M288" s="99"/>
      <c r="N288" s="111"/>
      <c r="O288" s="112"/>
      <c r="P288" s="94"/>
      <c r="Q288" s="120"/>
      <c r="R288" s="113"/>
      <c r="S288" s="94"/>
      <c r="T288" s="94"/>
      <c r="V288" s="104"/>
    </row>
    <row r="289" ht="15.75" customHeight="1">
      <c r="A289" s="91"/>
      <c r="B289" s="131"/>
      <c r="C289" s="104"/>
      <c r="D289" s="94"/>
      <c r="E289" s="132"/>
      <c r="F289" s="132"/>
      <c r="G289" s="94"/>
      <c r="H289" s="93"/>
      <c r="I289" s="94"/>
      <c r="J289" s="94"/>
      <c r="K289" s="125"/>
      <c r="L289" s="125"/>
      <c r="M289" s="99"/>
      <c r="N289" s="111"/>
      <c r="O289" s="112"/>
      <c r="P289" s="94"/>
      <c r="Q289" s="120"/>
      <c r="R289" s="113"/>
      <c r="S289" s="94"/>
      <c r="T289" s="94"/>
      <c r="V289" s="104"/>
    </row>
    <row r="290" ht="15.75" customHeight="1">
      <c r="A290" s="91"/>
      <c r="B290" s="131"/>
      <c r="C290" s="132"/>
      <c r="D290" s="94"/>
      <c r="E290" s="132"/>
      <c r="F290" s="132"/>
      <c r="G290" s="94"/>
      <c r="H290" s="93"/>
      <c r="I290" s="94"/>
      <c r="J290" s="94"/>
      <c r="K290" s="126"/>
      <c r="L290" s="126"/>
      <c r="M290" s="99"/>
      <c r="N290" s="111"/>
      <c r="O290" s="112"/>
      <c r="P290" s="94"/>
      <c r="Q290" s="120"/>
      <c r="R290" s="113"/>
      <c r="S290" s="94"/>
      <c r="T290" s="94"/>
      <c r="V290" s="104"/>
    </row>
    <row r="291" ht="15.75" customHeight="1">
      <c r="A291" s="91"/>
      <c r="B291" s="131"/>
      <c r="C291" s="132"/>
      <c r="D291" s="94"/>
      <c r="E291" s="132"/>
      <c r="F291" s="132"/>
      <c r="G291" s="94"/>
      <c r="H291" s="93"/>
      <c r="I291" s="94"/>
      <c r="J291" s="94"/>
      <c r="K291" s="125"/>
      <c r="L291" s="125"/>
      <c r="M291" s="99"/>
      <c r="N291" s="111"/>
      <c r="O291" s="112"/>
      <c r="P291" s="94"/>
      <c r="Q291" s="120"/>
      <c r="R291" s="113"/>
      <c r="S291" s="94"/>
      <c r="T291" s="94"/>
      <c r="V291" s="104"/>
    </row>
    <row r="292" ht="15.75" customHeight="1">
      <c r="A292" s="91"/>
      <c r="B292" s="131"/>
      <c r="C292" s="132"/>
      <c r="D292" s="94"/>
      <c r="E292" s="132"/>
      <c r="F292" s="132"/>
      <c r="G292" s="94"/>
      <c r="H292" s="93"/>
      <c r="I292" s="94"/>
      <c r="J292" s="94"/>
      <c r="K292" s="126"/>
      <c r="L292" s="126"/>
      <c r="M292" s="99"/>
      <c r="N292" s="111"/>
      <c r="O292" s="112"/>
      <c r="P292" s="94"/>
      <c r="Q292" s="120"/>
      <c r="R292" s="113"/>
      <c r="S292" s="94"/>
      <c r="T292" s="94"/>
      <c r="V292" s="104"/>
    </row>
    <row r="293" ht="15.75" customHeight="1">
      <c r="A293" s="91"/>
      <c r="B293" s="131"/>
      <c r="C293" s="132"/>
      <c r="D293" s="94"/>
      <c r="E293" s="132"/>
      <c r="F293" s="132"/>
      <c r="G293" s="94"/>
      <c r="H293" s="93"/>
      <c r="I293" s="94"/>
      <c r="J293" s="94"/>
      <c r="K293" s="125"/>
      <c r="L293" s="125"/>
      <c r="M293" s="99"/>
      <c r="N293" s="111"/>
      <c r="O293" s="112"/>
      <c r="P293" s="94"/>
      <c r="Q293" s="120"/>
      <c r="R293" s="113"/>
      <c r="S293" s="94"/>
      <c r="T293" s="94"/>
      <c r="V293" s="104"/>
    </row>
    <row r="294" ht="15.75" customHeight="1">
      <c r="A294" s="91"/>
      <c r="B294" s="131"/>
      <c r="C294" s="132"/>
      <c r="D294" s="94"/>
      <c r="E294" s="132"/>
      <c r="F294" s="132"/>
      <c r="G294" s="94"/>
      <c r="H294" s="93"/>
      <c r="I294" s="94"/>
      <c r="J294" s="94"/>
      <c r="K294" s="126"/>
      <c r="L294" s="126"/>
      <c r="M294" s="99"/>
      <c r="N294" s="111"/>
      <c r="O294" s="112"/>
      <c r="P294" s="94"/>
      <c r="Q294" s="120"/>
      <c r="R294" s="113"/>
      <c r="S294" s="94"/>
      <c r="T294" s="94"/>
      <c r="V294" s="104"/>
    </row>
    <row r="295" ht="15.75" customHeight="1">
      <c r="A295" s="91"/>
      <c r="B295" s="131"/>
      <c r="C295" s="104"/>
      <c r="D295" s="94"/>
      <c r="E295" s="132"/>
      <c r="F295" s="132"/>
      <c r="G295" s="94"/>
      <c r="H295" s="93"/>
      <c r="I295" s="94"/>
      <c r="J295" s="94"/>
      <c r="K295" s="125"/>
      <c r="L295" s="125"/>
      <c r="M295" s="99"/>
      <c r="N295" s="111"/>
      <c r="O295" s="112"/>
      <c r="P295" s="94"/>
      <c r="Q295" s="120"/>
      <c r="R295" s="113"/>
      <c r="S295" s="94"/>
      <c r="T295" s="94"/>
      <c r="V295" s="104"/>
    </row>
    <row r="296" ht="15.75" customHeight="1">
      <c r="A296" s="91"/>
      <c r="B296" s="131"/>
      <c r="C296" s="132"/>
      <c r="D296" s="94"/>
      <c r="E296" s="132"/>
      <c r="F296" s="132"/>
      <c r="G296" s="94"/>
      <c r="H296" s="93"/>
      <c r="I296" s="94"/>
      <c r="J296" s="94"/>
      <c r="K296" s="126"/>
      <c r="L296" s="126"/>
      <c r="M296" s="99"/>
      <c r="N296" s="111"/>
      <c r="O296" s="112"/>
      <c r="P296" s="94"/>
      <c r="Q296" s="120"/>
      <c r="R296" s="113"/>
      <c r="S296" s="94"/>
      <c r="T296" s="94"/>
      <c r="V296" s="104"/>
    </row>
    <row r="297" ht="15.75" customHeight="1">
      <c r="A297" s="91"/>
      <c r="B297" s="131"/>
      <c r="C297" s="132"/>
      <c r="D297" s="94"/>
      <c r="E297" s="132"/>
      <c r="F297" s="132"/>
      <c r="G297" s="94"/>
      <c r="H297" s="93"/>
      <c r="I297" s="94"/>
      <c r="J297" s="94"/>
      <c r="K297" s="125"/>
      <c r="L297" s="125"/>
      <c r="M297" s="99"/>
      <c r="N297" s="111"/>
      <c r="O297" s="112"/>
      <c r="P297" s="94"/>
      <c r="Q297" s="120"/>
      <c r="R297" s="113"/>
      <c r="S297" s="94"/>
      <c r="T297" s="94"/>
      <c r="V297" s="104"/>
    </row>
    <row r="298" ht="15.75" customHeight="1">
      <c r="A298" s="91"/>
      <c r="B298" s="131"/>
      <c r="C298" s="132"/>
      <c r="D298" s="94"/>
      <c r="E298" s="132"/>
      <c r="F298" s="132"/>
      <c r="G298" s="94"/>
      <c r="H298" s="93"/>
      <c r="I298" s="94"/>
      <c r="J298" s="94"/>
      <c r="K298" s="126"/>
      <c r="L298" s="126"/>
      <c r="M298" s="99"/>
      <c r="N298" s="111"/>
      <c r="O298" s="112"/>
      <c r="P298" s="94"/>
      <c r="Q298" s="120"/>
      <c r="R298" s="113"/>
      <c r="S298" s="94"/>
      <c r="T298" s="94"/>
      <c r="V298" s="104"/>
    </row>
    <row r="299" ht="15.75" customHeight="1">
      <c r="A299" s="91"/>
      <c r="B299" s="131"/>
      <c r="C299" s="132"/>
      <c r="D299" s="94"/>
      <c r="E299" s="132"/>
      <c r="F299" s="132"/>
      <c r="G299" s="94"/>
      <c r="H299" s="93"/>
      <c r="I299" s="94"/>
      <c r="J299" s="94"/>
      <c r="K299" s="125"/>
      <c r="L299" s="125"/>
      <c r="M299" s="99"/>
      <c r="N299" s="111"/>
      <c r="O299" s="112"/>
      <c r="P299" s="94"/>
      <c r="Q299" s="120"/>
      <c r="R299" s="113"/>
      <c r="S299" s="94"/>
      <c r="T299" s="94"/>
      <c r="V299" s="104"/>
    </row>
    <row r="300" ht="15.75" customHeight="1">
      <c r="A300" s="91"/>
      <c r="B300" s="131"/>
      <c r="C300" s="132"/>
      <c r="D300" s="94"/>
      <c r="E300" s="132"/>
      <c r="F300" s="132"/>
      <c r="G300" s="94"/>
      <c r="H300" s="93"/>
      <c r="I300" s="94"/>
      <c r="J300" s="94"/>
      <c r="K300" s="126"/>
      <c r="L300" s="126"/>
      <c r="M300" s="99"/>
      <c r="N300" s="111"/>
      <c r="O300" s="112"/>
      <c r="P300" s="94"/>
      <c r="Q300" s="120"/>
      <c r="R300" s="113"/>
      <c r="S300" s="94"/>
      <c r="T300" s="94"/>
      <c r="V300" s="104"/>
    </row>
    <row r="301" ht="15.75" customHeight="1">
      <c r="A301" s="91"/>
      <c r="B301" s="131"/>
      <c r="C301" s="104"/>
      <c r="D301" s="94"/>
      <c r="E301" s="132"/>
      <c r="F301" s="132"/>
      <c r="G301" s="94"/>
      <c r="H301" s="93"/>
      <c r="I301" s="94"/>
      <c r="J301" s="94"/>
      <c r="K301" s="125"/>
      <c r="L301" s="125"/>
      <c r="M301" s="99"/>
      <c r="N301" s="111"/>
      <c r="O301" s="112"/>
      <c r="P301" s="94"/>
      <c r="Q301" s="120"/>
      <c r="R301" s="113"/>
      <c r="S301" s="94"/>
      <c r="T301" s="94"/>
      <c r="V301" s="104"/>
    </row>
    <row r="302" ht="15.75" customHeight="1">
      <c r="A302" s="91"/>
      <c r="B302" s="131"/>
      <c r="C302" s="132"/>
      <c r="D302" s="94"/>
      <c r="E302" s="132"/>
      <c r="F302" s="132"/>
      <c r="G302" s="94"/>
      <c r="H302" s="93"/>
      <c r="I302" s="94"/>
      <c r="J302" s="94"/>
      <c r="K302" s="126"/>
      <c r="L302" s="126"/>
      <c r="M302" s="99"/>
      <c r="N302" s="111"/>
      <c r="O302" s="112"/>
      <c r="P302" s="94"/>
      <c r="Q302" s="120"/>
      <c r="R302" s="113"/>
      <c r="S302" s="94"/>
      <c r="T302" s="94"/>
      <c r="V302" s="104"/>
    </row>
    <row r="303" ht="15.75" customHeight="1">
      <c r="A303" s="91"/>
      <c r="B303" s="131"/>
      <c r="C303" s="132"/>
      <c r="D303" s="94"/>
      <c r="E303" s="132"/>
      <c r="F303" s="132"/>
      <c r="G303" s="94"/>
      <c r="H303" s="93"/>
      <c r="I303" s="94"/>
      <c r="J303" s="94"/>
      <c r="K303" s="125"/>
      <c r="L303" s="125"/>
      <c r="M303" s="99"/>
      <c r="N303" s="111"/>
      <c r="O303" s="112"/>
      <c r="P303" s="94"/>
      <c r="Q303" s="120"/>
      <c r="R303" s="113"/>
      <c r="S303" s="94"/>
      <c r="T303" s="94"/>
      <c r="V303" s="104"/>
    </row>
    <row r="304" ht="15.75" customHeight="1">
      <c r="A304" s="91"/>
      <c r="B304" s="131"/>
      <c r="C304" s="132"/>
      <c r="D304" s="94"/>
      <c r="E304" s="132"/>
      <c r="F304" s="132"/>
      <c r="G304" s="94"/>
      <c r="H304" s="93"/>
      <c r="I304" s="94"/>
      <c r="J304" s="94"/>
      <c r="K304" s="126"/>
      <c r="L304" s="126"/>
      <c r="M304" s="99"/>
      <c r="N304" s="111"/>
      <c r="O304" s="112"/>
      <c r="P304" s="94"/>
      <c r="Q304" s="120"/>
      <c r="R304" s="113"/>
      <c r="S304" s="94"/>
      <c r="T304" s="94"/>
      <c r="V304" s="104"/>
    </row>
    <row r="305" ht="15.75" customHeight="1">
      <c r="A305" s="91"/>
      <c r="B305" s="131"/>
      <c r="C305" s="132"/>
      <c r="D305" s="94"/>
      <c r="E305" s="132"/>
      <c r="F305" s="132"/>
      <c r="G305" s="94"/>
      <c r="H305" s="93"/>
      <c r="I305" s="94"/>
      <c r="J305" s="94"/>
      <c r="K305" s="125"/>
      <c r="L305" s="125"/>
      <c r="M305" s="99"/>
      <c r="N305" s="111"/>
      <c r="O305" s="112"/>
      <c r="P305" s="94"/>
      <c r="Q305" s="120"/>
      <c r="R305" s="113"/>
      <c r="S305" s="94"/>
      <c r="T305" s="94"/>
      <c r="V305" s="104"/>
    </row>
    <row r="306" ht="15.75" customHeight="1">
      <c r="A306" s="91"/>
      <c r="B306" s="131"/>
      <c r="C306" s="132"/>
      <c r="D306" s="94"/>
      <c r="E306" s="132"/>
      <c r="F306" s="132"/>
      <c r="G306" s="94"/>
      <c r="H306" s="93"/>
      <c r="I306" s="94"/>
      <c r="J306" s="94"/>
      <c r="K306" s="126"/>
      <c r="L306" s="126"/>
      <c r="M306" s="99"/>
      <c r="N306" s="111"/>
      <c r="O306" s="112"/>
      <c r="P306" s="94"/>
      <c r="Q306" s="120"/>
      <c r="R306" s="113"/>
      <c r="S306" s="94"/>
      <c r="T306" s="94"/>
      <c r="V306" s="104"/>
    </row>
    <row r="307" ht="15.75" customHeight="1">
      <c r="A307" s="91"/>
      <c r="B307" s="131"/>
      <c r="C307" s="104"/>
      <c r="D307" s="94"/>
      <c r="E307" s="132"/>
      <c r="F307" s="132"/>
      <c r="G307" s="94"/>
      <c r="H307" s="93"/>
      <c r="I307" s="94"/>
      <c r="J307" s="94"/>
      <c r="K307" s="125"/>
      <c r="L307" s="125"/>
      <c r="M307" s="99"/>
      <c r="N307" s="111"/>
      <c r="O307" s="112"/>
      <c r="P307" s="94"/>
      <c r="Q307" s="120"/>
      <c r="R307" s="113"/>
      <c r="S307" s="94"/>
      <c r="T307" s="94"/>
      <c r="V307" s="104"/>
    </row>
    <row r="308" ht="15.75" customHeight="1">
      <c r="A308" s="91"/>
      <c r="B308" s="131"/>
      <c r="C308" s="132"/>
      <c r="D308" s="94"/>
      <c r="E308" s="132"/>
      <c r="F308" s="132"/>
      <c r="G308" s="94"/>
      <c r="H308" s="93"/>
      <c r="I308" s="94"/>
      <c r="J308" s="94"/>
      <c r="K308" s="126"/>
      <c r="L308" s="126"/>
      <c r="M308" s="99"/>
      <c r="N308" s="111"/>
      <c r="O308" s="112"/>
      <c r="P308" s="94"/>
      <c r="Q308" s="120"/>
      <c r="R308" s="113"/>
      <c r="S308" s="94"/>
      <c r="T308" s="94"/>
      <c r="V308" s="104"/>
    </row>
    <row r="309" ht="15.75" customHeight="1">
      <c r="A309" s="91"/>
      <c r="B309" s="131"/>
      <c r="C309" s="132"/>
      <c r="D309" s="94"/>
      <c r="E309" s="132"/>
      <c r="F309" s="132"/>
      <c r="G309" s="94"/>
      <c r="H309" s="93"/>
      <c r="I309" s="94"/>
      <c r="J309" s="94"/>
      <c r="K309" s="125"/>
      <c r="L309" s="125"/>
      <c r="M309" s="99"/>
      <c r="N309" s="111"/>
      <c r="O309" s="112"/>
      <c r="P309" s="94"/>
      <c r="Q309" s="120"/>
      <c r="R309" s="113"/>
      <c r="S309" s="94"/>
      <c r="T309" s="94"/>
      <c r="V309" s="104"/>
    </row>
    <row r="310" ht="15.75" customHeight="1">
      <c r="A310" s="91"/>
      <c r="B310" s="131"/>
      <c r="C310" s="132"/>
      <c r="D310" s="94"/>
      <c r="E310" s="132"/>
      <c r="F310" s="132"/>
      <c r="G310" s="94"/>
      <c r="H310" s="93"/>
      <c r="I310" s="94"/>
      <c r="J310" s="94"/>
      <c r="K310" s="126"/>
      <c r="L310" s="126"/>
      <c r="M310" s="99"/>
      <c r="N310" s="111"/>
      <c r="O310" s="112"/>
      <c r="P310" s="94"/>
      <c r="Q310" s="120"/>
      <c r="R310" s="113"/>
      <c r="S310" s="94"/>
      <c r="T310" s="94"/>
      <c r="V310" s="104"/>
    </row>
    <row r="311" ht="15.75" customHeight="1">
      <c r="A311" s="91"/>
      <c r="B311" s="131"/>
      <c r="C311" s="132"/>
      <c r="D311" s="94"/>
      <c r="E311" s="132"/>
      <c r="F311" s="132"/>
      <c r="G311" s="94"/>
      <c r="H311" s="93"/>
      <c r="I311" s="94"/>
      <c r="J311" s="94"/>
      <c r="K311" s="125"/>
      <c r="L311" s="125"/>
      <c r="M311" s="99"/>
      <c r="N311" s="111"/>
      <c r="O311" s="112"/>
      <c r="P311" s="94"/>
      <c r="Q311" s="120"/>
      <c r="R311" s="113"/>
      <c r="S311" s="94"/>
      <c r="T311" s="94"/>
      <c r="V311" s="104"/>
    </row>
    <row r="312" ht="15.75" customHeight="1">
      <c r="A312" s="91"/>
      <c r="B312" s="131"/>
      <c r="C312" s="132"/>
      <c r="D312" s="94"/>
      <c r="E312" s="132"/>
      <c r="F312" s="132"/>
      <c r="G312" s="94"/>
      <c r="H312" s="93"/>
      <c r="I312" s="94"/>
      <c r="J312" s="94"/>
      <c r="K312" s="126"/>
      <c r="L312" s="126"/>
      <c r="M312" s="99"/>
      <c r="N312" s="111"/>
      <c r="O312" s="112"/>
      <c r="P312" s="94"/>
      <c r="Q312" s="120"/>
      <c r="R312" s="113"/>
      <c r="S312" s="94"/>
      <c r="T312" s="94"/>
      <c r="V312" s="104"/>
    </row>
    <row r="313" ht="15.75" customHeight="1">
      <c r="A313" s="91"/>
      <c r="B313" s="131"/>
      <c r="C313" s="104"/>
      <c r="D313" s="94"/>
      <c r="E313" s="132"/>
      <c r="F313" s="132"/>
      <c r="G313" s="94"/>
      <c r="H313" s="93"/>
      <c r="I313" s="94"/>
      <c r="J313" s="94"/>
      <c r="K313" s="125"/>
      <c r="L313" s="125"/>
      <c r="M313" s="99"/>
      <c r="N313" s="111"/>
      <c r="O313" s="112"/>
      <c r="P313" s="94"/>
      <c r="Q313" s="120"/>
      <c r="R313" s="113"/>
      <c r="S313" s="94"/>
      <c r="T313" s="94"/>
      <c r="V313" s="104"/>
    </row>
    <row r="314" ht="15.75" customHeight="1">
      <c r="A314" s="91"/>
      <c r="B314" s="131"/>
      <c r="C314" s="132"/>
      <c r="D314" s="94"/>
      <c r="E314" s="132"/>
      <c r="F314" s="132"/>
      <c r="G314" s="94"/>
      <c r="H314" s="93"/>
      <c r="I314" s="94"/>
      <c r="J314" s="94"/>
      <c r="K314" s="126"/>
      <c r="L314" s="126"/>
      <c r="M314" s="99"/>
      <c r="N314" s="111"/>
      <c r="O314" s="112"/>
      <c r="P314" s="94"/>
      <c r="Q314" s="120"/>
      <c r="R314" s="113"/>
      <c r="S314" s="94"/>
      <c r="T314" s="94"/>
      <c r="V314" s="104"/>
    </row>
    <row r="315" ht="15.75" customHeight="1">
      <c r="A315" s="91"/>
      <c r="B315" s="131"/>
      <c r="C315" s="132"/>
      <c r="D315" s="94"/>
      <c r="E315" s="132"/>
      <c r="F315" s="132"/>
      <c r="G315" s="94"/>
      <c r="H315" s="93"/>
      <c r="I315" s="94"/>
      <c r="J315" s="94"/>
      <c r="K315" s="125"/>
      <c r="L315" s="125"/>
      <c r="M315" s="99"/>
      <c r="N315" s="111"/>
      <c r="O315" s="112"/>
      <c r="P315" s="94"/>
      <c r="Q315" s="120"/>
      <c r="R315" s="113"/>
      <c r="S315" s="94"/>
      <c r="T315" s="94"/>
      <c r="V315" s="104"/>
    </row>
    <row r="316" ht="15.75" customHeight="1">
      <c r="A316" s="91"/>
      <c r="B316" s="131"/>
      <c r="C316" s="132"/>
      <c r="D316" s="94"/>
      <c r="E316" s="132"/>
      <c r="F316" s="132"/>
      <c r="G316" s="94"/>
      <c r="H316" s="93"/>
      <c r="I316" s="94"/>
      <c r="J316" s="94"/>
      <c r="K316" s="126"/>
      <c r="L316" s="126"/>
      <c r="M316" s="99"/>
      <c r="N316" s="111"/>
      <c r="O316" s="112"/>
      <c r="P316" s="94"/>
      <c r="Q316" s="120"/>
      <c r="R316" s="113"/>
      <c r="S316" s="94"/>
      <c r="T316" s="94"/>
      <c r="V316" s="104"/>
    </row>
    <row r="317" ht="15.75" customHeight="1">
      <c r="A317" s="91"/>
      <c r="B317" s="131"/>
      <c r="C317" s="132"/>
      <c r="D317" s="94"/>
      <c r="E317" s="132"/>
      <c r="F317" s="132"/>
      <c r="G317" s="94"/>
      <c r="H317" s="93"/>
      <c r="I317" s="94"/>
      <c r="J317" s="94"/>
      <c r="K317" s="125"/>
      <c r="L317" s="125"/>
      <c r="M317" s="99"/>
      <c r="N317" s="111"/>
      <c r="O317" s="112"/>
      <c r="P317" s="94"/>
      <c r="Q317" s="120"/>
      <c r="R317" s="113"/>
      <c r="S317" s="94"/>
      <c r="T317" s="94"/>
      <c r="V317" s="104"/>
    </row>
    <row r="318" ht="15.75" customHeight="1">
      <c r="A318" s="91"/>
      <c r="B318" s="131"/>
      <c r="C318" s="132"/>
      <c r="D318" s="94"/>
      <c r="E318" s="132"/>
      <c r="F318" s="132"/>
      <c r="G318" s="94"/>
      <c r="H318" s="93"/>
      <c r="I318" s="94"/>
      <c r="J318" s="94"/>
      <c r="K318" s="126"/>
      <c r="L318" s="126"/>
      <c r="M318" s="99"/>
      <c r="N318" s="111"/>
      <c r="O318" s="112"/>
      <c r="P318" s="94"/>
      <c r="Q318" s="120"/>
      <c r="R318" s="113"/>
      <c r="S318" s="94"/>
      <c r="T318" s="94"/>
      <c r="V318" s="104"/>
    </row>
    <row r="319" ht="15.75" customHeight="1">
      <c r="A319" s="91"/>
      <c r="B319" s="131"/>
      <c r="C319" s="104"/>
      <c r="D319" s="94"/>
      <c r="E319" s="132"/>
      <c r="F319" s="132"/>
      <c r="G319" s="94"/>
      <c r="H319" s="93"/>
      <c r="I319" s="94"/>
      <c r="J319" s="94"/>
      <c r="K319" s="125"/>
      <c r="L319" s="125"/>
      <c r="M319" s="99"/>
      <c r="N319" s="111"/>
      <c r="O319" s="112"/>
      <c r="P319" s="94"/>
      <c r="Q319" s="120"/>
      <c r="R319" s="113"/>
      <c r="S319" s="94"/>
      <c r="T319" s="94"/>
      <c r="V319" s="104"/>
    </row>
    <row r="320" ht="15.75" customHeight="1">
      <c r="A320" s="91"/>
      <c r="B320" s="131"/>
      <c r="C320" s="132"/>
      <c r="D320" s="94"/>
      <c r="E320" s="132"/>
      <c r="F320" s="132"/>
      <c r="G320" s="94"/>
      <c r="H320" s="93"/>
      <c r="I320" s="94"/>
      <c r="J320" s="94"/>
      <c r="K320" s="126"/>
      <c r="L320" s="126"/>
      <c r="M320" s="99"/>
      <c r="N320" s="111"/>
      <c r="O320" s="112"/>
      <c r="P320" s="94"/>
      <c r="Q320" s="120"/>
      <c r="R320" s="113"/>
      <c r="S320" s="94"/>
      <c r="T320" s="94"/>
      <c r="V320" s="104"/>
    </row>
    <row r="321" ht="15.75" customHeight="1">
      <c r="A321" s="91"/>
      <c r="B321" s="131"/>
      <c r="C321" s="132"/>
      <c r="D321" s="94"/>
      <c r="E321" s="132"/>
      <c r="F321" s="132"/>
      <c r="G321" s="94"/>
      <c r="H321" s="93"/>
      <c r="I321" s="94"/>
      <c r="J321" s="94"/>
      <c r="K321" s="125"/>
      <c r="L321" s="125"/>
      <c r="M321" s="99"/>
      <c r="N321" s="111"/>
      <c r="O321" s="112"/>
      <c r="P321" s="94"/>
      <c r="Q321" s="120"/>
      <c r="R321" s="113"/>
      <c r="S321" s="94"/>
      <c r="T321" s="94"/>
      <c r="V321" s="104"/>
    </row>
    <row r="322" ht="15.75" customHeight="1">
      <c r="A322" s="91"/>
      <c r="B322" s="131"/>
      <c r="C322" s="132"/>
      <c r="D322" s="94"/>
      <c r="E322" s="132"/>
      <c r="F322" s="132"/>
      <c r="G322" s="94"/>
      <c r="H322" s="93"/>
      <c r="I322" s="94"/>
      <c r="J322" s="94"/>
      <c r="K322" s="126"/>
      <c r="L322" s="126"/>
      <c r="M322" s="99"/>
      <c r="N322" s="111"/>
      <c r="O322" s="112"/>
      <c r="P322" s="94"/>
      <c r="Q322" s="120"/>
      <c r="R322" s="113"/>
      <c r="S322" s="94"/>
      <c r="T322" s="94"/>
      <c r="V322" s="104"/>
    </row>
    <row r="323" ht="15.75" customHeight="1">
      <c r="A323" s="91"/>
      <c r="B323" s="131"/>
      <c r="C323" s="132"/>
      <c r="D323" s="94"/>
      <c r="E323" s="132"/>
      <c r="F323" s="132"/>
      <c r="G323" s="94"/>
      <c r="H323" s="93"/>
      <c r="I323" s="94"/>
      <c r="J323" s="94"/>
      <c r="K323" s="125"/>
      <c r="L323" s="125"/>
      <c r="M323" s="99"/>
      <c r="N323" s="111"/>
      <c r="O323" s="112"/>
      <c r="P323" s="94"/>
      <c r="Q323" s="120"/>
      <c r="R323" s="113"/>
      <c r="S323" s="94"/>
      <c r="T323" s="94"/>
      <c r="V323" s="104"/>
    </row>
    <row r="324" ht="15.75" customHeight="1">
      <c r="A324" s="91"/>
      <c r="B324" s="131"/>
      <c r="C324" s="132"/>
      <c r="D324" s="94"/>
      <c r="E324" s="132"/>
      <c r="F324" s="132"/>
      <c r="G324" s="94"/>
      <c r="H324" s="93"/>
      <c r="I324" s="94"/>
      <c r="J324" s="94"/>
      <c r="K324" s="126"/>
      <c r="L324" s="126"/>
      <c r="M324" s="99"/>
      <c r="N324" s="111"/>
      <c r="O324" s="112"/>
      <c r="P324" s="94"/>
      <c r="Q324" s="120"/>
      <c r="R324" s="113"/>
      <c r="S324" s="94"/>
      <c r="T324" s="94"/>
      <c r="V324" s="104"/>
    </row>
    <row r="325" ht="15.75" customHeight="1">
      <c r="A325" s="91"/>
      <c r="B325" s="131"/>
      <c r="C325" s="104"/>
      <c r="D325" s="94"/>
      <c r="E325" s="132"/>
      <c r="F325" s="132"/>
      <c r="G325" s="94"/>
      <c r="H325" s="93"/>
      <c r="I325" s="94"/>
      <c r="J325" s="94"/>
      <c r="K325" s="125"/>
      <c r="L325" s="125"/>
      <c r="M325" s="99"/>
      <c r="N325" s="111"/>
      <c r="O325" s="112"/>
      <c r="P325" s="94"/>
      <c r="Q325" s="120"/>
      <c r="R325" s="113"/>
      <c r="S325" s="94"/>
      <c r="T325" s="94"/>
      <c r="V325" s="104"/>
    </row>
    <row r="326" ht="15.75" customHeight="1">
      <c r="A326" s="91"/>
      <c r="B326" s="131"/>
      <c r="C326" s="132"/>
      <c r="D326" s="94"/>
      <c r="E326" s="132"/>
      <c r="F326" s="132"/>
      <c r="G326" s="94"/>
      <c r="H326" s="93"/>
      <c r="I326" s="94"/>
      <c r="J326" s="94"/>
      <c r="K326" s="126"/>
      <c r="L326" s="126"/>
      <c r="M326" s="99"/>
      <c r="N326" s="111"/>
      <c r="O326" s="112"/>
      <c r="P326" s="94"/>
      <c r="Q326" s="120"/>
      <c r="R326" s="113"/>
      <c r="S326" s="94"/>
      <c r="T326" s="94"/>
      <c r="V326" s="104"/>
    </row>
    <row r="327" ht="15.75" customHeight="1">
      <c r="A327" s="91"/>
      <c r="B327" s="131"/>
      <c r="C327" s="132"/>
      <c r="D327" s="94"/>
      <c r="E327" s="132"/>
      <c r="F327" s="132"/>
      <c r="G327" s="94"/>
      <c r="H327" s="93"/>
      <c r="I327" s="94"/>
      <c r="J327" s="94"/>
      <c r="K327" s="125"/>
      <c r="L327" s="125"/>
      <c r="M327" s="99"/>
      <c r="N327" s="111"/>
      <c r="O327" s="112"/>
      <c r="P327" s="94"/>
      <c r="Q327" s="120"/>
      <c r="R327" s="113"/>
      <c r="S327" s="94"/>
      <c r="T327" s="94"/>
      <c r="V327" s="104"/>
    </row>
    <row r="328" ht="15.75" customHeight="1">
      <c r="A328" s="91"/>
      <c r="B328" s="131"/>
      <c r="C328" s="132"/>
      <c r="D328" s="94"/>
      <c r="E328" s="132"/>
      <c r="F328" s="132"/>
      <c r="G328" s="94"/>
      <c r="H328" s="93"/>
      <c r="I328" s="94"/>
      <c r="J328" s="94"/>
      <c r="K328" s="126"/>
      <c r="L328" s="126"/>
      <c r="M328" s="99"/>
      <c r="N328" s="111"/>
      <c r="O328" s="112"/>
      <c r="P328" s="94"/>
      <c r="Q328" s="120"/>
      <c r="R328" s="113"/>
      <c r="S328" s="94"/>
      <c r="T328" s="94"/>
      <c r="V328" s="104"/>
    </row>
    <row r="329" ht="15.75" customHeight="1">
      <c r="A329" s="91"/>
      <c r="B329" s="131"/>
      <c r="C329" s="132"/>
      <c r="D329" s="94"/>
      <c r="E329" s="132"/>
      <c r="F329" s="132"/>
      <c r="G329" s="94"/>
      <c r="H329" s="93"/>
      <c r="I329" s="94"/>
      <c r="J329" s="94"/>
      <c r="K329" s="125"/>
      <c r="L329" s="125"/>
      <c r="M329" s="99"/>
      <c r="N329" s="111"/>
      <c r="O329" s="112"/>
      <c r="P329" s="94"/>
      <c r="Q329" s="120"/>
      <c r="R329" s="113"/>
      <c r="S329" s="94"/>
      <c r="T329" s="94"/>
      <c r="V329" s="104"/>
    </row>
    <row r="330" ht="15.75" customHeight="1">
      <c r="A330" s="91"/>
      <c r="B330" s="131"/>
      <c r="C330" s="132"/>
      <c r="D330" s="94"/>
      <c r="E330" s="132"/>
      <c r="F330" s="132"/>
      <c r="G330" s="94"/>
      <c r="H330" s="93"/>
      <c r="I330" s="94"/>
      <c r="J330" s="94"/>
      <c r="K330" s="126"/>
      <c r="L330" s="126"/>
      <c r="M330" s="99"/>
      <c r="N330" s="111"/>
      <c r="O330" s="112"/>
      <c r="P330" s="94"/>
      <c r="Q330" s="120"/>
      <c r="R330" s="113"/>
      <c r="S330" s="94"/>
      <c r="T330" s="94"/>
      <c r="V330" s="104"/>
    </row>
    <row r="331" ht="15.75" customHeight="1">
      <c r="A331" s="91"/>
      <c r="B331" s="131"/>
      <c r="C331" s="104"/>
      <c r="D331" s="94"/>
      <c r="E331" s="132"/>
      <c r="F331" s="132"/>
      <c r="G331" s="94"/>
      <c r="H331" s="93"/>
      <c r="I331" s="94"/>
      <c r="J331" s="94"/>
      <c r="K331" s="125"/>
      <c r="L331" s="125"/>
      <c r="M331" s="99"/>
      <c r="N331" s="111"/>
      <c r="O331" s="112"/>
      <c r="P331" s="94"/>
      <c r="Q331" s="120"/>
      <c r="R331" s="113"/>
      <c r="S331" s="94"/>
      <c r="T331" s="94"/>
      <c r="V331" s="104"/>
    </row>
    <row r="332" ht="15.75" customHeight="1">
      <c r="A332" s="91"/>
      <c r="B332" s="131"/>
      <c r="C332" s="132"/>
      <c r="D332" s="94"/>
      <c r="E332" s="132"/>
      <c r="F332" s="132"/>
      <c r="G332" s="94"/>
      <c r="H332" s="93"/>
      <c r="I332" s="94"/>
      <c r="J332" s="94"/>
      <c r="K332" s="126"/>
      <c r="L332" s="126"/>
      <c r="M332" s="99"/>
      <c r="N332" s="111"/>
      <c r="O332" s="112"/>
      <c r="P332" s="94"/>
      <c r="Q332" s="120"/>
      <c r="R332" s="113"/>
      <c r="S332" s="94"/>
      <c r="T332" s="94"/>
      <c r="V332" s="104"/>
    </row>
    <row r="333" ht="15.75" customHeight="1">
      <c r="A333" s="91"/>
      <c r="B333" s="131"/>
      <c r="C333" s="132"/>
      <c r="D333" s="94"/>
      <c r="E333" s="132"/>
      <c r="F333" s="132"/>
      <c r="G333" s="94"/>
      <c r="H333" s="93"/>
      <c r="I333" s="94"/>
      <c r="J333" s="94"/>
      <c r="K333" s="125"/>
      <c r="L333" s="125"/>
      <c r="M333" s="99"/>
      <c r="N333" s="111"/>
      <c r="O333" s="112"/>
      <c r="P333" s="94"/>
      <c r="Q333" s="120"/>
      <c r="R333" s="113"/>
      <c r="S333" s="94"/>
      <c r="T333" s="94"/>
      <c r="V333" s="104"/>
    </row>
    <row r="334" ht="15.75" customHeight="1">
      <c r="A334" s="91"/>
      <c r="B334" s="131"/>
      <c r="C334" s="132"/>
      <c r="D334" s="94"/>
      <c r="E334" s="132"/>
      <c r="F334" s="132"/>
      <c r="G334" s="94"/>
      <c r="H334" s="93"/>
      <c r="I334" s="94"/>
      <c r="J334" s="94"/>
      <c r="K334" s="126"/>
      <c r="L334" s="126"/>
      <c r="M334" s="99"/>
      <c r="N334" s="111"/>
      <c r="O334" s="112"/>
      <c r="P334" s="94"/>
      <c r="Q334" s="120"/>
      <c r="R334" s="113"/>
      <c r="S334" s="94"/>
      <c r="T334" s="94"/>
      <c r="V334" s="104"/>
    </row>
    <row r="335" ht="15.75" customHeight="1">
      <c r="A335" s="91"/>
      <c r="B335" s="131"/>
      <c r="C335" s="132"/>
      <c r="D335" s="94"/>
      <c r="E335" s="132"/>
      <c r="F335" s="132"/>
      <c r="G335" s="94"/>
      <c r="H335" s="93"/>
      <c r="I335" s="94"/>
      <c r="J335" s="94"/>
      <c r="K335" s="125"/>
      <c r="L335" s="125"/>
      <c r="M335" s="99"/>
      <c r="N335" s="111"/>
      <c r="O335" s="112"/>
      <c r="P335" s="94"/>
      <c r="Q335" s="120"/>
      <c r="R335" s="113"/>
      <c r="S335" s="94"/>
      <c r="T335" s="94"/>
      <c r="V335" s="104"/>
    </row>
    <row r="336" ht="15.75" customHeight="1">
      <c r="A336" s="91"/>
      <c r="B336" s="131"/>
      <c r="C336" s="132"/>
      <c r="D336" s="94"/>
      <c r="E336" s="132"/>
      <c r="F336" s="132"/>
      <c r="G336" s="94"/>
      <c r="H336" s="93"/>
      <c r="I336" s="94"/>
      <c r="J336" s="94"/>
      <c r="K336" s="126"/>
      <c r="L336" s="126"/>
      <c r="M336" s="99"/>
      <c r="N336" s="111"/>
      <c r="O336" s="112"/>
      <c r="P336" s="94"/>
      <c r="Q336" s="120"/>
      <c r="R336" s="113"/>
      <c r="S336" s="94"/>
      <c r="T336" s="94"/>
      <c r="V336" s="104"/>
    </row>
    <row r="337" ht="15.75" customHeight="1">
      <c r="A337" s="91"/>
      <c r="B337" s="131"/>
      <c r="C337" s="104"/>
      <c r="D337" s="94"/>
      <c r="E337" s="132"/>
      <c r="F337" s="132"/>
      <c r="G337" s="94"/>
      <c r="H337" s="93"/>
      <c r="I337" s="94"/>
      <c r="J337" s="94"/>
      <c r="K337" s="125"/>
      <c r="L337" s="125"/>
      <c r="M337" s="99"/>
      <c r="N337" s="111"/>
      <c r="O337" s="112"/>
      <c r="P337" s="94"/>
      <c r="Q337" s="120"/>
      <c r="R337" s="113"/>
      <c r="S337" s="94"/>
      <c r="T337" s="94"/>
      <c r="V337" s="104"/>
    </row>
    <row r="338" ht="15.75" customHeight="1">
      <c r="A338" s="91"/>
      <c r="B338" s="131"/>
      <c r="C338" s="132"/>
      <c r="D338" s="94"/>
      <c r="E338" s="132"/>
      <c r="F338" s="132"/>
      <c r="G338" s="94"/>
      <c r="H338" s="93"/>
      <c r="I338" s="94"/>
      <c r="J338" s="94"/>
      <c r="K338" s="126"/>
      <c r="L338" s="126"/>
      <c r="M338" s="99"/>
      <c r="N338" s="111"/>
      <c r="O338" s="112"/>
      <c r="P338" s="94"/>
      <c r="Q338" s="120"/>
      <c r="R338" s="113"/>
      <c r="S338" s="94"/>
      <c r="T338" s="94"/>
      <c r="V338" s="104"/>
    </row>
    <row r="339" ht="15.75" customHeight="1">
      <c r="A339" s="91"/>
      <c r="B339" s="131"/>
      <c r="C339" s="132"/>
      <c r="D339" s="94"/>
      <c r="E339" s="132"/>
      <c r="F339" s="132"/>
      <c r="G339" s="94"/>
      <c r="H339" s="93"/>
      <c r="I339" s="94"/>
      <c r="J339" s="94"/>
      <c r="K339" s="125"/>
      <c r="L339" s="125"/>
      <c r="M339" s="99"/>
      <c r="N339" s="111"/>
      <c r="O339" s="112"/>
      <c r="P339" s="94"/>
      <c r="Q339" s="120"/>
      <c r="R339" s="113"/>
      <c r="S339" s="94"/>
      <c r="T339" s="94"/>
      <c r="V339" s="104"/>
    </row>
    <row r="340" ht="15.75" customHeight="1">
      <c r="A340" s="91"/>
      <c r="B340" s="131"/>
      <c r="C340" s="132"/>
      <c r="D340" s="94"/>
      <c r="E340" s="132"/>
      <c r="F340" s="132"/>
      <c r="G340" s="94"/>
      <c r="H340" s="93"/>
      <c r="I340" s="94"/>
      <c r="J340" s="94"/>
      <c r="K340" s="126"/>
      <c r="L340" s="126"/>
      <c r="M340" s="99"/>
      <c r="N340" s="111"/>
      <c r="O340" s="112"/>
      <c r="P340" s="94"/>
      <c r="Q340" s="120"/>
      <c r="R340" s="113"/>
      <c r="S340" s="94"/>
      <c r="T340" s="94"/>
      <c r="V340" s="104"/>
    </row>
    <row r="341" ht="15.75" customHeight="1">
      <c r="A341" s="91"/>
      <c r="B341" s="131"/>
      <c r="C341" s="132"/>
      <c r="D341" s="94"/>
      <c r="E341" s="132"/>
      <c r="F341" s="132"/>
      <c r="G341" s="94"/>
      <c r="H341" s="93"/>
      <c r="I341" s="94"/>
      <c r="J341" s="94"/>
      <c r="K341" s="125"/>
      <c r="L341" s="125"/>
      <c r="M341" s="99"/>
      <c r="N341" s="111"/>
      <c r="O341" s="112"/>
      <c r="P341" s="94"/>
      <c r="Q341" s="120"/>
      <c r="R341" s="113"/>
      <c r="S341" s="94"/>
      <c r="T341" s="94"/>
      <c r="V341" s="104"/>
    </row>
    <row r="342" ht="15.75" customHeight="1">
      <c r="A342" s="91"/>
      <c r="B342" s="131"/>
      <c r="C342" s="132"/>
      <c r="D342" s="94"/>
      <c r="E342" s="132"/>
      <c r="F342" s="132"/>
      <c r="G342" s="94"/>
      <c r="H342" s="93"/>
      <c r="I342" s="94"/>
      <c r="J342" s="94"/>
      <c r="K342" s="126"/>
      <c r="L342" s="126"/>
      <c r="M342" s="99"/>
      <c r="N342" s="111"/>
      <c r="O342" s="112"/>
      <c r="P342" s="94"/>
      <c r="Q342" s="120"/>
      <c r="R342" s="113"/>
      <c r="S342" s="94"/>
      <c r="T342" s="94"/>
      <c r="V342" s="104"/>
    </row>
    <row r="343" ht="15.75" customHeight="1">
      <c r="A343" s="91"/>
      <c r="B343" s="131"/>
      <c r="C343" s="104"/>
      <c r="D343" s="94"/>
      <c r="E343" s="132"/>
      <c r="F343" s="132"/>
      <c r="G343" s="94"/>
      <c r="H343" s="93"/>
      <c r="I343" s="94"/>
      <c r="J343" s="94"/>
      <c r="K343" s="125"/>
      <c r="L343" s="125"/>
      <c r="M343" s="99"/>
      <c r="N343" s="111"/>
      <c r="O343" s="112"/>
      <c r="P343" s="94"/>
      <c r="Q343" s="120"/>
      <c r="R343" s="113"/>
      <c r="S343" s="94"/>
      <c r="T343" s="94"/>
      <c r="V343" s="104"/>
    </row>
    <row r="344" ht="15.75" customHeight="1">
      <c r="A344" s="91"/>
      <c r="B344" s="131"/>
      <c r="C344" s="132"/>
      <c r="D344" s="94"/>
      <c r="E344" s="132"/>
      <c r="F344" s="132"/>
      <c r="G344" s="94"/>
      <c r="H344" s="93"/>
      <c r="I344" s="94"/>
      <c r="J344" s="94"/>
      <c r="K344" s="126"/>
      <c r="L344" s="126"/>
      <c r="M344" s="99"/>
      <c r="N344" s="111"/>
      <c r="O344" s="112"/>
      <c r="P344" s="94"/>
      <c r="Q344" s="120"/>
      <c r="R344" s="113"/>
      <c r="S344" s="94"/>
      <c r="T344" s="94"/>
      <c r="V344" s="104"/>
    </row>
    <row r="345" ht="15.75" customHeight="1">
      <c r="A345" s="91"/>
      <c r="B345" s="131"/>
      <c r="C345" s="132"/>
      <c r="D345" s="94"/>
      <c r="E345" s="132"/>
      <c r="F345" s="132"/>
      <c r="G345" s="94"/>
      <c r="H345" s="93"/>
      <c r="I345" s="94"/>
      <c r="J345" s="94"/>
      <c r="K345" s="125"/>
      <c r="L345" s="125"/>
      <c r="M345" s="99"/>
      <c r="N345" s="111"/>
      <c r="O345" s="112"/>
      <c r="P345" s="94"/>
      <c r="Q345" s="120"/>
      <c r="R345" s="113"/>
      <c r="S345" s="94"/>
      <c r="T345" s="94"/>
      <c r="V345" s="104"/>
    </row>
    <row r="346" ht="15.75" customHeight="1">
      <c r="A346" s="91"/>
      <c r="B346" s="131"/>
      <c r="C346" s="132"/>
      <c r="D346" s="94"/>
      <c r="E346" s="132"/>
      <c r="F346" s="132"/>
      <c r="G346" s="94"/>
      <c r="H346" s="93"/>
      <c r="I346" s="94"/>
      <c r="J346" s="94"/>
      <c r="K346" s="126"/>
      <c r="L346" s="126"/>
      <c r="M346" s="99"/>
      <c r="N346" s="111"/>
      <c r="O346" s="112"/>
      <c r="P346" s="94"/>
      <c r="Q346" s="120"/>
      <c r="R346" s="113"/>
      <c r="S346" s="94"/>
      <c r="T346" s="94"/>
      <c r="V346" s="104"/>
    </row>
    <row r="347" ht="15.75" customHeight="1">
      <c r="A347" s="91"/>
      <c r="B347" s="131"/>
      <c r="C347" s="132"/>
      <c r="D347" s="94"/>
      <c r="E347" s="132"/>
      <c r="F347" s="132"/>
      <c r="G347" s="94"/>
      <c r="H347" s="93"/>
      <c r="I347" s="94"/>
      <c r="J347" s="94"/>
      <c r="K347" s="125"/>
      <c r="L347" s="125"/>
      <c r="M347" s="99"/>
      <c r="N347" s="111"/>
      <c r="O347" s="112"/>
      <c r="P347" s="94"/>
      <c r="Q347" s="120"/>
      <c r="R347" s="113"/>
      <c r="S347" s="94"/>
      <c r="T347" s="94"/>
      <c r="V347" s="104"/>
    </row>
    <row r="348" ht="15.75" customHeight="1">
      <c r="A348" s="91"/>
      <c r="B348" s="131"/>
      <c r="C348" s="132"/>
      <c r="D348" s="94"/>
      <c r="E348" s="132"/>
      <c r="F348" s="132"/>
      <c r="G348" s="94"/>
      <c r="H348" s="93"/>
      <c r="I348" s="94"/>
      <c r="J348" s="94"/>
      <c r="K348" s="126"/>
      <c r="L348" s="126"/>
      <c r="M348" s="99"/>
      <c r="N348" s="111"/>
      <c r="O348" s="112"/>
      <c r="P348" s="94"/>
      <c r="Q348" s="120"/>
      <c r="R348" s="113"/>
      <c r="S348" s="94"/>
      <c r="T348" s="94"/>
      <c r="V348" s="104"/>
    </row>
    <row r="349" ht="15.75" customHeight="1">
      <c r="A349" s="91"/>
      <c r="B349" s="131"/>
      <c r="C349" s="104"/>
      <c r="D349" s="94"/>
      <c r="E349" s="132"/>
      <c r="F349" s="132"/>
      <c r="G349" s="94"/>
      <c r="H349" s="93"/>
      <c r="I349" s="94"/>
      <c r="J349" s="94"/>
      <c r="K349" s="125"/>
      <c r="L349" s="125"/>
      <c r="M349" s="99"/>
      <c r="N349" s="111"/>
      <c r="O349" s="112"/>
      <c r="P349" s="94"/>
      <c r="Q349" s="120"/>
      <c r="R349" s="113"/>
      <c r="S349" s="94"/>
      <c r="T349" s="94"/>
      <c r="V349" s="104"/>
    </row>
    <row r="350" ht="15.75" customHeight="1">
      <c r="A350" s="91"/>
      <c r="B350" s="131"/>
      <c r="C350" s="132"/>
      <c r="D350" s="94"/>
      <c r="E350" s="132"/>
      <c r="F350" s="132"/>
      <c r="G350" s="94"/>
      <c r="H350" s="93"/>
      <c r="I350" s="94"/>
      <c r="J350" s="94"/>
      <c r="K350" s="126"/>
      <c r="L350" s="126"/>
      <c r="M350" s="99"/>
      <c r="N350" s="111"/>
      <c r="O350" s="112"/>
      <c r="P350" s="94"/>
      <c r="Q350" s="120"/>
      <c r="R350" s="113"/>
      <c r="S350" s="94"/>
      <c r="T350" s="94"/>
      <c r="V350" s="104"/>
    </row>
    <row r="351" ht="15.75" customHeight="1">
      <c r="A351" s="91"/>
      <c r="B351" s="131"/>
      <c r="C351" s="132"/>
      <c r="D351" s="94"/>
      <c r="E351" s="132"/>
      <c r="F351" s="132"/>
      <c r="G351" s="94"/>
      <c r="H351" s="93"/>
      <c r="I351" s="94"/>
      <c r="J351" s="94"/>
      <c r="K351" s="125"/>
      <c r="L351" s="125"/>
      <c r="M351" s="99"/>
      <c r="N351" s="111"/>
      <c r="O351" s="112"/>
      <c r="P351" s="94"/>
      <c r="Q351" s="120"/>
      <c r="R351" s="113"/>
      <c r="S351" s="94"/>
      <c r="T351" s="94"/>
      <c r="V351" s="104"/>
    </row>
    <row r="352" ht="15.75" customHeight="1">
      <c r="A352" s="91"/>
      <c r="B352" s="131"/>
      <c r="C352" s="132"/>
      <c r="D352" s="94"/>
      <c r="E352" s="132"/>
      <c r="F352" s="132"/>
      <c r="G352" s="94"/>
      <c r="H352" s="93"/>
      <c r="I352" s="94"/>
      <c r="J352" s="94"/>
      <c r="K352" s="135"/>
      <c r="L352" s="135"/>
      <c r="M352" s="99"/>
      <c r="N352" s="111"/>
      <c r="O352" s="112"/>
      <c r="P352" s="94"/>
      <c r="Q352" s="120"/>
      <c r="R352" s="113"/>
      <c r="S352" s="94"/>
      <c r="T352" s="94"/>
      <c r="V352" s="104"/>
    </row>
    <row r="353" ht="15.75" customHeight="1">
      <c r="A353" s="91"/>
      <c r="B353" s="131"/>
      <c r="C353" s="132"/>
      <c r="D353" s="94"/>
      <c r="E353" s="132"/>
      <c r="F353" s="132"/>
      <c r="G353" s="94"/>
      <c r="H353" s="93"/>
      <c r="I353" s="94"/>
      <c r="J353" s="94"/>
      <c r="K353" s="135"/>
      <c r="L353" s="135"/>
      <c r="M353" s="99"/>
      <c r="N353" s="111"/>
      <c r="O353" s="112"/>
      <c r="P353" s="94"/>
      <c r="Q353" s="120"/>
      <c r="R353" s="113"/>
      <c r="S353" s="94"/>
      <c r="T353" s="94"/>
      <c r="V353" s="104"/>
    </row>
    <row r="354" ht="15.75" customHeight="1">
      <c r="A354" s="91"/>
      <c r="B354" s="131"/>
      <c r="C354" s="132"/>
      <c r="D354" s="94"/>
      <c r="E354" s="132"/>
      <c r="F354" s="132"/>
      <c r="G354" s="94"/>
      <c r="H354" s="93"/>
      <c r="I354" s="94"/>
      <c r="J354" s="94"/>
      <c r="K354" s="135"/>
      <c r="L354" s="135"/>
      <c r="M354" s="99"/>
      <c r="N354" s="111"/>
      <c r="O354" s="112"/>
      <c r="P354" s="94"/>
      <c r="Q354" s="120"/>
      <c r="R354" s="113"/>
      <c r="S354" s="94"/>
      <c r="T354" s="94"/>
      <c r="V354" s="104"/>
    </row>
    <row r="355" ht="15.75" customHeight="1">
      <c r="A355" s="91"/>
      <c r="B355" s="131"/>
      <c r="C355" s="104"/>
      <c r="D355" s="94"/>
      <c r="E355" s="132"/>
      <c r="F355" s="132"/>
      <c r="G355" s="94"/>
      <c r="H355" s="93"/>
      <c r="I355" s="94"/>
      <c r="J355" s="94"/>
      <c r="K355" s="135"/>
      <c r="L355" s="135"/>
      <c r="M355" s="99"/>
      <c r="N355" s="111"/>
      <c r="O355" s="112"/>
      <c r="P355" s="94"/>
      <c r="Q355" s="120"/>
      <c r="R355" s="113"/>
      <c r="S355" s="94"/>
      <c r="T355" s="94"/>
      <c r="V355" s="104"/>
    </row>
    <row r="356" ht="15.75" customHeight="1">
      <c r="A356" s="91"/>
      <c r="B356" s="131"/>
      <c r="C356" s="132"/>
      <c r="D356" s="94"/>
      <c r="E356" s="132"/>
      <c r="F356" s="132"/>
      <c r="G356" s="94"/>
      <c r="H356" s="93"/>
      <c r="I356" s="94"/>
      <c r="J356" s="94"/>
      <c r="K356" s="135"/>
      <c r="L356" s="135"/>
      <c r="M356" s="99"/>
      <c r="N356" s="111"/>
      <c r="O356" s="112"/>
      <c r="P356" s="94"/>
      <c r="Q356" s="120"/>
      <c r="R356" s="113"/>
      <c r="S356" s="94"/>
      <c r="T356" s="94"/>
      <c r="V356" s="104"/>
    </row>
    <row r="357" ht="15.75" customHeight="1">
      <c r="A357" s="91"/>
      <c r="B357" s="131"/>
      <c r="C357" s="132"/>
      <c r="D357" s="94"/>
      <c r="E357" s="132"/>
      <c r="F357" s="132"/>
      <c r="G357" s="94"/>
      <c r="H357" s="93"/>
      <c r="I357" s="94"/>
      <c r="J357" s="94"/>
      <c r="K357" s="135"/>
      <c r="L357" s="135"/>
      <c r="M357" s="99"/>
      <c r="N357" s="111"/>
      <c r="O357" s="112"/>
      <c r="P357" s="94"/>
      <c r="Q357" s="120"/>
      <c r="R357" s="113"/>
      <c r="S357" s="94"/>
      <c r="T357" s="94"/>
      <c r="V357" s="104"/>
    </row>
    <row r="358" ht="15.75" customHeight="1">
      <c r="A358" s="91"/>
      <c r="B358" s="131"/>
      <c r="C358" s="132"/>
      <c r="D358" s="94"/>
      <c r="E358" s="132"/>
      <c r="F358" s="132"/>
      <c r="G358" s="94"/>
      <c r="H358" s="93"/>
      <c r="I358" s="94"/>
      <c r="J358" s="94"/>
      <c r="K358" s="135"/>
      <c r="L358" s="135"/>
      <c r="M358" s="99"/>
      <c r="N358" s="111"/>
      <c r="O358" s="112"/>
      <c r="P358" s="94"/>
      <c r="Q358" s="120"/>
      <c r="R358" s="113"/>
      <c r="S358" s="94"/>
      <c r="T358" s="94"/>
      <c r="V358" s="104"/>
    </row>
    <row r="359" ht="15.75" customHeight="1">
      <c r="A359" s="91"/>
      <c r="B359" s="131"/>
      <c r="C359" s="132"/>
      <c r="D359" s="94"/>
      <c r="E359" s="132"/>
      <c r="F359" s="132"/>
      <c r="G359" s="94"/>
      <c r="H359" s="93"/>
      <c r="I359" s="94"/>
      <c r="J359" s="94"/>
      <c r="K359" s="135"/>
      <c r="L359" s="135"/>
      <c r="M359" s="99"/>
      <c r="N359" s="111"/>
      <c r="O359" s="112"/>
      <c r="P359" s="94"/>
      <c r="Q359" s="120"/>
      <c r="R359" s="113"/>
      <c r="S359" s="94"/>
      <c r="T359" s="94"/>
      <c r="V359" s="104"/>
    </row>
    <row r="360" ht="15.75" customHeight="1">
      <c r="A360" s="91"/>
      <c r="B360" s="131"/>
      <c r="C360" s="132"/>
      <c r="D360" s="94"/>
      <c r="E360" s="132"/>
      <c r="F360" s="132"/>
      <c r="G360" s="94"/>
      <c r="H360" s="93"/>
      <c r="I360" s="94"/>
      <c r="J360" s="94"/>
      <c r="K360" s="135"/>
      <c r="L360" s="135"/>
      <c r="M360" s="99"/>
      <c r="N360" s="111"/>
      <c r="O360" s="112"/>
      <c r="P360" s="94"/>
      <c r="Q360" s="120"/>
      <c r="R360" s="113"/>
      <c r="S360" s="94"/>
      <c r="T360" s="94"/>
      <c r="V360" s="104"/>
    </row>
    <row r="361" ht="15.75" customHeight="1">
      <c r="A361" s="91"/>
      <c r="B361" s="131"/>
      <c r="C361" s="104"/>
      <c r="D361" s="94"/>
      <c r="E361" s="132"/>
      <c r="F361" s="132"/>
      <c r="G361" s="94"/>
      <c r="H361" s="93"/>
      <c r="I361" s="94"/>
      <c r="J361" s="94"/>
      <c r="K361" s="135"/>
      <c r="L361" s="135"/>
      <c r="M361" s="99"/>
      <c r="N361" s="111"/>
      <c r="O361" s="112"/>
      <c r="P361" s="94"/>
      <c r="Q361" s="120"/>
      <c r="R361" s="113"/>
      <c r="S361" s="94"/>
      <c r="T361" s="94"/>
      <c r="V361" s="104"/>
    </row>
    <row r="362" ht="15.75" customHeight="1">
      <c r="A362" s="91"/>
      <c r="B362" s="131"/>
      <c r="C362" s="132"/>
      <c r="D362" s="94"/>
      <c r="E362" s="132"/>
      <c r="F362" s="132"/>
      <c r="G362" s="94"/>
      <c r="H362" s="93"/>
      <c r="I362" s="94"/>
      <c r="J362" s="94"/>
      <c r="K362" s="135"/>
      <c r="L362" s="135"/>
      <c r="M362" s="99"/>
      <c r="N362" s="111"/>
      <c r="O362" s="112"/>
      <c r="P362" s="94"/>
      <c r="Q362" s="120"/>
      <c r="R362" s="113"/>
      <c r="S362" s="94"/>
      <c r="T362" s="94"/>
      <c r="V362" s="104"/>
    </row>
    <row r="363" ht="15.75" customHeight="1">
      <c r="A363" s="91"/>
      <c r="B363" s="131"/>
      <c r="C363" s="132"/>
      <c r="D363" s="94"/>
      <c r="E363" s="132"/>
      <c r="F363" s="132"/>
      <c r="G363" s="94"/>
      <c r="H363" s="93"/>
      <c r="I363" s="94"/>
      <c r="J363" s="94"/>
      <c r="K363" s="135"/>
      <c r="L363" s="135"/>
      <c r="M363" s="99"/>
      <c r="N363" s="111"/>
      <c r="O363" s="112"/>
      <c r="P363" s="94"/>
      <c r="Q363" s="120"/>
      <c r="R363" s="113"/>
      <c r="S363" s="94"/>
      <c r="T363" s="94"/>
      <c r="V363" s="104"/>
    </row>
    <row r="364" ht="15.75" customHeight="1">
      <c r="A364" s="91"/>
      <c r="B364" s="131"/>
      <c r="C364" s="132"/>
      <c r="D364" s="94"/>
      <c r="E364" s="132"/>
      <c r="F364" s="132"/>
      <c r="G364" s="94"/>
      <c r="H364" s="93"/>
      <c r="I364" s="94"/>
      <c r="J364" s="94"/>
      <c r="K364" s="135"/>
      <c r="L364" s="135"/>
      <c r="M364" s="99"/>
      <c r="N364" s="111"/>
      <c r="O364" s="112"/>
      <c r="P364" s="94"/>
      <c r="Q364" s="120"/>
      <c r="R364" s="113"/>
      <c r="S364" s="94"/>
      <c r="T364" s="94"/>
      <c r="V364" s="104"/>
    </row>
    <row r="365" ht="15.75" customHeight="1">
      <c r="A365" s="91"/>
      <c r="B365" s="131"/>
      <c r="C365" s="132"/>
      <c r="D365" s="94"/>
      <c r="E365" s="132"/>
      <c r="F365" s="132"/>
      <c r="G365" s="94"/>
      <c r="H365" s="93"/>
      <c r="I365" s="94"/>
      <c r="J365" s="94"/>
      <c r="K365" s="135"/>
      <c r="L365" s="135"/>
      <c r="M365" s="99"/>
      <c r="N365" s="111"/>
      <c r="O365" s="112"/>
      <c r="P365" s="94"/>
      <c r="Q365" s="120"/>
      <c r="R365" s="113"/>
      <c r="S365" s="94"/>
      <c r="T365" s="94"/>
      <c r="V365" s="104"/>
    </row>
    <row r="366" ht="15.75" customHeight="1">
      <c r="A366" s="91"/>
      <c r="B366" s="131"/>
      <c r="C366" s="132"/>
      <c r="D366" s="94"/>
      <c r="E366" s="132"/>
      <c r="F366" s="132"/>
      <c r="G366" s="94"/>
      <c r="H366" s="93"/>
      <c r="I366" s="94"/>
      <c r="J366" s="94"/>
      <c r="K366" s="135"/>
      <c r="L366" s="135"/>
      <c r="M366" s="99"/>
      <c r="N366" s="111"/>
      <c r="O366" s="112"/>
      <c r="P366" s="94"/>
      <c r="Q366" s="120"/>
      <c r="R366" s="113"/>
      <c r="S366" s="94"/>
      <c r="T366" s="94"/>
      <c r="V366" s="104"/>
    </row>
    <row r="367" ht="15.75" customHeight="1">
      <c r="A367" s="91"/>
      <c r="B367" s="131"/>
      <c r="C367" s="104"/>
      <c r="D367" s="94"/>
      <c r="E367" s="132"/>
      <c r="F367" s="132"/>
      <c r="G367" s="94"/>
      <c r="H367" s="93"/>
      <c r="I367" s="94"/>
      <c r="J367" s="94"/>
      <c r="K367" s="135"/>
      <c r="L367" s="135"/>
      <c r="M367" s="99"/>
      <c r="N367" s="111"/>
      <c r="O367" s="112"/>
      <c r="P367" s="94"/>
      <c r="Q367" s="120"/>
      <c r="R367" s="113"/>
      <c r="S367" s="94"/>
      <c r="T367" s="94"/>
      <c r="V367" s="104"/>
    </row>
    <row r="368" ht="15.75" customHeight="1">
      <c r="A368" s="91"/>
      <c r="B368" s="131"/>
      <c r="C368" s="132"/>
      <c r="D368" s="94"/>
      <c r="E368" s="132"/>
      <c r="F368" s="132"/>
      <c r="G368" s="94"/>
      <c r="H368" s="93"/>
      <c r="I368" s="94"/>
      <c r="J368" s="94"/>
      <c r="K368" s="135"/>
      <c r="L368" s="135"/>
      <c r="M368" s="99"/>
      <c r="N368" s="111"/>
      <c r="O368" s="112"/>
      <c r="P368" s="94"/>
      <c r="Q368" s="120"/>
      <c r="R368" s="113"/>
      <c r="S368" s="94"/>
      <c r="T368" s="94"/>
      <c r="V368" s="104"/>
    </row>
    <row r="369" ht="15.75" customHeight="1">
      <c r="A369" s="91"/>
      <c r="B369" s="131"/>
      <c r="C369" s="132"/>
      <c r="D369" s="94"/>
      <c r="E369" s="132"/>
      <c r="F369" s="132"/>
      <c r="G369" s="94"/>
      <c r="H369" s="93"/>
      <c r="I369" s="94"/>
      <c r="J369" s="94"/>
      <c r="K369" s="135"/>
      <c r="L369" s="135"/>
      <c r="M369" s="99"/>
      <c r="N369" s="111"/>
      <c r="O369" s="112"/>
      <c r="P369" s="94"/>
      <c r="Q369" s="120"/>
      <c r="R369" s="113"/>
      <c r="S369" s="94"/>
      <c r="T369" s="94"/>
      <c r="V369" s="104"/>
    </row>
    <row r="370" ht="15.75" customHeight="1">
      <c r="A370" s="91"/>
      <c r="B370" s="131"/>
      <c r="C370" s="132"/>
      <c r="D370" s="94"/>
      <c r="E370" s="132"/>
      <c r="F370" s="132"/>
      <c r="G370" s="94"/>
      <c r="H370" s="93"/>
      <c r="I370" s="94"/>
      <c r="J370" s="94"/>
      <c r="K370" s="135"/>
      <c r="L370" s="135"/>
      <c r="M370" s="99"/>
      <c r="N370" s="111"/>
      <c r="O370" s="112"/>
      <c r="P370" s="94"/>
      <c r="Q370" s="120"/>
      <c r="R370" s="113"/>
      <c r="S370" s="94"/>
      <c r="T370" s="94"/>
      <c r="V370" s="104"/>
    </row>
    <row r="371" ht="15.75" customHeight="1">
      <c r="A371" s="91"/>
      <c r="B371" s="131"/>
      <c r="C371" s="132"/>
      <c r="D371" s="94"/>
      <c r="E371" s="132"/>
      <c r="F371" s="132"/>
      <c r="G371" s="94"/>
      <c r="H371" s="93"/>
      <c r="I371" s="94"/>
      <c r="J371" s="94"/>
      <c r="K371" s="135"/>
      <c r="L371" s="135"/>
      <c r="M371" s="99"/>
      <c r="N371" s="111"/>
      <c r="O371" s="112"/>
      <c r="P371" s="94"/>
      <c r="Q371" s="120"/>
      <c r="R371" s="113"/>
      <c r="S371" s="94"/>
      <c r="T371" s="94"/>
      <c r="V371" s="104"/>
    </row>
    <row r="372" ht="15.75" customHeight="1">
      <c r="A372" s="91"/>
      <c r="B372" s="131"/>
      <c r="C372" s="132"/>
      <c r="D372" s="94"/>
      <c r="E372" s="132"/>
      <c r="F372" s="132"/>
      <c r="G372" s="94"/>
      <c r="H372" s="93"/>
      <c r="I372" s="94"/>
      <c r="J372" s="94"/>
      <c r="K372" s="135"/>
      <c r="L372" s="135"/>
      <c r="M372" s="99"/>
      <c r="N372" s="111"/>
      <c r="O372" s="112"/>
      <c r="P372" s="94"/>
      <c r="Q372" s="120"/>
      <c r="R372" s="113"/>
      <c r="S372" s="94"/>
      <c r="T372" s="94"/>
      <c r="V372" s="104"/>
    </row>
    <row r="373" ht="15.75" customHeight="1">
      <c r="A373" s="91"/>
      <c r="B373" s="131"/>
      <c r="C373" s="104"/>
      <c r="D373" s="94"/>
      <c r="E373" s="132"/>
      <c r="F373" s="132"/>
      <c r="G373" s="94"/>
      <c r="H373" s="93"/>
      <c r="I373" s="94"/>
      <c r="J373" s="94"/>
      <c r="K373" s="135"/>
      <c r="L373" s="135"/>
      <c r="M373" s="99"/>
      <c r="N373" s="111"/>
      <c r="O373" s="112"/>
      <c r="P373" s="94"/>
      <c r="Q373" s="120"/>
      <c r="R373" s="113"/>
      <c r="S373" s="94"/>
      <c r="T373" s="94"/>
      <c r="V373" s="104"/>
    </row>
    <row r="374" ht="15.75" customHeight="1">
      <c r="A374" s="91"/>
      <c r="B374" s="131"/>
      <c r="C374" s="132"/>
      <c r="D374" s="94"/>
      <c r="E374" s="132"/>
      <c r="F374" s="132"/>
      <c r="G374" s="94"/>
      <c r="H374" s="93"/>
      <c r="I374" s="94"/>
      <c r="J374" s="94"/>
      <c r="K374" s="135"/>
      <c r="L374" s="135"/>
      <c r="M374" s="99"/>
      <c r="N374" s="111"/>
      <c r="O374" s="112"/>
      <c r="P374" s="94"/>
      <c r="Q374" s="120"/>
      <c r="R374" s="113"/>
      <c r="S374" s="94"/>
      <c r="T374" s="94"/>
      <c r="V374" s="104"/>
    </row>
    <row r="375" ht="15.75" customHeight="1">
      <c r="A375" s="91"/>
      <c r="B375" s="131"/>
      <c r="C375" s="132"/>
      <c r="D375" s="94"/>
      <c r="E375" s="132"/>
      <c r="F375" s="132"/>
      <c r="G375" s="94"/>
      <c r="H375" s="93"/>
      <c r="I375" s="94"/>
      <c r="J375" s="94"/>
      <c r="K375" s="135"/>
      <c r="L375" s="135"/>
      <c r="M375" s="99"/>
      <c r="N375" s="111"/>
      <c r="O375" s="112"/>
      <c r="P375" s="94"/>
      <c r="Q375" s="120"/>
      <c r="R375" s="113"/>
      <c r="S375" s="94"/>
      <c r="T375" s="94"/>
      <c r="V375" s="104"/>
    </row>
    <row r="376" ht="15.75" customHeight="1">
      <c r="A376" s="91"/>
      <c r="B376" s="131"/>
      <c r="C376" s="132"/>
      <c r="D376" s="94"/>
      <c r="E376" s="132"/>
      <c r="F376" s="132"/>
      <c r="G376" s="94"/>
      <c r="H376" s="93"/>
      <c r="I376" s="94"/>
      <c r="J376" s="94"/>
      <c r="K376" s="135"/>
      <c r="L376" s="135"/>
      <c r="M376" s="99"/>
      <c r="N376" s="111"/>
      <c r="O376" s="112"/>
      <c r="P376" s="94"/>
      <c r="Q376" s="120"/>
      <c r="R376" s="113"/>
      <c r="S376" s="94"/>
      <c r="T376" s="94"/>
      <c r="V376" s="104"/>
    </row>
    <row r="377" ht="15.75" customHeight="1">
      <c r="A377" s="91"/>
      <c r="B377" s="131"/>
      <c r="C377" s="132"/>
      <c r="D377" s="94"/>
      <c r="E377" s="132"/>
      <c r="F377" s="132"/>
      <c r="G377" s="94"/>
      <c r="H377" s="93"/>
      <c r="I377" s="94"/>
      <c r="J377" s="94"/>
      <c r="K377" s="135"/>
      <c r="L377" s="135"/>
      <c r="M377" s="99"/>
      <c r="N377" s="111"/>
      <c r="O377" s="112"/>
      <c r="P377" s="94"/>
      <c r="Q377" s="120"/>
      <c r="R377" s="113"/>
      <c r="S377" s="94"/>
      <c r="T377" s="94"/>
      <c r="V377" s="104"/>
    </row>
    <row r="378" ht="15.75" customHeight="1">
      <c r="A378" s="91"/>
      <c r="B378" s="131"/>
      <c r="C378" s="132"/>
      <c r="D378" s="94"/>
      <c r="E378" s="132"/>
      <c r="F378" s="132"/>
      <c r="G378" s="94"/>
      <c r="H378" s="93"/>
      <c r="I378" s="94"/>
      <c r="J378" s="94"/>
      <c r="K378" s="135"/>
      <c r="L378" s="135"/>
      <c r="M378" s="99"/>
      <c r="N378" s="111"/>
      <c r="O378" s="112"/>
      <c r="P378" s="94"/>
      <c r="Q378" s="120"/>
      <c r="R378" s="113"/>
      <c r="S378" s="94"/>
      <c r="T378" s="94"/>
      <c r="V378" s="104"/>
    </row>
    <row r="379" ht="15.75" customHeight="1">
      <c r="A379" s="91"/>
      <c r="B379" s="131"/>
      <c r="C379" s="104"/>
      <c r="D379" s="94"/>
      <c r="E379" s="132"/>
      <c r="F379" s="132"/>
      <c r="G379" s="94"/>
      <c r="H379" s="93"/>
      <c r="I379" s="94"/>
      <c r="J379" s="94"/>
      <c r="K379" s="135"/>
      <c r="L379" s="135"/>
      <c r="M379" s="99"/>
      <c r="N379" s="111"/>
      <c r="O379" s="112"/>
      <c r="P379" s="94"/>
      <c r="Q379" s="120"/>
      <c r="R379" s="113"/>
      <c r="S379" s="94"/>
      <c r="T379" s="94"/>
      <c r="V379" s="104"/>
    </row>
    <row r="380" ht="15.75" customHeight="1">
      <c r="A380" s="91"/>
      <c r="B380" s="131"/>
      <c r="C380" s="132"/>
      <c r="D380" s="94"/>
      <c r="E380" s="132"/>
      <c r="F380" s="132"/>
      <c r="G380" s="94"/>
      <c r="H380" s="93"/>
      <c r="I380" s="94"/>
      <c r="J380" s="94"/>
      <c r="K380" s="135"/>
      <c r="L380" s="135"/>
      <c r="M380" s="99"/>
      <c r="N380" s="111"/>
      <c r="O380" s="112"/>
      <c r="P380" s="94"/>
      <c r="Q380" s="120"/>
      <c r="R380" s="113"/>
      <c r="S380" s="94"/>
      <c r="T380" s="94"/>
      <c r="V380" s="104"/>
    </row>
    <row r="381" ht="15.75" customHeight="1">
      <c r="A381" s="91"/>
      <c r="B381" s="131"/>
      <c r="C381" s="132"/>
      <c r="D381" s="94"/>
      <c r="E381" s="132"/>
      <c r="F381" s="132"/>
      <c r="G381" s="94"/>
      <c r="H381" s="93"/>
      <c r="I381" s="94"/>
      <c r="J381" s="94"/>
      <c r="K381" s="135"/>
      <c r="L381" s="135"/>
      <c r="M381" s="99"/>
      <c r="N381" s="111"/>
      <c r="O381" s="112"/>
      <c r="P381" s="94"/>
      <c r="Q381" s="120"/>
      <c r="R381" s="113"/>
      <c r="S381" s="94"/>
      <c r="T381" s="94"/>
      <c r="V381" s="104"/>
    </row>
    <row r="382" ht="15.75" customHeight="1">
      <c r="A382" s="91"/>
      <c r="B382" s="131"/>
      <c r="C382" s="132"/>
      <c r="D382" s="94"/>
      <c r="E382" s="132"/>
      <c r="F382" s="132"/>
      <c r="G382" s="94"/>
      <c r="H382" s="93"/>
      <c r="I382" s="94"/>
      <c r="J382" s="94"/>
      <c r="K382" s="135"/>
      <c r="L382" s="135"/>
      <c r="M382" s="99"/>
      <c r="N382" s="111"/>
      <c r="O382" s="112"/>
      <c r="P382" s="94"/>
      <c r="Q382" s="120"/>
      <c r="R382" s="113"/>
      <c r="S382" s="94"/>
      <c r="T382" s="94"/>
      <c r="V382" s="104"/>
    </row>
    <row r="383" ht="15.75" customHeight="1">
      <c r="A383" s="91"/>
      <c r="B383" s="131"/>
      <c r="C383" s="132"/>
      <c r="D383" s="94"/>
      <c r="E383" s="132"/>
      <c r="F383" s="132"/>
      <c r="G383" s="94"/>
      <c r="H383" s="93"/>
      <c r="I383" s="94"/>
      <c r="J383" s="94"/>
      <c r="K383" s="135"/>
      <c r="L383" s="135"/>
      <c r="M383" s="99"/>
      <c r="N383" s="111"/>
      <c r="O383" s="112"/>
      <c r="P383" s="94"/>
      <c r="Q383" s="120"/>
      <c r="R383" s="113"/>
      <c r="S383" s="94"/>
      <c r="T383" s="94"/>
      <c r="V383" s="104"/>
    </row>
    <row r="384" ht="15.75" customHeight="1">
      <c r="A384" s="91"/>
      <c r="B384" s="131"/>
      <c r="C384" s="132"/>
      <c r="D384" s="94"/>
      <c r="E384" s="132"/>
      <c r="F384" s="132"/>
      <c r="G384" s="94"/>
      <c r="H384" s="93"/>
      <c r="I384" s="94"/>
      <c r="J384" s="94"/>
      <c r="K384" s="135"/>
      <c r="L384" s="135"/>
      <c r="M384" s="99"/>
      <c r="N384" s="111"/>
      <c r="O384" s="112"/>
      <c r="P384" s="94"/>
      <c r="Q384" s="120"/>
      <c r="R384" s="113"/>
      <c r="S384" s="94"/>
      <c r="T384" s="94"/>
      <c r="V384" s="104"/>
    </row>
  </sheetData>
  <autoFilter ref="$A$12:$V$142"/>
  <customSheetViews>
    <customSheetView guid="{FE509773-0638-41EB-A036-A8EE905B9B6D}" filter="1" showAutoFilter="1">
      <autoFilter ref="$R$43:$R$44"/>
    </customSheetView>
  </customSheetViews>
  <mergeCells count="372">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5:U55"/>
    <mergeCell ref="T56:U56"/>
    <mergeCell ref="T57:U57"/>
    <mergeCell ref="T58:U58"/>
    <mergeCell ref="T59:U59"/>
    <mergeCell ref="T60:U60"/>
    <mergeCell ref="T61:U61"/>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56:U356"/>
    <mergeCell ref="T357:U357"/>
    <mergeCell ref="T358:U358"/>
    <mergeCell ref="T359:U359"/>
    <mergeCell ref="T360:U360"/>
    <mergeCell ref="T361:U361"/>
    <mergeCell ref="T362:U362"/>
    <mergeCell ref="T363:U363"/>
    <mergeCell ref="T364:U364"/>
    <mergeCell ref="T365:U365"/>
    <mergeCell ref="T366:U366"/>
    <mergeCell ref="T367:U367"/>
    <mergeCell ref="T368:U368"/>
    <mergeCell ref="T369:U369"/>
    <mergeCell ref="T377:U377"/>
    <mergeCell ref="T378:U378"/>
    <mergeCell ref="T379:U379"/>
    <mergeCell ref="T380:U380"/>
    <mergeCell ref="T381:U381"/>
    <mergeCell ref="T382:U382"/>
    <mergeCell ref="T383:U383"/>
    <mergeCell ref="T384:U384"/>
    <mergeCell ref="T370:U370"/>
    <mergeCell ref="T371:U371"/>
    <mergeCell ref="T372:U372"/>
    <mergeCell ref="T373:U373"/>
    <mergeCell ref="T374:U374"/>
    <mergeCell ref="T375:U375"/>
    <mergeCell ref="T376:U37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 ref="T352:U352"/>
    <mergeCell ref="T353:U353"/>
    <mergeCell ref="T354:U354"/>
    <mergeCell ref="T355:U355"/>
  </mergeCells>
  <dataValidations>
    <dataValidation type="list" allowBlank="1" showErrorMessage="1" sqref="N13:N384">
      <formula1>"Think About It,Money,Partner,Time,Fear,Value"</formula1>
    </dataValidation>
    <dataValidation type="list" allowBlank="1" sqref="H13:H384">
      <formula1>"Håndværker,Ikkehåndværker"</formula1>
    </dataValidation>
    <dataValidation type="list" allowBlank="1" showErrorMessage="1" sqref="I13:J14 I15:I33 I34:J59 I60 I61:J108 I109:I110 I111:J111 I112 I113:J126 I127:I133 I134:J384">
      <formula1>"Full-Pay,Split-Pay,Deposit,Offer &amp; Didn't Buy,Bad Fit &amp; No Offer,Drag Over &amp; Show,Rescheduled,Cancelled,No-Show"</formula1>
    </dataValidation>
    <dataValidation type="list" allowBlank="1" showErrorMessage="1" sqref="S13:S384">
      <formula1>"Closed,Follow Up,Hot Follow Up,Deposit (Follow Up Set),Follow Up Set,X"</formula1>
    </dataValidation>
    <dataValidation type="list" allowBlank="1" showErrorMessage="1" sqref="J15:J33 J60">
      <formula1>"Full-Pay,Split-Pay,Deposit,Offer &amp; Didn't Buy,Bad Fit &amp; No Offer,Drag Over &amp; Show,Rescheduled,Cancelled,No-Show"</formula1>
    </dataValidation>
  </dataValidation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88"/>
    <col customWidth="1" min="10" max="10" width="17.38"/>
  </cols>
  <sheetData>
    <row r="1">
      <c r="A1" s="280" t="s">
        <v>32</v>
      </c>
      <c r="B1" s="280" t="s">
        <v>3636</v>
      </c>
      <c r="C1" s="280" t="s">
        <v>3637</v>
      </c>
      <c r="D1" s="280" t="s">
        <v>3638</v>
      </c>
      <c r="E1" s="280" t="s">
        <v>3639</v>
      </c>
      <c r="F1" s="281" t="s">
        <v>3640</v>
      </c>
      <c r="H1" s="282" t="s">
        <v>3641</v>
      </c>
      <c r="I1" s="282" t="s">
        <v>3642</v>
      </c>
      <c r="J1" s="282" t="s">
        <v>3643</v>
      </c>
      <c r="K1" s="282" t="s">
        <v>3644</v>
      </c>
    </row>
    <row r="2">
      <c r="A2" s="283" t="s">
        <v>458</v>
      </c>
      <c r="B2" s="283" t="s">
        <v>3645</v>
      </c>
      <c r="C2" s="284"/>
      <c r="D2" s="285"/>
      <c r="E2" s="286" t="s">
        <v>3301</v>
      </c>
      <c r="F2" s="287"/>
      <c r="H2" s="288">
        <f>COUNTA(A2:A110)</f>
        <v>11</v>
      </c>
      <c r="I2" s="288">
        <f t="shared" ref="I2:J2" si="1">COUNTA(E2:E110)</f>
        <v>4</v>
      </c>
      <c r="J2" s="288">
        <f t="shared" si="1"/>
        <v>1</v>
      </c>
      <c r="K2" s="289">
        <f>I2/H2</f>
        <v>0.3636363636</v>
      </c>
    </row>
    <row r="3">
      <c r="A3" s="290" t="s">
        <v>462</v>
      </c>
      <c r="B3" s="290" t="s">
        <v>3646</v>
      </c>
      <c r="C3" s="291"/>
      <c r="D3" s="291"/>
      <c r="E3" s="286" t="s">
        <v>3301</v>
      </c>
      <c r="F3" s="287"/>
      <c r="G3" s="39"/>
      <c r="H3" s="39"/>
      <c r="I3" s="39"/>
      <c r="J3" s="39"/>
    </row>
    <row r="4">
      <c r="A4" s="290" t="s">
        <v>464</v>
      </c>
      <c r="B4" s="283" t="s">
        <v>3645</v>
      </c>
      <c r="C4" s="291"/>
      <c r="D4" s="291"/>
      <c r="E4" s="286"/>
      <c r="F4" s="292"/>
      <c r="G4" s="39"/>
      <c r="H4" s="39"/>
      <c r="I4" s="39"/>
      <c r="J4" s="39"/>
    </row>
    <row r="5">
      <c r="A5" s="293" t="s">
        <v>443</v>
      </c>
      <c r="B5" s="283" t="s">
        <v>3645</v>
      </c>
      <c r="C5" s="291"/>
      <c r="D5" s="291"/>
      <c r="E5" s="286"/>
      <c r="F5" s="287"/>
      <c r="G5" s="39"/>
      <c r="H5" s="39"/>
      <c r="I5" s="39"/>
      <c r="J5" s="39"/>
    </row>
    <row r="6">
      <c r="A6" s="290" t="s">
        <v>401</v>
      </c>
      <c r="B6" s="283" t="s">
        <v>3645</v>
      </c>
      <c r="C6" s="291"/>
      <c r="D6" s="291"/>
      <c r="E6" s="286"/>
      <c r="F6" s="287" t="s">
        <v>3301</v>
      </c>
      <c r="G6" s="39"/>
      <c r="H6" s="39"/>
      <c r="I6" s="39"/>
      <c r="J6" s="39"/>
    </row>
    <row r="7">
      <c r="A7" s="139" t="s">
        <v>511</v>
      </c>
      <c r="B7" s="294" t="s">
        <v>3647</v>
      </c>
      <c r="C7" s="291"/>
      <c r="D7" s="291"/>
      <c r="E7" s="286" t="s">
        <v>3301</v>
      </c>
      <c r="F7" s="292"/>
      <c r="G7" s="39"/>
      <c r="H7" s="39"/>
      <c r="I7" s="39"/>
      <c r="J7" s="39"/>
    </row>
    <row r="8">
      <c r="A8" s="285" t="s">
        <v>3648</v>
      </c>
      <c r="B8" s="295"/>
      <c r="C8" s="291"/>
      <c r="D8" s="291"/>
      <c r="E8" s="286"/>
      <c r="F8" s="292"/>
      <c r="G8" s="39"/>
      <c r="H8" s="39"/>
      <c r="I8" s="39"/>
      <c r="J8" s="39"/>
    </row>
    <row r="9">
      <c r="A9" s="93" t="s">
        <v>543</v>
      </c>
      <c r="B9" s="295"/>
      <c r="C9" s="291"/>
      <c r="D9" s="291"/>
      <c r="E9" s="286" t="s">
        <v>3301</v>
      </c>
      <c r="F9" s="292"/>
      <c r="G9" s="39"/>
      <c r="H9" s="39"/>
      <c r="I9" s="39"/>
      <c r="J9" s="39"/>
    </row>
    <row r="10">
      <c r="A10" s="139" t="s">
        <v>551</v>
      </c>
      <c r="B10" s="288"/>
      <c r="C10" s="291"/>
      <c r="D10" s="291"/>
      <c r="E10" s="286"/>
      <c r="F10" s="292"/>
      <c r="G10" s="39"/>
      <c r="H10" s="39"/>
      <c r="I10" s="39"/>
      <c r="J10" s="39"/>
    </row>
    <row r="11">
      <c r="A11" s="97" t="s">
        <v>616</v>
      </c>
      <c r="B11" s="288"/>
      <c r="C11" s="291"/>
      <c r="D11" s="291"/>
      <c r="E11" s="286"/>
      <c r="F11" s="292"/>
      <c r="G11" s="39"/>
      <c r="H11" s="39"/>
      <c r="I11" s="39"/>
      <c r="J11" s="39"/>
    </row>
    <row r="12">
      <c r="A12" s="102" t="s">
        <v>597</v>
      </c>
      <c r="B12" s="288"/>
      <c r="C12" s="291"/>
      <c r="D12" s="291"/>
      <c r="E12" s="286"/>
      <c r="F12" s="292"/>
      <c r="G12" s="39"/>
      <c r="H12" s="39"/>
      <c r="I12" s="39"/>
      <c r="J12" s="39"/>
    </row>
    <row r="13">
      <c r="A13" s="291"/>
      <c r="B13" s="295"/>
      <c r="C13" s="291"/>
      <c r="D13" s="291"/>
      <c r="E13" s="286"/>
      <c r="F13" s="292"/>
      <c r="G13" s="39"/>
      <c r="H13" s="39"/>
      <c r="I13" s="39"/>
      <c r="J13" s="39"/>
    </row>
    <row r="14">
      <c r="A14" s="291"/>
      <c r="B14" s="295"/>
      <c r="C14" s="291"/>
      <c r="D14" s="291"/>
      <c r="E14" s="286"/>
      <c r="F14" s="292"/>
      <c r="G14" s="39"/>
      <c r="H14" s="39"/>
      <c r="I14" s="39"/>
      <c r="J14" s="39"/>
    </row>
    <row r="15">
      <c r="A15" s="291"/>
      <c r="B15" s="291"/>
      <c r="C15" s="291"/>
      <c r="D15" s="291"/>
      <c r="E15" s="286"/>
      <c r="F15" s="292"/>
      <c r="G15" s="39"/>
      <c r="H15" s="39"/>
      <c r="I15" s="39"/>
      <c r="J15" s="39"/>
    </row>
    <row r="16">
      <c r="A16" s="291"/>
      <c r="B16" s="291"/>
      <c r="C16" s="291"/>
      <c r="D16" s="291"/>
      <c r="E16" s="286"/>
      <c r="F16" s="292"/>
      <c r="G16" s="39"/>
      <c r="H16" s="39"/>
      <c r="I16" s="39"/>
      <c r="J16" s="39"/>
    </row>
    <row r="17">
      <c r="A17" s="291"/>
      <c r="B17" s="291"/>
      <c r="C17" s="291"/>
      <c r="D17" s="291"/>
      <c r="E17" s="286"/>
      <c r="F17" s="292"/>
      <c r="G17" s="39"/>
      <c r="H17" s="39"/>
      <c r="I17" s="39"/>
      <c r="J17" s="39"/>
    </row>
    <row r="18">
      <c r="A18" s="291"/>
      <c r="B18" s="291"/>
      <c r="C18" s="291"/>
      <c r="D18" s="291"/>
      <c r="E18" s="286"/>
      <c r="F18" s="292"/>
      <c r="G18" s="39"/>
      <c r="H18" s="39"/>
      <c r="I18" s="39"/>
      <c r="J18" s="39"/>
    </row>
    <row r="19">
      <c r="A19" s="291"/>
      <c r="B19" s="291"/>
      <c r="C19" s="291"/>
      <c r="D19" s="291"/>
      <c r="E19" s="286"/>
      <c r="F19" s="292"/>
      <c r="G19" s="39"/>
      <c r="H19" s="39"/>
      <c r="I19" s="39"/>
      <c r="J19" s="39"/>
    </row>
    <row r="20">
      <c r="A20" s="291"/>
      <c r="B20" s="291"/>
      <c r="C20" s="291"/>
      <c r="D20" s="291"/>
      <c r="E20" s="286"/>
      <c r="F20" s="292"/>
      <c r="G20" s="39"/>
      <c r="H20" s="39"/>
      <c r="I20" s="39"/>
      <c r="J20" s="39"/>
    </row>
    <row r="21">
      <c r="A21" s="291"/>
      <c r="B21" s="291"/>
      <c r="C21" s="291"/>
      <c r="D21" s="291"/>
      <c r="E21" s="286"/>
      <c r="F21" s="292"/>
      <c r="G21" s="39"/>
      <c r="H21" s="39"/>
      <c r="I21" s="39"/>
      <c r="J21" s="39"/>
    </row>
    <row r="22">
      <c r="A22" s="291"/>
      <c r="B22" s="291"/>
      <c r="C22" s="291"/>
      <c r="D22" s="291"/>
      <c r="E22" s="286"/>
      <c r="F22" s="292"/>
      <c r="G22" s="39"/>
      <c r="H22" s="39"/>
      <c r="I22" s="39"/>
      <c r="J22" s="39"/>
    </row>
    <row r="23">
      <c r="A23" s="291"/>
      <c r="B23" s="291"/>
      <c r="C23" s="291"/>
      <c r="D23" s="291"/>
      <c r="E23" s="296"/>
      <c r="F23" s="292"/>
      <c r="G23" s="39"/>
      <c r="H23" s="39"/>
      <c r="I23" s="39"/>
      <c r="J23" s="39"/>
    </row>
    <row r="24">
      <c r="A24" s="291"/>
      <c r="B24" s="291"/>
      <c r="C24" s="291"/>
      <c r="D24" s="291"/>
      <c r="E24" s="296"/>
      <c r="F24" s="292"/>
      <c r="G24" s="39"/>
      <c r="H24" s="39"/>
      <c r="I24" s="39"/>
      <c r="J24" s="39"/>
    </row>
    <row r="25">
      <c r="A25" s="291"/>
      <c r="B25" s="291"/>
      <c r="C25" s="291"/>
      <c r="D25" s="291"/>
      <c r="E25" s="296"/>
      <c r="F25" s="292"/>
      <c r="G25" s="39"/>
      <c r="H25" s="39"/>
      <c r="I25" s="39"/>
      <c r="J25" s="39"/>
    </row>
    <row r="26">
      <c r="A26" s="291"/>
      <c r="B26" s="291"/>
      <c r="C26" s="291"/>
      <c r="D26" s="291"/>
      <c r="E26" s="296"/>
      <c r="F26" s="292"/>
      <c r="G26" s="39"/>
      <c r="H26" s="39"/>
      <c r="I26" s="39"/>
      <c r="J26" s="39"/>
    </row>
    <row r="27">
      <c r="A27" s="291"/>
      <c r="B27" s="291"/>
      <c r="C27" s="291"/>
      <c r="D27" s="291"/>
      <c r="E27" s="296"/>
      <c r="F27" s="292"/>
      <c r="G27" s="39"/>
      <c r="H27" s="39"/>
      <c r="I27" s="39"/>
      <c r="J27" s="39"/>
    </row>
  </sheetData>
  <drawing r:id="rId1"/>
</worksheet>
</file>