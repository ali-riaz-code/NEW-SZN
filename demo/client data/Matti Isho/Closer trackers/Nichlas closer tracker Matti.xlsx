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 state="visible" name="Jan 26" sheetId="2" r:id="rId6"/>
    <sheet state="visible" name="Feb 26" sheetId="3" r:id="rId7"/>
    <sheet state="visible" name="Mar 26" sheetId="4" r:id="rId8"/>
  </sheets>
  <definedNames>
    <definedName hidden="1" localSheetId="0" name="_xlnm._FilterDatabase">Template!$A$12:$V$109</definedName>
    <definedName hidden="1" localSheetId="1" name="_xlnm._FilterDatabase">'Jan 26'!$A$12:$V$109</definedName>
    <definedName hidden="1" localSheetId="2" name="_xlnm._FilterDatabase">'Feb 26'!$A$12:$V$109</definedName>
    <definedName hidden="1" localSheetId="3" name="_xlnm._FilterDatabase">'Mar 26'!$A$12:$V$109</definedName>
    <definedName hidden="1" localSheetId="0" name="Z_90C2C1B9_45C2_480F_86D2_C6087C5A9E3B_.wvu.FilterData">Template!$R$17:$R$22</definedName>
    <definedName hidden="1" localSheetId="1" name="Z_90C2C1B9_45C2_480F_86D2_C6087C5A9E3B_.wvu.FilterData">'Jan 26'!$R$17:$R$22</definedName>
    <definedName hidden="1" localSheetId="2" name="Z_90C2C1B9_45C2_480F_86D2_C6087C5A9E3B_.wvu.FilterData">'Feb 26'!$R$17:$R$22</definedName>
    <definedName hidden="1" localSheetId="3" name="Z_90C2C1B9_45C2_480F_86D2_C6087C5A9E3B_.wvu.FilterData">'Mar 26'!$R$17:$R$22</definedName>
  </definedNames>
  <calcPr/>
  <customWorkbookViews>
    <customWorkbookView activeSheetId="0" maximized="1" windowHeight="0" windowWidth="0" guid="{90C2C1B9-45C2-480F-86D2-C6087C5A9E3B}"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sharedStrings.xml><?xml version="1.0" encoding="utf-8"?>
<sst xmlns="http://schemas.openxmlformats.org/spreadsheetml/2006/main" count="885" uniqueCount="385">
  <si>
    <t xml:space="preserve">Rep: </t>
  </si>
  <si>
    <t>Nichlas</t>
  </si>
  <si>
    <t>Anton KPI's</t>
  </si>
  <si>
    <t>Outcome</t>
  </si>
  <si>
    <t>KPIs%</t>
  </si>
  <si>
    <t>Show Rate</t>
  </si>
  <si>
    <t>Objections</t>
  </si>
  <si>
    <t>Source</t>
  </si>
  <si>
    <t>Rev per call</t>
  </si>
  <si>
    <t>Full-Pay:</t>
  </si>
  <si>
    <t>Conversion Rate:</t>
  </si>
  <si>
    <t>Rescheduling Rate:</t>
  </si>
  <si>
    <t xml:space="preserve">Think About It </t>
  </si>
  <si>
    <t>Reschedule</t>
  </si>
  <si>
    <t xml:space="preserve">Revenue </t>
  </si>
  <si>
    <t>Cash per call</t>
  </si>
  <si>
    <t>Split-Pay:</t>
  </si>
  <si>
    <t>Offer To Close Rate:</t>
  </si>
  <si>
    <t>Cancellation Rate:</t>
  </si>
  <si>
    <t>Money</t>
  </si>
  <si>
    <t>YouTube</t>
  </si>
  <si>
    <t>Cash</t>
  </si>
  <si>
    <t>Cash upfront %</t>
  </si>
  <si>
    <t>Deposits:</t>
  </si>
  <si>
    <t>Call To Offer Rate:</t>
  </si>
  <si>
    <t>No-Shows Rate:</t>
  </si>
  <si>
    <t>Time</t>
  </si>
  <si>
    <t>YouTube Ads</t>
  </si>
  <si>
    <t>PIF %</t>
  </si>
  <si>
    <t>Offer &amp; Didn't Buy:</t>
  </si>
  <si>
    <t>Drag Over Rate:</t>
  </si>
  <si>
    <t>Partner</t>
  </si>
  <si>
    <t>Email</t>
  </si>
  <si>
    <t>Total Calls :</t>
  </si>
  <si>
    <t>Average Binding</t>
  </si>
  <si>
    <t>Bad Fit &amp; No Offer:</t>
  </si>
  <si>
    <t>Bookings:</t>
  </si>
  <si>
    <t>Show-Up Rate:</t>
  </si>
  <si>
    <t>Fear</t>
  </si>
  <si>
    <t>Facebook</t>
  </si>
  <si>
    <t>Total Won :</t>
  </si>
  <si>
    <t>Average deal</t>
  </si>
  <si>
    <t>Drag Over &amp; Show:</t>
  </si>
  <si>
    <t>Shows:</t>
  </si>
  <si>
    <t>Conducted Rate:</t>
  </si>
  <si>
    <t>Value</t>
  </si>
  <si>
    <t>Facebook Ads</t>
  </si>
  <si>
    <t>Total Lost :</t>
  </si>
  <si>
    <t>Average cash</t>
  </si>
  <si>
    <t>Rescheduled:</t>
  </si>
  <si>
    <t>Calls:</t>
  </si>
  <si>
    <t>LinkedIn</t>
  </si>
  <si>
    <t>Closing % :</t>
  </si>
  <si>
    <t>Cancelled:</t>
  </si>
  <si>
    <t>Offers:</t>
  </si>
  <si>
    <t>No-Show:</t>
  </si>
  <si>
    <t>Deals</t>
  </si>
  <si>
    <t>Dato</t>
  </si>
  <si>
    <t>Name</t>
  </si>
  <si>
    <t>Phone no.</t>
  </si>
  <si>
    <t>IG</t>
  </si>
  <si>
    <t>Revenue</t>
  </si>
  <si>
    <t>Objection</t>
  </si>
  <si>
    <t>Objection Notes</t>
  </si>
  <si>
    <t>Length</t>
  </si>
  <si>
    <t>Recording Link</t>
  </si>
  <si>
    <t>Follow Up/Next Steps</t>
  </si>
  <si>
    <t>Call Summary</t>
  </si>
  <si>
    <t>Setter</t>
  </si>
  <si>
    <t>Mads Bech</t>
  </si>
  <si>
    <t>93 91 70 01</t>
  </si>
  <si>
    <t>@_mads_bach_</t>
  </si>
  <si>
    <t>Offer &amp; Didn't Buy</t>
  </si>
  <si>
    <t>Nogle andre der kunne gøre det billigere</t>
  </si>
  <si>
    <t>Follow Up</t>
  </si>
  <si>
    <t>Skulle have fundet mere pain, få ham til at sætte flere ord på det selv. Brugte for meget energi på bro viben istedet for bare at være mig selv. Han svarede ikke rigtigt på mine spørgsmål, selvom jeg spurgte igen. Skulle have brugt det her med han ikke havde set nogle resultater de sidste 6 måneder noget mere</t>
  </si>
  <si>
    <t>Nouri</t>
  </si>
  <si>
    <t>71 75 88 73</t>
  </si>
  <si>
    <t>@ nouri_wow</t>
  </si>
  <si>
    <t>No-Show</t>
  </si>
  <si>
    <t>Stephan</t>
  </si>
  <si>
    <t>42 33 54 59</t>
  </si>
  <si>
    <t>Think About It</t>
  </si>
  <si>
    <t>Havde været på forløb før</t>
  </si>
  <si>
    <t>Hot Follow Up</t>
  </si>
  <si>
    <t>Skulle have trukket ham mere ned i pain - Vi aftalte han ville skrive til mig, men følger op på ham i morgen. Skulle have ført ham længere igennem objection handling, men begyndte at sige han lige skulle putte børnene. Han havde 2 børn i baggrunden så var ikke 100 procent kocenteret</t>
  </si>
  <si>
    <t>Mads</t>
  </si>
  <si>
    <t>42 36 01 03</t>
  </si>
  <si>
    <t>mads.pivert</t>
  </si>
  <si>
    <t>Deposit</t>
  </si>
  <si>
    <t>Havde først penge d. 13, hvor han fik løn</t>
  </si>
  <si>
    <t>Deposit (Follow Up Set)</t>
  </si>
  <si>
    <t xml:space="preserve">Jeg var nysgerrig og interesseret. Han prøvede at trække i land til sidst og ville tænke over det men fik han til at lægge et deposit, så vi kunne låse hans plads </t>
  </si>
  <si>
    <t>Jeppe</t>
  </si>
  <si>
    <t>51 86 74 47</t>
  </si>
  <si>
    <t>jeppe_ring</t>
  </si>
  <si>
    <t>Skulle bare tænke over det, kunne mærke han blev irriteret til sidst</t>
  </si>
  <si>
    <t>Skulle have fået ham til at sætte flere ord på det, endte mere med at jeg satte ord på det for ham. Aftalt at ringe igen i morgen - Kunne mærke han blev træt af mig til sidst, da jeg spurgt hvad han skulle tænke over</t>
  </si>
  <si>
    <t>Marcus</t>
  </si>
  <si>
    <t>50 56 75 09</t>
  </si>
  <si>
    <t>marcusfrommjensen</t>
  </si>
  <si>
    <t>Havde ikke penge lige nu</t>
  </si>
  <si>
    <t>Skulle have fået ham til at smide bare et eller andet på kaldet, som et symbolsk beløb. Fik ham til at acceptere at det var bindene han startede op 1.marts</t>
  </si>
  <si>
    <t>Ahmed</t>
  </si>
  <si>
    <t>22 89 55 29</t>
  </si>
  <si>
    <t>achwah29</t>
  </si>
  <si>
    <t>Ville snakke med Matti først</t>
  </si>
  <si>
    <t>Fik ham solgt godt, selvom han havde mange spørgsmål. Han ville snakke med Matti før han ville sige helt ja, kunne jeg godt udfordre ham mere på, hvad han skulle snakke om før han sagde helt ja</t>
  </si>
  <si>
    <t>Mohammed</t>
  </si>
  <si>
    <t>23 28 67 22</t>
  </si>
  <si>
    <t>mohamadmohamadbff</t>
  </si>
  <si>
    <t>Han troede det var gratis</t>
  </si>
  <si>
    <t>Syntes egenligt at jeg havde ham og han bare var frisk, så siger han da jeg droppet prisen, at han ikke var klar over at det kostede noget, kan godt mærke den slog mig ud af kurs, er ikke lige noget som jeg er vant til</t>
  </si>
  <si>
    <t>Axel</t>
  </si>
  <si>
    <t>93 93 05 78</t>
  </si>
  <si>
    <t>@axelm_gottschalk</t>
  </si>
  <si>
    <t>Skulle finde ud af om det var pengene værd</t>
  </si>
  <si>
    <t>Pain er slet ikke dyb nok, og han ser ikke hvad det koster ham ikke at gøre noget. Får ham ikke solgt godt nok, den skal 100 procent reviews. Han stod i grøften om det ville være det hele værd, eller om han kunne selv</t>
  </si>
  <si>
    <t>Bastian</t>
  </si>
  <si>
    <t>42 17 21 26</t>
  </si>
  <si>
    <t>bastiankastberg</t>
  </si>
  <si>
    <t>Full-Pay</t>
  </si>
  <si>
    <t>Closed</t>
  </si>
  <si>
    <t>Fik hovedet ud af røven, og havde bare en god snak. Vi starter med at vibe sindsygt godt, får ham spurgt om han er klar til at committe selvom det bliver hårdt, og ender så bare med han snakker sig selv mere ind i det</t>
  </si>
  <si>
    <t xml:space="preserve">Bertram </t>
  </si>
  <si>
    <t>53 68 75 77</t>
  </si>
  <si>
    <t>bertram.sommer</t>
  </si>
  <si>
    <t>Om det ville være det hele værd</t>
  </si>
  <si>
    <t>Alias</t>
  </si>
  <si>
    <t>81 94 79 70</t>
  </si>
  <si>
    <t>alias454745</t>
  </si>
  <si>
    <t>Rescheduled</t>
  </si>
  <si>
    <t>Midaz</t>
  </si>
  <si>
    <t>51 91 65 90</t>
  </si>
  <si>
    <t>midazcantor.05</t>
  </si>
  <si>
    <t>Parham</t>
  </si>
  <si>
    <t>93 86 69 64</t>
  </si>
  <si>
    <t>parhamahmadi88</t>
  </si>
  <si>
    <t>Syntes det var meget nu når han var på SU, så skulle vende det med dig gamle</t>
  </si>
  <si>
    <t>Booket ind til samtale med Matti, kunne godt have udfordret ham mere med det i forhold til han havde pengene</t>
  </si>
  <si>
    <t>På SU, så havde ikke ret meget at gøre med</t>
  </si>
  <si>
    <t>Follow Up Set</t>
  </si>
  <si>
    <t>Syntes der er godt flow i samtalen, og vi viber godt, men får jo ikke gjort det vigtigt nok, han havde 3000. kr om måneden til alt så det var også svær men ikke umulig. Tæt på men alligvel langt fra</t>
  </si>
  <si>
    <t>Anders</t>
  </si>
  <si>
    <t>30 26 95 95</t>
  </si>
  <si>
    <t>zeeberganders</t>
  </si>
  <si>
    <t>Bad Fit &amp; No Offer</t>
  </si>
  <si>
    <t>X</t>
  </si>
  <si>
    <t>Troede vi kunne hjælpe ham med noget i forhold til musik</t>
  </si>
  <si>
    <t>Elias</t>
  </si>
  <si>
    <t>91 10 49 19</t>
  </si>
  <si>
    <t>Elias_augstus</t>
  </si>
  <si>
    <t>Split-pay</t>
  </si>
  <si>
    <t>Ingen arbejde og sabbatår</t>
  </si>
  <si>
    <t>Syntes den er var svær, vi connecter godt, men fortæller mig han har sabbatår men ikke noget arbejde, så ved godt hvor det ender. Finder ud af han har 2000 kr. om måneden, uanset er der altid noget jeg kunne gøre bedre</t>
  </si>
  <si>
    <t>SU no money</t>
  </si>
  <si>
    <t>Har sku svært ved at knække de her gutter, som kun er på SU, skal jeg sku lige have en masterclasse i</t>
  </si>
  <si>
    <t>Arda</t>
  </si>
  <si>
    <t>22 32 22 58</t>
  </si>
  <si>
    <t>ardacekic__</t>
  </si>
  <si>
    <t>Havde ikke penge endnu får først løn d. 1 marts</t>
  </si>
  <si>
    <t>Youssef</t>
  </si>
  <si>
    <t>22 18 58 18</t>
  </si>
  <si>
    <t>youssefagencygrowth</t>
  </si>
  <si>
    <t>Rezan</t>
  </si>
  <si>
    <t>50 32 96 68</t>
  </si>
  <si>
    <t>rezan777_</t>
  </si>
  <si>
    <t>Sean</t>
  </si>
  <si>
    <t>49 90 58 96</t>
  </si>
  <si>
    <t>seanberg21</t>
  </si>
  <si>
    <t>Berk</t>
  </si>
  <si>
    <t>53 84 14 54</t>
  </si>
  <si>
    <t>berkodevcii</t>
  </si>
  <si>
    <t>Syntes vi havde en god vibe, gik virkeligt hårdt ind på han skulle lægge en deposit, så jeg kunne få ham til at comitte, jeg fik sendt linket, men så havde han self ikke Apple-pay. Min objection handling var langt bedre, men manglede stadig lige det sidste. Ha svarede ikke på alle min spørgsmål skal blive ved til så at spørge igen</t>
  </si>
  <si>
    <t>Lukas</t>
  </si>
  <si>
    <t>51 54 88 69</t>
  </si>
  <si>
    <t>lukassingerholm</t>
  </si>
  <si>
    <t>Skulle til at betale 21 k til kørekort + bil</t>
  </si>
  <si>
    <t>Føgler op med ham indtil April. Det her er virkeligt en af de træls som ikke fik hjem. Føler jeg får fundet pain og får ham solgt, og ville fucking gerne, havde bare ikke pengene før april. Han sagde han var villig til at arbejde 2 ekstra dage for at få det til at ske, men nu må vi se</t>
  </si>
  <si>
    <t>Awais waseem</t>
  </si>
  <si>
    <t>71 70 71 36</t>
  </si>
  <si>
    <t>_aw_25</t>
  </si>
  <si>
    <t>Cancelled</t>
  </si>
  <si>
    <t>Waleed</t>
  </si>
  <si>
    <t>93 30 26 60</t>
  </si>
  <si>
    <t>waleedhussain_1992</t>
  </si>
  <si>
    <t>Ganusijan</t>
  </si>
  <si>
    <t>42 40 36 08</t>
  </si>
  <si>
    <t>ganusijan11</t>
  </si>
  <si>
    <t>Alec</t>
  </si>
  <si>
    <t>23 93 54 24</t>
  </si>
  <si>
    <t>alec_kristensen</t>
  </si>
  <si>
    <t>Pengene, men lagde på</t>
  </si>
  <si>
    <t xml:space="preserve">Skal få dem selv til at sige det, i stedet for at lægge ord i munden på dem </t>
  </si>
  <si>
    <t>Shadi</t>
  </si>
  <si>
    <t>26 22 08 88</t>
  </si>
  <si>
    <t>shadi_emo</t>
  </si>
  <si>
    <t>Vidtse ikke hvorfor han skulle tænke over det</t>
  </si>
  <si>
    <t>Skal få dem selv til at sige det, i stedet for at lægge ord i munden på dem - Han siger tidligt på kaldet han skal selvfølgelig tænke over det prøver at indvende den med det samme, i stedet for claridy spørger jeg "hvorfor", som bliver for bebrejdende, kunne have prøver noget lignende "Det forstår jeg, og det jo er her du er nu, og sådan du plejer at tage beslutninger, som har fået dig til hvor du er nu, og ikke ser de resultater du gerne vil, hvad føler du at der skal til før der sker noget?" Det bliver for kontrontativt til sidst og ikke hjælpen (skal helt klart reviews), for han har pengene, men der er jo noget uncertain siden han skal tænke over det, og snakke med sin fucking mor om det</t>
  </si>
  <si>
    <t>Victor</t>
  </si>
  <si>
    <t>27 77 78 30</t>
  </si>
  <si>
    <t>victor__petersen</t>
  </si>
  <si>
    <t>Var bare totalt mig selv og tog kaldet som Nichlas og ikke alle mulige andre</t>
  </si>
  <si>
    <t xml:space="preserve">Mads </t>
  </si>
  <si>
    <t>31 35 27 91</t>
  </si>
  <si>
    <t>mads.a.n</t>
  </si>
  <si>
    <t>Vi lagde bare ud med gode vibes, og connectede vildt godt</t>
  </si>
  <si>
    <t xml:space="preserve">Efe </t>
  </si>
  <si>
    <t>42 76 19 79</t>
  </si>
  <si>
    <t>efe.m90</t>
  </si>
  <si>
    <t>Det var meget vigtigt for ham at snakke med sin far og venner om det, om det var en god investering og det fik jeg ikke handlet godt nok</t>
  </si>
  <si>
    <t xml:space="preserve">Kasper </t>
  </si>
  <si>
    <t>42 44 66 98</t>
  </si>
  <si>
    <t>Havde udfyldt betaling og det hele, men banken spærrede hans konto, så hun er han kommet i tvivl om det så er det rigtige</t>
  </si>
  <si>
    <t>Simon</t>
  </si>
  <si>
    <t>21 18 32 92</t>
  </si>
  <si>
    <t>simonarupjorgensen</t>
  </si>
  <si>
    <t>Tristan</t>
  </si>
  <si>
    <t>53 63 23 69</t>
  </si>
  <si>
    <t>tristan_stegmann08</t>
  </si>
  <si>
    <t>Andreas</t>
  </si>
  <si>
    <t>51 91 97 38</t>
  </si>
  <si>
    <t>andreas_4340</t>
  </si>
  <si>
    <t>Niklas</t>
  </si>
  <si>
    <t>51 93 29 01</t>
  </si>
  <si>
    <t>niller_niklas</t>
  </si>
  <si>
    <t>Hjalte</t>
  </si>
  <si>
    <t>22 14 95 01</t>
  </si>
  <si>
    <t>hjalte_johnsen</t>
  </si>
  <si>
    <t>Frederik</t>
  </si>
  <si>
    <t>28 71 83 46</t>
  </si>
  <si>
    <t>frederik_fnuggi</t>
  </si>
  <si>
    <t>Burde have læst ham bedre, da han sagde han ikke havde kort og Apple Pay, så have kørt negotiation på ham - I starten af kaldet skulle jeg have spurgt om det var ham selv der styrede økonomien og hvad de gamle havde sagt til det, bare for at bekræfte det var ham selv. Så skulle jeg have kørt ham gennem frameworket, og fået ham til at være resourceful og finde muligheder og så have lagt en plan ud fra det</t>
  </si>
  <si>
    <t>Følte faktisk ikke vi helt connected, men spurgte ind undervejs om hans fodbold, som gjorde vi fik en god vibe. Selvom jeg syntes han var langt at hente</t>
  </si>
  <si>
    <t>Emil</t>
  </si>
  <si>
    <t>30 22 79 49</t>
  </si>
  <si>
    <t>emil_dalsgard</t>
  </si>
  <si>
    <t>28 43 04 85</t>
  </si>
  <si>
    <t>mads.koefoed</t>
  </si>
  <si>
    <t>Han vil i gang så snart han lander et job, og vil holde mig opdateret, så vi kan give den noget fucking gas</t>
  </si>
  <si>
    <t>Elvedin</t>
  </si>
  <si>
    <t>30 96 40 20</t>
  </si>
  <si>
    <t>elvedin__1</t>
  </si>
  <si>
    <t>Havde en brækket arm, og havde ikke økonomien før til april</t>
  </si>
  <si>
    <t xml:space="preserve">Har aftale med ham 31. Marts, hvor vi klarer betalingen. Skulle have fuldt frameworket mere, men følte simpelthen han var så klar </t>
  </si>
  <si>
    <t>Holger</t>
  </si>
  <si>
    <t>60 57 76 30</t>
  </si>
  <si>
    <t>holgerthor_</t>
  </si>
  <si>
    <t>Fik kørt en god objection handling på ham, fik ham til at være resourceful, så han kom med ideen om flere vagter i Netto, så vi kunne få det her til at ske. Har først penge til 1. april, der vil han også gerne starte op</t>
  </si>
  <si>
    <t>Martin</t>
  </si>
  <si>
    <t>21 96 86 14</t>
  </si>
  <si>
    <t>martin_almquist</t>
  </si>
  <si>
    <t>Lucas</t>
  </si>
  <si>
    <t>29 66 43 99</t>
  </si>
  <si>
    <t>drumking_1</t>
  </si>
  <si>
    <t>Oliver</t>
  </si>
  <si>
    <t>41 69 98 95</t>
  </si>
  <si>
    <t>__oliverthomsen__</t>
  </si>
  <si>
    <t>20 75 19 91</t>
  </si>
  <si>
    <t>jeppe_langagergaard</t>
  </si>
  <si>
    <t xml:space="preserve">Får ikke udfordret ham nok på hans dårlige svare, og det han sagde </t>
  </si>
  <si>
    <t>Morten</t>
  </si>
  <si>
    <t>31 70 00 16</t>
  </si>
  <si>
    <t>mortenvase</t>
  </si>
  <si>
    <t>Havde lige fået job, så har ikke haft sin første vagt endnu, han starter så snart, han har fået sin første løn</t>
  </si>
  <si>
    <t>Lasse</t>
  </si>
  <si>
    <t>81 73 91 92</t>
  </si>
  <si>
    <t>lasse_egemark_</t>
  </si>
  <si>
    <t>Han snakkede alt for meget skulle have holdt ham mere på sporet. Havde været på en masse forløb før, som ikke havde virket og havde sagt til Matti på forhånd han gerne ville tænke over det, men har en god mavefornemmelse med ham</t>
  </si>
  <si>
    <t>Mican</t>
  </si>
  <si>
    <t>21 35 34 22</t>
  </si>
  <si>
    <t>mican_rasmussen</t>
  </si>
  <si>
    <t>Føler ikke flowet var der samtalen blev ikke naturlig. Syntes den var en svær transistion fra ham jeg lige havde snakkede med, 100 p min fejl. Han blev bare ikke solgt godt nok</t>
  </si>
  <si>
    <t>Daniel</t>
  </si>
  <si>
    <t>61 28 90 60</t>
  </si>
  <si>
    <t>steen6271</t>
  </si>
  <si>
    <t>Var bekymret med sin økonomi</t>
  </si>
  <si>
    <t>Skulle have pre-handlet hans money concern bedre og gå mere end i pengene og have hørt om hvad der var mest værd få fysikken/ og prioritere eller kunne de fede ting, men så ikke komme i mål med fysikken, og bare have brugt konsekvens mere, hvad skete der, hvis du ikke gjorde noget?</t>
  </si>
  <si>
    <t>Marius</t>
  </si>
  <si>
    <t>29 38 65 38</t>
  </si>
  <si>
    <t>mariuspedersen2006</t>
  </si>
  <si>
    <t>22 46 36 18</t>
  </si>
  <si>
    <t>anders9140</t>
  </si>
  <si>
    <t>Aksel</t>
  </si>
  <si>
    <t>71 78 12 96</t>
  </si>
  <si>
    <t>aksel_billing</t>
  </si>
  <si>
    <t>60 48 20 42</t>
  </si>
  <si>
    <t>fbfa99</t>
  </si>
  <si>
    <t>93 96 38 19</t>
  </si>
  <si>
    <t>hjalte1243</t>
  </si>
  <si>
    <t>Havde 1100 om måneden</t>
  </si>
  <si>
    <t>Han var virkeligt low comitment, skulle suttes op for slap haha, prøvede at raises hans commitment, men lykkedes ikke ret godt, prøvede at prehandle hans money concern og han sagde han havde 1100 kr. om måneden, så pitchede ham ikke, aftale vi skulle snakkes ved når han havde fundet en læreplads</t>
  </si>
  <si>
    <t>Abdoulie</t>
  </si>
  <si>
    <t>71 36 20 25</t>
  </si>
  <si>
    <t>abdoulie._jobe</t>
  </si>
  <si>
    <t>Havde ikke pengene til at starte op nu</t>
  </si>
  <si>
    <t>Starter op 1. April</t>
  </si>
  <si>
    <t>50 30 91 80</t>
  </si>
  <si>
    <t>frederikbjarning</t>
  </si>
  <si>
    <t>Mikkel</t>
  </si>
  <si>
    <t>28 51 28 48</t>
  </si>
  <si>
    <t>mikkellindgaard</t>
  </si>
  <si>
    <t>Vi brugte 20 min på at få betalingen til at spille, og så nu har han ghostede</t>
  </si>
  <si>
    <t>27 57 84 23</t>
  </si>
  <si>
    <t>Mads_jd</t>
  </si>
  <si>
    <t>Havde 2 samtaler med 2 andre coaches i næste uge</t>
  </si>
  <si>
    <t>Syntes altid det er svært med de her kald, hvor de skal snakke med en anden coach bagefter, ved ikke hvordan jeg præcist kan gøre, for at få dem til at tage en beslutning</t>
  </si>
  <si>
    <t>24 48 09 41</t>
  </si>
  <si>
    <t>frederiksterup</t>
  </si>
  <si>
    <t xml:space="preserve">Får ikke gjort det vigtigt nok for ham, han snakkede mig bare efter bunden og kaldte ham ikke ud på hans BS til at starte med </t>
  </si>
  <si>
    <t>Mathias</t>
  </si>
  <si>
    <t>42 96 91 97</t>
  </si>
  <si>
    <t>mathiashegyi</t>
  </si>
  <si>
    <t>Magnus</t>
  </si>
  <si>
    <t>26 62 70 30</t>
  </si>
  <si>
    <t>Magnus.seerup</t>
  </si>
  <si>
    <t>Sebastian</t>
  </si>
  <si>
    <t>24 26 75 72</t>
  </si>
  <si>
    <t>Sebastian_moeller1</t>
  </si>
  <si>
    <t>Fandu hurtigt hans pain og hørte ham ind til det, syntes egenligt bare vi havde en god snak. Følte måske på et tidspunkt jeg stillede for mange</t>
  </si>
  <si>
    <t>Noah</t>
  </si>
  <si>
    <t>30 49 17 94</t>
  </si>
  <si>
    <t>noahpetersen12</t>
  </si>
  <si>
    <t>Skulle have brugt konsekvens mere f.eks "  du har sagt det her er vigtigt for dig pga (XYZ mål) og du gerne vil have det her, og der bliver nødt til at ske noget nu, fordi XYZ - “Hvad ville du så gøre for at komme i gang med det her?" Så han oplever hvad kosten af inaction er</t>
  </si>
  <si>
    <t>Claus</t>
  </si>
  <si>
    <t>53 83 95 86</t>
  </si>
  <si>
    <t>Claus.munch.music</t>
  </si>
  <si>
    <t>Havde ikke penge før han fik løn</t>
  </si>
  <si>
    <t>Han starter op 1. april når lønnen tikker ind. Selvom han bare var fucking klar fik jeg stadig stillet ham de svære spørgsmål og spurgte igen, hvis han ikke svarede på dem. Lidt et andet prospect end jeg er vant til på casen, men ikke noget jeg ikke har prøvet før, rigtig god mand</t>
  </si>
  <si>
    <t>Amran</t>
  </si>
  <si>
    <t>60 73 57 29</t>
  </si>
  <si>
    <t>amran.kovic</t>
  </si>
  <si>
    <t>42 95 43 83</t>
  </si>
  <si>
    <t>mathias.s.boege</t>
  </si>
  <si>
    <t>Havde ikke penge før til april, hvor han fik løn fra sit nye job</t>
  </si>
  <si>
    <t>Fat rigtigt meget pain ved ham, prøvede virkeligt at disqualify ham, som gjorde han solgt sig selv ednu mere - Var udelukkende pengene der holdte ham igen</t>
  </si>
  <si>
    <t>30 47 22 31</t>
  </si>
  <si>
    <t>daniel_sterobo</t>
  </si>
  <si>
    <t>Han havde en kammerat som var på et andet forløb, som han skulle snakke med om hvordan de gjorde det</t>
  </si>
  <si>
    <t>Skal blive bedre på dem her ifht de skal snakke med en anden coach, jeg skal finde deres rigtige issue er sku ikke godt nok jeg ikke har styr på det</t>
  </si>
  <si>
    <t>21 95 60 85</t>
  </si>
  <si>
    <t>Tristanrixbrandrup</t>
  </si>
  <si>
    <t>Jonis</t>
  </si>
  <si>
    <t>60 89 00 74</t>
  </si>
  <si>
    <t>Jonis.mo11</t>
  </si>
  <si>
    <t>31 40 08 05</t>
  </si>
  <si>
    <t>hjaltejunge</t>
  </si>
  <si>
    <t>Var et fucking varmt lead, var bare sådan det var nogle gode sprøgsmål jeg stillede, men han ville bare gerne igang</t>
  </si>
  <si>
    <t>Patrick</t>
  </si>
  <si>
    <t>27 60 98 97</t>
  </si>
  <si>
    <t>Kragelundpatrick</t>
  </si>
  <si>
    <t xml:space="preserve">Skulle snakke med en anden coach imorgen </t>
  </si>
  <si>
    <t>Havde snakket med flere coach og sagde det her var det bedste han havde hørt, skulle snakke med en anden i morgen og sagde valgte lå på os so far</t>
  </si>
  <si>
    <t>Lønnet ugenligt, så havde ikke til opstart før han fik løn</t>
  </si>
  <si>
    <t>Starter op 1. april er booket ind til kald med Matti. Vi havde gode vibes og han var bare fucking klar</t>
  </si>
  <si>
    <t>Nicolai</t>
  </si>
  <si>
    <t>22 64 42 95</t>
  </si>
  <si>
    <t>Nicliftsss</t>
  </si>
  <si>
    <t>Har først en stabil indkomst efter sommerferien med ny job</t>
  </si>
  <si>
    <t>Vi starter ham op i sommerferien</t>
  </si>
  <si>
    <t>Adrian</t>
  </si>
  <si>
    <t>22 24 17 77</t>
  </si>
  <si>
    <t>smd.addi</t>
  </si>
  <si>
    <t xml:space="preserve">Skulle lige have løn </t>
  </si>
  <si>
    <t>Pisse gode samtale, finder ud af han var fra Randers og så kørte samtalen jo bare</t>
  </si>
  <si>
    <t>Nord</t>
  </si>
  <si>
    <t>42 80 16 39</t>
  </si>
  <si>
    <t>nordtouborg</t>
  </si>
  <si>
    <t>29.Mar</t>
  </si>
  <si>
    <t>93 95 92 27</t>
  </si>
  <si>
    <t>Sebastian.brinch</t>
  </si>
  <si>
    <t xml:space="preserve">Får ham ikke sutte op fra slap, kom med vage svar og sagde tit "det ved jeg ikke" - Viben manglede også til at starte med </t>
  </si>
  <si>
    <t>William</t>
  </si>
  <si>
    <t>27 28 82 02</t>
  </si>
  <si>
    <t>William_kongslev</t>
  </si>
  <si>
    <t>Kunne ikke hænge sammen</t>
  </si>
  <si>
    <t>Havde lagt deposit og skrev 30 min efter det slet ikke kunne lade sig gøre og måtte trække i land (Mega ærgerligt) Får ramt en god vibe. Havde været på kald med Matti her i Januar og havde ikke fået de resultater han gerne ville. Kunne godt have fundet mere pain, men følte ikke det var det som jeg skulle sælge ham på.</t>
  </si>
  <si>
    <t>Casper</t>
  </si>
  <si>
    <t>51 92 73 21</t>
  </si>
  <si>
    <t>casper.buch07</t>
  </si>
  <si>
    <t>42 53 17 08</t>
  </si>
  <si>
    <t>simon_r_jessen</t>
  </si>
  <si>
    <t>Siger til at start med på kaldet han ville give den gas 6 måneder selv og egenligt var hoppet på kald fordi han havde nogle spørgsmål, sagde han ikek ville give pengene, hvis han kunne selv. Syntes han havde fået nogle gode resultater allerede</t>
  </si>
  <si>
    <t>31 52 81 23</t>
  </si>
  <si>
    <t>oliver_salting</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</si>
</sst>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 kr.]"/>
    <numFmt numFmtId="165" formatCode="&quot;$&quot;#,##0"/>
    <numFmt numFmtId="166" formatCode="m&quot;/&quot;d&quot;/&quot;yy"/>
    <numFmt numFmtId="167" formatCode="d. mmm"/>
    <numFmt numFmtId="168" formatCode="[$$]#,##0.00"/>
    <numFmt numFmtId="169" formatCode="dd&quot;/&quot;mmm&quot;/&quot;yy"/>
    <numFmt numFmtId="170" formatCode="&quot;$&quot;#,##0.00"/>
  </numFmts>
  <fonts count="28">
    <font>
      <sz val="10.0"/>
      <color rgb="FF000000"/>
      <name val="Arial"/>
      <scheme val="minor"/>
    </font>
    <font>
      <color theme="1"/>
      <name val="Arial"/>
    </font>
    <font>
      <b/>
      <sz val="10.0"/>
      <color rgb="FFFFFFFF"/>
      <name val="Arial"/>
    </font>
    <font>
      <b/>
      <sz val="9.0"/>
      <color rgb="FFFFFFFF"/>
      <name val="Arial"/>
    </font>
    <font>
      <sz val="9.0"/>
      <color rgb="FFFFFFFF"/>
      <name val="Arial"/>
    </font>
    <font>
      <sz val="10.0"/>
      <color theme="1"/>
      <name val="Arial"/>
    </font>
    <font>
      <sz val="9.0"/>
      <color theme="1"/>
      <name val="Arial"/>
    </font>
    <font>
      <b/>
      <sz val="10.0"/>
      <color theme="1"/>
      <name val="Arial"/>
    </font>
    <font>
      <b/>
      <color theme="1"/>
      <name val="Arial"/>
    </font>
    <font>
      <sz val="10.0"/>
      <color rgb="FFFFFFFF"/>
      <name val="Arial"/>
    </font>
    <font>
      <sz val="11.0"/>
      <color theme="1"/>
      <name val="&quot;Proxima Nova&quot;"/>
    </font>
    <font>
      <color rgb="FF000000"/>
      <name val="Muli"/>
    </font>
    <font>
      <sz val="11.0"/>
      <color rgb="FF0A2540"/>
      <name val="&quot;Proxima Nova&quot;"/>
    </font>
    <font>
      <color rgb="FF000000"/>
      <name val="Arial"/>
    </font>
    <font>
      <sz val="10.0"/>
      <color rgb="FF000000"/>
      <name val="Helvetica"/>
    </font>
    <font>
      <color rgb="FF000000"/>
      <name val="Inter"/>
    </font>
    <font>
      <sz val="11.0"/>
      <color rgb="FF476788"/>
      <name val="&quot;Proxima Nova&quot;"/>
    </font>
    <font>
      <u/>
      <sz val="11.0"/>
      <color rgb="FF0A2540"/>
      <name val="&quot;Proxima Nova&quot;"/>
    </font>
    <font>
      <color rgb="FF28292A"/>
      <name val="Inter"/>
    </font>
    <font>
      <sz val="10.0"/>
      <color rgb="FF3C4043"/>
      <name val="Roboto"/>
    </font>
    <font>
      <sz val="10.0"/>
      <color rgb="FF5F6368"/>
      <name val="Roboto"/>
    </font>
    <font>
      <sz val="11.0"/>
      <color rgb="FF000000"/>
      <name val="Roboto"/>
    </font>
    <font>
      <sz val="11.0"/>
      <color rgb="FF3C4043"/>
      <name val="&quot;Google Sans&quot;"/>
    </font>
    <font>
      <sz val="11.0"/>
      <color rgb="FF3C4043"/>
      <name val="Roboto"/>
    </font>
    <font>
      <sz val="9.0"/>
      <color rgb="FF5F6368"/>
      <name val="Roboto"/>
    </font>
    <font>
      <sz val="10.0"/>
      <color rgb="FF1F1F1F"/>
      <name val="&quot;Google Sans&quot;"/>
    </font>
    <font>
      <color theme="1"/>
      <name val="Arial"/>
      <scheme val="minor"/>
    </font>
    <font>
      <sz val="11.0"/>
      <color rgb="FF1F1F1F"/>
      <name val="&quot;Google Sans&quot;"/>
    </font>
  </fonts>
  <fills count="13">
    <fill>
      <patternFill patternType="none"/>
    </fill>
    <fill>
      <patternFill patternType="lightGray"/>
    </fill>
    <fill>
      <patternFill patternType="solid">
        <fgColor rgb="FF000000"/>
        <bgColor rgb="FF000000"/>
      </patternFill>
    </fill>
    <fill>
      <patternFill patternType="solid">
        <fgColor rgb="FF3C78D8"/>
        <bgColor rgb="FF3C78D8"/>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
      <patternFill patternType="solid">
        <fgColor rgb="FFD9D9D9"/>
        <bgColor rgb="FFD9D9D9"/>
      </patternFill>
    </fill>
    <fill>
      <patternFill patternType="solid">
        <fgColor rgb="FF50E28C"/>
        <bgColor rgb="FF50E28C"/>
      </patternFill>
    </fill>
    <fill>
      <patternFill patternType="solid">
        <fgColor rgb="FFF0F4F9"/>
        <bgColor rgb="FFF0F4F9"/>
      </patternFill>
    </fill>
  </fills>
  <borders count="12">
    <border/>
    <border>
      <bottom style="thin">
        <color rgb="FF000000"/>
      </bottom>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dotted">
        <color rgb="FF000000"/>
      </right>
    </border>
    <border>
      <right style="thin">
        <color rgb="FF000000"/>
      </right>
      <bottom style="thin">
        <color rgb="FF000000"/>
      </bottom>
    </border>
    <border>
      <right style="dotted">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vertical="bottom"/>
    </xf>
    <xf borderId="0" fillId="2" fontId="3" numFmtId="0" xfId="0" applyAlignment="1" applyFont="1">
      <alignment horizontal="center" readingOrder="0" vertical="bottom"/>
    </xf>
    <xf borderId="0" fillId="2" fontId="4" numFmtId="0" xfId="0" applyAlignment="1" applyFont="1">
      <alignment vertical="bottom"/>
    </xf>
    <xf borderId="1" fillId="2" fontId="2" numFmtId="0" xfId="0" applyAlignment="1" applyBorder="1" applyFont="1">
      <alignment horizontal="left" vertical="bottom"/>
    </xf>
    <xf borderId="1" fillId="0" fontId="5" numFmtId="0" xfId="0" applyAlignment="1" applyBorder="1" applyFont="1">
      <alignment vertical="bottom"/>
    </xf>
    <xf borderId="1" fillId="2" fontId="3" numFmtId="0" xfId="0" applyAlignment="1" applyBorder="1" applyFont="1">
      <alignment vertical="bottom"/>
    </xf>
    <xf borderId="1" fillId="0" fontId="1" numFmtId="0" xfId="0" applyAlignment="1" applyBorder="1" applyFont="1">
      <alignment vertical="bottom"/>
    </xf>
    <xf borderId="2" fillId="0" fontId="1" numFmtId="0" xfId="0" applyAlignment="1" applyBorder="1" applyFont="1">
      <alignment vertical="bottom"/>
    </xf>
    <xf borderId="3" fillId="2" fontId="2" numFmtId="0" xfId="0" applyAlignment="1" applyBorder="1" applyFont="1">
      <alignment vertical="bottom"/>
    </xf>
    <xf borderId="4" fillId="0" fontId="1" numFmtId="0" xfId="0" applyAlignment="1" applyBorder="1" applyFont="1">
      <alignment vertical="bottom"/>
    </xf>
    <xf borderId="1" fillId="0" fontId="1" numFmtId="0" xfId="0" applyAlignment="1" applyBorder="1" applyFont="1">
      <alignment shrinkToFit="0" vertical="bottom" wrapText="1"/>
    </xf>
    <xf borderId="1" fillId="0" fontId="1" numFmtId="9" xfId="0" applyAlignment="1" applyBorder="1" applyFont="1" applyNumberFormat="1">
      <alignment vertical="bottom"/>
    </xf>
    <xf borderId="5" fillId="3" fontId="6" numFmtId="0" xfId="0" applyAlignment="1" applyBorder="1" applyFill="1" applyFont="1">
      <alignment vertical="bottom"/>
    </xf>
    <xf borderId="6" fillId="3" fontId="6" numFmtId="164" xfId="0" applyAlignment="1" applyBorder="1" applyFont="1" applyNumberFormat="1">
      <alignment horizontal="right" vertical="bottom"/>
    </xf>
    <xf borderId="7" fillId="4" fontId="5" numFmtId="0" xfId="0" applyAlignment="1" applyBorder="1" applyFill="1" applyFont="1">
      <alignment horizontal="left" vertical="bottom"/>
    </xf>
    <xf borderId="2" fillId="4" fontId="5" numFmtId="0" xfId="0" applyAlignment="1" applyBorder="1" applyFont="1">
      <alignment horizontal="right" vertical="bottom"/>
    </xf>
    <xf borderId="0" fillId="5" fontId="6" numFmtId="0" xfId="0" applyAlignment="1" applyFill="1" applyFont="1">
      <alignment vertical="bottom"/>
    </xf>
    <xf borderId="2" fillId="5" fontId="1" numFmtId="9" xfId="0" applyAlignment="1" applyBorder="1" applyFont="1" applyNumberFormat="1">
      <alignment vertical="bottom"/>
    </xf>
    <xf borderId="2" fillId="0" fontId="1" numFmtId="9" xfId="0" applyAlignment="1" applyBorder="1" applyFont="1" applyNumberFormat="1">
      <alignment vertical="bottom"/>
    </xf>
    <xf borderId="0" fillId="6" fontId="5" numFmtId="0" xfId="0" applyAlignment="1" applyFill="1" applyFont="1">
      <alignment vertical="bottom"/>
    </xf>
    <xf borderId="2" fillId="6" fontId="1" numFmtId="9" xfId="0" applyAlignment="1" applyBorder="1" applyFont="1" applyNumberFormat="1">
      <alignment vertical="bottom"/>
    </xf>
    <xf borderId="0" fillId="7" fontId="6" numFmtId="0" xfId="0" applyAlignment="1" applyFill="1" applyFont="1">
      <alignment vertical="bottom"/>
    </xf>
    <xf borderId="2" fillId="7" fontId="1" numFmtId="0" xfId="0" applyAlignment="1" applyBorder="1" applyFont="1">
      <alignment horizontal="left" shrinkToFit="0" vertical="bottom" wrapText="1"/>
    </xf>
    <xf borderId="0" fillId="8" fontId="6" numFmtId="0" xfId="0" applyAlignment="1" applyFill="1" applyFont="1">
      <alignment vertical="bottom"/>
    </xf>
    <xf borderId="8" fillId="8" fontId="6" numFmtId="0" xfId="0" applyAlignment="1" applyBorder="1" applyFont="1">
      <alignment horizontal="left" vertical="bottom"/>
    </xf>
    <xf borderId="0" fillId="9" fontId="1" numFmtId="0" xfId="0" applyAlignment="1" applyFill="1" applyFont="1">
      <alignment vertical="bottom"/>
    </xf>
    <xf borderId="0" fillId="10" fontId="7" numFmtId="0" xfId="0" applyAlignment="1" applyFill="1" applyFont="1">
      <alignment vertical="bottom"/>
    </xf>
    <xf borderId="2" fillId="10" fontId="8" numFmtId="164" xfId="0" applyAlignment="1" applyBorder="1" applyFont="1" applyNumberFormat="1">
      <alignment horizontal="left" vertical="bottom"/>
    </xf>
    <xf borderId="2" fillId="0" fontId="1" numFmtId="165" xfId="0" applyAlignment="1" applyBorder="1" applyFont="1" applyNumberFormat="1">
      <alignment vertical="bottom"/>
    </xf>
    <xf borderId="7" fillId="3" fontId="6" numFmtId="0" xfId="0" applyAlignment="1" applyBorder="1" applyFont="1">
      <alignment vertical="bottom"/>
    </xf>
    <xf borderId="2" fillId="3" fontId="6" numFmtId="164" xfId="0" applyAlignment="1" applyBorder="1" applyFont="1" applyNumberFormat="1">
      <alignment horizontal="right" vertical="bottom"/>
    </xf>
    <xf borderId="2" fillId="7" fontId="6" numFmtId="0" xfId="0" applyAlignment="1" applyBorder="1" applyFont="1">
      <alignment horizontal="left" shrinkToFit="0" vertical="bottom" wrapText="1"/>
    </xf>
    <xf borderId="1" fillId="10" fontId="7" numFmtId="0" xfId="0" applyAlignment="1" applyBorder="1" applyFont="1">
      <alignment vertical="bottom"/>
    </xf>
    <xf borderId="9" fillId="10" fontId="8" numFmtId="164" xfId="0" applyAlignment="1" applyBorder="1" applyFont="1" applyNumberFormat="1">
      <alignment horizontal="left" vertical="bottom"/>
    </xf>
    <xf borderId="2" fillId="3" fontId="6" numFmtId="4" xfId="0" applyAlignment="1" applyBorder="1" applyFont="1" applyNumberFormat="1">
      <alignment horizontal="right" vertical="bottom"/>
    </xf>
    <xf borderId="2" fillId="3" fontId="6" numFmtId="0" xfId="0" applyAlignment="1" applyBorder="1" applyFont="1">
      <alignment horizontal="right" vertical="bottom"/>
    </xf>
    <xf borderId="9" fillId="0" fontId="7" numFmtId="0" xfId="0" applyAlignment="1" applyBorder="1" applyFont="1">
      <alignment vertical="bottom"/>
    </xf>
    <xf borderId="9" fillId="0" fontId="8" numFmtId="0" xfId="0" applyAlignment="1" applyBorder="1" applyFont="1">
      <alignment horizontal="left" vertical="bottom"/>
    </xf>
    <xf borderId="2" fillId="3" fontId="6" numFmtId="2" xfId="0" applyAlignment="1" applyBorder="1" applyFont="1" applyNumberFormat="1">
      <alignment horizontal="right" vertical="bottom"/>
    </xf>
    <xf borderId="2" fillId="5" fontId="6" numFmtId="0" xfId="0" applyAlignment="1" applyBorder="1" applyFont="1">
      <alignment horizontal="right" vertical="bottom"/>
    </xf>
    <xf borderId="0" fillId="6" fontId="7" numFmtId="0" xfId="0" applyAlignment="1" applyFont="1">
      <alignment vertical="bottom"/>
    </xf>
    <xf borderId="9" fillId="9" fontId="8" numFmtId="0" xfId="0" applyAlignment="1" applyBorder="1" applyFont="1">
      <alignment horizontal="left" vertical="bottom"/>
    </xf>
    <xf borderId="1" fillId="6" fontId="7" numFmtId="0" xfId="0" applyAlignment="1" applyBorder="1" applyFont="1">
      <alignment vertical="bottom"/>
    </xf>
    <xf borderId="9" fillId="6" fontId="1" numFmtId="9" xfId="0" applyAlignment="1" applyBorder="1" applyFont="1" applyNumberFormat="1">
      <alignment vertical="bottom"/>
    </xf>
    <xf borderId="1" fillId="7" fontId="6" numFmtId="0" xfId="0" applyAlignment="1" applyBorder="1" applyFont="1">
      <alignment vertical="bottom"/>
    </xf>
    <xf borderId="9" fillId="7" fontId="1" numFmtId="0" xfId="0" applyAlignment="1" applyBorder="1" applyFont="1">
      <alignment horizontal="left" shrinkToFit="0" vertical="bottom" wrapText="1"/>
    </xf>
    <xf borderId="9" fillId="0" fontId="8" numFmtId="3" xfId="0" applyAlignment="1" applyBorder="1" applyFont="1" applyNumberFormat="1">
      <alignment horizontal="left" vertical="bottom"/>
    </xf>
    <xf borderId="2" fillId="0" fontId="1" numFmtId="3" xfId="0" applyAlignment="1" applyBorder="1" applyFont="1" applyNumberFormat="1">
      <alignment vertical="bottom"/>
    </xf>
    <xf borderId="0" fillId="0" fontId="5" numFmtId="0" xfId="0" applyAlignment="1" applyFont="1">
      <alignment vertical="bottom"/>
    </xf>
    <xf borderId="0" fillId="0" fontId="1" numFmtId="0" xfId="0" applyAlignment="1" applyFont="1">
      <alignment shrinkToFit="0" vertical="bottom" wrapText="1"/>
    </xf>
    <xf borderId="1" fillId="8" fontId="6" numFmtId="0" xfId="0" applyAlignment="1" applyBorder="1" applyFont="1">
      <alignment vertical="bottom"/>
    </xf>
    <xf borderId="10" fillId="8" fontId="6" numFmtId="0" xfId="0" applyAlignment="1" applyBorder="1" applyFont="1">
      <alignment horizontal="left" vertical="bottom"/>
    </xf>
    <xf borderId="9" fillId="11" fontId="8" numFmtId="9" xfId="0" applyAlignment="1" applyBorder="1" applyFill="1" applyFont="1" applyNumberFormat="1">
      <alignment horizontal="left" vertical="bottom"/>
    </xf>
    <xf borderId="7" fillId="3" fontId="1" numFmtId="0" xfId="0" applyAlignment="1" applyBorder="1" applyFont="1">
      <alignment vertical="bottom"/>
    </xf>
    <xf borderId="2" fillId="3" fontId="1" numFmtId="0" xfId="0" applyAlignment="1" applyBorder="1" applyFont="1">
      <alignment vertical="bottom"/>
    </xf>
    <xf borderId="11" fillId="3" fontId="1" numFmtId="0" xfId="0" applyAlignment="1" applyBorder="1" applyFont="1">
      <alignment vertical="bottom"/>
    </xf>
    <xf borderId="9" fillId="3" fontId="1" numFmtId="0" xfId="0" applyAlignment="1" applyBorder="1" applyFont="1">
      <alignment vertical="bottom"/>
    </xf>
    <xf borderId="11" fillId="4" fontId="5" numFmtId="0" xfId="0" applyAlignment="1" applyBorder="1" applyFont="1">
      <alignment horizontal="left" vertical="bottom"/>
    </xf>
    <xf borderId="9" fillId="4" fontId="5" numFmtId="0" xfId="0" applyAlignment="1" applyBorder="1" applyFont="1">
      <alignment horizontal="right" vertical="bottom"/>
    </xf>
    <xf borderId="1" fillId="5" fontId="6" numFmtId="0" xfId="0" applyAlignment="1" applyBorder="1" applyFont="1">
      <alignment vertical="bottom"/>
    </xf>
    <xf borderId="9" fillId="5" fontId="6" numFmtId="0" xfId="0" applyAlignment="1" applyBorder="1" applyFont="1">
      <alignment horizontal="right" vertical="bottom"/>
    </xf>
    <xf borderId="0" fillId="0" fontId="5" numFmtId="0" xfId="0" applyAlignment="1" applyFont="1">
      <alignment horizontal="left" vertical="bottom"/>
    </xf>
    <xf borderId="0" fillId="2" fontId="9" numFmtId="0" xfId="0" applyAlignment="1" applyFont="1">
      <alignment horizontal="center" readingOrder="0" vertical="bottom"/>
    </xf>
    <xf borderId="0" fillId="2" fontId="4" numFmtId="0" xfId="0" applyAlignment="1" applyFont="1">
      <alignment horizontal="center" readingOrder="0" vertical="bottom"/>
    </xf>
    <xf borderId="0" fillId="2" fontId="2" numFmtId="0" xfId="0" applyAlignment="1" applyFont="1">
      <alignment horizontal="left" readingOrder="0" vertical="bottom"/>
    </xf>
    <xf borderId="0" fillId="2" fontId="2" numFmtId="0" xfId="0" applyAlignment="1" applyFont="1">
      <alignment horizontal="center" readingOrder="0" vertical="bottom"/>
    </xf>
    <xf borderId="0" fillId="2" fontId="3" numFmtId="0" xfId="0" applyAlignment="1" applyFont="1">
      <alignment horizontal="center" vertical="bottom"/>
    </xf>
    <xf borderId="0" fillId="2" fontId="3" numFmtId="0" xfId="0" applyAlignment="1" applyFont="1">
      <alignment horizontal="center" shrinkToFit="0" vertical="bottom" wrapText="1"/>
    </xf>
    <xf borderId="0" fillId="0" fontId="1" numFmtId="166" xfId="0" applyAlignment="1" applyFont="1" applyNumberFormat="1">
      <alignment horizontal="left" vertical="bottom"/>
    </xf>
    <xf borderId="0" fillId="9" fontId="5" numFmtId="167" xfId="0" applyAlignment="1" applyFont="1" applyNumberFormat="1">
      <alignment horizontal="left" readingOrder="0" vertical="bottom"/>
    </xf>
    <xf borderId="0" fillId="9" fontId="10" numFmtId="0" xfId="0" applyAlignment="1" applyFont="1">
      <alignment readingOrder="0"/>
    </xf>
    <xf borderId="0" fillId="9" fontId="11" numFmtId="0" xfId="0" applyAlignment="1" applyFont="1">
      <alignment readingOrder="0" shrinkToFit="0" wrapText="1"/>
    </xf>
    <xf borderId="0" fillId="9" fontId="12" numFmtId="0" xfId="0" applyAlignment="1" applyFont="1">
      <alignment readingOrder="0"/>
    </xf>
    <xf borderId="0" fillId="0" fontId="1" numFmtId="0" xfId="0" applyAlignment="1" applyFont="1">
      <alignment horizontal="left" vertical="bottom"/>
    </xf>
    <xf borderId="0" fillId="9" fontId="6" numFmtId="0" xfId="0" applyAlignment="1" applyFont="1">
      <alignment horizontal="left" readingOrder="0" vertical="bottom"/>
    </xf>
    <xf borderId="0" fillId="0" fontId="6" numFmtId="0" xfId="0" applyAlignment="1" applyFont="1">
      <alignment horizontal="left" readingOrder="0" vertical="bottom"/>
    </xf>
    <xf borderId="0" fillId="9" fontId="5" numFmtId="164" xfId="0" applyAlignment="1" applyFont="1" applyNumberFormat="1">
      <alignment horizontal="left" readingOrder="0" vertical="bottom"/>
    </xf>
    <xf borderId="0" fillId="9" fontId="6" numFmtId="164" xfId="0" applyAlignment="1" applyFont="1" applyNumberFormat="1">
      <alignment horizontal="left" readingOrder="0" vertical="bottom"/>
    </xf>
    <xf borderId="0" fillId="0" fontId="1" numFmtId="165" xfId="0" applyAlignment="1" applyFont="1" applyNumberFormat="1">
      <alignment horizontal="left" vertical="bottom"/>
    </xf>
    <xf borderId="0" fillId="0" fontId="1" numFmtId="168" xfId="0" applyAlignment="1" applyFont="1" applyNumberFormat="1">
      <alignment horizontal="left" readingOrder="0" vertical="bottom"/>
    </xf>
    <xf borderId="0" fillId="0" fontId="1" numFmtId="0" xfId="0" applyAlignment="1" applyFont="1">
      <alignment horizontal="left" readingOrder="0" shrinkToFit="0" vertical="bottom" wrapText="1"/>
    </xf>
    <xf borderId="0" fillId="0" fontId="1" numFmtId="0" xfId="0" applyAlignment="1" applyFont="1">
      <alignment horizontal="left" readingOrder="0" vertical="bottom"/>
    </xf>
    <xf borderId="0" fillId="9" fontId="1" numFmtId="0" xfId="0" applyAlignment="1" applyFont="1">
      <alignment horizontal="left" vertical="bottom"/>
    </xf>
    <xf borderId="0" fillId="9" fontId="13" numFmtId="0" xfId="0" applyAlignment="1" applyFont="1">
      <alignment readingOrder="0"/>
    </xf>
    <xf borderId="0" fillId="9" fontId="12" numFmtId="0" xfId="0" applyFont="1"/>
    <xf borderId="0" fillId="9" fontId="1" numFmtId="0" xfId="0" applyAlignment="1" applyFont="1">
      <alignment horizontal="left" readingOrder="0" vertical="bottom"/>
    </xf>
    <xf borderId="0" fillId="0" fontId="14" numFmtId="167" xfId="0" applyAlignment="1" applyFont="1" applyNumberFormat="1">
      <alignment horizontal="left" readingOrder="0"/>
    </xf>
    <xf borderId="0" fillId="0" fontId="1" numFmtId="164" xfId="0" applyAlignment="1" applyFont="1" applyNumberFormat="1">
      <alignment horizontal="left" readingOrder="0" vertical="bottom"/>
    </xf>
    <xf borderId="0" fillId="9" fontId="15" numFmtId="0" xfId="0" applyAlignment="1" applyFont="1">
      <alignment readingOrder="0"/>
    </xf>
    <xf borderId="0" fillId="9" fontId="12" numFmtId="0" xfId="0" applyAlignment="1" applyFont="1">
      <alignment horizontal="left" readingOrder="0"/>
    </xf>
    <xf borderId="0" fillId="9" fontId="16" numFmtId="0" xfId="0" applyAlignment="1" applyFont="1">
      <alignment readingOrder="0"/>
    </xf>
    <xf borderId="0" fillId="9" fontId="1" numFmtId="46" xfId="0" applyAlignment="1" applyFont="1" applyNumberFormat="1">
      <alignment horizontal="left" vertical="bottom"/>
    </xf>
    <xf borderId="0" fillId="9" fontId="1" numFmtId="0" xfId="0" applyAlignment="1" applyFont="1">
      <alignment horizontal="left" readingOrder="0" vertical="bottom"/>
    </xf>
    <xf borderId="0" fillId="9" fontId="17" numFmtId="0" xfId="0" applyAlignment="1" applyFont="1">
      <alignment readingOrder="0"/>
    </xf>
    <xf borderId="0" fillId="9" fontId="5" numFmtId="169" xfId="0" applyAlignment="1" applyFont="1" applyNumberFormat="1">
      <alignment horizontal="left" readingOrder="0" vertical="bottom"/>
    </xf>
    <xf borderId="0" fillId="0" fontId="1" numFmtId="21" xfId="0" applyAlignment="1" applyFont="1" applyNumberFormat="1">
      <alignment horizontal="left" readingOrder="0" vertical="bottom"/>
    </xf>
    <xf borderId="0" fillId="0" fontId="1" numFmtId="0" xfId="0" applyAlignment="1" applyFont="1">
      <alignment horizontal="left" shrinkToFit="0" vertical="bottom" wrapText="1"/>
    </xf>
    <xf borderId="0" fillId="0" fontId="1" numFmtId="46" xfId="0" applyAlignment="1" applyFont="1" applyNumberFormat="1">
      <alignment horizontal="left" readingOrder="0" vertical="bottom"/>
    </xf>
    <xf borderId="0" fillId="0" fontId="1" numFmtId="46" xfId="0" applyAlignment="1" applyFont="1" applyNumberFormat="1">
      <alignment horizontal="left" vertical="bottom"/>
    </xf>
    <xf borderId="0" fillId="9" fontId="13" numFmtId="0" xfId="0" applyAlignment="1" applyFont="1">
      <alignment horizontal="left" readingOrder="0" vertical="bottom"/>
    </xf>
    <xf borderId="0" fillId="9" fontId="18" numFmtId="0" xfId="0" applyAlignment="1" applyFont="1">
      <alignment readingOrder="0"/>
    </xf>
    <xf borderId="0" fillId="0" fontId="19" numFmtId="0" xfId="0" applyAlignment="1" applyFont="1">
      <alignment horizontal="left" readingOrder="0"/>
    </xf>
    <xf borderId="0" fillId="9" fontId="19" numFmtId="0" xfId="0" applyAlignment="1" applyFont="1">
      <alignment horizontal="left" readingOrder="0" shrinkToFit="0" wrapText="0"/>
    </xf>
    <xf borderId="0" fillId="9" fontId="5" numFmtId="164" xfId="0" applyAlignment="1" applyFont="1" applyNumberFormat="1">
      <alignment horizontal="left" vertical="bottom"/>
    </xf>
    <xf borderId="0" fillId="9" fontId="6" numFmtId="164" xfId="0" applyAlignment="1" applyFont="1" applyNumberFormat="1">
      <alignment horizontal="left" vertical="bottom"/>
    </xf>
    <xf borderId="0" fillId="0" fontId="1" numFmtId="168" xfId="0" applyAlignment="1" applyFont="1" applyNumberFormat="1">
      <alignment horizontal="left" vertical="bottom"/>
    </xf>
    <xf borderId="0" fillId="9" fontId="5" numFmtId="0" xfId="0" applyAlignment="1" applyFont="1">
      <alignment horizontal="left" readingOrder="0" vertical="bottom"/>
    </xf>
    <xf borderId="0" fillId="9" fontId="20" numFmtId="0" xfId="0" applyAlignment="1" applyFont="1">
      <alignment horizontal="left" readingOrder="0" shrinkToFit="0" wrapText="0"/>
    </xf>
    <xf borderId="0" fillId="0" fontId="21" numFmtId="0" xfId="0" applyAlignment="1" applyFont="1">
      <alignment readingOrder="0"/>
    </xf>
    <xf borderId="0" fillId="0" fontId="22" numFmtId="0" xfId="0" applyAlignment="1" applyFont="1">
      <alignment readingOrder="0"/>
    </xf>
    <xf borderId="0" fillId="9" fontId="23" numFmtId="0" xfId="0" applyAlignment="1" applyFont="1">
      <alignment horizontal="left" readingOrder="0" shrinkToFit="0" wrapText="0"/>
    </xf>
    <xf borderId="0" fillId="9" fontId="20" numFmtId="0" xfId="0" applyAlignment="1" applyFont="1">
      <alignment horizontal="left" shrinkToFit="0" wrapText="0"/>
    </xf>
    <xf borderId="0" fillId="9" fontId="24" numFmtId="0" xfId="0" applyAlignment="1" applyFont="1">
      <alignment horizontal="left" readingOrder="0" shrinkToFit="0" wrapText="0"/>
    </xf>
    <xf borderId="0" fillId="0" fontId="25" numFmtId="0" xfId="0" applyAlignment="1" applyFont="1">
      <alignment horizontal="left" readingOrder="0"/>
    </xf>
    <xf borderId="0" fillId="9" fontId="5" numFmtId="169" xfId="0" applyAlignment="1" applyFont="1" applyNumberFormat="1">
      <alignment horizontal="left" vertical="bottom"/>
    </xf>
    <xf borderId="0" fillId="9" fontId="6" numFmtId="0" xfId="0" applyAlignment="1" applyFont="1">
      <alignment horizontal="left" vertical="bottom"/>
    </xf>
    <xf borderId="0" fillId="9" fontId="5" numFmtId="0" xfId="0" applyAlignment="1" applyFont="1">
      <alignment horizontal="left" vertical="bottom"/>
    </xf>
    <xf borderId="0" fillId="0" fontId="6" numFmtId="0" xfId="0" applyAlignment="1" applyFont="1">
      <alignment horizontal="left" vertical="bottom"/>
    </xf>
    <xf borderId="0" fillId="9" fontId="5" numFmtId="0" xfId="0" applyAlignment="1" applyFont="1">
      <alignment horizontal="left" shrinkToFit="0" vertical="bottom" wrapText="0"/>
    </xf>
    <xf borderId="0" fillId="9" fontId="5" numFmtId="170" xfId="0" applyAlignment="1" applyFont="1" applyNumberFormat="1">
      <alignment horizontal="left" vertical="bottom"/>
    </xf>
    <xf borderId="0" fillId="9" fontId="6" numFmtId="170" xfId="0" applyAlignment="1" applyFont="1" applyNumberFormat="1">
      <alignment horizontal="left" vertical="bottom"/>
    </xf>
    <xf borderId="0" fillId="9" fontId="5" numFmtId="170" xfId="0" applyAlignment="1" applyFont="1" applyNumberFormat="1">
      <alignment horizontal="left" readingOrder="0" vertical="bottom"/>
    </xf>
    <xf borderId="0" fillId="9" fontId="6" numFmtId="170" xfId="0" applyAlignment="1" applyFont="1" applyNumberFormat="1">
      <alignment horizontal="left" readingOrder="0" vertical="bottom"/>
    </xf>
    <xf borderId="0" fillId="9" fontId="5" numFmtId="165" xfId="0" applyAlignment="1" applyFont="1" applyNumberFormat="1">
      <alignment horizontal="left" vertical="bottom"/>
    </xf>
    <xf borderId="0" fillId="9" fontId="1" numFmtId="165" xfId="0" applyAlignment="1" applyFont="1" applyNumberFormat="1">
      <alignment horizontal="left" vertical="bottom"/>
    </xf>
    <xf borderId="0" fillId="0" fontId="26" numFmtId="0" xfId="0" applyAlignment="1" applyFont="1">
      <alignment readingOrder="0"/>
    </xf>
    <xf borderId="0" fillId="0" fontId="1" numFmtId="164" xfId="0" applyAlignment="1" applyFont="1" applyNumberFormat="1">
      <alignment horizontal="left" vertical="bottom"/>
    </xf>
    <xf borderId="0" fillId="12" fontId="27"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9.63"/>
    <col customWidth="1" min="4" max="4" width="0.38"/>
    <col customWidth="1" min="5" max="5" width="15.13"/>
    <col customWidth="1" min="6" max="6" width="21.0"/>
    <col customWidth="1" min="7" max="7" width="0.38"/>
    <col customWidth="1" min="8" max="8" width="15.63"/>
    <col customWidth="1" min="9" max="9" width="13.88"/>
    <col customWidth="1" min="10" max="10" width="0.38"/>
    <col customWidth="1" min="11" max="11" width="16.25"/>
    <col customWidth="1" min="13" max="13" width="0.38"/>
    <col customWidth="1" min="15" max="15" width="16.5"/>
    <col customWidth="1" min="16" max="16" width="0.38"/>
    <col customWidth="1" min="17" max="17" width="13.13"/>
    <col customWidth="1" min="18" max="18" width="13.88"/>
    <col customWidth="1" min="19" max="19" width="19.13"/>
    <col customWidth="1" min="21" max="21" width="23.75"/>
    <col customWidth="1" min="22" max="22" width="0.38"/>
  </cols>
  <sheetData>
    <row r="1">
      <c r="A1" s="1"/>
      <c r="B1" s="2" t="s">
        <v>0</v>
      </c>
      <c r="C1" s="3" t="s">
        <v>1</v>
      </c>
      <c r="D1" s="1"/>
      <c r="E1" s="4" t="s">
        <v>2</v>
      </c>
      <c r="F1" s="1"/>
      <c r="H1" s="5" t="s">
        <v>3</v>
      </c>
      <c r="I1" s="6"/>
      <c r="J1" s="1"/>
      <c r="K1" s="7" t="s">
        <v>4</v>
      </c>
      <c r="L1" s="8"/>
      <c r="M1" s="9"/>
      <c r="N1" s="10" t="s">
        <v>5</v>
      </c>
      <c r="O1" s="11"/>
      <c r="P1" s="9"/>
      <c r="Q1" s="7" t="s">
        <v>6</v>
      </c>
      <c r="R1" s="12"/>
      <c r="S1" s="1"/>
      <c r="T1" s="7" t="s">
        <v>7</v>
      </c>
      <c r="U1" s="13"/>
      <c r="V1" s="1"/>
    </row>
    <row r="2">
      <c r="A2" s="1"/>
      <c r="B2" s="6"/>
      <c r="C2" s="8"/>
      <c r="D2" s="9"/>
      <c r="E2" s="14" t="s">
        <v>8</v>
      </c>
      <c r="F2" s="15" t="str">
        <f>C3/C6</f>
        <v>#DIV/0!</v>
      </c>
      <c r="H2" s="16" t="s">
        <v>9</v>
      </c>
      <c r="I2" s="17">
        <f>IFERROR(COUNTIFS(I13:I287, "Full-Pay"),"")</f>
        <v>0</v>
      </c>
      <c r="J2" s="9"/>
      <c r="K2" s="18" t="s">
        <v>10</v>
      </c>
      <c r="L2" s="19" t="str">
        <f>iferror(L10/L8,"")</f>
        <v/>
      </c>
      <c r="M2" s="20"/>
      <c r="N2" s="21" t="s">
        <v>11</v>
      </c>
      <c r="O2" s="22" t="str">
        <f>iferror(I8/L6,"")</f>
        <v/>
      </c>
      <c r="P2" s="20"/>
      <c r="Q2" s="23" t="s">
        <v>12</v>
      </c>
      <c r="R2" s="24">
        <f>IFERROR(COUNTIFS(N13:N286, "think about it"),"")</f>
        <v>0</v>
      </c>
      <c r="S2" s="9"/>
      <c r="T2" s="25" t="s">
        <v>13</v>
      </c>
      <c r="U2" s="26">
        <f>IFERROR(COUNTIF(H13:H286,T2),"")</f>
        <v>0</v>
      </c>
      <c r="V2" s="27"/>
    </row>
    <row r="3">
      <c r="A3" s="9"/>
      <c r="B3" s="28" t="s">
        <v>14</v>
      </c>
      <c r="C3" s="29">
        <f>IFERROR(SUM(K13:K284),"")</f>
        <v>0</v>
      </c>
      <c r="D3" s="30"/>
      <c r="E3" s="31" t="s">
        <v>15</v>
      </c>
      <c r="F3" s="32" t="str">
        <f>C4/C6</f>
        <v>#DIV/0!</v>
      </c>
      <c r="H3" s="16" t="s">
        <v>16</v>
      </c>
      <c r="I3" s="17">
        <f>IFERROR(COUNTIFS(I13:I287, "Split-Pay"),"")</f>
        <v>0</v>
      </c>
      <c r="J3" s="9"/>
      <c r="K3" s="18" t="s">
        <v>17</v>
      </c>
      <c r="L3" s="19" t="str">
        <f>IFERROR(L10/L9,"")</f>
        <v/>
      </c>
      <c r="M3" s="20"/>
      <c r="N3" s="21" t="s">
        <v>18</v>
      </c>
      <c r="O3" s="22" t="str">
        <f>iferror(I9/L6,"")</f>
        <v/>
      </c>
      <c r="P3" s="20"/>
      <c r="Q3" s="23" t="s">
        <v>19</v>
      </c>
      <c r="R3" s="33">
        <f>IFERROR(COUNTIFS(N13:N286, "money"),"")</f>
        <v>0</v>
      </c>
      <c r="S3" s="9"/>
      <c r="T3" s="25" t="s">
        <v>20</v>
      </c>
      <c r="U3" s="26">
        <f>IFERROR(COUNTIF(H13:H286,T3),"")</f>
        <v>0</v>
      </c>
      <c r="V3" s="27"/>
    </row>
    <row r="4">
      <c r="A4" s="9"/>
      <c r="B4" s="34" t="s">
        <v>21</v>
      </c>
      <c r="C4" s="35">
        <f>IFERROR(SUM(L13:L284),"")</f>
        <v>0</v>
      </c>
      <c r="D4" s="30"/>
      <c r="E4" s="31" t="s">
        <v>22</v>
      </c>
      <c r="F4" s="36" t="str">
        <f>C4/C3*100</f>
        <v>#DIV/0!</v>
      </c>
      <c r="H4" s="16" t="s">
        <v>23</v>
      </c>
      <c r="I4" s="17">
        <f>IFERROR(COUNTIFS(I13:I287, "Deposit"),"")</f>
        <v>0</v>
      </c>
      <c r="J4" s="9"/>
      <c r="K4" s="18" t="s">
        <v>24</v>
      </c>
      <c r="L4" s="19" t="str">
        <f>IFERROR(L9/L8,"")</f>
        <v/>
      </c>
      <c r="M4" s="20"/>
      <c r="N4" s="21" t="s">
        <v>25</v>
      </c>
      <c r="O4" s="22" t="str">
        <f>iferror(I10/L6,"")</f>
        <v/>
      </c>
      <c r="P4" s="20"/>
      <c r="Q4" s="23" t="s">
        <v>26</v>
      </c>
      <c r="R4" s="24">
        <f>IFERROR(COUNTIFS(N13:N286, "time"),"")</f>
        <v>0</v>
      </c>
      <c r="S4" s="9"/>
      <c r="T4" s="25" t="s">
        <v>27</v>
      </c>
      <c r="U4" s="26">
        <f>IFERROR(COUNTIF(H13:H286,T4),"")</f>
        <v>0</v>
      </c>
      <c r="V4" s="1"/>
    </row>
    <row r="5">
      <c r="A5" s="1"/>
      <c r="B5" s="6"/>
      <c r="C5" s="8"/>
      <c r="D5" s="9"/>
      <c r="E5" s="31" t="s">
        <v>28</v>
      </c>
      <c r="F5" s="37" t="str">
        <f>I2/C7*100</f>
        <v>#DIV/0!</v>
      </c>
      <c r="H5" s="16" t="s">
        <v>29</v>
      </c>
      <c r="I5" s="17">
        <f>IFERROR(COUNTIFS(I13:I287, "Offer &amp; Didn't Buy"),"")</f>
        <v>0</v>
      </c>
      <c r="J5" s="9"/>
      <c r="K5" s="18" t="s">
        <v>30</v>
      </c>
      <c r="L5" s="19" t="str">
        <f>IFERROR(I7/(C6+I7+I8),"")</f>
        <v/>
      </c>
      <c r="M5" s="9"/>
      <c r="N5" s="21" t="s">
        <v>30</v>
      </c>
      <c r="O5" s="22" t="str">
        <f>iferror(I7/L6,"")</f>
        <v/>
      </c>
      <c r="P5" s="20"/>
      <c r="Q5" s="23" t="s">
        <v>31</v>
      </c>
      <c r="R5" s="24">
        <f>IFERROR(COUNTIFS(N13:N286, "partner"),"")</f>
        <v>0</v>
      </c>
      <c r="S5" s="9"/>
      <c r="T5" s="25" t="s">
        <v>32</v>
      </c>
      <c r="U5" s="26">
        <f>IFERROR(COUNTIF(H13:H286,T5),"")</f>
        <v>0</v>
      </c>
      <c r="V5" s="27"/>
    </row>
    <row r="6">
      <c r="A6" s="9"/>
      <c r="B6" s="38" t="s">
        <v>33</v>
      </c>
      <c r="C6" s="39">
        <f>IFERROR(SUM(I2:I6),"")</f>
        <v>0</v>
      </c>
      <c r="D6" s="9"/>
      <c r="E6" s="31" t="s">
        <v>34</v>
      </c>
      <c r="F6" s="40" t="str">
        <f>AVERAGE(Q13:Q104)</f>
        <v>#DIV/0!</v>
      </c>
      <c r="H6" s="16" t="s">
        <v>35</v>
      </c>
      <c r="I6" s="17">
        <f>IFERROR(COUNTIFS(I13:I287, "Bad Fit &amp; No Offer"),"")</f>
        <v>0</v>
      </c>
      <c r="J6" s="9"/>
      <c r="K6" s="18" t="s">
        <v>36</v>
      </c>
      <c r="L6" s="41">
        <f>IFERROR(SUM(I2:I10),"")</f>
        <v>0</v>
      </c>
      <c r="M6" s="9"/>
      <c r="N6" s="42" t="s">
        <v>37</v>
      </c>
      <c r="O6" s="22" t="str">
        <f>iferror(L7/L6,"")</f>
        <v/>
      </c>
      <c r="P6" s="20"/>
      <c r="Q6" s="23" t="s">
        <v>38</v>
      </c>
      <c r="R6" s="24">
        <f>IFERROR(COUNTIFS(N13:N286, "fear"),"")</f>
        <v>0</v>
      </c>
      <c r="S6" s="9"/>
      <c r="T6" s="25" t="s">
        <v>39</v>
      </c>
      <c r="U6" s="26">
        <f>IFERROR(COUNTIF(H13:H286,T6),"")</f>
        <v>0</v>
      </c>
      <c r="V6" s="27"/>
    </row>
    <row r="7">
      <c r="A7" s="9"/>
      <c r="B7" s="38" t="s">
        <v>40</v>
      </c>
      <c r="C7" s="43">
        <f>IFERROR(I2+I3,"")</f>
        <v>0</v>
      </c>
      <c r="D7" s="9"/>
      <c r="E7" s="31" t="s">
        <v>41</v>
      </c>
      <c r="F7" s="32" t="str">
        <f>C3/C7</f>
        <v>#DIV/0!</v>
      </c>
      <c r="H7" s="16" t="s">
        <v>42</v>
      </c>
      <c r="I7" s="17">
        <f>IFERROR(COUNTIFS(I13:I287, "Drag Over &amp; Show"),"")</f>
        <v>0</v>
      </c>
      <c r="J7" s="9"/>
      <c r="K7" s="18" t="s">
        <v>43</v>
      </c>
      <c r="L7" s="41">
        <f>IFERROR(SUM(I2:I7),"")</f>
        <v>0</v>
      </c>
      <c r="M7" s="9"/>
      <c r="N7" s="44" t="s">
        <v>44</v>
      </c>
      <c r="O7" s="45" t="str">
        <f>IFERROR(L8/L6,"")</f>
        <v/>
      </c>
      <c r="P7" s="20"/>
      <c r="Q7" s="46" t="s">
        <v>45</v>
      </c>
      <c r="R7" s="47">
        <f>IFERROR(COUNTIFS(N14:N287, "value"),"")</f>
        <v>0</v>
      </c>
      <c r="S7" s="9"/>
      <c r="T7" s="25" t="s">
        <v>46</v>
      </c>
      <c r="U7" s="26">
        <f>IFERROR(COUNTIF(H13:H286,T7),"")</f>
        <v>0</v>
      </c>
      <c r="V7" s="1"/>
    </row>
    <row r="8">
      <c r="A8" s="9"/>
      <c r="B8" s="38" t="s">
        <v>47</v>
      </c>
      <c r="C8" s="48">
        <f>COUNTIF(I13:I286,"offer &amp; didn't buy")+countif(I13:I286,"deposit")+countif(I13:I286,"bad fit &amp; no offer")</f>
        <v>0</v>
      </c>
      <c r="D8" s="49"/>
      <c r="E8" s="31" t="s">
        <v>48</v>
      </c>
      <c r="F8" s="32" t="str">
        <f>C4/C7</f>
        <v>#DIV/0!</v>
      </c>
      <c r="H8" s="16" t="s">
        <v>49</v>
      </c>
      <c r="I8" s="17">
        <f>IFERROR(COUNTIFS(I13:I287, "Rescheduled"),"")</f>
        <v>0</v>
      </c>
      <c r="J8" s="9"/>
      <c r="K8" s="18" t="s">
        <v>50</v>
      </c>
      <c r="L8" s="41">
        <f>IFERROR(SUM(I2:I6),"")</f>
        <v>0</v>
      </c>
      <c r="M8" s="1"/>
      <c r="N8" s="50"/>
      <c r="O8" s="1"/>
      <c r="P8" s="1"/>
      <c r="Q8" s="1"/>
      <c r="R8" s="51"/>
      <c r="S8" s="9"/>
      <c r="T8" s="52" t="s">
        <v>51</v>
      </c>
      <c r="U8" s="53">
        <f>IFERROR(COUNTIF(H13:H286,T8),"")</f>
        <v>0</v>
      </c>
      <c r="V8" s="1"/>
    </row>
    <row r="9">
      <c r="A9" s="9"/>
      <c r="B9" s="38" t="s">
        <v>52</v>
      </c>
      <c r="C9" s="54" t="str">
        <f>iferror(SUM(C7/C6),"")</f>
        <v/>
      </c>
      <c r="D9" s="20"/>
      <c r="E9" s="55"/>
      <c r="F9" s="56"/>
      <c r="H9" s="16" t="s">
        <v>53</v>
      </c>
      <c r="I9" s="17">
        <f>IFERROR(COUNTIFS(I13:I287, "Cancelled"),"")</f>
        <v>0</v>
      </c>
      <c r="J9" s="9"/>
      <c r="K9" s="18" t="s">
        <v>54</v>
      </c>
      <c r="L9" s="41">
        <f>IFERROR(sum(I2:I5),"")</f>
        <v>0</v>
      </c>
      <c r="M9" s="1"/>
      <c r="N9" s="50"/>
      <c r="O9" s="1"/>
      <c r="P9" s="1"/>
      <c r="Q9" s="1"/>
      <c r="R9" s="51"/>
      <c r="S9" s="1"/>
      <c r="T9" s="1"/>
      <c r="U9" s="1"/>
      <c r="V9" s="1"/>
    </row>
    <row r="10">
      <c r="A10" s="1"/>
      <c r="B10" s="50"/>
      <c r="C10" s="1"/>
      <c r="D10" s="9"/>
      <c r="E10" s="57"/>
      <c r="F10" s="58"/>
      <c r="H10" s="59" t="s">
        <v>55</v>
      </c>
      <c r="I10" s="60">
        <f>IFERROR(COUNTIFS(I13:I287, "No-Show"),"")</f>
        <v>0</v>
      </c>
      <c r="J10" s="9"/>
      <c r="K10" s="61" t="s">
        <v>56</v>
      </c>
      <c r="L10" s="62">
        <f>I2+I3</f>
        <v>0</v>
      </c>
      <c r="M10" s="1"/>
      <c r="N10" s="50"/>
      <c r="O10" s="1"/>
      <c r="P10" s="1"/>
      <c r="Q10" s="1"/>
      <c r="R10" s="51"/>
      <c r="S10" s="1"/>
      <c r="T10" s="1"/>
      <c r="U10" s="1"/>
      <c r="V10" s="1"/>
    </row>
    <row r="11" ht="6.0" customHeight="1">
      <c r="A11" s="1"/>
      <c r="B11" s="50"/>
      <c r="C11" s="1"/>
      <c r="D11" s="1"/>
      <c r="E11" s="63"/>
      <c r="F11" s="50"/>
      <c r="G11" s="1"/>
      <c r="H11" s="1"/>
      <c r="I11" s="1"/>
      <c r="J11" s="1"/>
      <c r="K11" s="50"/>
      <c r="L11" s="1"/>
      <c r="M11" s="1"/>
      <c r="N11" s="1"/>
      <c r="O11" s="51"/>
      <c r="P11" s="1"/>
      <c r="Q11" s="1"/>
      <c r="R11" s="1"/>
      <c r="S11" s="1"/>
      <c r="T11" s="1"/>
      <c r="V11" s="1"/>
    </row>
    <row r="12">
      <c r="A12" s="1"/>
      <c r="B12" s="64" t="s">
        <v>57</v>
      </c>
      <c r="C12" s="65" t="s">
        <v>58</v>
      </c>
      <c r="D12" s="1"/>
      <c r="E12" s="66" t="s">
        <v>59</v>
      </c>
      <c r="F12" s="67" t="s">
        <v>60</v>
      </c>
      <c r="G12" s="1"/>
      <c r="H12" s="68" t="s">
        <v>7</v>
      </c>
      <c r="I12" s="68" t="s">
        <v>3</v>
      </c>
      <c r="J12" s="1"/>
      <c r="K12" s="67" t="s">
        <v>61</v>
      </c>
      <c r="L12" s="3" t="s">
        <v>21</v>
      </c>
      <c r="M12" s="1"/>
      <c r="N12" s="68" t="s">
        <v>62</v>
      </c>
      <c r="O12" s="69" t="s">
        <v>63</v>
      </c>
      <c r="P12" s="1"/>
      <c r="Q12" s="68" t="s">
        <v>64</v>
      </c>
      <c r="R12" s="68" t="s">
        <v>65</v>
      </c>
      <c r="S12" s="68" t="s">
        <v>66</v>
      </c>
      <c r="T12" s="68" t="s">
        <v>67</v>
      </c>
      <c r="V12" s="27"/>
    </row>
    <row r="13" ht="15.75" customHeight="1">
      <c r="A13" s="70"/>
      <c r="B13" s="71"/>
      <c r="C13" s="72"/>
      <c r="D13" s="73"/>
      <c r="E13" s="74"/>
      <c r="F13" s="74"/>
      <c r="G13" s="75"/>
      <c r="H13" s="76" t="s">
        <v>60</v>
      </c>
      <c r="I13" s="77"/>
      <c r="J13" s="75"/>
      <c r="K13" s="78"/>
      <c r="L13" s="79"/>
      <c r="M13" s="80"/>
      <c r="N13" s="81"/>
      <c r="O13" s="82"/>
      <c r="P13" s="75"/>
      <c r="Q13" s="83"/>
      <c r="S13" s="83"/>
      <c r="T13" s="83"/>
      <c r="V13" s="84"/>
    </row>
    <row r="14" ht="15.75" customHeight="1">
      <c r="A14" s="75"/>
      <c r="B14" s="71"/>
      <c r="C14" s="85"/>
      <c r="D14" s="75"/>
      <c r="E14" s="74"/>
      <c r="F14" s="74"/>
      <c r="G14" s="75"/>
      <c r="H14" s="76" t="s">
        <v>68</v>
      </c>
      <c r="I14" s="77"/>
      <c r="J14" s="75"/>
      <c r="K14" s="78"/>
      <c r="L14" s="79"/>
      <c r="M14" s="80"/>
      <c r="N14" s="81"/>
      <c r="O14" s="82"/>
      <c r="P14" s="75"/>
      <c r="Q14" s="83"/>
      <c r="S14" s="83"/>
      <c r="T14" s="83"/>
      <c r="V14" s="84"/>
    </row>
    <row r="15" ht="15.75" customHeight="1">
      <c r="A15" s="75"/>
      <c r="B15" s="71"/>
      <c r="C15" s="72"/>
      <c r="D15" s="83"/>
      <c r="F15" s="86"/>
      <c r="G15" s="75"/>
      <c r="H15" s="76" t="s">
        <v>68</v>
      </c>
      <c r="I15" s="77"/>
      <c r="J15" s="75"/>
      <c r="K15" s="78"/>
      <c r="L15" s="79"/>
      <c r="M15" s="80"/>
      <c r="N15" s="81"/>
      <c r="O15" s="82"/>
      <c r="P15" s="75"/>
      <c r="Q15" s="83"/>
      <c r="R15" s="87"/>
      <c r="S15" s="83"/>
      <c r="T15" s="83"/>
      <c r="V15" s="84"/>
    </row>
    <row r="16" ht="15.75" customHeight="1">
      <c r="A16" s="75"/>
      <c r="B16" s="71"/>
      <c r="C16" s="72"/>
      <c r="D16" s="75"/>
      <c r="E16" s="74"/>
      <c r="F16" s="74"/>
      <c r="G16" s="75"/>
      <c r="H16" s="76" t="s">
        <v>68</v>
      </c>
      <c r="I16" s="77"/>
      <c r="J16" s="75"/>
      <c r="K16" s="78"/>
      <c r="L16" s="79"/>
      <c r="M16" s="80"/>
      <c r="N16" s="81"/>
      <c r="O16" s="82"/>
      <c r="P16" s="75"/>
      <c r="Q16" s="83"/>
      <c r="S16" s="83"/>
      <c r="T16" s="83"/>
      <c r="V16" s="84"/>
    </row>
    <row r="17" ht="15.75" customHeight="1">
      <c r="A17" s="75"/>
      <c r="B17" s="71"/>
      <c r="C17" s="72"/>
      <c r="D17" s="75"/>
      <c r="E17" s="74"/>
      <c r="F17" s="86"/>
      <c r="G17" s="75"/>
      <c r="H17" s="76"/>
      <c r="I17" s="77"/>
      <c r="J17" s="75"/>
      <c r="K17" s="78"/>
      <c r="L17" s="79"/>
      <c r="M17" s="80"/>
      <c r="N17" s="81"/>
      <c r="O17" s="82"/>
      <c r="P17" s="75"/>
      <c r="Q17" s="83"/>
      <c r="S17" s="83"/>
      <c r="T17" s="83"/>
      <c r="V17" s="84"/>
    </row>
    <row r="18" ht="15.75" customHeight="1">
      <c r="A18" s="75"/>
      <c r="B18" s="71"/>
      <c r="C18" s="72"/>
      <c r="D18" s="75"/>
      <c r="E18" s="74"/>
      <c r="F18" s="74"/>
      <c r="G18" s="75"/>
      <c r="H18" s="76"/>
      <c r="I18" s="77"/>
      <c r="J18" s="75"/>
      <c r="K18" s="78"/>
      <c r="L18" s="79"/>
      <c r="M18" s="80"/>
      <c r="N18" s="81"/>
      <c r="O18" s="82"/>
      <c r="P18" s="75"/>
      <c r="Q18" s="83"/>
      <c r="S18" s="83"/>
      <c r="T18" s="83"/>
      <c r="V18" s="84"/>
    </row>
    <row r="19" ht="15.75" customHeight="1">
      <c r="A19" s="75"/>
      <c r="B19" s="88"/>
      <c r="C19" s="72"/>
      <c r="D19" s="75"/>
      <c r="E19" s="74"/>
      <c r="F19" s="74"/>
      <c r="G19" s="75"/>
      <c r="H19" s="76"/>
      <c r="I19" s="77"/>
      <c r="J19" s="75"/>
      <c r="K19" s="89"/>
      <c r="L19" s="79"/>
      <c r="M19" s="80"/>
      <c r="N19" s="81"/>
      <c r="O19" s="82"/>
      <c r="P19" s="75"/>
      <c r="Q19" s="83"/>
      <c r="S19" s="83"/>
      <c r="T19" s="83"/>
      <c r="V19" s="84"/>
    </row>
    <row r="20" ht="15.75" customHeight="1">
      <c r="A20" s="70"/>
      <c r="B20" s="71"/>
      <c r="C20" s="72"/>
      <c r="D20" s="75"/>
      <c r="E20" s="74"/>
      <c r="F20" s="74"/>
      <c r="G20" s="75"/>
      <c r="H20" s="76"/>
      <c r="I20" s="77"/>
      <c r="J20" s="75"/>
      <c r="K20" s="75"/>
      <c r="L20" s="75"/>
      <c r="M20" s="75"/>
      <c r="N20" s="81"/>
      <c r="O20" s="82"/>
      <c r="P20" s="75"/>
      <c r="Q20" s="83"/>
      <c r="S20" s="83"/>
      <c r="T20" s="83"/>
      <c r="V20" s="84"/>
    </row>
    <row r="21" ht="15.75" customHeight="1">
      <c r="A21" s="70"/>
      <c r="B21" s="71"/>
      <c r="C21" s="72"/>
      <c r="D21" s="75"/>
      <c r="E21" s="74"/>
      <c r="F21" s="74"/>
      <c r="G21" s="75"/>
      <c r="H21" s="76"/>
      <c r="I21" s="77"/>
      <c r="J21" s="75"/>
      <c r="K21" s="75"/>
      <c r="L21" s="75"/>
      <c r="M21" s="75"/>
      <c r="N21" s="81"/>
      <c r="O21" s="82"/>
      <c r="P21" s="75"/>
      <c r="Q21" s="83"/>
      <c r="S21" s="83"/>
      <c r="T21" s="83"/>
      <c r="V21" s="84"/>
    </row>
    <row r="22" ht="15.75" customHeight="1">
      <c r="A22" s="70"/>
      <c r="B22" s="71"/>
      <c r="C22" s="72"/>
      <c r="D22" s="75"/>
      <c r="E22" s="74"/>
      <c r="F22" s="74"/>
      <c r="G22" s="75"/>
      <c r="H22" s="76"/>
      <c r="I22" s="77"/>
      <c r="J22" s="75"/>
      <c r="K22" s="75"/>
      <c r="L22" s="75"/>
      <c r="M22" s="75"/>
      <c r="N22" s="81"/>
      <c r="O22" s="82"/>
      <c r="P22" s="75"/>
      <c r="Q22" s="83"/>
      <c r="S22" s="83"/>
      <c r="T22" s="83"/>
      <c r="V22" s="84"/>
    </row>
    <row r="23" ht="15.75" customHeight="1">
      <c r="A23" s="70"/>
      <c r="B23" s="71"/>
      <c r="C23" s="90"/>
      <c r="D23" s="75"/>
      <c r="E23" s="91"/>
      <c r="F23" s="92"/>
      <c r="G23" s="75"/>
      <c r="H23" s="76"/>
      <c r="I23" s="77"/>
      <c r="J23" s="75"/>
      <c r="K23" s="75"/>
      <c r="L23" s="75"/>
      <c r="M23" s="75"/>
      <c r="N23" s="81"/>
      <c r="O23" s="82"/>
      <c r="P23" s="75"/>
      <c r="Q23" s="83"/>
      <c r="S23" s="83"/>
      <c r="T23" s="83"/>
      <c r="V23" s="84"/>
    </row>
    <row r="24" ht="15.0" customHeight="1">
      <c r="A24" s="70"/>
      <c r="B24" s="71"/>
      <c r="C24" s="74"/>
      <c r="D24" s="73"/>
      <c r="E24" s="74"/>
      <c r="F24" s="74"/>
      <c r="G24" s="75"/>
      <c r="H24" s="76"/>
      <c r="I24" s="77"/>
      <c r="J24" s="75"/>
      <c r="K24" s="75"/>
      <c r="L24" s="75"/>
      <c r="M24" s="75"/>
      <c r="N24" s="81"/>
      <c r="O24" s="82"/>
      <c r="P24" s="75"/>
      <c r="Q24" s="83"/>
      <c r="S24" s="83"/>
      <c r="T24" s="83"/>
      <c r="V24" s="84"/>
    </row>
    <row r="25" ht="15.75" customHeight="1">
      <c r="A25" s="70"/>
      <c r="B25" s="71"/>
      <c r="C25" s="72"/>
      <c r="D25" s="75"/>
      <c r="E25" s="74"/>
      <c r="F25" s="74"/>
      <c r="G25" s="75"/>
      <c r="H25" s="76"/>
      <c r="I25" s="77"/>
      <c r="J25" s="75"/>
      <c r="K25" s="75"/>
      <c r="L25" s="75"/>
      <c r="M25" s="75"/>
      <c r="N25" s="81"/>
      <c r="O25" s="82"/>
      <c r="P25" s="75"/>
      <c r="Q25" s="83"/>
      <c r="S25" s="83"/>
      <c r="T25" s="83"/>
      <c r="V25" s="84"/>
    </row>
    <row r="26" ht="15.75" customHeight="1">
      <c r="A26" s="70"/>
      <c r="B26" s="71"/>
      <c r="C26" s="72"/>
      <c r="D26" s="75"/>
      <c r="E26" s="74"/>
      <c r="F26" s="74"/>
      <c r="G26" s="75"/>
      <c r="H26" s="76"/>
      <c r="I26" s="77"/>
      <c r="J26" s="75"/>
      <c r="K26" s="75"/>
      <c r="L26" s="75"/>
      <c r="M26" s="75"/>
      <c r="N26" s="81"/>
      <c r="O26" s="82"/>
      <c r="P26" s="75"/>
      <c r="Q26" s="83"/>
      <c r="S26" s="83"/>
      <c r="T26" s="83"/>
      <c r="V26" s="84"/>
    </row>
    <row r="27" ht="15.75" customHeight="1">
      <c r="A27" s="70"/>
      <c r="B27" s="71"/>
      <c r="C27" s="72"/>
      <c r="D27" s="75"/>
      <c r="E27" s="74"/>
      <c r="F27" s="74"/>
      <c r="G27" s="75"/>
      <c r="H27" s="76"/>
      <c r="I27" s="77"/>
      <c r="J27" s="75"/>
      <c r="K27" s="78"/>
      <c r="L27" s="78"/>
      <c r="M27" s="80"/>
      <c r="N27" s="81"/>
      <c r="P27" s="75"/>
      <c r="Q27" s="83"/>
      <c r="S27" s="83"/>
      <c r="T27" s="83"/>
      <c r="V27" s="84"/>
    </row>
    <row r="28" ht="15.75" customHeight="1">
      <c r="A28" s="70"/>
      <c r="B28" s="71"/>
      <c r="C28" s="72"/>
      <c r="D28" s="75"/>
      <c r="E28" s="74"/>
      <c r="F28" s="74"/>
      <c r="G28" s="75"/>
      <c r="H28" s="76"/>
      <c r="I28" s="77"/>
      <c r="J28" s="75"/>
      <c r="K28" s="78"/>
      <c r="L28" s="78"/>
      <c r="M28" s="80"/>
      <c r="N28" s="81"/>
      <c r="O28" s="82"/>
      <c r="P28" s="75"/>
      <c r="Q28" s="83"/>
      <c r="R28" s="93"/>
      <c r="S28" s="83"/>
      <c r="T28" s="83"/>
      <c r="V28" s="84"/>
    </row>
    <row r="29" ht="15.75" customHeight="1">
      <c r="A29" s="70"/>
      <c r="B29" s="71"/>
      <c r="C29" s="90"/>
      <c r="D29" s="75"/>
      <c r="E29" s="91"/>
      <c r="F29" s="86"/>
      <c r="G29" s="75"/>
      <c r="H29" s="76"/>
      <c r="I29" s="77"/>
      <c r="J29" s="75"/>
      <c r="K29" s="78"/>
      <c r="L29" s="78"/>
      <c r="M29" s="80"/>
      <c r="N29" s="81"/>
      <c r="O29" s="82"/>
      <c r="P29" s="75"/>
      <c r="Q29" s="83"/>
      <c r="R29" s="87"/>
      <c r="S29" s="83"/>
      <c r="T29" s="83"/>
      <c r="V29" s="84"/>
    </row>
    <row r="30" ht="15.75" customHeight="1">
      <c r="A30" s="70"/>
      <c r="B30" s="71"/>
      <c r="C30" s="90"/>
      <c r="D30" s="75"/>
      <c r="E30" s="74"/>
      <c r="F30" s="92"/>
      <c r="G30" s="75"/>
      <c r="H30" s="76"/>
      <c r="I30" s="77"/>
      <c r="J30" s="75"/>
      <c r="K30" s="78"/>
      <c r="L30" s="78"/>
      <c r="M30" s="80"/>
      <c r="N30" s="81"/>
      <c r="O30" s="82"/>
      <c r="P30" s="75"/>
      <c r="Q30" s="83"/>
      <c r="R30" s="94"/>
      <c r="S30" s="83"/>
      <c r="T30" s="83"/>
      <c r="V30" s="84"/>
    </row>
    <row r="31" ht="15.75" customHeight="1">
      <c r="A31" s="70"/>
      <c r="B31" s="71"/>
      <c r="C31" s="72"/>
      <c r="D31" s="75"/>
      <c r="E31" s="74"/>
      <c r="F31" s="95"/>
      <c r="G31" s="75"/>
      <c r="H31" s="76"/>
      <c r="I31" s="77"/>
      <c r="J31" s="75"/>
      <c r="K31" s="78"/>
      <c r="L31" s="78"/>
      <c r="M31" s="80"/>
      <c r="N31" s="81"/>
      <c r="O31" s="82"/>
      <c r="P31" s="75"/>
      <c r="Q31" s="83"/>
      <c r="R31" s="94"/>
      <c r="S31" s="83"/>
      <c r="T31" s="83"/>
      <c r="V31" s="84"/>
    </row>
    <row r="32" ht="15.75" customHeight="1">
      <c r="A32" s="70"/>
      <c r="B32" s="71"/>
      <c r="C32" s="72"/>
      <c r="D32" s="75"/>
      <c r="E32" s="74"/>
      <c r="F32" s="74"/>
      <c r="G32" s="75"/>
      <c r="H32" s="76"/>
      <c r="I32" s="77"/>
      <c r="J32" s="75"/>
      <c r="K32" s="78"/>
      <c r="L32" s="78"/>
      <c r="M32" s="80"/>
      <c r="N32" s="81"/>
      <c r="O32" s="82"/>
      <c r="P32" s="75"/>
      <c r="Q32" s="83"/>
      <c r="R32" s="94"/>
      <c r="S32" s="83"/>
      <c r="T32" s="83"/>
      <c r="V32" s="84"/>
    </row>
    <row r="33" ht="15.75" customHeight="1">
      <c r="A33" s="70"/>
      <c r="B33" s="71"/>
      <c r="C33" s="74"/>
      <c r="D33" s="75"/>
      <c r="E33" s="74"/>
      <c r="F33" s="74"/>
      <c r="G33" s="75"/>
      <c r="H33" s="76"/>
      <c r="I33" s="77"/>
      <c r="J33" s="75"/>
      <c r="K33" s="78"/>
      <c r="L33" s="78"/>
      <c r="M33" s="80"/>
      <c r="N33" s="81"/>
      <c r="O33" s="82"/>
      <c r="P33" s="75"/>
      <c r="Q33" s="83"/>
      <c r="R33" s="94"/>
      <c r="S33" s="83"/>
      <c r="T33" s="83"/>
      <c r="V33" s="84"/>
    </row>
    <row r="34" ht="15.75" customHeight="1">
      <c r="A34" s="70"/>
      <c r="B34" s="71"/>
      <c r="C34" s="72"/>
      <c r="D34" s="75"/>
      <c r="E34" s="74"/>
      <c r="F34" s="74"/>
      <c r="G34" s="75"/>
      <c r="H34" s="76"/>
      <c r="I34" s="77"/>
      <c r="J34" s="75"/>
      <c r="K34" s="78"/>
      <c r="L34" s="78"/>
      <c r="M34" s="80"/>
      <c r="N34" s="81"/>
      <c r="O34" s="82"/>
      <c r="P34" s="75"/>
      <c r="Q34" s="83"/>
      <c r="R34" s="94"/>
      <c r="S34" s="83"/>
      <c r="T34" s="83"/>
      <c r="V34" s="84"/>
    </row>
    <row r="35" ht="15.75" customHeight="1">
      <c r="A35" s="70"/>
      <c r="B35" s="71"/>
      <c r="C35" s="72"/>
      <c r="D35" s="75"/>
      <c r="E35" s="74"/>
      <c r="F35" s="74"/>
      <c r="G35" s="75"/>
      <c r="H35" s="76"/>
      <c r="I35" s="77"/>
      <c r="J35" s="75"/>
      <c r="K35" s="78"/>
      <c r="L35" s="78"/>
      <c r="M35" s="80"/>
      <c r="N35" s="81"/>
      <c r="O35" s="82"/>
      <c r="P35" s="75"/>
      <c r="Q35" s="83"/>
      <c r="R35" s="94"/>
      <c r="S35" s="83"/>
      <c r="T35" s="83"/>
      <c r="V35" s="84"/>
    </row>
    <row r="36" ht="15.75" customHeight="1">
      <c r="A36" s="70"/>
      <c r="B36" s="96"/>
      <c r="C36" s="72"/>
      <c r="D36" s="75"/>
      <c r="E36" s="74"/>
      <c r="F36" s="74"/>
      <c r="G36" s="75"/>
      <c r="H36" s="76"/>
      <c r="I36" s="77"/>
      <c r="J36" s="75"/>
      <c r="K36" s="78"/>
      <c r="L36" s="78"/>
      <c r="M36" s="80"/>
      <c r="N36" s="81"/>
      <c r="O36" s="82"/>
      <c r="P36" s="75"/>
      <c r="Q36" s="75"/>
      <c r="R36" s="93"/>
      <c r="S36" s="83"/>
      <c r="T36" s="83"/>
      <c r="V36" s="84"/>
    </row>
    <row r="37" ht="15.75" customHeight="1">
      <c r="A37" s="70"/>
      <c r="B37" s="96"/>
      <c r="C37" s="72"/>
      <c r="D37" s="75"/>
      <c r="E37" s="74"/>
      <c r="F37" s="74"/>
      <c r="G37" s="75"/>
      <c r="H37" s="76"/>
      <c r="I37" s="77"/>
      <c r="J37" s="75"/>
      <c r="K37" s="78"/>
      <c r="L37" s="78"/>
      <c r="M37" s="80"/>
      <c r="N37" s="81"/>
      <c r="O37" s="82"/>
      <c r="P37" s="75"/>
      <c r="Q37" s="97"/>
      <c r="R37" s="94"/>
      <c r="S37" s="83"/>
      <c r="T37" s="83"/>
      <c r="V37" s="84"/>
    </row>
    <row r="38" ht="15.75" customHeight="1">
      <c r="A38" s="70"/>
      <c r="B38" s="96"/>
      <c r="C38" s="72"/>
      <c r="D38" s="75"/>
      <c r="E38" s="74"/>
      <c r="F38" s="74"/>
      <c r="G38" s="75"/>
      <c r="H38" s="76"/>
      <c r="I38" s="77"/>
      <c r="J38" s="75"/>
      <c r="K38" s="78"/>
      <c r="L38" s="78"/>
      <c r="M38" s="80"/>
      <c r="N38" s="81"/>
      <c r="O38" s="98"/>
      <c r="P38" s="75"/>
      <c r="Q38" s="99"/>
      <c r="R38" s="94"/>
      <c r="S38" s="83"/>
      <c r="T38" s="83"/>
      <c r="V38" s="84"/>
    </row>
    <row r="39" ht="15.75" customHeight="1">
      <c r="A39" s="70"/>
      <c r="B39" s="96"/>
      <c r="C39" s="72"/>
      <c r="D39" s="75"/>
      <c r="E39" s="74"/>
      <c r="F39" s="74"/>
      <c r="G39" s="75"/>
      <c r="H39" s="76"/>
      <c r="I39" s="77"/>
      <c r="J39" s="75"/>
      <c r="K39" s="78"/>
      <c r="L39" s="78"/>
      <c r="M39" s="80"/>
      <c r="N39" s="81"/>
      <c r="O39" s="98"/>
      <c r="P39" s="75"/>
      <c r="Q39" s="83"/>
      <c r="R39" s="94"/>
      <c r="S39" s="83"/>
      <c r="T39" s="83"/>
      <c r="V39" s="84"/>
    </row>
    <row r="40" ht="15.75" customHeight="1">
      <c r="A40" s="70"/>
      <c r="B40" s="96"/>
      <c r="C40" s="72"/>
      <c r="D40" s="75"/>
      <c r="E40" s="74"/>
      <c r="F40" s="74"/>
      <c r="G40" s="75"/>
      <c r="H40" s="76"/>
      <c r="I40" s="77"/>
      <c r="J40" s="75"/>
      <c r="K40" s="78"/>
      <c r="L40" s="78"/>
      <c r="M40" s="80"/>
      <c r="N40" s="81"/>
      <c r="O40" s="82"/>
      <c r="P40" s="75"/>
      <c r="Q40" s="83"/>
      <c r="R40" s="94"/>
      <c r="S40" s="83"/>
      <c r="T40" s="83"/>
      <c r="V40" s="84"/>
    </row>
    <row r="41" ht="15.75" customHeight="1">
      <c r="A41" s="70"/>
      <c r="B41" s="96"/>
      <c r="C41" s="74"/>
      <c r="D41" s="75"/>
      <c r="E41" s="74"/>
      <c r="F41" s="74"/>
      <c r="G41" s="75"/>
      <c r="H41" s="76"/>
      <c r="I41" s="77"/>
      <c r="J41" s="75"/>
      <c r="K41" s="78"/>
      <c r="L41" s="78"/>
      <c r="M41" s="80"/>
      <c r="N41" s="81"/>
      <c r="O41" s="82"/>
      <c r="P41" s="75"/>
      <c r="Q41" s="83"/>
      <c r="R41" s="93"/>
      <c r="S41" s="83"/>
      <c r="T41" s="83"/>
      <c r="V41" s="84"/>
    </row>
    <row r="42" ht="15.75" customHeight="1">
      <c r="A42" s="70"/>
      <c r="B42" s="96"/>
      <c r="C42" s="72"/>
      <c r="D42" s="75"/>
      <c r="E42" s="74"/>
      <c r="F42" s="74"/>
      <c r="G42" s="75"/>
      <c r="H42" s="76"/>
      <c r="I42" s="77"/>
      <c r="J42" s="75"/>
      <c r="K42" s="78"/>
      <c r="L42" s="78"/>
      <c r="M42" s="80"/>
      <c r="N42" s="81"/>
      <c r="O42" s="82"/>
      <c r="P42" s="75"/>
      <c r="Q42" s="97"/>
      <c r="R42" s="94"/>
      <c r="S42" s="83"/>
      <c r="T42" s="83"/>
      <c r="V42" s="84"/>
    </row>
    <row r="43" ht="15.75" customHeight="1">
      <c r="A43" s="70"/>
      <c r="B43" s="96"/>
      <c r="C43" s="72"/>
      <c r="D43" s="75"/>
      <c r="E43" s="74"/>
      <c r="F43" s="74"/>
      <c r="G43" s="75"/>
      <c r="H43" s="76"/>
      <c r="I43" s="77"/>
      <c r="J43" s="75"/>
      <c r="K43" s="78"/>
      <c r="L43" s="78"/>
      <c r="M43" s="80"/>
      <c r="N43" s="81"/>
      <c r="O43" s="98"/>
      <c r="P43" s="75"/>
      <c r="Q43" s="83"/>
      <c r="R43" s="93"/>
      <c r="S43" s="83"/>
      <c r="T43" s="83"/>
      <c r="V43" s="84"/>
    </row>
    <row r="44" ht="15.75" customHeight="1">
      <c r="A44" s="70"/>
      <c r="B44" s="96"/>
      <c r="C44" s="72"/>
      <c r="D44" s="75"/>
      <c r="E44" s="74"/>
      <c r="F44" s="74"/>
      <c r="G44" s="75"/>
      <c r="H44" s="76"/>
      <c r="I44" s="77"/>
      <c r="J44" s="75"/>
      <c r="K44" s="78"/>
      <c r="L44" s="78"/>
      <c r="M44" s="80"/>
      <c r="N44" s="81"/>
      <c r="O44" s="98"/>
      <c r="P44" s="75"/>
      <c r="Q44" s="83"/>
      <c r="R44" s="93"/>
      <c r="S44" s="83"/>
      <c r="T44" s="83"/>
      <c r="V44" s="84"/>
    </row>
    <row r="45" ht="15.75" customHeight="1">
      <c r="A45" s="70"/>
      <c r="B45" s="96"/>
      <c r="C45" s="72"/>
      <c r="D45" s="75"/>
      <c r="E45" s="74"/>
      <c r="F45" s="74"/>
      <c r="G45" s="75"/>
      <c r="H45" s="76"/>
      <c r="I45" s="77"/>
      <c r="J45" s="75"/>
      <c r="K45" s="78"/>
      <c r="L45" s="78"/>
      <c r="M45" s="80"/>
      <c r="N45" s="81"/>
      <c r="O45" s="82"/>
      <c r="P45" s="75"/>
      <c r="Q45" s="75"/>
      <c r="R45" s="93"/>
      <c r="S45" s="83"/>
      <c r="T45" s="83"/>
      <c r="V45" s="84"/>
    </row>
    <row r="46" ht="15.75" customHeight="1">
      <c r="A46" s="70"/>
      <c r="B46" s="96"/>
      <c r="C46" s="74"/>
      <c r="D46" s="75"/>
      <c r="E46" s="74"/>
      <c r="F46" s="74"/>
      <c r="G46" s="75"/>
      <c r="H46" s="76"/>
      <c r="I46" s="77"/>
      <c r="J46" s="75"/>
      <c r="K46" s="78"/>
      <c r="L46" s="78"/>
      <c r="M46" s="80"/>
      <c r="N46" s="81"/>
      <c r="O46" s="98"/>
      <c r="P46" s="75"/>
      <c r="Q46" s="75"/>
      <c r="R46" s="93"/>
      <c r="S46" s="83"/>
      <c r="T46" s="83"/>
      <c r="V46" s="84"/>
    </row>
    <row r="47" ht="15.75" customHeight="1">
      <c r="A47" s="70"/>
      <c r="B47" s="96"/>
      <c r="C47" s="72"/>
      <c r="D47" s="75"/>
      <c r="E47" s="74"/>
      <c r="F47" s="74"/>
      <c r="G47" s="75"/>
      <c r="H47" s="76"/>
      <c r="I47" s="77"/>
      <c r="J47" s="75"/>
      <c r="K47" s="78"/>
      <c r="L47" s="78"/>
      <c r="M47" s="80"/>
      <c r="N47" s="81"/>
      <c r="O47" s="82"/>
      <c r="P47" s="75"/>
      <c r="Q47" s="83"/>
      <c r="R47" s="87"/>
      <c r="S47" s="83"/>
      <c r="T47" s="83"/>
      <c r="V47" s="84"/>
    </row>
    <row r="48" ht="15.75" customHeight="1">
      <c r="A48" s="70"/>
      <c r="B48" s="96"/>
      <c r="C48" s="72"/>
      <c r="D48" s="75"/>
      <c r="E48" s="74"/>
      <c r="F48" s="95"/>
      <c r="G48" s="75"/>
      <c r="H48" s="76"/>
      <c r="I48" s="77"/>
      <c r="J48" s="75"/>
      <c r="K48" s="78"/>
      <c r="L48" s="78"/>
      <c r="M48" s="80"/>
      <c r="N48" s="81"/>
      <c r="O48" s="82"/>
      <c r="P48" s="75"/>
      <c r="Q48" s="99"/>
      <c r="R48" s="94"/>
      <c r="S48" s="83"/>
      <c r="T48" s="83"/>
      <c r="V48" s="84"/>
    </row>
    <row r="49" ht="15.75" customHeight="1">
      <c r="A49" s="70"/>
      <c r="B49" s="96"/>
      <c r="C49" s="72"/>
      <c r="D49" s="75"/>
      <c r="E49" s="74"/>
      <c r="F49" s="74"/>
      <c r="G49" s="75"/>
      <c r="H49" s="76"/>
      <c r="I49" s="77"/>
      <c r="J49" s="75"/>
      <c r="K49" s="78"/>
      <c r="L49" s="78"/>
      <c r="M49" s="80"/>
      <c r="N49" s="81"/>
      <c r="O49" s="82"/>
      <c r="P49" s="75"/>
      <c r="Q49" s="99"/>
      <c r="R49" s="94"/>
      <c r="S49" s="83"/>
      <c r="T49" s="83"/>
      <c r="V49" s="84"/>
    </row>
    <row r="50" ht="15.75" customHeight="1">
      <c r="A50" s="70"/>
      <c r="B50" s="96"/>
      <c r="C50" s="72"/>
      <c r="D50" s="75"/>
      <c r="E50" s="74"/>
      <c r="F50" s="74"/>
      <c r="G50" s="75"/>
      <c r="H50" s="76"/>
      <c r="I50" s="77"/>
      <c r="J50" s="75"/>
      <c r="K50" s="78"/>
      <c r="L50" s="78"/>
      <c r="M50" s="80"/>
      <c r="N50" s="81"/>
      <c r="O50" s="98"/>
      <c r="P50" s="75"/>
      <c r="Q50" s="83"/>
      <c r="R50" s="93"/>
      <c r="S50" s="83"/>
      <c r="T50" s="83"/>
      <c r="V50" s="84"/>
    </row>
    <row r="51" ht="15.75" customHeight="1">
      <c r="A51" s="70"/>
      <c r="B51" s="96"/>
      <c r="C51" s="72"/>
      <c r="D51" s="75"/>
      <c r="E51" s="74"/>
      <c r="F51" s="74"/>
      <c r="G51" s="75"/>
      <c r="H51" s="76"/>
      <c r="I51" s="77"/>
      <c r="J51" s="75"/>
      <c r="K51" s="78"/>
      <c r="L51" s="78"/>
      <c r="M51" s="80"/>
      <c r="N51" s="81"/>
      <c r="O51" s="82"/>
      <c r="P51" s="75"/>
      <c r="Q51" s="100"/>
      <c r="R51" s="93"/>
      <c r="S51" s="83"/>
      <c r="T51" s="83"/>
      <c r="V51" s="84"/>
    </row>
    <row r="52" ht="15.75" customHeight="1">
      <c r="A52" s="70"/>
      <c r="B52" s="96"/>
      <c r="C52" s="72"/>
      <c r="D52" s="75"/>
      <c r="E52" s="74"/>
      <c r="F52" s="74"/>
      <c r="G52" s="75"/>
      <c r="H52" s="76"/>
      <c r="I52" s="77"/>
      <c r="J52" s="75"/>
      <c r="K52" s="78"/>
      <c r="L52" s="78"/>
      <c r="M52" s="80"/>
      <c r="N52" s="81"/>
      <c r="O52" s="82"/>
      <c r="P52" s="75"/>
      <c r="Q52" s="83"/>
      <c r="R52" s="93"/>
      <c r="S52" s="83"/>
      <c r="T52" s="83"/>
      <c r="V52" s="84"/>
    </row>
    <row r="53" ht="15.75" customHeight="1">
      <c r="A53" s="70"/>
      <c r="B53" s="96"/>
      <c r="C53" s="72"/>
      <c r="D53" s="75"/>
      <c r="E53" s="74"/>
      <c r="F53" s="74"/>
      <c r="G53" s="75"/>
      <c r="H53" s="76"/>
      <c r="I53" s="77"/>
      <c r="J53" s="75"/>
      <c r="K53" s="78"/>
      <c r="L53" s="78"/>
      <c r="M53" s="80"/>
      <c r="N53" s="81"/>
      <c r="O53" s="82"/>
      <c r="P53" s="75"/>
      <c r="Q53" s="99"/>
      <c r="R53" s="94"/>
      <c r="S53" s="83"/>
      <c r="T53" s="83"/>
      <c r="V53" s="84"/>
    </row>
    <row r="54" ht="15.75" customHeight="1">
      <c r="A54" s="70"/>
      <c r="B54" s="96"/>
      <c r="C54" s="72"/>
      <c r="D54" s="75"/>
      <c r="E54" s="74"/>
      <c r="F54" s="74"/>
      <c r="G54" s="75"/>
      <c r="H54" s="76"/>
      <c r="I54" s="77"/>
      <c r="J54" s="75"/>
      <c r="K54" s="78"/>
      <c r="L54" s="78"/>
      <c r="M54" s="80"/>
      <c r="N54" s="81"/>
      <c r="O54" s="82"/>
      <c r="P54" s="75"/>
      <c r="Q54" s="99"/>
      <c r="R54" s="101"/>
      <c r="S54" s="83"/>
      <c r="T54" s="83"/>
      <c r="V54" s="84"/>
    </row>
    <row r="55" ht="15.75" customHeight="1">
      <c r="A55" s="70"/>
      <c r="B55" s="96"/>
      <c r="C55" s="72"/>
      <c r="D55" s="75"/>
      <c r="E55" s="74"/>
      <c r="F55" s="74"/>
      <c r="G55" s="75"/>
      <c r="H55" s="76"/>
      <c r="I55" s="77"/>
      <c r="J55" s="75"/>
      <c r="K55" s="78"/>
      <c r="L55" s="78"/>
      <c r="M55" s="80"/>
      <c r="N55" s="81"/>
      <c r="O55" s="82"/>
      <c r="P55" s="75"/>
      <c r="Q55" s="83"/>
      <c r="R55" s="94"/>
      <c r="S55" s="83"/>
      <c r="T55" s="83"/>
      <c r="V55" s="84"/>
    </row>
    <row r="56" ht="15.75" customHeight="1">
      <c r="A56" s="70"/>
      <c r="B56" s="96"/>
      <c r="C56" s="102"/>
      <c r="D56" s="75"/>
      <c r="E56" s="103"/>
      <c r="F56" s="74"/>
      <c r="G56" s="75"/>
      <c r="H56" s="76"/>
      <c r="I56" s="77"/>
      <c r="J56" s="75"/>
      <c r="K56" s="78"/>
      <c r="L56" s="78"/>
      <c r="M56" s="80"/>
      <c r="N56" s="81"/>
      <c r="O56" s="82"/>
      <c r="P56" s="75"/>
      <c r="Q56" s="97"/>
      <c r="R56" s="94"/>
      <c r="S56" s="83"/>
      <c r="T56" s="83"/>
      <c r="V56" s="84"/>
    </row>
    <row r="57" ht="15.75" customHeight="1">
      <c r="A57" s="70"/>
      <c r="B57" s="96"/>
      <c r="C57" s="72"/>
      <c r="D57" s="75"/>
      <c r="E57" s="74"/>
      <c r="F57" s="74"/>
      <c r="G57" s="75"/>
      <c r="H57" s="76"/>
      <c r="I57" s="77"/>
      <c r="J57" s="75"/>
      <c r="K57" s="78"/>
      <c r="L57" s="78"/>
      <c r="M57" s="80"/>
      <c r="N57" s="81"/>
      <c r="O57" s="82"/>
      <c r="P57" s="75"/>
      <c r="Q57" s="100"/>
      <c r="R57" s="93"/>
      <c r="S57" s="83"/>
      <c r="T57" s="83"/>
      <c r="V57" s="84"/>
    </row>
    <row r="58" ht="15.75" customHeight="1">
      <c r="A58" s="70"/>
      <c r="B58" s="96"/>
      <c r="C58" s="72"/>
      <c r="D58" s="75"/>
      <c r="E58" s="74"/>
      <c r="F58" s="74"/>
      <c r="G58" s="75"/>
      <c r="H58" s="76"/>
      <c r="I58" s="77"/>
      <c r="J58" s="75"/>
      <c r="K58" s="78"/>
      <c r="L58" s="78"/>
      <c r="M58" s="80"/>
      <c r="N58" s="81"/>
      <c r="O58" s="82"/>
      <c r="P58" s="75"/>
      <c r="Q58" s="97"/>
      <c r="R58" s="94"/>
      <c r="S58" s="83"/>
      <c r="T58" s="83"/>
      <c r="V58" s="84"/>
    </row>
    <row r="59" ht="15.75" customHeight="1">
      <c r="A59" s="70"/>
      <c r="B59" s="96"/>
      <c r="C59" s="72"/>
      <c r="D59" s="75"/>
      <c r="E59" s="74"/>
      <c r="F59" s="74"/>
      <c r="G59" s="75"/>
      <c r="H59" s="76"/>
      <c r="I59" s="77"/>
      <c r="J59" s="75"/>
      <c r="K59" s="78"/>
      <c r="L59" s="78"/>
      <c r="M59" s="80"/>
      <c r="N59" s="81"/>
      <c r="O59" s="82"/>
      <c r="P59" s="75"/>
      <c r="Q59" s="75"/>
      <c r="R59" s="93"/>
      <c r="S59" s="83"/>
      <c r="T59" s="83"/>
      <c r="V59" s="84"/>
    </row>
    <row r="60" ht="15.75" customHeight="1">
      <c r="A60" s="70"/>
      <c r="B60" s="96"/>
      <c r="C60" s="72"/>
      <c r="D60" s="75"/>
      <c r="E60" s="74"/>
      <c r="F60" s="74"/>
      <c r="G60" s="75"/>
      <c r="H60" s="76"/>
      <c r="I60" s="77"/>
      <c r="J60" s="75"/>
      <c r="K60" s="78"/>
      <c r="L60" s="78"/>
      <c r="M60" s="80"/>
      <c r="N60" s="81"/>
      <c r="O60" s="82"/>
      <c r="P60" s="75"/>
      <c r="Q60" s="83"/>
      <c r="R60" s="94"/>
      <c r="S60" s="83"/>
      <c r="T60" s="83"/>
      <c r="V60" s="84"/>
    </row>
    <row r="61" ht="15.75" customHeight="1">
      <c r="A61" s="70"/>
      <c r="B61" s="96"/>
      <c r="C61" s="72"/>
      <c r="D61" s="75"/>
      <c r="E61" s="74"/>
      <c r="F61" s="74"/>
      <c r="G61" s="75"/>
      <c r="H61" s="76"/>
      <c r="I61" s="77"/>
      <c r="J61" s="75"/>
      <c r="K61" s="78"/>
      <c r="L61" s="78"/>
      <c r="M61" s="80"/>
      <c r="N61" s="81"/>
      <c r="O61" s="98"/>
      <c r="P61" s="75"/>
      <c r="Q61" s="75"/>
      <c r="R61" s="93"/>
      <c r="S61" s="83"/>
      <c r="T61" s="83"/>
      <c r="V61" s="84"/>
    </row>
    <row r="62" ht="15.75" customHeight="1">
      <c r="A62" s="70"/>
      <c r="B62" s="96"/>
      <c r="C62" s="72"/>
      <c r="D62" s="75"/>
      <c r="E62" s="74"/>
      <c r="F62" s="74"/>
      <c r="G62" s="75"/>
      <c r="H62" s="76"/>
      <c r="I62" s="77"/>
      <c r="J62" s="75"/>
      <c r="K62" s="78"/>
      <c r="L62" s="78"/>
      <c r="M62" s="80"/>
      <c r="N62" s="81"/>
      <c r="O62" s="98"/>
      <c r="P62" s="75"/>
      <c r="Q62" s="75"/>
      <c r="R62" s="93"/>
      <c r="S62" s="83"/>
      <c r="T62" s="83"/>
      <c r="V62" s="84"/>
    </row>
    <row r="63" ht="15.75" customHeight="1">
      <c r="A63" s="70"/>
      <c r="B63" s="96"/>
      <c r="C63" s="72"/>
      <c r="D63" s="75"/>
      <c r="E63" s="74"/>
      <c r="F63" s="74"/>
      <c r="G63" s="75"/>
      <c r="H63" s="76"/>
      <c r="I63" s="77"/>
      <c r="J63" s="75"/>
      <c r="K63" s="78"/>
      <c r="L63" s="78"/>
      <c r="M63" s="80"/>
      <c r="N63" s="81"/>
      <c r="O63" s="82"/>
      <c r="P63" s="75"/>
      <c r="Q63" s="75"/>
      <c r="R63" s="93"/>
      <c r="S63" s="83"/>
      <c r="T63" s="83"/>
      <c r="V63" s="84"/>
    </row>
    <row r="64" ht="15.75" customHeight="1">
      <c r="A64" s="70"/>
      <c r="B64" s="96"/>
      <c r="C64" s="74"/>
      <c r="D64" s="75"/>
      <c r="E64" s="74"/>
      <c r="F64" s="74"/>
      <c r="G64" s="75"/>
      <c r="H64" s="76"/>
      <c r="I64" s="77"/>
      <c r="J64" s="75"/>
      <c r="K64" s="78"/>
      <c r="L64" s="78"/>
      <c r="M64" s="80"/>
      <c r="N64" s="81"/>
      <c r="O64" s="82"/>
      <c r="P64" s="75"/>
      <c r="Q64" s="97"/>
      <c r="R64" s="87"/>
      <c r="S64" s="83"/>
      <c r="T64" s="83"/>
      <c r="V64" s="84"/>
    </row>
    <row r="65" ht="15.75" customHeight="1">
      <c r="A65" s="70"/>
      <c r="B65" s="96"/>
      <c r="C65" s="77"/>
      <c r="D65" s="75"/>
      <c r="E65" s="103"/>
      <c r="F65" s="86"/>
      <c r="G65" s="75"/>
      <c r="H65" s="76"/>
      <c r="I65" s="83"/>
      <c r="J65" s="75"/>
      <c r="K65" s="78"/>
      <c r="L65" s="79"/>
      <c r="M65" s="80"/>
      <c r="N65" s="81"/>
      <c r="O65" s="82"/>
      <c r="P65" s="75"/>
      <c r="Q65" s="99"/>
      <c r="R65" s="87"/>
      <c r="S65" s="83"/>
      <c r="T65" s="83"/>
      <c r="V65" s="84"/>
    </row>
    <row r="66" ht="15.75" customHeight="1">
      <c r="A66" s="70"/>
      <c r="B66" s="96"/>
      <c r="C66" s="94"/>
      <c r="D66" s="75"/>
      <c r="E66" s="103"/>
      <c r="F66" s="104"/>
      <c r="G66" s="75"/>
      <c r="H66" s="76"/>
      <c r="I66" s="83"/>
      <c r="J66" s="75"/>
      <c r="K66" s="105"/>
      <c r="L66" s="106"/>
      <c r="M66" s="80"/>
      <c r="N66" s="107"/>
      <c r="O66" s="98"/>
      <c r="P66" s="75"/>
      <c r="Q66" s="75"/>
      <c r="R66" s="93"/>
      <c r="S66" s="75"/>
      <c r="T66" s="75"/>
      <c r="V66" s="84"/>
    </row>
    <row r="67" ht="15.75" customHeight="1">
      <c r="A67" s="70"/>
      <c r="B67" s="96"/>
      <c r="C67" s="94"/>
      <c r="D67" s="75"/>
      <c r="E67" s="108"/>
      <c r="F67" s="104"/>
      <c r="G67" s="75"/>
      <c r="H67" s="76"/>
      <c r="I67" s="83"/>
      <c r="J67" s="75"/>
      <c r="K67" s="78"/>
      <c r="L67" s="79"/>
      <c r="M67" s="80"/>
      <c r="N67" s="107"/>
      <c r="O67" s="98"/>
      <c r="P67" s="75"/>
      <c r="Q67" s="99"/>
      <c r="R67" s="94"/>
      <c r="S67" s="83"/>
      <c r="T67" s="83"/>
      <c r="V67" s="84"/>
    </row>
    <row r="68" ht="15.75" customHeight="1">
      <c r="A68" s="70"/>
      <c r="B68" s="96"/>
      <c r="C68" s="94"/>
      <c r="D68" s="75"/>
      <c r="E68" s="108"/>
      <c r="F68" s="104"/>
      <c r="G68" s="75"/>
      <c r="H68" s="76"/>
      <c r="I68" s="83"/>
      <c r="J68" s="75"/>
      <c r="K68" s="105"/>
      <c r="L68" s="106"/>
      <c r="M68" s="80"/>
      <c r="N68" s="107"/>
      <c r="O68" s="98"/>
      <c r="P68" s="75"/>
      <c r="Q68" s="99"/>
      <c r="R68" s="93"/>
      <c r="S68" s="75"/>
      <c r="T68" s="83"/>
      <c r="V68" s="84"/>
    </row>
    <row r="69" ht="15.75" customHeight="1">
      <c r="A69" s="70"/>
      <c r="B69" s="96"/>
      <c r="C69" s="76"/>
      <c r="D69" s="75"/>
      <c r="E69" s="108"/>
      <c r="F69" s="109"/>
      <c r="G69" s="75"/>
      <c r="H69" s="76"/>
      <c r="I69" s="83"/>
      <c r="J69" s="75"/>
      <c r="K69" s="78"/>
      <c r="L69" s="79"/>
      <c r="M69" s="80"/>
      <c r="N69" s="107"/>
      <c r="O69" s="98"/>
      <c r="P69" s="75"/>
      <c r="Q69" s="97"/>
      <c r="R69" s="94"/>
      <c r="S69" s="83"/>
      <c r="T69" s="83"/>
      <c r="V69" s="84"/>
    </row>
    <row r="70" ht="15.75" customHeight="1">
      <c r="A70" s="70"/>
      <c r="B70" s="96"/>
      <c r="C70" s="76"/>
      <c r="D70" s="75"/>
      <c r="E70" s="108"/>
      <c r="F70" s="104"/>
      <c r="G70" s="75"/>
      <c r="H70" s="76"/>
      <c r="I70" s="83"/>
      <c r="J70" s="75"/>
      <c r="K70" s="105"/>
      <c r="L70" s="106"/>
      <c r="M70" s="80"/>
      <c r="N70" s="107"/>
      <c r="O70" s="98"/>
      <c r="P70" s="75"/>
      <c r="Q70" s="100"/>
      <c r="R70" s="93"/>
      <c r="S70" s="75"/>
      <c r="T70" s="75"/>
      <c r="V70" s="84"/>
    </row>
    <row r="71" ht="15.75" customHeight="1">
      <c r="A71" s="70"/>
      <c r="B71" s="96"/>
      <c r="C71" s="76"/>
      <c r="D71" s="75"/>
      <c r="E71" s="108"/>
      <c r="F71" s="104"/>
      <c r="G71" s="75"/>
      <c r="H71" s="76"/>
      <c r="I71" s="83"/>
      <c r="J71" s="75"/>
      <c r="K71" s="78"/>
      <c r="L71" s="79"/>
      <c r="M71" s="80"/>
      <c r="N71" s="107"/>
      <c r="O71" s="98"/>
      <c r="P71" s="75"/>
      <c r="Q71" s="99"/>
      <c r="R71" s="94"/>
      <c r="S71" s="83"/>
      <c r="T71" s="83"/>
      <c r="V71" s="84"/>
    </row>
    <row r="72" ht="15.75" customHeight="1">
      <c r="A72" s="70"/>
      <c r="B72" s="96"/>
      <c r="C72" s="76"/>
      <c r="D72" s="75"/>
      <c r="E72" s="103"/>
      <c r="F72" s="104"/>
      <c r="G72" s="75"/>
      <c r="H72" s="76"/>
      <c r="I72" s="83"/>
      <c r="J72" s="75"/>
      <c r="K72" s="105"/>
      <c r="L72" s="106"/>
      <c r="M72" s="80"/>
      <c r="N72" s="81"/>
      <c r="O72" s="98"/>
      <c r="P72" s="75"/>
      <c r="Q72" s="99"/>
      <c r="R72" s="94"/>
      <c r="S72" s="83"/>
      <c r="T72" s="83"/>
      <c r="V72" s="84"/>
    </row>
    <row r="73" ht="15.75" customHeight="1">
      <c r="A73" s="70"/>
      <c r="B73" s="96"/>
      <c r="C73" s="76"/>
      <c r="D73" s="75"/>
      <c r="E73" s="103"/>
      <c r="F73" s="109"/>
      <c r="G73" s="75"/>
      <c r="H73" s="76"/>
      <c r="I73" s="83"/>
      <c r="J73" s="75"/>
      <c r="K73" s="78"/>
      <c r="L73" s="79"/>
      <c r="M73" s="80"/>
      <c r="N73" s="81"/>
      <c r="O73" s="98"/>
      <c r="P73" s="75"/>
      <c r="Q73" s="97"/>
      <c r="R73" s="94"/>
      <c r="S73" s="83"/>
      <c r="T73" s="83"/>
      <c r="V73" s="84"/>
    </row>
    <row r="74" ht="15.75" customHeight="1">
      <c r="A74" s="70"/>
      <c r="B74" s="96"/>
      <c r="C74" s="94"/>
      <c r="D74" s="75"/>
      <c r="E74" s="103"/>
      <c r="F74" s="104"/>
      <c r="G74" s="75"/>
      <c r="H74" s="76"/>
      <c r="I74" s="83"/>
      <c r="J74" s="75"/>
      <c r="K74" s="105"/>
      <c r="L74" s="106"/>
      <c r="M74" s="80"/>
      <c r="N74" s="81"/>
      <c r="O74" s="98"/>
      <c r="P74" s="75"/>
      <c r="Q74" s="97"/>
      <c r="R74" s="94"/>
      <c r="S74" s="83"/>
      <c r="T74" s="83"/>
      <c r="V74" s="84"/>
    </row>
    <row r="75" ht="15.75" customHeight="1">
      <c r="A75" s="70"/>
      <c r="B75" s="96"/>
      <c r="C75" s="94"/>
      <c r="D75" s="75"/>
      <c r="E75" s="103"/>
      <c r="F75" s="104"/>
      <c r="G75" s="75"/>
      <c r="H75" s="76"/>
      <c r="I75" s="83"/>
      <c r="J75" s="75"/>
      <c r="K75" s="78"/>
      <c r="L75" s="79"/>
      <c r="M75" s="80"/>
      <c r="N75" s="107"/>
      <c r="O75" s="98"/>
      <c r="P75" s="75"/>
      <c r="Q75" s="100"/>
      <c r="R75" s="93"/>
      <c r="S75" s="75"/>
      <c r="T75" s="75"/>
      <c r="V75" s="84"/>
    </row>
    <row r="76" ht="15.75" customHeight="1">
      <c r="A76" s="70"/>
      <c r="B76" s="96"/>
      <c r="C76" s="76"/>
      <c r="D76" s="75"/>
      <c r="E76" s="103"/>
      <c r="F76" s="104"/>
      <c r="G76" s="75"/>
      <c r="H76" s="76"/>
      <c r="I76" s="83"/>
      <c r="J76" s="75"/>
      <c r="K76" s="105"/>
      <c r="L76" s="106"/>
      <c r="M76" s="80"/>
      <c r="N76" s="81"/>
      <c r="O76" s="98"/>
      <c r="P76" s="75"/>
      <c r="Q76" s="97"/>
      <c r="R76" s="94"/>
      <c r="S76" s="83"/>
      <c r="T76" s="83"/>
      <c r="V76" s="84"/>
    </row>
    <row r="77" ht="15.75" customHeight="1">
      <c r="A77" s="70"/>
      <c r="B77" s="96"/>
      <c r="C77" s="76"/>
      <c r="D77" s="75"/>
      <c r="E77" s="108"/>
      <c r="F77" s="104"/>
      <c r="G77" s="75"/>
      <c r="H77" s="76"/>
      <c r="I77" s="83"/>
      <c r="J77" s="75"/>
      <c r="K77" s="78"/>
      <c r="L77" s="79"/>
      <c r="M77" s="80"/>
      <c r="N77" s="107"/>
      <c r="O77" s="98"/>
      <c r="P77" s="75"/>
      <c r="Q77" s="100"/>
      <c r="R77" s="93"/>
      <c r="S77" s="75"/>
      <c r="T77" s="75"/>
      <c r="V77" s="84"/>
    </row>
    <row r="78" ht="15.75" customHeight="1">
      <c r="A78" s="70"/>
      <c r="B78" s="96"/>
      <c r="C78" s="76"/>
      <c r="D78" s="75"/>
      <c r="E78" s="103"/>
      <c r="F78" s="104"/>
      <c r="G78" s="75"/>
      <c r="H78" s="76"/>
      <c r="I78" s="83"/>
      <c r="J78" s="75"/>
      <c r="K78" s="105"/>
      <c r="L78" s="106"/>
      <c r="M78" s="80"/>
      <c r="N78" s="81"/>
      <c r="O78" s="98"/>
      <c r="P78" s="75"/>
      <c r="Q78" s="97"/>
      <c r="R78" s="94"/>
      <c r="S78" s="83"/>
      <c r="T78" s="83"/>
      <c r="V78" s="84"/>
    </row>
    <row r="79" ht="15.75" customHeight="1">
      <c r="A79" s="70"/>
      <c r="B79" s="96"/>
      <c r="C79" s="76"/>
      <c r="D79" s="75"/>
      <c r="E79" s="103"/>
      <c r="F79" s="104"/>
      <c r="G79" s="75"/>
      <c r="H79" s="76"/>
      <c r="I79" s="83"/>
      <c r="J79" s="75"/>
      <c r="K79" s="78"/>
      <c r="L79" s="79"/>
      <c r="M79" s="80"/>
      <c r="N79" s="107"/>
      <c r="O79" s="98"/>
      <c r="P79" s="75"/>
      <c r="Q79" s="100"/>
      <c r="R79" s="93"/>
      <c r="S79" s="75"/>
      <c r="T79" s="75"/>
      <c r="V79" s="84"/>
    </row>
    <row r="80" ht="15.75" customHeight="1">
      <c r="A80" s="70"/>
      <c r="B80" s="96"/>
      <c r="C80" s="76"/>
      <c r="D80" s="75"/>
      <c r="E80" s="103"/>
      <c r="F80" s="104"/>
      <c r="G80" s="75"/>
      <c r="H80" s="76"/>
      <c r="I80" s="83"/>
      <c r="J80" s="75"/>
      <c r="K80" s="105"/>
      <c r="L80" s="106"/>
      <c r="M80" s="80"/>
      <c r="N80" s="81"/>
      <c r="O80" s="82"/>
      <c r="P80" s="75"/>
      <c r="Q80" s="99"/>
      <c r="R80" s="94"/>
      <c r="S80" s="83"/>
      <c r="T80" s="83"/>
      <c r="V80" s="84"/>
    </row>
    <row r="81" ht="15.75" customHeight="1">
      <c r="A81" s="70"/>
      <c r="B81" s="96"/>
      <c r="C81" s="94"/>
      <c r="D81" s="75"/>
      <c r="E81" s="103"/>
      <c r="F81" s="104"/>
      <c r="G81" s="75"/>
      <c r="H81" s="76"/>
      <c r="I81" s="83"/>
      <c r="J81" s="75"/>
      <c r="K81" s="78"/>
      <c r="L81" s="79"/>
      <c r="M81" s="80"/>
      <c r="N81" s="81"/>
      <c r="O81" s="82"/>
      <c r="P81" s="75"/>
      <c r="Q81" s="97"/>
      <c r="R81" s="110"/>
      <c r="S81" s="83"/>
      <c r="T81" s="83"/>
      <c r="V81" s="84"/>
    </row>
    <row r="82" ht="15.75" customHeight="1">
      <c r="A82" s="70"/>
      <c r="B82" s="96"/>
      <c r="C82" s="94"/>
      <c r="D82" s="75"/>
      <c r="E82" s="103"/>
      <c r="F82" s="104"/>
      <c r="G82" s="75"/>
      <c r="H82" s="76"/>
      <c r="I82" s="83"/>
      <c r="J82" s="75"/>
      <c r="K82" s="105"/>
      <c r="L82" s="106"/>
      <c r="M82" s="80"/>
      <c r="N82" s="81"/>
      <c r="O82" s="82"/>
      <c r="P82" s="75"/>
      <c r="Q82" s="97"/>
      <c r="R82" s="94"/>
      <c r="S82" s="83"/>
      <c r="T82" s="83"/>
      <c r="V82" s="84"/>
    </row>
    <row r="83" ht="15.75" customHeight="1">
      <c r="A83" s="70"/>
      <c r="B83" s="96"/>
      <c r="C83" s="76"/>
      <c r="D83" s="75"/>
      <c r="E83" s="103"/>
      <c r="F83" s="104"/>
      <c r="G83" s="75"/>
      <c r="H83" s="76"/>
      <c r="I83" s="83"/>
      <c r="J83" s="75"/>
      <c r="K83" s="78"/>
      <c r="L83" s="79"/>
      <c r="M83" s="80"/>
      <c r="N83" s="107"/>
      <c r="O83" s="98"/>
      <c r="P83" s="75"/>
      <c r="Q83" s="100"/>
      <c r="R83" s="93"/>
      <c r="S83" s="75"/>
      <c r="T83" s="75"/>
      <c r="V83" s="84"/>
    </row>
    <row r="84" ht="15.75" customHeight="1">
      <c r="A84" s="70"/>
      <c r="B84" s="96"/>
      <c r="C84" s="76"/>
      <c r="D84" s="75"/>
      <c r="E84" s="103"/>
      <c r="F84" s="104"/>
      <c r="G84" s="75"/>
      <c r="H84" s="76"/>
      <c r="I84" s="83"/>
      <c r="J84" s="75"/>
      <c r="K84" s="105"/>
      <c r="L84" s="106"/>
      <c r="M84" s="80"/>
      <c r="N84" s="107"/>
      <c r="O84" s="98"/>
      <c r="P84" s="75"/>
      <c r="Q84" s="75"/>
      <c r="R84" s="93"/>
      <c r="S84" s="75"/>
      <c r="T84" s="75"/>
      <c r="V84" s="84"/>
    </row>
    <row r="85" ht="15.75" customHeight="1">
      <c r="A85" s="70"/>
      <c r="B85" s="96"/>
      <c r="C85" s="111"/>
      <c r="D85" s="75"/>
      <c r="E85" s="103"/>
      <c r="F85" s="104"/>
      <c r="G85" s="75"/>
      <c r="H85" s="76"/>
      <c r="I85" s="83"/>
      <c r="J85" s="75"/>
      <c r="K85" s="78"/>
      <c r="L85" s="79"/>
      <c r="M85" s="80"/>
      <c r="N85" s="107"/>
      <c r="O85" s="98"/>
      <c r="P85" s="75"/>
      <c r="Q85" s="100"/>
      <c r="R85" s="93"/>
      <c r="S85" s="75"/>
      <c r="T85" s="75"/>
      <c r="V85" s="84"/>
    </row>
    <row r="86" ht="15.75" customHeight="1">
      <c r="A86" s="70"/>
      <c r="B86" s="96"/>
      <c r="C86" s="77"/>
      <c r="D86" s="75"/>
      <c r="E86" s="103"/>
      <c r="F86" s="104"/>
      <c r="G86" s="75"/>
      <c r="H86" s="76"/>
      <c r="I86" s="83"/>
      <c r="J86" s="75"/>
      <c r="K86" s="105"/>
      <c r="L86" s="106"/>
      <c r="M86" s="80"/>
      <c r="N86" s="81"/>
      <c r="O86" s="82"/>
      <c r="P86" s="75"/>
      <c r="Q86" s="99"/>
      <c r="R86" s="87"/>
      <c r="S86" s="83"/>
      <c r="T86" s="83"/>
      <c r="V86" s="84"/>
    </row>
    <row r="87" ht="15.75" customHeight="1">
      <c r="A87" s="70"/>
      <c r="B87" s="96"/>
      <c r="C87" s="76"/>
      <c r="D87" s="75"/>
      <c r="E87" s="103"/>
      <c r="F87" s="104"/>
      <c r="G87" s="75"/>
      <c r="H87" s="76"/>
      <c r="I87" s="83"/>
      <c r="J87" s="75"/>
      <c r="K87" s="78"/>
      <c r="L87" s="79"/>
      <c r="M87" s="80"/>
      <c r="N87" s="107"/>
      <c r="O87" s="82"/>
      <c r="P87" s="75"/>
      <c r="Q87" s="100"/>
      <c r="R87" s="94"/>
      <c r="S87" s="83"/>
      <c r="T87" s="83"/>
      <c r="V87" s="84"/>
    </row>
    <row r="88" ht="15.75" customHeight="1">
      <c r="A88" s="70"/>
      <c r="B88" s="96"/>
      <c r="C88" s="76"/>
      <c r="D88" s="75"/>
      <c r="E88" s="103"/>
      <c r="F88" s="104"/>
      <c r="G88" s="75"/>
      <c r="H88" s="76"/>
      <c r="I88" s="83"/>
      <c r="J88" s="75"/>
      <c r="K88" s="105"/>
      <c r="L88" s="106"/>
      <c r="M88" s="80"/>
      <c r="N88" s="81"/>
      <c r="O88" s="82"/>
      <c r="P88" s="75"/>
      <c r="Q88" s="97"/>
      <c r="R88" s="94"/>
      <c r="S88" s="83"/>
      <c r="T88" s="83"/>
      <c r="V88" s="84"/>
    </row>
    <row r="89" ht="15.75" customHeight="1">
      <c r="A89" s="70"/>
      <c r="B89" s="96"/>
      <c r="C89" s="76"/>
      <c r="D89" s="75"/>
      <c r="E89" s="103"/>
      <c r="F89" s="104"/>
      <c r="G89" s="75"/>
      <c r="H89" s="76"/>
      <c r="I89" s="83"/>
      <c r="J89" s="75"/>
      <c r="K89" s="78"/>
      <c r="L89" s="79"/>
      <c r="M89" s="80"/>
      <c r="N89" s="107"/>
      <c r="O89" s="98"/>
      <c r="P89" s="75"/>
      <c r="Q89" s="75"/>
      <c r="R89" s="93"/>
      <c r="S89" s="75"/>
      <c r="T89" s="75"/>
      <c r="V89" s="84"/>
    </row>
    <row r="90" ht="15.75" customHeight="1">
      <c r="A90" s="70"/>
      <c r="B90" s="96"/>
      <c r="C90" s="112"/>
      <c r="D90" s="75"/>
      <c r="E90" s="103"/>
      <c r="F90" s="113"/>
      <c r="G90" s="75"/>
      <c r="H90" s="76"/>
      <c r="I90" s="83"/>
      <c r="J90" s="75"/>
      <c r="K90" s="105"/>
      <c r="L90" s="106"/>
      <c r="M90" s="80"/>
      <c r="N90" s="81"/>
      <c r="O90" s="82"/>
      <c r="P90" s="75"/>
      <c r="Q90" s="83"/>
      <c r="R90" s="94"/>
      <c r="S90" s="83"/>
      <c r="T90" s="83"/>
      <c r="V90" s="84"/>
    </row>
    <row r="91" ht="15.75" customHeight="1">
      <c r="A91" s="70"/>
      <c r="B91" s="96"/>
      <c r="C91" s="114"/>
      <c r="D91" s="75"/>
      <c r="E91" s="103"/>
      <c r="F91" s="104"/>
      <c r="G91" s="75"/>
      <c r="H91" s="76"/>
      <c r="I91" s="83"/>
      <c r="J91" s="75"/>
      <c r="K91" s="78"/>
      <c r="L91" s="79"/>
      <c r="M91" s="80"/>
      <c r="N91" s="107"/>
      <c r="O91" s="98"/>
      <c r="P91" s="75"/>
      <c r="Q91" s="75"/>
      <c r="R91" s="93"/>
      <c r="S91" s="75"/>
      <c r="T91" s="75"/>
      <c r="V91" s="84"/>
    </row>
    <row r="92" ht="15.75" customHeight="1">
      <c r="A92" s="70"/>
      <c r="B92" s="96"/>
      <c r="C92" s="112"/>
      <c r="D92" s="75"/>
      <c r="E92" s="103"/>
      <c r="F92" s="104"/>
      <c r="G92" s="75"/>
      <c r="H92" s="76"/>
      <c r="I92" s="83"/>
      <c r="J92" s="75"/>
      <c r="K92" s="105"/>
      <c r="L92" s="106"/>
      <c r="M92" s="80"/>
      <c r="N92" s="81"/>
      <c r="O92" s="82"/>
      <c r="P92" s="75"/>
      <c r="Q92" s="99"/>
      <c r="R92" s="94"/>
      <c r="S92" s="83"/>
      <c r="T92" s="83"/>
      <c r="V92" s="84"/>
    </row>
    <row r="93" ht="15.75" customHeight="1">
      <c r="A93" s="70"/>
      <c r="B93" s="96"/>
      <c r="C93" s="114"/>
      <c r="D93" s="75"/>
      <c r="E93" s="104"/>
      <c r="F93" s="104"/>
      <c r="G93" s="75"/>
      <c r="H93" s="76"/>
      <c r="I93" s="83"/>
      <c r="J93" s="75"/>
      <c r="K93" s="78"/>
      <c r="L93" s="79"/>
      <c r="M93" s="80"/>
      <c r="N93" s="107"/>
      <c r="O93" s="98"/>
      <c r="P93" s="75"/>
      <c r="Q93" s="100"/>
      <c r="R93" s="93"/>
      <c r="S93" s="75"/>
      <c r="T93" s="75"/>
      <c r="V93" s="84"/>
    </row>
    <row r="94" ht="15.75" customHeight="1">
      <c r="A94" s="70"/>
      <c r="B94" s="96"/>
      <c r="C94" s="76"/>
      <c r="D94" s="75"/>
      <c r="E94" s="103"/>
      <c r="F94" s="104"/>
      <c r="G94" s="75"/>
      <c r="H94" s="76"/>
      <c r="I94" s="83"/>
      <c r="J94" s="75"/>
      <c r="K94" s="105"/>
      <c r="L94" s="106"/>
      <c r="M94" s="80"/>
      <c r="N94" s="107"/>
      <c r="O94" s="98"/>
      <c r="P94" s="75"/>
      <c r="Q94" s="75"/>
      <c r="R94" s="93"/>
      <c r="S94" s="75"/>
      <c r="T94" s="75"/>
      <c r="V94" s="84"/>
    </row>
    <row r="95" ht="15.75" customHeight="1">
      <c r="A95" s="70"/>
      <c r="B95" s="96"/>
      <c r="C95" s="76"/>
      <c r="D95" s="75"/>
      <c r="E95" s="103"/>
      <c r="F95" s="104"/>
      <c r="G95" s="75"/>
      <c r="H95" s="76"/>
      <c r="I95" s="83"/>
      <c r="J95" s="75"/>
      <c r="K95" s="78"/>
      <c r="L95" s="79"/>
      <c r="M95" s="80"/>
      <c r="N95" s="81"/>
      <c r="O95" s="82"/>
      <c r="P95" s="75"/>
      <c r="Q95" s="97"/>
      <c r="R95" s="94"/>
      <c r="S95" s="83"/>
      <c r="T95" s="83"/>
      <c r="V95" s="84"/>
    </row>
    <row r="96" ht="15.75" customHeight="1">
      <c r="A96" s="70"/>
      <c r="B96" s="96"/>
      <c r="C96" s="76"/>
      <c r="D96" s="75"/>
      <c r="E96" s="103"/>
      <c r="F96" s="104"/>
      <c r="G96" s="75"/>
      <c r="H96" s="76"/>
      <c r="I96" s="83"/>
      <c r="J96" s="75"/>
      <c r="K96" s="105"/>
      <c r="L96" s="106"/>
      <c r="M96" s="80"/>
      <c r="N96" s="107"/>
      <c r="O96" s="98"/>
      <c r="P96" s="75"/>
      <c r="Q96" s="75"/>
      <c r="R96" s="93"/>
      <c r="S96" s="75"/>
      <c r="T96" s="75"/>
      <c r="V96" s="84"/>
    </row>
    <row r="97" ht="15.75" customHeight="1">
      <c r="A97" s="70"/>
      <c r="B97" s="96"/>
      <c r="C97" s="76"/>
      <c r="D97" s="75"/>
      <c r="E97" s="115"/>
      <c r="F97" s="104"/>
      <c r="G97" s="75"/>
      <c r="H97" s="76"/>
      <c r="I97" s="83"/>
      <c r="J97" s="75"/>
      <c r="K97" s="78"/>
      <c r="L97" s="79"/>
      <c r="M97" s="80"/>
      <c r="N97" s="107"/>
      <c r="O97" s="98"/>
      <c r="P97" s="75"/>
      <c r="Q97" s="100"/>
      <c r="R97" s="93"/>
      <c r="S97" s="75"/>
      <c r="T97" s="75"/>
      <c r="V97" s="84"/>
    </row>
    <row r="98" ht="15.75" customHeight="1">
      <c r="A98" s="70"/>
      <c r="B98" s="96"/>
      <c r="C98" s="94"/>
      <c r="D98" s="75"/>
      <c r="E98" s="103"/>
      <c r="F98" s="104"/>
      <c r="G98" s="75"/>
      <c r="H98" s="76"/>
      <c r="I98" s="83"/>
      <c r="J98" s="75"/>
      <c r="K98" s="105"/>
      <c r="L98" s="106"/>
      <c r="M98" s="80"/>
      <c r="N98" s="107"/>
      <c r="O98" s="98"/>
      <c r="P98" s="75"/>
      <c r="Q98" s="99"/>
      <c r="R98" s="94"/>
      <c r="S98" s="75"/>
      <c r="T98" s="83"/>
      <c r="V98" s="84"/>
    </row>
    <row r="99" ht="15.75" customHeight="1">
      <c r="A99" s="70"/>
      <c r="B99" s="96"/>
      <c r="C99" s="94"/>
      <c r="D99" s="75"/>
      <c r="E99" s="103"/>
      <c r="F99" s="104"/>
      <c r="G99" s="75"/>
      <c r="H99" s="76"/>
      <c r="I99" s="83"/>
      <c r="J99" s="75"/>
      <c r="K99" s="78"/>
      <c r="L99" s="79"/>
      <c r="M99" s="80"/>
      <c r="N99" s="107"/>
      <c r="O99" s="98"/>
      <c r="P99" s="75"/>
      <c r="Q99" s="99"/>
      <c r="R99" s="94"/>
      <c r="S99" s="75"/>
      <c r="T99" s="83"/>
      <c r="V99" s="84"/>
    </row>
    <row r="100" ht="15.75" customHeight="1">
      <c r="A100" s="70"/>
      <c r="B100" s="96"/>
      <c r="C100" s="76"/>
      <c r="D100" s="75"/>
      <c r="E100" s="108"/>
      <c r="F100" s="109"/>
      <c r="G100" s="75"/>
      <c r="H100" s="76"/>
      <c r="I100" s="83"/>
      <c r="J100" s="75"/>
      <c r="K100" s="105"/>
      <c r="L100" s="106"/>
      <c r="M100" s="80"/>
      <c r="N100" s="107"/>
      <c r="O100" s="98"/>
      <c r="P100" s="75"/>
      <c r="Q100" s="100"/>
      <c r="R100" s="93"/>
      <c r="S100" s="75"/>
      <c r="T100" s="75"/>
      <c r="V100" s="84"/>
    </row>
    <row r="101" ht="15.75" customHeight="1">
      <c r="A101" s="70"/>
      <c r="B101" s="96"/>
      <c r="C101" s="76"/>
      <c r="D101" s="75"/>
      <c r="E101" s="103"/>
      <c r="F101" s="104"/>
      <c r="G101" s="75"/>
      <c r="H101" s="76"/>
      <c r="I101" s="83"/>
      <c r="J101" s="75"/>
      <c r="K101" s="78"/>
      <c r="L101" s="79"/>
      <c r="M101" s="80"/>
      <c r="N101" s="107"/>
      <c r="O101" s="98"/>
      <c r="P101" s="75"/>
      <c r="Q101" s="75"/>
      <c r="R101" s="93"/>
      <c r="S101" s="75"/>
      <c r="T101" s="75"/>
      <c r="V101" s="84"/>
    </row>
    <row r="102" ht="15.75" customHeight="1">
      <c r="A102" s="70"/>
      <c r="B102" s="96"/>
      <c r="C102" s="76"/>
      <c r="D102" s="75"/>
      <c r="E102" s="103"/>
      <c r="F102" s="104"/>
      <c r="G102" s="75"/>
      <c r="H102" s="76"/>
      <c r="I102" s="83"/>
      <c r="J102" s="75"/>
      <c r="K102" s="105"/>
      <c r="L102" s="106"/>
      <c r="M102" s="80"/>
      <c r="N102" s="81"/>
      <c r="O102" s="82"/>
      <c r="P102" s="75"/>
      <c r="Q102" s="97"/>
      <c r="R102" s="87"/>
      <c r="S102" s="83"/>
      <c r="T102" s="83"/>
      <c r="V102" s="84"/>
    </row>
    <row r="103" ht="15.75" customHeight="1">
      <c r="A103" s="70"/>
      <c r="B103" s="116"/>
      <c r="C103" s="117"/>
      <c r="D103" s="75"/>
      <c r="E103" s="118"/>
      <c r="F103" s="113"/>
      <c r="G103" s="75"/>
      <c r="H103" s="76"/>
      <c r="I103" s="83"/>
      <c r="J103" s="75"/>
      <c r="K103" s="78"/>
      <c r="L103" s="79"/>
      <c r="M103" s="80"/>
      <c r="N103" s="81"/>
      <c r="O103" s="98"/>
      <c r="P103" s="75"/>
      <c r="Q103" s="100"/>
      <c r="R103" s="93"/>
      <c r="S103" s="83"/>
      <c r="T103" s="75"/>
      <c r="V103" s="84"/>
    </row>
    <row r="104" ht="15.75" customHeight="1">
      <c r="A104" s="70"/>
      <c r="B104" s="116"/>
      <c r="C104" s="117"/>
      <c r="D104" s="75"/>
      <c r="E104" s="118"/>
      <c r="F104" s="118"/>
      <c r="G104" s="75"/>
      <c r="H104" s="76"/>
      <c r="I104" s="83"/>
      <c r="J104" s="75"/>
      <c r="K104" s="105"/>
      <c r="L104" s="106"/>
      <c r="M104" s="80"/>
      <c r="N104" s="81"/>
      <c r="O104" s="98"/>
      <c r="P104" s="75"/>
      <c r="Q104" s="75"/>
      <c r="R104" s="93"/>
      <c r="S104" s="83"/>
      <c r="T104" s="75"/>
      <c r="V104" s="84"/>
    </row>
    <row r="105" ht="15.75" customHeight="1">
      <c r="A105" s="70"/>
      <c r="B105" s="116"/>
      <c r="C105" s="84"/>
      <c r="D105" s="75"/>
      <c r="E105" s="118"/>
      <c r="F105" s="118"/>
      <c r="G105" s="75"/>
      <c r="H105" s="76"/>
      <c r="I105" s="83"/>
      <c r="J105" s="75"/>
      <c r="K105" s="78"/>
      <c r="L105" s="79"/>
      <c r="M105" s="80"/>
      <c r="N105" s="81"/>
      <c r="O105" s="98"/>
      <c r="P105" s="75"/>
      <c r="Q105" s="100"/>
      <c r="R105" s="93"/>
      <c r="S105" s="83"/>
      <c r="T105" s="75"/>
      <c r="V105" s="84"/>
    </row>
    <row r="106" ht="15.75" customHeight="1">
      <c r="A106" s="70"/>
      <c r="B106" s="116"/>
      <c r="C106" s="84"/>
      <c r="D106" s="75"/>
      <c r="E106" s="118"/>
      <c r="F106" s="118"/>
      <c r="G106" s="75"/>
      <c r="H106" s="76"/>
      <c r="I106" s="83"/>
      <c r="J106" s="75"/>
      <c r="K106" s="105"/>
      <c r="L106" s="106"/>
      <c r="M106" s="80"/>
      <c r="N106" s="81"/>
      <c r="O106" s="98"/>
      <c r="P106" s="75"/>
      <c r="Q106" s="100"/>
      <c r="R106" s="93"/>
      <c r="S106" s="83"/>
      <c r="T106" s="75"/>
      <c r="V106" s="84"/>
    </row>
    <row r="107" ht="15.75" customHeight="1">
      <c r="A107" s="70"/>
      <c r="B107" s="116"/>
      <c r="C107" s="117"/>
      <c r="D107" s="75"/>
      <c r="E107" s="118"/>
      <c r="F107" s="118"/>
      <c r="G107" s="75"/>
      <c r="H107" s="76"/>
      <c r="I107" s="83"/>
      <c r="J107" s="75"/>
      <c r="K107" s="78"/>
      <c r="L107" s="79"/>
      <c r="M107" s="80"/>
      <c r="N107" s="81"/>
      <c r="O107" s="98"/>
      <c r="P107" s="75"/>
      <c r="Q107" s="100"/>
      <c r="R107" s="93"/>
      <c r="S107" s="83"/>
      <c r="T107" s="75"/>
      <c r="V107" s="84"/>
    </row>
    <row r="108" ht="15.75" customHeight="1">
      <c r="A108" s="70"/>
      <c r="B108" s="116"/>
      <c r="C108" s="117"/>
      <c r="D108" s="75"/>
      <c r="E108" s="118"/>
      <c r="F108" s="118"/>
      <c r="G108" s="75"/>
      <c r="H108" s="76"/>
      <c r="I108" s="83"/>
      <c r="J108" s="75"/>
      <c r="K108" s="105"/>
      <c r="L108" s="106"/>
      <c r="M108" s="80"/>
      <c r="N108" s="81"/>
      <c r="O108" s="98"/>
      <c r="P108" s="75"/>
      <c r="Q108" s="75"/>
      <c r="R108" s="93"/>
      <c r="S108" s="83"/>
      <c r="T108" s="75"/>
      <c r="V108" s="84"/>
    </row>
    <row r="109" ht="15.75" customHeight="1">
      <c r="A109" s="70"/>
      <c r="B109" s="116"/>
      <c r="C109" s="117"/>
      <c r="D109" s="75"/>
      <c r="E109" s="118"/>
      <c r="F109" s="118"/>
      <c r="G109" s="75"/>
      <c r="H109" s="76"/>
      <c r="I109" s="83"/>
      <c r="J109" s="75"/>
      <c r="K109" s="78"/>
      <c r="L109" s="79"/>
      <c r="M109" s="80"/>
      <c r="N109" s="81"/>
      <c r="O109" s="98"/>
      <c r="P109" s="75"/>
      <c r="Q109" s="100"/>
      <c r="R109" s="93"/>
      <c r="S109" s="83"/>
      <c r="T109" s="75"/>
      <c r="V109" s="84"/>
    </row>
    <row r="110" ht="15.75" customHeight="1">
      <c r="A110" s="70"/>
      <c r="B110" s="116"/>
      <c r="C110" s="117"/>
      <c r="D110" s="75"/>
      <c r="E110" s="118"/>
      <c r="F110" s="118"/>
      <c r="G110" s="75"/>
      <c r="H110" s="117"/>
      <c r="I110" s="119"/>
      <c r="J110" s="75"/>
      <c r="K110" s="105"/>
      <c r="L110" s="106"/>
      <c r="M110" s="80"/>
      <c r="N110" s="107"/>
      <c r="O110" s="98"/>
      <c r="P110" s="75"/>
      <c r="Q110" s="75"/>
      <c r="R110" s="93"/>
      <c r="S110" s="75"/>
      <c r="T110" s="75"/>
      <c r="V110" s="84"/>
    </row>
    <row r="111" ht="15.75" customHeight="1">
      <c r="A111" s="70"/>
      <c r="B111" s="116"/>
      <c r="C111" s="117"/>
      <c r="D111" s="75"/>
      <c r="E111" s="118"/>
      <c r="F111" s="118"/>
      <c r="G111" s="75"/>
      <c r="H111" s="117"/>
      <c r="I111" s="75"/>
      <c r="J111" s="75"/>
      <c r="K111" s="78"/>
      <c r="L111" s="79"/>
      <c r="M111" s="80"/>
      <c r="N111" s="107"/>
      <c r="O111" s="98"/>
      <c r="P111" s="75"/>
      <c r="Q111" s="100"/>
      <c r="R111" s="93"/>
      <c r="S111" s="75"/>
      <c r="T111" s="75"/>
      <c r="V111" s="84"/>
    </row>
    <row r="112" ht="15.75" customHeight="1">
      <c r="A112" s="70"/>
      <c r="B112" s="116"/>
      <c r="C112" s="84"/>
      <c r="D112" s="75"/>
      <c r="E112" s="118"/>
      <c r="F112" s="118"/>
      <c r="G112" s="75"/>
      <c r="H112" s="117"/>
      <c r="I112" s="75"/>
      <c r="J112" s="75"/>
      <c r="K112" s="105"/>
      <c r="L112" s="106"/>
      <c r="M112" s="80"/>
      <c r="N112" s="107"/>
      <c r="O112" s="98"/>
      <c r="P112" s="75"/>
      <c r="Q112" s="75"/>
      <c r="R112" s="93"/>
      <c r="S112" s="75"/>
      <c r="T112" s="75"/>
      <c r="V112" s="84"/>
    </row>
    <row r="113" ht="15.75" customHeight="1">
      <c r="A113" s="70"/>
      <c r="B113" s="116"/>
      <c r="C113" s="84"/>
      <c r="D113" s="75"/>
      <c r="E113" s="118"/>
      <c r="F113" s="118"/>
      <c r="G113" s="75"/>
      <c r="H113" s="117"/>
      <c r="I113" s="75"/>
      <c r="J113" s="75"/>
      <c r="K113" s="78"/>
      <c r="L113" s="79"/>
      <c r="M113" s="80"/>
      <c r="N113" s="107"/>
      <c r="O113" s="98"/>
      <c r="P113" s="75"/>
      <c r="Q113" s="75"/>
      <c r="R113" s="93"/>
      <c r="S113" s="75"/>
      <c r="T113" s="75"/>
      <c r="V113" s="84"/>
    </row>
    <row r="114" ht="15.75" customHeight="1">
      <c r="A114" s="70"/>
      <c r="B114" s="116"/>
      <c r="C114" s="84"/>
      <c r="D114" s="75"/>
      <c r="E114" s="118"/>
      <c r="F114" s="118"/>
      <c r="G114" s="75"/>
      <c r="H114" s="117"/>
      <c r="I114" s="75"/>
      <c r="J114" s="75"/>
      <c r="K114" s="105"/>
      <c r="L114" s="106"/>
      <c r="M114" s="80"/>
      <c r="N114" s="107"/>
      <c r="O114" s="98"/>
      <c r="P114" s="75"/>
      <c r="Q114" s="75"/>
      <c r="R114" s="93"/>
      <c r="S114" s="75"/>
      <c r="T114" s="75"/>
      <c r="V114" s="84"/>
    </row>
    <row r="115" ht="15.75" customHeight="1">
      <c r="A115" s="70"/>
      <c r="B115" s="116"/>
      <c r="C115" s="117"/>
      <c r="D115" s="75"/>
      <c r="E115" s="118"/>
      <c r="F115" s="118"/>
      <c r="G115" s="75"/>
      <c r="H115" s="117"/>
      <c r="I115" s="75"/>
      <c r="J115" s="75"/>
      <c r="K115" s="78"/>
      <c r="L115" s="79"/>
      <c r="M115" s="80"/>
      <c r="N115" s="107"/>
      <c r="O115" s="98"/>
      <c r="P115" s="75"/>
      <c r="Q115" s="75"/>
      <c r="R115" s="93"/>
      <c r="S115" s="75"/>
      <c r="T115" s="75"/>
      <c r="V115" s="84"/>
    </row>
    <row r="116" ht="15.75" customHeight="1">
      <c r="A116" s="70"/>
      <c r="B116" s="116"/>
      <c r="C116" s="117"/>
      <c r="D116" s="75"/>
      <c r="E116" s="118"/>
      <c r="F116" s="118"/>
      <c r="G116" s="75"/>
      <c r="H116" s="117"/>
      <c r="I116" s="75"/>
      <c r="J116" s="75"/>
      <c r="K116" s="105"/>
      <c r="L116" s="106"/>
      <c r="M116" s="80"/>
      <c r="N116" s="107"/>
      <c r="O116" s="98"/>
      <c r="P116" s="75"/>
      <c r="Q116" s="75"/>
      <c r="R116" s="93"/>
      <c r="S116" s="75"/>
      <c r="T116" s="75"/>
      <c r="V116" s="84"/>
    </row>
    <row r="117" ht="15.75" customHeight="1">
      <c r="A117" s="70"/>
      <c r="B117" s="116"/>
      <c r="C117" s="117"/>
      <c r="D117" s="75"/>
      <c r="E117" s="118"/>
      <c r="F117" s="118"/>
      <c r="G117" s="75"/>
      <c r="H117" s="117"/>
      <c r="I117" s="75"/>
      <c r="J117" s="75"/>
      <c r="K117" s="78"/>
      <c r="L117" s="79"/>
      <c r="M117" s="80"/>
      <c r="N117" s="107"/>
      <c r="O117" s="98"/>
      <c r="P117" s="75"/>
      <c r="Q117" s="75"/>
      <c r="R117" s="93"/>
      <c r="S117" s="75"/>
      <c r="T117" s="75"/>
      <c r="V117" s="84"/>
    </row>
    <row r="118" ht="15.75" customHeight="1">
      <c r="A118" s="70"/>
      <c r="B118" s="116"/>
      <c r="C118" s="117"/>
      <c r="D118" s="75"/>
      <c r="E118" s="118"/>
      <c r="F118" s="118"/>
      <c r="G118" s="75"/>
      <c r="H118" s="117"/>
      <c r="I118" s="75"/>
      <c r="J118" s="75"/>
      <c r="K118" s="105"/>
      <c r="L118" s="106"/>
      <c r="M118" s="80"/>
      <c r="N118" s="107"/>
      <c r="O118" s="98"/>
      <c r="P118" s="75"/>
      <c r="Q118" s="75"/>
      <c r="R118" s="93"/>
      <c r="S118" s="75"/>
      <c r="T118" s="75"/>
      <c r="V118" s="84"/>
    </row>
    <row r="119" ht="15.75" customHeight="1">
      <c r="A119" s="70"/>
      <c r="B119" s="116"/>
      <c r="C119" s="117"/>
      <c r="D119" s="75"/>
      <c r="E119" s="118"/>
      <c r="F119" s="118"/>
      <c r="G119" s="75"/>
      <c r="H119" s="117"/>
      <c r="I119" s="75"/>
      <c r="J119" s="75"/>
      <c r="K119" s="78"/>
      <c r="L119" s="79"/>
      <c r="M119" s="80"/>
      <c r="N119" s="107"/>
      <c r="O119" s="98"/>
      <c r="P119" s="75"/>
      <c r="Q119" s="100"/>
      <c r="R119" s="93"/>
      <c r="S119" s="75"/>
      <c r="T119" s="75"/>
      <c r="V119" s="84"/>
    </row>
    <row r="120" ht="15.75" customHeight="1">
      <c r="A120" s="70"/>
      <c r="B120" s="116"/>
      <c r="C120" s="84"/>
      <c r="D120" s="75"/>
      <c r="E120" s="118"/>
      <c r="F120" s="118"/>
      <c r="G120" s="75"/>
      <c r="H120" s="117"/>
      <c r="I120" s="75"/>
      <c r="J120" s="75"/>
      <c r="K120" s="105"/>
      <c r="L120" s="106"/>
      <c r="M120" s="80"/>
      <c r="N120" s="107"/>
      <c r="O120" s="98"/>
      <c r="P120" s="75"/>
      <c r="Q120" s="75"/>
      <c r="R120" s="93"/>
      <c r="S120" s="75"/>
      <c r="T120" s="75"/>
      <c r="V120" s="84"/>
    </row>
    <row r="121" ht="15.75" customHeight="1">
      <c r="A121" s="70"/>
      <c r="B121" s="116"/>
      <c r="C121" s="84"/>
      <c r="D121" s="75"/>
      <c r="E121" s="118"/>
      <c r="F121" s="118"/>
      <c r="G121" s="75"/>
      <c r="H121" s="117"/>
      <c r="I121" s="75"/>
      <c r="J121" s="75"/>
      <c r="K121" s="78"/>
      <c r="L121" s="79"/>
      <c r="M121" s="80"/>
      <c r="N121" s="107"/>
      <c r="O121" s="98"/>
      <c r="P121" s="75"/>
      <c r="Q121" s="75"/>
      <c r="R121" s="93"/>
      <c r="S121" s="75"/>
      <c r="T121" s="75"/>
      <c r="V121" s="84"/>
    </row>
    <row r="122" ht="15.75" customHeight="1">
      <c r="A122" s="70"/>
      <c r="B122" s="116"/>
      <c r="C122" s="84"/>
      <c r="D122" s="75"/>
      <c r="E122" s="118"/>
      <c r="F122" s="118"/>
      <c r="G122" s="75"/>
      <c r="H122" s="117"/>
      <c r="I122" s="75"/>
      <c r="J122" s="75"/>
      <c r="K122" s="105"/>
      <c r="L122" s="106"/>
      <c r="M122" s="80"/>
      <c r="N122" s="107"/>
      <c r="O122" s="98"/>
      <c r="P122" s="75"/>
      <c r="Q122" s="100"/>
      <c r="R122" s="93"/>
      <c r="S122" s="75"/>
      <c r="T122" s="75"/>
      <c r="V122" s="84"/>
    </row>
    <row r="123" ht="15.75" customHeight="1">
      <c r="A123" s="70"/>
      <c r="B123" s="116"/>
      <c r="C123" s="117"/>
      <c r="D123" s="75"/>
      <c r="E123" s="118"/>
      <c r="F123" s="118"/>
      <c r="G123" s="75"/>
      <c r="H123" s="117"/>
      <c r="I123" s="75"/>
      <c r="J123" s="75"/>
      <c r="K123" s="78"/>
      <c r="L123" s="79"/>
      <c r="M123" s="80"/>
      <c r="N123" s="107"/>
      <c r="O123" s="98"/>
      <c r="P123" s="75"/>
      <c r="Q123" s="100"/>
      <c r="R123" s="93"/>
      <c r="S123" s="75"/>
      <c r="T123" s="75"/>
      <c r="V123" s="84"/>
    </row>
    <row r="124" ht="15.75" customHeight="1">
      <c r="A124" s="70"/>
      <c r="B124" s="116"/>
      <c r="C124" s="117"/>
      <c r="D124" s="75"/>
      <c r="E124" s="118"/>
      <c r="F124" s="118"/>
      <c r="G124" s="75"/>
      <c r="H124" s="117"/>
      <c r="I124" s="75"/>
      <c r="J124" s="75"/>
      <c r="K124" s="105"/>
      <c r="L124" s="106"/>
      <c r="M124" s="80"/>
      <c r="N124" s="107"/>
      <c r="O124" s="98"/>
      <c r="P124" s="75"/>
      <c r="Q124" s="100"/>
      <c r="R124" s="93"/>
      <c r="S124" s="75"/>
      <c r="T124" s="75"/>
      <c r="V124" s="84"/>
    </row>
    <row r="125" ht="15.75" customHeight="1">
      <c r="A125" s="70"/>
      <c r="B125" s="116"/>
      <c r="C125" s="117"/>
      <c r="D125" s="75"/>
      <c r="E125" s="118"/>
      <c r="F125" s="118"/>
      <c r="G125" s="75"/>
      <c r="H125" s="117"/>
      <c r="I125" s="75"/>
      <c r="J125" s="75"/>
      <c r="K125" s="78"/>
      <c r="L125" s="79"/>
      <c r="M125" s="80"/>
      <c r="N125" s="107"/>
      <c r="O125" s="98"/>
      <c r="P125" s="75"/>
      <c r="Q125" s="100"/>
      <c r="R125" s="93"/>
      <c r="S125" s="75"/>
      <c r="T125" s="75"/>
      <c r="V125" s="84"/>
    </row>
    <row r="126" ht="15.75" customHeight="1">
      <c r="A126" s="70"/>
      <c r="B126" s="116"/>
      <c r="C126" s="117"/>
      <c r="D126" s="75"/>
      <c r="E126" s="118"/>
      <c r="F126" s="118"/>
      <c r="G126" s="75"/>
      <c r="H126" s="117"/>
      <c r="I126" s="75"/>
      <c r="J126" s="75"/>
      <c r="K126" s="105"/>
      <c r="L126" s="106"/>
      <c r="M126" s="80"/>
      <c r="N126" s="107"/>
      <c r="O126" s="98"/>
      <c r="P126" s="75"/>
      <c r="Q126" s="100"/>
      <c r="R126" s="93"/>
      <c r="S126" s="75"/>
      <c r="T126" s="75"/>
      <c r="V126" s="84"/>
    </row>
    <row r="127" ht="15.75" customHeight="1">
      <c r="A127" s="70"/>
      <c r="B127" s="116"/>
      <c r="C127" s="117"/>
      <c r="D127" s="75"/>
      <c r="E127" s="118"/>
      <c r="F127" s="118"/>
      <c r="G127" s="75"/>
      <c r="H127" s="117"/>
      <c r="I127" s="75"/>
      <c r="J127" s="75"/>
      <c r="K127" s="78"/>
      <c r="L127" s="79"/>
      <c r="M127" s="80"/>
      <c r="N127" s="107"/>
      <c r="O127" s="98"/>
      <c r="P127" s="75"/>
      <c r="Q127" s="100"/>
      <c r="R127" s="93"/>
      <c r="S127" s="75"/>
      <c r="T127" s="75"/>
      <c r="V127" s="84"/>
    </row>
    <row r="128" ht="15.75" customHeight="1">
      <c r="A128" s="70"/>
      <c r="B128" s="116"/>
      <c r="C128" s="84"/>
      <c r="D128" s="75"/>
      <c r="E128" s="118"/>
      <c r="F128" s="118"/>
      <c r="G128" s="75"/>
      <c r="H128" s="117"/>
      <c r="I128" s="75"/>
      <c r="J128" s="75"/>
      <c r="K128" s="105"/>
      <c r="L128" s="106"/>
      <c r="M128" s="80"/>
      <c r="N128" s="107"/>
      <c r="O128" s="98"/>
      <c r="P128" s="75"/>
      <c r="Q128" s="75"/>
      <c r="R128" s="93"/>
      <c r="S128" s="75"/>
      <c r="T128" s="75"/>
      <c r="V128" s="84"/>
    </row>
    <row r="129" ht="15.75" customHeight="1">
      <c r="A129" s="70"/>
      <c r="B129" s="116"/>
      <c r="C129" s="84"/>
      <c r="D129" s="75"/>
      <c r="E129" s="118"/>
      <c r="F129" s="118"/>
      <c r="G129" s="75"/>
      <c r="H129" s="117"/>
      <c r="I129" s="75"/>
      <c r="J129" s="75"/>
      <c r="K129" s="78"/>
      <c r="L129" s="79"/>
      <c r="M129" s="80"/>
      <c r="N129" s="107"/>
      <c r="O129" s="98"/>
      <c r="P129" s="75"/>
      <c r="Q129" s="100"/>
      <c r="R129" s="93"/>
      <c r="S129" s="75"/>
      <c r="T129" s="75"/>
      <c r="V129" s="84"/>
    </row>
    <row r="130" ht="15.75" customHeight="1">
      <c r="A130" s="70"/>
      <c r="B130" s="116"/>
      <c r="C130" s="84"/>
      <c r="D130" s="75"/>
      <c r="E130" s="118"/>
      <c r="F130" s="118"/>
      <c r="G130" s="75"/>
      <c r="H130" s="117"/>
      <c r="I130" s="75"/>
      <c r="J130" s="75"/>
      <c r="K130" s="105"/>
      <c r="L130" s="106"/>
      <c r="M130" s="80"/>
      <c r="N130" s="107"/>
      <c r="O130" s="98"/>
      <c r="P130" s="75"/>
      <c r="Q130" s="75"/>
      <c r="R130" s="93"/>
      <c r="S130" s="75"/>
      <c r="T130" s="75"/>
      <c r="V130" s="84"/>
    </row>
    <row r="131" ht="15.75" customHeight="1">
      <c r="A131" s="70"/>
      <c r="B131" s="116"/>
      <c r="C131" s="117"/>
      <c r="D131" s="75"/>
      <c r="E131" s="118"/>
      <c r="F131" s="118"/>
      <c r="G131" s="75"/>
      <c r="H131" s="117"/>
      <c r="I131" s="75"/>
      <c r="J131" s="75"/>
      <c r="K131" s="78"/>
      <c r="L131" s="79"/>
      <c r="M131" s="80"/>
      <c r="N131" s="107"/>
      <c r="O131" s="98"/>
      <c r="P131" s="75"/>
      <c r="Q131" s="75"/>
      <c r="R131" s="93"/>
      <c r="S131" s="75"/>
      <c r="T131" s="75"/>
      <c r="V131" s="84"/>
    </row>
    <row r="132" ht="15.75" customHeight="1">
      <c r="A132" s="70"/>
      <c r="B132" s="116"/>
      <c r="C132" s="117"/>
      <c r="D132" s="75"/>
      <c r="E132" s="118"/>
      <c r="F132" s="118"/>
      <c r="G132" s="75"/>
      <c r="H132" s="117"/>
      <c r="I132" s="75"/>
      <c r="J132" s="75"/>
      <c r="K132" s="105"/>
      <c r="L132" s="106"/>
      <c r="M132" s="80"/>
      <c r="N132" s="107"/>
      <c r="O132" s="98"/>
      <c r="P132" s="75"/>
      <c r="Q132" s="100"/>
      <c r="R132" s="93"/>
      <c r="S132" s="75"/>
      <c r="T132" s="75"/>
      <c r="V132" s="84"/>
    </row>
    <row r="133" ht="15.75" customHeight="1">
      <c r="A133" s="70"/>
      <c r="B133" s="116"/>
      <c r="C133" s="117"/>
      <c r="D133" s="75"/>
      <c r="E133" s="118"/>
      <c r="F133" s="118"/>
      <c r="G133" s="75"/>
      <c r="H133" s="117"/>
      <c r="I133" s="75"/>
      <c r="J133" s="75"/>
      <c r="K133" s="78"/>
      <c r="L133" s="79"/>
      <c r="M133" s="80"/>
      <c r="N133" s="107"/>
      <c r="O133" s="98"/>
      <c r="P133" s="75"/>
      <c r="Q133" s="75"/>
      <c r="R133" s="93"/>
      <c r="S133" s="75"/>
      <c r="T133" s="75"/>
      <c r="V133" s="84"/>
    </row>
    <row r="134" ht="15.75" customHeight="1">
      <c r="A134" s="70"/>
      <c r="B134" s="116"/>
      <c r="C134" s="117"/>
      <c r="D134" s="75"/>
      <c r="E134" s="118"/>
      <c r="F134" s="118"/>
      <c r="G134" s="75"/>
      <c r="H134" s="117"/>
      <c r="I134" s="75"/>
      <c r="J134" s="75"/>
      <c r="K134" s="105"/>
      <c r="L134" s="106"/>
      <c r="M134" s="80"/>
      <c r="N134" s="107"/>
      <c r="O134" s="98"/>
      <c r="P134" s="75"/>
      <c r="Q134" s="75"/>
      <c r="R134" s="93"/>
      <c r="S134" s="75"/>
      <c r="T134" s="75"/>
      <c r="V134" s="84"/>
    </row>
    <row r="135" ht="15.75" customHeight="1">
      <c r="A135" s="70"/>
      <c r="B135" s="116"/>
      <c r="C135" s="117"/>
      <c r="D135" s="75"/>
      <c r="E135" s="118"/>
      <c r="F135" s="118"/>
      <c r="G135" s="75"/>
      <c r="H135" s="117"/>
      <c r="I135" s="75"/>
      <c r="J135" s="75"/>
      <c r="K135" s="78"/>
      <c r="L135" s="79"/>
      <c r="M135" s="80"/>
      <c r="N135" s="107"/>
      <c r="O135" s="98"/>
      <c r="P135" s="75"/>
      <c r="Q135" s="100"/>
      <c r="R135" s="93"/>
      <c r="S135" s="75"/>
      <c r="T135" s="75"/>
      <c r="V135" s="84"/>
    </row>
    <row r="136" ht="15.75" customHeight="1">
      <c r="A136" s="70"/>
      <c r="B136" s="116"/>
      <c r="C136" s="84"/>
      <c r="D136" s="75"/>
      <c r="E136" s="118"/>
      <c r="F136" s="118"/>
      <c r="G136" s="75"/>
      <c r="H136" s="117"/>
      <c r="I136" s="75"/>
      <c r="J136" s="75"/>
      <c r="K136" s="105"/>
      <c r="L136" s="106"/>
      <c r="M136" s="80"/>
      <c r="N136" s="107"/>
      <c r="O136" s="98"/>
      <c r="P136" s="75"/>
      <c r="Q136" s="75"/>
      <c r="R136" s="93"/>
      <c r="S136" s="75"/>
      <c r="T136" s="75"/>
      <c r="V136" s="84"/>
    </row>
    <row r="137" ht="15.75" customHeight="1">
      <c r="A137" s="70"/>
      <c r="B137" s="116"/>
      <c r="C137" s="84"/>
      <c r="D137" s="75"/>
      <c r="E137" s="118"/>
      <c r="F137" s="118"/>
      <c r="G137" s="75"/>
      <c r="H137" s="117"/>
      <c r="I137" s="75"/>
      <c r="J137" s="75"/>
      <c r="K137" s="78"/>
      <c r="L137" s="79"/>
      <c r="M137" s="80"/>
      <c r="N137" s="107"/>
      <c r="O137" s="98"/>
      <c r="P137" s="75"/>
      <c r="Q137" s="100"/>
      <c r="R137" s="93"/>
      <c r="S137" s="75"/>
      <c r="T137" s="75"/>
      <c r="V137" s="84"/>
    </row>
    <row r="138" ht="15.75" customHeight="1">
      <c r="A138" s="70"/>
      <c r="B138" s="116"/>
      <c r="C138" s="84"/>
      <c r="D138" s="75"/>
      <c r="E138" s="118"/>
      <c r="F138" s="118"/>
      <c r="G138" s="75"/>
      <c r="H138" s="117"/>
      <c r="I138" s="75"/>
      <c r="J138" s="75"/>
      <c r="K138" s="105"/>
      <c r="L138" s="106"/>
      <c r="M138" s="80"/>
      <c r="N138" s="107"/>
      <c r="O138" s="98"/>
      <c r="P138" s="75"/>
      <c r="Q138" s="100"/>
      <c r="R138" s="93"/>
      <c r="S138" s="75"/>
      <c r="T138" s="75"/>
      <c r="V138" s="84"/>
    </row>
    <row r="139" ht="15.75" customHeight="1">
      <c r="A139" s="70"/>
      <c r="B139" s="116"/>
      <c r="C139" s="117"/>
      <c r="D139" s="75"/>
      <c r="E139" s="118"/>
      <c r="F139" s="118"/>
      <c r="G139" s="75"/>
      <c r="H139" s="117"/>
      <c r="I139" s="75"/>
      <c r="J139" s="75"/>
      <c r="K139" s="78"/>
      <c r="L139" s="79"/>
      <c r="M139" s="80"/>
      <c r="N139" s="107"/>
      <c r="O139" s="98"/>
      <c r="P139" s="75"/>
      <c r="Q139" s="100"/>
      <c r="R139" s="93"/>
      <c r="S139" s="75"/>
      <c r="T139" s="75"/>
      <c r="V139" s="84"/>
    </row>
    <row r="140" ht="15.75" customHeight="1">
      <c r="A140" s="70"/>
      <c r="B140" s="116"/>
      <c r="C140" s="117"/>
      <c r="D140" s="75"/>
      <c r="E140" s="118"/>
      <c r="F140" s="118"/>
      <c r="G140" s="75"/>
      <c r="H140" s="117"/>
      <c r="I140" s="75"/>
      <c r="J140" s="75"/>
      <c r="K140" s="105"/>
      <c r="L140" s="106"/>
      <c r="M140" s="80"/>
      <c r="N140" s="107"/>
      <c r="O140" s="98"/>
      <c r="P140" s="75"/>
      <c r="Q140" s="75"/>
      <c r="R140" s="93"/>
      <c r="S140" s="75"/>
      <c r="T140" s="75"/>
      <c r="V140" s="84"/>
    </row>
    <row r="141" ht="15.75" customHeight="1">
      <c r="A141" s="70"/>
      <c r="B141" s="116"/>
      <c r="C141" s="117"/>
      <c r="D141" s="75"/>
      <c r="E141" s="118"/>
      <c r="F141" s="118"/>
      <c r="G141" s="75"/>
      <c r="H141" s="117"/>
      <c r="I141" s="75"/>
      <c r="J141" s="75"/>
      <c r="K141" s="78"/>
      <c r="L141" s="79"/>
      <c r="M141" s="80"/>
      <c r="N141" s="107"/>
      <c r="O141" s="98"/>
      <c r="P141" s="75"/>
      <c r="Q141" s="100"/>
      <c r="R141" s="93"/>
      <c r="S141" s="75"/>
      <c r="T141" s="75"/>
      <c r="V141" s="84"/>
    </row>
    <row r="142" ht="15.75" customHeight="1">
      <c r="A142" s="70"/>
      <c r="B142" s="116"/>
      <c r="C142" s="117"/>
      <c r="D142" s="75"/>
      <c r="E142" s="118"/>
      <c r="F142" s="118"/>
      <c r="G142" s="75"/>
      <c r="H142" s="117"/>
      <c r="I142" s="75"/>
      <c r="J142" s="75"/>
      <c r="K142" s="105"/>
      <c r="L142" s="106"/>
      <c r="M142" s="80"/>
      <c r="N142" s="107"/>
      <c r="O142" s="98"/>
      <c r="P142" s="75"/>
      <c r="Q142" s="75"/>
      <c r="R142" s="93"/>
      <c r="S142" s="75"/>
      <c r="T142" s="75"/>
      <c r="V142" s="84"/>
    </row>
    <row r="143" ht="15.75" customHeight="1">
      <c r="A143" s="70"/>
      <c r="B143" s="116"/>
      <c r="C143" s="117"/>
      <c r="D143" s="75"/>
      <c r="E143" s="118"/>
      <c r="F143" s="120"/>
      <c r="G143" s="75"/>
      <c r="H143" s="117"/>
      <c r="I143" s="75"/>
      <c r="J143" s="75"/>
      <c r="K143" s="78"/>
      <c r="L143" s="79"/>
      <c r="M143" s="80"/>
      <c r="N143" s="107"/>
      <c r="O143" s="98"/>
      <c r="P143" s="75"/>
      <c r="Q143" s="100"/>
      <c r="R143" s="93"/>
      <c r="S143" s="75"/>
      <c r="T143" s="75"/>
      <c r="V143" s="84"/>
    </row>
    <row r="144" ht="15.75" customHeight="1">
      <c r="A144" s="70"/>
      <c r="B144" s="116"/>
      <c r="C144" s="84"/>
      <c r="D144" s="75"/>
      <c r="E144" s="118"/>
      <c r="F144" s="118"/>
      <c r="G144" s="75"/>
      <c r="H144" s="117"/>
      <c r="I144" s="75"/>
      <c r="J144" s="75"/>
      <c r="K144" s="105"/>
      <c r="L144" s="106"/>
      <c r="M144" s="80"/>
      <c r="N144" s="107"/>
      <c r="O144" s="98"/>
      <c r="P144" s="75"/>
      <c r="Q144" s="75"/>
      <c r="R144" s="93"/>
      <c r="S144" s="75"/>
      <c r="T144" s="75"/>
      <c r="V144" s="84"/>
    </row>
    <row r="145" ht="15.75" customHeight="1">
      <c r="A145" s="70"/>
      <c r="B145" s="116"/>
      <c r="C145" s="84"/>
      <c r="D145" s="75"/>
      <c r="E145" s="118"/>
      <c r="F145" s="118"/>
      <c r="G145" s="75"/>
      <c r="H145" s="117"/>
      <c r="I145" s="75"/>
      <c r="J145" s="75"/>
      <c r="K145" s="78"/>
      <c r="L145" s="79"/>
      <c r="M145" s="80"/>
      <c r="N145" s="107"/>
      <c r="O145" s="98"/>
      <c r="P145" s="75"/>
      <c r="Q145" s="100"/>
      <c r="R145" s="93"/>
      <c r="S145" s="75"/>
      <c r="T145" s="75"/>
      <c r="V145" s="84"/>
    </row>
    <row r="146" ht="15.75" customHeight="1">
      <c r="A146" s="70"/>
      <c r="B146" s="116"/>
      <c r="C146" s="117"/>
      <c r="D146" s="75"/>
      <c r="E146" s="118"/>
      <c r="F146" s="118"/>
      <c r="G146" s="75"/>
      <c r="H146" s="117"/>
      <c r="I146" s="75"/>
      <c r="J146" s="75"/>
      <c r="K146" s="105"/>
      <c r="L146" s="106"/>
      <c r="M146" s="80"/>
      <c r="N146" s="107"/>
      <c r="O146" s="98"/>
      <c r="P146" s="75"/>
      <c r="Q146" s="100"/>
      <c r="R146" s="93"/>
      <c r="S146" s="75"/>
      <c r="T146" s="75"/>
      <c r="V146" s="84"/>
    </row>
    <row r="147" ht="15.75" customHeight="1">
      <c r="A147" s="70"/>
      <c r="B147" s="116"/>
      <c r="C147" s="117"/>
      <c r="D147" s="75"/>
      <c r="E147" s="118"/>
      <c r="F147" s="118"/>
      <c r="G147" s="75"/>
      <c r="H147" s="117"/>
      <c r="I147" s="75"/>
      <c r="J147" s="75"/>
      <c r="K147" s="78"/>
      <c r="L147" s="79"/>
      <c r="M147" s="80"/>
      <c r="N147" s="107"/>
      <c r="O147" s="98"/>
      <c r="P147" s="75"/>
      <c r="Q147" s="100"/>
      <c r="R147" s="93"/>
      <c r="S147" s="75"/>
      <c r="T147" s="75"/>
      <c r="V147" s="84"/>
    </row>
    <row r="148" ht="15.75" customHeight="1">
      <c r="A148" s="70"/>
      <c r="B148" s="116"/>
      <c r="C148" s="117"/>
      <c r="D148" s="75"/>
      <c r="E148" s="118"/>
      <c r="F148" s="118"/>
      <c r="G148" s="75"/>
      <c r="H148" s="117"/>
      <c r="I148" s="75"/>
      <c r="J148" s="75"/>
      <c r="K148" s="105"/>
      <c r="L148" s="106"/>
      <c r="M148" s="80"/>
      <c r="N148" s="107"/>
      <c r="O148" s="98"/>
      <c r="P148" s="75"/>
      <c r="Q148" s="100"/>
      <c r="R148" s="93"/>
      <c r="S148" s="75"/>
      <c r="T148" s="75"/>
      <c r="V148" s="84"/>
    </row>
    <row r="149" ht="15.75" customHeight="1">
      <c r="A149" s="70"/>
      <c r="B149" s="116"/>
      <c r="C149" s="117"/>
      <c r="D149" s="75"/>
      <c r="E149" s="118"/>
      <c r="F149" s="118"/>
      <c r="G149" s="75"/>
      <c r="H149" s="117"/>
      <c r="I149" s="75"/>
      <c r="J149" s="75"/>
      <c r="K149" s="78"/>
      <c r="L149" s="79"/>
      <c r="M149" s="80"/>
      <c r="N149" s="107"/>
      <c r="O149" s="98"/>
      <c r="P149" s="75"/>
      <c r="Q149" s="100"/>
      <c r="R149" s="93"/>
      <c r="S149" s="75"/>
      <c r="T149" s="75"/>
      <c r="V149" s="84"/>
    </row>
    <row r="150" ht="15.75" customHeight="1">
      <c r="A150" s="70"/>
      <c r="B150" s="116"/>
      <c r="C150" s="117"/>
      <c r="D150" s="75"/>
      <c r="E150" s="118"/>
      <c r="F150" s="118"/>
      <c r="G150" s="75"/>
      <c r="H150" s="117"/>
      <c r="I150" s="75"/>
      <c r="J150" s="75"/>
      <c r="K150" s="105"/>
      <c r="L150" s="106"/>
      <c r="M150" s="80"/>
      <c r="N150" s="107"/>
      <c r="O150" s="98"/>
      <c r="P150" s="75"/>
      <c r="Q150" s="100"/>
      <c r="R150" s="93"/>
      <c r="S150" s="75"/>
      <c r="T150" s="75"/>
      <c r="V150" s="84"/>
    </row>
    <row r="151" ht="15.75" customHeight="1">
      <c r="A151" s="70"/>
      <c r="B151" s="116"/>
      <c r="C151" s="84"/>
      <c r="D151" s="75"/>
      <c r="E151" s="118"/>
      <c r="F151" s="118"/>
      <c r="G151" s="75"/>
      <c r="H151" s="117"/>
      <c r="I151" s="75"/>
      <c r="J151" s="75"/>
      <c r="K151" s="78"/>
      <c r="L151" s="79"/>
      <c r="M151" s="80"/>
      <c r="N151" s="107"/>
      <c r="O151" s="98"/>
      <c r="P151" s="75"/>
      <c r="Q151" s="100"/>
      <c r="R151" s="93"/>
      <c r="S151" s="75"/>
      <c r="T151" s="75"/>
      <c r="V151" s="84"/>
    </row>
    <row r="152" ht="15.75" customHeight="1">
      <c r="A152" s="70"/>
      <c r="B152" s="116"/>
      <c r="C152" s="117"/>
      <c r="D152" s="75"/>
      <c r="E152" s="118"/>
      <c r="F152" s="118"/>
      <c r="G152" s="75"/>
      <c r="H152" s="117"/>
      <c r="I152" s="75"/>
      <c r="J152" s="75"/>
      <c r="K152" s="105"/>
      <c r="L152" s="106"/>
      <c r="M152" s="80"/>
      <c r="N152" s="107"/>
      <c r="O152" s="98"/>
      <c r="P152" s="75"/>
      <c r="Q152" s="100"/>
      <c r="R152" s="93"/>
      <c r="S152" s="75"/>
      <c r="T152" s="75"/>
      <c r="V152" s="84"/>
    </row>
    <row r="153" ht="15.75" customHeight="1">
      <c r="A153" s="70"/>
      <c r="B153" s="116"/>
      <c r="C153" s="117"/>
      <c r="D153" s="75"/>
      <c r="E153" s="118"/>
      <c r="F153" s="118"/>
      <c r="G153" s="75"/>
      <c r="H153" s="117"/>
      <c r="I153" s="75"/>
      <c r="J153" s="75"/>
      <c r="K153" s="78"/>
      <c r="L153" s="79"/>
      <c r="M153" s="80"/>
      <c r="N153" s="107"/>
      <c r="O153" s="98"/>
      <c r="P153" s="75"/>
      <c r="Q153" s="100"/>
      <c r="R153" s="93"/>
      <c r="S153" s="75"/>
      <c r="T153" s="75"/>
      <c r="V153" s="84"/>
    </row>
    <row r="154" ht="15.75" customHeight="1">
      <c r="A154" s="70"/>
      <c r="B154" s="116"/>
      <c r="C154" s="117"/>
      <c r="D154" s="75"/>
      <c r="E154" s="118"/>
      <c r="F154" s="118"/>
      <c r="G154" s="75"/>
      <c r="H154" s="117"/>
      <c r="I154" s="75"/>
      <c r="J154" s="75"/>
      <c r="K154" s="105"/>
      <c r="L154" s="106"/>
      <c r="M154" s="80"/>
      <c r="N154" s="107"/>
      <c r="O154" s="98"/>
      <c r="P154" s="75"/>
      <c r="Q154" s="100"/>
      <c r="R154" s="93"/>
      <c r="S154" s="75"/>
      <c r="T154" s="75"/>
      <c r="V154" s="84"/>
    </row>
    <row r="155" ht="15.75" customHeight="1">
      <c r="A155" s="70"/>
      <c r="B155" s="116"/>
      <c r="C155" s="117"/>
      <c r="D155" s="75"/>
      <c r="E155" s="118"/>
      <c r="F155" s="118"/>
      <c r="G155" s="75"/>
      <c r="H155" s="117"/>
      <c r="I155" s="75"/>
      <c r="J155" s="75"/>
      <c r="K155" s="78"/>
      <c r="L155" s="79"/>
      <c r="M155" s="80"/>
      <c r="N155" s="107"/>
      <c r="O155" s="98"/>
      <c r="P155" s="75"/>
      <c r="Q155" s="100"/>
      <c r="R155" s="93"/>
      <c r="S155" s="75"/>
      <c r="T155" s="75"/>
      <c r="V155" s="84"/>
    </row>
    <row r="156" ht="15.75" customHeight="1">
      <c r="A156" s="70"/>
      <c r="B156" s="116"/>
      <c r="C156" s="117"/>
      <c r="D156" s="75"/>
      <c r="E156" s="118"/>
      <c r="F156" s="118"/>
      <c r="G156" s="75"/>
      <c r="H156" s="117"/>
      <c r="I156" s="75"/>
      <c r="J156" s="75"/>
      <c r="K156" s="105"/>
      <c r="L156" s="106"/>
      <c r="M156" s="80"/>
      <c r="N156" s="107"/>
      <c r="O156" s="98"/>
      <c r="P156" s="75"/>
      <c r="Q156" s="100"/>
      <c r="R156" s="93"/>
      <c r="S156" s="75"/>
      <c r="T156" s="75"/>
      <c r="V156" s="84"/>
    </row>
    <row r="157" ht="15.75" customHeight="1">
      <c r="A157" s="70"/>
      <c r="B157" s="116"/>
      <c r="C157" s="84"/>
      <c r="D157" s="75"/>
      <c r="E157" s="118"/>
      <c r="F157" s="118"/>
      <c r="G157" s="75"/>
      <c r="H157" s="117"/>
      <c r="I157" s="75"/>
      <c r="J157" s="75"/>
      <c r="K157" s="78"/>
      <c r="L157" s="79"/>
      <c r="M157" s="80"/>
      <c r="N157" s="107"/>
      <c r="O157" s="98"/>
      <c r="P157" s="75"/>
      <c r="Q157" s="100"/>
      <c r="R157" s="93"/>
      <c r="S157" s="75"/>
      <c r="T157" s="75"/>
      <c r="V157" s="84"/>
    </row>
    <row r="158" ht="15.75" customHeight="1">
      <c r="A158" s="70"/>
      <c r="B158" s="116"/>
      <c r="C158" s="117"/>
      <c r="D158" s="75"/>
      <c r="E158" s="118"/>
      <c r="F158" s="118"/>
      <c r="G158" s="75"/>
      <c r="H158" s="117"/>
      <c r="I158" s="75"/>
      <c r="J158" s="75"/>
      <c r="K158" s="105"/>
      <c r="L158" s="106"/>
      <c r="M158" s="80"/>
      <c r="N158" s="107"/>
      <c r="O158" s="98"/>
      <c r="P158" s="75"/>
      <c r="Q158" s="100"/>
      <c r="R158" s="93"/>
      <c r="S158" s="75"/>
      <c r="T158" s="75"/>
      <c r="V158" s="84"/>
    </row>
    <row r="159" ht="15.75" customHeight="1">
      <c r="A159" s="70"/>
      <c r="B159" s="116"/>
      <c r="C159" s="117"/>
      <c r="D159" s="75"/>
      <c r="E159" s="118"/>
      <c r="F159" s="118"/>
      <c r="G159" s="75"/>
      <c r="H159" s="117"/>
      <c r="I159" s="75"/>
      <c r="J159" s="75"/>
      <c r="K159" s="78"/>
      <c r="L159" s="79"/>
      <c r="M159" s="80"/>
      <c r="N159" s="107"/>
      <c r="O159" s="98"/>
      <c r="P159" s="75"/>
      <c r="Q159" s="100"/>
      <c r="R159" s="93"/>
      <c r="S159" s="75"/>
      <c r="T159" s="75"/>
      <c r="V159" s="84"/>
    </row>
    <row r="160" ht="15.75" customHeight="1">
      <c r="A160" s="70"/>
      <c r="B160" s="116"/>
      <c r="C160" s="117"/>
      <c r="D160" s="75"/>
      <c r="E160" s="118"/>
      <c r="F160" s="118"/>
      <c r="G160" s="75"/>
      <c r="H160" s="117"/>
      <c r="I160" s="75"/>
      <c r="J160" s="75"/>
      <c r="K160" s="105"/>
      <c r="L160" s="106"/>
      <c r="M160" s="80"/>
      <c r="N160" s="107"/>
      <c r="O160" s="98"/>
      <c r="P160" s="75"/>
      <c r="Q160" s="100"/>
      <c r="R160" s="93"/>
      <c r="S160" s="75"/>
      <c r="T160" s="75"/>
      <c r="V160" s="84"/>
    </row>
    <row r="161" ht="15.75" customHeight="1">
      <c r="A161" s="70"/>
      <c r="B161" s="116"/>
      <c r="C161" s="117"/>
      <c r="D161" s="75"/>
      <c r="E161" s="118"/>
      <c r="F161" s="118"/>
      <c r="G161" s="75"/>
      <c r="H161" s="117"/>
      <c r="I161" s="75"/>
      <c r="J161" s="75"/>
      <c r="K161" s="78"/>
      <c r="L161" s="79"/>
      <c r="M161" s="80"/>
      <c r="N161" s="107"/>
      <c r="O161" s="98"/>
      <c r="P161" s="75"/>
      <c r="Q161" s="100"/>
      <c r="R161" s="93"/>
      <c r="S161" s="75"/>
      <c r="T161" s="75"/>
      <c r="V161" s="84"/>
    </row>
    <row r="162" ht="15.75" customHeight="1">
      <c r="A162" s="70"/>
      <c r="B162" s="116"/>
      <c r="C162" s="117"/>
      <c r="D162" s="75"/>
      <c r="E162" s="118"/>
      <c r="F162" s="118"/>
      <c r="G162" s="75"/>
      <c r="H162" s="117"/>
      <c r="I162" s="75"/>
      <c r="J162" s="75"/>
      <c r="K162" s="105"/>
      <c r="L162" s="106"/>
      <c r="M162" s="80"/>
      <c r="N162" s="107"/>
      <c r="O162" s="98"/>
      <c r="P162" s="75"/>
      <c r="Q162" s="100"/>
      <c r="R162" s="93"/>
      <c r="S162" s="75"/>
      <c r="T162" s="75"/>
      <c r="V162" s="84"/>
    </row>
    <row r="163" ht="15.75" customHeight="1">
      <c r="A163" s="70"/>
      <c r="B163" s="116"/>
      <c r="C163" s="84"/>
      <c r="D163" s="75"/>
      <c r="E163" s="118"/>
      <c r="F163" s="118"/>
      <c r="G163" s="75"/>
      <c r="H163" s="117"/>
      <c r="I163" s="75"/>
      <c r="J163" s="75"/>
      <c r="K163" s="78"/>
      <c r="L163" s="79"/>
      <c r="M163" s="80"/>
      <c r="N163" s="107"/>
      <c r="O163" s="98"/>
      <c r="P163" s="75"/>
      <c r="Q163" s="100"/>
      <c r="R163" s="93"/>
      <c r="S163" s="75"/>
      <c r="T163" s="75"/>
      <c r="V163" s="84"/>
    </row>
    <row r="164" ht="15.75" customHeight="1">
      <c r="A164" s="70"/>
      <c r="B164" s="116"/>
      <c r="C164" s="117"/>
      <c r="D164" s="75"/>
      <c r="E164" s="118"/>
      <c r="F164" s="118"/>
      <c r="G164" s="75"/>
      <c r="H164" s="117"/>
      <c r="I164" s="75"/>
      <c r="J164" s="75"/>
      <c r="K164" s="105"/>
      <c r="L164" s="106"/>
      <c r="M164" s="80"/>
      <c r="N164" s="107"/>
      <c r="O164" s="98"/>
      <c r="P164" s="75"/>
      <c r="Q164" s="100"/>
      <c r="R164" s="93"/>
      <c r="S164" s="75"/>
      <c r="T164" s="75"/>
      <c r="V164" s="84"/>
    </row>
    <row r="165" ht="15.75" customHeight="1">
      <c r="A165" s="70"/>
      <c r="B165" s="116"/>
      <c r="C165" s="117"/>
      <c r="D165" s="75"/>
      <c r="E165" s="118"/>
      <c r="F165" s="118"/>
      <c r="G165" s="75"/>
      <c r="H165" s="117"/>
      <c r="I165" s="75"/>
      <c r="J165" s="75"/>
      <c r="K165" s="78"/>
      <c r="L165" s="79"/>
      <c r="M165" s="80"/>
      <c r="N165" s="107"/>
      <c r="O165" s="98"/>
      <c r="P165" s="75"/>
      <c r="Q165" s="100"/>
      <c r="R165" s="93"/>
      <c r="S165" s="75"/>
      <c r="T165" s="75"/>
      <c r="V165" s="84"/>
    </row>
    <row r="166" ht="15.75" customHeight="1">
      <c r="A166" s="70"/>
      <c r="B166" s="116"/>
      <c r="C166" s="117"/>
      <c r="D166" s="75"/>
      <c r="E166" s="118"/>
      <c r="F166" s="118"/>
      <c r="G166" s="75"/>
      <c r="H166" s="117"/>
      <c r="I166" s="75"/>
      <c r="J166" s="75"/>
      <c r="K166" s="105"/>
      <c r="L166" s="106"/>
      <c r="M166" s="80"/>
      <c r="N166" s="107"/>
      <c r="O166" s="98"/>
      <c r="P166" s="75"/>
      <c r="Q166" s="100"/>
      <c r="R166" s="93"/>
      <c r="S166" s="75"/>
      <c r="T166" s="75"/>
      <c r="V166" s="84"/>
    </row>
    <row r="167" ht="15.75" customHeight="1">
      <c r="A167" s="70"/>
      <c r="B167" s="116"/>
      <c r="C167" s="117"/>
      <c r="D167" s="75"/>
      <c r="E167" s="118"/>
      <c r="F167" s="118"/>
      <c r="G167" s="75"/>
      <c r="H167" s="117"/>
      <c r="I167" s="75"/>
      <c r="J167" s="75"/>
      <c r="K167" s="78"/>
      <c r="L167" s="79"/>
      <c r="M167" s="80"/>
      <c r="N167" s="107"/>
      <c r="O167" s="98"/>
      <c r="P167" s="75"/>
      <c r="Q167" s="100"/>
      <c r="R167" s="93"/>
      <c r="S167" s="75"/>
      <c r="T167" s="75"/>
      <c r="V167" s="84"/>
    </row>
    <row r="168" ht="15.75" customHeight="1">
      <c r="A168" s="70"/>
      <c r="B168" s="116"/>
      <c r="C168" s="117"/>
      <c r="D168" s="75"/>
      <c r="E168" s="118"/>
      <c r="F168" s="118"/>
      <c r="G168" s="75"/>
      <c r="H168" s="117"/>
      <c r="I168" s="75"/>
      <c r="J168" s="75"/>
      <c r="K168" s="105"/>
      <c r="L168" s="106"/>
      <c r="M168" s="80"/>
      <c r="N168" s="107"/>
      <c r="O168" s="98"/>
      <c r="P168" s="75"/>
      <c r="Q168" s="100"/>
      <c r="R168" s="93"/>
      <c r="S168" s="75"/>
      <c r="T168" s="75"/>
      <c r="V168" s="84"/>
    </row>
    <row r="169" ht="15.75" customHeight="1">
      <c r="A169" s="70"/>
      <c r="B169" s="116"/>
      <c r="C169" s="84"/>
      <c r="D169" s="75"/>
      <c r="E169" s="118"/>
      <c r="F169" s="118"/>
      <c r="G169" s="75"/>
      <c r="H169" s="117"/>
      <c r="I169" s="75"/>
      <c r="J169" s="75"/>
      <c r="K169" s="78"/>
      <c r="L169" s="79"/>
      <c r="M169" s="80"/>
      <c r="N169" s="107"/>
      <c r="O169" s="98"/>
      <c r="P169" s="75"/>
      <c r="Q169" s="100"/>
      <c r="R169" s="93"/>
      <c r="S169" s="75"/>
      <c r="T169" s="75"/>
      <c r="V169" s="84"/>
    </row>
    <row r="170" ht="15.75" customHeight="1">
      <c r="A170" s="70"/>
      <c r="B170" s="116"/>
      <c r="C170" s="117"/>
      <c r="D170" s="75"/>
      <c r="E170" s="118"/>
      <c r="F170" s="118"/>
      <c r="G170" s="75"/>
      <c r="H170" s="117"/>
      <c r="I170" s="75"/>
      <c r="J170" s="75"/>
      <c r="K170" s="105"/>
      <c r="L170" s="106"/>
      <c r="M170" s="80"/>
      <c r="N170" s="107"/>
      <c r="O170" s="98"/>
      <c r="P170" s="75"/>
      <c r="Q170" s="100"/>
      <c r="R170" s="93"/>
      <c r="S170" s="75"/>
      <c r="T170" s="75"/>
      <c r="V170" s="84"/>
    </row>
    <row r="171" ht="15.75" customHeight="1">
      <c r="A171" s="70"/>
      <c r="B171" s="116"/>
      <c r="C171" s="117"/>
      <c r="D171" s="75"/>
      <c r="E171" s="118"/>
      <c r="F171" s="118"/>
      <c r="G171" s="75"/>
      <c r="H171" s="117"/>
      <c r="I171" s="75"/>
      <c r="J171" s="75"/>
      <c r="K171" s="78"/>
      <c r="L171" s="79"/>
      <c r="M171" s="80"/>
      <c r="N171" s="107"/>
      <c r="O171" s="98"/>
      <c r="P171" s="75"/>
      <c r="Q171" s="100"/>
      <c r="R171" s="93"/>
      <c r="S171" s="75"/>
      <c r="T171" s="75"/>
      <c r="V171" s="84"/>
    </row>
    <row r="172" ht="15.75" customHeight="1">
      <c r="A172" s="70"/>
      <c r="B172" s="116"/>
      <c r="C172" s="117"/>
      <c r="D172" s="75"/>
      <c r="E172" s="118"/>
      <c r="F172" s="118"/>
      <c r="G172" s="75"/>
      <c r="H172" s="117"/>
      <c r="I172" s="75"/>
      <c r="J172" s="75"/>
      <c r="K172" s="105"/>
      <c r="L172" s="106"/>
      <c r="M172" s="80"/>
      <c r="N172" s="107"/>
      <c r="O172" s="98"/>
      <c r="P172" s="75"/>
      <c r="Q172" s="100"/>
      <c r="R172" s="93"/>
      <c r="S172" s="75"/>
      <c r="T172" s="75"/>
      <c r="V172" s="84"/>
    </row>
    <row r="173" ht="15.75" customHeight="1">
      <c r="A173" s="70"/>
      <c r="B173" s="116"/>
      <c r="C173" s="117"/>
      <c r="D173" s="75"/>
      <c r="E173" s="118"/>
      <c r="F173" s="118"/>
      <c r="G173" s="75"/>
      <c r="H173" s="117"/>
      <c r="I173" s="75"/>
      <c r="J173" s="75"/>
      <c r="K173" s="78"/>
      <c r="L173" s="79"/>
      <c r="M173" s="80"/>
      <c r="N173" s="107"/>
      <c r="O173" s="98"/>
      <c r="P173" s="75"/>
      <c r="Q173" s="100"/>
      <c r="R173" s="93"/>
      <c r="S173" s="75"/>
      <c r="T173" s="75"/>
      <c r="V173" s="84"/>
    </row>
    <row r="174" ht="15.75" customHeight="1">
      <c r="A174" s="70"/>
      <c r="B174" s="116"/>
      <c r="C174" s="117"/>
      <c r="D174" s="75"/>
      <c r="E174" s="118"/>
      <c r="F174" s="118"/>
      <c r="G174" s="75"/>
      <c r="H174" s="117"/>
      <c r="I174" s="75"/>
      <c r="J174" s="75"/>
      <c r="K174" s="105"/>
      <c r="L174" s="106"/>
      <c r="M174" s="80"/>
      <c r="N174" s="107"/>
      <c r="O174" s="98"/>
      <c r="P174" s="75"/>
      <c r="Q174" s="100"/>
      <c r="R174" s="93"/>
      <c r="S174" s="75"/>
      <c r="T174" s="75"/>
      <c r="V174" s="84"/>
    </row>
    <row r="175" ht="15.75" customHeight="1">
      <c r="A175" s="70"/>
      <c r="B175" s="116"/>
      <c r="C175" s="84"/>
      <c r="D175" s="75"/>
      <c r="E175" s="118"/>
      <c r="F175" s="118"/>
      <c r="G175" s="75"/>
      <c r="H175" s="117"/>
      <c r="I175" s="75"/>
      <c r="J175" s="75"/>
      <c r="K175" s="78"/>
      <c r="L175" s="79"/>
      <c r="M175" s="80"/>
      <c r="N175" s="107"/>
      <c r="O175" s="98"/>
      <c r="P175" s="75"/>
      <c r="Q175" s="100"/>
      <c r="R175" s="93"/>
      <c r="S175" s="75"/>
      <c r="T175" s="75"/>
      <c r="V175" s="84"/>
    </row>
    <row r="176" ht="15.75" customHeight="1">
      <c r="A176" s="70"/>
      <c r="B176" s="116"/>
      <c r="C176" s="117"/>
      <c r="D176" s="75"/>
      <c r="E176" s="118"/>
      <c r="F176" s="118"/>
      <c r="G176" s="75"/>
      <c r="H176" s="117"/>
      <c r="I176" s="75"/>
      <c r="J176" s="75"/>
      <c r="K176" s="105"/>
      <c r="L176" s="106"/>
      <c r="M176" s="80"/>
      <c r="N176" s="107"/>
      <c r="O176" s="98"/>
      <c r="P176" s="75"/>
      <c r="Q176" s="100"/>
      <c r="R176" s="93"/>
      <c r="S176" s="75"/>
      <c r="T176" s="75"/>
      <c r="V176" s="84"/>
    </row>
    <row r="177" ht="15.75" customHeight="1">
      <c r="A177" s="70"/>
      <c r="B177" s="116"/>
      <c r="C177" s="117"/>
      <c r="D177" s="75"/>
      <c r="E177" s="118"/>
      <c r="F177" s="118"/>
      <c r="G177" s="75"/>
      <c r="H177" s="117"/>
      <c r="I177" s="75"/>
      <c r="J177" s="75"/>
      <c r="K177" s="78"/>
      <c r="L177" s="79"/>
      <c r="M177" s="80"/>
      <c r="N177" s="107"/>
      <c r="O177" s="98"/>
      <c r="P177" s="75"/>
      <c r="Q177" s="100"/>
      <c r="R177" s="93"/>
      <c r="S177" s="75"/>
      <c r="T177" s="75"/>
      <c r="V177" s="84"/>
    </row>
    <row r="178" ht="15.75" customHeight="1">
      <c r="A178" s="70"/>
      <c r="B178" s="116"/>
      <c r="C178" s="117"/>
      <c r="D178" s="75"/>
      <c r="E178" s="118"/>
      <c r="F178" s="118"/>
      <c r="G178" s="75"/>
      <c r="H178" s="117"/>
      <c r="I178" s="75"/>
      <c r="J178" s="75"/>
      <c r="K178" s="105"/>
      <c r="L178" s="106"/>
      <c r="M178" s="80"/>
      <c r="N178" s="107"/>
      <c r="O178" s="98"/>
      <c r="P178" s="75"/>
      <c r="Q178" s="100"/>
      <c r="R178" s="93"/>
      <c r="S178" s="75"/>
      <c r="T178" s="75"/>
      <c r="V178" s="84"/>
    </row>
    <row r="179" ht="15.75" customHeight="1">
      <c r="A179" s="70"/>
      <c r="B179" s="116"/>
      <c r="C179" s="117"/>
      <c r="D179" s="75"/>
      <c r="E179" s="118"/>
      <c r="F179" s="118"/>
      <c r="G179" s="75"/>
      <c r="H179" s="117"/>
      <c r="I179" s="75"/>
      <c r="J179" s="75"/>
      <c r="K179" s="78"/>
      <c r="L179" s="79"/>
      <c r="M179" s="80"/>
      <c r="N179" s="107"/>
      <c r="O179" s="98"/>
      <c r="P179" s="75"/>
      <c r="Q179" s="100"/>
      <c r="R179" s="93"/>
      <c r="S179" s="75"/>
      <c r="T179" s="75"/>
      <c r="V179" s="84"/>
    </row>
    <row r="180" ht="15.75" customHeight="1">
      <c r="A180" s="70"/>
      <c r="B180" s="116"/>
      <c r="C180" s="117"/>
      <c r="D180" s="75"/>
      <c r="E180" s="118"/>
      <c r="F180" s="118"/>
      <c r="G180" s="75"/>
      <c r="H180" s="117"/>
      <c r="I180" s="75"/>
      <c r="J180" s="75"/>
      <c r="K180" s="105"/>
      <c r="L180" s="106"/>
      <c r="M180" s="80"/>
      <c r="N180" s="107"/>
      <c r="O180" s="98"/>
      <c r="P180" s="75"/>
      <c r="Q180" s="100"/>
      <c r="R180" s="93"/>
      <c r="S180" s="75"/>
      <c r="T180" s="75"/>
      <c r="V180" s="84"/>
    </row>
    <row r="181" ht="15.75" customHeight="1">
      <c r="A181" s="70"/>
      <c r="B181" s="116"/>
      <c r="C181" s="84"/>
      <c r="D181" s="75"/>
      <c r="E181" s="118"/>
      <c r="F181" s="118"/>
      <c r="G181" s="75"/>
      <c r="H181" s="117"/>
      <c r="I181" s="75"/>
      <c r="J181" s="75"/>
      <c r="K181" s="78"/>
      <c r="L181" s="79"/>
      <c r="M181" s="80"/>
      <c r="N181" s="107"/>
      <c r="O181" s="98"/>
      <c r="P181" s="75"/>
      <c r="Q181" s="100"/>
      <c r="R181" s="93"/>
      <c r="S181" s="75"/>
      <c r="T181" s="75"/>
      <c r="V181" s="84"/>
    </row>
    <row r="182" ht="15.75" customHeight="1">
      <c r="A182" s="70"/>
      <c r="B182" s="116"/>
      <c r="C182" s="117"/>
      <c r="D182" s="75"/>
      <c r="E182" s="118"/>
      <c r="F182" s="118"/>
      <c r="G182" s="75"/>
      <c r="H182" s="117"/>
      <c r="I182" s="75"/>
      <c r="J182" s="75"/>
      <c r="K182" s="105"/>
      <c r="L182" s="106"/>
      <c r="M182" s="80"/>
      <c r="N182" s="107"/>
      <c r="O182" s="98"/>
      <c r="P182" s="75"/>
      <c r="Q182" s="100"/>
      <c r="R182" s="93"/>
      <c r="S182" s="75"/>
      <c r="T182" s="75"/>
      <c r="V182" s="84"/>
    </row>
    <row r="183" ht="15.75" customHeight="1">
      <c r="A183" s="70"/>
      <c r="B183" s="116"/>
      <c r="C183" s="117"/>
      <c r="D183" s="75"/>
      <c r="E183" s="118"/>
      <c r="F183" s="118"/>
      <c r="G183" s="75"/>
      <c r="H183" s="117"/>
      <c r="I183" s="75"/>
      <c r="J183" s="75"/>
      <c r="K183" s="78"/>
      <c r="L183" s="79"/>
      <c r="M183" s="80"/>
      <c r="N183" s="107"/>
      <c r="O183" s="98"/>
      <c r="P183" s="75"/>
      <c r="Q183" s="100"/>
      <c r="R183" s="93"/>
      <c r="S183" s="75"/>
      <c r="T183" s="75"/>
      <c r="V183" s="84"/>
    </row>
    <row r="184" ht="15.75" customHeight="1">
      <c r="A184" s="70"/>
      <c r="B184" s="116"/>
      <c r="C184" s="117"/>
      <c r="D184" s="75"/>
      <c r="E184" s="118"/>
      <c r="F184" s="118"/>
      <c r="G184" s="75"/>
      <c r="H184" s="117"/>
      <c r="I184" s="75"/>
      <c r="J184" s="75"/>
      <c r="K184" s="105"/>
      <c r="L184" s="106"/>
      <c r="M184" s="80"/>
      <c r="N184" s="107"/>
      <c r="O184" s="98"/>
      <c r="P184" s="75"/>
      <c r="Q184" s="100"/>
      <c r="R184" s="93"/>
      <c r="S184" s="75"/>
      <c r="T184" s="75"/>
      <c r="V184" s="84"/>
    </row>
    <row r="185" ht="15.75" customHeight="1">
      <c r="A185" s="70"/>
      <c r="B185" s="116"/>
      <c r="C185" s="117"/>
      <c r="D185" s="75"/>
      <c r="E185" s="118"/>
      <c r="F185" s="118"/>
      <c r="G185" s="75"/>
      <c r="H185" s="117"/>
      <c r="I185" s="75"/>
      <c r="J185" s="75"/>
      <c r="K185" s="78"/>
      <c r="L185" s="79"/>
      <c r="M185" s="80"/>
      <c r="N185" s="107"/>
      <c r="O185" s="98"/>
      <c r="P185" s="75"/>
      <c r="Q185" s="100"/>
      <c r="R185" s="93"/>
      <c r="S185" s="75"/>
      <c r="T185" s="75"/>
      <c r="V185" s="84"/>
    </row>
    <row r="186" ht="15.75" customHeight="1">
      <c r="A186" s="70"/>
      <c r="B186" s="116"/>
      <c r="C186" s="117"/>
      <c r="D186" s="75"/>
      <c r="E186" s="118"/>
      <c r="F186" s="118"/>
      <c r="G186" s="75"/>
      <c r="H186" s="117"/>
      <c r="I186" s="75"/>
      <c r="J186" s="75"/>
      <c r="K186" s="105"/>
      <c r="L186" s="106"/>
      <c r="M186" s="80"/>
      <c r="N186" s="107"/>
      <c r="O186" s="98"/>
      <c r="P186" s="75"/>
      <c r="Q186" s="100"/>
      <c r="R186" s="93"/>
      <c r="S186" s="75"/>
      <c r="T186" s="75"/>
      <c r="V186" s="84"/>
    </row>
    <row r="187" ht="15.75" customHeight="1">
      <c r="A187" s="70"/>
      <c r="B187" s="116"/>
      <c r="C187" s="84"/>
      <c r="D187" s="75"/>
      <c r="E187" s="118"/>
      <c r="F187" s="118"/>
      <c r="G187" s="75"/>
      <c r="H187" s="117"/>
      <c r="I187" s="75"/>
      <c r="J187" s="75"/>
      <c r="K187" s="78"/>
      <c r="L187" s="79"/>
      <c r="M187" s="80"/>
      <c r="N187" s="107"/>
      <c r="O187" s="98"/>
      <c r="P187" s="75"/>
      <c r="Q187" s="100"/>
      <c r="R187" s="93"/>
      <c r="S187" s="75"/>
      <c r="T187" s="75"/>
      <c r="V187" s="84"/>
    </row>
    <row r="188" ht="15.75" customHeight="1">
      <c r="A188" s="70"/>
      <c r="B188" s="116"/>
      <c r="C188" s="117"/>
      <c r="D188" s="75"/>
      <c r="E188" s="118"/>
      <c r="F188" s="118"/>
      <c r="G188" s="75"/>
      <c r="H188" s="117"/>
      <c r="I188" s="75"/>
      <c r="J188" s="75"/>
      <c r="K188" s="105"/>
      <c r="L188" s="106"/>
      <c r="M188" s="80"/>
      <c r="N188" s="107"/>
      <c r="O188" s="98"/>
      <c r="P188" s="75"/>
      <c r="Q188" s="100"/>
      <c r="R188" s="93"/>
      <c r="S188" s="75"/>
      <c r="T188" s="75"/>
      <c r="V188" s="84"/>
    </row>
    <row r="189" ht="15.75" customHeight="1">
      <c r="A189" s="70"/>
      <c r="B189" s="116"/>
      <c r="C189" s="117"/>
      <c r="D189" s="75"/>
      <c r="E189" s="118"/>
      <c r="F189" s="118"/>
      <c r="G189" s="75"/>
      <c r="H189" s="117"/>
      <c r="I189" s="75"/>
      <c r="J189" s="75"/>
      <c r="K189" s="78"/>
      <c r="L189" s="79"/>
      <c r="M189" s="80"/>
      <c r="N189" s="107"/>
      <c r="O189" s="98"/>
      <c r="P189" s="75"/>
      <c r="Q189" s="100"/>
      <c r="R189" s="93"/>
      <c r="S189" s="75"/>
      <c r="T189" s="75"/>
      <c r="V189" s="84"/>
    </row>
    <row r="190" ht="15.75" customHeight="1">
      <c r="A190" s="70"/>
      <c r="B190" s="116"/>
      <c r="C190" s="117"/>
      <c r="D190" s="75"/>
      <c r="E190" s="118"/>
      <c r="F190" s="118"/>
      <c r="G190" s="75"/>
      <c r="H190" s="117"/>
      <c r="I190" s="75"/>
      <c r="J190" s="75"/>
      <c r="K190" s="105"/>
      <c r="L190" s="106"/>
      <c r="M190" s="80"/>
      <c r="N190" s="107"/>
      <c r="O190" s="98"/>
      <c r="P190" s="75"/>
      <c r="Q190" s="100"/>
      <c r="R190" s="93"/>
      <c r="S190" s="75"/>
      <c r="T190" s="75"/>
      <c r="V190" s="84"/>
    </row>
    <row r="191" ht="15.75" customHeight="1">
      <c r="A191" s="70"/>
      <c r="B191" s="116"/>
      <c r="C191" s="117"/>
      <c r="D191" s="75"/>
      <c r="E191" s="118"/>
      <c r="F191" s="118"/>
      <c r="G191" s="75"/>
      <c r="H191" s="117"/>
      <c r="I191" s="75"/>
      <c r="J191" s="75"/>
      <c r="K191" s="78"/>
      <c r="L191" s="79"/>
      <c r="M191" s="80"/>
      <c r="N191" s="107"/>
      <c r="O191" s="98"/>
      <c r="P191" s="75"/>
      <c r="Q191" s="100"/>
      <c r="R191" s="93"/>
      <c r="S191" s="75"/>
      <c r="T191" s="75"/>
      <c r="V191" s="84"/>
    </row>
    <row r="192" ht="15.75" customHeight="1">
      <c r="A192" s="70"/>
      <c r="B192" s="116"/>
      <c r="C192" s="117"/>
      <c r="D192" s="75"/>
      <c r="E192" s="118"/>
      <c r="F192" s="118"/>
      <c r="G192" s="75"/>
      <c r="H192" s="117"/>
      <c r="I192" s="75"/>
      <c r="J192" s="75"/>
      <c r="K192" s="105"/>
      <c r="L192" s="106"/>
      <c r="M192" s="80"/>
      <c r="N192" s="107"/>
      <c r="O192" s="98"/>
      <c r="P192" s="75"/>
      <c r="Q192" s="100"/>
      <c r="R192" s="93"/>
      <c r="S192" s="75"/>
      <c r="T192" s="75"/>
      <c r="V192" s="84"/>
    </row>
    <row r="193" ht="15.75" customHeight="1">
      <c r="A193" s="70"/>
      <c r="B193" s="116"/>
      <c r="C193" s="84"/>
      <c r="D193" s="75"/>
      <c r="E193" s="118"/>
      <c r="F193" s="118"/>
      <c r="G193" s="75"/>
      <c r="H193" s="117"/>
      <c r="I193" s="75"/>
      <c r="J193" s="75"/>
      <c r="K193" s="78"/>
      <c r="L193" s="79"/>
      <c r="M193" s="80"/>
      <c r="N193" s="107"/>
      <c r="O193" s="98"/>
      <c r="P193" s="75"/>
      <c r="Q193" s="100"/>
      <c r="R193" s="93"/>
      <c r="S193" s="75"/>
      <c r="T193" s="75"/>
      <c r="V193" s="84"/>
    </row>
    <row r="194" ht="15.75" customHeight="1">
      <c r="A194" s="70"/>
      <c r="B194" s="116"/>
      <c r="C194" s="117"/>
      <c r="D194" s="75"/>
      <c r="E194" s="118"/>
      <c r="F194" s="118"/>
      <c r="G194" s="75"/>
      <c r="H194" s="117"/>
      <c r="I194" s="75"/>
      <c r="J194" s="75"/>
      <c r="K194" s="105"/>
      <c r="L194" s="106"/>
      <c r="M194" s="80"/>
      <c r="N194" s="107"/>
      <c r="O194" s="98"/>
      <c r="P194" s="75"/>
      <c r="Q194" s="100"/>
      <c r="R194" s="93"/>
      <c r="S194" s="75"/>
      <c r="T194" s="75"/>
      <c r="V194" s="84"/>
    </row>
    <row r="195" ht="15.75" customHeight="1">
      <c r="A195" s="70"/>
      <c r="B195" s="116"/>
      <c r="C195" s="117"/>
      <c r="D195" s="75"/>
      <c r="E195" s="118"/>
      <c r="F195" s="118"/>
      <c r="G195" s="75"/>
      <c r="H195" s="117"/>
      <c r="I195" s="75"/>
      <c r="J195" s="75"/>
      <c r="K195" s="78"/>
      <c r="L195" s="79"/>
      <c r="M195" s="80"/>
      <c r="N195" s="107"/>
      <c r="O195" s="98"/>
      <c r="P195" s="75"/>
      <c r="Q195" s="100"/>
      <c r="R195" s="93"/>
      <c r="S195" s="75"/>
      <c r="T195" s="75"/>
      <c r="V195" s="84"/>
    </row>
    <row r="196" ht="15.75" customHeight="1">
      <c r="A196" s="70"/>
      <c r="B196" s="116"/>
      <c r="C196" s="117"/>
      <c r="D196" s="75"/>
      <c r="E196" s="118"/>
      <c r="F196" s="118"/>
      <c r="G196" s="75"/>
      <c r="H196" s="117"/>
      <c r="I196" s="75"/>
      <c r="J196" s="75"/>
      <c r="K196" s="105"/>
      <c r="L196" s="106"/>
      <c r="M196" s="80"/>
      <c r="N196" s="107"/>
      <c r="O196" s="98"/>
      <c r="P196" s="75"/>
      <c r="Q196" s="100"/>
      <c r="R196" s="93"/>
      <c r="S196" s="75"/>
      <c r="T196" s="75"/>
      <c r="V196" s="84"/>
    </row>
    <row r="197" ht="15.75" customHeight="1">
      <c r="A197" s="70"/>
      <c r="B197" s="116"/>
      <c r="C197" s="117"/>
      <c r="D197" s="75"/>
      <c r="E197" s="118"/>
      <c r="F197" s="118"/>
      <c r="G197" s="75"/>
      <c r="H197" s="117"/>
      <c r="I197" s="75"/>
      <c r="J197" s="75"/>
      <c r="K197" s="78"/>
      <c r="L197" s="79"/>
      <c r="M197" s="80"/>
      <c r="N197" s="107"/>
      <c r="O197" s="98"/>
      <c r="P197" s="75"/>
      <c r="Q197" s="100"/>
      <c r="R197" s="93"/>
      <c r="S197" s="75"/>
      <c r="T197" s="75"/>
      <c r="V197" s="84"/>
    </row>
    <row r="198" ht="15.75" customHeight="1">
      <c r="A198" s="70"/>
      <c r="B198" s="116"/>
      <c r="C198" s="117"/>
      <c r="D198" s="75"/>
      <c r="E198" s="118"/>
      <c r="F198" s="118"/>
      <c r="G198" s="75"/>
      <c r="H198" s="117"/>
      <c r="I198" s="75"/>
      <c r="J198" s="75"/>
      <c r="K198" s="105"/>
      <c r="L198" s="106"/>
      <c r="M198" s="80"/>
      <c r="N198" s="107"/>
      <c r="O198" s="98"/>
      <c r="P198" s="75"/>
      <c r="Q198" s="100"/>
      <c r="R198" s="93"/>
      <c r="S198" s="75"/>
      <c r="T198" s="75"/>
      <c r="V198" s="84"/>
    </row>
    <row r="199" ht="15.75" customHeight="1">
      <c r="A199" s="70"/>
      <c r="B199" s="116"/>
      <c r="C199" s="84"/>
      <c r="D199" s="75"/>
      <c r="E199" s="118"/>
      <c r="F199" s="118"/>
      <c r="G199" s="75"/>
      <c r="H199" s="117"/>
      <c r="I199" s="75"/>
      <c r="J199" s="75"/>
      <c r="K199" s="78"/>
      <c r="L199" s="79"/>
      <c r="M199" s="80"/>
      <c r="N199" s="107"/>
      <c r="O199" s="98"/>
      <c r="P199" s="75"/>
      <c r="Q199" s="100"/>
      <c r="R199" s="93"/>
      <c r="S199" s="75"/>
      <c r="T199" s="75"/>
      <c r="V199" s="84"/>
    </row>
    <row r="200" ht="15.75" customHeight="1">
      <c r="A200" s="70"/>
      <c r="B200" s="116"/>
      <c r="C200" s="117"/>
      <c r="D200" s="75"/>
      <c r="E200" s="118"/>
      <c r="F200" s="118"/>
      <c r="G200" s="75"/>
      <c r="H200" s="117"/>
      <c r="I200" s="75"/>
      <c r="J200" s="75"/>
      <c r="K200" s="105"/>
      <c r="L200" s="106"/>
      <c r="M200" s="80"/>
      <c r="N200" s="107"/>
      <c r="O200" s="98"/>
      <c r="P200" s="75"/>
      <c r="Q200" s="100"/>
      <c r="R200" s="93"/>
      <c r="S200" s="75"/>
      <c r="T200" s="75"/>
      <c r="V200" s="84"/>
    </row>
    <row r="201" ht="15.75" customHeight="1">
      <c r="A201" s="70"/>
      <c r="B201" s="116"/>
      <c r="C201" s="117"/>
      <c r="D201" s="75"/>
      <c r="E201" s="118"/>
      <c r="F201" s="118"/>
      <c r="G201" s="75"/>
      <c r="H201" s="117"/>
      <c r="I201" s="75"/>
      <c r="J201" s="75"/>
      <c r="K201" s="78"/>
      <c r="L201" s="79"/>
      <c r="M201" s="80"/>
      <c r="N201" s="107"/>
      <c r="O201" s="98"/>
      <c r="P201" s="75"/>
      <c r="Q201" s="100"/>
      <c r="R201" s="93"/>
      <c r="S201" s="75"/>
      <c r="T201" s="75"/>
      <c r="V201" s="84"/>
    </row>
    <row r="202" ht="15.75" customHeight="1">
      <c r="A202" s="70"/>
      <c r="B202" s="116"/>
      <c r="C202" s="117"/>
      <c r="D202" s="75"/>
      <c r="E202" s="118"/>
      <c r="F202" s="118"/>
      <c r="G202" s="75"/>
      <c r="H202" s="117"/>
      <c r="I202" s="75"/>
      <c r="J202" s="75"/>
      <c r="K202" s="105"/>
      <c r="L202" s="106"/>
      <c r="M202" s="80"/>
      <c r="N202" s="107"/>
      <c r="O202" s="98"/>
      <c r="P202" s="75"/>
      <c r="Q202" s="100"/>
      <c r="R202" s="93"/>
      <c r="S202" s="75"/>
      <c r="T202" s="75"/>
      <c r="V202" s="84"/>
    </row>
    <row r="203" ht="15.75" customHeight="1">
      <c r="A203" s="70"/>
      <c r="B203" s="116"/>
      <c r="C203" s="117"/>
      <c r="D203" s="75"/>
      <c r="E203" s="118"/>
      <c r="F203" s="118"/>
      <c r="G203" s="75"/>
      <c r="H203" s="117"/>
      <c r="I203" s="75"/>
      <c r="J203" s="75"/>
      <c r="K203" s="78"/>
      <c r="L203" s="79"/>
      <c r="M203" s="80"/>
      <c r="N203" s="107"/>
      <c r="O203" s="98"/>
      <c r="P203" s="75"/>
      <c r="Q203" s="100"/>
      <c r="R203" s="93"/>
      <c r="S203" s="75"/>
      <c r="T203" s="75"/>
      <c r="V203" s="84"/>
    </row>
    <row r="204" ht="15.75" customHeight="1">
      <c r="A204" s="70"/>
      <c r="B204" s="116"/>
      <c r="C204" s="117"/>
      <c r="D204" s="75"/>
      <c r="E204" s="118"/>
      <c r="F204" s="118"/>
      <c r="G204" s="75"/>
      <c r="H204" s="117"/>
      <c r="I204" s="75"/>
      <c r="J204" s="75"/>
      <c r="K204" s="105"/>
      <c r="L204" s="106"/>
      <c r="M204" s="80"/>
      <c r="N204" s="107"/>
      <c r="O204" s="98"/>
      <c r="P204" s="75"/>
      <c r="Q204" s="100"/>
      <c r="R204" s="93"/>
      <c r="S204" s="75"/>
      <c r="T204" s="75"/>
      <c r="V204" s="84"/>
    </row>
    <row r="205" ht="15.75" customHeight="1">
      <c r="A205" s="70"/>
      <c r="B205" s="116"/>
      <c r="C205" s="84"/>
      <c r="D205" s="75"/>
      <c r="E205" s="118"/>
      <c r="F205" s="118"/>
      <c r="G205" s="75"/>
      <c r="H205" s="117"/>
      <c r="I205" s="75"/>
      <c r="J205" s="75"/>
      <c r="K205" s="78"/>
      <c r="L205" s="79"/>
      <c r="M205" s="80"/>
      <c r="N205" s="107"/>
      <c r="O205" s="98"/>
      <c r="P205" s="75"/>
      <c r="Q205" s="100"/>
      <c r="R205" s="93"/>
      <c r="S205" s="75"/>
      <c r="T205" s="75"/>
      <c r="V205" s="84"/>
    </row>
    <row r="206" ht="15.75" customHeight="1">
      <c r="A206" s="70"/>
      <c r="B206" s="116"/>
      <c r="C206" s="117"/>
      <c r="D206" s="75"/>
      <c r="E206" s="118"/>
      <c r="F206" s="118"/>
      <c r="G206" s="75"/>
      <c r="H206" s="117"/>
      <c r="I206" s="75"/>
      <c r="J206" s="75"/>
      <c r="K206" s="105"/>
      <c r="L206" s="106"/>
      <c r="M206" s="80"/>
      <c r="N206" s="107"/>
      <c r="O206" s="98"/>
      <c r="P206" s="75"/>
      <c r="Q206" s="100"/>
      <c r="R206" s="93"/>
      <c r="S206" s="75"/>
      <c r="T206" s="75"/>
      <c r="V206" s="84"/>
    </row>
    <row r="207" ht="15.75" customHeight="1">
      <c r="A207" s="70"/>
      <c r="B207" s="116"/>
      <c r="C207" s="117"/>
      <c r="D207" s="75"/>
      <c r="E207" s="118"/>
      <c r="F207" s="118"/>
      <c r="G207" s="75"/>
      <c r="H207" s="117"/>
      <c r="I207" s="75"/>
      <c r="J207" s="75"/>
      <c r="K207" s="78"/>
      <c r="L207" s="79"/>
      <c r="M207" s="80"/>
      <c r="N207" s="107"/>
      <c r="O207" s="98"/>
      <c r="P207" s="75"/>
      <c r="Q207" s="100"/>
      <c r="R207" s="93"/>
      <c r="S207" s="75"/>
      <c r="T207" s="75"/>
      <c r="V207" s="84"/>
    </row>
    <row r="208" ht="15.75" customHeight="1">
      <c r="A208" s="70"/>
      <c r="B208" s="116"/>
      <c r="C208" s="117"/>
      <c r="D208" s="75"/>
      <c r="E208" s="118"/>
      <c r="F208" s="118"/>
      <c r="G208" s="75"/>
      <c r="H208" s="117"/>
      <c r="I208" s="75"/>
      <c r="J208" s="75"/>
      <c r="K208" s="105"/>
      <c r="L208" s="106"/>
      <c r="M208" s="80"/>
      <c r="N208" s="107"/>
      <c r="O208" s="98"/>
      <c r="P208" s="75"/>
      <c r="Q208" s="100"/>
      <c r="R208" s="93"/>
      <c r="S208" s="75"/>
      <c r="T208" s="75"/>
      <c r="V208" s="84"/>
    </row>
    <row r="209" ht="15.75" customHeight="1">
      <c r="A209" s="70"/>
      <c r="B209" s="116"/>
      <c r="C209" s="117"/>
      <c r="D209" s="75"/>
      <c r="E209" s="118"/>
      <c r="F209" s="118"/>
      <c r="G209" s="75"/>
      <c r="H209" s="117"/>
      <c r="I209" s="75"/>
      <c r="J209" s="75"/>
      <c r="K209" s="78"/>
      <c r="L209" s="79"/>
      <c r="M209" s="80"/>
      <c r="N209" s="107"/>
      <c r="O209" s="98"/>
      <c r="P209" s="75"/>
      <c r="Q209" s="100"/>
      <c r="R209" s="93"/>
      <c r="S209" s="75"/>
      <c r="T209" s="75"/>
      <c r="V209" s="84"/>
    </row>
    <row r="210" ht="15.75" customHeight="1">
      <c r="A210" s="70"/>
      <c r="B210" s="116"/>
      <c r="C210" s="117"/>
      <c r="D210" s="75"/>
      <c r="E210" s="118"/>
      <c r="F210" s="118"/>
      <c r="G210" s="75"/>
      <c r="H210" s="117"/>
      <c r="I210" s="75"/>
      <c r="J210" s="75"/>
      <c r="K210" s="105"/>
      <c r="L210" s="106"/>
      <c r="M210" s="80"/>
      <c r="N210" s="107"/>
      <c r="O210" s="98"/>
      <c r="P210" s="75"/>
      <c r="Q210" s="100"/>
      <c r="R210" s="93"/>
      <c r="S210" s="75"/>
      <c r="T210" s="75"/>
      <c r="V210" s="84"/>
    </row>
    <row r="211" ht="15.75" customHeight="1">
      <c r="A211" s="70"/>
      <c r="B211" s="116"/>
      <c r="C211" s="84"/>
      <c r="D211" s="75"/>
      <c r="E211" s="118"/>
      <c r="F211" s="118"/>
      <c r="G211" s="75"/>
      <c r="H211" s="117"/>
      <c r="I211" s="75"/>
      <c r="J211" s="75"/>
      <c r="K211" s="78"/>
      <c r="L211" s="79"/>
      <c r="M211" s="80"/>
      <c r="N211" s="107"/>
      <c r="O211" s="98"/>
      <c r="P211" s="75"/>
      <c r="Q211" s="100"/>
      <c r="R211" s="93"/>
      <c r="S211" s="75"/>
      <c r="T211" s="75"/>
      <c r="V211" s="84"/>
    </row>
    <row r="212" ht="15.75" customHeight="1">
      <c r="A212" s="70"/>
      <c r="B212" s="116"/>
      <c r="C212" s="117"/>
      <c r="D212" s="75"/>
      <c r="E212" s="118"/>
      <c r="F212" s="118"/>
      <c r="G212" s="75"/>
      <c r="H212" s="117"/>
      <c r="I212" s="75"/>
      <c r="J212" s="75"/>
      <c r="K212" s="105"/>
      <c r="L212" s="106"/>
      <c r="M212" s="80"/>
      <c r="N212" s="107"/>
      <c r="O212" s="98"/>
      <c r="P212" s="75"/>
      <c r="Q212" s="100"/>
      <c r="R212" s="93"/>
      <c r="S212" s="75"/>
      <c r="T212" s="75"/>
      <c r="V212" s="84"/>
    </row>
    <row r="213" ht="15.75" customHeight="1">
      <c r="A213" s="70"/>
      <c r="B213" s="116"/>
      <c r="C213" s="117"/>
      <c r="D213" s="75"/>
      <c r="E213" s="118"/>
      <c r="F213" s="118"/>
      <c r="G213" s="75"/>
      <c r="H213" s="117"/>
      <c r="I213" s="75"/>
      <c r="J213" s="75"/>
      <c r="K213" s="78"/>
      <c r="L213" s="79"/>
      <c r="M213" s="80"/>
      <c r="N213" s="107"/>
      <c r="O213" s="98"/>
      <c r="P213" s="75"/>
      <c r="Q213" s="100"/>
      <c r="R213" s="93"/>
      <c r="S213" s="75"/>
      <c r="T213" s="75"/>
      <c r="V213" s="84"/>
    </row>
    <row r="214" ht="15.75" customHeight="1">
      <c r="A214" s="70"/>
      <c r="B214" s="116"/>
      <c r="C214" s="117"/>
      <c r="D214" s="75"/>
      <c r="E214" s="118"/>
      <c r="F214" s="118"/>
      <c r="G214" s="75"/>
      <c r="H214" s="117"/>
      <c r="I214" s="75"/>
      <c r="J214" s="75"/>
      <c r="K214" s="105"/>
      <c r="L214" s="106"/>
      <c r="M214" s="80"/>
      <c r="N214" s="107"/>
      <c r="O214" s="98"/>
      <c r="P214" s="75"/>
      <c r="Q214" s="100"/>
      <c r="R214" s="93"/>
      <c r="S214" s="75"/>
      <c r="T214" s="75"/>
      <c r="V214" s="84"/>
    </row>
    <row r="215" ht="15.75" customHeight="1">
      <c r="A215" s="70"/>
      <c r="B215" s="116"/>
      <c r="C215" s="117"/>
      <c r="D215" s="75"/>
      <c r="E215" s="118"/>
      <c r="F215" s="118"/>
      <c r="G215" s="75"/>
      <c r="H215" s="117"/>
      <c r="I215" s="75"/>
      <c r="J215" s="75"/>
      <c r="K215" s="78"/>
      <c r="L215" s="79"/>
      <c r="M215" s="80"/>
      <c r="N215" s="107"/>
      <c r="O215" s="98"/>
      <c r="P215" s="75"/>
      <c r="Q215" s="100"/>
      <c r="R215" s="93"/>
      <c r="S215" s="75"/>
      <c r="T215" s="75"/>
      <c r="V215" s="84"/>
    </row>
    <row r="216" ht="15.75" customHeight="1">
      <c r="A216" s="70"/>
      <c r="B216" s="116"/>
      <c r="C216" s="117"/>
      <c r="D216" s="75"/>
      <c r="E216" s="118"/>
      <c r="F216" s="118"/>
      <c r="G216" s="75"/>
      <c r="H216" s="117"/>
      <c r="I216" s="75"/>
      <c r="J216" s="75"/>
      <c r="K216" s="105"/>
      <c r="L216" s="106"/>
      <c r="M216" s="80"/>
      <c r="N216" s="107"/>
      <c r="O216" s="98"/>
      <c r="P216" s="75"/>
      <c r="Q216" s="100"/>
      <c r="R216" s="93"/>
      <c r="S216" s="75"/>
      <c r="T216" s="75"/>
      <c r="V216" s="84"/>
    </row>
    <row r="217" ht="15.75" customHeight="1">
      <c r="A217" s="70"/>
      <c r="B217" s="116"/>
      <c r="C217" s="84"/>
      <c r="D217" s="75"/>
      <c r="E217" s="118"/>
      <c r="F217" s="118"/>
      <c r="G217" s="75"/>
      <c r="H217" s="117"/>
      <c r="I217" s="75"/>
      <c r="J217" s="75"/>
      <c r="K217" s="78"/>
      <c r="L217" s="79"/>
      <c r="M217" s="80"/>
      <c r="N217" s="107"/>
      <c r="O217" s="98"/>
      <c r="P217" s="75"/>
      <c r="Q217" s="100"/>
      <c r="R217" s="93"/>
      <c r="S217" s="75"/>
      <c r="T217" s="75"/>
      <c r="V217" s="84"/>
    </row>
    <row r="218" ht="15.75" customHeight="1">
      <c r="A218" s="70"/>
      <c r="B218" s="116"/>
      <c r="C218" s="117"/>
      <c r="D218" s="75"/>
      <c r="E218" s="118"/>
      <c r="F218" s="118"/>
      <c r="G218" s="75"/>
      <c r="H218" s="117"/>
      <c r="I218" s="75"/>
      <c r="J218" s="75"/>
      <c r="K218" s="105"/>
      <c r="L218" s="106"/>
      <c r="M218" s="80"/>
      <c r="N218" s="107"/>
      <c r="O218" s="98"/>
      <c r="P218" s="75"/>
      <c r="Q218" s="100"/>
      <c r="R218" s="93"/>
      <c r="S218" s="75"/>
      <c r="T218" s="75"/>
      <c r="V218" s="84"/>
    </row>
    <row r="219" ht="15.75" customHeight="1">
      <c r="A219" s="70"/>
      <c r="B219" s="116"/>
      <c r="C219" s="117"/>
      <c r="D219" s="75"/>
      <c r="E219" s="118"/>
      <c r="F219" s="118"/>
      <c r="G219" s="75"/>
      <c r="H219" s="117"/>
      <c r="I219" s="75"/>
      <c r="J219" s="75"/>
      <c r="K219" s="78"/>
      <c r="L219" s="79"/>
      <c r="M219" s="80"/>
      <c r="N219" s="107"/>
      <c r="O219" s="98"/>
      <c r="P219" s="75"/>
      <c r="Q219" s="100"/>
      <c r="R219" s="93"/>
      <c r="S219" s="75"/>
      <c r="T219" s="75"/>
      <c r="V219" s="84"/>
    </row>
    <row r="220" ht="15.75" customHeight="1">
      <c r="A220" s="70"/>
      <c r="B220" s="116"/>
      <c r="C220" s="117"/>
      <c r="D220" s="75"/>
      <c r="E220" s="118"/>
      <c r="F220" s="118"/>
      <c r="G220" s="75"/>
      <c r="H220" s="117"/>
      <c r="I220" s="75"/>
      <c r="J220" s="75"/>
      <c r="K220" s="105"/>
      <c r="L220" s="106"/>
      <c r="M220" s="80"/>
      <c r="N220" s="107"/>
      <c r="O220" s="98"/>
      <c r="P220" s="75"/>
      <c r="Q220" s="100"/>
      <c r="R220" s="93"/>
      <c r="S220" s="75"/>
      <c r="T220" s="75"/>
      <c r="V220" s="84"/>
    </row>
    <row r="221" ht="15.75" customHeight="1">
      <c r="A221" s="70"/>
      <c r="B221" s="116"/>
      <c r="C221" s="117"/>
      <c r="D221" s="75"/>
      <c r="E221" s="118"/>
      <c r="F221" s="118"/>
      <c r="G221" s="75"/>
      <c r="H221" s="117"/>
      <c r="I221" s="75"/>
      <c r="J221" s="75"/>
      <c r="K221" s="78"/>
      <c r="L221" s="79"/>
      <c r="M221" s="80"/>
      <c r="N221" s="107"/>
      <c r="O221" s="98"/>
      <c r="P221" s="75"/>
      <c r="Q221" s="100"/>
      <c r="R221" s="93"/>
      <c r="S221" s="75"/>
      <c r="T221" s="75"/>
      <c r="V221" s="84"/>
    </row>
    <row r="222" ht="15.75" customHeight="1">
      <c r="A222" s="70"/>
      <c r="B222" s="116"/>
      <c r="C222" s="117"/>
      <c r="D222" s="75"/>
      <c r="E222" s="118"/>
      <c r="F222" s="118"/>
      <c r="G222" s="75"/>
      <c r="H222" s="117"/>
      <c r="I222" s="75"/>
      <c r="J222" s="75"/>
      <c r="K222" s="105"/>
      <c r="L222" s="106"/>
      <c r="M222" s="80"/>
      <c r="N222" s="107"/>
      <c r="O222" s="98"/>
      <c r="P222" s="75"/>
      <c r="Q222" s="100"/>
      <c r="R222" s="93"/>
      <c r="S222" s="75"/>
      <c r="T222" s="75"/>
      <c r="V222" s="84"/>
    </row>
    <row r="223" ht="15.75" customHeight="1">
      <c r="A223" s="70"/>
      <c r="B223" s="116"/>
      <c r="C223" s="84"/>
      <c r="D223" s="75"/>
      <c r="E223" s="118"/>
      <c r="F223" s="118"/>
      <c r="G223" s="75"/>
      <c r="H223" s="117"/>
      <c r="I223" s="75"/>
      <c r="J223" s="75"/>
      <c r="K223" s="78"/>
      <c r="L223" s="79"/>
      <c r="M223" s="80"/>
      <c r="N223" s="107"/>
      <c r="O223" s="98"/>
      <c r="P223" s="75"/>
      <c r="Q223" s="100"/>
      <c r="R223" s="93"/>
      <c r="S223" s="75"/>
      <c r="T223" s="75"/>
      <c r="V223" s="84"/>
    </row>
    <row r="224" ht="15.75" customHeight="1">
      <c r="A224" s="70"/>
      <c r="B224" s="116"/>
      <c r="C224" s="117"/>
      <c r="D224" s="75"/>
      <c r="E224" s="118"/>
      <c r="F224" s="118"/>
      <c r="G224" s="75"/>
      <c r="H224" s="117"/>
      <c r="I224" s="75"/>
      <c r="J224" s="75"/>
      <c r="K224" s="105"/>
      <c r="L224" s="106"/>
      <c r="M224" s="80"/>
      <c r="N224" s="107"/>
      <c r="O224" s="98"/>
      <c r="P224" s="75"/>
      <c r="Q224" s="100"/>
      <c r="R224" s="93"/>
      <c r="S224" s="75"/>
      <c r="T224" s="75"/>
      <c r="V224" s="84"/>
    </row>
    <row r="225" ht="15.75" customHeight="1">
      <c r="A225" s="70"/>
      <c r="B225" s="116"/>
      <c r="C225" s="117"/>
      <c r="D225" s="75"/>
      <c r="E225" s="118"/>
      <c r="F225" s="118"/>
      <c r="G225" s="75"/>
      <c r="H225" s="117"/>
      <c r="I225" s="75"/>
      <c r="J225" s="75"/>
      <c r="K225" s="78"/>
      <c r="L225" s="79"/>
      <c r="M225" s="80"/>
      <c r="N225" s="107"/>
      <c r="O225" s="98"/>
      <c r="P225" s="75"/>
      <c r="Q225" s="100"/>
      <c r="R225" s="93"/>
      <c r="S225" s="75"/>
      <c r="T225" s="75"/>
      <c r="V225" s="84"/>
    </row>
    <row r="226" ht="15.75" customHeight="1">
      <c r="A226" s="70"/>
      <c r="B226" s="116"/>
      <c r="C226" s="117"/>
      <c r="D226" s="75"/>
      <c r="E226" s="118"/>
      <c r="F226" s="118"/>
      <c r="G226" s="75"/>
      <c r="H226" s="117"/>
      <c r="I226" s="75"/>
      <c r="J226" s="75"/>
      <c r="K226" s="105"/>
      <c r="L226" s="106"/>
      <c r="M226" s="80"/>
      <c r="N226" s="107"/>
      <c r="O226" s="98"/>
      <c r="P226" s="75"/>
      <c r="Q226" s="100"/>
      <c r="R226" s="93"/>
      <c r="S226" s="75"/>
      <c r="T226" s="75"/>
      <c r="V226" s="84"/>
    </row>
    <row r="227" ht="15.75" customHeight="1">
      <c r="A227" s="70"/>
      <c r="B227" s="116"/>
      <c r="C227" s="117"/>
      <c r="D227" s="75"/>
      <c r="E227" s="118"/>
      <c r="F227" s="118"/>
      <c r="G227" s="75"/>
      <c r="H227" s="117"/>
      <c r="I227" s="75"/>
      <c r="J227" s="75"/>
      <c r="K227" s="78"/>
      <c r="L227" s="79"/>
      <c r="M227" s="80"/>
      <c r="N227" s="107"/>
      <c r="O227" s="98"/>
      <c r="P227" s="75"/>
      <c r="Q227" s="100"/>
      <c r="R227" s="93"/>
      <c r="S227" s="75"/>
      <c r="T227" s="75"/>
      <c r="V227" s="84"/>
    </row>
    <row r="228" ht="15.75" customHeight="1">
      <c r="A228" s="70"/>
      <c r="B228" s="116"/>
      <c r="C228" s="117"/>
      <c r="D228" s="75"/>
      <c r="E228" s="118"/>
      <c r="F228" s="118"/>
      <c r="G228" s="75"/>
      <c r="H228" s="117"/>
      <c r="I228" s="75"/>
      <c r="J228" s="75"/>
      <c r="K228" s="105"/>
      <c r="L228" s="106"/>
      <c r="M228" s="80"/>
      <c r="N228" s="107"/>
      <c r="O228" s="98"/>
      <c r="P228" s="75"/>
      <c r="Q228" s="100"/>
      <c r="R228" s="93"/>
      <c r="S228" s="75"/>
      <c r="T228" s="75"/>
      <c r="V228" s="84"/>
    </row>
    <row r="229" ht="15.75" customHeight="1">
      <c r="A229" s="70"/>
      <c r="B229" s="116"/>
      <c r="C229" s="84"/>
      <c r="D229" s="75"/>
      <c r="E229" s="118"/>
      <c r="F229" s="118"/>
      <c r="G229" s="75"/>
      <c r="H229" s="117"/>
      <c r="I229" s="75"/>
      <c r="J229" s="75"/>
      <c r="K229" s="78"/>
      <c r="L229" s="79"/>
      <c r="M229" s="80"/>
      <c r="N229" s="107"/>
      <c r="O229" s="98"/>
      <c r="P229" s="75"/>
      <c r="Q229" s="100"/>
      <c r="R229" s="93"/>
      <c r="S229" s="75"/>
      <c r="T229" s="75"/>
      <c r="V229" s="84"/>
    </row>
    <row r="230" ht="15.75" customHeight="1">
      <c r="A230" s="70"/>
      <c r="B230" s="116"/>
      <c r="C230" s="117"/>
      <c r="D230" s="75"/>
      <c r="E230" s="118"/>
      <c r="F230" s="118"/>
      <c r="G230" s="75"/>
      <c r="H230" s="117"/>
      <c r="I230" s="75"/>
      <c r="J230" s="75"/>
      <c r="K230" s="105"/>
      <c r="L230" s="106"/>
      <c r="M230" s="80"/>
      <c r="N230" s="107"/>
      <c r="O230" s="98"/>
      <c r="P230" s="75"/>
      <c r="Q230" s="100"/>
      <c r="R230" s="93"/>
      <c r="S230" s="75"/>
      <c r="T230" s="75"/>
      <c r="V230" s="84"/>
    </row>
    <row r="231" ht="15.75" customHeight="1">
      <c r="A231" s="70"/>
      <c r="B231" s="116"/>
      <c r="C231" s="117"/>
      <c r="D231" s="75"/>
      <c r="E231" s="118"/>
      <c r="F231" s="118"/>
      <c r="G231" s="75"/>
      <c r="H231" s="117"/>
      <c r="I231" s="75"/>
      <c r="J231" s="75"/>
      <c r="K231" s="78"/>
      <c r="L231" s="79"/>
      <c r="M231" s="80"/>
      <c r="N231" s="107"/>
      <c r="O231" s="98"/>
      <c r="P231" s="75"/>
      <c r="Q231" s="100"/>
      <c r="R231" s="93"/>
      <c r="S231" s="75"/>
      <c r="T231" s="75"/>
      <c r="V231" s="84"/>
    </row>
    <row r="232" ht="15.75" customHeight="1">
      <c r="A232" s="70"/>
      <c r="B232" s="116"/>
      <c r="C232" s="117"/>
      <c r="D232" s="75"/>
      <c r="E232" s="118"/>
      <c r="F232" s="118"/>
      <c r="G232" s="75"/>
      <c r="H232" s="117"/>
      <c r="I232" s="75"/>
      <c r="J232" s="75"/>
      <c r="K232" s="105"/>
      <c r="L232" s="106"/>
      <c r="M232" s="80"/>
      <c r="N232" s="107"/>
      <c r="O232" s="98"/>
      <c r="P232" s="75"/>
      <c r="Q232" s="100"/>
      <c r="R232" s="93"/>
      <c r="S232" s="75"/>
      <c r="T232" s="75"/>
      <c r="V232" s="84"/>
    </row>
    <row r="233" ht="15.75" customHeight="1">
      <c r="A233" s="70"/>
      <c r="B233" s="116"/>
      <c r="C233" s="117"/>
      <c r="D233" s="75"/>
      <c r="E233" s="118"/>
      <c r="F233" s="118"/>
      <c r="G233" s="75"/>
      <c r="H233" s="117"/>
      <c r="I233" s="75"/>
      <c r="J233" s="75"/>
      <c r="K233" s="78"/>
      <c r="L233" s="79"/>
      <c r="M233" s="80"/>
      <c r="N233" s="107"/>
      <c r="O233" s="98"/>
      <c r="P233" s="75"/>
      <c r="Q233" s="100"/>
      <c r="R233" s="93"/>
      <c r="S233" s="75"/>
      <c r="T233" s="75"/>
      <c r="V233" s="84"/>
    </row>
    <row r="234" ht="15.75" customHeight="1">
      <c r="A234" s="70"/>
      <c r="B234" s="116"/>
      <c r="C234" s="117"/>
      <c r="D234" s="75"/>
      <c r="E234" s="118"/>
      <c r="F234" s="118"/>
      <c r="G234" s="75"/>
      <c r="H234" s="117"/>
      <c r="I234" s="75"/>
      <c r="J234" s="75"/>
      <c r="K234" s="105"/>
      <c r="L234" s="106"/>
      <c r="M234" s="80"/>
      <c r="N234" s="107"/>
      <c r="O234" s="98"/>
      <c r="P234" s="75"/>
      <c r="Q234" s="100"/>
      <c r="R234" s="93"/>
      <c r="S234" s="75"/>
      <c r="T234" s="75"/>
      <c r="V234" s="84"/>
    </row>
    <row r="235" ht="15.75" customHeight="1">
      <c r="A235" s="70"/>
      <c r="B235" s="116"/>
      <c r="C235" s="84"/>
      <c r="D235" s="75"/>
      <c r="E235" s="118"/>
      <c r="F235" s="118"/>
      <c r="G235" s="75"/>
      <c r="H235" s="117"/>
      <c r="I235" s="75"/>
      <c r="J235" s="75"/>
      <c r="K235" s="78"/>
      <c r="L235" s="79"/>
      <c r="M235" s="80"/>
      <c r="N235" s="107"/>
      <c r="O235" s="98"/>
      <c r="P235" s="75"/>
      <c r="Q235" s="100"/>
      <c r="R235" s="93"/>
      <c r="S235" s="75"/>
      <c r="T235" s="75"/>
      <c r="V235" s="84"/>
    </row>
    <row r="236" ht="15.75" customHeight="1">
      <c r="A236" s="70"/>
      <c r="B236" s="116"/>
      <c r="C236" s="117"/>
      <c r="D236" s="75"/>
      <c r="E236" s="118"/>
      <c r="F236" s="118"/>
      <c r="G236" s="75"/>
      <c r="H236" s="117"/>
      <c r="I236" s="75"/>
      <c r="J236" s="75"/>
      <c r="K236" s="105"/>
      <c r="L236" s="106"/>
      <c r="M236" s="80"/>
      <c r="N236" s="107"/>
      <c r="O236" s="98"/>
      <c r="P236" s="75"/>
      <c r="Q236" s="100"/>
      <c r="R236" s="93"/>
      <c r="S236" s="75"/>
      <c r="T236" s="75"/>
      <c r="V236" s="84"/>
    </row>
    <row r="237" ht="15.75" customHeight="1">
      <c r="A237" s="70"/>
      <c r="B237" s="116"/>
      <c r="C237" s="117"/>
      <c r="D237" s="75"/>
      <c r="E237" s="118"/>
      <c r="F237" s="118"/>
      <c r="G237" s="75"/>
      <c r="H237" s="117"/>
      <c r="I237" s="75"/>
      <c r="J237" s="75"/>
      <c r="K237" s="78"/>
      <c r="L237" s="79"/>
      <c r="M237" s="80"/>
      <c r="N237" s="107"/>
      <c r="O237" s="98"/>
      <c r="P237" s="75"/>
      <c r="Q237" s="100"/>
      <c r="R237" s="93"/>
      <c r="S237" s="75"/>
      <c r="T237" s="75"/>
      <c r="V237" s="84"/>
    </row>
    <row r="238" ht="15.75" customHeight="1">
      <c r="A238" s="70"/>
      <c r="B238" s="116"/>
      <c r="C238" s="117"/>
      <c r="D238" s="75"/>
      <c r="E238" s="118"/>
      <c r="F238" s="118"/>
      <c r="G238" s="75"/>
      <c r="H238" s="117"/>
      <c r="I238" s="75"/>
      <c r="J238" s="75"/>
      <c r="K238" s="105"/>
      <c r="L238" s="106"/>
      <c r="M238" s="80"/>
      <c r="N238" s="107"/>
      <c r="O238" s="98"/>
      <c r="P238" s="75"/>
      <c r="Q238" s="100"/>
      <c r="R238" s="93"/>
      <c r="S238" s="75"/>
      <c r="T238" s="75"/>
      <c r="V238" s="84"/>
    </row>
    <row r="239" ht="15.75" customHeight="1">
      <c r="A239" s="70"/>
      <c r="B239" s="116"/>
      <c r="C239" s="117"/>
      <c r="D239" s="75"/>
      <c r="E239" s="118"/>
      <c r="F239" s="118"/>
      <c r="G239" s="75"/>
      <c r="H239" s="117"/>
      <c r="I239" s="75"/>
      <c r="J239" s="75"/>
      <c r="K239" s="78"/>
      <c r="L239" s="79"/>
      <c r="M239" s="80"/>
      <c r="N239" s="107"/>
      <c r="O239" s="98"/>
      <c r="P239" s="75"/>
      <c r="Q239" s="100"/>
      <c r="R239" s="93"/>
      <c r="S239" s="75"/>
      <c r="T239" s="75"/>
      <c r="V239" s="84"/>
    </row>
    <row r="240" ht="15.75" customHeight="1">
      <c r="A240" s="70"/>
      <c r="B240" s="116"/>
      <c r="C240" s="117"/>
      <c r="D240" s="75"/>
      <c r="E240" s="118"/>
      <c r="F240" s="118"/>
      <c r="G240" s="75"/>
      <c r="H240" s="117"/>
      <c r="I240" s="75"/>
      <c r="J240" s="75"/>
      <c r="K240" s="105"/>
      <c r="L240" s="106"/>
      <c r="M240" s="80"/>
      <c r="N240" s="107"/>
      <c r="O240" s="98"/>
      <c r="P240" s="75"/>
      <c r="Q240" s="100"/>
      <c r="R240" s="93"/>
      <c r="S240" s="75"/>
      <c r="T240" s="75"/>
      <c r="V240" s="84"/>
    </row>
    <row r="241" ht="15.75" customHeight="1">
      <c r="A241" s="70"/>
      <c r="B241" s="116"/>
      <c r="C241" s="84"/>
      <c r="D241" s="75"/>
      <c r="E241" s="118"/>
      <c r="F241" s="118"/>
      <c r="G241" s="75"/>
      <c r="H241" s="117"/>
      <c r="I241" s="75"/>
      <c r="J241" s="75"/>
      <c r="K241" s="78"/>
      <c r="L241" s="79"/>
      <c r="M241" s="80"/>
      <c r="N241" s="107"/>
      <c r="O241" s="98"/>
      <c r="P241" s="75"/>
      <c r="Q241" s="100"/>
      <c r="R241" s="93"/>
      <c r="S241" s="75"/>
      <c r="T241" s="75"/>
      <c r="V241" s="84"/>
    </row>
    <row r="242" ht="15.75" customHeight="1">
      <c r="A242" s="70"/>
      <c r="B242" s="116"/>
      <c r="C242" s="117"/>
      <c r="D242" s="75"/>
      <c r="E242" s="118"/>
      <c r="F242" s="118"/>
      <c r="G242" s="75"/>
      <c r="H242" s="117"/>
      <c r="I242" s="75"/>
      <c r="J242" s="75"/>
      <c r="K242" s="105"/>
      <c r="L242" s="106"/>
      <c r="M242" s="80"/>
      <c r="N242" s="107"/>
      <c r="O242" s="98"/>
      <c r="P242" s="75"/>
      <c r="Q242" s="100"/>
      <c r="R242" s="93"/>
      <c r="S242" s="75"/>
      <c r="T242" s="75"/>
      <c r="V242" s="84"/>
    </row>
    <row r="243" ht="15.75" customHeight="1">
      <c r="A243" s="70"/>
      <c r="B243" s="116"/>
      <c r="C243" s="117"/>
      <c r="D243" s="75"/>
      <c r="E243" s="118"/>
      <c r="F243" s="118"/>
      <c r="G243" s="75"/>
      <c r="H243" s="117"/>
      <c r="I243" s="75"/>
      <c r="J243" s="75"/>
      <c r="K243" s="78"/>
      <c r="L243" s="79"/>
      <c r="M243" s="80"/>
      <c r="N243" s="107"/>
      <c r="O243" s="98"/>
      <c r="P243" s="75"/>
      <c r="Q243" s="100"/>
      <c r="R243" s="93"/>
      <c r="S243" s="75"/>
      <c r="T243" s="75"/>
      <c r="V243" s="84"/>
    </row>
    <row r="244" ht="15.75" customHeight="1">
      <c r="A244" s="70"/>
      <c r="B244" s="116"/>
      <c r="C244" s="117"/>
      <c r="D244" s="75"/>
      <c r="E244" s="118"/>
      <c r="F244" s="118"/>
      <c r="G244" s="75"/>
      <c r="H244" s="117"/>
      <c r="I244" s="75"/>
      <c r="J244" s="75"/>
      <c r="K244" s="121"/>
      <c r="L244" s="122"/>
      <c r="M244" s="80"/>
      <c r="N244" s="107"/>
      <c r="O244" s="98"/>
      <c r="P244" s="75"/>
      <c r="Q244" s="100"/>
      <c r="R244" s="93"/>
      <c r="S244" s="75"/>
      <c r="T244" s="75"/>
      <c r="V244" s="84"/>
    </row>
    <row r="245" ht="15.75" customHeight="1">
      <c r="A245" s="70"/>
      <c r="B245" s="116"/>
      <c r="C245" s="117"/>
      <c r="D245" s="75"/>
      <c r="E245" s="118"/>
      <c r="F245" s="118"/>
      <c r="G245" s="75"/>
      <c r="H245" s="117"/>
      <c r="I245" s="75"/>
      <c r="J245" s="75"/>
      <c r="K245" s="123"/>
      <c r="L245" s="124"/>
      <c r="M245" s="80"/>
      <c r="N245" s="107"/>
      <c r="O245" s="98"/>
      <c r="P245" s="75"/>
      <c r="Q245" s="100"/>
      <c r="R245" s="93"/>
      <c r="S245" s="75"/>
      <c r="T245" s="75"/>
      <c r="V245" s="84"/>
    </row>
    <row r="246" ht="15.75" customHeight="1">
      <c r="A246" s="70"/>
      <c r="B246" s="116"/>
      <c r="C246" s="117"/>
      <c r="D246" s="75"/>
      <c r="E246" s="118"/>
      <c r="F246" s="118"/>
      <c r="G246" s="75"/>
      <c r="H246" s="117"/>
      <c r="I246" s="75"/>
      <c r="J246" s="75"/>
      <c r="K246" s="121"/>
      <c r="L246" s="122"/>
      <c r="M246" s="80"/>
      <c r="N246" s="107"/>
      <c r="O246" s="98"/>
      <c r="P246" s="75"/>
      <c r="Q246" s="100"/>
      <c r="R246" s="93"/>
      <c r="S246" s="75"/>
      <c r="T246" s="75"/>
      <c r="V246" s="84"/>
    </row>
    <row r="247" ht="15.75" customHeight="1">
      <c r="A247" s="70"/>
      <c r="B247" s="116"/>
      <c r="C247" s="84"/>
      <c r="D247" s="75"/>
      <c r="E247" s="118"/>
      <c r="F247" s="118"/>
      <c r="G247" s="75"/>
      <c r="H247" s="117"/>
      <c r="I247" s="75"/>
      <c r="J247" s="75"/>
      <c r="K247" s="123"/>
      <c r="L247" s="124"/>
      <c r="M247" s="80"/>
      <c r="N247" s="107"/>
      <c r="O247" s="98"/>
      <c r="P247" s="75"/>
      <c r="Q247" s="100"/>
      <c r="R247" s="93"/>
      <c r="S247" s="75"/>
      <c r="T247" s="75"/>
      <c r="V247" s="84"/>
    </row>
    <row r="248" ht="15.75" customHeight="1">
      <c r="A248" s="70"/>
      <c r="B248" s="116"/>
      <c r="C248" s="117"/>
      <c r="D248" s="75"/>
      <c r="E248" s="118"/>
      <c r="F248" s="118"/>
      <c r="G248" s="75"/>
      <c r="H248" s="117"/>
      <c r="I248" s="75"/>
      <c r="J248" s="75"/>
      <c r="K248" s="121"/>
      <c r="L248" s="122"/>
      <c r="M248" s="80"/>
      <c r="N248" s="107"/>
      <c r="O248" s="98"/>
      <c r="P248" s="75"/>
      <c r="Q248" s="100"/>
      <c r="R248" s="93"/>
      <c r="S248" s="75"/>
      <c r="T248" s="75"/>
      <c r="V248" s="84"/>
    </row>
    <row r="249" ht="15.75" customHeight="1">
      <c r="A249" s="70"/>
      <c r="B249" s="116"/>
      <c r="C249" s="117"/>
      <c r="D249" s="75"/>
      <c r="E249" s="118"/>
      <c r="F249" s="118"/>
      <c r="G249" s="75"/>
      <c r="H249" s="117"/>
      <c r="I249" s="75"/>
      <c r="J249" s="75"/>
      <c r="K249" s="123"/>
      <c r="L249" s="124"/>
      <c r="M249" s="80"/>
      <c r="N249" s="107"/>
      <c r="O249" s="98"/>
      <c r="P249" s="75"/>
      <c r="Q249" s="100"/>
      <c r="R249" s="93"/>
      <c r="S249" s="75"/>
      <c r="T249" s="75"/>
      <c r="V249" s="84"/>
    </row>
    <row r="250" ht="15.75" customHeight="1">
      <c r="A250" s="70"/>
      <c r="B250" s="116"/>
      <c r="C250" s="117"/>
      <c r="D250" s="75"/>
      <c r="E250" s="118"/>
      <c r="F250" s="118"/>
      <c r="G250" s="75"/>
      <c r="H250" s="117"/>
      <c r="I250" s="75"/>
      <c r="J250" s="75"/>
      <c r="K250" s="121"/>
      <c r="L250" s="122"/>
      <c r="M250" s="80"/>
      <c r="N250" s="107"/>
      <c r="O250" s="98"/>
      <c r="P250" s="75"/>
      <c r="Q250" s="100"/>
      <c r="R250" s="93"/>
      <c r="S250" s="75"/>
      <c r="T250" s="75"/>
      <c r="V250" s="84"/>
    </row>
    <row r="251" ht="15.75" customHeight="1">
      <c r="A251" s="70"/>
      <c r="B251" s="116"/>
      <c r="C251" s="117"/>
      <c r="D251" s="75"/>
      <c r="E251" s="118"/>
      <c r="F251" s="118"/>
      <c r="G251" s="75"/>
      <c r="H251" s="117"/>
      <c r="I251" s="75"/>
      <c r="J251" s="75"/>
      <c r="K251" s="123"/>
      <c r="L251" s="124"/>
      <c r="M251" s="80"/>
      <c r="N251" s="107"/>
      <c r="O251" s="98"/>
      <c r="P251" s="75"/>
      <c r="Q251" s="100"/>
      <c r="R251" s="93"/>
      <c r="S251" s="75"/>
      <c r="T251" s="75"/>
      <c r="V251" s="84"/>
    </row>
    <row r="252" ht="15.75" customHeight="1">
      <c r="A252" s="70"/>
      <c r="B252" s="116"/>
      <c r="C252" s="117"/>
      <c r="D252" s="75"/>
      <c r="E252" s="118"/>
      <c r="F252" s="118"/>
      <c r="G252" s="75"/>
      <c r="H252" s="117"/>
      <c r="I252" s="75"/>
      <c r="J252" s="75"/>
      <c r="K252" s="121"/>
      <c r="L252" s="122"/>
      <c r="M252" s="80"/>
      <c r="N252" s="107"/>
      <c r="O252" s="98"/>
      <c r="P252" s="75"/>
      <c r="Q252" s="100"/>
      <c r="R252" s="93"/>
      <c r="S252" s="75"/>
      <c r="T252" s="75"/>
      <c r="V252" s="84"/>
    </row>
    <row r="253" ht="15.75" customHeight="1">
      <c r="A253" s="70"/>
      <c r="B253" s="116"/>
      <c r="C253" s="84"/>
      <c r="D253" s="75"/>
      <c r="E253" s="118"/>
      <c r="F253" s="118"/>
      <c r="G253" s="75"/>
      <c r="H253" s="117"/>
      <c r="I253" s="75"/>
      <c r="J253" s="75"/>
      <c r="K253" s="123"/>
      <c r="L253" s="124"/>
      <c r="M253" s="80"/>
      <c r="N253" s="107"/>
      <c r="O253" s="98"/>
      <c r="P253" s="75"/>
      <c r="Q253" s="100"/>
      <c r="R253" s="93"/>
      <c r="S253" s="75"/>
      <c r="T253" s="75"/>
      <c r="V253" s="84"/>
    </row>
    <row r="254" ht="15.75" customHeight="1">
      <c r="A254" s="70"/>
      <c r="B254" s="116"/>
      <c r="C254" s="117"/>
      <c r="D254" s="75"/>
      <c r="E254" s="118"/>
      <c r="F254" s="118"/>
      <c r="G254" s="75"/>
      <c r="H254" s="117"/>
      <c r="I254" s="75"/>
      <c r="J254" s="75"/>
      <c r="K254" s="121"/>
      <c r="L254" s="122"/>
      <c r="M254" s="80"/>
      <c r="N254" s="107"/>
      <c r="O254" s="98"/>
      <c r="P254" s="75"/>
      <c r="Q254" s="100"/>
      <c r="R254" s="93"/>
      <c r="S254" s="75"/>
      <c r="T254" s="75"/>
      <c r="V254" s="84"/>
    </row>
    <row r="255" ht="15.75" customHeight="1">
      <c r="A255" s="70"/>
      <c r="B255" s="116"/>
      <c r="C255" s="117"/>
      <c r="D255" s="75"/>
      <c r="E255" s="118"/>
      <c r="F255" s="118"/>
      <c r="G255" s="75"/>
      <c r="H255" s="117"/>
      <c r="I255" s="75"/>
      <c r="J255" s="75"/>
      <c r="K255" s="123"/>
      <c r="L255" s="124"/>
      <c r="M255" s="80"/>
      <c r="N255" s="107"/>
      <c r="O255" s="98"/>
      <c r="P255" s="75"/>
      <c r="Q255" s="100"/>
      <c r="R255" s="93"/>
      <c r="S255" s="75"/>
      <c r="T255" s="75"/>
      <c r="V255" s="84"/>
    </row>
    <row r="256" ht="15.75" customHeight="1">
      <c r="A256" s="70"/>
      <c r="B256" s="116"/>
      <c r="C256" s="117"/>
      <c r="D256" s="75"/>
      <c r="E256" s="118"/>
      <c r="F256" s="118"/>
      <c r="G256" s="75"/>
      <c r="H256" s="117"/>
      <c r="I256" s="75"/>
      <c r="J256" s="75"/>
      <c r="K256" s="121"/>
      <c r="L256" s="122"/>
      <c r="M256" s="80"/>
      <c r="N256" s="107"/>
      <c r="O256" s="98"/>
      <c r="P256" s="75"/>
      <c r="Q256" s="100"/>
      <c r="R256" s="93"/>
      <c r="S256" s="75"/>
      <c r="T256" s="75"/>
      <c r="V256" s="84"/>
    </row>
    <row r="257" ht="15.75" customHeight="1">
      <c r="A257" s="70"/>
      <c r="B257" s="116"/>
      <c r="C257" s="117"/>
      <c r="D257" s="75"/>
      <c r="E257" s="118"/>
      <c r="F257" s="118"/>
      <c r="G257" s="75"/>
      <c r="H257" s="117"/>
      <c r="I257" s="75"/>
      <c r="J257" s="75"/>
      <c r="K257" s="123"/>
      <c r="L257" s="124"/>
      <c r="M257" s="80"/>
      <c r="N257" s="107"/>
      <c r="O257" s="98"/>
      <c r="P257" s="75"/>
      <c r="Q257" s="100"/>
      <c r="R257" s="93"/>
      <c r="S257" s="75"/>
      <c r="T257" s="75"/>
      <c r="V257" s="84"/>
    </row>
    <row r="258" ht="15.75" customHeight="1">
      <c r="A258" s="70"/>
      <c r="B258" s="116"/>
      <c r="C258" s="117"/>
      <c r="D258" s="75"/>
      <c r="E258" s="118"/>
      <c r="F258" s="118"/>
      <c r="G258" s="75"/>
      <c r="H258" s="117"/>
      <c r="I258" s="75"/>
      <c r="J258" s="75"/>
      <c r="K258" s="121"/>
      <c r="L258" s="122"/>
      <c r="M258" s="80"/>
      <c r="N258" s="107"/>
      <c r="O258" s="98"/>
      <c r="P258" s="75"/>
      <c r="Q258" s="100"/>
      <c r="R258" s="93"/>
      <c r="S258" s="75"/>
      <c r="T258" s="75"/>
      <c r="V258" s="84"/>
    </row>
    <row r="259" ht="15.75" customHeight="1">
      <c r="A259" s="70"/>
      <c r="B259" s="116"/>
      <c r="C259" s="84"/>
      <c r="D259" s="75"/>
      <c r="E259" s="118"/>
      <c r="F259" s="118"/>
      <c r="G259" s="75"/>
      <c r="H259" s="117"/>
      <c r="I259" s="75"/>
      <c r="J259" s="75"/>
      <c r="K259" s="123"/>
      <c r="L259" s="124"/>
      <c r="M259" s="80"/>
      <c r="N259" s="107"/>
      <c r="O259" s="98"/>
      <c r="P259" s="75"/>
      <c r="Q259" s="100"/>
      <c r="R259" s="93"/>
      <c r="S259" s="75"/>
      <c r="T259" s="75"/>
      <c r="V259" s="84"/>
    </row>
    <row r="260" ht="15.75" customHeight="1">
      <c r="A260" s="70"/>
      <c r="B260" s="116"/>
      <c r="C260" s="117"/>
      <c r="D260" s="75"/>
      <c r="E260" s="118"/>
      <c r="F260" s="118"/>
      <c r="G260" s="75"/>
      <c r="H260" s="117"/>
      <c r="I260" s="75"/>
      <c r="J260" s="75"/>
      <c r="K260" s="121"/>
      <c r="L260" s="122"/>
      <c r="M260" s="80"/>
      <c r="N260" s="107"/>
      <c r="O260" s="98"/>
      <c r="P260" s="75"/>
      <c r="Q260" s="100"/>
      <c r="R260" s="93"/>
      <c r="S260" s="75"/>
      <c r="T260" s="75"/>
      <c r="V260" s="84"/>
    </row>
    <row r="261" ht="15.75" customHeight="1">
      <c r="A261" s="70"/>
      <c r="B261" s="116"/>
      <c r="C261" s="117"/>
      <c r="D261" s="75"/>
      <c r="E261" s="118"/>
      <c r="F261" s="118"/>
      <c r="G261" s="75"/>
      <c r="H261" s="117"/>
      <c r="I261" s="75"/>
      <c r="J261" s="75"/>
      <c r="K261" s="123"/>
      <c r="L261" s="124"/>
      <c r="M261" s="80"/>
      <c r="N261" s="107"/>
      <c r="O261" s="98"/>
      <c r="P261" s="75"/>
      <c r="Q261" s="100"/>
      <c r="R261" s="93"/>
      <c r="S261" s="75"/>
      <c r="T261" s="75"/>
      <c r="V261" s="84"/>
    </row>
    <row r="262" ht="15.75" customHeight="1">
      <c r="A262" s="70"/>
      <c r="B262" s="116"/>
      <c r="C262" s="117"/>
      <c r="D262" s="75"/>
      <c r="E262" s="118"/>
      <c r="F262" s="118"/>
      <c r="G262" s="75"/>
      <c r="H262" s="117"/>
      <c r="I262" s="75"/>
      <c r="J262" s="75"/>
      <c r="K262" s="121"/>
      <c r="L262" s="122"/>
      <c r="M262" s="80"/>
      <c r="N262" s="107"/>
      <c r="O262" s="98"/>
      <c r="P262" s="75"/>
      <c r="Q262" s="100"/>
      <c r="R262" s="93"/>
      <c r="S262" s="75"/>
      <c r="T262" s="75"/>
      <c r="V262" s="84"/>
    </row>
    <row r="263" ht="15.75" customHeight="1">
      <c r="A263" s="70"/>
      <c r="B263" s="116"/>
      <c r="C263" s="117"/>
      <c r="D263" s="75"/>
      <c r="E263" s="118"/>
      <c r="F263" s="118"/>
      <c r="G263" s="75"/>
      <c r="H263" s="117"/>
      <c r="I263" s="75"/>
      <c r="J263" s="75"/>
      <c r="K263" s="123"/>
      <c r="L263" s="124"/>
      <c r="M263" s="80"/>
      <c r="N263" s="107"/>
      <c r="O263" s="98"/>
      <c r="P263" s="75"/>
      <c r="Q263" s="100"/>
      <c r="R263" s="93"/>
      <c r="S263" s="75"/>
      <c r="T263" s="75"/>
      <c r="V263" s="84"/>
    </row>
    <row r="264" ht="15.75" customHeight="1">
      <c r="A264" s="70"/>
      <c r="B264" s="116"/>
      <c r="C264" s="117"/>
      <c r="D264" s="75"/>
      <c r="E264" s="118"/>
      <c r="F264" s="118"/>
      <c r="G264" s="75"/>
      <c r="H264" s="117"/>
      <c r="I264" s="75"/>
      <c r="J264" s="75"/>
      <c r="K264" s="121"/>
      <c r="L264" s="122"/>
      <c r="M264" s="80"/>
      <c r="N264" s="107"/>
      <c r="O264" s="98"/>
      <c r="P264" s="75"/>
      <c r="Q264" s="100"/>
      <c r="R264" s="93"/>
      <c r="S264" s="75"/>
      <c r="T264" s="75"/>
      <c r="V264" s="84"/>
    </row>
    <row r="265" ht="15.75" customHeight="1">
      <c r="A265" s="70"/>
      <c r="B265" s="116"/>
      <c r="C265" s="84"/>
      <c r="D265" s="75"/>
      <c r="E265" s="118"/>
      <c r="F265" s="118"/>
      <c r="G265" s="75"/>
      <c r="H265" s="117"/>
      <c r="I265" s="75"/>
      <c r="J265" s="75"/>
      <c r="K265" s="123"/>
      <c r="L265" s="124"/>
      <c r="M265" s="80"/>
      <c r="N265" s="107"/>
      <c r="O265" s="98"/>
      <c r="P265" s="75"/>
      <c r="Q265" s="100"/>
      <c r="R265" s="93"/>
      <c r="S265" s="75"/>
      <c r="T265" s="75"/>
      <c r="V265" s="84"/>
    </row>
    <row r="266" ht="15.75" customHeight="1">
      <c r="A266" s="70"/>
      <c r="B266" s="116"/>
      <c r="C266" s="117"/>
      <c r="D266" s="75"/>
      <c r="E266" s="118"/>
      <c r="F266" s="118"/>
      <c r="G266" s="75"/>
      <c r="H266" s="117"/>
      <c r="I266" s="75"/>
      <c r="J266" s="75"/>
      <c r="K266" s="121"/>
      <c r="L266" s="122"/>
      <c r="M266" s="80"/>
      <c r="N266" s="107"/>
      <c r="O266" s="98"/>
      <c r="P266" s="75"/>
      <c r="Q266" s="100"/>
      <c r="R266" s="93"/>
      <c r="S266" s="75"/>
      <c r="T266" s="75"/>
      <c r="V266" s="84"/>
    </row>
    <row r="267" ht="15.75" customHeight="1">
      <c r="A267" s="70"/>
      <c r="B267" s="116"/>
      <c r="C267" s="117"/>
      <c r="D267" s="75"/>
      <c r="E267" s="118"/>
      <c r="F267" s="118"/>
      <c r="G267" s="75"/>
      <c r="H267" s="117"/>
      <c r="I267" s="75"/>
      <c r="J267" s="75"/>
      <c r="K267" s="123"/>
      <c r="L267" s="124"/>
      <c r="M267" s="80"/>
      <c r="N267" s="107"/>
      <c r="O267" s="98"/>
      <c r="P267" s="75"/>
      <c r="Q267" s="100"/>
      <c r="R267" s="93"/>
      <c r="S267" s="75"/>
      <c r="T267" s="75"/>
      <c r="V267" s="84"/>
    </row>
    <row r="268" ht="15.75" customHeight="1">
      <c r="A268" s="70"/>
      <c r="B268" s="116"/>
      <c r="C268" s="117"/>
      <c r="D268" s="75"/>
      <c r="E268" s="118"/>
      <c r="F268" s="118"/>
      <c r="G268" s="75"/>
      <c r="H268" s="117"/>
      <c r="I268" s="75"/>
      <c r="J268" s="75"/>
      <c r="K268" s="121"/>
      <c r="L268" s="122"/>
      <c r="M268" s="80"/>
      <c r="N268" s="107"/>
      <c r="O268" s="98"/>
      <c r="P268" s="75"/>
      <c r="Q268" s="100"/>
      <c r="R268" s="93"/>
      <c r="S268" s="75"/>
      <c r="T268" s="75"/>
      <c r="V268" s="84"/>
    </row>
    <row r="269" ht="15.75" customHeight="1">
      <c r="A269" s="70"/>
      <c r="B269" s="116"/>
      <c r="C269" s="117"/>
      <c r="D269" s="75"/>
      <c r="E269" s="118"/>
      <c r="F269" s="118"/>
      <c r="G269" s="75"/>
      <c r="H269" s="117"/>
      <c r="I269" s="75"/>
      <c r="J269" s="75"/>
      <c r="K269" s="123"/>
      <c r="L269" s="124"/>
      <c r="M269" s="80"/>
      <c r="N269" s="107"/>
      <c r="O269" s="98"/>
      <c r="P269" s="75"/>
      <c r="Q269" s="100"/>
      <c r="R269" s="93"/>
      <c r="S269" s="75"/>
      <c r="T269" s="75"/>
      <c r="V269" s="84"/>
    </row>
    <row r="270" ht="15.75" customHeight="1">
      <c r="A270" s="70"/>
      <c r="B270" s="116"/>
      <c r="C270" s="117"/>
      <c r="D270" s="75"/>
      <c r="E270" s="118"/>
      <c r="F270" s="118"/>
      <c r="G270" s="75"/>
      <c r="H270" s="117"/>
      <c r="I270" s="75"/>
      <c r="J270" s="75"/>
      <c r="K270" s="121"/>
      <c r="L270" s="122"/>
      <c r="M270" s="80"/>
      <c r="N270" s="107"/>
      <c r="O270" s="98"/>
      <c r="P270" s="75"/>
      <c r="Q270" s="100"/>
      <c r="R270" s="93"/>
      <c r="S270" s="75"/>
      <c r="T270" s="75"/>
      <c r="V270" s="84"/>
    </row>
    <row r="271" ht="15.75" customHeight="1">
      <c r="A271" s="70"/>
      <c r="B271" s="116"/>
      <c r="C271" s="84"/>
      <c r="D271" s="75"/>
      <c r="E271" s="118"/>
      <c r="F271" s="118"/>
      <c r="G271" s="75"/>
      <c r="H271" s="117"/>
      <c r="I271" s="75"/>
      <c r="J271" s="75"/>
      <c r="K271" s="123"/>
      <c r="L271" s="124"/>
      <c r="M271" s="80"/>
      <c r="N271" s="107"/>
      <c r="O271" s="98"/>
      <c r="P271" s="75"/>
      <c r="Q271" s="100"/>
      <c r="R271" s="93"/>
      <c r="S271" s="75"/>
      <c r="T271" s="75"/>
      <c r="V271" s="84"/>
    </row>
    <row r="272" ht="15.75" customHeight="1">
      <c r="A272" s="70"/>
      <c r="B272" s="116"/>
      <c r="C272" s="117"/>
      <c r="D272" s="75"/>
      <c r="E272" s="118"/>
      <c r="F272" s="118"/>
      <c r="G272" s="75"/>
      <c r="H272" s="117"/>
      <c r="I272" s="75"/>
      <c r="J272" s="75"/>
      <c r="K272" s="121"/>
      <c r="L272" s="122"/>
      <c r="M272" s="80"/>
      <c r="N272" s="107"/>
      <c r="O272" s="98"/>
      <c r="P272" s="75"/>
      <c r="Q272" s="100"/>
      <c r="R272" s="93"/>
      <c r="S272" s="75"/>
      <c r="T272" s="75"/>
      <c r="V272" s="84"/>
    </row>
    <row r="273" ht="15.75" customHeight="1">
      <c r="A273" s="70"/>
      <c r="B273" s="116"/>
      <c r="C273" s="117"/>
      <c r="D273" s="75"/>
      <c r="E273" s="118"/>
      <c r="F273" s="118"/>
      <c r="G273" s="75"/>
      <c r="H273" s="117"/>
      <c r="I273" s="75"/>
      <c r="J273" s="75"/>
      <c r="K273" s="123"/>
      <c r="L273" s="124"/>
      <c r="M273" s="80"/>
      <c r="N273" s="107"/>
      <c r="O273" s="98"/>
      <c r="P273" s="75"/>
      <c r="Q273" s="100"/>
      <c r="R273" s="93"/>
      <c r="S273" s="75"/>
      <c r="T273" s="75"/>
      <c r="V273" s="84"/>
    </row>
    <row r="274" ht="15.75" customHeight="1">
      <c r="A274" s="70"/>
      <c r="B274" s="116"/>
      <c r="C274" s="117"/>
      <c r="D274" s="75"/>
      <c r="E274" s="118"/>
      <c r="F274" s="118"/>
      <c r="G274" s="75"/>
      <c r="H274" s="117"/>
      <c r="I274" s="75"/>
      <c r="J274" s="75"/>
      <c r="K274" s="121"/>
      <c r="L274" s="122"/>
      <c r="M274" s="80"/>
      <c r="N274" s="107"/>
      <c r="O274" s="98"/>
      <c r="P274" s="75"/>
      <c r="Q274" s="100"/>
      <c r="R274" s="93"/>
      <c r="S274" s="75"/>
      <c r="T274" s="75"/>
      <c r="V274" s="84"/>
    </row>
    <row r="275" ht="15.75" customHeight="1">
      <c r="A275" s="70"/>
      <c r="B275" s="116"/>
      <c r="C275" s="117"/>
      <c r="D275" s="75"/>
      <c r="E275" s="118"/>
      <c r="F275" s="118"/>
      <c r="G275" s="75"/>
      <c r="H275" s="117"/>
      <c r="I275" s="75"/>
      <c r="J275" s="75"/>
      <c r="K275" s="123"/>
      <c r="L275" s="124"/>
      <c r="M275" s="80"/>
      <c r="N275" s="107"/>
      <c r="O275" s="98"/>
      <c r="P275" s="75"/>
      <c r="Q275" s="100"/>
      <c r="R275" s="93"/>
      <c r="S275" s="75"/>
      <c r="T275" s="75"/>
      <c r="V275" s="84"/>
    </row>
    <row r="276" ht="15.75" customHeight="1">
      <c r="A276" s="70"/>
      <c r="B276" s="116"/>
      <c r="C276" s="117"/>
      <c r="D276" s="75"/>
      <c r="E276" s="118"/>
      <c r="F276" s="118"/>
      <c r="G276" s="75"/>
      <c r="H276" s="117"/>
      <c r="I276" s="75"/>
      <c r="J276" s="75"/>
      <c r="K276" s="121"/>
      <c r="L276" s="122"/>
      <c r="M276" s="80"/>
      <c r="N276" s="107"/>
      <c r="O276" s="98"/>
      <c r="P276" s="75"/>
      <c r="Q276" s="100"/>
      <c r="R276" s="93"/>
      <c r="S276" s="75"/>
      <c r="T276" s="75"/>
      <c r="V276" s="84"/>
    </row>
    <row r="277" ht="15.75" customHeight="1">
      <c r="A277" s="70"/>
      <c r="B277" s="116"/>
      <c r="C277" s="84"/>
      <c r="D277" s="75"/>
      <c r="E277" s="118"/>
      <c r="F277" s="118"/>
      <c r="G277" s="75"/>
      <c r="H277" s="117"/>
      <c r="I277" s="75"/>
      <c r="J277" s="75"/>
      <c r="K277" s="123"/>
      <c r="L277" s="124"/>
      <c r="M277" s="80"/>
      <c r="N277" s="107"/>
      <c r="O277" s="98"/>
      <c r="P277" s="75"/>
      <c r="Q277" s="100"/>
      <c r="R277" s="93"/>
      <c r="S277" s="75"/>
      <c r="T277" s="75"/>
      <c r="V277" s="84"/>
    </row>
    <row r="278" ht="15.75" customHeight="1">
      <c r="A278" s="70"/>
      <c r="B278" s="116"/>
      <c r="C278" s="117"/>
      <c r="D278" s="75"/>
      <c r="E278" s="118"/>
      <c r="F278" s="118"/>
      <c r="G278" s="75"/>
      <c r="H278" s="117"/>
      <c r="I278" s="75"/>
      <c r="J278" s="75"/>
      <c r="K278" s="121"/>
      <c r="L278" s="122"/>
      <c r="M278" s="80"/>
      <c r="N278" s="107"/>
      <c r="O278" s="98"/>
      <c r="P278" s="75"/>
      <c r="Q278" s="100"/>
      <c r="R278" s="93"/>
      <c r="S278" s="75"/>
      <c r="T278" s="75"/>
      <c r="V278" s="84"/>
    </row>
    <row r="279" ht="15.75" customHeight="1">
      <c r="A279" s="70"/>
      <c r="B279" s="116"/>
      <c r="C279" s="117"/>
      <c r="D279" s="75"/>
      <c r="E279" s="118"/>
      <c r="F279" s="118"/>
      <c r="G279" s="75"/>
      <c r="H279" s="117"/>
      <c r="I279" s="75"/>
      <c r="J279" s="75"/>
      <c r="K279" s="123"/>
      <c r="L279" s="124"/>
      <c r="M279" s="80"/>
      <c r="N279" s="107"/>
      <c r="O279" s="98"/>
      <c r="P279" s="75"/>
      <c r="Q279" s="100"/>
      <c r="R279" s="93"/>
      <c r="S279" s="75"/>
      <c r="T279" s="75"/>
      <c r="V279" s="84"/>
    </row>
    <row r="280" ht="15.75" customHeight="1">
      <c r="A280" s="70"/>
      <c r="B280" s="116"/>
      <c r="C280" s="117"/>
      <c r="D280" s="75"/>
      <c r="E280" s="118"/>
      <c r="F280" s="118"/>
      <c r="G280" s="75"/>
      <c r="H280" s="117"/>
      <c r="I280" s="75"/>
      <c r="J280" s="75"/>
      <c r="K280" s="121"/>
      <c r="L280" s="122"/>
      <c r="M280" s="80"/>
      <c r="N280" s="107"/>
      <c r="O280" s="98"/>
      <c r="P280" s="75"/>
      <c r="Q280" s="100"/>
      <c r="R280" s="93"/>
      <c r="S280" s="75"/>
      <c r="T280" s="75"/>
      <c r="V280" s="84"/>
    </row>
    <row r="281" ht="15.75" customHeight="1">
      <c r="A281" s="70"/>
      <c r="B281" s="116"/>
      <c r="C281" s="117"/>
      <c r="D281" s="75"/>
      <c r="E281" s="118"/>
      <c r="F281" s="118"/>
      <c r="G281" s="75"/>
      <c r="H281" s="117"/>
      <c r="I281" s="75"/>
      <c r="J281" s="75"/>
      <c r="K281" s="123"/>
      <c r="L281" s="124"/>
      <c r="M281" s="80"/>
      <c r="N281" s="107"/>
      <c r="O281" s="98"/>
      <c r="P281" s="75"/>
      <c r="Q281" s="100"/>
      <c r="R281" s="93"/>
      <c r="S281" s="75"/>
      <c r="T281" s="75"/>
      <c r="V281" s="84"/>
    </row>
    <row r="282" ht="15.75" customHeight="1">
      <c r="A282" s="70"/>
      <c r="B282" s="116"/>
      <c r="C282" s="117"/>
      <c r="D282" s="75"/>
      <c r="E282" s="118"/>
      <c r="F282" s="118"/>
      <c r="G282" s="75"/>
      <c r="H282" s="117"/>
      <c r="I282" s="75"/>
      <c r="J282" s="75"/>
      <c r="K282" s="121"/>
      <c r="L282" s="122"/>
      <c r="M282" s="80"/>
      <c r="N282" s="107"/>
      <c r="O282" s="98"/>
      <c r="P282" s="75"/>
      <c r="Q282" s="100"/>
      <c r="R282" s="93"/>
      <c r="S282" s="75"/>
      <c r="T282" s="75"/>
      <c r="V282" s="84"/>
    </row>
    <row r="283" ht="15.75" customHeight="1">
      <c r="A283" s="70"/>
      <c r="B283" s="116"/>
      <c r="C283" s="84"/>
      <c r="D283" s="75"/>
      <c r="E283" s="118"/>
      <c r="F283" s="118"/>
      <c r="G283" s="75"/>
      <c r="H283" s="117"/>
      <c r="I283" s="75"/>
      <c r="J283" s="75"/>
      <c r="K283" s="123"/>
      <c r="L283" s="124"/>
      <c r="M283" s="80"/>
      <c r="N283" s="107"/>
      <c r="O283" s="98"/>
      <c r="P283" s="75"/>
      <c r="Q283" s="100"/>
      <c r="R283" s="93"/>
      <c r="S283" s="75"/>
      <c r="T283" s="75"/>
      <c r="V283" s="84"/>
    </row>
    <row r="284" ht="15.75" customHeight="1">
      <c r="A284" s="70"/>
      <c r="B284" s="116"/>
      <c r="C284" s="117"/>
      <c r="D284" s="75"/>
      <c r="E284" s="118"/>
      <c r="F284" s="118"/>
      <c r="G284" s="75"/>
      <c r="H284" s="117"/>
      <c r="I284" s="75"/>
      <c r="J284" s="75"/>
      <c r="K284" s="121"/>
      <c r="L284" s="122"/>
      <c r="M284" s="80"/>
      <c r="N284" s="107"/>
      <c r="O284" s="98"/>
      <c r="P284" s="75"/>
      <c r="Q284" s="100"/>
      <c r="R284" s="93"/>
      <c r="S284" s="75"/>
      <c r="T284" s="75"/>
      <c r="V284" s="84"/>
    </row>
    <row r="285" ht="15.75" customHeight="1">
      <c r="A285" s="70"/>
      <c r="B285" s="116"/>
      <c r="C285" s="117"/>
      <c r="D285" s="75"/>
      <c r="E285" s="118"/>
      <c r="F285" s="118"/>
      <c r="G285" s="75"/>
      <c r="H285" s="117"/>
      <c r="I285" s="75"/>
      <c r="J285" s="75"/>
      <c r="K285" s="123"/>
      <c r="L285" s="124"/>
      <c r="M285" s="80"/>
      <c r="N285" s="107"/>
      <c r="O285" s="98"/>
      <c r="P285" s="75"/>
      <c r="Q285" s="100"/>
      <c r="R285" s="93"/>
      <c r="S285" s="75"/>
      <c r="T285" s="75"/>
      <c r="V285" s="84"/>
    </row>
    <row r="286" ht="15.75" customHeight="1">
      <c r="A286" s="70"/>
      <c r="B286" s="116"/>
      <c r="C286" s="117"/>
      <c r="D286" s="75"/>
      <c r="E286" s="118"/>
      <c r="F286" s="118"/>
      <c r="G286" s="75"/>
      <c r="H286" s="117"/>
      <c r="I286" s="75"/>
      <c r="J286" s="75"/>
      <c r="K286" s="121"/>
      <c r="L286" s="122"/>
      <c r="M286" s="80"/>
      <c r="N286" s="107"/>
      <c r="O286" s="98"/>
      <c r="P286" s="75"/>
      <c r="Q286" s="100"/>
      <c r="R286" s="93"/>
      <c r="S286" s="75"/>
      <c r="T286" s="75"/>
      <c r="V286" s="84"/>
    </row>
    <row r="287" ht="15.75" customHeight="1">
      <c r="A287" s="70"/>
      <c r="B287" s="116"/>
      <c r="C287" s="117"/>
      <c r="D287" s="75"/>
      <c r="E287" s="118"/>
      <c r="F287" s="118"/>
      <c r="G287" s="75"/>
      <c r="H287" s="117"/>
      <c r="I287" s="75"/>
      <c r="J287" s="75"/>
      <c r="K287" s="123"/>
      <c r="L287" s="124"/>
      <c r="M287" s="80"/>
      <c r="N287" s="107"/>
      <c r="O287" s="98"/>
      <c r="P287" s="75"/>
      <c r="Q287" s="100"/>
      <c r="R287" s="93"/>
      <c r="S287" s="75"/>
      <c r="T287" s="75"/>
      <c r="V287" s="84"/>
    </row>
    <row r="288" ht="15.75" customHeight="1">
      <c r="A288" s="70"/>
      <c r="B288" s="116"/>
      <c r="C288" s="117"/>
      <c r="D288" s="75"/>
      <c r="E288" s="118"/>
      <c r="F288" s="118"/>
      <c r="G288" s="75"/>
      <c r="H288" s="117"/>
      <c r="I288" s="75"/>
      <c r="J288" s="75"/>
      <c r="K288" s="121"/>
      <c r="L288" s="122"/>
      <c r="M288" s="80"/>
      <c r="N288" s="107"/>
      <c r="O288" s="98"/>
      <c r="P288" s="75"/>
      <c r="Q288" s="100"/>
      <c r="R288" s="93"/>
      <c r="S288" s="75"/>
      <c r="T288" s="75"/>
      <c r="V288" s="84"/>
    </row>
    <row r="289" ht="15.75" customHeight="1">
      <c r="A289" s="70"/>
      <c r="B289" s="116"/>
      <c r="C289" s="84"/>
      <c r="D289" s="75"/>
      <c r="E289" s="118"/>
      <c r="F289" s="118"/>
      <c r="G289" s="75"/>
      <c r="H289" s="117"/>
      <c r="I289" s="75"/>
      <c r="J289" s="75"/>
      <c r="K289" s="123"/>
      <c r="L289" s="124"/>
      <c r="M289" s="80"/>
      <c r="N289" s="107"/>
      <c r="O289" s="98"/>
      <c r="P289" s="75"/>
      <c r="Q289" s="100"/>
      <c r="R289" s="93"/>
      <c r="S289" s="75"/>
      <c r="T289" s="75"/>
      <c r="V289" s="84"/>
    </row>
    <row r="290" ht="15.75" customHeight="1">
      <c r="A290" s="70"/>
      <c r="B290" s="116"/>
      <c r="C290" s="117"/>
      <c r="D290" s="75"/>
      <c r="E290" s="118"/>
      <c r="F290" s="118"/>
      <c r="G290" s="75"/>
      <c r="H290" s="117"/>
      <c r="I290" s="75"/>
      <c r="J290" s="75"/>
      <c r="K290" s="121"/>
      <c r="L290" s="122"/>
      <c r="M290" s="80"/>
      <c r="N290" s="107"/>
      <c r="O290" s="98"/>
      <c r="P290" s="75"/>
      <c r="Q290" s="100"/>
      <c r="R290" s="93"/>
      <c r="S290" s="75"/>
      <c r="T290" s="75"/>
      <c r="V290" s="84"/>
    </row>
    <row r="291" ht="15.75" customHeight="1">
      <c r="A291" s="70"/>
      <c r="B291" s="116"/>
      <c r="C291" s="117"/>
      <c r="D291" s="75"/>
      <c r="E291" s="118"/>
      <c r="F291" s="118"/>
      <c r="G291" s="75"/>
      <c r="H291" s="117"/>
      <c r="I291" s="75"/>
      <c r="J291" s="75"/>
      <c r="K291" s="123"/>
      <c r="L291" s="124"/>
      <c r="M291" s="80"/>
      <c r="N291" s="107"/>
      <c r="O291" s="98"/>
      <c r="P291" s="75"/>
      <c r="Q291" s="100"/>
      <c r="R291" s="93"/>
      <c r="S291" s="75"/>
      <c r="T291" s="75"/>
      <c r="V291" s="84"/>
    </row>
    <row r="292" ht="15.75" customHeight="1">
      <c r="A292" s="70"/>
      <c r="B292" s="116"/>
      <c r="C292" s="117"/>
      <c r="D292" s="75"/>
      <c r="E292" s="118"/>
      <c r="F292" s="118"/>
      <c r="G292" s="75"/>
      <c r="H292" s="117"/>
      <c r="I292" s="75"/>
      <c r="J292" s="75"/>
      <c r="K292" s="121"/>
      <c r="L292" s="122"/>
      <c r="M292" s="80"/>
      <c r="N292" s="107"/>
      <c r="O292" s="98"/>
      <c r="P292" s="75"/>
      <c r="Q292" s="100"/>
      <c r="R292" s="93"/>
      <c r="S292" s="75"/>
      <c r="T292" s="75"/>
      <c r="V292" s="84"/>
    </row>
    <row r="293" ht="15.75" customHeight="1">
      <c r="A293" s="70"/>
      <c r="B293" s="116"/>
      <c r="C293" s="117"/>
      <c r="D293" s="75"/>
      <c r="E293" s="118"/>
      <c r="F293" s="118"/>
      <c r="G293" s="75"/>
      <c r="H293" s="117"/>
      <c r="I293" s="75"/>
      <c r="J293" s="75"/>
      <c r="K293" s="123"/>
      <c r="L293" s="124"/>
      <c r="M293" s="80"/>
      <c r="N293" s="107"/>
      <c r="O293" s="98"/>
      <c r="P293" s="75"/>
      <c r="Q293" s="100"/>
      <c r="R293" s="93"/>
      <c r="S293" s="75"/>
      <c r="T293" s="75"/>
      <c r="V293" s="84"/>
    </row>
    <row r="294" ht="15.75" customHeight="1">
      <c r="A294" s="70"/>
      <c r="B294" s="116"/>
      <c r="C294" s="117"/>
      <c r="D294" s="75"/>
      <c r="E294" s="118"/>
      <c r="F294" s="118"/>
      <c r="G294" s="75"/>
      <c r="H294" s="117"/>
      <c r="I294" s="75"/>
      <c r="J294" s="75"/>
      <c r="K294" s="121"/>
      <c r="L294" s="122"/>
      <c r="M294" s="80"/>
      <c r="N294" s="107"/>
      <c r="O294" s="98"/>
      <c r="P294" s="75"/>
      <c r="Q294" s="100"/>
      <c r="R294" s="93"/>
      <c r="S294" s="75"/>
      <c r="T294" s="75"/>
      <c r="V294" s="84"/>
    </row>
    <row r="295" ht="15.75" customHeight="1">
      <c r="A295" s="70"/>
      <c r="B295" s="116"/>
      <c r="C295" s="84"/>
      <c r="D295" s="75"/>
      <c r="E295" s="118"/>
      <c r="F295" s="118"/>
      <c r="G295" s="75"/>
      <c r="H295" s="117"/>
      <c r="I295" s="75"/>
      <c r="J295" s="75"/>
      <c r="K295" s="123"/>
      <c r="L295" s="124"/>
      <c r="M295" s="80"/>
      <c r="N295" s="107"/>
      <c r="O295" s="98"/>
      <c r="P295" s="75"/>
      <c r="Q295" s="100"/>
      <c r="R295" s="93"/>
      <c r="S295" s="75"/>
      <c r="T295" s="75"/>
      <c r="V295" s="84"/>
    </row>
    <row r="296" ht="15.75" customHeight="1">
      <c r="A296" s="70"/>
      <c r="B296" s="116"/>
      <c r="C296" s="117"/>
      <c r="D296" s="75"/>
      <c r="E296" s="118"/>
      <c r="F296" s="118"/>
      <c r="G296" s="75"/>
      <c r="H296" s="117"/>
      <c r="I296" s="75"/>
      <c r="J296" s="75"/>
      <c r="K296" s="121"/>
      <c r="L296" s="122"/>
      <c r="M296" s="80"/>
      <c r="N296" s="107"/>
      <c r="O296" s="98"/>
      <c r="P296" s="75"/>
      <c r="Q296" s="100"/>
      <c r="R296" s="93"/>
      <c r="S296" s="75"/>
      <c r="T296" s="75"/>
      <c r="V296" s="84"/>
    </row>
    <row r="297" ht="15.75" customHeight="1">
      <c r="A297" s="70"/>
      <c r="B297" s="116"/>
      <c r="C297" s="117"/>
      <c r="D297" s="75"/>
      <c r="E297" s="118"/>
      <c r="F297" s="118"/>
      <c r="G297" s="75"/>
      <c r="H297" s="117"/>
      <c r="I297" s="75"/>
      <c r="J297" s="75"/>
      <c r="K297" s="123"/>
      <c r="L297" s="124"/>
      <c r="M297" s="80"/>
      <c r="N297" s="107"/>
      <c r="O297" s="98"/>
      <c r="P297" s="75"/>
      <c r="Q297" s="100"/>
      <c r="R297" s="93"/>
      <c r="S297" s="75"/>
      <c r="T297" s="75"/>
      <c r="V297" s="84"/>
    </row>
    <row r="298" ht="15.75" customHeight="1">
      <c r="A298" s="70"/>
      <c r="B298" s="116"/>
      <c r="C298" s="117"/>
      <c r="D298" s="75"/>
      <c r="E298" s="118"/>
      <c r="F298" s="118"/>
      <c r="G298" s="75"/>
      <c r="H298" s="117"/>
      <c r="I298" s="75"/>
      <c r="J298" s="75"/>
      <c r="K298" s="121"/>
      <c r="L298" s="122"/>
      <c r="M298" s="80"/>
      <c r="N298" s="107"/>
      <c r="O298" s="98"/>
      <c r="P298" s="75"/>
      <c r="Q298" s="100"/>
      <c r="R298" s="93"/>
      <c r="S298" s="75"/>
      <c r="T298" s="75"/>
      <c r="V298" s="84"/>
    </row>
    <row r="299" ht="15.75" customHeight="1">
      <c r="A299" s="70"/>
      <c r="B299" s="116"/>
      <c r="C299" s="117"/>
      <c r="D299" s="75"/>
      <c r="E299" s="118"/>
      <c r="F299" s="118"/>
      <c r="G299" s="75"/>
      <c r="H299" s="117"/>
      <c r="I299" s="75"/>
      <c r="J299" s="75"/>
      <c r="K299" s="123"/>
      <c r="L299" s="124"/>
      <c r="M299" s="80"/>
      <c r="N299" s="107"/>
      <c r="O299" s="98"/>
      <c r="P299" s="75"/>
      <c r="Q299" s="100"/>
      <c r="R299" s="93"/>
      <c r="S299" s="75"/>
      <c r="T299" s="75"/>
      <c r="V299" s="84"/>
    </row>
    <row r="300" ht="15.75" customHeight="1">
      <c r="A300" s="70"/>
      <c r="B300" s="116"/>
      <c r="C300" s="117"/>
      <c r="D300" s="75"/>
      <c r="E300" s="118"/>
      <c r="F300" s="118"/>
      <c r="G300" s="75"/>
      <c r="H300" s="117"/>
      <c r="I300" s="75"/>
      <c r="J300" s="75"/>
      <c r="K300" s="121"/>
      <c r="L300" s="122"/>
      <c r="M300" s="80"/>
      <c r="N300" s="107"/>
      <c r="O300" s="98"/>
      <c r="P300" s="75"/>
      <c r="Q300" s="100"/>
      <c r="R300" s="93"/>
      <c r="S300" s="75"/>
      <c r="T300" s="75"/>
      <c r="V300" s="84"/>
    </row>
    <row r="301" ht="15.75" customHeight="1">
      <c r="A301" s="70"/>
      <c r="B301" s="116"/>
      <c r="C301" s="84"/>
      <c r="D301" s="75"/>
      <c r="E301" s="118"/>
      <c r="F301" s="118"/>
      <c r="G301" s="75"/>
      <c r="H301" s="117"/>
      <c r="I301" s="75"/>
      <c r="J301" s="75"/>
      <c r="K301" s="123"/>
      <c r="L301" s="124"/>
      <c r="M301" s="80"/>
      <c r="N301" s="107"/>
      <c r="O301" s="98"/>
      <c r="P301" s="75"/>
      <c r="Q301" s="100"/>
      <c r="R301" s="93"/>
      <c r="S301" s="75"/>
      <c r="T301" s="75"/>
      <c r="V301" s="84"/>
    </row>
    <row r="302" ht="15.75" customHeight="1">
      <c r="A302" s="70"/>
      <c r="B302" s="116"/>
      <c r="C302" s="117"/>
      <c r="D302" s="75"/>
      <c r="E302" s="118"/>
      <c r="F302" s="118"/>
      <c r="G302" s="75"/>
      <c r="H302" s="117"/>
      <c r="I302" s="75"/>
      <c r="J302" s="75"/>
      <c r="K302" s="121"/>
      <c r="L302" s="122"/>
      <c r="M302" s="80"/>
      <c r="N302" s="107"/>
      <c r="O302" s="98"/>
      <c r="P302" s="75"/>
      <c r="Q302" s="100"/>
      <c r="R302" s="93"/>
      <c r="S302" s="75"/>
      <c r="T302" s="75"/>
      <c r="V302" s="84"/>
    </row>
    <row r="303" ht="15.75" customHeight="1">
      <c r="A303" s="70"/>
      <c r="B303" s="116"/>
      <c r="C303" s="117"/>
      <c r="D303" s="75"/>
      <c r="E303" s="118"/>
      <c r="F303" s="118"/>
      <c r="G303" s="75"/>
      <c r="H303" s="117"/>
      <c r="I303" s="75"/>
      <c r="J303" s="75"/>
      <c r="K303" s="123"/>
      <c r="L303" s="124"/>
      <c r="M303" s="80"/>
      <c r="N303" s="107"/>
      <c r="O303" s="98"/>
      <c r="P303" s="75"/>
      <c r="Q303" s="100"/>
      <c r="R303" s="93"/>
      <c r="S303" s="75"/>
      <c r="T303" s="75"/>
      <c r="V303" s="84"/>
    </row>
    <row r="304" ht="15.75" customHeight="1">
      <c r="A304" s="70"/>
      <c r="B304" s="116"/>
      <c r="C304" s="117"/>
      <c r="D304" s="75"/>
      <c r="E304" s="118"/>
      <c r="F304" s="118"/>
      <c r="G304" s="75"/>
      <c r="H304" s="117"/>
      <c r="I304" s="75"/>
      <c r="J304" s="75"/>
      <c r="K304" s="121"/>
      <c r="L304" s="122"/>
      <c r="M304" s="80"/>
      <c r="N304" s="107"/>
      <c r="O304" s="98"/>
      <c r="P304" s="75"/>
      <c r="Q304" s="100"/>
      <c r="R304" s="93"/>
      <c r="S304" s="75"/>
      <c r="T304" s="75"/>
      <c r="V304" s="84"/>
    </row>
    <row r="305" ht="15.75" customHeight="1">
      <c r="A305" s="70"/>
      <c r="B305" s="116"/>
      <c r="C305" s="117"/>
      <c r="D305" s="75"/>
      <c r="E305" s="118"/>
      <c r="F305" s="118"/>
      <c r="G305" s="75"/>
      <c r="H305" s="117"/>
      <c r="I305" s="75"/>
      <c r="J305" s="75"/>
      <c r="K305" s="123"/>
      <c r="L305" s="124"/>
      <c r="M305" s="80"/>
      <c r="N305" s="107"/>
      <c r="O305" s="98"/>
      <c r="P305" s="75"/>
      <c r="Q305" s="100"/>
      <c r="R305" s="93"/>
      <c r="S305" s="75"/>
      <c r="T305" s="75"/>
      <c r="V305" s="84"/>
    </row>
    <row r="306" ht="15.75" customHeight="1">
      <c r="A306" s="70"/>
      <c r="B306" s="116"/>
      <c r="C306" s="117"/>
      <c r="D306" s="75"/>
      <c r="E306" s="118"/>
      <c r="F306" s="118"/>
      <c r="G306" s="75"/>
      <c r="H306" s="117"/>
      <c r="I306" s="75"/>
      <c r="J306" s="75"/>
      <c r="K306" s="121"/>
      <c r="L306" s="122"/>
      <c r="M306" s="80"/>
      <c r="N306" s="107"/>
      <c r="O306" s="98"/>
      <c r="P306" s="75"/>
      <c r="Q306" s="100"/>
      <c r="R306" s="93"/>
      <c r="S306" s="75"/>
      <c r="T306" s="75"/>
      <c r="V306" s="84"/>
    </row>
    <row r="307" ht="15.75" customHeight="1">
      <c r="A307" s="70"/>
      <c r="B307" s="116"/>
      <c r="C307" s="84"/>
      <c r="D307" s="75"/>
      <c r="E307" s="118"/>
      <c r="F307" s="118"/>
      <c r="G307" s="75"/>
      <c r="H307" s="117"/>
      <c r="I307" s="75"/>
      <c r="J307" s="75"/>
      <c r="K307" s="123"/>
      <c r="L307" s="124"/>
      <c r="M307" s="80"/>
      <c r="N307" s="107"/>
      <c r="O307" s="98"/>
      <c r="P307" s="75"/>
      <c r="Q307" s="100"/>
      <c r="R307" s="93"/>
      <c r="S307" s="75"/>
      <c r="T307" s="75"/>
      <c r="V307" s="84"/>
    </row>
    <row r="308" ht="15.75" customHeight="1">
      <c r="A308" s="70"/>
      <c r="B308" s="116"/>
      <c r="C308" s="117"/>
      <c r="D308" s="75"/>
      <c r="E308" s="118"/>
      <c r="F308" s="118"/>
      <c r="G308" s="75"/>
      <c r="H308" s="117"/>
      <c r="I308" s="75"/>
      <c r="J308" s="75"/>
      <c r="K308" s="121"/>
      <c r="L308" s="122"/>
      <c r="M308" s="80"/>
      <c r="N308" s="107"/>
      <c r="O308" s="98"/>
      <c r="P308" s="75"/>
      <c r="Q308" s="100"/>
      <c r="R308" s="93"/>
      <c r="S308" s="75"/>
      <c r="T308" s="75"/>
      <c r="V308" s="84"/>
    </row>
    <row r="309" ht="15.75" customHeight="1">
      <c r="A309" s="70"/>
      <c r="B309" s="116"/>
      <c r="C309" s="117"/>
      <c r="D309" s="75"/>
      <c r="E309" s="118"/>
      <c r="F309" s="118"/>
      <c r="G309" s="75"/>
      <c r="H309" s="117"/>
      <c r="I309" s="75"/>
      <c r="J309" s="75"/>
      <c r="K309" s="123"/>
      <c r="L309" s="124"/>
      <c r="M309" s="80"/>
      <c r="N309" s="107"/>
      <c r="O309" s="98"/>
      <c r="P309" s="75"/>
      <c r="Q309" s="100"/>
      <c r="R309" s="93"/>
      <c r="S309" s="75"/>
      <c r="T309" s="75"/>
      <c r="V309" s="84"/>
    </row>
    <row r="310" ht="15.75" customHeight="1">
      <c r="A310" s="70"/>
      <c r="B310" s="116"/>
      <c r="C310" s="117"/>
      <c r="D310" s="75"/>
      <c r="E310" s="118"/>
      <c r="F310" s="118"/>
      <c r="G310" s="75"/>
      <c r="H310" s="117"/>
      <c r="I310" s="75"/>
      <c r="J310" s="75"/>
      <c r="K310" s="121"/>
      <c r="L310" s="122"/>
      <c r="M310" s="80"/>
      <c r="N310" s="107"/>
      <c r="O310" s="98"/>
      <c r="P310" s="75"/>
      <c r="Q310" s="100"/>
      <c r="R310" s="93"/>
      <c r="S310" s="75"/>
      <c r="T310" s="75"/>
      <c r="V310" s="84"/>
    </row>
    <row r="311" ht="15.75" customHeight="1">
      <c r="A311" s="70"/>
      <c r="B311" s="116"/>
      <c r="C311" s="117"/>
      <c r="D311" s="75"/>
      <c r="E311" s="118"/>
      <c r="F311" s="118"/>
      <c r="G311" s="75"/>
      <c r="H311" s="117"/>
      <c r="I311" s="75"/>
      <c r="J311" s="75"/>
      <c r="K311" s="123"/>
      <c r="L311" s="124"/>
      <c r="M311" s="80"/>
      <c r="N311" s="107"/>
      <c r="O311" s="98"/>
      <c r="P311" s="75"/>
      <c r="Q311" s="100"/>
      <c r="R311" s="93"/>
      <c r="S311" s="75"/>
      <c r="T311" s="75"/>
      <c r="V311" s="84"/>
    </row>
    <row r="312" ht="15.75" customHeight="1">
      <c r="A312" s="70"/>
      <c r="B312" s="116"/>
      <c r="C312" s="117"/>
      <c r="D312" s="75"/>
      <c r="E312" s="118"/>
      <c r="F312" s="118"/>
      <c r="G312" s="75"/>
      <c r="H312" s="117"/>
      <c r="I312" s="75"/>
      <c r="J312" s="75"/>
      <c r="K312" s="121"/>
      <c r="L312" s="122"/>
      <c r="M312" s="80"/>
      <c r="N312" s="107"/>
      <c r="O312" s="98"/>
      <c r="P312" s="75"/>
      <c r="Q312" s="100"/>
      <c r="R312" s="93"/>
      <c r="S312" s="75"/>
      <c r="T312" s="75"/>
      <c r="V312" s="84"/>
    </row>
    <row r="313" ht="15.75" customHeight="1">
      <c r="A313" s="70"/>
      <c r="B313" s="116"/>
      <c r="C313" s="84"/>
      <c r="D313" s="75"/>
      <c r="E313" s="118"/>
      <c r="F313" s="118"/>
      <c r="G313" s="75"/>
      <c r="H313" s="117"/>
      <c r="I313" s="75"/>
      <c r="J313" s="75"/>
      <c r="K313" s="123"/>
      <c r="L313" s="124"/>
      <c r="M313" s="80"/>
      <c r="N313" s="107"/>
      <c r="O313" s="98"/>
      <c r="P313" s="75"/>
      <c r="Q313" s="100"/>
      <c r="R313" s="93"/>
      <c r="S313" s="75"/>
      <c r="T313" s="75"/>
      <c r="V313" s="84"/>
    </row>
    <row r="314" ht="15.75" customHeight="1">
      <c r="A314" s="70"/>
      <c r="B314" s="116"/>
      <c r="C314" s="117"/>
      <c r="D314" s="75"/>
      <c r="E314" s="118"/>
      <c r="F314" s="118"/>
      <c r="G314" s="75"/>
      <c r="H314" s="117"/>
      <c r="I314" s="75"/>
      <c r="J314" s="75"/>
      <c r="K314" s="121"/>
      <c r="L314" s="122"/>
      <c r="M314" s="80"/>
      <c r="N314" s="107"/>
      <c r="O314" s="98"/>
      <c r="P314" s="75"/>
      <c r="Q314" s="100"/>
      <c r="R314" s="93"/>
      <c r="S314" s="75"/>
      <c r="T314" s="75"/>
      <c r="V314" s="84"/>
    </row>
    <row r="315" ht="15.75" customHeight="1">
      <c r="A315" s="70"/>
      <c r="B315" s="116"/>
      <c r="C315" s="117"/>
      <c r="D315" s="75"/>
      <c r="E315" s="118"/>
      <c r="F315" s="118"/>
      <c r="G315" s="75"/>
      <c r="H315" s="117"/>
      <c r="I315" s="75"/>
      <c r="J315" s="75"/>
      <c r="K315" s="123"/>
      <c r="L315" s="124"/>
      <c r="M315" s="80"/>
      <c r="N315" s="107"/>
      <c r="O315" s="98"/>
      <c r="P315" s="75"/>
      <c r="Q315" s="100"/>
      <c r="R315" s="93"/>
      <c r="S315" s="75"/>
      <c r="T315" s="75"/>
      <c r="V315" s="84"/>
    </row>
    <row r="316" ht="15.75" customHeight="1">
      <c r="A316" s="70"/>
      <c r="B316" s="116"/>
      <c r="C316" s="117"/>
      <c r="D316" s="75"/>
      <c r="E316" s="118"/>
      <c r="F316" s="118"/>
      <c r="G316" s="75"/>
      <c r="H316" s="117"/>
      <c r="I316" s="75"/>
      <c r="J316" s="75"/>
      <c r="K316" s="121"/>
      <c r="L316" s="122"/>
      <c r="M316" s="80"/>
      <c r="N316" s="107"/>
      <c r="O316" s="98"/>
      <c r="P316" s="75"/>
      <c r="Q316" s="100"/>
      <c r="R316" s="93"/>
      <c r="S316" s="75"/>
      <c r="T316" s="75"/>
      <c r="V316" s="84"/>
    </row>
    <row r="317" ht="15.75" customHeight="1">
      <c r="A317" s="70"/>
      <c r="B317" s="116"/>
      <c r="C317" s="117"/>
      <c r="D317" s="75"/>
      <c r="E317" s="118"/>
      <c r="F317" s="118"/>
      <c r="G317" s="75"/>
      <c r="H317" s="117"/>
      <c r="I317" s="75"/>
      <c r="J317" s="75"/>
      <c r="K317" s="123"/>
      <c r="L317" s="124"/>
      <c r="M317" s="80"/>
      <c r="N317" s="107"/>
      <c r="O317" s="98"/>
      <c r="P317" s="75"/>
      <c r="Q317" s="100"/>
      <c r="R317" s="93"/>
      <c r="S317" s="75"/>
      <c r="T317" s="75"/>
      <c r="V317" s="84"/>
    </row>
    <row r="318" ht="15.75" customHeight="1">
      <c r="A318" s="70"/>
      <c r="B318" s="116"/>
      <c r="C318" s="117"/>
      <c r="D318" s="75"/>
      <c r="E318" s="118"/>
      <c r="F318" s="118"/>
      <c r="G318" s="75"/>
      <c r="H318" s="117"/>
      <c r="I318" s="75"/>
      <c r="J318" s="75"/>
      <c r="K318" s="121"/>
      <c r="L318" s="122"/>
      <c r="M318" s="80"/>
      <c r="N318" s="107"/>
      <c r="O318" s="98"/>
      <c r="P318" s="75"/>
      <c r="Q318" s="100"/>
      <c r="R318" s="93"/>
      <c r="S318" s="75"/>
      <c r="T318" s="75"/>
      <c r="V318" s="84"/>
    </row>
    <row r="319" ht="15.75" customHeight="1">
      <c r="A319" s="70"/>
      <c r="B319" s="116"/>
      <c r="C319" s="84"/>
      <c r="D319" s="75"/>
      <c r="E319" s="118"/>
      <c r="F319" s="118"/>
      <c r="G319" s="75"/>
      <c r="H319" s="117"/>
      <c r="I319" s="75"/>
      <c r="J319" s="75"/>
      <c r="K319" s="123"/>
      <c r="L319" s="124"/>
      <c r="M319" s="80"/>
      <c r="N319" s="107"/>
      <c r="O319" s="98"/>
      <c r="P319" s="75"/>
      <c r="Q319" s="100"/>
      <c r="R319" s="93"/>
      <c r="S319" s="75"/>
      <c r="T319" s="75"/>
      <c r="V319" s="84"/>
    </row>
    <row r="320" ht="15.75" customHeight="1">
      <c r="A320" s="70"/>
      <c r="B320" s="116"/>
      <c r="C320" s="117"/>
      <c r="D320" s="75"/>
      <c r="E320" s="118"/>
      <c r="F320" s="118"/>
      <c r="G320" s="75"/>
      <c r="H320" s="117"/>
      <c r="I320" s="75"/>
      <c r="J320" s="75"/>
      <c r="K320" s="121"/>
      <c r="L320" s="122"/>
      <c r="M320" s="80"/>
      <c r="N320" s="107"/>
      <c r="O320" s="98"/>
      <c r="P320" s="75"/>
      <c r="Q320" s="100"/>
      <c r="R320" s="93"/>
      <c r="S320" s="75"/>
      <c r="T320" s="75"/>
      <c r="V320" s="84"/>
    </row>
    <row r="321" ht="15.75" customHeight="1">
      <c r="A321" s="70"/>
      <c r="B321" s="116"/>
      <c r="C321" s="117"/>
      <c r="D321" s="75"/>
      <c r="E321" s="118"/>
      <c r="F321" s="118"/>
      <c r="G321" s="75"/>
      <c r="H321" s="117"/>
      <c r="I321" s="75"/>
      <c r="J321" s="75"/>
      <c r="K321" s="123"/>
      <c r="L321" s="124"/>
      <c r="M321" s="80"/>
      <c r="N321" s="107"/>
      <c r="O321" s="98"/>
      <c r="P321" s="75"/>
      <c r="Q321" s="100"/>
      <c r="R321" s="93"/>
      <c r="S321" s="75"/>
      <c r="T321" s="75"/>
      <c r="V321" s="84"/>
    </row>
    <row r="322" ht="15.75" customHeight="1">
      <c r="A322" s="70"/>
      <c r="B322" s="116"/>
      <c r="C322" s="117"/>
      <c r="D322" s="75"/>
      <c r="E322" s="118"/>
      <c r="F322" s="118"/>
      <c r="G322" s="75"/>
      <c r="H322" s="117"/>
      <c r="I322" s="75"/>
      <c r="J322" s="75"/>
      <c r="K322" s="121"/>
      <c r="L322" s="122"/>
      <c r="M322" s="80"/>
      <c r="N322" s="107"/>
      <c r="O322" s="98"/>
      <c r="P322" s="75"/>
      <c r="Q322" s="100"/>
      <c r="R322" s="93"/>
      <c r="S322" s="75"/>
      <c r="T322" s="75"/>
      <c r="V322" s="84"/>
    </row>
    <row r="323" ht="15.75" customHeight="1">
      <c r="A323" s="70"/>
      <c r="B323" s="116"/>
      <c r="C323" s="117"/>
      <c r="D323" s="75"/>
      <c r="E323" s="118"/>
      <c r="F323" s="118"/>
      <c r="G323" s="75"/>
      <c r="H323" s="117"/>
      <c r="I323" s="75"/>
      <c r="J323" s="75"/>
      <c r="K323" s="123"/>
      <c r="L323" s="124"/>
      <c r="M323" s="80"/>
      <c r="N323" s="107"/>
      <c r="O323" s="98"/>
      <c r="P323" s="75"/>
      <c r="Q323" s="100"/>
      <c r="R323" s="93"/>
      <c r="S323" s="75"/>
      <c r="T323" s="75"/>
      <c r="V323" s="84"/>
    </row>
    <row r="324" ht="15.75" customHeight="1">
      <c r="A324" s="70"/>
      <c r="B324" s="116"/>
      <c r="C324" s="117"/>
      <c r="D324" s="75"/>
      <c r="E324" s="118"/>
      <c r="F324" s="118"/>
      <c r="G324" s="75"/>
      <c r="H324" s="117"/>
      <c r="I324" s="75"/>
      <c r="J324" s="75"/>
      <c r="K324" s="121"/>
      <c r="L324" s="122"/>
      <c r="M324" s="80"/>
      <c r="N324" s="107"/>
      <c r="O324" s="98"/>
      <c r="P324" s="75"/>
      <c r="Q324" s="100"/>
      <c r="R324" s="93"/>
      <c r="S324" s="75"/>
      <c r="T324" s="75"/>
      <c r="V324" s="84"/>
    </row>
    <row r="325" ht="15.75" customHeight="1">
      <c r="A325" s="70"/>
      <c r="B325" s="116"/>
      <c r="C325" s="84"/>
      <c r="D325" s="75"/>
      <c r="E325" s="118"/>
      <c r="F325" s="118"/>
      <c r="G325" s="75"/>
      <c r="H325" s="117"/>
      <c r="I325" s="75"/>
      <c r="J325" s="75"/>
      <c r="K325" s="123"/>
      <c r="L325" s="124"/>
      <c r="M325" s="80"/>
      <c r="N325" s="107"/>
      <c r="O325" s="98"/>
      <c r="P325" s="75"/>
      <c r="Q325" s="100"/>
      <c r="R325" s="93"/>
      <c r="S325" s="75"/>
      <c r="T325" s="75"/>
      <c r="V325" s="84"/>
    </row>
    <row r="326" ht="15.75" customHeight="1">
      <c r="A326" s="70"/>
      <c r="B326" s="116"/>
      <c r="C326" s="117"/>
      <c r="D326" s="75"/>
      <c r="E326" s="118"/>
      <c r="F326" s="118"/>
      <c r="G326" s="75"/>
      <c r="H326" s="117"/>
      <c r="I326" s="75"/>
      <c r="J326" s="75"/>
      <c r="K326" s="121"/>
      <c r="L326" s="122"/>
      <c r="M326" s="80"/>
      <c r="N326" s="107"/>
      <c r="O326" s="98"/>
      <c r="P326" s="75"/>
      <c r="Q326" s="100"/>
      <c r="R326" s="93"/>
      <c r="S326" s="75"/>
      <c r="T326" s="75"/>
      <c r="V326" s="84"/>
    </row>
    <row r="327" ht="15.75" customHeight="1">
      <c r="A327" s="70"/>
      <c r="B327" s="116"/>
      <c r="C327" s="117"/>
      <c r="D327" s="75"/>
      <c r="E327" s="118"/>
      <c r="F327" s="118"/>
      <c r="G327" s="75"/>
      <c r="H327" s="117"/>
      <c r="I327" s="75"/>
      <c r="J327" s="75"/>
      <c r="K327" s="123"/>
      <c r="L327" s="124"/>
      <c r="M327" s="80"/>
      <c r="N327" s="107"/>
      <c r="O327" s="98"/>
      <c r="P327" s="75"/>
      <c r="Q327" s="100"/>
      <c r="R327" s="93"/>
      <c r="S327" s="75"/>
      <c r="T327" s="75"/>
      <c r="V327" s="84"/>
    </row>
    <row r="328" ht="15.75" customHeight="1">
      <c r="A328" s="70"/>
      <c r="B328" s="116"/>
      <c r="C328" s="117"/>
      <c r="D328" s="75"/>
      <c r="E328" s="118"/>
      <c r="F328" s="118"/>
      <c r="G328" s="75"/>
      <c r="H328" s="117"/>
      <c r="I328" s="75"/>
      <c r="J328" s="75"/>
      <c r="K328" s="125"/>
      <c r="L328" s="126"/>
      <c r="M328" s="80"/>
      <c r="N328" s="107"/>
      <c r="O328" s="98"/>
      <c r="P328" s="75"/>
      <c r="Q328" s="100"/>
      <c r="R328" s="93"/>
      <c r="S328" s="75"/>
      <c r="T328" s="75"/>
      <c r="V328" s="84"/>
    </row>
    <row r="329" ht="15.75" customHeight="1">
      <c r="A329" s="70"/>
      <c r="B329" s="116"/>
      <c r="C329" s="117"/>
      <c r="D329" s="75"/>
      <c r="E329" s="118"/>
      <c r="F329" s="118"/>
      <c r="G329" s="75"/>
      <c r="H329" s="117"/>
      <c r="I329" s="75"/>
      <c r="J329" s="75"/>
      <c r="K329" s="125"/>
      <c r="L329" s="126"/>
      <c r="M329" s="80"/>
      <c r="N329" s="107"/>
      <c r="O329" s="98"/>
      <c r="P329" s="75"/>
      <c r="Q329" s="100"/>
      <c r="R329" s="93"/>
      <c r="S329" s="75"/>
      <c r="T329" s="75"/>
      <c r="V329" s="84"/>
    </row>
    <row r="330" ht="15.75" customHeight="1">
      <c r="A330" s="70"/>
      <c r="B330" s="116"/>
      <c r="C330" s="117"/>
      <c r="D330" s="75"/>
      <c r="E330" s="118"/>
      <c r="F330" s="118"/>
      <c r="G330" s="75"/>
      <c r="H330" s="117"/>
      <c r="I330" s="75"/>
      <c r="J330" s="75"/>
      <c r="K330" s="125"/>
      <c r="L330" s="126"/>
      <c r="M330" s="80"/>
      <c r="N330" s="107"/>
      <c r="O330" s="98"/>
      <c r="P330" s="75"/>
      <c r="Q330" s="100"/>
      <c r="R330" s="93"/>
      <c r="S330" s="75"/>
      <c r="T330" s="75"/>
      <c r="V330" s="84"/>
    </row>
    <row r="331" ht="15.75" customHeight="1">
      <c r="A331" s="70"/>
      <c r="B331" s="116"/>
      <c r="C331" s="84"/>
      <c r="D331" s="75"/>
      <c r="E331" s="118"/>
      <c r="F331" s="118"/>
      <c r="G331" s="75"/>
      <c r="H331" s="117"/>
      <c r="I331" s="75"/>
      <c r="J331" s="75"/>
      <c r="K331" s="125"/>
      <c r="L331" s="126"/>
      <c r="M331" s="80"/>
      <c r="N331" s="107"/>
      <c r="O331" s="98"/>
      <c r="P331" s="75"/>
      <c r="Q331" s="100"/>
      <c r="R331" s="93"/>
      <c r="S331" s="75"/>
      <c r="T331" s="75"/>
      <c r="V331" s="84"/>
    </row>
    <row r="332" ht="15.75" customHeight="1">
      <c r="A332" s="70"/>
      <c r="B332" s="116"/>
      <c r="C332" s="117"/>
      <c r="D332" s="75"/>
      <c r="E332" s="118"/>
      <c r="F332" s="118"/>
      <c r="G332" s="75"/>
      <c r="H332" s="117"/>
      <c r="I332" s="75"/>
      <c r="J332" s="75"/>
      <c r="K332" s="125"/>
      <c r="L332" s="126"/>
      <c r="M332" s="80"/>
      <c r="N332" s="107"/>
      <c r="O332" s="98"/>
      <c r="P332" s="75"/>
      <c r="Q332" s="100"/>
      <c r="R332" s="93"/>
      <c r="S332" s="75"/>
      <c r="T332" s="75"/>
      <c r="V332" s="84"/>
    </row>
    <row r="333" ht="15.75" customHeight="1">
      <c r="A333" s="70"/>
      <c r="B333" s="116"/>
      <c r="C333" s="117"/>
      <c r="D333" s="75"/>
      <c r="E333" s="118"/>
      <c r="F333" s="118"/>
      <c r="G333" s="75"/>
      <c r="H333" s="117"/>
      <c r="I333" s="75"/>
      <c r="J333" s="75"/>
      <c r="K333" s="125"/>
      <c r="L333" s="126"/>
      <c r="M333" s="80"/>
      <c r="N333" s="107"/>
      <c r="O333" s="98"/>
      <c r="P333" s="75"/>
      <c r="Q333" s="100"/>
      <c r="R333" s="93"/>
      <c r="S333" s="75"/>
      <c r="T333" s="75"/>
      <c r="V333" s="84"/>
    </row>
    <row r="334" ht="15.75" customHeight="1">
      <c r="A334" s="70"/>
      <c r="B334" s="116"/>
      <c r="C334" s="117"/>
      <c r="D334" s="75"/>
      <c r="E334" s="118"/>
      <c r="F334" s="118"/>
      <c r="G334" s="75"/>
      <c r="H334" s="117"/>
      <c r="I334" s="75"/>
      <c r="J334" s="75"/>
      <c r="K334" s="125"/>
      <c r="L334" s="126"/>
      <c r="M334" s="80"/>
      <c r="N334" s="107"/>
      <c r="O334" s="98"/>
      <c r="P334" s="75"/>
      <c r="Q334" s="100"/>
      <c r="R334" s="93"/>
      <c r="S334" s="75"/>
      <c r="T334" s="75"/>
      <c r="V334" s="84"/>
    </row>
    <row r="335" ht="15.75" customHeight="1">
      <c r="A335" s="70"/>
      <c r="B335" s="116"/>
      <c r="C335" s="117"/>
      <c r="D335" s="75"/>
      <c r="E335" s="118"/>
      <c r="F335" s="118"/>
      <c r="G335" s="75"/>
      <c r="H335" s="117"/>
      <c r="I335" s="75"/>
      <c r="J335" s="75"/>
      <c r="K335" s="125"/>
      <c r="L335" s="126"/>
      <c r="M335" s="80"/>
      <c r="N335" s="107"/>
      <c r="O335" s="98"/>
      <c r="P335" s="75"/>
      <c r="Q335" s="100"/>
      <c r="R335" s="93"/>
      <c r="S335" s="75"/>
      <c r="T335" s="75"/>
      <c r="V335" s="84"/>
    </row>
    <row r="336" ht="15.75" customHeight="1">
      <c r="A336" s="70"/>
      <c r="B336" s="116"/>
      <c r="C336" s="117"/>
      <c r="D336" s="75"/>
      <c r="E336" s="118"/>
      <c r="F336" s="118"/>
      <c r="G336" s="75"/>
      <c r="H336" s="117"/>
      <c r="I336" s="75"/>
      <c r="J336" s="75"/>
      <c r="K336" s="125"/>
      <c r="L336" s="126"/>
      <c r="M336" s="80"/>
      <c r="N336" s="107"/>
      <c r="O336" s="98"/>
      <c r="P336" s="75"/>
      <c r="Q336" s="100"/>
      <c r="R336" s="93"/>
      <c r="S336" s="75"/>
      <c r="T336" s="75"/>
      <c r="V336" s="84"/>
    </row>
    <row r="337" ht="15.75" customHeight="1">
      <c r="A337" s="70"/>
      <c r="B337" s="116"/>
      <c r="C337" s="84"/>
      <c r="D337" s="75"/>
      <c r="E337" s="118"/>
      <c r="F337" s="118"/>
      <c r="G337" s="75"/>
      <c r="H337" s="117"/>
      <c r="I337" s="75"/>
      <c r="J337" s="75"/>
      <c r="K337" s="125"/>
      <c r="L337" s="126"/>
      <c r="M337" s="80"/>
      <c r="N337" s="107"/>
      <c r="O337" s="98"/>
      <c r="P337" s="75"/>
      <c r="Q337" s="100"/>
      <c r="R337" s="93"/>
      <c r="S337" s="75"/>
      <c r="T337" s="75"/>
      <c r="V337" s="84"/>
    </row>
    <row r="338" ht="15.75" customHeight="1">
      <c r="A338" s="70"/>
      <c r="B338" s="116"/>
      <c r="C338" s="117"/>
      <c r="D338" s="75"/>
      <c r="E338" s="118"/>
      <c r="F338" s="118"/>
      <c r="G338" s="75"/>
      <c r="H338" s="117"/>
      <c r="I338" s="75"/>
      <c r="J338" s="75"/>
      <c r="K338" s="125"/>
      <c r="L338" s="126"/>
      <c r="M338" s="80"/>
      <c r="N338" s="107"/>
      <c r="O338" s="98"/>
      <c r="P338" s="75"/>
      <c r="Q338" s="100"/>
      <c r="R338" s="93"/>
      <c r="S338" s="75"/>
      <c r="T338" s="75"/>
      <c r="V338" s="84"/>
    </row>
    <row r="339" ht="15.75" customHeight="1">
      <c r="A339" s="70"/>
      <c r="B339" s="116"/>
      <c r="C339" s="117"/>
      <c r="D339" s="75"/>
      <c r="E339" s="118"/>
      <c r="F339" s="118"/>
      <c r="G339" s="75"/>
      <c r="H339" s="117"/>
      <c r="I339" s="75"/>
      <c r="J339" s="75"/>
      <c r="K339" s="125"/>
      <c r="L339" s="126"/>
      <c r="M339" s="80"/>
      <c r="N339" s="107"/>
      <c r="O339" s="98"/>
      <c r="P339" s="75"/>
      <c r="Q339" s="100"/>
      <c r="R339" s="93"/>
      <c r="S339" s="75"/>
      <c r="T339" s="75"/>
      <c r="V339" s="84"/>
    </row>
    <row r="340" ht="15.75" customHeight="1">
      <c r="A340" s="70"/>
      <c r="B340" s="116"/>
      <c r="C340" s="117"/>
      <c r="D340" s="75"/>
      <c r="E340" s="118"/>
      <c r="F340" s="118"/>
      <c r="G340" s="75"/>
      <c r="H340" s="117"/>
      <c r="I340" s="75"/>
      <c r="J340" s="75"/>
      <c r="K340" s="125"/>
      <c r="L340" s="126"/>
      <c r="M340" s="80"/>
      <c r="N340" s="107"/>
      <c r="O340" s="98"/>
      <c r="P340" s="75"/>
      <c r="Q340" s="100"/>
      <c r="R340" s="93"/>
      <c r="S340" s="75"/>
      <c r="T340" s="75"/>
      <c r="V340" s="84"/>
    </row>
    <row r="341" ht="15.75" customHeight="1">
      <c r="A341" s="70"/>
      <c r="B341" s="116"/>
      <c r="C341" s="117"/>
      <c r="D341" s="75"/>
      <c r="E341" s="118"/>
      <c r="F341" s="118"/>
      <c r="G341" s="75"/>
      <c r="H341" s="117"/>
      <c r="I341" s="75"/>
      <c r="J341" s="75"/>
      <c r="K341" s="125"/>
      <c r="L341" s="126"/>
      <c r="M341" s="80"/>
      <c r="N341" s="107"/>
      <c r="O341" s="98"/>
      <c r="P341" s="75"/>
      <c r="Q341" s="100"/>
      <c r="R341" s="93"/>
      <c r="S341" s="75"/>
      <c r="T341" s="75"/>
      <c r="V341" s="84"/>
    </row>
    <row r="342" ht="15.75" customHeight="1">
      <c r="A342" s="70"/>
      <c r="B342" s="116"/>
      <c r="C342" s="117"/>
      <c r="D342" s="75"/>
      <c r="E342" s="118"/>
      <c r="F342" s="118"/>
      <c r="G342" s="75"/>
      <c r="H342" s="117"/>
      <c r="I342" s="75"/>
      <c r="J342" s="75"/>
      <c r="K342" s="125"/>
      <c r="L342" s="126"/>
      <c r="M342" s="80"/>
      <c r="N342" s="107"/>
      <c r="O342" s="98"/>
      <c r="P342" s="75"/>
      <c r="Q342" s="100"/>
      <c r="R342" s="93"/>
      <c r="S342" s="75"/>
      <c r="T342" s="75"/>
      <c r="V342" s="84"/>
    </row>
    <row r="343" ht="15.75" customHeight="1">
      <c r="A343" s="70"/>
      <c r="B343" s="116"/>
      <c r="C343" s="84"/>
      <c r="D343" s="75"/>
      <c r="E343" s="118"/>
      <c r="F343" s="118"/>
      <c r="G343" s="75"/>
      <c r="H343" s="117"/>
      <c r="I343" s="75"/>
      <c r="J343" s="75"/>
      <c r="K343" s="125"/>
      <c r="L343" s="126"/>
      <c r="M343" s="80"/>
      <c r="N343" s="107"/>
      <c r="O343" s="98"/>
      <c r="P343" s="75"/>
      <c r="Q343" s="100"/>
      <c r="R343" s="93"/>
      <c r="S343" s="75"/>
      <c r="T343" s="75"/>
      <c r="V343" s="84"/>
    </row>
    <row r="344" ht="15.75" customHeight="1">
      <c r="A344" s="70"/>
      <c r="B344" s="116"/>
      <c r="C344" s="117"/>
      <c r="D344" s="75"/>
      <c r="E344" s="118"/>
      <c r="F344" s="118"/>
      <c r="G344" s="75"/>
      <c r="H344" s="117"/>
      <c r="I344" s="75"/>
      <c r="J344" s="75"/>
      <c r="K344" s="125"/>
      <c r="L344" s="126"/>
      <c r="M344" s="80"/>
      <c r="N344" s="107"/>
      <c r="O344" s="98"/>
      <c r="P344" s="75"/>
      <c r="Q344" s="100"/>
      <c r="R344" s="93"/>
      <c r="S344" s="75"/>
      <c r="T344" s="75"/>
      <c r="V344" s="84"/>
    </row>
    <row r="345" ht="15.75" customHeight="1">
      <c r="A345" s="70"/>
      <c r="B345" s="116"/>
      <c r="C345" s="117"/>
      <c r="D345" s="75"/>
      <c r="E345" s="118"/>
      <c r="F345" s="118"/>
      <c r="G345" s="75"/>
      <c r="H345" s="117"/>
      <c r="I345" s="75"/>
      <c r="J345" s="75"/>
      <c r="K345" s="125"/>
      <c r="L345" s="126"/>
      <c r="M345" s="80"/>
      <c r="N345" s="107"/>
      <c r="O345" s="98"/>
      <c r="P345" s="75"/>
      <c r="Q345" s="100"/>
      <c r="R345" s="93"/>
      <c r="S345" s="75"/>
      <c r="T345" s="75"/>
      <c r="V345" s="84"/>
    </row>
    <row r="346" ht="15.75" customHeight="1">
      <c r="A346" s="70"/>
      <c r="B346" s="116"/>
      <c r="C346" s="117"/>
      <c r="D346" s="75"/>
      <c r="E346" s="118"/>
      <c r="F346" s="118"/>
      <c r="G346" s="75"/>
      <c r="H346" s="117"/>
      <c r="I346" s="75"/>
      <c r="J346" s="75"/>
      <c r="K346" s="125"/>
      <c r="L346" s="126"/>
      <c r="M346" s="80"/>
      <c r="N346" s="107"/>
      <c r="O346" s="98"/>
      <c r="P346" s="75"/>
      <c r="Q346" s="100"/>
      <c r="R346" s="93"/>
      <c r="S346" s="75"/>
      <c r="T346" s="75"/>
      <c r="V346" s="84"/>
    </row>
    <row r="347" ht="15.75" customHeight="1">
      <c r="A347" s="70"/>
      <c r="B347" s="116"/>
      <c r="C347" s="117"/>
      <c r="D347" s="75"/>
      <c r="E347" s="118"/>
      <c r="F347" s="118"/>
      <c r="G347" s="75"/>
      <c r="H347" s="117"/>
      <c r="I347" s="75"/>
      <c r="J347" s="75"/>
      <c r="K347" s="125"/>
      <c r="L347" s="126"/>
      <c r="M347" s="80"/>
      <c r="N347" s="107"/>
      <c r="O347" s="98"/>
      <c r="P347" s="75"/>
      <c r="Q347" s="100"/>
      <c r="R347" s="93"/>
      <c r="S347" s="75"/>
      <c r="T347" s="75"/>
      <c r="V347" s="84"/>
    </row>
    <row r="348" ht="15.75" customHeight="1">
      <c r="A348" s="70"/>
      <c r="B348" s="116"/>
      <c r="C348" s="117"/>
      <c r="D348" s="75"/>
      <c r="E348" s="118"/>
      <c r="F348" s="118"/>
      <c r="G348" s="75"/>
      <c r="H348" s="117"/>
      <c r="I348" s="75"/>
      <c r="J348" s="75"/>
      <c r="K348" s="125"/>
      <c r="L348" s="126"/>
      <c r="M348" s="80"/>
      <c r="N348" s="107"/>
      <c r="O348" s="98"/>
      <c r="P348" s="75"/>
      <c r="Q348" s="100"/>
      <c r="R348" s="93"/>
      <c r="S348" s="75"/>
      <c r="T348" s="75"/>
      <c r="V348" s="84"/>
    </row>
    <row r="349" ht="15.75" customHeight="1">
      <c r="A349" s="70"/>
      <c r="B349" s="116"/>
      <c r="C349" s="84"/>
      <c r="D349" s="75"/>
      <c r="E349" s="118"/>
      <c r="F349" s="118"/>
      <c r="G349" s="75"/>
      <c r="H349" s="117"/>
      <c r="I349" s="75"/>
      <c r="J349" s="75"/>
      <c r="K349" s="125"/>
      <c r="L349" s="126"/>
      <c r="M349" s="80"/>
      <c r="N349" s="107"/>
      <c r="O349" s="98"/>
      <c r="P349" s="75"/>
      <c r="Q349" s="100"/>
      <c r="R349" s="93"/>
      <c r="S349" s="75"/>
      <c r="T349" s="75"/>
      <c r="V349" s="84"/>
    </row>
    <row r="350" ht="15.75" customHeight="1">
      <c r="A350" s="70"/>
      <c r="B350" s="116"/>
      <c r="C350" s="117"/>
      <c r="D350" s="75"/>
      <c r="E350" s="118"/>
      <c r="F350" s="118"/>
      <c r="G350" s="75"/>
      <c r="H350" s="117"/>
      <c r="I350" s="75"/>
      <c r="J350" s="75"/>
      <c r="K350" s="125"/>
      <c r="L350" s="126"/>
      <c r="M350" s="80"/>
      <c r="N350" s="107"/>
      <c r="O350" s="98"/>
      <c r="P350" s="75"/>
      <c r="Q350" s="100"/>
      <c r="R350" s="93"/>
      <c r="S350" s="75"/>
      <c r="T350" s="75"/>
      <c r="V350" s="84"/>
    </row>
    <row r="351" ht="15.75" customHeight="1">
      <c r="A351" s="70"/>
      <c r="B351" s="116"/>
      <c r="C351" s="117"/>
      <c r="D351" s="75"/>
      <c r="E351" s="118"/>
      <c r="F351" s="118"/>
      <c r="G351" s="75"/>
      <c r="H351" s="117"/>
      <c r="I351" s="75"/>
      <c r="J351" s="75"/>
      <c r="K351" s="125"/>
      <c r="L351" s="126"/>
      <c r="M351" s="80"/>
      <c r="N351" s="107"/>
      <c r="O351" s="98"/>
      <c r="P351" s="75"/>
      <c r="Q351" s="100"/>
      <c r="R351" s="93"/>
      <c r="S351" s="75"/>
      <c r="T351" s="75"/>
      <c r="V351" s="84"/>
    </row>
    <row r="352" ht="15.75" customHeight="1">
      <c r="A352" s="70"/>
      <c r="B352" s="116"/>
      <c r="C352" s="117"/>
      <c r="D352" s="75"/>
      <c r="E352" s="118"/>
      <c r="F352" s="118"/>
      <c r="G352" s="75"/>
      <c r="H352" s="117"/>
      <c r="I352" s="75"/>
      <c r="J352" s="75"/>
      <c r="K352" s="125"/>
      <c r="L352" s="126"/>
      <c r="M352" s="80"/>
      <c r="N352" s="107"/>
      <c r="O352" s="98"/>
      <c r="P352" s="75"/>
      <c r="Q352" s="100"/>
      <c r="R352" s="93"/>
      <c r="S352" s="75"/>
      <c r="T352" s="75"/>
      <c r="V352" s="84"/>
    </row>
    <row r="353" ht="15.75" customHeight="1">
      <c r="A353" s="70"/>
      <c r="B353" s="116"/>
      <c r="C353" s="117"/>
      <c r="D353" s="75"/>
      <c r="E353" s="118"/>
      <c r="F353" s="118"/>
      <c r="G353" s="75"/>
      <c r="H353" s="117"/>
      <c r="I353" s="75"/>
      <c r="J353" s="75"/>
      <c r="K353" s="125"/>
      <c r="L353" s="126"/>
      <c r="M353" s="80"/>
      <c r="N353" s="107"/>
      <c r="O353" s="98"/>
      <c r="P353" s="75"/>
      <c r="Q353" s="100"/>
      <c r="R353" s="93"/>
      <c r="S353" s="75"/>
      <c r="T353" s="75"/>
      <c r="V353" s="84"/>
    </row>
    <row r="354" ht="15.75" customHeight="1">
      <c r="A354" s="70"/>
      <c r="B354" s="116"/>
      <c r="C354" s="117"/>
      <c r="D354" s="75"/>
      <c r="E354" s="118"/>
      <c r="F354" s="118"/>
      <c r="G354" s="75"/>
      <c r="H354" s="117"/>
      <c r="I354" s="75"/>
      <c r="J354" s="75"/>
      <c r="K354" s="125"/>
      <c r="L354" s="126"/>
      <c r="M354" s="80"/>
      <c r="N354" s="107"/>
      <c r="O354" s="98"/>
      <c r="P354" s="75"/>
      <c r="Q354" s="100"/>
      <c r="R354" s="93"/>
      <c r="S354" s="75"/>
      <c r="T354" s="75"/>
      <c r="V354" s="84"/>
    </row>
    <row r="355" ht="15.75" customHeight="1">
      <c r="A355" s="70"/>
      <c r="B355" s="116"/>
      <c r="C355" s="84"/>
      <c r="D355" s="75"/>
      <c r="E355" s="118"/>
      <c r="F355" s="118"/>
      <c r="G355" s="75"/>
      <c r="H355" s="117"/>
      <c r="I355" s="75"/>
      <c r="J355" s="75"/>
      <c r="K355" s="125"/>
      <c r="L355" s="126"/>
      <c r="M355" s="80"/>
      <c r="N355" s="107"/>
      <c r="O355" s="98"/>
      <c r="P355" s="75"/>
      <c r="Q355" s="100"/>
      <c r="R355" s="93"/>
      <c r="S355" s="75"/>
      <c r="T355" s="75"/>
      <c r="V355" s="84"/>
    </row>
    <row r="356" ht="15.75" customHeight="1">
      <c r="A356" s="70"/>
      <c r="B356" s="116"/>
      <c r="C356" s="117"/>
      <c r="D356" s="75"/>
      <c r="E356" s="118"/>
      <c r="F356" s="118"/>
      <c r="G356" s="75"/>
      <c r="H356" s="117"/>
      <c r="I356" s="75"/>
      <c r="J356" s="75"/>
      <c r="K356" s="125"/>
      <c r="L356" s="126"/>
      <c r="M356" s="80"/>
      <c r="N356" s="107"/>
      <c r="O356" s="98"/>
      <c r="P356" s="75"/>
      <c r="Q356" s="100"/>
      <c r="R356" s="93"/>
      <c r="S356" s="75"/>
      <c r="T356" s="75"/>
      <c r="V356" s="84"/>
    </row>
    <row r="357" ht="15.75" customHeight="1">
      <c r="A357" s="70"/>
      <c r="B357" s="116"/>
      <c r="C357" s="117"/>
      <c r="D357" s="75"/>
      <c r="E357" s="118"/>
      <c r="F357" s="118"/>
      <c r="G357" s="75"/>
      <c r="H357" s="117"/>
      <c r="I357" s="75"/>
      <c r="J357" s="75"/>
      <c r="K357" s="125"/>
      <c r="L357" s="126"/>
      <c r="M357" s="80"/>
      <c r="N357" s="107"/>
      <c r="O357" s="98"/>
      <c r="P357" s="75"/>
      <c r="Q357" s="100"/>
      <c r="R357" s="93"/>
      <c r="S357" s="75"/>
      <c r="T357" s="75"/>
      <c r="V357" s="84"/>
    </row>
    <row r="358" ht="15.75" customHeight="1">
      <c r="A358" s="70"/>
      <c r="B358" s="116"/>
      <c r="C358" s="117"/>
      <c r="D358" s="75"/>
      <c r="E358" s="118"/>
      <c r="F358" s="118"/>
      <c r="G358" s="75"/>
      <c r="H358" s="117"/>
      <c r="I358" s="75"/>
      <c r="J358" s="75"/>
      <c r="K358" s="125"/>
      <c r="L358" s="126"/>
      <c r="M358" s="80"/>
      <c r="N358" s="107"/>
      <c r="O358" s="98"/>
      <c r="P358" s="75"/>
      <c r="Q358" s="100"/>
      <c r="R358" s="93"/>
      <c r="S358" s="75"/>
      <c r="T358" s="75"/>
      <c r="V358" s="84"/>
    </row>
    <row r="359" ht="15.75" customHeight="1">
      <c r="A359" s="70"/>
      <c r="B359" s="116"/>
      <c r="C359" s="117"/>
      <c r="D359" s="75"/>
      <c r="E359" s="118"/>
      <c r="F359" s="118"/>
      <c r="G359" s="75"/>
      <c r="H359" s="117"/>
      <c r="I359" s="75"/>
      <c r="J359" s="75"/>
      <c r="K359" s="125"/>
      <c r="L359" s="126"/>
      <c r="M359" s="80"/>
      <c r="N359" s="107"/>
      <c r="O359" s="98"/>
      <c r="P359" s="75"/>
      <c r="Q359" s="100"/>
      <c r="R359" s="93"/>
      <c r="S359" s="75"/>
      <c r="T359" s="75"/>
      <c r="V359" s="84"/>
    </row>
    <row r="360" ht="15.75" customHeight="1">
      <c r="A360" s="70"/>
      <c r="B360" s="116"/>
      <c r="C360" s="117"/>
      <c r="D360" s="75"/>
      <c r="E360" s="118"/>
      <c r="F360" s="118"/>
      <c r="G360" s="75"/>
      <c r="H360" s="117"/>
      <c r="I360" s="75"/>
      <c r="J360" s="75"/>
      <c r="K360" s="125"/>
      <c r="L360" s="126"/>
      <c r="M360" s="80"/>
      <c r="N360" s="107"/>
      <c r="O360" s="98"/>
      <c r="P360" s="75"/>
      <c r="Q360" s="100"/>
      <c r="R360" s="93"/>
      <c r="S360" s="75"/>
      <c r="T360" s="75"/>
      <c r="V360" s="84"/>
    </row>
  </sheetData>
  <autoFilter ref="$A$12:$V$109"/>
  <customSheetViews>
    <customSheetView guid="{90C2C1B9-45C2-480F-86D2-C6087C5A9E3B}" filter="1" showAutoFilter="1">
      <autoFilter ref="$R$17:$R$22"/>
    </customSheetView>
  </customSheetViews>
  <mergeCells count="35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s>
  <dataValidations>
    <dataValidation type="list" allowBlank="1" showErrorMessage="1" sqref="N13:N360">
      <formula1>"Think About It,Money,Partner,Time,Fear,Value"</formula1>
    </dataValidation>
    <dataValidation type="list" allowBlank="1" showErrorMessage="1" sqref="J15">
      <formula1>"Option 1,Option 2"</formula1>
    </dataValidation>
    <dataValidation type="list" allowBlank="1" showErrorMessage="1" sqref="I13:J14 I15 I16:J19 I20:I26 I27: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9.63"/>
    <col customWidth="1" min="4" max="4" width="0.38"/>
    <col customWidth="1" min="5" max="5" width="15.13"/>
    <col customWidth="1" min="6" max="6" width="21.0"/>
    <col customWidth="1" min="7" max="7" width="0.38"/>
    <col customWidth="1" min="8" max="8" width="15.63"/>
    <col customWidth="1" min="9" max="9" width="13.88"/>
    <col customWidth="1" min="10" max="10" width="0.38"/>
    <col customWidth="1" min="11" max="11" width="16.25"/>
    <col customWidth="1" min="13" max="13" width="0.38"/>
    <col customWidth="1" min="15" max="15" width="16.5"/>
    <col customWidth="1" min="16" max="16" width="0.38"/>
    <col customWidth="1" min="17" max="17" width="13.13"/>
    <col customWidth="1" min="18" max="18" width="13.88"/>
    <col customWidth="1" min="19" max="19" width="19.13"/>
    <col customWidth="1" min="21" max="21" width="23.75"/>
    <col customWidth="1" min="22" max="22" width="0.38"/>
  </cols>
  <sheetData>
    <row r="1">
      <c r="A1" s="1"/>
      <c r="B1" s="2" t="s">
        <v>0</v>
      </c>
      <c r="C1" s="3" t="s">
        <v>1</v>
      </c>
      <c r="D1" s="1"/>
      <c r="E1" s="4" t="s">
        <v>2</v>
      </c>
      <c r="F1" s="1"/>
      <c r="H1" s="5" t="s">
        <v>3</v>
      </c>
      <c r="I1" s="6"/>
      <c r="J1" s="1"/>
      <c r="K1" s="7" t="s">
        <v>4</v>
      </c>
      <c r="L1" s="8"/>
      <c r="M1" s="9"/>
      <c r="N1" s="10" t="s">
        <v>5</v>
      </c>
      <c r="O1" s="11"/>
      <c r="P1" s="9"/>
      <c r="Q1" s="7" t="s">
        <v>6</v>
      </c>
      <c r="R1" s="12"/>
      <c r="S1" s="1"/>
      <c r="T1" s="7" t="s">
        <v>7</v>
      </c>
      <c r="U1" s="13"/>
      <c r="V1" s="1"/>
    </row>
    <row r="2">
      <c r="A2" s="1"/>
      <c r="B2" s="6"/>
      <c r="C2" s="8"/>
      <c r="D2" s="9"/>
      <c r="E2" s="14" t="s">
        <v>8</v>
      </c>
      <c r="F2" s="15">
        <f>C3/C6</f>
        <v>0</v>
      </c>
      <c r="H2" s="16" t="s">
        <v>9</v>
      </c>
      <c r="I2" s="17">
        <f>IFERROR(COUNTIFS(I13:I287, "Full-Pay"),"")</f>
        <v>0</v>
      </c>
      <c r="J2" s="9"/>
      <c r="K2" s="18" t="s">
        <v>10</v>
      </c>
      <c r="L2" s="19">
        <f>iferror(L10/L8,"")</f>
        <v>0</v>
      </c>
      <c r="M2" s="20"/>
      <c r="N2" s="21" t="s">
        <v>11</v>
      </c>
      <c r="O2" s="22">
        <f>iferror(I8/L6,"")</f>
        <v>0</v>
      </c>
      <c r="P2" s="20"/>
      <c r="Q2" s="23" t="s">
        <v>12</v>
      </c>
      <c r="R2" s="24">
        <f>IFERROR(COUNTIFS(N13:N286, "think about it"),"")</f>
        <v>1</v>
      </c>
      <c r="S2" s="9"/>
      <c r="T2" s="25" t="s">
        <v>13</v>
      </c>
      <c r="U2" s="26">
        <f>IFERROR(COUNTIF(H13:H286,T2),"")</f>
        <v>0</v>
      </c>
      <c r="V2" s="27"/>
    </row>
    <row r="3">
      <c r="A3" s="9"/>
      <c r="B3" s="28" t="s">
        <v>14</v>
      </c>
      <c r="C3" s="29">
        <f>IFERROR(SUM(K13:K284),"")</f>
        <v>0</v>
      </c>
      <c r="D3" s="30"/>
      <c r="E3" s="31" t="s">
        <v>15</v>
      </c>
      <c r="F3" s="32">
        <f>C4/C6</f>
        <v>166.6666667</v>
      </c>
      <c r="H3" s="16" t="s">
        <v>16</v>
      </c>
      <c r="I3" s="17">
        <f>IFERROR(COUNTIFS(I13:I287, "Split-Pay"),"")</f>
        <v>0</v>
      </c>
      <c r="J3" s="9"/>
      <c r="K3" s="18" t="s">
        <v>17</v>
      </c>
      <c r="L3" s="19">
        <f>IFERROR(L10/L9,"")</f>
        <v>0</v>
      </c>
      <c r="M3" s="20"/>
      <c r="N3" s="21" t="s">
        <v>18</v>
      </c>
      <c r="O3" s="22">
        <f>iferror(I9/L6,"")</f>
        <v>0</v>
      </c>
      <c r="P3" s="20"/>
      <c r="Q3" s="23" t="s">
        <v>19</v>
      </c>
      <c r="R3" s="33">
        <f>IFERROR(COUNTIFS(N13:N286, "money"),"")</f>
        <v>2</v>
      </c>
      <c r="S3" s="9"/>
      <c r="T3" s="25" t="s">
        <v>20</v>
      </c>
      <c r="U3" s="26">
        <f>IFERROR(COUNTIF(H13:H286,T3),"")</f>
        <v>0</v>
      </c>
      <c r="V3" s="27"/>
    </row>
    <row r="4">
      <c r="A4" s="9"/>
      <c r="B4" s="34" t="s">
        <v>21</v>
      </c>
      <c r="C4" s="35">
        <f>IFERROR(SUM(L13:L284),"")</f>
        <v>500</v>
      </c>
      <c r="D4" s="30"/>
      <c r="E4" s="31" t="s">
        <v>22</v>
      </c>
      <c r="F4" s="36" t="str">
        <f>C4/C3*100</f>
        <v>#DIV/0!</v>
      </c>
      <c r="H4" s="16" t="s">
        <v>23</v>
      </c>
      <c r="I4" s="17">
        <f>IFERROR(COUNTIFS(I13:I287, "Deposit"),"")</f>
        <v>1</v>
      </c>
      <c r="J4" s="9"/>
      <c r="K4" s="18" t="s">
        <v>24</v>
      </c>
      <c r="L4" s="19">
        <f>IFERROR(L9/L8,"")</f>
        <v>1</v>
      </c>
      <c r="M4" s="20"/>
      <c r="N4" s="21" t="s">
        <v>25</v>
      </c>
      <c r="O4" s="22">
        <f>iferror(I10/L6,"")</f>
        <v>0.25</v>
      </c>
      <c r="P4" s="20"/>
      <c r="Q4" s="23" t="s">
        <v>26</v>
      </c>
      <c r="R4" s="24">
        <f>IFERROR(COUNTIFS(N13:N286, "time"),"")</f>
        <v>0</v>
      </c>
      <c r="S4" s="9"/>
      <c r="T4" s="25" t="s">
        <v>27</v>
      </c>
      <c r="U4" s="26">
        <f>IFERROR(COUNTIF(H13:H286,T4),"")</f>
        <v>0</v>
      </c>
      <c r="V4" s="1"/>
    </row>
    <row r="5">
      <c r="A5" s="1"/>
      <c r="B5" s="6"/>
      <c r="C5" s="8"/>
      <c r="D5" s="9"/>
      <c r="E5" s="31" t="s">
        <v>28</v>
      </c>
      <c r="F5" s="37" t="str">
        <f>I2/C7*100</f>
        <v>#DIV/0!</v>
      </c>
      <c r="H5" s="16" t="s">
        <v>29</v>
      </c>
      <c r="I5" s="17">
        <f>IFERROR(COUNTIFS(I13:I287, "Offer &amp; Didn't Buy"),"")</f>
        <v>2</v>
      </c>
      <c r="J5" s="9"/>
      <c r="K5" s="18" t="s">
        <v>30</v>
      </c>
      <c r="L5" s="19">
        <f>IFERROR(I7/(C6+I7+I8),"")</f>
        <v>0</v>
      </c>
      <c r="M5" s="9"/>
      <c r="N5" s="21" t="s">
        <v>30</v>
      </c>
      <c r="O5" s="22">
        <f>iferror(I7/L6,"")</f>
        <v>0</v>
      </c>
      <c r="P5" s="20"/>
      <c r="Q5" s="23" t="s">
        <v>31</v>
      </c>
      <c r="R5" s="24">
        <f>IFERROR(COUNTIFS(N13:N286, "partner"),"")</f>
        <v>0</v>
      </c>
      <c r="S5" s="9"/>
      <c r="T5" s="25" t="s">
        <v>32</v>
      </c>
      <c r="U5" s="26">
        <f>IFERROR(COUNTIF(H13:H286,T5),"")</f>
        <v>0</v>
      </c>
      <c r="V5" s="27"/>
    </row>
    <row r="6">
      <c r="A6" s="9"/>
      <c r="B6" s="38" t="s">
        <v>33</v>
      </c>
      <c r="C6" s="39">
        <f>IFERROR(SUM(I2:I6),"")</f>
        <v>3</v>
      </c>
      <c r="D6" s="9"/>
      <c r="E6" s="31" t="s">
        <v>34</v>
      </c>
      <c r="F6" s="40" t="str">
        <f>AVERAGE(Q13:Q104)</f>
        <v>#DIV/0!</v>
      </c>
      <c r="H6" s="16" t="s">
        <v>35</v>
      </c>
      <c r="I6" s="17">
        <f>IFERROR(COUNTIFS(I13:I287, "Bad Fit &amp; No Offer"),"")</f>
        <v>0</v>
      </c>
      <c r="J6" s="9"/>
      <c r="K6" s="18" t="s">
        <v>36</v>
      </c>
      <c r="L6" s="41">
        <f>IFERROR(SUM(I2:I10),"")</f>
        <v>4</v>
      </c>
      <c r="M6" s="9"/>
      <c r="N6" s="42" t="s">
        <v>37</v>
      </c>
      <c r="O6" s="22">
        <f>iferror(L7/L6,"")</f>
        <v>0.75</v>
      </c>
      <c r="P6" s="20"/>
      <c r="Q6" s="23" t="s">
        <v>38</v>
      </c>
      <c r="R6" s="24">
        <f>IFERROR(COUNTIFS(N13:N286, "fear"),"")</f>
        <v>0</v>
      </c>
      <c r="S6" s="9"/>
      <c r="T6" s="25" t="s">
        <v>39</v>
      </c>
      <c r="U6" s="26">
        <f>IFERROR(COUNTIF(H13:H286,T6),"")</f>
        <v>0</v>
      </c>
      <c r="V6" s="27"/>
    </row>
    <row r="7">
      <c r="A7" s="9"/>
      <c r="B7" s="38" t="s">
        <v>40</v>
      </c>
      <c r="C7" s="43">
        <f>IFERROR(I2+I3,"")</f>
        <v>0</v>
      </c>
      <c r="D7" s="9"/>
      <c r="E7" s="31" t="s">
        <v>41</v>
      </c>
      <c r="F7" s="32" t="str">
        <f>C3/C7</f>
        <v>#DIV/0!</v>
      </c>
      <c r="H7" s="16" t="s">
        <v>42</v>
      </c>
      <c r="I7" s="17">
        <f>IFERROR(COUNTIFS(I13:I287, "Drag Over &amp; Show"),"")</f>
        <v>0</v>
      </c>
      <c r="J7" s="9"/>
      <c r="K7" s="18" t="s">
        <v>43</v>
      </c>
      <c r="L7" s="41">
        <f>IFERROR(SUM(I2:I7),"")</f>
        <v>3</v>
      </c>
      <c r="M7" s="9"/>
      <c r="N7" s="44" t="s">
        <v>44</v>
      </c>
      <c r="O7" s="45">
        <f>IFERROR(L8/L6,"")</f>
        <v>0.75</v>
      </c>
      <c r="P7" s="20"/>
      <c r="Q7" s="46" t="s">
        <v>45</v>
      </c>
      <c r="R7" s="47">
        <f>IFERROR(COUNTIFS(N14:N287, "value"),"")</f>
        <v>0</v>
      </c>
      <c r="S7" s="9"/>
      <c r="T7" s="25" t="s">
        <v>46</v>
      </c>
      <c r="U7" s="26">
        <f>IFERROR(COUNTIF(H13:H286,T7),"")</f>
        <v>0</v>
      </c>
      <c r="V7" s="1"/>
    </row>
    <row r="8">
      <c r="A8" s="9"/>
      <c r="B8" s="38" t="s">
        <v>47</v>
      </c>
      <c r="C8" s="48">
        <f>COUNTIF(I13:I286,"offer &amp; didn't buy")+countif(I13:I286,"deposit")+countif(I13:I286,"bad fit &amp; no offer")</f>
        <v>3</v>
      </c>
      <c r="D8" s="49"/>
      <c r="E8" s="31" t="s">
        <v>48</v>
      </c>
      <c r="F8" s="32" t="str">
        <f>C4/C7</f>
        <v>#DIV/0!</v>
      </c>
      <c r="H8" s="16" t="s">
        <v>49</v>
      </c>
      <c r="I8" s="17">
        <f>IFERROR(COUNTIFS(I13:I287, "Rescheduled"),"")</f>
        <v>0</v>
      </c>
      <c r="J8" s="9"/>
      <c r="K8" s="18" t="s">
        <v>50</v>
      </c>
      <c r="L8" s="41">
        <f>IFERROR(SUM(I2:I6),"")</f>
        <v>3</v>
      </c>
      <c r="M8" s="1"/>
      <c r="N8" s="50"/>
      <c r="O8" s="1"/>
      <c r="P8" s="1"/>
      <c r="Q8" s="1"/>
      <c r="R8" s="51"/>
      <c r="S8" s="9"/>
      <c r="T8" s="52" t="s">
        <v>51</v>
      </c>
      <c r="U8" s="53">
        <f>IFERROR(COUNTIF(H13:H286,T8),"")</f>
        <v>0</v>
      </c>
      <c r="V8" s="1"/>
    </row>
    <row r="9">
      <c r="A9" s="9"/>
      <c r="B9" s="38" t="s">
        <v>52</v>
      </c>
      <c r="C9" s="54">
        <f>iferror(SUM(C7/C6),"")</f>
        <v>0</v>
      </c>
      <c r="D9" s="20"/>
      <c r="E9" s="55"/>
      <c r="F9" s="56"/>
      <c r="H9" s="16" t="s">
        <v>53</v>
      </c>
      <c r="I9" s="17">
        <f>IFERROR(COUNTIFS(I13:I287, "Cancelled"),"")</f>
        <v>0</v>
      </c>
      <c r="J9" s="9"/>
      <c r="K9" s="18" t="s">
        <v>54</v>
      </c>
      <c r="L9" s="41">
        <f>IFERROR(sum(I2:I5),"")</f>
        <v>3</v>
      </c>
      <c r="M9" s="1"/>
      <c r="N9" s="50"/>
      <c r="O9" s="1"/>
      <c r="P9" s="1"/>
      <c r="Q9" s="1"/>
      <c r="R9" s="51"/>
      <c r="S9" s="1"/>
      <c r="T9" s="1"/>
      <c r="U9" s="1"/>
      <c r="V9" s="1"/>
    </row>
    <row r="10">
      <c r="A10" s="1"/>
      <c r="B10" s="50"/>
      <c r="C10" s="1"/>
      <c r="D10" s="9"/>
      <c r="E10" s="57"/>
      <c r="F10" s="58"/>
      <c r="H10" s="59" t="s">
        <v>55</v>
      </c>
      <c r="I10" s="60">
        <f>IFERROR(COUNTIFS(I13:I287, "No-Show"),"")</f>
        <v>1</v>
      </c>
      <c r="J10" s="9"/>
      <c r="K10" s="61" t="s">
        <v>56</v>
      </c>
      <c r="L10" s="62">
        <f>I2+I3</f>
        <v>0</v>
      </c>
      <c r="M10" s="1"/>
      <c r="N10" s="50"/>
      <c r="O10" s="1"/>
      <c r="P10" s="1"/>
      <c r="Q10" s="1"/>
      <c r="R10" s="51"/>
      <c r="S10" s="1"/>
      <c r="T10" s="1"/>
      <c r="U10" s="1"/>
      <c r="V10" s="1"/>
    </row>
    <row r="11" ht="6.0" customHeight="1">
      <c r="A11" s="1"/>
      <c r="B11" s="50"/>
      <c r="C11" s="1"/>
      <c r="D11" s="1"/>
      <c r="E11" s="63"/>
      <c r="F11" s="50"/>
      <c r="G11" s="1"/>
      <c r="H11" s="1"/>
      <c r="I11" s="1"/>
      <c r="J11" s="1"/>
      <c r="K11" s="50"/>
      <c r="L11" s="1"/>
      <c r="M11" s="1"/>
      <c r="N11" s="1"/>
      <c r="O11" s="51"/>
      <c r="P11" s="1"/>
      <c r="Q11" s="1"/>
      <c r="R11" s="1"/>
      <c r="S11" s="1"/>
      <c r="T11" s="1"/>
      <c r="V11" s="1"/>
    </row>
    <row r="12">
      <c r="A12" s="1"/>
      <c r="B12" s="64" t="s">
        <v>57</v>
      </c>
      <c r="C12" s="65" t="s">
        <v>58</v>
      </c>
      <c r="D12" s="1"/>
      <c r="E12" s="66" t="s">
        <v>59</v>
      </c>
      <c r="F12" s="67" t="s">
        <v>60</v>
      </c>
      <c r="G12" s="1"/>
      <c r="H12" s="68" t="s">
        <v>7</v>
      </c>
      <c r="I12" s="68" t="s">
        <v>3</v>
      </c>
      <c r="J12" s="1"/>
      <c r="K12" s="67" t="s">
        <v>61</v>
      </c>
      <c r="L12" s="3" t="s">
        <v>21</v>
      </c>
      <c r="M12" s="1"/>
      <c r="N12" s="68" t="s">
        <v>62</v>
      </c>
      <c r="O12" s="69" t="s">
        <v>63</v>
      </c>
      <c r="P12" s="1"/>
      <c r="Q12" s="68" t="s">
        <v>64</v>
      </c>
      <c r="R12" s="68" t="s">
        <v>65</v>
      </c>
      <c r="S12" s="68" t="s">
        <v>66</v>
      </c>
      <c r="T12" s="68" t="s">
        <v>67</v>
      </c>
      <c r="V12" s="27"/>
    </row>
    <row r="13" ht="15.75" customHeight="1">
      <c r="A13" s="70"/>
      <c r="B13" s="71">
        <v>46047.0</v>
      </c>
      <c r="C13" s="72" t="s">
        <v>69</v>
      </c>
      <c r="D13" s="73"/>
      <c r="E13" s="74" t="s">
        <v>70</v>
      </c>
      <c r="F13" s="74" t="s">
        <v>71</v>
      </c>
      <c r="G13" s="75"/>
      <c r="H13" s="76" t="s">
        <v>68</v>
      </c>
      <c r="I13" s="77" t="s">
        <v>72</v>
      </c>
      <c r="J13" s="75"/>
      <c r="K13" s="78"/>
      <c r="L13" s="79"/>
      <c r="M13" s="80"/>
      <c r="N13" s="81" t="s">
        <v>19</v>
      </c>
      <c r="O13" s="82" t="s">
        <v>73</v>
      </c>
      <c r="P13" s="75"/>
      <c r="Q13" s="83"/>
      <c r="S13" s="83" t="s">
        <v>74</v>
      </c>
      <c r="T13" s="83" t="s">
        <v>75</v>
      </c>
      <c r="V13" s="84"/>
    </row>
    <row r="14" ht="15.75" customHeight="1">
      <c r="A14" s="75"/>
      <c r="B14" s="71">
        <v>46048.0</v>
      </c>
      <c r="C14" s="85" t="s">
        <v>76</v>
      </c>
      <c r="D14" s="75"/>
      <c r="E14" s="74" t="s">
        <v>77</v>
      </c>
      <c r="F14" s="74" t="s">
        <v>78</v>
      </c>
      <c r="G14" s="75"/>
      <c r="H14" s="76" t="s">
        <v>68</v>
      </c>
      <c r="I14" s="77" t="s">
        <v>79</v>
      </c>
      <c r="J14" s="75"/>
      <c r="K14" s="78"/>
      <c r="L14" s="79"/>
      <c r="M14" s="80"/>
      <c r="N14" s="81"/>
      <c r="O14" s="82"/>
      <c r="P14" s="75"/>
      <c r="Q14" s="83"/>
      <c r="S14" s="83"/>
      <c r="T14" s="83"/>
      <c r="V14" s="84"/>
    </row>
    <row r="15" ht="15.75" customHeight="1">
      <c r="A15" s="75"/>
      <c r="B15" s="71">
        <v>46051.0</v>
      </c>
      <c r="C15" s="72" t="s">
        <v>80</v>
      </c>
      <c r="D15" s="83"/>
      <c r="E15" s="127" t="s">
        <v>81</v>
      </c>
      <c r="F15" s="86"/>
      <c r="G15" s="75"/>
      <c r="H15" s="76" t="s">
        <v>68</v>
      </c>
      <c r="I15" s="77" t="s">
        <v>72</v>
      </c>
      <c r="J15" s="75"/>
      <c r="K15" s="78"/>
      <c r="L15" s="79"/>
      <c r="M15" s="80"/>
      <c r="N15" s="81" t="s">
        <v>82</v>
      </c>
      <c r="O15" s="82" t="s">
        <v>83</v>
      </c>
      <c r="P15" s="75"/>
      <c r="Q15" s="83"/>
      <c r="R15" s="87"/>
      <c r="S15" s="83" t="s">
        <v>84</v>
      </c>
      <c r="T15" s="83" t="s">
        <v>85</v>
      </c>
      <c r="V15" s="84"/>
    </row>
    <row r="16" ht="15.75" customHeight="1">
      <c r="A16" s="75"/>
      <c r="B16" s="71">
        <v>46053.0</v>
      </c>
      <c r="C16" s="72" t="s">
        <v>86</v>
      </c>
      <c r="D16" s="75"/>
      <c r="E16" s="74" t="s">
        <v>87</v>
      </c>
      <c r="F16" s="74" t="s">
        <v>88</v>
      </c>
      <c r="G16" s="75"/>
      <c r="H16" s="76" t="s">
        <v>68</v>
      </c>
      <c r="I16" s="77" t="s">
        <v>89</v>
      </c>
      <c r="J16" s="75"/>
      <c r="K16" s="78"/>
      <c r="L16" s="79">
        <v>500.0</v>
      </c>
      <c r="M16" s="80"/>
      <c r="N16" s="81" t="s">
        <v>19</v>
      </c>
      <c r="O16" s="82" t="s">
        <v>90</v>
      </c>
      <c r="P16" s="75"/>
      <c r="Q16" s="83"/>
      <c r="S16" s="83" t="s">
        <v>91</v>
      </c>
      <c r="T16" s="83" t="s">
        <v>92</v>
      </c>
      <c r="V16" s="84"/>
    </row>
    <row r="17" ht="15.75" customHeight="1">
      <c r="A17" s="75"/>
      <c r="B17" s="71"/>
      <c r="C17" s="72"/>
      <c r="D17" s="75"/>
      <c r="E17" s="74"/>
      <c r="F17" s="86"/>
      <c r="G17" s="75"/>
      <c r="H17" s="76"/>
      <c r="I17" s="77"/>
      <c r="J17" s="75"/>
      <c r="K17" s="78"/>
      <c r="L17" s="79"/>
      <c r="M17" s="80"/>
      <c r="N17" s="81"/>
      <c r="O17" s="82"/>
      <c r="P17" s="75"/>
      <c r="Q17" s="83"/>
      <c r="S17" s="83"/>
      <c r="T17" s="83"/>
      <c r="V17" s="84"/>
    </row>
    <row r="18" ht="15.75" customHeight="1">
      <c r="A18" s="75"/>
      <c r="B18" s="71"/>
      <c r="C18" s="72"/>
      <c r="D18" s="75"/>
      <c r="E18" s="74"/>
      <c r="F18" s="74"/>
      <c r="G18" s="75"/>
      <c r="H18" s="76"/>
      <c r="I18" s="77"/>
      <c r="J18" s="75"/>
      <c r="K18" s="78"/>
      <c r="L18" s="79"/>
      <c r="M18" s="80"/>
      <c r="N18" s="81"/>
      <c r="O18" s="82"/>
      <c r="P18" s="75"/>
      <c r="Q18" s="83"/>
      <c r="S18" s="83"/>
      <c r="T18" s="83"/>
      <c r="V18" s="84"/>
    </row>
    <row r="19" ht="15.75" customHeight="1">
      <c r="A19" s="75"/>
      <c r="B19" s="88"/>
      <c r="C19" s="72"/>
      <c r="D19" s="75"/>
      <c r="E19" s="74"/>
      <c r="F19" s="74"/>
      <c r="G19" s="75"/>
      <c r="H19" s="76"/>
      <c r="I19" s="77"/>
      <c r="J19" s="75"/>
      <c r="K19" s="89"/>
      <c r="L19" s="79"/>
      <c r="M19" s="80"/>
      <c r="N19" s="81"/>
      <c r="O19" s="82"/>
      <c r="P19" s="75"/>
      <c r="Q19" s="83"/>
      <c r="S19" s="83"/>
      <c r="T19" s="83"/>
      <c r="V19" s="84"/>
    </row>
    <row r="20" ht="15.75" customHeight="1">
      <c r="A20" s="70"/>
      <c r="B20" s="71"/>
      <c r="C20" s="72"/>
      <c r="D20" s="75"/>
      <c r="E20" s="74"/>
      <c r="F20" s="74"/>
      <c r="G20" s="75"/>
      <c r="H20" s="76"/>
      <c r="I20" s="77"/>
      <c r="J20" s="75"/>
      <c r="K20" s="75"/>
      <c r="L20" s="75"/>
      <c r="M20" s="75"/>
      <c r="N20" s="81"/>
      <c r="O20" s="82"/>
      <c r="P20" s="75"/>
      <c r="Q20" s="83"/>
      <c r="S20" s="83"/>
      <c r="T20" s="83"/>
      <c r="V20" s="84"/>
    </row>
    <row r="21" ht="15.75" customHeight="1">
      <c r="A21" s="70"/>
      <c r="B21" s="71"/>
      <c r="C21" s="72"/>
      <c r="D21" s="75"/>
      <c r="E21" s="74"/>
      <c r="F21" s="74"/>
      <c r="G21" s="75"/>
      <c r="H21" s="76"/>
      <c r="I21" s="77"/>
      <c r="J21" s="75"/>
      <c r="K21" s="75"/>
      <c r="L21" s="75"/>
      <c r="M21" s="75"/>
      <c r="N21" s="81"/>
      <c r="O21" s="82"/>
      <c r="P21" s="75"/>
      <c r="Q21" s="83"/>
      <c r="S21" s="83"/>
      <c r="T21" s="83"/>
      <c r="V21" s="84"/>
    </row>
    <row r="22" ht="15.75" customHeight="1">
      <c r="A22" s="70"/>
      <c r="B22" s="71"/>
      <c r="C22" s="72"/>
      <c r="D22" s="75"/>
      <c r="E22" s="74"/>
      <c r="F22" s="74"/>
      <c r="G22" s="75"/>
      <c r="H22" s="76"/>
      <c r="I22" s="77"/>
      <c r="J22" s="75"/>
      <c r="K22" s="75"/>
      <c r="L22" s="75"/>
      <c r="M22" s="75"/>
      <c r="N22" s="81"/>
      <c r="O22" s="82"/>
      <c r="P22" s="75"/>
      <c r="Q22" s="83"/>
      <c r="S22" s="83"/>
      <c r="T22" s="83"/>
      <c r="V22" s="84"/>
    </row>
    <row r="23" ht="15.75" customHeight="1">
      <c r="A23" s="70"/>
      <c r="B23" s="71"/>
      <c r="C23" s="90"/>
      <c r="D23" s="75"/>
      <c r="E23" s="91"/>
      <c r="F23" s="92"/>
      <c r="G23" s="75"/>
      <c r="H23" s="76"/>
      <c r="I23" s="77"/>
      <c r="J23" s="75"/>
      <c r="K23" s="75"/>
      <c r="L23" s="75"/>
      <c r="M23" s="75"/>
      <c r="N23" s="81"/>
      <c r="O23" s="82"/>
      <c r="P23" s="75"/>
      <c r="Q23" s="83"/>
      <c r="S23" s="83"/>
      <c r="T23" s="83"/>
      <c r="V23" s="84"/>
    </row>
    <row r="24" ht="15.0" customHeight="1">
      <c r="A24" s="70"/>
      <c r="B24" s="71"/>
      <c r="C24" s="74"/>
      <c r="D24" s="73"/>
      <c r="E24" s="74"/>
      <c r="F24" s="74"/>
      <c r="G24" s="75"/>
      <c r="H24" s="76"/>
      <c r="I24" s="77"/>
      <c r="J24" s="75"/>
      <c r="K24" s="75"/>
      <c r="L24" s="75"/>
      <c r="M24" s="75"/>
      <c r="N24" s="81"/>
      <c r="O24" s="82"/>
      <c r="P24" s="75"/>
      <c r="Q24" s="83"/>
      <c r="S24" s="83"/>
      <c r="T24" s="83"/>
      <c r="V24" s="84"/>
    </row>
    <row r="25" ht="15.75" customHeight="1">
      <c r="A25" s="70"/>
      <c r="B25" s="71"/>
      <c r="C25" s="72"/>
      <c r="D25" s="75"/>
      <c r="E25" s="74"/>
      <c r="F25" s="74"/>
      <c r="G25" s="75"/>
      <c r="H25" s="76"/>
      <c r="I25" s="77"/>
      <c r="J25" s="75"/>
      <c r="K25" s="75"/>
      <c r="L25" s="75"/>
      <c r="M25" s="75"/>
      <c r="N25" s="81"/>
      <c r="O25" s="82"/>
      <c r="P25" s="75"/>
      <c r="Q25" s="83"/>
      <c r="S25" s="83"/>
      <c r="T25" s="83"/>
      <c r="V25" s="84"/>
    </row>
    <row r="26" ht="15.75" customHeight="1">
      <c r="A26" s="70"/>
      <c r="B26" s="71"/>
      <c r="C26" s="72"/>
      <c r="D26" s="75"/>
      <c r="E26" s="74"/>
      <c r="F26" s="74"/>
      <c r="G26" s="75"/>
      <c r="H26" s="76"/>
      <c r="I26" s="77"/>
      <c r="J26" s="75"/>
      <c r="K26" s="75"/>
      <c r="L26" s="75"/>
      <c r="M26" s="75"/>
      <c r="N26" s="81"/>
      <c r="O26" s="82"/>
      <c r="P26" s="75"/>
      <c r="Q26" s="83"/>
      <c r="S26" s="83"/>
      <c r="T26" s="83"/>
      <c r="V26" s="84"/>
    </row>
    <row r="27" ht="15.75" customHeight="1">
      <c r="A27" s="70"/>
      <c r="B27" s="71"/>
      <c r="C27" s="72"/>
      <c r="D27" s="75"/>
      <c r="E27" s="74"/>
      <c r="F27" s="74"/>
      <c r="G27" s="75"/>
      <c r="H27" s="76"/>
      <c r="I27" s="77"/>
      <c r="J27" s="75"/>
      <c r="K27" s="78"/>
      <c r="L27" s="78"/>
      <c r="M27" s="80"/>
      <c r="N27" s="81"/>
      <c r="P27" s="75"/>
      <c r="Q27" s="83"/>
      <c r="S27" s="83"/>
      <c r="T27" s="83"/>
      <c r="V27" s="84"/>
    </row>
    <row r="28" ht="15.75" customHeight="1">
      <c r="A28" s="70"/>
      <c r="B28" s="71"/>
      <c r="C28" s="72"/>
      <c r="D28" s="75"/>
      <c r="E28" s="74"/>
      <c r="F28" s="74"/>
      <c r="G28" s="75"/>
      <c r="H28" s="76"/>
      <c r="I28" s="77"/>
      <c r="J28" s="75"/>
      <c r="K28" s="78"/>
      <c r="L28" s="78"/>
      <c r="M28" s="80"/>
      <c r="N28" s="81"/>
      <c r="O28" s="82"/>
      <c r="P28" s="75"/>
      <c r="Q28" s="83"/>
      <c r="R28" s="93"/>
      <c r="S28" s="83"/>
      <c r="T28" s="83"/>
      <c r="V28" s="84"/>
    </row>
    <row r="29" ht="15.75" customHeight="1">
      <c r="A29" s="70"/>
      <c r="B29" s="71"/>
      <c r="C29" s="90"/>
      <c r="D29" s="75"/>
      <c r="E29" s="91"/>
      <c r="F29" s="86"/>
      <c r="G29" s="75"/>
      <c r="H29" s="76"/>
      <c r="I29" s="77"/>
      <c r="J29" s="75"/>
      <c r="K29" s="78"/>
      <c r="L29" s="78"/>
      <c r="M29" s="80"/>
      <c r="N29" s="81"/>
      <c r="O29" s="82"/>
      <c r="P29" s="75"/>
      <c r="Q29" s="83"/>
      <c r="R29" s="87"/>
      <c r="S29" s="83"/>
      <c r="T29" s="83"/>
      <c r="V29" s="84"/>
    </row>
    <row r="30" ht="15.75" customHeight="1">
      <c r="A30" s="70"/>
      <c r="B30" s="71"/>
      <c r="C30" s="90"/>
      <c r="D30" s="75"/>
      <c r="E30" s="74"/>
      <c r="F30" s="92"/>
      <c r="G30" s="75"/>
      <c r="H30" s="76"/>
      <c r="I30" s="77"/>
      <c r="J30" s="75"/>
      <c r="K30" s="78"/>
      <c r="L30" s="78"/>
      <c r="M30" s="80"/>
      <c r="N30" s="81"/>
      <c r="O30" s="82"/>
      <c r="P30" s="75"/>
      <c r="Q30" s="83"/>
      <c r="R30" s="94"/>
      <c r="S30" s="83"/>
      <c r="T30" s="83"/>
      <c r="V30" s="84"/>
    </row>
    <row r="31" ht="15.75" customHeight="1">
      <c r="A31" s="70"/>
      <c r="B31" s="71"/>
      <c r="C31" s="72"/>
      <c r="D31" s="75"/>
      <c r="E31" s="74"/>
      <c r="F31" s="95"/>
      <c r="G31" s="75"/>
      <c r="H31" s="76"/>
      <c r="I31" s="77"/>
      <c r="J31" s="75"/>
      <c r="K31" s="78"/>
      <c r="L31" s="78"/>
      <c r="M31" s="80"/>
      <c r="N31" s="81"/>
      <c r="O31" s="82"/>
      <c r="P31" s="75"/>
      <c r="Q31" s="83"/>
      <c r="R31" s="94"/>
      <c r="S31" s="83"/>
      <c r="T31" s="83"/>
      <c r="V31" s="84"/>
    </row>
    <row r="32" ht="15.75" customHeight="1">
      <c r="A32" s="70"/>
      <c r="B32" s="71"/>
      <c r="C32" s="72"/>
      <c r="D32" s="75"/>
      <c r="E32" s="74"/>
      <c r="F32" s="74"/>
      <c r="G32" s="75"/>
      <c r="H32" s="76"/>
      <c r="I32" s="77"/>
      <c r="J32" s="75"/>
      <c r="K32" s="78"/>
      <c r="L32" s="78"/>
      <c r="M32" s="80"/>
      <c r="N32" s="81"/>
      <c r="O32" s="82"/>
      <c r="P32" s="75"/>
      <c r="Q32" s="83"/>
      <c r="R32" s="94"/>
      <c r="S32" s="83"/>
      <c r="T32" s="83"/>
      <c r="V32" s="84"/>
    </row>
    <row r="33" ht="15.75" customHeight="1">
      <c r="A33" s="70"/>
      <c r="B33" s="71"/>
      <c r="C33" s="74"/>
      <c r="D33" s="75"/>
      <c r="E33" s="74"/>
      <c r="F33" s="74"/>
      <c r="G33" s="75"/>
      <c r="H33" s="76"/>
      <c r="I33" s="77"/>
      <c r="J33" s="75"/>
      <c r="K33" s="78"/>
      <c r="L33" s="78"/>
      <c r="M33" s="80"/>
      <c r="N33" s="81"/>
      <c r="O33" s="82"/>
      <c r="P33" s="75"/>
      <c r="Q33" s="83"/>
      <c r="R33" s="94"/>
      <c r="S33" s="83"/>
      <c r="T33" s="83"/>
      <c r="V33" s="84"/>
    </row>
    <row r="34" ht="15.75" customHeight="1">
      <c r="A34" s="70"/>
      <c r="B34" s="71"/>
      <c r="C34" s="72"/>
      <c r="D34" s="75"/>
      <c r="E34" s="74"/>
      <c r="F34" s="74"/>
      <c r="G34" s="75"/>
      <c r="H34" s="76"/>
      <c r="I34" s="77"/>
      <c r="J34" s="75"/>
      <c r="K34" s="78"/>
      <c r="L34" s="78"/>
      <c r="M34" s="80"/>
      <c r="N34" s="81"/>
      <c r="O34" s="82"/>
      <c r="P34" s="75"/>
      <c r="Q34" s="83"/>
      <c r="R34" s="94"/>
      <c r="S34" s="83"/>
      <c r="T34" s="83"/>
      <c r="V34" s="84"/>
    </row>
    <row r="35" ht="15.75" customHeight="1">
      <c r="A35" s="70"/>
      <c r="B35" s="71"/>
      <c r="C35" s="72"/>
      <c r="D35" s="75"/>
      <c r="E35" s="74"/>
      <c r="F35" s="74"/>
      <c r="G35" s="75"/>
      <c r="H35" s="76"/>
      <c r="I35" s="77"/>
      <c r="J35" s="75"/>
      <c r="K35" s="78"/>
      <c r="L35" s="78"/>
      <c r="M35" s="80"/>
      <c r="N35" s="81"/>
      <c r="O35" s="82"/>
      <c r="P35" s="75"/>
      <c r="Q35" s="83"/>
      <c r="R35" s="94"/>
      <c r="S35" s="83"/>
      <c r="T35" s="83"/>
      <c r="V35" s="84"/>
    </row>
    <row r="36" ht="15.75" customHeight="1">
      <c r="A36" s="70"/>
      <c r="B36" s="96"/>
      <c r="C36" s="72"/>
      <c r="D36" s="75"/>
      <c r="E36" s="74"/>
      <c r="F36" s="74"/>
      <c r="G36" s="75"/>
      <c r="H36" s="76"/>
      <c r="I36" s="77"/>
      <c r="J36" s="75"/>
      <c r="K36" s="78"/>
      <c r="L36" s="78"/>
      <c r="M36" s="80"/>
      <c r="N36" s="81"/>
      <c r="O36" s="82"/>
      <c r="P36" s="75"/>
      <c r="Q36" s="75"/>
      <c r="R36" s="93"/>
      <c r="S36" s="83"/>
      <c r="T36" s="83"/>
      <c r="V36" s="84"/>
    </row>
    <row r="37" ht="15.75" customHeight="1">
      <c r="A37" s="70"/>
      <c r="B37" s="96"/>
      <c r="C37" s="72"/>
      <c r="D37" s="75"/>
      <c r="E37" s="74"/>
      <c r="F37" s="74"/>
      <c r="G37" s="75"/>
      <c r="H37" s="76"/>
      <c r="I37" s="77"/>
      <c r="J37" s="75"/>
      <c r="K37" s="78"/>
      <c r="L37" s="78"/>
      <c r="M37" s="80"/>
      <c r="N37" s="81"/>
      <c r="O37" s="82"/>
      <c r="P37" s="75"/>
      <c r="Q37" s="97"/>
      <c r="R37" s="94"/>
      <c r="S37" s="83"/>
      <c r="T37" s="83"/>
      <c r="V37" s="84"/>
    </row>
    <row r="38" ht="15.75" customHeight="1">
      <c r="A38" s="70"/>
      <c r="B38" s="96"/>
      <c r="C38" s="72"/>
      <c r="D38" s="75"/>
      <c r="E38" s="74"/>
      <c r="F38" s="74"/>
      <c r="G38" s="75"/>
      <c r="H38" s="76"/>
      <c r="I38" s="77"/>
      <c r="J38" s="75"/>
      <c r="K38" s="78"/>
      <c r="L38" s="78"/>
      <c r="M38" s="80"/>
      <c r="N38" s="81"/>
      <c r="O38" s="98"/>
      <c r="P38" s="75"/>
      <c r="Q38" s="99"/>
      <c r="R38" s="94"/>
      <c r="S38" s="83"/>
      <c r="T38" s="83"/>
      <c r="V38" s="84"/>
    </row>
    <row r="39" ht="15.75" customHeight="1">
      <c r="A39" s="70"/>
      <c r="B39" s="96"/>
      <c r="C39" s="72"/>
      <c r="D39" s="75"/>
      <c r="E39" s="74"/>
      <c r="F39" s="74"/>
      <c r="G39" s="75"/>
      <c r="H39" s="76"/>
      <c r="I39" s="77"/>
      <c r="J39" s="75"/>
      <c r="K39" s="78"/>
      <c r="L39" s="78"/>
      <c r="M39" s="80"/>
      <c r="N39" s="81"/>
      <c r="O39" s="98"/>
      <c r="P39" s="75"/>
      <c r="Q39" s="83"/>
      <c r="R39" s="94"/>
      <c r="S39" s="83"/>
      <c r="T39" s="83"/>
      <c r="V39" s="84"/>
    </row>
    <row r="40" ht="15.75" customHeight="1">
      <c r="A40" s="70"/>
      <c r="B40" s="96"/>
      <c r="C40" s="72"/>
      <c r="D40" s="75"/>
      <c r="E40" s="74"/>
      <c r="F40" s="74"/>
      <c r="G40" s="75"/>
      <c r="H40" s="76"/>
      <c r="I40" s="77"/>
      <c r="J40" s="75"/>
      <c r="K40" s="78"/>
      <c r="L40" s="78"/>
      <c r="M40" s="80"/>
      <c r="N40" s="81"/>
      <c r="O40" s="82"/>
      <c r="P40" s="75"/>
      <c r="Q40" s="83"/>
      <c r="R40" s="94"/>
      <c r="S40" s="83"/>
      <c r="T40" s="83"/>
      <c r="V40" s="84"/>
    </row>
    <row r="41" ht="15.75" customHeight="1">
      <c r="A41" s="70"/>
      <c r="B41" s="96"/>
      <c r="C41" s="74"/>
      <c r="D41" s="75"/>
      <c r="E41" s="74"/>
      <c r="F41" s="74"/>
      <c r="G41" s="75"/>
      <c r="H41" s="76"/>
      <c r="I41" s="77"/>
      <c r="J41" s="75"/>
      <c r="K41" s="78"/>
      <c r="L41" s="78"/>
      <c r="M41" s="80"/>
      <c r="N41" s="81"/>
      <c r="O41" s="82"/>
      <c r="P41" s="75"/>
      <c r="Q41" s="83"/>
      <c r="R41" s="93"/>
      <c r="S41" s="83"/>
      <c r="T41" s="83"/>
      <c r="V41" s="84"/>
    </row>
    <row r="42" ht="15.75" customHeight="1">
      <c r="A42" s="70"/>
      <c r="B42" s="96"/>
      <c r="C42" s="72"/>
      <c r="D42" s="75"/>
      <c r="E42" s="74"/>
      <c r="F42" s="74"/>
      <c r="G42" s="75"/>
      <c r="H42" s="76"/>
      <c r="I42" s="77"/>
      <c r="J42" s="75"/>
      <c r="K42" s="78"/>
      <c r="L42" s="78"/>
      <c r="M42" s="80"/>
      <c r="N42" s="81"/>
      <c r="O42" s="82"/>
      <c r="P42" s="75"/>
      <c r="Q42" s="97"/>
      <c r="R42" s="94"/>
      <c r="S42" s="83"/>
      <c r="T42" s="83"/>
      <c r="V42" s="84"/>
    </row>
    <row r="43" ht="15.75" customHeight="1">
      <c r="A43" s="70"/>
      <c r="B43" s="96"/>
      <c r="C43" s="72"/>
      <c r="D43" s="75"/>
      <c r="E43" s="74"/>
      <c r="F43" s="74"/>
      <c r="G43" s="75"/>
      <c r="H43" s="76"/>
      <c r="I43" s="77"/>
      <c r="J43" s="75"/>
      <c r="K43" s="78"/>
      <c r="L43" s="78"/>
      <c r="M43" s="80"/>
      <c r="N43" s="81"/>
      <c r="O43" s="98"/>
      <c r="P43" s="75"/>
      <c r="Q43" s="83"/>
      <c r="R43" s="93"/>
      <c r="S43" s="83"/>
      <c r="T43" s="83"/>
      <c r="V43" s="84"/>
    </row>
    <row r="44" ht="15.75" customHeight="1">
      <c r="A44" s="70"/>
      <c r="B44" s="96"/>
      <c r="C44" s="72"/>
      <c r="D44" s="75"/>
      <c r="E44" s="74"/>
      <c r="F44" s="74"/>
      <c r="G44" s="75"/>
      <c r="H44" s="76"/>
      <c r="I44" s="77"/>
      <c r="J44" s="75"/>
      <c r="K44" s="78"/>
      <c r="L44" s="78"/>
      <c r="M44" s="80"/>
      <c r="N44" s="81"/>
      <c r="O44" s="98"/>
      <c r="P44" s="75"/>
      <c r="Q44" s="83"/>
      <c r="R44" s="93"/>
      <c r="S44" s="83"/>
      <c r="T44" s="83"/>
      <c r="V44" s="84"/>
    </row>
    <row r="45" ht="15.75" customHeight="1">
      <c r="A45" s="70"/>
      <c r="B45" s="96"/>
      <c r="C45" s="72"/>
      <c r="D45" s="75"/>
      <c r="E45" s="74"/>
      <c r="F45" s="74"/>
      <c r="G45" s="75"/>
      <c r="H45" s="76"/>
      <c r="I45" s="77"/>
      <c r="J45" s="75"/>
      <c r="K45" s="78"/>
      <c r="L45" s="78"/>
      <c r="M45" s="80"/>
      <c r="N45" s="81"/>
      <c r="O45" s="82"/>
      <c r="P45" s="75"/>
      <c r="Q45" s="75"/>
      <c r="R45" s="93"/>
      <c r="S45" s="83"/>
      <c r="T45" s="83"/>
      <c r="V45" s="84"/>
    </row>
    <row r="46" ht="15.75" customHeight="1">
      <c r="A46" s="70"/>
      <c r="B46" s="96"/>
      <c r="C46" s="74"/>
      <c r="D46" s="75"/>
      <c r="E46" s="74"/>
      <c r="F46" s="74"/>
      <c r="G46" s="75"/>
      <c r="H46" s="76"/>
      <c r="I46" s="77"/>
      <c r="J46" s="75"/>
      <c r="K46" s="78"/>
      <c r="L46" s="78"/>
      <c r="M46" s="80"/>
      <c r="N46" s="81"/>
      <c r="O46" s="98"/>
      <c r="P46" s="75"/>
      <c r="Q46" s="75"/>
      <c r="R46" s="93"/>
      <c r="S46" s="83"/>
      <c r="T46" s="83"/>
      <c r="V46" s="84"/>
    </row>
    <row r="47" ht="15.75" customHeight="1">
      <c r="A47" s="70"/>
      <c r="B47" s="96"/>
      <c r="C47" s="72"/>
      <c r="D47" s="75"/>
      <c r="E47" s="74"/>
      <c r="F47" s="74"/>
      <c r="G47" s="75"/>
      <c r="H47" s="76"/>
      <c r="I47" s="77"/>
      <c r="J47" s="75"/>
      <c r="K47" s="78"/>
      <c r="L47" s="78"/>
      <c r="M47" s="80"/>
      <c r="N47" s="81"/>
      <c r="O47" s="82"/>
      <c r="P47" s="75"/>
      <c r="Q47" s="83"/>
      <c r="R47" s="87"/>
      <c r="S47" s="83"/>
      <c r="T47" s="83"/>
      <c r="V47" s="84"/>
    </row>
    <row r="48" ht="15.75" customHeight="1">
      <c r="A48" s="70"/>
      <c r="B48" s="96"/>
      <c r="C48" s="72"/>
      <c r="D48" s="75"/>
      <c r="E48" s="74"/>
      <c r="F48" s="95"/>
      <c r="G48" s="75"/>
      <c r="H48" s="76"/>
      <c r="I48" s="77"/>
      <c r="J48" s="75"/>
      <c r="K48" s="78"/>
      <c r="L48" s="78"/>
      <c r="M48" s="80"/>
      <c r="N48" s="81"/>
      <c r="O48" s="82"/>
      <c r="P48" s="75"/>
      <c r="Q48" s="99"/>
      <c r="R48" s="94"/>
      <c r="S48" s="83"/>
      <c r="T48" s="83"/>
      <c r="V48" s="84"/>
    </row>
    <row r="49" ht="15.75" customHeight="1">
      <c r="A49" s="70"/>
      <c r="B49" s="96"/>
      <c r="C49" s="72"/>
      <c r="D49" s="75"/>
      <c r="E49" s="74"/>
      <c r="F49" s="74"/>
      <c r="G49" s="75"/>
      <c r="H49" s="76"/>
      <c r="I49" s="77"/>
      <c r="J49" s="75"/>
      <c r="K49" s="78"/>
      <c r="L49" s="78"/>
      <c r="M49" s="80"/>
      <c r="N49" s="81"/>
      <c r="O49" s="82"/>
      <c r="P49" s="75"/>
      <c r="Q49" s="99"/>
      <c r="R49" s="94"/>
      <c r="S49" s="83"/>
      <c r="T49" s="83"/>
      <c r="V49" s="84"/>
    </row>
    <row r="50" ht="15.75" customHeight="1">
      <c r="A50" s="70"/>
      <c r="B50" s="96"/>
      <c r="C50" s="72"/>
      <c r="D50" s="75"/>
      <c r="E50" s="74"/>
      <c r="F50" s="74"/>
      <c r="G50" s="75"/>
      <c r="H50" s="76"/>
      <c r="I50" s="77"/>
      <c r="J50" s="75"/>
      <c r="K50" s="78"/>
      <c r="L50" s="78"/>
      <c r="M50" s="80"/>
      <c r="N50" s="81"/>
      <c r="O50" s="98"/>
      <c r="P50" s="75"/>
      <c r="Q50" s="83"/>
      <c r="R50" s="93"/>
      <c r="S50" s="83"/>
      <c r="T50" s="83"/>
      <c r="V50" s="84"/>
    </row>
    <row r="51" ht="15.75" customHeight="1">
      <c r="A51" s="70"/>
      <c r="B51" s="96"/>
      <c r="C51" s="72"/>
      <c r="D51" s="75"/>
      <c r="E51" s="74"/>
      <c r="F51" s="74"/>
      <c r="G51" s="75"/>
      <c r="H51" s="76"/>
      <c r="I51" s="77"/>
      <c r="J51" s="75"/>
      <c r="K51" s="78"/>
      <c r="L51" s="78"/>
      <c r="M51" s="80"/>
      <c r="N51" s="81"/>
      <c r="O51" s="82"/>
      <c r="P51" s="75"/>
      <c r="Q51" s="100"/>
      <c r="R51" s="93"/>
      <c r="S51" s="83"/>
      <c r="T51" s="83"/>
      <c r="V51" s="84"/>
    </row>
    <row r="52" ht="15.75" customHeight="1">
      <c r="A52" s="70"/>
      <c r="B52" s="96"/>
      <c r="C52" s="72"/>
      <c r="D52" s="75"/>
      <c r="E52" s="74"/>
      <c r="F52" s="74"/>
      <c r="G52" s="75"/>
      <c r="H52" s="76"/>
      <c r="I52" s="77"/>
      <c r="J52" s="75"/>
      <c r="K52" s="78"/>
      <c r="L52" s="78"/>
      <c r="M52" s="80"/>
      <c r="N52" s="81"/>
      <c r="O52" s="82"/>
      <c r="P52" s="75"/>
      <c r="Q52" s="83"/>
      <c r="R52" s="93"/>
      <c r="S52" s="83"/>
      <c r="T52" s="83"/>
      <c r="V52" s="84"/>
    </row>
    <row r="53" ht="15.75" customHeight="1">
      <c r="A53" s="70"/>
      <c r="B53" s="96"/>
      <c r="C53" s="72"/>
      <c r="D53" s="75"/>
      <c r="E53" s="74"/>
      <c r="F53" s="74"/>
      <c r="G53" s="75"/>
      <c r="H53" s="76"/>
      <c r="I53" s="77"/>
      <c r="J53" s="75"/>
      <c r="K53" s="78"/>
      <c r="L53" s="78"/>
      <c r="M53" s="80"/>
      <c r="N53" s="81"/>
      <c r="O53" s="82"/>
      <c r="P53" s="75"/>
      <c r="Q53" s="99"/>
      <c r="R53" s="94"/>
      <c r="S53" s="83"/>
      <c r="T53" s="83"/>
      <c r="V53" s="84"/>
    </row>
    <row r="54" ht="15.75" customHeight="1">
      <c r="A54" s="70"/>
      <c r="B54" s="96"/>
      <c r="C54" s="72"/>
      <c r="D54" s="75"/>
      <c r="E54" s="74"/>
      <c r="F54" s="74"/>
      <c r="G54" s="75"/>
      <c r="H54" s="76"/>
      <c r="I54" s="77"/>
      <c r="J54" s="75"/>
      <c r="K54" s="78"/>
      <c r="L54" s="78"/>
      <c r="M54" s="80"/>
      <c r="N54" s="81"/>
      <c r="O54" s="82"/>
      <c r="P54" s="75"/>
      <c r="Q54" s="99"/>
      <c r="R54" s="101"/>
      <c r="S54" s="83"/>
      <c r="T54" s="83"/>
      <c r="V54" s="84"/>
    </row>
    <row r="55" ht="15.75" customHeight="1">
      <c r="A55" s="70"/>
      <c r="B55" s="96"/>
      <c r="C55" s="72"/>
      <c r="D55" s="75"/>
      <c r="E55" s="74"/>
      <c r="F55" s="74"/>
      <c r="G55" s="75"/>
      <c r="H55" s="76"/>
      <c r="I55" s="77"/>
      <c r="J55" s="75"/>
      <c r="K55" s="78"/>
      <c r="L55" s="78"/>
      <c r="M55" s="80"/>
      <c r="N55" s="81"/>
      <c r="O55" s="82"/>
      <c r="P55" s="75"/>
      <c r="Q55" s="83"/>
      <c r="R55" s="94"/>
      <c r="S55" s="83"/>
      <c r="T55" s="83"/>
      <c r="V55" s="84"/>
    </row>
    <row r="56" ht="15.75" customHeight="1">
      <c r="A56" s="70"/>
      <c r="B56" s="96"/>
      <c r="C56" s="102"/>
      <c r="D56" s="75"/>
      <c r="E56" s="103"/>
      <c r="F56" s="74"/>
      <c r="G56" s="75"/>
      <c r="H56" s="76"/>
      <c r="I56" s="77"/>
      <c r="J56" s="75"/>
      <c r="K56" s="78"/>
      <c r="L56" s="78"/>
      <c r="M56" s="80"/>
      <c r="N56" s="81"/>
      <c r="O56" s="82"/>
      <c r="P56" s="75"/>
      <c r="Q56" s="97"/>
      <c r="R56" s="94"/>
      <c r="S56" s="83"/>
      <c r="T56" s="83"/>
      <c r="V56" s="84"/>
    </row>
    <row r="57" ht="15.75" customHeight="1">
      <c r="A57" s="70"/>
      <c r="B57" s="96"/>
      <c r="C57" s="72"/>
      <c r="D57" s="75"/>
      <c r="E57" s="74"/>
      <c r="F57" s="74"/>
      <c r="G57" s="75"/>
      <c r="H57" s="76"/>
      <c r="I57" s="77"/>
      <c r="J57" s="75"/>
      <c r="K57" s="78"/>
      <c r="L57" s="78"/>
      <c r="M57" s="80"/>
      <c r="N57" s="81"/>
      <c r="O57" s="82"/>
      <c r="P57" s="75"/>
      <c r="Q57" s="100"/>
      <c r="R57" s="93"/>
      <c r="S57" s="83"/>
      <c r="T57" s="83"/>
      <c r="V57" s="84"/>
    </row>
    <row r="58" ht="15.75" customHeight="1">
      <c r="A58" s="70"/>
      <c r="B58" s="96"/>
      <c r="C58" s="72"/>
      <c r="D58" s="75"/>
      <c r="E58" s="74"/>
      <c r="F58" s="74"/>
      <c r="G58" s="75"/>
      <c r="H58" s="76"/>
      <c r="I58" s="77"/>
      <c r="J58" s="75"/>
      <c r="K58" s="78"/>
      <c r="L58" s="78"/>
      <c r="M58" s="80"/>
      <c r="N58" s="81"/>
      <c r="O58" s="82"/>
      <c r="P58" s="75"/>
      <c r="Q58" s="97"/>
      <c r="R58" s="94"/>
      <c r="S58" s="83"/>
      <c r="T58" s="83"/>
      <c r="V58" s="84"/>
    </row>
    <row r="59" ht="15.75" customHeight="1">
      <c r="A59" s="70"/>
      <c r="B59" s="96"/>
      <c r="C59" s="72"/>
      <c r="D59" s="75"/>
      <c r="E59" s="74"/>
      <c r="F59" s="74"/>
      <c r="G59" s="75"/>
      <c r="H59" s="76"/>
      <c r="I59" s="77"/>
      <c r="J59" s="75"/>
      <c r="K59" s="78"/>
      <c r="L59" s="78"/>
      <c r="M59" s="80"/>
      <c r="N59" s="81"/>
      <c r="O59" s="82"/>
      <c r="P59" s="75"/>
      <c r="Q59" s="75"/>
      <c r="R59" s="93"/>
      <c r="S59" s="83"/>
      <c r="T59" s="83"/>
      <c r="V59" s="84"/>
    </row>
    <row r="60" ht="15.75" customHeight="1">
      <c r="A60" s="70"/>
      <c r="B60" s="96"/>
      <c r="C60" s="72"/>
      <c r="D60" s="75"/>
      <c r="E60" s="74"/>
      <c r="F60" s="74"/>
      <c r="G60" s="75"/>
      <c r="H60" s="76"/>
      <c r="I60" s="77"/>
      <c r="J60" s="75"/>
      <c r="K60" s="78"/>
      <c r="L60" s="78"/>
      <c r="M60" s="80"/>
      <c r="N60" s="81"/>
      <c r="O60" s="82"/>
      <c r="P60" s="75"/>
      <c r="Q60" s="83"/>
      <c r="R60" s="94"/>
      <c r="S60" s="83"/>
      <c r="T60" s="83"/>
      <c r="V60" s="84"/>
    </row>
    <row r="61" ht="15.75" customHeight="1">
      <c r="A61" s="70"/>
      <c r="B61" s="96"/>
      <c r="C61" s="72"/>
      <c r="D61" s="75"/>
      <c r="E61" s="74"/>
      <c r="F61" s="74"/>
      <c r="G61" s="75"/>
      <c r="H61" s="76"/>
      <c r="I61" s="77"/>
      <c r="J61" s="75"/>
      <c r="K61" s="78"/>
      <c r="L61" s="78"/>
      <c r="M61" s="80"/>
      <c r="N61" s="81"/>
      <c r="O61" s="98"/>
      <c r="P61" s="75"/>
      <c r="Q61" s="75"/>
      <c r="R61" s="93"/>
      <c r="S61" s="83"/>
      <c r="T61" s="83"/>
      <c r="V61" s="84"/>
    </row>
    <row r="62" ht="15.75" customHeight="1">
      <c r="A62" s="70"/>
      <c r="B62" s="96"/>
      <c r="C62" s="72"/>
      <c r="D62" s="75"/>
      <c r="E62" s="74"/>
      <c r="F62" s="74"/>
      <c r="G62" s="75"/>
      <c r="H62" s="76"/>
      <c r="I62" s="77"/>
      <c r="J62" s="75"/>
      <c r="K62" s="78"/>
      <c r="L62" s="78"/>
      <c r="M62" s="80"/>
      <c r="N62" s="81"/>
      <c r="O62" s="98"/>
      <c r="P62" s="75"/>
      <c r="Q62" s="75"/>
      <c r="R62" s="93"/>
      <c r="S62" s="83"/>
      <c r="T62" s="83"/>
      <c r="V62" s="84"/>
    </row>
    <row r="63" ht="15.75" customHeight="1">
      <c r="A63" s="70"/>
      <c r="B63" s="96"/>
      <c r="C63" s="72"/>
      <c r="D63" s="75"/>
      <c r="E63" s="74"/>
      <c r="F63" s="74"/>
      <c r="G63" s="75"/>
      <c r="H63" s="76"/>
      <c r="I63" s="77"/>
      <c r="J63" s="75"/>
      <c r="K63" s="78"/>
      <c r="L63" s="78"/>
      <c r="M63" s="80"/>
      <c r="N63" s="81"/>
      <c r="O63" s="82"/>
      <c r="P63" s="75"/>
      <c r="Q63" s="75"/>
      <c r="R63" s="93"/>
      <c r="S63" s="83"/>
      <c r="T63" s="83"/>
      <c r="V63" s="84"/>
    </row>
    <row r="64" ht="15.75" customHeight="1">
      <c r="A64" s="70"/>
      <c r="B64" s="96"/>
      <c r="C64" s="74"/>
      <c r="D64" s="75"/>
      <c r="E64" s="74"/>
      <c r="F64" s="74"/>
      <c r="G64" s="75"/>
      <c r="H64" s="76"/>
      <c r="I64" s="77"/>
      <c r="J64" s="75"/>
      <c r="K64" s="78"/>
      <c r="L64" s="78"/>
      <c r="M64" s="80"/>
      <c r="N64" s="81"/>
      <c r="O64" s="82"/>
      <c r="P64" s="75"/>
      <c r="Q64" s="97"/>
      <c r="R64" s="87"/>
      <c r="S64" s="83"/>
      <c r="T64" s="83"/>
      <c r="V64" s="84"/>
    </row>
    <row r="65" ht="15.75" customHeight="1">
      <c r="A65" s="70"/>
      <c r="B65" s="96"/>
      <c r="C65" s="77"/>
      <c r="D65" s="75"/>
      <c r="E65" s="103"/>
      <c r="F65" s="86"/>
      <c r="G65" s="75"/>
      <c r="H65" s="76"/>
      <c r="I65" s="83"/>
      <c r="J65" s="75"/>
      <c r="K65" s="78"/>
      <c r="L65" s="79"/>
      <c r="M65" s="80"/>
      <c r="N65" s="81"/>
      <c r="O65" s="82"/>
      <c r="P65" s="75"/>
      <c r="Q65" s="99"/>
      <c r="R65" s="87"/>
      <c r="S65" s="83"/>
      <c r="T65" s="83"/>
      <c r="V65" s="84"/>
    </row>
    <row r="66" ht="15.75" customHeight="1">
      <c r="A66" s="70"/>
      <c r="B66" s="96"/>
      <c r="C66" s="94"/>
      <c r="D66" s="75"/>
      <c r="E66" s="103"/>
      <c r="F66" s="104"/>
      <c r="G66" s="75"/>
      <c r="H66" s="76"/>
      <c r="I66" s="83"/>
      <c r="J66" s="75"/>
      <c r="K66" s="105"/>
      <c r="L66" s="106"/>
      <c r="M66" s="80"/>
      <c r="N66" s="107"/>
      <c r="O66" s="98"/>
      <c r="P66" s="75"/>
      <c r="Q66" s="75"/>
      <c r="R66" s="93"/>
      <c r="S66" s="75"/>
      <c r="T66" s="75"/>
      <c r="V66" s="84"/>
    </row>
    <row r="67" ht="15.75" customHeight="1">
      <c r="A67" s="70"/>
      <c r="B67" s="96"/>
      <c r="C67" s="94"/>
      <c r="D67" s="75"/>
      <c r="E67" s="108"/>
      <c r="F67" s="104"/>
      <c r="G67" s="75"/>
      <c r="H67" s="76"/>
      <c r="I67" s="83"/>
      <c r="J67" s="75"/>
      <c r="K67" s="78"/>
      <c r="L67" s="79"/>
      <c r="M67" s="80"/>
      <c r="N67" s="107"/>
      <c r="O67" s="98"/>
      <c r="P67" s="75"/>
      <c r="Q67" s="99"/>
      <c r="R67" s="94"/>
      <c r="S67" s="83"/>
      <c r="T67" s="83"/>
      <c r="V67" s="84"/>
    </row>
    <row r="68" ht="15.75" customHeight="1">
      <c r="A68" s="70"/>
      <c r="B68" s="96"/>
      <c r="C68" s="94"/>
      <c r="D68" s="75"/>
      <c r="E68" s="108"/>
      <c r="F68" s="104"/>
      <c r="G68" s="75"/>
      <c r="H68" s="76"/>
      <c r="I68" s="83"/>
      <c r="J68" s="75"/>
      <c r="K68" s="105"/>
      <c r="L68" s="106"/>
      <c r="M68" s="80"/>
      <c r="N68" s="107"/>
      <c r="O68" s="98"/>
      <c r="P68" s="75"/>
      <c r="Q68" s="99"/>
      <c r="R68" s="93"/>
      <c r="S68" s="75"/>
      <c r="T68" s="83"/>
      <c r="V68" s="84"/>
    </row>
    <row r="69" ht="15.75" customHeight="1">
      <c r="A69" s="70"/>
      <c r="B69" s="96"/>
      <c r="C69" s="76"/>
      <c r="D69" s="75"/>
      <c r="E69" s="108"/>
      <c r="F69" s="109"/>
      <c r="G69" s="75"/>
      <c r="H69" s="76"/>
      <c r="I69" s="83"/>
      <c r="J69" s="75"/>
      <c r="K69" s="78"/>
      <c r="L69" s="79"/>
      <c r="M69" s="80"/>
      <c r="N69" s="107"/>
      <c r="O69" s="98"/>
      <c r="P69" s="75"/>
      <c r="Q69" s="97"/>
      <c r="R69" s="94"/>
      <c r="S69" s="83"/>
      <c r="T69" s="83"/>
      <c r="V69" s="84"/>
    </row>
    <row r="70" ht="15.75" customHeight="1">
      <c r="A70" s="70"/>
      <c r="B70" s="96"/>
      <c r="C70" s="76"/>
      <c r="D70" s="75"/>
      <c r="E70" s="108"/>
      <c r="F70" s="104"/>
      <c r="G70" s="75"/>
      <c r="H70" s="76"/>
      <c r="I70" s="83"/>
      <c r="J70" s="75"/>
      <c r="K70" s="105"/>
      <c r="L70" s="106"/>
      <c r="M70" s="80"/>
      <c r="N70" s="107"/>
      <c r="O70" s="98"/>
      <c r="P70" s="75"/>
      <c r="Q70" s="100"/>
      <c r="R70" s="93"/>
      <c r="S70" s="75"/>
      <c r="T70" s="75"/>
      <c r="V70" s="84"/>
    </row>
    <row r="71" ht="15.75" customHeight="1">
      <c r="A71" s="70"/>
      <c r="B71" s="96"/>
      <c r="C71" s="76"/>
      <c r="D71" s="75"/>
      <c r="E71" s="108"/>
      <c r="F71" s="104"/>
      <c r="G71" s="75"/>
      <c r="H71" s="76"/>
      <c r="I71" s="83"/>
      <c r="J71" s="75"/>
      <c r="K71" s="78"/>
      <c r="L71" s="79"/>
      <c r="M71" s="80"/>
      <c r="N71" s="107"/>
      <c r="O71" s="98"/>
      <c r="P71" s="75"/>
      <c r="Q71" s="99"/>
      <c r="R71" s="94"/>
      <c r="S71" s="83"/>
      <c r="T71" s="83"/>
      <c r="V71" s="84"/>
    </row>
    <row r="72" ht="15.75" customHeight="1">
      <c r="A72" s="70"/>
      <c r="B72" s="96"/>
      <c r="C72" s="76"/>
      <c r="D72" s="75"/>
      <c r="E72" s="103"/>
      <c r="F72" s="104"/>
      <c r="G72" s="75"/>
      <c r="H72" s="76"/>
      <c r="I72" s="83"/>
      <c r="J72" s="75"/>
      <c r="K72" s="105"/>
      <c r="L72" s="106"/>
      <c r="M72" s="80"/>
      <c r="N72" s="81"/>
      <c r="O72" s="98"/>
      <c r="P72" s="75"/>
      <c r="Q72" s="99"/>
      <c r="R72" s="94"/>
      <c r="S72" s="83"/>
      <c r="T72" s="83"/>
      <c r="V72" s="84"/>
    </row>
    <row r="73" ht="15.75" customHeight="1">
      <c r="A73" s="70"/>
      <c r="B73" s="96"/>
      <c r="C73" s="76"/>
      <c r="D73" s="75"/>
      <c r="E73" s="103"/>
      <c r="F73" s="109"/>
      <c r="G73" s="75"/>
      <c r="H73" s="76"/>
      <c r="I73" s="83"/>
      <c r="J73" s="75"/>
      <c r="K73" s="78"/>
      <c r="L73" s="79"/>
      <c r="M73" s="80"/>
      <c r="N73" s="81"/>
      <c r="O73" s="98"/>
      <c r="P73" s="75"/>
      <c r="Q73" s="97"/>
      <c r="R73" s="94"/>
      <c r="S73" s="83"/>
      <c r="T73" s="83"/>
      <c r="V73" s="84"/>
    </row>
    <row r="74" ht="15.75" customHeight="1">
      <c r="A74" s="70"/>
      <c r="B74" s="96"/>
      <c r="C74" s="94"/>
      <c r="D74" s="75"/>
      <c r="E74" s="103"/>
      <c r="F74" s="104"/>
      <c r="G74" s="75"/>
      <c r="H74" s="76"/>
      <c r="I74" s="83"/>
      <c r="J74" s="75"/>
      <c r="K74" s="105"/>
      <c r="L74" s="106"/>
      <c r="M74" s="80"/>
      <c r="N74" s="81"/>
      <c r="O74" s="98"/>
      <c r="P74" s="75"/>
      <c r="Q74" s="97"/>
      <c r="R74" s="94"/>
      <c r="S74" s="83"/>
      <c r="T74" s="83"/>
      <c r="V74" s="84"/>
    </row>
    <row r="75" ht="15.75" customHeight="1">
      <c r="A75" s="70"/>
      <c r="B75" s="96"/>
      <c r="C75" s="94"/>
      <c r="D75" s="75"/>
      <c r="E75" s="103"/>
      <c r="F75" s="104"/>
      <c r="G75" s="75"/>
      <c r="H75" s="76"/>
      <c r="I75" s="83"/>
      <c r="J75" s="75"/>
      <c r="K75" s="78"/>
      <c r="L75" s="79"/>
      <c r="M75" s="80"/>
      <c r="N75" s="107"/>
      <c r="O75" s="98"/>
      <c r="P75" s="75"/>
      <c r="Q75" s="100"/>
      <c r="R75" s="93"/>
      <c r="S75" s="75"/>
      <c r="T75" s="75"/>
      <c r="V75" s="84"/>
    </row>
    <row r="76" ht="15.75" customHeight="1">
      <c r="A76" s="70"/>
      <c r="B76" s="96"/>
      <c r="C76" s="76"/>
      <c r="D76" s="75"/>
      <c r="E76" s="103"/>
      <c r="F76" s="104"/>
      <c r="G76" s="75"/>
      <c r="H76" s="76"/>
      <c r="I76" s="83"/>
      <c r="J76" s="75"/>
      <c r="K76" s="105"/>
      <c r="L76" s="106"/>
      <c r="M76" s="80"/>
      <c r="N76" s="81"/>
      <c r="O76" s="98"/>
      <c r="P76" s="75"/>
      <c r="Q76" s="97"/>
      <c r="R76" s="94"/>
      <c r="S76" s="83"/>
      <c r="T76" s="83"/>
      <c r="V76" s="84"/>
    </row>
    <row r="77" ht="15.75" customHeight="1">
      <c r="A77" s="70"/>
      <c r="B77" s="96"/>
      <c r="C77" s="76"/>
      <c r="D77" s="75"/>
      <c r="E77" s="108"/>
      <c r="F77" s="104"/>
      <c r="G77" s="75"/>
      <c r="H77" s="76"/>
      <c r="I77" s="83"/>
      <c r="J77" s="75"/>
      <c r="K77" s="78"/>
      <c r="L77" s="79"/>
      <c r="M77" s="80"/>
      <c r="N77" s="107"/>
      <c r="O77" s="98"/>
      <c r="P77" s="75"/>
      <c r="Q77" s="100"/>
      <c r="R77" s="93"/>
      <c r="S77" s="75"/>
      <c r="T77" s="75"/>
      <c r="V77" s="84"/>
    </row>
    <row r="78" ht="15.75" customHeight="1">
      <c r="A78" s="70"/>
      <c r="B78" s="96"/>
      <c r="C78" s="76"/>
      <c r="D78" s="75"/>
      <c r="E78" s="103"/>
      <c r="F78" s="104"/>
      <c r="G78" s="75"/>
      <c r="H78" s="76"/>
      <c r="I78" s="83"/>
      <c r="J78" s="75"/>
      <c r="K78" s="105"/>
      <c r="L78" s="106"/>
      <c r="M78" s="80"/>
      <c r="N78" s="81"/>
      <c r="O78" s="98"/>
      <c r="P78" s="75"/>
      <c r="Q78" s="97"/>
      <c r="R78" s="94"/>
      <c r="S78" s="83"/>
      <c r="T78" s="83"/>
      <c r="V78" s="84"/>
    </row>
    <row r="79" ht="15.75" customHeight="1">
      <c r="A79" s="70"/>
      <c r="B79" s="96"/>
      <c r="C79" s="76"/>
      <c r="D79" s="75"/>
      <c r="E79" s="103"/>
      <c r="F79" s="104"/>
      <c r="G79" s="75"/>
      <c r="H79" s="76"/>
      <c r="I79" s="83"/>
      <c r="J79" s="75"/>
      <c r="K79" s="78"/>
      <c r="L79" s="79"/>
      <c r="M79" s="80"/>
      <c r="N79" s="107"/>
      <c r="O79" s="98"/>
      <c r="P79" s="75"/>
      <c r="Q79" s="100"/>
      <c r="R79" s="93"/>
      <c r="S79" s="75"/>
      <c r="T79" s="75"/>
      <c r="V79" s="84"/>
    </row>
    <row r="80" ht="15.75" customHeight="1">
      <c r="A80" s="70"/>
      <c r="B80" s="96"/>
      <c r="C80" s="76"/>
      <c r="D80" s="75"/>
      <c r="E80" s="103"/>
      <c r="F80" s="104"/>
      <c r="G80" s="75"/>
      <c r="H80" s="76"/>
      <c r="I80" s="83"/>
      <c r="J80" s="75"/>
      <c r="K80" s="105"/>
      <c r="L80" s="106"/>
      <c r="M80" s="80"/>
      <c r="N80" s="81"/>
      <c r="O80" s="82"/>
      <c r="P80" s="75"/>
      <c r="Q80" s="99"/>
      <c r="R80" s="94"/>
      <c r="S80" s="83"/>
      <c r="T80" s="83"/>
      <c r="V80" s="84"/>
    </row>
    <row r="81" ht="15.75" customHeight="1">
      <c r="A81" s="70"/>
      <c r="B81" s="96"/>
      <c r="C81" s="94"/>
      <c r="D81" s="75"/>
      <c r="E81" s="103"/>
      <c r="F81" s="104"/>
      <c r="G81" s="75"/>
      <c r="H81" s="76"/>
      <c r="I81" s="83"/>
      <c r="J81" s="75"/>
      <c r="K81" s="78"/>
      <c r="L81" s="79"/>
      <c r="M81" s="80"/>
      <c r="N81" s="81"/>
      <c r="O81" s="82"/>
      <c r="P81" s="75"/>
      <c r="Q81" s="97"/>
      <c r="R81" s="110"/>
      <c r="S81" s="83"/>
      <c r="T81" s="83"/>
      <c r="V81" s="84"/>
    </row>
    <row r="82" ht="15.75" customHeight="1">
      <c r="A82" s="70"/>
      <c r="B82" s="96"/>
      <c r="C82" s="94"/>
      <c r="D82" s="75"/>
      <c r="E82" s="103"/>
      <c r="F82" s="104"/>
      <c r="G82" s="75"/>
      <c r="H82" s="76"/>
      <c r="I82" s="83"/>
      <c r="J82" s="75"/>
      <c r="K82" s="105"/>
      <c r="L82" s="106"/>
      <c r="M82" s="80"/>
      <c r="N82" s="81"/>
      <c r="O82" s="82"/>
      <c r="P82" s="75"/>
      <c r="Q82" s="97"/>
      <c r="R82" s="94"/>
      <c r="S82" s="83"/>
      <c r="T82" s="83"/>
      <c r="V82" s="84"/>
    </row>
    <row r="83" ht="15.75" customHeight="1">
      <c r="A83" s="70"/>
      <c r="B83" s="96"/>
      <c r="C83" s="76"/>
      <c r="D83" s="75"/>
      <c r="E83" s="103"/>
      <c r="F83" s="104"/>
      <c r="G83" s="75"/>
      <c r="H83" s="76"/>
      <c r="I83" s="83"/>
      <c r="J83" s="75"/>
      <c r="K83" s="78"/>
      <c r="L83" s="79"/>
      <c r="M83" s="80"/>
      <c r="N83" s="107"/>
      <c r="O83" s="98"/>
      <c r="P83" s="75"/>
      <c r="Q83" s="100"/>
      <c r="R83" s="93"/>
      <c r="S83" s="75"/>
      <c r="T83" s="75"/>
      <c r="V83" s="84"/>
    </row>
    <row r="84" ht="15.75" customHeight="1">
      <c r="A84" s="70"/>
      <c r="B84" s="96"/>
      <c r="C84" s="76"/>
      <c r="D84" s="75"/>
      <c r="E84" s="103"/>
      <c r="F84" s="104"/>
      <c r="G84" s="75"/>
      <c r="H84" s="76"/>
      <c r="I84" s="83"/>
      <c r="J84" s="75"/>
      <c r="K84" s="105"/>
      <c r="L84" s="106"/>
      <c r="M84" s="80"/>
      <c r="N84" s="107"/>
      <c r="O84" s="98"/>
      <c r="P84" s="75"/>
      <c r="Q84" s="75"/>
      <c r="R84" s="93"/>
      <c r="S84" s="75"/>
      <c r="T84" s="75"/>
      <c r="V84" s="84"/>
    </row>
    <row r="85" ht="15.75" customHeight="1">
      <c r="A85" s="70"/>
      <c r="B85" s="96"/>
      <c r="C85" s="111"/>
      <c r="D85" s="75"/>
      <c r="E85" s="103"/>
      <c r="F85" s="104"/>
      <c r="G85" s="75"/>
      <c r="H85" s="76"/>
      <c r="I85" s="83"/>
      <c r="J85" s="75"/>
      <c r="K85" s="78"/>
      <c r="L85" s="79"/>
      <c r="M85" s="80"/>
      <c r="N85" s="107"/>
      <c r="O85" s="98"/>
      <c r="P85" s="75"/>
      <c r="Q85" s="100"/>
      <c r="R85" s="93"/>
      <c r="S85" s="75"/>
      <c r="T85" s="75"/>
      <c r="V85" s="84"/>
    </row>
    <row r="86" ht="15.75" customHeight="1">
      <c r="A86" s="70"/>
      <c r="B86" s="96"/>
      <c r="C86" s="77"/>
      <c r="D86" s="75"/>
      <c r="E86" s="103"/>
      <c r="F86" s="104"/>
      <c r="G86" s="75"/>
      <c r="H86" s="76"/>
      <c r="I86" s="83"/>
      <c r="J86" s="75"/>
      <c r="K86" s="105"/>
      <c r="L86" s="106"/>
      <c r="M86" s="80"/>
      <c r="N86" s="81"/>
      <c r="O86" s="82"/>
      <c r="P86" s="75"/>
      <c r="Q86" s="99"/>
      <c r="R86" s="87"/>
      <c r="S86" s="83"/>
      <c r="T86" s="83"/>
      <c r="V86" s="84"/>
    </row>
    <row r="87" ht="15.75" customHeight="1">
      <c r="A87" s="70"/>
      <c r="B87" s="96"/>
      <c r="C87" s="76"/>
      <c r="D87" s="75"/>
      <c r="E87" s="103"/>
      <c r="F87" s="104"/>
      <c r="G87" s="75"/>
      <c r="H87" s="76"/>
      <c r="I87" s="83"/>
      <c r="J87" s="75"/>
      <c r="K87" s="78"/>
      <c r="L87" s="79"/>
      <c r="M87" s="80"/>
      <c r="N87" s="107"/>
      <c r="O87" s="82"/>
      <c r="P87" s="75"/>
      <c r="Q87" s="100"/>
      <c r="R87" s="94"/>
      <c r="S87" s="83"/>
      <c r="T87" s="83"/>
      <c r="V87" s="84"/>
    </row>
    <row r="88" ht="15.75" customHeight="1">
      <c r="A88" s="70"/>
      <c r="B88" s="96"/>
      <c r="C88" s="76"/>
      <c r="D88" s="75"/>
      <c r="E88" s="103"/>
      <c r="F88" s="104"/>
      <c r="G88" s="75"/>
      <c r="H88" s="76"/>
      <c r="I88" s="83"/>
      <c r="J88" s="75"/>
      <c r="K88" s="105"/>
      <c r="L88" s="106"/>
      <c r="M88" s="80"/>
      <c r="N88" s="81"/>
      <c r="O88" s="82"/>
      <c r="P88" s="75"/>
      <c r="Q88" s="97"/>
      <c r="R88" s="94"/>
      <c r="S88" s="83"/>
      <c r="T88" s="83"/>
      <c r="V88" s="84"/>
    </row>
    <row r="89" ht="15.75" customHeight="1">
      <c r="A89" s="70"/>
      <c r="B89" s="96"/>
      <c r="C89" s="76"/>
      <c r="D89" s="75"/>
      <c r="E89" s="103"/>
      <c r="F89" s="104"/>
      <c r="G89" s="75"/>
      <c r="H89" s="76"/>
      <c r="I89" s="83"/>
      <c r="J89" s="75"/>
      <c r="K89" s="78"/>
      <c r="L89" s="79"/>
      <c r="M89" s="80"/>
      <c r="N89" s="107"/>
      <c r="O89" s="98"/>
      <c r="P89" s="75"/>
      <c r="Q89" s="75"/>
      <c r="R89" s="93"/>
      <c r="S89" s="75"/>
      <c r="T89" s="75"/>
      <c r="V89" s="84"/>
    </row>
    <row r="90" ht="15.75" customHeight="1">
      <c r="A90" s="70"/>
      <c r="B90" s="96"/>
      <c r="C90" s="112"/>
      <c r="D90" s="75"/>
      <c r="E90" s="103"/>
      <c r="F90" s="113"/>
      <c r="G90" s="75"/>
      <c r="H90" s="76"/>
      <c r="I90" s="83"/>
      <c r="J90" s="75"/>
      <c r="K90" s="105"/>
      <c r="L90" s="106"/>
      <c r="M90" s="80"/>
      <c r="N90" s="81"/>
      <c r="O90" s="82"/>
      <c r="P90" s="75"/>
      <c r="Q90" s="83"/>
      <c r="R90" s="94"/>
      <c r="S90" s="83"/>
      <c r="T90" s="83"/>
      <c r="V90" s="84"/>
    </row>
    <row r="91" ht="15.75" customHeight="1">
      <c r="A91" s="70"/>
      <c r="B91" s="96"/>
      <c r="C91" s="114"/>
      <c r="D91" s="75"/>
      <c r="E91" s="103"/>
      <c r="F91" s="104"/>
      <c r="G91" s="75"/>
      <c r="H91" s="76"/>
      <c r="I91" s="83"/>
      <c r="J91" s="75"/>
      <c r="K91" s="78"/>
      <c r="L91" s="79"/>
      <c r="M91" s="80"/>
      <c r="N91" s="107"/>
      <c r="O91" s="98"/>
      <c r="P91" s="75"/>
      <c r="Q91" s="75"/>
      <c r="R91" s="93"/>
      <c r="S91" s="75"/>
      <c r="T91" s="75"/>
      <c r="V91" s="84"/>
    </row>
    <row r="92" ht="15.75" customHeight="1">
      <c r="A92" s="70"/>
      <c r="B92" s="96"/>
      <c r="C92" s="112"/>
      <c r="D92" s="75"/>
      <c r="E92" s="103"/>
      <c r="F92" s="104"/>
      <c r="G92" s="75"/>
      <c r="H92" s="76"/>
      <c r="I92" s="83"/>
      <c r="J92" s="75"/>
      <c r="K92" s="105"/>
      <c r="L92" s="106"/>
      <c r="M92" s="80"/>
      <c r="N92" s="81"/>
      <c r="O92" s="82"/>
      <c r="P92" s="75"/>
      <c r="Q92" s="99"/>
      <c r="R92" s="94"/>
      <c r="S92" s="83"/>
      <c r="T92" s="83"/>
      <c r="V92" s="84"/>
    </row>
    <row r="93" ht="15.75" customHeight="1">
      <c r="A93" s="70"/>
      <c r="B93" s="96"/>
      <c r="C93" s="114"/>
      <c r="D93" s="75"/>
      <c r="E93" s="104"/>
      <c r="F93" s="104"/>
      <c r="G93" s="75"/>
      <c r="H93" s="76"/>
      <c r="I93" s="83"/>
      <c r="J93" s="75"/>
      <c r="K93" s="78"/>
      <c r="L93" s="79"/>
      <c r="M93" s="80"/>
      <c r="N93" s="107"/>
      <c r="O93" s="98"/>
      <c r="P93" s="75"/>
      <c r="Q93" s="100"/>
      <c r="R93" s="93"/>
      <c r="S93" s="75"/>
      <c r="T93" s="75"/>
      <c r="V93" s="84"/>
    </row>
    <row r="94" ht="15.75" customHeight="1">
      <c r="A94" s="70"/>
      <c r="B94" s="96"/>
      <c r="C94" s="76"/>
      <c r="D94" s="75"/>
      <c r="E94" s="103"/>
      <c r="F94" s="104"/>
      <c r="G94" s="75"/>
      <c r="H94" s="76"/>
      <c r="I94" s="83"/>
      <c r="J94" s="75"/>
      <c r="K94" s="105"/>
      <c r="L94" s="106"/>
      <c r="M94" s="80"/>
      <c r="N94" s="107"/>
      <c r="O94" s="98"/>
      <c r="P94" s="75"/>
      <c r="Q94" s="75"/>
      <c r="R94" s="93"/>
      <c r="S94" s="75"/>
      <c r="T94" s="75"/>
      <c r="V94" s="84"/>
    </row>
    <row r="95" ht="15.75" customHeight="1">
      <c r="A95" s="70"/>
      <c r="B95" s="96"/>
      <c r="C95" s="76"/>
      <c r="D95" s="75"/>
      <c r="E95" s="103"/>
      <c r="F95" s="104"/>
      <c r="G95" s="75"/>
      <c r="H95" s="76"/>
      <c r="I95" s="83"/>
      <c r="J95" s="75"/>
      <c r="K95" s="78"/>
      <c r="L95" s="79"/>
      <c r="M95" s="80"/>
      <c r="N95" s="81"/>
      <c r="O95" s="82"/>
      <c r="P95" s="75"/>
      <c r="Q95" s="97"/>
      <c r="R95" s="94"/>
      <c r="S95" s="83"/>
      <c r="T95" s="83"/>
      <c r="V95" s="84"/>
    </row>
    <row r="96" ht="15.75" customHeight="1">
      <c r="A96" s="70"/>
      <c r="B96" s="96"/>
      <c r="C96" s="76"/>
      <c r="D96" s="75"/>
      <c r="E96" s="103"/>
      <c r="F96" s="104"/>
      <c r="G96" s="75"/>
      <c r="H96" s="76"/>
      <c r="I96" s="83"/>
      <c r="J96" s="75"/>
      <c r="K96" s="105"/>
      <c r="L96" s="106"/>
      <c r="M96" s="80"/>
      <c r="N96" s="107"/>
      <c r="O96" s="98"/>
      <c r="P96" s="75"/>
      <c r="Q96" s="75"/>
      <c r="R96" s="93"/>
      <c r="S96" s="75"/>
      <c r="T96" s="75"/>
      <c r="V96" s="84"/>
    </row>
    <row r="97" ht="15.75" customHeight="1">
      <c r="A97" s="70"/>
      <c r="B97" s="96"/>
      <c r="C97" s="76"/>
      <c r="D97" s="75"/>
      <c r="E97" s="115"/>
      <c r="F97" s="104"/>
      <c r="G97" s="75"/>
      <c r="H97" s="76"/>
      <c r="I97" s="83"/>
      <c r="J97" s="75"/>
      <c r="K97" s="78"/>
      <c r="L97" s="79"/>
      <c r="M97" s="80"/>
      <c r="N97" s="107"/>
      <c r="O97" s="98"/>
      <c r="P97" s="75"/>
      <c r="Q97" s="100"/>
      <c r="R97" s="93"/>
      <c r="S97" s="75"/>
      <c r="T97" s="75"/>
      <c r="V97" s="84"/>
    </row>
    <row r="98" ht="15.75" customHeight="1">
      <c r="A98" s="70"/>
      <c r="B98" s="96"/>
      <c r="C98" s="94"/>
      <c r="D98" s="75"/>
      <c r="E98" s="103"/>
      <c r="F98" s="104"/>
      <c r="G98" s="75"/>
      <c r="H98" s="76"/>
      <c r="I98" s="83"/>
      <c r="J98" s="75"/>
      <c r="K98" s="105"/>
      <c r="L98" s="106"/>
      <c r="M98" s="80"/>
      <c r="N98" s="107"/>
      <c r="O98" s="98"/>
      <c r="P98" s="75"/>
      <c r="Q98" s="99"/>
      <c r="R98" s="94"/>
      <c r="S98" s="75"/>
      <c r="T98" s="83"/>
      <c r="V98" s="84"/>
    </row>
    <row r="99" ht="15.75" customHeight="1">
      <c r="A99" s="70"/>
      <c r="B99" s="96"/>
      <c r="C99" s="94"/>
      <c r="D99" s="75"/>
      <c r="E99" s="103"/>
      <c r="F99" s="104"/>
      <c r="G99" s="75"/>
      <c r="H99" s="76"/>
      <c r="I99" s="83"/>
      <c r="J99" s="75"/>
      <c r="K99" s="78"/>
      <c r="L99" s="79"/>
      <c r="M99" s="80"/>
      <c r="N99" s="107"/>
      <c r="O99" s="98"/>
      <c r="P99" s="75"/>
      <c r="Q99" s="99"/>
      <c r="R99" s="94"/>
      <c r="S99" s="75"/>
      <c r="T99" s="83"/>
      <c r="V99" s="84"/>
    </row>
    <row r="100" ht="15.75" customHeight="1">
      <c r="A100" s="70"/>
      <c r="B100" s="96"/>
      <c r="C100" s="76"/>
      <c r="D100" s="75"/>
      <c r="E100" s="108"/>
      <c r="F100" s="109"/>
      <c r="G100" s="75"/>
      <c r="H100" s="76"/>
      <c r="I100" s="83"/>
      <c r="J100" s="75"/>
      <c r="K100" s="105"/>
      <c r="L100" s="106"/>
      <c r="M100" s="80"/>
      <c r="N100" s="107"/>
      <c r="O100" s="98"/>
      <c r="P100" s="75"/>
      <c r="Q100" s="100"/>
      <c r="R100" s="93"/>
      <c r="S100" s="75"/>
      <c r="T100" s="75"/>
      <c r="V100" s="84"/>
    </row>
    <row r="101" ht="15.75" customHeight="1">
      <c r="A101" s="70"/>
      <c r="B101" s="96"/>
      <c r="C101" s="76"/>
      <c r="D101" s="75"/>
      <c r="E101" s="103"/>
      <c r="F101" s="104"/>
      <c r="G101" s="75"/>
      <c r="H101" s="76"/>
      <c r="I101" s="83"/>
      <c r="J101" s="75"/>
      <c r="K101" s="78"/>
      <c r="L101" s="79"/>
      <c r="M101" s="80"/>
      <c r="N101" s="107"/>
      <c r="O101" s="98"/>
      <c r="P101" s="75"/>
      <c r="Q101" s="75"/>
      <c r="R101" s="93"/>
      <c r="S101" s="75"/>
      <c r="T101" s="75"/>
      <c r="V101" s="84"/>
    </row>
    <row r="102" ht="15.75" customHeight="1">
      <c r="A102" s="70"/>
      <c r="B102" s="96"/>
      <c r="C102" s="76"/>
      <c r="D102" s="75"/>
      <c r="E102" s="103"/>
      <c r="F102" s="104"/>
      <c r="G102" s="75"/>
      <c r="H102" s="76"/>
      <c r="I102" s="83"/>
      <c r="J102" s="75"/>
      <c r="K102" s="105"/>
      <c r="L102" s="106"/>
      <c r="M102" s="80"/>
      <c r="N102" s="81"/>
      <c r="O102" s="82"/>
      <c r="P102" s="75"/>
      <c r="Q102" s="97"/>
      <c r="R102" s="87"/>
      <c r="S102" s="83"/>
      <c r="T102" s="83"/>
      <c r="V102" s="84"/>
    </row>
    <row r="103" ht="15.75" customHeight="1">
      <c r="A103" s="70"/>
      <c r="B103" s="116"/>
      <c r="C103" s="117"/>
      <c r="D103" s="75"/>
      <c r="E103" s="118"/>
      <c r="F103" s="113"/>
      <c r="G103" s="75"/>
      <c r="H103" s="76"/>
      <c r="I103" s="83"/>
      <c r="J103" s="75"/>
      <c r="K103" s="78"/>
      <c r="L103" s="79"/>
      <c r="M103" s="80"/>
      <c r="N103" s="81"/>
      <c r="O103" s="98"/>
      <c r="P103" s="75"/>
      <c r="Q103" s="100"/>
      <c r="R103" s="93"/>
      <c r="S103" s="83"/>
      <c r="T103" s="75"/>
      <c r="V103" s="84"/>
    </row>
    <row r="104" ht="15.75" customHeight="1">
      <c r="A104" s="70"/>
      <c r="B104" s="116"/>
      <c r="C104" s="117"/>
      <c r="D104" s="75"/>
      <c r="E104" s="118"/>
      <c r="F104" s="118"/>
      <c r="G104" s="75"/>
      <c r="H104" s="76"/>
      <c r="I104" s="83"/>
      <c r="J104" s="75"/>
      <c r="K104" s="105"/>
      <c r="L104" s="106"/>
      <c r="M104" s="80"/>
      <c r="N104" s="81"/>
      <c r="O104" s="98"/>
      <c r="P104" s="75"/>
      <c r="Q104" s="75"/>
      <c r="R104" s="93"/>
      <c r="S104" s="83"/>
      <c r="T104" s="75"/>
      <c r="V104" s="84"/>
    </row>
    <row r="105" ht="15.75" customHeight="1">
      <c r="A105" s="70"/>
      <c r="B105" s="116"/>
      <c r="C105" s="84"/>
      <c r="D105" s="75"/>
      <c r="E105" s="118"/>
      <c r="F105" s="118"/>
      <c r="G105" s="75"/>
      <c r="H105" s="76"/>
      <c r="I105" s="83"/>
      <c r="J105" s="75"/>
      <c r="K105" s="78"/>
      <c r="L105" s="79"/>
      <c r="M105" s="80"/>
      <c r="N105" s="81"/>
      <c r="O105" s="98"/>
      <c r="P105" s="75"/>
      <c r="Q105" s="100"/>
      <c r="R105" s="93"/>
      <c r="S105" s="83"/>
      <c r="T105" s="75"/>
      <c r="V105" s="84"/>
    </row>
    <row r="106" ht="15.75" customHeight="1">
      <c r="A106" s="70"/>
      <c r="B106" s="116"/>
      <c r="C106" s="84"/>
      <c r="D106" s="75"/>
      <c r="E106" s="118"/>
      <c r="F106" s="118"/>
      <c r="G106" s="75"/>
      <c r="H106" s="76"/>
      <c r="I106" s="83"/>
      <c r="J106" s="75"/>
      <c r="K106" s="105"/>
      <c r="L106" s="106"/>
      <c r="M106" s="80"/>
      <c r="N106" s="81"/>
      <c r="O106" s="98"/>
      <c r="P106" s="75"/>
      <c r="Q106" s="100"/>
      <c r="R106" s="93"/>
      <c r="S106" s="83"/>
      <c r="T106" s="75"/>
      <c r="V106" s="84"/>
    </row>
    <row r="107" ht="15.75" customHeight="1">
      <c r="A107" s="70"/>
      <c r="B107" s="116"/>
      <c r="C107" s="117"/>
      <c r="D107" s="75"/>
      <c r="E107" s="118"/>
      <c r="F107" s="118"/>
      <c r="G107" s="75"/>
      <c r="H107" s="76"/>
      <c r="I107" s="83"/>
      <c r="J107" s="75"/>
      <c r="K107" s="78"/>
      <c r="L107" s="79"/>
      <c r="M107" s="80"/>
      <c r="N107" s="81"/>
      <c r="O107" s="98"/>
      <c r="P107" s="75"/>
      <c r="Q107" s="100"/>
      <c r="R107" s="93"/>
      <c r="S107" s="83"/>
      <c r="T107" s="75"/>
      <c r="V107" s="84"/>
    </row>
    <row r="108" ht="15.75" customHeight="1">
      <c r="A108" s="70"/>
      <c r="B108" s="116"/>
      <c r="C108" s="117"/>
      <c r="D108" s="75"/>
      <c r="E108" s="118"/>
      <c r="F108" s="118"/>
      <c r="G108" s="75"/>
      <c r="H108" s="76"/>
      <c r="I108" s="83"/>
      <c r="J108" s="75"/>
      <c r="K108" s="105"/>
      <c r="L108" s="106"/>
      <c r="M108" s="80"/>
      <c r="N108" s="81"/>
      <c r="O108" s="98"/>
      <c r="P108" s="75"/>
      <c r="Q108" s="75"/>
      <c r="R108" s="93"/>
      <c r="S108" s="83"/>
      <c r="T108" s="75"/>
      <c r="V108" s="84"/>
    </row>
    <row r="109" ht="15.75" customHeight="1">
      <c r="A109" s="70"/>
      <c r="B109" s="116"/>
      <c r="C109" s="117"/>
      <c r="D109" s="75"/>
      <c r="E109" s="118"/>
      <c r="F109" s="118"/>
      <c r="G109" s="75"/>
      <c r="H109" s="76"/>
      <c r="I109" s="83"/>
      <c r="J109" s="75"/>
      <c r="K109" s="78"/>
      <c r="L109" s="79"/>
      <c r="M109" s="80"/>
      <c r="N109" s="81"/>
      <c r="O109" s="98"/>
      <c r="P109" s="75"/>
      <c r="Q109" s="100"/>
      <c r="R109" s="93"/>
      <c r="S109" s="83"/>
      <c r="T109" s="75"/>
      <c r="V109" s="84"/>
    </row>
    <row r="110" ht="15.75" customHeight="1">
      <c r="A110" s="70"/>
      <c r="B110" s="116"/>
      <c r="C110" s="117"/>
      <c r="D110" s="75"/>
      <c r="E110" s="118"/>
      <c r="F110" s="118"/>
      <c r="G110" s="75"/>
      <c r="H110" s="117"/>
      <c r="I110" s="119"/>
      <c r="J110" s="75"/>
      <c r="K110" s="105"/>
      <c r="L110" s="106"/>
      <c r="M110" s="80"/>
      <c r="N110" s="107"/>
      <c r="O110" s="98"/>
      <c r="P110" s="75"/>
      <c r="Q110" s="75"/>
      <c r="R110" s="93"/>
      <c r="S110" s="75"/>
      <c r="T110" s="75"/>
      <c r="V110" s="84"/>
    </row>
    <row r="111" ht="15.75" customHeight="1">
      <c r="A111" s="70"/>
      <c r="B111" s="116"/>
      <c r="C111" s="117"/>
      <c r="D111" s="75"/>
      <c r="E111" s="118"/>
      <c r="F111" s="118"/>
      <c r="G111" s="75"/>
      <c r="H111" s="117"/>
      <c r="I111" s="75"/>
      <c r="J111" s="75"/>
      <c r="K111" s="78"/>
      <c r="L111" s="79"/>
      <c r="M111" s="80"/>
      <c r="N111" s="107"/>
      <c r="O111" s="98"/>
      <c r="P111" s="75"/>
      <c r="Q111" s="100"/>
      <c r="R111" s="93"/>
      <c r="S111" s="75"/>
      <c r="T111" s="75"/>
      <c r="V111" s="84"/>
    </row>
    <row r="112" ht="15.75" customHeight="1">
      <c r="A112" s="70"/>
      <c r="B112" s="116"/>
      <c r="C112" s="84"/>
      <c r="D112" s="75"/>
      <c r="E112" s="118"/>
      <c r="F112" s="118"/>
      <c r="G112" s="75"/>
      <c r="H112" s="117"/>
      <c r="I112" s="75"/>
      <c r="J112" s="75"/>
      <c r="K112" s="105"/>
      <c r="L112" s="106"/>
      <c r="M112" s="80"/>
      <c r="N112" s="107"/>
      <c r="O112" s="98"/>
      <c r="P112" s="75"/>
      <c r="Q112" s="75"/>
      <c r="R112" s="93"/>
      <c r="S112" s="75"/>
      <c r="T112" s="75"/>
      <c r="V112" s="84"/>
    </row>
    <row r="113" ht="15.75" customHeight="1">
      <c r="A113" s="70"/>
      <c r="B113" s="116"/>
      <c r="C113" s="84"/>
      <c r="D113" s="75"/>
      <c r="E113" s="118"/>
      <c r="F113" s="118"/>
      <c r="G113" s="75"/>
      <c r="H113" s="117"/>
      <c r="I113" s="75"/>
      <c r="J113" s="75"/>
      <c r="K113" s="78"/>
      <c r="L113" s="79"/>
      <c r="M113" s="80"/>
      <c r="N113" s="107"/>
      <c r="O113" s="98"/>
      <c r="P113" s="75"/>
      <c r="Q113" s="75"/>
      <c r="R113" s="93"/>
      <c r="S113" s="75"/>
      <c r="T113" s="75"/>
      <c r="V113" s="84"/>
    </row>
    <row r="114" ht="15.75" customHeight="1">
      <c r="A114" s="70"/>
      <c r="B114" s="116"/>
      <c r="C114" s="84"/>
      <c r="D114" s="75"/>
      <c r="E114" s="118"/>
      <c r="F114" s="118"/>
      <c r="G114" s="75"/>
      <c r="H114" s="117"/>
      <c r="I114" s="75"/>
      <c r="J114" s="75"/>
      <c r="K114" s="105"/>
      <c r="L114" s="106"/>
      <c r="M114" s="80"/>
      <c r="N114" s="107"/>
      <c r="O114" s="98"/>
      <c r="P114" s="75"/>
      <c r="Q114" s="75"/>
      <c r="R114" s="93"/>
      <c r="S114" s="75"/>
      <c r="T114" s="75"/>
      <c r="V114" s="84"/>
    </row>
    <row r="115" ht="15.75" customHeight="1">
      <c r="A115" s="70"/>
      <c r="B115" s="116"/>
      <c r="C115" s="117"/>
      <c r="D115" s="75"/>
      <c r="E115" s="118"/>
      <c r="F115" s="118"/>
      <c r="G115" s="75"/>
      <c r="H115" s="117"/>
      <c r="I115" s="75"/>
      <c r="J115" s="75"/>
      <c r="K115" s="78"/>
      <c r="L115" s="79"/>
      <c r="M115" s="80"/>
      <c r="N115" s="107"/>
      <c r="O115" s="98"/>
      <c r="P115" s="75"/>
      <c r="Q115" s="75"/>
      <c r="R115" s="93"/>
      <c r="S115" s="75"/>
      <c r="T115" s="75"/>
      <c r="V115" s="84"/>
    </row>
    <row r="116" ht="15.75" customHeight="1">
      <c r="A116" s="70"/>
      <c r="B116" s="116"/>
      <c r="C116" s="117"/>
      <c r="D116" s="75"/>
      <c r="E116" s="118"/>
      <c r="F116" s="118"/>
      <c r="G116" s="75"/>
      <c r="H116" s="117"/>
      <c r="I116" s="75"/>
      <c r="J116" s="75"/>
      <c r="K116" s="105"/>
      <c r="L116" s="106"/>
      <c r="M116" s="80"/>
      <c r="N116" s="107"/>
      <c r="O116" s="98"/>
      <c r="P116" s="75"/>
      <c r="Q116" s="75"/>
      <c r="R116" s="93"/>
      <c r="S116" s="75"/>
      <c r="T116" s="75"/>
      <c r="V116" s="84"/>
    </row>
    <row r="117" ht="15.75" customHeight="1">
      <c r="A117" s="70"/>
      <c r="B117" s="116"/>
      <c r="C117" s="117"/>
      <c r="D117" s="75"/>
      <c r="E117" s="118"/>
      <c r="F117" s="118"/>
      <c r="G117" s="75"/>
      <c r="H117" s="117"/>
      <c r="I117" s="75"/>
      <c r="J117" s="75"/>
      <c r="K117" s="78"/>
      <c r="L117" s="79"/>
      <c r="M117" s="80"/>
      <c r="N117" s="107"/>
      <c r="O117" s="98"/>
      <c r="P117" s="75"/>
      <c r="Q117" s="75"/>
      <c r="R117" s="93"/>
      <c r="S117" s="75"/>
      <c r="T117" s="75"/>
      <c r="V117" s="84"/>
    </row>
    <row r="118" ht="15.75" customHeight="1">
      <c r="A118" s="70"/>
      <c r="B118" s="116"/>
      <c r="C118" s="117"/>
      <c r="D118" s="75"/>
      <c r="E118" s="118"/>
      <c r="F118" s="118"/>
      <c r="G118" s="75"/>
      <c r="H118" s="117"/>
      <c r="I118" s="75"/>
      <c r="J118" s="75"/>
      <c r="K118" s="105"/>
      <c r="L118" s="106"/>
      <c r="M118" s="80"/>
      <c r="N118" s="107"/>
      <c r="O118" s="98"/>
      <c r="P118" s="75"/>
      <c r="Q118" s="75"/>
      <c r="R118" s="93"/>
      <c r="S118" s="75"/>
      <c r="T118" s="75"/>
      <c r="V118" s="84"/>
    </row>
    <row r="119" ht="15.75" customHeight="1">
      <c r="A119" s="70"/>
      <c r="B119" s="116"/>
      <c r="C119" s="117"/>
      <c r="D119" s="75"/>
      <c r="E119" s="118"/>
      <c r="F119" s="118"/>
      <c r="G119" s="75"/>
      <c r="H119" s="117"/>
      <c r="I119" s="75"/>
      <c r="J119" s="75"/>
      <c r="K119" s="78"/>
      <c r="L119" s="79"/>
      <c r="M119" s="80"/>
      <c r="N119" s="107"/>
      <c r="O119" s="98"/>
      <c r="P119" s="75"/>
      <c r="Q119" s="100"/>
      <c r="R119" s="93"/>
      <c r="S119" s="75"/>
      <c r="T119" s="75"/>
      <c r="V119" s="84"/>
    </row>
    <row r="120" ht="15.75" customHeight="1">
      <c r="A120" s="70"/>
      <c r="B120" s="116"/>
      <c r="C120" s="84"/>
      <c r="D120" s="75"/>
      <c r="E120" s="118"/>
      <c r="F120" s="118"/>
      <c r="G120" s="75"/>
      <c r="H120" s="117"/>
      <c r="I120" s="75"/>
      <c r="J120" s="75"/>
      <c r="K120" s="105"/>
      <c r="L120" s="106"/>
      <c r="M120" s="80"/>
      <c r="N120" s="107"/>
      <c r="O120" s="98"/>
      <c r="P120" s="75"/>
      <c r="Q120" s="75"/>
      <c r="R120" s="93"/>
      <c r="S120" s="75"/>
      <c r="T120" s="75"/>
      <c r="V120" s="84"/>
    </row>
    <row r="121" ht="15.75" customHeight="1">
      <c r="A121" s="70"/>
      <c r="B121" s="116"/>
      <c r="C121" s="84"/>
      <c r="D121" s="75"/>
      <c r="E121" s="118"/>
      <c r="F121" s="118"/>
      <c r="G121" s="75"/>
      <c r="H121" s="117"/>
      <c r="I121" s="75"/>
      <c r="J121" s="75"/>
      <c r="K121" s="78"/>
      <c r="L121" s="79"/>
      <c r="M121" s="80"/>
      <c r="N121" s="107"/>
      <c r="O121" s="98"/>
      <c r="P121" s="75"/>
      <c r="Q121" s="75"/>
      <c r="R121" s="93"/>
      <c r="S121" s="75"/>
      <c r="T121" s="75"/>
      <c r="V121" s="84"/>
    </row>
    <row r="122" ht="15.75" customHeight="1">
      <c r="A122" s="70"/>
      <c r="B122" s="116"/>
      <c r="C122" s="84"/>
      <c r="D122" s="75"/>
      <c r="E122" s="118"/>
      <c r="F122" s="118"/>
      <c r="G122" s="75"/>
      <c r="H122" s="117"/>
      <c r="I122" s="75"/>
      <c r="J122" s="75"/>
      <c r="K122" s="105"/>
      <c r="L122" s="106"/>
      <c r="M122" s="80"/>
      <c r="N122" s="107"/>
      <c r="O122" s="98"/>
      <c r="P122" s="75"/>
      <c r="Q122" s="100"/>
      <c r="R122" s="93"/>
      <c r="S122" s="75"/>
      <c r="T122" s="75"/>
      <c r="V122" s="84"/>
    </row>
    <row r="123" ht="15.75" customHeight="1">
      <c r="A123" s="70"/>
      <c r="B123" s="116"/>
      <c r="C123" s="117"/>
      <c r="D123" s="75"/>
      <c r="E123" s="118"/>
      <c r="F123" s="118"/>
      <c r="G123" s="75"/>
      <c r="H123" s="117"/>
      <c r="I123" s="75"/>
      <c r="J123" s="75"/>
      <c r="K123" s="78"/>
      <c r="L123" s="79"/>
      <c r="M123" s="80"/>
      <c r="N123" s="107"/>
      <c r="O123" s="98"/>
      <c r="P123" s="75"/>
      <c r="Q123" s="100"/>
      <c r="R123" s="93"/>
      <c r="S123" s="75"/>
      <c r="T123" s="75"/>
      <c r="V123" s="84"/>
    </row>
    <row r="124" ht="15.75" customHeight="1">
      <c r="A124" s="70"/>
      <c r="B124" s="116"/>
      <c r="C124" s="117"/>
      <c r="D124" s="75"/>
      <c r="E124" s="118"/>
      <c r="F124" s="118"/>
      <c r="G124" s="75"/>
      <c r="H124" s="117"/>
      <c r="I124" s="75"/>
      <c r="J124" s="75"/>
      <c r="K124" s="105"/>
      <c r="L124" s="106"/>
      <c r="M124" s="80"/>
      <c r="N124" s="107"/>
      <c r="O124" s="98"/>
      <c r="P124" s="75"/>
      <c r="Q124" s="100"/>
      <c r="R124" s="93"/>
      <c r="S124" s="75"/>
      <c r="T124" s="75"/>
      <c r="V124" s="84"/>
    </row>
    <row r="125" ht="15.75" customHeight="1">
      <c r="A125" s="70"/>
      <c r="B125" s="116"/>
      <c r="C125" s="117"/>
      <c r="D125" s="75"/>
      <c r="E125" s="118"/>
      <c r="F125" s="118"/>
      <c r="G125" s="75"/>
      <c r="H125" s="117"/>
      <c r="I125" s="75"/>
      <c r="J125" s="75"/>
      <c r="K125" s="78"/>
      <c r="L125" s="79"/>
      <c r="M125" s="80"/>
      <c r="N125" s="107"/>
      <c r="O125" s="98"/>
      <c r="P125" s="75"/>
      <c r="Q125" s="100"/>
      <c r="R125" s="93"/>
      <c r="S125" s="75"/>
      <c r="T125" s="75"/>
      <c r="V125" s="84"/>
    </row>
    <row r="126" ht="15.75" customHeight="1">
      <c r="A126" s="70"/>
      <c r="B126" s="116"/>
      <c r="C126" s="117"/>
      <c r="D126" s="75"/>
      <c r="E126" s="118"/>
      <c r="F126" s="118"/>
      <c r="G126" s="75"/>
      <c r="H126" s="117"/>
      <c r="I126" s="75"/>
      <c r="J126" s="75"/>
      <c r="K126" s="105"/>
      <c r="L126" s="106"/>
      <c r="M126" s="80"/>
      <c r="N126" s="107"/>
      <c r="O126" s="98"/>
      <c r="P126" s="75"/>
      <c r="Q126" s="100"/>
      <c r="R126" s="93"/>
      <c r="S126" s="75"/>
      <c r="T126" s="75"/>
      <c r="V126" s="84"/>
    </row>
    <row r="127" ht="15.75" customHeight="1">
      <c r="A127" s="70"/>
      <c r="B127" s="116"/>
      <c r="C127" s="117"/>
      <c r="D127" s="75"/>
      <c r="E127" s="118"/>
      <c r="F127" s="118"/>
      <c r="G127" s="75"/>
      <c r="H127" s="117"/>
      <c r="I127" s="75"/>
      <c r="J127" s="75"/>
      <c r="K127" s="78"/>
      <c r="L127" s="79"/>
      <c r="M127" s="80"/>
      <c r="N127" s="107"/>
      <c r="O127" s="98"/>
      <c r="P127" s="75"/>
      <c r="Q127" s="100"/>
      <c r="R127" s="93"/>
      <c r="S127" s="75"/>
      <c r="T127" s="75"/>
      <c r="V127" s="84"/>
    </row>
    <row r="128" ht="15.75" customHeight="1">
      <c r="A128" s="70"/>
      <c r="B128" s="116"/>
      <c r="C128" s="84"/>
      <c r="D128" s="75"/>
      <c r="E128" s="118"/>
      <c r="F128" s="118"/>
      <c r="G128" s="75"/>
      <c r="H128" s="117"/>
      <c r="I128" s="75"/>
      <c r="J128" s="75"/>
      <c r="K128" s="105"/>
      <c r="L128" s="106"/>
      <c r="M128" s="80"/>
      <c r="N128" s="107"/>
      <c r="O128" s="98"/>
      <c r="P128" s="75"/>
      <c r="Q128" s="75"/>
      <c r="R128" s="93"/>
      <c r="S128" s="75"/>
      <c r="T128" s="75"/>
      <c r="V128" s="84"/>
    </row>
    <row r="129" ht="15.75" customHeight="1">
      <c r="A129" s="70"/>
      <c r="B129" s="116"/>
      <c r="C129" s="84"/>
      <c r="D129" s="75"/>
      <c r="E129" s="118"/>
      <c r="F129" s="118"/>
      <c r="G129" s="75"/>
      <c r="H129" s="117"/>
      <c r="I129" s="75"/>
      <c r="J129" s="75"/>
      <c r="K129" s="78"/>
      <c r="L129" s="79"/>
      <c r="M129" s="80"/>
      <c r="N129" s="107"/>
      <c r="O129" s="98"/>
      <c r="P129" s="75"/>
      <c r="Q129" s="100"/>
      <c r="R129" s="93"/>
      <c r="S129" s="75"/>
      <c r="T129" s="75"/>
      <c r="V129" s="84"/>
    </row>
    <row r="130" ht="15.75" customHeight="1">
      <c r="A130" s="70"/>
      <c r="B130" s="116"/>
      <c r="C130" s="84"/>
      <c r="D130" s="75"/>
      <c r="E130" s="118"/>
      <c r="F130" s="118"/>
      <c r="G130" s="75"/>
      <c r="H130" s="117"/>
      <c r="I130" s="75"/>
      <c r="J130" s="75"/>
      <c r="K130" s="105"/>
      <c r="L130" s="106"/>
      <c r="M130" s="80"/>
      <c r="N130" s="107"/>
      <c r="O130" s="98"/>
      <c r="P130" s="75"/>
      <c r="Q130" s="75"/>
      <c r="R130" s="93"/>
      <c r="S130" s="75"/>
      <c r="T130" s="75"/>
      <c r="V130" s="84"/>
    </row>
    <row r="131" ht="15.75" customHeight="1">
      <c r="A131" s="70"/>
      <c r="B131" s="116"/>
      <c r="C131" s="117"/>
      <c r="D131" s="75"/>
      <c r="E131" s="118"/>
      <c r="F131" s="118"/>
      <c r="G131" s="75"/>
      <c r="H131" s="117"/>
      <c r="I131" s="75"/>
      <c r="J131" s="75"/>
      <c r="K131" s="78"/>
      <c r="L131" s="79"/>
      <c r="M131" s="80"/>
      <c r="N131" s="107"/>
      <c r="O131" s="98"/>
      <c r="P131" s="75"/>
      <c r="Q131" s="75"/>
      <c r="R131" s="93"/>
      <c r="S131" s="75"/>
      <c r="T131" s="75"/>
      <c r="V131" s="84"/>
    </row>
    <row r="132" ht="15.75" customHeight="1">
      <c r="A132" s="70"/>
      <c r="B132" s="116"/>
      <c r="C132" s="117"/>
      <c r="D132" s="75"/>
      <c r="E132" s="118"/>
      <c r="F132" s="118"/>
      <c r="G132" s="75"/>
      <c r="H132" s="117"/>
      <c r="I132" s="75"/>
      <c r="J132" s="75"/>
      <c r="K132" s="105"/>
      <c r="L132" s="106"/>
      <c r="M132" s="80"/>
      <c r="N132" s="107"/>
      <c r="O132" s="98"/>
      <c r="P132" s="75"/>
      <c r="Q132" s="100"/>
      <c r="R132" s="93"/>
      <c r="S132" s="75"/>
      <c r="T132" s="75"/>
      <c r="V132" s="84"/>
    </row>
    <row r="133" ht="15.75" customHeight="1">
      <c r="A133" s="70"/>
      <c r="B133" s="116"/>
      <c r="C133" s="117"/>
      <c r="D133" s="75"/>
      <c r="E133" s="118"/>
      <c r="F133" s="118"/>
      <c r="G133" s="75"/>
      <c r="H133" s="117"/>
      <c r="I133" s="75"/>
      <c r="J133" s="75"/>
      <c r="K133" s="78"/>
      <c r="L133" s="79"/>
      <c r="M133" s="80"/>
      <c r="N133" s="107"/>
      <c r="O133" s="98"/>
      <c r="P133" s="75"/>
      <c r="Q133" s="75"/>
      <c r="R133" s="93"/>
      <c r="S133" s="75"/>
      <c r="T133" s="75"/>
      <c r="V133" s="84"/>
    </row>
    <row r="134" ht="15.75" customHeight="1">
      <c r="A134" s="70"/>
      <c r="B134" s="116"/>
      <c r="C134" s="117"/>
      <c r="D134" s="75"/>
      <c r="E134" s="118"/>
      <c r="F134" s="118"/>
      <c r="G134" s="75"/>
      <c r="H134" s="117"/>
      <c r="I134" s="75"/>
      <c r="J134" s="75"/>
      <c r="K134" s="105"/>
      <c r="L134" s="106"/>
      <c r="M134" s="80"/>
      <c r="N134" s="107"/>
      <c r="O134" s="98"/>
      <c r="P134" s="75"/>
      <c r="Q134" s="75"/>
      <c r="R134" s="93"/>
      <c r="S134" s="75"/>
      <c r="T134" s="75"/>
      <c r="V134" s="84"/>
    </row>
    <row r="135" ht="15.75" customHeight="1">
      <c r="A135" s="70"/>
      <c r="B135" s="116"/>
      <c r="C135" s="117"/>
      <c r="D135" s="75"/>
      <c r="E135" s="118"/>
      <c r="F135" s="118"/>
      <c r="G135" s="75"/>
      <c r="H135" s="117"/>
      <c r="I135" s="75"/>
      <c r="J135" s="75"/>
      <c r="K135" s="78"/>
      <c r="L135" s="79"/>
      <c r="M135" s="80"/>
      <c r="N135" s="107"/>
      <c r="O135" s="98"/>
      <c r="P135" s="75"/>
      <c r="Q135" s="100"/>
      <c r="R135" s="93"/>
      <c r="S135" s="75"/>
      <c r="T135" s="75"/>
      <c r="V135" s="84"/>
    </row>
    <row r="136" ht="15.75" customHeight="1">
      <c r="A136" s="70"/>
      <c r="B136" s="116"/>
      <c r="C136" s="84"/>
      <c r="D136" s="75"/>
      <c r="E136" s="118"/>
      <c r="F136" s="118"/>
      <c r="G136" s="75"/>
      <c r="H136" s="117"/>
      <c r="I136" s="75"/>
      <c r="J136" s="75"/>
      <c r="K136" s="105"/>
      <c r="L136" s="106"/>
      <c r="M136" s="80"/>
      <c r="N136" s="107"/>
      <c r="O136" s="98"/>
      <c r="P136" s="75"/>
      <c r="Q136" s="75"/>
      <c r="R136" s="93"/>
      <c r="S136" s="75"/>
      <c r="T136" s="75"/>
      <c r="V136" s="84"/>
    </row>
    <row r="137" ht="15.75" customHeight="1">
      <c r="A137" s="70"/>
      <c r="B137" s="116"/>
      <c r="C137" s="84"/>
      <c r="D137" s="75"/>
      <c r="E137" s="118"/>
      <c r="F137" s="118"/>
      <c r="G137" s="75"/>
      <c r="H137" s="117"/>
      <c r="I137" s="75"/>
      <c r="J137" s="75"/>
      <c r="K137" s="78"/>
      <c r="L137" s="79"/>
      <c r="M137" s="80"/>
      <c r="N137" s="107"/>
      <c r="O137" s="98"/>
      <c r="P137" s="75"/>
      <c r="Q137" s="100"/>
      <c r="R137" s="93"/>
      <c r="S137" s="75"/>
      <c r="T137" s="75"/>
      <c r="V137" s="84"/>
    </row>
    <row r="138" ht="15.75" customHeight="1">
      <c r="A138" s="70"/>
      <c r="B138" s="116"/>
      <c r="C138" s="84"/>
      <c r="D138" s="75"/>
      <c r="E138" s="118"/>
      <c r="F138" s="118"/>
      <c r="G138" s="75"/>
      <c r="H138" s="117"/>
      <c r="I138" s="75"/>
      <c r="J138" s="75"/>
      <c r="K138" s="105"/>
      <c r="L138" s="106"/>
      <c r="M138" s="80"/>
      <c r="N138" s="107"/>
      <c r="O138" s="98"/>
      <c r="P138" s="75"/>
      <c r="Q138" s="100"/>
      <c r="R138" s="93"/>
      <c r="S138" s="75"/>
      <c r="T138" s="75"/>
      <c r="V138" s="84"/>
    </row>
    <row r="139" ht="15.75" customHeight="1">
      <c r="A139" s="70"/>
      <c r="B139" s="116"/>
      <c r="C139" s="117"/>
      <c r="D139" s="75"/>
      <c r="E139" s="118"/>
      <c r="F139" s="118"/>
      <c r="G139" s="75"/>
      <c r="H139" s="117"/>
      <c r="I139" s="75"/>
      <c r="J139" s="75"/>
      <c r="K139" s="78"/>
      <c r="L139" s="79"/>
      <c r="M139" s="80"/>
      <c r="N139" s="107"/>
      <c r="O139" s="98"/>
      <c r="P139" s="75"/>
      <c r="Q139" s="100"/>
      <c r="R139" s="93"/>
      <c r="S139" s="75"/>
      <c r="T139" s="75"/>
      <c r="V139" s="84"/>
    </row>
    <row r="140" ht="15.75" customHeight="1">
      <c r="A140" s="70"/>
      <c r="B140" s="116"/>
      <c r="C140" s="117"/>
      <c r="D140" s="75"/>
      <c r="E140" s="118"/>
      <c r="F140" s="118"/>
      <c r="G140" s="75"/>
      <c r="H140" s="117"/>
      <c r="I140" s="75"/>
      <c r="J140" s="75"/>
      <c r="K140" s="105"/>
      <c r="L140" s="106"/>
      <c r="M140" s="80"/>
      <c r="N140" s="107"/>
      <c r="O140" s="98"/>
      <c r="P140" s="75"/>
      <c r="Q140" s="75"/>
      <c r="R140" s="93"/>
      <c r="S140" s="75"/>
      <c r="T140" s="75"/>
      <c r="V140" s="84"/>
    </row>
    <row r="141" ht="15.75" customHeight="1">
      <c r="A141" s="70"/>
      <c r="B141" s="116"/>
      <c r="C141" s="117"/>
      <c r="D141" s="75"/>
      <c r="E141" s="118"/>
      <c r="F141" s="118"/>
      <c r="G141" s="75"/>
      <c r="H141" s="117"/>
      <c r="I141" s="75"/>
      <c r="J141" s="75"/>
      <c r="K141" s="78"/>
      <c r="L141" s="79"/>
      <c r="M141" s="80"/>
      <c r="N141" s="107"/>
      <c r="O141" s="98"/>
      <c r="P141" s="75"/>
      <c r="Q141" s="100"/>
      <c r="R141" s="93"/>
      <c r="S141" s="75"/>
      <c r="T141" s="75"/>
      <c r="V141" s="84"/>
    </row>
    <row r="142" ht="15.75" customHeight="1">
      <c r="A142" s="70"/>
      <c r="B142" s="116"/>
      <c r="C142" s="117"/>
      <c r="D142" s="75"/>
      <c r="E142" s="118"/>
      <c r="F142" s="118"/>
      <c r="G142" s="75"/>
      <c r="H142" s="117"/>
      <c r="I142" s="75"/>
      <c r="J142" s="75"/>
      <c r="K142" s="105"/>
      <c r="L142" s="106"/>
      <c r="M142" s="80"/>
      <c r="N142" s="107"/>
      <c r="O142" s="98"/>
      <c r="P142" s="75"/>
      <c r="Q142" s="75"/>
      <c r="R142" s="93"/>
      <c r="S142" s="75"/>
      <c r="T142" s="75"/>
      <c r="V142" s="84"/>
    </row>
    <row r="143" ht="15.75" customHeight="1">
      <c r="A143" s="70"/>
      <c r="B143" s="116"/>
      <c r="C143" s="117"/>
      <c r="D143" s="75"/>
      <c r="E143" s="118"/>
      <c r="F143" s="120"/>
      <c r="G143" s="75"/>
      <c r="H143" s="117"/>
      <c r="I143" s="75"/>
      <c r="J143" s="75"/>
      <c r="K143" s="78"/>
      <c r="L143" s="79"/>
      <c r="M143" s="80"/>
      <c r="N143" s="107"/>
      <c r="O143" s="98"/>
      <c r="P143" s="75"/>
      <c r="Q143" s="100"/>
      <c r="R143" s="93"/>
      <c r="S143" s="75"/>
      <c r="T143" s="75"/>
      <c r="V143" s="84"/>
    </row>
    <row r="144" ht="15.75" customHeight="1">
      <c r="A144" s="70"/>
      <c r="B144" s="116"/>
      <c r="C144" s="84"/>
      <c r="D144" s="75"/>
      <c r="E144" s="118"/>
      <c r="F144" s="118"/>
      <c r="G144" s="75"/>
      <c r="H144" s="117"/>
      <c r="I144" s="75"/>
      <c r="J144" s="75"/>
      <c r="K144" s="105"/>
      <c r="L144" s="106"/>
      <c r="M144" s="80"/>
      <c r="N144" s="107"/>
      <c r="O144" s="98"/>
      <c r="P144" s="75"/>
      <c r="Q144" s="75"/>
      <c r="R144" s="93"/>
      <c r="S144" s="75"/>
      <c r="T144" s="75"/>
      <c r="V144" s="84"/>
    </row>
    <row r="145" ht="15.75" customHeight="1">
      <c r="A145" s="70"/>
      <c r="B145" s="116"/>
      <c r="C145" s="84"/>
      <c r="D145" s="75"/>
      <c r="E145" s="118"/>
      <c r="F145" s="118"/>
      <c r="G145" s="75"/>
      <c r="H145" s="117"/>
      <c r="I145" s="75"/>
      <c r="J145" s="75"/>
      <c r="K145" s="78"/>
      <c r="L145" s="79"/>
      <c r="M145" s="80"/>
      <c r="N145" s="107"/>
      <c r="O145" s="98"/>
      <c r="P145" s="75"/>
      <c r="Q145" s="100"/>
      <c r="R145" s="93"/>
      <c r="S145" s="75"/>
      <c r="T145" s="75"/>
      <c r="V145" s="84"/>
    </row>
    <row r="146" ht="15.75" customHeight="1">
      <c r="A146" s="70"/>
      <c r="B146" s="116"/>
      <c r="C146" s="117"/>
      <c r="D146" s="75"/>
      <c r="E146" s="118"/>
      <c r="F146" s="118"/>
      <c r="G146" s="75"/>
      <c r="H146" s="117"/>
      <c r="I146" s="75"/>
      <c r="J146" s="75"/>
      <c r="K146" s="105"/>
      <c r="L146" s="106"/>
      <c r="M146" s="80"/>
      <c r="N146" s="107"/>
      <c r="O146" s="98"/>
      <c r="P146" s="75"/>
      <c r="Q146" s="100"/>
      <c r="R146" s="93"/>
      <c r="S146" s="75"/>
      <c r="T146" s="75"/>
      <c r="V146" s="84"/>
    </row>
    <row r="147" ht="15.75" customHeight="1">
      <c r="A147" s="70"/>
      <c r="B147" s="116"/>
      <c r="C147" s="117"/>
      <c r="D147" s="75"/>
      <c r="E147" s="118"/>
      <c r="F147" s="118"/>
      <c r="G147" s="75"/>
      <c r="H147" s="117"/>
      <c r="I147" s="75"/>
      <c r="J147" s="75"/>
      <c r="K147" s="78"/>
      <c r="L147" s="79"/>
      <c r="M147" s="80"/>
      <c r="N147" s="107"/>
      <c r="O147" s="98"/>
      <c r="P147" s="75"/>
      <c r="Q147" s="100"/>
      <c r="R147" s="93"/>
      <c r="S147" s="75"/>
      <c r="T147" s="75"/>
      <c r="V147" s="84"/>
    </row>
    <row r="148" ht="15.75" customHeight="1">
      <c r="A148" s="70"/>
      <c r="B148" s="116"/>
      <c r="C148" s="117"/>
      <c r="D148" s="75"/>
      <c r="E148" s="118"/>
      <c r="F148" s="118"/>
      <c r="G148" s="75"/>
      <c r="H148" s="117"/>
      <c r="I148" s="75"/>
      <c r="J148" s="75"/>
      <c r="K148" s="105"/>
      <c r="L148" s="106"/>
      <c r="M148" s="80"/>
      <c r="N148" s="107"/>
      <c r="O148" s="98"/>
      <c r="P148" s="75"/>
      <c r="Q148" s="100"/>
      <c r="R148" s="93"/>
      <c r="S148" s="75"/>
      <c r="T148" s="75"/>
      <c r="V148" s="84"/>
    </row>
    <row r="149" ht="15.75" customHeight="1">
      <c r="A149" s="70"/>
      <c r="B149" s="116"/>
      <c r="C149" s="117"/>
      <c r="D149" s="75"/>
      <c r="E149" s="118"/>
      <c r="F149" s="118"/>
      <c r="G149" s="75"/>
      <c r="H149" s="117"/>
      <c r="I149" s="75"/>
      <c r="J149" s="75"/>
      <c r="K149" s="78"/>
      <c r="L149" s="79"/>
      <c r="M149" s="80"/>
      <c r="N149" s="107"/>
      <c r="O149" s="98"/>
      <c r="P149" s="75"/>
      <c r="Q149" s="100"/>
      <c r="R149" s="93"/>
      <c r="S149" s="75"/>
      <c r="T149" s="75"/>
      <c r="V149" s="84"/>
    </row>
    <row r="150" ht="15.75" customHeight="1">
      <c r="A150" s="70"/>
      <c r="B150" s="116"/>
      <c r="C150" s="117"/>
      <c r="D150" s="75"/>
      <c r="E150" s="118"/>
      <c r="F150" s="118"/>
      <c r="G150" s="75"/>
      <c r="H150" s="117"/>
      <c r="I150" s="75"/>
      <c r="J150" s="75"/>
      <c r="K150" s="105"/>
      <c r="L150" s="106"/>
      <c r="M150" s="80"/>
      <c r="N150" s="107"/>
      <c r="O150" s="98"/>
      <c r="P150" s="75"/>
      <c r="Q150" s="100"/>
      <c r="R150" s="93"/>
      <c r="S150" s="75"/>
      <c r="T150" s="75"/>
      <c r="V150" s="84"/>
    </row>
    <row r="151" ht="15.75" customHeight="1">
      <c r="A151" s="70"/>
      <c r="B151" s="116"/>
      <c r="C151" s="84"/>
      <c r="D151" s="75"/>
      <c r="E151" s="118"/>
      <c r="F151" s="118"/>
      <c r="G151" s="75"/>
      <c r="H151" s="117"/>
      <c r="I151" s="75"/>
      <c r="J151" s="75"/>
      <c r="K151" s="78"/>
      <c r="L151" s="79"/>
      <c r="M151" s="80"/>
      <c r="N151" s="107"/>
      <c r="O151" s="98"/>
      <c r="P151" s="75"/>
      <c r="Q151" s="100"/>
      <c r="R151" s="93"/>
      <c r="S151" s="75"/>
      <c r="T151" s="75"/>
      <c r="V151" s="84"/>
    </row>
    <row r="152" ht="15.75" customHeight="1">
      <c r="A152" s="70"/>
      <c r="B152" s="116"/>
      <c r="C152" s="117"/>
      <c r="D152" s="75"/>
      <c r="E152" s="118"/>
      <c r="F152" s="118"/>
      <c r="G152" s="75"/>
      <c r="H152" s="117"/>
      <c r="I152" s="75"/>
      <c r="J152" s="75"/>
      <c r="K152" s="105"/>
      <c r="L152" s="106"/>
      <c r="M152" s="80"/>
      <c r="N152" s="107"/>
      <c r="O152" s="98"/>
      <c r="P152" s="75"/>
      <c r="Q152" s="100"/>
      <c r="R152" s="93"/>
      <c r="S152" s="75"/>
      <c r="T152" s="75"/>
      <c r="V152" s="84"/>
    </row>
    <row r="153" ht="15.75" customHeight="1">
      <c r="A153" s="70"/>
      <c r="B153" s="116"/>
      <c r="C153" s="117"/>
      <c r="D153" s="75"/>
      <c r="E153" s="118"/>
      <c r="F153" s="118"/>
      <c r="G153" s="75"/>
      <c r="H153" s="117"/>
      <c r="I153" s="75"/>
      <c r="J153" s="75"/>
      <c r="K153" s="78"/>
      <c r="L153" s="79"/>
      <c r="M153" s="80"/>
      <c r="N153" s="107"/>
      <c r="O153" s="98"/>
      <c r="P153" s="75"/>
      <c r="Q153" s="100"/>
      <c r="R153" s="93"/>
      <c r="S153" s="75"/>
      <c r="T153" s="75"/>
      <c r="V153" s="84"/>
    </row>
    <row r="154" ht="15.75" customHeight="1">
      <c r="A154" s="70"/>
      <c r="B154" s="116"/>
      <c r="C154" s="117"/>
      <c r="D154" s="75"/>
      <c r="E154" s="118"/>
      <c r="F154" s="118"/>
      <c r="G154" s="75"/>
      <c r="H154" s="117"/>
      <c r="I154" s="75"/>
      <c r="J154" s="75"/>
      <c r="K154" s="105"/>
      <c r="L154" s="106"/>
      <c r="M154" s="80"/>
      <c r="N154" s="107"/>
      <c r="O154" s="98"/>
      <c r="P154" s="75"/>
      <c r="Q154" s="100"/>
      <c r="R154" s="93"/>
      <c r="S154" s="75"/>
      <c r="T154" s="75"/>
      <c r="V154" s="84"/>
    </row>
    <row r="155" ht="15.75" customHeight="1">
      <c r="A155" s="70"/>
      <c r="B155" s="116"/>
      <c r="C155" s="117"/>
      <c r="D155" s="75"/>
      <c r="E155" s="118"/>
      <c r="F155" s="118"/>
      <c r="G155" s="75"/>
      <c r="H155" s="117"/>
      <c r="I155" s="75"/>
      <c r="J155" s="75"/>
      <c r="K155" s="78"/>
      <c r="L155" s="79"/>
      <c r="M155" s="80"/>
      <c r="N155" s="107"/>
      <c r="O155" s="98"/>
      <c r="P155" s="75"/>
      <c r="Q155" s="100"/>
      <c r="R155" s="93"/>
      <c r="S155" s="75"/>
      <c r="T155" s="75"/>
      <c r="V155" s="84"/>
    </row>
    <row r="156" ht="15.75" customHeight="1">
      <c r="A156" s="70"/>
      <c r="B156" s="116"/>
      <c r="C156" s="117"/>
      <c r="D156" s="75"/>
      <c r="E156" s="118"/>
      <c r="F156" s="118"/>
      <c r="G156" s="75"/>
      <c r="H156" s="117"/>
      <c r="I156" s="75"/>
      <c r="J156" s="75"/>
      <c r="K156" s="105"/>
      <c r="L156" s="106"/>
      <c r="M156" s="80"/>
      <c r="N156" s="107"/>
      <c r="O156" s="98"/>
      <c r="P156" s="75"/>
      <c r="Q156" s="100"/>
      <c r="R156" s="93"/>
      <c r="S156" s="75"/>
      <c r="T156" s="75"/>
      <c r="V156" s="84"/>
    </row>
    <row r="157" ht="15.75" customHeight="1">
      <c r="A157" s="70"/>
      <c r="B157" s="116"/>
      <c r="C157" s="84"/>
      <c r="D157" s="75"/>
      <c r="E157" s="118"/>
      <c r="F157" s="118"/>
      <c r="G157" s="75"/>
      <c r="H157" s="117"/>
      <c r="I157" s="75"/>
      <c r="J157" s="75"/>
      <c r="K157" s="78"/>
      <c r="L157" s="79"/>
      <c r="M157" s="80"/>
      <c r="N157" s="107"/>
      <c r="O157" s="98"/>
      <c r="P157" s="75"/>
      <c r="Q157" s="100"/>
      <c r="R157" s="93"/>
      <c r="S157" s="75"/>
      <c r="T157" s="75"/>
      <c r="V157" s="84"/>
    </row>
    <row r="158" ht="15.75" customHeight="1">
      <c r="A158" s="70"/>
      <c r="B158" s="116"/>
      <c r="C158" s="117"/>
      <c r="D158" s="75"/>
      <c r="E158" s="118"/>
      <c r="F158" s="118"/>
      <c r="G158" s="75"/>
      <c r="H158" s="117"/>
      <c r="I158" s="75"/>
      <c r="J158" s="75"/>
      <c r="K158" s="105"/>
      <c r="L158" s="106"/>
      <c r="M158" s="80"/>
      <c r="N158" s="107"/>
      <c r="O158" s="98"/>
      <c r="P158" s="75"/>
      <c r="Q158" s="100"/>
      <c r="R158" s="93"/>
      <c r="S158" s="75"/>
      <c r="T158" s="75"/>
      <c r="V158" s="84"/>
    </row>
    <row r="159" ht="15.75" customHeight="1">
      <c r="A159" s="70"/>
      <c r="B159" s="116"/>
      <c r="C159" s="117"/>
      <c r="D159" s="75"/>
      <c r="E159" s="118"/>
      <c r="F159" s="118"/>
      <c r="G159" s="75"/>
      <c r="H159" s="117"/>
      <c r="I159" s="75"/>
      <c r="J159" s="75"/>
      <c r="K159" s="78"/>
      <c r="L159" s="79"/>
      <c r="M159" s="80"/>
      <c r="N159" s="107"/>
      <c r="O159" s="98"/>
      <c r="P159" s="75"/>
      <c r="Q159" s="100"/>
      <c r="R159" s="93"/>
      <c r="S159" s="75"/>
      <c r="T159" s="75"/>
      <c r="V159" s="84"/>
    </row>
    <row r="160" ht="15.75" customHeight="1">
      <c r="A160" s="70"/>
      <c r="B160" s="116"/>
      <c r="C160" s="117"/>
      <c r="D160" s="75"/>
      <c r="E160" s="118"/>
      <c r="F160" s="118"/>
      <c r="G160" s="75"/>
      <c r="H160" s="117"/>
      <c r="I160" s="75"/>
      <c r="J160" s="75"/>
      <c r="K160" s="105"/>
      <c r="L160" s="106"/>
      <c r="M160" s="80"/>
      <c r="N160" s="107"/>
      <c r="O160" s="98"/>
      <c r="P160" s="75"/>
      <c r="Q160" s="100"/>
      <c r="R160" s="93"/>
      <c r="S160" s="75"/>
      <c r="T160" s="75"/>
      <c r="V160" s="84"/>
    </row>
    <row r="161" ht="15.75" customHeight="1">
      <c r="A161" s="70"/>
      <c r="B161" s="116"/>
      <c r="C161" s="117"/>
      <c r="D161" s="75"/>
      <c r="E161" s="118"/>
      <c r="F161" s="118"/>
      <c r="G161" s="75"/>
      <c r="H161" s="117"/>
      <c r="I161" s="75"/>
      <c r="J161" s="75"/>
      <c r="K161" s="78"/>
      <c r="L161" s="79"/>
      <c r="M161" s="80"/>
      <c r="N161" s="107"/>
      <c r="O161" s="98"/>
      <c r="P161" s="75"/>
      <c r="Q161" s="100"/>
      <c r="R161" s="93"/>
      <c r="S161" s="75"/>
      <c r="T161" s="75"/>
      <c r="V161" s="84"/>
    </row>
    <row r="162" ht="15.75" customHeight="1">
      <c r="A162" s="70"/>
      <c r="B162" s="116"/>
      <c r="C162" s="117"/>
      <c r="D162" s="75"/>
      <c r="E162" s="118"/>
      <c r="F162" s="118"/>
      <c r="G162" s="75"/>
      <c r="H162" s="117"/>
      <c r="I162" s="75"/>
      <c r="J162" s="75"/>
      <c r="K162" s="105"/>
      <c r="L162" s="106"/>
      <c r="M162" s="80"/>
      <c r="N162" s="107"/>
      <c r="O162" s="98"/>
      <c r="P162" s="75"/>
      <c r="Q162" s="100"/>
      <c r="R162" s="93"/>
      <c r="S162" s="75"/>
      <c r="T162" s="75"/>
      <c r="V162" s="84"/>
    </row>
    <row r="163" ht="15.75" customHeight="1">
      <c r="A163" s="70"/>
      <c r="B163" s="116"/>
      <c r="C163" s="84"/>
      <c r="D163" s="75"/>
      <c r="E163" s="118"/>
      <c r="F163" s="118"/>
      <c r="G163" s="75"/>
      <c r="H163" s="117"/>
      <c r="I163" s="75"/>
      <c r="J163" s="75"/>
      <c r="K163" s="78"/>
      <c r="L163" s="79"/>
      <c r="M163" s="80"/>
      <c r="N163" s="107"/>
      <c r="O163" s="98"/>
      <c r="P163" s="75"/>
      <c r="Q163" s="100"/>
      <c r="R163" s="93"/>
      <c r="S163" s="75"/>
      <c r="T163" s="75"/>
      <c r="V163" s="84"/>
    </row>
    <row r="164" ht="15.75" customHeight="1">
      <c r="A164" s="70"/>
      <c r="B164" s="116"/>
      <c r="C164" s="117"/>
      <c r="D164" s="75"/>
      <c r="E164" s="118"/>
      <c r="F164" s="118"/>
      <c r="G164" s="75"/>
      <c r="H164" s="117"/>
      <c r="I164" s="75"/>
      <c r="J164" s="75"/>
      <c r="K164" s="105"/>
      <c r="L164" s="106"/>
      <c r="M164" s="80"/>
      <c r="N164" s="107"/>
      <c r="O164" s="98"/>
      <c r="P164" s="75"/>
      <c r="Q164" s="100"/>
      <c r="R164" s="93"/>
      <c r="S164" s="75"/>
      <c r="T164" s="75"/>
      <c r="V164" s="84"/>
    </row>
    <row r="165" ht="15.75" customHeight="1">
      <c r="A165" s="70"/>
      <c r="B165" s="116"/>
      <c r="C165" s="117"/>
      <c r="D165" s="75"/>
      <c r="E165" s="118"/>
      <c r="F165" s="118"/>
      <c r="G165" s="75"/>
      <c r="H165" s="117"/>
      <c r="I165" s="75"/>
      <c r="J165" s="75"/>
      <c r="K165" s="78"/>
      <c r="L165" s="79"/>
      <c r="M165" s="80"/>
      <c r="N165" s="107"/>
      <c r="O165" s="98"/>
      <c r="P165" s="75"/>
      <c r="Q165" s="100"/>
      <c r="R165" s="93"/>
      <c r="S165" s="75"/>
      <c r="T165" s="75"/>
      <c r="V165" s="84"/>
    </row>
    <row r="166" ht="15.75" customHeight="1">
      <c r="A166" s="70"/>
      <c r="B166" s="116"/>
      <c r="C166" s="117"/>
      <c r="D166" s="75"/>
      <c r="E166" s="118"/>
      <c r="F166" s="118"/>
      <c r="G166" s="75"/>
      <c r="H166" s="117"/>
      <c r="I166" s="75"/>
      <c r="J166" s="75"/>
      <c r="K166" s="105"/>
      <c r="L166" s="106"/>
      <c r="M166" s="80"/>
      <c r="N166" s="107"/>
      <c r="O166" s="98"/>
      <c r="P166" s="75"/>
      <c r="Q166" s="100"/>
      <c r="R166" s="93"/>
      <c r="S166" s="75"/>
      <c r="T166" s="75"/>
      <c r="V166" s="84"/>
    </row>
    <row r="167" ht="15.75" customHeight="1">
      <c r="A167" s="70"/>
      <c r="B167" s="116"/>
      <c r="C167" s="117"/>
      <c r="D167" s="75"/>
      <c r="E167" s="118"/>
      <c r="F167" s="118"/>
      <c r="G167" s="75"/>
      <c r="H167" s="117"/>
      <c r="I167" s="75"/>
      <c r="J167" s="75"/>
      <c r="K167" s="78"/>
      <c r="L167" s="79"/>
      <c r="M167" s="80"/>
      <c r="N167" s="107"/>
      <c r="O167" s="98"/>
      <c r="P167" s="75"/>
      <c r="Q167" s="100"/>
      <c r="R167" s="93"/>
      <c r="S167" s="75"/>
      <c r="T167" s="75"/>
      <c r="V167" s="84"/>
    </row>
    <row r="168" ht="15.75" customHeight="1">
      <c r="A168" s="70"/>
      <c r="B168" s="116"/>
      <c r="C168" s="117"/>
      <c r="D168" s="75"/>
      <c r="E168" s="118"/>
      <c r="F168" s="118"/>
      <c r="G168" s="75"/>
      <c r="H168" s="117"/>
      <c r="I168" s="75"/>
      <c r="J168" s="75"/>
      <c r="K168" s="105"/>
      <c r="L168" s="106"/>
      <c r="M168" s="80"/>
      <c r="N168" s="107"/>
      <c r="O168" s="98"/>
      <c r="P168" s="75"/>
      <c r="Q168" s="100"/>
      <c r="R168" s="93"/>
      <c r="S168" s="75"/>
      <c r="T168" s="75"/>
      <c r="V168" s="84"/>
    </row>
    <row r="169" ht="15.75" customHeight="1">
      <c r="A169" s="70"/>
      <c r="B169" s="116"/>
      <c r="C169" s="84"/>
      <c r="D169" s="75"/>
      <c r="E169" s="118"/>
      <c r="F169" s="118"/>
      <c r="G169" s="75"/>
      <c r="H169" s="117"/>
      <c r="I169" s="75"/>
      <c r="J169" s="75"/>
      <c r="K169" s="78"/>
      <c r="L169" s="79"/>
      <c r="M169" s="80"/>
      <c r="N169" s="107"/>
      <c r="O169" s="98"/>
      <c r="P169" s="75"/>
      <c r="Q169" s="100"/>
      <c r="R169" s="93"/>
      <c r="S169" s="75"/>
      <c r="T169" s="75"/>
      <c r="V169" s="84"/>
    </row>
    <row r="170" ht="15.75" customHeight="1">
      <c r="A170" s="70"/>
      <c r="B170" s="116"/>
      <c r="C170" s="117"/>
      <c r="D170" s="75"/>
      <c r="E170" s="118"/>
      <c r="F170" s="118"/>
      <c r="G170" s="75"/>
      <c r="H170" s="117"/>
      <c r="I170" s="75"/>
      <c r="J170" s="75"/>
      <c r="K170" s="105"/>
      <c r="L170" s="106"/>
      <c r="M170" s="80"/>
      <c r="N170" s="107"/>
      <c r="O170" s="98"/>
      <c r="P170" s="75"/>
      <c r="Q170" s="100"/>
      <c r="R170" s="93"/>
      <c r="S170" s="75"/>
      <c r="T170" s="75"/>
      <c r="V170" s="84"/>
    </row>
    <row r="171" ht="15.75" customHeight="1">
      <c r="A171" s="70"/>
      <c r="B171" s="116"/>
      <c r="C171" s="117"/>
      <c r="D171" s="75"/>
      <c r="E171" s="118"/>
      <c r="F171" s="118"/>
      <c r="G171" s="75"/>
      <c r="H171" s="117"/>
      <c r="I171" s="75"/>
      <c r="J171" s="75"/>
      <c r="K171" s="78"/>
      <c r="L171" s="79"/>
      <c r="M171" s="80"/>
      <c r="N171" s="107"/>
      <c r="O171" s="98"/>
      <c r="P171" s="75"/>
      <c r="Q171" s="100"/>
      <c r="R171" s="93"/>
      <c r="S171" s="75"/>
      <c r="T171" s="75"/>
      <c r="V171" s="84"/>
    </row>
    <row r="172" ht="15.75" customHeight="1">
      <c r="A172" s="70"/>
      <c r="B172" s="116"/>
      <c r="C172" s="117"/>
      <c r="D172" s="75"/>
      <c r="E172" s="118"/>
      <c r="F172" s="118"/>
      <c r="G172" s="75"/>
      <c r="H172" s="117"/>
      <c r="I172" s="75"/>
      <c r="J172" s="75"/>
      <c r="K172" s="105"/>
      <c r="L172" s="106"/>
      <c r="M172" s="80"/>
      <c r="N172" s="107"/>
      <c r="O172" s="98"/>
      <c r="P172" s="75"/>
      <c r="Q172" s="100"/>
      <c r="R172" s="93"/>
      <c r="S172" s="75"/>
      <c r="T172" s="75"/>
      <c r="V172" s="84"/>
    </row>
    <row r="173" ht="15.75" customHeight="1">
      <c r="A173" s="70"/>
      <c r="B173" s="116"/>
      <c r="C173" s="117"/>
      <c r="D173" s="75"/>
      <c r="E173" s="118"/>
      <c r="F173" s="118"/>
      <c r="G173" s="75"/>
      <c r="H173" s="117"/>
      <c r="I173" s="75"/>
      <c r="J173" s="75"/>
      <c r="K173" s="78"/>
      <c r="L173" s="79"/>
      <c r="M173" s="80"/>
      <c r="N173" s="107"/>
      <c r="O173" s="98"/>
      <c r="P173" s="75"/>
      <c r="Q173" s="100"/>
      <c r="R173" s="93"/>
      <c r="S173" s="75"/>
      <c r="T173" s="75"/>
      <c r="V173" s="84"/>
    </row>
    <row r="174" ht="15.75" customHeight="1">
      <c r="A174" s="70"/>
      <c r="B174" s="116"/>
      <c r="C174" s="117"/>
      <c r="D174" s="75"/>
      <c r="E174" s="118"/>
      <c r="F174" s="118"/>
      <c r="G174" s="75"/>
      <c r="H174" s="117"/>
      <c r="I174" s="75"/>
      <c r="J174" s="75"/>
      <c r="K174" s="105"/>
      <c r="L174" s="106"/>
      <c r="M174" s="80"/>
      <c r="N174" s="107"/>
      <c r="O174" s="98"/>
      <c r="P174" s="75"/>
      <c r="Q174" s="100"/>
      <c r="R174" s="93"/>
      <c r="S174" s="75"/>
      <c r="T174" s="75"/>
      <c r="V174" s="84"/>
    </row>
    <row r="175" ht="15.75" customHeight="1">
      <c r="A175" s="70"/>
      <c r="B175" s="116"/>
      <c r="C175" s="84"/>
      <c r="D175" s="75"/>
      <c r="E175" s="118"/>
      <c r="F175" s="118"/>
      <c r="G175" s="75"/>
      <c r="H175" s="117"/>
      <c r="I175" s="75"/>
      <c r="J175" s="75"/>
      <c r="K175" s="78"/>
      <c r="L175" s="79"/>
      <c r="M175" s="80"/>
      <c r="N175" s="107"/>
      <c r="O175" s="98"/>
      <c r="P175" s="75"/>
      <c r="Q175" s="100"/>
      <c r="R175" s="93"/>
      <c r="S175" s="75"/>
      <c r="T175" s="75"/>
      <c r="V175" s="84"/>
    </row>
    <row r="176" ht="15.75" customHeight="1">
      <c r="A176" s="70"/>
      <c r="B176" s="116"/>
      <c r="C176" s="117"/>
      <c r="D176" s="75"/>
      <c r="E176" s="118"/>
      <c r="F176" s="118"/>
      <c r="G176" s="75"/>
      <c r="H176" s="117"/>
      <c r="I176" s="75"/>
      <c r="J176" s="75"/>
      <c r="K176" s="105"/>
      <c r="L176" s="106"/>
      <c r="M176" s="80"/>
      <c r="N176" s="107"/>
      <c r="O176" s="98"/>
      <c r="P176" s="75"/>
      <c r="Q176" s="100"/>
      <c r="R176" s="93"/>
      <c r="S176" s="75"/>
      <c r="T176" s="75"/>
      <c r="V176" s="84"/>
    </row>
    <row r="177" ht="15.75" customHeight="1">
      <c r="A177" s="70"/>
      <c r="B177" s="116"/>
      <c r="C177" s="117"/>
      <c r="D177" s="75"/>
      <c r="E177" s="118"/>
      <c r="F177" s="118"/>
      <c r="G177" s="75"/>
      <c r="H177" s="117"/>
      <c r="I177" s="75"/>
      <c r="J177" s="75"/>
      <c r="K177" s="78"/>
      <c r="L177" s="79"/>
      <c r="M177" s="80"/>
      <c r="N177" s="107"/>
      <c r="O177" s="98"/>
      <c r="P177" s="75"/>
      <c r="Q177" s="100"/>
      <c r="R177" s="93"/>
      <c r="S177" s="75"/>
      <c r="T177" s="75"/>
      <c r="V177" s="84"/>
    </row>
    <row r="178" ht="15.75" customHeight="1">
      <c r="A178" s="70"/>
      <c r="B178" s="116"/>
      <c r="C178" s="117"/>
      <c r="D178" s="75"/>
      <c r="E178" s="118"/>
      <c r="F178" s="118"/>
      <c r="G178" s="75"/>
      <c r="H178" s="117"/>
      <c r="I178" s="75"/>
      <c r="J178" s="75"/>
      <c r="K178" s="105"/>
      <c r="L178" s="106"/>
      <c r="M178" s="80"/>
      <c r="N178" s="107"/>
      <c r="O178" s="98"/>
      <c r="P178" s="75"/>
      <c r="Q178" s="100"/>
      <c r="R178" s="93"/>
      <c r="S178" s="75"/>
      <c r="T178" s="75"/>
      <c r="V178" s="84"/>
    </row>
    <row r="179" ht="15.75" customHeight="1">
      <c r="A179" s="70"/>
      <c r="B179" s="116"/>
      <c r="C179" s="117"/>
      <c r="D179" s="75"/>
      <c r="E179" s="118"/>
      <c r="F179" s="118"/>
      <c r="G179" s="75"/>
      <c r="H179" s="117"/>
      <c r="I179" s="75"/>
      <c r="J179" s="75"/>
      <c r="K179" s="78"/>
      <c r="L179" s="79"/>
      <c r="M179" s="80"/>
      <c r="N179" s="107"/>
      <c r="O179" s="98"/>
      <c r="P179" s="75"/>
      <c r="Q179" s="100"/>
      <c r="R179" s="93"/>
      <c r="S179" s="75"/>
      <c r="T179" s="75"/>
      <c r="V179" s="84"/>
    </row>
    <row r="180" ht="15.75" customHeight="1">
      <c r="A180" s="70"/>
      <c r="B180" s="116"/>
      <c r="C180" s="117"/>
      <c r="D180" s="75"/>
      <c r="E180" s="118"/>
      <c r="F180" s="118"/>
      <c r="G180" s="75"/>
      <c r="H180" s="117"/>
      <c r="I180" s="75"/>
      <c r="J180" s="75"/>
      <c r="K180" s="105"/>
      <c r="L180" s="106"/>
      <c r="M180" s="80"/>
      <c r="N180" s="107"/>
      <c r="O180" s="98"/>
      <c r="P180" s="75"/>
      <c r="Q180" s="100"/>
      <c r="R180" s="93"/>
      <c r="S180" s="75"/>
      <c r="T180" s="75"/>
      <c r="V180" s="84"/>
    </row>
    <row r="181" ht="15.75" customHeight="1">
      <c r="A181" s="70"/>
      <c r="B181" s="116"/>
      <c r="C181" s="84"/>
      <c r="D181" s="75"/>
      <c r="E181" s="118"/>
      <c r="F181" s="118"/>
      <c r="G181" s="75"/>
      <c r="H181" s="117"/>
      <c r="I181" s="75"/>
      <c r="J181" s="75"/>
      <c r="K181" s="78"/>
      <c r="L181" s="79"/>
      <c r="M181" s="80"/>
      <c r="N181" s="107"/>
      <c r="O181" s="98"/>
      <c r="P181" s="75"/>
      <c r="Q181" s="100"/>
      <c r="R181" s="93"/>
      <c r="S181" s="75"/>
      <c r="T181" s="75"/>
      <c r="V181" s="84"/>
    </row>
    <row r="182" ht="15.75" customHeight="1">
      <c r="A182" s="70"/>
      <c r="B182" s="116"/>
      <c r="C182" s="117"/>
      <c r="D182" s="75"/>
      <c r="E182" s="118"/>
      <c r="F182" s="118"/>
      <c r="G182" s="75"/>
      <c r="H182" s="117"/>
      <c r="I182" s="75"/>
      <c r="J182" s="75"/>
      <c r="K182" s="105"/>
      <c r="L182" s="106"/>
      <c r="M182" s="80"/>
      <c r="N182" s="107"/>
      <c r="O182" s="98"/>
      <c r="P182" s="75"/>
      <c r="Q182" s="100"/>
      <c r="R182" s="93"/>
      <c r="S182" s="75"/>
      <c r="T182" s="75"/>
      <c r="V182" s="84"/>
    </row>
    <row r="183" ht="15.75" customHeight="1">
      <c r="A183" s="70"/>
      <c r="B183" s="116"/>
      <c r="C183" s="117"/>
      <c r="D183" s="75"/>
      <c r="E183" s="118"/>
      <c r="F183" s="118"/>
      <c r="G183" s="75"/>
      <c r="H183" s="117"/>
      <c r="I183" s="75"/>
      <c r="J183" s="75"/>
      <c r="K183" s="78"/>
      <c r="L183" s="79"/>
      <c r="M183" s="80"/>
      <c r="N183" s="107"/>
      <c r="O183" s="98"/>
      <c r="P183" s="75"/>
      <c r="Q183" s="100"/>
      <c r="R183" s="93"/>
      <c r="S183" s="75"/>
      <c r="T183" s="75"/>
      <c r="V183" s="84"/>
    </row>
    <row r="184" ht="15.75" customHeight="1">
      <c r="A184" s="70"/>
      <c r="B184" s="116"/>
      <c r="C184" s="117"/>
      <c r="D184" s="75"/>
      <c r="E184" s="118"/>
      <c r="F184" s="118"/>
      <c r="G184" s="75"/>
      <c r="H184" s="117"/>
      <c r="I184" s="75"/>
      <c r="J184" s="75"/>
      <c r="K184" s="105"/>
      <c r="L184" s="106"/>
      <c r="M184" s="80"/>
      <c r="N184" s="107"/>
      <c r="O184" s="98"/>
      <c r="P184" s="75"/>
      <c r="Q184" s="100"/>
      <c r="R184" s="93"/>
      <c r="S184" s="75"/>
      <c r="T184" s="75"/>
      <c r="V184" s="84"/>
    </row>
    <row r="185" ht="15.75" customHeight="1">
      <c r="A185" s="70"/>
      <c r="B185" s="116"/>
      <c r="C185" s="117"/>
      <c r="D185" s="75"/>
      <c r="E185" s="118"/>
      <c r="F185" s="118"/>
      <c r="G185" s="75"/>
      <c r="H185" s="117"/>
      <c r="I185" s="75"/>
      <c r="J185" s="75"/>
      <c r="K185" s="78"/>
      <c r="L185" s="79"/>
      <c r="M185" s="80"/>
      <c r="N185" s="107"/>
      <c r="O185" s="98"/>
      <c r="P185" s="75"/>
      <c r="Q185" s="100"/>
      <c r="R185" s="93"/>
      <c r="S185" s="75"/>
      <c r="T185" s="75"/>
      <c r="V185" s="84"/>
    </row>
    <row r="186" ht="15.75" customHeight="1">
      <c r="A186" s="70"/>
      <c r="B186" s="116"/>
      <c r="C186" s="117"/>
      <c r="D186" s="75"/>
      <c r="E186" s="118"/>
      <c r="F186" s="118"/>
      <c r="G186" s="75"/>
      <c r="H186" s="117"/>
      <c r="I186" s="75"/>
      <c r="J186" s="75"/>
      <c r="K186" s="105"/>
      <c r="L186" s="106"/>
      <c r="M186" s="80"/>
      <c r="N186" s="107"/>
      <c r="O186" s="98"/>
      <c r="P186" s="75"/>
      <c r="Q186" s="100"/>
      <c r="R186" s="93"/>
      <c r="S186" s="75"/>
      <c r="T186" s="75"/>
      <c r="V186" s="84"/>
    </row>
    <row r="187" ht="15.75" customHeight="1">
      <c r="A187" s="70"/>
      <c r="B187" s="116"/>
      <c r="C187" s="84"/>
      <c r="D187" s="75"/>
      <c r="E187" s="118"/>
      <c r="F187" s="118"/>
      <c r="G187" s="75"/>
      <c r="H187" s="117"/>
      <c r="I187" s="75"/>
      <c r="J187" s="75"/>
      <c r="K187" s="78"/>
      <c r="L187" s="79"/>
      <c r="M187" s="80"/>
      <c r="N187" s="107"/>
      <c r="O187" s="98"/>
      <c r="P187" s="75"/>
      <c r="Q187" s="100"/>
      <c r="R187" s="93"/>
      <c r="S187" s="75"/>
      <c r="T187" s="75"/>
      <c r="V187" s="84"/>
    </row>
    <row r="188" ht="15.75" customHeight="1">
      <c r="A188" s="70"/>
      <c r="B188" s="116"/>
      <c r="C188" s="117"/>
      <c r="D188" s="75"/>
      <c r="E188" s="118"/>
      <c r="F188" s="118"/>
      <c r="G188" s="75"/>
      <c r="H188" s="117"/>
      <c r="I188" s="75"/>
      <c r="J188" s="75"/>
      <c r="K188" s="105"/>
      <c r="L188" s="106"/>
      <c r="M188" s="80"/>
      <c r="N188" s="107"/>
      <c r="O188" s="98"/>
      <c r="P188" s="75"/>
      <c r="Q188" s="100"/>
      <c r="R188" s="93"/>
      <c r="S188" s="75"/>
      <c r="T188" s="75"/>
      <c r="V188" s="84"/>
    </row>
    <row r="189" ht="15.75" customHeight="1">
      <c r="A189" s="70"/>
      <c r="B189" s="116"/>
      <c r="C189" s="117"/>
      <c r="D189" s="75"/>
      <c r="E189" s="118"/>
      <c r="F189" s="118"/>
      <c r="G189" s="75"/>
      <c r="H189" s="117"/>
      <c r="I189" s="75"/>
      <c r="J189" s="75"/>
      <c r="K189" s="78"/>
      <c r="L189" s="79"/>
      <c r="M189" s="80"/>
      <c r="N189" s="107"/>
      <c r="O189" s="98"/>
      <c r="P189" s="75"/>
      <c r="Q189" s="100"/>
      <c r="R189" s="93"/>
      <c r="S189" s="75"/>
      <c r="T189" s="75"/>
      <c r="V189" s="84"/>
    </row>
    <row r="190" ht="15.75" customHeight="1">
      <c r="A190" s="70"/>
      <c r="B190" s="116"/>
      <c r="C190" s="117"/>
      <c r="D190" s="75"/>
      <c r="E190" s="118"/>
      <c r="F190" s="118"/>
      <c r="G190" s="75"/>
      <c r="H190" s="117"/>
      <c r="I190" s="75"/>
      <c r="J190" s="75"/>
      <c r="K190" s="105"/>
      <c r="L190" s="106"/>
      <c r="M190" s="80"/>
      <c r="N190" s="107"/>
      <c r="O190" s="98"/>
      <c r="P190" s="75"/>
      <c r="Q190" s="100"/>
      <c r="R190" s="93"/>
      <c r="S190" s="75"/>
      <c r="T190" s="75"/>
      <c r="V190" s="84"/>
    </row>
    <row r="191" ht="15.75" customHeight="1">
      <c r="A191" s="70"/>
      <c r="B191" s="116"/>
      <c r="C191" s="117"/>
      <c r="D191" s="75"/>
      <c r="E191" s="118"/>
      <c r="F191" s="118"/>
      <c r="G191" s="75"/>
      <c r="H191" s="117"/>
      <c r="I191" s="75"/>
      <c r="J191" s="75"/>
      <c r="K191" s="78"/>
      <c r="L191" s="79"/>
      <c r="M191" s="80"/>
      <c r="N191" s="107"/>
      <c r="O191" s="98"/>
      <c r="P191" s="75"/>
      <c r="Q191" s="100"/>
      <c r="R191" s="93"/>
      <c r="S191" s="75"/>
      <c r="T191" s="75"/>
      <c r="V191" s="84"/>
    </row>
    <row r="192" ht="15.75" customHeight="1">
      <c r="A192" s="70"/>
      <c r="B192" s="116"/>
      <c r="C192" s="117"/>
      <c r="D192" s="75"/>
      <c r="E192" s="118"/>
      <c r="F192" s="118"/>
      <c r="G192" s="75"/>
      <c r="H192" s="117"/>
      <c r="I192" s="75"/>
      <c r="J192" s="75"/>
      <c r="K192" s="105"/>
      <c r="L192" s="106"/>
      <c r="M192" s="80"/>
      <c r="N192" s="107"/>
      <c r="O192" s="98"/>
      <c r="P192" s="75"/>
      <c r="Q192" s="100"/>
      <c r="R192" s="93"/>
      <c r="S192" s="75"/>
      <c r="T192" s="75"/>
      <c r="V192" s="84"/>
    </row>
    <row r="193" ht="15.75" customHeight="1">
      <c r="A193" s="70"/>
      <c r="B193" s="116"/>
      <c r="C193" s="84"/>
      <c r="D193" s="75"/>
      <c r="E193" s="118"/>
      <c r="F193" s="118"/>
      <c r="G193" s="75"/>
      <c r="H193" s="117"/>
      <c r="I193" s="75"/>
      <c r="J193" s="75"/>
      <c r="K193" s="78"/>
      <c r="L193" s="79"/>
      <c r="M193" s="80"/>
      <c r="N193" s="107"/>
      <c r="O193" s="98"/>
      <c r="P193" s="75"/>
      <c r="Q193" s="100"/>
      <c r="R193" s="93"/>
      <c r="S193" s="75"/>
      <c r="T193" s="75"/>
      <c r="V193" s="84"/>
    </row>
    <row r="194" ht="15.75" customHeight="1">
      <c r="A194" s="70"/>
      <c r="B194" s="116"/>
      <c r="C194" s="117"/>
      <c r="D194" s="75"/>
      <c r="E194" s="118"/>
      <c r="F194" s="118"/>
      <c r="G194" s="75"/>
      <c r="H194" s="117"/>
      <c r="I194" s="75"/>
      <c r="J194" s="75"/>
      <c r="K194" s="105"/>
      <c r="L194" s="106"/>
      <c r="M194" s="80"/>
      <c r="N194" s="107"/>
      <c r="O194" s="98"/>
      <c r="P194" s="75"/>
      <c r="Q194" s="100"/>
      <c r="R194" s="93"/>
      <c r="S194" s="75"/>
      <c r="T194" s="75"/>
      <c r="V194" s="84"/>
    </row>
    <row r="195" ht="15.75" customHeight="1">
      <c r="A195" s="70"/>
      <c r="B195" s="116"/>
      <c r="C195" s="117"/>
      <c r="D195" s="75"/>
      <c r="E195" s="118"/>
      <c r="F195" s="118"/>
      <c r="G195" s="75"/>
      <c r="H195" s="117"/>
      <c r="I195" s="75"/>
      <c r="J195" s="75"/>
      <c r="K195" s="78"/>
      <c r="L195" s="79"/>
      <c r="M195" s="80"/>
      <c r="N195" s="107"/>
      <c r="O195" s="98"/>
      <c r="P195" s="75"/>
      <c r="Q195" s="100"/>
      <c r="R195" s="93"/>
      <c r="S195" s="75"/>
      <c r="T195" s="75"/>
      <c r="V195" s="84"/>
    </row>
    <row r="196" ht="15.75" customHeight="1">
      <c r="A196" s="70"/>
      <c r="B196" s="116"/>
      <c r="C196" s="117"/>
      <c r="D196" s="75"/>
      <c r="E196" s="118"/>
      <c r="F196" s="118"/>
      <c r="G196" s="75"/>
      <c r="H196" s="117"/>
      <c r="I196" s="75"/>
      <c r="J196" s="75"/>
      <c r="K196" s="105"/>
      <c r="L196" s="106"/>
      <c r="M196" s="80"/>
      <c r="N196" s="107"/>
      <c r="O196" s="98"/>
      <c r="P196" s="75"/>
      <c r="Q196" s="100"/>
      <c r="R196" s="93"/>
      <c r="S196" s="75"/>
      <c r="T196" s="75"/>
      <c r="V196" s="84"/>
    </row>
    <row r="197" ht="15.75" customHeight="1">
      <c r="A197" s="70"/>
      <c r="B197" s="116"/>
      <c r="C197" s="117"/>
      <c r="D197" s="75"/>
      <c r="E197" s="118"/>
      <c r="F197" s="118"/>
      <c r="G197" s="75"/>
      <c r="H197" s="117"/>
      <c r="I197" s="75"/>
      <c r="J197" s="75"/>
      <c r="K197" s="78"/>
      <c r="L197" s="79"/>
      <c r="M197" s="80"/>
      <c r="N197" s="107"/>
      <c r="O197" s="98"/>
      <c r="P197" s="75"/>
      <c r="Q197" s="100"/>
      <c r="R197" s="93"/>
      <c r="S197" s="75"/>
      <c r="T197" s="75"/>
      <c r="V197" s="84"/>
    </row>
    <row r="198" ht="15.75" customHeight="1">
      <c r="A198" s="70"/>
      <c r="B198" s="116"/>
      <c r="C198" s="117"/>
      <c r="D198" s="75"/>
      <c r="E198" s="118"/>
      <c r="F198" s="118"/>
      <c r="G198" s="75"/>
      <c r="H198" s="117"/>
      <c r="I198" s="75"/>
      <c r="J198" s="75"/>
      <c r="K198" s="105"/>
      <c r="L198" s="106"/>
      <c r="M198" s="80"/>
      <c r="N198" s="107"/>
      <c r="O198" s="98"/>
      <c r="P198" s="75"/>
      <c r="Q198" s="100"/>
      <c r="R198" s="93"/>
      <c r="S198" s="75"/>
      <c r="T198" s="75"/>
      <c r="V198" s="84"/>
    </row>
    <row r="199" ht="15.75" customHeight="1">
      <c r="A199" s="70"/>
      <c r="B199" s="116"/>
      <c r="C199" s="84"/>
      <c r="D199" s="75"/>
      <c r="E199" s="118"/>
      <c r="F199" s="118"/>
      <c r="G199" s="75"/>
      <c r="H199" s="117"/>
      <c r="I199" s="75"/>
      <c r="J199" s="75"/>
      <c r="K199" s="78"/>
      <c r="L199" s="79"/>
      <c r="M199" s="80"/>
      <c r="N199" s="107"/>
      <c r="O199" s="98"/>
      <c r="P199" s="75"/>
      <c r="Q199" s="100"/>
      <c r="R199" s="93"/>
      <c r="S199" s="75"/>
      <c r="T199" s="75"/>
      <c r="V199" s="84"/>
    </row>
    <row r="200" ht="15.75" customHeight="1">
      <c r="A200" s="70"/>
      <c r="B200" s="116"/>
      <c r="C200" s="117"/>
      <c r="D200" s="75"/>
      <c r="E200" s="118"/>
      <c r="F200" s="118"/>
      <c r="G200" s="75"/>
      <c r="H200" s="117"/>
      <c r="I200" s="75"/>
      <c r="J200" s="75"/>
      <c r="K200" s="105"/>
      <c r="L200" s="106"/>
      <c r="M200" s="80"/>
      <c r="N200" s="107"/>
      <c r="O200" s="98"/>
      <c r="P200" s="75"/>
      <c r="Q200" s="100"/>
      <c r="R200" s="93"/>
      <c r="S200" s="75"/>
      <c r="T200" s="75"/>
      <c r="V200" s="84"/>
    </row>
    <row r="201" ht="15.75" customHeight="1">
      <c r="A201" s="70"/>
      <c r="B201" s="116"/>
      <c r="C201" s="117"/>
      <c r="D201" s="75"/>
      <c r="E201" s="118"/>
      <c r="F201" s="118"/>
      <c r="G201" s="75"/>
      <c r="H201" s="117"/>
      <c r="I201" s="75"/>
      <c r="J201" s="75"/>
      <c r="K201" s="78"/>
      <c r="L201" s="79"/>
      <c r="M201" s="80"/>
      <c r="N201" s="107"/>
      <c r="O201" s="98"/>
      <c r="P201" s="75"/>
      <c r="Q201" s="100"/>
      <c r="R201" s="93"/>
      <c r="S201" s="75"/>
      <c r="T201" s="75"/>
      <c r="V201" s="84"/>
    </row>
    <row r="202" ht="15.75" customHeight="1">
      <c r="A202" s="70"/>
      <c r="B202" s="116"/>
      <c r="C202" s="117"/>
      <c r="D202" s="75"/>
      <c r="E202" s="118"/>
      <c r="F202" s="118"/>
      <c r="G202" s="75"/>
      <c r="H202" s="117"/>
      <c r="I202" s="75"/>
      <c r="J202" s="75"/>
      <c r="K202" s="105"/>
      <c r="L202" s="106"/>
      <c r="M202" s="80"/>
      <c r="N202" s="107"/>
      <c r="O202" s="98"/>
      <c r="P202" s="75"/>
      <c r="Q202" s="100"/>
      <c r="R202" s="93"/>
      <c r="S202" s="75"/>
      <c r="T202" s="75"/>
      <c r="V202" s="84"/>
    </row>
    <row r="203" ht="15.75" customHeight="1">
      <c r="A203" s="70"/>
      <c r="B203" s="116"/>
      <c r="C203" s="117"/>
      <c r="D203" s="75"/>
      <c r="E203" s="118"/>
      <c r="F203" s="118"/>
      <c r="G203" s="75"/>
      <c r="H203" s="117"/>
      <c r="I203" s="75"/>
      <c r="J203" s="75"/>
      <c r="K203" s="78"/>
      <c r="L203" s="79"/>
      <c r="M203" s="80"/>
      <c r="N203" s="107"/>
      <c r="O203" s="98"/>
      <c r="P203" s="75"/>
      <c r="Q203" s="100"/>
      <c r="R203" s="93"/>
      <c r="S203" s="75"/>
      <c r="T203" s="75"/>
      <c r="V203" s="84"/>
    </row>
    <row r="204" ht="15.75" customHeight="1">
      <c r="A204" s="70"/>
      <c r="B204" s="116"/>
      <c r="C204" s="117"/>
      <c r="D204" s="75"/>
      <c r="E204" s="118"/>
      <c r="F204" s="118"/>
      <c r="G204" s="75"/>
      <c r="H204" s="117"/>
      <c r="I204" s="75"/>
      <c r="J204" s="75"/>
      <c r="K204" s="105"/>
      <c r="L204" s="106"/>
      <c r="M204" s="80"/>
      <c r="N204" s="107"/>
      <c r="O204" s="98"/>
      <c r="P204" s="75"/>
      <c r="Q204" s="100"/>
      <c r="R204" s="93"/>
      <c r="S204" s="75"/>
      <c r="T204" s="75"/>
      <c r="V204" s="84"/>
    </row>
    <row r="205" ht="15.75" customHeight="1">
      <c r="A205" s="70"/>
      <c r="B205" s="116"/>
      <c r="C205" s="84"/>
      <c r="D205" s="75"/>
      <c r="E205" s="118"/>
      <c r="F205" s="118"/>
      <c r="G205" s="75"/>
      <c r="H205" s="117"/>
      <c r="I205" s="75"/>
      <c r="J205" s="75"/>
      <c r="K205" s="78"/>
      <c r="L205" s="79"/>
      <c r="M205" s="80"/>
      <c r="N205" s="107"/>
      <c r="O205" s="98"/>
      <c r="P205" s="75"/>
      <c r="Q205" s="100"/>
      <c r="R205" s="93"/>
      <c r="S205" s="75"/>
      <c r="T205" s="75"/>
      <c r="V205" s="84"/>
    </row>
    <row r="206" ht="15.75" customHeight="1">
      <c r="A206" s="70"/>
      <c r="B206" s="116"/>
      <c r="C206" s="117"/>
      <c r="D206" s="75"/>
      <c r="E206" s="118"/>
      <c r="F206" s="118"/>
      <c r="G206" s="75"/>
      <c r="H206" s="117"/>
      <c r="I206" s="75"/>
      <c r="J206" s="75"/>
      <c r="K206" s="105"/>
      <c r="L206" s="106"/>
      <c r="M206" s="80"/>
      <c r="N206" s="107"/>
      <c r="O206" s="98"/>
      <c r="P206" s="75"/>
      <c r="Q206" s="100"/>
      <c r="R206" s="93"/>
      <c r="S206" s="75"/>
      <c r="T206" s="75"/>
      <c r="V206" s="84"/>
    </row>
    <row r="207" ht="15.75" customHeight="1">
      <c r="A207" s="70"/>
      <c r="B207" s="116"/>
      <c r="C207" s="117"/>
      <c r="D207" s="75"/>
      <c r="E207" s="118"/>
      <c r="F207" s="118"/>
      <c r="G207" s="75"/>
      <c r="H207" s="117"/>
      <c r="I207" s="75"/>
      <c r="J207" s="75"/>
      <c r="K207" s="78"/>
      <c r="L207" s="79"/>
      <c r="M207" s="80"/>
      <c r="N207" s="107"/>
      <c r="O207" s="98"/>
      <c r="P207" s="75"/>
      <c r="Q207" s="100"/>
      <c r="R207" s="93"/>
      <c r="S207" s="75"/>
      <c r="T207" s="75"/>
      <c r="V207" s="84"/>
    </row>
    <row r="208" ht="15.75" customHeight="1">
      <c r="A208" s="70"/>
      <c r="B208" s="116"/>
      <c r="C208" s="117"/>
      <c r="D208" s="75"/>
      <c r="E208" s="118"/>
      <c r="F208" s="118"/>
      <c r="G208" s="75"/>
      <c r="H208" s="117"/>
      <c r="I208" s="75"/>
      <c r="J208" s="75"/>
      <c r="K208" s="105"/>
      <c r="L208" s="106"/>
      <c r="M208" s="80"/>
      <c r="N208" s="107"/>
      <c r="O208" s="98"/>
      <c r="P208" s="75"/>
      <c r="Q208" s="100"/>
      <c r="R208" s="93"/>
      <c r="S208" s="75"/>
      <c r="T208" s="75"/>
      <c r="V208" s="84"/>
    </row>
    <row r="209" ht="15.75" customHeight="1">
      <c r="A209" s="70"/>
      <c r="B209" s="116"/>
      <c r="C209" s="117"/>
      <c r="D209" s="75"/>
      <c r="E209" s="118"/>
      <c r="F209" s="118"/>
      <c r="G209" s="75"/>
      <c r="H209" s="117"/>
      <c r="I209" s="75"/>
      <c r="J209" s="75"/>
      <c r="K209" s="78"/>
      <c r="L209" s="79"/>
      <c r="M209" s="80"/>
      <c r="N209" s="107"/>
      <c r="O209" s="98"/>
      <c r="P209" s="75"/>
      <c r="Q209" s="100"/>
      <c r="R209" s="93"/>
      <c r="S209" s="75"/>
      <c r="T209" s="75"/>
      <c r="V209" s="84"/>
    </row>
    <row r="210" ht="15.75" customHeight="1">
      <c r="A210" s="70"/>
      <c r="B210" s="116"/>
      <c r="C210" s="117"/>
      <c r="D210" s="75"/>
      <c r="E210" s="118"/>
      <c r="F210" s="118"/>
      <c r="G210" s="75"/>
      <c r="H210" s="117"/>
      <c r="I210" s="75"/>
      <c r="J210" s="75"/>
      <c r="K210" s="105"/>
      <c r="L210" s="106"/>
      <c r="M210" s="80"/>
      <c r="N210" s="107"/>
      <c r="O210" s="98"/>
      <c r="P210" s="75"/>
      <c r="Q210" s="100"/>
      <c r="R210" s="93"/>
      <c r="S210" s="75"/>
      <c r="T210" s="75"/>
      <c r="V210" s="84"/>
    </row>
    <row r="211" ht="15.75" customHeight="1">
      <c r="A211" s="70"/>
      <c r="B211" s="116"/>
      <c r="C211" s="84"/>
      <c r="D211" s="75"/>
      <c r="E211" s="118"/>
      <c r="F211" s="118"/>
      <c r="G211" s="75"/>
      <c r="H211" s="117"/>
      <c r="I211" s="75"/>
      <c r="J211" s="75"/>
      <c r="K211" s="78"/>
      <c r="L211" s="79"/>
      <c r="M211" s="80"/>
      <c r="N211" s="107"/>
      <c r="O211" s="98"/>
      <c r="P211" s="75"/>
      <c r="Q211" s="100"/>
      <c r="R211" s="93"/>
      <c r="S211" s="75"/>
      <c r="T211" s="75"/>
      <c r="V211" s="84"/>
    </row>
    <row r="212" ht="15.75" customHeight="1">
      <c r="A212" s="70"/>
      <c r="B212" s="116"/>
      <c r="C212" s="117"/>
      <c r="D212" s="75"/>
      <c r="E212" s="118"/>
      <c r="F212" s="118"/>
      <c r="G212" s="75"/>
      <c r="H212" s="117"/>
      <c r="I212" s="75"/>
      <c r="J212" s="75"/>
      <c r="K212" s="105"/>
      <c r="L212" s="106"/>
      <c r="M212" s="80"/>
      <c r="N212" s="107"/>
      <c r="O212" s="98"/>
      <c r="P212" s="75"/>
      <c r="Q212" s="100"/>
      <c r="R212" s="93"/>
      <c r="S212" s="75"/>
      <c r="T212" s="75"/>
      <c r="V212" s="84"/>
    </row>
    <row r="213" ht="15.75" customHeight="1">
      <c r="A213" s="70"/>
      <c r="B213" s="116"/>
      <c r="C213" s="117"/>
      <c r="D213" s="75"/>
      <c r="E213" s="118"/>
      <c r="F213" s="118"/>
      <c r="G213" s="75"/>
      <c r="H213" s="117"/>
      <c r="I213" s="75"/>
      <c r="J213" s="75"/>
      <c r="K213" s="78"/>
      <c r="L213" s="79"/>
      <c r="M213" s="80"/>
      <c r="N213" s="107"/>
      <c r="O213" s="98"/>
      <c r="P213" s="75"/>
      <c r="Q213" s="100"/>
      <c r="R213" s="93"/>
      <c r="S213" s="75"/>
      <c r="T213" s="75"/>
      <c r="V213" s="84"/>
    </row>
    <row r="214" ht="15.75" customHeight="1">
      <c r="A214" s="70"/>
      <c r="B214" s="116"/>
      <c r="C214" s="117"/>
      <c r="D214" s="75"/>
      <c r="E214" s="118"/>
      <c r="F214" s="118"/>
      <c r="G214" s="75"/>
      <c r="H214" s="117"/>
      <c r="I214" s="75"/>
      <c r="J214" s="75"/>
      <c r="K214" s="105"/>
      <c r="L214" s="106"/>
      <c r="M214" s="80"/>
      <c r="N214" s="107"/>
      <c r="O214" s="98"/>
      <c r="P214" s="75"/>
      <c r="Q214" s="100"/>
      <c r="R214" s="93"/>
      <c r="S214" s="75"/>
      <c r="T214" s="75"/>
      <c r="V214" s="84"/>
    </row>
    <row r="215" ht="15.75" customHeight="1">
      <c r="A215" s="70"/>
      <c r="B215" s="116"/>
      <c r="C215" s="117"/>
      <c r="D215" s="75"/>
      <c r="E215" s="118"/>
      <c r="F215" s="118"/>
      <c r="G215" s="75"/>
      <c r="H215" s="117"/>
      <c r="I215" s="75"/>
      <c r="J215" s="75"/>
      <c r="K215" s="78"/>
      <c r="L215" s="79"/>
      <c r="M215" s="80"/>
      <c r="N215" s="107"/>
      <c r="O215" s="98"/>
      <c r="P215" s="75"/>
      <c r="Q215" s="100"/>
      <c r="R215" s="93"/>
      <c r="S215" s="75"/>
      <c r="T215" s="75"/>
      <c r="V215" s="84"/>
    </row>
    <row r="216" ht="15.75" customHeight="1">
      <c r="A216" s="70"/>
      <c r="B216" s="116"/>
      <c r="C216" s="117"/>
      <c r="D216" s="75"/>
      <c r="E216" s="118"/>
      <c r="F216" s="118"/>
      <c r="G216" s="75"/>
      <c r="H216" s="117"/>
      <c r="I216" s="75"/>
      <c r="J216" s="75"/>
      <c r="K216" s="105"/>
      <c r="L216" s="106"/>
      <c r="M216" s="80"/>
      <c r="N216" s="107"/>
      <c r="O216" s="98"/>
      <c r="P216" s="75"/>
      <c r="Q216" s="100"/>
      <c r="R216" s="93"/>
      <c r="S216" s="75"/>
      <c r="T216" s="75"/>
      <c r="V216" s="84"/>
    </row>
    <row r="217" ht="15.75" customHeight="1">
      <c r="A217" s="70"/>
      <c r="B217" s="116"/>
      <c r="C217" s="84"/>
      <c r="D217" s="75"/>
      <c r="E217" s="118"/>
      <c r="F217" s="118"/>
      <c r="G217" s="75"/>
      <c r="H217" s="117"/>
      <c r="I217" s="75"/>
      <c r="J217" s="75"/>
      <c r="K217" s="78"/>
      <c r="L217" s="79"/>
      <c r="M217" s="80"/>
      <c r="N217" s="107"/>
      <c r="O217" s="98"/>
      <c r="P217" s="75"/>
      <c r="Q217" s="100"/>
      <c r="R217" s="93"/>
      <c r="S217" s="75"/>
      <c r="T217" s="75"/>
      <c r="V217" s="84"/>
    </row>
    <row r="218" ht="15.75" customHeight="1">
      <c r="A218" s="70"/>
      <c r="B218" s="116"/>
      <c r="C218" s="117"/>
      <c r="D218" s="75"/>
      <c r="E218" s="118"/>
      <c r="F218" s="118"/>
      <c r="G218" s="75"/>
      <c r="H218" s="117"/>
      <c r="I218" s="75"/>
      <c r="J218" s="75"/>
      <c r="K218" s="105"/>
      <c r="L218" s="106"/>
      <c r="M218" s="80"/>
      <c r="N218" s="107"/>
      <c r="O218" s="98"/>
      <c r="P218" s="75"/>
      <c r="Q218" s="100"/>
      <c r="R218" s="93"/>
      <c r="S218" s="75"/>
      <c r="T218" s="75"/>
      <c r="V218" s="84"/>
    </row>
    <row r="219" ht="15.75" customHeight="1">
      <c r="A219" s="70"/>
      <c r="B219" s="116"/>
      <c r="C219" s="117"/>
      <c r="D219" s="75"/>
      <c r="E219" s="118"/>
      <c r="F219" s="118"/>
      <c r="G219" s="75"/>
      <c r="H219" s="117"/>
      <c r="I219" s="75"/>
      <c r="J219" s="75"/>
      <c r="K219" s="78"/>
      <c r="L219" s="79"/>
      <c r="M219" s="80"/>
      <c r="N219" s="107"/>
      <c r="O219" s="98"/>
      <c r="P219" s="75"/>
      <c r="Q219" s="100"/>
      <c r="R219" s="93"/>
      <c r="S219" s="75"/>
      <c r="T219" s="75"/>
      <c r="V219" s="84"/>
    </row>
    <row r="220" ht="15.75" customHeight="1">
      <c r="A220" s="70"/>
      <c r="B220" s="116"/>
      <c r="C220" s="117"/>
      <c r="D220" s="75"/>
      <c r="E220" s="118"/>
      <c r="F220" s="118"/>
      <c r="G220" s="75"/>
      <c r="H220" s="117"/>
      <c r="I220" s="75"/>
      <c r="J220" s="75"/>
      <c r="K220" s="105"/>
      <c r="L220" s="106"/>
      <c r="M220" s="80"/>
      <c r="N220" s="107"/>
      <c r="O220" s="98"/>
      <c r="P220" s="75"/>
      <c r="Q220" s="100"/>
      <c r="R220" s="93"/>
      <c r="S220" s="75"/>
      <c r="T220" s="75"/>
      <c r="V220" s="84"/>
    </row>
    <row r="221" ht="15.75" customHeight="1">
      <c r="A221" s="70"/>
      <c r="B221" s="116"/>
      <c r="C221" s="117"/>
      <c r="D221" s="75"/>
      <c r="E221" s="118"/>
      <c r="F221" s="118"/>
      <c r="G221" s="75"/>
      <c r="H221" s="117"/>
      <c r="I221" s="75"/>
      <c r="J221" s="75"/>
      <c r="K221" s="78"/>
      <c r="L221" s="79"/>
      <c r="M221" s="80"/>
      <c r="N221" s="107"/>
      <c r="O221" s="98"/>
      <c r="P221" s="75"/>
      <c r="Q221" s="100"/>
      <c r="R221" s="93"/>
      <c r="S221" s="75"/>
      <c r="T221" s="75"/>
      <c r="V221" s="84"/>
    </row>
    <row r="222" ht="15.75" customHeight="1">
      <c r="A222" s="70"/>
      <c r="B222" s="116"/>
      <c r="C222" s="117"/>
      <c r="D222" s="75"/>
      <c r="E222" s="118"/>
      <c r="F222" s="118"/>
      <c r="G222" s="75"/>
      <c r="H222" s="117"/>
      <c r="I222" s="75"/>
      <c r="J222" s="75"/>
      <c r="K222" s="105"/>
      <c r="L222" s="106"/>
      <c r="M222" s="80"/>
      <c r="N222" s="107"/>
      <c r="O222" s="98"/>
      <c r="P222" s="75"/>
      <c r="Q222" s="100"/>
      <c r="R222" s="93"/>
      <c r="S222" s="75"/>
      <c r="T222" s="75"/>
      <c r="V222" s="84"/>
    </row>
    <row r="223" ht="15.75" customHeight="1">
      <c r="A223" s="70"/>
      <c r="B223" s="116"/>
      <c r="C223" s="84"/>
      <c r="D223" s="75"/>
      <c r="E223" s="118"/>
      <c r="F223" s="118"/>
      <c r="G223" s="75"/>
      <c r="H223" s="117"/>
      <c r="I223" s="75"/>
      <c r="J223" s="75"/>
      <c r="K223" s="78"/>
      <c r="L223" s="79"/>
      <c r="M223" s="80"/>
      <c r="N223" s="107"/>
      <c r="O223" s="98"/>
      <c r="P223" s="75"/>
      <c r="Q223" s="100"/>
      <c r="R223" s="93"/>
      <c r="S223" s="75"/>
      <c r="T223" s="75"/>
      <c r="V223" s="84"/>
    </row>
    <row r="224" ht="15.75" customHeight="1">
      <c r="A224" s="70"/>
      <c r="B224" s="116"/>
      <c r="C224" s="117"/>
      <c r="D224" s="75"/>
      <c r="E224" s="118"/>
      <c r="F224" s="118"/>
      <c r="G224" s="75"/>
      <c r="H224" s="117"/>
      <c r="I224" s="75"/>
      <c r="J224" s="75"/>
      <c r="K224" s="105"/>
      <c r="L224" s="106"/>
      <c r="M224" s="80"/>
      <c r="N224" s="107"/>
      <c r="O224" s="98"/>
      <c r="P224" s="75"/>
      <c r="Q224" s="100"/>
      <c r="R224" s="93"/>
      <c r="S224" s="75"/>
      <c r="T224" s="75"/>
      <c r="V224" s="84"/>
    </row>
    <row r="225" ht="15.75" customHeight="1">
      <c r="A225" s="70"/>
      <c r="B225" s="116"/>
      <c r="C225" s="117"/>
      <c r="D225" s="75"/>
      <c r="E225" s="118"/>
      <c r="F225" s="118"/>
      <c r="G225" s="75"/>
      <c r="H225" s="117"/>
      <c r="I225" s="75"/>
      <c r="J225" s="75"/>
      <c r="K225" s="78"/>
      <c r="L225" s="79"/>
      <c r="M225" s="80"/>
      <c r="N225" s="107"/>
      <c r="O225" s="98"/>
      <c r="P225" s="75"/>
      <c r="Q225" s="100"/>
      <c r="R225" s="93"/>
      <c r="S225" s="75"/>
      <c r="T225" s="75"/>
      <c r="V225" s="84"/>
    </row>
    <row r="226" ht="15.75" customHeight="1">
      <c r="A226" s="70"/>
      <c r="B226" s="116"/>
      <c r="C226" s="117"/>
      <c r="D226" s="75"/>
      <c r="E226" s="118"/>
      <c r="F226" s="118"/>
      <c r="G226" s="75"/>
      <c r="H226" s="117"/>
      <c r="I226" s="75"/>
      <c r="J226" s="75"/>
      <c r="K226" s="105"/>
      <c r="L226" s="106"/>
      <c r="M226" s="80"/>
      <c r="N226" s="107"/>
      <c r="O226" s="98"/>
      <c r="P226" s="75"/>
      <c r="Q226" s="100"/>
      <c r="R226" s="93"/>
      <c r="S226" s="75"/>
      <c r="T226" s="75"/>
      <c r="V226" s="84"/>
    </row>
    <row r="227" ht="15.75" customHeight="1">
      <c r="A227" s="70"/>
      <c r="B227" s="116"/>
      <c r="C227" s="117"/>
      <c r="D227" s="75"/>
      <c r="E227" s="118"/>
      <c r="F227" s="118"/>
      <c r="G227" s="75"/>
      <c r="H227" s="117"/>
      <c r="I227" s="75"/>
      <c r="J227" s="75"/>
      <c r="K227" s="78"/>
      <c r="L227" s="79"/>
      <c r="M227" s="80"/>
      <c r="N227" s="107"/>
      <c r="O227" s="98"/>
      <c r="P227" s="75"/>
      <c r="Q227" s="100"/>
      <c r="R227" s="93"/>
      <c r="S227" s="75"/>
      <c r="T227" s="75"/>
      <c r="V227" s="84"/>
    </row>
    <row r="228" ht="15.75" customHeight="1">
      <c r="A228" s="70"/>
      <c r="B228" s="116"/>
      <c r="C228" s="117"/>
      <c r="D228" s="75"/>
      <c r="E228" s="118"/>
      <c r="F228" s="118"/>
      <c r="G228" s="75"/>
      <c r="H228" s="117"/>
      <c r="I228" s="75"/>
      <c r="J228" s="75"/>
      <c r="K228" s="105"/>
      <c r="L228" s="106"/>
      <c r="M228" s="80"/>
      <c r="N228" s="107"/>
      <c r="O228" s="98"/>
      <c r="P228" s="75"/>
      <c r="Q228" s="100"/>
      <c r="R228" s="93"/>
      <c r="S228" s="75"/>
      <c r="T228" s="75"/>
      <c r="V228" s="84"/>
    </row>
    <row r="229" ht="15.75" customHeight="1">
      <c r="A229" s="70"/>
      <c r="B229" s="116"/>
      <c r="C229" s="84"/>
      <c r="D229" s="75"/>
      <c r="E229" s="118"/>
      <c r="F229" s="118"/>
      <c r="G229" s="75"/>
      <c r="H229" s="117"/>
      <c r="I229" s="75"/>
      <c r="J229" s="75"/>
      <c r="K229" s="78"/>
      <c r="L229" s="79"/>
      <c r="M229" s="80"/>
      <c r="N229" s="107"/>
      <c r="O229" s="98"/>
      <c r="P229" s="75"/>
      <c r="Q229" s="100"/>
      <c r="R229" s="93"/>
      <c r="S229" s="75"/>
      <c r="T229" s="75"/>
      <c r="V229" s="84"/>
    </row>
    <row r="230" ht="15.75" customHeight="1">
      <c r="A230" s="70"/>
      <c r="B230" s="116"/>
      <c r="C230" s="117"/>
      <c r="D230" s="75"/>
      <c r="E230" s="118"/>
      <c r="F230" s="118"/>
      <c r="G230" s="75"/>
      <c r="H230" s="117"/>
      <c r="I230" s="75"/>
      <c r="J230" s="75"/>
      <c r="K230" s="105"/>
      <c r="L230" s="106"/>
      <c r="M230" s="80"/>
      <c r="N230" s="107"/>
      <c r="O230" s="98"/>
      <c r="P230" s="75"/>
      <c r="Q230" s="100"/>
      <c r="R230" s="93"/>
      <c r="S230" s="75"/>
      <c r="T230" s="75"/>
      <c r="V230" s="84"/>
    </row>
    <row r="231" ht="15.75" customHeight="1">
      <c r="A231" s="70"/>
      <c r="B231" s="116"/>
      <c r="C231" s="117"/>
      <c r="D231" s="75"/>
      <c r="E231" s="118"/>
      <c r="F231" s="118"/>
      <c r="G231" s="75"/>
      <c r="H231" s="117"/>
      <c r="I231" s="75"/>
      <c r="J231" s="75"/>
      <c r="K231" s="78"/>
      <c r="L231" s="79"/>
      <c r="M231" s="80"/>
      <c r="N231" s="107"/>
      <c r="O231" s="98"/>
      <c r="P231" s="75"/>
      <c r="Q231" s="100"/>
      <c r="R231" s="93"/>
      <c r="S231" s="75"/>
      <c r="T231" s="75"/>
      <c r="V231" s="84"/>
    </row>
    <row r="232" ht="15.75" customHeight="1">
      <c r="A232" s="70"/>
      <c r="B232" s="116"/>
      <c r="C232" s="117"/>
      <c r="D232" s="75"/>
      <c r="E232" s="118"/>
      <c r="F232" s="118"/>
      <c r="G232" s="75"/>
      <c r="H232" s="117"/>
      <c r="I232" s="75"/>
      <c r="J232" s="75"/>
      <c r="K232" s="105"/>
      <c r="L232" s="106"/>
      <c r="M232" s="80"/>
      <c r="N232" s="107"/>
      <c r="O232" s="98"/>
      <c r="P232" s="75"/>
      <c r="Q232" s="100"/>
      <c r="R232" s="93"/>
      <c r="S232" s="75"/>
      <c r="T232" s="75"/>
      <c r="V232" s="84"/>
    </row>
    <row r="233" ht="15.75" customHeight="1">
      <c r="A233" s="70"/>
      <c r="B233" s="116"/>
      <c r="C233" s="117"/>
      <c r="D233" s="75"/>
      <c r="E233" s="118"/>
      <c r="F233" s="118"/>
      <c r="G233" s="75"/>
      <c r="H233" s="117"/>
      <c r="I233" s="75"/>
      <c r="J233" s="75"/>
      <c r="K233" s="78"/>
      <c r="L233" s="79"/>
      <c r="M233" s="80"/>
      <c r="N233" s="107"/>
      <c r="O233" s="98"/>
      <c r="P233" s="75"/>
      <c r="Q233" s="100"/>
      <c r="R233" s="93"/>
      <c r="S233" s="75"/>
      <c r="T233" s="75"/>
      <c r="V233" s="84"/>
    </row>
    <row r="234" ht="15.75" customHeight="1">
      <c r="A234" s="70"/>
      <c r="B234" s="116"/>
      <c r="C234" s="117"/>
      <c r="D234" s="75"/>
      <c r="E234" s="118"/>
      <c r="F234" s="118"/>
      <c r="G234" s="75"/>
      <c r="H234" s="117"/>
      <c r="I234" s="75"/>
      <c r="J234" s="75"/>
      <c r="K234" s="105"/>
      <c r="L234" s="106"/>
      <c r="M234" s="80"/>
      <c r="N234" s="107"/>
      <c r="O234" s="98"/>
      <c r="P234" s="75"/>
      <c r="Q234" s="100"/>
      <c r="R234" s="93"/>
      <c r="S234" s="75"/>
      <c r="T234" s="75"/>
      <c r="V234" s="84"/>
    </row>
    <row r="235" ht="15.75" customHeight="1">
      <c r="A235" s="70"/>
      <c r="B235" s="116"/>
      <c r="C235" s="84"/>
      <c r="D235" s="75"/>
      <c r="E235" s="118"/>
      <c r="F235" s="118"/>
      <c r="G235" s="75"/>
      <c r="H235" s="117"/>
      <c r="I235" s="75"/>
      <c r="J235" s="75"/>
      <c r="K235" s="78"/>
      <c r="L235" s="79"/>
      <c r="M235" s="80"/>
      <c r="N235" s="107"/>
      <c r="O235" s="98"/>
      <c r="P235" s="75"/>
      <c r="Q235" s="100"/>
      <c r="R235" s="93"/>
      <c r="S235" s="75"/>
      <c r="T235" s="75"/>
      <c r="V235" s="84"/>
    </row>
    <row r="236" ht="15.75" customHeight="1">
      <c r="A236" s="70"/>
      <c r="B236" s="116"/>
      <c r="C236" s="117"/>
      <c r="D236" s="75"/>
      <c r="E236" s="118"/>
      <c r="F236" s="118"/>
      <c r="G236" s="75"/>
      <c r="H236" s="117"/>
      <c r="I236" s="75"/>
      <c r="J236" s="75"/>
      <c r="K236" s="105"/>
      <c r="L236" s="106"/>
      <c r="M236" s="80"/>
      <c r="N236" s="107"/>
      <c r="O236" s="98"/>
      <c r="P236" s="75"/>
      <c r="Q236" s="100"/>
      <c r="R236" s="93"/>
      <c r="S236" s="75"/>
      <c r="T236" s="75"/>
      <c r="V236" s="84"/>
    </row>
    <row r="237" ht="15.75" customHeight="1">
      <c r="A237" s="70"/>
      <c r="B237" s="116"/>
      <c r="C237" s="117"/>
      <c r="D237" s="75"/>
      <c r="E237" s="118"/>
      <c r="F237" s="118"/>
      <c r="G237" s="75"/>
      <c r="H237" s="117"/>
      <c r="I237" s="75"/>
      <c r="J237" s="75"/>
      <c r="K237" s="78"/>
      <c r="L237" s="79"/>
      <c r="M237" s="80"/>
      <c r="N237" s="107"/>
      <c r="O237" s="98"/>
      <c r="P237" s="75"/>
      <c r="Q237" s="100"/>
      <c r="R237" s="93"/>
      <c r="S237" s="75"/>
      <c r="T237" s="75"/>
      <c r="V237" s="84"/>
    </row>
    <row r="238" ht="15.75" customHeight="1">
      <c r="A238" s="70"/>
      <c r="B238" s="116"/>
      <c r="C238" s="117"/>
      <c r="D238" s="75"/>
      <c r="E238" s="118"/>
      <c r="F238" s="118"/>
      <c r="G238" s="75"/>
      <c r="H238" s="117"/>
      <c r="I238" s="75"/>
      <c r="J238" s="75"/>
      <c r="K238" s="105"/>
      <c r="L238" s="106"/>
      <c r="M238" s="80"/>
      <c r="N238" s="107"/>
      <c r="O238" s="98"/>
      <c r="P238" s="75"/>
      <c r="Q238" s="100"/>
      <c r="R238" s="93"/>
      <c r="S238" s="75"/>
      <c r="T238" s="75"/>
      <c r="V238" s="84"/>
    </row>
    <row r="239" ht="15.75" customHeight="1">
      <c r="A239" s="70"/>
      <c r="B239" s="116"/>
      <c r="C239" s="117"/>
      <c r="D239" s="75"/>
      <c r="E239" s="118"/>
      <c r="F239" s="118"/>
      <c r="G239" s="75"/>
      <c r="H239" s="117"/>
      <c r="I239" s="75"/>
      <c r="J239" s="75"/>
      <c r="K239" s="78"/>
      <c r="L239" s="79"/>
      <c r="M239" s="80"/>
      <c r="N239" s="107"/>
      <c r="O239" s="98"/>
      <c r="P239" s="75"/>
      <c r="Q239" s="100"/>
      <c r="R239" s="93"/>
      <c r="S239" s="75"/>
      <c r="T239" s="75"/>
      <c r="V239" s="84"/>
    </row>
    <row r="240" ht="15.75" customHeight="1">
      <c r="A240" s="70"/>
      <c r="B240" s="116"/>
      <c r="C240" s="117"/>
      <c r="D240" s="75"/>
      <c r="E240" s="118"/>
      <c r="F240" s="118"/>
      <c r="G240" s="75"/>
      <c r="H240" s="117"/>
      <c r="I240" s="75"/>
      <c r="J240" s="75"/>
      <c r="K240" s="105"/>
      <c r="L240" s="106"/>
      <c r="M240" s="80"/>
      <c r="N240" s="107"/>
      <c r="O240" s="98"/>
      <c r="P240" s="75"/>
      <c r="Q240" s="100"/>
      <c r="R240" s="93"/>
      <c r="S240" s="75"/>
      <c r="T240" s="75"/>
      <c r="V240" s="84"/>
    </row>
    <row r="241" ht="15.75" customHeight="1">
      <c r="A241" s="70"/>
      <c r="B241" s="116"/>
      <c r="C241" s="84"/>
      <c r="D241" s="75"/>
      <c r="E241" s="118"/>
      <c r="F241" s="118"/>
      <c r="G241" s="75"/>
      <c r="H241" s="117"/>
      <c r="I241" s="75"/>
      <c r="J241" s="75"/>
      <c r="K241" s="78"/>
      <c r="L241" s="79"/>
      <c r="M241" s="80"/>
      <c r="N241" s="107"/>
      <c r="O241" s="98"/>
      <c r="P241" s="75"/>
      <c r="Q241" s="100"/>
      <c r="R241" s="93"/>
      <c r="S241" s="75"/>
      <c r="T241" s="75"/>
      <c r="V241" s="84"/>
    </row>
    <row r="242" ht="15.75" customHeight="1">
      <c r="A242" s="70"/>
      <c r="B242" s="116"/>
      <c r="C242" s="117"/>
      <c r="D242" s="75"/>
      <c r="E242" s="118"/>
      <c r="F242" s="118"/>
      <c r="G242" s="75"/>
      <c r="H242" s="117"/>
      <c r="I242" s="75"/>
      <c r="J242" s="75"/>
      <c r="K242" s="105"/>
      <c r="L242" s="106"/>
      <c r="M242" s="80"/>
      <c r="N242" s="107"/>
      <c r="O242" s="98"/>
      <c r="P242" s="75"/>
      <c r="Q242" s="100"/>
      <c r="R242" s="93"/>
      <c r="S242" s="75"/>
      <c r="T242" s="75"/>
      <c r="V242" s="84"/>
    </row>
    <row r="243" ht="15.75" customHeight="1">
      <c r="A243" s="70"/>
      <c r="B243" s="116"/>
      <c r="C243" s="117"/>
      <c r="D243" s="75"/>
      <c r="E243" s="118"/>
      <c r="F243" s="118"/>
      <c r="G243" s="75"/>
      <c r="H243" s="117"/>
      <c r="I243" s="75"/>
      <c r="J243" s="75"/>
      <c r="K243" s="78"/>
      <c r="L243" s="79"/>
      <c r="M243" s="80"/>
      <c r="N243" s="107"/>
      <c r="O243" s="98"/>
      <c r="P243" s="75"/>
      <c r="Q243" s="100"/>
      <c r="R243" s="93"/>
      <c r="S243" s="75"/>
      <c r="T243" s="75"/>
      <c r="V243" s="84"/>
    </row>
    <row r="244" ht="15.75" customHeight="1">
      <c r="A244" s="70"/>
      <c r="B244" s="116"/>
      <c r="C244" s="117"/>
      <c r="D244" s="75"/>
      <c r="E244" s="118"/>
      <c r="F244" s="118"/>
      <c r="G244" s="75"/>
      <c r="H244" s="117"/>
      <c r="I244" s="75"/>
      <c r="J244" s="75"/>
      <c r="K244" s="121"/>
      <c r="L244" s="122"/>
      <c r="M244" s="80"/>
      <c r="N244" s="107"/>
      <c r="O244" s="98"/>
      <c r="P244" s="75"/>
      <c r="Q244" s="100"/>
      <c r="R244" s="93"/>
      <c r="S244" s="75"/>
      <c r="T244" s="75"/>
      <c r="V244" s="84"/>
    </row>
    <row r="245" ht="15.75" customHeight="1">
      <c r="A245" s="70"/>
      <c r="B245" s="116"/>
      <c r="C245" s="117"/>
      <c r="D245" s="75"/>
      <c r="E245" s="118"/>
      <c r="F245" s="118"/>
      <c r="G245" s="75"/>
      <c r="H245" s="117"/>
      <c r="I245" s="75"/>
      <c r="J245" s="75"/>
      <c r="K245" s="123"/>
      <c r="L245" s="124"/>
      <c r="M245" s="80"/>
      <c r="N245" s="107"/>
      <c r="O245" s="98"/>
      <c r="P245" s="75"/>
      <c r="Q245" s="100"/>
      <c r="R245" s="93"/>
      <c r="S245" s="75"/>
      <c r="T245" s="75"/>
      <c r="V245" s="84"/>
    </row>
    <row r="246" ht="15.75" customHeight="1">
      <c r="A246" s="70"/>
      <c r="B246" s="116"/>
      <c r="C246" s="117"/>
      <c r="D246" s="75"/>
      <c r="E246" s="118"/>
      <c r="F246" s="118"/>
      <c r="G246" s="75"/>
      <c r="H246" s="117"/>
      <c r="I246" s="75"/>
      <c r="J246" s="75"/>
      <c r="K246" s="121"/>
      <c r="L246" s="122"/>
      <c r="M246" s="80"/>
      <c r="N246" s="107"/>
      <c r="O246" s="98"/>
      <c r="P246" s="75"/>
      <c r="Q246" s="100"/>
      <c r="R246" s="93"/>
      <c r="S246" s="75"/>
      <c r="T246" s="75"/>
      <c r="V246" s="84"/>
    </row>
    <row r="247" ht="15.75" customHeight="1">
      <c r="A247" s="70"/>
      <c r="B247" s="116"/>
      <c r="C247" s="84"/>
      <c r="D247" s="75"/>
      <c r="E247" s="118"/>
      <c r="F247" s="118"/>
      <c r="G247" s="75"/>
      <c r="H247" s="117"/>
      <c r="I247" s="75"/>
      <c r="J247" s="75"/>
      <c r="K247" s="123"/>
      <c r="L247" s="124"/>
      <c r="M247" s="80"/>
      <c r="N247" s="107"/>
      <c r="O247" s="98"/>
      <c r="P247" s="75"/>
      <c r="Q247" s="100"/>
      <c r="R247" s="93"/>
      <c r="S247" s="75"/>
      <c r="T247" s="75"/>
      <c r="V247" s="84"/>
    </row>
    <row r="248" ht="15.75" customHeight="1">
      <c r="A248" s="70"/>
      <c r="B248" s="116"/>
      <c r="C248" s="117"/>
      <c r="D248" s="75"/>
      <c r="E248" s="118"/>
      <c r="F248" s="118"/>
      <c r="G248" s="75"/>
      <c r="H248" s="117"/>
      <c r="I248" s="75"/>
      <c r="J248" s="75"/>
      <c r="K248" s="121"/>
      <c r="L248" s="122"/>
      <c r="M248" s="80"/>
      <c r="N248" s="107"/>
      <c r="O248" s="98"/>
      <c r="P248" s="75"/>
      <c r="Q248" s="100"/>
      <c r="R248" s="93"/>
      <c r="S248" s="75"/>
      <c r="T248" s="75"/>
      <c r="V248" s="84"/>
    </row>
    <row r="249" ht="15.75" customHeight="1">
      <c r="A249" s="70"/>
      <c r="B249" s="116"/>
      <c r="C249" s="117"/>
      <c r="D249" s="75"/>
      <c r="E249" s="118"/>
      <c r="F249" s="118"/>
      <c r="G249" s="75"/>
      <c r="H249" s="117"/>
      <c r="I249" s="75"/>
      <c r="J249" s="75"/>
      <c r="K249" s="123"/>
      <c r="L249" s="124"/>
      <c r="M249" s="80"/>
      <c r="N249" s="107"/>
      <c r="O249" s="98"/>
      <c r="P249" s="75"/>
      <c r="Q249" s="100"/>
      <c r="R249" s="93"/>
      <c r="S249" s="75"/>
      <c r="T249" s="75"/>
      <c r="V249" s="84"/>
    </row>
    <row r="250" ht="15.75" customHeight="1">
      <c r="A250" s="70"/>
      <c r="B250" s="116"/>
      <c r="C250" s="117"/>
      <c r="D250" s="75"/>
      <c r="E250" s="118"/>
      <c r="F250" s="118"/>
      <c r="G250" s="75"/>
      <c r="H250" s="117"/>
      <c r="I250" s="75"/>
      <c r="J250" s="75"/>
      <c r="K250" s="121"/>
      <c r="L250" s="122"/>
      <c r="M250" s="80"/>
      <c r="N250" s="107"/>
      <c r="O250" s="98"/>
      <c r="P250" s="75"/>
      <c r="Q250" s="100"/>
      <c r="R250" s="93"/>
      <c r="S250" s="75"/>
      <c r="T250" s="75"/>
      <c r="V250" s="84"/>
    </row>
    <row r="251" ht="15.75" customHeight="1">
      <c r="A251" s="70"/>
      <c r="B251" s="116"/>
      <c r="C251" s="117"/>
      <c r="D251" s="75"/>
      <c r="E251" s="118"/>
      <c r="F251" s="118"/>
      <c r="G251" s="75"/>
      <c r="H251" s="117"/>
      <c r="I251" s="75"/>
      <c r="J251" s="75"/>
      <c r="K251" s="123"/>
      <c r="L251" s="124"/>
      <c r="M251" s="80"/>
      <c r="N251" s="107"/>
      <c r="O251" s="98"/>
      <c r="P251" s="75"/>
      <c r="Q251" s="100"/>
      <c r="R251" s="93"/>
      <c r="S251" s="75"/>
      <c r="T251" s="75"/>
      <c r="V251" s="84"/>
    </row>
    <row r="252" ht="15.75" customHeight="1">
      <c r="A252" s="70"/>
      <c r="B252" s="116"/>
      <c r="C252" s="117"/>
      <c r="D252" s="75"/>
      <c r="E252" s="118"/>
      <c r="F252" s="118"/>
      <c r="G252" s="75"/>
      <c r="H252" s="117"/>
      <c r="I252" s="75"/>
      <c r="J252" s="75"/>
      <c r="K252" s="121"/>
      <c r="L252" s="122"/>
      <c r="M252" s="80"/>
      <c r="N252" s="107"/>
      <c r="O252" s="98"/>
      <c r="P252" s="75"/>
      <c r="Q252" s="100"/>
      <c r="R252" s="93"/>
      <c r="S252" s="75"/>
      <c r="T252" s="75"/>
      <c r="V252" s="84"/>
    </row>
    <row r="253" ht="15.75" customHeight="1">
      <c r="A253" s="70"/>
      <c r="B253" s="116"/>
      <c r="C253" s="84"/>
      <c r="D253" s="75"/>
      <c r="E253" s="118"/>
      <c r="F253" s="118"/>
      <c r="G253" s="75"/>
      <c r="H253" s="117"/>
      <c r="I253" s="75"/>
      <c r="J253" s="75"/>
      <c r="K253" s="123"/>
      <c r="L253" s="124"/>
      <c r="M253" s="80"/>
      <c r="N253" s="107"/>
      <c r="O253" s="98"/>
      <c r="P253" s="75"/>
      <c r="Q253" s="100"/>
      <c r="R253" s="93"/>
      <c r="S253" s="75"/>
      <c r="T253" s="75"/>
      <c r="V253" s="84"/>
    </row>
    <row r="254" ht="15.75" customHeight="1">
      <c r="A254" s="70"/>
      <c r="B254" s="116"/>
      <c r="C254" s="117"/>
      <c r="D254" s="75"/>
      <c r="E254" s="118"/>
      <c r="F254" s="118"/>
      <c r="G254" s="75"/>
      <c r="H254" s="117"/>
      <c r="I254" s="75"/>
      <c r="J254" s="75"/>
      <c r="K254" s="121"/>
      <c r="L254" s="122"/>
      <c r="M254" s="80"/>
      <c r="N254" s="107"/>
      <c r="O254" s="98"/>
      <c r="P254" s="75"/>
      <c r="Q254" s="100"/>
      <c r="R254" s="93"/>
      <c r="S254" s="75"/>
      <c r="T254" s="75"/>
      <c r="V254" s="84"/>
    </row>
    <row r="255" ht="15.75" customHeight="1">
      <c r="A255" s="70"/>
      <c r="B255" s="116"/>
      <c r="C255" s="117"/>
      <c r="D255" s="75"/>
      <c r="E255" s="118"/>
      <c r="F255" s="118"/>
      <c r="G255" s="75"/>
      <c r="H255" s="117"/>
      <c r="I255" s="75"/>
      <c r="J255" s="75"/>
      <c r="K255" s="123"/>
      <c r="L255" s="124"/>
      <c r="M255" s="80"/>
      <c r="N255" s="107"/>
      <c r="O255" s="98"/>
      <c r="P255" s="75"/>
      <c r="Q255" s="100"/>
      <c r="R255" s="93"/>
      <c r="S255" s="75"/>
      <c r="T255" s="75"/>
      <c r="V255" s="84"/>
    </row>
    <row r="256" ht="15.75" customHeight="1">
      <c r="A256" s="70"/>
      <c r="B256" s="116"/>
      <c r="C256" s="117"/>
      <c r="D256" s="75"/>
      <c r="E256" s="118"/>
      <c r="F256" s="118"/>
      <c r="G256" s="75"/>
      <c r="H256" s="117"/>
      <c r="I256" s="75"/>
      <c r="J256" s="75"/>
      <c r="K256" s="121"/>
      <c r="L256" s="122"/>
      <c r="M256" s="80"/>
      <c r="N256" s="107"/>
      <c r="O256" s="98"/>
      <c r="P256" s="75"/>
      <c r="Q256" s="100"/>
      <c r="R256" s="93"/>
      <c r="S256" s="75"/>
      <c r="T256" s="75"/>
      <c r="V256" s="84"/>
    </row>
    <row r="257" ht="15.75" customHeight="1">
      <c r="A257" s="70"/>
      <c r="B257" s="116"/>
      <c r="C257" s="117"/>
      <c r="D257" s="75"/>
      <c r="E257" s="118"/>
      <c r="F257" s="118"/>
      <c r="G257" s="75"/>
      <c r="H257" s="117"/>
      <c r="I257" s="75"/>
      <c r="J257" s="75"/>
      <c r="K257" s="123"/>
      <c r="L257" s="124"/>
      <c r="M257" s="80"/>
      <c r="N257" s="107"/>
      <c r="O257" s="98"/>
      <c r="P257" s="75"/>
      <c r="Q257" s="100"/>
      <c r="R257" s="93"/>
      <c r="S257" s="75"/>
      <c r="T257" s="75"/>
      <c r="V257" s="84"/>
    </row>
    <row r="258" ht="15.75" customHeight="1">
      <c r="A258" s="70"/>
      <c r="B258" s="116"/>
      <c r="C258" s="117"/>
      <c r="D258" s="75"/>
      <c r="E258" s="118"/>
      <c r="F258" s="118"/>
      <c r="G258" s="75"/>
      <c r="H258" s="117"/>
      <c r="I258" s="75"/>
      <c r="J258" s="75"/>
      <c r="K258" s="121"/>
      <c r="L258" s="122"/>
      <c r="M258" s="80"/>
      <c r="N258" s="107"/>
      <c r="O258" s="98"/>
      <c r="P258" s="75"/>
      <c r="Q258" s="100"/>
      <c r="R258" s="93"/>
      <c r="S258" s="75"/>
      <c r="T258" s="75"/>
      <c r="V258" s="84"/>
    </row>
    <row r="259" ht="15.75" customHeight="1">
      <c r="A259" s="70"/>
      <c r="B259" s="116"/>
      <c r="C259" s="84"/>
      <c r="D259" s="75"/>
      <c r="E259" s="118"/>
      <c r="F259" s="118"/>
      <c r="G259" s="75"/>
      <c r="H259" s="117"/>
      <c r="I259" s="75"/>
      <c r="J259" s="75"/>
      <c r="K259" s="123"/>
      <c r="L259" s="124"/>
      <c r="M259" s="80"/>
      <c r="N259" s="107"/>
      <c r="O259" s="98"/>
      <c r="P259" s="75"/>
      <c r="Q259" s="100"/>
      <c r="R259" s="93"/>
      <c r="S259" s="75"/>
      <c r="T259" s="75"/>
      <c r="V259" s="84"/>
    </row>
    <row r="260" ht="15.75" customHeight="1">
      <c r="A260" s="70"/>
      <c r="B260" s="116"/>
      <c r="C260" s="117"/>
      <c r="D260" s="75"/>
      <c r="E260" s="118"/>
      <c r="F260" s="118"/>
      <c r="G260" s="75"/>
      <c r="H260" s="117"/>
      <c r="I260" s="75"/>
      <c r="J260" s="75"/>
      <c r="K260" s="121"/>
      <c r="L260" s="122"/>
      <c r="M260" s="80"/>
      <c r="N260" s="107"/>
      <c r="O260" s="98"/>
      <c r="P260" s="75"/>
      <c r="Q260" s="100"/>
      <c r="R260" s="93"/>
      <c r="S260" s="75"/>
      <c r="T260" s="75"/>
      <c r="V260" s="84"/>
    </row>
    <row r="261" ht="15.75" customHeight="1">
      <c r="A261" s="70"/>
      <c r="B261" s="116"/>
      <c r="C261" s="117"/>
      <c r="D261" s="75"/>
      <c r="E261" s="118"/>
      <c r="F261" s="118"/>
      <c r="G261" s="75"/>
      <c r="H261" s="117"/>
      <c r="I261" s="75"/>
      <c r="J261" s="75"/>
      <c r="K261" s="123"/>
      <c r="L261" s="124"/>
      <c r="M261" s="80"/>
      <c r="N261" s="107"/>
      <c r="O261" s="98"/>
      <c r="P261" s="75"/>
      <c r="Q261" s="100"/>
      <c r="R261" s="93"/>
      <c r="S261" s="75"/>
      <c r="T261" s="75"/>
      <c r="V261" s="84"/>
    </row>
    <row r="262" ht="15.75" customHeight="1">
      <c r="A262" s="70"/>
      <c r="B262" s="116"/>
      <c r="C262" s="117"/>
      <c r="D262" s="75"/>
      <c r="E262" s="118"/>
      <c r="F262" s="118"/>
      <c r="G262" s="75"/>
      <c r="H262" s="117"/>
      <c r="I262" s="75"/>
      <c r="J262" s="75"/>
      <c r="K262" s="121"/>
      <c r="L262" s="122"/>
      <c r="M262" s="80"/>
      <c r="N262" s="107"/>
      <c r="O262" s="98"/>
      <c r="P262" s="75"/>
      <c r="Q262" s="100"/>
      <c r="R262" s="93"/>
      <c r="S262" s="75"/>
      <c r="T262" s="75"/>
      <c r="V262" s="84"/>
    </row>
    <row r="263" ht="15.75" customHeight="1">
      <c r="A263" s="70"/>
      <c r="B263" s="116"/>
      <c r="C263" s="117"/>
      <c r="D263" s="75"/>
      <c r="E263" s="118"/>
      <c r="F263" s="118"/>
      <c r="G263" s="75"/>
      <c r="H263" s="117"/>
      <c r="I263" s="75"/>
      <c r="J263" s="75"/>
      <c r="K263" s="123"/>
      <c r="L263" s="124"/>
      <c r="M263" s="80"/>
      <c r="N263" s="107"/>
      <c r="O263" s="98"/>
      <c r="P263" s="75"/>
      <c r="Q263" s="100"/>
      <c r="R263" s="93"/>
      <c r="S263" s="75"/>
      <c r="T263" s="75"/>
      <c r="V263" s="84"/>
    </row>
    <row r="264" ht="15.75" customHeight="1">
      <c r="A264" s="70"/>
      <c r="B264" s="116"/>
      <c r="C264" s="117"/>
      <c r="D264" s="75"/>
      <c r="E264" s="118"/>
      <c r="F264" s="118"/>
      <c r="G264" s="75"/>
      <c r="H264" s="117"/>
      <c r="I264" s="75"/>
      <c r="J264" s="75"/>
      <c r="K264" s="121"/>
      <c r="L264" s="122"/>
      <c r="M264" s="80"/>
      <c r="N264" s="107"/>
      <c r="O264" s="98"/>
      <c r="P264" s="75"/>
      <c r="Q264" s="100"/>
      <c r="R264" s="93"/>
      <c r="S264" s="75"/>
      <c r="T264" s="75"/>
      <c r="V264" s="84"/>
    </row>
    <row r="265" ht="15.75" customHeight="1">
      <c r="A265" s="70"/>
      <c r="B265" s="116"/>
      <c r="C265" s="84"/>
      <c r="D265" s="75"/>
      <c r="E265" s="118"/>
      <c r="F265" s="118"/>
      <c r="G265" s="75"/>
      <c r="H265" s="117"/>
      <c r="I265" s="75"/>
      <c r="J265" s="75"/>
      <c r="K265" s="123"/>
      <c r="L265" s="124"/>
      <c r="M265" s="80"/>
      <c r="N265" s="107"/>
      <c r="O265" s="98"/>
      <c r="P265" s="75"/>
      <c r="Q265" s="100"/>
      <c r="R265" s="93"/>
      <c r="S265" s="75"/>
      <c r="T265" s="75"/>
      <c r="V265" s="84"/>
    </row>
    <row r="266" ht="15.75" customHeight="1">
      <c r="A266" s="70"/>
      <c r="B266" s="116"/>
      <c r="C266" s="117"/>
      <c r="D266" s="75"/>
      <c r="E266" s="118"/>
      <c r="F266" s="118"/>
      <c r="G266" s="75"/>
      <c r="H266" s="117"/>
      <c r="I266" s="75"/>
      <c r="J266" s="75"/>
      <c r="K266" s="121"/>
      <c r="L266" s="122"/>
      <c r="M266" s="80"/>
      <c r="N266" s="107"/>
      <c r="O266" s="98"/>
      <c r="P266" s="75"/>
      <c r="Q266" s="100"/>
      <c r="R266" s="93"/>
      <c r="S266" s="75"/>
      <c r="T266" s="75"/>
      <c r="V266" s="84"/>
    </row>
    <row r="267" ht="15.75" customHeight="1">
      <c r="A267" s="70"/>
      <c r="B267" s="116"/>
      <c r="C267" s="117"/>
      <c r="D267" s="75"/>
      <c r="E267" s="118"/>
      <c r="F267" s="118"/>
      <c r="G267" s="75"/>
      <c r="H267" s="117"/>
      <c r="I267" s="75"/>
      <c r="J267" s="75"/>
      <c r="K267" s="123"/>
      <c r="L267" s="124"/>
      <c r="M267" s="80"/>
      <c r="N267" s="107"/>
      <c r="O267" s="98"/>
      <c r="P267" s="75"/>
      <c r="Q267" s="100"/>
      <c r="R267" s="93"/>
      <c r="S267" s="75"/>
      <c r="T267" s="75"/>
      <c r="V267" s="84"/>
    </row>
    <row r="268" ht="15.75" customHeight="1">
      <c r="A268" s="70"/>
      <c r="B268" s="116"/>
      <c r="C268" s="117"/>
      <c r="D268" s="75"/>
      <c r="E268" s="118"/>
      <c r="F268" s="118"/>
      <c r="G268" s="75"/>
      <c r="H268" s="117"/>
      <c r="I268" s="75"/>
      <c r="J268" s="75"/>
      <c r="K268" s="121"/>
      <c r="L268" s="122"/>
      <c r="M268" s="80"/>
      <c r="N268" s="107"/>
      <c r="O268" s="98"/>
      <c r="P268" s="75"/>
      <c r="Q268" s="100"/>
      <c r="R268" s="93"/>
      <c r="S268" s="75"/>
      <c r="T268" s="75"/>
      <c r="V268" s="84"/>
    </row>
    <row r="269" ht="15.75" customHeight="1">
      <c r="A269" s="70"/>
      <c r="B269" s="116"/>
      <c r="C269" s="117"/>
      <c r="D269" s="75"/>
      <c r="E269" s="118"/>
      <c r="F269" s="118"/>
      <c r="G269" s="75"/>
      <c r="H269" s="117"/>
      <c r="I269" s="75"/>
      <c r="J269" s="75"/>
      <c r="K269" s="123"/>
      <c r="L269" s="124"/>
      <c r="M269" s="80"/>
      <c r="N269" s="107"/>
      <c r="O269" s="98"/>
      <c r="P269" s="75"/>
      <c r="Q269" s="100"/>
      <c r="R269" s="93"/>
      <c r="S269" s="75"/>
      <c r="T269" s="75"/>
      <c r="V269" s="84"/>
    </row>
    <row r="270" ht="15.75" customHeight="1">
      <c r="A270" s="70"/>
      <c r="B270" s="116"/>
      <c r="C270" s="117"/>
      <c r="D270" s="75"/>
      <c r="E270" s="118"/>
      <c r="F270" s="118"/>
      <c r="G270" s="75"/>
      <c r="H270" s="117"/>
      <c r="I270" s="75"/>
      <c r="J270" s="75"/>
      <c r="K270" s="121"/>
      <c r="L270" s="122"/>
      <c r="M270" s="80"/>
      <c r="N270" s="107"/>
      <c r="O270" s="98"/>
      <c r="P270" s="75"/>
      <c r="Q270" s="100"/>
      <c r="R270" s="93"/>
      <c r="S270" s="75"/>
      <c r="T270" s="75"/>
      <c r="V270" s="84"/>
    </row>
    <row r="271" ht="15.75" customHeight="1">
      <c r="A271" s="70"/>
      <c r="B271" s="116"/>
      <c r="C271" s="84"/>
      <c r="D271" s="75"/>
      <c r="E271" s="118"/>
      <c r="F271" s="118"/>
      <c r="G271" s="75"/>
      <c r="H271" s="117"/>
      <c r="I271" s="75"/>
      <c r="J271" s="75"/>
      <c r="K271" s="123"/>
      <c r="L271" s="124"/>
      <c r="M271" s="80"/>
      <c r="N271" s="107"/>
      <c r="O271" s="98"/>
      <c r="P271" s="75"/>
      <c r="Q271" s="100"/>
      <c r="R271" s="93"/>
      <c r="S271" s="75"/>
      <c r="T271" s="75"/>
      <c r="V271" s="84"/>
    </row>
    <row r="272" ht="15.75" customHeight="1">
      <c r="A272" s="70"/>
      <c r="B272" s="116"/>
      <c r="C272" s="117"/>
      <c r="D272" s="75"/>
      <c r="E272" s="118"/>
      <c r="F272" s="118"/>
      <c r="G272" s="75"/>
      <c r="H272" s="117"/>
      <c r="I272" s="75"/>
      <c r="J272" s="75"/>
      <c r="K272" s="121"/>
      <c r="L272" s="122"/>
      <c r="M272" s="80"/>
      <c r="N272" s="107"/>
      <c r="O272" s="98"/>
      <c r="P272" s="75"/>
      <c r="Q272" s="100"/>
      <c r="R272" s="93"/>
      <c r="S272" s="75"/>
      <c r="T272" s="75"/>
      <c r="V272" s="84"/>
    </row>
    <row r="273" ht="15.75" customHeight="1">
      <c r="A273" s="70"/>
      <c r="B273" s="116"/>
      <c r="C273" s="117"/>
      <c r="D273" s="75"/>
      <c r="E273" s="118"/>
      <c r="F273" s="118"/>
      <c r="G273" s="75"/>
      <c r="H273" s="117"/>
      <c r="I273" s="75"/>
      <c r="J273" s="75"/>
      <c r="K273" s="123"/>
      <c r="L273" s="124"/>
      <c r="M273" s="80"/>
      <c r="N273" s="107"/>
      <c r="O273" s="98"/>
      <c r="P273" s="75"/>
      <c r="Q273" s="100"/>
      <c r="R273" s="93"/>
      <c r="S273" s="75"/>
      <c r="T273" s="75"/>
      <c r="V273" s="84"/>
    </row>
    <row r="274" ht="15.75" customHeight="1">
      <c r="A274" s="70"/>
      <c r="B274" s="116"/>
      <c r="C274" s="117"/>
      <c r="D274" s="75"/>
      <c r="E274" s="118"/>
      <c r="F274" s="118"/>
      <c r="G274" s="75"/>
      <c r="H274" s="117"/>
      <c r="I274" s="75"/>
      <c r="J274" s="75"/>
      <c r="K274" s="121"/>
      <c r="L274" s="122"/>
      <c r="M274" s="80"/>
      <c r="N274" s="107"/>
      <c r="O274" s="98"/>
      <c r="P274" s="75"/>
      <c r="Q274" s="100"/>
      <c r="R274" s="93"/>
      <c r="S274" s="75"/>
      <c r="T274" s="75"/>
      <c r="V274" s="84"/>
    </row>
    <row r="275" ht="15.75" customHeight="1">
      <c r="A275" s="70"/>
      <c r="B275" s="116"/>
      <c r="C275" s="117"/>
      <c r="D275" s="75"/>
      <c r="E275" s="118"/>
      <c r="F275" s="118"/>
      <c r="G275" s="75"/>
      <c r="H275" s="117"/>
      <c r="I275" s="75"/>
      <c r="J275" s="75"/>
      <c r="K275" s="123"/>
      <c r="L275" s="124"/>
      <c r="M275" s="80"/>
      <c r="N275" s="107"/>
      <c r="O275" s="98"/>
      <c r="P275" s="75"/>
      <c r="Q275" s="100"/>
      <c r="R275" s="93"/>
      <c r="S275" s="75"/>
      <c r="T275" s="75"/>
      <c r="V275" s="84"/>
    </row>
    <row r="276" ht="15.75" customHeight="1">
      <c r="A276" s="70"/>
      <c r="B276" s="116"/>
      <c r="C276" s="117"/>
      <c r="D276" s="75"/>
      <c r="E276" s="118"/>
      <c r="F276" s="118"/>
      <c r="G276" s="75"/>
      <c r="H276" s="117"/>
      <c r="I276" s="75"/>
      <c r="J276" s="75"/>
      <c r="K276" s="121"/>
      <c r="L276" s="122"/>
      <c r="M276" s="80"/>
      <c r="N276" s="107"/>
      <c r="O276" s="98"/>
      <c r="P276" s="75"/>
      <c r="Q276" s="100"/>
      <c r="R276" s="93"/>
      <c r="S276" s="75"/>
      <c r="T276" s="75"/>
      <c r="V276" s="84"/>
    </row>
    <row r="277" ht="15.75" customHeight="1">
      <c r="A277" s="70"/>
      <c r="B277" s="116"/>
      <c r="C277" s="84"/>
      <c r="D277" s="75"/>
      <c r="E277" s="118"/>
      <c r="F277" s="118"/>
      <c r="G277" s="75"/>
      <c r="H277" s="117"/>
      <c r="I277" s="75"/>
      <c r="J277" s="75"/>
      <c r="K277" s="123"/>
      <c r="L277" s="124"/>
      <c r="M277" s="80"/>
      <c r="N277" s="107"/>
      <c r="O277" s="98"/>
      <c r="P277" s="75"/>
      <c r="Q277" s="100"/>
      <c r="R277" s="93"/>
      <c r="S277" s="75"/>
      <c r="T277" s="75"/>
      <c r="V277" s="84"/>
    </row>
    <row r="278" ht="15.75" customHeight="1">
      <c r="A278" s="70"/>
      <c r="B278" s="116"/>
      <c r="C278" s="117"/>
      <c r="D278" s="75"/>
      <c r="E278" s="118"/>
      <c r="F278" s="118"/>
      <c r="G278" s="75"/>
      <c r="H278" s="117"/>
      <c r="I278" s="75"/>
      <c r="J278" s="75"/>
      <c r="K278" s="121"/>
      <c r="L278" s="122"/>
      <c r="M278" s="80"/>
      <c r="N278" s="107"/>
      <c r="O278" s="98"/>
      <c r="P278" s="75"/>
      <c r="Q278" s="100"/>
      <c r="R278" s="93"/>
      <c r="S278" s="75"/>
      <c r="T278" s="75"/>
      <c r="V278" s="84"/>
    </row>
    <row r="279" ht="15.75" customHeight="1">
      <c r="A279" s="70"/>
      <c r="B279" s="116"/>
      <c r="C279" s="117"/>
      <c r="D279" s="75"/>
      <c r="E279" s="118"/>
      <c r="F279" s="118"/>
      <c r="G279" s="75"/>
      <c r="H279" s="117"/>
      <c r="I279" s="75"/>
      <c r="J279" s="75"/>
      <c r="K279" s="123"/>
      <c r="L279" s="124"/>
      <c r="M279" s="80"/>
      <c r="N279" s="107"/>
      <c r="O279" s="98"/>
      <c r="P279" s="75"/>
      <c r="Q279" s="100"/>
      <c r="R279" s="93"/>
      <c r="S279" s="75"/>
      <c r="T279" s="75"/>
      <c r="V279" s="84"/>
    </row>
    <row r="280" ht="15.75" customHeight="1">
      <c r="A280" s="70"/>
      <c r="B280" s="116"/>
      <c r="C280" s="117"/>
      <c r="D280" s="75"/>
      <c r="E280" s="118"/>
      <c r="F280" s="118"/>
      <c r="G280" s="75"/>
      <c r="H280" s="117"/>
      <c r="I280" s="75"/>
      <c r="J280" s="75"/>
      <c r="K280" s="121"/>
      <c r="L280" s="122"/>
      <c r="M280" s="80"/>
      <c r="N280" s="107"/>
      <c r="O280" s="98"/>
      <c r="P280" s="75"/>
      <c r="Q280" s="100"/>
      <c r="R280" s="93"/>
      <c r="S280" s="75"/>
      <c r="T280" s="75"/>
      <c r="V280" s="84"/>
    </row>
    <row r="281" ht="15.75" customHeight="1">
      <c r="A281" s="70"/>
      <c r="B281" s="116"/>
      <c r="C281" s="117"/>
      <c r="D281" s="75"/>
      <c r="E281" s="118"/>
      <c r="F281" s="118"/>
      <c r="G281" s="75"/>
      <c r="H281" s="117"/>
      <c r="I281" s="75"/>
      <c r="J281" s="75"/>
      <c r="K281" s="123"/>
      <c r="L281" s="124"/>
      <c r="M281" s="80"/>
      <c r="N281" s="107"/>
      <c r="O281" s="98"/>
      <c r="P281" s="75"/>
      <c r="Q281" s="100"/>
      <c r="R281" s="93"/>
      <c r="S281" s="75"/>
      <c r="T281" s="75"/>
      <c r="V281" s="84"/>
    </row>
    <row r="282" ht="15.75" customHeight="1">
      <c r="A282" s="70"/>
      <c r="B282" s="116"/>
      <c r="C282" s="117"/>
      <c r="D282" s="75"/>
      <c r="E282" s="118"/>
      <c r="F282" s="118"/>
      <c r="G282" s="75"/>
      <c r="H282" s="117"/>
      <c r="I282" s="75"/>
      <c r="J282" s="75"/>
      <c r="K282" s="121"/>
      <c r="L282" s="122"/>
      <c r="M282" s="80"/>
      <c r="N282" s="107"/>
      <c r="O282" s="98"/>
      <c r="P282" s="75"/>
      <c r="Q282" s="100"/>
      <c r="R282" s="93"/>
      <c r="S282" s="75"/>
      <c r="T282" s="75"/>
      <c r="V282" s="84"/>
    </row>
    <row r="283" ht="15.75" customHeight="1">
      <c r="A283" s="70"/>
      <c r="B283" s="116"/>
      <c r="C283" s="84"/>
      <c r="D283" s="75"/>
      <c r="E283" s="118"/>
      <c r="F283" s="118"/>
      <c r="G283" s="75"/>
      <c r="H283" s="117"/>
      <c r="I283" s="75"/>
      <c r="J283" s="75"/>
      <c r="K283" s="123"/>
      <c r="L283" s="124"/>
      <c r="M283" s="80"/>
      <c r="N283" s="107"/>
      <c r="O283" s="98"/>
      <c r="P283" s="75"/>
      <c r="Q283" s="100"/>
      <c r="R283" s="93"/>
      <c r="S283" s="75"/>
      <c r="T283" s="75"/>
      <c r="V283" s="84"/>
    </row>
    <row r="284" ht="15.75" customHeight="1">
      <c r="A284" s="70"/>
      <c r="B284" s="116"/>
      <c r="C284" s="117"/>
      <c r="D284" s="75"/>
      <c r="E284" s="118"/>
      <c r="F284" s="118"/>
      <c r="G284" s="75"/>
      <c r="H284" s="117"/>
      <c r="I284" s="75"/>
      <c r="J284" s="75"/>
      <c r="K284" s="121"/>
      <c r="L284" s="122"/>
      <c r="M284" s="80"/>
      <c r="N284" s="107"/>
      <c r="O284" s="98"/>
      <c r="P284" s="75"/>
      <c r="Q284" s="100"/>
      <c r="R284" s="93"/>
      <c r="S284" s="75"/>
      <c r="T284" s="75"/>
      <c r="V284" s="84"/>
    </row>
    <row r="285" ht="15.75" customHeight="1">
      <c r="A285" s="70"/>
      <c r="B285" s="116"/>
      <c r="C285" s="117"/>
      <c r="D285" s="75"/>
      <c r="E285" s="118"/>
      <c r="F285" s="118"/>
      <c r="G285" s="75"/>
      <c r="H285" s="117"/>
      <c r="I285" s="75"/>
      <c r="J285" s="75"/>
      <c r="K285" s="123"/>
      <c r="L285" s="124"/>
      <c r="M285" s="80"/>
      <c r="N285" s="107"/>
      <c r="O285" s="98"/>
      <c r="P285" s="75"/>
      <c r="Q285" s="100"/>
      <c r="R285" s="93"/>
      <c r="S285" s="75"/>
      <c r="T285" s="75"/>
      <c r="V285" s="84"/>
    </row>
    <row r="286" ht="15.75" customHeight="1">
      <c r="A286" s="70"/>
      <c r="B286" s="116"/>
      <c r="C286" s="117"/>
      <c r="D286" s="75"/>
      <c r="E286" s="118"/>
      <c r="F286" s="118"/>
      <c r="G286" s="75"/>
      <c r="H286" s="117"/>
      <c r="I286" s="75"/>
      <c r="J286" s="75"/>
      <c r="K286" s="121"/>
      <c r="L286" s="122"/>
      <c r="M286" s="80"/>
      <c r="N286" s="107"/>
      <c r="O286" s="98"/>
      <c r="P286" s="75"/>
      <c r="Q286" s="100"/>
      <c r="R286" s="93"/>
      <c r="S286" s="75"/>
      <c r="T286" s="75"/>
      <c r="V286" s="84"/>
    </row>
    <row r="287" ht="15.75" customHeight="1">
      <c r="A287" s="70"/>
      <c r="B287" s="116"/>
      <c r="C287" s="117"/>
      <c r="D287" s="75"/>
      <c r="E287" s="118"/>
      <c r="F287" s="118"/>
      <c r="G287" s="75"/>
      <c r="H287" s="117"/>
      <c r="I287" s="75"/>
      <c r="J287" s="75"/>
      <c r="K287" s="123"/>
      <c r="L287" s="124"/>
      <c r="M287" s="80"/>
      <c r="N287" s="107"/>
      <c r="O287" s="98"/>
      <c r="P287" s="75"/>
      <c r="Q287" s="100"/>
      <c r="R287" s="93"/>
      <c r="S287" s="75"/>
      <c r="T287" s="75"/>
      <c r="V287" s="84"/>
    </row>
    <row r="288" ht="15.75" customHeight="1">
      <c r="A288" s="70"/>
      <c r="B288" s="116"/>
      <c r="C288" s="117"/>
      <c r="D288" s="75"/>
      <c r="E288" s="118"/>
      <c r="F288" s="118"/>
      <c r="G288" s="75"/>
      <c r="H288" s="117"/>
      <c r="I288" s="75"/>
      <c r="J288" s="75"/>
      <c r="K288" s="121"/>
      <c r="L288" s="122"/>
      <c r="M288" s="80"/>
      <c r="N288" s="107"/>
      <c r="O288" s="98"/>
      <c r="P288" s="75"/>
      <c r="Q288" s="100"/>
      <c r="R288" s="93"/>
      <c r="S288" s="75"/>
      <c r="T288" s="75"/>
      <c r="V288" s="84"/>
    </row>
    <row r="289" ht="15.75" customHeight="1">
      <c r="A289" s="70"/>
      <c r="B289" s="116"/>
      <c r="C289" s="84"/>
      <c r="D289" s="75"/>
      <c r="E289" s="118"/>
      <c r="F289" s="118"/>
      <c r="G289" s="75"/>
      <c r="H289" s="117"/>
      <c r="I289" s="75"/>
      <c r="J289" s="75"/>
      <c r="K289" s="123"/>
      <c r="L289" s="124"/>
      <c r="M289" s="80"/>
      <c r="N289" s="107"/>
      <c r="O289" s="98"/>
      <c r="P289" s="75"/>
      <c r="Q289" s="100"/>
      <c r="R289" s="93"/>
      <c r="S289" s="75"/>
      <c r="T289" s="75"/>
      <c r="V289" s="84"/>
    </row>
    <row r="290" ht="15.75" customHeight="1">
      <c r="A290" s="70"/>
      <c r="B290" s="116"/>
      <c r="C290" s="117"/>
      <c r="D290" s="75"/>
      <c r="E290" s="118"/>
      <c r="F290" s="118"/>
      <c r="G290" s="75"/>
      <c r="H290" s="117"/>
      <c r="I290" s="75"/>
      <c r="J290" s="75"/>
      <c r="K290" s="121"/>
      <c r="L290" s="122"/>
      <c r="M290" s="80"/>
      <c r="N290" s="107"/>
      <c r="O290" s="98"/>
      <c r="P290" s="75"/>
      <c r="Q290" s="100"/>
      <c r="R290" s="93"/>
      <c r="S290" s="75"/>
      <c r="T290" s="75"/>
      <c r="V290" s="84"/>
    </row>
    <row r="291" ht="15.75" customHeight="1">
      <c r="A291" s="70"/>
      <c r="B291" s="116"/>
      <c r="C291" s="117"/>
      <c r="D291" s="75"/>
      <c r="E291" s="118"/>
      <c r="F291" s="118"/>
      <c r="G291" s="75"/>
      <c r="H291" s="117"/>
      <c r="I291" s="75"/>
      <c r="J291" s="75"/>
      <c r="K291" s="123"/>
      <c r="L291" s="124"/>
      <c r="M291" s="80"/>
      <c r="N291" s="107"/>
      <c r="O291" s="98"/>
      <c r="P291" s="75"/>
      <c r="Q291" s="100"/>
      <c r="R291" s="93"/>
      <c r="S291" s="75"/>
      <c r="T291" s="75"/>
      <c r="V291" s="84"/>
    </row>
    <row r="292" ht="15.75" customHeight="1">
      <c r="A292" s="70"/>
      <c r="B292" s="116"/>
      <c r="C292" s="117"/>
      <c r="D292" s="75"/>
      <c r="E292" s="118"/>
      <c r="F292" s="118"/>
      <c r="G292" s="75"/>
      <c r="H292" s="117"/>
      <c r="I292" s="75"/>
      <c r="J292" s="75"/>
      <c r="K292" s="121"/>
      <c r="L292" s="122"/>
      <c r="M292" s="80"/>
      <c r="N292" s="107"/>
      <c r="O292" s="98"/>
      <c r="P292" s="75"/>
      <c r="Q292" s="100"/>
      <c r="R292" s="93"/>
      <c r="S292" s="75"/>
      <c r="T292" s="75"/>
      <c r="V292" s="84"/>
    </row>
    <row r="293" ht="15.75" customHeight="1">
      <c r="A293" s="70"/>
      <c r="B293" s="116"/>
      <c r="C293" s="117"/>
      <c r="D293" s="75"/>
      <c r="E293" s="118"/>
      <c r="F293" s="118"/>
      <c r="G293" s="75"/>
      <c r="H293" s="117"/>
      <c r="I293" s="75"/>
      <c r="J293" s="75"/>
      <c r="K293" s="123"/>
      <c r="L293" s="124"/>
      <c r="M293" s="80"/>
      <c r="N293" s="107"/>
      <c r="O293" s="98"/>
      <c r="P293" s="75"/>
      <c r="Q293" s="100"/>
      <c r="R293" s="93"/>
      <c r="S293" s="75"/>
      <c r="T293" s="75"/>
      <c r="V293" s="84"/>
    </row>
    <row r="294" ht="15.75" customHeight="1">
      <c r="A294" s="70"/>
      <c r="B294" s="116"/>
      <c r="C294" s="117"/>
      <c r="D294" s="75"/>
      <c r="E294" s="118"/>
      <c r="F294" s="118"/>
      <c r="G294" s="75"/>
      <c r="H294" s="117"/>
      <c r="I294" s="75"/>
      <c r="J294" s="75"/>
      <c r="K294" s="121"/>
      <c r="L294" s="122"/>
      <c r="M294" s="80"/>
      <c r="N294" s="107"/>
      <c r="O294" s="98"/>
      <c r="P294" s="75"/>
      <c r="Q294" s="100"/>
      <c r="R294" s="93"/>
      <c r="S294" s="75"/>
      <c r="T294" s="75"/>
      <c r="V294" s="84"/>
    </row>
    <row r="295" ht="15.75" customHeight="1">
      <c r="A295" s="70"/>
      <c r="B295" s="116"/>
      <c r="C295" s="84"/>
      <c r="D295" s="75"/>
      <c r="E295" s="118"/>
      <c r="F295" s="118"/>
      <c r="G295" s="75"/>
      <c r="H295" s="117"/>
      <c r="I295" s="75"/>
      <c r="J295" s="75"/>
      <c r="K295" s="123"/>
      <c r="L295" s="124"/>
      <c r="M295" s="80"/>
      <c r="N295" s="107"/>
      <c r="O295" s="98"/>
      <c r="P295" s="75"/>
      <c r="Q295" s="100"/>
      <c r="R295" s="93"/>
      <c r="S295" s="75"/>
      <c r="T295" s="75"/>
      <c r="V295" s="84"/>
    </row>
    <row r="296" ht="15.75" customHeight="1">
      <c r="A296" s="70"/>
      <c r="B296" s="116"/>
      <c r="C296" s="117"/>
      <c r="D296" s="75"/>
      <c r="E296" s="118"/>
      <c r="F296" s="118"/>
      <c r="G296" s="75"/>
      <c r="H296" s="117"/>
      <c r="I296" s="75"/>
      <c r="J296" s="75"/>
      <c r="K296" s="121"/>
      <c r="L296" s="122"/>
      <c r="M296" s="80"/>
      <c r="N296" s="107"/>
      <c r="O296" s="98"/>
      <c r="P296" s="75"/>
      <c r="Q296" s="100"/>
      <c r="R296" s="93"/>
      <c r="S296" s="75"/>
      <c r="T296" s="75"/>
      <c r="V296" s="84"/>
    </row>
    <row r="297" ht="15.75" customHeight="1">
      <c r="A297" s="70"/>
      <c r="B297" s="116"/>
      <c r="C297" s="117"/>
      <c r="D297" s="75"/>
      <c r="E297" s="118"/>
      <c r="F297" s="118"/>
      <c r="G297" s="75"/>
      <c r="H297" s="117"/>
      <c r="I297" s="75"/>
      <c r="J297" s="75"/>
      <c r="K297" s="123"/>
      <c r="L297" s="124"/>
      <c r="M297" s="80"/>
      <c r="N297" s="107"/>
      <c r="O297" s="98"/>
      <c r="P297" s="75"/>
      <c r="Q297" s="100"/>
      <c r="R297" s="93"/>
      <c r="S297" s="75"/>
      <c r="T297" s="75"/>
      <c r="V297" s="84"/>
    </row>
    <row r="298" ht="15.75" customHeight="1">
      <c r="A298" s="70"/>
      <c r="B298" s="116"/>
      <c r="C298" s="117"/>
      <c r="D298" s="75"/>
      <c r="E298" s="118"/>
      <c r="F298" s="118"/>
      <c r="G298" s="75"/>
      <c r="H298" s="117"/>
      <c r="I298" s="75"/>
      <c r="J298" s="75"/>
      <c r="K298" s="121"/>
      <c r="L298" s="122"/>
      <c r="M298" s="80"/>
      <c r="N298" s="107"/>
      <c r="O298" s="98"/>
      <c r="P298" s="75"/>
      <c r="Q298" s="100"/>
      <c r="R298" s="93"/>
      <c r="S298" s="75"/>
      <c r="T298" s="75"/>
      <c r="V298" s="84"/>
    </row>
    <row r="299" ht="15.75" customHeight="1">
      <c r="A299" s="70"/>
      <c r="B299" s="116"/>
      <c r="C299" s="117"/>
      <c r="D299" s="75"/>
      <c r="E299" s="118"/>
      <c r="F299" s="118"/>
      <c r="G299" s="75"/>
      <c r="H299" s="117"/>
      <c r="I299" s="75"/>
      <c r="J299" s="75"/>
      <c r="K299" s="123"/>
      <c r="L299" s="124"/>
      <c r="M299" s="80"/>
      <c r="N299" s="107"/>
      <c r="O299" s="98"/>
      <c r="P299" s="75"/>
      <c r="Q299" s="100"/>
      <c r="R299" s="93"/>
      <c r="S299" s="75"/>
      <c r="T299" s="75"/>
      <c r="V299" s="84"/>
    </row>
    <row r="300" ht="15.75" customHeight="1">
      <c r="A300" s="70"/>
      <c r="B300" s="116"/>
      <c r="C300" s="117"/>
      <c r="D300" s="75"/>
      <c r="E300" s="118"/>
      <c r="F300" s="118"/>
      <c r="G300" s="75"/>
      <c r="H300" s="117"/>
      <c r="I300" s="75"/>
      <c r="J300" s="75"/>
      <c r="K300" s="121"/>
      <c r="L300" s="122"/>
      <c r="M300" s="80"/>
      <c r="N300" s="107"/>
      <c r="O300" s="98"/>
      <c r="P300" s="75"/>
      <c r="Q300" s="100"/>
      <c r="R300" s="93"/>
      <c r="S300" s="75"/>
      <c r="T300" s="75"/>
      <c r="V300" s="84"/>
    </row>
    <row r="301" ht="15.75" customHeight="1">
      <c r="A301" s="70"/>
      <c r="B301" s="116"/>
      <c r="C301" s="84"/>
      <c r="D301" s="75"/>
      <c r="E301" s="118"/>
      <c r="F301" s="118"/>
      <c r="G301" s="75"/>
      <c r="H301" s="117"/>
      <c r="I301" s="75"/>
      <c r="J301" s="75"/>
      <c r="K301" s="123"/>
      <c r="L301" s="124"/>
      <c r="M301" s="80"/>
      <c r="N301" s="107"/>
      <c r="O301" s="98"/>
      <c r="P301" s="75"/>
      <c r="Q301" s="100"/>
      <c r="R301" s="93"/>
      <c r="S301" s="75"/>
      <c r="T301" s="75"/>
      <c r="V301" s="84"/>
    </row>
    <row r="302" ht="15.75" customHeight="1">
      <c r="A302" s="70"/>
      <c r="B302" s="116"/>
      <c r="C302" s="117"/>
      <c r="D302" s="75"/>
      <c r="E302" s="118"/>
      <c r="F302" s="118"/>
      <c r="G302" s="75"/>
      <c r="H302" s="117"/>
      <c r="I302" s="75"/>
      <c r="J302" s="75"/>
      <c r="K302" s="121"/>
      <c r="L302" s="122"/>
      <c r="M302" s="80"/>
      <c r="N302" s="107"/>
      <c r="O302" s="98"/>
      <c r="P302" s="75"/>
      <c r="Q302" s="100"/>
      <c r="R302" s="93"/>
      <c r="S302" s="75"/>
      <c r="T302" s="75"/>
      <c r="V302" s="84"/>
    </row>
    <row r="303" ht="15.75" customHeight="1">
      <c r="A303" s="70"/>
      <c r="B303" s="116"/>
      <c r="C303" s="117"/>
      <c r="D303" s="75"/>
      <c r="E303" s="118"/>
      <c r="F303" s="118"/>
      <c r="G303" s="75"/>
      <c r="H303" s="117"/>
      <c r="I303" s="75"/>
      <c r="J303" s="75"/>
      <c r="K303" s="123"/>
      <c r="L303" s="124"/>
      <c r="M303" s="80"/>
      <c r="N303" s="107"/>
      <c r="O303" s="98"/>
      <c r="P303" s="75"/>
      <c r="Q303" s="100"/>
      <c r="R303" s="93"/>
      <c r="S303" s="75"/>
      <c r="T303" s="75"/>
      <c r="V303" s="84"/>
    </row>
    <row r="304" ht="15.75" customHeight="1">
      <c r="A304" s="70"/>
      <c r="B304" s="116"/>
      <c r="C304" s="117"/>
      <c r="D304" s="75"/>
      <c r="E304" s="118"/>
      <c r="F304" s="118"/>
      <c r="G304" s="75"/>
      <c r="H304" s="117"/>
      <c r="I304" s="75"/>
      <c r="J304" s="75"/>
      <c r="K304" s="121"/>
      <c r="L304" s="122"/>
      <c r="M304" s="80"/>
      <c r="N304" s="107"/>
      <c r="O304" s="98"/>
      <c r="P304" s="75"/>
      <c r="Q304" s="100"/>
      <c r="R304" s="93"/>
      <c r="S304" s="75"/>
      <c r="T304" s="75"/>
      <c r="V304" s="84"/>
    </row>
    <row r="305" ht="15.75" customHeight="1">
      <c r="A305" s="70"/>
      <c r="B305" s="116"/>
      <c r="C305" s="117"/>
      <c r="D305" s="75"/>
      <c r="E305" s="118"/>
      <c r="F305" s="118"/>
      <c r="G305" s="75"/>
      <c r="H305" s="117"/>
      <c r="I305" s="75"/>
      <c r="J305" s="75"/>
      <c r="K305" s="123"/>
      <c r="L305" s="124"/>
      <c r="M305" s="80"/>
      <c r="N305" s="107"/>
      <c r="O305" s="98"/>
      <c r="P305" s="75"/>
      <c r="Q305" s="100"/>
      <c r="R305" s="93"/>
      <c r="S305" s="75"/>
      <c r="T305" s="75"/>
      <c r="V305" s="84"/>
    </row>
    <row r="306" ht="15.75" customHeight="1">
      <c r="A306" s="70"/>
      <c r="B306" s="116"/>
      <c r="C306" s="117"/>
      <c r="D306" s="75"/>
      <c r="E306" s="118"/>
      <c r="F306" s="118"/>
      <c r="G306" s="75"/>
      <c r="H306" s="117"/>
      <c r="I306" s="75"/>
      <c r="J306" s="75"/>
      <c r="K306" s="121"/>
      <c r="L306" s="122"/>
      <c r="M306" s="80"/>
      <c r="N306" s="107"/>
      <c r="O306" s="98"/>
      <c r="P306" s="75"/>
      <c r="Q306" s="100"/>
      <c r="R306" s="93"/>
      <c r="S306" s="75"/>
      <c r="T306" s="75"/>
      <c r="V306" s="84"/>
    </row>
    <row r="307" ht="15.75" customHeight="1">
      <c r="A307" s="70"/>
      <c r="B307" s="116"/>
      <c r="C307" s="84"/>
      <c r="D307" s="75"/>
      <c r="E307" s="118"/>
      <c r="F307" s="118"/>
      <c r="G307" s="75"/>
      <c r="H307" s="117"/>
      <c r="I307" s="75"/>
      <c r="J307" s="75"/>
      <c r="K307" s="123"/>
      <c r="L307" s="124"/>
      <c r="M307" s="80"/>
      <c r="N307" s="107"/>
      <c r="O307" s="98"/>
      <c r="P307" s="75"/>
      <c r="Q307" s="100"/>
      <c r="R307" s="93"/>
      <c r="S307" s="75"/>
      <c r="T307" s="75"/>
      <c r="V307" s="84"/>
    </row>
    <row r="308" ht="15.75" customHeight="1">
      <c r="A308" s="70"/>
      <c r="B308" s="116"/>
      <c r="C308" s="117"/>
      <c r="D308" s="75"/>
      <c r="E308" s="118"/>
      <c r="F308" s="118"/>
      <c r="G308" s="75"/>
      <c r="H308" s="117"/>
      <c r="I308" s="75"/>
      <c r="J308" s="75"/>
      <c r="K308" s="121"/>
      <c r="L308" s="122"/>
      <c r="M308" s="80"/>
      <c r="N308" s="107"/>
      <c r="O308" s="98"/>
      <c r="P308" s="75"/>
      <c r="Q308" s="100"/>
      <c r="R308" s="93"/>
      <c r="S308" s="75"/>
      <c r="T308" s="75"/>
      <c r="V308" s="84"/>
    </row>
    <row r="309" ht="15.75" customHeight="1">
      <c r="A309" s="70"/>
      <c r="B309" s="116"/>
      <c r="C309" s="117"/>
      <c r="D309" s="75"/>
      <c r="E309" s="118"/>
      <c r="F309" s="118"/>
      <c r="G309" s="75"/>
      <c r="H309" s="117"/>
      <c r="I309" s="75"/>
      <c r="J309" s="75"/>
      <c r="K309" s="123"/>
      <c r="L309" s="124"/>
      <c r="M309" s="80"/>
      <c r="N309" s="107"/>
      <c r="O309" s="98"/>
      <c r="P309" s="75"/>
      <c r="Q309" s="100"/>
      <c r="R309" s="93"/>
      <c r="S309" s="75"/>
      <c r="T309" s="75"/>
      <c r="V309" s="84"/>
    </row>
    <row r="310" ht="15.75" customHeight="1">
      <c r="A310" s="70"/>
      <c r="B310" s="116"/>
      <c r="C310" s="117"/>
      <c r="D310" s="75"/>
      <c r="E310" s="118"/>
      <c r="F310" s="118"/>
      <c r="G310" s="75"/>
      <c r="H310" s="117"/>
      <c r="I310" s="75"/>
      <c r="J310" s="75"/>
      <c r="K310" s="121"/>
      <c r="L310" s="122"/>
      <c r="M310" s="80"/>
      <c r="N310" s="107"/>
      <c r="O310" s="98"/>
      <c r="P310" s="75"/>
      <c r="Q310" s="100"/>
      <c r="R310" s="93"/>
      <c r="S310" s="75"/>
      <c r="T310" s="75"/>
      <c r="V310" s="84"/>
    </row>
    <row r="311" ht="15.75" customHeight="1">
      <c r="A311" s="70"/>
      <c r="B311" s="116"/>
      <c r="C311" s="117"/>
      <c r="D311" s="75"/>
      <c r="E311" s="118"/>
      <c r="F311" s="118"/>
      <c r="G311" s="75"/>
      <c r="H311" s="117"/>
      <c r="I311" s="75"/>
      <c r="J311" s="75"/>
      <c r="K311" s="123"/>
      <c r="L311" s="124"/>
      <c r="M311" s="80"/>
      <c r="N311" s="107"/>
      <c r="O311" s="98"/>
      <c r="P311" s="75"/>
      <c r="Q311" s="100"/>
      <c r="R311" s="93"/>
      <c r="S311" s="75"/>
      <c r="T311" s="75"/>
      <c r="V311" s="84"/>
    </row>
    <row r="312" ht="15.75" customHeight="1">
      <c r="A312" s="70"/>
      <c r="B312" s="116"/>
      <c r="C312" s="117"/>
      <c r="D312" s="75"/>
      <c r="E312" s="118"/>
      <c r="F312" s="118"/>
      <c r="G312" s="75"/>
      <c r="H312" s="117"/>
      <c r="I312" s="75"/>
      <c r="J312" s="75"/>
      <c r="K312" s="121"/>
      <c r="L312" s="122"/>
      <c r="M312" s="80"/>
      <c r="N312" s="107"/>
      <c r="O312" s="98"/>
      <c r="P312" s="75"/>
      <c r="Q312" s="100"/>
      <c r="R312" s="93"/>
      <c r="S312" s="75"/>
      <c r="T312" s="75"/>
      <c r="V312" s="84"/>
    </row>
    <row r="313" ht="15.75" customHeight="1">
      <c r="A313" s="70"/>
      <c r="B313" s="116"/>
      <c r="C313" s="84"/>
      <c r="D313" s="75"/>
      <c r="E313" s="118"/>
      <c r="F313" s="118"/>
      <c r="G313" s="75"/>
      <c r="H313" s="117"/>
      <c r="I313" s="75"/>
      <c r="J313" s="75"/>
      <c r="K313" s="123"/>
      <c r="L313" s="124"/>
      <c r="M313" s="80"/>
      <c r="N313" s="107"/>
      <c r="O313" s="98"/>
      <c r="P313" s="75"/>
      <c r="Q313" s="100"/>
      <c r="R313" s="93"/>
      <c r="S313" s="75"/>
      <c r="T313" s="75"/>
      <c r="V313" s="84"/>
    </row>
    <row r="314" ht="15.75" customHeight="1">
      <c r="A314" s="70"/>
      <c r="B314" s="116"/>
      <c r="C314" s="117"/>
      <c r="D314" s="75"/>
      <c r="E314" s="118"/>
      <c r="F314" s="118"/>
      <c r="G314" s="75"/>
      <c r="H314" s="117"/>
      <c r="I314" s="75"/>
      <c r="J314" s="75"/>
      <c r="K314" s="121"/>
      <c r="L314" s="122"/>
      <c r="M314" s="80"/>
      <c r="N314" s="107"/>
      <c r="O314" s="98"/>
      <c r="P314" s="75"/>
      <c r="Q314" s="100"/>
      <c r="R314" s="93"/>
      <c r="S314" s="75"/>
      <c r="T314" s="75"/>
      <c r="V314" s="84"/>
    </row>
    <row r="315" ht="15.75" customHeight="1">
      <c r="A315" s="70"/>
      <c r="B315" s="116"/>
      <c r="C315" s="117"/>
      <c r="D315" s="75"/>
      <c r="E315" s="118"/>
      <c r="F315" s="118"/>
      <c r="G315" s="75"/>
      <c r="H315" s="117"/>
      <c r="I315" s="75"/>
      <c r="J315" s="75"/>
      <c r="K315" s="123"/>
      <c r="L315" s="124"/>
      <c r="M315" s="80"/>
      <c r="N315" s="107"/>
      <c r="O315" s="98"/>
      <c r="P315" s="75"/>
      <c r="Q315" s="100"/>
      <c r="R315" s="93"/>
      <c r="S315" s="75"/>
      <c r="T315" s="75"/>
      <c r="V315" s="84"/>
    </row>
    <row r="316" ht="15.75" customHeight="1">
      <c r="A316" s="70"/>
      <c r="B316" s="116"/>
      <c r="C316" s="117"/>
      <c r="D316" s="75"/>
      <c r="E316" s="118"/>
      <c r="F316" s="118"/>
      <c r="G316" s="75"/>
      <c r="H316" s="117"/>
      <c r="I316" s="75"/>
      <c r="J316" s="75"/>
      <c r="K316" s="121"/>
      <c r="L316" s="122"/>
      <c r="M316" s="80"/>
      <c r="N316" s="107"/>
      <c r="O316" s="98"/>
      <c r="P316" s="75"/>
      <c r="Q316" s="100"/>
      <c r="R316" s="93"/>
      <c r="S316" s="75"/>
      <c r="T316" s="75"/>
      <c r="V316" s="84"/>
    </row>
    <row r="317" ht="15.75" customHeight="1">
      <c r="A317" s="70"/>
      <c r="B317" s="116"/>
      <c r="C317" s="117"/>
      <c r="D317" s="75"/>
      <c r="E317" s="118"/>
      <c r="F317" s="118"/>
      <c r="G317" s="75"/>
      <c r="H317" s="117"/>
      <c r="I317" s="75"/>
      <c r="J317" s="75"/>
      <c r="K317" s="123"/>
      <c r="L317" s="124"/>
      <c r="M317" s="80"/>
      <c r="N317" s="107"/>
      <c r="O317" s="98"/>
      <c r="P317" s="75"/>
      <c r="Q317" s="100"/>
      <c r="R317" s="93"/>
      <c r="S317" s="75"/>
      <c r="T317" s="75"/>
      <c r="V317" s="84"/>
    </row>
    <row r="318" ht="15.75" customHeight="1">
      <c r="A318" s="70"/>
      <c r="B318" s="116"/>
      <c r="C318" s="117"/>
      <c r="D318" s="75"/>
      <c r="E318" s="118"/>
      <c r="F318" s="118"/>
      <c r="G318" s="75"/>
      <c r="H318" s="117"/>
      <c r="I318" s="75"/>
      <c r="J318" s="75"/>
      <c r="K318" s="121"/>
      <c r="L318" s="122"/>
      <c r="M318" s="80"/>
      <c r="N318" s="107"/>
      <c r="O318" s="98"/>
      <c r="P318" s="75"/>
      <c r="Q318" s="100"/>
      <c r="R318" s="93"/>
      <c r="S318" s="75"/>
      <c r="T318" s="75"/>
      <c r="V318" s="84"/>
    </row>
    <row r="319" ht="15.75" customHeight="1">
      <c r="A319" s="70"/>
      <c r="B319" s="116"/>
      <c r="C319" s="84"/>
      <c r="D319" s="75"/>
      <c r="E319" s="118"/>
      <c r="F319" s="118"/>
      <c r="G319" s="75"/>
      <c r="H319" s="117"/>
      <c r="I319" s="75"/>
      <c r="J319" s="75"/>
      <c r="K319" s="123"/>
      <c r="L319" s="124"/>
      <c r="M319" s="80"/>
      <c r="N319" s="107"/>
      <c r="O319" s="98"/>
      <c r="P319" s="75"/>
      <c r="Q319" s="100"/>
      <c r="R319" s="93"/>
      <c r="S319" s="75"/>
      <c r="T319" s="75"/>
      <c r="V319" s="84"/>
    </row>
    <row r="320" ht="15.75" customHeight="1">
      <c r="A320" s="70"/>
      <c r="B320" s="116"/>
      <c r="C320" s="117"/>
      <c r="D320" s="75"/>
      <c r="E320" s="118"/>
      <c r="F320" s="118"/>
      <c r="G320" s="75"/>
      <c r="H320" s="117"/>
      <c r="I320" s="75"/>
      <c r="J320" s="75"/>
      <c r="K320" s="121"/>
      <c r="L320" s="122"/>
      <c r="M320" s="80"/>
      <c r="N320" s="107"/>
      <c r="O320" s="98"/>
      <c r="P320" s="75"/>
      <c r="Q320" s="100"/>
      <c r="R320" s="93"/>
      <c r="S320" s="75"/>
      <c r="T320" s="75"/>
      <c r="V320" s="84"/>
    </row>
    <row r="321" ht="15.75" customHeight="1">
      <c r="A321" s="70"/>
      <c r="B321" s="116"/>
      <c r="C321" s="117"/>
      <c r="D321" s="75"/>
      <c r="E321" s="118"/>
      <c r="F321" s="118"/>
      <c r="G321" s="75"/>
      <c r="H321" s="117"/>
      <c r="I321" s="75"/>
      <c r="J321" s="75"/>
      <c r="K321" s="123"/>
      <c r="L321" s="124"/>
      <c r="M321" s="80"/>
      <c r="N321" s="107"/>
      <c r="O321" s="98"/>
      <c r="P321" s="75"/>
      <c r="Q321" s="100"/>
      <c r="R321" s="93"/>
      <c r="S321" s="75"/>
      <c r="T321" s="75"/>
      <c r="V321" s="84"/>
    </row>
    <row r="322" ht="15.75" customHeight="1">
      <c r="A322" s="70"/>
      <c r="B322" s="116"/>
      <c r="C322" s="117"/>
      <c r="D322" s="75"/>
      <c r="E322" s="118"/>
      <c r="F322" s="118"/>
      <c r="G322" s="75"/>
      <c r="H322" s="117"/>
      <c r="I322" s="75"/>
      <c r="J322" s="75"/>
      <c r="K322" s="121"/>
      <c r="L322" s="122"/>
      <c r="M322" s="80"/>
      <c r="N322" s="107"/>
      <c r="O322" s="98"/>
      <c r="P322" s="75"/>
      <c r="Q322" s="100"/>
      <c r="R322" s="93"/>
      <c r="S322" s="75"/>
      <c r="T322" s="75"/>
      <c r="V322" s="84"/>
    </row>
    <row r="323" ht="15.75" customHeight="1">
      <c r="A323" s="70"/>
      <c r="B323" s="116"/>
      <c r="C323" s="117"/>
      <c r="D323" s="75"/>
      <c r="E323" s="118"/>
      <c r="F323" s="118"/>
      <c r="G323" s="75"/>
      <c r="H323" s="117"/>
      <c r="I323" s="75"/>
      <c r="J323" s="75"/>
      <c r="K323" s="123"/>
      <c r="L323" s="124"/>
      <c r="M323" s="80"/>
      <c r="N323" s="107"/>
      <c r="O323" s="98"/>
      <c r="P323" s="75"/>
      <c r="Q323" s="100"/>
      <c r="R323" s="93"/>
      <c r="S323" s="75"/>
      <c r="T323" s="75"/>
      <c r="V323" s="84"/>
    </row>
    <row r="324" ht="15.75" customHeight="1">
      <c r="A324" s="70"/>
      <c r="B324" s="116"/>
      <c r="C324" s="117"/>
      <c r="D324" s="75"/>
      <c r="E324" s="118"/>
      <c r="F324" s="118"/>
      <c r="G324" s="75"/>
      <c r="H324" s="117"/>
      <c r="I324" s="75"/>
      <c r="J324" s="75"/>
      <c r="K324" s="121"/>
      <c r="L324" s="122"/>
      <c r="M324" s="80"/>
      <c r="N324" s="107"/>
      <c r="O324" s="98"/>
      <c r="P324" s="75"/>
      <c r="Q324" s="100"/>
      <c r="R324" s="93"/>
      <c r="S324" s="75"/>
      <c r="T324" s="75"/>
      <c r="V324" s="84"/>
    </row>
    <row r="325" ht="15.75" customHeight="1">
      <c r="A325" s="70"/>
      <c r="B325" s="116"/>
      <c r="C325" s="84"/>
      <c r="D325" s="75"/>
      <c r="E325" s="118"/>
      <c r="F325" s="118"/>
      <c r="G325" s="75"/>
      <c r="H325" s="117"/>
      <c r="I325" s="75"/>
      <c r="J325" s="75"/>
      <c r="K325" s="123"/>
      <c r="L325" s="124"/>
      <c r="M325" s="80"/>
      <c r="N325" s="107"/>
      <c r="O325" s="98"/>
      <c r="P325" s="75"/>
      <c r="Q325" s="100"/>
      <c r="R325" s="93"/>
      <c r="S325" s="75"/>
      <c r="T325" s="75"/>
      <c r="V325" s="84"/>
    </row>
    <row r="326" ht="15.75" customHeight="1">
      <c r="A326" s="70"/>
      <c r="B326" s="116"/>
      <c r="C326" s="117"/>
      <c r="D326" s="75"/>
      <c r="E326" s="118"/>
      <c r="F326" s="118"/>
      <c r="G326" s="75"/>
      <c r="H326" s="117"/>
      <c r="I326" s="75"/>
      <c r="J326" s="75"/>
      <c r="K326" s="121"/>
      <c r="L326" s="122"/>
      <c r="M326" s="80"/>
      <c r="N326" s="107"/>
      <c r="O326" s="98"/>
      <c r="P326" s="75"/>
      <c r="Q326" s="100"/>
      <c r="R326" s="93"/>
      <c r="S326" s="75"/>
      <c r="T326" s="75"/>
      <c r="V326" s="84"/>
    </row>
    <row r="327" ht="15.75" customHeight="1">
      <c r="A327" s="70"/>
      <c r="B327" s="116"/>
      <c r="C327" s="117"/>
      <c r="D327" s="75"/>
      <c r="E327" s="118"/>
      <c r="F327" s="118"/>
      <c r="G327" s="75"/>
      <c r="H327" s="117"/>
      <c r="I327" s="75"/>
      <c r="J327" s="75"/>
      <c r="K327" s="123"/>
      <c r="L327" s="124"/>
      <c r="M327" s="80"/>
      <c r="N327" s="107"/>
      <c r="O327" s="98"/>
      <c r="P327" s="75"/>
      <c r="Q327" s="100"/>
      <c r="R327" s="93"/>
      <c r="S327" s="75"/>
      <c r="T327" s="75"/>
      <c r="V327" s="84"/>
    </row>
    <row r="328" ht="15.75" customHeight="1">
      <c r="A328" s="70"/>
      <c r="B328" s="116"/>
      <c r="C328" s="117"/>
      <c r="D328" s="75"/>
      <c r="E328" s="118"/>
      <c r="F328" s="118"/>
      <c r="G328" s="75"/>
      <c r="H328" s="117"/>
      <c r="I328" s="75"/>
      <c r="J328" s="75"/>
      <c r="K328" s="125"/>
      <c r="L328" s="126"/>
      <c r="M328" s="80"/>
      <c r="N328" s="107"/>
      <c r="O328" s="98"/>
      <c r="P328" s="75"/>
      <c r="Q328" s="100"/>
      <c r="R328" s="93"/>
      <c r="S328" s="75"/>
      <c r="T328" s="75"/>
      <c r="V328" s="84"/>
    </row>
    <row r="329" ht="15.75" customHeight="1">
      <c r="A329" s="70"/>
      <c r="B329" s="116"/>
      <c r="C329" s="117"/>
      <c r="D329" s="75"/>
      <c r="E329" s="118"/>
      <c r="F329" s="118"/>
      <c r="G329" s="75"/>
      <c r="H329" s="117"/>
      <c r="I329" s="75"/>
      <c r="J329" s="75"/>
      <c r="K329" s="125"/>
      <c r="L329" s="126"/>
      <c r="M329" s="80"/>
      <c r="N329" s="107"/>
      <c r="O329" s="98"/>
      <c r="P329" s="75"/>
      <c r="Q329" s="100"/>
      <c r="R329" s="93"/>
      <c r="S329" s="75"/>
      <c r="T329" s="75"/>
      <c r="V329" s="84"/>
    </row>
    <row r="330" ht="15.75" customHeight="1">
      <c r="A330" s="70"/>
      <c r="B330" s="116"/>
      <c r="C330" s="117"/>
      <c r="D330" s="75"/>
      <c r="E330" s="118"/>
      <c r="F330" s="118"/>
      <c r="G330" s="75"/>
      <c r="H330" s="117"/>
      <c r="I330" s="75"/>
      <c r="J330" s="75"/>
      <c r="K330" s="125"/>
      <c r="L330" s="126"/>
      <c r="M330" s="80"/>
      <c r="N330" s="107"/>
      <c r="O330" s="98"/>
      <c r="P330" s="75"/>
      <c r="Q330" s="100"/>
      <c r="R330" s="93"/>
      <c r="S330" s="75"/>
      <c r="T330" s="75"/>
      <c r="V330" s="84"/>
    </row>
    <row r="331" ht="15.75" customHeight="1">
      <c r="A331" s="70"/>
      <c r="B331" s="116"/>
      <c r="C331" s="84"/>
      <c r="D331" s="75"/>
      <c r="E331" s="118"/>
      <c r="F331" s="118"/>
      <c r="G331" s="75"/>
      <c r="H331" s="117"/>
      <c r="I331" s="75"/>
      <c r="J331" s="75"/>
      <c r="K331" s="125"/>
      <c r="L331" s="126"/>
      <c r="M331" s="80"/>
      <c r="N331" s="107"/>
      <c r="O331" s="98"/>
      <c r="P331" s="75"/>
      <c r="Q331" s="100"/>
      <c r="R331" s="93"/>
      <c r="S331" s="75"/>
      <c r="T331" s="75"/>
      <c r="V331" s="84"/>
    </row>
    <row r="332" ht="15.75" customHeight="1">
      <c r="A332" s="70"/>
      <c r="B332" s="116"/>
      <c r="C332" s="117"/>
      <c r="D332" s="75"/>
      <c r="E332" s="118"/>
      <c r="F332" s="118"/>
      <c r="G332" s="75"/>
      <c r="H332" s="117"/>
      <c r="I332" s="75"/>
      <c r="J332" s="75"/>
      <c r="K332" s="125"/>
      <c r="L332" s="126"/>
      <c r="M332" s="80"/>
      <c r="N332" s="107"/>
      <c r="O332" s="98"/>
      <c r="P332" s="75"/>
      <c r="Q332" s="100"/>
      <c r="R332" s="93"/>
      <c r="S332" s="75"/>
      <c r="T332" s="75"/>
      <c r="V332" s="84"/>
    </row>
    <row r="333" ht="15.75" customHeight="1">
      <c r="A333" s="70"/>
      <c r="B333" s="116"/>
      <c r="C333" s="117"/>
      <c r="D333" s="75"/>
      <c r="E333" s="118"/>
      <c r="F333" s="118"/>
      <c r="G333" s="75"/>
      <c r="H333" s="117"/>
      <c r="I333" s="75"/>
      <c r="J333" s="75"/>
      <c r="K333" s="125"/>
      <c r="L333" s="126"/>
      <c r="M333" s="80"/>
      <c r="N333" s="107"/>
      <c r="O333" s="98"/>
      <c r="P333" s="75"/>
      <c r="Q333" s="100"/>
      <c r="R333" s="93"/>
      <c r="S333" s="75"/>
      <c r="T333" s="75"/>
      <c r="V333" s="84"/>
    </row>
    <row r="334" ht="15.75" customHeight="1">
      <c r="A334" s="70"/>
      <c r="B334" s="116"/>
      <c r="C334" s="117"/>
      <c r="D334" s="75"/>
      <c r="E334" s="118"/>
      <c r="F334" s="118"/>
      <c r="G334" s="75"/>
      <c r="H334" s="117"/>
      <c r="I334" s="75"/>
      <c r="J334" s="75"/>
      <c r="K334" s="125"/>
      <c r="L334" s="126"/>
      <c r="M334" s="80"/>
      <c r="N334" s="107"/>
      <c r="O334" s="98"/>
      <c r="P334" s="75"/>
      <c r="Q334" s="100"/>
      <c r="R334" s="93"/>
      <c r="S334" s="75"/>
      <c r="T334" s="75"/>
      <c r="V334" s="84"/>
    </row>
    <row r="335" ht="15.75" customHeight="1">
      <c r="A335" s="70"/>
      <c r="B335" s="116"/>
      <c r="C335" s="117"/>
      <c r="D335" s="75"/>
      <c r="E335" s="118"/>
      <c r="F335" s="118"/>
      <c r="G335" s="75"/>
      <c r="H335" s="117"/>
      <c r="I335" s="75"/>
      <c r="J335" s="75"/>
      <c r="K335" s="125"/>
      <c r="L335" s="126"/>
      <c r="M335" s="80"/>
      <c r="N335" s="107"/>
      <c r="O335" s="98"/>
      <c r="P335" s="75"/>
      <c r="Q335" s="100"/>
      <c r="R335" s="93"/>
      <c r="S335" s="75"/>
      <c r="T335" s="75"/>
      <c r="V335" s="84"/>
    </row>
    <row r="336" ht="15.75" customHeight="1">
      <c r="A336" s="70"/>
      <c r="B336" s="116"/>
      <c r="C336" s="117"/>
      <c r="D336" s="75"/>
      <c r="E336" s="118"/>
      <c r="F336" s="118"/>
      <c r="G336" s="75"/>
      <c r="H336" s="117"/>
      <c r="I336" s="75"/>
      <c r="J336" s="75"/>
      <c r="K336" s="125"/>
      <c r="L336" s="126"/>
      <c r="M336" s="80"/>
      <c r="N336" s="107"/>
      <c r="O336" s="98"/>
      <c r="P336" s="75"/>
      <c r="Q336" s="100"/>
      <c r="R336" s="93"/>
      <c r="S336" s="75"/>
      <c r="T336" s="75"/>
      <c r="V336" s="84"/>
    </row>
    <row r="337" ht="15.75" customHeight="1">
      <c r="A337" s="70"/>
      <c r="B337" s="116"/>
      <c r="C337" s="84"/>
      <c r="D337" s="75"/>
      <c r="E337" s="118"/>
      <c r="F337" s="118"/>
      <c r="G337" s="75"/>
      <c r="H337" s="117"/>
      <c r="I337" s="75"/>
      <c r="J337" s="75"/>
      <c r="K337" s="125"/>
      <c r="L337" s="126"/>
      <c r="M337" s="80"/>
      <c r="N337" s="107"/>
      <c r="O337" s="98"/>
      <c r="P337" s="75"/>
      <c r="Q337" s="100"/>
      <c r="R337" s="93"/>
      <c r="S337" s="75"/>
      <c r="T337" s="75"/>
      <c r="V337" s="84"/>
    </row>
    <row r="338" ht="15.75" customHeight="1">
      <c r="A338" s="70"/>
      <c r="B338" s="116"/>
      <c r="C338" s="117"/>
      <c r="D338" s="75"/>
      <c r="E338" s="118"/>
      <c r="F338" s="118"/>
      <c r="G338" s="75"/>
      <c r="H338" s="117"/>
      <c r="I338" s="75"/>
      <c r="J338" s="75"/>
      <c r="K338" s="125"/>
      <c r="L338" s="126"/>
      <c r="M338" s="80"/>
      <c r="N338" s="107"/>
      <c r="O338" s="98"/>
      <c r="P338" s="75"/>
      <c r="Q338" s="100"/>
      <c r="R338" s="93"/>
      <c r="S338" s="75"/>
      <c r="T338" s="75"/>
      <c r="V338" s="84"/>
    </row>
    <row r="339" ht="15.75" customHeight="1">
      <c r="A339" s="70"/>
      <c r="B339" s="116"/>
      <c r="C339" s="117"/>
      <c r="D339" s="75"/>
      <c r="E339" s="118"/>
      <c r="F339" s="118"/>
      <c r="G339" s="75"/>
      <c r="H339" s="117"/>
      <c r="I339" s="75"/>
      <c r="J339" s="75"/>
      <c r="K339" s="125"/>
      <c r="L339" s="126"/>
      <c r="M339" s="80"/>
      <c r="N339" s="107"/>
      <c r="O339" s="98"/>
      <c r="P339" s="75"/>
      <c r="Q339" s="100"/>
      <c r="R339" s="93"/>
      <c r="S339" s="75"/>
      <c r="T339" s="75"/>
      <c r="V339" s="84"/>
    </row>
    <row r="340" ht="15.75" customHeight="1">
      <c r="A340" s="70"/>
      <c r="B340" s="116"/>
      <c r="C340" s="117"/>
      <c r="D340" s="75"/>
      <c r="E340" s="118"/>
      <c r="F340" s="118"/>
      <c r="G340" s="75"/>
      <c r="H340" s="117"/>
      <c r="I340" s="75"/>
      <c r="J340" s="75"/>
      <c r="K340" s="125"/>
      <c r="L340" s="126"/>
      <c r="M340" s="80"/>
      <c r="N340" s="107"/>
      <c r="O340" s="98"/>
      <c r="P340" s="75"/>
      <c r="Q340" s="100"/>
      <c r="R340" s="93"/>
      <c r="S340" s="75"/>
      <c r="T340" s="75"/>
      <c r="V340" s="84"/>
    </row>
    <row r="341" ht="15.75" customHeight="1">
      <c r="A341" s="70"/>
      <c r="B341" s="116"/>
      <c r="C341" s="117"/>
      <c r="D341" s="75"/>
      <c r="E341" s="118"/>
      <c r="F341" s="118"/>
      <c r="G341" s="75"/>
      <c r="H341" s="117"/>
      <c r="I341" s="75"/>
      <c r="J341" s="75"/>
      <c r="K341" s="125"/>
      <c r="L341" s="126"/>
      <c r="M341" s="80"/>
      <c r="N341" s="107"/>
      <c r="O341" s="98"/>
      <c r="P341" s="75"/>
      <c r="Q341" s="100"/>
      <c r="R341" s="93"/>
      <c r="S341" s="75"/>
      <c r="T341" s="75"/>
      <c r="V341" s="84"/>
    </row>
    <row r="342" ht="15.75" customHeight="1">
      <c r="A342" s="70"/>
      <c r="B342" s="116"/>
      <c r="C342" s="117"/>
      <c r="D342" s="75"/>
      <c r="E342" s="118"/>
      <c r="F342" s="118"/>
      <c r="G342" s="75"/>
      <c r="H342" s="117"/>
      <c r="I342" s="75"/>
      <c r="J342" s="75"/>
      <c r="K342" s="125"/>
      <c r="L342" s="126"/>
      <c r="M342" s="80"/>
      <c r="N342" s="107"/>
      <c r="O342" s="98"/>
      <c r="P342" s="75"/>
      <c r="Q342" s="100"/>
      <c r="R342" s="93"/>
      <c r="S342" s="75"/>
      <c r="T342" s="75"/>
      <c r="V342" s="84"/>
    </row>
    <row r="343" ht="15.75" customHeight="1">
      <c r="A343" s="70"/>
      <c r="B343" s="116"/>
      <c r="C343" s="84"/>
      <c r="D343" s="75"/>
      <c r="E343" s="118"/>
      <c r="F343" s="118"/>
      <c r="G343" s="75"/>
      <c r="H343" s="117"/>
      <c r="I343" s="75"/>
      <c r="J343" s="75"/>
      <c r="K343" s="125"/>
      <c r="L343" s="126"/>
      <c r="M343" s="80"/>
      <c r="N343" s="107"/>
      <c r="O343" s="98"/>
      <c r="P343" s="75"/>
      <c r="Q343" s="100"/>
      <c r="R343" s="93"/>
      <c r="S343" s="75"/>
      <c r="T343" s="75"/>
      <c r="V343" s="84"/>
    </row>
    <row r="344" ht="15.75" customHeight="1">
      <c r="A344" s="70"/>
      <c r="B344" s="116"/>
      <c r="C344" s="117"/>
      <c r="D344" s="75"/>
      <c r="E344" s="118"/>
      <c r="F344" s="118"/>
      <c r="G344" s="75"/>
      <c r="H344" s="117"/>
      <c r="I344" s="75"/>
      <c r="J344" s="75"/>
      <c r="K344" s="125"/>
      <c r="L344" s="126"/>
      <c r="M344" s="80"/>
      <c r="N344" s="107"/>
      <c r="O344" s="98"/>
      <c r="P344" s="75"/>
      <c r="Q344" s="100"/>
      <c r="R344" s="93"/>
      <c r="S344" s="75"/>
      <c r="T344" s="75"/>
      <c r="V344" s="84"/>
    </row>
    <row r="345" ht="15.75" customHeight="1">
      <c r="A345" s="70"/>
      <c r="B345" s="116"/>
      <c r="C345" s="117"/>
      <c r="D345" s="75"/>
      <c r="E345" s="118"/>
      <c r="F345" s="118"/>
      <c r="G345" s="75"/>
      <c r="H345" s="117"/>
      <c r="I345" s="75"/>
      <c r="J345" s="75"/>
      <c r="K345" s="125"/>
      <c r="L345" s="126"/>
      <c r="M345" s="80"/>
      <c r="N345" s="107"/>
      <c r="O345" s="98"/>
      <c r="P345" s="75"/>
      <c r="Q345" s="100"/>
      <c r="R345" s="93"/>
      <c r="S345" s="75"/>
      <c r="T345" s="75"/>
      <c r="V345" s="84"/>
    </row>
    <row r="346" ht="15.75" customHeight="1">
      <c r="A346" s="70"/>
      <c r="B346" s="116"/>
      <c r="C346" s="117"/>
      <c r="D346" s="75"/>
      <c r="E346" s="118"/>
      <c r="F346" s="118"/>
      <c r="G346" s="75"/>
      <c r="H346" s="117"/>
      <c r="I346" s="75"/>
      <c r="J346" s="75"/>
      <c r="K346" s="125"/>
      <c r="L346" s="126"/>
      <c r="M346" s="80"/>
      <c r="N346" s="107"/>
      <c r="O346" s="98"/>
      <c r="P346" s="75"/>
      <c r="Q346" s="100"/>
      <c r="R346" s="93"/>
      <c r="S346" s="75"/>
      <c r="T346" s="75"/>
      <c r="V346" s="84"/>
    </row>
    <row r="347" ht="15.75" customHeight="1">
      <c r="A347" s="70"/>
      <c r="B347" s="116"/>
      <c r="C347" s="117"/>
      <c r="D347" s="75"/>
      <c r="E347" s="118"/>
      <c r="F347" s="118"/>
      <c r="G347" s="75"/>
      <c r="H347" s="117"/>
      <c r="I347" s="75"/>
      <c r="J347" s="75"/>
      <c r="K347" s="125"/>
      <c r="L347" s="126"/>
      <c r="M347" s="80"/>
      <c r="N347" s="107"/>
      <c r="O347" s="98"/>
      <c r="P347" s="75"/>
      <c r="Q347" s="100"/>
      <c r="R347" s="93"/>
      <c r="S347" s="75"/>
      <c r="T347" s="75"/>
      <c r="V347" s="84"/>
    </row>
    <row r="348" ht="15.75" customHeight="1">
      <c r="A348" s="70"/>
      <c r="B348" s="116"/>
      <c r="C348" s="117"/>
      <c r="D348" s="75"/>
      <c r="E348" s="118"/>
      <c r="F348" s="118"/>
      <c r="G348" s="75"/>
      <c r="H348" s="117"/>
      <c r="I348" s="75"/>
      <c r="J348" s="75"/>
      <c r="K348" s="125"/>
      <c r="L348" s="126"/>
      <c r="M348" s="80"/>
      <c r="N348" s="107"/>
      <c r="O348" s="98"/>
      <c r="P348" s="75"/>
      <c r="Q348" s="100"/>
      <c r="R348" s="93"/>
      <c r="S348" s="75"/>
      <c r="T348" s="75"/>
      <c r="V348" s="84"/>
    </row>
    <row r="349" ht="15.75" customHeight="1">
      <c r="A349" s="70"/>
      <c r="B349" s="116"/>
      <c r="C349" s="84"/>
      <c r="D349" s="75"/>
      <c r="E349" s="118"/>
      <c r="F349" s="118"/>
      <c r="G349" s="75"/>
      <c r="H349" s="117"/>
      <c r="I349" s="75"/>
      <c r="J349" s="75"/>
      <c r="K349" s="125"/>
      <c r="L349" s="126"/>
      <c r="M349" s="80"/>
      <c r="N349" s="107"/>
      <c r="O349" s="98"/>
      <c r="P349" s="75"/>
      <c r="Q349" s="100"/>
      <c r="R349" s="93"/>
      <c r="S349" s="75"/>
      <c r="T349" s="75"/>
      <c r="V349" s="84"/>
    </row>
    <row r="350" ht="15.75" customHeight="1">
      <c r="A350" s="70"/>
      <c r="B350" s="116"/>
      <c r="C350" s="117"/>
      <c r="D350" s="75"/>
      <c r="E350" s="118"/>
      <c r="F350" s="118"/>
      <c r="G350" s="75"/>
      <c r="H350" s="117"/>
      <c r="I350" s="75"/>
      <c r="J350" s="75"/>
      <c r="K350" s="125"/>
      <c r="L350" s="126"/>
      <c r="M350" s="80"/>
      <c r="N350" s="107"/>
      <c r="O350" s="98"/>
      <c r="P350" s="75"/>
      <c r="Q350" s="100"/>
      <c r="R350" s="93"/>
      <c r="S350" s="75"/>
      <c r="T350" s="75"/>
      <c r="V350" s="84"/>
    </row>
    <row r="351" ht="15.75" customHeight="1">
      <c r="A351" s="70"/>
      <c r="B351" s="116"/>
      <c r="C351" s="117"/>
      <c r="D351" s="75"/>
      <c r="E351" s="118"/>
      <c r="F351" s="118"/>
      <c r="G351" s="75"/>
      <c r="H351" s="117"/>
      <c r="I351" s="75"/>
      <c r="J351" s="75"/>
      <c r="K351" s="125"/>
      <c r="L351" s="126"/>
      <c r="M351" s="80"/>
      <c r="N351" s="107"/>
      <c r="O351" s="98"/>
      <c r="P351" s="75"/>
      <c r="Q351" s="100"/>
      <c r="R351" s="93"/>
      <c r="S351" s="75"/>
      <c r="T351" s="75"/>
      <c r="V351" s="84"/>
    </row>
    <row r="352" ht="15.75" customHeight="1">
      <c r="A352" s="70"/>
      <c r="B352" s="116"/>
      <c r="C352" s="117"/>
      <c r="D352" s="75"/>
      <c r="E352" s="118"/>
      <c r="F352" s="118"/>
      <c r="G352" s="75"/>
      <c r="H352" s="117"/>
      <c r="I352" s="75"/>
      <c r="J352" s="75"/>
      <c r="K352" s="125"/>
      <c r="L352" s="126"/>
      <c r="M352" s="80"/>
      <c r="N352" s="107"/>
      <c r="O352" s="98"/>
      <c r="P352" s="75"/>
      <c r="Q352" s="100"/>
      <c r="R352" s="93"/>
      <c r="S352" s="75"/>
      <c r="T352" s="75"/>
      <c r="V352" s="84"/>
    </row>
    <row r="353" ht="15.75" customHeight="1">
      <c r="A353" s="70"/>
      <c r="B353" s="116"/>
      <c r="C353" s="117"/>
      <c r="D353" s="75"/>
      <c r="E353" s="118"/>
      <c r="F353" s="118"/>
      <c r="G353" s="75"/>
      <c r="H353" s="117"/>
      <c r="I353" s="75"/>
      <c r="J353" s="75"/>
      <c r="K353" s="125"/>
      <c r="L353" s="126"/>
      <c r="M353" s="80"/>
      <c r="N353" s="107"/>
      <c r="O353" s="98"/>
      <c r="P353" s="75"/>
      <c r="Q353" s="100"/>
      <c r="R353" s="93"/>
      <c r="S353" s="75"/>
      <c r="T353" s="75"/>
      <c r="V353" s="84"/>
    </row>
    <row r="354" ht="15.75" customHeight="1">
      <c r="A354" s="70"/>
      <c r="B354" s="116"/>
      <c r="C354" s="117"/>
      <c r="D354" s="75"/>
      <c r="E354" s="118"/>
      <c r="F354" s="118"/>
      <c r="G354" s="75"/>
      <c r="H354" s="117"/>
      <c r="I354" s="75"/>
      <c r="J354" s="75"/>
      <c r="K354" s="125"/>
      <c r="L354" s="126"/>
      <c r="M354" s="80"/>
      <c r="N354" s="107"/>
      <c r="O354" s="98"/>
      <c r="P354" s="75"/>
      <c r="Q354" s="100"/>
      <c r="R354" s="93"/>
      <c r="S354" s="75"/>
      <c r="T354" s="75"/>
      <c r="V354" s="84"/>
    </row>
    <row r="355" ht="15.75" customHeight="1">
      <c r="A355" s="70"/>
      <c r="B355" s="116"/>
      <c r="C355" s="84"/>
      <c r="D355" s="75"/>
      <c r="E355" s="118"/>
      <c r="F355" s="118"/>
      <c r="G355" s="75"/>
      <c r="H355" s="117"/>
      <c r="I355" s="75"/>
      <c r="J355" s="75"/>
      <c r="K355" s="125"/>
      <c r="L355" s="126"/>
      <c r="M355" s="80"/>
      <c r="N355" s="107"/>
      <c r="O355" s="98"/>
      <c r="P355" s="75"/>
      <c r="Q355" s="100"/>
      <c r="R355" s="93"/>
      <c r="S355" s="75"/>
      <c r="T355" s="75"/>
      <c r="V355" s="84"/>
    </row>
    <row r="356" ht="15.75" customHeight="1">
      <c r="A356" s="70"/>
      <c r="B356" s="116"/>
      <c r="C356" s="117"/>
      <c r="D356" s="75"/>
      <c r="E356" s="118"/>
      <c r="F356" s="118"/>
      <c r="G356" s="75"/>
      <c r="H356" s="117"/>
      <c r="I356" s="75"/>
      <c r="J356" s="75"/>
      <c r="K356" s="125"/>
      <c r="L356" s="126"/>
      <c r="M356" s="80"/>
      <c r="N356" s="107"/>
      <c r="O356" s="98"/>
      <c r="P356" s="75"/>
      <c r="Q356" s="100"/>
      <c r="R356" s="93"/>
      <c r="S356" s="75"/>
      <c r="T356" s="75"/>
      <c r="V356" s="84"/>
    </row>
    <row r="357" ht="15.75" customHeight="1">
      <c r="A357" s="70"/>
      <c r="B357" s="116"/>
      <c r="C357" s="117"/>
      <c r="D357" s="75"/>
      <c r="E357" s="118"/>
      <c r="F357" s="118"/>
      <c r="G357" s="75"/>
      <c r="H357" s="117"/>
      <c r="I357" s="75"/>
      <c r="J357" s="75"/>
      <c r="K357" s="125"/>
      <c r="L357" s="126"/>
      <c r="M357" s="80"/>
      <c r="N357" s="107"/>
      <c r="O357" s="98"/>
      <c r="P357" s="75"/>
      <c r="Q357" s="100"/>
      <c r="R357" s="93"/>
      <c r="S357" s="75"/>
      <c r="T357" s="75"/>
      <c r="V357" s="84"/>
    </row>
    <row r="358" ht="15.75" customHeight="1">
      <c r="A358" s="70"/>
      <c r="B358" s="116"/>
      <c r="C358" s="117"/>
      <c r="D358" s="75"/>
      <c r="E358" s="118"/>
      <c r="F358" s="118"/>
      <c r="G358" s="75"/>
      <c r="H358" s="117"/>
      <c r="I358" s="75"/>
      <c r="J358" s="75"/>
      <c r="K358" s="125"/>
      <c r="L358" s="126"/>
      <c r="M358" s="80"/>
      <c r="N358" s="107"/>
      <c r="O358" s="98"/>
      <c r="P358" s="75"/>
      <c r="Q358" s="100"/>
      <c r="R358" s="93"/>
      <c r="S358" s="75"/>
      <c r="T358" s="75"/>
      <c r="V358" s="84"/>
    </row>
    <row r="359" ht="15.75" customHeight="1">
      <c r="A359" s="70"/>
      <c r="B359" s="116"/>
      <c r="C359" s="117"/>
      <c r="D359" s="75"/>
      <c r="E359" s="118"/>
      <c r="F359" s="118"/>
      <c r="G359" s="75"/>
      <c r="H359" s="117"/>
      <c r="I359" s="75"/>
      <c r="J359" s="75"/>
      <c r="K359" s="125"/>
      <c r="L359" s="126"/>
      <c r="M359" s="80"/>
      <c r="N359" s="107"/>
      <c r="O359" s="98"/>
      <c r="P359" s="75"/>
      <c r="Q359" s="100"/>
      <c r="R359" s="93"/>
      <c r="S359" s="75"/>
      <c r="T359" s="75"/>
      <c r="V359" s="84"/>
    </row>
    <row r="360" ht="15.75" customHeight="1">
      <c r="A360" s="70"/>
      <c r="B360" s="116"/>
      <c r="C360" s="117"/>
      <c r="D360" s="75"/>
      <c r="E360" s="118"/>
      <c r="F360" s="118"/>
      <c r="G360" s="75"/>
      <c r="H360" s="117"/>
      <c r="I360" s="75"/>
      <c r="J360" s="75"/>
      <c r="K360" s="125"/>
      <c r="L360" s="126"/>
      <c r="M360" s="80"/>
      <c r="N360" s="107"/>
      <c r="O360" s="98"/>
      <c r="P360" s="75"/>
      <c r="Q360" s="100"/>
      <c r="R360" s="93"/>
      <c r="S360" s="75"/>
      <c r="T360" s="75"/>
      <c r="V360" s="84"/>
    </row>
  </sheetData>
  <autoFilter ref="$A$12:$V$109"/>
  <customSheetViews>
    <customSheetView guid="{90C2C1B9-45C2-480F-86D2-C6087C5A9E3B}" filter="1" showAutoFilter="1">
      <autoFilter ref="$R$17:$R$22"/>
    </customSheetView>
  </customSheetViews>
  <mergeCells count="35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s>
  <dataValidations>
    <dataValidation type="list" allowBlank="1" showErrorMessage="1" sqref="N13:N360">
      <formula1>"Think About It,Money,Partner,Time,Fear,Value"</formula1>
    </dataValidation>
    <dataValidation type="list" allowBlank="1" showErrorMessage="1" sqref="J15">
      <formula1>"Option 1,Option 2"</formula1>
    </dataValidation>
    <dataValidation type="list" allowBlank="1" showErrorMessage="1" sqref="I13:J14 I15 I16:J19 I20:I26 I27: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9.63"/>
    <col customWidth="1" min="4" max="4" width="0.38"/>
    <col customWidth="1" min="5" max="5" width="15.13"/>
    <col customWidth="1" min="6" max="6" width="21.0"/>
    <col customWidth="1" min="7" max="7" width="0.38"/>
    <col customWidth="1" min="8" max="8" width="15.63"/>
    <col customWidth="1" min="9" max="9" width="13.88"/>
    <col customWidth="1" min="10" max="10" width="0.38"/>
    <col customWidth="1" min="11" max="11" width="16.25"/>
    <col customWidth="1" min="13" max="13" width="0.38"/>
    <col customWidth="1" min="15" max="15" width="16.5"/>
    <col customWidth="1" min="16" max="16" width="0.38"/>
    <col customWidth="1" min="17" max="17" width="13.13"/>
    <col customWidth="1" min="18" max="18" width="13.88"/>
    <col customWidth="1" min="19" max="19" width="19.13"/>
    <col customWidth="1" min="21" max="21" width="23.75"/>
    <col customWidth="1" min="22" max="22" width="0.38"/>
  </cols>
  <sheetData>
    <row r="1">
      <c r="A1" s="1"/>
      <c r="B1" s="2" t="s">
        <v>0</v>
      </c>
      <c r="C1" s="3" t="s">
        <v>1</v>
      </c>
      <c r="D1" s="1"/>
      <c r="E1" s="4" t="s">
        <v>2</v>
      </c>
      <c r="F1" s="1"/>
      <c r="H1" s="5" t="s">
        <v>3</v>
      </c>
      <c r="I1" s="6"/>
      <c r="J1" s="1"/>
      <c r="K1" s="7" t="s">
        <v>4</v>
      </c>
      <c r="L1" s="8"/>
      <c r="M1" s="9"/>
      <c r="N1" s="10" t="s">
        <v>5</v>
      </c>
      <c r="O1" s="11"/>
      <c r="P1" s="9"/>
      <c r="Q1" s="7" t="s">
        <v>6</v>
      </c>
      <c r="R1" s="12"/>
      <c r="S1" s="1"/>
      <c r="T1" s="7" t="s">
        <v>7</v>
      </c>
      <c r="U1" s="13"/>
      <c r="V1" s="1"/>
    </row>
    <row r="2">
      <c r="A2" s="1"/>
      <c r="B2" s="6"/>
      <c r="C2" s="8"/>
      <c r="D2" s="9"/>
      <c r="E2" s="14" t="s">
        <v>8</v>
      </c>
      <c r="F2" s="15">
        <f>C3/C6</f>
        <v>1121.052632</v>
      </c>
      <c r="H2" s="16" t="s">
        <v>9</v>
      </c>
      <c r="I2" s="17">
        <f>IFERROR(COUNTIFS(I13:I287, "Full-Pay"),"")</f>
        <v>1</v>
      </c>
      <c r="J2" s="9"/>
      <c r="K2" s="18" t="s">
        <v>10</v>
      </c>
      <c r="L2" s="19">
        <f>iferror(L10/L8,"")</f>
        <v>0.1052631579</v>
      </c>
      <c r="M2" s="20"/>
      <c r="N2" s="21" t="s">
        <v>11</v>
      </c>
      <c r="O2" s="22">
        <f>iferror(I8/L6,"")</f>
        <v>0.04166666667</v>
      </c>
      <c r="P2" s="20"/>
      <c r="Q2" s="23" t="s">
        <v>12</v>
      </c>
      <c r="R2" s="24">
        <f>IFERROR(COUNTIFS(N13:N286, "think about it"),"")</f>
        <v>2</v>
      </c>
      <c r="S2" s="9"/>
      <c r="T2" s="25" t="s">
        <v>13</v>
      </c>
      <c r="U2" s="26">
        <f>IFERROR(COUNTIF(H13:H286,T2),"")</f>
        <v>0</v>
      </c>
      <c r="V2" s="27"/>
    </row>
    <row r="3">
      <c r="A3" s="9"/>
      <c r="B3" s="28" t="s">
        <v>14</v>
      </c>
      <c r="C3" s="29">
        <f>IFERROR(SUM(K13:K284),"")</f>
        <v>21300</v>
      </c>
      <c r="D3" s="30"/>
      <c r="E3" s="31" t="s">
        <v>15</v>
      </c>
      <c r="F3" s="32">
        <f>C4/C6</f>
        <v>652.6315789</v>
      </c>
      <c r="H3" s="16" t="s">
        <v>16</v>
      </c>
      <c r="I3" s="17">
        <f>IFERROR(COUNTIFS(I13:I287, "Split-Pay"),"")</f>
        <v>1</v>
      </c>
      <c r="J3" s="9"/>
      <c r="K3" s="18" t="s">
        <v>17</v>
      </c>
      <c r="L3" s="19">
        <f>IFERROR(L10/L9,"")</f>
        <v>0.1111111111</v>
      </c>
      <c r="M3" s="20"/>
      <c r="N3" s="21" t="s">
        <v>18</v>
      </c>
      <c r="O3" s="22">
        <f>iferror(I9/L6,"")</f>
        <v>0.04166666667</v>
      </c>
      <c r="P3" s="20"/>
      <c r="Q3" s="23" t="s">
        <v>19</v>
      </c>
      <c r="R3" s="33">
        <f>IFERROR(COUNTIFS(N13:N286, "money"),"")</f>
        <v>9</v>
      </c>
      <c r="S3" s="9"/>
      <c r="T3" s="25" t="s">
        <v>20</v>
      </c>
      <c r="U3" s="26">
        <f>IFERROR(COUNTIF(H13:H286,T3),"")</f>
        <v>0</v>
      </c>
      <c r="V3" s="27"/>
    </row>
    <row r="4">
      <c r="A4" s="9"/>
      <c r="B4" s="34" t="s">
        <v>21</v>
      </c>
      <c r="C4" s="35">
        <f>IFERROR(SUM(L13:L284),"")</f>
        <v>12400</v>
      </c>
      <c r="D4" s="30"/>
      <c r="E4" s="31" t="s">
        <v>22</v>
      </c>
      <c r="F4" s="36">
        <f>C4/C3*100</f>
        <v>58.21596244</v>
      </c>
      <c r="H4" s="16" t="s">
        <v>23</v>
      </c>
      <c r="I4" s="17">
        <f>IFERROR(COUNTIFS(I13:I287, "Deposit"),"")</f>
        <v>1</v>
      </c>
      <c r="J4" s="9"/>
      <c r="K4" s="18" t="s">
        <v>24</v>
      </c>
      <c r="L4" s="19">
        <f>IFERROR(L9/L8,"")</f>
        <v>0.9473684211</v>
      </c>
      <c r="M4" s="20"/>
      <c r="N4" s="21" t="s">
        <v>25</v>
      </c>
      <c r="O4" s="22">
        <f>iferror(I10/L6,"")</f>
        <v>0.125</v>
      </c>
      <c r="P4" s="20"/>
      <c r="Q4" s="23" t="s">
        <v>26</v>
      </c>
      <c r="R4" s="24">
        <f>IFERROR(COUNTIFS(N13:N286, "time"),"")</f>
        <v>0</v>
      </c>
      <c r="S4" s="9"/>
      <c r="T4" s="25" t="s">
        <v>27</v>
      </c>
      <c r="U4" s="26">
        <f>IFERROR(COUNTIF(H13:H286,T4),"")</f>
        <v>0</v>
      </c>
      <c r="V4" s="1"/>
    </row>
    <row r="5">
      <c r="A5" s="1"/>
      <c r="B5" s="6"/>
      <c r="C5" s="8"/>
      <c r="D5" s="9"/>
      <c r="E5" s="31" t="s">
        <v>28</v>
      </c>
      <c r="F5" s="37">
        <f>I2/C7*100</f>
        <v>50</v>
      </c>
      <c r="H5" s="16" t="s">
        <v>29</v>
      </c>
      <c r="I5" s="17">
        <f>IFERROR(COUNTIFS(I13:I287, "Offer &amp; Didn't Buy"),"")</f>
        <v>15</v>
      </c>
      <c r="J5" s="9"/>
      <c r="K5" s="18" t="s">
        <v>30</v>
      </c>
      <c r="L5" s="19">
        <f>IFERROR(I7/(C6+I7+I8),"")</f>
        <v>0</v>
      </c>
      <c r="M5" s="9"/>
      <c r="N5" s="21" t="s">
        <v>30</v>
      </c>
      <c r="O5" s="22">
        <f>iferror(I7/L6,"")</f>
        <v>0</v>
      </c>
      <c r="P5" s="20"/>
      <c r="Q5" s="23" t="s">
        <v>31</v>
      </c>
      <c r="R5" s="24">
        <f>IFERROR(COUNTIFS(N13:N286, "partner"),"")</f>
        <v>0</v>
      </c>
      <c r="S5" s="9"/>
      <c r="T5" s="25" t="s">
        <v>32</v>
      </c>
      <c r="U5" s="26">
        <f>IFERROR(COUNTIF(H13:H286,T5),"")</f>
        <v>0</v>
      </c>
      <c r="V5" s="27"/>
    </row>
    <row r="6">
      <c r="A6" s="9"/>
      <c r="B6" s="38" t="s">
        <v>33</v>
      </c>
      <c r="C6" s="39">
        <f>IFERROR(SUM(I2:I6),"")</f>
        <v>19</v>
      </c>
      <c r="D6" s="9"/>
      <c r="E6" s="31" t="s">
        <v>34</v>
      </c>
      <c r="F6" s="40" t="str">
        <f>AVERAGE(Q13:Q104)</f>
        <v>#DIV/0!</v>
      </c>
      <c r="H6" s="16" t="s">
        <v>35</v>
      </c>
      <c r="I6" s="17">
        <f>IFERROR(COUNTIFS(I13:I287, "Bad Fit &amp; No Offer"),"")</f>
        <v>1</v>
      </c>
      <c r="J6" s="9"/>
      <c r="K6" s="18" t="s">
        <v>36</v>
      </c>
      <c r="L6" s="41">
        <f>IFERROR(SUM(I2:I10),"")</f>
        <v>24</v>
      </c>
      <c r="M6" s="9"/>
      <c r="N6" s="42" t="s">
        <v>37</v>
      </c>
      <c r="O6" s="22">
        <f>iferror(L7/L6,"")</f>
        <v>0.7916666667</v>
      </c>
      <c r="P6" s="20"/>
      <c r="Q6" s="23" t="s">
        <v>38</v>
      </c>
      <c r="R6" s="24">
        <f>IFERROR(COUNTIFS(N13:N286, "fear"),"")</f>
        <v>1</v>
      </c>
      <c r="S6" s="9"/>
      <c r="T6" s="25" t="s">
        <v>39</v>
      </c>
      <c r="U6" s="26">
        <f>IFERROR(COUNTIF(H13:H286,T6),"")</f>
        <v>0</v>
      </c>
      <c r="V6" s="27"/>
    </row>
    <row r="7">
      <c r="A7" s="9"/>
      <c r="B7" s="38" t="s">
        <v>40</v>
      </c>
      <c r="C7" s="43">
        <f>IFERROR(I2+I3,"")</f>
        <v>2</v>
      </c>
      <c r="D7" s="9"/>
      <c r="E7" s="31" t="s">
        <v>41</v>
      </c>
      <c r="F7" s="32">
        <f>C3/C7</f>
        <v>10650</v>
      </c>
      <c r="H7" s="16" t="s">
        <v>42</v>
      </c>
      <c r="I7" s="17">
        <f>IFERROR(COUNTIFS(I13:I287, "Drag Over &amp; Show"),"")</f>
        <v>0</v>
      </c>
      <c r="J7" s="9"/>
      <c r="K7" s="18" t="s">
        <v>43</v>
      </c>
      <c r="L7" s="41">
        <f>IFERROR(SUM(I2:I7),"")</f>
        <v>19</v>
      </c>
      <c r="M7" s="9"/>
      <c r="N7" s="44" t="s">
        <v>44</v>
      </c>
      <c r="O7" s="45">
        <f>IFERROR(L8/L6,"")</f>
        <v>0.7916666667</v>
      </c>
      <c r="P7" s="20"/>
      <c r="Q7" s="46" t="s">
        <v>45</v>
      </c>
      <c r="R7" s="47">
        <f>IFERROR(COUNTIFS(N14:N287, "value"),"")</f>
        <v>2</v>
      </c>
      <c r="S7" s="9"/>
      <c r="T7" s="25" t="s">
        <v>46</v>
      </c>
      <c r="U7" s="26">
        <f>IFERROR(COUNTIF(H13:H286,T7),"")</f>
        <v>0</v>
      </c>
      <c r="V7" s="1"/>
    </row>
    <row r="8">
      <c r="A8" s="9"/>
      <c r="B8" s="38" t="s">
        <v>47</v>
      </c>
      <c r="C8" s="48">
        <f>COUNTIF(I13:I286,"offer &amp; didn't buy")+countif(I13:I286,"deposit")+countif(I13:I286,"bad fit &amp; no offer")</f>
        <v>17</v>
      </c>
      <c r="D8" s="49"/>
      <c r="E8" s="31" t="s">
        <v>48</v>
      </c>
      <c r="F8" s="32">
        <f>C4/C7</f>
        <v>6200</v>
      </c>
      <c r="H8" s="16" t="s">
        <v>49</v>
      </c>
      <c r="I8" s="17">
        <f>IFERROR(COUNTIFS(I13:I287, "Rescheduled"),"")</f>
        <v>1</v>
      </c>
      <c r="J8" s="9"/>
      <c r="K8" s="18" t="s">
        <v>50</v>
      </c>
      <c r="L8" s="41">
        <f>IFERROR(SUM(I2:I6),"")</f>
        <v>19</v>
      </c>
      <c r="M8" s="1"/>
      <c r="N8" s="50"/>
      <c r="O8" s="1"/>
      <c r="P8" s="1"/>
      <c r="Q8" s="1"/>
      <c r="R8" s="51"/>
      <c r="S8" s="9"/>
      <c r="T8" s="52" t="s">
        <v>51</v>
      </c>
      <c r="U8" s="53">
        <f>IFERROR(COUNTIF(H13:H286,T8),"")</f>
        <v>0</v>
      </c>
      <c r="V8" s="1"/>
    </row>
    <row r="9">
      <c r="A9" s="9"/>
      <c r="B9" s="38" t="s">
        <v>52</v>
      </c>
      <c r="C9" s="54">
        <f>iferror(SUM(C7/C6),"")</f>
        <v>0.1052631579</v>
      </c>
      <c r="D9" s="20"/>
      <c r="E9" s="55"/>
      <c r="F9" s="56"/>
      <c r="H9" s="16" t="s">
        <v>53</v>
      </c>
      <c r="I9" s="17">
        <f>IFERROR(COUNTIFS(I13:I287, "Cancelled"),"")</f>
        <v>1</v>
      </c>
      <c r="J9" s="9"/>
      <c r="K9" s="18" t="s">
        <v>54</v>
      </c>
      <c r="L9" s="41">
        <f>IFERROR(sum(I2:I5),"")</f>
        <v>18</v>
      </c>
      <c r="M9" s="1"/>
      <c r="N9" s="50"/>
      <c r="O9" s="1"/>
      <c r="P9" s="1"/>
      <c r="Q9" s="1"/>
      <c r="R9" s="51"/>
      <c r="S9" s="1"/>
      <c r="T9" s="1"/>
      <c r="U9" s="1"/>
      <c r="V9" s="1"/>
    </row>
    <row r="10">
      <c r="A10" s="1"/>
      <c r="B10" s="50"/>
      <c r="C10" s="1"/>
      <c r="D10" s="9"/>
      <c r="E10" s="57"/>
      <c r="F10" s="58"/>
      <c r="H10" s="59" t="s">
        <v>55</v>
      </c>
      <c r="I10" s="60">
        <f>IFERROR(COUNTIFS(I13:I287, "No-Show"),"")</f>
        <v>3</v>
      </c>
      <c r="J10" s="9"/>
      <c r="K10" s="61" t="s">
        <v>56</v>
      </c>
      <c r="L10" s="62">
        <f>I2+I3</f>
        <v>2</v>
      </c>
      <c r="M10" s="1"/>
      <c r="N10" s="50"/>
      <c r="O10" s="1"/>
      <c r="P10" s="1"/>
      <c r="Q10" s="1"/>
      <c r="R10" s="51"/>
      <c r="S10" s="1"/>
      <c r="T10" s="1"/>
      <c r="U10" s="1"/>
      <c r="V10" s="1"/>
    </row>
    <row r="11" ht="6.0" customHeight="1">
      <c r="A11" s="1"/>
      <c r="B11" s="50"/>
      <c r="C11" s="1"/>
      <c r="D11" s="1"/>
      <c r="E11" s="63"/>
      <c r="F11" s="50"/>
      <c r="G11" s="1"/>
      <c r="H11" s="1"/>
      <c r="I11" s="1"/>
      <c r="J11" s="1"/>
      <c r="K11" s="50"/>
      <c r="L11" s="1"/>
      <c r="M11" s="1"/>
      <c r="N11" s="1"/>
      <c r="O11" s="51"/>
      <c r="P11" s="1"/>
      <c r="Q11" s="1"/>
      <c r="R11" s="1"/>
      <c r="S11" s="1"/>
      <c r="T11" s="1"/>
      <c r="V11" s="1"/>
    </row>
    <row r="12">
      <c r="A12" s="1"/>
      <c r="B12" s="64" t="s">
        <v>57</v>
      </c>
      <c r="C12" s="65" t="s">
        <v>58</v>
      </c>
      <c r="D12" s="1"/>
      <c r="E12" s="66" t="s">
        <v>59</v>
      </c>
      <c r="F12" s="67" t="s">
        <v>60</v>
      </c>
      <c r="G12" s="1"/>
      <c r="H12" s="68" t="s">
        <v>7</v>
      </c>
      <c r="I12" s="68" t="s">
        <v>3</v>
      </c>
      <c r="J12" s="1"/>
      <c r="K12" s="67" t="s">
        <v>61</v>
      </c>
      <c r="L12" s="3" t="s">
        <v>21</v>
      </c>
      <c r="M12" s="1"/>
      <c r="N12" s="68" t="s">
        <v>62</v>
      </c>
      <c r="O12" s="69" t="s">
        <v>63</v>
      </c>
      <c r="P12" s="1"/>
      <c r="Q12" s="68" t="s">
        <v>64</v>
      </c>
      <c r="R12" s="68" t="s">
        <v>65</v>
      </c>
      <c r="S12" s="68" t="s">
        <v>66</v>
      </c>
      <c r="T12" s="68" t="s">
        <v>67</v>
      </c>
      <c r="V12" s="27"/>
    </row>
    <row r="13" ht="15.75" customHeight="1">
      <c r="A13" s="70"/>
      <c r="B13" s="71">
        <v>46054.0</v>
      </c>
      <c r="C13" s="72" t="s">
        <v>93</v>
      </c>
      <c r="D13" s="73"/>
      <c r="E13" s="74" t="s">
        <v>94</v>
      </c>
      <c r="F13" s="74" t="s">
        <v>95</v>
      </c>
      <c r="G13" s="75"/>
      <c r="H13" s="76" t="s">
        <v>68</v>
      </c>
      <c r="I13" s="77" t="s">
        <v>72</v>
      </c>
      <c r="J13" s="75"/>
      <c r="K13" s="78"/>
      <c r="L13" s="128"/>
      <c r="M13" s="81" t="s">
        <v>82</v>
      </c>
      <c r="N13" s="82" t="s">
        <v>96</v>
      </c>
      <c r="O13" s="75"/>
      <c r="P13" s="83"/>
      <c r="R13" s="83" t="s">
        <v>74</v>
      </c>
      <c r="S13" s="83" t="s">
        <v>97</v>
      </c>
      <c r="U13" s="84"/>
    </row>
    <row r="14" ht="15.75" customHeight="1">
      <c r="A14" s="75"/>
      <c r="B14" s="71">
        <v>46055.0</v>
      </c>
      <c r="C14" s="85" t="s">
        <v>98</v>
      </c>
      <c r="D14" s="75"/>
      <c r="E14" s="74" t="s">
        <v>99</v>
      </c>
      <c r="F14" s="74" t="s">
        <v>100</v>
      </c>
      <c r="G14" s="75"/>
      <c r="H14" s="76" t="s">
        <v>68</v>
      </c>
      <c r="I14" s="77" t="s">
        <v>72</v>
      </c>
      <c r="J14" s="75"/>
      <c r="K14" s="78"/>
      <c r="L14" s="128"/>
      <c r="M14" s="80"/>
      <c r="N14" s="81" t="s">
        <v>19</v>
      </c>
      <c r="O14" s="82" t="s">
        <v>101</v>
      </c>
      <c r="P14" s="75"/>
      <c r="Q14" s="83"/>
      <c r="S14" s="83" t="s">
        <v>74</v>
      </c>
      <c r="T14" s="83" t="s">
        <v>102</v>
      </c>
      <c r="V14" s="84"/>
    </row>
    <row r="15" ht="15.75" customHeight="1">
      <c r="A15" s="75"/>
      <c r="B15" s="71">
        <v>46057.0</v>
      </c>
      <c r="C15" s="72" t="s">
        <v>103</v>
      </c>
      <c r="D15" s="83"/>
      <c r="E15" s="74" t="s">
        <v>104</v>
      </c>
      <c r="F15" s="74" t="s">
        <v>105</v>
      </c>
      <c r="G15" s="75"/>
      <c r="H15" s="76" t="s">
        <v>68</v>
      </c>
      <c r="I15" s="77" t="s">
        <v>72</v>
      </c>
      <c r="J15" s="75"/>
      <c r="K15" s="78"/>
      <c r="L15" s="128"/>
      <c r="M15" s="80"/>
      <c r="N15" s="81" t="s">
        <v>82</v>
      </c>
      <c r="O15" s="82" t="s">
        <v>106</v>
      </c>
      <c r="P15" s="75"/>
      <c r="Q15" s="83"/>
      <c r="R15" s="87"/>
      <c r="S15" s="83" t="s">
        <v>91</v>
      </c>
      <c r="T15" s="83" t="s">
        <v>107</v>
      </c>
      <c r="V15" s="84"/>
    </row>
    <row r="16" ht="15.75" customHeight="1">
      <c r="A16" s="75"/>
      <c r="B16" s="71">
        <v>46060.0</v>
      </c>
      <c r="C16" s="72" t="s">
        <v>108</v>
      </c>
      <c r="D16" s="75"/>
      <c r="E16" s="74" t="s">
        <v>109</v>
      </c>
      <c r="F16" s="74" t="s">
        <v>110</v>
      </c>
      <c r="G16" s="75"/>
      <c r="H16" s="76" t="s">
        <v>68</v>
      </c>
      <c r="I16" s="77" t="s">
        <v>72</v>
      </c>
      <c r="J16" s="75"/>
      <c r="K16" s="78"/>
      <c r="L16" s="128"/>
      <c r="M16" s="80"/>
      <c r="N16" s="81" t="s">
        <v>19</v>
      </c>
      <c r="O16" s="82" t="s">
        <v>111</v>
      </c>
      <c r="P16" s="75"/>
      <c r="Q16" s="83"/>
      <c r="S16" s="83" t="s">
        <v>84</v>
      </c>
      <c r="T16" s="83" t="s">
        <v>112</v>
      </c>
      <c r="V16" s="84"/>
    </row>
    <row r="17" ht="15.75" customHeight="1">
      <c r="A17" s="75"/>
      <c r="B17" s="71">
        <v>46061.0</v>
      </c>
      <c r="C17" s="72" t="s">
        <v>113</v>
      </c>
      <c r="D17" s="75"/>
      <c r="E17" s="74" t="s">
        <v>114</v>
      </c>
      <c r="F17" s="74" t="s">
        <v>115</v>
      </c>
      <c r="G17" s="75"/>
      <c r="H17" s="76" t="s">
        <v>68</v>
      </c>
      <c r="I17" s="77" t="s">
        <v>72</v>
      </c>
      <c r="J17" s="75"/>
      <c r="K17" s="78"/>
      <c r="L17" s="128"/>
      <c r="M17" s="80"/>
      <c r="N17" s="81" t="s">
        <v>45</v>
      </c>
      <c r="O17" s="82" t="s">
        <v>116</v>
      </c>
      <c r="P17" s="75"/>
      <c r="Q17" s="83"/>
      <c r="S17" s="83" t="s">
        <v>74</v>
      </c>
      <c r="T17" s="83" t="s">
        <v>117</v>
      </c>
      <c r="V17" s="84"/>
    </row>
    <row r="18" ht="15.75" customHeight="1">
      <c r="A18" s="75"/>
      <c r="B18" s="71">
        <v>46062.0</v>
      </c>
      <c r="C18" s="72" t="s">
        <v>118</v>
      </c>
      <c r="D18" s="75"/>
      <c r="E18" s="74" t="s">
        <v>119</v>
      </c>
      <c r="F18" s="74" t="s">
        <v>120</v>
      </c>
      <c r="G18" s="75"/>
      <c r="H18" s="76" t="s">
        <v>68</v>
      </c>
      <c r="I18" s="77" t="s">
        <v>121</v>
      </c>
      <c r="J18" s="75"/>
      <c r="K18" s="78">
        <v>10800.0</v>
      </c>
      <c r="L18" s="78">
        <v>10800.0</v>
      </c>
      <c r="M18" s="80"/>
      <c r="N18" s="81"/>
      <c r="O18" s="82"/>
      <c r="P18" s="75"/>
      <c r="Q18" s="83"/>
      <c r="S18" s="83" t="s">
        <v>122</v>
      </c>
      <c r="T18" s="83" t="s">
        <v>123</v>
      </c>
      <c r="V18" s="84"/>
    </row>
    <row r="19" ht="15.75" customHeight="1">
      <c r="A19" s="75"/>
      <c r="B19" s="88">
        <v>46062.0</v>
      </c>
      <c r="C19" s="72" t="s">
        <v>124</v>
      </c>
      <c r="D19" s="75"/>
      <c r="E19" s="74" t="s">
        <v>125</v>
      </c>
      <c r="F19" s="74" t="s">
        <v>126</v>
      </c>
      <c r="G19" s="75"/>
      <c r="H19" s="76" t="s">
        <v>68</v>
      </c>
      <c r="I19" s="77" t="s">
        <v>72</v>
      </c>
      <c r="J19" s="75"/>
      <c r="K19" s="89"/>
      <c r="L19" s="128"/>
      <c r="M19" s="80"/>
      <c r="N19" s="81" t="s">
        <v>45</v>
      </c>
      <c r="O19" s="82" t="s">
        <v>127</v>
      </c>
      <c r="P19" s="75"/>
      <c r="Q19" s="83"/>
      <c r="S19" s="83" t="s">
        <v>74</v>
      </c>
      <c r="T19" s="83"/>
      <c r="V19" s="84"/>
    </row>
    <row r="20" ht="15.75" customHeight="1">
      <c r="A20" s="70"/>
      <c r="B20" s="71">
        <v>46063.0</v>
      </c>
      <c r="C20" s="72" t="s">
        <v>128</v>
      </c>
      <c r="D20" s="75"/>
      <c r="E20" s="74" t="s">
        <v>129</v>
      </c>
      <c r="F20" s="74" t="s">
        <v>130</v>
      </c>
      <c r="G20" s="75"/>
      <c r="H20" s="76" t="s">
        <v>68</v>
      </c>
      <c r="I20" s="77" t="s">
        <v>131</v>
      </c>
      <c r="J20" s="75"/>
      <c r="K20" s="75"/>
      <c r="L20" s="128"/>
      <c r="M20" s="75"/>
      <c r="N20" s="81"/>
      <c r="O20" s="82"/>
      <c r="P20" s="75"/>
      <c r="Q20" s="83"/>
      <c r="S20" s="83"/>
      <c r="T20" s="83"/>
      <c r="V20" s="84"/>
    </row>
    <row r="21" ht="15.75" customHeight="1">
      <c r="A21" s="70"/>
      <c r="B21" s="71">
        <v>46063.0</v>
      </c>
      <c r="C21" s="72" t="s">
        <v>132</v>
      </c>
      <c r="D21" s="75"/>
      <c r="E21" s="74" t="s">
        <v>133</v>
      </c>
      <c r="F21" s="74" t="s">
        <v>134</v>
      </c>
      <c r="G21" s="75"/>
      <c r="H21" s="76" t="s">
        <v>68</v>
      </c>
      <c r="I21" s="77" t="s">
        <v>79</v>
      </c>
      <c r="J21" s="75"/>
      <c r="K21" s="75"/>
      <c r="L21" s="128"/>
      <c r="M21" s="75"/>
      <c r="N21" s="81"/>
      <c r="O21" s="82"/>
      <c r="P21" s="75"/>
      <c r="Q21" s="83"/>
      <c r="S21" s="83"/>
      <c r="T21" s="83"/>
      <c r="V21" s="84"/>
    </row>
    <row r="22" ht="15.75" customHeight="1">
      <c r="A22" s="70"/>
      <c r="B22" s="71">
        <v>46063.0</v>
      </c>
      <c r="C22" s="72" t="s">
        <v>135</v>
      </c>
      <c r="D22" s="75"/>
      <c r="E22" s="74" t="s">
        <v>136</v>
      </c>
      <c r="F22" s="74" t="s">
        <v>137</v>
      </c>
      <c r="G22" s="75"/>
      <c r="H22" s="76" t="s">
        <v>68</v>
      </c>
      <c r="I22" s="77" t="s">
        <v>72</v>
      </c>
      <c r="J22" s="75"/>
      <c r="K22" s="75"/>
      <c r="L22" s="89">
        <v>100.0</v>
      </c>
      <c r="M22" s="75"/>
      <c r="N22" s="81" t="s">
        <v>19</v>
      </c>
      <c r="O22" s="82" t="s">
        <v>138</v>
      </c>
      <c r="P22" s="75"/>
      <c r="Q22" s="83"/>
      <c r="S22" s="83" t="s">
        <v>91</v>
      </c>
      <c r="T22" s="83" t="s">
        <v>139</v>
      </c>
      <c r="V22" s="84"/>
    </row>
    <row r="23" ht="15.75" customHeight="1">
      <c r="A23" s="70"/>
      <c r="B23" s="71">
        <v>46065.0</v>
      </c>
      <c r="C23" s="90" t="s">
        <v>128</v>
      </c>
      <c r="D23" s="75"/>
      <c r="E23" s="129" t="s">
        <v>129</v>
      </c>
      <c r="F23" s="129" t="s">
        <v>130</v>
      </c>
      <c r="G23" s="75"/>
      <c r="H23" s="76" t="s">
        <v>68</v>
      </c>
      <c r="I23" s="77" t="s">
        <v>72</v>
      </c>
      <c r="J23" s="75"/>
      <c r="K23" s="75"/>
      <c r="L23" s="128"/>
      <c r="M23" s="75"/>
      <c r="N23" s="81" t="s">
        <v>19</v>
      </c>
      <c r="O23" s="82" t="s">
        <v>140</v>
      </c>
      <c r="P23" s="75"/>
      <c r="Q23" s="83"/>
      <c r="S23" s="83" t="s">
        <v>141</v>
      </c>
      <c r="T23" s="83" t="s">
        <v>142</v>
      </c>
      <c r="V23" s="84"/>
    </row>
    <row r="24" ht="15.0" customHeight="1">
      <c r="A24" s="70"/>
      <c r="B24" s="71">
        <v>46065.0</v>
      </c>
      <c r="C24" s="74" t="s">
        <v>143</v>
      </c>
      <c r="D24" s="73"/>
      <c r="E24" s="129" t="s">
        <v>144</v>
      </c>
      <c r="F24" s="129" t="s">
        <v>145</v>
      </c>
      <c r="G24" s="75"/>
      <c r="H24" s="76" t="s">
        <v>68</v>
      </c>
      <c r="I24" s="77" t="s">
        <v>146</v>
      </c>
      <c r="J24" s="75"/>
      <c r="K24" s="75"/>
      <c r="L24" s="128"/>
      <c r="M24" s="75"/>
      <c r="N24" s="81"/>
      <c r="O24" s="82"/>
      <c r="P24" s="75"/>
      <c r="Q24" s="83"/>
      <c r="S24" s="83" t="s">
        <v>147</v>
      </c>
      <c r="T24" s="83" t="s">
        <v>148</v>
      </c>
      <c r="V24" s="84"/>
    </row>
    <row r="25" ht="15.75" customHeight="1">
      <c r="A25" s="70"/>
      <c r="B25" s="71">
        <v>46065.0</v>
      </c>
      <c r="C25" s="72" t="s">
        <v>149</v>
      </c>
      <c r="D25" s="75"/>
      <c r="E25" s="129" t="s">
        <v>150</v>
      </c>
      <c r="F25" s="129" t="s">
        <v>151</v>
      </c>
      <c r="G25" s="75"/>
      <c r="H25" s="76" t="s">
        <v>68</v>
      </c>
      <c r="I25" s="77" t="s">
        <v>152</v>
      </c>
      <c r="J25" s="75"/>
      <c r="K25" s="89">
        <v>10500.0</v>
      </c>
      <c r="L25" s="89">
        <v>1500.0</v>
      </c>
      <c r="M25" s="75"/>
      <c r="N25" s="81" t="s">
        <v>19</v>
      </c>
      <c r="O25" s="82" t="s">
        <v>153</v>
      </c>
      <c r="P25" s="75"/>
      <c r="Q25" s="83"/>
      <c r="S25" s="83" t="s">
        <v>84</v>
      </c>
      <c r="T25" s="83" t="s">
        <v>154</v>
      </c>
      <c r="V25" s="84"/>
    </row>
    <row r="26" ht="15.75" customHeight="1">
      <c r="A26" s="70"/>
      <c r="B26" s="71">
        <v>46065.0</v>
      </c>
      <c r="C26" s="72" t="s">
        <v>132</v>
      </c>
      <c r="D26" s="75"/>
      <c r="E26" s="129" t="s">
        <v>133</v>
      </c>
      <c r="F26" s="129" t="s">
        <v>134</v>
      </c>
      <c r="G26" s="75"/>
      <c r="H26" s="76" t="s">
        <v>68</v>
      </c>
      <c r="I26" s="77" t="s">
        <v>72</v>
      </c>
      <c r="J26" s="75"/>
      <c r="K26" s="75"/>
      <c r="L26" s="128"/>
      <c r="M26" s="75"/>
      <c r="N26" s="81" t="s">
        <v>19</v>
      </c>
      <c r="O26" s="82" t="s">
        <v>155</v>
      </c>
      <c r="P26" s="75"/>
      <c r="Q26" s="83"/>
      <c r="S26" s="83" t="s">
        <v>74</v>
      </c>
      <c r="T26" s="83" t="s">
        <v>156</v>
      </c>
      <c r="V26" s="84"/>
    </row>
    <row r="27" ht="15.75" customHeight="1">
      <c r="A27" s="70"/>
      <c r="B27" s="71">
        <v>46067.0</v>
      </c>
      <c r="C27" s="72" t="s">
        <v>157</v>
      </c>
      <c r="D27" s="75"/>
      <c r="E27" s="129" t="s">
        <v>158</v>
      </c>
      <c r="F27" s="129" t="s">
        <v>159</v>
      </c>
      <c r="G27" s="75"/>
      <c r="H27" s="76" t="s">
        <v>68</v>
      </c>
      <c r="I27" s="77" t="s">
        <v>72</v>
      </c>
      <c r="J27" s="75"/>
      <c r="K27" s="78"/>
      <c r="L27" s="128"/>
      <c r="M27" s="80"/>
      <c r="N27" s="81" t="s">
        <v>19</v>
      </c>
      <c r="O27" s="127" t="s">
        <v>160</v>
      </c>
      <c r="P27" s="75"/>
      <c r="Q27" s="83"/>
      <c r="S27" s="83" t="s">
        <v>91</v>
      </c>
      <c r="T27" s="83"/>
      <c r="V27" s="84"/>
    </row>
    <row r="28" ht="15.75" customHeight="1">
      <c r="A28" s="70"/>
      <c r="B28" s="71">
        <v>46068.0</v>
      </c>
      <c r="C28" s="72" t="s">
        <v>161</v>
      </c>
      <c r="D28" s="75"/>
      <c r="E28" s="129" t="s">
        <v>162</v>
      </c>
      <c r="F28" s="129" t="s">
        <v>163</v>
      </c>
      <c r="G28" s="75"/>
      <c r="H28" s="76" t="s">
        <v>68</v>
      </c>
      <c r="I28" s="77" t="s">
        <v>79</v>
      </c>
      <c r="J28" s="75"/>
      <c r="K28" s="78"/>
      <c r="L28" s="128"/>
      <c r="M28" s="80"/>
      <c r="N28" s="81"/>
      <c r="O28" s="82"/>
      <c r="P28" s="75"/>
      <c r="Q28" s="83"/>
      <c r="R28" s="93"/>
      <c r="S28" s="83"/>
      <c r="T28" s="83"/>
      <c r="V28" s="84"/>
    </row>
    <row r="29" ht="15.75" customHeight="1">
      <c r="A29" s="70"/>
      <c r="B29" s="71">
        <v>46068.0</v>
      </c>
      <c r="C29" s="90" t="s">
        <v>164</v>
      </c>
      <c r="D29" s="75"/>
      <c r="E29" s="129" t="s">
        <v>165</v>
      </c>
      <c r="F29" s="129" t="s">
        <v>166</v>
      </c>
      <c r="G29" s="75"/>
      <c r="H29" s="76" t="s">
        <v>68</v>
      </c>
      <c r="I29" s="77" t="s">
        <v>79</v>
      </c>
      <c r="J29" s="75"/>
      <c r="K29" s="78"/>
      <c r="L29" s="128"/>
      <c r="M29" s="80"/>
      <c r="N29" s="81"/>
      <c r="O29" s="82"/>
      <c r="P29" s="75"/>
      <c r="Q29" s="83"/>
      <c r="R29" s="87"/>
      <c r="S29" s="83"/>
      <c r="T29" s="83"/>
      <c r="V29" s="84"/>
    </row>
    <row r="30" ht="15.75" customHeight="1">
      <c r="A30" s="70"/>
      <c r="B30" s="71">
        <v>46072.0</v>
      </c>
      <c r="C30" s="90" t="s">
        <v>167</v>
      </c>
      <c r="D30" s="75"/>
      <c r="E30" s="129" t="s">
        <v>168</v>
      </c>
      <c r="F30" s="129" t="s">
        <v>169</v>
      </c>
      <c r="G30" s="75"/>
      <c r="H30" s="76" t="s">
        <v>68</v>
      </c>
      <c r="I30" s="77" t="s">
        <v>89</v>
      </c>
      <c r="J30" s="75"/>
      <c r="K30" s="78"/>
      <c r="L30" s="89"/>
      <c r="M30" s="80"/>
      <c r="N30" s="81"/>
      <c r="O30" s="82"/>
      <c r="P30" s="75"/>
      <c r="Q30" s="83"/>
      <c r="R30" s="94"/>
      <c r="S30" s="83"/>
      <c r="T30" s="83"/>
      <c r="V30" s="84"/>
    </row>
    <row r="31" ht="15.75" customHeight="1">
      <c r="A31" s="70"/>
      <c r="B31" s="71">
        <v>46072.0</v>
      </c>
      <c r="C31" s="72" t="s">
        <v>170</v>
      </c>
      <c r="D31" s="75"/>
      <c r="E31" s="129" t="s">
        <v>171</v>
      </c>
      <c r="F31" s="129" t="s">
        <v>172</v>
      </c>
      <c r="G31" s="75"/>
      <c r="H31" s="76" t="s">
        <v>68</v>
      </c>
      <c r="I31" s="77" t="s">
        <v>72</v>
      </c>
      <c r="J31" s="75"/>
      <c r="K31" s="78"/>
      <c r="L31" s="128"/>
      <c r="M31" s="80"/>
      <c r="N31" s="81" t="s">
        <v>19</v>
      </c>
      <c r="O31" s="82"/>
      <c r="P31" s="75"/>
      <c r="Q31" s="83"/>
      <c r="R31" s="94"/>
      <c r="S31" s="83" t="s">
        <v>91</v>
      </c>
      <c r="T31" s="83" t="s">
        <v>173</v>
      </c>
      <c r="V31" s="84"/>
    </row>
    <row r="32" ht="15.75" customHeight="1">
      <c r="A32" s="70"/>
      <c r="B32" s="71">
        <v>46076.0</v>
      </c>
      <c r="C32" s="72" t="s">
        <v>174</v>
      </c>
      <c r="D32" s="75"/>
      <c r="E32" s="129" t="s">
        <v>175</v>
      </c>
      <c r="F32" s="129" t="s">
        <v>176</v>
      </c>
      <c r="G32" s="75"/>
      <c r="H32" s="76" t="s">
        <v>68</v>
      </c>
      <c r="I32" s="77" t="s">
        <v>72</v>
      </c>
      <c r="J32" s="75"/>
      <c r="K32" s="78"/>
      <c r="L32" s="128"/>
      <c r="M32" s="80"/>
      <c r="N32" s="81" t="s">
        <v>19</v>
      </c>
      <c r="O32" s="82" t="s">
        <v>177</v>
      </c>
      <c r="P32" s="75"/>
      <c r="Q32" s="83"/>
      <c r="R32" s="94"/>
      <c r="S32" s="83" t="s">
        <v>84</v>
      </c>
      <c r="T32" s="83" t="s">
        <v>178</v>
      </c>
      <c r="V32" s="84"/>
    </row>
    <row r="33" ht="15.75" customHeight="1">
      <c r="A33" s="70"/>
      <c r="B33" s="71">
        <v>46080.0</v>
      </c>
      <c r="C33" s="129" t="s">
        <v>179</v>
      </c>
      <c r="D33" s="75"/>
      <c r="E33" s="129" t="s">
        <v>180</v>
      </c>
      <c r="F33" s="129" t="s">
        <v>181</v>
      </c>
      <c r="G33" s="75"/>
      <c r="H33" s="76" t="s">
        <v>68</v>
      </c>
      <c r="I33" s="77" t="s">
        <v>182</v>
      </c>
      <c r="J33" s="75"/>
      <c r="K33" s="78"/>
      <c r="L33" s="128"/>
      <c r="M33" s="80"/>
      <c r="N33" s="81"/>
      <c r="O33" s="82"/>
      <c r="P33" s="75"/>
      <c r="Q33" s="83"/>
      <c r="R33" s="94"/>
      <c r="S33" s="83"/>
      <c r="T33" s="83"/>
      <c r="V33" s="84"/>
    </row>
    <row r="34" ht="15.75" customHeight="1">
      <c r="A34" s="70"/>
      <c r="B34" s="71">
        <v>46080.0</v>
      </c>
      <c r="C34" s="72" t="s">
        <v>183</v>
      </c>
      <c r="D34" s="75"/>
      <c r="E34" s="129" t="s">
        <v>184</v>
      </c>
      <c r="F34" s="129" t="s">
        <v>185</v>
      </c>
      <c r="G34" s="75"/>
      <c r="H34" s="76" t="s">
        <v>68</v>
      </c>
      <c r="I34" s="77"/>
      <c r="J34" s="75"/>
      <c r="K34" s="78"/>
      <c r="L34" s="128"/>
      <c r="M34" s="80"/>
      <c r="N34" s="81"/>
      <c r="O34" s="82"/>
      <c r="P34" s="75"/>
      <c r="Q34" s="83"/>
      <c r="R34" s="94"/>
      <c r="S34" s="83"/>
      <c r="T34" s="83"/>
      <c r="V34" s="84"/>
    </row>
    <row r="35" ht="15.75" customHeight="1">
      <c r="A35" s="70"/>
      <c r="B35" s="71">
        <v>46080.0</v>
      </c>
      <c r="C35" s="72" t="s">
        <v>186</v>
      </c>
      <c r="D35" s="75"/>
      <c r="E35" s="129" t="s">
        <v>187</v>
      </c>
      <c r="F35" s="129" t="s">
        <v>188</v>
      </c>
      <c r="G35" s="75"/>
      <c r="H35" s="76" t="s">
        <v>68</v>
      </c>
      <c r="I35" s="77" t="s">
        <v>72</v>
      </c>
      <c r="J35" s="75"/>
      <c r="K35" s="78"/>
      <c r="L35" s="128"/>
      <c r="M35" s="80"/>
      <c r="N35" s="81"/>
      <c r="O35" s="82"/>
      <c r="P35" s="75"/>
      <c r="Q35" s="83"/>
      <c r="R35" s="94"/>
      <c r="S35" s="83"/>
      <c r="T35" s="83"/>
      <c r="V35" s="84"/>
    </row>
    <row r="36" ht="15.75" customHeight="1">
      <c r="A36" s="70"/>
      <c r="B36" s="71">
        <v>46080.0</v>
      </c>
      <c r="C36" s="72" t="s">
        <v>189</v>
      </c>
      <c r="D36" s="75"/>
      <c r="E36" s="129" t="s">
        <v>190</v>
      </c>
      <c r="F36" s="129" t="s">
        <v>191</v>
      </c>
      <c r="G36" s="75"/>
      <c r="H36" s="76" t="s">
        <v>68</v>
      </c>
      <c r="I36" s="77" t="s">
        <v>72</v>
      </c>
      <c r="J36" s="75"/>
      <c r="K36" s="78"/>
      <c r="L36" s="128"/>
      <c r="M36" s="80"/>
      <c r="N36" s="81" t="s">
        <v>38</v>
      </c>
      <c r="O36" s="82" t="s">
        <v>192</v>
      </c>
      <c r="P36" s="75"/>
      <c r="Q36" s="75"/>
      <c r="R36" s="93"/>
      <c r="S36" s="83"/>
      <c r="T36" s="83" t="s">
        <v>193</v>
      </c>
      <c r="V36" s="84"/>
    </row>
    <row r="37" ht="15.75" customHeight="1">
      <c r="A37" s="70"/>
      <c r="B37" s="71">
        <v>46080.0</v>
      </c>
      <c r="C37" s="72" t="s">
        <v>194</v>
      </c>
      <c r="D37" s="75"/>
      <c r="E37" s="129" t="s">
        <v>195</v>
      </c>
      <c r="F37" s="129" t="s">
        <v>196</v>
      </c>
      <c r="G37" s="75"/>
      <c r="H37" s="76" t="s">
        <v>68</v>
      </c>
      <c r="I37" s="77" t="s">
        <v>72</v>
      </c>
      <c r="J37" s="75"/>
      <c r="K37" s="78"/>
      <c r="L37" s="128"/>
      <c r="M37" s="80"/>
      <c r="N37" s="81" t="s">
        <v>82</v>
      </c>
      <c r="O37" s="82" t="s">
        <v>197</v>
      </c>
      <c r="P37" s="75"/>
      <c r="Q37" s="97"/>
      <c r="R37" s="94"/>
      <c r="S37" s="83"/>
      <c r="T37" s="83" t="s">
        <v>198</v>
      </c>
      <c r="V37" s="84"/>
    </row>
    <row r="38" ht="15.75" customHeight="1">
      <c r="A38" s="70"/>
      <c r="B38" s="96"/>
      <c r="C38" s="72"/>
      <c r="D38" s="75"/>
      <c r="E38" s="74"/>
      <c r="F38" s="74"/>
      <c r="G38" s="75"/>
      <c r="H38" s="76"/>
      <c r="I38" s="77"/>
      <c r="J38" s="75"/>
      <c r="K38" s="78"/>
      <c r="L38" s="128"/>
      <c r="M38" s="80"/>
      <c r="N38" s="81"/>
      <c r="O38" s="98"/>
      <c r="P38" s="75"/>
      <c r="Q38" s="99"/>
      <c r="R38" s="94"/>
      <c r="S38" s="83"/>
      <c r="T38" s="83"/>
      <c r="V38" s="84"/>
    </row>
    <row r="39" ht="15.75" customHeight="1">
      <c r="A39" s="70"/>
      <c r="B39" s="96"/>
      <c r="C39" s="72"/>
      <c r="D39" s="75"/>
      <c r="E39" s="74"/>
      <c r="F39" s="74"/>
      <c r="G39" s="75"/>
      <c r="H39" s="76"/>
      <c r="I39" s="77"/>
      <c r="J39" s="75"/>
      <c r="K39" s="78"/>
      <c r="L39" s="128"/>
      <c r="M39" s="80"/>
      <c r="N39" s="81"/>
      <c r="O39" s="98"/>
      <c r="P39" s="75"/>
      <c r="Q39" s="83"/>
      <c r="R39" s="94"/>
      <c r="S39" s="83"/>
      <c r="T39" s="83"/>
      <c r="V39" s="84"/>
    </row>
    <row r="40" ht="15.75" customHeight="1">
      <c r="A40" s="70"/>
      <c r="B40" s="96"/>
      <c r="C40" s="72"/>
      <c r="D40" s="75"/>
      <c r="E40" s="74"/>
      <c r="F40" s="74"/>
      <c r="G40" s="75"/>
      <c r="H40" s="76"/>
      <c r="I40" s="77"/>
      <c r="J40" s="75"/>
      <c r="K40" s="78"/>
      <c r="L40" s="128"/>
      <c r="M40" s="80"/>
      <c r="N40" s="81"/>
      <c r="O40" s="82"/>
      <c r="P40" s="75"/>
      <c r="Q40" s="83"/>
      <c r="R40" s="94"/>
      <c r="S40" s="83"/>
      <c r="T40" s="83"/>
      <c r="V40" s="84"/>
    </row>
    <row r="41" ht="15.75" customHeight="1">
      <c r="A41" s="70"/>
      <c r="B41" s="96"/>
      <c r="C41" s="74"/>
      <c r="D41" s="75"/>
      <c r="E41" s="74"/>
      <c r="F41" s="74"/>
      <c r="G41" s="75"/>
      <c r="H41" s="76"/>
      <c r="I41" s="77"/>
      <c r="J41" s="75"/>
      <c r="K41" s="78"/>
      <c r="L41" s="128"/>
      <c r="M41" s="80"/>
      <c r="N41" s="81"/>
      <c r="O41" s="82"/>
      <c r="P41" s="75"/>
      <c r="Q41" s="83"/>
      <c r="R41" s="93"/>
      <c r="S41" s="83"/>
      <c r="T41" s="83"/>
      <c r="V41" s="84"/>
    </row>
    <row r="42" ht="15.75" customHeight="1">
      <c r="A42" s="70"/>
      <c r="B42" s="96"/>
      <c r="C42" s="72"/>
      <c r="D42" s="75"/>
      <c r="E42" s="74"/>
      <c r="F42" s="74"/>
      <c r="G42" s="75"/>
      <c r="H42" s="76"/>
      <c r="I42" s="77"/>
      <c r="J42" s="75"/>
      <c r="K42" s="78"/>
      <c r="L42" s="128"/>
      <c r="M42" s="80"/>
      <c r="N42" s="81"/>
      <c r="O42" s="82"/>
      <c r="P42" s="75"/>
      <c r="Q42" s="97"/>
      <c r="R42" s="94"/>
      <c r="S42" s="83"/>
      <c r="T42" s="83"/>
      <c r="V42" s="84"/>
    </row>
    <row r="43" ht="15.75" customHeight="1">
      <c r="A43" s="70"/>
      <c r="B43" s="96"/>
      <c r="C43" s="72"/>
      <c r="D43" s="75"/>
      <c r="E43" s="74"/>
      <c r="F43" s="74"/>
      <c r="G43" s="75"/>
      <c r="H43" s="76"/>
      <c r="I43" s="77"/>
      <c r="J43" s="75"/>
      <c r="K43" s="78"/>
      <c r="L43" s="128"/>
      <c r="M43" s="80"/>
      <c r="N43" s="81"/>
      <c r="O43" s="98"/>
      <c r="P43" s="75"/>
      <c r="Q43" s="83"/>
      <c r="R43" s="93"/>
      <c r="S43" s="83"/>
      <c r="T43" s="83"/>
      <c r="V43" s="84"/>
    </row>
    <row r="44" ht="15.75" customHeight="1">
      <c r="A44" s="70"/>
      <c r="B44" s="96"/>
      <c r="C44" s="72"/>
      <c r="D44" s="75"/>
      <c r="E44" s="74"/>
      <c r="F44" s="74"/>
      <c r="G44" s="75"/>
      <c r="H44" s="76"/>
      <c r="I44" s="77"/>
      <c r="J44" s="75"/>
      <c r="K44" s="78"/>
      <c r="L44" s="128"/>
      <c r="M44" s="80"/>
      <c r="N44" s="81"/>
      <c r="O44" s="98"/>
      <c r="P44" s="75"/>
      <c r="Q44" s="83"/>
      <c r="R44" s="93"/>
      <c r="S44" s="83"/>
      <c r="T44" s="83"/>
      <c r="V44" s="84"/>
    </row>
    <row r="45" ht="15.75" customHeight="1">
      <c r="A45" s="70"/>
      <c r="B45" s="96"/>
      <c r="C45" s="72"/>
      <c r="D45" s="75"/>
      <c r="E45" s="74"/>
      <c r="F45" s="74"/>
      <c r="G45" s="75"/>
      <c r="H45" s="76"/>
      <c r="I45" s="77"/>
      <c r="J45" s="75"/>
      <c r="K45" s="78"/>
      <c r="L45" s="128"/>
      <c r="M45" s="80"/>
      <c r="N45" s="81"/>
      <c r="O45" s="82"/>
      <c r="P45" s="75"/>
      <c r="Q45" s="75"/>
      <c r="R45" s="93"/>
      <c r="S45" s="83"/>
      <c r="T45" s="83"/>
      <c r="V45" s="84"/>
    </row>
    <row r="46" ht="15.75" customHeight="1">
      <c r="A46" s="70"/>
      <c r="B46" s="96"/>
      <c r="C46" s="74"/>
      <c r="D46" s="75"/>
      <c r="E46" s="74"/>
      <c r="F46" s="74"/>
      <c r="G46" s="75"/>
      <c r="H46" s="76"/>
      <c r="I46" s="77"/>
      <c r="J46" s="75"/>
      <c r="K46" s="78"/>
      <c r="L46" s="128"/>
      <c r="M46" s="80"/>
      <c r="N46" s="81"/>
      <c r="O46" s="98"/>
      <c r="P46" s="75"/>
      <c r="Q46" s="75"/>
      <c r="R46" s="93"/>
      <c r="S46" s="83"/>
      <c r="T46" s="83"/>
      <c r="V46" s="84"/>
    </row>
    <row r="47" ht="15.75" customHeight="1">
      <c r="A47" s="70"/>
      <c r="B47" s="96"/>
      <c r="C47" s="72"/>
      <c r="D47" s="75"/>
      <c r="E47" s="74"/>
      <c r="F47" s="74"/>
      <c r="G47" s="75"/>
      <c r="H47" s="76"/>
      <c r="I47" s="77"/>
      <c r="J47" s="75"/>
      <c r="K47" s="78"/>
      <c r="L47" s="128"/>
      <c r="M47" s="80"/>
      <c r="N47" s="81"/>
      <c r="O47" s="82"/>
      <c r="P47" s="75"/>
      <c r="Q47" s="83"/>
      <c r="R47" s="87"/>
      <c r="S47" s="83"/>
      <c r="T47" s="83"/>
      <c r="V47" s="84"/>
    </row>
    <row r="48" ht="15.75" customHeight="1">
      <c r="A48" s="70"/>
      <c r="B48" s="96"/>
      <c r="C48" s="72"/>
      <c r="D48" s="75"/>
      <c r="E48" s="74"/>
      <c r="F48" s="95"/>
      <c r="G48" s="75"/>
      <c r="H48" s="76"/>
      <c r="I48" s="77"/>
      <c r="J48" s="75"/>
      <c r="K48" s="78"/>
      <c r="L48" s="128"/>
      <c r="M48" s="80"/>
      <c r="N48" s="81"/>
      <c r="O48" s="82"/>
      <c r="P48" s="75"/>
      <c r="Q48" s="99"/>
      <c r="R48" s="94"/>
      <c r="S48" s="83"/>
      <c r="T48" s="83"/>
      <c r="V48" s="84"/>
    </row>
    <row r="49" ht="15.75" customHeight="1">
      <c r="A49" s="70"/>
      <c r="B49" s="96"/>
      <c r="C49" s="72"/>
      <c r="D49" s="75"/>
      <c r="E49" s="74"/>
      <c r="F49" s="74"/>
      <c r="G49" s="75"/>
      <c r="H49" s="76"/>
      <c r="I49" s="77"/>
      <c r="J49" s="75"/>
      <c r="K49" s="78"/>
      <c r="L49" s="128"/>
      <c r="M49" s="80"/>
      <c r="N49" s="81"/>
      <c r="O49" s="82"/>
      <c r="P49" s="75"/>
      <c r="Q49" s="99"/>
      <c r="R49" s="94"/>
      <c r="S49" s="83"/>
      <c r="T49" s="83"/>
      <c r="V49" s="84"/>
    </row>
    <row r="50" ht="15.75" customHeight="1">
      <c r="A50" s="70"/>
      <c r="B50" s="96"/>
      <c r="C50" s="72"/>
      <c r="D50" s="75"/>
      <c r="E50" s="74"/>
      <c r="F50" s="74"/>
      <c r="G50" s="75"/>
      <c r="H50" s="76"/>
      <c r="I50" s="77"/>
      <c r="J50" s="75"/>
      <c r="K50" s="78"/>
      <c r="L50" s="128"/>
      <c r="M50" s="80"/>
      <c r="N50" s="81"/>
      <c r="O50" s="98"/>
      <c r="P50" s="75"/>
      <c r="Q50" s="83"/>
      <c r="R50" s="93"/>
      <c r="S50" s="83"/>
      <c r="T50" s="83"/>
      <c r="V50" s="84"/>
    </row>
    <row r="51" ht="15.75" customHeight="1">
      <c r="A51" s="70"/>
      <c r="B51" s="96"/>
      <c r="C51" s="72"/>
      <c r="D51" s="75"/>
      <c r="E51" s="74"/>
      <c r="F51" s="74"/>
      <c r="G51" s="75"/>
      <c r="H51" s="76"/>
      <c r="I51" s="77"/>
      <c r="J51" s="75"/>
      <c r="K51" s="78"/>
      <c r="L51" s="128"/>
      <c r="M51" s="80"/>
      <c r="N51" s="81"/>
      <c r="O51" s="82"/>
      <c r="P51" s="75"/>
      <c r="Q51" s="100"/>
      <c r="R51" s="93"/>
      <c r="S51" s="83"/>
      <c r="T51" s="83"/>
      <c r="V51" s="84"/>
    </row>
    <row r="52" ht="15.75" customHeight="1">
      <c r="A52" s="70"/>
      <c r="B52" s="96"/>
      <c r="C52" s="72"/>
      <c r="D52" s="75"/>
      <c r="E52" s="74"/>
      <c r="F52" s="74"/>
      <c r="G52" s="75"/>
      <c r="H52" s="76"/>
      <c r="I52" s="77"/>
      <c r="J52" s="75"/>
      <c r="K52" s="78"/>
      <c r="L52" s="128"/>
      <c r="M52" s="80"/>
      <c r="N52" s="81"/>
      <c r="O52" s="82"/>
      <c r="P52" s="75"/>
      <c r="Q52" s="83"/>
      <c r="R52" s="93"/>
      <c r="S52" s="83"/>
      <c r="T52" s="83"/>
      <c r="V52" s="84"/>
    </row>
    <row r="53" ht="15.75" customHeight="1">
      <c r="A53" s="70"/>
      <c r="B53" s="96"/>
      <c r="C53" s="72"/>
      <c r="D53" s="75"/>
      <c r="E53" s="74"/>
      <c r="F53" s="74"/>
      <c r="G53" s="75"/>
      <c r="H53" s="76"/>
      <c r="I53" s="77"/>
      <c r="J53" s="75"/>
      <c r="K53" s="78"/>
      <c r="L53" s="128"/>
      <c r="M53" s="80"/>
      <c r="N53" s="81"/>
      <c r="O53" s="82"/>
      <c r="P53" s="75"/>
      <c r="Q53" s="99"/>
      <c r="R53" s="94"/>
      <c r="S53" s="83"/>
      <c r="T53" s="83"/>
      <c r="V53" s="84"/>
    </row>
    <row r="54" ht="15.75" customHeight="1">
      <c r="A54" s="70"/>
      <c r="B54" s="96"/>
      <c r="C54" s="72"/>
      <c r="D54" s="75"/>
      <c r="E54" s="74"/>
      <c r="F54" s="74"/>
      <c r="G54" s="75"/>
      <c r="H54" s="76"/>
      <c r="I54" s="77"/>
      <c r="J54" s="75"/>
      <c r="K54" s="78"/>
      <c r="L54" s="128"/>
      <c r="M54" s="80"/>
      <c r="N54" s="81"/>
      <c r="O54" s="82"/>
      <c r="P54" s="75"/>
      <c r="Q54" s="99"/>
      <c r="R54" s="101"/>
      <c r="S54" s="83"/>
      <c r="T54" s="83"/>
      <c r="V54" s="84"/>
    </row>
    <row r="55" ht="15.75" customHeight="1">
      <c r="A55" s="70"/>
      <c r="B55" s="96"/>
      <c r="C55" s="72"/>
      <c r="D55" s="75"/>
      <c r="E55" s="74"/>
      <c r="F55" s="74"/>
      <c r="G55" s="75"/>
      <c r="H55" s="76"/>
      <c r="I55" s="77"/>
      <c r="J55" s="75"/>
      <c r="K55" s="78"/>
      <c r="L55" s="128"/>
      <c r="M55" s="80"/>
      <c r="N55" s="81"/>
      <c r="O55" s="82"/>
      <c r="P55" s="75"/>
      <c r="Q55" s="83"/>
      <c r="R55" s="94"/>
      <c r="S55" s="83"/>
      <c r="T55" s="83"/>
      <c r="V55" s="84"/>
    </row>
    <row r="56" ht="15.75" customHeight="1">
      <c r="A56" s="70"/>
      <c r="B56" s="96"/>
      <c r="C56" s="102"/>
      <c r="D56" s="75"/>
      <c r="E56" s="103"/>
      <c r="F56" s="74"/>
      <c r="G56" s="75"/>
      <c r="H56" s="76"/>
      <c r="I56" s="77"/>
      <c r="J56" s="75"/>
      <c r="K56" s="78"/>
      <c r="L56" s="128"/>
      <c r="M56" s="80"/>
      <c r="N56" s="81"/>
      <c r="O56" s="82"/>
      <c r="P56" s="75"/>
      <c r="Q56" s="97"/>
      <c r="R56" s="94"/>
      <c r="S56" s="83"/>
      <c r="T56" s="83"/>
      <c r="V56" s="84"/>
    </row>
    <row r="57" ht="15.75" customHeight="1">
      <c r="A57" s="70"/>
      <c r="B57" s="96"/>
      <c r="C57" s="72"/>
      <c r="D57" s="75"/>
      <c r="E57" s="74"/>
      <c r="F57" s="74"/>
      <c r="G57" s="75"/>
      <c r="H57" s="76"/>
      <c r="I57" s="77"/>
      <c r="J57" s="75"/>
      <c r="K57" s="78"/>
      <c r="L57" s="128"/>
      <c r="M57" s="80"/>
      <c r="N57" s="81"/>
      <c r="O57" s="82"/>
      <c r="P57" s="75"/>
      <c r="Q57" s="100"/>
      <c r="R57" s="93"/>
      <c r="S57" s="83"/>
      <c r="T57" s="83"/>
      <c r="V57" s="84"/>
    </row>
    <row r="58" ht="15.75" customHeight="1">
      <c r="A58" s="70"/>
      <c r="B58" s="96"/>
      <c r="C58" s="72"/>
      <c r="D58" s="75"/>
      <c r="E58" s="74"/>
      <c r="F58" s="74"/>
      <c r="G58" s="75"/>
      <c r="H58" s="76"/>
      <c r="I58" s="77"/>
      <c r="J58" s="75"/>
      <c r="K58" s="78"/>
      <c r="L58" s="128"/>
      <c r="M58" s="80"/>
      <c r="N58" s="81"/>
      <c r="O58" s="82"/>
      <c r="P58" s="75"/>
      <c r="Q58" s="97"/>
      <c r="R58" s="94"/>
      <c r="S58" s="83"/>
      <c r="T58" s="83"/>
      <c r="V58" s="84"/>
    </row>
    <row r="59" ht="15.75" customHeight="1">
      <c r="A59" s="70"/>
      <c r="B59" s="96"/>
      <c r="C59" s="72"/>
      <c r="D59" s="75"/>
      <c r="E59" s="74"/>
      <c r="F59" s="74"/>
      <c r="G59" s="75"/>
      <c r="H59" s="76"/>
      <c r="I59" s="77"/>
      <c r="J59" s="75"/>
      <c r="K59" s="78"/>
      <c r="L59" s="128"/>
      <c r="M59" s="80"/>
      <c r="N59" s="81"/>
      <c r="O59" s="82"/>
      <c r="P59" s="75"/>
      <c r="Q59" s="75"/>
      <c r="R59" s="93"/>
      <c r="S59" s="83"/>
      <c r="T59" s="83"/>
      <c r="V59" s="84"/>
    </row>
    <row r="60" ht="15.75" customHeight="1">
      <c r="A60" s="70"/>
      <c r="B60" s="96"/>
      <c r="C60" s="72"/>
      <c r="D60" s="75"/>
      <c r="E60" s="74"/>
      <c r="F60" s="74"/>
      <c r="G60" s="75"/>
      <c r="H60" s="76"/>
      <c r="I60" s="77"/>
      <c r="J60" s="75"/>
      <c r="K60" s="78"/>
      <c r="L60" s="128"/>
      <c r="M60" s="80"/>
      <c r="N60" s="81"/>
      <c r="O60" s="82"/>
      <c r="P60" s="75"/>
      <c r="Q60" s="83"/>
      <c r="R60" s="94"/>
      <c r="S60" s="83"/>
      <c r="T60" s="83"/>
      <c r="V60" s="84"/>
    </row>
    <row r="61" ht="15.75" customHeight="1">
      <c r="A61" s="70"/>
      <c r="B61" s="96"/>
      <c r="C61" s="72"/>
      <c r="D61" s="75"/>
      <c r="E61" s="74"/>
      <c r="F61" s="74"/>
      <c r="G61" s="75"/>
      <c r="H61" s="76"/>
      <c r="I61" s="77"/>
      <c r="J61" s="75"/>
      <c r="K61" s="78"/>
      <c r="L61" s="128"/>
      <c r="M61" s="80"/>
      <c r="N61" s="81"/>
      <c r="O61" s="98"/>
      <c r="P61" s="75"/>
      <c r="Q61" s="75"/>
      <c r="R61" s="93"/>
      <c r="S61" s="83"/>
      <c r="T61" s="83"/>
      <c r="V61" s="84"/>
    </row>
    <row r="62" ht="15.75" customHeight="1">
      <c r="A62" s="70"/>
      <c r="B62" s="96"/>
      <c r="C62" s="72"/>
      <c r="D62" s="75"/>
      <c r="E62" s="74"/>
      <c r="F62" s="74"/>
      <c r="G62" s="75"/>
      <c r="H62" s="76"/>
      <c r="I62" s="77"/>
      <c r="J62" s="75"/>
      <c r="K62" s="78"/>
      <c r="L62" s="128"/>
      <c r="M62" s="80"/>
      <c r="N62" s="81"/>
      <c r="O62" s="98"/>
      <c r="P62" s="75"/>
      <c r="Q62" s="75"/>
      <c r="R62" s="93"/>
      <c r="S62" s="83"/>
      <c r="T62" s="83"/>
      <c r="V62" s="84"/>
    </row>
    <row r="63" ht="15.75" customHeight="1">
      <c r="A63" s="70"/>
      <c r="B63" s="96"/>
      <c r="C63" s="72"/>
      <c r="D63" s="75"/>
      <c r="E63" s="74"/>
      <c r="F63" s="74"/>
      <c r="G63" s="75"/>
      <c r="H63" s="76"/>
      <c r="I63" s="77"/>
      <c r="J63" s="75"/>
      <c r="K63" s="78"/>
      <c r="L63" s="128"/>
      <c r="M63" s="80"/>
      <c r="N63" s="81"/>
      <c r="O63" s="82"/>
      <c r="P63" s="75"/>
      <c r="Q63" s="75"/>
      <c r="R63" s="93"/>
      <c r="S63" s="83"/>
      <c r="T63" s="83"/>
      <c r="V63" s="84"/>
    </row>
    <row r="64" ht="15.75" customHeight="1">
      <c r="A64" s="70"/>
      <c r="B64" s="96"/>
      <c r="C64" s="74"/>
      <c r="D64" s="75"/>
      <c r="E64" s="74"/>
      <c r="F64" s="74"/>
      <c r="G64" s="75"/>
      <c r="H64" s="76"/>
      <c r="I64" s="77"/>
      <c r="J64" s="75"/>
      <c r="K64" s="78"/>
      <c r="L64" s="78"/>
      <c r="M64" s="80"/>
      <c r="N64" s="81"/>
      <c r="O64" s="82"/>
      <c r="P64" s="75"/>
      <c r="Q64" s="97"/>
      <c r="R64" s="87"/>
      <c r="S64" s="83"/>
      <c r="T64" s="83"/>
      <c r="V64" s="84"/>
    </row>
    <row r="65" ht="15.75" customHeight="1">
      <c r="A65" s="70"/>
      <c r="B65" s="96"/>
      <c r="C65" s="77"/>
      <c r="D65" s="75"/>
      <c r="E65" s="103"/>
      <c r="F65" s="86"/>
      <c r="G65" s="75"/>
      <c r="H65" s="76"/>
      <c r="I65" s="83"/>
      <c r="J65" s="75"/>
      <c r="K65" s="78"/>
      <c r="L65" s="79"/>
      <c r="M65" s="80"/>
      <c r="N65" s="81"/>
      <c r="O65" s="82"/>
      <c r="P65" s="75"/>
      <c r="Q65" s="99"/>
      <c r="R65" s="87"/>
      <c r="S65" s="83"/>
      <c r="T65" s="83"/>
      <c r="V65" s="84"/>
    </row>
    <row r="66" ht="15.75" customHeight="1">
      <c r="A66" s="70"/>
      <c r="B66" s="96"/>
      <c r="C66" s="94"/>
      <c r="D66" s="75"/>
      <c r="E66" s="103"/>
      <c r="F66" s="104"/>
      <c r="G66" s="75"/>
      <c r="H66" s="76"/>
      <c r="I66" s="83"/>
      <c r="J66" s="75"/>
      <c r="K66" s="105"/>
      <c r="L66" s="106"/>
      <c r="M66" s="80"/>
      <c r="N66" s="107"/>
      <c r="O66" s="98"/>
      <c r="P66" s="75"/>
      <c r="Q66" s="75"/>
      <c r="R66" s="93"/>
      <c r="S66" s="75"/>
      <c r="T66" s="75"/>
      <c r="V66" s="84"/>
    </row>
    <row r="67" ht="15.75" customHeight="1">
      <c r="A67" s="70"/>
      <c r="B67" s="96"/>
      <c r="C67" s="94"/>
      <c r="D67" s="75"/>
      <c r="E67" s="108"/>
      <c r="F67" s="104"/>
      <c r="G67" s="75"/>
      <c r="H67" s="76"/>
      <c r="I67" s="83"/>
      <c r="J67" s="75"/>
      <c r="K67" s="78"/>
      <c r="L67" s="79"/>
      <c r="M67" s="80"/>
      <c r="N67" s="107"/>
      <c r="O67" s="98"/>
      <c r="P67" s="75"/>
      <c r="Q67" s="99"/>
      <c r="R67" s="94"/>
      <c r="S67" s="83"/>
      <c r="T67" s="83"/>
      <c r="V67" s="84"/>
    </row>
    <row r="68" ht="15.75" customHeight="1">
      <c r="A68" s="70"/>
      <c r="B68" s="96"/>
      <c r="C68" s="94"/>
      <c r="D68" s="75"/>
      <c r="E68" s="108"/>
      <c r="F68" s="104"/>
      <c r="G68" s="75"/>
      <c r="H68" s="76"/>
      <c r="I68" s="83"/>
      <c r="J68" s="75"/>
      <c r="K68" s="105"/>
      <c r="L68" s="106"/>
      <c r="M68" s="80"/>
      <c r="N68" s="107"/>
      <c r="O68" s="98"/>
      <c r="P68" s="75"/>
      <c r="Q68" s="99"/>
      <c r="R68" s="93"/>
      <c r="S68" s="75"/>
      <c r="T68" s="83"/>
      <c r="V68" s="84"/>
    </row>
    <row r="69" ht="15.75" customHeight="1">
      <c r="A69" s="70"/>
      <c r="B69" s="96"/>
      <c r="C69" s="76"/>
      <c r="D69" s="75"/>
      <c r="E69" s="108"/>
      <c r="F69" s="109"/>
      <c r="G69" s="75"/>
      <c r="H69" s="76"/>
      <c r="I69" s="83"/>
      <c r="J69" s="75"/>
      <c r="K69" s="78"/>
      <c r="L69" s="79"/>
      <c r="M69" s="80"/>
      <c r="N69" s="107"/>
      <c r="O69" s="98"/>
      <c r="P69" s="75"/>
      <c r="Q69" s="97"/>
      <c r="R69" s="94"/>
      <c r="S69" s="83"/>
      <c r="T69" s="83"/>
      <c r="V69" s="84"/>
    </row>
    <row r="70" ht="15.75" customHeight="1">
      <c r="A70" s="70"/>
      <c r="B70" s="96"/>
      <c r="C70" s="76"/>
      <c r="D70" s="75"/>
      <c r="E70" s="108"/>
      <c r="F70" s="104"/>
      <c r="G70" s="75"/>
      <c r="H70" s="76"/>
      <c r="I70" s="83"/>
      <c r="J70" s="75"/>
      <c r="K70" s="105"/>
      <c r="L70" s="106"/>
      <c r="M70" s="80"/>
      <c r="N70" s="107"/>
      <c r="O70" s="98"/>
      <c r="P70" s="75"/>
      <c r="Q70" s="100"/>
      <c r="R70" s="93"/>
      <c r="S70" s="75"/>
      <c r="T70" s="75"/>
      <c r="V70" s="84"/>
    </row>
    <row r="71" ht="15.75" customHeight="1">
      <c r="A71" s="70"/>
      <c r="B71" s="96"/>
      <c r="C71" s="76"/>
      <c r="D71" s="75"/>
      <c r="E71" s="108"/>
      <c r="F71" s="104"/>
      <c r="G71" s="75"/>
      <c r="H71" s="76"/>
      <c r="I71" s="83"/>
      <c r="J71" s="75"/>
      <c r="K71" s="78"/>
      <c r="L71" s="79"/>
      <c r="M71" s="80"/>
      <c r="N71" s="107"/>
      <c r="O71" s="98"/>
      <c r="P71" s="75"/>
      <c r="Q71" s="99"/>
      <c r="R71" s="94"/>
      <c r="S71" s="83"/>
      <c r="T71" s="83"/>
      <c r="V71" s="84"/>
    </row>
    <row r="72" ht="15.75" customHeight="1">
      <c r="A72" s="70"/>
      <c r="B72" s="96"/>
      <c r="C72" s="76"/>
      <c r="D72" s="75"/>
      <c r="E72" s="103"/>
      <c r="F72" s="104"/>
      <c r="G72" s="75"/>
      <c r="H72" s="76"/>
      <c r="I72" s="83"/>
      <c r="J72" s="75"/>
      <c r="K72" s="105"/>
      <c r="L72" s="106"/>
      <c r="M72" s="80"/>
      <c r="N72" s="81"/>
      <c r="O72" s="98"/>
      <c r="P72" s="75"/>
      <c r="Q72" s="99"/>
      <c r="R72" s="94"/>
      <c r="S72" s="83"/>
      <c r="T72" s="83"/>
      <c r="V72" s="84"/>
    </row>
    <row r="73" ht="15.75" customHeight="1">
      <c r="A73" s="70"/>
      <c r="B73" s="96"/>
      <c r="C73" s="76"/>
      <c r="D73" s="75"/>
      <c r="E73" s="103"/>
      <c r="F73" s="109"/>
      <c r="G73" s="75"/>
      <c r="H73" s="76"/>
      <c r="I73" s="83"/>
      <c r="J73" s="75"/>
      <c r="K73" s="78"/>
      <c r="L73" s="79"/>
      <c r="M73" s="80"/>
      <c r="N73" s="81"/>
      <c r="O73" s="98"/>
      <c r="P73" s="75"/>
      <c r="Q73" s="97"/>
      <c r="R73" s="94"/>
      <c r="S73" s="83"/>
      <c r="T73" s="83"/>
      <c r="V73" s="84"/>
    </row>
    <row r="74" ht="15.75" customHeight="1">
      <c r="A74" s="70"/>
      <c r="B74" s="96"/>
      <c r="C74" s="94"/>
      <c r="D74" s="75"/>
      <c r="E74" s="103"/>
      <c r="F74" s="104"/>
      <c r="G74" s="75"/>
      <c r="H74" s="76"/>
      <c r="I74" s="83"/>
      <c r="J74" s="75"/>
      <c r="K74" s="105"/>
      <c r="L74" s="106"/>
      <c r="M74" s="80"/>
      <c r="N74" s="81"/>
      <c r="O74" s="98"/>
      <c r="P74" s="75"/>
      <c r="Q74" s="97"/>
      <c r="R74" s="94"/>
      <c r="S74" s="83"/>
      <c r="T74" s="83"/>
      <c r="V74" s="84"/>
    </row>
    <row r="75" ht="15.75" customHeight="1">
      <c r="A75" s="70"/>
      <c r="B75" s="96"/>
      <c r="C75" s="94"/>
      <c r="D75" s="75"/>
      <c r="E75" s="103"/>
      <c r="F75" s="104"/>
      <c r="G75" s="75"/>
      <c r="H75" s="76"/>
      <c r="I75" s="83"/>
      <c r="J75" s="75"/>
      <c r="K75" s="78"/>
      <c r="L75" s="79"/>
      <c r="M75" s="80"/>
      <c r="N75" s="107"/>
      <c r="O75" s="98"/>
      <c r="P75" s="75"/>
      <c r="Q75" s="100"/>
      <c r="R75" s="93"/>
      <c r="S75" s="75"/>
      <c r="T75" s="75"/>
      <c r="V75" s="84"/>
    </row>
    <row r="76" ht="15.75" customHeight="1">
      <c r="A76" s="70"/>
      <c r="B76" s="96"/>
      <c r="C76" s="76"/>
      <c r="D76" s="75"/>
      <c r="E76" s="103"/>
      <c r="F76" s="104"/>
      <c r="G76" s="75"/>
      <c r="H76" s="76"/>
      <c r="I76" s="83"/>
      <c r="J76" s="75"/>
      <c r="K76" s="105"/>
      <c r="L76" s="106"/>
      <c r="M76" s="80"/>
      <c r="N76" s="81"/>
      <c r="O76" s="98"/>
      <c r="P76" s="75"/>
      <c r="Q76" s="97"/>
      <c r="R76" s="94"/>
      <c r="S76" s="83"/>
      <c r="T76" s="83"/>
      <c r="V76" s="84"/>
    </row>
    <row r="77" ht="15.75" customHeight="1">
      <c r="A77" s="70"/>
      <c r="B77" s="96"/>
      <c r="C77" s="76"/>
      <c r="D77" s="75"/>
      <c r="E77" s="108"/>
      <c r="F77" s="104"/>
      <c r="G77" s="75"/>
      <c r="H77" s="76"/>
      <c r="I77" s="83"/>
      <c r="J77" s="75"/>
      <c r="K77" s="78"/>
      <c r="L77" s="79"/>
      <c r="M77" s="80"/>
      <c r="N77" s="107"/>
      <c r="O77" s="98"/>
      <c r="P77" s="75"/>
      <c r="Q77" s="100"/>
      <c r="R77" s="93"/>
      <c r="S77" s="75"/>
      <c r="T77" s="75"/>
      <c r="V77" s="84"/>
    </row>
    <row r="78" ht="15.75" customHeight="1">
      <c r="A78" s="70"/>
      <c r="B78" s="96"/>
      <c r="C78" s="76"/>
      <c r="D78" s="75"/>
      <c r="E78" s="103"/>
      <c r="F78" s="104"/>
      <c r="G78" s="75"/>
      <c r="H78" s="76"/>
      <c r="I78" s="83"/>
      <c r="J78" s="75"/>
      <c r="K78" s="105"/>
      <c r="L78" s="106"/>
      <c r="M78" s="80"/>
      <c r="N78" s="81"/>
      <c r="O78" s="98"/>
      <c r="P78" s="75"/>
      <c r="Q78" s="97"/>
      <c r="R78" s="94"/>
      <c r="S78" s="83"/>
      <c r="T78" s="83"/>
      <c r="V78" s="84"/>
    </row>
    <row r="79" ht="15.75" customHeight="1">
      <c r="A79" s="70"/>
      <c r="B79" s="96"/>
      <c r="C79" s="76"/>
      <c r="D79" s="75"/>
      <c r="E79" s="103"/>
      <c r="F79" s="104"/>
      <c r="G79" s="75"/>
      <c r="H79" s="76"/>
      <c r="I79" s="83"/>
      <c r="J79" s="75"/>
      <c r="K79" s="78"/>
      <c r="L79" s="79"/>
      <c r="M79" s="80"/>
      <c r="N79" s="107"/>
      <c r="O79" s="98"/>
      <c r="P79" s="75"/>
      <c r="Q79" s="100"/>
      <c r="R79" s="93"/>
      <c r="S79" s="75"/>
      <c r="T79" s="75"/>
      <c r="V79" s="84"/>
    </row>
    <row r="80" ht="15.75" customHeight="1">
      <c r="A80" s="70"/>
      <c r="B80" s="96"/>
      <c r="C80" s="76"/>
      <c r="D80" s="75"/>
      <c r="E80" s="103"/>
      <c r="F80" s="104"/>
      <c r="G80" s="75"/>
      <c r="H80" s="76"/>
      <c r="I80" s="83"/>
      <c r="J80" s="75"/>
      <c r="K80" s="105"/>
      <c r="L80" s="106"/>
      <c r="M80" s="80"/>
      <c r="N80" s="81"/>
      <c r="O80" s="82"/>
      <c r="P80" s="75"/>
      <c r="Q80" s="99"/>
      <c r="R80" s="94"/>
      <c r="S80" s="83"/>
      <c r="T80" s="83"/>
      <c r="V80" s="84"/>
    </row>
    <row r="81" ht="15.75" customHeight="1">
      <c r="A81" s="70"/>
      <c r="B81" s="96"/>
      <c r="C81" s="94"/>
      <c r="D81" s="75"/>
      <c r="E81" s="103"/>
      <c r="F81" s="104"/>
      <c r="G81" s="75"/>
      <c r="H81" s="76"/>
      <c r="I81" s="83"/>
      <c r="J81" s="75"/>
      <c r="K81" s="78"/>
      <c r="L81" s="79"/>
      <c r="M81" s="80"/>
      <c r="N81" s="81"/>
      <c r="O81" s="82"/>
      <c r="P81" s="75"/>
      <c r="Q81" s="97"/>
      <c r="R81" s="110"/>
      <c r="S81" s="83"/>
      <c r="T81" s="83"/>
      <c r="V81" s="84"/>
    </row>
    <row r="82" ht="15.75" customHeight="1">
      <c r="A82" s="70"/>
      <c r="B82" s="96"/>
      <c r="C82" s="94"/>
      <c r="D82" s="75"/>
      <c r="E82" s="103"/>
      <c r="F82" s="104"/>
      <c r="G82" s="75"/>
      <c r="H82" s="76"/>
      <c r="I82" s="83"/>
      <c r="J82" s="75"/>
      <c r="K82" s="105"/>
      <c r="L82" s="106"/>
      <c r="M82" s="80"/>
      <c r="N82" s="81"/>
      <c r="O82" s="82"/>
      <c r="P82" s="75"/>
      <c r="Q82" s="97"/>
      <c r="R82" s="94"/>
      <c r="S82" s="83"/>
      <c r="T82" s="83"/>
      <c r="V82" s="84"/>
    </row>
    <row r="83" ht="15.75" customHeight="1">
      <c r="A83" s="70"/>
      <c r="B83" s="96"/>
      <c r="C83" s="76"/>
      <c r="D83" s="75"/>
      <c r="E83" s="103"/>
      <c r="F83" s="104"/>
      <c r="G83" s="75"/>
      <c r="H83" s="76"/>
      <c r="I83" s="83"/>
      <c r="J83" s="75"/>
      <c r="K83" s="78"/>
      <c r="L83" s="79"/>
      <c r="M83" s="80"/>
      <c r="N83" s="107"/>
      <c r="O83" s="98"/>
      <c r="P83" s="75"/>
      <c r="Q83" s="100"/>
      <c r="R83" s="93"/>
      <c r="S83" s="75"/>
      <c r="T83" s="75"/>
      <c r="V83" s="84"/>
    </row>
    <row r="84" ht="15.75" customHeight="1">
      <c r="A84" s="70"/>
      <c r="B84" s="96"/>
      <c r="C84" s="76"/>
      <c r="D84" s="75"/>
      <c r="E84" s="103"/>
      <c r="F84" s="104"/>
      <c r="G84" s="75"/>
      <c r="H84" s="76"/>
      <c r="I84" s="83"/>
      <c r="J84" s="75"/>
      <c r="K84" s="105"/>
      <c r="L84" s="106"/>
      <c r="M84" s="80"/>
      <c r="N84" s="107"/>
      <c r="O84" s="98"/>
      <c r="P84" s="75"/>
      <c r="Q84" s="75"/>
      <c r="R84" s="93"/>
      <c r="S84" s="75"/>
      <c r="T84" s="75"/>
      <c r="V84" s="84"/>
    </row>
    <row r="85" ht="15.75" customHeight="1">
      <c r="A85" s="70"/>
      <c r="B85" s="96"/>
      <c r="C85" s="111"/>
      <c r="D85" s="75"/>
      <c r="E85" s="103"/>
      <c r="F85" s="104"/>
      <c r="G85" s="75"/>
      <c r="H85" s="76"/>
      <c r="I85" s="83"/>
      <c r="J85" s="75"/>
      <c r="K85" s="78"/>
      <c r="L85" s="79"/>
      <c r="M85" s="80"/>
      <c r="N85" s="107"/>
      <c r="O85" s="98"/>
      <c r="P85" s="75"/>
      <c r="Q85" s="100"/>
      <c r="R85" s="93"/>
      <c r="S85" s="75"/>
      <c r="T85" s="75"/>
      <c r="V85" s="84"/>
    </row>
    <row r="86" ht="15.75" customHeight="1">
      <c r="A86" s="70"/>
      <c r="B86" s="96"/>
      <c r="C86" s="77"/>
      <c r="D86" s="75"/>
      <c r="E86" s="103"/>
      <c r="F86" s="104"/>
      <c r="G86" s="75"/>
      <c r="H86" s="76"/>
      <c r="I86" s="83"/>
      <c r="J86" s="75"/>
      <c r="K86" s="105"/>
      <c r="L86" s="106"/>
      <c r="M86" s="80"/>
      <c r="N86" s="81"/>
      <c r="O86" s="82"/>
      <c r="P86" s="75"/>
      <c r="Q86" s="99"/>
      <c r="R86" s="87"/>
      <c r="S86" s="83"/>
      <c r="T86" s="83"/>
      <c r="V86" s="84"/>
    </row>
    <row r="87" ht="15.75" customHeight="1">
      <c r="A87" s="70"/>
      <c r="B87" s="96"/>
      <c r="C87" s="76"/>
      <c r="D87" s="75"/>
      <c r="E87" s="103"/>
      <c r="F87" s="104"/>
      <c r="G87" s="75"/>
      <c r="H87" s="76"/>
      <c r="I87" s="83"/>
      <c r="J87" s="75"/>
      <c r="K87" s="78"/>
      <c r="L87" s="79"/>
      <c r="M87" s="80"/>
      <c r="N87" s="107"/>
      <c r="O87" s="82"/>
      <c r="P87" s="75"/>
      <c r="Q87" s="100"/>
      <c r="R87" s="94"/>
      <c r="S87" s="83"/>
      <c r="T87" s="83"/>
      <c r="V87" s="84"/>
    </row>
    <row r="88" ht="15.75" customHeight="1">
      <c r="A88" s="70"/>
      <c r="B88" s="96"/>
      <c r="C88" s="76"/>
      <c r="D88" s="75"/>
      <c r="E88" s="103"/>
      <c r="F88" s="104"/>
      <c r="G88" s="75"/>
      <c r="H88" s="76"/>
      <c r="I88" s="83"/>
      <c r="J88" s="75"/>
      <c r="K88" s="105"/>
      <c r="L88" s="106"/>
      <c r="M88" s="80"/>
      <c r="N88" s="81"/>
      <c r="O88" s="82"/>
      <c r="P88" s="75"/>
      <c r="Q88" s="97"/>
      <c r="R88" s="94"/>
      <c r="S88" s="83"/>
      <c r="T88" s="83"/>
      <c r="V88" s="84"/>
    </row>
    <row r="89" ht="15.75" customHeight="1">
      <c r="A89" s="70"/>
      <c r="B89" s="96"/>
      <c r="C89" s="76"/>
      <c r="D89" s="75"/>
      <c r="E89" s="103"/>
      <c r="F89" s="104"/>
      <c r="G89" s="75"/>
      <c r="H89" s="76"/>
      <c r="I89" s="83"/>
      <c r="J89" s="75"/>
      <c r="K89" s="78"/>
      <c r="L89" s="79"/>
      <c r="M89" s="80"/>
      <c r="N89" s="107"/>
      <c r="O89" s="98"/>
      <c r="P89" s="75"/>
      <c r="Q89" s="75"/>
      <c r="R89" s="93"/>
      <c r="S89" s="75"/>
      <c r="T89" s="75"/>
      <c r="V89" s="84"/>
    </row>
    <row r="90" ht="15.75" customHeight="1">
      <c r="A90" s="70"/>
      <c r="B90" s="96"/>
      <c r="C90" s="112"/>
      <c r="D90" s="75"/>
      <c r="E90" s="103"/>
      <c r="F90" s="113"/>
      <c r="G90" s="75"/>
      <c r="H90" s="76"/>
      <c r="I90" s="83"/>
      <c r="J90" s="75"/>
      <c r="K90" s="105"/>
      <c r="L90" s="106"/>
      <c r="M90" s="80"/>
      <c r="N90" s="81"/>
      <c r="O90" s="82"/>
      <c r="P90" s="75"/>
      <c r="Q90" s="83"/>
      <c r="R90" s="94"/>
      <c r="S90" s="83"/>
      <c r="T90" s="83"/>
      <c r="V90" s="84"/>
    </row>
    <row r="91" ht="15.75" customHeight="1">
      <c r="A91" s="70"/>
      <c r="B91" s="96"/>
      <c r="C91" s="114"/>
      <c r="D91" s="75"/>
      <c r="E91" s="103"/>
      <c r="F91" s="104"/>
      <c r="G91" s="75"/>
      <c r="H91" s="76"/>
      <c r="I91" s="83"/>
      <c r="J91" s="75"/>
      <c r="K91" s="78"/>
      <c r="L91" s="79"/>
      <c r="M91" s="80"/>
      <c r="N91" s="107"/>
      <c r="O91" s="98"/>
      <c r="P91" s="75"/>
      <c r="Q91" s="75"/>
      <c r="R91" s="93"/>
      <c r="S91" s="75"/>
      <c r="T91" s="75"/>
      <c r="V91" s="84"/>
    </row>
    <row r="92" ht="15.75" customHeight="1">
      <c r="A92" s="70"/>
      <c r="B92" s="96"/>
      <c r="C92" s="112"/>
      <c r="D92" s="75"/>
      <c r="E92" s="103"/>
      <c r="F92" s="104"/>
      <c r="G92" s="75"/>
      <c r="H92" s="76"/>
      <c r="I92" s="83"/>
      <c r="J92" s="75"/>
      <c r="K92" s="105"/>
      <c r="L92" s="106"/>
      <c r="M92" s="80"/>
      <c r="N92" s="81"/>
      <c r="O92" s="82"/>
      <c r="P92" s="75"/>
      <c r="Q92" s="99"/>
      <c r="R92" s="94"/>
      <c r="S92" s="83"/>
      <c r="T92" s="83"/>
      <c r="V92" s="84"/>
    </row>
    <row r="93" ht="15.75" customHeight="1">
      <c r="A93" s="70"/>
      <c r="B93" s="96"/>
      <c r="C93" s="114"/>
      <c r="D93" s="75"/>
      <c r="E93" s="104"/>
      <c r="F93" s="104"/>
      <c r="G93" s="75"/>
      <c r="H93" s="76"/>
      <c r="I93" s="83"/>
      <c r="J93" s="75"/>
      <c r="K93" s="78"/>
      <c r="L93" s="79"/>
      <c r="M93" s="80"/>
      <c r="N93" s="107"/>
      <c r="O93" s="98"/>
      <c r="P93" s="75"/>
      <c r="Q93" s="100"/>
      <c r="R93" s="93"/>
      <c r="S93" s="75"/>
      <c r="T93" s="75"/>
      <c r="V93" s="84"/>
    </row>
    <row r="94" ht="15.75" customHeight="1">
      <c r="A94" s="70"/>
      <c r="B94" s="96"/>
      <c r="C94" s="76"/>
      <c r="D94" s="75"/>
      <c r="E94" s="103"/>
      <c r="F94" s="104"/>
      <c r="G94" s="75"/>
      <c r="H94" s="76"/>
      <c r="I94" s="83"/>
      <c r="J94" s="75"/>
      <c r="K94" s="105"/>
      <c r="L94" s="106"/>
      <c r="M94" s="80"/>
      <c r="N94" s="107"/>
      <c r="O94" s="98"/>
      <c r="P94" s="75"/>
      <c r="Q94" s="75"/>
      <c r="R94" s="93"/>
      <c r="S94" s="75"/>
      <c r="T94" s="75"/>
      <c r="V94" s="84"/>
    </row>
    <row r="95" ht="15.75" customHeight="1">
      <c r="A95" s="70"/>
      <c r="B95" s="96"/>
      <c r="C95" s="76"/>
      <c r="D95" s="75"/>
      <c r="E95" s="103"/>
      <c r="F95" s="104"/>
      <c r="G95" s="75"/>
      <c r="H95" s="76"/>
      <c r="I95" s="83"/>
      <c r="J95" s="75"/>
      <c r="K95" s="78"/>
      <c r="L95" s="79"/>
      <c r="M95" s="80"/>
      <c r="N95" s="81"/>
      <c r="O95" s="82"/>
      <c r="P95" s="75"/>
      <c r="Q95" s="97"/>
      <c r="R95" s="94"/>
      <c r="S95" s="83"/>
      <c r="T95" s="83"/>
      <c r="V95" s="84"/>
    </row>
    <row r="96" ht="15.75" customHeight="1">
      <c r="A96" s="70"/>
      <c r="B96" s="96"/>
      <c r="C96" s="76"/>
      <c r="D96" s="75"/>
      <c r="E96" s="103"/>
      <c r="F96" s="104"/>
      <c r="G96" s="75"/>
      <c r="H96" s="76"/>
      <c r="I96" s="83"/>
      <c r="J96" s="75"/>
      <c r="K96" s="105"/>
      <c r="L96" s="106"/>
      <c r="M96" s="80"/>
      <c r="N96" s="107"/>
      <c r="O96" s="98"/>
      <c r="P96" s="75"/>
      <c r="Q96" s="75"/>
      <c r="R96" s="93"/>
      <c r="S96" s="75"/>
      <c r="T96" s="75"/>
      <c r="V96" s="84"/>
    </row>
    <row r="97" ht="15.75" customHeight="1">
      <c r="A97" s="70"/>
      <c r="B97" s="96"/>
      <c r="C97" s="76"/>
      <c r="D97" s="75"/>
      <c r="E97" s="115"/>
      <c r="F97" s="104"/>
      <c r="G97" s="75"/>
      <c r="H97" s="76"/>
      <c r="I97" s="83"/>
      <c r="J97" s="75"/>
      <c r="K97" s="78"/>
      <c r="L97" s="79"/>
      <c r="M97" s="80"/>
      <c r="N97" s="107"/>
      <c r="O97" s="98"/>
      <c r="P97" s="75"/>
      <c r="Q97" s="100"/>
      <c r="R97" s="93"/>
      <c r="S97" s="75"/>
      <c r="T97" s="75"/>
      <c r="V97" s="84"/>
    </row>
    <row r="98" ht="15.75" customHeight="1">
      <c r="A98" s="70"/>
      <c r="B98" s="96"/>
      <c r="C98" s="94"/>
      <c r="D98" s="75"/>
      <c r="E98" s="103"/>
      <c r="F98" s="104"/>
      <c r="G98" s="75"/>
      <c r="H98" s="76"/>
      <c r="I98" s="83"/>
      <c r="J98" s="75"/>
      <c r="K98" s="105"/>
      <c r="L98" s="106"/>
      <c r="M98" s="80"/>
      <c r="N98" s="107"/>
      <c r="O98" s="98"/>
      <c r="P98" s="75"/>
      <c r="Q98" s="99"/>
      <c r="R98" s="94"/>
      <c r="S98" s="75"/>
      <c r="T98" s="83"/>
      <c r="V98" s="84"/>
    </row>
    <row r="99" ht="15.75" customHeight="1">
      <c r="A99" s="70"/>
      <c r="B99" s="96"/>
      <c r="C99" s="94"/>
      <c r="D99" s="75"/>
      <c r="E99" s="103"/>
      <c r="F99" s="104"/>
      <c r="G99" s="75"/>
      <c r="H99" s="76"/>
      <c r="I99" s="83"/>
      <c r="J99" s="75"/>
      <c r="K99" s="78"/>
      <c r="L99" s="79"/>
      <c r="M99" s="80"/>
      <c r="N99" s="107"/>
      <c r="O99" s="98"/>
      <c r="P99" s="75"/>
      <c r="Q99" s="99"/>
      <c r="R99" s="94"/>
      <c r="S99" s="75"/>
      <c r="T99" s="83"/>
      <c r="V99" s="84"/>
    </row>
    <row r="100" ht="15.75" customHeight="1">
      <c r="A100" s="70"/>
      <c r="B100" s="96"/>
      <c r="C100" s="76"/>
      <c r="D100" s="75"/>
      <c r="E100" s="108"/>
      <c r="F100" s="109"/>
      <c r="G100" s="75"/>
      <c r="H100" s="76"/>
      <c r="I100" s="83"/>
      <c r="J100" s="75"/>
      <c r="K100" s="105"/>
      <c r="L100" s="106"/>
      <c r="M100" s="80"/>
      <c r="N100" s="107"/>
      <c r="O100" s="98"/>
      <c r="P100" s="75"/>
      <c r="Q100" s="100"/>
      <c r="R100" s="93"/>
      <c r="S100" s="75"/>
      <c r="T100" s="75"/>
      <c r="V100" s="84"/>
    </row>
    <row r="101" ht="15.75" customHeight="1">
      <c r="A101" s="70"/>
      <c r="B101" s="96"/>
      <c r="C101" s="76"/>
      <c r="D101" s="75"/>
      <c r="E101" s="103"/>
      <c r="F101" s="104"/>
      <c r="G101" s="75"/>
      <c r="H101" s="76"/>
      <c r="I101" s="83"/>
      <c r="J101" s="75"/>
      <c r="K101" s="78"/>
      <c r="L101" s="79"/>
      <c r="M101" s="80"/>
      <c r="N101" s="107"/>
      <c r="O101" s="98"/>
      <c r="P101" s="75"/>
      <c r="Q101" s="75"/>
      <c r="R101" s="93"/>
      <c r="S101" s="75"/>
      <c r="T101" s="75"/>
      <c r="V101" s="84"/>
    </row>
    <row r="102" ht="15.75" customHeight="1">
      <c r="A102" s="70"/>
      <c r="B102" s="96"/>
      <c r="C102" s="76"/>
      <c r="D102" s="75"/>
      <c r="E102" s="103"/>
      <c r="F102" s="104"/>
      <c r="G102" s="75"/>
      <c r="H102" s="76"/>
      <c r="I102" s="83"/>
      <c r="J102" s="75"/>
      <c r="K102" s="105"/>
      <c r="L102" s="106"/>
      <c r="M102" s="80"/>
      <c r="N102" s="81"/>
      <c r="O102" s="82"/>
      <c r="P102" s="75"/>
      <c r="Q102" s="97"/>
      <c r="R102" s="87"/>
      <c r="S102" s="83"/>
      <c r="T102" s="83"/>
      <c r="V102" s="84"/>
    </row>
    <row r="103" ht="15.75" customHeight="1">
      <c r="A103" s="70"/>
      <c r="B103" s="116"/>
      <c r="C103" s="117"/>
      <c r="D103" s="75"/>
      <c r="E103" s="118"/>
      <c r="F103" s="113"/>
      <c r="G103" s="75"/>
      <c r="H103" s="76"/>
      <c r="I103" s="83"/>
      <c r="J103" s="75"/>
      <c r="K103" s="78"/>
      <c r="L103" s="79"/>
      <c r="M103" s="80"/>
      <c r="N103" s="81"/>
      <c r="O103" s="98"/>
      <c r="P103" s="75"/>
      <c r="Q103" s="100"/>
      <c r="R103" s="93"/>
      <c r="S103" s="83"/>
      <c r="T103" s="75"/>
      <c r="V103" s="84"/>
    </row>
    <row r="104" ht="15.75" customHeight="1">
      <c r="A104" s="70"/>
      <c r="B104" s="116"/>
      <c r="C104" s="117"/>
      <c r="D104" s="75"/>
      <c r="E104" s="118"/>
      <c r="F104" s="118"/>
      <c r="G104" s="75"/>
      <c r="H104" s="76"/>
      <c r="I104" s="83"/>
      <c r="J104" s="75"/>
      <c r="K104" s="105"/>
      <c r="L104" s="106"/>
      <c r="M104" s="80"/>
      <c r="N104" s="81"/>
      <c r="O104" s="98"/>
      <c r="P104" s="75"/>
      <c r="Q104" s="75"/>
      <c r="R104" s="93"/>
      <c r="S104" s="83"/>
      <c r="T104" s="75"/>
      <c r="V104" s="84"/>
    </row>
    <row r="105" ht="15.75" customHeight="1">
      <c r="A105" s="70"/>
      <c r="B105" s="116"/>
      <c r="C105" s="84"/>
      <c r="D105" s="75"/>
      <c r="E105" s="118"/>
      <c r="F105" s="118"/>
      <c r="G105" s="75"/>
      <c r="H105" s="76"/>
      <c r="I105" s="83"/>
      <c r="J105" s="75"/>
      <c r="K105" s="78"/>
      <c r="L105" s="79"/>
      <c r="M105" s="80"/>
      <c r="N105" s="81"/>
      <c r="O105" s="98"/>
      <c r="P105" s="75"/>
      <c r="Q105" s="100"/>
      <c r="R105" s="93"/>
      <c r="S105" s="83"/>
      <c r="T105" s="75"/>
      <c r="V105" s="84"/>
    </row>
    <row r="106" ht="15.75" customHeight="1">
      <c r="A106" s="70"/>
      <c r="B106" s="116"/>
      <c r="C106" s="84"/>
      <c r="D106" s="75"/>
      <c r="E106" s="118"/>
      <c r="F106" s="118"/>
      <c r="G106" s="75"/>
      <c r="H106" s="76"/>
      <c r="I106" s="83"/>
      <c r="J106" s="75"/>
      <c r="K106" s="105"/>
      <c r="L106" s="106"/>
      <c r="M106" s="80"/>
      <c r="N106" s="81"/>
      <c r="O106" s="98"/>
      <c r="P106" s="75"/>
      <c r="Q106" s="100"/>
      <c r="R106" s="93"/>
      <c r="S106" s="83"/>
      <c r="T106" s="75"/>
      <c r="V106" s="84"/>
    </row>
    <row r="107" ht="15.75" customHeight="1">
      <c r="A107" s="70"/>
      <c r="B107" s="116"/>
      <c r="C107" s="117"/>
      <c r="D107" s="75"/>
      <c r="E107" s="118"/>
      <c r="F107" s="118"/>
      <c r="G107" s="75"/>
      <c r="H107" s="76"/>
      <c r="I107" s="83"/>
      <c r="J107" s="75"/>
      <c r="K107" s="78"/>
      <c r="L107" s="79"/>
      <c r="M107" s="80"/>
      <c r="N107" s="81"/>
      <c r="O107" s="98"/>
      <c r="P107" s="75"/>
      <c r="Q107" s="100"/>
      <c r="R107" s="93"/>
      <c r="S107" s="83"/>
      <c r="T107" s="75"/>
      <c r="V107" s="84"/>
    </row>
    <row r="108" ht="15.75" customHeight="1">
      <c r="A108" s="70"/>
      <c r="B108" s="116"/>
      <c r="C108" s="117"/>
      <c r="D108" s="75"/>
      <c r="E108" s="118"/>
      <c r="F108" s="118"/>
      <c r="G108" s="75"/>
      <c r="H108" s="76"/>
      <c r="I108" s="83"/>
      <c r="J108" s="75"/>
      <c r="K108" s="105"/>
      <c r="L108" s="106"/>
      <c r="M108" s="80"/>
      <c r="N108" s="81"/>
      <c r="O108" s="98"/>
      <c r="P108" s="75"/>
      <c r="Q108" s="75"/>
      <c r="R108" s="93"/>
      <c r="S108" s="83"/>
      <c r="T108" s="75"/>
      <c r="V108" s="84"/>
    </row>
    <row r="109" ht="15.75" customHeight="1">
      <c r="A109" s="70"/>
      <c r="B109" s="116"/>
      <c r="C109" s="117"/>
      <c r="D109" s="75"/>
      <c r="E109" s="118"/>
      <c r="F109" s="118"/>
      <c r="G109" s="75"/>
      <c r="H109" s="76"/>
      <c r="I109" s="83"/>
      <c r="J109" s="75"/>
      <c r="K109" s="78"/>
      <c r="L109" s="79"/>
      <c r="M109" s="80"/>
      <c r="N109" s="81"/>
      <c r="O109" s="98"/>
      <c r="P109" s="75"/>
      <c r="Q109" s="100"/>
      <c r="R109" s="93"/>
      <c r="S109" s="83"/>
      <c r="T109" s="75"/>
      <c r="V109" s="84"/>
    </row>
    <row r="110" ht="15.75" customHeight="1">
      <c r="A110" s="70"/>
      <c r="B110" s="116"/>
      <c r="C110" s="117"/>
      <c r="D110" s="75"/>
      <c r="E110" s="118"/>
      <c r="F110" s="118"/>
      <c r="G110" s="75"/>
      <c r="H110" s="117"/>
      <c r="I110" s="119"/>
      <c r="J110" s="75"/>
      <c r="K110" s="105"/>
      <c r="L110" s="106"/>
      <c r="M110" s="80"/>
      <c r="N110" s="107"/>
      <c r="O110" s="98"/>
      <c r="P110" s="75"/>
      <c r="Q110" s="75"/>
      <c r="R110" s="93"/>
      <c r="S110" s="75"/>
      <c r="T110" s="75"/>
      <c r="V110" s="84"/>
    </row>
    <row r="111" ht="15.75" customHeight="1">
      <c r="A111" s="70"/>
      <c r="B111" s="116"/>
      <c r="C111" s="117"/>
      <c r="D111" s="75"/>
      <c r="E111" s="118"/>
      <c r="F111" s="118"/>
      <c r="G111" s="75"/>
      <c r="H111" s="117"/>
      <c r="I111" s="75"/>
      <c r="J111" s="75"/>
      <c r="K111" s="78"/>
      <c r="L111" s="79"/>
      <c r="M111" s="80"/>
      <c r="N111" s="107"/>
      <c r="O111" s="98"/>
      <c r="P111" s="75"/>
      <c r="Q111" s="100"/>
      <c r="R111" s="93"/>
      <c r="S111" s="75"/>
      <c r="T111" s="75"/>
      <c r="V111" s="84"/>
    </row>
    <row r="112" ht="15.75" customHeight="1">
      <c r="A112" s="70"/>
      <c r="B112" s="116"/>
      <c r="C112" s="84"/>
      <c r="D112" s="75"/>
      <c r="E112" s="118"/>
      <c r="F112" s="118"/>
      <c r="G112" s="75"/>
      <c r="H112" s="117"/>
      <c r="I112" s="75"/>
      <c r="J112" s="75"/>
      <c r="K112" s="105"/>
      <c r="L112" s="106"/>
      <c r="M112" s="80"/>
      <c r="N112" s="107"/>
      <c r="O112" s="98"/>
      <c r="P112" s="75"/>
      <c r="Q112" s="75"/>
      <c r="R112" s="93"/>
      <c r="S112" s="75"/>
      <c r="T112" s="75"/>
      <c r="V112" s="84"/>
    </row>
    <row r="113" ht="15.75" customHeight="1">
      <c r="A113" s="70"/>
      <c r="B113" s="116"/>
      <c r="C113" s="84"/>
      <c r="D113" s="75"/>
      <c r="E113" s="118"/>
      <c r="F113" s="118"/>
      <c r="G113" s="75"/>
      <c r="H113" s="117"/>
      <c r="I113" s="75"/>
      <c r="J113" s="75"/>
      <c r="K113" s="78"/>
      <c r="L113" s="79"/>
      <c r="M113" s="80"/>
      <c r="N113" s="107"/>
      <c r="O113" s="98"/>
      <c r="P113" s="75"/>
      <c r="Q113" s="75"/>
      <c r="R113" s="93"/>
      <c r="S113" s="75"/>
      <c r="T113" s="75"/>
      <c r="V113" s="84"/>
    </row>
    <row r="114" ht="15.75" customHeight="1">
      <c r="A114" s="70"/>
      <c r="B114" s="116"/>
      <c r="C114" s="84"/>
      <c r="D114" s="75"/>
      <c r="E114" s="118"/>
      <c r="F114" s="118"/>
      <c r="G114" s="75"/>
      <c r="H114" s="117"/>
      <c r="I114" s="75"/>
      <c r="J114" s="75"/>
      <c r="K114" s="105"/>
      <c r="L114" s="106"/>
      <c r="M114" s="80"/>
      <c r="N114" s="107"/>
      <c r="O114" s="98"/>
      <c r="P114" s="75"/>
      <c r="Q114" s="75"/>
      <c r="R114" s="93"/>
      <c r="S114" s="75"/>
      <c r="T114" s="75"/>
      <c r="V114" s="84"/>
    </row>
    <row r="115" ht="15.75" customHeight="1">
      <c r="A115" s="70"/>
      <c r="B115" s="116"/>
      <c r="C115" s="117"/>
      <c r="D115" s="75"/>
      <c r="E115" s="118"/>
      <c r="F115" s="118"/>
      <c r="G115" s="75"/>
      <c r="H115" s="117"/>
      <c r="I115" s="75"/>
      <c r="J115" s="75"/>
      <c r="K115" s="78"/>
      <c r="L115" s="79"/>
      <c r="M115" s="80"/>
      <c r="N115" s="107"/>
      <c r="O115" s="98"/>
      <c r="P115" s="75"/>
      <c r="Q115" s="75"/>
      <c r="R115" s="93"/>
      <c r="S115" s="75"/>
      <c r="T115" s="75"/>
      <c r="V115" s="84"/>
    </row>
    <row r="116" ht="15.75" customHeight="1">
      <c r="A116" s="70"/>
      <c r="B116" s="116"/>
      <c r="C116" s="117"/>
      <c r="D116" s="75"/>
      <c r="E116" s="118"/>
      <c r="F116" s="118"/>
      <c r="G116" s="75"/>
      <c r="H116" s="117"/>
      <c r="I116" s="75"/>
      <c r="J116" s="75"/>
      <c r="K116" s="105"/>
      <c r="L116" s="106"/>
      <c r="M116" s="80"/>
      <c r="N116" s="107"/>
      <c r="O116" s="98"/>
      <c r="P116" s="75"/>
      <c r="Q116" s="75"/>
      <c r="R116" s="93"/>
      <c r="S116" s="75"/>
      <c r="T116" s="75"/>
      <c r="V116" s="84"/>
    </row>
    <row r="117" ht="15.75" customHeight="1">
      <c r="A117" s="70"/>
      <c r="B117" s="116"/>
      <c r="C117" s="117"/>
      <c r="D117" s="75"/>
      <c r="E117" s="118"/>
      <c r="F117" s="118"/>
      <c r="G117" s="75"/>
      <c r="H117" s="117"/>
      <c r="I117" s="75"/>
      <c r="J117" s="75"/>
      <c r="K117" s="78"/>
      <c r="L117" s="79"/>
      <c r="M117" s="80"/>
      <c r="N117" s="107"/>
      <c r="O117" s="98"/>
      <c r="P117" s="75"/>
      <c r="Q117" s="75"/>
      <c r="R117" s="93"/>
      <c r="S117" s="75"/>
      <c r="T117" s="75"/>
      <c r="V117" s="84"/>
    </row>
    <row r="118" ht="15.75" customHeight="1">
      <c r="A118" s="70"/>
      <c r="B118" s="116"/>
      <c r="C118" s="117"/>
      <c r="D118" s="75"/>
      <c r="E118" s="118"/>
      <c r="F118" s="118"/>
      <c r="G118" s="75"/>
      <c r="H118" s="117"/>
      <c r="I118" s="75"/>
      <c r="J118" s="75"/>
      <c r="K118" s="105"/>
      <c r="L118" s="106"/>
      <c r="M118" s="80"/>
      <c r="N118" s="107"/>
      <c r="O118" s="98"/>
      <c r="P118" s="75"/>
      <c r="Q118" s="75"/>
      <c r="R118" s="93"/>
      <c r="S118" s="75"/>
      <c r="T118" s="75"/>
      <c r="V118" s="84"/>
    </row>
    <row r="119" ht="15.75" customHeight="1">
      <c r="A119" s="70"/>
      <c r="B119" s="116"/>
      <c r="C119" s="117"/>
      <c r="D119" s="75"/>
      <c r="E119" s="118"/>
      <c r="F119" s="118"/>
      <c r="G119" s="75"/>
      <c r="H119" s="117"/>
      <c r="I119" s="75"/>
      <c r="J119" s="75"/>
      <c r="K119" s="78"/>
      <c r="L119" s="79"/>
      <c r="M119" s="80"/>
      <c r="N119" s="107"/>
      <c r="O119" s="98"/>
      <c r="P119" s="75"/>
      <c r="Q119" s="100"/>
      <c r="R119" s="93"/>
      <c r="S119" s="75"/>
      <c r="T119" s="75"/>
      <c r="V119" s="84"/>
    </row>
    <row r="120" ht="15.75" customHeight="1">
      <c r="A120" s="70"/>
      <c r="B120" s="116"/>
      <c r="C120" s="84"/>
      <c r="D120" s="75"/>
      <c r="E120" s="118"/>
      <c r="F120" s="118"/>
      <c r="G120" s="75"/>
      <c r="H120" s="117"/>
      <c r="I120" s="75"/>
      <c r="J120" s="75"/>
      <c r="K120" s="105"/>
      <c r="L120" s="106"/>
      <c r="M120" s="80"/>
      <c r="N120" s="107"/>
      <c r="O120" s="98"/>
      <c r="P120" s="75"/>
      <c r="Q120" s="75"/>
      <c r="R120" s="93"/>
      <c r="S120" s="75"/>
      <c r="T120" s="75"/>
      <c r="V120" s="84"/>
    </row>
    <row r="121" ht="15.75" customHeight="1">
      <c r="A121" s="70"/>
      <c r="B121" s="116"/>
      <c r="C121" s="84"/>
      <c r="D121" s="75"/>
      <c r="E121" s="118"/>
      <c r="F121" s="118"/>
      <c r="G121" s="75"/>
      <c r="H121" s="117"/>
      <c r="I121" s="75"/>
      <c r="J121" s="75"/>
      <c r="K121" s="78"/>
      <c r="L121" s="79"/>
      <c r="M121" s="80"/>
      <c r="N121" s="107"/>
      <c r="O121" s="98"/>
      <c r="P121" s="75"/>
      <c r="Q121" s="75"/>
      <c r="R121" s="93"/>
      <c r="S121" s="75"/>
      <c r="T121" s="75"/>
      <c r="V121" s="84"/>
    </row>
    <row r="122" ht="15.75" customHeight="1">
      <c r="A122" s="70"/>
      <c r="B122" s="116"/>
      <c r="C122" s="84"/>
      <c r="D122" s="75"/>
      <c r="E122" s="118"/>
      <c r="F122" s="118"/>
      <c r="G122" s="75"/>
      <c r="H122" s="117"/>
      <c r="I122" s="75"/>
      <c r="J122" s="75"/>
      <c r="K122" s="105"/>
      <c r="L122" s="106"/>
      <c r="M122" s="80"/>
      <c r="N122" s="107"/>
      <c r="O122" s="98"/>
      <c r="P122" s="75"/>
      <c r="Q122" s="100"/>
      <c r="R122" s="93"/>
      <c r="S122" s="75"/>
      <c r="T122" s="75"/>
      <c r="V122" s="84"/>
    </row>
    <row r="123" ht="15.75" customHeight="1">
      <c r="A123" s="70"/>
      <c r="B123" s="116"/>
      <c r="C123" s="117"/>
      <c r="D123" s="75"/>
      <c r="E123" s="118"/>
      <c r="F123" s="118"/>
      <c r="G123" s="75"/>
      <c r="H123" s="117"/>
      <c r="I123" s="75"/>
      <c r="J123" s="75"/>
      <c r="K123" s="78"/>
      <c r="L123" s="79"/>
      <c r="M123" s="80"/>
      <c r="N123" s="107"/>
      <c r="O123" s="98"/>
      <c r="P123" s="75"/>
      <c r="Q123" s="100"/>
      <c r="R123" s="93"/>
      <c r="S123" s="75"/>
      <c r="T123" s="75"/>
      <c r="V123" s="84"/>
    </row>
    <row r="124" ht="15.75" customHeight="1">
      <c r="A124" s="70"/>
      <c r="B124" s="116"/>
      <c r="C124" s="117"/>
      <c r="D124" s="75"/>
      <c r="E124" s="118"/>
      <c r="F124" s="118"/>
      <c r="G124" s="75"/>
      <c r="H124" s="117"/>
      <c r="I124" s="75"/>
      <c r="J124" s="75"/>
      <c r="K124" s="105"/>
      <c r="L124" s="106"/>
      <c r="M124" s="80"/>
      <c r="N124" s="107"/>
      <c r="O124" s="98"/>
      <c r="P124" s="75"/>
      <c r="Q124" s="100"/>
      <c r="R124" s="93"/>
      <c r="S124" s="75"/>
      <c r="T124" s="75"/>
      <c r="V124" s="84"/>
    </row>
    <row r="125" ht="15.75" customHeight="1">
      <c r="A125" s="70"/>
      <c r="B125" s="116"/>
      <c r="C125" s="117"/>
      <c r="D125" s="75"/>
      <c r="E125" s="118"/>
      <c r="F125" s="118"/>
      <c r="G125" s="75"/>
      <c r="H125" s="117"/>
      <c r="I125" s="75"/>
      <c r="J125" s="75"/>
      <c r="K125" s="78"/>
      <c r="L125" s="79"/>
      <c r="M125" s="80"/>
      <c r="N125" s="107"/>
      <c r="O125" s="98"/>
      <c r="P125" s="75"/>
      <c r="Q125" s="100"/>
      <c r="R125" s="93"/>
      <c r="S125" s="75"/>
      <c r="T125" s="75"/>
      <c r="V125" s="84"/>
    </row>
    <row r="126" ht="15.75" customHeight="1">
      <c r="A126" s="70"/>
      <c r="B126" s="116"/>
      <c r="C126" s="117"/>
      <c r="D126" s="75"/>
      <c r="E126" s="118"/>
      <c r="F126" s="118"/>
      <c r="G126" s="75"/>
      <c r="H126" s="117"/>
      <c r="I126" s="75"/>
      <c r="J126" s="75"/>
      <c r="K126" s="105"/>
      <c r="L126" s="106"/>
      <c r="M126" s="80"/>
      <c r="N126" s="107"/>
      <c r="O126" s="98"/>
      <c r="P126" s="75"/>
      <c r="Q126" s="100"/>
      <c r="R126" s="93"/>
      <c r="S126" s="75"/>
      <c r="T126" s="75"/>
      <c r="V126" s="84"/>
    </row>
    <row r="127" ht="15.75" customHeight="1">
      <c r="A127" s="70"/>
      <c r="B127" s="116"/>
      <c r="C127" s="117"/>
      <c r="D127" s="75"/>
      <c r="E127" s="118"/>
      <c r="F127" s="118"/>
      <c r="G127" s="75"/>
      <c r="H127" s="117"/>
      <c r="I127" s="75"/>
      <c r="J127" s="75"/>
      <c r="K127" s="78"/>
      <c r="L127" s="79"/>
      <c r="M127" s="80"/>
      <c r="N127" s="107"/>
      <c r="O127" s="98"/>
      <c r="P127" s="75"/>
      <c r="Q127" s="100"/>
      <c r="R127" s="93"/>
      <c r="S127" s="75"/>
      <c r="T127" s="75"/>
      <c r="V127" s="84"/>
    </row>
    <row r="128" ht="15.75" customHeight="1">
      <c r="A128" s="70"/>
      <c r="B128" s="116"/>
      <c r="C128" s="84"/>
      <c r="D128" s="75"/>
      <c r="E128" s="118"/>
      <c r="F128" s="118"/>
      <c r="G128" s="75"/>
      <c r="H128" s="117"/>
      <c r="I128" s="75"/>
      <c r="J128" s="75"/>
      <c r="K128" s="105"/>
      <c r="L128" s="106"/>
      <c r="M128" s="80"/>
      <c r="N128" s="107"/>
      <c r="O128" s="98"/>
      <c r="P128" s="75"/>
      <c r="Q128" s="75"/>
      <c r="R128" s="93"/>
      <c r="S128" s="75"/>
      <c r="T128" s="75"/>
      <c r="V128" s="84"/>
    </row>
    <row r="129" ht="15.75" customHeight="1">
      <c r="A129" s="70"/>
      <c r="B129" s="116"/>
      <c r="C129" s="84"/>
      <c r="D129" s="75"/>
      <c r="E129" s="118"/>
      <c r="F129" s="118"/>
      <c r="G129" s="75"/>
      <c r="H129" s="117"/>
      <c r="I129" s="75"/>
      <c r="J129" s="75"/>
      <c r="K129" s="78"/>
      <c r="L129" s="79"/>
      <c r="M129" s="80"/>
      <c r="N129" s="107"/>
      <c r="O129" s="98"/>
      <c r="P129" s="75"/>
      <c r="Q129" s="100"/>
      <c r="R129" s="93"/>
      <c r="S129" s="75"/>
      <c r="T129" s="75"/>
      <c r="V129" s="84"/>
    </row>
    <row r="130" ht="15.75" customHeight="1">
      <c r="A130" s="70"/>
      <c r="B130" s="116"/>
      <c r="C130" s="84"/>
      <c r="D130" s="75"/>
      <c r="E130" s="118"/>
      <c r="F130" s="118"/>
      <c r="G130" s="75"/>
      <c r="H130" s="117"/>
      <c r="I130" s="75"/>
      <c r="J130" s="75"/>
      <c r="K130" s="105"/>
      <c r="L130" s="106"/>
      <c r="M130" s="80"/>
      <c r="N130" s="107"/>
      <c r="O130" s="98"/>
      <c r="P130" s="75"/>
      <c r="Q130" s="75"/>
      <c r="R130" s="93"/>
      <c r="S130" s="75"/>
      <c r="T130" s="75"/>
      <c r="V130" s="84"/>
    </row>
    <row r="131" ht="15.75" customHeight="1">
      <c r="A131" s="70"/>
      <c r="B131" s="116"/>
      <c r="C131" s="117"/>
      <c r="D131" s="75"/>
      <c r="E131" s="118"/>
      <c r="F131" s="118"/>
      <c r="G131" s="75"/>
      <c r="H131" s="117"/>
      <c r="I131" s="75"/>
      <c r="J131" s="75"/>
      <c r="K131" s="78"/>
      <c r="L131" s="79"/>
      <c r="M131" s="80"/>
      <c r="N131" s="107"/>
      <c r="O131" s="98"/>
      <c r="P131" s="75"/>
      <c r="Q131" s="75"/>
      <c r="R131" s="93"/>
      <c r="S131" s="75"/>
      <c r="T131" s="75"/>
      <c r="V131" s="84"/>
    </row>
    <row r="132" ht="15.75" customHeight="1">
      <c r="A132" s="70"/>
      <c r="B132" s="116"/>
      <c r="C132" s="117"/>
      <c r="D132" s="75"/>
      <c r="E132" s="118"/>
      <c r="F132" s="118"/>
      <c r="G132" s="75"/>
      <c r="H132" s="117"/>
      <c r="I132" s="75"/>
      <c r="J132" s="75"/>
      <c r="K132" s="105"/>
      <c r="L132" s="106"/>
      <c r="M132" s="80"/>
      <c r="N132" s="107"/>
      <c r="O132" s="98"/>
      <c r="P132" s="75"/>
      <c r="Q132" s="100"/>
      <c r="R132" s="93"/>
      <c r="S132" s="75"/>
      <c r="T132" s="75"/>
      <c r="V132" s="84"/>
    </row>
    <row r="133" ht="15.75" customHeight="1">
      <c r="A133" s="70"/>
      <c r="B133" s="116"/>
      <c r="C133" s="117"/>
      <c r="D133" s="75"/>
      <c r="E133" s="118"/>
      <c r="F133" s="118"/>
      <c r="G133" s="75"/>
      <c r="H133" s="117"/>
      <c r="I133" s="75"/>
      <c r="J133" s="75"/>
      <c r="K133" s="78"/>
      <c r="L133" s="79"/>
      <c r="M133" s="80"/>
      <c r="N133" s="107"/>
      <c r="O133" s="98"/>
      <c r="P133" s="75"/>
      <c r="Q133" s="75"/>
      <c r="R133" s="93"/>
      <c r="S133" s="75"/>
      <c r="T133" s="75"/>
      <c r="V133" s="84"/>
    </row>
    <row r="134" ht="15.75" customHeight="1">
      <c r="A134" s="70"/>
      <c r="B134" s="116"/>
      <c r="C134" s="117"/>
      <c r="D134" s="75"/>
      <c r="E134" s="118"/>
      <c r="F134" s="118"/>
      <c r="G134" s="75"/>
      <c r="H134" s="117"/>
      <c r="I134" s="75"/>
      <c r="J134" s="75"/>
      <c r="K134" s="105"/>
      <c r="L134" s="106"/>
      <c r="M134" s="80"/>
      <c r="N134" s="107"/>
      <c r="O134" s="98"/>
      <c r="P134" s="75"/>
      <c r="Q134" s="75"/>
      <c r="R134" s="93"/>
      <c r="S134" s="75"/>
      <c r="T134" s="75"/>
      <c r="V134" s="84"/>
    </row>
    <row r="135" ht="15.75" customHeight="1">
      <c r="A135" s="70"/>
      <c r="B135" s="116"/>
      <c r="C135" s="117"/>
      <c r="D135" s="75"/>
      <c r="E135" s="118"/>
      <c r="F135" s="118"/>
      <c r="G135" s="75"/>
      <c r="H135" s="117"/>
      <c r="I135" s="75"/>
      <c r="J135" s="75"/>
      <c r="K135" s="78"/>
      <c r="L135" s="79"/>
      <c r="M135" s="80"/>
      <c r="N135" s="107"/>
      <c r="O135" s="98"/>
      <c r="P135" s="75"/>
      <c r="Q135" s="100"/>
      <c r="R135" s="93"/>
      <c r="S135" s="75"/>
      <c r="T135" s="75"/>
      <c r="V135" s="84"/>
    </row>
    <row r="136" ht="15.75" customHeight="1">
      <c r="A136" s="70"/>
      <c r="B136" s="116"/>
      <c r="C136" s="84"/>
      <c r="D136" s="75"/>
      <c r="E136" s="118"/>
      <c r="F136" s="118"/>
      <c r="G136" s="75"/>
      <c r="H136" s="117"/>
      <c r="I136" s="75"/>
      <c r="J136" s="75"/>
      <c r="K136" s="105"/>
      <c r="L136" s="106"/>
      <c r="M136" s="80"/>
      <c r="N136" s="107"/>
      <c r="O136" s="98"/>
      <c r="P136" s="75"/>
      <c r="Q136" s="75"/>
      <c r="R136" s="93"/>
      <c r="S136" s="75"/>
      <c r="T136" s="75"/>
      <c r="V136" s="84"/>
    </row>
    <row r="137" ht="15.75" customHeight="1">
      <c r="A137" s="70"/>
      <c r="B137" s="116"/>
      <c r="C137" s="84"/>
      <c r="D137" s="75"/>
      <c r="E137" s="118"/>
      <c r="F137" s="118"/>
      <c r="G137" s="75"/>
      <c r="H137" s="117"/>
      <c r="I137" s="75"/>
      <c r="J137" s="75"/>
      <c r="K137" s="78"/>
      <c r="L137" s="79"/>
      <c r="M137" s="80"/>
      <c r="N137" s="107"/>
      <c r="O137" s="98"/>
      <c r="P137" s="75"/>
      <c r="Q137" s="100"/>
      <c r="R137" s="93"/>
      <c r="S137" s="75"/>
      <c r="T137" s="75"/>
      <c r="V137" s="84"/>
    </row>
    <row r="138" ht="15.75" customHeight="1">
      <c r="A138" s="70"/>
      <c r="B138" s="116"/>
      <c r="C138" s="84"/>
      <c r="D138" s="75"/>
      <c r="E138" s="118"/>
      <c r="F138" s="118"/>
      <c r="G138" s="75"/>
      <c r="H138" s="117"/>
      <c r="I138" s="75"/>
      <c r="J138" s="75"/>
      <c r="K138" s="105"/>
      <c r="L138" s="106"/>
      <c r="M138" s="80"/>
      <c r="N138" s="107"/>
      <c r="O138" s="98"/>
      <c r="P138" s="75"/>
      <c r="Q138" s="100"/>
      <c r="R138" s="93"/>
      <c r="S138" s="75"/>
      <c r="T138" s="75"/>
      <c r="V138" s="84"/>
    </row>
    <row r="139" ht="15.75" customHeight="1">
      <c r="A139" s="70"/>
      <c r="B139" s="116"/>
      <c r="C139" s="117"/>
      <c r="D139" s="75"/>
      <c r="E139" s="118"/>
      <c r="F139" s="118"/>
      <c r="G139" s="75"/>
      <c r="H139" s="117"/>
      <c r="I139" s="75"/>
      <c r="J139" s="75"/>
      <c r="K139" s="78"/>
      <c r="L139" s="79"/>
      <c r="M139" s="80"/>
      <c r="N139" s="107"/>
      <c r="O139" s="98"/>
      <c r="P139" s="75"/>
      <c r="Q139" s="100"/>
      <c r="R139" s="93"/>
      <c r="S139" s="75"/>
      <c r="T139" s="75"/>
      <c r="V139" s="84"/>
    </row>
    <row r="140" ht="15.75" customHeight="1">
      <c r="A140" s="70"/>
      <c r="B140" s="116"/>
      <c r="C140" s="117"/>
      <c r="D140" s="75"/>
      <c r="E140" s="118"/>
      <c r="F140" s="118"/>
      <c r="G140" s="75"/>
      <c r="H140" s="117"/>
      <c r="I140" s="75"/>
      <c r="J140" s="75"/>
      <c r="K140" s="105"/>
      <c r="L140" s="106"/>
      <c r="M140" s="80"/>
      <c r="N140" s="107"/>
      <c r="O140" s="98"/>
      <c r="P140" s="75"/>
      <c r="Q140" s="75"/>
      <c r="R140" s="93"/>
      <c r="S140" s="75"/>
      <c r="T140" s="75"/>
      <c r="V140" s="84"/>
    </row>
    <row r="141" ht="15.75" customHeight="1">
      <c r="A141" s="70"/>
      <c r="B141" s="116"/>
      <c r="C141" s="117"/>
      <c r="D141" s="75"/>
      <c r="E141" s="118"/>
      <c r="F141" s="118"/>
      <c r="G141" s="75"/>
      <c r="H141" s="117"/>
      <c r="I141" s="75"/>
      <c r="J141" s="75"/>
      <c r="K141" s="78"/>
      <c r="L141" s="79"/>
      <c r="M141" s="80"/>
      <c r="N141" s="107"/>
      <c r="O141" s="98"/>
      <c r="P141" s="75"/>
      <c r="Q141" s="100"/>
      <c r="R141" s="93"/>
      <c r="S141" s="75"/>
      <c r="T141" s="75"/>
      <c r="V141" s="84"/>
    </row>
    <row r="142" ht="15.75" customHeight="1">
      <c r="A142" s="70"/>
      <c r="B142" s="116"/>
      <c r="C142" s="117"/>
      <c r="D142" s="75"/>
      <c r="E142" s="118"/>
      <c r="F142" s="118"/>
      <c r="G142" s="75"/>
      <c r="H142" s="117"/>
      <c r="I142" s="75"/>
      <c r="J142" s="75"/>
      <c r="K142" s="105"/>
      <c r="L142" s="106"/>
      <c r="M142" s="80"/>
      <c r="N142" s="107"/>
      <c r="O142" s="98"/>
      <c r="P142" s="75"/>
      <c r="Q142" s="75"/>
      <c r="R142" s="93"/>
      <c r="S142" s="75"/>
      <c r="T142" s="75"/>
      <c r="V142" s="84"/>
    </row>
    <row r="143" ht="15.75" customHeight="1">
      <c r="A143" s="70"/>
      <c r="B143" s="116"/>
      <c r="C143" s="117"/>
      <c r="D143" s="75"/>
      <c r="E143" s="118"/>
      <c r="F143" s="120"/>
      <c r="G143" s="75"/>
      <c r="H143" s="117"/>
      <c r="I143" s="75"/>
      <c r="J143" s="75"/>
      <c r="K143" s="78"/>
      <c r="L143" s="79"/>
      <c r="M143" s="80"/>
      <c r="N143" s="107"/>
      <c r="O143" s="98"/>
      <c r="P143" s="75"/>
      <c r="Q143" s="100"/>
      <c r="R143" s="93"/>
      <c r="S143" s="75"/>
      <c r="T143" s="75"/>
      <c r="V143" s="84"/>
    </row>
    <row r="144" ht="15.75" customHeight="1">
      <c r="A144" s="70"/>
      <c r="B144" s="116"/>
      <c r="C144" s="84"/>
      <c r="D144" s="75"/>
      <c r="E144" s="118"/>
      <c r="F144" s="118"/>
      <c r="G144" s="75"/>
      <c r="H144" s="117"/>
      <c r="I144" s="75"/>
      <c r="J144" s="75"/>
      <c r="K144" s="105"/>
      <c r="L144" s="106"/>
      <c r="M144" s="80"/>
      <c r="N144" s="107"/>
      <c r="O144" s="98"/>
      <c r="P144" s="75"/>
      <c r="Q144" s="75"/>
      <c r="R144" s="93"/>
      <c r="S144" s="75"/>
      <c r="T144" s="75"/>
      <c r="V144" s="84"/>
    </row>
    <row r="145" ht="15.75" customHeight="1">
      <c r="A145" s="70"/>
      <c r="B145" s="116"/>
      <c r="C145" s="84"/>
      <c r="D145" s="75"/>
      <c r="E145" s="118"/>
      <c r="F145" s="118"/>
      <c r="G145" s="75"/>
      <c r="H145" s="117"/>
      <c r="I145" s="75"/>
      <c r="J145" s="75"/>
      <c r="K145" s="78"/>
      <c r="L145" s="79"/>
      <c r="M145" s="80"/>
      <c r="N145" s="107"/>
      <c r="O145" s="98"/>
      <c r="P145" s="75"/>
      <c r="Q145" s="100"/>
      <c r="R145" s="93"/>
      <c r="S145" s="75"/>
      <c r="T145" s="75"/>
      <c r="V145" s="84"/>
    </row>
    <row r="146" ht="15.75" customHeight="1">
      <c r="A146" s="70"/>
      <c r="B146" s="116"/>
      <c r="C146" s="117"/>
      <c r="D146" s="75"/>
      <c r="E146" s="118"/>
      <c r="F146" s="118"/>
      <c r="G146" s="75"/>
      <c r="H146" s="117"/>
      <c r="I146" s="75"/>
      <c r="J146" s="75"/>
      <c r="K146" s="105"/>
      <c r="L146" s="106"/>
      <c r="M146" s="80"/>
      <c r="N146" s="107"/>
      <c r="O146" s="98"/>
      <c r="P146" s="75"/>
      <c r="Q146" s="100"/>
      <c r="R146" s="93"/>
      <c r="S146" s="75"/>
      <c r="T146" s="75"/>
      <c r="V146" s="84"/>
    </row>
    <row r="147" ht="15.75" customHeight="1">
      <c r="A147" s="70"/>
      <c r="B147" s="116"/>
      <c r="C147" s="117"/>
      <c r="D147" s="75"/>
      <c r="E147" s="118"/>
      <c r="F147" s="118"/>
      <c r="G147" s="75"/>
      <c r="H147" s="117"/>
      <c r="I147" s="75"/>
      <c r="J147" s="75"/>
      <c r="K147" s="78"/>
      <c r="L147" s="79"/>
      <c r="M147" s="80"/>
      <c r="N147" s="107"/>
      <c r="O147" s="98"/>
      <c r="P147" s="75"/>
      <c r="Q147" s="100"/>
      <c r="R147" s="93"/>
      <c r="S147" s="75"/>
      <c r="T147" s="75"/>
      <c r="V147" s="84"/>
    </row>
    <row r="148" ht="15.75" customHeight="1">
      <c r="A148" s="70"/>
      <c r="B148" s="116"/>
      <c r="C148" s="117"/>
      <c r="D148" s="75"/>
      <c r="E148" s="118"/>
      <c r="F148" s="118"/>
      <c r="G148" s="75"/>
      <c r="H148" s="117"/>
      <c r="I148" s="75"/>
      <c r="J148" s="75"/>
      <c r="K148" s="105"/>
      <c r="L148" s="106"/>
      <c r="M148" s="80"/>
      <c r="N148" s="107"/>
      <c r="O148" s="98"/>
      <c r="P148" s="75"/>
      <c r="Q148" s="100"/>
      <c r="R148" s="93"/>
      <c r="S148" s="75"/>
      <c r="T148" s="75"/>
      <c r="V148" s="84"/>
    </row>
    <row r="149" ht="15.75" customHeight="1">
      <c r="A149" s="70"/>
      <c r="B149" s="116"/>
      <c r="C149" s="117"/>
      <c r="D149" s="75"/>
      <c r="E149" s="118"/>
      <c r="F149" s="118"/>
      <c r="G149" s="75"/>
      <c r="H149" s="117"/>
      <c r="I149" s="75"/>
      <c r="J149" s="75"/>
      <c r="K149" s="78"/>
      <c r="L149" s="79"/>
      <c r="M149" s="80"/>
      <c r="N149" s="107"/>
      <c r="O149" s="98"/>
      <c r="P149" s="75"/>
      <c r="Q149" s="100"/>
      <c r="R149" s="93"/>
      <c r="S149" s="75"/>
      <c r="T149" s="75"/>
      <c r="V149" s="84"/>
    </row>
    <row r="150" ht="15.75" customHeight="1">
      <c r="A150" s="70"/>
      <c r="B150" s="116"/>
      <c r="C150" s="117"/>
      <c r="D150" s="75"/>
      <c r="E150" s="118"/>
      <c r="F150" s="118"/>
      <c r="G150" s="75"/>
      <c r="H150" s="117"/>
      <c r="I150" s="75"/>
      <c r="J150" s="75"/>
      <c r="K150" s="105"/>
      <c r="L150" s="106"/>
      <c r="M150" s="80"/>
      <c r="N150" s="107"/>
      <c r="O150" s="98"/>
      <c r="P150" s="75"/>
      <c r="Q150" s="100"/>
      <c r="R150" s="93"/>
      <c r="S150" s="75"/>
      <c r="T150" s="75"/>
      <c r="V150" s="84"/>
    </row>
    <row r="151" ht="15.75" customHeight="1">
      <c r="A151" s="70"/>
      <c r="B151" s="116"/>
      <c r="C151" s="84"/>
      <c r="D151" s="75"/>
      <c r="E151" s="118"/>
      <c r="F151" s="118"/>
      <c r="G151" s="75"/>
      <c r="H151" s="117"/>
      <c r="I151" s="75"/>
      <c r="J151" s="75"/>
      <c r="K151" s="78"/>
      <c r="L151" s="79"/>
      <c r="M151" s="80"/>
      <c r="N151" s="107"/>
      <c r="O151" s="98"/>
      <c r="P151" s="75"/>
      <c r="Q151" s="100"/>
      <c r="R151" s="93"/>
      <c r="S151" s="75"/>
      <c r="T151" s="75"/>
      <c r="V151" s="84"/>
    </row>
    <row r="152" ht="15.75" customHeight="1">
      <c r="A152" s="70"/>
      <c r="B152" s="116"/>
      <c r="C152" s="117"/>
      <c r="D152" s="75"/>
      <c r="E152" s="118"/>
      <c r="F152" s="118"/>
      <c r="G152" s="75"/>
      <c r="H152" s="117"/>
      <c r="I152" s="75"/>
      <c r="J152" s="75"/>
      <c r="K152" s="105"/>
      <c r="L152" s="106"/>
      <c r="M152" s="80"/>
      <c r="N152" s="107"/>
      <c r="O152" s="98"/>
      <c r="P152" s="75"/>
      <c r="Q152" s="100"/>
      <c r="R152" s="93"/>
      <c r="S152" s="75"/>
      <c r="T152" s="75"/>
      <c r="V152" s="84"/>
    </row>
    <row r="153" ht="15.75" customHeight="1">
      <c r="A153" s="70"/>
      <c r="B153" s="116"/>
      <c r="C153" s="117"/>
      <c r="D153" s="75"/>
      <c r="E153" s="118"/>
      <c r="F153" s="118"/>
      <c r="G153" s="75"/>
      <c r="H153" s="117"/>
      <c r="I153" s="75"/>
      <c r="J153" s="75"/>
      <c r="K153" s="78"/>
      <c r="L153" s="79"/>
      <c r="M153" s="80"/>
      <c r="N153" s="107"/>
      <c r="O153" s="98"/>
      <c r="P153" s="75"/>
      <c r="Q153" s="100"/>
      <c r="R153" s="93"/>
      <c r="S153" s="75"/>
      <c r="T153" s="75"/>
      <c r="V153" s="84"/>
    </row>
    <row r="154" ht="15.75" customHeight="1">
      <c r="A154" s="70"/>
      <c r="B154" s="116"/>
      <c r="C154" s="117"/>
      <c r="D154" s="75"/>
      <c r="E154" s="118"/>
      <c r="F154" s="118"/>
      <c r="G154" s="75"/>
      <c r="H154" s="117"/>
      <c r="I154" s="75"/>
      <c r="J154" s="75"/>
      <c r="K154" s="105"/>
      <c r="L154" s="106"/>
      <c r="M154" s="80"/>
      <c r="N154" s="107"/>
      <c r="O154" s="98"/>
      <c r="P154" s="75"/>
      <c r="Q154" s="100"/>
      <c r="R154" s="93"/>
      <c r="S154" s="75"/>
      <c r="T154" s="75"/>
      <c r="V154" s="84"/>
    </row>
    <row r="155" ht="15.75" customHeight="1">
      <c r="A155" s="70"/>
      <c r="B155" s="116"/>
      <c r="C155" s="117"/>
      <c r="D155" s="75"/>
      <c r="E155" s="118"/>
      <c r="F155" s="118"/>
      <c r="G155" s="75"/>
      <c r="H155" s="117"/>
      <c r="I155" s="75"/>
      <c r="J155" s="75"/>
      <c r="K155" s="78"/>
      <c r="L155" s="79"/>
      <c r="M155" s="80"/>
      <c r="N155" s="107"/>
      <c r="O155" s="98"/>
      <c r="P155" s="75"/>
      <c r="Q155" s="100"/>
      <c r="R155" s="93"/>
      <c r="S155" s="75"/>
      <c r="T155" s="75"/>
      <c r="V155" s="84"/>
    </row>
    <row r="156" ht="15.75" customHeight="1">
      <c r="A156" s="70"/>
      <c r="B156" s="116"/>
      <c r="C156" s="117"/>
      <c r="D156" s="75"/>
      <c r="E156" s="118"/>
      <c r="F156" s="118"/>
      <c r="G156" s="75"/>
      <c r="H156" s="117"/>
      <c r="I156" s="75"/>
      <c r="J156" s="75"/>
      <c r="K156" s="105"/>
      <c r="L156" s="106"/>
      <c r="M156" s="80"/>
      <c r="N156" s="107"/>
      <c r="O156" s="98"/>
      <c r="P156" s="75"/>
      <c r="Q156" s="100"/>
      <c r="R156" s="93"/>
      <c r="S156" s="75"/>
      <c r="T156" s="75"/>
      <c r="V156" s="84"/>
    </row>
    <row r="157" ht="15.75" customHeight="1">
      <c r="A157" s="70"/>
      <c r="B157" s="116"/>
      <c r="C157" s="84"/>
      <c r="D157" s="75"/>
      <c r="E157" s="118"/>
      <c r="F157" s="118"/>
      <c r="G157" s="75"/>
      <c r="H157" s="117"/>
      <c r="I157" s="75"/>
      <c r="J157" s="75"/>
      <c r="K157" s="78"/>
      <c r="L157" s="79"/>
      <c r="M157" s="80"/>
      <c r="N157" s="107"/>
      <c r="O157" s="98"/>
      <c r="P157" s="75"/>
      <c r="Q157" s="100"/>
      <c r="R157" s="93"/>
      <c r="S157" s="75"/>
      <c r="T157" s="75"/>
      <c r="V157" s="84"/>
    </row>
    <row r="158" ht="15.75" customHeight="1">
      <c r="A158" s="70"/>
      <c r="B158" s="116"/>
      <c r="C158" s="117"/>
      <c r="D158" s="75"/>
      <c r="E158" s="118"/>
      <c r="F158" s="118"/>
      <c r="G158" s="75"/>
      <c r="H158" s="117"/>
      <c r="I158" s="75"/>
      <c r="J158" s="75"/>
      <c r="K158" s="105"/>
      <c r="L158" s="106"/>
      <c r="M158" s="80"/>
      <c r="N158" s="107"/>
      <c r="O158" s="98"/>
      <c r="P158" s="75"/>
      <c r="Q158" s="100"/>
      <c r="R158" s="93"/>
      <c r="S158" s="75"/>
      <c r="T158" s="75"/>
      <c r="V158" s="84"/>
    </row>
    <row r="159" ht="15.75" customHeight="1">
      <c r="A159" s="70"/>
      <c r="B159" s="116"/>
      <c r="C159" s="117"/>
      <c r="D159" s="75"/>
      <c r="E159" s="118"/>
      <c r="F159" s="118"/>
      <c r="G159" s="75"/>
      <c r="H159" s="117"/>
      <c r="I159" s="75"/>
      <c r="J159" s="75"/>
      <c r="K159" s="78"/>
      <c r="L159" s="79"/>
      <c r="M159" s="80"/>
      <c r="N159" s="107"/>
      <c r="O159" s="98"/>
      <c r="P159" s="75"/>
      <c r="Q159" s="100"/>
      <c r="R159" s="93"/>
      <c r="S159" s="75"/>
      <c r="T159" s="75"/>
      <c r="V159" s="84"/>
    </row>
    <row r="160" ht="15.75" customHeight="1">
      <c r="A160" s="70"/>
      <c r="B160" s="116"/>
      <c r="C160" s="117"/>
      <c r="D160" s="75"/>
      <c r="E160" s="118"/>
      <c r="F160" s="118"/>
      <c r="G160" s="75"/>
      <c r="H160" s="117"/>
      <c r="I160" s="75"/>
      <c r="J160" s="75"/>
      <c r="K160" s="105"/>
      <c r="L160" s="106"/>
      <c r="M160" s="80"/>
      <c r="N160" s="107"/>
      <c r="O160" s="98"/>
      <c r="P160" s="75"/>
      <c r="Q160" s="100"/>
      <c r="R160" s="93"/>
      <c r="S160" s="75"/>
      <c r="T160" s="75"/>
      <c r="V160" s="84"/>
    </row>
    <row r="161" ht="15.75" customHeight="1">
      <c r="A161" s="70"/>
      <c r="B161" s="116"/>
      <c r="C161" s="117"/>
      <c r="D161" s="75"/>
      <c r="E161" s="118"/>
      <c r="F161" s="118"/>
      <c r="G161" s="75"/>
      <c r="H161" s="117"/>
      <c r="I161" s="75"/>
      <c r="J161" s="75"/>
      <c r="K161" s="78"/>
      <c r="L161" s="79"/>
      <c r="M161" s="80"/>
      <c r="N161" s="107"/>
      <c r="O161" s="98"/>
      <c r="P161" s="75"/>
      <c r="Q161" s="100"/>
      <c r="R161" s="93"/>
      <c r="S161" s="75"/>
      <c r="T161" s="75"/>
      <c r="V161" s="84"/>
    </row>
    <row r="162" ht="15.75" customHeight="1">
      <c r="A162" s="70"/>
      <c r="B162" s="116"/>
      <c r="C162" s="117"/>
      <c r="D162" s="75"/>
      <c r="E162" s="118"/>
      <c r="F162" s="118"/>
      <c r="G162" s="75"/>
      <c r="H162" s="117"/>
      <c r="I162" s="75"/>
      <c r="J162" s="75"/>
      <c r="K162" s="105"/>
      <c r="L162" s="106"/>
      <c r="M162" s="80"/>
      <c r="N162" s="107"/>
      <c r="O162" s="98"/>
      <c r="P162" s="75"/>
      <c r="Q162" s="100"/>
      <c r="R162" s="93"/>
      <c r="S162" s="75"/>
      <c r="T162" s="75"/>
      <c r="V162" s="84"/>
    </row>
    <row r="163" ht="15.75" customHeight="1">
      <c r="A163" s="70"/>
      <c r="B163" s="116"/>
      <c r="C163" s="84"/>
      <c r="D163" s="75"/>
      <c r="E163" s="118"/>
      <c r="F163" s="118"/>
      <c r="G163" s="75"/>
      <c r="H163" s="117"/>
      <c r="I163" s="75"/>
      <c r="J163" s="75"/>
      <c r="K163" s="78"/>
      <c r="L163" s="79"/>
      <c r="M163" s="80"/>
      <c r="N163" s="107"/>
      <c r="O163" s="98"/>
      <c r="P163" s="75"/>
      <c r="Q163" s="100"/>
      <c r="R163" s="93"/>
      <c r="S163" s="75"/>
      <c r="T163" s="75"/>
      <c r="V163" s="84"/>
    </row>
    <row r="164" ht="15.75" customHeight="1">
      <c r="A164" s="70"/>
      <c r="B164" s="116"/>
      <c r="C164" s="117"/>
      <c r="D164" s="75"/>
      <c r="E164" s="118"/>
      <c r="F164" s="118"/>
      <c r="G164" s="75"/>
      <c r="H164" s="117"/>
      <c r="I164" s="75"/>
      <c r="J164" s="75"/>
      <c r="K164" s="105"/>
      <c r="L164" s="106"/>
      <c r="M164" s="80"/>
      <c r="N164" s="107"/>
      <c r="O164" s="98"/>
      <c r="P164" s="75"/>
      <c r="Q164" s="100"/>
      <c r="R164" s="93"/>
      <c r="S164" s="75"/>
      <c r="T164" s="75"/>
      <c r="V164" s="84"/>
    </row>
    <row r="165" ht="15.75" customHeight="1">
      <c r="A165" s="70"/>
      <c r="B165" s="116"/>
      <c r="C165" s="117"/>
      <c r="D165" s="75"/>
      <c r="E165" s="118"/>
      <c r="F165" s="118"/>
      <c r="G165" s="75"/>
      <c r="H165" s="117"/>
      <c r="I165" s="75"/>
      <c r="J165" s="75"/>
      <c r="K165" s="78"/>
      <c r="L165" s="79"/>
      <c r="M165" s="80"/>
      <c r="N165" s="107"/>
      <c r="O165" s="98"/>
      <c r="P165" s="75"/>
      <c r="Q165" s="100"/>
      <c r="R165" s="93"/>
      <c r="S165" s="75"/>
      <c r="T165" s="75"/>
      <c r="V165" s="84"/>
    </row>
    <row r="166" ht="15.75" customHeight="1">
      <c r="A166" s="70"/>
      <c r="B166" s="116"/>
      <c r="C166" s="117"/>
      <c r="D166" s="75"/>
      <c r="E166" s="118"/>
      <c r="F166" s="118"/>
      <c r="G166" s="75"/>
      <c r="H166" s="117"/>
      <c r="I166" s="75"/>
      <c r="J166" s="75"/>
      <c r="K166" s="105"/>
      <c r="L166" s="106"/>
      <c r="M166" s="80"/>
      <c r="N166" s="107"/>
      <c r="O166" s="98"/>
      <c r="P166" s="75"/>
      <c r="Q166" s="100"/>
      <c r="R166" s="93"/>
      <c r="S166" s="75"/>
      <c r="T166" s="75"/>
      <c r="V166" s="84"/>
    </row>
    <row r="167" ht="15.75" customHeight="1">
      <c r="A167" s="70"/>
      <c r="B167" s="116"/>
      <c r="C167" s="117"/>
      <c r="D167" s="75"/>
      <c r="E167" s="118"/>
      <c r="F167" s="118"/>
      <c r="G167" s="75"/>
      <c r="H167" s="117"/>
      <c r="I167" s="75"/>
      <c r="J167" s="75"/>
      <c r="K167" s="78"/>
      <c r="L167" s="79"/>
      <c r="M167" s="80"/>
      <c r="N167" s="107"/>
      <c r="O167" s="98"/>
      <c r="P167" s="75"/>
      <c r="Q167" s="100"/>
      <c r="R167" s="93"/>
      <c r="S167" s="75"/>
      <c r="T167" s="75"/>
      <c r="V167" s="84"/>
    </row>
    <row r="168" ht="15.75" customHeight="1">
      <c r="A168" s="70"/>
      <c r="B168" s="116"/>
      <c r="C168" s="117"/>
      <c r="D168" s="75"/>
      <c r="E168" s="118"/>
      <c r="F168" s="118"/>
      <c r="G168" s="75"/>
      <c r="H168" s="117"/>
      <c r="I168" s="75"/>
      <c r="J168" s="75"/>
      <c r="K168" s="105"/>
      <c r="L168" s="106"/>
      <c r="M168" s="80"/>
      <c r="N168" s="107"/>
      <c r="O168" s="98"/>
      <c r="P168" s="75"/>
      <c r="Q168" s="100"/>
      <c r="R168" s="93"/>
      <c r="S168" s="75"/>
      <c r="T168" s="75"/>
      <c r="V168" s="84"/>
    </row>
    <row r="169" ht="15.75" customHeight="1">
      <c r="A169" s="70"/>
      <c r="B169" s="116"/>
      <c r="C169" s="84"/>
      <c r="D169" s="75"/>
      <c r="E169" s="118"/>
      <c r="F169" s="118"/>
      <c r="G169" s="75"/>
      <c r="H169" s="117"/>
      <c r="I169" s="75"/>
      <c r="J169" s="75"/>
      <c r="K169" s="78"/>
      <c r="L169" s="79"/>
      <c r="M169" s="80"/>
      <c r="N169" s="107"/>
      <c r="O169" s="98"/>
      <c r="P169" s="75"/>
      <c r="Q169" s="100"/>
      <c r="R169" s="93"/>
      <c r="S169" s="75"/>
      <c r="T169" s="75"/>
      <c r="V169" s="84"/>
    </row>
    <row r="170" ht="15.75" customHeight="1">
      <c r="A170" s="70"/>
      <c r="B170" s="116"/>
      <c r="C170" s="117"/>
      <c r="D170" s="75"/>
      <c r="E170" s="118"/>
      <c r="F170" s="118"/>
      <c r="G170" s="75"/>
      <c r="H170" s="117"/>
      <c r="I170" s="75"/>
      <c r="J170" s="75"/>
      <c r="K170" s="105"/>
      <c r="L170" s="106"/>
      <c r="M170" s="80"/>
      <c r="N170" s="107"/>
      <c r="O170" s="98"/>
      <c r="P170" s="75"/>
      <c r="Q170" s="100"/>
      <c r="R170" s="93"/>
      <c r="S170" s="75"/>
      <c r="T170" s="75"/>
      <c r="V170" s="84"/>
    </row>
    <row r="171" ht="15.75" customHeight="1">
      <c r="A171" s="70"/>
      <c r="B171" s="116"/>
      <c r="C171" s="117"/>
      <c r="D171" s="75"/>
      <c r="E171" s="118"/>
      <c r="F171" s="118"/>
      <c r="G171" s="75"/>
      <c r="H171" s="117"/>
      <c r="I171" s="75"/>
      <c r="J171" s="75"/>
      <c r="K171" s="78"/>
      <c r="L171" s="79"/>
      <c r="M171" s="80"/>
      <c r="N171" s="107"/>
      <c r="O171" s="98"/>
      <c r="P171" s="75"/>
      <c r="Q171" s="100"/>
      <c r="R171" s="93"/>
      <c r="S171" s="75"/>
      <c r="T171" s="75"/>
      <c r="V171" s="84"/>
    </row>
    <row r="172" ht="15.75" customHeight="1">
      <c r="A172" s="70"/>
      <c r="B172" s="116"/>
      <c r="C172" s="117"/>
      <c r="D172" s="75"/>
      <c r="E172" s="118"/>
      <c r="F172" s="118"/>
      <c r="G172" s="75"/>
      <c r="H172" s="117"/>
      <c r="I172" s="75"/>
      <c r="J172" s="75"/>
      <c r="K172" s="105"/>
      <c r="L172" s="106"/>
      <c r="M172" s="80"/>
      <c r="N172" s="107"/>
      <c r="O172" s="98"/>
      <c r="P172" s="75"/>
      <c r="Q172" s="100"/>
      <c r="R172" s="93"/>
      <c r="S172" s="75"/>
      <c r="T172" s="75"/>
      <c r="V172" s="84"/>
    </row>
    <row r="173" ht="15.75" customHeight="1">
      <c r="A173" s="70"/>
      <c r="B173" s="116"/>
      <c r="C173" s="117"/>
      <c r="D173" s="75"/>
      <c r="E173" s="118"/>
      <c r="F173" s="118"/>
      <c r="G173" s="75"/>
      <c r="H173" s="117"/>
      <c r="I173" s="75"/>
      <c r="J173" s="75"/>
      <c r="K173" s="78"/>
      <c r="L173" s="79"/>
      <c r="M173" s="80"/>
      <c r="N173" s="107"/>
      <c r="O173" s="98"/>
      <c r="P173" s="75"/>
      <c r="Q173" s="100"/>
      <c r="R173" s="93"/>
      <c r="S173" s="75"/>
      <c r="T173" s="75"/>
      <c r="V173" s="84"/>
    </row>
    <row r="174" ht="15.75" customHeight="1">
      <c r="A174" s="70"/>
      <c r="B174" s="116"/>
      <c r="C174" s="117"/>
      <c r="D174" s="75"/>
      <c r="E174" s="118"/>
      <c r="F174" s="118"/>
      <c r="G174" s="75"/>
      <c r="H174" s="117"/>
      <c r="I174" s="75"/>
      <c r="J174" s="75"/>
      <c r="K174" s="105"/>
      <c r="L174" s="106"/>
      <c r="M174" s="80"/>
      <c r="N174" s="107"/>
      <c r="O174" s="98"/>
      <c r="P174" s="75"/>
      <c r="Q174" s="100"/>
      <c r="R174" s="93"/>
      <c r="S174" s="75"/>
      <c r="T174" s="75"/>
      <c r="V174" s="84"/>
    </row>
    <row r="175" ht="15.75" customHeight="1">
      <c r="A175" s="70"/>
      <c r="B175" s="116"/>
      <c r="C175" s="84"/>
      <c r="D175" s="75"/>
      <c r="E175" s="118"/>
      <c r="F175" s="118"/>
      <c r="G175" s="75"/>
      <c r="H175" s="117"/>
      <c r="I175" s="75"/>
      <c r="J175" s="75"/>
      <c r="K175" s="78"/>
      <c r="L175" s="79"/>
      <c r="M175" s="80"/>
      <c r="N175" s="107"/>
      <c r="O175" s="98"/>
      <c r="P175" s="75"/>
      <c r="Q175" s="100"/>
      <c r="R175" s="93"/>
      <c r="S175" s="75"/>
      <c r="T175" s="75"/>
      <c r="V175" s="84"/>
    </row>
    <row r="176" ht="15.75" customHeight="1">
      <c r="A176" s="70"/>
      <c r="B176" s="116"/>
      <c r="C176" s="117"/>
      <c r="D176" s="75"/>
      <c r="E176" s="118"/>
      <c r="F176" s="118"/>
      <c r="G176" s="75"/>
      <c r="H176" s="117"/>
      <c r="I176" s="75"/>
      <c r="J176" s="75"/>
      <c r="K176" s="105"/>
      <c r="L176" s="106"/>
      <c r="M176" s="80"/>
      <c r="N176" s="107"/>
      <c r="O176" s="98"/>
      <c r="P176" s="75"/>
      <c r="Q176" s="100"/>
      <c r="R176" s="93"/>
      <c r="S176" s="75"/>
      <c r="T176" s="75"/>
      <c r="V176" s="84"/>
    </row>
    <row r="177" ht="15.75" customHeight="1">
      <c r="A177" s="70"/>
      <c r="B177" s="116"/>
      <c r="C177" s="117"/>
      <c r="D177" s="75"/>
      <c r="E177" s="118"/>
      <c r="F177" s="118"/>
      <c r="G177" s="75"/>
      <c r="H177" s="117"/>
      <c r="I177" s="75"/>
      <c r="J177" s="75"/>
      <c r="K177" s="78"/>
      <c r="L177" s="79"/>
      <c r="M177" s="80"/>
      <c r="N177" s="107"/>
      <c r="O177" s="98"/>
      <c r="P177" s="75"/>
      <c r="Q177" s="100"/>
      <c r="R177" s="93"/>
      <c r="S177" s="75"/>
      <c r="T177" s="75"/>
      <c r="V177" s="84"/>
    </row>
    <row r="178" ht="15.75" customHeight="1">
      <c r="A178" s="70"/>
      <c r="B178" s="116"/>
      <c r="C178" s="117"/>
      <c r="D178" s="75"/>
      <c r="E178" s="118"/>
      <c r="F178" s="118"/>
      <c r="G178" s="75"/>
      <c r="H178" s="117"/>
      <c r="I178" s="75"/>
      <c r="J178" s="75"/>
      <c r="K178" s="105"/>
      <c r="L178" s="106"/>
      <c r="M178" s="80"/>
      <c r="N178" s="107"/>
      <c r="O178" s="98"/>
      <c r="P178" s="75"/>
      <c r="Q178" s="100"/>
      <c r="R178" s="93"/>
      <c r="S178" s="75"/>
      <c r="T178" s="75"/>
      <c r="V178" s="84"/>
    </row>
    <row r="179" ht="15.75" customHeight="1">
      <c r="A179" s="70"/>
      <c r="B179" s="116"/>
      <c r="C179" s="117"/>
      <c r="D179" s="75"/>
      <c r="E179" s="118"/>
      <c r="F179" s="118"/>
      <c r="G179" s="75"/>
      <c r="H179" s="117"/>
      <c r="I179" s="75"/>
      <c r="J179" s="75"/>
      <c r="K179" s="78"/>
      <c r="L179" s="79"/>
      <c r="M179" s="80"/>
      <c r="N179" s="107"/>
      <c r="O179" s="98"/>
      <c r="P179" s="75"/>
      <c r="Q179" s="100"/>
      <c r="R179" s="93"/>
      <c r="S179" s="75"/>
      <c r="T179" s="75"/>
      <c r="V179" s="84"/>
    </row>
    <row r="180" ht="15.75" customHeight="1">
      <c r="A180" s="70"/>
      <c r="B180" s="116"/>
      <c r="C180" s="117"/>
      <c r="D180" s="75"/>
      <c r="E180" s="118"/>
      <c r="F180" s="118"/>
      <c r="G180" s="75"/>
      <c r="H180" s="117"/>
      <c r="I180" s="75"/>
      <c r="J180" s="75"/>
      <c r="K180" s="105"/>
      <c r="L180" s="106"/>
      <c r="M180" s="80"/>
      <c r="N180" s="107"/>
      <c r="O180" s="98"/>
      <c r="P180" s="75"/>
      <c r="Q180" s="100"/>
      <c r="R180" s="93"/>
      <c r="S180" s="75"/>
      <c r="T180" s="75"/>
      <c r="V180" s="84"/>
    </row>
    <row r="181" ht="15.75" customHeight="1">
      <c r="A181" s="70"/>
      <c r="B181" s="116"/>
      <c r="C181" s="84"/>
      <c r="D181" s="75"/>
      <c r="E181" s="118"/>
      <c r="F181" s="118"/>
      <c r="G181" s="75"/>
      <c r="H181" s="117"/>
      <c r="I181" s="75"/>
      <c r="J181" s="75"/>
      <c r="K181" s="78"/>
      <c r="L181" s="79"/>
      <c r="M181" s="80"/>
      <c r="N181" s="107"/>
      <c r="O181" s="98"/>
      <c r="P181" s="75"/>
      <c r="Q181" s="100"/>
      <c r="R181" s="93"/>
      <c r="S181" s="75"/>
      <c r="T181" s="75"/>
      <c r="V181" s="84"/>
    </row>
    <row r="182" ht="15.75" customHeight="1">
      <c r="A182" s="70"/>
      <c r="B182" s="116"/>
      <c r="C182" s="117"/>
      <c r="D182" s="75"/>
      <c r="E182" s="118"/>
      <c r="F182" s="118"/>
      <c r="G182" s="75"/>
      <c r="H182" s="117"/>
      <c r="I182" s="75"/>
      <c r="J182" s="75"/>
      <c r="K182" s="105"/>
      <c r="L182" s="106"/>
      <c r="M182" s="80"/>
      <c r="N182" s="107"/>
      <c r="O182" s="98"/>
      <c r="P182" s="75"/>
      <c r="Q182" s="100"/>
      <c r="R182" s="93"/>
      <c r="S182" s="75"/>
      <c r="T182" s="75"/>
      <c r="V182" s="84"/>
    </row>
    <row r="183" ht="15.75" customHeight="1">
      <c r="A183" s="70"/>
      <c r="B183" s="116"/>
      <c r="C183" s="117"/>
      <c r="D183" s="75"/>
      <c r="E183" s="118"/>
      <c r="F183" s="118"/>
      <c r="G183" s="75"/>
      <c r="H183" s="117"/>
      <c r="I183" s="75"/>
      <c r="J183" s="75"/>
      <c r="K183" s="78"/>
      <c r="L183" s="79"/>
      <c r="M183" s="80"/>
      <c r="N183" s="107"/>
      <c r="O183" s="98"/>
      <c r="P183" s="75"/>
      <c r="Q183" s="100"/>
      <c r="R183" s="93"/>
      <c r="S183" s="75"/>
      <c r="T183" s="75"/>
      <c r="V183" s="84"/>
    </row>
    <row r="184" ht="15.75" customHeight="1">
      <c r="A184" s="70"/>
      <c r="B184" s="116"/>
      <c r="C184" s="117"/>
      <c r="D184" s="75"/>
      <c r="E184" s="118"/>
      <c r="F184" s="118"/>
      <c r="G184" s="75"/>
      <c r="H184" s="117"/>
      <c r="I184" s="75"/>
      <c r="J184" s="75"/>
      <c r="K184" s="105"/>
      <c r="L184" s="106"/>
      <c r="M184" s="80"/>
      <c r="N184" s="107"/>
      <c r="O184" s="98"/>
      <c r="P184" s="75"/>
      <c r="Q184" s="100"/>
      <c r="R184" s="93"/>
      <c r="S184" s="75"/>
      <c r="T184" s="75"/>
      <c r="V184" s="84"/>
    </row>
    <row r="185" ht="15.75" customHeight="1">
      <c r="A185" s="70"/>
      <c r="B185" s="116"/>
      <c r="C185" s="117"/>
      <c r="D185" s="75"/>
      <c r="E185" s="118"/>
      <c r="F185" s="118"/>
      <c r="G185" s="75"/>
      <c r="H185" s="117"/>
      <c r="I185" s="75"/>
      <c r="J185" s="75"/>
      <c r="K185" s="78"/>
      <c r="L185" s="79"/>
      <c r="M185" s="80"/>
      <c r="N185" s="107"/>
      <c r="O185" s="98"/>
      <c r="P185" s="75"/>
      <c r="Q185" s="100"/>
      <c r="R185" s="93"/>
      <c r="S185" s="75"/>
      <c r="T185" s="75"/>
      <c r="V185" s="84"/>
    </row>
    <row r="186" ht="15.75" customHeight="1">
      <c r="A186" s="70"/>
      <c r="B186" s="116"/>
      <c r="C186" s="117"/>
      <c r="D186" s="75"/>
      <c r="E186" s="118"/>
      <c r="F186" s="118"/>
      <c r="G186" s="75"/>
      <c r="H186" s="117"/>
      <c r="I186" s="75"/>
      <c r="J186" s="75"/>
      <c r="K186" s="105"/>
      <c r="L186" s="106"/>
      <c r="M186" s="80"/>
      <c r="N186" s="107"/>
      <c r="O186" s="98"/>
      <c r="P186" s="75"/>
      <c r="Q186" s="100"/>
      <c r="R186" s="93"/>
      <c r="S186" s="75"/>
      <c r="T186" s="75"/>
      <c r="V186" s="84"/>
    </row>
    <row r="187" ht="15.75" customHeight="1">
      <c r="A187" s="70"/>
      <c r="B187" s="116"/>
      <c r="C187" s="84"/>
      <c r="D187" s="75"/>
      <c r="E187" s="118"/>
      <c r="F187" s="118"/>
      <c r="G187" s="75"/>
      <c r="H187" s="117"/>
      <c r="I187" s="75"/>
      <c r="J187" s="75"/>
      <c r="K187" s="78"/>
      <c r="L187" s="79"/>
      <c r="M187" s="80"/>
      <c r="N187" s="107"/>
      <c r="O187" s="98"/>
      <c r="P187" s="75"/>
      <c r="Q187" s="100"/>
      <c r="R187" s="93"/>
      <c r="S187" s="75"/>
      <c r="T187" s="75"/>
      <c r="V187" s="84"/>
    </row>
    <row r="188" ht="15.75" customHeight="1">
      <c r="A188" s="70"/>
      <c r="B188" s="116"/>
      <c r="C188" s="117"/>
      <c r="D188" s="75"/>
      <c r="E188" s="118"/>
      <c r="F188" s="118"/>
      <c r="G188" s="75"/>
      <c r="H188" s="117"/>
      <c r="I188" s="75"/>
      <c r="J188" s="75"/>
      <c r="K188" s="105"/>
      <c r="L188" s="106"/>
      <c r="M188" s="80"/>
      <c r="N188" s="107"/>
      <c r="O188" s="98"/>
      <c r="P188" s="75"/>
      <c r="Q188" s="100"/>
      <c r="R188" s="93"/>
      <c r="S188" s="75"/>
      <c r="T188" s="75"/>
      <c r="V188" s="84"/>
    </row>
    <row r="189" ht="15.75" customHeight="1">
      <c r="A189" s="70"/>
      <c r="B189" s="116"/>
      <c r="C189" s="117"/>
      <c r="D189" s="75"/>
      <c r="E189" s="118"/>
      <c r="F189" s="118"/>
      <c r="G189" s="75"/>
      <c r="H189" s="117"/>
      <c r="I189" s="75"/>
      <c r="J189" s="75"/>
      <c r="K189" s="78"/>
      <c r="L189" s="79"/>
      <c r="M189" s="80"/>
      <c r="N189" s="107"/>
      <c r="O189" s="98"/>
      <c r="P189" s="75"/>
      <c r="Q189" s="100"/>
      <c r="R189" s="93"/>
      <c r="S189" s="75"/>
      <c r="T189" s="75"/>
      <c r="V189" s="84"/>
    </row>
    <row r="190" ht="15.75" customHeight="1">
      <c r="A190" s="70"/>
      <c r="B190" s="116"/>
      <c r="C190" s="117"/>
      <c r="D190" s="75"/>
      <c r="E190" s="118"/>
      <c r="F190" s="118"/>
      <c r="G190" s="75"/>
      <c r="H190" s="117"/>
      <c r="I190" s="75"/>
      <c r="J190" s="75"/>
      <c r="K190" s="105"/>
      <c r="L190" s="106"/>
      <c r="M190" s="80"/>
      <c r="N190" s="107"/>
      <c r="O190" s="98"/>
      <c r="P190" s="75"/>
      <c r="Q190" s="100"/>
      <c r="R190" s="93"/>
      <c r="S190" s="75"/>
      <c r="T190" s="75"/>
      <c r="V190" s="84"/>
    </row>
    <row r="191" ht="15.75" customHeight="1">
      <c r="A191" s="70"/>
      <c r="B191" s="116"/>
      <c r="C191" s="117"/>
      <c r="D191" s="75"/>
      <c r="E191" s="118"/>
      <c r="F191" s="118"/>
      <c r="G191" s="75"/>
      <c r="H191" s="117"/>
      <c r="I191" s="75"/>
      <c r="J191" s="75"/>
      <c r="K191" s="78"/>
      <c r="L191" s="79"/>
      <c r="M191" s="80"/>
      <c r="N191" s="107"/>
      <c r="O191" s="98"/>
      <c r="P191" s="75"/>
      <c r="Q191" s="100"/>
      <c r="R191" s="93"/>
      <c r="S191" s="75"/>
      <c r="T191" s="75"/>
      <c r="V191" s="84"/>
    </row>
    <row r="192" ht="15.75" customHeight="1">
      <c r="A192" s="70"/>
      <c r="B192" s="116"/>
      <c r="C192" s="117"/>
      <c r="D192" s="75"/>
      <c r="E192" s="118"/>
      <c r="F192" s="118"/>
      <c r="G192" s="75"/>
      <c r="H192" s="117"/>
      <c r="I192" s="75"/>
      <c r="J192" s="75"/>
      <c r="K192" s="105"/>
      <c r="L192" s="106"/>
      <c r="M192" s="80"/>
      <c r="N192" s="107"/>
      <c r="O192" s="98"/>
      <c r="P192" s="75"/>
      <c r="Q192" s="100"/>
      <c r="R192" s="93"/>
      <c r="S192" s="75"/>
      <c r="T192" s="75"/>
      <c r="V192" s="84"/>
    </row>
    <row r="193" ht="15.75" customHeight="1">
      <c r="A193" s="70"/>
      <c r="B193" s="116"/>
      <c r="C193" s="84"/>
      <c r="D193" s="75"/>
      <c r="E193" s="118"/>
      <c r="F193" s="118"/>
      <c r="G193" s="75"/>
      <c r="H193" s="117"/>
      <c r="I193" s="75"/>
      <c r="J193" s="75"/>
      <c r="K193" s="78"/>
      <c r="L193" s="79"/>
      <c r="M193" s="80"/>
      <c r="N193" s="107"/>
      <c r="O193" s="98"/>
      <c r="P193" s="75"/>
      <c r="Q193" s="100"/>
      <c r="R193" s="93"/>
      <c r="S193" s="75"/>
      <c r="T193" s="75"/>
      <c r="V193" s="84"/>
    </row>
    <row r="194" ht="15.75" customHeight="1">
      <c r="A194" s="70"/>
      <c r="B194" s="116"/>
      <c r="C194" s="117"/>
      <c r="D194" s="75"/>
      <c r="E194" s="118"/>
      <c r="F194" s="118"/>
      <c r="G194" s="75"/>
      <c r="H194" s="117"/>
      <c r="I194" s="75"/>
      <c r="J194" s="75"/>
      <c r="K194" s="105"/>
      <c r="L194" s="106"/>
      <c r="M194" s="80"/>
      <c r="N194" s="107"/>
      <c r="O194" s="98"/>
      <c r="P194" s="75"/>
      <c r="Q194" s="100"/>
      <c r="R194" s="93"/>
      <c r="S194" s="75"/>
      <c r="T194" s="75"/>
      <c r="V194" s="84"/>
    </row>
    <row r="195" ht="15.75" customHeight="1">
      <c r="A195" s="70"/>
      <c r="B195" s="116"/>
      <c r="C195" s="117"/>
      <c r="D195" s="75"/>
      <c r="E195" s="118"/>
      <c r="F195" s="118"/>
      <c r="G195" s="75"/>
      <c r="H195" s="117"/>
      <c r="I195" s="75"/>
      <c r="J195" s="75"/>
      <c r="K195" s="78"/>
      <c r="L195" s="79"/>
      <c r="M195" s="80"/>
      <c r="N195" s="107"/>
      <c r="O195" s="98"/>
      <c r="P195" s="75"/>
      <c r="Q195" s="100"/>
      <c r="R195" s="93"/>
      <c r="S195" s="75"/>
      <c r="T195" s="75"/>
      <c r="V195" s="84"/>
    </row>
    <row r="196" ht="15.75" customHeight="1">
      <c r="A196" s="70"/>
      <c r="B196" s="116"/>
      <c r="C196" s="117"/>
      <c r="D196" s="75"/>
      <c r="E196" s="118"/>
      <c r="F196" s="118"/>
      <c r="G196" s="75"/>
      <c r="H196" s="117"/>
      <c r="I196" s="75"/>
      <c r="J196" s="75"/>
      <c r="K196" s="105"/>
      <c r="L196" s="106"/>
      <c r="M196" s="80"/>
      <c r="N196" s="107"/>
      <c r="O196" s="98"/>
      <c r="P196" s="75"/>
      <c r="Q196" s="100"/>
      <c r="R196" s="93"/>
      <c r="S196" s="75"/>
      <c r="T196" s="75"/>
      <c r="V196" s="84"/>
    </row>
    <row r="197" ht="15.75" customHeight="1">
      <c r="A197" s="70"/>
      <c r="B197" s="116"/>
      <c r="C197" s="117"/>
      <c r="D197" s="75"/>
      <c r="E197" s="118"/>
      <c r="F197" s="118"/>
      <c r="G197" s="75"/>
      <c r="H197" s="117"/>
      <c r="I197" s="75"/>
      <c r="J197" s="75"/>
      <c r="K197" s="78"/>
      <c r="L197" s="79"/>
      <c r="M197" s="80"/>
      <c r="N197" s="107"/>
      <c r="O197" s="98"/>
      <c r="P197" s="75"/>
      <c r="Q197" s="100"/>
      <c r="R197" s="93"/>
      <c r="S197" s="75"/>
      <c r="T197" s="75"/>
      <c r="V197" s="84"/>
    </row>
    <row r="198" ht="15.75" customHeight="1">
      <c r="A198" s="70"/>
      <c r="B198" s="116"/>
      <c r="C198" s="117"/>
      <c r="D198" s="75"/>
      <c r="E198" s="118"/>
      <c r="F198" s="118"/>
      <c r="G198" s="75"/>
      <c r="H198" s="117"/>
      <c r="I198" s="75"/>
      <c r="J198" s="75"/>
      <c r="K198" s="105"/>
      <c r="L198" s="106"/>
      <c r="M198" s="80"/>
      <c r="N198" s="107"/>
      <c r="O198" s="98"/>
      <c r="P198" s="75"/>
      <c r="Q198" s="100"/>
      <c r="R198" s="93"/>
      <c r="S198" s="75"/>
      <c r="T198" s="75"/>
      <c r="V198" s="84"/>
    </row>
    <row r="199" ht="15.75" customHeight="1">
      <c r="A199" s="70"/>
      <c r="B199" s="116"/>
      <c r="C199" s="84"/>
      <c r="D199" s="75"/>
      <c r="E199" s="118"/>
      <c r="F199" s="118"/>
      <c r="G199" s="75"/>
      <c r="H199" s="117"/>
      <c r="I199" s="75"/>
      <c r="J199" s="75"/>
      <c r="K199" s="78"/>
      <c r="L199" s="79"/>
      <c r="M199" s="80"/>
      <c r="N199" s="107"/>
      <c r="O199" s="98"/>
      <c r="P199" s="75"/>
      <c r="Q199" s="100"/>
      <c r="R199" s="93"/>
      <c r="S199" s="75"/>
      <c r="T199" s="75"/>
      <c r="V199" s="84"/>
    </row>
    <row r="200" ht="15.75" customHeight="1">
      <c r="A200" s="70"/>
      <c r="B200" s="116"/>
      <c r="C200" s="117"/>
      <c r="D200" s="75"/>
      <c r="E200" s="118"/>
      <c r="F200" s="118"/>
      <c r="G200" s="75"/>
      <c r="H200" s="117"/>
      <c r="I200" s="75"/>
      <c r="J200" s="75"/>
      <c r="K200" s="105"/>
      <c r="L200" s="106"/>
      <c r="M200" s="80"/>
      <c r="N200" s="107"/>
      <c r="O200" s="98"/>
      <c r="P200" s="75"/>
      <c r="Q200" s="100"/>
      <c r="R200" s="93"/>
      <c r="S200" s="75"/>
      <c r="T200" s="75"/>
      <c r="V200" s="84"/>
    </row>
    <row r="201" ht="15.75" customHeight="1">
      <c r="A201" s="70"/>
      <c r="B201" s="116"/>
      <c r="C201" s="117"/>
      <c r="D201" s="75"/>
      <c r="E201" s="118"/>
      <c r="F201" s="118"/>
      <c r="G201" s="75"/>
      <c r="H201" s="117"/>
      <c r="I201" s="75"/>
      <c r="J201" s="75"/>
      <c r="K201" s="78"/>
      <c r="L201" s="79"/>
      <c r="M201" s="80"/>
      <c r="N201" s="107"/>
      <c r="O201" s="98"/>
      <c r="P201" s="75"/>
      <c r="Q201" s="100"/>
      <c r="R201" s="93"/>
      <c r="S201" s="75"/>
      <c r="T201" s="75"/>
      <c r="V201" s="84"/>
    </row>
    <row r="202" ht="15.75" customHeight="1">
      <c r="A202" s="70"/>
      <c r="B202" s="116"/>
      <c r="C202" s="117"/>
      <c r="D202" s="75"/>
      <c r="E202" s="118"/>
      <c r="F202" s="118"/>
      <c r="G202" s="75"/>
      <c r="H202" s="117"/>
      <c r="I202" s="75"/>
      <c r="J202" s="75"/>
      <c r="K202" s="105"/>
      <c r="L202" s="106"/>
      <c r="M202" s="80"/>
      <c r="N202" s="107"/>
      <c r="O202" s="98"/>
      <c r="P202" s="75"/>
      <c r="Q202" s="100"/>
      <c r="R202" s="93"/>
      <c r="S202" s="75"/>
      <c r="T202" s="75"/>
      <c r="V202" s="84"/>
    </row>
    <row r="203" ht="15.75" customHeight="1">
      <c r="A203" s="70"/>
      <c r="B203" s="116"/>
      <c r="C203" s="117"/>
      <c r="D203" s="75"/>
      <c r="E203" s="118"/>
      <c r="F203" s="118"/>
      <c r="G203" s="75"/>
      <c r="H203" s="117"/>
      <c r="I203" s="75"/>
      <c r="J203" s="75"/>
      <c r="K203" s="78"/>
      <c r="L203" s="79"/>
      <c r="M203" s="80"/>
      <c r="N203" s="107"/>
      <c r="O203" s="98"/>
      <c r="P203" s="75"/>
      <c r="Q203" s="100"/>
      <c r="R203" s="93"/>
      <c r="S203" s="75"/>
      <c r="T203" s="75"/>
      <c r="V203" s="84"/>
    </row>
    <row r="204" ht="15.75" customHeight="1">
      <c r="A204" s="70"/>
      <c r="B204" s="116"/>
      <c r="C204" s="117"/>
      <c r="D204" s="75"/>
      <c r="E204" s="118"/>
      <c r="F204" s="118"/>
      <c r="G204" s="75"/>
      <c r="H204" s="117"/>
      <c r="I204" s="75"/>
      <c r="J204" s="75"/>
      <c r="K204" s="105"/>
      <c r="L204" s="106"/>
      <c r="M204" s="80"/>
      <c r="N204" s="107"/>
      <c r="O204" s="98"/>
      <c r="P204" s="75"/>
      <c r="Q204" s="100"/>
      <c r="R204" s="93"/>
      <c r="S204" s="75"/>
      <c r="T204" s="75"/>
      <c r="V204" s="84"/>
    </row>
    <row r="205" ht="15.75" customHeight="1">
      <c r="A205" s="70"/>
      <c r="B205" s="116"/>
      <c r="C205" s="84"/>
      <c r="D205" s="75"/>
      <c r="E205" s="118"/>
      <c r="F205" s="118"/>
      <c r="G205" s="75"/>
      <c r="H205" s="117"/>
      <c r="I205" s="75"/>
      <c r="J205" s="75"/>
      <c r="K205" s="78"/>
      <c r="L205" s="79"/>
      <c r="M205" s="80"/>
      <c r="N205" s="107"/>
      <c r="O205" s="98"/>
      <c r="P205" s="75"/>
      <c r="Q205" s="100"/>
      <c r="R205" s="93"/>
      <c r="S205" s="75"/>
      <c r="T205" s="75"/>
      <c r="V205" s="84"/>
    </row>
    <row r="206" ht="15.75" customHeight="1">
      <c r="A206" s="70"/>
      <c r="B206" s="116"/>
      <c r="C206" s="117"/>
      <c r="D206" s="75"/>
      <c r="E206" s="118"/>
      <c r="F206" s="118"/>
      <c r="G206" s="75"/>
      <c r="H206" s="117"/>
      <c r="I206" s="75"/>
      <c r="J206" s="75"/>
      <c r="K206" s="105"/>
      <c r="L206" s="106"/>
      <c r="M206" s="80"/>
      <c r="N206" s="107"/>
      <c r="O206" s="98"/>
      <c r="P206" s="75"/>
      <c r="Q206" s="100"/>
      <c r="R206" s="93"/>
      <c r="S206" s="75"/>
      <c r="T206" s="75"/>
      <c r="V206" s="84"/>
    </row>
    <row r="207" ht="15.75" customHeight="1">
      <c r="A207" s="70"/>
      <c r="B207" s="116"/>
      <c r="C207" s="117"/>
      <c r="D207" s="75"/>
      <c r="E207" s="118"/>
      <c r="F207" s="118"/>
      <c r="G207" s="75"/>
      <c r="H207" s="117"/>
      <c r="I207" s="75"/>
      <c r="J207" s="75"/>
      <c r="K207" s="78"/>
      <c r="L207" s="79"/>
      <c r="M207" s="80"/>
      <c r="N207" s="107"/>
      <c r="O207" s="98"/>
      <c r="P207" s="75"/>
      <c r="Q207" s="100"/>
      <c r="R207" s="93"/>
      <c r="S207" s="75"/>
      <c r="T207" s="75"/>
      <c r="V207" s="84"/>
    </row>
    <row r="208" ht="15.75" customHeight="1">
      <c r="A208" s="70"/>
      <c r="B208" s="116"/>
      <c r="C208" s="117"/>
      <c r="D208" s="75"/>
      <c r="E208" s="118"/>
      <c r="F208" s="118"/>
      <c r="G208" s="75"/>
      <c r="H208" s="117"/>
      <c r="I208" s="75"/>
      <c r="J208" s="75"/>
      <c r="K208" s="105"/>
      <c r="L208" s="106"/>
      <c r="M208" s="80"/>
      <c r="N208" s="107"/>
      <c r="O208" s="98"/>
      <c r="P208" s="75"/>
      <c r="Q208" s="100"/>
      <c r="R208" s="93"/>
      <c r="S208" s="75"/>
      <c r="T208" s="75"/>
      <c r="V208" s="84"/>
    </row>
    <row r="209" ht="15.75" customHeight="1">
      <c r="A209" s="70"/>
      <c r="B209" s="116"/>
      <c r="C209" s="117"/>
      <c r="D209" s="75"/>
      <c r="E209" s="118"/>
      <c r="F209" s="118"/>
      <c r="G209" s="75"/>
      <c r="H209" s="117"/>
      <c r="I209" s="75"/>
      <c r="J209" s="75"/>
      <c r="K209" s="78"/>
      <c r="L209" s="79"/>
      <c r="M209" s="80"/>
      <c r="N209" s="107"/>
      <c r="O209" s="98"/>
      <c r="P209" s="75"/>
      <c r="Q209" s="100"/>
      <c r="R209" s="93"/>
      <c r="S209" s="75"/>
      <c r="T209" s="75"/>
      <c r="V209" s="84"/>
    </row>
    <row r="210" ht="15.75" customHeight="1">
      <c r="A210" s="70"/>
      <c r="B210" s="116"/>
      <c r="C210" s="117"/>
      <c r="D210" s="75"/>
      <c r="E210" s="118"/>
      <c r="F210" s="118"/>
      <c r="G210" s="75"/>
      <c r="H210" s="117"/>
      <c r="I210" s="75"/>
      <c r="J210" s="75"/>
      <c r="K210" s="105"/>
      <c r="L210" s="106"/>
      <c r="M210" s="80"/>
      <c r="N210" s="107"/>
      <c r="O210" s="98"/>
      <c r="P210" s="75"/>
      <c r="Q210" s="100"/>
      <c r="R210" s="93"/>
      <c r="S210" s="75"/>
      <c r="T210" s="75"/>
      <c r="V210" s="84"/>
    </row>
    <row r="211" ht="15.75" customHeight="1">
      <c r="A211" s="70"/>
      <c r="B211" s="116"/>
      <c r="C211" s="84"/>
      <c r="D211" s="75"/>
      <c r="E211" s="118"/>
      <c r="F211" s="118"/>
      <c r="G211" s="75"/>
      <c r="H211" s="117"/>
      <c r="I211" s="75"/>
      <c r="J211" s="75"/>
      <c r="K211" s="78"/>
      <c r="L211" s="79"/>
      <c r="M211" s="80"/>
      <c r="N211" s="107"/>
      <c r="O211" s="98"/>
      <c r="P211" s="75"/>
      <c r="Q211" s="100"/>
      <c r="R211" s="93"/>
      <c r="S211" s="75"/>
      <c r="T211" s="75"/>
      <c r="V211" s="84"/>
    </row>
    <row r="212" ht="15.75" customHeight="1">
      <c r="A212" s="70"/>
      <c r="B212" s="116"/>
      <c r="C212" s="117"/>
      <c r="D212" s="75"/>
      <c r="E212" s="118"/>
      <c r="F212" s="118"/>
      <c r="G212" s="75"/>
      <c r="H212" s="117"/>
      <c r="I212" s="75"/>
      <c r="J212" s="75"/>
      <c r="K212" s="105"/>
      <c r="L212" s="106"/>
      <c r="M212" s="80"/>
      <c r="N212" s="107"/>
      <c r="O212" s="98"/>
      <c r="P212" s="75"/>
      <c r="Q212" s="100"/>
      <c r="R212" s="93"/>
      <c r="S212" s="75"/>
      <c r="T212" s="75"/>
      <c r="V212" s="84"/>
    </row>
    <row r="213" ht="15.75" customHeight="1">
      <c r="A213" s="70"/>
      <c r="B213" s="116"/>
      <c r="C213" s="117"/>
      <c r="D213" s="75"/>
      <c r="E213" s="118"/>
      <c r="F213" s="118"/>
      <c r="G213" s="75"/>
      <c r="H213" s="117"/>
      <c r="I213" s="75"/>
      <c r="J213" s="75"/>
      <c r="K213" s="78"/>
      <c r="L213" s="79"/>
      <c r="M213" s="80"/>
      <c r="N213" s="107"/>
      <c r="O213" s="98"/>
      <c r="P213" s="75"/>
      <c r="Q213" s="100"/>
      <c r="R213" s="93"/>
      <c r="S213" s="75"/>
      <c r="T213" s="75"/>
      <c r="V213" s="84"/>
    </row>
    <row r="214" ht="15.75" customHeight="1">
      <c r="A214" s="70"/>
      <c r="B214" s="116"/>
      <c r="C214" s="117"/>
      <c r="D214" s="75"/>
      <c r="E214" s="118"/>
      <c r="F214" s="118"/>
      <c r="G214" s="75"/>
      <c r="H214" s="117"/>
      <c r="I214" s="75"/>
      <c r="J214" s="75"/>
      <c r="K214" s="105"/>
      <c r="L214" s="106"/>
      <c r="M214" s="80"/>
      <c r="N214" s="107"/>
      <c r="O214" s="98"/>
      <c r="P214" s="75"/>
      <c r="Q214" s="100"/>
      <c r="R214" s="93"/>
      <c r="S214" s="75"/>
      <c r="T214" s="75"/>
      <c r="V214" s="84"/>
    </row>
    <row r="215" ht="15.75" customHeight="1">
      <c r="A215" s="70"/>
      <c r="B215" s="116"/>
      <c r="C215" s="117"/>
      <c r="D215" s="75"/>
      <c r="E215" s="118"/>
      <c r="F215" s="118"/>
      <c r="G215" s="75"/>
      <c r="H215" s="117"/>
      <c r="I215" s="75"/>
      <c r="J215" s="75"/>
      <c r="K215" s="78"/>
      <c r="L215" s="79"/>
      <c r="M215" s="80"/>
      <c r="N215" s="107"/>
      <c r="O215" s="98"/>
      <c r="P215" s="75"/>
      <c r="Q215" s="100"/>
      <c r="R215" s="93"/>
      <c r="S215" s="75"/>
      <c r="T215" s="75"/>
      <c r="V215" s="84"/>
    </row>
    <row r="216" ht="15.75" customHeight="1">
      <c r="A216" s="70"/>
      <c r="B216" s="116"/>
      <c r="C216" s="117"/>
      <c r="D216" s="75"/>
      <c r="E216" s="118"/>
      <c r="F216" s="118"/>
      <c r="G216" s="75"/>
      <c r="H216" s="117"/>
      <c r="I216" s="75"/>
      <c r="J216" s="75"/>
      <c r="K216" s="105"/>
      <c r="L216" s="106"/>
      <c r="M216" s="80"/>
      <c r="N216" s="107"/>
      <c r="O216" s="98"/>
      <c r="P216" s="75"/>
      <c r="Q216" s="100"/>
      <c r="R216" s="93"/>
      <c r="S216" s="75"/>
      <c r="T216" s="75"/>
      <c r="V216" s="84"/>
    </row>
    <row r="217" ht="15.75" customHeight="1">
      <c r="A217" s="70"/>
      <c r="B217" s="116"/>
      <c r="C217" s="84"/>
      <c r="D217" s="75"/>
      <c r="E217" s="118"/>
      <c r="F217" s="118"/>
      <c r="G217" s="75"/>
      <c r="H217" s="117"/>
      <c r="I217" s="75"/>
      <c r="J217" s="75"/>
      <c r="K217" s="78"/>
      <c r="L217" s="79"/>
      <c r="M217" s="80"/>
      <c r="N217" s="107"/>
      <c r="O217" s="98"/>
      <c r="P217" s="75"/>
      <c r="Q217" s="100"/>
      <c r="R217" s="93"/>
      <c r="S217" s="75"/>
      <c r="T217" s="75"/>
      <c r="V217" s="84"/>
    </row>
    <row r="218" ht="15.75" customHeight="1">
      <c r="A218" s="70"/>
      <c r="B218" s="116"/>
      <c r="C218" s="117"/>
      <c r="D218" s="75"/>
      <c r="E218" s="118"/>
      <c r="F218" s="118"/>
      <c r="G218" s="75"/>
      <c r="H218" s="117"/>
      <c r="I218" s="75"/>
      <c r="J218" s="75"/>
      <c r="K218" s="105"/>
      <c r="L218" s="106"/>
      <c r="M218" s="80"/>
      <c r="N218" s="107"/>
      <c r="O218" s="98"/>
      <c r="P218" s="75"/>
      <c r="Q218" s="100"/>
      <c r="R218" s="93"/>
      <c r="S218" s="75"/>
      <c r="T218" s="75"/>
      <c r="V218" s="84"/>
    </row>
    <row r="219" ht="15.75" customHeight="1">
      <c r="A219" s="70"/>
      <c r="B219" s="116"/>
      <c r="C219" s="117"/>
      <c r="D219" s="75"/>
      <c r="E219" s="118"/>
      <c r="F219" s="118"/>
      <c r="G219" s="75"/>
      <c r="H219" s="117"/>
      <c r="I219" s="75"/>
      <c r="J219" s="75"/>
      <c r="K219" s="78"/>
      <c r="L219" s="79"/>
      <c r="M219" s="80"/>
      <c r="N219" s="107"/>
      <c r="O219" s="98"/>
      <c r="P219" s="75"/>
      <c r="Q219" s="100"/>
      <c r="R219" s="93"/>
      <c r="S219" s="75"/>
      <c r="T219" s="75"/>
      <c r="V219" s="84"/>
    </row>
    <row r="220" ht="15.75" customHeight="1">
      <c r="A220" s="70"/>
      <c r="B220" s="116"/>
      <c r="C220" s="117"/>
      <c r="D220" s="75"/>
      <c r="E220" s="118"/>
      <c r="F220" s="118"/>
      <c r="G220" s="75"/>
      <c r="H220" s="117"/>
      <c r="I220" s="75"/>
      <c r="J220" s="75"/>
      <c r="K220" s="105"/>
      <c r="L220" s="106"/>
      <c r="M220" s="80"/>
      <c r="N220" s="107"/>
      <c r="O220" s="98"/>
      <c r="P220" s="75"/>
      <c r="Q220" s="100"/>
      <c r="R220" s="93"/>
      <c r="S220" s="75"/>
      <c r="T220" s="75"/>
      <c r="V220" s="84"/>
    </row>
    <row r="221" ht="15.75" customHeight="1">
      <c r="A221" s="70"/>
      <c r="B221" s="116"/>
      <c r="C221" s="117"/>
      <c r="D221" s="75"/>
      <c r="E221" s="118"/>
      <c r="F221" s="118"/>
      <c r="G221" s="75"/>
      <c r="H221" s="117"/>
      <c r="I221" s="75"/>
      <c r="J221" s="75"/>
      <c r="K221" s="78"/>
      <c r="L221" s="79"/>
      <c r="M221" s="80"/>
      <c r="N221" s="107"/>
      <c r="O221" s="98"/>
      <c r="P221" s="75"/>
      <c r="Q221" s="100"/>
      <c r="R221" s="93"/>
      <c r="S221" s="75"/>
      <c r="T221" s="75"/>
      <c r="V221" s="84"/>
    </row>
    <row r="222" ht="15.75" customHeight="1">
      <c r="A222" s="70"/>
      <c r="B222" s="116"/>
      <c r="C222" s="117"/>
      <c r="D222" s="75"/>
      <c r="E222" s="118"/>
      <c r="F222" s="118"/>
      <c r="G222" s="75"/>
      <c r="H222" s="117"/>
      <c r="I222" s="75"/>
      <c r="J222" s="75"/>
      <c r="K222" s="105"/>
      <c r="L222" s="106"/>
      <c r="M222" s="80"/>
      <c r="N222" s="107"/>
      <c r="O222" s="98"/>
      <c r="P222" s="75"/>
      <c r="Q222" s="100"/>
      <c r="R222" s="93"/>
      <c r="S222" s="75"/>
      <c r="T222" s="75"/>
      <c r="V222" s="84"/>
    </row>
    <row r="223" ht="15.75" customHeight="1">
      <c r="A223" s="70"/>
      <c r="B223" s="116"/>
      <c r="C223" s="84"/>
      <c r="D223" s="75"/>
      <c r="E223" s="118"/>
      <c r="F223" s="118"/>
      <c r="G223" s="75"/>
      <c r="H223" s="117"/>
      <c r="I223" s="75"/>
      <c r="J223" s="75"/>
      <c r="K223" s="78"/>
      <c r="L223" s="79"/>
      <c r="M223" s="80"/>
      <c r="N223" s="107"/>
      <c r="O223" s="98"/>
      <c r="P223" s="75"/>
      <c r="Q223" s="100"/>
      <c r="R223" s="93"/>
      <c r="S223" s="75"/>
      <c r="T223" s="75"/>
      <c r="V223" s="84"/>
    </row>
    <row r="224" ht="15.75" customHeight="1">
      <c r="A224" s="70"/>
      <c r="B224" s="116"/>
      <c r="C224" s="117"/>
      <c r="D224" s="75"/>
      <c r="E224" s="118"/>
      <c r="F224" s="118"/>
      <c r="G224" s="75"/>
      <c r="H224" s="117"/>
      <c r="I224" s="75"/>
      <c r="J224" s="75"/>
      <c r="K224" s="105"/>
      <c r="L224" s="106"/>
      <c r="M224" s="80"/>
      <c r="N224" s="107"/>
      <c r="O224" s="98"/>
      <c r="P224" s="75"/>
      <c r="Q224" s="100"/>
      <c r="R224" s="93"/>
      <c r="S224" s="75"/>
      <c r="T224" s="75"/>
      <c r="V224" s="84"/>
    </row>
    <row r="225" ht="15.75" customHeight="1">
      <c r="A225" s="70"/>
      <c r="B225" s="116"/>
      <c r="C225" s="117"/>
      <c r="D225" s="75"/>
      <c r="E225" s="118"/>
      <c r="F225" s="118"/>
      <c r="G225" s="75"/>
      <c r="H225" s="117"/>
      <c r="I225" s="75"/>
      <c r="J225" s="75"/>
      <c r="K225" s="78"/>
      <c r="L225" s="79"/>
      <c r="M225" s="80"/>
      <c r="N225" s="107"/>
      <c r="O225" s="98"/>
      <c r="P225" s="75"/>
      <c r="Q225" s="100"/>
      <c r="R225" s="93"/>
      <c r="S225" s="75"/>
      <c r="T225" s="75"/>
      <c r="V225" s="84"/>
    </row>
    <row r="226" ht="15.75" customHeight="1">
      <c r="A226" s="70"/>
      <c r="B226" s="116"/>
      <c r="C226" s="117"/>
      <c r="D226" s="75"/>
      <c r="E226" s="118"/>
      <c r="F226" s="118"/>
      <c r="G226" s="75"/>
      <c r="H226" s="117"/>
      <c r="I226" s="75"/>
      <c r="J226" s="75"/>
      <c r="K226" s="105"/>
      <c r="L226" s="106"/>
      <c r="M226" s="80"/>
      <c r="N226" s="107"/>
      <c r="O226" s="98"/>
      <c r="P226" s="75"/>
      <c r="Q226" s="100"/>
      <c r="R226" s="93"/>
      <c r="S226" s="75"/>
      <c r="T226" s="75"/>
      <c r="V226" s="84"/>
    </row>
    <row r="227" ht="15.75" customHeight="1">
      <c r="A227" s="70"/>
      <c r="B227" s="116"/>
      <c r="C227" s="117"/>
      <c r="D227" s="75"/>
      <c r="E227" s="118"/>
      <c r="F227" s="118"/>
      <c r="G227" s="75"/>
      <c r="H227" s="117"/>
      <c r="I227" s="75"/>
      <c r="J227" s="75"/>
      <c r="K227" s="78"/>
      <c r="L227" s="79"/>
      <c r="M227" s="80"/>
      <c r="N227" s="107"/>
      <c r="O227" s="98"/>
      <c r="P227" s="75"/>
      <c r="Q227" s="100"/>
      <c r="R227" s="93"/>
      <c r="S227" s="75"/>
      <c r="T227" s="75"/>
      <c r="V227" s="84"/>
    </row>
    <row r="228" ht="15.75" customHeight="1">
      <c r="A228" s="70"/>
      <c r="B228" s="116"/>
      <c r="C228" s="117"/>
      <c r="D228" s="75"/>
      <c r="E228" s="118"/>
      <c r="F228" s="118"/>
      <c r="G228" s="75"/>
      <c r="H228" s="117"/>
      <c r="I228" s="75"/>
      <c r="J228" s="75"/>
      <c r="K228" s="105"/>
      <c r="L228" s="106"/>
      <c r="M228" s="80"/>
      <c r="N228" s="107"/>
      <c r="O228" s="98"/>
      <c r="P228" s="75"/>
      <c r="Q228" s="100"/>
      <c r="R228" s="93"/>
      <c r="S228" s="75"/>
      <c r="T228" s="75"/>
      <c r="V228" s="84"/>
    </row>
    <row r="229" ht="15.75" customHeight="1">
      <c r="A229" s="70"/>
      <c r="B229" s="116"/>
      <c r="C229" s="84"/>
      <c r="D229" s="75"/>
      <c r="E229" s="118"/>
      <c r="F229" s="118"/>
      <c r="G229" s="75"/>
      <c r="H229" s="117"/>
      <c r="I229" s="75"/>
      <c r="J229" s="75"/>
      <c r="K229" s="78"/>
      <c r="L229" s="79"/>
      <c r="M229" s="80"/>
      <c r="N229" s="107"/>
      <c r="O229" s="98"/>
      <c r="P229" s="75"/>
      <c r="Q229" s="100"/>
      <c r="R229" s="93"/>
      <c r="S229" s="75"/>
      <c r="T229" s="75"/>
      <c r="V229" s="84"/>
    </row>
    <row r="230" ht="15.75" customHeight="1">
      <c r="A230" s="70"/>
      <c r="B230" s="116"/>
      <c r="C230" s="117"/>
      <c r="D230" s="75"/>
      <c r="E230" s="118"/>
      <c r="F230" s="118"/>
      <c r="G230" s="75"/>
      <c r="H230" s="117"/>
      <c r="I230" s="75"/>
      <c r="J230" s="75"/>
      <c r="K230" s="105"/>
      <c r="L230" s="106"/>
      <c r="M230" s="80"/>
      <c r="N230" s="107"/>
      <c r="O230" s="98"/>
      <c r="P230" s="75"/>
      <c r="Q230" s="100"/>
      <c r="R230" s="93"/>
      <c r="S230" s="75"/>
      <c r="T230" s="75"/>
      <c r="V230" s="84"/>
    </row>
    <row r="231" ht="15.75" customHeight="1">
      <c r="A231" s="70"/>
      <c r="B231" s="116"/>
      <c r="C231" s="117"/>
      <c r="D231" s="75"/>
      <c r="E231" s="118"/>
      <c r="F231" s="118"/>
      <c r="G231" s="75"/>
      <c r="H231" s="117"/>
      <c r="I231" s="75"/>
      <c r="J231" s="75"/>
      <c r="K231" s="78"/>
      <c r="L231" s="79"/>
      <c r="M231" s="80"/>
      <c r="N231" s="107"/>
      <c r="O231" s="98"/>
      <c r="P231" s="75"/>
      <c r="Q231" s="100"/>
      <c r="R231" s="93"/>
      <c r="S231" s="75"/>
      <c r="T231" s="75"/>
      <c r="V231" s="84"/>
    </row>
    <row r="232" ht="15.75" customHeight="1">
      <c r="A232" s="70"/>
      <c r="B232" s="116"/>
      <c r="C232" s="117"/>
      <c r="D232" s="75"/>
      <c r="E232" s="118"/>
      <c r="F232" s="118"/>
      <c r="G232" s="75"/>
      <c r="H232" s="117"/>
      <c r="I232" s="75"/>
      <c r="J232" s="75"/>
      <c r="K232" s="105"/>
      <c r="L232" s="106"/>
      <c r="M232" s="80"/>
      <c r="N232" s="107"/>
      <c r="O232" s="98"/>
      <c r="P232" s="75"/>
      <c r="Q232" s="100"/>
      <c r="R232" s="93"/>
      <c r="S232" s="75"/>
      <c r="T232" s="75"/>
      <c r="V232" s="84"/>
    </row>
    <row r="233" ht="15.75" customHeight="1">
      <c r="A233" s="70"/>
      <c r="B233" s="116"/>
      <c r="C233" s="117"/>
      <c r="D233" s="75"/>
      <c r="E233" s="118"/>
      <c r="F233" s="118"/>
      <c r="G233" s="75"/>
      <c r="H233" s="117"/>
      <c r="I233" s="75"/>
      <c r="J233" s="75"/>
      <c r="K233" s="78"/>
      <c r="L233" s="79"/>
      <c r="M233" s="80"/>
      <c r="N233" s="107"/>
      <c r="O233" s="98"/>
      <c r="P233" s="75"/>
      <c r="Q233" s="100"/>
      <c r="R233" s="93"/>
      <c r="S233" s="75"/>
      <c r="T233" s="75"/>
      <c r="V233" s="84"/>
    </row>
    <row r="234" ht="15.75" customHeight="1">
      <c r="A234" s="70"/>
      <c r="B234" s="116"/>
      <c r="C234" s="117"/>
      <c r="D234" s="75"/>
      <c r="E234" s="118"/>
      <c r="F234" s="118"/>
      <c r="G234" s="75"/>
      <c r="H234" s="117"/>
      <c r="I234" s="75"/>
      <c r="J234" s="75"/>
      <c r="K234" s="105"/>
      <c r="L234" s="106"/>
      <c r="M234" s="80"/>
      <c r="N234" s="107"/>
      <c r="O234" s="98"/>
      <c r="P234" s="75"/>
      <c r="Q234" s="100"/>
      <c r="R234" s="93"/>
      <c r="S234" s="75"/>
      <c r="T234" s="75"/>
      <c r="V234" s="84"/>
    </row>
    <row r="235" ht="15.75" customHeight="1">
      <c r="A235" s="70"/>
      <c r="B235" s="116"/>
      <c r="C235" s="84"/>
      <c r="D235" s="75"/>
      <c r="E235" s="118"/>
      <c r="F235" s="118"/>
      <c r="G235" s="75"/>
      <c r="H235" s="117"/>
      <c r="I235" s="75"/>
      <c r="J235" s="75"/>
      <c r="K235" s="78"/>
      <c r="L235" s="79"/>
      <c r="M235" s="80"/>
      <c r="N235" s="107"/>
      <c r="O235" s="98"/>
      <c r="P235" s="75"/>
      <c r="Q235" s="100"/>
      <c r="R235" s="93"/>
      <c r="S235" s="75"/>
      <c r="T235" s="75"/>
      <c r="V235" s="84"/>
    </row>
    <row r="236" ht="15.75" customHeight="1">
      <c r="A236" s="70"/>
      <c r="B236" s="116"/>
      <c r="C236" s="117"/>
      <c r="D236" s="75"/>
      <c r="E236" s="118"/>
      <c r="F236" s="118"/>
      <c r="G236" s="75"/>
      <c r="H236" s="117"/>
      <c r="I236" s="75"/>
      <c r="J236" s="75"/>
      <c r="K236" s="105"/>
      <c r="L236" s="106"/>
      <c r="M236" s="80"/>
      <c r="N236" s="107"/>
      <c r="O236" s="98"/>
      <c r="P236" s="75"/>
      <c r="Q236" s="100"/>
      <c r="R236" s="93"/>
      <c r="S236" s="75"/>
      <c r="T236" s="75"/>
      <c r="V236" s="84"/>
    </row>
    <row r="237" ht="15.75" customHeight="1">
      <c r="A237" s="70"/>
      <c r="B237" s="116"/>
      <c r="C237" s="117"/>
      <c r="D237" s="75"/>
      <c r="E237" s="118"/>
      <c r="F237" s="118"/>
      <c r="G237" s="75"/>
      <c r="H237" s="117"/>
      <c r="I237" s="75"/>
      <c r="J237" s="75"/>
      <c r="K237" s="78"/>
      <c r="L237" s="79"/>
      <c r="M237" s="80"/>
      <c r="N237" s="107"/>
      <c r="O237" s="98"/>
      <c r="P237" s="75"/>
      <c r="Q237" s="100"/>
      <c r="R237" s="93"/>
      <c r="S237" s="75"/>
      <c r="T237" s="75"/>
      <c r="V237" s="84"/>
    </row>
    <row r="238" ht="15.75" customHeight="1">
      <c r="A238" s="70"/>
      <c r="B238" s="116"/>
      <c r="C238" s="117"/>
      <c r="D238" s="75"/>
      <c r="E238" s="118"/>
      <c r="F238" s="118"/>
      <c r="G238" s="75"/>
      <c r="H238" s="117"/>
      <c r="I238" s="75"/>
      <c r="J238" s="75"/>
      <c r="K238" s="105"/>
      <c r="L238" s="106"/>
      <c r="M238" s="80"/>
      <c r="N238" s="107"/>
      <c r="O238" s="98"/>
      <c r="P238" s="75"/>
      <c r="Q238" s="100"/>
      <c r="R238" s="93"/>
      <c r="S238" s="75"/>
      <c r="T238" s="75"/>
      <c r="V238" s="84"/>
    </row>
    <row r="239" ht="15.75" customHeight="1">
      <c r="A239" s="70"/>
      <c r="B239" s="116"/>
      <c r="C239" s="117"/>
      <c r="D239" s="75"/>
      <c r="E239" s="118"/>
      <c r="F239" s="118"/>
      <c r="G239" s="75"/>
      <c r="H239" s="117"/>
      <c r="I239" s="75"/>
      <c r="J239" s="75"/>
      <c r="K239" s="78"/>
      <c r="L239" s="79"/>
      <c r="M239" s="80"/>
      <c r="N239" s="107"/>
      <c r="O239" s="98"/>
      <c r="P239" s="75"/>
      <c r="Q239" s="100"/>
      <c r="R239" s="93"/>
      <c r="S239" s="75"/>
      <c r="T239" s="75"/>
      <c r="V239" s="84"/>
    </row>
    <row r="240" ht="15.75" customHeight="1">
      <c r="A240" s="70"/>
      <c r="B240" s="116"/>
      <c r="C240" s="117"/>
      <c r="D240" s="75"/>
      <c r="E240" s="118"/>
      <c r="F240" s="118"/>
      <c r="G240" s="75"/>
      <c r="H240" s="117"/>
      <c r="I240" s="75"/>
      <c r="J240" s="75"/>
      <c r="K240" s="105"/>
      <c r="L240" s="106"/>
      <c r="M240" s="80"/>
      <c r="N240" s="107"/>
      <c r="O240" s="98"/>
      <c r="P240" s="75"/>
      <c r="Q240" s="100"/>
      <c r="R240" s="93"/>
      <c r="S240" s="75"/>
      <c r="T240" s="75"/>
      <c r="V240" s="84"/>
    </row>
    <row r="241" ht="15.75" customHeight="1">
      <c r="A241" s="70"/>
      <c r="B241" s="116"/>
      <c r="C241" s="84"/>
      <c r="D241" s="75"/>
      <c r="E241" s="118"/>
      <c r="F241" s="118"/>
      <c r="G241" s="75"/>
      <c r="H241" s="117"/>
      <c r="I241" s="75"/>
      <c r="J241" s="75"/>
      <c r="K241" s="78"/>
      <c r="L241" s="79"/>
      <c r="M241" s="80"/>
      <c r="N241" s="107"/>
      <c r="O241" s="98"/>
      <c r="P241" s="75"/>
      <c r="Q241" s="100"/>
      <c r="R241" s="93"/>
      <c r="S241" s="75"/>
      <c r="T241" s="75"/>
      <c r="V241" s="84"/>
    </row>
    <row r="242" ht="15.75" customHeight="1">
      <c r="A242" s="70"/>
      <c r="B242" s="116"/>
      <c r="C242" s="117"/>
      <c r="D242" s="75"/>
      <c r="E242" s="118"/>
      <c r="F242" s="118"/>
      <c r="G242" s="75"/>
      <c r="H242" s="117"/>
      <c r="I242" s="75"/>
      <c r="J242" s="75"/>
      <c r="K242" s="105"/>
      <c r="L242" s="106"/>
      <c r="M242" s="80"/>
      <c r="N242" s="107"/>
      <c r="O242" s="98"/>
      <c r="P242" s="75"/>
      <c r="Q242" s="100"/>
      <c r="R242" s="93"/>
      <c r="S242" s="75"/>
      <c r="T242" s="75"/>
      <c r="V242" s="84"/>
    </row>
    <row r="243" ht="15.75" customHeight="1">
      <c r="A243" s="70"/>
      <c r="B243" s="116"/>
      <c r="C243" s="117"/>
      <c r="D243" s="75"/>
      <c r="E243" s="118"/>
      <c r="F243" s="118"/>
      <c r="G243" s="75"/>
      <c r="H243" s="117"/>
      <c r="I243" s="75"/>
      <c r="J243" s="75"/>
      <c r="K243" s="78"/>
      <c r="L243" s="79"/>
      <c r="M243" s="80"/>
      <c r="N243" s="107"/>
      <c r="O243" s="98"/>
      <c r="P243" s="75"/>
      <c r="Q243" s="100"/>
      <c r="R243" s="93"/>
      <c r="S243" s="75"/>
      <c r="T243" s="75"/>
      <c r="V243" s="84"/>
    </row>
    <row r="244" ht="15.75" customHeight="1">
      <c r="A244" s="70"/>
      <c r="B244" s="116"/>
      <c r="C244" s="117"/>
      <c r="D244" s="75"/>
      <c r="E244" s="118"/>
      <c r="F244" s="118"/>
      <c r="G244" s="75"/>
      <c r="H244" s="117"/>
      <c r="I244" s="75"/>
      <c r="J244" s="75"/>
      <c r="K244" s="121"/>
      <c r="L244" s="122"/>
      <c r="M244" s="80"/>
      <c r="N244" s="107"/>
      <c r="O244" s="98"/>
      <c r="P244" s="75"/>
      <c r="Q244" s="100"/>
      <c r="R244" s="93"/>
      <c r="S244" s="75"/>
      <c r="T244" s="75"/>
      <c r="V244" s="84"/>
    </row>
    <row r="245" ht="15.75" customHeight="1">
      <c r="A245" s="70"/>
      <c r="B245" s="116"/>
      <c r="C245" s="117"/>
      <c r="D245" s="75"/>
      <c r="E245" s="118"/>
      <c r="F245" s="118"/>
      <c r="G245" s="75"/>
      <c r="H245" s="117"/>
      <c r="I245" s="75"/>
      <c r="J245" s="75"/>
      <c r="K245" s="123"/>
      <c r="L245" s="124"/>
      <c r="M245" s="80"/>
      <c r="N245" s="107"/>
      <c r="O245" s="98"/>
      <c r="P245" s="75"/>
      <c r="Q245" s="100"/>
      <c r="R245" s="93"/>
      <c r="S245" s="75"/>
      <c r="T245" s="75"/>
      <c r="V245" s="84"/>
    </row>
    <row r="246" ht="15.75" customHeight="1">
      <c r="A246" s="70"/>
      <c r="B246" s="116"/>
      <c r="C246" s="117"/>
      <c r="D246" s="75"/>
      <c r="E246" s="118"/>
      <c r="F246" s="118"/>
      <c r="G246" s="75"/>
      <c r="H246" s="117"/>
      <c r="I246" s="75"/>
      <c r="J246" s="75"/>
      <c r="K246" s="121"/>
      <c r="L246" s="122"/>
      <c r="M246" s="80"/>
      <c r="N246" s="107"/>
      <c r="O246" s="98"/>
      <c r="P246" s="75"/>
      <c r="Q246" s="100"/>
      <c r="R246" s="93"/>
      <c r="S246" s="75"/>
      <c r="T246" s="75"/>
      <c r="V246" s="84"/>
    </row>
    <row r="247" ht="15.75" customHeight="1">
      <c r="A247" s="70"/>
      <c r="B247" s="116"/>
      <c r="C247" s="84"/>
      <c r="D247" s="75"/>
      <c r="E247" s="118"/>
      <c r="F247" s="118"/>
      <c r="G247" s="75"/>
      <c r="H247" s="117"/>
      <c r="I247" s="75"/>
      <c r="J247" s="75"/>
      <c r="K247" s="123"/>
      <c r="L247" s="124"/>
      <c r="M247" s="80"/>
      <c r="N247" s="107"/>
      <c r="O247" s="98"/>
      <c r="P247" s="75"/>
      <c r="Q247" s="100"/>
      <c r="R247" s="93"/>
      <c r="S247" s="75"/>
      <c r="T247" s="75"/>
      <c r="V247" s="84"/>
    </row>
    <row r="248" ht="15.75" customHeight="1">
      <c r="A248" s="70"/>
      <c r="B248" s="116"/>
      <c r="C248" s="117"/>
      <c r="D248" s="75"/>
      <c r="E248" s="118"/>
      <c r="F248" s="118"/>
      <c r="G248" s="75"/>
      <c r="H248" s="117"/>
      <c r="I248" s="75"/>
      <c r="J248" s="75"/>
      <c r="K248" s="121"/>
      <c r="L248" s="122"/>
      <c r="M248" s="80"/>
      <c r="N248" s="107"/>
      <c r="O248" s="98"/>
      <c r="P248" s="75"/>
      <c r="Q248" s="100"/>
      <c r="R248" s="93"/>
      <c r="S248" s="75"/>
      <c r="T248" s="75"/>
      <c r="V248" s="84"/>
    </row>
    <row r="249" ht="15.75" customHeight="1">
      <c r="A249" s="70"/>
      <c r="B249" s="116"/>
      <c r="C249" s="117"/>
      <c r="D249" s="75"/>
      <c r="E249" s="118"/>
      <c r="F249" s="118"/>
      <c r="G249" s="75"/>
      <c r="H249" s="117"/>
      <c r="I249" s="75"/>
      <c r="J249" s="75"/>
      <c r="K249" s="123"/>
      <c r="L249" s="124"/>
      <c r="M249" s="80"/>
      <c r="N249" s="107"/>
      <c r="O249" s="98"/>
      <c r="P249" s="75"/>
      <c r="Q249" s="100"/>
      <c r="R249" s="93"/>
      <c r="S249" s="75"/>
      <c r="T249" s="75"/>
      <c r="V249" s="84"/>
    </row>
    <row r="250" ht="15.75" customHeight="1">
      <c r="A250" s="70"/>
      <c r="B250" s="116"/>
      <c r="C250" s="117"/>
      <c r="D250" s="75"/>
      <c r="E250" s="118"/>
      <c r="F250" s="118"/>
      <c r="G250" s="75"/>
      <c r="H250" s="117"/>
      <c r="I250" s="75"/>
      <c r="J250" s="75"/>
      <c r="K250" s="121"/>
      <c r="L250" s="122"/>
      <c r="M250" s="80"/>
      <c r="N250" s="107"/>
      <c r="O250" s="98"/>
      <c r="P250" s="75"/>
      <c r="Q250" s="100"/>
      <c r="R250" s="93"/>
      <c r="S250" s="75"/>
      <c r="T250" s="75"/>
      <c r="V250" s="84"/>
    </row>
    <row r="251" ht="15.75" customHeight="1">
      <c r="A251" s="70"/>
      <c r="B251" s="116"/>
      <c r="C251" s="117"/>
      <c r="D251" s="75"/>
      <c r="E251" s="118"/>
      <c r="F251" s="118"/>
      <c r="G251" s="75"/>
      <c r="H251" s="117"/>
      <c r="I251" s="75"/>
      <c r="J251" s="75"/>
      <c r="K251" s="123"/>
      <c r="L251" s="124"/>
      <c r="M251" s="80"/>
      <c r="N251" s="107"/>
      <c r="O251" s="98"/>
      <c r="P251" s="75"/>
      <c r="Q251" s="100"/>
      <c r="R251" s="93"/>
      <c r="S251" s="75"/>
      <c r="T251" s="75"/>
      <c r="V251" s="84"/>
    </row>
    <row r="252" ht="15.75" customHeight="1">
      <c r="A252" s="70"/>
      <c r="B252" s="116"/>
      <c r="C252" s="117"/>
      <c r="D252" s="75"/>
      <c r="E252" s="118"/>
      <c r="F252" s="118"/>
      <c r="G252" s="75"/>
      <c r="H252" s="117"/>
      <c r="I252" s="75"/>
      <c r="J252" s="75"/>
      <c r="K252" s="121"/>
      <c r="L252" s="122"/>
      <c r="M252" s="80"/>
      <c r="N252" s="107"/>
      <c r="O252" s="98"/>
      <c r="P252" s="75"/>
      <c r="Q252" s="100"/>
      <c r="R252" s="93"/>
      <c r="S252" s="75"/>
      <c r="T252" s="75"/>
      <c r="V252" s="84"/>
    </row>
    <row r="253" ht="15.75" customHeight="1">
      <c r="A253" s="70"/>
      <c r="B253" s="116"/>
      <c r="C253" s="84"/>
      <c r="D253" s="75"/>
      <c r="E253" s="118"/>
      <c r="F253" s="118"/>
      <c r="G253" s="75"/>
      <c r="H253" s="117"/>
      <c r="I253" s="75"/>
      <c r="J253" s="75"/>
      <c r="K253" s="123"/>
      <c r="L253" s="124"/>
      <c r="M253" s="80"/>
      <c r="N253" s="107"/>
      <c r="O253" s="98"/>
      <c r="P253" s="75"/>
      <c r="Q253" s="100"/>
      <c r="R253" s="93"/>
      <c r="S253" s="75"/>
      <c r="T253" s="75"/>
      <c r="V253" s="84"/>
    </row>
    <row r="254" ht="15.75" customHeight="1">
      <c r="A254" s="70"/>
      <c r="B254" s="116"/>
      <c r="C254" s="117"/>
      <c r="D254" s="75"/>
      <c r="E254" s="118"/>
      <c r="F254" s="118"/>
      <c r="G254" s="75"/>
      <c r="H254" s="117"/>
      <c r="I254" s="75"/>
      <c r="J254" s="75"/>
      <c r="K254" s="121"/>
      <c r="L254" s="122"/>
      <c r="M254" s="80"/>
      <c r="N254" s="107"/>
      <c r="O254" s="98"/>
      <c r="P254" s="75"/>
      <c r="Q254" s="100"/>
      <c r="R254" s="93"/>
      <c r="S254" s="75"/>
      <c r="T254" s="75"/>
      <c r="V254" s="84"/>
    </row>
    <row r="255" ht="15.75" customHeight="1">
      <c r="A255" s="70"/>
      <c r="B255" s="116"/>
      <c r="C255" s="117"/>
      <c r="D255" s="75"/>
      <c r="E255" s="118"/>
      <c r="F255" s="118"/>
      <c r="G255" s="75"/>
      <c r="H255" s="117"/>
      <c r="I255" s="75"/>
      <c r="J255" s="75"/>
      <c r="K255" s="123"/>
      <c r="L255" s="124"/>
      <c r="M255" s="80"/>
      <c r="N255" s="107"/>
      <c r="O255" s="98"/>
      <c r="P255" s="75"/>
      <c r="Q255" s="100"/>
      <c r="R255" s="93"/>
      <c r="S255" s="75"/>
      <c r="T255" s="75"/>
      <c r="V255" s="84"/>
    </row>
    <row r="256" ht="15.75" customHeight="1">
      <c r="A256" s="70"/>
      <c r="B256" s="116"/>
      <c r="C256" s="117"/>
      <c r="D256" s="75"/>
      <c r="E256" s="118"/>
      <c r="F256" s="118"/>
      <c r="G256" s="75"/>
      <c r="H256" s="117"/>
      <c r="I256" s="75"/>
      <c r="J256" s="75"/>
      <c r="K256" s="121"/>
      <c r="L256" s="122"/>
      <c r="M256" s="80"/>
      <c r="N256" s="107"/>
      <c r="O256" s="98"/>
      <c r="P256" s="75"/>
      <c r="Q256" s="100"/>
      <c r="R256" s="93"/>
      <c r="S256" s="75"/>
      <c r="T256" s="75"/>
      <c r="V256" s="84"/>
    </row>
    <row r="257" ht="15.75" customHeight="1">
      <c r="A257" s="70"/>
      <c r="B257" s="116"/>
      <c r="C257" s="117"/>
      <c r="D257" s="75"/>
      <c r="E257" s="118"/>
      <c r="F257" s="118"/>
      <c r="G257" s="75"/>
      <c r="H257" s="117"/>
      <c r="I257" s="75"/>
      <c r="J257" s="75"/>
      <c r="K257" s="123"/>
      <c r="L257" s="124"/>
      <c r="M257" s="80"/>
      <c r="N257" s="107"/>
      <c r="O257" s="98"/>
      <c r="P257" s="75"/>
      <c r="Q257" s="100"/>
      <c r="R257" s="93"/>
      <c r="S257" s="75"/>
      <c r="T257" s="75"/>
      <c r="V257" s="84"/>
    </row>
    <row r="258" ht="15.75" customHeight="1">
      <c r="A258" s="70"/>
      <c r="B258" s="116"/>
      <c r="C258" s="117"/>
      <c r="D258" s="75"/>
      <c r="E258" s="118"/>
      <c r="F258" s="118"/>
      <c r="G258" s="75"/>
      <c r="H258" s="117"/>
      <c r="I258" s="75"/>
      <c r="J258" s="75"/>
      <c r="K258" s="121"/>
      <c r="L258" s="122"/>
      <c r="M258" s="80"/>
      <c r="N258" s="107"/>
      <c r="O258" s="98"/>
      <c r="P258" s="75"/>
      <c r="Q258" s="100"/>
      <c r="R258" s="93"/>
      <c r="S258" s="75"/>
      <c r="T258" s="75"/>
      <c r="V258" s="84"/>
    </row>
    <row r="259" ht="15.75" customHeight="1">
      <c r="A259" s="70"/>
      <c r="B259" s="116"/>
      <c r="C259" s="84"/>
      <c r="D259" s="75"/>
      <c r="E259" s="118"/>
      <c r="F259" s="118"/>
      <c r="G259" s="75"/>
      <c r="H259" s="117"/>
      <c r="I259" s="75"/>
      <c r="J259" s="75"/>
      <c r="K259" s="123"/>
      <c r="L259" s="124"/>
      <c r="M259" s="80"/>
      <c r="N259" s="107"/>
      <c r="O259" s="98"/>
      <c r="P259" s="75"/>
      <c r="Q259" s="100"/>
      <c r="R259" s="93"/>
      <c r="S259" s="75"/>
      <c r="T259" s="75"/>
      <c r="V259" s="84"/>
    </row>
    <row r="260" ht="15.75" customHeight="1">
      <c r="A260" s="70"/>
      <c r="B260" s="116"/>
      <c r="C260" s="117"/>
      <c r="D260" s="75"/>
      <c r="E260" s="118"/>
      <c r="F260" s="118"/>
      <c r="G260" s="75"/>
      <c r="H260" s="117"/>
      <c r="I260" s="75"/>
      <c r="J260" s="75"/>
      <c r="K260" s="121"/>
      <c r="L260" s="122"/>
      <c r="M260" s="80"/>
      <c r="N260" s="107"/>
      <c r="O260" s="98"/>
      <c r="P260" s="75"/>
      <c r="Q260" s="100"/>
      <c r="R260" s="93"/>
      <c r="S260" s="75"/>
      <c r="T260" s="75"/>
      <c r="V260" s="84"/>
    </row>
    <row r="261" ht="15.75" customHeight="1">
      <c r="A261" s="70"/>
      <c r="B261" s="116"/>
      <c r="C261" s="117"/>
      <c r="D261" s="75"/>
      <c r="E261" s="118"/>
      <c r="F261" s="118"/>
      <c r="G261" s="75"/>
      <c r="H261" s="117"/>
      <c r="I261" s="75"/>
      <c r="J261" s="75"/>
      <c r="K261" s="123"/>
      <c r="L261" s="124"/>
      <c r="M261" s="80"/>
      <c r="N261" s="107"/>
      <c r="O261" s="98"/>
      <c r="P261" s="75"/>
      <c r="Q261" s="100"/>
      <c r="R261" s="93"/>
      <c r="S261" s="75"/>
      <c r="T261" s="75"/>
      <c r="V261" s="84"/>
    </row>
    <row r="262" ht="15.75" customHeight="1">
      <c r="A262" s="70"/>
      <c r="B262" s="116"/>
      <c r="C262" s="117"/>
      <c r="D262" s="75"/>
      <c r="E262" s="118"/>
      <c r="F262" s="118"/>
      <c r="G262" s="75"/>
      <c r="H262" s="117"/>
      <c r="I262" s="75"/>
      <c r="J262" s="75"/>
      <c r="K262" s="121"/>
      <c r="L262" s="122"/>
      <c r="M262" s="80"/>
      <c r="N262" s="107"/>
      <c r="O262" s="98"/>
      <c r="P262" s="75"/>
      <c r="Q262" s="100"/>
      <c r="R262" s="93"/>
      <c r="S262" s="75"/>
      <c r="T262" s="75"/>
      <c r="V262" s="84"/>
    </row>
    <row r="263" ht="15.75" customHeight="1">
      <c r="A263" s="70"/>
      <c r="B263" s="116"/>
      <c r="C263" s="117"/>
      <c r="D263" s="75"/>
      <c r="E263" s="118"/>
      <c r="F263" s="118"/>
      <c r="G263" s="75"/>
      <c r="H263" s="117"/>
      <c r="I263" s="75"/>
      <c r="J263" s="75"/>
      <c r="K263" s="123"/>
      <c r="L263" s="124"/>
      <c r="M263" s="80"/>
      <c r="N263" s="107"/>
      <c r="O263" s="98"/>
      <c r="P263" s="75"/>
      <c r="Q263" s="100"/>
      <c r="R263" s="93"/>
      <c r="S263" s="75"/>
      <c r="T263" s="75"/>
      <c r="V263" s="84"/>
    </row>
    <row r="264" ht="15.75" customHeight="1">
      <c r="A264" s="70"/>
      <c r="B264" s="116"/>
      <c r="C264" s="117"/>
      <c r="D264" s="75"/>
      <c r="E264" s="118"/>
      <c r="F264" s="118"/>
      <c r="G264" s="75"/>
      <c r="H264" s="117"/>
      <c r="I264" s="75"/>
      <c r="J264" s="75"/>
      <c r="K264" s="121"/>
      <c r="L264" s="122"/>
      <c r="M264" s="80"/>
      <c r="N264" s="107"/>
      <c r="O264" s="98"/>
      <c r="P264" s="75"/>
      <c r="Q264" s="100"/>
      <c r="R264" s="93"/>
      <c r="S264" s="75"/>
      <c r="T264" s="75"/>
      <c r="V264" s="84"/>
    </row>
    <row r="265" ht="15.75" customHeight="1">
      <c r="A265" s="70"/>
      <c r="B265" s="116"/>
      <c r="C265" s="84"/>
      <c r="D265" s="75"/>
      <c r="E265" s="118"/>
      <c r="F265" s="118"/>
      <c r="G265" s="75"/>
      <c r="H265" s="117"/>
      <c r="I265" s="75"/>
      <c r="J265" s="75"/>
      <c r="K265" s="123"/>
      <c r="L265" s="124"/>
      <c r="M265" s="80"/>
      <c r="N265" s="107"/>
      <c r="O265" s="98"/>
      <c r="P265" s="75"/>
      <c r="Q265" s="100"/>
      <c r="R265" s="93"/>
      <c r="S265" s="75"/>
      <c r="T265" s="75"/>
      <c r="V265" s="84"/>
    </row>
    <row r="266" ht="15.75" customHeight="1">
      <c r="A266" s="70"/>
      <c r="B266" s="116"/>
      <c r="C266" s="117"/>
      <c r="D266" s="75"/>
      <c r="E266" s="118"/>
      <c r="F266" s="118"/>
      <c r="G266" s="75"/>
      <c r="H266" s="117"/>
      <c r="I266" s="75"/>
      <c r="J266" s="75"/>
      <c r="K266" s="121"/>
      <c r="L266" s="122"/>
      <c r="M266" s="80"/>
      <c r="N266" s="107"/>
      <c r="O266" s="98"/>
      <c r="P266" s="75"/>
      <c r="Q266" s="100"/>
      <c r="R266" s="93"/>
      <c r="S266" s="75"/>
      <c r="T266" s="75"/>
      <c r="V266" s="84"/>
    </row>
    <row r="267" ht="15.75" customHeight="1">
      <c r="A267" s="70"/>
      <c r="B267" s="116"/>
      <c r="C267" s="117"/>
      <c r="D267" s="75"/>
      <c r="E267" s="118"/>
      <c r="F267" s="118"/>
      <c r="G267" s="75"/>
      <c r="H267" s="117"/>
      <c r="I267" s="75"/>
      <c r="J267" s="75"/>
      <c r="K267" s="123"/>
      <c r="L267" s="124"/>
      <c r="M267" s="80"/>
      <c r="N267" s="107"/>
      <c r="O267" s="98"/>
      <c r="P267" s="75"/>
      <c r="Q267" s="100"/>
      <c r="R267" s="93"/>
      <c r="S267" s="75"/>
      <c r="T267" s="75"/>
      <c r="V267" s="84"/>
    </row>
    <row r="268" ht="15.75" customHeight="1">
      <c r="A268" s="70"/>
      <c r="B268" s="116"/>
      <c r="C268" s="117"/>
      <c r="D268" s="75"/>
      <c r="E268" s="118"/>
      <c r="F268" s="118"/>
      <c r="G268" s="75"/>
      <c r="H268" s="117"/>
      <c r="I268" s="75"/>
      <c r="J268" s="75"/>
      <c r="K268" s="121"/>
      <c r="L268" s="122"/>
      <c r="M268" s="80"/>
      <c r="N268" s="107"/>
      <c r="O268" s="98"/>
      <c r="P268" s="75"/>
      <c r="Q268" s="100"/>
      <c r="R268" s="93"/>
      <c r="S268" s="75"/>
      <c r="T268" s="75"/>
      <c r="V268" s="84"/>
    </row>
    <row r="269" ht="15.75" customHeight="1">
      <c r="A269" s="70"/>
      <c r="B269" s="116"/>
      <c r="C269" s="117"/>
      <c r="D269" s="75"/>
      <c r="E269" s="118"/>
      <c r="F269" s="118"/>
      <c r="G269" s="75"/>
      <c r="H269" s="117"/>
      <c r="I269" s="75"/>
      <c r="J269" s="75"/>
      <c r="K269" s="123"/>
      <c r="L269" s="124"/>
      <c r="M269" s="80"/>
      <c r="N269" s="107"/>
      <c r="O269" s="98"/>
      <c r="P269" s="75"/>
      <c r="Q269" s="100"/>
      <c r="R269" s="93"/>
      <c r="S269" s="75"/>
      <c r="T269" s="75"/>
      <c r="V269" s="84"/>
    </row>
    <row r="270" ht="15.75" customHeight="1">
      <c r="A270" s="70"/>
      <c r="B270" s="116"/>
      <c r="C270" s="117"/>
      <c r="D270" s="75"/>
      <c r="E270" s="118"/>
      <c r="F270" s="118"/>
      <c r="G270" s="75"/>
      <c r="H270" s="117"/>
      <c r="I270" s="75"/>
      <c r="J270" s="75"/>
      <c r="K270" s="121"/>
      <c r="L270" s="122"/>
      <c r="M270" s="80"/>
      <c r="N270" s="107"/>
      <c r="O270" s="98"/>
      <c r="P270" s="75"/>
      <c r="Q270" s="100"/>
      <c r="R270" s="93"/>
      <c r="S270" s="75"/>
      <c r="T270" s="75"/>
      <c r="V270" s="84"/>
    </row>
    <row r="271" ht="15.75" customHeight="1">
      <c r="A271" s="70"/>
      <c r="B271" s="116"/>
      <c r="C271" s="84"/>
      <c r="D271" s="75"/>
      <c r="E271" s="118"/>
      <c r="F271" s="118"/>
      <c r="G271" s="75"/>
      <c r="H271" s="117"/>
      <c r="I271" s="75"/>
      <c r="J271" s="75"/>
      <c r="K271" s="123"/>
      <c r="L271" s="124"/>
      <c r="M271" s="80"/>
      <c r="N271" s="107"/>
      <c r="O271" s="98"/>
      <c r="P271" s="75"/>
      <c r="Q271" s="100"/>
      <c r="R271" s="93"/>
      <c r="S271" s="75"/>
      <c r="T271" s="75"/>
      <c r="V271" s="84"/>
    </row>
    <row r="272" ht="15.75" customHeight="1">
      <c r="A272" s="70"/>
      <c r="B272" s="116"/>
      <c r="C272" s="117"/>
      <c r="D272" s="75"/>
      <c r="E272" s="118"/>
      <c r="F272" s="118"/>
      <c r="G272" s="75"/>
      <c r="H272" s="117"/>
      <c r="I272" s="75"/>
      <c r="J272" s="75"/>
      <c r="K272" s="121"/>
      <c r="L272" s="122"/>
      <c r="M272" s="80"/>
      <c r="N272" s="107"/>
      <c r="O272" s="98"/>
      <c r="P272" s="75"/>
      <c r="Q272" s="100"/>
      <c r="R272" s="93"/>
      <c r="S272" s="75"/>
      <c r="T272" s="75"/>
      <c r="V272" s="84"/>
    </row>
    <row r="273" ht="15.75" customHeight="1">
      <c r="A273" s="70"/>
      <c r="B273" s="116"/>
      <c r="C273" s="117"/>
      <c r="D273" s="75"/>
      <c r="E273" s="118"/>
      <c r="F273" s="118"/>
      <c r="G273" s="75"/>
      <c r="H273" s="117"/>
      <c r="I273" s="75"/>
      <c r="J273" s="75"/>
      <c r="K273" s="123"/>
      <c r="L273" s="124"/>
      <c r="M273" s="80"/>
      <c r="N273" s="107"/>
      <c r="O273" s="98"/>
      <c r="P273" s="75"/>
      <c r="Q273" s="100"/>
      <c r="R273" s="93"/>
      <c r="S273" s="75"/>
      <c r="T273" s="75"/>
      <c r="V273" s="84"/>
    </row>
    <row r="274" ht="15.75" customHeight="1">
      <c r="A274" s="70"/>
      <c r="B274" s="116"/>
      <c r="C274" s="117"/>
      <c r="D274" s="75"/>
      <c r="E274" s="118"/>
      <c r="F274" s="118"/>
      <c r="G274" s="75"/>
      <c r="H274" s="117"/>
      <c r="I274" s="75"/>
      <c r="J274" s="75"/>
      <c r="K274" s="121"/>
      <c r="L274" s="122"/>
      <c r="M274" s="80"/>
      <c r="N274" s="107"/>
      <c r="O274" s="98"/>
      <c r="P274" s="75"/>
      <c r="Q274" s="100"/>
      <c r="R274" s="93"/>
      <c r="S274" s="75"/>
      <c r="T274" s="75"/>
      <c r="V274" s="84"/>
    </row>
    <row r="275" ht="15.75" customHeight="1">
      <c r="A275" s="70"/>
      <c r="B275" s="116"/>
      <c r="C275" s="117"/>
      <c r="D275" s="75"/>
      <c r="E275" s="118"/>
      <c r="F275" s="118"/>
      <c r="G275" s="75"/>
      <c r="H275" s="117"/>
      <c r="I275" s="75"/>
      <c r="J275" s="75"/>
      <c r="K275" s="123"/>
      <c r="L275" s="124"/>
      <c r="M275" s="80"/>
      <c r="N275" s="107"/>
      <c r="O275" s="98"/>
      <c r="P275" s="75"/>
      <c r="Q275" s="100"/>
      <c r="R275" s="93"/>
      <c r="S275" s="75"/>
      <c r="T275" s="75"/>
      <c r="V275" s="84"/>
    </row>
    <row r="276" ht="15.75" customHeight="1">
      <c r="A276" s="70"/>
      <c r="B276" s="116"/>
      <c r="C276" s="117"/>
      <c r="D276" s="75"/>
      <c r="E276" s="118"/>
      <c r="F276" s="118"/>
      <c r="G276" s="75"/>
      <c r="H276" s="117"/>
      <c r="I276" s="75"/>
      <c r="J276" s="75"/>
      <c r="K276" s="121"/>
      <c r="L276" s="122"/>
      <c r="M276" s="80"/>
      <c r="N276" s="107"/>
      <c r="O276" s="98"/>
      <c r="P276" s="75"/>
      <c r="Q276" s="100"/>
      <c r="R276" s="93"/>
      <c r="S276" s="75"/>
      <c r="T276" s="75"/>
      <c r="V276" s="84"/>
    </row>
    <row r="277" ht="15.75" customHeight="1">
      <c r="A277" s="70"/>
      <c r="B277" s="116"/>
      <c r="C277" s="84"/>
      <c r="D277" s="75"/>
      <c r="E277" s="118"/>
      <c r="F277" s="118"/>
      <c r="G277" s="75"/>
      <c r="H277" s="117"/>
      <c r="I277" s="75"/>
      <c r="J277" s="75"/>
      <c r="K277" s="123"/>
      <c r="L277" s="124"/>
      <c r="M277" s="80"/>
      <c r="N277" s="107"/>
      <c r="O277" s="98"/>
      <c r="P277" s="75"/>
      <c r="Q277" s="100"/>
      <c r="R277" s="93"/>
      <c r="S277" s="75"/>
      <c r="T277" s="75"/>
      <c r="V277" s="84"/>
    </row>
    <row r="278" ht="15.75" customHeight="1">
      <c r="A278" s="70"/>
      <c r="B278" s="116"/>
      <c r="C278" s="117"/>
      <c r="D278" s="75"/>
      <c r="E278" s="118"/>
      <c r="F278" s="118"/>
      <c r="G278" s="75"/>
      <c r="H278" s="117"/>
      <c r="I278" s="75"/>
      <c r="J278" s="75"/>
      <c r="K278" s="121"/>
      <c r="L278" s="122"/>
      <c r="M278" s="80"/>
      <c r="N278" s="107"/>
      <c r="O278" s="98"/>
      <c r="P278" s="75"/>
      <c r="Q278" s="100"/>
      <c r="R278" s="93"/>
      <c r="S278" s="75"/>
      <c r="T278" s="75"/>
      <c r="V278" s="84"/>
    </row>
    <row r="279" ht="15.75" customHeight="1">
      <c r="A279" s="70"/>
      <c r="B279" s="116"/>
      <c r="C279" s="117"/>
      <c r="D279" s="75"/>
      <c r="E279" s="118"/>
      <c r="F279" s="118"/>
      <c r="G279" s="75"/>
      <c r="H279" s="117"/>
      <c r="I279" s="75"/>
      <c r="J279" s="75"/>
      <c r="K279" s="123"/>
      <c r="L279" s="124"/>
      <c r="M279" s="80"/>
      <c r="N279" s="107"/>
      <c r="O279" s="98"/>
      <c r="P279" s="75"/>
      <c r="Q279" s="100"/>
      <c r="R279" s="93"/>
      <c r="S279" s="75"/>
      <c r="T279" s="75"/>
      <c r="V279" s="84"/>
    </row>
    <row r="280" ht="15.75" customHeight="1">
      <c r="A280" s="70"/>
      <c r="B280" s="116"/>
      <c r="C280" s="117"/>
      <c r="D280" s="75"/>
      <c r="E280" s="118"/>
      <c r="F280" s="118"/>
      <c r="G280" s="75"/>
      <c r="H280" s="117"/>
      <c r="I280" s="75"/>
      <c r="J280" s="75"/>
      <c r="K280" s="121"/>
      <c r="L280" s="122"/>
      <c r="M280" s="80"/>
      <c r="N280" s="107"/>
      <c r="O280" s="98"/>
      <c r="P280" s="75"/>
      <c r="Q280" s="100"/>
      <c r="R280" s="93"/>
      <c r="S280" s="75"/>
      <c r="T280" s="75"/>
      <c r="V280" s="84"/>
    </row>
    <row r="281" ht="15.75" customHeight="1">
      <c r="A281" s="70"/>
      <c r="B281" s="116"/>
      <c r="C281" s="117"/>
      <c r="D281" s="75"/>
      <c r="E281" s="118"/>
      <c r="F281" s="118"/>
      <c r="G281" s="75"/>
      <c r="H281" s="117"/>
      <c r="I281" s="75"/>
      <c r="J281" s="75"/>
      <c r="K281" s="123"/>
      <c r="L281" s="124"/>
      <c r="M281" s="80"/>
      <c r="N281" s="107"/>
      <c r="O281" s="98"/>
      <c r="P281" s="75"/>
      <c r="Q281" s="100"/>
      <c r="R281" s="93"/>
      <c r="S281" s="75"/>
      <c r="T281" s="75"/>
      <c r="V281" s="84"/>
    </row>
    <row r="282" ht="15.75" customHeight="1">
      <c r="A282" s="70"/>
      <c r="B282" s="116"/>
      <c r="C282" s="117"/>
      <c r="D282" s="75"/>
      <c r="E282" s="118"/>
      <c r="F282" s="118"/>
      <c r="G282" s="75"/>
      <c r="H282" s="117"/>
      <c r="I282" s="75"/>
      <c r="J282" s="75"/>
      <c r="K282" s="121"/>
      <c r="L282" s="122"/>
      <c r="M282" s="80"/>
      <c r="N282" s="107"/>
      <c r="O282" s="98"/>
      <c r="P282" s="75"/>
      <c r="Q282" s="100"/>
      <c r="R282" s="93"/>
      <c r="S282" s="75"/>
      <c r="T282" s="75"/>
      <c r="V282" s="84"/>
    </row>
    <row r="283" ht="15.75" customHeight="1">
      <c r="A283" s="70"/>
      <c r="B283" s="116"/>
      <c r="C283" s="84"/>
      <c r="D283" s="75"/>
      <c r="E283" s="118"/>
      <c r="F283" s="118"/>
      <c r="G283" s="75"/>
      <c r="H283" s="117"/>
      <c r="I283" s="75"/>
      <c r="J283" s="75"/>
      <c r="K283" s="123"/>
      <c r="L283" s="124"/>
      <c r="M283" s="80"/>
      <c r="N283" s="107"/>
      <c r="O283" s="98"/>
      <c r="P283" s="75"/>
      <c r="Q283" s="100"/>
      <c r="R283" s="93"/>
      <c r="S283" s="75"/>
      <c r="T283" s="75"/>
      <c r="V283" s="84"/>
    </row>
    <row r="284" ht="15.75" customHeight="1">
      <c r="A284" s="70"/>
      <c r="B284" s="116"/>
      <c r="C284" s="117"/>
      <c r="D284" s="75"/>
      <c r="E284" s="118"/>
      <c r="F284" s="118"/>
      <c r="G284" s="75"/>
      <c r="H284" s="117"/>
      <c r="I284" s="75"/>
      <c r="J284" s="75"/>
      <c r="K284" s="121"/>
      <c r="L284" s="122"/>
      <c r="M284" s="80"/>
      <c r="N284" s="107"/>
      <c r="O284" s="98"/>
      <c r="P284" s="75"/>
      <c r="Q284" s="100"/>
      <c r="R284" s="93"/>
      <c r="S284" s="75"/>
      <c r="T284" s="75"/>
      <c r="V284" s="84"/>
    </row>
    <row r="285" ht="15.75" customHeight="1">
      <c r="A285" s="70"/>
      <c r="B285" s="116"/>
      <c r="C285" s="117"/>
      <c r="D285" s="75"/>
      <c r="E285" s="118"/>
      <c r="F285" s="118"/>
      <c r="G285" s="75"/>
      <c r="H285" s="117"/>
      <c r="I285" s="75"/>
      <c r="J285" s="75"/>
      <c r="K285" s="123"/>
      <c r="L285" s="124"/>
      <c r="M285" s="80"/>
      <c r="N285" s="107"/>
      <c r="O285" s="98"/>
      <c r="P285" s="75"/>
      <c r="Q285" s="100"/>
      <c r="R285" s="93"/>
      <c r="S285" s="75"/>
      <c r="T285" s="75"/>
      <c r="V285" s="84"/>
    </row>
    <row r="286" ht="15.75" customHeight="1">
      <c r="A286" s="70"/>
      <c r="B286" s="116"/>
      <c r="C286" s="117"/>
      <c r="D286" s="75"/>
      <c r="E286" s="118"/>
      <c r="F286" s="118"/>
      <c r="G286" s="75"/>
      <c r="H286" s="117"/>
      <c r="I286" s="75"/>
      <c r="J286" s="75"/>
      <c r="K286" s="121"/>
      <c r="L286" s="122"/>
      <c r="M286" s="80"/>
      <c r="N286" s="107"/>
      <c r="O286" s="98"/>
      <c r="P286" s="75"/>
      <c r="Q286" s="100"/>
      <c r="R286" s="93"/>
      <c r="S286" s="75"/>
      <c r="T286" s="75"/>
      <c r="V286" s="84"/>
    </row>
    <row r="287" ht="15.75" customHeight="1">
      <c r="A287" s="70"/>
      <c r="B287" s="116"/>
      <c r="C287" s="117"/>
      <c r="D287" s="75"/>
      <c r="E287" s="118"/>
      <c r="F287" s="118"/>
      <c r="G287" s="75"/>
      <c r="H287" s="117"/>
      <c r="I287" s="75"/>
      <c r="J287" s="75"/>
      <c r="K287" s="123"/>
      <c r="L287" s="124"/>
      <c r="M287" s="80"/>
      <c r="N287" s="107"/>
      <c r="O287" s="98"/>
      <c r="P287" s="75"/>
      <c r="Q287" s="100"/>
      <c r="R287" s="93"/>
      <c r="S287" s="75"/>
      <c r="T287" s="75"/>
      <c r="V287" s="84"/>
    </row>
    <row r="288" ht="15.75" customHeight="1">
      <c r="A288" s="70"/>
      <c r="B288" s="116"/>
      <c r="C288" s="117"/>
      <c r="D288" s="75"/>
      <c r="E288" s="118"/>
      <c r="F288" s="118"/>
      <c r="G288" s="75"/>
      <c r="H288" s="117"/>
      <c r="I288" s="75"/>
      <c r="J288" s="75"/>
      <c r="K288" s="121"/>
      <c r="L288" s="122"/>
      <c r="M288" s="80"/>
      <c r="N288" s="107"/>
      <c r="O288" s="98"/>
      <c r="P288" s="75"/>
      <c r="Q288" s="100"/>
      <c r="R288" s="93"/>
      <c r="S288" s="75"/>
      <c r="T288" s="75"/>
      <c r="V288" s="84"/>
    </row>
    <row r="289" ht="15.75" customHeight="1">
      <c r="A289" s="70"/>
      <c r="B289" s="116"/>
      <c r="C289" s="84"/>
      <c r="D289" s="75"/>
      <c r="E289" s="118"/>
      <c r="F289" s="118"/>
      <c r="G289" s="75"/>
      <c r="H289" s="117"/>
      <c r="I289" s="75"/>
      <c r="J289" s="75"/>
      <c r="K289" s="123"/>
      <c r="L289" s="124"/>
      <c r="M289" s="80"/>
      <c r="N289" s="107"/>
      <c r="O289" s="98"/>
      <c r="P289" s="75"/>
      <c r="Q289" s="100"/>
      <c r="R289" s="93"/>
      <c r="S289" s="75"/>
      <c r="T289" s="75"/>
      <c r="V289" s="84"/>
    </row>
    <row r="290" ht="15.75" customHeight="1">
      <c r="A290" s="70"/>
      <c r="B290" s="116"/>
      <c r="C290" s="117"/>
      <c r="D290" s="75"/>
      <c r="E290" s="118"/>
      <c r="F290" s="118"/>
      <c r="G290" s="75"/>
      <c r="H290" s="117"/>
      <c r="I290" s="75"/>
      <c r="J290" s="75"/>
      <c r="K290" s="121"/>
      <c r="L290" s="122"/>
      <c r="M290" s="80"/>
      <c r="N290" s="107"/>
      <c r="O290" s="98"/>
      <c r="P290" s="75"/>
      <c r="Q290" s="100"/>
      <c r="R290" s="93"/>
      <c r="S290" s="75"/>
      <c r="T290" s="75"/>
      <c r="V290" s="84"/>
    </row>
    <row r="291" ht="15.75" customHeight="1">
      <c r="A291" s="70"/>
      <c r="B291" s="116"/>
      <c r="C291" s="117"/>
      <c r="D291" s="75"/>
      <c r="E291" s="118"/>
      <c r="F291" s="118"/>
      <c r="G291" s="75"/>
      <c r="H291" s="117"/>
      <c r="I291" s="75"/>
      <c r="J291" s="75"/>
      <c r="K291" s="123"/>
      <c r="L291" s="124"/>
      <c r="M291" s="80"/>
      <c r="N291" s="107"/>
      <c r="O291" s="98"/>
      <c r="P291" s="75"/>
      <c r="Q291" s="100"/>
      <c r="R291" s="93"/>
      <c r="S291" s="75"/>
      <c r="T291" s="75"/>
      <c r="V291" s="84"/>
    </row>
    <row r="292" ht="15.75" customHeight="1">
      <c r="A292" s="70"/>
      <c r="B292" s="116"/>
      <c r="C292" s="117"/>
      <c r="D292" s="75"/>
      <c r="E292" s="118"/>
      <c r="F292" s="118"/>
      <c r="G292" s="75"/>
      <c r="H292" s="117"/>
      <c r="I292" s="75"/>
      <c r="J292" s="75"/>
      <c r="K292" s="121"/>
      <c r="L292" s="122"/>
      <c r="M292" s="80"/>
      <c r="N292" s="107"/>
      <c r="O292" s="98"/>
      <c r="P292" s="75"/>
      <c r="Q292" s="100"/>
      <c r="R292" s="93"/>
      <c r="S292" s="75"/>
      <c r="T292" s="75"/>
      <c r="V292" s="84"/>
    </row>
    <row r="293" ht="15.75" customHeight="1">
      <c r="A293" s="70"/>
      <c r="B293" s="116"/>
      <c r="C293" s="117"/>
      <c r="D293" s="75"/>
      <c r="E293" s="118"/>
      <c r="F293" s="118"/>
      <c r="G293" s="75"/>
      <c r="H293" s="117"/>
      <c r="I293" s="75"/>
      <c r="J293" s="75"/>
      <c r="K293" s="123"/>
      <c r="L293" s="124"/>
      <c r="M293" s="80"/>
      <c r="N293" s="107"/>
      <c r="O293" s="98"/>
      <c r="P293" s="75"/>
      <c r="Q293" s="100"/>
      <c r="R293" s="93"/>
      <c r="S293" s="75"/>
      <c r="T293" s="75"/>
      <c r="V293" s="84"/>
    </row>
    <row r="294" ht="15.75" customHeight="1">
      <c r="A294" s="70"/>
      <c r="B294" s="116"/>
      <c r="C294" s="117"/>
      <c r="D294" s="75"/>
      <c r="E294" s="118"/>
      <c r="F294" s="118"/>
      <c r="G294" s="75"/>
      <c r="H294" s="117"/>
      <c r="I294" s="75"/>
      <c r="J294" s="75"/>
      <c r="K294" s="121"/>
      <c r="L294" s="122"/>
      <c r="M294" s="80"/>
      <c r="N294" s="107"/>
      <c r="O294" s="98"/>
      <c r="P294" s="75"/>
      <c r="Q294" s="100"/>
      <c r="R294" s="93"/>
      <c r="S294" s="75"/>
      <c r="T294" s="75"/>
      <c r="V294" s="84"/>
    </row>
    <row r="295" ht="15.75" customHeight="1">
      <c r="A295" s="70"/>
      <c r="B295" s="116"/>
      <c r="C295" s="84"/>
      <c r="D295" s="75"/>
      <c r="E295" s="118"/>
      <c r="F295" s="118"/>
      <c r="G295" s="75"/>
      <c r="H295" s="117"/>
      <c r="I295" s="75"/>
      <c r="J295" s="75"/>
      <c r="K295" s="123"/>
      <c r="L295" s="124"/>
      <c r="M295" s="80"/>
      <c r="N295" s="107"/>
      <c r="O295" s="98"/>
      <c r="P295" s="75"/>
      <c r="Q295" s="100"/>
      <c r="R295" s="93"/>
      <c r="S295" s="75"/>
      <c r="T295" s="75"/>
      <c r="V295" s="84"/>
    </row>
    <row r="296" ht="15.75" customHeight="1">
      <c r="A296" s="70"/>
      <c r="B296" s="116"/>
      <c r="C296" s="117"/>
      <c r="D296" s="75"/>
      <c r="E296" s="118"/>
      <c r="F296" s="118"/>
      <c r="G296" s="75"/>
      <c r="H296" s="117"/>
      <c r="I296" s="75"/>
      <c r="J296" s="75"/>
      <c r="K296" s="121"/>
      <c r="L296" s="122"/>
      <c r="M296" s="80"/>
      <c r="N296" s="107"/>
      <c r="O296" s="98"/>
      <c r="P296" s="75"/>
      <c r="Q296" s="100"/>
      <c r="R296" s="93"/>
      <c r="S296" s="75"/>
      <c r="T296" s="75"/>
      <c r="V296" s="84"/>
    </row>
    <row r="297" ht="15.75" customHeight="1">
      <c r="A297" s="70"/>
      <c r="B297" s="116"/>
      <c r="C297" s="117"/>
      <c r="D297" s="75"/>
      <c r="E297" s="118"/>
      <c r="F297" s="118"/>
      <c r="G297" s="75"/>
      <c r="H297" s="117"/>
      <c r="I297" s="75"/>
      <c r="J297" s="75"/>
      <c r="K297" s="123"/>
      <c r="L297" s="124"/>
      <c r="M297" s="80"/>
      <c r="N297" s="107"/>
      <c r="O297" s="98"/>
      <c r="P297" s="75"/>
      <c r="Q297" s="100"/>
      <c r="R297" s="93"/>
      <c r="S297" s="75"/>
      <c r="T297" s="75"/>
      <c r="V297" s="84"/>
    </row>
    <row r="298" ht="15.75" customHeight="1">
      <c r="A298" s="70"/>
      <c r="B298" s="116"/>
      <c r="C298" s="117"/>
      <c r="D298" s="75"/>
      <c r="E298" s="118"/>
      <c r="F298" s="118"/>
      <c r="G298" s="75"/>
      <c r="H298" s="117"/>
      <c r="I298" s="75"/>
      <c r="J298" s="75"/>
      <c r="K298" s="121"/>
      <c r="L298" s="122"/>
      <c r="M298" s="80"/>
      <c r="N298" s="107"/>
      <c r="O298" s="98"/>
      <c r="P298" s="75"/>
      <c r="Q298" s="100"/>
      <c r="R298" s="93"/>
      <c r="S298" s="75"/>
      <c r="T298" s="75"/>
      <c r="V298" s="84"/>
    </row>
    <row r="299" ht="15.75" customHeight="1">
      <c r="A299" s="70"/>
      <c r="B299" s="116"/>
      <c r="C299" s="117"/>
      <c r="D299" s="75"/>
      <c r="E299" s="118"/>
      <c r="F299" s="118"/>
      <c r="G299" s="75"/>
      <c r="H299" s="117"/>
      <c r="I299" s="75"/>
      <c r="J299" s="75"/>
      <c r="K299" s="123"/>
      <c r="L299" s="124"/>
      <c r="M299" s="80"/>
      <c r="N299" s="107"/>
      <c r="O299" s="98"/>
      <c r="P299" s="75"/>
      <c r="Q299" s="100"/>
      <c r="R299" s="93"/>
      <c r="S299" s="75"/>
      <c r="T299" s="75"/>
      <c r="V299" s="84"/>
    </row>
    <row r="300" ht="15.75" customHeight="1">
      <c r="A300" s="70"/>
      <c r="B300" s="116"/>
      <c r="C300" s="117"/>
      <c r="D300" s="75"/>
      <c r="E300" s="118"/>
      <c r="F300" s="118"/>
      <c r="G300" s="75"/>
      <c r="H300" s="117"/>
      <c r="I300" s="75"/>
      <c r="J300" s="75"/>
      <c r="K300" s="121"/>
      <c r="L300" s="122"/>
      <c r="M300" s="80"/>
      <c r="N300" s="107"/>
      <c r="O300" s="98"/>
      <c r="P300" s="75"/>
      <c r="Q300" s="100"/>
      <c r="R300" s="93"/>
      <c r="S300" s="75"/>
      <c r="T300" s="75"/>
      <c r="V300" s="84"/>
    </row>
    <row r="301" ht="15.75" customHeight="1">
      <c r="A301" s="70"/>
      <c r="B301" s="116"/>
      <c r="C301" s="84"/>
      <c r="D301" s="75"/>
      <c r="E301" s="118"/>
      <c r="F301" s="118"/>
      <c r="G301" s="75"/>
      <c r="H301" s="117"/>
      <c r="I301" s="75"/>
      <c r="J301" s="75"/>
      <c r="K301" s="123"/>
      <c r="L301" s="124"/>
      <c r="M301" s="80"/>
      <c r="N301" s="107"/>
      <c r="O301" s="98"/>
      <c r="P301" s="75"/>
      <c r="Q301" s="100"/>
      <c r="R301" s="93"/>
      <c r="S301" s="75"/>
      <c r="T301" s="75"/>
      <c r="V301" s="84"/>
    </row>
    <row r="302" ht="15.75" customHeight="1">
      <c r="A302" s="70"/>
      <c r="B302" s="116"/>
      <c r="C302" s="117"/>
      <c r="D302" s="75"/>
      <c r="E302" s="118"/>
      <c r="F302" s="118"/>
      <c r="G302" s="75"/>
      <c r="H302" s="117"/>
      <c r="I302" s="75"/>
      <c r="J302" s="75"/>
      <c r="K302" s="121"/>
      <c r="L302" s="122"/>
      <c r="M302" s="80"/>
      <c r="N302" s="107"/>
      <c r="O302" s="98"/>
      <c r="P302" s="75"/>
      <c r="Q302" s="100"/>
      <c r="R302" s="93"/>
      <c r="S302" s="75"/>
      <c r="T302" s="75"/>
      <c r="V302" s="84"/>
    </row>
    <row r="303" ht="15.75" customHeight="1">
      <c r="A303" s="70"/>
      <c r="B303" s="116"/>
      <c r="C303" s="117"/>
      <c r="D303" s="75"/>
      <c r="E303" s="118"/>
      <c r="F303" s="118"/>
      <c r="G303" s="75"/>
      <c r="H303" s="117"/>
      <c r="I303" s="75"/>
      <c r="J303" s="75"/>
      <c r="K303" s="123"/>
      <c r="L303" s="124"/>
      <c r="M303" s="80"/>
      <c r="N303" s="107"/>
      <c r="O303" s="98"/>
      <c r="P303" s="75"/>
      <c r="Q303" s="100"/>
      <c r="R303" s="93"/>
      <c r="S303" s="75"/>
      <c r="T303" s="75"/>
      <c r="V303" s="84"/>
    </row>
    <row r="304" ht="15.75" customHeight="1">
      <c r="A304" s="70"/>
      <c r="B304" s="116"/>
      <c r="C304" s="117"/>
      <c r="D304" s="75"/>
      <c r="E304" s="118"/>
      <c r="F304" s="118"/>
      <c r="G304" s="75"/>
      <c r="H304" s="117"/>
      <c r="I304" s="75"/>
      <c r="J304" s="75"/>
      <c r="K304" s="121"/>
      <c r="L304" s="122"/>
      <c r="M304" s="80"/>
      <c r="N304" s="107"/>
      <c r="O304" s="98"/>
      <c r="P304" s="75"/>
      <c r="Q304" s="100"/>
      <c r="R304" s="93"/>
      <c r="S304" s="75"/>
      <c r="T304" s="75"/>
      <c r="V304" s="84"/>
    </row>
    <row r="305" ht="15.75" customHeight="1">
      <c r="A305" s="70"/>
      <c r="B305" s="116"/>
      <c r="C305" s="117"/>
      <c r="D305" s="75"/>
      <c r="E305" s="118"/>
      <c r="F305" s="118"/>
      <c r="G305" s="75"/>
      <c r="H305" s="117"/>
      <c r="I305" s="75"/>
      <c r="J305" s="75"/>
      <c r="K305" s="123"/>
      <c r="L305" s="124"/>
      <c r="M305" s="80"/>
      <c r="N305" s="107"/>
      <c r="O305" s="98"/>
      <c r="P305" s="75"/>
      <c r="Q305" s="100"/>
      <c r="R305" s="93"/>
      <c r="S305" s="75"/>
      <c r="T305" s="75"/>
      <c r="V305" s="84"/>
    </row>
    <row r="306" ht="15.75" customHeight="1">
      <c r="A306" s="70"/>
      <c r="B306" s="116"/>
      <c r="C306" s="117"/>
      <c r="D306" s="75"/>
      <c r="E306" s="118"/>
      <c r="F306" s="118"/>
      <c r="G306" s="75"/>
      <c r="H306" s="117"/>
      <c r="I306" s="75"/>
      <c r="J306" s="75"/>
      <c r="K306" s="121"/>
      <c r="L306" s="122"/>
      <c r="M306" s="80"/>
      <c r="N306" s="107"/>
      <c r="O306" s="98"/>
      <c r="P306" s="75"/>
      <c r="Q306" s="100"/>
      <c r="R306" s="93"/>
      <c r="S306" s="75"/>
      <c r="T306" s="75"/>
      <c r="V306" s="84"/>
    </row>
    <row r="307" ht="15.75" customHeight="1">
      <c r="A307" s="70"/>
      <c r="B307" s="116"/>
      <c r="C307" s="84"/>
      <c r="D307" s="75"/>
      <c r="E307" s="118"/>
      <c r="F307" s="118"/>
      <c r="G307" s="75"/>
      <c r="H307" s="117"/>
      <c r="I307" s="75"/>
      <c r="J307" s="75"/>
      <c r="K307" s="123"/>
      <c r="L307" s="124"/>
      <c r="M307" s="80"/>
      <c r="N307" s="107"/>
      <c r="O307" s="98"/>
      <c r="P307" s="75"/>
      <c r="Q307" s="100"/>
      <c r="R307" s="93"/>
      <c r="S307" s="75"/>
      <c r="T307" s="75"/>
      <c r="V307" s="84"/>
    </row>
    <row r="308" ht="15.75" customHeight="1">
      <c r="A308" s="70"/>
      <c r="B308" s="116"/>
      <c r="C308" s="117"/>
      <c r="D308" s="75"/>
      <c r="E308" s="118"/>
      <c r="F308" s="118"/>
      <c r="G308" s="75"/>
      <c r="H308" s="117"/>
      <c r="I308" s="75"/>
      <c r="J308" s="75"/>
      <c r="K308" s="121"/>
      <c r="L308" s="122"/>
      <c r="M308" s="80"/>
      <c r="N308" s="107"/>
      <c r="O308" s="98"/>
      <c r="P308" s="75"/>
      <c r="Q308" s="100"/>
      <c r="R308" s="93"/>
      <c r="S308" s="75"/>
      <c r="T308" s="75"/>
      <c r="V308" s="84"/>
    </row>
    <row r="309" ht="15.75" customHeight="1">
      <c r="A309" s="70"/>
      <c r="B309" s="116"/>
      <c r="C309" s="117"/>
      <c r="D309" s="75"/>
      <c r="E309" s="118"/>
      <c r="F309" s="118"/>
      <c r="G309" s="75"/>
      <c r="H309" s="117"/>
      <c r="I309" s="75"/>
      <c r="J309" s="75"/>
      <c r="K309" s="123"/>
      <c r="L309" s="124"/>
      <c r="M309" s="80"/>
      <c r="N309" s="107"/>
      <c r="O309" s="98"/>
      <c r="P309" s="75"/>
      <c r="Q309" s="100"/>
      <c r="R309" s="93"/>
      <c r="S309" s="75"/>
      <c r="T309" s="75"/>
      <c r="V309" s="84"/>
    </row>
    <row r="310" ht="15.75" customHeight="1">
      <c r="A310" s="70"/>
      <c r="B310" s="116"/>
      <c r="C310" s="117"/>
      <c r="D310" s="75"/>
      <c r="E310" s="118"/>
      <c r="F310" s="118"/>
      <c r="G310" s="75"/>
      <c r="H310" s="117"/>
      <c r="I310" s="75"/>
      <c r="J310" s="75"/>
      <c r="K310" s="121"/>
      <c r="L310" s="122"/>
      <c r="M310" s="80"/>
      <c r="N310" s="107"/>
      <c r="O310" s="98"/>
      <c r="P310" s="75"/>
      <c r="Q310" s="100"/>
      <c r="R310" s="93"/>
      <c r="S310" s="75"/>
      <c r="T310" s="75"/>
      <c r="V310" s="84"/>
    </row>
    <row r="311" ht="15.75" customHeight="1">
      <c r="A311" s="70"/>
      <c r="B311" s="116"/>
      <c r="C311" s="117"/>
      <c r="D311" s="75"/>
      <c r="E311" s="118"/>
      <c r="F311" s="118"/>
      <c r="G311" s="75"/>
      <c r="H311" s="117"/>
      <c r="I311" s="75"/>
      <c r="J311" s="75"/>
      <c r="K311" s="123"/>
      <c r="L311" s="124"/>
      <c r="M311" s="80"/>
      <c r="N311" s="107"/>
      <c r="O311" s="98"/>
      <c r="P311" s="75"/>
      <c r="Q311" s="100"/>
      <c r="R311" s="93"/>
      <c r="S311" s="75"/>
      <c r="T311" s="75"/>
      <c r="V311" s="84"/>
    </row>
    <row r="312" ht="15.75" customHeight="1">
      <c r="A312" s="70"/>
      <c r="B312" s="116"/>
      <c r="C312" s="117"/>
      <c r="D312" s="75"/>
      <c r="E312" s="118"/>
      <c r="F312" s="118"/>
      <c r="G312" s="75"/>
      <c r="H312" s="117"/>
      <c r="I312" s="75"/>
      <c r="J312" s="75"/>
      <c r="K312" s="121"/>
      <c r="L312" s="122"/>
      <c r="M312" s="80"/>
      <c r="N312" s="107"/>
      <c r="O312" s="98"/>
      <c r="P312" s="75"/>
      <c r="Q312" s="100"/>
      <c r="R312" s="93"/>
      <c r="S312" s="75"/>
      <c r="T312" s="75"/>
      <c r="V312" s="84"/>
    </row>
    <row r="313" ht="15.75" customHeight="1">
      <c r="A313" s="70"/>
      <c r="B313" s="116"/>
      <c r="C313" s="84"/>
      <c r="D313" s="75"/>
      <c r="E313" s="118"/>
      <c r="F313" s="118"/>
      <c r="G313" s="75"/>
      <c r="H313" s="117"/>
      <c r="I313" s="75"/>
      <c r="J313" s="75"/>
      <c r="K313" s="123"/>
      <c r="L313" s="124"/>
      <c r="M313" s="80"/>
      <c r="N313" s="107"/>
      <c r="O313" s="98"/>
      <c r="P313" s="75"/>
      <c r="Q313" s="100"/>
      <c r="R313" s="93"/>
      <c r="S313" s="75"/>
      <c r="T313" s="75"/>
      <c r="V313" s="84"/>
    </row>
    <row r="314" ht="15.75" customHeight="1">
      <c r="A314" s="70"/>
      <c r="B314" s="116"/>
      <c r="C314" s="117"/>
      <c r="D314" s="75"/>
      <c r="E314" s="118"/>
      <c r="F314" s="118"/>
      <c r="G314" s="75"/>
      <c r="H314" s="117"/>
      <c r="I314" s="75"/>
      <c r="J314" s="75"/>
      <c r="K314" s="121"/>
      <c r="L314" s="122"/>
      <c r="M314" s="80"/>
      <c r="N314" s="107"/>
      <c r="O314" s="98"/>
      <c r="P314" s="75"/>
      <c r="Q314" s="100"/>
      <c r="R314" s="93"/>
      <c r="S314" s="75"/>
      <c r="T314" s="75"/>
      <c r="V314" s="84"/>
    </row>
    <row r="315" ht="15.75" customHeight="1">
      <c r="A315" s="70"/>
      <c r="B315" s="116"/>
      <c r="C315" s="117"/>
      <c r="D315" s="75"/>
      <c r="E315" s="118"/>
      <c r="F315" s="118"/>
      <c r="G315" s="75"/>
      <c r="H315" s="117"/>
      <c r="I315" s="75"/>
      <c r="J315" s="75"/>
      <c r="K315" s="123"/>
      <c r="L315" s="124"/>
      <c r="M315" s="80"/>
      <c r="N315" s="107"/>
      <c r="O315" s="98"/>
      <c r="P315" s="75"/>
      <c r="Q315" s="100"/>
      <c r="R315" s="93"/>
      <c r="S315" s="75"/>
      <c r="T315" s="75"/>
      <c r="V315" s="84"/>
    </row>
    <row r="316" ht="15.75" customHeight="1">
      <c r="A316" s="70"/>
      <c r="B316" s="116"/>
      <c r="C316" s="117"/>
      <c r="D316" s="75"/>
      <c r="E316" s="118"/>
      <c r="F316" s="118"/>
      <c r="G316" s="75"/>
      <c r="H316" s="117"/>
      <c r="I316" s="75"/>
      <c r="J316" s="75"/>
      <c r="K316" s="121"/>
      <c r="L316" s="122"/>
      <c r="M316" s="80"/>
      <c r="N316" s="107"/>
      <c r="O316" s="98"/>
      <c r="P316" s="75"/>
      <c r="Q316" s="100"/>
      <c r="R316" s="93"/>
      <c r="S316" s="75"/>
      <c r="T316" s="75"/>
      <c r="V316" s="84"/>
    </row>
    <row r="317" ht="15.75" customHeight="1">
      <c r="A317" s="70"/>
      <c r="B317" s="116"/>
      <c r="C317" s="117"/>
      <c r="D317" s="75"/>
      <c r="E317" s="118"/>
      <c r="F317" s="118"/>
      <c r="G317" s="75"/>
      <c r="H317" s="117"/>
      <c r="I317" s="75"/>
      <c r="J317" s="75"/>
      <c r="K317" s="123"/>
      <c r="L317" s="124"/>
      <c r="M317" s="80"/>
      <c r="N317" s="107"/>
      <c r="O317" s="98"/>
      <c r="P317" s="75"/>
      <c r="Q317" s="100"/>
      <c r="R317" s="93"/>
      <c r="S317" s="75"/>
      <c r="T317" s="75"/>
      <c r="V317" s="84"/>
    </row>
    <row r="318" ht="15.75" customHeight="1">
      <c r="A318" s="70"/>
      <c r="B318" s="116"/>
      <c r="C318" s="117"/>
      <c r="D318" s="75"/>
      <c r="E318" s="118"/>
      <c r="F318" s="118"/>
      <c r="G318" s="75"/>
      <c r="H318" s="117"/>
      <c r="I318" s="75"/>
      <c r="J318" s="75"/>
      <c r="K318" s="121"/>
      <c r="L318" s="122"/>
      <c r="M318" s="80"/>
      <c r="N318" s="107"/>
      <c r="O318" s="98"/>
      <c r="P318" s="75"/>
      <c r="Q318" s="100"/>
      <c r="R318" s="93"/>
      <c r="S318" s="75"/>
      <c r="T318" s="75"/>
      <c r="V318" s="84"/>
    </row>
    <row r="319" ht="15.75" customHeight="1">
      <c r="A319" s="70"/>
      <c r="B319" s="116"/>
      <c r="C319" s="84"/>
      <c r="D319" s="75"/>
      <c r="E319" s="118"/>
      <c r="F319" s="118"/>
      <c r="G319" s="75"/>
      <c r="H319" s="117"/>
      <c r="I319" s="75"/>
      <c r="J319" s="75"/>
      <c r="K319" s="123"/>
      <c r="L319" s="124"/>
      <c r="M319" s="80"/>
      <c r="N319" s="107"/>
      <c r="O319" s="98"/>
      <c r="P319" s="75"/>
      <c r="Q319" s="100"/>
      <c r="R319" s="93"/>
      <c r="S319" s="75"/>
      <c r="T319" s="75"/>
      <c r="V319" s="84"/>
    </row>
    <row r="320" ht="15.75" customHeight="1">
      <c r="A320" s="70"/>
      <c r="B320" s="116"/>
      <c r="C320" s="117"/>
      <c r="D320" s="75"/>
      <c r="E320" s="118"/>
      <c r="F320" s="118"/>
      <c r="G320" s="75"/>
      <c r="H320" s="117"/>
      <c r="I320" s="75"/>
      <c r="J320" s="75"/>
      <c r="K320" s="121"/>
      <c r="L320" s="122"/>
      <c r="M320" s="80"/>
      <c r="N320" s="107"/>
      <c r="O320" s="98"/>
      <c r="P320" s="75"/>
      <c r="Q320" s="100"/>
      <c r="R320" s="93"/>
      <c r="S320" s="75"/>
      <c r="T320" s="75"/>
      <c r="V320" s="84"/>
    </row>
    <row r="321" ht="15.75" customHeight="1">
      <c r="A321" s="70"/>
      <c r="B321" s="116"/>
      <c r="C321" s="117"/>
      <c r="D321" s="75"/>
      <c r="E321" s="118"/>
      <c r="F321" s="118"/>
      <c r="G321" s="75"/>
      <c r="H321" s="117"/>
      <c r="I321" s="75"/>
      <c r="J321" s="75"/>
      <c r="K321" s="123"/>
      <c r="L321" s="124"/>
      <c r="M321" s="80"/>
      <c r="N321" s="107"/>
      <c r="O321" s="98"/>
      <c r="P321" s="75"/>
      <c r="Q321" s="100"/>
      <c r="R321" s="93"/>
      <c r="S321" s="75"/>
      <c r="T321" s="75"/>
      <c r="V321" s="84"/>
    </row>
    <row r="322" ht="15.75" customHeight="1">
      <c r="A322" s="70"/>
      <c r="B322" s="116"/>
      <c r="C322" s="117"/>
      <c r="D322" s="75"/>
      <c r="E322" s="118"/>
      <c r="F322" s="118"/>
      <c r="G322" s="75"/>
      <c r="H322" s="117"/>
      <c r="I322" s="75"/>
      <c r="J322" s="75"/>
      <c r="K322" s="121"/>
      <c r="L322" s="122"/>
      <c r="M322" s="80"/>
      <c r="N322" s="107"/>
      <c r="O322" s="98"/>
      <c r="P322" s="75"/>
      <c r="Q322" s="100"/>
      <c r="R322" s="93"/>
      <c r="S322" s="75"/>
      <c r="T322" s="75"/>
      <c r="V322" s="84"/>
    </row>
    <row r="323" ht="15.75" customHeight="1">
      <c r="A323" s="70"/>
      <c r="B323" s="116"/>
      <c r="C323" s="117"/>
      <c r="D323" s="75"/>
      <c r="E323" s="118"/>
      <c r="F323" s="118"/>
      <c r="G323" s="75"/>
      <c r="H323" s="117"/>
      <c r="I323" s="75"/>
      <c r="J323" s="75"/>
      <c r="K323" s="123"/>
      <c r="L323" s="124"/>
      <c r="M323" s="80"/>
      <c r="N323" s="107"/>
      <c r="O323" s="98"/>
      <c r="P323" s="75"/>
      <c r="Q323" s="100"/>
      <c r="R323" s="93"/>
      <c r="S323" s="75"/>
      <c r="T323" s="75"/>
      <c r="V323" s="84"/>
    </row>
    <row r="324" ht="15.75" customHeight="1">
      <c r="A324" s="70"/>
      <c r="B324" s="116"/>
      <c r="C324" s="117"/>
      <c r="D324" s="75"/>
      <c r="E324" s="118"/>
      <c r="F324" s="118"/>
      <c r="G324" s="75"/>
      <c r="H324" s="117"/>
      <c r="I324" s="75"/>
      <c r="J324" s="75"/>
      <c r="K324" s="121"/>
      <c r="L324" s="122"/>
      <c r="M324" s="80"/>
      <c r="N324" s="107"/>
      <c r="O324" s="98"/>
      <c r="P324" s="75"/>
      <c r="Q324" s="100"/>
      <c r="R324" s="93"/>
      <c r="S324" s="75"/>
      <c r="T324" s="75"/>
      <c r="V324" s="84"/>
    </row>
    <row r="325" ht="15.75" customHeight="1">
      <c r="A325" s="70"/>
      <c r="B325" s="116"/>
      <c r="C325" s="84"/>
      <c r="D325" s="75"/>
      <c r="E325" s="118"/>
      <c r="F325" s="118"/>
      <c r="G325" s="75"/>
      <c r="H325" s="117"/>
      <c r="I325" s="75"/>
      <c r="J325" s="75"/>
      <c r="K325" s="123"/>
      <c r="L325" s="124"/>
      <c r="M325" s="80"/>
      <c r="N325" s="107"/>
      <c r="O325" s="98"/>
      <c r="P325" s="75"/>
      <c r="Q325" s="100"/>
      <c r="R325" s="93"/>
      <c r="S325" s="75"/>
      <c r="T325" s="75"/>
      <c r="V325" s="84"/>
    </row>
    <row r="326" ht="15.75" customHeight="1">
      <c r="A326" s="70"/>
      <c r="B326" s="116"/>
      <c r="C326" s="117"/>
      <c r="D326" s="75"/>
      <c r="E326" s="118"/>
      <c r="F326" s="118"/>
      <c r="G326" s="75"/>
      <c r="H326" s="117"/>
      <c r="I326" s="75"/>
      <c r="J326" s="75"/>
      <c r="K326" s="121"/>
      <c r="L326" s="122"/>
      <c r="M326" s="80"/>
      <c r="N326" s="107"/>
      <c r="O326" s="98"/>
      <c r="P326" s="75"/>
      <c r="Q326" s="100"/>
      <c r="R326" s="93"/>
      <c r="S326" s="75"/>
      <c r="T326" s="75"/>
      <c r="V326" s="84"/>
    </row>
    <row r="327" ht="15.75" customHeight="1">
      <c r="A327" s="70"/>
      <c r="B327" s="116"/>
      <c r="C327" s="117"/>
      <c r="D327" s="75"/>
      <c r="E327" s="118"/>
      <c r="F327" s="118"/>
      <c r="G327" s="75"/>
      <c r="H327" s="117"/>
      <c r="I327" s="75"/>
      <c r="J327" s="75"/>
      <c r="K327" s="123"/>
      <c r="L327" s="124"/>
      <c r="M327" s="80"/>
      <c r="N327" s="107"/>
      <c r="O327" s="98"/>
      <c r="P327" s="75"/>
      <c r="Q327" s="100"/>
      <c r="R327" s="93"/>
      <c r="S327" s="75"/>
      <c r="T327" s="75"/>
      <c r="V327" s="84"/>
    </row>
    <row r="328" ht="15.75" customHeight="1">
      <c r="A328" s="70"/>
      <c r="B328" s="116"/>
      <c r="C328" s="117"/>
      <c r="D328" s="75"/>
      <c r="E328" s="118"/>
      <c r="F328" s="118"/>
      <c r="G328" s="75"/>
      <c r="H328" s="117"/>
      <c r="I328" s="75"/>
      <c r="J328" s="75"/>
      <c r="K328" s="125"/>
      <c r="L328" s="126"/>
      <c r="M328" s="80"/>
      <c r="N328" s="107"/>
      <c r="O328" s="98"/>
      <c r="P328" s="75"/>
      <c r="Q328" s="100"/>
      <c r="R328" s="93"/>
      <c r="S328" s="75"/>
      <c r="T328" s="75"/>
      <c r="V328" s="84"/>
    </row>
    <row r="329" ht="15.75" customHeight="1">
      <c r="A329" s="70"/>
      <c r="B329" s="116"/>
      <c r="C329" s="117"/>
      <c r="D329" s="75"/>
      <c r="E329" s="118"/>
      <c r="F329" s="118"/>
      <c r="G329" s="75"/>
      <c r="H329" s="117"/>
      <c r="I329" s="75"/>
      <c r="J329" s="75"/>
      <c r="K329" s="125"/>
      <c r="L329" s="126"/>
      <c r="M329" s="80"/>
      <c r="N329" s="107"/>
      <c r="O329" s="98"/>
      <c r="P329" s="75"/>
      <c r="Q329" s="100"/>
      <c r="R329" s="93"/>
      <c r="S329" s="75"/>
      <c r="T329" s="75"/>
      <c r="V329" s="84"/>
    </row>
    <row r="330" ht="15.75" customHeight="1">
      <c r="A330" s="70"/>
      <c r="B330" s="116"/>
      <c r="C330" s="117"/>
      <c r="D330" s="75"/>
      <c r="E330" s="118"/>
      <c r="F330" s="118"/>
      <c r="G330" s="75"/>
      <c r="H330" s="117"/>
      <c r="I330" s="75"/>
      <c r="J330" s="75"/>
      <c r="K330" s="125"/>
      <c r="L330" s="126"/>
      <c r="M330" s="80"/>
      <c r="N330" s="107"/>
      <c r="O330" s="98"/>
      <c r="P330" s="75"/>
      <c r="Q330" s="100"/>
      <c r="R330" s="93"/>
      <c r="S330" s="75"/>
      <c r="T330" s="75"/>
      <c r="V330" s="84"/>
    </row>
    <row r="331" ht="15.75" customHeight="1">
      <c r="A331" s="70"/>
      <c r="B331" s="116"/>
      <c r="C331" s="84"/>
      <c r="D331" s="75"/>
      <c r="E331" s="118"/>
      <c r="F331" s="118"/>
      <c r="G331" s="75"/>
      <c r="H331" s="117"/>
      <c r="I331" s="75"/>
      <c r="J331" s="75"/>
      <c r="K331" s="125"/>
      <c r="L331" s="126"/>
      <c r="M331" s="80"/>
      <c r="N331" s="107"/>
      <c r="O331" s="98"/>
      <c r="P331" s="75"/>
      <c r="Q331" s="100"/>
      <c r="R331" s="93"/>
      <c r="S331" s="75"/>
      <c r="T331" s="75"/>
      <c r="V331" s="84"/>
    </row>
    <row r="332" ht="15.75" customHeight="1">
      <c r="A332" s="70"/>
      <c r="B332" s="116"/>
      <c r="C332" s="117"/>
      <c r="D332" s="75"/>
      <c r="E332" s="118"/>
      <c r="F332" s="118"/>
      <c r="G332" s="75"/>
      <c r="H332" s="117"/>
      <c r="I332" s="75"/>
      <c r="J332" s="75"/>
      <c r="K332" s="125"/>
      <c r="L332" s="126"/>
      <c r="M332" s="80"/>
      <c r="N332" s="107"/>
      <c r="O332" s="98"/>
      <c r="P332" s="75"/>
      <c r="Q332" s="100"/>
      <c r="R332" s="93"/>
      <c r="S332" s="75"/>
      <c r="T332" s="75"/>
      <c r="V332" s="84"/>
    </row>
    <row r="333" ht="15.75" customHeight="1">
      <c r="A333" s="70"/>
      <c r="B333" s="116"/>
      <c r="C333" s="117"/>
      <c r="D333" s="75"/>
      <c r="E333" s="118"/>
      <c r="F333" s="118"/>
      <c r="G333" s="75"/>
      <c r="H333" s="117"/>
      <c r="I333" s="75"/>
      <c r="J333" s="75"/>
      <c r="K333" s="125"/>
      <c r="L333" s="126"/>
      <c r="M333" s="80"/>
      <c r="N333" s="107"/>
      <c r="O333" s="98"/>
      <c r="P333" s="75"/>
      <c r="Q333" s="100"/>
      <c r="R333" s="93"/>
      <c r="S333" s="75"/>
      <c r="T333" s="75"/>
      <c r="V333" s="84"/>
    </row>
    <row r="334" ht="15.75" customHeight="1">
      <c r="A334" s="70"/>
      <c r="B334" s="116"/>
      <c r="C334" s="117"/>
      <c r="D334" s="75"/>
      <c r="E334" s="118"/>
      <c r="F334" s="118"/>
      <c r="G334" s="75"/>
      <c r="H334" s="117"/>
      <c r="I334" s="75"/>
      <c r="J334" s="75"/>
      <c r="K334" s="125"/>
      <c r="L334" s="126"/>
      <c r="M334" s="80"/>
      <c r="N334" s="107"/>
      <c r="O334" s="98"/>
      <c r="P334" s="75"/>
      <c r="Q334" s="100"/>
      <c r="R334" s="93"/>
      <c r="S334" s="75"/>
      <c r="T334" s="75"/>
      <c r="V334" s="84"/>
    </row>
    <row r="335" ht="15.75" customHeight="1">
      <c r="A335" s="70"/>
      <c r="B335" s="116"/>
      <c r="C335" s="117"/>
      <c r="D335" s="75"/>
      <c r="E335" s="118"/>
      <c r="F335" s="118"/>
      <c r="G335" s="75"/>
      <c r="H335" s="117"/>
      <c r="I335" s="75"/>
      <c r="J335" s="75"/>
      <c r="K335" s="125"/>
      <c r="L335" s="126"/>
      <c r="M335" s="80"/>
      <c r="N335" s="107"/>
      <c r="O335" s="98"/>
      <c r="P335" s="75"/>
      <c r="Q335" s="100"/>
      <c r="R335" s="93"/>
      <c r="S335" s="75"/>
      <c r="T335" s="75"/>
      <c r="V335" s="84"/>
    </row>
    <row r="336" ht="15.75" customHeight="1">
      <c r="A336" s="70"/>
      <c r="B336" s="116"/>
      <c r="C336" s="117"/>
      <c r="D336" s="75"/>
      <c r="E336" s="118"/>
      <c r="F336" s="118"/>
      <c r="G336" s="75"/>
      <c r="H336" s="117"/>
      <c r="I336" s="75"/>
      <c r="J336" s="75"/>
      <c r="K336" s="125"/>
      <c r="L336" s="126"/>
      <c r="M336" s="80"/>
      <c r="N336" s="107"/>
      <c r="O336" s="98"/>
      <c r="P336" s="75"/>
      <c r="Q336" s="100"/>
      <c r="R336" s="93"/>
      <c r="S336" s="75"/>
      <c r="T336" s="75"/>
      <c r="V336" s="84"/>
    </row>
    <row r="337" ht="15.75" customHeight="1">
      <c r="A337" s="70"/>
      <c r="B337" s="116"/>
      <c r="C337" s="84"/>
      <c r="D337" s="75"/>
      <c r="E337" s="118"/>
      <c r="F337" s="118"/>
      <c r="G337" s="75"/>
      <c r="H337" s="117"/>
      <c r="I337" s="75"/>
      <c r="J337" s="75"/>
      <c r="K337" s="125"/>
      <c r="L337" s="126"/>
      <c r="M337" s="80"/>
      <c r="N337" s="107"/>
      <c r="O337" s="98"/>
      <c r="P337" s="75"/>
      <c r="Q337" s="100"/>
      <c r="R337" s="93"/>
      <c r="S337" s="75"/>
      <c r="T337" s="75"/>
      <c r="V337" s="84"/>
    </row>
    <row r="338" ht="15.75" customHeight="1">
      <c r="A338" s="70"/>
      <c r="B338" s="116"/>
      <c r="C338" s="117"/>
      <c r="D338" s="75"/>
      <c r="E338" s="118"/>
      <c r="F338" s="118"/>
      <c r="G338" s="75"/>
      <c r="H338" s="117"/>
      <c r="I338" s="75"/>
      <c r="J338" s="75"/>
      <c r="K338" s="125"/>
      <c r="L338" s="126"/>
      <c r="M338" s="80"/>
      <c r="N338" s="107"/>
      <c r="O338" s="98"/>
      <c r="P338" s="75"/>
      <c r="Q338" s="100"/>
      <c r="R338" s="93"/>
      <c r="S338" s="75"/>
      <c r="T338" s="75"/>
      <c r="V338" s="84"/>
    </row>
    <row r="339" ht="15.75" customHeight="1">
      <c r="A339" s="70"/>
      <c r="B339" s="116"/>
      <c r="C339" s="117"/>
      <c r="D339" s="75"/>
      <c r="E339" s="118"/>
      <c r="F339" s="118"/>
      <c r="G339" s="75"/>
      <c r="H339" s="117"/>
      <c r="I339" s="75"/>
      <c r="J339" s="75"/>
      <c r="K339" s="125"/>
      <c r="L339" s="126"/>
      <c r="M339" s="80"/>
      <c r="N339" s="107"/>
      <c r="O339" s="98"/>
      <c r="P339" s="75"/>
      <c r="Q339" s="100"/>
      <c r="R339" s="93"/>
      <c r="S339" s="75"/>
      <c r="T339" s="75"/>
      <c r="V339" s="84"/>
    </row>
    <row r="340" ht="15.75" customHeight="1">
      <c r="A340" s="70"/>
      <c r="B340" s="116"/>
      <c r="C340" s="117"/>
      <c r="D340" s="75"/>
      <c r="E340" s="118"/>
      <c r="F340" s="118"/>
      <c r="G340" s="75"/>
      <c r="H340" s="117"/>
      <c r="I340" s="75"/>
      <c r="J340" s="75"/>
      <c r="K340" s="125"/>
      <c r="L340" s="126"/>
      <c r="M340" s="80"/>
      <c r="N340" s="107"/>
      <c r="O340" s="98"/>
      <c r="P340" s="75"/>
      <c r="Q340" s="100"/>
      <c r="R340" s="93"/>
      <c r="S340" s="75"/>
      <c r="T340" s="75"/>
      <c r="V340" s="84"/>
    </row>
    <row r="341" ht="15.75" customHeight="1">
      <c r="A341" s="70"/>
      <c r="B341" s="116"/>
      <c r="C341" s="117"/>
      <c r="D341" s="75"/>
      <c r="E341" s="118"/>
      <c r="F341" s="118"/>
      <c r="G341" s="75"/>
      <c r="H341" s="117"/>
      <c r="I341" s="75"/>
      <c r="J341" s="75"/>
      <c r="K341" s="125"/>
      <c r="L341" s="126"/>
      <c r="M341" s="80"/>
      <c r="N341" s="107"/>
      <c r="O341" s="98"/>
      <c r="P341" s="75"/>
      <c r="Q341" s="100"/>
      <c r="R341" s="93"/>
      <c r="S341" s="75"/>
      <c r="T341" s="75"/>
      <c r="V341" s="84"/>
    </row>
    <row r="342" ht="15.75" customHeight="1">
      <c r="A342" s="70"/>
      <c r="B342" s="116"/>
      <c r="C342" s="117"/>
      <c r="D342" s="75"/>
      <c r="E342" s="118"/>
      <c r="F342" s="118"/>
      <c r="G342" s="75"/>
      <c r="H342" s="117"/>
      <c r="I342" s="75"/>
      <c r="J342" s="75"/>
      <c r="K342" s="125"/>
      <c r="L342" s="126"/>
      <c r="M342" s="80"/>
      <c r="N342" s="107"/>
      <c r="O342" s="98"/>
      <c r="P342" s="75"/>
      <c r="Q342" s="100"/>
      <c r="R342" s="93"/>
      <c r="S342" s="75"/>
      <c r="T342" s="75"/>
      <c r="V342" s="84"/>
    </row>
    <row r="343" ht="15.75" customHeight="1">
      <c r="A343" s="70"/>
      <c r="B343" s="116"/>
      <c r="C343" s="84"/>
      <c r="D343" s="75"/>
      <c r="E343" s="118"/>
      <c r="F343" s="118"/>
      <c r="G343" s="75"/>
      <c r="H343" s="117"/>
      <c r="I343" s="75"/>
      <c r="J343" s="75"/>
      <c r="K343" s="125"/>
      <c r="L343" s="126"/>
      <c r="M343" s="80"/>
      <c r="N343" s="107"/>
      <c r="O343" s="98"/>
      <c r="P343" s="75"/>
      <c r="Q343" s="100"/>
      <c r="R343" s="93"/>
      <c r="S343" s="75"/>
      <c r="T343" s="75"/>
      <c r="V343" s="84"/>
    </row>
    <row r="344" ht="15.75" customHeight="1">
      <c r="A344" s="70"/>
      <c r="B344" s="116"/>
      <c r="C344" s="117"/>
      <c r="D344" s="75"/>
      <c r="E344" s="118"/>
      <c r="F344" s="118"/>
      <c r="G344" s="75"/>
      <c r="H344" s="117"/>
      <c r="I344" s="75"/>
      <c r="J344" s="75"/>
      <c r="K344" s="125"/>
      <c r="L344" s="126"/>
      <c r="M344" s="80"/>
      <c r="N344" s="107"/>
      <c r="O344" s="98"/>
      <c r="P344" s="75"/>
      <c r="Q344" s="100"/>
      <c r="R344" s="93"/>
      <c r="S344" s="75"/>
      <c r="T344" s="75"/>
      <c r="V344" s="84"/>
    </row>
    <row r="345" ht="15.75" customHeight="1">
      <c r="A345" s="70"/>
      <c r="B345" s="116"/>
      <c r="C345" s="117"/>
      <c r="D345" s="75"/>
      <c r="E345" s="118"/>
      <c r="F345" s="118"/>
      <c r="G345" s="75"/>
      <c r="H345" s="117"/>
      <c r="I345" s="75"/>
      <c r="J345" s="75"/>
      <c r="K345" s="125"/>
      <c r="L345" s="126"/>
      <c r="M345" s="80"/>
      <c r="N345" s="107"/>
      <c r="O345" s="98"/>
      <c r="P345" s="75"/>
      <c r="Q345" s="100"/>
      <c r="R345" s="93"/>
      <c r="S345" s="75"/>
      <c r="T345" s="75"/>
      <c r="V345" s="84"/>
    </row>
    <row r="346" ht="15.75" customHeight="1">
      <c r="A346" s="70"/>
      <c r="B346" s="116"/>
      <c r="C346" s="117"/>
      <c r="D346" s="75"/>
      <c r="E346" s="118"/>
      <c r="F346" s="118"/>
      <c r="G346" s="75"/>
      <c r="H346" s="117"/>
      <c r="I346" s="75"/>
      <c r="J346" s="75"/>
      <c r="K346" s="125"/>
      <c r="L346" s="126"/>
      <c r="M346" s="80"/>
      <c r="N346" s="107"/>
      <c r="O346" s="98"/>
      <c r="P346" s="75"/>
      <c r="Q346" s="100"/>
      <c r="R346" s="93"/>
      <c r="S346" s="75"/>
      <c r="T346" s="75"/>
      <c r="V346" s="84"/>
    </row>
    <row r="347" ht="15.75" customHeight="1">
      <c r="A347" s="70"/>
      <c r="B347" s="116"/>
      <c r="C347" s="117"/>
      <c r="D347" s="75"/>
      <c r="E347" s="118"/>
      <c r="F347" s="118"/>
      <c r="G347" s="75"/>
      <c r="H347" s="117"/>
      <c r="I347" s="75"/>
      <c r="J347" s="75"/>
      <c r="K347" s="125"/>
      <c r="L347" s="126"/>
      <c r="M347" s="80"/>
      <c r="N347" s="107"/>
      <c r="O347" s="98"/>
      <c r="P347" s="75"/>
      <c r="Q347" s="100"/>
      <c r="R347" s="93"/>
      <c r="S347" s="75"/>
      <c r="T347" s="75"/>
      <c r="V347" s="84"/>
    </row>
    <row r="348" ht="15.75" customHeight="1">
      <c r="A348" s="70"/>
      <c r="B348" s="116"/>
      <c r="C348" s="117"/>
      <c r="D348" s="75"/>
      <c r="E348" s="118"/>
      <c r="F348" s="118"/>
      <c r="G348" s="75"/>
      <c r="H348" s="117"/>
      <c r="I348" s="75"/>
      <c r="J348" s="75"/>
      <c r="K348" s="125"/>
      <c r="L348" s="126"/>
      <c r="M348" s="80"/>
      <c r="N348" s="107"/>
      <c r="O348" s="98"/>
      <c r="P348" s="75"/>
      <c r="Q348" s="100"/>
      <c r="R348" s="93"/>
      <c r="S348" s="75"/>
      <c r="T348" s="75"/>
      <c r="V348" s="84"/>
    </row>
    <row r="349" ht="15.75" customHeight="1">
      <c r="A349" s="70"/>
      <c r="B349" s="116"/>
      <c r="C349" s="84"/>
      <c r="D349" s="75"/>
      <c r="E349" s="118"/>
      <c r="F349" s="118"/>
      <c r="G349" s="75"/>
      <c r="H349" s="117"/>
      <c r="I349" s="75"/>
      <c r="J349" s="75"/>
      <c r="K349" s="125"/>
      <c r="L349" s="126"/>
      <c r="M349" s="80"/>
      <c r="N349" s="107"/>
      <c r="O349" s="98"/>
      <c r="P349" s="75"/>
      <c r="Q349" s="100"/>
      <c r="R349" s="93"/>
      <c r="S349" s="75"/>
      <c r="T349" s="75"/>
      <c r="V349" s="84"/>
    </row>
    <row r="350" ht="15.75" customHeight="1">
      <c r="A350" s="70"/>
      <c r="B350" s="116"/>
      <c r="C350" s="117"/>
      <c r="D350" s="75"/>
      <c r="E350" s="118"/>
      <c r="F350" s="118"/>
      <c r="G350" s="75"/>
      <c r="H350" s="117"/>
      <c r="I350" s="75"/>
      <c r="J350" s="75"/>
      <c r="K350" s="125"/>
      <c r="L350" s="126"/>
      <c r="M350" s="80"/>
      <c r="N350" s="107"/>
      <c r="O350" s="98"/>
      <c r="P350" s="75"/>
      <c r="Q350" s="100"/>
      <c r="R350" s="93"/>
      <c r="S350" s="75"/>
      <c r="T350" s="75"/>
      <c r="V350" s="84"/>
    </row>
    <row r="351" ht="15.75" customHeight="1">
      <c r="A351" s="70"/>
      <c r="B351" s="116"/>
      <c r="C351" s="117"/>
      <c r="D351" s="75"/>
      <c r="E351" s="118"/>
      <c r="F351" s="118"/>
      <c r="G351" s="75"/>
      <c r="H351" s="117"/>
      <c r="I351" s="75"/>
      <c r="J351" s="75"/>
      <c r="K351" s="125"/>
      <c r="L351" s="126"/>
      <c r="M351" s="80"/>
      <c r="N351" s="107"/>
      <c r="O351" s="98"/>
      <c r="P351" s="75"/>
      <c r="Q351" s="100"/>
      <c r="R351" s="93"/>
      <c r="S351" s="75"/>
      <c r="T351" s="75"/>
      <c r="V351" s="84"/>
    </row>
    <row r="352" ht="15.75" customHeight="1">
      <c r="A352" s="70"/>
      <c r="B352" s="116"/>
      <c r="C352" s="117"/>
      <c r="D352" s="75"/>
      <c r="E352" s="118"/>
      <c r="F352" s="118"/>
      <c r="G352" s="75"/>
      <c r="H352" s="117"/>
      <c r="I352" s="75"/>
      <c r="J352" s="75"/>
      <c r="K352" s="125"/>
      <c r="L352" s="126"/>
      <c r="M352" s="80"/>
      <c r="N352" s="107"/>
      <c r="O352" s="98"/>
      <c r="P352" s="75"/>
      <c r="Q352" s="100"/>
      <c r="R352" s="93"/>
      <c r="S352" s="75"/>
      <c r="T352" s="75"/>
      <c r="V352" s="84"/>
    </row>
    <row r="353" ht="15.75" customHeight="1">
      <c r="A353" s="70"/>
      <c r="B353" s="116"/>
      <c r="C353" s="117"/>
      <c r="D353" s="75"/>
      <c r="E353" s="118"/>
      <c r="F353" s="118"/>
      <c r="G353" s="75"/>
      <c r="H353" s="117"/>
      <c r="I353" s="75"/>
      <c r="J353" s="75"/>
      <c r="K353" s="125"/>
      <c r="L353" s="126"/>
      <c r="M353" s="80"/>
      <c r="N353" s="107"/>
      <c r="O353" s="98"/>
      <c r="P353" s="75"/>
      <c r="Q353" s="100"/>
      <c r="R353" s="93"/>
      <c r="S353" s="75"/>
      <c r="T353" s="75"/>
      <c r="V353" s="84"/>
    </row>
    <row r="354" ht="15.75" customHeight="1">
      <c r="A354" s="70"/>
      <c r="B354" s="116"/>
      <c r="C354" s="117"/>
      <c r="D354" s="75"/>
      <c r="E354" s="118"/>
      <c r="F354" s="118"/>
      <c r="G354" s="75"/>
      <c r="H354" s="117"/>
      <c r="I354" s="75"/>
      <c r="J354" s="75"/>
      <c r="K354" s="125"/>
      <c r="L354" s="126"/>
      <c r="M354" s="80"/>
      <c r="N354" s="107"/>
      <c r="O354" s="98"/>
      <c r="P354" s="75"/>
      <c r="Q354" s="100"/>
      <c r="R354" s="93"/>
      <c r="S354" s="75"/>
      <c r="T354" s="75"/>
      <c r="V354" s="84"/>
    </row>
    <row r="355" ht="15.75" customHeight="1">
      <c r="A355" s="70"/>
      <c r="B355" s="116"/>
      <c r="C355" s="84"/>
      <c r="D355" s="75"/>
      <c r="E355" s="118"/>
      <c r="F355" s="118"/>
      <c r="G355" s="75"/>
      <c r="H355" s="117"/>
      <c r="I355" s="75"/>
      <c r="J355" s="75"/>
      <c r="K355" s="125"/>
      <c r="L355" s="126"/>
      <c r="M355" s="80"/>
      <c r="N355" s="107"/>
      <c r="O355" s="98"/>
      <c r="P355" s="75"/>
      <c r="Q355" s="100"/>
      <c r="R355" s="93"/>
      <c r="S355" s="75"/>
      <c r="T355" s="75"/>
      <c r="V355" s="84"/>
    </row>
    <row r="356" ht="15.75" customHeight="1">
      <c r="A356" s="70"/>
      <c r="B356" s="116"/>
      <c r="C356" s="117"/>
      <c r="D356" s="75"/>
      <c r="E356" s="118"/>
      <c r="F356" s="118"/>
      <c r="G356" s="75"/>
      <c r="H356" s="117"/>
      <c r="I356" s="75"/>
      <c r="J356" s="75"/>
      <c r="K356" s="125"/>
      <c r="L356" s="126"/>
      <c r="M356" s="80"/>
      <c r="N356" s="107"/>
      <c r="O356" s="98"/>
      <c r="P356" s="75"/>
      <c r="Q356" s="100"/>
      <c r="R356" s="93"/>
      <c r="S356" s="75"/>
      <c r="T356" s="75"/>
      <c r="V356" s="84"/>
    </row>
    <row r="357" ht="15.75" customHeight="1">
      <c r="A357" s="70"/>
      <c r="B357" s="116"/>
      <c r="C357" s="117"/>
      <c r="D357" s="75"/>
      <c r="E357" s="118"/>
      <c r="F357" s="118"/>
      <c r="G357" s="75"/>
      <c r="H357" s="117"/>
      <c r="I357" s="75"/>
      <c r="J357" s="75"/>
      <c r="K357" s="125"/>
      <c r="L357" s="126"/>
      <c r="M357" s="80"/>
      <c r="N357" s="107"/>
      <c r="O357" s="98"/>
      <c r="P357" s="75"/>
      <c r="Q357" s="100"/>
      <c r="R357" s="93"/>
      <c r="S357" s="75"/>
      <c r="T357" s="75"/>
      <c r="V357" s="84"/>
    </row>
    <row r="358" ht="15.75" customHeight="1">
      <c r="A358" s="70"/>
      <c r="B358" s="116"/>
      <c r="C358" s="117"/>
      <c r="D358" s="75"/>
      <c r="E358" s="118"/>
      <c r="F358" s="118"/>
      <c r="G358" s="75"/>
      <c r="H358" s="117"/>
      <c r="I358" s="75"/>
      <c r="J358" s="75"/>
      <c r="K358" s="125"/>
      <c r="L358" s="126"/>
      <c r="M358" s="80"/>
      <c r="N358" s="107"/>
      <c r="O358" s="98"/>
      <c r="P358" s="75"/>
      <c r="Q358" s="100"/>
      <c r="R358" s="93"/>
      <c r="S358" s="75"/>
      <c r="T358" s="75"/>
      <c r="V358" s="84"/>
    </row>
    <row r="359" ht="15.75" customHeight="1">
      <c r="A359" s="70"/>
      <c r="B359" s="116"/>
      <c r="C359" s="117"/>
      <c r="D359" s="75"/>
      <c r="E359" s="118"/>
      <c r="F359" s="118"/>
      <c r="G359" s="75"/>
      <c r="H359" s="117"/>
      <c r="I359" s="75"/>
      <c r="J359" s="75"/>
      <c r="K359" s="125"/>
      <c r="L359" s="126"/>
      <c r="M359" s="80"/>
      <c r="N359" s="107"/>
      <c r="O359" s="98"/>
      <c r="P359" s="75"/>
      <c r="Q359" s="100"/>
      <c r="R359" s="93"/>
      <c r="S359" s="75"/>
      <c r="T359" s="75"/>
      <c r="V359" s="84"/>
    </row>
    <row r="360" ht="15.75" customHeight="1">
      <c r="A360" s="70"/>
      <c r="B360" s="116"/>
      <c r="C360" s="117"/>
      <c r="D360" s="75"/>
      <c r="E360" s="118"/>
      <c r="F360" s="118"/>
      <c r="G360" s="75"/>
      <c r="H360" s="117"/>
      <c r="I360" s="75"/>
      <c r="J360" s="75"/>
      <c r="K360" s="125"/>
      <c r="L360" s="126"/>
      <c r="M360" s="80"/>
      <c r="N360" s="107"/>
      <c r="O360" s="98"/>
      <c r="P360" s="75"/>
      <c r="Q360" s="100"/>
      <c r="R360" s="93"/>
      <c r="S360" s="75"/>
      <c r="T360" s="75"/>
      <c r="V360" s="84"/>
    </row>
  </sheetData>
  <autoFilter ref="$A$12:$V$109"/>
  <customSheetViews>
    <customSheetView guid="{90C2C1B9-45C2-480F-86D2-C6087C5A9E3B}" filter="1" showAutoFilter="1">
      <autoFilter ref="$R$17:$R$22"/>
    </customSheetView>
  </customSheetViews>
  <mergeCells count="350">
    <mergeCell ref="T11:U11"/>
    <mergeCell ref="T12:U12"/>
    <mergeCell ref="S13:T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s>
  <dataValidations>
    <dataValidation type="list" allowBlank="1" showErrorMessage="1" sqref="M13 N14:N360">
      <formula1>"Think About It,Money,Partner,Time,Fear,Value"</formula1>
    </dataValidation>
    <dataValidation type="list" allowBlank="1" showErrorMessage="1" sqref="J15">
      <formula1>"Option 1,Option 2"</formula1>
    </dataValidation>
    <dataValidation type="list" allowBlank="1" showErrorMessage="1" sqref="I13:J14 I15 I16:J19 I20:I26 I27:J35 I36 I37:J102 I103:I109 I110:J360">
      <formula1>"Full-Pay,Split-pay,Deposit,Offer &amp; Didn't Buy,Bad Fit &amp; No Offer,Rescheduled,Cancelled,No-Show"</formula1>
    </dataValidation>
    <dataValidation type="list" allowBlank="1" showErrorMessage="1" sqref="R13 S14: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9.63"/>
    <col customWidth="1" min="4" max="4" width="0.38"/>
    <col customWidth="1" min="5" max="5" width="15.13"/>
    <col customWidth="1" min="6" max="6" width="21.0"/>
    <col customWidth="1" min="7" max="7" width="0.38"/>
    <col customWidth="1" min="8" max="8" width="15.63"/>
    <col customWidth="1" min="9" max="9" width="13.88"/>
    <col customWidth="1" min="10" max="10" width="0.38"/>
    <col customWidth="1" min="11" max="11" width="16.25"/>
    <col customWidth="1" min="13" max="13" width="0.38"/>
    <col customWidth="1" min="15" max="15" width="16.5"/>
    <col customWidth="1" min="16" max="16" width="0.38"/>
    <col customWidth="1" min="17" max="17" width="13.13"/>
    <col customWidth="1" min="18" max="18" width="13.88"/>
    <col customWidth="1" min="19" max="19" width="19.13"/>
    <col customWidth="1" min="21" max="21" width="23.75"/>
    <col customWidth="1" min="22" max="22" width="0.38"/>
  </cols>
  <sheetData>
    <row r="1">
      <c r="A1" s="1"/>
      <c r="B1" s="2" t="s">
        <v>0</v>
      </c>
      <c r="C1" s="3" t="s">
        <v>1</v>
      </c>
      <c r="D1" s="1"/>
      <c r="E1" s="4" t="s">
        <v>2</v>
      </c>
      <c r="F1" s="1"/>
      <c r="H1" s="5" t="s">
        <v>3</v>
      </c>
      <c r="I1" s="6"/>
      <c r="J1" s="1"/>
      <c r="K1" s="7" t="s">
        <v>4</v>
      </c>
      <c r="L1" s="8"/>
      <c r="M1" s="9"/>
      <c r="N1" s="10" t="s">
        <v>5</v>
      </c>
      <c r="O1" s="11"/>
      <c r="P1" s="9"/>
      <c r="Q1" s="7" t="s">
        <v>6</v>
      </c>
      <c r="R1" s="12"/>
      <c r="S1" s="1"/>
      <c r="T1" s="7" t="s">
        <v>7</v>
      </c>
      <c r="U1" s="13"/>
      <c r="V1" s="1"/>
    </row>
    <row r="2">
      <c r="A2" s="1"/>
      <c r="B2" s="6"/>
      <c r="C2" s="8"/>
      <c r="D2" s="9"/>
      <c r="E2" s="14" t="s">
        <v>8</v>
      </c>
      <c r="F2" s="15">
        <f>C3/C6</f>
        <v>3107.142857</v>
      </c>
      <c r="H2" s="16" t="s">
        <v>9</v>
      </c>
      <c r="I2" s="17">
        <f>IFERROR(COUNTIFS(I13:I287, "Full-Pay"),"")</f>
        <v>2</v>
      </c>
      <c r="J2" s="9"/>
      <c r="K2" s="18" t="s">
        <v>10</v>
      </c>
      <c r="L2" s="19">
        <f>iferror(L10/L8,"")</f>
        <v>0.3095238095</v>
      </c>
      <c r="M2" s="20"/>
      <c r="N2" s="21" t="s">
        <v>11</v>
      </c>
      <c r="O2" s="22">
        <f>iferror(I8/L6,"")</f>
        <v>0.09090909091</v>
      </c>
      <c r="P2" s="20"/>
      <c r="Q2" s="23" t="s">
        <v>12</v>
      </c>
      <c r="R2" s="24">
        <f>IFERROR(COUNTIFS(N13:N286, "think about it"),"")</f>
        <v>3</v>
      </c>
      <c r="S2" s="9"/>
      <c r="T2" s="25" t="s">
        <v>13</v>
      </c>
      <c r="U2" s="26">
        <f>IFERROR(COUNTIF(H13:H286,T2),"")</f>
        <v>0</v>
      </c>
      <c r="V2" s="27"/>
    </row>
    <row r="3">
      <c r="A3" s="9"/>
      <c r="B3" s="28" t="s">
        <v>14</v>
      </c>
      <c r="C3" s="29">
        <f>IFERROR(SUM(K13:K284),"")</f>
        <v>130500</v>
      </c>
      <c r="D3" s="30"/>
      <c r="E3" s="31" t="s">
        <v>15</v>
      </c>
      <c r="F3" s="32">
        <f>C4/C6</f>
        <v>1152.380952</v>
      </c>
      <c r="H3" s="16" t="s">
        <v>16</v>
      </c>
      <c r="I3" s="17">
        <f>IFERROR(COUNTIFS(I13:I287, "Split-Pay"),"")</f>
        <v>11</v>
      </c>
      <c r="J3" s="9"/>
      <c r="K3" s="18" t="s">
        <v>17</v>
      </c>
      <c r="L3" s="19">
        <f>IFERROR(L10/L9,"")</f>
        <v>0.3333333333</v>
      </c>
      <c r="M3" s="20"/>
      <c r="N3" s="21" t="s">
        <v>18</v>
      </c>
      <c r="O3" s="22">
        <f>iferror(I9/L6,"")</f>
        <v>0.03636363636</v>
      </c>
      <c r="P3" s="20"/>
      <c r="Q3" s="23" t="s">
        <v>19</v>
      </c>
      <c r="R3" s="33">
        <f>IFERROR(COUNTIFS(N13:N286, "money"),"")</f>
        <v>14</v>
      </c>
      <c r="S3" s="9"/>
      <c r="T3" s="25" t="s">
        <v>20</v>
      </c>
      <c r="U3" s="26">
        <f>IFERROR(COUNTIF(H13:H286,T3),"")</f>
        <v>0</v>
      </c>
      <c r="V3" s="27"/>
    </row>
    <row r="4">
      <c r="A4" s="9"/>
      <c r="B4" s="34" t="s">
        <v>21</v>
      </c>
      <c r="C4" s="35">
        <f>IFERROR(SUM(L13:L284),"")</f>
        <v>48400</v>
      </c>
      <c r="D4" s="30"/>
      <c r="E4" s="31" t="s">
        <v>22</v>
      </c>
      <c r="F4" s="36">
        <f>C4/C3*100</f>
        <v>37.08812261</v>
      </c>
      <c r="H4" s="16" t="s">
        <v>23</v>
      </c>
      <c r="I4" s="17">
        <f>IFERROR(COUNTIFS(I13:I287, "Deposit"),"")</f>
        <v>9</v>
      </c>
      <c r="J4" s="9"/>
      <c r="K4" s="18" t="s">
        <v>24</v>
      </c>
      <c r="L4" s="19">
        <f>IFERROR(L9/L8,"")</f>
        <v>0.9285714286</v>
      </c>
      <c r="M4" s="20"/>
      <c r="N4" s="21" t="s">
        <v>25</v>
      </c>
      <c r="O4" s="22">
        <f>iferror(I10/L6,"")</f>
        <v>0.1090909091</v>
      </c>
      <c r="P4" s="20"/>
      <c r="Q4" s="23" t="s">
        <v>26</v>
      </c>
      <c r="R4" s="24">
        <f>IFERROR(COUNTIFS(N13:N286, "time"),"")</f>
        <v>0</v>
      </c>
      <c r="S4" s="9"/>
      <c r="T4" s="25" t="s">
        <v>27</v>
      </c>
      <c r="U4" s="26">
        <f>IFERROR(COUNTIF(H13:H286,T4),"")</f>
        <v>0</v>
      </c>
      <c r="V4" s="1"/>
    </row>
    <row r="5">
      <c r="A5" s="1"/>
      <c r="B5" s="6"/>
      <c r="C5" s="8"/>
      <c r="D5" s="9"/>
      <c r="E5" s="31" t="s">
        <v>28</v>
      </c>
      <c r="F5" s="37">
        <f>I2/C7*100</f>
        <v>15.38461538</v>
      </c>
      <c r="H5" s="16" t="s">
        <v>29</v>
      </c>
      <c r="I5" s="17">
        <f>IFERROR(COUNTIFS(I13:I287, "Offer &amp; Didn't Buy"),"")</f>
        <v>17</v>
      </c>
      <c r="J5" s="9"/>
      <c r="K5" s="18" t="s">
        <v>30</v>
      </c>
      <c r="L5" s="19">
        <f>IFERROR(I7/(C6+I7+I8),"")</f>
        <v>0</v>
      </c>
      <c r="M5" s="9"/>
      <c r="N5" s="21" t="s">
        <v>30</v>
      </c>
      <c r="O5" s="22">
        <f>iferror(I7/L6,"")</f>
        <v>0</v>
      </c>
      <c r="P5" s="20"/>
      <c r="Q5" s="23" t="s">
        <v>31</v>
      </c>
      <c r="R5" s="24">
        <f>IFERROR(COUNTIFS(N13:N286, "partner"),"")</f>
        <v>1</v>
      </c>
      <c r="S5" s="9"/>
      <c r="T5" s="25" t="s">
        <v>32</v>
      </c>
      <c r="U5" s="26">
        <f>IFERROR(COUNTIF(H13:H286,T5),"")</f>
        <v>0</v>
      </c>
      <c r="V5" s="27"/>
    </row>
    <row r="6">
      <c r="A6" s="9"/>
      <c r="B6" s="38" t="s">
        <v>33</v>
      </c>
      <c r="C6" s="39">
        <f>IFERROR(SUM(I2:I6),"")</f>
        <v>42</v>
      </c>
      <c r="D6" s="9"/>
      <c r="E6" s="31" t="s">
        <v>34</v>
      </c>
      <c r="F6" s="40">
        <f>AVERAGE(Q13:Q104)</f>
        <v>6</v>
      </c>
      <c r="H6" s="16" t="s">
        <v>35</v>
      </c>
      <c r="I6" s="17">
        <f>IFERROR(COUNTIFS(I13:I287, "Bad Fit &amp; No Offer"),"")</f>
        <v>3</v>
      </c>
      <c r="J6" s="9"/>
      <c r="K6" s="18" t="s">
        <v>36</v>
      </c>
      <c r="L6" s="41">
        <f>IFERROR(SUM(I2:I10),"")</f>
        <v>55</v>
      </c>
      <c r="M6" s="9"/>
      <c r="N6" s="42" t="s">
        <v>37</v>
      </c>
      <c r="O6" s="22">
        <f>iferror(L7/L6,"")</f>
        <v>0.7636363636</v>
      </c>
      <c r="P6" s="20"/>
      <c r="Q6" s="23" t="s">
        <v>38</v>
      </c>
      <c r="R6" s="24">
        <f>IFERROR(COUNTIFS(N13:N286, "fear"),"")</f>
        <v>0</v>
      </c>
      <c r="S6" s="9"/>
      <c r="T6" s="25" t="s">
        <v>39</v>
      </c>
      <c r="U6" s="26">
        <f>IFERROR(COUNTIF(H13:H286,T6),"")</f>
        <v>0</v>
      </c>
      <c r="V6" s="27"/>
    </row>
    <row r="7">
      <c r="A7" s="9"/>
      <c r="B7" s="38" t="s">
        <v>40</v>
      </c>
      <c r="C7" s="43">
        <f>IFERROR(I2+I3,"")</f>
        <v>13</v>
      </c>
      <c r="D7" s="9"/>
      <c r="E7" s="31" t="s">
        <v>41</v>
      </c>
      <c r="F7" s="32">
        <f>C3/C7</f>
        <v>10038.46154</v>
      </c>
      <c r="H7" s="16" t="s">
        <v>42</v>
      </c>
      <c r="I7" s="17">
        <f>IFERROR(COUNTIFS(I13:I287, "Drag Over &amp; Show"),"")</f>
        <v>0</v>
      </c>
      <c r="J7" s="9"/>
      <c r="K7" s="18" t="s">
        <v>43</v>
      </c>
      <c r="L7" s="41">
        <f>IFERROR(SUM(I2:I7),"")</f>
        <v>42</v>
      </c>
      <c r="M7" s="9"/>
      <c r="N7" s="44" t="s">
        <v>44</v>
      </c>
      <c r="O7" s="45">
        <f>IFERROR(L8/L6,"")</f>
        <v>0.7636363636</v>
      </c>
      <c r="P7" s="20"/>
      <c r="Q7" s="46" t="s">
        <v>45</v>
      </c>
      <c r="R7" s="47">
        <f>IFERROR(COUNTIFS(N14:N287, "value"),"")</f>
        <v>0</v>
      </c>
      <c r="S7" s="9"/>
      <c r="T7" s="25" t="s">
        <v>46</v>
      </c>
      <c r="U7" s="26">
        <f>IFERROR(COUNTIF(H13:H286,T7),"")</f>
        <v>0</v>
      </c>
      <c r="V7" s="1"/>
    </row>
    <row r="8">
      <c r="A8" s="9"/>
      <c r="B8" s="38" t="s">
        <v>47</v>
      </c>
      <c r="C8" s="48">
        <f>COUNTIF(I13:I286,"offer &amp; didn't buy")+countif(I13:I286,"deposit")+countif(I13:I286,"bad fit &amp; no offer")</f>
        <v>29</v>
      </c>
      <c r="D8" s="49"/>
      <c r="E8" s="31" t="s">
        <v>48</v>
      </c>
      <c r="F8" s="32">
        <f>C4/C7</f>
        <v>3723.076923</v>
      </c>
      <c r="H8" s="16" t="s">
        <v>49</v>
      </c>
      <c r="I8" s="17">
        <f>IFERROR(COUNTIFS(I13:I287, "Rescheduled"),"")</f>
        <v>5</v>
      </c>
      <c r="J8" s="9"/>
      <c r="K8" s="18" t="s">
        <v>50</v>
      </c>
      <c r="L8" s="41">
        <f>IFERROR(SUM(I2:I6),"")</f>
        <v>42</v>
      </c>
      <c r="M8" s="1"/>
      <c r="N8" s="50"/>
      <c r="O8" s="1"/>
      <c r="P8" s="1"/>
      <c r="Q8" s="1"/>
      <c r="R8" s="51"/>
      <c r="S8" s="9"/>
      <c r="T8" s="52" t="s">
        <v>51</v>
      </c>
      <c r="U8" s="53">
        <f>IFERROR(COUNTIF(H13:H286,T8),"")</f>
        <v>0</v>
      </c>
      <c r="V8" s="1"/>
    </row>
    <row r="9">
      <c r="A9" s="9"/>
      <c r="B9" s="38" t="s">
        <v>52</v>
      </c>
      <c r="C9" s="54">
        <f>iferror(SUM(C7/C6),"")</f>
        <v>0.3095238095</v>
      </c>
      <c r="D9" s="20"/>
      <c r="E9" s="55"/>
      <c r="F9" s="56"/>
      <c r="H9" s="16" t="s">
        <v>53</v>
      </c>
      <c r="I9" s="17">
        <f>IFERROR(COUNTIFS(I13:I287, "Cancelled"),"")</f>
        <v>2</v>
      </c>
      <c r="J9" s="9"/>
      <c r="K9" s="18" t="s">
        <v>54</v>
      </c>
      <c r="L9" s="41">
        <f>IFERROR(sum(I2:I5),"")</f>
        <v>39</v>
      </c>
      <c r="M9" s="1"/>
      <c r="N9" s="50"/>
      <c r="O9" s="1"/>
      <c r="P9" s="1"/>
      <c r="Q9" s="1"/>
      <c r="R9" s="51"/>
      <c r="S9" s="1"/>
      <c r="T9" s="1"/>
      <c r="U9" s="1"/>
      <c r="V9" s="1"/>
    </row>
    <row r="10">
      <c r="A10" s="1"/>
      <c r="B10" s="50"/>
      <c r="C10" s="1"/>
      <c r="D10" s="9"/>
      <c r="E10" s="57"/>
      <c r="F10" s="58"/>
      <c r="H10" s="59" t="s">
        <v>55</v>
      </c>
      <c r="I10" s="60">
        <f>IFERROR(COUNTIFS(I13:I287, "No-Show"),"")</f>
        <v>6</v>
      </c>
      <c r="J10" s="9"/>
      <c r="K10" s="61" t="s">
        <v>56</v>
      </c>
      <c r="L10" s="62">
        <f>I2+I3</f>
        <v>13</v>
      </c>
      <c r="M10" s="1"/>
      <c r="N10" s="50"/>
      <c r="O10" s="1"/>
      <c r="P10" s="1"/>
      <c r="Q10" s="1"/>
      <c r="R10" s="51"/>
      <c r="S10" s="1"/>
      <c r="T10" s="1"/>
      <c r="U10" s="1"/>
      <c r="V10" s="1"/>
    </row>
    <row r="11" ht="6.0" customHeight="1">
      <c r="A11" s="1"/>
      <c r="B11" s="50"/>
      <c r="C11" s="1"/>
      <c r="D11" s="1"/>
      <c r="E11" s="63"/>
      <c r="F11" s="50"/>
      <c r="G11" s="1"/>
      <c r="H11" s="1"/>
      <c r="I11" s="1"/>
      <c r="J11" s="1"/>
      <c r="K11" s="50"/>
      <c r="L11" s="1"/>
      <c r="M11" s="1"/>
      <c r="N11" s="1"/>
      <c r="O11" s="51"/>
      <c r="P11" s="1"/>
      <c r="Q11" s="1"/>
      <c r="R11" s="1"/>
      <c r="S11" s="1"/>
      <c r="T11" s="1"/>
      <c r="V11" s="1"/>
    </row>
    <row r="12">
      <c r="A12" s="1"/>
      <c r="B12" s="64" t="s">
        <v>57</v>
      </c>
      <c r="C12" s="65" t="s">
        <v>58</v>
      </c>
      <c r="D12" s="1"/>
      <c r="E12" s="66" t="s">
        <v>59</v>
      </c>
      <c r="F12" s="67" t="s">
        <v>60</v>
      </c>
      <c r="G12" s="1"/>
      <c r="H12" s="68" t="s">
        <v>7</v>
      </c>
      <c r="I12" s="68" t="s">
        <v>3</v>
      </c>
      <c r="J12" s="1"/>
      <c r="K12" s="67" t="s">
        <v>61</v>
      </c>
      <c r="L12" s="3" t="s">
        <v>21</v>
      </c>
      <c r="M12" s="1"/>
      <c r="N12" s="68" t="s">
        <v>62</v>
      </c>
      <c r="O12" s="69" t="s">
        <v>63</v>
      </c>
      <c r="P12" s="1"/>
      <c r="Q12" s="68" t="s">
        <v>64</v>
      </c>
      <c r="R12" s="68" t="s">
        <v>65</v>
      </c>
      <c r="S12" s="68" t="s">
        <v>66</v>
      </c>
      <c r="T12" s="68" t="s">
        <v>67</v>
      </c>
      <c r="V12" s="27"/>
    </row>
    <row r="13" ht="15.75" customHeight="1">
      <c r="A13" s="70"/>
      <c r="B13" s="71">
        <v>46085.0</v>
      </c>
      <c r="C13" s="72" t="s">
        <v>199</v>
      </c>
      <c r="D13" s="73"/>
      <c r="E13" s="129" t="s">
        <v>200</v>
      </c>
      <c r="F13" s="129" t="s">
        <v>201</v>
      </c>
      <c r="G13" s="75"/>
      <c r="H13" s="76" t="s">
        <v>68</v>
      </c>
      <c r="I13" s="77" t="s">
        <v>152</v>
      </c>
      <c r="J13" s="75"/>
      <c r="K13" s="78">
        <v>9000.0</v>
      </c>
      <c r="L13" s="79">
        <v>1500.0</v>
      </c>
      <c r="M13" s="80"/>
      <c r="N13" s="81"/>
      <c r="O13" s="82"/>
      <c r="P13" s="75"/>
      <c r="Q13" s="83">
        <v>6.0</v>
      </c>
      <c r="S13" s="83" t="s">
        <v>122</v>
      </c>
      <c r="T13" s="83" t="s">
        <v>202</v>
      </c>
      <c r="V13" s="84"/>
    </row>
    <row r="14" ht="15.75" customHeight="1">
      <c r="A14" s="75"/>
      <c r="B14" s="71">
        <v>46085.0</v>
      </c>
      <c r="C14" s="85" t="s">
        <v>203</v>
      </c>
      <c r="D14" s="75"/>
      <c r="E14" s="129" t="s">
        <v>204</v>
      </c>
      <c r="F14" s="129" t="s">
        <v>205</v>
      </c>
      <c r="G14" s="75"/>
      <c r="H14" s="76" t="s">
        <v>68</v>
      </c>
      <c r="I14" s="77" t="s">
        <v>121</v>
      </c>
      <c r="J14" s="75"/>
      <c r="K14" s="78">
        <v>9000.0</v>
      </c>
      <c r="L14" s="79">
        <v>9000.0</v>
      </c>
      <c r="M14" s="80"/>
      <c r="N14" s="81"/>
      <c r="O14" s="82"/>
      <c r="P14" s="75"/>
      <c r="Q14" s="83">
        <v>6.0</v>
      </c>
      <c r="S14" s="83" t="s">
        <v>122</v>
      </c>
      <c r="T14" s="83" t="s">
        <v>206</v>
      </c>
      <c r="V14" s="84"/>
    </row>
    <row r="15" ht="15.75" customHeight="1">
      <c r="A15" s="75"/>
      <c r="B15" s="71">
        <v>46083.0</v>
      </c>
      <c r="C15" s="72" t="s">
        <v>207</v>
      </c>
      <c r="D15" s="83"/>
      <c r="E15" s="129" t="s">
        <v>208</v>
      </c>
      <c r="F15" s="129" t="s">
        <v>209</v>
      </c>
      <c r="G15" s="75"/>
      <c r="H15" s="76" t="s">
        <v>68</v>
      </c>
      <c r="I15" s="77" t="s">
        <v>72</v>
      </c>
      <c r="J15" s="75"/>
      <c r="K15" s="78"/>
      <c r="L15" s="79"/>
      <c r="M15" s="80"/>
      <c r="N15" s="81" t="s">
        <v>19</v>
      </c>
      <c r="O15" s="82"/>
      <c r="P15" s="75"/>
      <c r="Q15" s="83"/>
      <c r="R15" s="87"/>
      <c r="S15" s="83" t="s">
        <v>74</v>
      </c>
      <c r="T15" s="83" t="s">
        <v>210</v>
      </c>
      <c r="V15" s="84"/>
    </row>
    <row r="16" ht="15.75" customHeight="1">
      <c r="A16" s="75"/>
      <c r="B16" s="71">
        <v>46086.0</v>
      </c>
      <c r="C16" s="72" t="s">
        <v>211</v>
      </c>
      <c r="D16" s="75"/>
      <c r="E16" s="74" t="s">
        <v>212</v>
      </c>
      <c r="F16" s="74"/>
      <c r="G16" s="75"/>
      <c r="H16" s="76" t="s">
        <v>68</v>
      </c>
      <c r="I16" s="77" t="s">
        <v>72</v>
      </c>
      <c r="J16" s="75"/>
      <c r="K16" s="78"/>
      <c r="L16" s="79"/>
      <c r="M16" s="80"/>
      <c r="N16" s="81"/>
      <c r="O16" s="82"/>
      <c r="P16" s="75"/>
      <c r="Q16" s="83"/>
      <c r="S16" s="83" t="s">
        <v>141</v>
      </c>
      <c r="T16" s="83" t="s">
        <v>213</v>
      </c>
      <c r="V16" s="84"/>
    </row>
    <row r="17" ht="15.75" customHeight="1">
      <c r="A17" s="75"/>
      <c r="B17" s="71">
        <v>46087.0</v>
      </c>
      <c r="C17" s="72" t="s">
        <v>214</v>
      </c>
      <c r="D17" s="75"/>
      <c r="E17" s="129" t="s">
        <v>215</v>
      </c>
      <c r="F17" s="129" t="s">
        <v>216</v>
      </c>
      <c r="G17" s="75"/>
      <c r="H17" s="76" t="s">
        <v>68</v>
      </c>
      <c r="I17" s="77" t="s">
        <v>182</v>
      </c>
      <c r="J17" s="75"/>
      <c r="K17" s="78"/>
      <c r="L17" s="79"/>
      <c r="M17" s="80"/>
      <c r="N17" s="81"/>
      <c r="O17" s="82"/>
      <c r="P17" s="75"/>
      <c r="Q17" s="83"/>
      <c r="S17" s="83"/>
      <c r="T17" s="83"/>
      <c r="V17" s="84"/>
    </row>
    <row r="18" ht="15.75" customHeight="1">
      <c r="A18" s="75"/>
      <c r="B18" s="71">
        <v>46087.0</v>
      </c>
      <c r="C18" s="72" t="s">
        <v>217</v>
      </c>
      <c r="D18" s="75"/>
      <c r="E18" s="129" t="s">
        <v>218</v>
      </c>
      <c r="F18" s="129" t="s">
        <v>219</v>
      </c>
      <c r="G18" s="75"/>
      <c r="H18" s="76" t="s">
        <v>68</v>
      </c>
      <c r="I18" s="77" t="s">
        <v>121</v>
      </c>
      <c r="J18" s="75"/>
      <c r="K18" s="78">
        <v>9000.0</v>
      </c>
      <c r="L18" s="79">
        <v>9000.0</v>
      </c>
      <c r="M18" s="80"/>
      <c r="N18" s="81"/>
      <c r="O18" s="82"/>
      <c r="P18" s="75"/>
      <c r="Q18" s="83">
        <v>6.0</v>
      </c>
      <c r="S18" s="83"/>
      <c r="T18" s="83"/>
      <c r="V18" s="84"/>
    </row>
    <row r="19" ht="15.75" customHeight="1">
      <c r="A19" s="75"/>
      <c r="B19" s="71">
        <v>46087.0</v>
      </c>
      <c r="C19" s="72" t="s">
        <v>220</v>
      </c>
      <c r="D19" s="75"/>
      <c r="E19" s="129" t="s">
        <v>221</v>
      </c>
      <c r="F19" s="129" t="s">
        <v>222</v>
      </c>
      <c r="G19" s="75"/>
      <c r="H19" s="76" t="s">
        <v>68</v>
      </c>
      <c r="I19" s="77" t="s">
        <v>131</v>
      </c>
      <c r="J19" s="75"/>
      <c r="K19" s="89"/>
      <c r="L19" s="79"/>
      <c r="M19" s="80"/>
      <c r="N19" s="81"/>
      <c r="O19" s="82"/>
      <c r="P19" s="75"/>
      <c r="Q19" s="83"/>
      <c r="S19" s="83"/>
      <c r="T19" s="83"/>
      <c r="V19" s="84"/>
    </row>
    <row r="20" ht="15.75" customHeight="1">
      <c r="A20" s="70"/>
      <c r="B20" s="71">
        <v>46087.0</v>
      </c>
      <c r="C20" s="72" t="s">
        <v>223</v>
      </c>
      <c r="D20" s="75"/>
      <c r="E20" s="129" t="s">
        <v>224</v>
      </c>
      <c r="F20" s="129" t="s">
        <v>225</v>
      </c>
      <c r="G20" s="75"/>
      <c r="H20" s="76" t="s">
        <v>68</v>
      </c>
      <c r="I20" s="77" t="s">
        <v>152</v>
      </c>
      <c r="J20" s="75"/>
      <c r="K20" s="89">
        <v>10500.0</v>
      </c>
      <c r="L20" s="89">
        <v>1500.0</v>
      </c>
      <c r="M20" s="75"/>
      <c r="N20" s="81"/>
      <c r="O20" s="82"/>
      <c r="P20" s="75"/>
      <c r="Q20" s="83">
        <v>6.0</v>
      </c>
      <c r="S20" s="83"/>
      <c r="T20" s="83"/>
      <c r="V20" s="84"/>
    </row>
    <row r="21" ht="15.75" customHeight="1">
      <c r="A21" s="70"/>
      <c r="B21" s="71">
        <v>46087.0</v>
      </c>
      <c r="C21" s="72" t="s">
        <v>226</v>
      </c>
      <c r="D21" s="75"/>
      <c r="E21" s="129" t="s">
        <v>227</v>
      </c>
      <c r="F21" s="129" t="s">
        <v>228</v>
      </c>
      <c r="G21" s="75"/>
      <c r="H21" s="76" t="s">
        <v>68</v>
      </c>
      <c r="I21" s="77" t="s">
        <v>72</v>
      </c>
      <c r="J21" s="75"/>
      <c r="K21" s="89"/>
      <c r="L21" s="89"/>
      <c r="M21" s="75"/>
      <c r="N21" s="81" t="s">
        <v>19</v>
      </c>
      <c r="O21" s="82"/>
      <c r="P21" s="75"/>
      <c r="Q21" s="83"/>
      <c r="S21" s="83"/>
      <c r="T21" s="83"/>
      <c r="V21" s="84"/>
    </row>
    <row r="22" ht="15.75" customHeight="1">
      <c r="A22" s="70"/>
      <c r="B22" s="71">
        <v>46088.0</v>
      </c>
      <c r="C22" s="72" t="s">
        <v>229</v>
      </c>
      <c r="D22" s="75"/>
      <c r="E22" s="129" t="s">
        <v>230</v>
      </c>
      <c r="F22" s="129" t="s">
        <v>231</v>
      </c>
      <c r="G22" s="75"/>
      <c r="H22" s="76" t="s">
        <v>68</v>
      </c>
      <c r="I22" s="77" t="s">
        <v>79</v>
      </c>
      <c r="J22" s="75"/>
      <c r="K22" s="128"/>
      <c r="L22" s="128"/>
      <c r="M22" s="75"/>
      <c r="N22" s="81"/>
      <c r="O22" s="82"/>
      <c r="P22" s="75"/>
      <c r="Q22" s="83"/>
      <c r="S22" s="83" t="s">
        <v>84</v>
      </c>
      <c r="T22" s="83" t="s">
        <v>232</v>
      </c>
      <c r="V22" s="84"/>
    </row>
    <row r="23" ht="15.75" customHeight="1">
      <c r="A23" s="70"/>
      <c r="B23" s="71">
        <v>46088.0</v>
      </c>
      <c r="C23" s="90" t="s">
        <v>220</v>
      </c>
      <c r="D23" s="75"/>
      <c r="E23" s="129" t="s">
        <v>221</v>
      </c>
      <c r="F23" s="129" t="s">
        <v>222</v>
      </c>
      <c r="G23" s="75"/>
      <c r="H23" s="76" t="s">
        <v>68</v>
      </c>
      <c r="I23" s="77" t="s">
        <v>152</v>
      </c>
      <c r="J23" s="75"/>
      <c r="K23" s="89">
        <v>10500.0</v>
      </c>
      <c r="L23" s="89">
        <v>3000.0</v>
      </c>
      <c r="M23" s="75"/>
      <c r="N23" s="81"/>
      <c r="O23" s="82"/>
      <c r="P23" s="75"/>
      <c r="Q23" s="83">
        <v>6.0</v>
      </c>
      <c r="S23" s="83" t="s">
        <v>122</v>
      </c>
      <c r="T23" s="83" t="s">
        <v>233</v>
      </c>
      <c r="V23" s="84"/>
    </row>
    <row r="24" ht="15.0" customHeight="1">
      <c r="A24" s="70"/>
      <c r="B24" s="71">
        <v>46089.0</v>
      </c>
      <c r="C24" s="90" t="s">
        <v>234</v>
      </c>
      <c r="D24" s="73"/>
      <c r="E24" s="129" t="s">
        <v>235</v>
      </c>
      <c r="F24" s="129" t="s">
        <v>236</v>
      </c>
      <c r="G24" s="75"/>
      <c r="H24" s="76" t="s">
        <v>68</v>
      </c>
      <c r="I24" s="77" t="s">
        <v>152</v>
      </c>
      <c r="J24" s="75"/>
      <c r="K24" s="89">
        <v>10500.0</v>
      </c>
      <c r="L24" s="89">
        <v>3000.0</v>
      </c>
      <c r="M24" s="75"/>
      <c r="N24" s="81"/>
      <c r="O24" s="82"/>
      <c r="P24" s="75"/>
      <c r="Q24" s="83">
        <v>6.0</v>
      </c>
      <c r="S24" s="83" t="s">
        <v>122</v>
      </c>
      <c r="T24" s="83"/>
      <c r="V24" s="84"/>
    </row>
    <row r="25" ht="15.75" customHeight="1">
      <c r="A25" s="70"/>
      <c r="B25" s="71">
        <v>46090.0</v>
      </c>
      <c r="C25" s="72" t="s">
        <v>203</v>
      </c>
      <c r="D25" s="75"/>
      <c r="E25" s="129" t="s">
        <v>237</v>
      </c>
      <c r="F25" s="129" t="s">
        <v>238</v>
      </c>
      <c r="G25" s="75"/>
      <c r="H25" s="76" t="s">
        <v>68</v>
      </c>
      <c r="I25" s="77" t="s">
        <v>89</v>
      </c>
      <c r="J25" s="75"/>
      <c r="K25" s="128"/>
      <c r="L25" s="89">
        <v>500.0</v>
      </c>
      <c r="M25" s="75"/>
      <c r="N25" s="81"/>
      <c r="O25" s="82"/>
      <c r="P25" s="75"/>
      <c r="Q25" s="83">
        <v>6.0</v>
      </c>
      <c r="S25" s="83" t="s">
        <v>91</v>
      </c>
      <c r="T25" s="83" t="s">
        <v>239</v>
      </c>
      <c r="V25" s="84"/>
    </row>
    <row r="26" ht="15.75" customHeight="1">
      <c r="A26" s="70"/>
      <c r="B26" s="71">
        <v>46090.0</v>
      </c>
      <c r="C26" s="72" t="s">
        <v>240</v>
      </c>
      <c r="D26" s="75"/>
      <c r="E26" s="129" t="s">
        <v>241</v>
      </c>
      <c r="F26" s="129" t="s">
        <v>242</v>
      </c>
      <c r="G26" s="75"/>
      <c r="H26" s="76"/>
      <c r="I26" s="77" t="s">
        <v>89</v>
      </c>
      <c r="J26" s="75"/>
      <c r="K26" s="128"/>
      <c r="L26" s="128"/>
      <c r="M26" s="75"/>
      <c r="N26" s="81" t="s">
        <v>19</v>
      </c>
      <c r="O26" s="82" t="s">
        <v>243</v>
      </c>
      <c r="P26" s="75"/>
      <c r="Q26" s="83"/>
      <c r="S26" s="83" t="s">
        <v>91</v>
      </c>
      <c r="T26" s="83" t="s">
        <v>244</v>
      </c>
      <c r="V26" s="84"/>
    </row>
    <row r="27" ht="15.75" customHeight="1">
      <c r="A27" s="70"/>
      <c r="B27" s="71">
        <v>46090.0</v>
      </c>
      <c r="C27" s="72" t="s">
        <v>245</v>
      </c>
      <c r="D27" s="75"/>
      <c r="E27" s="129" t="s">
        <v>246</v>
      </c>
      <c r="F27" s="129" t="s">
        <v>247</v>
      </c>
      <c r="G27" s="75"/>
      <c r="H27" s="76" t="s">
        <v>68</v>
      </c>
      <c r="I27" s="77" t="s">
        <v>72</v>
      </c>
      <c r="J27" s="75"/>
      <c r="K27" s="78"/>
      <c r="L27" s="78"/>
      <c r="M27" s="80"/>
      <c r="N27" s="81"/>
      <c r="P27" s="75"/>
      <c r="Q27" s="83"/>
      <c r="S27" s="83" t="s">
        <v>74</v>
      </c>
      <c r="T27" s="83" t="s">
        <v>248</v>
      </c>
      <c r="V27" s="84"/>
    </row>
    <row r="28" ht="15.75" customHeight="1">
      <c r="A28" s="70"/>
      <c r="B28" s="71">
        <v>46091.0</v>
      </c>
      <c r="C28" s="72" t="s">
        <v>249</v>
      </c>
      <c r="D28" s="75"/>
      <c r="E28" s="129" t="s">
        <v>250</v>
      </c>
      <c r="F28" s="129" t="s">
        <v>251</v>
      </c>
      <c r="G28" s="75"/>
      <c r="H28" s="76" t="s">
        <v>68</v>
      </c>
      <c r="I28" s="77" t="s">
        <v>72</v>
      </c>
      <c r="J28" s="75"/>
      <c r="K28" s="78"/>
      <c r="L28" s="78"/>
      <c r="M28" s="80"/>
      <c r="N28" s="81"/>
      <c r="O28" s="82"/>
      <c r="P28" s="75"/>
      <c r="Q28" s="83"/>
      <c r="R28" s="93"/>
      <c r="S28" s="83" t="s">
        <v>74</v>
      </c>
      <c r="T28" s="83"/>
      <c r="V28" s="84"/>
    </row>
    <row r="29" ht="15.75" customHeight="1">
      <c r="A29" s="70"/>
      <c r="B29" s="71">
        <v>46091.0</v>
      </c>
      <c r="C29" s="90" t="s">
        <v>252</v>
      </c>
      <c r="D29" s="75"/>
      <c r="E29" s="129" t="s">
        <v>253</v>
      </c>
      <c r="F29" s="129" t="s">
        <v>254</v>
      </c>
      <c r="G29" s="75"/>
      <c r="H29" s="76" t="s">
        <v>68</v>
      </c>
      <c r="I29" s="77" t="s">
        <v>72</v>
      </c>
      <c r="J29" s="75"/>
      <c r="K29" s="78"/>
      <c r="L29" s="78"/>
      <c r="M29" s="80"/>
      <c r="N29" s="81"/>
      <c r="O29" s="82"/>
      <c r="P29" s="75"/>
      <c r="Q29" s="83"/>
      <c r="R29" s="87"/>
      <c r="S29" s="83" t="s">
        <v>74</v>
      </c>
      <c r="T29" s="83"/>
      <c r="V29" s="84"/>
    </row>
    <row r="30" ht="15.75" customHeight="1">
      <c r="A30" s="70"/>
      <c r="B30" s="71">
        <v>46091.0</v>
      </c>
      <c r="C30" s="90" t="s">
        <v>255</v>
      </c>
      <c r="D30" s="75"/>
      <c r="E30" s="129" t="s">
        <v>256</v>
      </c>
      <c r="F30" s="129" t="s">
        <v>257</v>
      </c>
      <c r="G30" s="75"/>
      <c r="H30" s="76" t="s">
        <v>68</v>
      </c>
      <c r="I30" s="77" t="s">
        <v>152</v>
      </c>
      <c r="J30" s="75"/>
      <c r="K30" s="78">
        <v>9000.0</v>
      </c>
      <c r="L30" s="78">
        <v>2500.0</v>
      </c>
      <c r="M30" s="80"/>
      <c r="N30" s="81"/>
      <c r="O30" s="82"/>
      <c r="P30" s="75"/>
      <c r="Q30" s="83"/>
      <c r="R30" s="94"/>
      <c r="S30" s="83" t="s">
        <v>122</v>
      </c>
      <c r="T30" s="83"/>
      <c r="V30" s="84"/>
    </row>
    <row r="31" ht="15.75" customHeight="1">
      <c r="A31" s="70"/>
      <c r="B31" s="71">
        <v>46091.0</v>
      </c>
      <c r="C31" s="72" t="s">
        <v>93</v>
      </c>
      <c r="D31" s="75"/>
      <c r="E31" s="129" t="s">
        <v>258</v>
      </c>
      <c r="F31" s="129" t="s">
        <v>259</v>
      </c>
      <c r="G31" s="75"/>
      <c r="H31" s="76" t="s">
        <v>68</v>
      </c>
      <c r="I31" s="77" t="s">
        <v>72</v>
      </c>
      <c r="J31" s="75"/>
      <c r="K31" s="78"/>
      <c r="L31" s="78"/>
      <c r="M31" s="80"/>
      <c r="N31" s="81"/>
      <c r="O31" s="82"/>
      <c r="P31" s="75"/>
      <c r="Q31" s="83"/>
      <c r="R31" s="94"/>
      <c r="S31" s="83" t="s">
        <v>74</v>
      </c>
      <c r="T31" s="83" t="s">
        <v>260</v>
      </c>
      <c r="V31" s="84"/>
    </row>
    <row r="32" ht="15.75" customHeight="1">
      <c r="A32" s="70"/>
      <c r="B32" s="71">
        <v>46092.0</v>
      </c>
      <c r="C32" s="72" t="s">
        <v>261</v>
      </c>
      <c r="D32" s="75"/>
      <c r="E32" s="129" t="s">
        <v>262</v>
      </c>
      <c r="F32" s="129" t="s">
        <v>263</v>
      </c>
      <c r="G32" s="75"/>
      <c r="H32" s="76" t="s">
        <v>68</v>
      </c>
      <c r="I32" s="77" t="s">
        <v>89</v>
      </c>
      <c r="J32" s="75"/>
      <c r="K32" s="78"/>
      <c r="L32" s="78">
        <v>50.0</v>
      </c>
      <c r="M32" s="80"/>
      <c r="N32" s="81" t="s">
        <v>19</v>
      </c>
      <c r="O32" s="82"/>
      <c r="P32" s="75"/>
      <c r="Q32" s="83"/>
      <c r="R32" s="94"/>
      <c r="S32" s="83" t="s">
        <v>91</v>
      </c>
      <c r="T32" s="83" t="s">
        <v>264</v>
      </c>
      <c r="V32" s="84"/>
    </row>
    <row r="33" ht="15.75" customHeight="1">
      <c r="A33" s="70"/>
      <c r="B33" s="71">
        <v>46092.0</v>
      </c>
      <c r="C33" s="74" t="s">
        <v>265</v>
      </c>
      <c r="D33" s="75"/>
      <c r="E33" s="129" t="s">
        <v>266</v>
      </c>
      <c r="F33" s="129" t="s">
        <v>267</v>
      </c>
      <c r="G33" s="75"/>
      <c r="H33" s="76" t="s">
        <v>68</v>
      </c>
      <c r="I33" s="77" t="s">
        <v>72</v>
      </c>
      <c r="J33" s="75"/>
      <c r="K33" s="78"/>
      <c r="L33" s="78"/>
      <c r="M33" s="80"/>
      <c r="N33" s="81" t="s">
        <v>82</v>
      </c>
      <c r="O33" s="82"/>
      <c r="P33" s="75"/>
      <c r="Q33" s="83"/>
      <c r="R33" s="94"/>
      <c r="S33" s="83" t="s">
        <v>84</v>
      </c>
      <c r="T33" s="83" t="s">
        <v>268</v>
      </c>
      <c r="V33" s="84"/>
    </row>
    <row r="34" ht="15.75" customHeight="1">
      <c r="A34" s="70"/>
      <c r="B34" s="71">
        <v>46092.0</v>
      </c>
      <c r="C34" s="72" t="s">
        <v>269</v>
      </c>
      <c r="D34" s="75"/>
      <c r="E34" s="129" t="s">
        <v>270</v>
      </c>
      <c r="F34" s="129" t="s">
        <v>271</v>
      </c>
      <c r="G34" s="75"/>
      <c r="H34" s="76" t="s">
        <v>68</v>
      </c>
      <c r="I34" s="77" t="s">
        <v>72</v>
      </c>
      <c r="J34" s="75"/>
      <c r="K34" s="78"/>
      <c r="L34" s="78"/>
      <c r="M34" s="80"/>
      <c r="N34" s="81" t="s">
        <v>19</v>
      </c>
      <c r="O34" s="82"/>
      <c r="P34" s="75"/>
      <c r="Q34" s="83"/>
      <c r="R34" s="94"/>
      <c r="S34" s="83" t="s">
        <v>74</v>
      </c>
      <c r="T34" s="83" t="s">
        <v>272</v>
      </c>
      <c r="V34" s="84"/>
    </row>
    <row r="35" ht="15.75" customHeight="1">
      <c r="A35" s="70"/>
      <c r="B35" s="71">
        <v>46093.0</v>
      </c>
      <c r="C35" s="129" t="s">
        <v>273</v>
      </c>
      <c r="D35" s="75"/>
      <c r="E35" s="129" t="s">
        <v>274</v>
      </c>
      <c r="F35" s="129" t="s">
        <v>275</v>
      </c>
      <c r="G35" s="75"/>
      <c r="H35" s="76" t="s">
        <v>68</v>
      </c>
      <c r="I35" s="77" t="s">
        <v>72</v>
      </c>
      <c r="J35" s="75"/>
      <c r="K35" s="78"/>
      <c r="L35" s="78"/>
      <c r="M35" s="80"/>
      <c r="N35" s="81" t="s">
        <v>19</v>
      </c>
      <c r="O35" s="82" t="s">
        <v>276</v>
      </c>
      <c r="P35" s="75"/>
      <c r="Q35" s="83"/>
      <c r="R35" s="94"/>
      <c r="S35" s="83" t="s">
        <v>141</v>
      </c>
      <c r="T35" s="83" t="s">
        <v>277</v>
      </c>
      <c r="V35" s="84"/>
    </row>
    <row r="36" ht="15.75" customHeight="1">
      <c r="A36" s="70"/>
      <c r="B36" s="71">
        <v>46093.0</v>
      </c>
      <c r="C36" s="72" t="s">
        <v>278</v>
      </c>
      <c r="D36" s="75"/>
      <c r="E36" s="129" t="s">
        <v>279</v>
      </c>
      <c r="F36" s="129" t="s">
        <v>280</v>
      </c>
      <c r="G36" s="75"/>
      <c r="H36" s="76" t="s">
        <v>68</v>
      </c>
      <c r="I36" s="77" t="s">
        <v>79</v>
      </c>
      <c r="J36" s="75"/>
      <c r="K36" s="78"/>
      <c r="L36" s="78"/>
      <c r="M36" s="80"/>
      <c r="N36" s="81"/>
      <c r="O36" s="82"/>
      <c r="P36" s="75"/>
      <c r="Q36" s="75"/>
      <c r="R36" s="93"/>
      <c r="S36" s="83"/>
      <c r="T36" s="83"/>
      <c r="V36" s="84"/>
    </row>
    <row r="37" ht="15.75" customHeight="1">
      <c r="A37" s="70"/>
      <c r="B37" s="71">
        <v>46093.0</v>
      </c>
      <c r="C37" s="72" t="s">
        <v>143</v>
      </c>
      <c r="D37" s="75"/>
      <c r="E37" s="129" t="s">
        <v>281</v>
      </c>
      <c r="F37" s="129" t="s">
        <v>282</v>
      </c>
      <c r="G37" s="75"/>
      <c r="H37" s="76" t="s">
        <v>68</v>
      </c>
      <c r="I37" s="77" t="s">
        <v>79</v>
      </c>
      <c r="J37" s="75"/>
      <c r="K37" s="78"/>
      <c r="L37" s="78"/>
      <c r="M37" s="80"/>
      <c r="N37" s="81"/>
      <c r="O37" s="82"/>
      <c r="P37" s="75"/>
      <c r="Q37" s="97"/>
      <c r="R37" s="94"/>
      <c r="S37" s="83"/>
      <c r="T37" s="83"/>
      <c r="V37" s="84"/>
    </row>
    <row r="38" ht="15.75" customHeight="1">
      <c r="A38" s="70"/>
      <c r="B38" s="71">
        <v>46093.0</v>
      </c>
      <c r="C38" s="72" t="s">
        <v>283</v>
      </c>
      <c r="D38" s="75"/>
      <c r="E38" s="129" t="s">
        <v>284</v>
      </c>
      <c r="F38" s="129" t="s">
        <v>285</v>
      </c>
      <c r="G38" s="75"/>
      <c r="H38" s="76" t="s">
        <v>68</v>
      </c>
      <c r="I38" s="77" t="s">
        <v>182</v>
      </c>
      <c r="J38" s="75"/>
      <c r="K38" s="78"/>
      <c r="L38" s="78"/>
      <c r="M38" s="80"/>
      <c r="N38" s="81"/>
      <c r="O38" s="98"/>
      <c r="P38" s="75"/>
      <c r="Q38" s="99"/>
      <c r="R38" s="94"/>
      <c r="S38" s="83"/>
      <c r="T38" s="83"/>
      <c r="V38" s="84"/>
    </row>
    <row r="39" ht="15.75" customHeight="1">
      <c r="A39" s="70"/>
      <c r="B39" s="71">
        <v>46093.0</v>
      </c>
      <c r="C39" s="72" t="s">
        <v>229</v>
      </c>
      <c r="D39" s="75"/>
      <c r="E39" s="129" t="s">
        <v>286</v>
      </c>
      <c r="F39" s="129" t="s">
        <v>287</v>
      </c>
      <c r="G39" s="75"/>
      <c r="H39" s="76" t="s">
        <v>68</v>
      </c>
      <c r="I39" s="77" t="s">
        <v>131</v>
      </c>
      <c r="J39" s="75"/>
      <c r="K39" s="78"/>
      <c r="L39" s="78"/>
      <c r="M39" s="80"/>
      <c r="N39" s="81"/>
      <c r="O39" s="98"/>
      <c r="P39" s="75"/>
      <c r="Q39" s="83"/>
      <c r="R39" s="94"/>
      <c r="S39" s="83"/>
      <c r="T39" s="83"/>
      <c r="V39" s="84"/>
    </row>
    <row r="40" ht="15.75" customHeight="1">
      <c r="A40" s="70"/>
      <c r="B40" s="71">
        <v>46093.0</v>
      </c>
      <c r="C40" s="72" t="s">
        <v>226</v>
      </c>
      <c r="D40" s="75"/>
      <c r="E40" s="129" t="s">
        <v>288</v>
      </c>
      <c r="F40" s="129" t="s">
        <v>289</v>
      </c>
      <c r="G40" s="75"/>
      <c r="H40" s="76" t="s">
        <v>68</v>
      </c>
      <c r="I40" s="77" t="s">
        <v>146</v>
      </c>
      <c r="J40" s="75"/>
      <c r="K40" s="78"/>
      <c r="L40" s="78"/>
      <c r="M40" s="80"/>
      <c r="N40" s="81" t="s">
        <v>19</v>
      </c>
      <c r="O40" s="82" t="s">
        <v>290</v>
      </c>
      <c r="P40" s="75"/>
      <c r="Q40" s="83"/>
      <c r="R40" s="94"/>
      <c r="S40" s="83" t="s">
        <v>74</v>
      </c>
      <c r="T40" s="83" t="s">
        <v>291</v>
      </c>
      <c r="V40" s="84"/>
    </row>
    <row r="41" ht="15.75" customHeight="1">
      <c r="A41" s="70"/>
      <c r="B41" s="71">
        <v>46093.0</v>
      </c>
      <c r="C41" s="74" t="s">
        <v>292</v>
      </c>
      <c r="D41" s="75"/>
      <c r="E41" s="129" t="s">
        <v>293</v>
      </c>
      <c r="F41" s="129" t="s">
        <v>294</v>
      </c>
      <c r="G41" s="75"/>
      <c r="H41" s="76" t="s">
        <v>68</v>
      </c>
      <c r="I41" s="77" t="s">
        <v>89</v>
      </c>
      <c r="J41" s="75"/>
      <c r="K41" s="78"/>
      <c r="L41" s="78">
        <v>100.0</v>
      </c>
      <c r="M41" s="80"/>
      <c r="N41" s="81" t="s">
        <v>19</v>
      </c>
      <c r="O41" s="82" t="s">
        <v>295</v>
      </c>
      <c r="P41" s="75"/>
      <c r="Q41" s="83"/>
      <c r="R41" s="93"/>
      <c r="S41" s="83" t="s">
        <v>91</v>
      </c>
      <c r="T41" s="83" t="s">
        <v>296</v>
      </c>
      <c r="V41" s="84"/>
    </row>
    <row r="42" ht="15.75" customHeight="1">
      <c r="A42" s="70"/>
      <c r="B42" s="71">
        <v>46093.0</v>
      </c>
      <c r="C42" s="72" t="s">
        <v>229</v>
      </c>
      <c r="D42" s="75"/>
      <c r="E42" s="129" t="s">
        <v>297</v>
      </c>
      <c r="F42" s="129" t="s">
        <v>298</v>
      </c>
      <c r="G42" s="75"/>
      <c r="H42" s="76" t="s">
        <v>68</v>
      </c>
      <c r="I42" s="77" t="s">
        <v>131</v>
      </c>
      <c r="J42" s="75"/>
      <c r="K42" s="78"/>
      <c r="L42" s="78"/>
      <c r="M42" s="80"/>
      <c r="N42" s="81"/>
      <c r="O42" s="82"/>
      <c r="P42" s="75"/>
      <c r="Q42" s="97"/>
      <c r="R42" s="94"/>
      <c r="S42" s="83"/>
      <c r="T42" s="83"/>
      <c r="V42" s="84"/>
    </row>
    <row r="43" ht="15.75" customHeight="1">
      <c r="A43" s="70"/>
      <c r="B43" s="96">
        <v>46094.0</v>
      </c>
      <c r="C43" s="72" t="s">
        <v>299</v>
      </c>
      <c r="D43" s="75"/>
      <c r="E43" s="129" t="s">
        <v>300</v>
      </c>
      <c r="F43" s="129" t="s">
        <v>301</v>
      </c>
      <c r="G43" s="75"/>
      <c r="H43" s="76" t="s">
        <v>68</v>
      </c>
      <c r="I43" s="77" t="s">
        <v>72</v>
      </c>
      <c r="J43" s="75"/>
      <c r="K43" s="78"/>
      <c r="L43" s="78"/>
      <c r="M43" s="80"/>
      <c r="N43" s="81"/>
      <c r="O43" s="98"/>
      <c r="P43" s="75"/>
      <c r="Q43" s="83"/>
      <c r="R43" s="93"/>
      <c r="S43" s="83" t="s">
        <v>74</v>
      </c>
      <c r="T43" s="83" t="s">
        <v>302</v>
      </c>
      <c r="V43" s="84"/>
    </row>
    <row r="44" ht="15.75" customHeight="1">
      <c r="A44" s="70"/>
      <c r="B44" s="96">
        <v>46095.0</v>
      </c>
      <c r="C44" s="72" t="s">
        <v>203</v>
      </c>
      <c r="D44" s="75"/>
      <c r="E44" s="129" t="s">
        <v>303</v>
      </c>
      <c r="F44" s="129" t="s">
        <v>304</v>
      </c>
      <c r="G44" s="75"/>
      <c r="H44" s="76" t="s">
        <v>68</v>
      </c>
      <c r="I44" s="77" t="s">
        <v>72</v>
      </c>
      <c r="J44" s="75"/>
      <c r="K44" s="78"/>
      <c r="L44" s="78"/>
      <c r="M44" s="80"/>
      <c r="N44" s="81" t="s">
        <v>82</v>
      </c>
      <c r="O44" s="82" t="s">
        <v>305</v>
      </c>
      <c r="P44" s="75"/>
      <c r="Q44" s="83"/>
      <c r="R44" s="93"/>
      <c r="S44" s="83" t="s">
        <v>141</v>
      </c>
      <c r="T44" s="83" t="s">
        <v>306</v>
      </c>
      <c r="V44" s="84"/>
    </row>
    <row r="45" ht="15.75" customHeight="1">
      <c r="A45" s="70"/>
      <c r="B45" s="96">
        <v>46095.0</v>
      </c>
      <c r="C45" s="72" t="s">
        <v>229</v>
      </c>
      <c r="D45" s="75"/>
      <c r="E45" s="129" t="s">
        <v>307</v>
      </c>
      <c r="F45" s="129" t="s">
        <v>308</v>
      </c>
      <c r="G45" s="75"/>
      <c r="H45" s="76" t="s">
        <v>68</v>
      </c>
      <c r="I45" s="77" t="s">
        <v>152</v>
      </c>
      <c r="J45" s="75"/>
      <c r="K45" s="78">
        <v>10500.0</v>
      </c>
      <c r="L45" s="78">
        <v>3000.0</v>
      </c>
      <c r="M45" s="80"/>
      <c r="N45" s="81"/>
      <c r="O45" s="82"/>
      <c r="P45" s="75"/>
      <c r="Q45" s="75"/>
      <c r="R45" s="93"/>
      <c r="S45" s="83" t="s">
        <v>122</v>
      </c>
      <c r="T45" s="83"/>
      <c r="V45" s="84"/>
    </row>
    <row r="46" ht="15.75" customHeight="1">
      <c r="A46" s="70"/>
      <c r="B46" s="96">
        <v>46095.0</v>
      </c>
      <c r="C46" s="74" t="s">
        <v>283</v>
      </c>
      <c r="D46" s="75"/>
      <c r="E46" s="129" t="s">
        <v>284</v>
      </c>
      <c r="F46" s="129" t="s">
        <v>285</v>
      </c>
      <c r="G46" s="75"/>
      <c r="H46" s="76" t="s">
        <v>68</v>
      </c>
      <c r="I46" s="77" t="s">
        <v>79</v>
      </c>
      <c r="J46" s="75"/>
      <c r="K46" s="78"/>
      <c r="L46" s="78"/>
      <c r="M46" s="80"/>
      <c r="N46" s="81"/>
      <c r="O46" s="98"/>
      <c r="P46" s="75"/>
      <c r="Q46" s="75"/>
      <c r="R46" s="93"/>
      <c r="S46" s="83"/>
      <c r="T46" s="83" t="s">
        <v>309</v>
      </c>
      <c r="V46" s="84"/>
    </row>
    <row r="47" ht="15.75" customHeight="1">
      <c r="A47" s="70"/>
      <c r="B47" s="96">
        <v>46096.0</v>
      </c>
      <c r="C47" s="72" t="s">
        <v>310</v>
      </c>
      <c r="D47" s="75"/>
      <c r="E47" s="129" t="s">
        <v>311</v>
      </c>
      <c r="F47" s="129" t="s">
        <v>312</v>
      </c>
      <c r="G47" s="75"/>
      <c r="H47" s="76" t="s">
        <v>68</v>
      </c>
      <c r="I47" s="77" t="s">
        <v>152</v>
      </c>
      <c r="J47" s="75"/>
      <c r="K47" s="78">
        <v>10500.0</v>
      </c>
      <c r="L47" s="78">
        <v>3000.0</v>
      </c>
      <c r="M47" s="80"/>
      <c r="N47" s="81"/>
      <c r="O47" s="82"/>
      <c r="P47" s="75"/>
      <c r="Q47" s="83"/>
      <c r="R47" s="87"/>
      <c r="S47" s="83" t="s">
        <v>122</v>
      </c>
      <c r="T47" s="83"/>
      <c r="V47" s="84"/>
    </row>
    <row r="48" ht="15.75" customHeight="1">
      <c r="A48" s="70"/>
      <c r="B48" s="96">
        <v>46096.0</v>
      </c>
      <c r="C48" s="72" t="s">
        <v>313</v>
      </c>
      <c r="D48" s="75"/>
      <c r="E48" s="129" t="s">
        <v>314</v>
      </c>
      <c r="F48" s="129" t="s">
        <v>315</v>
      </c>
      <c r="G48" s="75"/>
      <c r="H48" s="76" t="s">
        <v>68</v>
      </c>
      <c r="I48" s="77" t="s">
        <v>152</v>
      </c>
      <c r="J48" s="75"/>
      <c r="K48" s="78">
        <v>10500.0</v>
      </c>
      <c r="L48" s="78">
        <v>1500.0</v>
      </c>
      <c r="M48" s="80"/>
      <c r="N48" s="81"/>
      <c r="O48" s="82"/>
      <c r="P48" s="75"/>
      <c r="Q48" s="99"/>
      <c r="R48" s="94"/>
      <c r="S48" s="83" t="s">
        <v>122</v>
      </c>
      <c r="T48" s="83"/>
      <c r="V48" s="84"/>
    </row>
    <row r="49" ht="15.75" customHeight="1">
      <c r="A49" s="70"/>
      <c r="B49" s="96">
        <v>46097.0</v>
      </c>
      <c r="C49" s="72" t="s">
        <v>316</v>
      </c>
      <c r="D49" s="75"/>
      <c r="E49" s="129" t="s">
        <v>317</v>
      </c>
      <c r="F49" s="129" t="s">
        <v>318</v>
      </c>
      <c r="G49" s="75"/>
      <c r="H49" s="76" t="s">
        <v>68</v>
      </c>
      <c r="I49" s="77" t="s">
        <v>152</v>
      </c>
      <c r="J49" s="75"/>
      <c r="K49" s="78">
        <v>10500.0</v>
      </c>
      <c r="L49" s="78">
        <v>3000.0</v>
      </c>
      <c r="M49" s="80"/>
      <c r="N49" s="81"/>
      <c r="O49" s="82"/>
      <c r="P49" s="75"/>
      <c r="Q49" s="99"/>
      <c r="R49" s="94"/>
      <c r="S49" s="83" t="s">
        <v>122</v>
      </c>
      <c r="T49" s="83" t="s">
        <v>319</v>
      </c>
      <c r="V49" s="84"/>
    </row>
    <row r="50" ht="15.75" customHeight="1">
      <c r="A50" s="70"/>
      <c r="B50" s="96">
        <v>46097.0</v>
      </c>
      <c r="C50" s="72" t="s">
        <v>320</v>
      </c>
      <c r="D50" s="75"/>
      <c r="E50" s="129" t="s">
        <v>321</v>
      </c>
      <c r="F50" s="129" t="s">
        <v>322</v>
      </c>
      <c r="G50" s="75"/>
      <c r="H50" s="76" t="s">
        <v>68</v>
      </c>
      <c r="I50" s="77" t="s">
        <v>72</v>
      </c>
      <c r="J50" s="75"/>
      <c r="K50" s="78"/>
      <c r="L50" s="80"/>
      <c r="M50" s="80"/>
      <c r="N50" s="81"/>
      <c r="O50" s="98"/>
      <c r="P50" s="75"/>
      <c r="Q50" s="83"/>
      <c r="R50" s="93"/>
      <c r="S50" s="83" t="s">
        <v>84</v>
      </c>
      <c r="T50" s="83" t="s">
        <v>323</v>
      </c>
      <c r="V50" s="84"/>
    </row>
    <row r="51" ht="15.75" customHeight="1">
      <c r="A51" s="70"/>
      <c r="B51" s="96">
        <v>46099.0</v>
      </c>
      <c r="C51" s="72" t="s">
        <v>324</v>
      </c>
      <c r="D51" s="75"/>
      <c r="E51" s="129" t="s">
        <v>325</v>
      </c>
      <c r="F51" s="129" t="s">
        <v>326</v>
      </c>
      <c r="G51" s="75"/>
      <c r="H51" s="76" t="s">
        <v>68</v>
      </c>
      <c r="I51" s="77" t="s">
        <v>89</v>
      </c>
      <c r="J51" s="75"/>
      <c r="K51" s="78"/>
      <c r="L51" s="78">
        <v>500.0</v>
      </c>
      <c r="M51" s="80"/>
      <c r="N51" s="81" t="s">
        <v>19</v>
      </c>
      <c r="O51" s="82" t="s">
        <v>327</v>
      </c>
      <c r="P51" s="75"/>
      <c r="Q51" s="100"/>
      <c r="R51" s="93"/>
      <c r="S51" s="83" t="s">
        <v>91</v>
      </c>
      <c r="T51" s="83" t="s">
        <v>328</v>
      </c>
      <c r="V51" s="84"/>
    </row>
    <row r="52" ht="15.75" customHeight="1">
      <c r="A52" s="70"/>
      <c r="B52" s="96">
        <v>46099.0</v>
      </c>
      <c r="C52" s="72" t="s">
        <v>329</v>
      </c>
      <c r="D52" s="75"/>
      <c r="E52" s="129" t="s">
        <v>330</v>
      </c>
      <c r="F52" s="129" t="s">
        <v>331</v>
      </c>
      <c r="G52" s="75"/>
      <c r="H52" s="76" t="s">
        <v>68</v>
      </c>
      <c r="I52" s="77" t="s">
        <v>131</v>
      </c>
      <c r="J52" s="75"/>
      <c r="K52" s="78"/>
      <c r="L52" s="78"/>
      <c r="M52" s="80"/>
      <c r="N52" s="81"/>
      <c r="O52" s="82"/>
      <c r="P52" s="75"/>
      <c r="Q52" s="83"/>
      <c r="R52" s="93"/>
      <c r="S52" s="83"/>
      <c r="T52" s="83"/>
      <c r="V52" s="84"/>
    </row>
    <row r="53" ht="15.75" customHeight="1">
      <c r="A53" s="70"/>
      <c r="B53" s="96">
        <v>46099.0</v>
      </c>
      <c r="C53" s="72" t="s">
        <v>310</v>
      </c>
      <c r="D53" s="75"/>
      <c r="E53" s="129" t="s">
        <v>332</v>
      </c>
      <c r="F53" s="129" t="s">
        <v>333</v>
      </c>
      <c r="G53" s="75"/>
      <c r="H53" s="76" t="s">
        <v>68</v>
      </c>
      <c r="I53" s="77" t="s">
        <v>72</v>
      </c>
      <c r="J53" s="75"/>
      <c r="K53" s="78"/>
      <c r="L53" s="78"/>
      <c r="M53" s="80"/>
      <c r="N53" s="81" t="s">
        <v>19</v>
      </c>
      <c r="O53" s="82" t="s">
        <v>334</v>
      </c>
      <c r="P53" s="75"/>
      <c r="Q53" s="99"/>
      <c r="R53" s="94"/>
      <c r="S53" s="83" t="s">
        <v>84</v>
      </c>
      <c r="T53" s="83" t="s">
        <v>335</v>
      </c>
      <c r="V53" s="84"/>
    </row>
    <row r="54" ht="15.75" customHeight="1">
      <c r="A54" s="70"/>
      <c r="B54" s="96">
        <v>46099.0</v>
      </c>
      <c r="C54" s="72" t="s">
        <v>273</v>
      </c>
      <c r="D54" s="75"/>
      <c r="E54" s="129" t="s">
        <v>336</v>
      </c>
      <c r="F54" s="129" t="s">
        <v>337</v>
      </c>
      <c r="G54" s="75"/>
      <c r="H54" s="76" t="s">
        <v>68</v>
      </c>
      <c r="I54" s="77" t="s">
        <v>152</v>
      </c>
      <c r="J54" s="75"/>
      <c r="K54" s="78">
        <v>10500.0</v>
      </c>
      <c r="L54" s="78">
        <v>3000.0</v>
      </c>
      <c r="M54" s="80"/>
      <c r="N54" s="81" t="s">
        <v>31</v>
      </c>
      <c r="O54" s="82" t="s">
        <v>338</v>
      </c>
      <c r="P54" s="75"/>
      <c r="Q54" s="99"/>
      <c r="R54" s="101"/>
      <c r="S54" s="83" t="s">
        <v>122</v>
      </c>
      <c r="T54" s="83" t="s">
        <v>339</v>
      </c>
      <c r="V54" s="84"/>
    </row>
    <row r="55" ht="15.75" customHeight="1">
      <c r="A55" s="70"/>
      <c r="B55" s="96">
        <v>46100.0</v>
      </c>
      <c r="C55" s="72" t="s">
        <v>217</v>
      </c>
      <c r="D55" s="75"/>
      <c r="E55" s="129" t="s">
        <v>340</v>
      </c>
      <c r="F55" s="129" t="s">
        <v>341</v>
      </c>
      <c r="G55" s="75"/>
      <c r="H55" s="76" t="s">
        <v>68</v>
      </c>
      <c r="I55" s="77" t="s">
        <v>131</v>
      </c>
      <c r="J55" s="75"/>
      <c r="K55" s="78"/>
      <c r="L55" s="78"/>
      <c r="M55" s="80"/>
      <c r="N55" s="81"/>
      <c r="O55" s="82"/>
      <c r="P55" s="75"/>
      <c r="Q55" s="83"/>
      <c r="R55" s="94"/>
      <c r="S55" s="83"/>
      <c r="T55" s="83"/>
      <c r="V55" s="84"/>
    </row>
    <row r="56" ht="15.75" customHeight="1">
      <c r="A56" s="70"/>
      <c r="B56" s="96">
        <v>46102.0</v>
      </c>
      <c r="C56" s="102" t="s">
        <v>342</v>
      </c>
      <c r="D56" s="75"/>
      <c r="E56" s="129" t="s">
        <v>343</v>
      </c>
      <c r="F56" s="129" t="s">
        <v>344</v>
      </c>
      <c r="G56" s="75"/>
      <c r="H56" s="76" t="s">
        <v>68</v>
      </c>
      <c r="I56" s="77" t="s">
        <v>89</v>
      </c>
      <c r="J56" s="75"/>
      <c r="K56" s="78"/>
      <c r="L56" s="78">
        <v>500.0</v>
      </c>
      <c r="M56" s="80"/>
      <c r="N56" s="81"/>
      <c r="O56" s="82"/>
      <c r="P56" s="75"/>
      <c r="Q56" s="97"/>
      <c r="R56" s="94"/>
      <c r="S56" s="83"/>
      <c r="T56" s="83"/>
      <c r="V56" s="84"/>
    </row>
    <row r="57" ht="15.75" customHeight="1">
      <c r="A57" s="70"/>
      <c r="B57" s="96">
        <v>46102.0</v>
      </c>
      <c r="C57" s="72" t="s">
        <v>226</v>
      </c>
      <c r="D57" s="75"/>
      <c r="E57" s="129" t="s">
        <v>345</v>
      </c>
      <c r="F57" s="129" t="s">
        <v>346</v>
      </c>
      <c r="G57" s="75"/>
      <c r="H57" s="76" t="s">
        <v>68</v>
      </c>
      <c r="I57" s="77" t="s">
        <v>152</v>
      </c>
      <c r="J57" s="75"/>
      <c r="K57" s="78">
        <v>10500.0</v>
      </c>
      <c r="L57" s="78">
        <v>3000.0</v>
      </c>
      <c r="M57" s="80"/>
      <c r="N57" s="81"/>
      <c r="O57" s="82"/>
      <c r="P57" s="75"/>
      <c r="Q57" s="100"/>
      <c r="R57" s="93"/>
      <c r="S57" s="83" t="s">
        <v>122</v>
      </c>
      <c r="T57" s="83" t="s">
        <v>347</v>
      </c>
      <c r="V57" s="84"/>
    </row>
    <row r="58" ht="15.75" customHeight="1">
      <c r="A58" s="70"/>
      <c r="B58" s="96">
        <v>46102.0</v>
      </c>
      <c r="C58" s="72" t="s">
        <v>348</v>
      </c>
      <c r="D58" s="75"/>
      <c r="E58" s="129" t="s">
        <v>349</v>
      </c>
      <c r="F58" s="129" t="s">
        <v>350</v>
      </c>
      <c r="G58" s="75"/>
      <c r="H58" s="76" t="s">
        <v>68</v>
      </c>
      <c r="I58" s="77" t="s">
        <v>72</v>
      </c>
      <c r="J58" s="75"/>
      <c r="K58" s="78"/>
      <c r="L58" s="78"/>
      <c r="M58" s="80"/>
      <c r="N58" s="81" t="s">
        <v>82</v>
      </c>
      <c r="O58" s="82" t="s">
        <v>351</v>
      </c>
      <c r="P58" s="75"/>
      <c r="Q58" s="97"/>
      <c r="R58" s="94"/>
      <c r="S58" s="83" t="s">
        <v>141</v>
      </c>
      <c r="T58" s="83" t="s">
        <v>352</v>
      </c>
      <c r="V58" s="84"/>
    </row>
    <row r="59" ht="15.75" customHeight="1">
      <c r="A59" s="70"/>
      <c r="B59" s="96">
        <v>46106.0</v>
      </c>
      <c r="C59" s="72" t="s">
        <v>229</v>
      </c>
      <c r="D59" s="75"/>
      <c r="E59" s="129" t="s">
        <v>230</v>
      </c>
      <c r="F59" s="129" t="s">
        <v>231</v>
      </c>
      <c r="G59" s="75"/>
      <c r="H59" s="76" t="s">
        <v>68</v>
      </c>
      <c r="I59" s="77" t="s">
        <v>89</v>
      </c>
      <c r="J59" s="75"/>
      <c r="K59" s="78"/>
      <c r="L59" s="78">
        <v>50.0</v>
      </c>
      <c r="M59" s="80"/>
      <c r="N59" s="81" t="s">
        <v>19</v>
      </c>
      <c r="O59" s="82" t="s">
        <v>353</v>
      </c>
      <c r="P59" s="75"/>
      <c r="Q59" s="75"/>
      <c r="R59" s="93"/>
      <c r="S59" s="83" t="s">
        <v>91</v>
      </c>
      <c r="T59" s="83" t="s">
        <v>354</v>
      </c>
      <c r="V59" s="84"/>
    </row>
    <row r="60" ht="15.75" customHeight="1">
      <c r="A60" s="70"/>
      <c r="B60" s="96">
        <v>46107.0</v>
      </c>
      <c r="C60" s="72" t="s">
        <v>355</v>
      </c>
      <c r="D60" s="75"/>
      <c r="E60" s="129" t="s">
        <v>356</v>
      </c>
      <c r="F60" s="129" t="s">
        <v>357</v>
      </c>
      <c r="G60" s="75"/>
      <c r="H60" s="76" t="s">
        <v>68</v>
      </c>
      <c r="I60" s="77" t="s">
        <v>89</v>
      </c>
      <c r="J60" s="75"/>
      <c r="K60" s="78"/>
      <c r="L60" s="78">
        <v>500.0</v>
      </c>
      <c r="M60" s="80"/>
      <c r="N60" s="81" t="s">
        <v>19</v>
      </c>
      <c r="O60" s="82" t="s">
        <v>358</v>
      </c>
      <c r="P60" s="75"/>
      <c r="Q60" s="83"/>
      <c r="R60" s="94"/>
      <c r="S60" s="83" t="s">
        <v>91</v>
      </c>
      <c r="T60" s="83" t="s">
        <v>359</v>
      </c>
      <c r="V60" s="84"/>
    </row>
    <row r="61" ht="15.75" customHeight="1">
      <c r="A61" s="70"/>
      <c r="B61" s="96">
        <v>46107.0</v>
      </c>
      <c r="C61" s="72" t="s">
        <v>360</v>
      </c>
      <c r="D61" s="75"/>
      <c r="E61" s="129" t="s">
        <v>361</v>
      </c>
      <c r="F61" s="129" t="s">
        <v>362</v>
      </c>
      <c r="G61" s="75"/>
      <c r="H61" s="76" t="s">
        <v>68</v>
      </c>
      <c r="I61" s="77" t="s">
        <v>89</v>
      </c>
      <c r="J61" s="75"/>
      <c r="K61" s="78"/>
      <c r="L61" s="78">
        <v>100.0</v>
      </c>
      <c r="M61" s="80"/>
      <c r="N61" s="81" t="s">
        <v>19</v>
      </c>
      <c r="O61" s="82" t="s">
        <v>363</v>
      </c>
      <c r="P61" s="75"/>
      <c r="Q61" s="75"/>
      <c r="R61" s="93"/>
      <c r="S61" s="83" t="s">
        <v>91</v>
      </c>
      <c r="T61" s="83" t="s">
        <v>364</v>
      </c>
      <c r="V61" s="84"/>
    </row>
    <row r="62" ht="15.75" customHeight="1">
      <c r="A62" s="70"/>
      <c r="B62" s="96">
        <v>46107.0</v>
      </c>
      <c r="C62" s="72" t="s">
        <v>365</v>
      </c>
      <c r="D62" s="75"/>
      <c r="E62" s="129" t="s">
        <v>366</v>
      </c>
      <c r="F62" s="129" t="s">
        <v>367</v>
      </c>
      <c r="G62" s="75"/>
      <c r="H62" s="76" t="s">
        <v>68</v>
      </c>
      <c r="I62" s="77" t="s">
        <v>146</v>
      </c>
      <c r="J62" s="75"/>
      <c r="K62" s="78"/>
      <c r="L62" s="78"/>
      <c r="M62" s="80"/>
      <c r="N62" s="81"/>
      <c r="O62" s="98"/>
      <c r="P62" s="75"/>
      <c r="Q62" s="75"/>
      <c r="R62" s="93"/>
      <c r="S62" s="83"/>
      <c r="T62" s="83"/>
      <c r="V62" s="84"/>
    </row>
    <row r="63" ht="15.75" customHeight="1">
      <c r="A63" s="70"/>
      <c r="B63" s="108" t="s">
        <v>368</v>
      </c>
      <c r="C63" s="72" t="s">
        <v>316</v>
      </c>
      <c r="D63" s="75"/>
      <c r="E63" s="129" t="s">
        <v>369</v>
      </c>
      <c r="F63" s="129" t="s">
        <v>370</v>
      </c>
      <c r="G63" s="75"/>
      <c r="H63" s="76" t="s">
        <v>68</v>
      </c>
      <c r="I63" s="77" t="s">
        <v>72</v>
      </c>
      <c r="J63" s="75"/>
      <c r="K63" s="78"/>
      <c r="L63" s="78"/>
      <c r="M63" s="80"/>
      <c r="N63" s="81"/>
      <c r="O63" s="82"/>
      <c r="P63" s="75"/>
      <c r="Q63" s="75"/>
      <c r="R63" s="93"/>
      <c r="S63" s="83" t="s">
        <v>74</v>
      </c>
      <c r="T63" s="83" t="s">
        <v>371</v>
      </c>
      <c r="V63" s="84"/>
    </row>
    <row r="64" ht="15.75" customHeight="1">
      <c r="A64" s="70"/>
      <c r="B64" s="108" t="s">
        <v>368</v>
      </c>
      <c r="C64" s="74" t="s">
        <v>372</v>
      </c>
      <c r="D64" s="75"/>
      <c r="E64" s="129" t="s">
        <v>373</v>
      </c>
      <c r="F64" s="129" t="s">
        <v>374</v>
      </c>
      <c r="G64" s="75"/>
      <c r="H64" s="76" t="s">
        <v>68</v>
      </c>
      <c r="I64" s="77" t="s">
        <v>72</v>
      </c>
      <c r="J64" s="75"/>
      <c r="K64" s="78"/>
      <c r="L64" s="78">
        <v>100.0</v>
      </c>
      <c r="M64" s="80"/>
      <c r="N64" s="81" t="s">
        <v>19</v>
      </c>
      <c r="O64" s="82" t="s">
        <v>375</v>
      </c>
      <c r="P64" s="75"/>
      <c r="Q64" s="97"/>
      <c r="R64" s="87"/>
      <c r="S64" s="83" t="s">
        <v>74</v>
      </c>
      <c r="T64" s="83" t="s">
        <v>376</v>
      </c>
      <c r="V64" s="84"/>
    </row>
    <row r="65" ht="15.75" customHeight="1">
      <c r="A65" s="70"/>
      <c r="B65" s="108" t="s">
        <v>368</v>
      </c>
      <c r="C65" s="77" t="s">
        <v>377</v>
      </c>
      <c r="D65" s="75"/>
      <c r="E65" s="129" t="s">
        <v>378</v>
      </c>
      <c r="F65" s="129" t="s">
        <v>379</v>
      </c>
      <c r="G65" s="75"/>
      <c r="H65" s="76" t="s">
        <v>68</v>
      </c>
      <c r="I65" s="83" t="s">
        <v>79</v>
      </c>
      <c r="J65" s="75"/>
      <c r="K65" s="78"/>
      <c r="L65" s="79"/>
      <c r="M65" s="80"/>
      <c r="N65" s="81"/>
      <c r="O65" s="82"/>
      <c r="P65" s="75"/>
      <c r="Q65" s="99"/>
      <c r="R65" s="87"/>
      <c r="S65" s="83"/>
      <c r="T65" s="83"/>
      <c r="V65" s="84"/>
    </row>
    <row r="66" ht="15.75" customHeight="1">
      <c r="A66" s="70"/>
      <c r="B66" s="108" t="s">
        <v>368</v>
      </c>
      <c r="C66" s="94" t="s">
        <v>214</v>
      </c>
      <c r="D66" s="75"/>
      <c r="E66" s="129" t="s">
        <v>380</v>
      </c>
      <c r="F66" s="129" t="s">
        <v>381</v>
      </c>
      <c r="G66" s="75"/>
      <c r="H66" s="76" t="s">
        <v>68</v>
      </c>
      <c r="I66" s="83" t="s">
        <v>146</v>
      </c>
      <c r="J66" s="75"/>
      <c r="K66" s="105"/>
      <c r="L66" s="106"/>
      <c r="M66" s="80"/>
      <c r="N66" s="107"/>
      <c r="O66" s="98"/>
      <c r="P66" s="75"/>
      <c r="Q66" s="75"/>
      <c r="R66" s="93"/>
      <c r="S66" s="83" t="s">
        <v>74</v>
      </c>
      <c r="T66" s="83" t="s">
        <v>382</v>
      </c>
      <c r="V66" s="84"/>
    </row>
    <row r="67" ht="15.75" customHeight="1">
      <c r="A67" s="70"/>
      <c r="B67" s="108" t="s">
        <v>368</v>
      </c>
      <c r="C67" s="94" t="s">
        <v>255</v>
      </c>
      <c r="D67" s="75"/>
      <c r="E67" s="129" t="s">
        <v>383</v>
      </c>
      <c r="F67" s="129" t="s">
        <v>384</v>
      </c>
      <c r="G67" s="75"/>
      <c r="H67" s="76" t="s">
        <v>68</v>
      </c>
      <c r="I67" s="83" t="s">
        <v>79</v>
      </c>
      <c r="J67" s="75"/>
      <c r="K67" s="78"/>
      <c r="L67" s="79"/>
      <c r="M67" s="80"/>
      <c r="N67" s="107"/>
      <c r="O67" s="98"/>
      <c r="P67" s="75"/>
      <c r="Q67" s="99"/>
      <c r="R67" s="94"/>
      <c r="S67" s="83"/>
      <c r="T67" s="83"/>
      <c r="V67" s="84"/>
    </row>
    <row r="68" ht="15.75" customHeight="1">
      <c r="A68" s="70"/>
      <c r="B68" s="96"/>
      <c r="C68" s="94"/>
      <c r="D68" s="75"/>
      <c r="E68" s="108"/>
      <c r="F68" s="104"/>
      <c r="G68" s="75"/>
      <c r="H68" s="76"/>
      <c r="I68" s="83"/>
      <c r="J68" s="75"/>
      <c r="K68" s="105"/>
      <c r="L68" s="106"/>
      <c r="M68" s="80"/>
      <c r="N68" s="107"/>
      <c r="O68" s="98"/>
      <c r="P68" s="75"/>
      <c r="Q68" s="99"/>
      <c r="R68" s="93"/>
      <c r="S68" s="75"/>
      <c r="T68" s="83"/>
      <c r="V68" s="84"/>
    </row>
    <row r="69" ht="15.75" customHeight="1">
      <c r="A69" s="70"/>
      <c r="B69" s="96"/>
      <c r="C69" s="76"/>
      <c r="D69" s="75"/>
      <c r="E69" s="108"/>
      <c r="F69" s="109"/>
      <c r="G69" s="75"/>
      <c r="H69" s="76"/>
      <c r="I69" s="83"/>
      <c r="J69" s="75"/>
      <c r="K69" s="78"/>
      <c r="L69" s="79"/>
      <c r="M69" s="80"/>
      <c r="N69" s="107"/>
      <c r="O69" s="98"/>
      <c r="P69" s="75"/>
      <c r="Q69" s="97"/>
      <c r="R69" s="94"/>
      <c r="S69" s="83"/>
      <c r="T69" s="83"/>
      <c r="V69" s="84"/>
    </row>
    <row r="70" ht="15.75" customHeight="1">
      <c r="A70" s="70"/>
      <c r="B70" s="96"/>
      <c r="C70" s="76"/>
      <c r="D70" s="75"/>
      <c r="E70" s="108"/>
      <c r="F70" s="104"/>
      <c r="G70" s="75"/>
      <c r="H70" s="76"/>
      <c r="I70" s="83"/>
      <c r="J70" s="75"/>
      <c r="K70" s="105"/>
      <c r="L70" s="106"/>
      <c r="M70" s="80"/>
      <c r="N70" s="107"/>
      <c r="O70" s="98"/>
      <c r="P70" s="75"/>
      <c r="Q70" s="100"/>
      <c r="R70" s="93"/>
      <c r="S70" s="75"/>
      <c r="T70" s="75"/>
      <c r="V70" s="84"/>
    </row>
    <row r="71" ht="15.75" customHeight="1">
      <c r="A71" s="70"/>
      <c r="B71" s="96"/>
      <c r="C71" s="76"/>
      <c r="D71" s="75"/>
      <c r="E71" s="108"/>
      <c r="F71" s="104"/>
      <c r="G71" s="75"/>
      <c r="H71" s="76"/>
      <c r="I71" s="83"/>
      <c r="J71" s="75"/>
      <c r="K71" s="78"/>
      <c r="L71" s="79"/>
      <c r="M71" s="80"/>
      <c r="N71" s="107"/>
      <c r="O71" s="98"/>
      <c r="P71" s="75"/>
      <c r="Q71" s="99"/>
      <c r="R71" s="94"/>
      <c r="S71" s="83"/>
      <c r="T71" s="83"/>
      <c r="V71" s="84"/>
    </row>
    <row r="72" ht="15.75" customHeight="1">
      <c r="A72" s="70"/>
      <c r="B72" s="96"/>
      <c r="C72" s="76"/>
      <c r="D72" s="75"/>
      <c r="E72" s="103"/>
      <c r="F72" s="104"/>
      <c r="G72" s="75"/>
      <c r="H72" s="76"/>
      <c r="I72" s="83"/>
      <c r="J72" s="75"/>
      <c r="K72" s="105"/>
      <c r="L72" s="106"/>
      <c r="M72" s="80"/>
      <c r="N72" s="81"/>
      <c r="O72" s="98"/>
      <c r="P72" s="75"/>
      <c r="Q72" s="99"/>
      <c r="R72" s="94"/>
      <c r="S72" s="83"/>
      <c r="T72" s="83"/>
      <c r="V72" s="84"/>
    </row>
    <row r="73" ht="15.75" customHeight="1">
      <c r="A73" s="70"/>
      <c r="B73" s="96"/>
      <c r="C73" s="76"/>
      <c r="D73" s="75"/>
      <c r="E73" s="103"/>
      <c r="F73" s="109"/>
      <c r="G73" s="75"/>
      <c r="H73" s="76"/>
      <c r="I73" s="83"/>
      <c r="J73" s="75"/>
      <c r="K73" s="78"/>
      <c r="L73" s="79"/>
      <c r="M73" s="80"/>
      <c r="N73" s="81"/>
      <c r="O73" s="98"/>
      <c r="P73" s="75"/>
      <c r="Q73" s="97"/>
      <c r="R73" s="94"/>
      <c r="S73" s="83"/>
      <c r="T73" s="83"/>
      <c r="V73" s="84"/>
    </row>
    <row r="74" ht="15.75" customHeight="1">
      <c r="A74" s="70"/>
      <c r="B74" s="96"/>
      <c r="C74" s="94"/>
      <c r="D74" s="75"/>
      <c r="E74" s="103"/>
      <c r="F74" s="104"/>
      <c r="G74" s="75"/>
      <c r="H74" s="76"/>
      <c r="I74" s="83"/>
      <c r="J74" s="75"/>
      <c r="K74" s="105"/>
      <c r="L74" s="106"/>
      <c r="M74" s="80"/>
      <c r="N74" s="81"/>
      <c r="O74" s="98"/>
      <c r="P74" s="75"/>
      <c r="Q74" s="97"/>
      <c r="R74" s="94"/>
      <c r="S74" s="83"/>
      <c r="T74" s="83"/>
      <c r="V74" s="84"/>
    </row>
    <row r="75" ht="15.75" customHeight="1">
      <c r="A75" s="70"/>
      <c r="B75" s="96"/>
      <c r="C75" s="94"/>
      <c r="D75" s="75"/>
      <c r="E75" s="103"/>
      <c r="F75" s="104"/>
      <c r="G75" s="75"/>
      <c r="H75" s="76"/>
      <c r="I75" s="83"/>
      <c r="J75" s="75"/>
      <c r="K75" s="78"/>
      <c r="L75" s="79"/>
      <c r="M75" s="80"/>
      <c r="N75" s="107"/>
      <c r="O75" s="98"/>
      <c r="P75" s="75"/>
      <c r="Q75" s="100"/>
      <c r="R75" s="93"/>
      <c r="S75" s="75"/>
      <c r="T75" s="75"/>
      <c r="V75" s="84"/>
    </row>
    <row r="76" ht="15.75" customHeight="1">
      <c r="A76" s="70"/>
      <c r="B76" s="96"/>
      <c r="C76" s="76"/>
      <c r="D76" s="75"/>
      <c r="E76" s="103"/>
      <c r="F76" s="104"/>
      <c r="G76" s="75"/>
      <c r="H76" s="76"/>
      <c r="I76" s="83"/>
      <c r="J76" s="75"/>
      <c r="K76" s="105"/>
      <c r="L76" s="106"/>
      <c r="M76" s="80"/>
      <c r="N76" s="81"/>
      <c r="O76" s="98"/>
      <c r="P76" s="75"/>
      <c r="Q76" s="97"/>
      <c r="R76" s="94"/>
      <c r="S76" s="83"/>
      <c r="T76" s="83"/>
      <c r="V76" s="84"/>
    </row>
    <row r="77" ht="15.75" customHeight="1">
      <c r="A77" s="70"/>
      <c r="B77" s="96"/>
      <c r="C77" s="76"/>
      <c r="D77" s="75"/>
      <c r="E77" s="108"/>
      <c r="F77" s="104"/>
      <c r="G77" s="75"/>
      <c r="H77" s="76"/>
      <c r="I77" s="83"/>
      <c r="J77" s="75"/>
      <c r="K77" s="78"/>
      <c r="L77" s="79"/>
      <c r="M77" s="80"/>
      <c r="N77" s="107"/>
      <c r="O77" s="98"/>
      <c r="P77" s="75"/>
      <c r="Q77" s="100"/>
      <c r="R77" s="93"/>
      <c r="S77" s="75"/>
      <c r="T77" s="75"/>
      <c r="V77" s="84"/>
    </row>
    <row r="78" ht="15.75" customHeight="1">
      <c r="A78" s="70"/>
      <c r="B78" s="96"/>
      <c r="C78" s="76"/>
      <c r="D78" s="75"/>
      <c r="E78" s="103"/>
      <c r="F78" s="104"/>
      <c r="G78" s="75"/>
      <c r="H78" s="76"/>
      <c r="I78" s="83"/>
      <c r="J78" s="75"/>
      <c r="K78" s="105"/>
      <c r="L78" s="106"/>
      <c r="M78" s="80"/>
      <c r="N78" s="81"/>
      <c r="O78" s="98"/>
      <c r="P78" s="75"/>
      <c r="Q78" s="97"/>
      <c r="R78" s="94"/>
      <c r="S78" s="83"/>
      <c r="T78" s="83"/>
      <c r="V78" s="84"/>
    </row>
    <row r="79" ht="15.75" customHeight="1">
      <c r="A79" s="70"/>
      <c r="B79" s="96"/>
      <c r="C79" s="76"/>
      <c r="D79" s="75"/>
      <c r="E79" s="103"/>
      <c r="F79" s="104"/>
      <c r="G79" s="75"/>
      <c r="H79" s="76"/>
      <c r="I79" s="83"/>
      <c r="J79" s="75"/>
      <c r="K79" s="78"/>
      <c r="L79" s="79"/>
      <c r="M79" s="80"/>
      <c r="N79" s="107"/>
      <c r="O79" s="98"/>
      <c r="P79" s="75"/>
      <c r="Q79" s="100"/>
      <c r="R79" s="93"/>
      <c r="S79" s="75"/>
      <c r="T79" s="75"/>
      <c r="V79" s="84"/>
    </row>
    <row r="80" ht="15.75" customHeight="1">
      <c r="A80" s="70"/>
      <c r="B80" s="96"/>
      <c r="C80" s="76"/>
      <c r="D80" s="75"/>
      <c r="E80" s="103"/>
      <c r="F80" s="104"/>
      <c r="G80" s="75"/>
      <c r="H80" s="76"/>
      <c r="I80" s="83"/>
      <c r="J80" s="75"/>
      <c r="K80" s="105"/>
      <c r="L80" s="106"/>
      <c r="M80" s="80"/>
      <c r="N80" s="81"/>
      <c r="O80" s="82"/>
      <c r="P80" s="75"/>
      <c r="Q80" s="99"/>
      <c r="R80" s="94"/>
      <c r="S80" s="83"/>
      <c r="T80" s="83"/>
      <c r="V80" s="84"/>
    </row>
    <row r="81" ht="15.75" customHeight="1">
      <c r="A81" s="70"/>
      <c r="B81" s="96"/>
      <c r="C81" s="94"/>
      <c r="D81" s="75"/>
      <c r="E81" s="103"/>
      <c r="F81" s="104"/>
      <c r="G81" s="75"/>
      <c r="H81" s="76"/>
      <c r="I81" s="83"/>
      <c r="J81" s="75"/>
      <c r="K81" s="78"/>
      <c r="L81" s="79"/>
      <c r="M81" s="80"/>
      <c r="N81" s="81"/>
      <c r="O81" s="82"/>
      <c r="P81" s="75"/>
      <c r="Q81" s="97"/>
      <c r="R81" s="110"/>
      <c r="S81" s="83"/>
      <c r="T81" s="83"/>
      <c r="V81" s="84"/>
    </row>
    <row r="82" ht="15.75" customHeight="1">
      <c r="A82" s="70"/>
      <c r="B82" s="96"/>
      <c r="C82" s="94"/>
      <c r="D82" s="75"/>
      <c r="E82" s="103"/>
      <c r="F82" s="104"/>
      <c r="G82" s="75"/>
      <c r="H82" s="76"/>
      <c r="I82" s="83"/>
      <c r="J82" s="75"/>
      <c r="K82" s="105"/>
      <c r="L82" s="106"/>
      <c r="M82" s="80"/>
      <c r="N82" s="81"/>
      <c r="O82" s="82"/>
      <c r="P82" s="75"/>
      <c r="Q82" s="97"/>
      <c r="R82" s="94"/>
      <c r="S82" s="83"/>
      <c r="T82" s="83"/>
      <c r="V82" s="84"/>
    </row>
    <row r="83" ht="15.75" customHeight="1">
      <c r="A83" s="70"/>
      <c r="B83" s="96"/>
      <c r="C83" s="76"/>
      <c r="D83" s="75"/>
      <c r="E83" s="103"/>
      <c r="F83" s="104"/>
      <c r="G83" s="75"/>
      <c r="H83" s="76"/>
      <c r="I83" s="83"/>
      <c r="J83" s="75"/>
      <c r="K83" s="78"/>
      <c r="L83" s="79"/>
      <c r="M83" s="80"/>
      <c r="N83" s="107"/>
      <c r="O83" s="98"/>
      <c r="P83" s="75"/>
      <c r="Q83" s="100"/>
      <c r="R83" s="93"/>
      <c r="S83" s="75"/>
      <c r="T83" s="75"/>
      <c r="V83" s="84"/>
    </row>
    <row r="84" ht="15.75" customHeight="1">
      <c r="A84" s="70"/>
      <c r="B84" s="96"/>
      <c r="C84" s="76"/>
      <c r="D84" s="75"/>
      <c r="E84" s="103"/>
      <c r="F84" s="104"/>
      <c r="G84" s="75"/>
      <c r="H84" s="76"/>
      <c r="I84" s="83"/>
      <c r="J84" s="75"/>
      <c r="K84" s="105"/>
      <c r="L84" s="106"/>
      <c r="M84" s="80"/>
      <c r="N84" s="107"/>
      <c r="O84" s="98"/>
      <c r="P84" s="75"/>
      <c r="Q84" s="75"/>
      <c r="R84" s="93"/>
      <c r="S84" s="75"/>
      <c r="T84" s="75"/>
      <c r="V84" s="84"/>
    </row>
    <row r="85" ht="15.75" customHeight="1">
      <c r="A85" s="70"/>
      <c r="B85" s="96"/>
      <c r="C85" s="111"/>
      <c r="D85" s="75"/>
      <c r="E85" s="103"/>
      <c r="F85" s="104"/>
      <c r="G85" s="75"/>
      <c r="H85" s="76"/>
      <c r="I85" s="83"/>
      <c r="J85" s="75"/>
      <c r="K85" s="78"/>
      <c r="L85" s="79"/>
      <c r="M85" s="80"/>
      <c r="N85" s="107"/>
      <c r="O85" s="98"/>
      <c r="P85" s="75"/>
      <c r="Q85" s="100"/>
      <c r="R85" s="93"/>
      <c r="S85" s="75"/>
      <c r="T85" s="75"/>
      <c r="V85" s="84"/>
    </row>
    <row r="86" ht="15.75" customHeight="1">
      <c r="A86" s="70"/>
      <c r="B86" s="96"/>
      <c r="C86" s="77"/>
      <c r="D86" s="75"/>
      <c r="E86" s="103"/>
      <c r="F86" s="104"/>
      <c r="G86" s="75"/>
      <c r="H86" s="76"/>
      <c r="I86" s="83"/>
      <c r="J86" s="75"/>
      <c r="K86" s="105"/>
      <c r="L86" s="106"/>
      <c r="M86" s="80"/>
      <c r="N86" s="81"/>
      <c r="O86" s="82"/>
      <c r="P86" s="75"/>
      <c r="Q86" s="99"/>
      <c r="R86" s="87"/>
      <c r="S86" s="83"/>
      <c r="T86" s="83"/>
      <c r="V86" s="84"/>
    </row>
    <row r="87" ht="15.75" customHeight="1">
      <c r="A87" s="70"/>
      <c r="B87" s="96"/>
      <c r="C87" s="76"/>
      <c r="D87" s="75"/>
      <c r="E87" s="103"/>
      <c r="F87" s="104"/>
      <c r="G87" s="75"/>
      <c r="H87" s="76"/>
      <c r="I87" s="83"/>
      <c r="J87" s="75"/>
      <c r="K87" s="78"/>
      <c r="L87" s="79"/>
      <c r="M87" s="80"/>
      <c r="N87" s="107"/>
      <c r="O87" s="82"/>
      <c r="P87" s="75"/>
      <c r="Q87" s="100"/>
      <c r="R87" s="94"/>
      <c r="S87" s="83"/>
      <c r="T87" s="83"/>
      <c r="V87" s="84"/>
    </row>
    <row r="88" ht="15.75" customHeight="1">
      <c r="A88" s="70"/>
      <c r="B88" s="96"/>
      <c r="C88" s="76"/>
      <c r="D88" s="75"/>
      <c r="E88" s="103"/>
      <c r="F88" s="104"/>
      <c r="G88" s="75"/>
      <c r="H88" s="76"/>
      <c r="I88" s="83"/>
      <c r="J88" s="75"/>
      <c r="K88" s="105"/>
      <c r="L88" s="106"/>
      <c r="M88" s="80"/>
      <c r="N88" s="81"/>
      <c r="O88" s="82"/>
      <c r="P88" s="75"/>
      <c r="Q88" s="97"/>
      <c r="R88" s="94"/>
      <c r="S88" s="83"/>
      <c r="T88" s="83"/>
      <c r="V88" s="84"/>
    </row>
    <row r="89" ht="15.75" customHeight="1">
      <c r="A89" s="70"/>
      <c r="B89" s="96"/>
      <c r="C89" s="76"/>
      <c r="D89" s="75"/>
      <c r="E89" s="103"/>
      <c r="F89" s="104"/>
      <c r="G89" s="75"/>
      <c r="H89" s="76"/>
      <c r="I89" s="83"/>
      <c r="J89" s="75"/>
      <c r="K89" s="78"/>
      <c r="L89" s="79"/>
      <c r="M89" s="80"/>
      <c r="N89" s="107"/>
      <c r="O89" s="98"/>
      <c r="P89" s="75"/>
      <c r="Q89" s="75"/>
      <c r="R89" s="93"/>
      <c r="S89" s="75"/>
      <c r="T89" s="75"/>
      <c r="V89" s="84"/>
    </row>
    <row r="90" ht="15.75" customHeight="1">
      <c r="A90" s="70"/>
      <c r="B90" s="96"/>
      <c r="C90" s="112"/>
      <c r="D90" s="75"/>
      <c r="E90" s="103"/>
      <c r="F90" s="113"/>
      <c r="G90" s="75"/>
      <c r="H90" s="76"/>
      <c r="I90" s="83"/>
      <c r="J90" s="75"/>
      <c r="K90" s="105"/>
      <c r="L90" s="106"/>
      <c r="M90" s="80"/>
      <c r="N90" s="81"/>
      <c r="O90" s="82"/>
      <c r="P90" s="75"/>
      <c r="Q90" s="83"/>
      <c r="R90" s="94"/>
      <c r="S90" s="83"/>
      <c r="T90" s="83"/>
      <c r="V90" s="84"/>
    </row>
    <row r="91" ht="15.75" customHeight="1">
      <c r="A91" s="70"/>
      <c r="B91" s="96"/>
      <c r="C91" s="114"/>
      <c r="D91" s="75"/>
      <c r="E91" s="103"/>
      <c r="F91" s="104"/>
      <c r="G91" s="75"/>
      <c r="H91" s="76"/>
      <c r="I91" s="83"/>
      <c r="J91" s="75"/>
      <c r="K91" s="78"/>
      <c r="L91" s="79"/>
      <c r="M91" s="80"/>
      <c r="N91" s="107"/>
      <c r="O91" s="98"/>
      <c r="P91" s="75"/>
      <c r="Q91" s="75"/>
      <c r="R91" s="93"/>
      <c r="S91" s="75"/>
      <c r="T91" s="75"/>
      <c r="V91" s="84"/>
    </row>
    <row r="92" ht="15.75" customHeight="1">
      <c r="A92" s="70"/>
      <c r="B92" s="96"/>
      <c r="C92" s="112"/>
      <c r="D92" s="75"/>
      <c r="E92" s="103"/>
      <c r="F92" s="104"/>
      <c r="G92" s="75"/>
      <c r="H92" s="76"/>
      <c r="I92" s="83"/>
      <c r="J92" s="75"/>
      <c r="K92" s="105"/>
      <c r="L92" s="106"/>
      <c r="M92" s="80"/>
      <c r="N92" s="81"/>
      <c r="O92" s="82"/>
      <c r="P92" s="75"/>
      <c r="Q92" s="99"/>
      <c r="R92" s="94"/>
      <c r="S92" s="83"/>
      <c r="T92" s="83"/>
      <c r="V92" s="84"/>
    </row>
    <row r="93" ht="15.75" customHeight="1">
      <c r="A93" s="70"/>
      <c r="B93" s="96"/>
      <c r="C93" s="114"/>
      <c r="D93" s="75"/>
      <c r="E93" s="104"/>
      <c r="F93" s="104"/>
      <c r="G93" s="75"/>
      <c r="H93" s="76"/>
      <c r="I93" s="83"/>
      <c r="J93" s="75"/>
      <c r="K93" s="78"/>
      <c r="L93" s="79"/>
      <c r="M93" s="80"/>
      <c r="N93" s="107"/>
      <c r="O93" s="98"/>
      <c r="P93" s="75"/>
      <c r="Q93" s="100"/>
      <c r="R93" s="93"/>
      <c r="S93" s="75"/>
      <c r="T93" s="75"/>
      <c r="V93" s="84"/>
    </row>
    <row r="94" ht="15.75" customHeight="1">
      <c r="A94" s="70"/>
      <c r="B94" s="96"/>
      <c r="C94" s="76"/>
      <c r="D94" s="75"/>
      <c r="E94" s="103"/>
      <c r="F94" s="104"/>
      <c r="G94" s="75"/>
      <c r="H94" s="76"/>
      <c r="I94" s="83"/>
      <c r="J94" s="75"/>
      <c r="K94" s="105"/>
      <c r="L94" s="106"/>
      <c r="M94" s="80"/>
      <c r="N94" s="107"/>
      <c r="O94" s="98"/>
      <c r="P94" s="75"/>
      <c r="Q94" s="75"/>
      <c r="R94" s="93"/>
      <c r="S94" s="75"/>
      <c r="T94" s="75"/>
      <c r="V94" s="84"/>
    </row>
    <row r="95" ht="15.75" customHeight="1">
      <c r="A95" s="70"/>
      <c r="B95" s="96"/>
      <c r="C95" s="76"/>
      <c r="D95" s="75"/>
      <c r="E95" s="103"/>
      <c r="F95" s="104"/>
      <c r="G95" s="75"/>
      <c r="H95" s="76"/>
      <c r="I95" s="83"/>
      <c r="J95" s="75"/>
      <c r="K95" s="78"/>
      <c r="L95" s="79"/>
      <c r="M95" s="80"/>
      <c r="N95" s="81"/>
      <c r="O95" s="82"/>
      <c r="P95" s="75"/>
      <c r="Q95" s="97"/>
      <c r="R95" s="94"/>
      <c r="S95" s="83"/>
      <c r="T95" s="83"/>
      <c r="V95" s="84"/>
    </row>
    <row r="96" ht="15.75" customHeight="1">
      <c r="A96" s="70"/>
      <c r="B96" s="96"/>
      <c r="C96" s="76"/>
      <c r="D96" s="75"/>
      <c r="E96" s="103"/>
      <c r="F96" s="104"/>
      <c r="G96" s="75"/>
      <c r="H96" s="76"/>
      <c r="I96" s="83"/>
      <c r="J96" s="75"/>
      <c r="K96" s="105"/>
      <c r="L96" s="106"/>
      <c r="M96" s="80"/>
      <c r="N96" s="107"/>
      <c r="O96" s="98"/>
      <c r="P96" s="75"/>
      <c r="Q96" s="75"/>
      <c r="R96" s="93"/>
      <c r="S96" s="75"/>
      <c r="T96" s="75"/>
      <c r="V96" s="84"/>
    </row>
    <row r="97" ht="15.75" customHeight="1">
      <c r="A97" s="70"/>
      <c r="B97" s="96"/>
      <c r="C97" s="76"/>
      <c r="D97" s="75"/>
      <c r="E97" s="115"/>
      <c r="F97" s="104"/>
      <c r="G97" s="75"/>
      <c r="H97" s="76"/>
      <c r="I97" s="83"/>
      <c r="J97" s="75"/>
      <c r="K97" s="78"/>
      <c r="L97" s="79"/>
      <c r="M97" s="80"/>
      <c r="N97" s="107"/>
      <c r="O97" s="98"/>
      <c r="P97" s="75"/>
      <c r="Q97" s="100"/>
      <c r="R97" s="93"/>
      <c r="S97" s="75"/>
      <c r="T97" s="75"/>
      <c r="V97" s="84"/>
    </row>
    <row r="98" ht="15.75" customHeight="1">
      <c r="A98" s="70"/>
      <c r="B98" s="96"/>
      <c r="C98" s="94"/>
      <c r="D98" s="75"/>
      <c r="E98" s="103"/>
      <c r="F98" s="104"/>
      <c r="G98" s="75"/>
      <c r="H98" s="76"/>
      <c r="I98" s="83"/>
      <c r="J98" s="75"/>
      <c r="K98" s="105"/>
      <c r="L98" s="106"/>
      <c r="M98" s="80"/>
      <c r="N98" s="107"/>
      <c r="O98" s="98"/>
      <c r="P98" s="75"/>
      <c r="Q98" s="99"/>
      <c r="R98" s="94"/>
      <c r="S98" s="75"/>
      <c r="T98" s="83"/>
      <c r="V98" s="84"/>
    </row>
    <row r="99" ht="15.75" customHeight="1">
      <c r="A99" s="70"/>
      <c r="B99" s="96"/>
      <c r="C99" s="94"/>
      <c r="D99" s="75"/>
      <c r="E99" s="103"/>
      <c r="F99" s="104"/>
      <c r="G99" s="75"/>
      <c r="H99" s="76"/>
      <c r="I99" s="83"/>
      <c r="J99" s="75"/>
      <c r="K99" s="78"/>
      <c r="L99" s="79"/>
      <c r="M99" s="80"/>
      <c r="N99" s="107"/>
      <c r="O99" s="98"/>
      <c r="P99" s="75"/>
      <c r="Q99" s="99"/>
      <c r="R99" s="94"/>
      <c r="S99" s="75"/>
      <c r="T99" s="83"/>
      <c r="V99" s="84"/>
    </row>
    <row r="100" ht="15.75" customHeight="1">
      <c r="A100" s="70"/>
      <c r="B100" s="96"/>
      <c r="C100" s="76"/>
      <c r="D100" s="75"/>
      <c r="E100" s="108"/>
      <c r="F100" s="109"/>
      <c r="G100" s="75"/>
      <c r="H100" s="76"/>
      <c r="I100" s="83"/>
      <c r="J100" s="75"/>
      <c r="K100" s="105"/>
      <c r="L100" s="106"/>
      <c r="M100" s="80"/>
      <c r="N100" s="107"/>
      <c r="O100" s="98"/>
      <c r="P100" s="75"/>
      <c r="Q100" s="100"/>
      <c r="R100" s="93"/>
      <c r="S100" s="75"/>
      <c r="T100" s="75"/>
      <c r="V100" s="84"/>
    </row>
    <row r="101" ht="15.75" customHeight="1">
      <c r="A101" s="70"/>
      <c r="B101" s="96"/>
      <c r="C101" s="76"/>
      <c r="D101" s="75"/>
      <c r="E101" s="103"/>
      <c r="F101" s="104"/>
      <c r="G101" s="75"/>
      <c r="H101" s="76"/>
      <c r="I101" s="83"/>
      <c r="J101" s="75"/>
      <c r="K101" s="78"/>
      <c r="L101" s="79"/>
      <c r="M101" s="80"/>
      <c r="N101" s="107"/>
      <c r="O101" s="98"/>
      <c r="P101" s="75"/>
      <c r="Q101" s="75"/>
      <c r="R101" s="93"/>
      <c r="S101" s="75"/>
      <c r="T101" s="75"/>
      <c r="V101" s="84"/>
    </row>
    <row r="102" ht="15.75" customHeight="1">
      <c r="A102" s="70"/>
      <c r="B102" s="96"/>
      <c r="C102" s="76"/>
      <c r="D102" s="75"/>
      <c r="E102" s="103"/>
      <c r="F102" s="104"/>
      <c r="G102" s="75"/>
      <c r="H102" s="76"/>
      <c r="I102" s="83"/>
      <c r="J102" s="75"/>
      <c r="K102" s="105"/>
      <c r="L102" s="106"/>
      <c r="M102" s="80"/>
      <c r="N102" s="81"/>
      <c r="O102" s="82"/>
      <c r="P102" s="75"/>
      <c r="Q102" s="97"/>
      <c r="R102" s="87"/>
      <c r="S102" s="83"/>
      <c r="T102" s="83"/>
      <c r="V102" s="84"/>
    </row>
    <row r="103" ht="15.75" customHeight="1">
      <c r="A103" s="70"/>
      <c r="B103" s="116"/>
      <c r="C103" s="117"/>
      <c r="D103" s="75"/>
      <c r="E103" s="118"/>
      <c r="F103" s="113"/>
      <c r="G103" s="75"/>
      <c r="H103" s="76"/>
      <c r="I103" s="83"/>
      <c r="J103" s="75"/>
      <c r="K103" s="78"/>
      <c r="L103" s="79"/>
      <c r="M103" s="80"/>
      <c r="N103" s="81"/>
      <c r="O103" s="98"/>
      <c r="P103" s="75"/>
      <c r="Q103" s="100"/>
      <c r="R103" s="93"/>
      <c r="S103" s="83"/>
      <c r="T103" s="75"/>
      <c r="V103" s="84"/>
    </row>
    <row r="104" ht="15.75" customHeight="1">
      <c r="A104" s="70"/>
      <c r="B104" s="116"/>
      <c r="C104" s="117"/>
      <c r="D104" s="75"/>
      <c r="E104" s="118"/>
      <c r="F104" s="118"/>
      <c r="G104" s="75"/>
      <c r="H104" s="76"/>
      <c r="I104" s="83"/>
      <c r="J104" s="75"/>
      <c r="K104" s="105"/>
      <c r="L104" s="106"/>
      <c r="M104" s="80"/>
      <c r="N104" s="81"/>
      <c r="O104" s="98"/>
      <c r="P104" s="75"/>
      <c r="Q104" s="75"/>
      <c r="R104" s="93"/>
      <c r="S104" s="83"/>
      <c r="T104" s="75"/>
      <c r="V104" s="84"/>
    </row>
    <row r="105" ht="15.75" customHeight="1">
      <c r="A105" s="70"/>
      <c r="B105" s="116"/>
      <c r="C105" s="84"/>
      <c r="D105" s="75"/>
      <c r="E105" s="118"/>
      <c r="F105" s="118"/>
      <c r="G105" s="75"/>
      <c r="H105" s="76"/>
      <c r="I105" s="83"/>
      <c r="J105" s="75"/>
      <c r="K105" s="78"/>
      <c r="L105" s="79"/>
      <c r="M105" s="80"/>
      <c r="N105" s="81"/>
      <c r="O105" s="98"/>
      <c r="P105" s="75"/>
      <c r="Q105" s="100"/>
      <c r="R105" s="93"/>
      <c r="S105" s="83"/>
      <c r="T105" s="75"/>
      <c r="V105" s="84"/>
    </row>
    <row r="106" ht="15.75" customHeight="1">
      <c r="A106" s="70"/>
      <c r="B106" s="116"/>
      <c r="C106" s="84"/>
      <c r="D106" s="75"/>
      <c r="E106" s="118"/>
      <c r="F106" s="118"/>
      <c r="G106" s="75"/>
      <c r="H106" s="76"/>
      <c r="I106" s="83"/>
      <c r="J106" s="75"/>
      <c r="K106" s="105"/>
      <c r="L106" s="106"/>
      <c r="M106" s="80"/>
      <c r="N106" s="81"/>
      <c r="O106" s="98"/>
      <c r="P106" s="75"/>
      <c r="Q106" s="100"/>
      <c r="R106" s="93"/>
      <c r="S106" s="83"/>
      <c r="T106" s="75"/>
      <c r="V106" s="84"/>
    </row>
    <row r="107" ht="15.75" customHeight="1">
      <c r="A107" s="70"/>
      <c r="B107" s="116"/>
      <c r="C107" s="117"/>
      <c r="D107" s="75"/>
      <c r="E107" s="118"/>
      <c r="F107" s="118"/>
      <c r="G107" s="75"/>
      <c r="H107" s="76"/>
      <c r="I107" s="83"/>
      <c r="J107" s="75"/>
      <c r="K107" s="78"/>
      <c r="L107" s="79"/>
      <c r="M107" s="80"/>
      <c r="N107" s="81"/>
      <c r="O107" s="98"/>
      <c r="P107" s="75"/>
      <c r="Q107" s="100"/>
      <c r="R107" s="93"/>
      <c r="S107" s="83"/>
      <c r="T107" s="75"/>
      <c r="V107" s="84"/>
    </row>
    <row r="108" ht="15.75" customHeight="1">
      <c r="A108" s="70"/>
      <c r="B108" s="116"/>
      <c r="C108" s="117"/>
      <c r="D108" s="75"/>
      <c r="E108" s="118"/>
      <c r="F108" s="118"/>
      <c r="G108" s="75"/>
      <c r="H108" s="76"/>
      <c r="I108" s="83"/>
      <c r="J108" s="75"/>
      <c r="K108" s="105"/>
      <c r="L108" s="106"/>
      <c r="M108" s="80"/>
      <c r="N108" s="81"/>
      <c r="O108" s="98"/>
      <c r="P108" s="75"/>
      <c r="Q108" s="75"/>
      <c r="R108" s="93"/>
      <c r="S108" s="83"/>
      <c r="T108" s="75"/>
      <c r="V108" s="84"/>
    </row>
    <row r="109" ht="15.75" customHeight="1">
      <c r="A109" s="70"/>
      <c r="B109" s="116"/>
      <c r="C109" s="117"/>
      <c r="D109" s="75"/>
      <c r="E109" s="118"/>
      <c r="F109" s="118"/>
      <c r="G109" s="75"/>
      <c r="H109" s="76"/>
      <c r="I109" s="83"/>
      <c r="J109" s="75"/>
      <c r="K109" s="78"/>
      <c r="L109" s="79"/>
      <c r="M109" s="80"/>
      <c r="N109" s="81"/>
      <c r="O109" s="98"/>
      <c r="P109" s="75"/>
      <c r="Q109" s="100"/>
      <c r="R109" s="93"/>
      <c r="S109" s="83"/>
      <c r="T109" s="75"/>
      <c r="V109" s="84"/>
    </row>
    <row r="110" ht="15.75" customHeight="1">
      <c r="A110" s="70"/>
      <c r="B110" s="116"/>
      <c r="C110" s="117"/>
      <c r="D110" s="75"/>
      <c r="E110" s="118"/>
      <c r="F110" s="118"/>
      <c r="G110" s="75"/>
      <c r="H110" s="117"/>
      <c r="I110" s="119"/>
      <c r="J110" s="75"/>
      <c r="K110" s="105"/>
      <c r="L110" s="106"/>
      <c r="M110" s="80"/>
      <c r="N110" s="107"/>
      <c r="O110" s="98"/>
      <c r="P110" s="75"/>
      <c r="Q110" s="75"/>
      <c r="R110" s="93"/>
      <c r="S110" s="75"/>
      <c r="T110" s="75"/>
      <c r="V110" s="84"/>
    </row>
    <row r="111" ht="15.75" customHeight="1">
      <c r="A111" s="70"/>
      <c r="B111" s="116"/>
      <c r="C111" s="117"/>
      <c r="D111" s="75"/>
      <c r="E111" s="118"/>
      <c r="F111" s="118"/>
      <c r="G111" s="75"/>
      <c r="H111" s="117"/>
      <c r="I111" s="75"/>
      <c r="J111" s="75"/>
      <c r="K111" s="78"/>
      <c r="L111" s="79"/>
      <c r="M111" s="80"/>
      <c r="N111" s="107"/>
      <c r="O111" s="98"/>
      <c r="P111" s="75"/>
      <c r="Q111" s="100"/>
      <c r="R111" s="93"/>
      <c r="S111" s="75"/>
      <c r="T111" s="75"/>
      <c r="V111" s="84"/>
    </row>
    <row r="112" ht="15.75" customHeight="1">
      <c r="A112" s="70"/>
      <c r="B112" s="116"/>
      <c r="C112" s="84"/>
      <c r="D112" s="75"/>
      <c r="E112" s="118"/>
      <c r="F112" s="118"/>
      <c r="G112" s="75"/>
      <c r="H112" s="117"/>
      <c r="I112" s="75"/>
      <c r="J112" s="75"/>
      <c r="K112" s="105"/>
      <c r="L112" s="106"/>
      <c r="M112" s="80"/>
      <c r="N112" s="107"/>
      <c r="O112" s="98"/>
      <c r="P112" s="75"/>
      <c r="Q112" s="75"/>
      <c r="R112" s="93"/>
      <c r="S112" s="75"/>
      <c r="T112" s="75"/>
      <c r="V112" s="84"/>
    </row>
    <row r="113" ht="15.75" customHeight="1">
      <c r="A113" s="70"/>
      <c r="B113" s="116"/>
      <c r="C113" s="84"/>
      <c r="D113" s="75"/>
      <c r="E113" s="118"/>
      <c r="F113" s="118"/>
      <c r="G113" s="75"/>
      <c r="H113" s="117"/>
      <c r="I113" s="75"/>
      <c r="J113" s="75"/>
      <c r="K113" s="78"/>
      <c r="L113" s="79"/>
      <c r="M113" s="80"/>
      <c r="N113" s="107"/>
      <c r="O113" s="98"/>
      <c r="P113" s="75"/>
      <c r="Q113" s="75"/>
      <c r="R113" s="93"/>
      <c r="S113" s="75"/>
      <c r="T113" s="75"/>
      <c r="V113" s="84"/>
    </row>
    <row r="114" ht="15.75" customHeight="1">
      <c r="A114" s="70"/>
      <c r="B114" s="116"/>
      <c r="C114" s="84"/>
      <c r="D114" s="75"/>
      <c r="E114" s="118"/>
      <c r="F114" s="118"/>
      <c r="G114" s="75"/>
      <c r="H114" s="117"/>
      <c r="I114" s="75"/>
      <c r="J114" s="75"/>
      <c r="K114" s="105"/>
      <c r="L114" s="106"/>
      <c r="M114" s="80"/>
      <c r="N114" s="107"/>
      <c r="O114" s="98"/>
      <c r="P114" s="75"/>
      <c r="Q114" s="75"/>
      <c r="R114" s="93"/>
      <c r="S114" s="75"/>
      <c r="T114" s="75"/>
      <c r="V114" s="84"/>
    </row>
    <row r="115" ht="15.75" customHeight="1">
      <c r="A115" s="70"/>
      <c r="B115" s="116"/>
      <c r="C115" s="117"/>
      <c r="D115" s="75"/>
      <c r="E115" s="118"/>
      <c r="F115" s="118"/>
      <c r="G115" s="75"/>
      <c r="H115" s="117"/>
      <c r="I115" s="75"/>
      <c r="J115" s="75"/>
      <c r="K115" s="78"/>
      <c r="L115" s="79"/>
      <c r="M115" s="80"/>
      <c r="N115" s="107"/>
      <c r="O115" s="98"/>
      <c r="P115" s="75"/>
      <c r="Q115" s="75"/>
      <c r="R115" s="93"/>
      <c r="S115" s="75"/>
      <c r="T115" s="75"/>
      <c r="V115" s="84"/>
    </row>
    <row r="116" ht="15.75" customHeight="1">
      <c r="A116" s="70"/>
      <c r="B116" s="116"/>
      <c r="C116" s="117"/>
      <c r="D116" s="75"/>
      <c r="E116" s="118"/>
      <c r="F116" s="118"/>
      <c r="G116" s="75"/>
      <c r="H116" s="117"/>
      <c r="I116" s="75"/>
      <c r="J116" s="75"/>
      <c r="K116" s="105"/>
      <c r="L116" s="106"/>
      <c r="M116" s="80"/>
      <c r="N116" s="107"/>
      <c r="O116" s="98"/>
      <c r="P116" s="75"/>
      <c r="Q116" s="75"/>
      <c r="R116" s="93"/>
      <c r="S116" s="75"/>
      <c r="T116" s="75"/>
      <c r="V116" s="84"/>
    </row>
    <row r="117" ht="15.75" customHeight="1">
      <c r="A117" s="70"/>
      <c r="B117" s="116"/>
      <c r="C117" s="117"/>
      <c r="D117" s="75"/>
      <c r="E117" s="118"/>
      <c r="F117" s="118"/>
      <c r="G117" s="75"/>
      <c r="H117" s="117"/>
      <c r="I117" s="75"/>
      <c r="J117" s="75"/>
      <c r="K117" s="78"/>
      <c r="L117" s="79"/>
      <c r="M117" s="80"/>
      <c r="N117" s="107"/>
      <c r="O117" s="98"/>
      <c r="P117" s="75"/>
      <c r="Q117" s="75"/>
      <c r="R117" s="93"/>
      <c r="S117" s="75"/>
      <c r="T117" s="75"/>
      <c r="V117" s="84"/>
    </row>
    <row r="118" ht="15.75" customHeight="1">
      <c r="A118" s="70"/>
      <c r="B118" s="116"/>
      <c r="C118" s="117"/>
      <c r="D118" s="75"/>
      <c r="E118" s="118"/>
      <c r="F118" s="118"/>
      <c r="G118" s="75"/>
      <c r="H118" s="117"/>
      <c r="I118" s="75"/>
      <c r="J118" s="75"/>
      <c r="K118" s="105"/>
      <c r="L118" s="106"/>
      <c r="M118" s="80"/>
      <c r="N118" s="107"/>
      <c r="O118" s="98"/>
      <c r="P118" s="75"/>
      <c r="Q118" s="75"/>
      <c r="R118" s="93"/>
      <c r="S118" s="75"/>
      <c r="T118" s="75"/>
      <c r="V118" s="84"/>
    </row>
    <row r="119" ht="15.75" customHeight="1">
      <c r="A119" s="70"/>
      <c r="B119" s="116"/>
      <c r="C119" s="117"/>
      <c r="D119" s="75"/>
      <c r="E119" s="118"/>
      <c r="F119" s="118"/>
      <c r="G119" s="75"/>
      <c r="H119" s="117"/>
      <c r="I119" s="75"/>
      <c r="J119" s="75"/>
      <c r="K119" s="78"/>
      <c r="L119" s="79"/>
      <c r="M119" s="80"/>
      <c r="N119" s="107"/>
      <c r="O119" s="98"/>
      <c r="P119" s="75"/>
      <c r="Q119" s="100"/>
      <c r="R119" s="93"/>
      <c r="S119" s="75"/>
      <c r="T119" s="75"/>
      <c r="V119" s="84"/>
    </row>
    <row r="120" ht="15.75" customHeight="1">
      <c r="A120" s="70"/>
      <c r="B120" s="116"/>
      <c r="C120" s="84"/>
      <c r="D120" s="75"/>
      <c r="E120" s="118"/>
      <c r="F120" s="118"/>
      <c r="G120" s="75"/>
      <c r="H120" s="117"/>
      <c r="I120" s="75"/>
      <c r="J120" s="75"/>
      <c r="K120" s="105"/>
      <c r="L120" s="106"/>
      <c r="M120" s="80"/>
      <c r="N120" s="107"/>
      <c r="O120" s="98"/>
      <c r="P120" s="75"/>
      <c r="Q120" s="75"/>
      <c r="R120" s="93"/>
      <c r="S120" s="75"/>
      <c r="T120" s="75"/>
      <c r="V120" s="84"/>
    </row>
    <row r="121" ht="15.75" customHeight="1">
      <c r="A121" s="70"/>
      <c r="B121" s="116"/>
      <c r="C121" s="84"/>
      <c r="D121" s="75"/>
      <c r="E121" s="118"/>
      <c r="F121" s="118"/>
      <c r="G121" s="75"/>
      <c r="H121" s="117"/>
      <c r="I121" s="75"/>
      <c r="J121" s="75"/>
      <c r="K121" s="78"/>
      <c r="L121" s="79"/>
      <c r="M121" s="80"/>
      <c r="N121" s="107"/>
      <c r="O121" s="98"/>
      <c r="P121" s="75"/>
      <c r="Q121" s="75"/>
      <c r="R121" s="93"/>
      <c r="S121" s="75"/>
      <c r="T121" s="75"/>
      <c r="V121" s="84"/>
    </row>
    <row r="122" ht="15.75" customHeight="1">
      <c r="A122" s="70"/>
      <c r="B122" s="116"/>
      <c r="C122" s="84"/>
      <c r="D122" s="75"/>
      <c r="E122" s="118"/>
      <c r="F122" s="118"/>
      <c r="G122" s="75"/>
      <c r="H122" s="117"/>
      <c r="I122" s="75"/>
      <c r="J122" s="75"/>
      <c r="K122" s="105"/>
      <c r="L122" s="106"/>
      <c r="M122" s="80"/>
      <c r="N122" s="107"/>
      <c r="O122" s="98"/>
      <c r="P122" s="75"/>
      <c r="Q122" s="100"/>
      <c r="R122" s="93"/>
      <c r="S122" s="75"/>
      <c r="T122" s="75"/>
      <c r="V122" s="84"/>
    </row>
    <row r="123" ht="15.75" customHeight="1">
      <c r="A123" s="70"/>
      <c r="B123" s="116"/>
      <c r="C123" s="117"/>
      <c r="D123" s="75"/>
      <c r="E123" s="118"/>
      <c r="F123" s="118"/>
      <c r="G123" s="75"/>
      <c r="H123" s="117"/>
      <c r="I123" s="75"/>
      <c r="J123" s="75"/>
      <c r="K123" s="78"/>
      <c r="L123" s="79"/>
      <c r="M123" s="80"/>
      <c r="N123" s="107"/>
      <c r="O123" s="98"/>
      <c r="P123" s="75"/>
      <c r="Q123" s="100"/>
      <c r="R123" s="93"/>
      <c r="S123" s="75"/>
      <c r="T123" s="75"/>
      <c r="V123" s="84"/>
    </row>
    <row r="124" ht="15.75" customHeight="1">
      <c r="A124" s="70"/>
      <c r="B124" s="116"/>
      <c r="C124" s="117"/>
      <c r="D124" s="75"/>
      <c r="E124" s="118"/>
      <c r="F124" s="118"/>
      <c r="G124" s="75"/>
      <c r="H124" s="117"/>
      <c r="I124" s="75"/>
      <c r="J124" s="75"/>
      <c r="K124" s="105"/>
      <c r="L124" s="106"/>
      <c r="M124" s="80"/>
      <c r="N124" s="107"/>
      <c r="O124" s="98"/>
      <c r="P124" s="75"/>
      <c r="Q124" s="100"/>
      <c r="R124" s="93"/>
      <c r="S124" s="75"/>
      <c r="T124" s="75"/>
      <c r="V124" s="84"/>
    </row>
    <row r="125" ht="15.75" customHeight="1">
      <c r="A125" s="70"/>
      <c r="B125" s="116"/>
      <c r="C125" s="117"/>
      <c r="D125" s="75"/>
      <c r="E125" s="118"/>
      <c r="F125" s="118"/>
      <c r="G125" s="75"/>
      <c r="H125" s="117"/>
      <c r="I125" s="75"/>
      <c r="J125" s="75"/>
      <c r="K125" s="78"/>
      <c r="L125" s="79"/>
      <c r="M125" s="80"/>
      <c r="N125" s="107"/>
      <c r="O125" s="98"/>
      <c r="P125" s="75"/>
      <c r="Q125" s="100"/>
      <c r="R125" s="93"/>
      <c r="S125" s="75"/>
      <c r="T125" s="75"/>
      <c r="V125" s="84"/>
    </row>
    <row r="126" ht="15.75" customHeight="1">
      <c r="A126" s="70"/>
      <c r="B126" s="116"/>
      <c r="C126" s="117"/>
      <c r="D126" s="75"/>
      <c r="E126" s="118"/>
      <c r="F126" s="118"/>
      <c r="G126" s="75"/>
      <c r="H126" s="117"/>
      <c r="I126" s="75"/>
      <c r="J126" s="75"/>
      <c r="K126" s="105"/>
      <c r="L126" s="106"/>
      <c r="M126" s="80"/>
      <c r="N126" s="107"/>
      <c r="O126" s="98"/>
      <c r="P126" s="75"/>
      <c r="Q126" s="100"/>
      <c r="R126" s="93"/>
      <c r="S126" s="75"/>
      <c r="T126" s="75"/>
      <c r="V126" s="84"/>
    </row>
    <row r="127" ht="15.75" customHeight="1">
      <c r="A127" s="70"/>
      <c r="B127" s="116"/>
      <c r="C127" s="117"/>
      <c r="D127" s="75"/>
      <c r="E127" s="118"/>
      <c r="F127" s="118"/>
      <c r="G127" s="75"/>
      <c r="H127" s="117"/>
      <c r="I127" s="75"/>
      <c r="J127" s="75"/>
      <c r="K127" s="78"/>
      <c r="L127" s="79"/>
      <c r="M127" s="80"/>
      <c r="N127" s="107"/>
      <c r="O127" s="98"/>
      <c r="P127" s="75"/>
      <c r="Q127" s="100"/>
      <c r="R127" s="93"/>
      <c r="S127" s="75"/>
      <c r="T127" s="75"/>
      <c r="V127" s="84"/>
    </row>
    <row r="128" ht="15.75" customHeight="1">
      <c r="A128" s="70"/>
      <c r="B128" s="116"/>
      <c r="C128" s="84"/>
      <c r="D128" s="75"/>
      <c r="E128" s="118"/>
      <c r="F128" s="118"/>
      <c r="G128" s="75"/>
      <c r="H128" s="117"/>
      <c r="I128" s="75"/>
      <c r="J128" s="75"/>
      <c r="K128" s="105"/>
      <c r="L128" s="106"/>
      <c r="M128" s="80"/>
      <c r="N128" s="107"/>
      <c r="O128" s="98"/>
      <c r="P128" s="75"/>
      <c r="Q128" s="75"/>
      <c r="R128" s="93"/>
      <c r="S128" s="75"/>
      <c r="T128" s="75"/>
      <c r="V128" s="84"/>
    </row>
    <row r="129" ht="15.75" customHeight="1">
      <c r="A129" s="70"/>
      <c r="B129" s="116"/>
      <c r="C129" s="84"/>
      <c r="D129" s="75"/>
      <c r="E129" s="118"/>
      <c r="F129" s="118"/>
      <c r="G129" s="75"/>
      <c r="H129" s="117"/>
      <c r="I129" s="75"/>
      <c r="J129" s="75"/>
      <c r="K129" s="78"/>
      <c r="L129" s="79"/>
      <c r="M129" s="80"/>
      <c r="N129" s="107"/>
      <c r="O129" s="98"/>
      <c r="P129" s="75"/>
      <c r="Q129" s="100"/>
      <c r="R129" s="93"/>
      <c r="S129" s="75"/>
      <c r="T129" s="75"/>
      <c r="V129" s="84"/>
    </row>
    <row r="130" ht="15.75" customHeight="1">
      <c r="A130" s="70"/>
      <c r="B130" s="116"/>
      <c r="C130" s="84"/>
      <c r="D130" s="75"/>
      <c r="E130" s="118"/>
      <c r="F130" s="118"/>
      <c r="G130" s="75"/>
      <c r="H130" s="117"/>
      <c r="I130" s="75"/>
      <c r="J130" s="75"/>
      <c r="K130" s="105"/>
      <c r="L130" s="106"/>
      <c r="M130" s="80"/>
      <c r="N130" s="107"/>
      <c r="O130" s="98"/>
      <c r="P130" s="75"/>
      <c r="Q130" s="75"/>
      <c r="R130" s="93"/>
      <c r="S130" s="75"/>
      <c r="T130" s="75"/>
      <c r="V130" s="84"/>
    </row>
    <row r="131" ht="15.75" customHeight="1">
      <c r="A131" s="70"/>
      <c r="B131" s="116"/>
      <c r="C131" s="117"/>
      <c r="D131" s="75"/>
      <c r="E131" s="118"/>
      <c r="F131" s="118"/>
      <c r="G131" s="75"/>
      <c r="H131" s="117"/>
      <c r="I131" s="75"/>
      <c r="J131" s="75"/>
      <c r="K131" s="78"/>
      <c r="L131" s="79"/>
      <c r="M131" s="80"/>
      <c r="N131" s="107"/>
      <c r="O131" s="98"/>
      <c r="P131" s="75"/>
      <c r="Q131" s="75"/>
      <c r="R131" s="93"/>
      <c r="S131" s="75"/>
      <c r="T131" s="75"/>
      <c r="V131" s="84"/>
    </row>
    <row r="132" ht="15.75" customHeight="1">
      <c r="A132" s="70"/>
      <c r="B132" s="116"/>
      <c r="C132" s="117"/>
      <c r="D132" s="75"/>
      <c r="E132" s="118"/>
      <c r="F132" s="118"/>
      <c r="G132" s="75"/>
      <c r="H132" s="117"/>
      <c r="I132" s="75"/>
      <c r="J132" s="75"/>
      <c r="K132" s="105"/>
      <c r="L132" s="106"/>
      <c r="M132" s="80"/>
      <c r="N132" s="107"/>
      <c r="O132" s="98"/>
      <c r="P132" s="75"/>
      <c r="Q132" s="100"/>
      <c r="R132" s="93"/>
      <c r="S132" s="75"/>
      <c r="T132" s="75"/>
      <c r="V132" s="84"/>
    </row>
    <row r="133" ht="15.75" customHeight="1">
      <c r="A133" s="70"/>
      <c r="B133" s="116"/>
      <c r="C133" s="117"/>
      <c r="D133" s="75"/>
      <c r="E133" s="118"/>
      <c r="F133" s="118"/>
      <c r="G133" s="75"/>
      <c r="H133" s="117"/>
      <c r="I133" s="75"/>
      <c r="J133" s="75"/>
      <c r="K133" s="78"/>
      <c r="L133" s="79"/>
      <c r="M133" s="80"/>
      <c r="N133" s="107"/>
      <c r="O133" s="98"/>
      <c r="P133" s="75"/>
      <c r="Q133" s="75"/>
      <c r="R133" s="93"/>
      <c r="S133" s="75"/>
      <c r="T133" s="75"/>
      <c r="V133" s="84"/>
    </row>
    <row r="134" ht="15.75" customHeight="1">
      <c r="A134" s="70"/>
      <c r="B134" s="116"/>
      <c r="C134" s="117"/>
      <c r="D134" s="75"/>
      <c r="E134" s="118"/>
      <c r="F134" s="118"/>
      <c r="G134" s="75"/>
      <c r="H134" s="117"/>
      <c r="I134" s="75"/>
      <c r="J134" s="75"/>
      <c r="K134" s="105"/>
      <c r="L134" s="106"/>
      <c r="M134" s="80"/>
      <c r="N134" s="107"/>
      <c r="O134" s="98"/>
      <c r="P134" s="75"/>
      <c r="Q134" s="75"/>
      <c r="R134" s="93"/>
      <c r="S134" s="75"/>
      <c r="T134" s="75"/>
      <c r="V134" s="84"/>
    </row>
    <row r="135" ht="15.75" customHeight="1">
      <c r="A135" s="70"/>
      <c r="B135" s="116"/>
      <c r="C135" s="117"/>
      <c r="D135" s="75"/>
      <c r="E135" s="118"/>
      <c r="F135" s="118"/>
      <c r="G135" s="75"/>
      <c r="H135" s="117"/>
      <c r="I135" s="75"/>
      <c r="J135" s="75"/>
      <c r="K135" s="78"/>
      <c r="L135" s="79"/>
      <c r="M135" s="80"/>
      <c r="N135" s="107"/>
      <c r="O135" s="98"/>
      <c r="P135" s="75"/>
      <c r="Q135" s="100"/>
      <c r="R135" s="93"/>
      <c r="S135" s="75"/>
      <c r="T135" s="75"/>
      <c r="V135" s="84"/>
    </row>
    <row r="136" ht="15.75" customHeight="1">
      <c r="A136" s="70"/>
      <c r="B136" s="116"/>
      <c r="C136" s="84"/>
      <c r="D136" s="75"/>
      <c r="E136" s="118"/>
      <c r="F136" s="118"/>
      <c r="G136" s="75"/>
      <c r="H136" s="117"/>
      <c r="I136" s="75"/>
      <c r="J136" s="75"/>
      <c r="K136" s="105"/>
      <c r="L136" s="106"/>
      <c r="M136" s="80"/>
      <c r="N136" s="107"/>
      <c r="O136" s="98"/>
      <c r="P136" s="75"/>
      <c r="Q136" s="75"/>
      <c r="R136" s="93"/>
      <c r="S136" s="75"/>
      <c r="T136" s="75"/>
      <c r="V136" s="84"/>
    </row>
    <row r="137" ht="15.75" customHeight="1">
      <c r="A137" s="70"/>
      <c r="B137" s="116"/>
      <c r="C137" s="84"/>
      <c r="D137" s="75"/>
      <c r="E137" s="118"/>
      <c r="F137" s="118"/>
      <c r="G137" s="75"/>
      <c r="H137" s="117"/>
      <c r="I137" s="75"/>
      <c r="J137" s="75"/>
      <c r="K137" s="78"/>
      <c r="L137" s="79"/>
      <c r="M137" s="80"/>
      <c r="N137" s="107"/>
      <c r="O137" s="98"/>
      <c r="P137" s="75"/>
      <c r="Q137" s="100"/>
      <c r="R137" s="93"/>
      <c r="S137" s="75"/>
      <c r="T137" s="75"/>
      <c r="V137" s="84"/>
    </row>
    <row r="138" ht="15.75" customHeight="1">
      <c r="A138" s="70"/>
      <c r="B138" s="116"/>
      <c r="C138" s="84"/>
      <c r="D138" s="75"/>
      <c r="E138" s="118"/>
      <c r="F138" s="118"/>
      <c r="G138" s="75"/>
      <c r="H138" s="117"/>
      <c r="I138" s="75"/>
      <c r="J138" s="75"/>
      <c r="K138" s="105"/>
      <c r="L138" s="106"/>
      <c r="M138" s="80"/>
      <c r="N138" s="107"/>
      <c r="O138" s="98"/>
      <c r="P138" s="75"/>
      <c r="Q138" s="100"/>
      <c r="R138" s="93"/>
      <c r="S138" s="75"/>
      <c r="T138" s="75"/>
      <c r="V138" s="84"/>
    </row>
    <row r="139" ht="15.75" customHeight="1">
      <c r="A139" s="70"/>
      <c r="B139" s="116"/>
      <c r="C139" s="117"/>
      <c r="D139" s="75"/>
      <c r="E139" s="118"/>
      <c r="F139" s="118"/>
      <c r="G139" s="75"/>
      <c r="H139" s="117"/>
      <c r="I139" s="75"/>
      <c r="J139" s="75"/>
      <c r="K139" s="78"/>
      <c r="L139" s="79"/>
      <c r="M139" s="80"/>
      <c r="N139" s="107"/>
      <c r="O139" s="98"/>
      <c r="P139" s="75"/>
      <c r="Q139" s="100"/>
      <c r="R139" s="93"/>
      <c r="S139" s="75"/>
      <c r="T139" s="75"/>
      <c r="V139" s="84"/>
    </row>
    <row r="140" ht="15.75" customHeight="1">
      <c r="A140" s="70"/>
      <c r="B140" s="116"/>
      <c r="C140" s="117"/>
      <c r="D140" s="75"/>
      <c r="E140" s="118"/>
      <c r="F140" s="118"/>
      <c r="G140" s="75"/>
      <c r="H140" s="117"/>
      <c r="I140" s="75"/>
      <c r="J140" s="75"/>
      <c r="K140" s="105"/>
      <c r="L140" s="106"/>
      <c r="M140" s="80"/>
      <c r="N140" s="107"/>
      <c r="O140" s="98"/>
      <c r="P140" s="75"/>
      <c r="Q140" s="75"/>
      <c r="R140" s="93"/>
      <c r="S140" s="75"/>
      <c r="T140" s="75"/>
      <c r="V140" s="84"/>
    </row>
    <row r="141" ht="15.75" customHeight="1">
      <c r="A141" s="70"/>
      <c r="B141" s="116"/>
      <c r="C141" s="117"/>
      <c r="D141" s="75"/>
      <c r="E141" s="118"/>
      <c r="F141" s="118"/>
      <c r="G141" s="75"/>
      <c r="H141" s="117"/>
      <c r="I141" s="75"/>
      <c r="J141" s="75"/>
      <c r="K141" s="78"/>
      <c r="L141" s="79"/>
      <c r="M141" s="80"/>
      <c r="N141" s="107"/>
      <c r="O141" s="98"/>
      <c r="P141" s="75"/>
      <c r="Q141" s="100"/>
      <c r="R141" s="93"/>
      <c r="S141" s="75"/>
      <c r="T141" s="75"/>
      <c r="V141" s="84"/>
    </row>
    <row r="142" ht="15.75" customHeight="1">
      <c r="A142" s="70"/>
      <c r="B142" s="116"/>
      <c r="C142" s="117"/>
      <c r="D142" s="75"/>
      <c r="E142" s="118"/>
      <c r="F142" s="118"/>
      <c r="G142" s="75"/>
      <c r="H142" s="117"/>
      <c r="I142" s="75"/>
      <c r="J142" s="75"/>
      <c r="K142" s="105"/>
      <c r="L142" s="106"/>
      <c r="M142" s="80"/>
      <c r="N142" s="107"/>
      <c r="O142" s="98"/>
      <c r="P142" s="75"/>
      <c r="Q142" s="75"/>
      <c r="R142" s="93"/>
      <c r="S142" s="75"/>
      <c r="T142" s="75"/>
      <c r="V142" s="84"/>
    </row>
    <row r="143" ht="15.75" customHeight="1">
      <c r="A143" s="70"/>
      <c r="B143" s="116"/>
      <c r="C143" s="117"/>
      <c r="D143" s="75"/>
      <c r="E143" s="118"/>
      <c r="F143" s="120"/>
      <c r="G143" s="75"/>
      <c r="H143" s="117"/>
      <c r="I143" s="75"/>
      <c r="J143" s="75"/>
      <c r="K143" s="78"/>
      <c r="L143" s="79"/>
      <c r="M143" s="80"/>
      <c r="N143" s="107"/>
      <c r="O143" s="98"/>
      <c r="P143" s="75"/>
      <c r="Q143" s="100"/>
      <c r="R143" s="93"/>
      <c r="S143" s="75"/>
      <c r="T143" s="75"/>
      <c r="V143" s="84"/>
    </row>
    <row r="144" ht="15.75" customHeight="1">
      <c r="A144" s="70"/>
      <c r="B144" s="116"/>
      <c r="C144" s="84"/>
      <c r="D144" s="75"/>
      <c r="E144" s="118"/>
      <c r="F144" s="118"/>
      <c r="G144" s="75"/>
      <c r="H144" s="117"/>
      <c r="I144" s="75"/>
      <c r="J144" s="75"/>
      <c r="K144" s="105"/>
      <c r="L144" s="106"/>
      <c r="M144" s="80"/>
      <c r="N144" s="107"/>
      <c r="O144" s="98"/>
      <c r="P144" s="75"/>
      <c r="Q144" s="75"/>
      <c r="R144" s="93"/>
      <c r="S144" s="75"/>
      <c r="T144" s="75"/>
      <c r="V144" s="84"/>
    </row>
    <row r="145" ht="15.75" customHeight="1">
      <c r="A145" s="70"/>
      <c r="B145" s="116"/>
      <c r="C145" s="84"/>
      <c r="D145" s="75"/>
      <c r="E145" s="118"/>
      <c r="F145" s="118"/>
      <c r="G145" s="75"/>
      <c r="H145" s="117"/>
      <c r="I145" s="75"/>
      <c r="J145" s="75"/>
      <c r="K145" s="78"/>
      <c r="L145" s="79"/>
      <c r="M145" s="80"/>
      <c r="N145" s="107"/>
      <c r="O145" s="98"/>
      <c r="P145" s="75"/>
      <c r="Q145" s="100"/>
      <c r="R145" s="93"/>
      <c r="S145" s="75"/>
      <c r="T145" s="75"/>
      <c r="V145" s="84"/>
    </row>
    <row r="146" ht="15.75" customHeight="1">
      <c r="A146" s="70"/>
      <c r="B146" s="116"/>
      <c r="C146" s="117"/>
      <c r="D146" s="75"/>
      <c r="E146" s="118"/>
      <c r="F146" s="118"/>
      <c r="G146" s="75"/>
      <c r="H146" s="117"/>
      <c r="I146" s="75"/>
      <c r="J146" s="75"/>
      <c r="K146" s="105"/>
      <c r="L146" s="106"/>
      <c r="M146" s="80"/>
      <c r="N146" s="107"/>
      <c r="O146" s="98"/>
      <c r="P146" s="75"/>
      <c r="Q146" s="100"/>
      <c r="R146" s="93"/>
      <c r="S146" s="75"/>
      <c r="T146" s="75"/>
      <c r="V146" s="84"/>
    </row>
    <row r="147" ht="15.75" customHeight="1">
      <c r="A147" s="70"/>
      <c r="B147" s="116"/>
      <c r="C147" s="117"/>
      <c r="D147" s="75"/>
      <c r="E147" s="118"/>
      <c r="F147" s="118"/>
      <c r="G147" s="75"/>
      <c r="H147" s="117"/>
      <c r="I147" s="75"/>
      <c r="J147" s="75"/>
      <c r="K147" s="78"/>
      <c r="L147" s="79"/>
      <c r="M147" s="80"/>
      <c r="N147" s="107"/>
      <c r="O147" s="98"/>
      <c r="P147" s="75"/>
      <c r="Q147" s="100"/>
      <c r="R147" s="93"/>
      <c r="S147" s="75"/>
      <c r="T147" s="75"/>
      <c r="V147" s="84"/>
    </row>
    <row r="148" ht="15.75" customHeight="1">
      <c r="A148" s="70"/>
      <c r="B148" s="116"/>
      <c r="C148" s="117"/>
      <c r="D148" s="75"/>
      <c r="E148" s="118"/>
      <c r="F148" s="118"/>
      <c r="G148" s="75"/>
      <c r="H148" s="117"/>
      <c r="I148" s="75"/>
      <c r="J148" s="75"/>
      <c r="K148" s="105"/>
      <c r="L148" s="106"/>
      <c r="M148" s="80"/>
      <c r="N148" s="107"/>
      <c r="O148" s="98"/>
      <c r="P148" s="75"/>
      <c r="Q148" s="100"/>
      <c r="R148" s="93"/>
      <c r="S148" s="75"/>
      <c r="T148" s="75"/>
      <c r="V148" s="84"/>
    </row>
    <row r="149" ht="15.75" customHeight="1">
      <c r="A149" s="70"/>
      <c r="B149" s="116"/>
      <c r="C149" s="117"/>
      <c r="D149" s="75"/>
      <c r="E149" s="118"/>
      <c r="F149" s="118"/>
      <c r="G149" s="75"/>
      <c r="H149" s="117"/>
      <c r="I149" s="75"/>
      <c r="J149" s="75"/>
      <c r="K149" s="78"/>
      <c r="L149" s="79"/>
      <c r="M149" s="80"/>
      <c r="N149" s="107"/>
      <c r="O149" s="98"/>
      <c r="P149" s="75"/>
      <c r="Q149" s="100"/>
      <c r="R149" s="93"/>
      <c r="S149" s="75"/>
      <c r="T149" s="75"/>
      <c r="V149" s="84"/>
    </row>
    <row r="150" ht="15.75" customHeight="1">
      <c r="A150" s="70"/>
      <c r="B150" s="116"/>
      <c r="C150" s="117"/>
      <c r="D150" s="75"/>
      <c r="E150" s="118"/>
      <c r="F150" s="118"/>
      <c r="G150" s="75"/>
      <c r="H150" s="117"/>
      <c r="I150" s="75"/>
      <c r="J150" s="75"/>
      <c r="K150" s="105"/>
      <c r="L150" s="106"/>
      <c r="M150" s="80"/>
      <c r="N150" s="107"/>
      <c r="O150" s="98"/>
      <c r="P150" s="75"/>
      <c r="Q150" s="100"/>
      <c r="R150" s="93"/>
      <c r="S150" s="75"/>
      <c r="T150" s="75"/>
      <c r="V150" s="84"/>
    </row>
    <row r="151" ht="15.75" customHeight="1">
      <c r="A151" s="70"/>
      <c r="B151" s="116"/>
      <c r="C151" s="84"/>
      <c r="D151" s="75"/>
      <c r="E151" s="118"/>
      <c r="F151" s="118"/>
      <c r="G151" s="75"/>
      <c r="H151" s="117"/>
      <c r="I151" s="75"/>
      <c r="J151" s="75"/>
      <c r="K151" s="78"/>
      <c r="L151" s="79"/>
      <c r="M151" s="80"/>
      <c r="N151" s="107"/>
      <c r="O151" s="98"/>
      <c r="P151" s="75"/>
      <c r="Q151" s="100"/>
      <c r="R151" s="93"/>
      <c r="S151" s="75"/>
      <c r="T151" s="75"/>
      <c r="V151" s="84"/>
    </row>
    <row r="152" ht="15.75" customHeight="1">
      <c r="A152" s="70"/>
      <c r="B152" s="116"/>
      <c r="C152" s="117"/>
      <c r="D152" s="75"/>
      <c r="E152" s="118"/>
      <c r="F152" s="118"/>
      <c r="G152" s="75"/>
      <c r="H152" s="117"/>
      <c r="I152" s="75"/>
      <c r="J152" s="75"/>
      <c r="K152" s="105"/>
      <c r="L152" s="106"/>
      <c r="M152" s="80"/>
      <c r="N152" s="107"/>
      <c r="O152" s="98"/>
      <c r="P152" s="75"/>
      <c r="Q152" s="100"/>
      <c r="R152" s="93"/>
      <c r="S152" s="75"/>
      <c r="T152" s="75"/>
      <c r="V152" s="84"/>
    </row>
    <row r="153" ht="15.75" customHeight="1">
      <c r="A153" s="70"/>
      <c r="B153" s="116"/>
      <c r="C153" s="117"/>
      <c r="D153" s="75"/>
      <c r="E153" s="118"/>
      <c r="F153" s="118"/>
      <c r="G153" s="75"/>
      <c r="H153" s="117"/>
      <c r="I153" s="75"/>
      <c r="J153" s="75"/>
      <c r="K153" s="78"/>
      <c r="L153" s="79"/>
      <c r="M153" s="80"/>
      <c r="N153" s="107"/>
      <c r="O153" s="98"/>
      <c r="P153" s="75"/>
      <c r="Q153" s="100"/>
      <c r="R153" s="93"/>
      <c r="S153" s="75"/>
      <c r="T153" s="75"/>
      <c r="V153" s="84"/>
    </row>
    <row r="154" ht="15.75" customHeight="1">
      <c r="A154" s="70"/>
      <c r="B154" s="116"/>
      <c r="C154" s="117"/>
      <c r="D154" s="75"/>
      <c r="E154" s="118"/>
      <c r="F154" s="118"/>
      <c r="G154" s="75"/>
      <c r="H154" s="117"/>
      <c r="I154" s="75"/>
      <c r="J154" s="75"/>
      <c r="K154" s="105"/>
      <c r="L154" s="106"/>
      <c r="M154" s="80"/>
      <c r="N154" s="107"/>
      <c r="O154" s="98"/>
      <c r="P154" s="75"/>
      <c r="Q154" s="100"/>
      <c r="R154" s="93"/>
      <c r="S154" s="75"/>
      <c r="T154" s="75"/>
      <c r="V154" s="84"/>
    </row>
    <row r="155" ht="15.75" customHeight="1">
      <c r="A155" s="70"/>
      <c r="B155" s="116"/>
      <c r="C155" s="117"/>
      <c r="D155" s="75"/>
      <c r="E155" s="118"/>
      <c r="F155" s="118"/>
      <c r="G155" s="75"/>
      <c r="H155" s="117"/>
      <c r="I155" s="75"/>
      <c r="J155" s="75"/>
      <c r="K155" s="78"/>
      <c r="L155" s="79"/>
      <c r="M155" s="80"/>
      <c r="N155" s="107"/>
      <c r="O155" s="98"/>
      <c r="P155" s="75"/>
      <c r="Q155" s="100"/>
      <c r="R155" s="93"/>
      <c r="S155" s="75"/>
      <c r="T155" s="75"/>
      <c r="V155" s="84"/>
    </row>
    <row r="156" ht="15.75" customHeight="1">
      <c r="A156" s="70"/>
      <c r="B156" s="116"/>
      <c r="C156" s="117"/>
      <c r="D156" s="75"/>
      <c r="E156" s="118"/>
      <c r="F156" s="118"/>
      <c r="G156" s="75"/>
      <c r="H156" s="117"/>
      <c r="I156" s="75"/>
      <c r="J156" s="75"/>
      <c r="K156" s="105"/>
      <c r="L156" s="106"/>
      <c r="M156" s="80"/>
      <c r="N156" s="107"/>
      <c r="O156" s="98"/>
      <c r="P156" s="75"/>
      <c r="Q156" s="100"/>
      <c r="R156" s="93"/>
      <c r="S156" s="75"/>
      <c r="T156" s="75"/>
      <c r="V156" s="84"/>
    </row>
    <row r="157" ht="15.75" customHeight="1">
      <c r="A157" s="70"/>
      <c r="B157" s="116"/>
      <c r="C157" s="84"/>
      <c r="D157" s="75"/>
      <c r="E157" s="118"/>
      <c r="F157" s="118"/>
      <c r="G157" s="75"/>
      <c r="H157" s="117"/>
      <c r="I157" s="75"/>
      <c r="J157" s="75"/>
      <c r="K157" s="78"/>
      <c r="L157" s="79"/>
      <c r="M157" s="80"/>
      <c r="N157" s="107"/>
      <c r="O157" s="98"/>
      <c r="P157" s="75"/>
      <c r="Q157" s="100"/>
      <c r="R157" s="93"/>
      <c r="S157" s="75"/>
      <c r="T157" s="75"/>
      <c r="V157" s="84"/>
    </row>
    <row r="158" ht="15.75" customHeight="1">
      <c r="A158" s="70"/>
      <c r="B158" s="116"/>
      <c r="C158" s="117"/>
      <c r="D158" s="75"/>
      <c r="E158" s="118"/>
      <c r="F158" s="118"/>
      <c r="G158" s="75"/>
      <c r="H158" s="117"/>
      <c r="I158" s="75"/>
      <c r="J158" s="75"/>
      <c r="K158" s="105"/>
      <c r="L158" s="106"/>
      <c r="M158" s="80"/>
      <c r="N158" s="107"/>
      <c r="O158" s="98"/>
      <c r="P158" s="75"/>
      <c r="Q158" s="100"/>
      <c r="R158" s="93"/>
      <c r="S158" s="75"/>
      <c r="T158" s="75"/>
      <c r="V158" s="84"/>
    </row>
    <row r="159" ht="15.75" customHeight="1">
      <c r="A159" s="70"/>
      <c r="B159" s="116"/>
      <c r="C159" s="117"/>
      <c r="D159" s="75"/>
      <c r="E159" s="118"/>
      <c r="F159" s="118"/>
      <c r="G159" s="75"/>
      <c r="H159" s="117"/>
      <c r="I159" s="75"/>
      <c r="J159" s="75"/>
      <c r="K159" s="78"/>
      <c r="L159" s="79"/>
      <c r="M159" s="80"/>
      <c r="N159" s="107"/>
      <c r="O159" s="98"/>
      <c r="P159" s="75"/>
      <c r="Q159" s="100"/>
      <c r="R159" s="93"/>
      <c r="S159" s="75"/>
      <c r="T159" s="75"/>
      <c r="V159" s="84"/>
    </row>
    <row r="160" ht="15.75" customHeight="1">
      <c r="A160" s="70"/>
      <c r="B160" s="116"/>
      <c r="C160" s="117"/>
      <c r="D160" s="75"/>
      <c r="E160" s="118"/>
      <c r="F160" s="118"/>
      <c r="G160" s="75"/>
      <c r="H160" s="117"/>
      <c r="I160" s="75"/>
      <c r="J160" s="75"/>
      <c r="K160" s="105"/>
      <c r="L160" s="106"/>
      <c r="M160" s="80"/>
      <c r="N160" s="107"/>
      <c r="O160" s="98"/>
      <c r="P160" s="75"/>
      <c r="Q160" s="100"/>
      <c r="R160" s="93"/>
      <c r="S160" s="75"/>
      <c r="T160" s="75"/>
      <c r="V160" s="84"/>
    </row>
    <row r="161" ht="15.75" customHeight="1">
      <c r="A161" s="70"/>
      <c r="B161" s="116"/>
      <c r="C161" s="117"/>
      <c r="D161" s="75"/>
      <c r="E161" s="118"/>
      <c r="F161" s="118"/>
      <c r="G161" s="75"/>
      <c r="H161" s="117"/>
      <c r="I161" s="75"/>
      <c r="J161" s="75"/>
      <c r="K161" s="78"/>
      <c r="L161" s="79"/>
      <c r="M161" s="80"/>
      <c r="N161" s="107"/>
      <c r="O161" s="98"/>
      <c r="P161" s="75"/>
      <c r="Q161" s="100"/>
      <c r="R161" s="93"/>
      <c r="S161" s="75"/>
      <c r="T161" s="75"/>
      <c r="V161" s="84"/>
    </row>
    <row r="162" ht="15.75" customHeight="1">
      <c r="A162" s="70"/>
      <c r="B162" s="116"/>
      <c r="C162" s="117"/>
      <c r="D162" s="75"/>
      <c r="E162" s="118"/>
      <c r="F162" s="118"/>
      <c r="G162" s="75"/>
      <c r="H162" s="117"/>
      <c r="I162" s="75"/>
      <c r="J162" s="75"/>
      <c r="K162" s="105"/>
      <c r="L162" s="106"/>
      <c r="M162" s="80"/>
      <c r="N162" s="107"/>
      <c r="O162" s="98"/>
      <c r="P162" s="75"/>
      <c r="Q162" s="100"/>
      <c r="R162" s="93"/>
      <c r="S162" s="75"/>
      <c r="T162" s="75"/>
      <c r="V162" s="84"/>
    </row>
    <row r="163" ht="15.75" customHeight="1">
      <c r="A163" s="70"/>
      <c r="B163" s="116"/>
      <c r="C163" s="84"/>
      <c r="D163" s="75"/>
      <c r="E163" s="118"/>
      <c r="F163" s="118"/>
      <c r="G163" s="75"/>
      <c r="H163" s="117"/>
      <c r="I163" s="75"/>
      <c r="J163" s="75"/>
      <c r="K163" s="78"/>
      <c r="L163" s="79"/>
      <c r="M163" s="80"/>
      <c r="N163" s="107"/>
      <c r="O163" s="98"/>
      <c r="P163" s="75"/>
      <c r="Q163" s="100"/>
      <c r="R163" s="93"/>
      <c r="S163" s="75"/>
      <c r="T163" s="75"/>
      <c r="V163" s="84"/>
    </row>
    <row r="164" ht="15.75" customHeight="1">
      <c r="A164" s="70"/>
      <c r="B164" s="116"/>
      <c r="C164" s="117"/>
      <c r="D164" s="75"/>
      <c r="E164" s="118"/>
      <c r="F164" s="118"/>
      <c r="G164" s="75"/>
      <c r="H164" s="117"/>
      <c r="I164" s="75"/>
      <c r="J164" s="75"/>
      <c r="K164" s="105"/>
      <c r="L164" s="106"/>
      <c r="M164" s="80"/>
      <c r="N164" s="107"/>
      <c r="O164" s="98"/>
      <c r="P164" s="75"/>
      <c r="Q164" s="100"/>
      <c r="R164" s="93"/>
      <c r="S164" s="75"/>
      <c r="T164" s="75"/>
      <c r="V164" s="84"/>
    </row>
    <row r="165" ht="15.75" customHeight="1">
      <c r="A165" s="70"/>
      <c r="B165" s="116"/>
      <c r="C165" s="117"/>
      <c r="D165" s="75"/>
      <c r="E165" s="118"/>
      <c r="F165" s="118"/>
      <c r="G165" s="75"/>
      <c r="H165" s="117"/>
      <c r="I165" s="75"/>
      <c r="J165" s="75"/>
      <c r="K165" s="78"/>
      <c r="L165" s="79"/>
      <c r="M165" s="80"/>
      <c r="N165" s="107"/>
      <c r="O165" s="98"/>
      <c r="P165" s="75"/>
      <c r="Q165" s="100"/>
      <c r="R165" s="93"/>
      <c r="S165" s="75"/>
      <c r="T165" s="75"/>
      <c r="V165" s="84"/>
    </row>
    <row r="166" ht="15.75" customHeight="1">
      <c r="A166" s="70"/>
      <c r="B166" s="116"/>
      <c r="C166" s="117"/>
      <c r="D166" s="75"/>
      <c r="E166" s="118"/>
      <c r="F166" s="118"/>
      <c r="G166" s="75"/>
      <c r="H166" s="117"/>
      <c r="I166" s="75"/>
      <c r="J166" s="75"/>
      <c r="K166" s="105"/>
      <c r="L166" s="106"/>
      <c r="M166" s="80"/>
      <c r="N166" s="107"/>
      <c r="O166" s="98"/>
      <c r="P166" s="75"/>
      <c r="Q166" s="100"/>
      <c r="R166" s="93"/>
      <c r="S166" s="75"/>
      <c r="T166" s="75"/>
      <c r="V166" s="84"/>
    </row>
    <row r="167" ht="15.75" customHeight="1">
      <c r="A167" s="70"/>
      <c r="B167" s="116"/>
      <c r="C167" s="117"/>
      <c r="D167" s="75"/>
      <c r="E167" s="118"/>
      <c r="F167" s="118"/>
      <c r="G167" s="75"/>
      <c r="H167" s="117"/>
      <c r="I167" s="75"/>
      <c r="J167" s="75"/>
      <c r="K167" s="78"/>
      <c r="L167" s="79"/>
      <c r="M167" s="80"/>
      <c r="N167" s="107"/>
      <c r="O167" s="98"/>
      <c r="P167" s="75"/>
      <c r="Q167" s="100"/>
      <c r="R167" s="93"/>
      <c r="S167" s="75"/>
      <c r="T167" s="75"/>
      <c r="V167" s="84"/>
    </row>
    <row r="168" ht="15.75" customHeight="1">
      <c r="A168" s="70"/>
      <c r="B168" s="116"/>
      <c r="C168" s="117"/>
      <c r="D168" s="75"/>
      <c r="E168" s="118"/>
      <c r="F168" s="118"/>
      <c r="G168" s="75"/>
      <c r="H168" s="117"/>
      <c r="I168" s="75"/>
      <c r="J168" s="75"/>
      <c r="K168" s="105"/>
      <c r="L168" s="106"/>
      <c r="M168" s="80"/>
      <c r="N168" s="107"/>
      <c r="O168" s="98"/>
      <c r="P168" s="75"/>
      <c r="Q168" s="100"/>
      <c r="R168" s="93"/>
      <c r="S168" s="75"/>
      <c r="T168" s="75"/>
      <c r="V168" s="84"/>
    </row>
    <row r="169" ht="15.75" customHeight="1">
      <c r="A169" s="70"/>
      <c r="B169" s="116"/>
      <c r="C169" s="84"/>
      <c r="D169" s="75"/>
      <c r="E169" s="118"/>
      <c r="F169" s="118"/>
      <c r="G169" s="75"/>
      <c r="H169" s="117"/>
      <c r="I169" s="75"/>
      <c r="J169" s="75"/>
      <c r="K169" s="78"/>
      <c r="L169" s="79"/>
      <c r="M169" s="80"/>
      <c r="N169" s="107"/>
      <c r="O169" s="98"/>
      <c r="P169" s="75"/>
      <c r="Q169" s="100"/>
      <c r="R169" s="93"/>
      <c r="S169" s="75"/>
      <c r="T169" s="75"/>
      <c r="V169" s="84"/>
    </row>
    <row r="170" ht="15.75" customHeight="1">
      <c r="A170" s="70"/>
      <c r="B170" s="116"/>
      <c r="C170" s="117"/>
      <c r="D170" s="75"/>
      <c r="E170" s="118"/>
      <c r="F170" s="118"/>
      <c r="G170" s="75"/>
      <c r="H170" s="117"/>
      <c r="I170" s="75"/>
      <c r="J170" s="75"/>
      <c r="K170" s="105"/>
      <c r="L170" s="106"/>
      <c r="M170" s="80"/>
      <c r="N170" s="107"/>
      <c r="O170" s="98"/>
      <c r="P170" s="75"/>
      <c r="Q170" s="100"/>
      <c r="R170" s="93"/>
      <c r="S170" s="75"/>
      <c r="T170" s="75"/>
      <c r="V170" s="84"/>
    </row>
    <row r="171" ht="15.75" customHeight="1">
      <c r="A171" s="70"/>
      <c r="B171" s="116"/>
      <c r="C171" s="117"/>
      <c r="D171" s="75"/>
      <c r="E171" s="118"/>
      <c r="F171" s="118"/>
      <c r="G171" s="75"/>
      <c r="H171" s="117"/>
      <c r="I171" s="75"/>
      <c r="J171" s="75"/>
      <c r="K171" s="78"/>
      <c r="L171" s="79"/>
      <c r="M171" s="80"/>
      <c r="N171" s="107"/>
      <c r="O171" s="98"/>
      <c r="P171" s="75"/>
      <c r="Q171" s="100"/>
      <c r="R171" s="93"/>
      <c r="S171" s="75"/>
      <c r="T171" s="75"/>
      <c r="V171" s="84"/>
    </row>
    <row r="172" ht="15.75" customHeight="1">
      <c r="A172" s="70"/>
      <c r="B172" s="116"/>
      <c r="C172" s="117"/>
      <c r="D172" s="75"/>
      <c r="E172" s="118"/>
      <c r="F172" s="118"/>
      <c r="G172" s="75"/>
      <c r="H172" s="117"/>
      <c r="I172" s="75"/>
      <c r="J172" s="75"/>
      <c r="K172" s="105"/>
      <c r="L172" s="106"/>
      <c r="M172" s="80"/>
      <c r="N172" s="107"/>
      <c r="O172" s="98"/>
      <c r="P172" s="75"/>
      <c r="Q172" s="100"/>
      <c r="R172" s="93"/>
      <c r="S172" s="75"/>
      <c r="T172" s="75"/>
      <c r="V172" s="84"/>
    </row>
    <row r="173" ht="15.75" customHeight="1">
      <c r="A173" s="70"/>
      <c r="B173" s="116"/>
      <c r="C173" s="117"/>
      <c r="D173" s="75"/>
      <c r="E173" s="118"/>
      <c r="F173" s="118"/>
      <c r="G173" s="75"/>
      <c r="H173" s="117"/>
      <c r="I173" s="75"/>
      <c r="J173" s="75"/>
      <c r="K173" s="78"/>
      <c r="L173" s="79"/>
      <c r="M173" s="80"/>
      <c r="N173" s="107"/>
      <c r="O173" s="98"/>
      <c r="P173" s="75"/>
      <c r="Q173" s="100"/>
      <c r="R173" s="93"/>
      <c r="S173" s="75"/>
      <c r="T173" s="75"/>
      <c r="V173" s="84"/>
    </row>
    <row r="174" ht="15.75" customHeight="1">
      <c r="A174" s="70"/>
      <c r="B174" s="116"/>
      <c r="C174" s="117"/>
      <c r="D174" s="75"/>
      <c r="E174" s="118"/>
      <c r="F174" s="118"/>
      <c r="G174" s="75"/>
      <c r="H174" s="117"/>
      <c r="I174" s="75"/>
      <c r="J174" s="75"/>
      <c r="K174" s="105"/>
      <c r="L174" s="106"/>
      <c r="M174" s="80"/>
      <c r="N174" s="107"/>
      <c r="O174" s="98"/>
      <c r="P174" s="75"/>
      <c r="Q174" s="100"/>
      <c r="R174" s="93"/>
      <c r="S174" s="75"/>
      <c r="T174" s="75"/>
      <c r="V174" s="84"/>
    </row>
    <row r="175" ht="15.75" customHeight="1">
      <c r="A175" s="70"/>
      <c r="B175" s="116"/>
      <c r="C175" s="84"/>
      <c r="D175" s="75"/>
      <c r="E175" s="118"/>
      <c r="F175" s="118"/>
      <c r="G175" s="75"/>
      <c r="H175" s="117"/>
      <c r="I175" s="75"/>
      <c r="J175" s="75"/>
      <c r="K175" s="78"/>
      <c r="L175" s="79"/>
      <c r="M175" s="80"/>
      <c r="N175" s="107"/>
      <c r="O175" s="98"/>
      <c r="P175" s="75"/>
      <c r="Q175" s="100"/>
      <c r="R175" s="93"/>
      <c r="S175" s="75"/>
      <c r="T175" s="75"/>
      <c r="V175" s="84"/>
    </row>
    <row r="176" ht="15.75" customHeight="1">
      <c r="A176" s="70"/>
      <c r="B176" s="116"/>
      <c r="C176" s="117"/>
      <c r="D176" s="75"/>
      <c r="E176" s="118"/>
      <c r="F176" s="118"/>
      <c r="G176" s="75"/>
      <c r="H176" s="117"/>
      <c r="I176" s="75"/>
      <c r="J176" s="75"/>
      <c r="K176" s="105"/>
      <c r="L176" s="106"/>
      <c r="M176" s="80"/>
      <c r="N176" s="107"/>
      <c r="O176" s="98"/>
      <c r="P176" s="75"/>
      <c r="Q176" s="100"/>
      <c r="R176" s="93"/>
      <c r="S176" s="75"/>
      <c r="T176" s="75"/>
      <c r="V176" s="84"/>
    </row>
    <row r="177" ht="15.75" customHeight="1">
      <c r="A177" s="70"/>
      <c r="B177" s="116"/>
      <c r="C177" s="117"/>
      <c r="D177" s="75"/>
      <c r="E177" s="118"/>
      <c r="F177" s="118"/>
      <c r="G177" s="75"/>
      <c r="H177" s="117"/>
      <c r="I177" s="75"/>
      <c r="J177" s="75"/>
      <c r="K177" s="78"/>
      <c r="L177" s="79"/>
      <c r="M177" s="80"/>
      <c r="N177" s="107"/>
      <c r="O177" s="98"/>
      <c r="P177" s="75"/>
      <c r="Q177" s="100"/>
      <c r="R177" s="93"/>
      <c r="S177" s="75"/>
      <c r="T177" s="75"/>
      <c r="V177" s="84"/>
    </row>
    <row r="178" ht="15.75" customHeight="1">
      <c r="A178" s="70"/>
      <c r="B178" s="116"/>
      <c r="C178" s="117"/>
      <c r="D178" s="75"/>
      <c r="E178" s="118"/>
      <c r="F178" s="118"/>
      <c r="G178" s="75"/>
      <c r="H178" s="117"/>
      <c r="I178" s="75"/>
      <c r="J178" s="75"/>
      <c r="K178" s="105"/>
      <c r="L178" s="106"/>
      <c r="M178" s="80"/>
      <c r="N178" s="107"/>
      <c r="O178" s="98"/>
      <c r="P178" s="75"/>
      <c r="Q178" s="100"/>
      <c r="R178" s="93"/>
      <c r="S178" s="75"/>
      <c r="T178" s="75"/>
      <c r="V178" s="84"/>
    </row>
    <row r="179" ht="15.75" customHeight="1">
      <c r="A179" s="70"/>
      <c r="B179" s="116"/>
      <c r="C179" s="117"/>
      <c r="D179" s="75"/>
      <c r="E179" s="118"/>
      <c r="F179" s="118"/>
      <c r="G179" s="75"/>
      <c r="H179" s="117"/>
      <c r="I179" s="75"/>
      <c r="J179" s="75"/>
      <c r="K179" s="78"/>
      <c r="L179" s="79"/>
      <c r="M179" s="80"/>
      <c r="N179" s="107"/>
      <c r="O179" s="98"/>
      <c r="P179" s="75"/>
      <c r="Q179" s="100"/>
      <c r="R179" s="93"/>
      <c r="S179" s="75"/>
      <c r="T179" s="75"/>
      <c r="V179" s="84"/>
    </row>
    <row r="180" ht="15.75" customHeight="1">
      <c r="A180" s="70"/>
      <c r="B180" s="116"/>
      <c r="C180" s="117"/>
      <c r="D180" s="75"/>
      <c r="E180" s="118"/>
      <c r="F180" s="118"/>
      <c r="G180" s="75"/>
      <c r="H180" s="117"/>
      <c r="I180" s="75"/>
      <c r="J180" s="75"/>
      <c r="K180" s="105"/>
      <c r="L180" s="106"/>
      <c r="M180" s="80"/>
      <c r="N180" s="107"/>
      <c r="O180" s="98"/>
      <c r="P180" s="75"/>
      <c r="Q180" s="100"/>
      <c r="R180" s="93"/>
      <c r="S180" s="75"/>
      <c r="T180" s="75"/>
      <c r="V180" s="84"/>
    </row>
    <row r="181" ht="15.75" customHeight="1">
      <c r="A181" s="70"/>
      <c r="B181" s="116"/>
      <c r="C181" s="84"/>
      <c r="D181" s="75"/>
      <c r="E181" s="118"/>
      <c r="F181" s="118"/>
      <c r="G181" s="75"/>
      <c r="H181" s="117"/>
      <c r="I181" s="75"/>
      <c r="J181" s="75"/>
      <c r="K181" s="78"/>
      <c r="L181" s="79"/>
      <c r="M181" s="80"/>
      <c r="N181" s="107"/>
      <c r="O181" s="98"/>
      <c r="P181" s="75"/>
      <c r="Q181" s="100"/>
      <c r="R181" s="93"/>
      <c r="S181" s="75"/>
      <c r="T181" s="75"/>
      <c r="V181" s="84"/>
    </row>
    <row r="182" ht="15.75" customHeight="1">
      <c r="A182" s="70"/>
      <c r="B182" s="116"/>
      <c r="C182" s="117"/>
      <c r="D182" s="75"/>
      <c r="E182" s="118"/>
      <c r="F182" s="118"/>
      <c r="G182" s="75"/>
      <c r="H182" s="117"/>
      <c r="I182" s="75"/>
      <c r="J182" s="75"/>
      <c r="K182" s="105"/>
      <c r="L182" s="106"/>
      <c r="M182" s="80"/>
      <c r="N182" s="107"/>
      <c r="O182" s="98"/>
      <c r="P182" s="75"/>
      <c r="Q182" s="100"/>
      <c r="R182" s="93"/>
      <c r="S182" s="75"/>
      <c r="T182" s="75"/>
      <c r="V182" s="84"/>
    </row>
    <row r="183" ht="15.75" customHeight="1">
      <c r="A183" s="70"/>
      <c r="B183" s="116"/>
      <c r="C183" s="117"/>
      <c r="D183" s="75"/>
      <c r="E183" s="118"/>
      <c r="F183" s="118"/>
      <c r="G183" s="75"/>
      <c r="H183" s="117"/>
      <c r="I183" s="75"/>
      <c r="J183" s="75"/>
      <c r="K183" s="78"/>
      <c r="L183" s="79"/>
      <c r="M183" s="80"/>
      <c r="N183" s="107"/>
      <c r="O183" s="98"/>
      <c r="P183" s="75"/>
      <c r="Q183" s="100"/>
      <c r="R183" s="93"/>
      <c r="S183" s="75"/>
      <c r="T183" s="75"/>
      <c r="V183" s="84"/>
    </row>
    <row r="184" ht="15.75" customHeight="1">
      <c r="A184" s="70"/>
      <c r="B184" s="116"/>
      <c r="C184" s="117"/>
      <c r="D184" s="75"/>
      <c r="E184" s="118"/>
      <c r="F184" s="118"/>
      <c r="G184" s="75"/>
      <c r="H184" s="117"/>
      <c r="I184" s="75"/>
      <c r="J184" s="75"/>
      <c r="K184" s="105"/>
      <c r="L184" s="106"/>
      <c r="M184" s="80"/>
      <c r="N184" s="107"/>
      <c r="O184" s="98"/>
      <c r="P184" s="75"/>
      <c r="Q184" s="100"/>
      <c r="R184" s="93"/>
      <c r="S184" s="75"/>
      <c r="T184" s="75"/>
      <c r="V184" s="84"/>
    </row>
    <row r="185" ht="15.75" customHeight="1">
      <c r="A185" s="70"/>
      <c r="B185" s="116"/>
      <c r="C185" s="117"/>
      <c r="D185" s="75"/>
      <c r="E185" s="118"/>
      <c r="F185" s="118"/>
      <c r="G185" s="75"/>
      <c r="H185" s="117"/>
      <c r="I185" s="75"/>
      <c r="J185" s="75"/>
      <c r="K185" s="78"/>
      <c r="L185" s="79"/>
      <c r="M185" s="80"/>
      <c r="N185" s="107"/>
      <c r="O185" s="98"/>
      <c r="P185" s="75"/>
      <c r="Q185" s="100"/>
      <c r="R185" s="93"/>
      <c r="S185" s="75"/>
      <c r="T185" s="75"/>
      <c r="V185" s="84"/>
    </row>
    <row r="186" ht="15.75" customHeight="1">
      <c r="A186" s="70"/>
      <c r="B186" s="116"/>
      <c r="C186" s="117"/>
      <c r="D186" s="75"/>
      <c r="E186" s="118"/>
      <c r="F186" s="118"/>
      <c r="G186" s="75"/>
      <c r="H186" s="117"/>
      <c r="I186" s="75"/>
      <c r="J186" s="75"/>
      <c r="K186" s="105"/>
      <c r="L186" s="106"/>
      <c r="M186" s="80"/>
      <c r="N186" s="107"/>
      <c r="O186" s="98"/>
      <c r="P186" s="75"/>
      <c r="Q186" s="100"/>
      <c r="R186" s="93"/>
      <c r="S186" s="75"/>
      <c r="T186" s="75"/>
      <c r="V186" s="84"/>
    </row>
    <row r="187" ht="15.75" customHeight="1">
      <c r="A187" s="70"/>
      <c r="B187" s="116"/>
      <c r="C187" s="84"/>
      <c r="D187" s="75"/>
      <c r="E187" s="118"/>
      <c r="F187" s="118"/>
      <c r="G187" s="75"/>
      <c r="H187" s="117"/>
      <c r="I187" s="75"/>
      <c r="J187" s="75"/>
      <c r="K187" s="78"/>
      <c r="L187" s="79"/>
      <c r="M187" s="80"/>
      <c r="N187" s="107"/>
      <c r="O187" s="98"/>
      <c r="P187" s="75"/>
      <c r="Q187" s="100"/>
      <c r="R187" s="93"/>
      <c r="S187" s="75"/>
      <c r="T187" s="75"/>
      <c r="V187" s="84"/>
    </row>
    <row r="188" ht="15.75" customHeight="1">
      <c r="A188" s="70"/>
      <c r="B188" s="116"/>
      <c r="C188" s="117"/>
      <c r="D188" s="75"/>
      <c r="E188" s="118"/>
      <c r="F188" s="118"/>
      <c r="G188" s="75"/>
      <c r="H188" s="117"/>
      <c r="I188" s="75"/>
      <c r="J188" s="75"/>
      <c r="K188" s="105"/>
      <c r="L188" s="106"/>
      <c r="M188" s="80"/>
      <c r="N188" s="107"/>
      <c r="O188" s="98"/>
      <c r="P188" s="75"/>
      <c r="Q188" s="100"/>
      <c r="R188" s="93"/>
      <c r="S188" s="75"/>
      <c r="T188" s="75"/>
      <c r="V188" s="84"/>
    </row>
    <row r="189" ht="15.75" customHeight="1">
      <c r="A189" s="70"/>
      <c r="B189" s="116"/>
      <c r="C189" s="117"/>
      <c r="D189" s="75"/>
      <c r="E189" s="118"/>
      <c r="F189" s="118"/>
      <c r="G189" s="75"/>
      <c r="H189" s="117"/>
      <c r="I189" s="75"/>
      <c r="J189" s="75"/>
      <c r="K189" s="78"/>
      <c r="L189" s="79"/>
      <c r="M189" s="80"/>
      <c r="N189" s="107"/>
      <c r="O189" s="98"/>
      <c r="P189" s="75"/>
      <c r="Q189" s="100"/>
      <c r="R189" s="93"/>
      <c r="S189" s="75"/>
      <c r="T189" s="75"/>
      <c r="V189" s="84"/>
    </row>
    <row r="190" ht="15.75" customHeight="1">
      <c r="A190" s="70"/>
      <c r="B190" s="116"/>
      <c r="C190" s="117"/>
      <c r="D190" s="75"/>
      <c r="E190" s="118"/>
      <c r="F190" s="118"/>
      <c r="G190" s="75"/>
      <c r="H190" s="117"/>
      <c r="I190" s="75"/>
      <c r="J190" s="75"/>
      <c r="K190" s="105"/>
      <c r="L190" s="106"/>
      <c r="M190" s="80"/>
      <c r="N190" s="107"/>
      <c r="O190" s="98"/>
      <c r="P190" s="75"/>
      <c r="Q190" s="100"/>
      <c r="R190" s="93"/>
      <c r="S190" s="75"/>
      <c r="T190" s="75"/>
      <c r="V190" s="84"/>
    </row>
    <row r="191" ht="15.75" customHeight="1">
      <c r="A191" s="70"/>
      <c r="B191" s="116"/>
      <c r="C191" s="117"/>
      <c r="D191" s="75"/>
      <c r="E191" s="118"/>
      <c r="F191" s="118"/>
      <c r="G191" s="75"/>
      <c r="H191" s="117"/>
      <c r="I191" s="75"/>
      <c r="J191" s="75"/>
      <c r="K191" s="78"/>
      <c r="L191" s="79"/>
      <c r="M191" s="80"/>
      <c r="N191" s="107"/>
      <c r="O191" s="98"/>
      <c r="P191" s="75"/>
      <c r="Q191" s="100"/>
      <c r="R191" s="93"/>
      <c r="S191" s="75"/>
      <c r="T191" s="75"/>
      <c r="V191" s="84"/>
    </row>
    <row r="192" ht="15.75" customHeight="1">
      <c r="A192" s="70"/>
      <c r="B192" s="116"/>
      <c r="C192" s="117"/>
      <c r="D192" s="75"/>
      <c r="E192" s="118"/>
      <c r="F192" s="118"/>
      <c r="G192" s="75"/>
      <c r="H192" s="117"/>
      <c r="I192" s="75"/>
      <c r="J192" s="75"/>
      <c r="K192" s="105"/>
      <c r="L192" s="106"/>
      <c r="M192" s="80"/>
      <c r="N192" s="107"/>
      <c r="O192" s="98"/>
      <c r="P192" s="75"/>
      <c r="Q192" s="100"/>
      <c r="R192" s="93"/>
      <c r="S192" s="75"/>
      <c r="T192" s="75"/>
      <c r="V192" s="84"/>
    </row>
    <row r="193" ht="15.75" customHeight="1">
      <c r="A193" s="70"/>
      <c r="B193" s="116"/>
      <c r="C193" s="84"/>
      <c r="D193" s="75"/>
      <c r="E193" s="118"/>
      <c r="F193" s="118"/>
      <c r="G193" s="75"/>
      <c r="H193" s="117"/>
      <c r="I193" s="75"/>
      <c r="J193" s="75"/>
      <c r="K193" s="78"/>
      <c r="L193" s="79"/>
      <c r="M193" s="80"/>
      <c r="N193" s="107"/>
      <c r="O193" s="98"/>
      <c r="P193" s="75"/>
      <c r="Q193" s="100"/>
      <c r="R193" s="93"/>
      <c r="S193" s="75"/>
      <c r="T193" s="75"/>
      <c r="V193" s="84"/>
    </row>
    <row r="194" ht="15.75" customHeight="1">
      <c r="A194" s="70"/>
      <c r="B194" s="116"/>
      <c r="C194" s="117"/>
      <c r="D194" s="75"/>
      <c r="E194" s="118"/>
      <c r="F194" s="118"/>
      <c r="G194" s="75"/>
      <c r="H194" s="117"/>
      <c r="I194" s="75"/>
      <c r="J194" s="75"/>
      <c r="K194" s="105"/>
      <c r="L194" s="106"/>
      <c r="M194" s="80"/>
      <c r="N194" s="107"/>
      <c r="O194" s="98"/>
      <c r="P194" s="75"/>
      <c r="Q194" s="100"/>
      <c r="R194" s="93"/>
      <c r="S194" s="75"/>
      <c r="T194" s="75"/>
      <c r="V194" s="84"/>
    </row>
    <row r="195" ht="15.75" customHeight="1">
      <c r="A195" s="70"/>
      <c r="B195" s="116"/>
      <c r="C195" s="117"/>
      <c r="D195" s="75"/>
      <c r="E195" s="118"/>
      <c r="F195" s="118"/>
      <c r="G195" s="75"/>
      <c r="H195" s="117"/>
      <c r="I195" s="75"/>
      <c r="J195" s="75"/>
      <c r="K195" s="78"/>
      <c r="L195" s="79"/>
      <c r="M195" s="80"/>
      <c r="N195" s="107"/>
      <c r="O195" s="98"/>
      <c r="P195" s="75"/>
      <c r="Q195" s="100"/>
      <c r="R195" s="93"/>
      <c r="S195" s="75"/>
      <c r="T195" s="75"/>
      <c r="V195" s="84"/>
    </row>
    <row r="196" ht="15.75" customHeight="1">
      <c r="A196" s="70"/>
      <c r="B196" s="116"/>
      <c r="C196" s="117"/>
      <c r="D196" s="75"/>
      <c r="E196" s="118"/>
      <c r="F196" s="118"/>
      <c r="G196" s="75"/>
      <c r="H196" s="117"/>
      <c r="I196" s="75"/>
      <c r="J196" s="75"/>
      <c r="K196" s="105"/>
      <c r="L196" s="106"/>
      <c r="M196" s="80"/>
      <c r="N196" s="107"/>
      <c r="O196" s="98"/>
      <c r="P196" s="75"/>
      <c r="Q196" s="100"/>
      <c r="R196" s="93"/>
      <c r="S196" s="75"/>
      <c r="T196" s="75"/>
      <c r="V196" s="84"/>
    </row>
    <row r="197" ht="15.75" customHeight="1">
      <c r="A197" s="70"/>
      <c r="B197" s="116"/>
      <c r="C197" s="117"/>
      <c r="D197" s="75"/>
      <c r="E197" s="118"/>
      <c r="F197" s="118"/>
      <c r="G197" s="75"/>
      <c r="H197" s="117"/>
      <c r="I197" s="75"/>
      <c r="J197" s="75"/>
      <c r="K197" s="78"/>
      <c r="L197" s="79"/>
      <c r="M197" s="80"/>
      <c r="N197" s="107"/>
      <c r="O197" s="98"/>
      <c r="P197" s="75"/>
      <c r="Q197" s="100"/>
      <c r="R197" s="93"/>
      <c r="S197" s="75"/>
      <c r="T197" s="75"/>
      <c r="V197" s="84"/>
    </row>
    <row r="198" ht="15.75" customHeight="1">
      <c r="A198" s="70"/>
      <c r="B198" s="116"/>
      <c r="C198" s="117"/>
      <c r="D198" s="75"/>
      <c r="E198" s="118"/>
      <c r="F198" s="118"/>
      <c r="G198" s="75"/>
      <c r="H198" s="117"/>
      <c r="I198" s="75"/>
      <c r="J198" s="75"/>
      <c r="K198" s="105"/>
      <c r="L198" s="106"/>
      <c r="M198" s="80"/>
      <c r="N198" s="107"/>
      <c r="O198" s="98"/>
      <c r="P198" s="75"/>
      <c r="Q198" s="100"/>
      <c r="R198" s="93"/>
      <c r="S198" s="75"/>
      <c r="T198" s="75"/>
      <c r="V198" s="84"/>
    </row>
    <row r="199" ht="15.75" customHeight="1">
      <c r="A199" s="70"/>
      <c r="B199" s="116"/>
      <c r="C199" s="84"/>
      <c r="D199" s="75"/>
      <c r="E199" s="118"/>
      <c r="F199" s="118"/>
      <c r="G199" s="75"/>
      <c r="H199" s="117"/>
      <c r="I199" s="75"/>
      <c r="J199" s="75"/>
      <c r="K199" s="78"/>
      <c r="L199" s="79"/>
      <c r="M199" s="80"/>
      <c r="N199" s="107"/>
      <c r="O199" s="98"/>
      <c r="P199" s="75"/>
      <c r="Q199" s="100"/>
      <c r="R199" s="93"/>
      <c r="S199" s="75"/>
      <c r="T199" s="75"/>
      <c r="V199" s="84"/>
    </row>
    <row r="200" ht="15.75" customHeight="1">
      <c r="A200" s="70"/>
      <c r="B200" s="116"/>
      <c r="C200" s="117"/>
      <c r="D200" s="75"/>
      <c r="E200" s="118"/>
      <c r="F200" s="118"/>
      <c r="G200" s="75"/>
      <c r="H200" s="117"/>
      <c r="I200" s="75"/>
      <c r="J200" s="75"/>
      <c r="K200" s="105"/>
      <c r="L200" s="106"/>
      <c r="M200" s="80"/>
      <c r="N200" s="107"/>
      <c r="O200" s="98"/>
      <c r="P200" s="75"/>
      <c r="Q200" s="100"/>
      <c r="R200" s="93"/>
      <c r="S200" s="75"/>
      <c r="T200" s="75"/>
      <c r="V200" s="84"/>
    </row>
    <row r="201" ht="15.75" customHeight="1">
      <c r="A201" s="70"/>
      <c r="B201" s="116"/>
      <c r="C201" s="117"/>
      <c r="D201" s="75"/>
      <c r="E201" s="118"/>
      <c r="F201" s="118"/>
      <c r="G201" s="75"/>
      <c r="H201" s="117"/>
      <c r="I201" s="75"/>
      <c r="J201" s="75"/>
      <c r="K201" s="78"/>
      <c r="L201" s="79"/>
      <c r="M201" s="80"/>
      <c r="N201" s="107"/>
      <c r="O201" s="98"/>
      <c r="P201" s="75"/>
      <c r="Q201" s="100"/>
      <c r="R201" s="93"/>
      <c r="S201" s="75"/>
      <c r="T201" s="75"/>
      <c r="V201" s="84"/>
    </row>
    <row r="202" ht="15.75" customHeight="1">
      <c r="A202" s="70"/>
      <c r="B202" s="116"/>
      <c r="C202" s="117"/>
      <c r="D202" s="75"/>
      <c r="E202" s="118"/>
      <c r="F202" s="118"/>
      <c r="G202" s="75"/>
      <c r="H202" s="117"/>
      <c r="I202" s="75"/>
      <c r="J202" s="75"/>
      <c r="K202" s="105"/>
      <c r="L202" s="106"/>
      <c r="M202" s="80"/>
      <c r="N202" s="107"/>
      <c r="O202" s="98"/>
      <c r="P202" s="75"/>
      <c r="Q202" s="100"/>
      <c r="R202" s="93"/>
      <c r="S202" s="75"/>
      <c r="T202" s="75"/>
      <c r="V202" s="84"/>
    </row>
    <row r="203" ht="15.75" customHeight="1">
      <c r="A203" s="70"/>
      <c r="B203" s="116"/>
      <c r="C203" s="117"/>
      <c r="D203" s="75"/>
      <c r="E203" s="118"/>
      <c r="F203" s="118"/>
      <c r="G203" s="75"/>
      <c r="H203" s="117"/>
      <c r="I203" s="75"/>
      <c r="J203" s="75"/>
      <c r="K203" s="78"/>
      <c r="L203" s="79"/>
      <c r="M203" s="80"/>
      <c r="N203" s="107"/>
      <c r="O203" s="98"/>
      <c r="P203" s="75"/>
      <c r="Q203" s="100"/>
      <c r="R203" s="93"/>
      <c r="S203" s="75"/>
      <c r="T203" s="75"/>
      <c r="V203" s="84"/>
    </row>
    <row r="204" ht="15.75" customHeight="1">
      <c r="A204" s="70"/>
      <c r="B204" s="116"/>
      <c r="C204" s="117"/>
      <c r="D204" s="75"/>
      <c r="E204" s="118"/>
      <c r="F204" s="118"/>
      <c r="G204" s="75"/>
      <c r="H204" s="117"/>
      <c r="I204" s="75"/>
      <c r="J204" s="75"/>
      <c r="K204" s="105"/>
      <c r="L204" s="106"/>
      <c r="M204" s="80"/>
      <c r="N204" s="107"/>
      <c r="O204" s="98"/>
      <c r="P204" s="75"/>
      <c r="Q204" s="100"/>
      <c r="R204" s="93"/>
      <c r="S204" s="75"/>
      <c r="T204" s="75"/>
      <c r="V204" s="84"/>
    </row>
    <row r="205" ht="15.75" customHeight="1">
      <c r="A205" s="70"/>
      <c r="B205" s="116"/>
      <c r="C205" s="84"/>
      <c r="D205" s="75"/>
      <c r="E205" s="118"/>
      <c r="F205" s="118"/>
      <c r="G205" s="75"/>
      <c r="H205" s="117"/>
      <c r="I205" s="75"/>
      <c r="J205" s="75"/>
      <c r="K205" s="78"/>
      <c r="L205" s="79"/>
      <c r="M205" s="80"/>
      <c r="N205" s="107"/>
      <c r="O205" s="98"/>
      <c r="P205" s="75"/>
      <c r="Q205" s="100"/>
      <c r="R205" s="93"/>
      <c r="S205" s="75"/>
      <c r="T205" s="75"/>
      <c r="V205" s="84"/>
    </row>
    <row r="206" ht="15.75" customHeight="1">
      <c r="A206" s="70"/>
      <c r="B206" s="116"/>
      <c r="C206" s="117"/>
      <c r="D206" s="75"/>
      <c r="E206" s="118"/>
      <c r="F206" s="118"/>
      <c r="G206" s="75"/>
      <c r="H206" s="117"/>
      <c r="I206" s="75"/>
      <c r="J206" s="75"/>
      <c r="K206" s="105"/>
      <c r="L206" s="106"/>
      <c r="M206" s="80"/>
      <c r="N206" s="107"/>
      <c r="O206" s="98"/>
      <c r="P206" s="75"/>
      <c r="Q206" s="100"/>
      <c r="R206" s="93"/>
      <c r="S206" s="75"/>
      <c r="T206" s="75"/>
      <c r="V206" s="84"/>
    </row>
    <row r="207" ht="15.75" customHeight="1">
      <c r="A207" s="70"/>
      <c r="B207" s="116"/>
      <c r="C207" s="117"/>
      <c r="D207" s="75"/>
      <c r="E207" s="118"/>
      <c r="F207" s="118"/>
      <c r="G207" s="75"/>
      <c r="H207" s="117"/>
      <c r="I207" s="75"/>
      <c r="J207" s="75"/>
      <c r="K207" s="78"/>
      <c r="L207" s="79"/>
      <c r="M207" s="80"/>
      <c r="N207" s="107"/>
      <c r="O207" s="98"/>
      <c r="P207" s="75"/>
      <c r="Q207" s="100"/>
      <c r="R207" s="93"/>
      <c r="S207" s="75"/>
      <c r="T207" s="75"/>
      <c r="V207" s="84"/>
    </row>
    <row r="208" ht="15.75" customHeight="1">
      <c r="A208" s="70"/>
      <c r="B208" s="116"/>
      <c r="C208" s="117"/>
      <c r="D208" s="75"/>
      <c r="E208" s="118"/>
      <c r="F208" s="118"/>
      <c r="G208" s="75"/>
      <c r="H208" s="117"/>
      <c r="I208" s="75"/>
      <c r="J208" s="75"/>
      <c r="K208" s="105"/>
      <c r="L208" s="106"/>
      <c r="M208" s="80"/>
      <c r="N208" s="107"/>
      <c r="O208" s="98"/>
      <c r="P208" s="75"/>
      <c r="Q208" s="100"/>
      <c r="R208" s="93"/>
      <c r="S208" s="75"/>
      <c r="T208" s="75"/>
      <c r="V208" s="84"/>
    </row>
    <row r="209" ht="15.75" customHeight="1">
      <c r="A209" s="70"/>
      <c r="B209" s="116"/>
      <c r="C209" s="117"/>
      <c r="D209" s="75"/>
      <c r="E209" s="118"/>
      <c r="F209" s="118"/>
      <c r="G209" s="75"/>
      <c r="H209" s="117"/>
      <c r="I209" s="75"/>
      <c r="J209" s="75"/>
      <c r="K209" s="78"/>
      <c r="L209" s="79"/>
      <c r="M209" s="80"/>
      <c r="N209" s="107"/>
      <c r="O209" s="98"/>
      <c r="P209" s="75"/>
      <c r="Q209" s="100"/>
      <c r="R209" s="93"/>
      <c r="S209" s="75"/>
      <c r="T209" s="75"/>
      <c r="V209" s="84"/>
    </row>
    <row r="210" ht="15.75" customHeight="1">
      <c r="A210" s="70"/>
      <c r="B210" s="116"/>
      <c r="C210" s="117"/>
      <c r="D210" s="75"/>
      <c r="E210" s="118"/>
      <c r="F210" s="118"/>
      <c r="G210" s="75"/>
      <c r="H210" s="117"/>
      <c r="I210" s="75"/>
      <c r="J210" s="75"/>
      <c r="K210" s="105"/>
      <c r="L210" s="106"/>
      <c r="M210" s="80"/>
      <c r="N210" s="107"/>
      <c r="O210" s="98"/>
      <c r="P210" s="75"/>
      <c r="Q210" s="100"/>
      <c r="R210" s="93"/>
      <c r="S210" s="75"/>
      <c r="T210" s="75"/>
      <c r="V210" s="84"/>
    </row>
    <row r="211" ht="15.75" customHeight="1">
      <c r="A211" s="70"/>
      <c r="B211" s="116"/>
      <c r="C211" s="84"/>
      <c r="D211" s="75"/>
      <c r="E211" s="118"/>
      <c r="F211" s="118"/>
      <c r="G211" s="75"/>
      <c r="H211" s="117"/>
      <c r="I211" s="75"/>
      <c r="J211" s="75"/>
      <c r="K211" s="78"/>
      <c r="L211" s="79"/>
      <c r="M211" s="80"/>
      <c r="N211" s="107"/>
      <c r="O211" s="98"/>
      <c r="P211" s="75"/>
      <c r="Q211" s="100"/>
      <c r="R211" s="93"/>
      <c r="S211" s="75"/>
      <c r="T211" s="75"/>
      <c r="V211" s="84"/>
    </row>
    <row r="212" ht="15.75" customHeight="1">
      <c r="A212" s="70"/>
      <c r="B212" s="116"/>
      <c r="C212" s="117"/>
      <c r="D212" s="75"/>
      <c r="E212" s="118"/>
      <c r="F212" s="118"/>
      <c r="G212" s="75"/>
      <c r="H212" s="117"/>
      <c r="I212" s="75"/>
      <c r="J212" s="75"/>
      <c r="K212" s="105"/>
      <c r="L212" s="106"/>
      <c r="M212" s="80"/>
      <c r="N212" s="107"/>
      <c r="O212" s="98"/>
      <c r="P212" s="75"/>
      <c r="Q212" s="100"/>
      <c r="R212" s="93"/>
      <c r="S212" s="75"/>
      <c r="T212" s="75"/>
      <c r="V212" s="84"/>
    </row>
    <row r="213" ht="15.75" customHeight="1">
      <c r="A213" s="70"/>
      <c r="B213" s="116"/>
      <c r="C213" s="117"/>
      <c r="D213" s="75"/>
      <c r="E213" s="118"/>
      <c r="F213" s="118"/>
      <c r="G213" s="75"/>
      <c r="H213" s="117"/>
      <c r="I213" s="75"/>
      <c r="J213" s="75"/>
      <c r="K213" s="78"/>
      <c r="L213" s="79"/>
      <c r="M213" s="80"/>
      <c r="N213" s="107"/>
      <c r="O213" s="98"/>
      <c r="P213" s="75"/>
      <c r="Q213" s="100"/>
      <c r="R213" s="93"/>
      <c r="S213" s="75"/>
      <c r="T213" s="75"/>
      <c r="V213" s="84"/>
    </row>
    <row r="214" ht="15.75" customHeight="1">
      <c r="A214" s="70"/>
      <c r="B214" s="116"/>
      <c r="C214" s="117"/>
      <c r="D214" s="75"/>
      <c r="E214" s="118"/>
      <c r="F214" s="118"/>
      <c r="G214" s="75"/>
      <c r="H214" s="117"/>
      <c r="I214" s="75"/>
      <c r="J214" s="75"/>
      <c r="K214" s="105"/>
      <c r="L214" s="106"/>
      <c r="M214" s="80"/>
      <c r="N214" s="107"/>
      <c r="O214" s="98"/>
      <c r="P214" s="75"/>
      <c r="Q214" s="100"/>
      <c r="R214" s="93"/>
      <c r="S214" s="75"/>
      <c r="T214" s="75"/>
      <c r="V214" s="84"/>
    </row>
    <row r="215" ht="15.75" customHeight="1">
      <c r="A215" s="70"/>
      <c r="B215" s="116"/>
      <c r="C215" s="117"/>
      <c r="D215" s="75"/>
      <c r="E215" s="118"/>
      <c r="F215" s="118"/>
      <c r="G215" s="75"/>
      <c r="H215" s="117"/>
      <c r="I215" s="75"/>
      <c r="J215" s="75"/>
      <c r="K215" s="78"/>
      <c r="L215" s="79"/>
      <c r="M215" s="80"/>
      <c r="N215" s="107"/>
      <c r="O215" s="98"/>
      <c r="P215" s="75"/>
      <c r="Q215" s="100"/>
      <c r="R215" s="93"/>
      <c r="S215" s="75"/>
      <c r="T215" s="75"/>
      <c r="V215" s="84"/>
    </row>
    <row r="216" ht="15.75" customHeight="1">
      <c r="A216" s="70"/>
      <c r="B216" s="116"/>
      <c r="C216" s="117"/>
      <c r="D216" s="75"/>
      <c r="E216" s="118"/>
      <c r="F216" s="118"/>
      <c r="G216" s="75"/>
      <c r="H216" s="117"/>
      <c r="I216" s="75"/>
      <c r="J216" s="75"/>
      <c r="K216" s="105"/>
      <c r="L216" s="106"/>
      <c r="M216" s="80"/>
      <c r="N216" s="107"/>
      <c r="O216" s="98"/>
      <c r="P216" s="75"/>
      <c r="Q216" s="100"/>
      <c r="R216" s="93"/>
      <c r="S216" s="75"/>
      <c r="T216" s="75"/>
      <c r="V216" s="84"/>
    </row>
    <row r="217" ht="15.75" customHeight="1">
      <c r="A217" s="70"/>
      <c r="B217" s="116"/>
      <c r="C217" s="84"/>
      <c r="D217" s="75"/>
      <c r="E217" s="118"/>
      <c r="F217" s="118"/>
      <c r="G217" s="75"/>
      <c r="H217" s="117"/>
      <c r="I217" s="75"/>
      <c r="J217" s="75"/>
      <c r="K217" s="78"/>
      <c r="L217" s="79"/>
      <c r="M217" s="80"/>
      <c r="N217" s="107"/>
      <c r="O217" s="98"/>
      <c r="P217" s="75"/>
      <c r="Q217" s="100"/>
      <c r="R217" s="93"/>
      <c r="S217" s="75"/>
      <c r="T217" s="75"/>
      <c r="V217" s="84"/>
    </row>
    <row r="218" ht="15.75" customHeight="1">
      <c r="A218" s="70"/>
      <c r="B218" s="116"/>
      <c r="C218" s="117"/>
      <c r="D218" s="75"/>
      <c r="E218" s="118"/>
      <c r="F218" s="118"/>
      <c r="G218" s="75"/>
      <c r="H218" s="117"/>
      <c r="I218" s="75"/>
      <c r="J218" s="75"/>
      <c r="K218" s="105"/>
      <c r="L218" s="106"/>
      <c r="M218" s="80"/>
      <c r="N218" s="107"/>
      <c r="O218" s="98"/>
      <c r="P218" s="75"/>
      <c r="Q218" s="100"/>
      <c r="R218" s="93"/>
      <c r="S218" s="75"/>
      <c r="T218" s="75"/>
      <c r="V218" s="84"/>
    </row>
    <row r="219" ht="15.75" customHeight="1">
      <c r="A219" s="70"/>
      <c r="B219" s="116"/>
      <c r="C219" s="117"/>
      <c r="D219" s="75"/>
      <c r="E219" s="118"/>
      <c r="F219" s="118"/>
      <c r="G219" s="75"/>
      <c r="H219" s="117"/>
      <c r="I219" s="75"/>
      <c r="J219" s="75"/>
      <c r="K219" s="78"/>
      <c r="L219" s="79"/>
      <c r="M219" s="80"/>
      <c r="N219" s="107"/>
      <c r="O219" s="98"/>
      <c r="P219" s="75"/>
      <c r="Q219" s="100"/>
      <c r="R219" s="93"/>
      <c r="S219" s="75"/>
      <c r="T219" s="75"/>
      <c r="V219" s="84"/>
    </row>
    <row r="220" ht="15.75" customHeight="1">
      <c r="A220" s="70"/>
      <c r="B220" s="116"/>
      <c r="C220" s="117"/>
      <c r="D220" s="75"/>
      <c r="E220" s="118"/>
      <c r="F220" s="118"/>
      <c r="G220" s="75"/>
      <c r="H220" s="117"/>
      <c r="I220" s="75"/>
      <c r="J220" s="75"/>
      <c r="K220" s="105"/>
      <c r="L220" s="106"/>
      <c r="M220" s="80"/>
      <c r="N220" s="107"/>
      <c r="O220" s="98"/>
      <c r="P220" s="75"/>
      <c r="Q220" s="100"/>
      <c r="R220" s="93"/>
      <c r="S220" s="75"/>
      <c r="T220" s="75"/>
      <c r="V220" s="84"/>
    </row>
    <row r="221" ht="15.75" customHeight="1">
      <c r="A221" s="70"/>
      <c r="B221" s="116"/>
      <c r="C221" s="117"/>
      <c r="D221" s="75"/>
      <c r="E221" s="118"/>
      <c r="F221" s="118"/>
      <c r="G221" s="75"/>
      <c r="H221" s="117"/>
      <c r="I221" s="75"/>
      <c r="J221" s="75"/>
      <c r="K221" s="78"/>
      <c r="L221" s="79"/>
      <c r="M221" s="80"/>
      <c r="N221" s="107"/>
      <c r="O221" s="98"/>
      <c r="P221" s="75"/>
      <c r="Q221" s="100"/>
      <c r="R221" s="93"/>
      <c r="S221" s="75"/>
      <c r="T221" s="75"/>
      <c r="V221" s="84"/>
    </row>
    <row r="222" ht="15.75" customHeight="1">
      <c r="A222" s="70"/>
      <c r="B222" s="116"/>
      <c r="C222" s="117"/>
      <c r="D222" s="75"/>
      <c r="E222" s="118"/>
      <c r="F222" s="118"/>
      <c r="G222" s="75"/>
      <c r="H222" s="117"/>
      <c r="I222" s="75"/>
      <c r="J222" s="75"/>
      <c r="K222" s="105"/>
      <c r="L222" s="106"/>
      <c r="M222" s="80"/>
      <c r="N222" s="107"/>
      <c r="O222" s="98"/>
      <c r="P222" s="75"/>
      <c r="Q222" s="100"/>
      <c r="R222" s="93"/>
      <c r="S222" s="75"/>
      <c r="T222" s="75"/>
      <c r="V222" s="84"/>
    </row>
    <row r="223" ht="15.75" customHeight="1">
      <c r="A223" s="70"/>
      <c r="B223" s="116"/>
      <c r="C223" s="84"/>
      <c r="D223" s="75"/>
      <c r="E223" s="118"/>
      <c r="F223" s="118"/>
      <c r="G223" s="75"/>
      <c r="H223" s="117"/>
      <c r="I223" s="75"/>
      <c r="J223" s="75"/>
      <c r="K223" s="78"/>
      <c r="L223" s="79"/>
      <c r="M223" s="80"/>
      <c r="N223" s="107"/>
      <c r="O223" s="98"/>
      <c r="P223" s="75"/>
      <c r="Q223" s="100"/>
      <c r="R223" s="93"/>
      <c r="S223" s="75"/>
      <c r="T223" s="75"/>
      <c r="V223" s="84"/>
    </row>
    <row r="224" ht="15.75" customHeight="1">
      <c r="A224" s="70"/>
      <c r="B224" s="116"/>
      <c r="C224" s="117"/>
      <c r="D224" s="75"/>
      <c r="E224" s="118"/>
      <c r="F224" s="118"/>
      <c r="G224" s="75"/>
      <c r="H224" s="117"/>
      <c r="I224" s="75"/>
      <c r="J224" s="75"/>
      <c r="K224" s="105"/>
      <c r="L224" s="106"/>
      <c r="M224" s="80"/>
      <c r="N224" s="107"/>
      <c r="O224" s="98"/>
      <c r="P224" s="75"/>
      <c r="Q224" s="100"/>
      <c r="R224" s="93"/>
      <c r="S224" s="75"/>
      <c r="T224" s="75"/>
      <c r="V224" s="84"/>
    </row>
    <row r="225" ht="15.75" customHeight="1">
      <c r="A225" s="70"/>
      <c r="B225" s="116"/>
      <c r="C225" s="117"/>
      <c r="D225" s="75"/>
      <c r="E225" s="118"/>
      <c r="F225" s="118"/>
      <c r="G225" s="75"/>
      <c r="H225" s="117"/>
      <c r="I225" s="75"/>
      <c r="J225" s="75"/>
      <c r="K225" s="78"/>
      <c r="L225" s="79"/>
      <c r="M225" s="80"/>
      <c r="N225" s="107"/>
      <c r="O225" s="98"/>
      <c r="P225" s="75"/>
      <c r="Q225" s="100"/>
      <c r="R225" s="93"/>
      <c r="S225" s="75"/>
      <c r="T225" s="75"/>
      <c r="V225" s="84"/>
    </row>
    <row r="226" ht="15.75" customHeight="1">
      <c r="A226" s="70"/>
      <c r="B226" s="116"/>
      <c r="C226" s="117"/>
      <c r="D226" s="75"/>
      <c r="E226" s="118"/>
      <c r="F226" s="118"/>
      <c r="G226" s="75"/>
      <c r="H226" s="117"/>
      <c r="I226" s="75"/>
      <c r="J226" s="75"/>
      <c r="K226" s="105"/>
      <c r="L226" s="106"/>
      <c r="M226" s="80"/>
      <c r="N226" s="107"/>
      <c r="O226" s="98"/>
      <c r="P226" s="75"/>
      <c r="Q226" s="100"/>
      <c r="R226" s="93"/>
      <c r="S226" s="75"/>
      <c r="T226" s="75"/>
      <c r="V226" s="84"/>
    </row>
    <row r="227" ht="15.75" customHeight="1">
      <c r="A227" s="70"/>
      <c r="B227" s="116"/>
      <c r="C227" s="117"/>
      <c r="D227" s="75"/>
      <c r="E227" s="118"/>
      <c r="F227" s="118"/>
      <c r="G227" s="75"/>
      <c r="H227" s="117"/>
      <c r="I227" s="75"/>
      <c r="J227" s="75"/>
      <c r="K227" s="78"/>
      <c r="L227" s="79"/>
      <c r="M227" s="80"/>
      <c r="N227" s="107"/>
      <c r="O227" s="98"/>
      <c r="P227" s="75"/>
      <c r="Q227" s="100"/>
      <c r="R227" s="93"/>
      <c r="S227" s="75"/>
      <c r="T227" s="75"/>
      <c r="V227" s="84"/>
    </row>
    <row r="228" ht="15.75" customHeight="1">
      <c r="A228" s="70"/>
      <c r="B228" s="116"/>
      <c r="C228" s="117"/>
      <c r="D228" s="75"/>
      <c r="E228" s="118"/>
      <c r="F228" s="118"/>
      <c r="G228" s="75"/>
      <c r="H228" s="117"/>
      <c r="I228" s="75"/>
      <c r="J228" s="75"/>
      <c r="K228" s="105"/>
      <c r="L228" s="106"/>
      <c r="M228" s="80"/>
      <c r="N228" s="107"/>
      <c r="O228" s="98"/>
      <c r="P228" s="75"/>
      <c r="Q228" s="100"/>
      <c r="R228" s="93"/>
      <c r="S228" s="75"/>
      <c r="T228" s="75"/>
      <c r="V228" s="84"/>
    </row>
    <row r="229" ht="15.75" customHeight="1">
      <c r="A229" s="70"/>
      <c r="B229" s="116"/>
      <c r="C229" s="84"/>
      <c r="D229" s="75"/>
      <c r="E229" s="118"/>
      <c r="F229" s="118"/>
      <c r="G229" s="75"/>
      <c r="H229" s="117"/>
      <c r="I229" s="75"/>
      <c r="J229" s="75"/>
      <c r="K229" s="78"/>
      <c r="L229" s="79"/>
      <c r="M229" s="80"/>
      <c r="N229" s="107"/>
      <c r="O229" s="98"/>
      <c r="P229" s="75"/>
      <c r="Q229" s="100"/>
      <c r="R229" s="93"/>
      <c r="S229" s="75"/>
      <c r="T229" s="75"/>
      <c r="V229" s="84"/>
    </row>
    <row r="230" ht="15.75" customHeight="1">
      <c r="A230" s="70"/>
      <c r="B230" s="116"/>
      <c r="C230" s="117"/>
      <c r="D230" s="75"/>
      <c r="E230" s="118"/>
      <c r="F230" s="118"/>
      <c r="G230" s="75"/>
      <c r="H230" s="117"/>
      <c r="I230" s="75"/>
      <c r="J230" s="75"/>
      <c r="K230" s="105"/>
      <c r="L230" s="106"/>
      <c r="M230" s="80"/>
      <c r="N230" s="107"/>
      <c r="O230" s="98"/>
      <c r="P230" s="75"/>
      <c r="Q230" s="100"/>
      <c r="R230" s="93"/>
      <c r="S230" s="75"/>
      <c r="T230" s="75"/>
      <c r="V230" s="84"/>
    </row>
    <row r="231" ht="15.75" customHeight="1">
      <c r="A231" s="70"/>
      <c r="B231" s="116"/>
      <c r="C231" s="117"/>
      <c r="D231" s="75"/>
      <c r="E231" s="118"/>
      <c r="F231" s="118"/>
      <c r="G231" s="75"/>
      <c r="H231" s="117"/>
      <c r="I231" s="75"/>
      <c r="J231" s="75"/>
      <c r="K231" s="78"/>
      <c r="L231" s="79"/>
      <c r="M231" s="80"/>
      <c r="N231" s="107"/>
      <c r="O231" s="98"/>
      <c r="P231" s="75"/>
      <c r="Q231" s="100"/>
      <c r="R231" s="93"/>
      <c r="S231" s="75"/>
      <c r="T231" s="75"/>
      <c r="V231" s="84"/>
    </row>
    <row r="232" ht="15.75" customHeight="1">
      <c r="A232" s="70"/>
      <c r="B232" s="116"/>
      <c r="C232" s="117"/>
      <c r="D232" s="75"/>
      <c r="E232" s="118"/>
      <c r="F232" s="118"/>
      <c r="G232" s="75"/>
      <c r="H232" s="117"/>
      <c r="I232" s="75"/>
      <c r="J232" s="75"/>
      <c r="K232" s="105"/>
      <c r="L232" s="106"/>
      <c r="M232" s="80"/>
      <c r="N232" s="107"/>
      <c r="O232" s="98"/>
      <c r="P232" s="75"/>
      <c r="Q232" s="100"/>
      <c r="R232" s="93"/>
      <c r="S232" s="75"/>
      <c r="T232" s="75"/>
      <c r="V232" s="84"/>
    </row>
    <row r="233" ht="15.75" customHeight="1">
      <c r="A233" s="70"/>
      <c r="B233" s="116"/>
      <c r="C233" s="117"/>
      <c r="D233" s="75"/>
      <c r="E233" s="118"/>
      <c r="F233" s="118"/>
      <c r="G233" s="75"/>
      <c r="H233" s="117"/>
      <c r="I233" s="75"/>
      <c r="J233" s="75"/>
      <c r="K233" s="78"/>
      <c r="L233" s="79"/>
      <c r="M233" s="80"/>
      <c r="N233" s="107"/>
      <c r="O233" s="98"/>
      <c r="P233" s="75"/>
      <c r="Q233" s="100"/>
      <c r="R233" s="93"/>
      <c r="S233" s="75"/>
      <c r="T233" s="75"/>
      <c r="V233" s="84"/>
    </row>
    <row r="234" ht="15.75" customHeight="1">
      <c r="A234" s="70"/>
      <c r="B234" s="116"/>
      <c r="C234" s="117"/>
      <c r="D234" s="75"/>
      <c r="E234" s="118"/>
      <c r="F234" s="118"/>
      <c r="G234" s="75"/>
      <c r="H234" s="117"/>
      <c r="I234" s="75"/>
      <c r="J234" s="75"/>
      <c r="K234" s="105"/>
      <c r="L234" s="106"/>
      <c r="M234" s="80"/>
      <c r="N234" s="107"/>
      <c r="O234" s="98"/>
      <c r="P234" s="75"/>
      <c r="Q234" s="100"/>
      <c r="R234" s="93"/>
      <c r="S234" s="75"/>
      <c r="T234" s="75"/>
      <c r="V234" s="84"/>
    </row>
    <row r="235" ht="15.75" customHeight="1">
      <c r="A235" s="70"/>
      <c r="B235" s="116"/>
      <c r="C235" s="84"/>
      <c r="D235" s="75"/>
      <c r="E235" s="118"/>
      <c r="F235" s="118"/>
      <c r="G235" s="75"/>
      <c r="H235" s="117"/>
      <c r="I235" s="75"/>
      <c r="J235" s="75"/>
      <c r="K235" s="78"/>
      <c r="L235" s="79"/>
      <c r="M235" s="80"/>
      <c r="N235" s="107"/>
      <c r="O235" s="98"/>
      <c r="P235" s="75"/>
      <c r="Q235" s="100"/>
      <c r="R235" s="93"/>
      <c r="S235" s="75"/>
      <c r="T235" s="75"/>
      <c r="V235" s="84"/>
    </row>
    <row r="236" ht="15.75" customHeight="1">
      <c r="A236" s="70"/>
      <c r="B236" s="116"/>
      <c r="C236" s="117"/>
      <c r="D236" s="75"/>
      <c r="E236" s="118"/>
      <c r="F236" s="118"/>
      <c r="G236" s="75"/>
      <c r="H236" s="117"/>
      <c r="I236" s="75"/>
      <c r="J236" s="75"/>
      <c r="K236" s="105"/>
      <c r="L236" s="106"/>
      <c r="M236" s="80"/>
      <c r="N236" s="107"/>
      <c r="O236" s="98"/>
      <c r="P236" s="75"/>
      <c r="Q236" s="100"/>
      <c r="R236" s="93"/>
      <c r="S236" s="75"/>
      <c r="T236" s="75"/>
      <c r="V236" s="84"/>
    </row>
    <row r="237" ht="15.75" customHeight="1">
      <c r="A237" s="70"/>
      <c r="B237" s="116"/>
      <c r="C237" s="117"/>
      <c r="D237" s="75"/>
      <c r="E237" s="118"/>
      <c r="F237" s="118"/>
      <c r="G237" s="75"/>
      <c r="H237" s="117"/>
      <c r="I237" s="75"/>
      <c r="J237" s="75"/>
      <c r="K237" s="78"/>
      <c r="L237" s="79"/>
      <c r="M237" s="80"/>
      <c r="N237" s="107"/>
      <c r="O237" s="98"/>
      <c r="P237" s="75"/>
      <c r="Q237" s="100"/>
      <c r="R237" s="93"/>
      <c r="S237" s="75"/>
      <c r="T237" s="75"/>
      <c r="V237" s="84"/>
    </row>
    <row r="238" ht="15.75" customHeight="1">
      <c r="A238" s="70"/>
      <c r="B238" s="116"/>
      <c r="C238" s="117"/>
      <c r="D238" s="75"/>
      <c r="E238" s="118"/>
      <c r="F238" s="118"/>
      <c r="G238" s="75"/>
      <c r="H238" s="117"/>
      <c r="I238" s="75"/>
      <c r="J238" s="75"/>
      <c r="K238" s="105"/>
      <c r="L238" s="106"/>
      <c r="M238" s="80"/>
      <c r="N238" s="107"/>
      <c r="O238" s="98"/>
      <c r="P238" s="75"/>
      <c r="Q238" s="100"/>
      <c r="R238" s="93"/>
      <c r="S238" s="75"/>
      <c r="T238" s="75"/>
      <c r="V238" s="84"/>
    </row>
    <row r="239" ht="15.75" customHeight="1">
      <c r="A239" s="70"/>
      <c r="B239" s="116"/>
      <c r="C239" s="117"/>
      <c r="D239" s="75"/>
      <c r="E239" s="118"/>
      <c r="F239" s="118"/>
      <c r="G239" s="75"/>
      <c r="H239" s="117"/>
      <c r="I239" s="75"/>
      <c r="J239" s="75"/>
      <c r="K239" s="78"/>
      <c r="L239" s="79"/>
      <c r="M239" s="80"/>
      <c r="N239" s="107"/>
      <c r="O239" s="98"/>
      <c r="P239" s="75"/>
      <c r="Q239" s="100"/>
      <c r="R239" s="93"/>
      <c r="S239" s="75"/>
      <c r="T239" s="75"/>
      <c r="V239" s="84"/>
    </row>
    <row r="240" ht="15.75" customHeight="1">
      <c r="A240" s="70"/>
      <c r="B240" s="116"/>
      <c r="C240" s="117"/>
      <c r="D240" s="75"/>
      <c r="E240" s="118"/>
      <c r="F240" s="118"/>
      <c r="G240" s="75"/>
      <c r="H240" s="117"/>
      <c r="I240" s="75"/>
      <c r="J240" s="75"/>
      <c r="K240" s="105"/>
      <c r="L240" s="106"/>
      <c r="M240" s="80"/>
      <c r="N240" s="107"/>
      <c r="O240" s="98"/>
      <c r="P240" s="75"/>
      <c r="Q240" s="100"/>
      <c r="R240" s="93"/>
      <c r="S240" s="75"/>
      <c r="T240" s="75"/>
      <c r="V240" s="84"/>
    </row>
    <row r="241" ht="15.75" customHeight="1">
      <c r="A241" s="70"/>
      <c r="B241" s="116"/>
      <c r="C241" s="84"/>
      <c r="D241" s="75"/>
      <c r="E241" s="118"/>
      <c r="F241" s="118"/>
      <c r="G241" s="75"/>
      <c r="H241" s="117"/>
      <c r="I241" s="75"/>
      <c r="J241" s="75"/>
      <c r="K241" s="78"/>
      <c r="L241" s="79"/>
      <c r="M241" s="80"/>
      <c r="N241" s="107"/>
      <c r="O241" s="98"/>
      <c r="P241" s="75"/>
      <c r="Q241" s="100"/>
      <c r="R241" s="93"/>
      <c r="S241" s="75"/>
      <c r="T241" s="75"/>
      <c r="V241" s="84"/>
    </row>
    <row r="242" ht="15.75" customHeight="1">
      <c r="A242" s="70"/>
      <c r="B242" s="116"/>
      <c r="C242" s="117"/>
      <c r="D242" s="75"/>
      <c r="E242" s="118"/>
      <c r="F242" s="118"/>
      <c r="G242" s="75"/>
      <c r="H242" s="117"/>
      <c r="I242" s="75"/>
      <c r="J242" s="75"/>
      <c r="K242" s="105"/>
      <c r="L242" s="106"/>
      <c r="M242" s="80"/>
      <c r="N242" s="107"/>
      <c r="O242" s="98"/>
      <c r="P242" s="75"/>
      <c r="Q242" s="100"/>
      <c r="R242" s="93"/>
      <c r="S242" s="75"/>
      <c r="T242" s="75"/>
      <c r="V242" s="84"/>
    </row>
    <row r="243" ht="15.75" customHeight="1">
      <c r="A243" s="70"/>
      <c r="B243" s="116"/>
      <c r="C243" s="117"/>
      <c r="D243" s="75"/>
      <c r="E243" s="118"/>
      <c r="F243" s="118"/>
      <c r="G243" s="75"/>
      <c r="H243" s="117"/>
      <c r="I243" s="75"/>
      <c r="J243" s="75"/>
      <c r="K243" s="78"/>
      <c r="L243" s="79"/>
      <c r="M243" s="80"/>
      <c r="N243" s="107"/>
      <c r="O243" s="98"/>
      <c r="P243" s="75"/>
      <c r="Q243" s="100"/>
      <c r="R243" s="93"/>
      <c r="S243" s="75"/>
      <c r="T243" s="75"/>
      <c r="V243" s="84"/>
    </row>
    <row r="244" ht="15.75" customHeight="1">
      <c r="A244" s="70"/>
      <c r="B244" s="116"/>
      <c r="C244" s="117"/>
      <c r="D244" s="75"/>
      <c r="E244" s="118"/>
      <c r="F244" s="118"/>
      <c r="G244" s="75"/>
      <c r="H244" s="117"/>
      <c r="I244" s="75"/>
      <c r="J244" s="75"/>
      <c r="K244" s="121"/>
      <c r="L244" s="122"/>
      <c r="M244" s="80"/>
      <c r="N244" s="107"/>
      <c r="O244" s="98"/>
      <c r="P244" s="75"/>
      <c r="Q244" s="100"/>
      <c r="R244" s="93"/>
      <c r="S244" s="75"/>
      <c r="T244" s="75"/>
      <c r="V244" s="84"/>
    </row>
    <row r="245" ht="15.75" customHeight="1">
      <c r="A245" s="70"/>
      <c r="B245" s="116"/>
      <c r="C245" s="117"/>
      <c r="D245" s="75"/>
      <c r="E245" s="118"/>
      <c r="F245" s="118"/>
      <c r="G245" s="75"/>
      <c r="H245" s="117"/>
      <c r="I245" s="75"/>
      <c r="J245" s="75"/>
      <c r="K245" s="123"/>
      <c r="L245" s="124"/>
      <c r="M245" s="80"/>
      <c r="N245" s="107"/>
      <c r="O245" s="98"/>
      <c r="P245" s="75"/>
      <c r="Q245" s="100"/>
      <c r="R245" s="93"/>
      <c r="S245" s="75"/>
      <c r="T245" s="75"/>
      <c r="V245" s="84"/>
    </row>
    <row r="246" ht="15.75" customHeight="1">
      <c r="A246" s="70"/>
      <c r="B246" s="116"/>
      <c r="C246" s="117"/>
      <c r="D246" s="75"/>
      <c r="E246" s="118"/>
      <c r="F246" s="118"/>
      <c r="G246" s="75"/>
      <c r="H246" s="117"/>
      <c r="I246" s="75"/>
      <c r="J246" s="75"/>
      <c r="K246" s="121"/>
      <c r="L246" s="122"/>
      <c r="M246" s="80"/>
      <c r="N246" s="107"/>
      <c r="O246" s="98"/>
      <c r="P246" s="75"/>
      <c r="Q246" s="100"/>
      <c r="R246" s="93"/>
      <c r="S246" s="75"/>
      <c r="T246" s="75"/>
      <c r="V246" s="84"/>
    </row>
    <row r="247" ht="15.75" customHeight="1">
      <c r="A247" s="70"/>
      <c r="B247" s="116"/>
      <c r="C247" s="84"/>
      <c r="D247" s="75"/>
      <c r="E247" s="118"/>
      <c r="F247" s="118"/>
      <c r="G247" s="75"/>
      <c r="H247" s="117"/>
      <c r="I247" s="75"/>
      <c r="J247" s="75"/>
      <c r="K247" s="123"/>
      <c r="L247" s="124"/>
      <c r="M247" s="80"/>
      <c r="N247" s="107"/>
      <c r="O247" s="98"/>
      <c r="P247" s="75"/>
      <c r="Q247" s="100"/>
      <c r="R247" s="93"/>
      <c r="S247" s="75"/>
      <c r="T247" s="75"/>
      <c r="V247" s="84"/>
    </row>
    <row r="248" ht="15.75" customHeight="1">
      <c r="A248" s="70"/>
      <c r="B248" s="116"/>
      <c r="C248" s="117"/>
      <c r="D248" s="75"/>
      <c r="E248" s="118"/>
      <c r="F248" s="118"/>
      <c r="G248" s="75"/>
      <c r="H248" s="117"/>
      <c r="I248" s="75"/>
      <c r="J248" s="75"/>
      <c r="K248" s="121"/>
      <c r="L248" s="122"/>
      <c r="M248" s="80"/>
      <c r="N248" s="107"/>
      <c r="O248" s="98"/>
      <c r="P248" s="75"/>
      <c r="Q248" s="100"/>
      <c r="R248" s="93"/>
      <c r="S248" s="75"/>
      <c r="T248" s="75"/>
      <c r="V248" s="84"/>
    </row>
    <row r="249" ht="15.75" customHeight="1">
      <c r="A249" s="70"/>
      <c r="B249" s="116"/>
      <c r="C249" s="117"/>
      <c r="D249" s="75"/>
      <c r="E249" s="118"/>
      <c r="F249" s="118"/>
      <c r="G249" s="75"/>
      <c r="H249" s="117"/>
      <c r="I249" s="75"/>
      <c r="J249" s="75"/>
      <c r="K249" s="123"/>
      <c r="L249" s="124"/>
      <c r="M249" s="80"/>
      <c r="N249" s="107"/>
      <c r="O249" s="98"/>
      <c r="P249" s="75"/>
      <c r="Q249" s="100"/>
      <c r="R249" s="93"/>
      <c r="S249" s="75"/>
      <c r="T249" s="75"/>
      <c r="V249" s="84"/>
    </row>
    <row r="250" ht="15.75" customHeight="1">
      <c r="A250" s="70"/>
      <c r="B250" s="116"/>
      <c r="C250" s="117"/>
      <c r="D250" s="75"/>
      <c r="E250" s="118"/>
      <c r="F250" s="118"/>
      <c r="G250" s="75"/>
      <c r="H250" s="117"/>
      <c r="I250" s="75"/>
      <c r="J250" s="75"/>
      <c r="K250" s="121"/>
      <c r="L250" s="122"/>
      <c r="M250" s="80"/>
      <c r="N250" s="107"/>
      <c r="O250" s="98"/>
      <c r="P250" s="75"/>
      <c r="Q250" s="100"/>
      <c r="R250" s="93"/>
      <c r="S250" s="75"/>
      <c r="T250" s="75"/>
      <c r="V250" s="84"/>
    </row>
    <row r="251" ht="15.75" customHeight="1">
      <c r="A251" s="70"/>
      <c r="B251" s="116"/>
      <c r="C251" s="117"/>
      <c r="D251" s="75"/>
      <c r="E251" s="118"/>
      <c r="F251" s="118"/>
      <c r="G251" s="75"/>
      <c r="H251" s="117"/>
      <c r="I251" s="75"/>
      <c r="J251" s="75"/>
      <c r="K251" s="123"/>
      <c r="L251" s="124"/>
      <c r="M251" s="80"/>
      <c r="N251" s="107"/>
      <c r="O251" s="98"/>
      <c r="P251" s="75"/>
      <c r="Q251" s="100"/>
      <c r="R251" s="93"/>
      <c r="S251" s="75"/>
      <c r="T251" s="75"/>
      <c r="V251" s="84"/>
    </row>
    <row r="252" ht="15.75" customHeight="1">
      <c r="A252" s="70"/>
      <c r="B252" s="116"/>
      <c r="C252" s="117"/>
      <c r="D252" s="75"/>
      <c r="E252" s="118"/>
      <c r="F252" s="118"/>
      <c r="G252" s="75"/>
      <c r="H252" s="117"/>
      <c r="I252" s="75"/>
      <c r="J252" s="75"/>
      <c r="K252" s="121"/>
      <c r="L252" s="122"/>
      <c r="M252" s="80"/>
      <c r="N252" s="107"/>
      <c r="O252" s="98"/>
      <c r="P252" s="75"/>
      <c r="Q252" s="100"/>
      <c r="R252" s="93"/>
      <c r="S252" s="75"/>
      <c r="T252" s="75"/>
      <c r="V252" s="84"/>
    </row>
    <row r="253" ht="15.75" customHeight="1">
      <c r="A253" s="70"/>
      <c r="B253" s="116"/>
      <c r="C253" s="84"/>
      <c r="D253" s="75"/>
      <c r="E253" s="118"/>
      <c r="F253" s="118"/>
      <c r="G253" s="75"/>
      <c r="H253" s="117"/>
      <c r="I253" s="75"/>
      <c r="J253" s="75"/>
      <c r="K253" s="123"/>
      <c r="L253" s="124"/>
      <c r="M253" s="80"/>
      <c r="N253" s="107"/>
      <c r="O253" s="98"/>
      <c r="P253" s="75"/>
      <c r="Q253" s="100"/>
      <c r="R253" s="93"/>
      <c r="S253" s="75"/>
      <c r="T253" s="75"/>
      <c r="V253" s="84"/>
    </row>
    <row r="254" ht="15.75" customHeight="1">
      <c r="A254" s="70"/>
      <c r="B254" s="116"/>
      <c r="C254" s="117"/>
      <c r="D254" s="75"/>
      <c r="E254" s="118"/>
      <c r="F254" s="118"/>
      <c r="G254" s="75"/>
      <c r="H254" s="117"/>
      <c r="I254" s="75"/>
      <c r="J254" s="75"/>
      <c r="K254" s="121"/>
      <c r="L254" s="122"/>
      <c r="M254" s="80"/>
      <c r="N254" s="107"/>
      <c r="O254" s="98"/>
      <c r="P254" s="75"/>
      <c r="Q254" s="100"/>
      <c r="R254" s="93"/>
      <c r="S254" s="75"/>
      <c r="T254" s="75"/>
      <c r="V254" s="84"/>
    </row>
    <row r="255" ht="15.75" customHeight="1">
      <c r="A255" s="70"/>
      <c r="B255" s="116"/>
      <c r="C255" s="117"/>
      <c r="D255" s="75"/>
      <c r="E255" s="118"/>
      <c r="F255" s="118"/>
      <c r="G255" s="75"/>
      <c r="H255" s="117"/>
      <c r="I255" s="75"/>
      <c r="J255" s="75"/>
      <c r="K255" s="123"/>
      <c r="L255" s="124"/>
      <c r="M255" s="80"/>
      <c r="N255" s="107"/>
      <c r="O255" s="98"/>
      <c r="P255" s="75"/>
      <c r="Q255" s="100"/>
      <c r="R255" s="93"/>
      <c r="S255" s="75"/>
      <c r="T255" s="75"/>
      <c r="V255" s="84"/>
    </row>
    <row r="256" ht="15.75" customHeight="1">
      <c r="A256" s="70"/>
      <c r="B256" s="116"/>
      <c r="C256" s="117"/>
      <c r="D256" s="75"/>
      <c r="E256" s="118"/>
      <c r="F256" s="118"/>
      <c r="G256" s="75"/>
      <c r="H256" s="117"/>
      <c r="I256" s="75"/>
      <c r="J256" s="75"/>
      <c r="K256" s="121"/>
      <c r="L256" s="122"/>
      <c r="M256" s="80"/>
      <c r="N256" s="107"/>
      <c r="O256" s="98"/>
      <c r="P256" s="75"/>
      <c r="Q256" s="100"/>
      <c r="R256" s="93"/>
      <c r="S256" s="75"/>
      <c r="T256" s="75"/>
      <c r="V256" s="84"/>
    </row>
    <row r="257" ht="15.75" customHeight="1">
      <c r="A257" s="70"/>
      <c r="B257" s="116"/>
      <c r="C257" s="117"/>
      <c r="D257" s="75"/>
      <c r="E257" s="118"/>
      <c r="F257" s="118"/>
      <c r="G257" s="75"/>
      <c r="H257" s="117"/>
      <c r="I257" s="75"/>
      <c r="J257" s="75"/>
      <c r="K257" s="123"/>
      <c r="L257" s="124"/>
      <c r="M257" s="80"/>
      <c r="N257" s="107"/>
      <c r="O257" s="98"/>
      <c r="P257" s="75"/>
      <c r="Q257" s="100"/>
      <c r="R257" s="93"/>
      <c r="S257" s="75"/>
      <c r="T257" s="75"/>
      <c r="V257" s="84"/>
    </row>
    <row r="258" ht="15.75" customHeight="1">
      <c r="A258" s="70"/>
      <c r="B258" s="116"/>
      <c r="C258" s="117"/>
      <c r="D258" s="75"/>
      <c r="E258" s="118"/>
      <c r="F258" s="118"/>
      <c r="G258" s="75"/>
      <c r="H258" s="117"/>
      <c r="I258" s="75"/>
      <c r="J258" s="75"/>
      <c r="K258" s="121"/>
      <c r="L258" s="122"/>
      <c r="M258" s="80"/>
      <c r="N258" s="107"/>
      <c r="O258" s="98"/>
      <c r="P258" s="75"/>
      <c r="Q258" s="100"/>
      <c r="R258" s="93"/>
      <c r="S258" s="75"/>
      <c r="T258" s="75"/>
      <c r="V258" s="84"/>
    </row>
    <row r="259" ht="15.75" customHeight="1">
      <c r="A259" s="70"/>
      <c r="B259" s="116"/>
      <c r="C259" s="84"/>
      <c r="D259" s="75"/>
      <c r="E259" s="118"/>
      <c r="F259" s="118"/>
      <c r="G259" s="75"/>
      <c r="H259" s="117"/>
      <c r="I259" s="75"/>
      <c r="J259" s="75"/>
      <c r="K259" s="123"/>
      <c r="L259" s="124"/>
      <c r="M259" s="80"/>
      <c r="N259" s="107"/>
      <c r="O259" s="98"/>
      <c r="P259" s="75"/>
      <c r="Q259" s="100"/>
      <c r="R259" s="93"/>
      <c r="S259" s="75"/>
      <c r="T259" s="75"/>
      <c r="V259" s="84"/>
    </row>
    <row r="260" ht="15.75" customHeight="1">
      <c r="A260" s="70"/>
      <c r="B260" s="116"/>
      <c r="C260" s="117"/>
      <c r="D260" s="75"/>
      <c r="E260" s="118"/>
      <c r="F260" s="118"/>
      <c r="G260" s="75"/>
      <c r="H260" s="117"/>
      <c r="I260" s="75"/>
      <c r="J260" s="75"/>
      <c r="K260" s="121"/>
      <c r="L260" s="122"/>
      <c r="M260" s="80"/>
      <c r="N260" s="107"/>
      <c r="O260" s="98"/>
      <c r="P260" s="75"/>
      <c r="Q260" s="100"/>
      <c r="R260" s="93"/>
      <c r="S260" s="75"/>
      <c r="T260" s="75"/>
      <c r="V260" s="84"/>
    </row>
    <row r="261" ht="15.75" customHeight="1">
      <c r="A261" s="70"/>
      <c r="B261" s="116"/>
      <c r="C261" s="117"/>
      <c r="D261" s="75"/>
      <c r="E261" s="118"/>
      <c r="F261" s="118"/>
      <c r="G261" s="75"/>
      <c r="H261" s="117"/>
      <c r="I261" s="75"/>
      <c r="J261" s="75"/>
      <c r="K261" s="123"/>
      <c r="L261" s="124"/>
      <c r="M261" s="80"/>
      <c r="N261" s="107"/>
      <c r="O261" s="98"/>
      <c r="P261" s="75"/>
      <c r="Q261" s="100"/>
      <c r="R261" s="93"/>
      <c r="S261" s="75"/>
      <c r="T261" s="75"/>
      <c r="V261" s="84"/>
    </row>
    <row r="262" ht="15.75" customHeight="1">
      <c r="A262" s="70"/>
      <c r="B262" s="116"/>
      <c r="C262" s="117"/>
      <c r="D262" s="75"/>
      <c r="E262" s="118"/>
      <c r="F262" s="118"/>
      <c r="G262" s="75"/>
      <c r="H262" s="117"/>
      <c r="I262" s="75"/>
      <c r="J262" s="75"/>
      <c r="K262" s="121"/>
      <c r="L262" s="122"/>
      <c r="M262" s="80"/>
      <c r="N262" s="107"/>
      <c r="O262" s="98"/>
      <c r="P262" s="75"/>
      <c r="Q262" s="100"/>
      <c r="R262" s="93"/>
      <c r="S262" s="75"/>
      <c r="T262" s="75"/>
      <c r="V262" s="84"/>
    </row>
    <row r="263" ht="15.75" customHeight="1">
      <c r="A263" s="70"/>
      <c r="B263" s="116"/>
      <c r="C263" s="117"/>
      <c r="D263" s="75"/>
      <c r="E263" s="118"/>
      <c r="F263" s="118"/>
      <c r="G263" s="75"/>
      <c r="H263" s="117"/>
      <c r="I263" s="75"/>
      <c r="J263" s="75"/>
      <c r="K263" s="123"/>
      <c r="L263" s="124"/>
      <c r="M263" s="80"/>
      <c r="N263" s="107"/>
      <c r="O263" s="98"/>
      <c r="P263" s="75"/>
      <c r="Q263" s="100"/>
      <c r="R263" s="93"/>
      <c r="S263" s="75"/>
      <c r="T263" s="75"/>
      <c r="V263" s="84"/>
    </row>
    <row r="264" ht="15.75" customHeight="1">
      <c r="A264" s="70"/>
      <c r="B264" s="116"/>
      <c r="C264" s="117"/>
      <c r="D264" s="75"/>
      <c r="E264" s="118"/>
      <c r="F264" s="118"/>
      <c r="G264" s="75"/>
      <c r="H264" s="117"/>
      <c r="I264" s="75"/>
      <c r="J264" s="75"/>
      <c r="K264" s="121"/>
      <c r="L264" s="122"/>
      <c r="M264" s="80"/>
      <c r="N264" s="107"/>
      <c r="O264" s="98"/>
      <c r="P264" s="75"/>
      <c r="Q264" s="100"/>
      <c r="R264" s="93"/>
      <c r="S264" s="75"/>
      <c r="T264" s="75"/>
      <c r="V264" s="84"/>
    </row>
    <row r="265" ht="15.75" customHeight="1">
      <c r="A265" s="70"/>
      <c r="B265" s="116"/>
      <c r="C265" s="84"/>
      <c r="D265" s="75"/>
      <c r="E265" s="118"/>
      <c r="F265" s="118"/>
      <c r="G265" s="75"/>
      <c r="H265" s="117"/>
      <c r="I265" s="75"/>
      <c r="J265" s="75"/>
      <c r="K265" s="123"/>
      <c r="L265" s="124"/>
      <c r="M265" s="80"/>
      <c r="N265" s="107"/>
      <c r="O265" s="98"/>
      <c r="P265" s="75"/>
      <c r="Q265" s="100"/>
      <c r="R265" s="93"/>
      <c r="S265" s="75"/>
      <c r="T265" s="75"/>
      <c r="V265" s="84"/>
    </row>
    <row r="266" ht="15.75" customHeight="1">
      <c r="A266" s="70"/>
      <c r="B266" s="116"/>
      <c r="C266" s="117"/>
      <c r="D266" s="75"/>
      <c r="E266" s="118"/>
      <c r="F266" s="118"/>
      <c r="G266" s="75"/>
      <c r="H266" s="117"/>
      <c r="I266" s="75"/>
      <c r="J266" s="75"/>
      <c r="K266" s="121"/>
      <c r="L266" s="122"/>
      <c r="M266" s="80"/>
      <c r="N266" s="107"/>
      <c r="O266" s="98"/>
      <c r="P266" s="75"/>
      <c r="Q266" s="100"/>
      <c r="R266" s="93"/>
      <c r="S266" s="75"/>
      <c r="T266" s="75"/>
      <c r="V266" s="84"/>
    </row>
    <row r="267" ht="15.75" customHeight="1">
      <c r="A267" s="70"/>
      <c r="B267" s="116"/>
      <c r="C267" s="117"/>
      <c r="D267" s="75"/>
      <c r="E267" s="118"/>
      <c r="F267" s="118"/>
      <c r="G267" s="75"/>
      <c r="H267" s="117"/>
      <c r="I267" s="75"/>
      <c r="J267" s="75"/>
      <c r="K267" s="123"/>
      <c r="L267" s="124"/>
      <c r="M267" s="80"/>
      <c r="N267" s="107"/>
      <c r="O267" s="98"/>
      <c r="P267" s="75"/>
      <c r="Q267" s="100"/>
      <c r="R267" s="93"/>
      <c r="S267" s="75"/>
      <c r="T267" s="75"/>
      <c r="V267" s="84"/>
    </row>
    <row r="268" ht="15.75" customHeight="1">
      <c r="A268" s="70"/>
      <c r="B268" s="116"/>
      <c r="C268" s="117"/>
      <c r="D268" s="75"/>
      <c r="E268" s="118"/>
      <c r="F268" s="118"/>
      <c r="G268" s="75"/>
      <c r="H268" s="117"/>
      <c r="I268" s="75"/>
      <c r="J268" s="75"/>
      <c r="K268" s="121"/>
      <c r="L268" s="122"/>
      <c r="M268" s="80"/>
      <c r="N268" s="107"/>
      <c r="O268" s="98"/>
      <c r="P268" s="75"/>
      <c r="Q268" s="100"/>
      <c r="R268" s="93"/>
      <c r="S268" s="75"/>
      <c r="T268" s="75"/>
      <c r="V268" s="84"/>
    </row>
    <row r="269" ht="15.75" customHeight="1">
      <c r="A269" s="70"/>
      <c r="B269" s="116"/>
      <c r="C269" s="117"/>
      <c r="D269" s="75"/>
      <c r="E269" s="118"/>
      <c r="F269" s="118"/>
      <c r="G269" s="75"/>
      <c r="H269" s="117"/>
      <c r="I269" s="75"/>
      <c r="J269" s="75"/>
      <c r="K269" s="123"/>
      <c r="L269" s="124"/>
      <c r="M269" s="80"/>
      <c r="N269" s="107"/>
      <c r="O269" s="98"/>
      <c r="P269" s="75"/>
      <c r="Q269" s="100"/>
      <c r="R269" s="93"/>
      <c r="S269" s="75"/>
      <c r="T269" s="75"/>
      <c r="V269" s="84"/>
    </row>
    <row r="270" ht="15.75" customHeight="1">
      <c r="A270" s="70"/>
      <c r="B270" s="116"/>
      <c r="C270" s="117"/>
      <c r="D270" s="75"/>
      <c r="E270" s="118"/>
      <c r="F270" s="118"/>
      <c r="G270" s="75"/>
      <c r="H270" s="117"/>
      <c r="I270" s="75"/>
      <c r="J270" s="75"/>
      <c r="K270" s="121"/>
      <c r="L270" s="122"/>
      <c r="M270" s="80"/>
      <c r="N270" s="107"/>
      <c r="O270" s="98"/>
      <c r="P270" s="75"/>
      <c r="Q270" s="100"/>
      <c r="R270" s="93"/>
      <c r="S270" s="75"/>
      <c r="T270" s="75"/>
      <c r="V270" s="84"/>
    </row>
    <row r="271" ht="15.75" customHeight="1">
      <c r="A271" s="70"/>
      <c r="B271" s="116"/>
      <c r="C271" s="84"/>
      <c r="D271" s="75"/>
      <c r="E271" s="118"/>
      <c r="F271" s="118"/>
      <c r="G271" s="75"/>
      <c r="H271" s="117"/>
      <c r="I271" s="75"/>
      <c r="J271" s="75"/>
      <c r="K271" s="123"/>
      <c r="L271" s="124"/>
      <c r="M271" s="80"/>
      <c r="N271" s="107"/>
      <c r="O271" s="98"/>
      <c r="P271" s="75"/>
      <c r="Q271" s="100"/>
      <c r="R271" s="93"/>
      <c r="S271" s="75"/>
      <c r="T271" s="75"/>
      <c r="V271" s="84"/>
    </row>
    <row r="272" ht="15.75" customHeight="1">
      <c r="A272" s="70"/>
      <c r="B272" s="116"/>
      <c r="C272" s="117"/>
      <c r="D272" s="75"/>
      <c r="E272" s="118"/>
      <c r="F272" s="118"/>
      <c r="G272" s="75"/>
      <c r="H272" s="117"/>
      <c r="I272" s="75"/>
      <c r="J272" s="75"/>
      <c r="K272" s="121"/>
      <c r="L272" s="122"/>
      <c r="M272" s="80"/>
      <c r="N272" s="107"/>
      <c r="O272" s="98"/>
      <c r="P272" s="75"/>
      <c r="Q272" s="100"/>
      <c r="R272" s="93"/>
      <c r="S272" s="75"/>
      <c r="T272" s="75"/>
      <c r="V272" s="84"/>
    </row>
    <row r="273" ht="15.75" customHeight="1">
      <c r="A273" s="70"/>
      <c r="B273" s="116"/>
      <c r="C273" s="117"/>
      <c r="D273" s="75"/>
      <c r="E273" s="118"/>
      <c r="F273" s="118"/>
      <c r="G273" s="75"/>
      <c r="H273" s="117"/>
      <c r="I273" s="75"/>
      <c r="J273" s="75"/>
      <c r="K273" s="123"/>
      <c r="L273" s="124"/>
      <c r="M273" s="80"/>
      <c r="N273" s="107"/>
      <c r="O273" s="98"/>
      <c r="P273" s="75"/>
      <c r="Q273" s="100"/>
      <c r="R273" s="93"/>
      <c r="S273" s="75"/>
      <c r="T273" s="75"/>
      <c r="V273" s="84"/>
    </row>
    <row r="274" ht="15.75" customHeight="1">
      <c r="A274" s="70"/>
      <c r="B274" s="116"/>
      <c r="C274" s="117"/>
      <c r="D274" s="75"/>
      <c r="E274" s="118"/>
      <c r="F274" s="118"/>
      <c r="G274" s="75"/>
      <c r="H274" s="117"/>
      <c r="I274" s="75"/>
      <c r="J274" s="75"/>
      <c r="K274" s="121"/>
      <c r="L274" s="122"/>
      <c r="M274" s="80"/>
      <c r="N274" s="107"/>
      <c r="O274" s="98"/>
      <c r="P274" s="75"/>
      <c r="Q274" s="100"/>
      <c r="R274" s="93"/>
      <c r="S274" s="75"/>
      <c r="T274" s="75"/>
      <c r="V274" s="84"/>
    </row>
    <row r="275" ht="15.75" customHeight="1">
      <c r="A275" s="70"/>
      <c r="B275" s="116"/>
      <c r="C275" s="117"/>
      <c r="D275" s="75"/>
      <c r="E275" s="118"/>
      <c r="F275" s="118"/>
      <c r="G275" s="75"/>
      <c r="H275" s="117"/>
      <c r="I275" s="75"/>
      <c r="J275" s="75"/>
      <c r="K275" s="123"/>
      <c r="L275" s="124"/>
      <c r="M275" s="80"/>
      <c r="N275" s="107"/>
      <c r="O275" s="98"/>
      <c r="P275" s="75"/>
      <c r="Q275" s="100"/>
      <c r="R275" s="93"/>
      <c r="S275" s="75"/>
      <c r="T275" s="75"/>
      <c r="V275" s="84"/>
    </row>
    <row r="276" ht="15.75" customHeight="1">
      <c r="A276" s="70"/>
      <c r="B276" s="116"/>
      <c r="C276" s="117"/>
      <c r="D276" s="75"/>
      <c r="E276" s="118"/>
      <c r="F276" s="118"/>
      <c r="G276" s="75"/>
      <c r="H276" s="117"/>
      <c r="I276" s="75"/>
      <c r="J276" s="75"/>
      <c r="K276" s="121"/>
      <c r="L276" s="122"/>
      <c r="M276" s="80"/>
      <c r="N276" s="107"/>
      <c r="O276" s="98"/>
      <c r="P276" s="75"/>
      <c r="Q276" s="100"/>
      <c r="R276" s="93"/>
      <c r="S276" s="75"/>
      <c r="T276" s="75"/>
      <c r="V276" s="84"/>
    </row>
    <row r="277" ht="15.75" customHeight="1">
      <c r="A277" s="70"/>
      <c r="B277" s="116"/>
      <c r="C277" s="84"/>
      <c r="D277" s="75"/>
      <c r="E277" s="118"/>
      <c r="F277" s="118"/>
      <c r="G277" s="75"/>
      <c r="H277" s="117"/>
      <c r="I277" s="75"/>
      <c r="J277" s="75"/>
      <c r="K277" s="123"/>
      <c r="L277" s="124"/>
      <c r="M277" s="80"/>
      <c r="N277" s="107"/>
      <c r="O277" s="98"/>
      <c r="P277" s="75"/>
      <c r="Q277" s="100"/>
      <c r="R277" s="93"/>
      <c r="S277" s="75"/>
      <c r="T277" s="75"/>
      <c r="V277" s="84"/>
    </row>
    <row r="278" ht="15.75" customHeight="1">
      <c r="A278" s="70"/>
      <c r="B278" s="116"/>
      <c r="C278" s="117"/>
      <c r="D278" s="75"/>
      <c r="E278" s="118"/>
      <c r="F278" s="118"/>
      <c r="G278" s="75"/>
      <c r="H278" s="117"/>
      <c r="I278" s="75"/>
      <c r="J278" s="75"/>
      <c r="K278" s="121"/>
      <c r="L278" s="122"/>
      <c r="M278" s="80"/>
      <c r="N278" s="107"/>
      <c r="O278" s="98"/>
      <c r="P278" s="75"/>
      <c r="Q278" s="100"/>
      <c r="R278" s="93"/>
      <c r="S278" s="75"/>
      <c r="T278" s="75"/>
      <c r="V278" s="84"/>
    </row>
    <row r="279" ht="15.75" customHeight="1">
      <c r="A279" s="70"/>
      <c r="B279" s="116"/>
      <c r="C279" s="117"/>
      <c r="D279" s="75"/>
      <c r="E279" s="118"/>
      <c r="F279" s="118"/>
      <c r="G279" s="75"/>
      <c r="H279" s="117"/>
      <c r="I279" s="75"/>
      <c r="J279" s="75"/>
      <c r="K279" s="123"/>
      <c r="L279" s="124"/>
      <c r="M279" s="80"/>
      <c r="N279" s="107"/>
      <c r="O279" s="98"/>
      <c r="P279" s="75"/>
      <c r="Q279" s="100"/>
      <c r="R279" s="93"/>
      <c r="S279" s="75"/>
      <c r="T279" s="75"/>
      <c r="V279" s="84"/>
    </row>
    <row r="280" ht="15.75" customHeight="1">
      <c r="A280" s="70"/>
      <c r="B280" s="116"/>
      <c r="C280" s="117"/>
      <c r="D280" s="75"/>
      <c r="E280" s="118"/>
      <c r="F280" s="118"/>
      <c r="G280" s="75"/>
      <c r="H280" s="117"/>
      <c r="I280" s="75"/>
      <c r="J280" s="75"/>
      <c r="K280" s="121"/>
      <c r="L280" s="122"/>
      <c r="M280" s="80"/>
      <c r="N280" s="107"/>
      <c r="O280" s="98"/>
      <c r="P280" s="75"/>
      <c r="Q280" s="100"/>
      <c r="R280" s="93"/>
      <c r="S280" s="75"/>
      <c r="T280" s="75"/>
      <c r="V280" s="84"/>
    </row>
    <row r="281" ht="15.75" customHeight="1">
      <c r="A281" s="70"/>
      <c r="B281" s="116"/>
      <c r="C281" s="117"/>
      <c r="D281" s="75"/>
      <c r="E281" s="118"/>
      <c r="F281" s="118"/>
      <c r="G281" s="75"/>
      <c r="H281" s="117"/>
      <c r="I281" s="75"/>
      <c r="J281" s="75"/>
      <c r="K281" s="123"/>
      <c r="L281" s="124"/>
      <c r="M281" s="80"/>
      <c r="N281" s="107"/>
      <c r="O281" s="98"/>
      <c r="P281" s="75"/>
      <c r="Q281" s="100"/>
      <c r="R281" s="93"/>
      <c r="S281" s="75"/>
      <c r="T281" s="75"/>
      <c r="V281" s="84"/>
    </row>
    <row r="282" ht="15.75" customHeight="1">
      <c r="A282" s="70"/>
      <c r="B282" s="116"/>
      <c r="C282" s="117"/>
      <c r="D282" s="75"/>
      <c r="E282" s="118"/>
      <c r="F282" s="118"/>
      <c r="G282" s="75"/>
      <c r="H282" s="117"/>
      <c r="I282" s="75"/>
      <c r="J282" s="75"/>
      <c r="K282" s="121"/>
      <c r="L282" s="122"/>
      <c r="M282" s="80"/>
      <c r="N282" s="107"/>
      <c r="O282" s="98"/>
      <c r="P282" s="75"/>
      <c r="Q282" s="100"/>
      <c r="R282" s="93"/>
      <c r="S282" s="75"/>
      <c r="T282" s="75"/>
      <c r="V282" s="84"/>
    </row>
    <row r="283" ht="15.75" customHeight="1">
      <c r="A283" s="70"/>
      <c r="B283" s="116"/>
      <c r="C283" s="84"/>
      <c r="D283" s="75"/>
      <c r="E283" s="118"/>
      <c r="F283" s="118"/>
      <c r="G283" s="75"/>
      <c r="H283" s="117"/>
      <c r="I283" s="75"/>
      <c r="J283" s="75"/>
      <c r="K283" s="123"/>
      <c r="L283" s="124"/>
      <c r="M283" s="80"/>
      <c r="N283" s="107"/>
      <c r="O283" s="98"/>
      <c r="P283" s="75"/>
      <c r="Q283" s="100"/>
      <c r="R283" s="93"/>
      <c r="S283" s="75"/>
      <c r="T283" s="75"/>
      <c r="V283" s="84"/>
    </row>
    <row r="284" ht="15.75" customHeight="1">
      <c r="A284" s="70"/>
      <c r="B284" s="116"/>
      <c r="C284" s="117"/>
      <c r="D284" s="75"/>
      <c r="E284" s="118"/>
      <c r="F284" s="118"/>
      <c r="G284" s="75"/>
      <c r="H284" s="117"/>
      <c r="I284" s="75"/>
      <c r="J284" s="75"/>
      <c r="K284" s="121"/>
      <c r="L284" s="122"/>
      <c r="M284" s="80"/>
      <c r="N284" s="107"/>
      <c r="O284" s="98"/>
      <c r="P284" s="75"/>
      <c r="Q284" s="100"/>
      <c r="R284" s="93"/>
      <c r="S284" s="75"/>
      <c r="T284" s="75"/>
      <c r="V284" s="84"/>
    </row>
    <row r="285" ht="15.75" customHeight="1">
      <c r="A285" s="70"/>
      <c r="B285" s="116"/>
      <c r="C285" s="117"/>
      <c r="D285" s="75"/>
      <c r="E285" s="118"/>
      <c r="F285" s="118"/>
      <c r="G285" s="75"/>
      <c r="H285" s="117"/>
      <c r="I285" s="75"/>
      <c r="J285" s="75"/>
      <c r="K285" s="123"/>
      <c r="L285" s="124"/>
      <c r="M285" s="80"/>
      <c r="N285" s="107"/>
      <c r="O285" s="98"/>
      <c r="P285" s="75"/>
      <c r="Q285" s="100"/>
      <c r="R285" s="93"/>
      <c r="S285" s="75"/>
      <c r="T285" s="75"/>
      <c r="V285" s="84"/>
    </row>
    <row r="286" ht="15.75" customHeight="1">
      <c r="A286" s="70"/>
      <c r="B286" s="116"/>
      <c r="C286" s="117"/>
      <c r="D286" s="75"/>
      <c r="E286" s="118"/>
      <c r="F286" s="118"/>
      <c r="G286" s="75"/>
      <c r="H286" s="117"/>
      <c r="I286" s="75"/>
      <c r="J286" s="75"/>
      <c r="K286" s="121"/>
      <c r="L286" s="122"/>
      <c r="M286" s="80"/>
      <c r="N286" s="107"/>
      <c r="O286" s="98"/>
      <c r="P286" s="75"/>
      <c r="Q286" s="100"/>
      <c r="R286" s="93"/>
      <c r="S286" s="75"/>
      <c r="T286" s="75"/>
      <c r="V286" s="84"/>
    </row>
    <row r="287" ht="15.75" customHeight="1">
      <c r="A287" s="70"/>
      <c r="B287" s="116"/>
      <c r="C287" s="117"/>
      <c r="D287" s="75"/>
      <c r="E287" s="118"/>
      <c r="F287" s="118"/>
      <c r="G287" s="75"/>
      <c r="H287" s="117"/>
      <c r="I287" s="75"/>
      <c r="J287" s="75"/>
      <c r="K287" s="123"/>
      <c r="L287" s="124"/>
      <c r="M287" s="80"/>
      <c r="N287" s="107"/>
      <c r="O287" s="98"/>
      <c r="P287" s="75"/>
      <c r="Q287" s="100"/>
      <c r="R287" s="93"/>
      <c r="S287" s="75"/>
      <c r="T287" s="75"/>
      <c r="V287" s="84"/>
    </row>
    <row r="288" ht="15.75" customHeight="1">
      <c r="A288" s="70"/>
      <c r="B288" s="116"/>
      <c r="C288" s="117"/>
      <c r="D288" s="75"/>
      <c r="E288" s="118"/>
      <c r="F288" s="118"/>
      <c r="G288" s="75"/>
      <c r="H288" s="117"/>
      <c r="I288" s="75"/>
      <c r="J288" s="75"/>
      <c r="K288" s="121"/>
      <c r="L288" s="122"/>
      <c r="M288" s="80"/>
      <c r="N288" s="107"/>
      <c r="O288" s="98"/>
      <c r="P288" s="75"/>
      <c r="Q288" s="100"/>
      <c r="R288" s="93"/>
      <c r="S288" s="75"/>
      <c r="T288" s="75"/>
      <c r="V288" s="84"/>
    </row>
    <row r="289" ht="15.75" customHeight="1">
      <c r="A289" s="70"/>
      <c r="B289" s="116"/>
      <c r="C289" s="84"/>
      <c r="D289" s="75"/>
      <c r="E289" s="118"/>
      <c r="F289" s="118"/>
      <c r="G289" s="75"/>
      <c r="H289" s="117"/>
      <c r="I289" s="75"/>
      <c r="J289" s="75"/>
      <c r="K289" s="123"/>
      <c r="L289" s="124"/>
      <c r="M289" s="80"/>
      <c r="N289" s="107"/>
      <c r="O289" s="98"/>
      <c r="P289" s="75"/>
      <c r="Q289" s="100"/>
      <c r="R289" s="93"/>
      <c r="S289" s="75"/>
      <c r="T289" s="75"/>
      <c r="V289" s="84"/>
    </row>
    <row r="290" ht="15.75" customHeight="1">
      <c r="A290" s="70"/>
      <c r="B290" s="116"/>
      <c r="C290" s="117"/>
      <c r="D290" s="75"/>
      <c r="E290" s="118"/>
      <c r="F290" s="118"/>
      <c r="G290" s="75"/>
      <c r="H290" s="117"/>
      <c r="I290" s="75"/>
      <c r="J290" s="75"/>
      <c r="K290" s="121"/>
      <c r="L290" s="122"/>
      <c r="M290" s="80"/>
      <c r="N290" s="107"/>
      <c r="O290" s="98"/>
      <c r="P290" s="75"/>
      <c r="Q290" s="100"/>
      <c r="R290" s="93"/>
      <c r="S290" s="75"/>
      <c r="T290" s="75"/>
      <c r="V290" s="84"/>
    </row>
    <row r="291" ht="15.75" customHeight="1">
      <c r="A291" s="70"/>
      <c r="B291" s="116"/>
      <c r="C291" s="117"/>
      <c r="D291" s="75"/>
      <c r="E291" s="118"/>
      <c r="F291" s="118"/>
      <c r="G291" s="75"/>
      <c r="H291" s="117"/>
      <c r="I291" s="75"/>
      <c r="J291" s="75"/>
      <c r="K291" s="123"/>
      <c r="L291" s="124"/>
      <c r="M291" s="80"/>
      <c r="N291" s="107"/>
      <c r="O291" s="98"/>
      <c r="P291" s="75"/>
      <c r="Q291" s="100"/>
      <c r="R291" s="93"/>
      <c r="S291" s="75"/>
      <c r="T291" s="75"/>
      <c r="V291" s="84"/>
    </row>
    <row r="292" ht="15.75" customHeight="1">
      <c r="A292" s="70"/>
      <c r="B292" s="116"/>
      <c r="C292" s="117"/>
      <c r="D292" s="75"/>
      <c r="E292" s="118"/>
      <c r="F292" s="118"/>
      <c r="G292" s="75"/>
      <c r="H292" s="117"/>
      <c r="I292" s="75"/>
      <c r="J292" s="75"/>
      <c r="K292" s="121"/>
      <c r="L292" s="122"/>
      <c r="M292" s="80"/>
      <c r="N292" s="107"/>
      <c r="O292" s="98"/>
      <c r="P292" s="75"/>
      <c r="Q292" s="100"/>
      <c r="R292" s="93"/>
      <c r="S292" s="75"/>
      <c r="T292" s="75"/>
      <c r="V292" s="84"/>
    </row>
    <row r="293" ht="15.75" customHeight="1">
      <c r="A293" s="70"/>
      <c r="B293" s="116"/>
      <c r="C293" s="117"/>
      <c r="D293" s="75"/>
      <c r="E293" s="118"/>
      <c r="F293" s="118"/>
      <c r="G293" s="75"/>
      <c r="H293" s="117"/>
      <c r="I293" s="75"/>
      <c r="J293" s="75"/>
      <c r="K293" s="123"/>
      <c r="L293" s="124"/>
      <c r="M293" s="80"/>
      <c r="N293" s="107"/>
      <c r="O293" s="98"/>
      <c r="P293" s="75"/>
      <c r="Q293" s="100"/>
      <c r="R293" s="93"/>
      <c r="S293" s="75"/>
      <c r="T293" s="75"/>
      <c r="V293" s="84"/>
    </row>
    <row r="294" ht="15.75" customHeight="1">
      <c r="A294" s="70"/>
      <c r="B294" s="116"/>
      <c r="C294" s="117"/>
      <c r="D294" s="75"/>
      <c r="E294" s="118"/>
      <c r="F294" s="118"/>
      <c r="G294" s="75"/>
      <c r="H294" s="117"/>
      <c r="I294" s="75"/>
      <c r="J294" s="75"/>
      <c r="K294" s="121"/>
      <c r="L294" s="122"/>
      <c r="M294" s="80"/>
      <c r="N294" s="107"/>
      <c r="O294" s="98"/>
      <c r="P294" s="75"/>
      <c r="Q294" s="100"/>
      <c r="R294" s="93"/>
      <c r="S294" s="75"/>
      <c r="T294" s="75"/>
      <c r="V294" s="84"/>
    </row>
    <row r="295" ht="15.75" customHeight="1">
      <c r="A295" s="70"/>
      <c r="B295" s="116"/>
      <c r="C295" s="84"/>
      <c r="D295" s="75"/>
      <c r="E295" s="118"/>
      <c r="F295" s="118"/>
      <c r="G295" s="75"/>
      <c r="H295" s="117"/>
      <c r="I295" s="75"/>
      <c r="J295" s="75"/>
      <c r="K295" s="123"/>
      <c r="L295" s="124"/>
      <c r="M295" s="80"/>
      <c r="N295" s="107"/>
      <c r="O295" s="98"/>
      <c r="P295" s="75"/>
      <c r="Q295" s="100"/>
      <c r="R295" s="93"/>
      <c r="S295" s="75"/>
      <c r="T295" s="75"/>
      <c r="V295" s="84"/>
    </row>
    <row r="296" ht="15.75" customHeight="1">
      <c r="A296" s="70"/>
      <c r="B296" s="116"/>
      <c r="C296" s="117"/>
      <c r="D296" s="75"/>
      <c r="E296" s="118"/>
      <c r="F296" s="118"/>
      <c r="G296" s="75"/>
      <c r="H296" s="117"/>
      <c r="I296" s="75"/>
      <c r="J296" s="75"/>
      <c r="K296" s="121"/>
      <c r="L296" s="122"/>
      <c r="M296" s="80"/>
      <c r="N296" s="107"/>
      <c r="O296" s="98"/>
      <c r="P296" s="75"/>
      <c r="Q296" s="100"/>
      <c r="R296" s="93"/>
      <c r="S296" s="75"/>
      <c r="T296" s="75"/>
      <c r="V296" s="84"/>
    </row>
    <row r="297" ht="15.75" customHeight="1">
      <c r="A297" s="70"/>
      <c r="B297" s="116"/>
      <c r="C297" s="117"/>
      <c r="D297" s="75"/>
      <c r="E297" s="118"/>
      <c r="F297" s="118"/>
      <c r="G297" s="75"/>
      <c r="H297" s="117"/>
      <c r="I297" s="75"/>
      <c r="J297" s="75"/>
      <c r="K297" s="123"/>
      <c r="L297" s="124"/>
      <c r="M297" s="80"/>
      <c r="N297" s="107"/>
      <c r="O297" s="98"/>
      <c r="P297" s="75"/>
      <c r="Q297" s="100"/>
      <c r="R297" s="93"/>
      <c r="S297" s="75"/>
      <c r="T297" s="75"/>
      <c r="V297" s="84"/>
    </row>
    <row r="298" ht="15.75" customHeight="1">
      <c r="A298" s="70"/>
      <c r="B298" s="116"/>
      <c r="C298" s="117"/>
      <c r="D298" s="75"/>
      <c r="E298" s="118"/>
      <c r="F298" s="118"/>
      <c r="G298" s="75"/>
      <c r="H298" s="117"/>
      <c r="I298" s="75"/>
      <c r="J298" s="75"/>
      <c r="K298" s="121"/>
      <c r="L298" s="122"/>
      <c r="M298" s="80"/>
      <c r="N298" s="107"/>
      <c r="O298" s="98"/>
      <c r="P298" s="75"/>
      <c r="Q298" s="100"/>
      <c r="R298" s="93"/>
      <c r="S298" s="75"/>
      <c r="T298" s="75"/>
      <c r="V298" s="84"/>
    </row>
    <row r="299" ht="15.75" customHeight="1">
      <c r="A299" s="70"/>
      <c r="B299" s="116"/>
      <c r="C299" s="117"/>
      <c r="D299" s="75"/>
      <c r="E299" s="118"/>
      <c r="F299" s="118"/>
      <c r="G299" s="75"/>
      <c r="H299" s="117"/>
      <c r="I299" s="75"/>
      <c r="J299" s="75"/>
      <c r="K299" s="123"/>
      <c r="L299" s="124"/>
      <c r="M299" s="80"/>
      <c r="N299" s="107"/>
      <c r="O299" s="98"/>
      <c r="P299" s="75"/>
      <c r="Q299" s="100"/>
      <c r="R299" s="93"/>
      <c r="S299" s="75"/>
      <c r="T299" s="75"/>
      <c r="V299" s="84"/>
    </row>
    <row r="300" ht="15.75" customHeight="1">
      <c r="A300" s="70"/>
      <c r="B300" s="116"/>
      <c r="C300" s="117"/>
      <c r="D300" s="75"/>
      <c r="E300" s="118"/>
      <c r="F300" s="118"/>
      <c r="G300" s="75"/>
      <c r="H300" s="117"/>
      <c r="I300" s="75"/>
      <c r="J300" s="75"/>
      <c r="K300" s="121"/>
      <c r="L300" s="122"/>
      <c r="M300" s="80"/>
      <c r="N300" s="107"/>
      <c r="O300" s="98"/>
      <c r="P300" s="75"/>
      <c r="Q300" s="100"/>
      <c r="R300" s="93"/>
      <c r="S300" s="75"/>
      <c r="T300" s="75"/>
      <c r="V300" s="84"/>
    </row>
    <row r="301" ht="15.75" customHeight="1">
      <c r="A301" s="70"/>
      <c r="B301" s="116"/>
      <c r="C301" s="84"/>
      <c r="D301" s="75"/>
      <c r="E301" s="118"/>
      <c r="F301" s="118"/>
      <c r="G301" s="75"/>
      <c r="H301" s="117"/>
      <c r="I301" s="75"/>
      <c r="J301" s="75"/>
      <c r="K301" s="123"/>
      <c r="L301" s="124"/>
      <c r="M301" s="80"/>
      <c r="N301" s="107"/>
      <c r="O301" s="98"/>
      <c r="P301" s="75"/>
      <c r="Q301" s="100"/>
      <c r="R301" s="93"/>
      <c r="S301" s="75"/>
      <c r="T301" s="75"/>
      <c r="V301" s="84"/>
    </row>
    <row r="302" ht="15.75" customHeight="1">
      <c r="A302" s="70"/>
      <c r="B302" s="116"/>
      <c r="C302" s="117"/>
      <c r="D302" s="75"/>
      <c r="E302" s="118"/>
      <c r="F302" s="118"/>
      <c r="G302" s="75"/>
      <c r="H302" s="117"/>
      <c r="I302" s="75"/>
      <c r="J302" s="75"/>
      <c r="K302" s="121"/>
      <c r="L302" s="122"/>
      <c r="M302" s="80"/>
      <c r="N302" s="107"/>
      <c r="O302" s="98"/>
      <c r="P302" s="75"/>
      <c r="Q302" s="100"/>
      <c r="R302" s="93"/>
      <c r="S302" s="75"/>
      <c r="T302" s="75"/>
      <c r="V302" s="84"/>
    </row>
    <row r="303" ht="15.75" customHeight="1">
      <c r="A303" s="70"/>
      <c r="B303" s="116"/>
      <c r="C303" s="117"/>
      <c r="D303" s="75"/>
      <c r="E303" s="118"/>
      <c r="F303" s="118"/>
      <c r="G303" s="75"/>
      <c r="H303" s="117"/>
      <c r="I303" s="75"/>
      <c r="J303" s="75"/>
      <c r="K303" s="123"/>
      <c r="L303" s="124"/>
      <c r="M303" s="80"/>
      <c r="N303" s="107"/>
      <c r="O303" s="98"/>
      <c r="P303" s="75"/>
      <c r="Q303" s="100"/>
      <c r="R303" s="93"/>
      <c r="S303" s="75"/>
      <c r="T303" s="75"/>
      <c r="V303" s="84"/>
    </row>
    <row r="304" ht="15.75" customHeight="1">
      <c r="A304" s="70"/>
      <c r="B304" s="116"/>
      <c r="C304" s="117"/>
      <c r="D304" s="75"/>
      <c r="E304" s="118"/>
      <c r="F304" s="118"/>
      <c r="G304" s="75"/>
      <c r="H304" s="117"/>
      <c r="I304" s="75"/>
      <c r="J304" s="75"/>
      <c r="K304" s="121"/>
      <c r="L304" s="122"/>
      <c r="M304" s="80"/>
      <c r="N304" s="107"/>
      <c r="O304" s="98"/>
      <c r="P304" s="75"/>
      <c r="Q304" s="100"/>
      <c r="R304" s="93"/>
      <c r="S304" s="75"/>
      <c r="T304" s="75"/>
      <c r="V304" s="84"/>
    </row>
    <row r="305" ht="15.75" customHeight="1">
      <c r="A305" s="70"/>
      <c r="B305" s="116"/>
      <c r="C305" s="117"/>
      <c r="D305" s="75"/>
      <c r="E305" s="118"/>
      <c r="F305" s="118"/>
      <c r="G305" s="75"/>
      <c r="H305" s="117"/>
      <c r="I305" s="75"/>
      <c r="J305" s="75"/>
      <c r="K305" s="123"/>
      <c r="L305" s="124"/>
      <c r="M305" s="80"/>
      <c r="N305" s="107"/>
      <c r="O305" s="98"/>
      <c r="P305" s="75"/>
      <c r="Q305" s="100"/>
      <c r="R305" s="93"/>
      <c r="S305" s="75"/>
      <c r="T305" s="75"/>
      <c r="V305" s="84"/>
    </row>
    <row r="306" ht="15.75" customHeight="1">
      <c r="A306" s="70"/>
      <c r="B306" s="116"/>
      <c r="C306" s="117"/>
      <c r="D306" s="75"/>
      <c r="E306" s="118"/>
      <c r="F306" s="118"/>
      <c r="G306" s="75"/>
      <c r="H306" s="117"/>
      <c r="I306" s="75"/>
      <c r="J306" s="75"/>
      <c r="K306" s="121"/>
      <c r="L306" s="122"/>
      <c r="M306" s="80"/>
      <c r="N306" s="107"/>
      <c r="O306" s="98"/>
      <c r="P306" s="75"/>
      <c r="Q306" s="100"/>
      <c r="R306" s="93"/>
      <c r="S306" s="75"/>
      <c r="T306" s="75"/>
      <c r="V306" s="84"/>
    </row>
    <row r="307" ht="15.75" customHeight="1">
      <c r="A307" s="70"/>
      <c r="B307" s="116"/>
      <c r="C307" s="84"/>
      <c r="D307" s="75"/>
      <c r="E307" s="118"/>
      <c r="F307" s="118"/>
      <c r="G307" s="75"/>
      <c r="H307" s="117"/>
      <c r="I307" s="75"/>
      <c r="J307" s="75"/>
      <c r="K307" s="123"/>
      <c r="L307" s="124"/>
      <c r="M307" s="80"/>
      <c r="N307" s="107"/>
      <c r="O307" s="98"/>
      <c r="P307" s="75"/>
      <c r="Q307" s="100"/>
      <c r="R307" s="93"/>
      <c r="S307" s="75"/>
      <c r="T307" s="75"/>
      <c r="V307" s="84"/>
    </row>
    <row r="308" ht="15.75" customHeight="1">
      <c r="A308" s="70"/>
      <c r="B308" s="116"/>
      <c r="C308" s="117"/>
      <c r="D308" s="75"/>
      <c r="E308" s="118"/>
      <c r="F308" s="118"/>
      <c r="G308" s="75"/>
      <c r="H308" s="117"/>
      <c r="I308" s="75"/>
      <c r="J308" s="75"/>
      <c r="K308" s="121"/>
      <c r="L308" s="122"/>
      <c r="M308" s="80"/>
      <c r="N308" s="107"/>
      <c r="O308" s="98"/>
      <c r="P308" s="75"/>
      <c r="Q308" s="100"/>
      <c r="R308" s="93"/>
      <c r="S308" s="75"/>
      <c r="T308" s="75"/>
      <c r="V308" s="84"/>
    </row>
    <row r="309" ht="15.75" customHeight="1">
      <c r="A309" s="70"/>
      <c r="B309" s="116"/>
      <c r="C309" s="117"/>
      <c r="D309" s="75"/>
      <c r="E309" s="118"/>
      <c r="F309" s="118"/>
      <c r="G309" s="75"/>
      <c r="H309" s="117"/>
      <c r="I309" s="75"/>
      <c r="J309" s="75"/>
      <c r="K309" s="123"/>
      <c r="L309" s="124"/>
      <c r="M309" s="80"/>
      <c r="N309" s="107"/>
      <c r="O309" s="98"/>
      <c r="P309" s="75"/>
      <c r="Q309" s="100"/>
      <c r="R309" s="93"/>
      <c r="S309" s="75"/>
      <c r="T309" s="75"/>
      <c r="V309" s="84"/>
    </row>
    <row r="310" ht="15.75" customHeight="1">
      <c r="A310" s="70"/>
      <c r="B310" s="116"/>
      <c r="C310" s="117"/>
      <c r="D310" s="75"/>
      <c r="E310" s="118"/>
      <c r="F310" s="118"/>
      <c r="G310" s="75"/>
      <c r="H310" s="117"/>
      <c r="I310" s="75"/>
      <c r="J310" s="75"/>
      <c r="K310" s="121"/>
      <c r="L310" s="122"/>
      <c r="M310" s="80"/>
      <c r="N310" s="107"/>
      <c r="O310" s="98"/>
      <c r="P310" s="75"/>
      <c r="Q310" s="100"/>
      <c r="R310" s="93"/>
      <c r="S310" s="75"/>
      <c r="T310" s="75"/>
      <c r="V310" s="84"/>
    </row>
    <row r="311" ht="15.75" customHeight="1">
      <c r="A311" s="70"/>
      <c r="B311" s="116"/>
      <c r="C311" s="117"/>
      <c r="D311" s="75"/>
      <c r="E311" s="118"/>
      <c r="F311" s="118"/>
      <c r="G311" s="75"/>
      <c r="H311" s="117"/>
      <c r="I311" s="75"/>
      <c r="J311" s="75"/>
      <c r="K311" s="123"/>
      <c r="L311" s="124"/>
      <c r="M311" s="80"/>
      <c r="N311" s="107"/>
      <c r="O311" s="98"/>
      <c r="P311" s="75"/>
      <c r="Q311" s="100"/>
      <c r="R311" s="93"/>
      <c r="S311" s="75"/>
      <c r="T311" s="75"/>
      <c r="V311" s="84"/>
    </row>
    <row r="312" ht="15.75" customHeight="1">
      <c r="A312" s="70"/>
      <c r="B312" s="116"/>
      <c r="C312" s="117"/>
      <c r="D312" s="75"/>
      <c r="E312" s="118"/>
      <c r="F312" s="118"/>
      <c r="G312" s="75"/>
      <c r="H312" s="117"/>
      <c r="I312" s="75"/>
      <c r="J312" s="75"/>
      <c r="K312" s="121"/>
      <c r="L312" s="122"/>
      <c r="M312" s="80"/>
      <c r="N312" s="107"/>
      <c r="O312" s="98"/>
      <c r="P312" s="75"/>
      <c r="Q312" s="100"/>
      <c r="R312" s="93"/>
      <c r="S312" s="75"/>
      <c r="T312" s="75"/>
      <c r="V312" s="84"/>
    </row>
    <row r="313" ht="15.75" customHeight="1">
      <c r="A313" s="70"/>
      <c r="B313" s="116"/>
      <c r="C313" s="84"/>
      <c r="D313" s="75"/>
      <c r="E313" s="118"/>
      <c r="F313" s="118"/>
      <c r="G313" s="75"/>
      <c r="H313" s="117"/>
      <c r="I313" s="75"/>
      <c r="J313" s="75"/>
      <c r="K313" s="123"/>
      <c r="L313" s="124"/>
      <c r="M313" s="80"/>
      <c r="N313" s="107"/>
      <c r="O313" s="98"/>
      <c r="P313" s="75"/>
      <c r="Q313" s="100"/>
      <c r="R313" s="93"/>
      <c r="S313" s="75"/>
      <c r="T313" s="75"/>
      <c r="V313" s="84"/>
    </row>
    <row r="314" ht="15.75" customHeight="1">
      <c r="A314" s="70"/>
      <c r="B314" s="116"/>
      <c r="C314" s="117"/>
      <c r="D314" s="75"/>
      <c r="E314" s="118"/>
      <c r="F314" s="118"/>
      <c r="G314" s="75"/>
      <c r="H314" s="117"/>
      <c r="I314" s="75"/>
      <c r="J314" s="75"/>
      <c r="K314" s="121"/>
      <c r="L314" s="122"/>
      <c r="M314" s="80"/>
      <c r="N314" s="107"/>
      <c r="O314" s="98"/>
      <c r="P314" s="75"/>
      <c r="Q314" s="100"/>
      <c r="R314" s="93"/>
      <c r="S314" s="75"/>
      <c r="T314" s="75"/>
      <c r="V314" s="84"/>
    </row>
    <row r="315" ht="15.75" customHeight="1">
      <c r="A315" s="70"/>
      <c r="B315" s="116"/>
      <c r="C315" s="117"/>
      <c r="D315" s="75"/>
      <c r="E315" s="118"/>
      <c r="F315" s="118"/>
      <c r="G315" s="75"/>
      <c r="H315" s="117"/>
      <c r="I315" s="75"/>
      <c r="J315" s="75"/>
      <c r="K315" s="123"/>
      <c r="L315" s="124"/>
      <c r="M315" s="80"/>
      <c r="N315" s="107"/>
      <c r="O315" s="98"/>
      <c r="P315" s="75"/>
      <c r="Q315" s="100"/>
      <c r="R315" s="93"/>
      <c r="S315" s="75"/>
      <c r="T315" s="75"/>
      <c r="V315" s="84"/>
    </row>
    <row r="316" ht="15.75" customHeight="1">
      <c r="A316" s="70"/>
      <c r="B316" s="116"/>
      <c r="C316" s="117"/>
      <c r="D316" s="75"/>
      <c r="E316" s="118"/>
      <c r="F316" s="118"/>
      <c r="G316" s="75"/>
      <c r="H316" s="117"/>
      <c r="I316" s="75"/>
      <c r="J316" s="75"/>
      <c r="K316" s="121"/>
      <c r="L316" s="122"/>
      <c r="M316" s="80"/>
      <c r="N316" s="107"/>
      <c r="O316" s="98"/>
      <c r="P316" s="75"/>
      <c r="Q316" s="100"/>
      <c r="R316" s="93"/>
      <c r="S316" s="75"/>
      <c r="T316" s="75"/>
      <c r="V316" s="84"/>
    </row>
    <row r="317" ht="15.75" customHeight="1">
      <c r="A317" s="70"/>
      <c r="B317" s="116"/>
      <c r="C317" s="117"/>
      <c r="D317" s="75"/>
      <c r="E317" s="118"/>
      <c r="F317" s="118"/>
      <c r="G317" s="75"/>
      <c r="H317" s="117"/>
      <c r="I317" s="75"/>
      <c r="J317" s="75"/>
      <c r="K317" s="123"/>
      <c r="L317" s="124"/>
      <c r="M317" s="80"/>
      <c r="N317" s="107"/>
      <c r="O317" s="98"/>
      <c r="P317" s="75"/>
      <c r="Q317" s="100"/>
      <c r="R317" s="93"/>
      <c r="S317" s="75"/>
      <c r="T317" s="75"/>
      <c r="V317" s="84"/>
    </row>
    <row r="318" ht="15.75" customHeight="1">
      <c r="A318" s="70"/>
      <c r="B318" s="116"/>
      <c r="C318" s="117"/>
      <c r="D318" s="75"/>
      <c r="E318" s="118"/>
      <c r="F318" s="118"/>
      <c r="G318" s="75"/>
      <c r="H318" s="117"/>
      <c r="I318" s="75"/>
      <c r="J318" s="75"/>
      <c r="K318" s="121"/>
      <c r="L318" s="122"/>
      <c r="M318" s="80"/>
      <c r="N318" s="107"/>
      <c r="O318" s="98"/>
      <c r="P318" s="75"/>
      <c r="Q318" s="100"/>
      <c r="R318" s="93"/>
      <c r="S318" s="75"/>
      <c r="T318" s="75"/>
      <c r="V318" s="84"/>
    </row>
    <row r="319" ht="15.75" customHeight="1">
      <c r="A319" s="70"/>
      <c r="B319" s="116"/>
      <c r="C319" s="84"/>
      <c r="D319" s="75"/>
      <c r="E319" s="118"/>
      <c r="F319" s="118"/>
      <c r="G319" s="75"/>
      <c r="H319" s="117"/>
      <c r="I319" s="75"/>
      <c r="J319" s="75"/>
      <c r="K319" s="123"/>
      <c r="L319" s="124"/>
      <c r="M319" s="80"/>
      <c r="N319" s="107"/>
      <c r="O319" s="98"/>
      <c r="P319" s="75"/>
      <c r="Q319" s="100"/>
      <c r="R319" s="93"/>
      <c r="S319" s="75"/>
      <c r="T319" s="75"/>
      <c r="V319" s="84"/>
    </row>
    <row r="320" ht="15.75" customHeight="1">
      <c r="A320" s="70"/>
      <c r="B320" s="116"/>
      <c r="C320" s="117"/>
      <c r="D320" s="75"/>
      <c r="E320" s="118"/>
      <c r="F320" s="118"/>
      <c r="G320" s="75"/>
      <c r="H320" s="117"/>
      <c r="I320" s="75"/>
      <c r="J320" s="75"/>
      <c r="K320" s="121"/>
      <c r="L320" s="122"/>
      <c r="M320" s="80"/>
      <c r="N320" s="107"/>
      <c r="O320" s="98"/>
      <c r="P320" s="75"/>
      <c r="Q320" s="100"/>
      <c r="R320" s="93"/>
      <c r="S320" s="75"/>
      <c r="T320" s="75"/>
      <c r="V320" s="84"/>
    </row>
    <row r="321" ht="15.75" customHeight="1">
      <c r="A321" s="70"/>
      <c r="B321" s="116"/>
      <c r="C321" s="117"/>
      <c r="D321" s="75"/>
      <c r="E321" s="118"/>
      <c r="F321" s="118"/>
      <c r="G321" s="75"/>
      <c r="H321" s="117"/>
      <c r="I321" s="75"/>
      <c r="J321" s="75"/>
      <c r="K321" s="123"/>
      <c r="L321" s="124"/>
      <c r="M321" s="80"/>
      <c r="N321" s="107"/>
      <c r="O321" s="98"/>
      <c r="P321" s="75"/>
      <c r="Q321" s="100"/>
      <c r="R321" s="93"/>
      <c r="S321" s="75"/>
      <c r="T321" s="75"/>
      <c r="V321" s="84"/>
    </row>
    <row r="322" ht="15.75" customHeight="1">
      <c r="A322" s="70"/>
      <c r="B322" s="116"/>
      <c r="C322" s="117"/>
      <c r="D322" s="75"/>
      <c r="E322" s="118"/>
      <c r="F322" s="118"/>
      <c r="G322" s="75"/>
      <c r="H322" s="117"/>
      <c r="I322" s="75"/>
      <c r="J322" s="75"/>
      <c r="K322" s="121"/>
      <c r="L322" s="122"/>
      <c r="M322" s="80"/>
      <c r="N322" s="107"/>
      <c r="O322" s="98"/>
      <c r="P322" s="75"/>
      <c r="Q322" s="100"/>
      <c r="R322" s="93"/>
      <c r="S322" s="75"/>
      <c r="T322" s="75"/>
      <c r="V322" s="84"/>
    </row>
    <row r="323" ht="15.75" customHeight="1">
      <c r="A323" s="70"/>
      <c r="B323" s="116"/>
      <c r="C323" s="117"/>
      <c r="D323" s="75"/>
      <c r="E323" s="118"/>
      <c r="F323" s="118"/>
      <c r="G323" s="75"/>
      <c r="H323" s="117"/>
      <c r="I323" s="75"/>
      <c r="J323" s="75"/>
      <c r="K323" s="123"/>
      <c r="L323" s="124"/>
      <c r="M323" s="80"/>
      <c r="N323" s="107"/>
      <c r="O323" s="98"/>
      <c r="P323" s="75"/>
      <c r="Q323" s="100"/>
      <c r="R323" s="93"/>
      <c r="S323" s="75"/>
      <c r="T323" s="75"/>
      <c r="V323" s="84"/>
    </row>
    <row r="324" ht="15.75" customHeight="1">
      <c r="A324" s="70"/>
      <c r="B324" s="116"/>
      <c r="C324" s="117"/>
      <c r="D324" s="75"/>
      <c r="E324" s="118"/>
      <c r="F324" s="118"/>
      <c r="G324" s="75"/>
      <c r="H324" s="117"/>
      <c r="I324" s="75"/>
      <c r="J324" s="75"/>
      <c r="K324" s="121"/>
      <c r="L324" s="122"/>
      <c r="M324" s="80"/>
      <c r="N324" s="107"/>
      <c r="O324" s="98"/>
      <c r="P324" s="75"/>
      <c r="Q324" s="100"/>
      <c r="R324" s="93"/>
      <c r="S324" s="75"/>
      <c r="T324" s="75"/>
      <c r="V324" s="84"/>
    </row>
    <row r="325" ht="15.75" customHeight="1">
      <c r="A325" s="70"/>
      <c r="B325" s="116"/>
      <c r="C325" s="84"/>
      <c r="D325" s="75"/>
      <c r="E325" s="118"/>
      <c r="F325" s="118"/>
      <c r="G325" s="75"/>
      <c r="H325" s="117"/>
      <c r="I325" s="75"/>
      <c r="J325" s="75"/>
      <c r="K325" s="123"/>
      <c r="L325" s="124"/>
      <c r="M325" s="80"/>
      <c r="N325" s="107"/>
      <c r="O325" s="98"/>
      <c r="P325" s="75"/>
      <c r="Q325" s="100"/>
      <c r="R325" s="93"/>
      <c r="S325" s="75"/>
      <c r="T325" s="75"/>
      <c r="V325" s="84"/>
    </row>
    <row r="326" ht="15.75" customHeight="1">
      <c r="A326" s="70"/>
      <c r="B326" s="116"/>
      <c r="C326" s="117"/>
      <c r="D326" s="75"/>
      <c r="E326" s="118"/>
      <c r="F326" s="118"/>
      <c r="G326" s="75"/>
      <c r="H326" s="117"/>
      <c r="I326" s="75"/>
      <c r="J326" s="75"/>
      <c r="K326" s="121"/>
      <c r="L326" s="122"/>
      <c r="M326" s="80"/>
      <c r="N326" s="107"/>
      <c r="O326" s="98"/>
      <c r="P326" s="75"/>
      <c r="Q326" s="100"/>
      <c r="R326" s="93"/>
      <c r="S326" s="75"/>
      <c r="T326" s="75"/>
      <c r="V326" s="84"/>
    </row>
    <row r="327" ht="15.75" customHeight="1">
      <c r="A327" s="70"/>
      <c r="B327" s="116"/>
      <c r="C327" s="117"/>
      <c r="D327" s="75"/>
      <c r="E327" s="118"/>
      <c r="F327" s="118"/>
      <c r="G327" s="75"/>
      <c r="H327" s="117"/>
      <c r="I327" s="75"/>
      <c r="J327" s="75"/>
      <c r="K327" s="123"/>
      <c r="L327" s="124"/>
      <c r="M327" s="80"/>
      <c r="N327" s="107"/>
      <c r="O327" s="98"/>
      <c r="P327" s="75"/>
      <c r="Q327" s="100"/>
      <c r="R327" s="93"/>
      <c r="S327" s="75"/>
      <c r="T327" s="75"/>
      <c r="V327" s="84"/>
    </row>
    <row r="328" ht="15.75" customHeight="1">
      <c r="A328" s="70"/>
      <c r="B328" s="116"/>
      <c r="C328" s="117"/>
      <c r="D328" s="75"/>
      <c r="E328" s="118"/>
      <c r="F328" s="118"/>
      <c r="G328" s="75"/>
      <c r="H328" s="117"/>
      <c r="I328" s="75"/>
      <c r="J328" s="75"/>
      <c r="K328" s="125"/>
      <c r="L328" s="126"/>
      <c r="M328" s="80"/>
      <c r="N328" s="107"/>
      <c r="O328" s="98"/>
      <c r="P328" s="75"/>
      <c r="Q328" s="100"/>
      <c r="R328" s="93"/>
      <c r="S328" s="75"/>
      <c r="T328" s="75"/>
      <c r="V328" s="84"/>
    </row>
    <row r="329" ht="15.75" customHeight="1">
      <c r="A329" s="70"/>
      <c r="B329" s="116"/>
      <c r="C329" s="117"/>
      <c r="D329" s="75"/>
      <c r="E329" s="118"/>
      <c r="F329" s="118"/>
      <c r="G329" s="75"/>
      <c r="H329" s="117"/>
      <c r="I329" s="75"/>
      <c r="J329" s="75"/>
      <c r="K329" s="125"/>
      <c r="L329" s="126"/>
      <c r="M329" s="80"/>
      <c r="N329" s="107"/>
      <c r="O329" s="98"/>
      <c r="P329" s="75"/>
      <c r="Q329" s="100"/>
      <c r="R329" s="93"/>
      <c r="S329" s="75"/>
      <c r="T329" s="75"/>
      <c r="V329" s="84"/>
    </row>
    <row r="330" ht="15.75" customHeight="1">
      <c r="A330" s="70"/>
      <c r="B330" s="116"/>
      <c r="C330" s="117"/>
      <c r="D330" s="75"/>
      <c r="E330" s="118"/>
      <c r="F330" s="118"/>
      <c r="G330" s="75"/>
      <c r="H330" s="117"/>
      <c r="I330" s="75"/>
      <c r="J330" s="75"/>
      <c r="K330" s="125"/>
      <c r="L330" s="126"/>
      <c r="M330" s="80"/>
      <c r="N330" s="107"/>
      <c r="O330" s="98"/>
      <c r="P330" s="75"/>
      <c r="Q330" s="100"/>
      <c r="R330" s="93"/>
      <c r="S330" s="75"/>
      <c r="T330" s="75"/>
      <c r="V330" s="84"/>
    </row>
    <row r="331" ht="15.75" customHeight="1">
      <c r="A331" s="70"/>
      <c r="B331" s="116"/>
      <c r="C331" s="84"/>
      <c r="D331" s="75"/>
      <c r="E331" s="118"/>
      <c r="F331" s="118"/>
      <c r="G331" s="75"/>
      <c r="H331" s="117"/>
      <c r="I331" s="75"/>
      <c r="J331" s="75"/>
      <c r="K331" s="125"/>
      <c r="L331" s="126"/>
      <c r="M331" s="80"/>
      <c r="N331" s="107"/>
      <c r="O331" s="98"/>
      <c r="P331" s="75"/>
      <c r="Q331" s="100"/>
      <c r="R331" s="93"/>
      <c r="S331" s="75"/>
      <c r="T331" s="75"/>
      <c r="V331" s="84"/>
    </row>
    <row r="332" ht="15.75" customHeight="1">
      <c r="A332" s="70"/>
      <c r="B332" s="116"/>
      <c r="C332" s="117"/>
      <c r="D332" s="75"/>
      <c r="E332" s="118"/>
      <c r="F332" s="118"/>
      <c r="G332" s="75"/>
      <c r="H332" s="117"/>
      <c r="I332" s="75"/>
      <c r="J332" s="75"/>
      <c r="K332" s="125"/>
      <c r="L332" s="126"/>
      <c r="M332" s="80"/>
      <c r="N332" s="107"/>
      <c r="O332" s="98"/>
      <c r="P332" s="75"/>
      <c r="Q332" s="100"/>
      <c r="R332" s="93"/>
      <c r="S332" s="75"/>
      <c r="T332" s="75"/>
      <c r="V332" s="84"/>
    </row>
    <row r="333" ht="15.75" customHeight="1">
      <c r="A333" s="70"/>
      <c r="B333" s="116"/>
      <c r="C333" s="117"/>
      <c r="D333" s="75"/>
      <c r="E333" s="118"/>
      <c r="F333" s="118"/>
      <c r="G333" s="75"/>
      <c r="H333" s="117"/>
      <c r="I333" s="75"/>
      <c r="J333" s="75"/>
      <c r="K333" s="125"/>
      <c r="L333" s="126"/>
      <c r="M333" s="80"/>
      <c r="N333" s="107"/>
      <c r="O333" s="98"/>
      <c r="P333" s="75"/>
      <c r="Q333" s="100"/>
      <c r="R333" s="93"/>
      <c r="S333" s="75"/>
      <c r="T333" s="75"/>
      <c r="V333" s="84"/>
    </row>
    <row r="334" ht="15.75" customHeight="1">
      <c r="A334" s="70"/>
      <c r="B334" s="116"/>
      <c r="C334" s="117"/>
      <c r="D334" s="75"/>
      <c r="E334" s="118"/>
      <c r="F334" s="118"/>
      <c r="G334" s="75"/>
      <c r="H334" s="117"/>
      <c r="I334" s="75"/>
      <c r="J334" s="75"/>
      <c r="K334" s="125"/>
      <c r="L334" s="126"/>
      <c r="M334" s="80"/>
      <c r="N334" s="107"/>
      <c r="O334" s="98"/>
      <c r="P334" s="75"/>
      <c r="Q334" s="100"/>
      <c r="R334" s="93"/>
      <c r="S334" s="75"/>
      <c r="T334" s="75"/>
      <c r="V334" s="84"/>
    </row>
    <row r="335" ht="15.75" customHeight="1">
      <c r="A335" s="70"/>
      <c r="B335" s="116"/>
      <c r="C335" s="117"/>
      <c r="D335" s="75"/>
      <c r="E335" s="118"/>
      <c r="F335" s="118"/>
      <c r="G335" s="75"/>
      <c r="H335" s="117"/>
      <c r="I335" s="75"/>
      <c r="J335" s="75"/>
      <c r="K335" s="125"/>
      <c r="L335" s="126"/>
      <c r="M335" s="80"/>
      <c r="N335" s="107"/>
      <c r="O335" s="98"/>
      <c r="P335" s="75"/>
      <c r="Q335" s="100"/>
      <c r="R335" s="93"/>
      <c r="S335" s="75"/>
      <c r="T335" s="75"/>
      <c r="V335" s="84"/>
    </row>
    <row r="336" ht="15.75" customHeight="1">
      <c r="A336" s="70"/>
      <c r="B336" s="116"/>
      <c r="C336" s="117"/>
      <c r="D336" s="75"/>
      <c r="E336" s="118"/>
      <c r="F336" s="118"/>
      <c r="G336" s="75"/>
      <c r="H336" s="117"/>
      <c r="I336" s="75"/>
      <c r="J336" s="75"/>
      <c r="K336" s="125"/>
      <c r="L336" s="126"/>
      <c r="M336" s="80"/>
      <c r="N336" s="107"/>
      <c r="O336" s="98"/>
      <c r="P336" s="75"/>
      <c r="Q336" s="100"/>
      <c r="R336" s="93"/>
      <c r="S336" s="75"/>
      <c r="T336" s="75"/>
      <c r="V336" s="84"/>
    </row>
    <row r="337" ht="15.75" customHeight="1">
      <c r="A337" s="70"/>
      <c r="B337" s="116"/>
      <c r="C337" s="84"/>
      <c r="D337" s="75"/>
      <c r="E337" s="118"/>
      <c r="F337" s="118"/>
      <c r="G337" s="75"/>
      <c r="H337" s="117"/>
      <c r="I337" s="75"/>
      <c r="J337" s="75"/>
      <c r="K337" s="125"/>
      <c r="L337" s="126"/>
      <c r="M337" s="80"/>
      <c r="N337" s="107"/>
      <c r="O337" s="98"/>
      <c r="P337" s="75"/>
      <c r="Q337" s="100"/>
      <c r="R337" s="93"/>
      <c r="S337" s="75"/>
      <c r="T337" s="75"/>
      <c r="V337" s="84"/>
    </row>
    <row r="338" ht="15.75" customHeight="1">
      <c r="A338" s="70"/>
      <c r="B338" s="116"/>
      <c r="C338" s="117"/>
      <c r="D338" s="75"/>
      <c r="E338" s="118"/>
      <c r="F338" s="118"/>
      <c r="G338" s="75"/>
      <c r="H338" s="117"/>
      <c r="I338" s="75"/>
      <c r="J338" s="75"/>
      <c r="K338" s="125"/>
      <c r="L338" s="126"/>
      <c r="M338" s="80"/>
      <c r="N338" s="107"/>
      <c r="O338" s="98"/>
      <c r="P338" s="75"/>
      <c r="Q338" s="100"/>
      <c r="R338" s="93"/>
      <c r="S338" s="75"/>
      <c r="T338" s="75"/>
      <c r="V338" s="84"/>
    </row>
    <row r="339" ht="15.75" customHeight="1">
      <c r="A339" s="70"/>
      <c r="B339" s="116"/>
      <c r="C339" s="117"/>
      <c r="D339" s="75"/>
      <c r="E339" s="118"/>
      <c r="F339" s="118"/>
      <c r="G339" s="75"/>
      <c r="H339" s="117"/>
      <c r="I339" s="75"/>
      <c r="J339" s="75"/>
      <c r="K339" s="125"/>
      <c r="L339" s="126"/>
      <c r="M339" s="80"/>
      <c r="N339" s="107"/>
      <c r="O339" s="98"/>
      <c r="P339" s="75"/>
      <c r="Q339" s="100"/>
      <c r="R339" s="93"/>
      <c r="S339" s="75"/>
      <c r="T339" s="75"/>
      <c r="V339" s="84"/>
    </row>
    <row r="340" ht="15.75" customHeight="1">
      <c r="A340" s="70"/>
      <c r="B340" s="116"/>
      <c r="C340" s="117"/>
      <c r="D340" s="75"/>
      <c r="E340" s="118"/>
      <c r="F340" s="118"/>
      <c r="G340" s="75"/>
      <c r="H340" s="117"/>
      <c r="I340" s="75"/>
      <c r="J340" s="75"/>
      <c r="K340" s="125"/>
      <c r="L340" s="126"/>
      <c r="M340" s="80"/>
      <c r="N340" s="107"/>
      <c r="O340" s="98"/>
      <c r="P340" s="75"/>
      <c r="Q340" s="100"/>
      <c r="R340" s="93"/>
      <c r="S340" s="75"/>
      <c r="T340" s="75"/>
      <c r="V340" s="84"/>
    </row>
    <row r="341" ht="15.75" customHeight="1">
      <c r="A341" s="70"/>
      <c r="B341" s="116"/>
      <c r="C341" s="117"/>
      <c r="D341" s="75"/>
      <c r="E341" s="118"/>
      <c r="F341" s="118"/>
      <c r="G341" s="75"/>
      <c r="H341" s="117"/>
      <c r="I341" s="75"/>
      <c r="J341" s="75"/>
      <c r="K341" s="125"/>
      <c r="L341" s="126"/>
      <c r="M341" s="80"/>
      <c r="N341" s="107"/>
      <c r="O341" s="98"/>
      <c r="P341" s="75"/>
      <c r="Q341" s="100"/>
      <c r="R341" s="93"/>
      <c r="S341" s="75"/>
      <c r="T341" s="75"/>
      <c r="V341" s="84"/>
    </row>
    <row r="342" ht="15.75" customHeight="1">
      <c r="A342" s="70"/>
      <c r="B342" s="116"/>
      <c r="C342" s="117"/>
      <c r="D342" s="75"/>
      <c r="E342" s="118"/>
      <c r="F342" s="118"/>
      <c r="G342" s="75"/>
      <c r="H342" s="117"/>
      <c r="I342" s="75"/>
      <c r="J342" s="75"/>
      <c r="K342" s="125"/>
      <c r="L342" s="126"/>
      <c r="M342" s="80"/>
      <c r="N342" s="107"/>
      <c r="O342" s="98"/>
      <c r="P342" s="75"/>
      <c r="Q342" s="100"/>
      <c r="R342" s="93"/>
      <c r="S342" s="75"/>
      <c r="T342" s="75"/>
      <c r="V342" s="84"/>
    </row>
    <row r="343" ht="15.75" customHeight="1">
      <c r="A343" s="70"/>
      <c r="B343" s="116"/>
      <c r="C343" s="84"/>
      <c r="D343" s="75"/>
      <c r="E343" s="118"/>
      <c r="F343" s="118"/>
      <c r="G343" s="75"/>
      <c r="H343" s="117"/>
      <c r="I343" s="75"/>
      <c r="J343" s="75"/>
      <c r="K343" s="125"/>
      <c r="L343" s="126"/>
      <c r="M343" s="80"/>
      <c r="N343" s="107"/>
      <c r="O343" s="98"/>
      <c r="P343" s="75"/>
      <c r="Q343" s="100"/>
      <c r="R343" s="93"/>
      <c r="S343" s="75"/>
      <c r="T343" s="75"/>
      <c r="V343" s="84"/>
    </row>
    <row r="344" ht="15.75" customHeight="1">
      <c r="A344" s="70"/>
      <c r="B344" s="116"/>
      <c r="C344" s="117"/>
      <c r="D344" s="75"/>
      <c r="E344" s="118"/>
      <c r="F344" s="118"/>
      <c r="G344" s="75"/>
      <c r="H344" s="117"/>
      <c r="I344" s="75"/>
      <c r="J344" s="75"/>
      <c r="K344" s="125"/>
      <c r="L344" s="126"/>
      <c r="M344" s="80"/>
      <c r="N344" s="107"/>
      <c r="O344" s="98"/>
      <c r="P344" s="75"/>
      <c r="Q344" s="100"/>
      <c r="R344" s="93"/>
      <c r="S344" s="75"/>
      <c r="T344" s="75"/>
      <c r="V344" s="84"/>
    </row>
    <row r="345" ht="15.75" customHeight="1">
      <c r="A345" s="70"/>
      <c r="B345" s="116"/>
      <c r="C345" s="117"/>
      <c r="D345" s="75"/>
      <c r="E345" s="118"/>
      <c r="F345" s="118"/>
      <c r="G345" s="75"/>
      <c r="H345" s="117"/>
      <c r="I345" s="75"/>
      <c r="J345" s="75"/>
      <c r="K345" s="125"/>
      <c r="L345" s="126"/>
      <c r="M345" s="80"/>
      <c r="N345" s="107"/>
      <c r="O345" s="98"/>
      <c r="P345" s="75"/>
      <c r="Q345" s="100"/>
      <c r="R345" s="93"/>
      <c r="S345" s="75"/>
      <c r="T345" s="75"/>
      <c r="V345" s="84"/>
    </row>
    <row r="346" ht="15.75" customHeight="1">
      <c r="A346" s="70"/>
      <c r="B346" s="116"/>
      <c r="C346" s="117"/>
      <c r="D346" s="75"/>
      <c r="E346" s="118"/>
      <c r="F346" s="118"/>
      <c r="G346" s="75"/>
      <c r="H346" s="117"/>
      <c r="I346" s="75"/>
      <c r="J346" s="75"/>
      <c r="K346" s="125"/>
      <c r="L346" s="126"/>
      <c r="M346" s="80"/>
      <c r="N346" s="107"/>
      <c r="O346" s="98"/>
      <c r="P346" s="75"/>
      <c r="Q346" s="100"/>
      <c r="R346" s="93"/>
      <c r="S346" s="75"/>
      <c r="T346" s="75"/>
      <c r="V346" s="84"/>
    </row>
    <row r="347" ht="15.75" customHeight="1">
      <c r="A347" s="70"/>
      <c r="B347" s="116"/>
      <c r="C347" s="117"/>
      <c r="D347" s="75"/>
      <c r="E347" s="118"/>
      <c r="F347" s="118"/>
      <c r="G347" s="75"/>
      <c r="H347" s="117"/>
      <c r="I347" s="75"/>
      <c r="J347" s="75"/>
      <c r="K347" s="125"/>
      <c r="L347" s="126"/>
      <c r="M347" s="80"/>
      <c r="N347" s="107"/>
      <c r="O347" s="98"/>
      <c r="P347" s="75"/>
      <c r="Q347" s="100"/>
      <c r="R347" s="93"/>
      <c r="S347" s="75"/>
      <c r="T347" s="75"/>
      <c r="V347" s="84"/>
    </row>
    <row r="348" ht="15.75" customHeight="1">
      <c r="A348" s="70"/>
      <c r="B348" s="116"/>
      <c r="C348" s="117"/>
      <c r="D348" s="75"/>
      <c r="E348" s="118"/>
      <c r="F348" s="118"/>
      <c r="G348" s="75"/>
      <c r="H348" s="117"/>
      <c r="I348" s="75"/>
      <c r="J348" s="75"/>
      <c r="K348" s="125"/>
      <c r="L348" s="126"/>
      <c r="M348" s="80"/>
      <c r="N348" s="107"/>
      <c r="O348" s="98"/>
      <c r="P348" s="75"/>
      <c r="Q348" s="100"/>
      <c r="R348" s="93"/>
      <c r="S348" s="75"/>
      <c r="T348" s="75"/>
      <c r="V348" s="84"/>
    </row>
    <row r="349" ht="15.75" customHeight="1">
      <c r="A349" s="70"/>
      <c r="B349" s="116"/>
      <c r="C349" s="84"/>
      <c r="D349" s="75"/>
      <c r="E349" s="118"/>
      <c r="F349" s="118"/>
      <c r="G349" s="75"/>
      <c r="H349" s="117"/>
      <c r="I349" s="75"/>
      <c r="J349" s="75"/>
      <c r="K349" s="125"/>
      <c r="L349" s="126"/>
      <c r="M349" s="80"/>
      <c r="N349" s="107"/>
      <c r="O349" s="98"/>
      <c r="P349" s="75"/>
      <c r="Q349" s="100"/>
      <c r="R349" s="93"/>
      <c r="S349" s="75"/>
      <c r="T349" s="75"/>
      <c r="V349" s="84"/>
    </row>
    <row r="350" ht="15.75" customHeight="1">
      <c r="A350" s="70"/>
      <c r="B350" s="116"/>
      <c r="C350" s="117"/>
      <c r="D350" s="75"/>
      <c r="E350" s="118"/>
      <c r="F350" s="118"/>
      <c r="G350" s="75"/>
      <c r="H350" s="117"/>
      <c r="I350" s="75"/>
      <c r="J350" s="75"/>
      <c r="K350" s="125"/>
      <c r="L350" s="126"/>
      <c r="M350" s="80"/>
      <c r="N350" s="107"/>
      <c r="O350" s="98"/>
      <c r="P350" s="75"/>
      <c r="Q350" s="100"/>
      <c r="R350" s="93"/>
      <c r="S350" s="75"/>
      <c r="T350" s="75"/>
      <c r="V350" s="84"/>
    </row>
    <row r="351" ht="15.75" customHeight="1">
      <c r="A351" s="70"/>
      <c r="B351" s="116"/>
      <c r="C351" s="117"/>
      <c r="D351" s="75"/>
      <c r="E351" s="118"/>
      <c r="F351" s="118"/>
      <c r="G351" s="75"/>
      <c r="H351" s="117"/>
      <c r="I351" s="75"/>
      <c r="J351" s="75"/>
      <c r="K351" s="125"/>
      <c r="L351" s="126"/>
      <c r="M351" s="80"/>
      <c r="N351" s="107"/>
      <c r="O351" s="98"/>
      <c r="P351" s="75"/>
      <c r="Q351" s="100"/>
      <c r="R351" s="93"/>
      <c r="S351" s="75"/>
      <c r="T351" s="75"/>
      <c r="V351" s="84"/>
    </row>
    <row r="352" ht="15.75" customHeight="1">
      <c r="A352" s="70"/>
      <c r="B352" s="116"/>
      <c r="C352" s="117"/>
      <c r="D352" s="75"/>
      <c r="E352" s="118"/>
      <c r="F352" s="118"/>
      <c r="G352" s="75"/>
      <c r="H352" s="117"/>
      <c r="I352" s="75"/>
      <c r="J352" s="75"/>
      <c r="K352" s="125"/>
      <c r="L352" s="126"/>
      <c r="M352" s="80"/>
      <c r="N352" s="107"/>
      <c r="O352" s="98"/>
      <c r="P352" s="75"/>
      <c r="Q352" s="100"/>
      <c r="R352" s="93"/>
      <c r="S352" s="75"/>
      <c r="T352" s="75"/>
      <c r="V352" s="84"/>
    </row>
    <row r="353" ht="15.75" customHeight="1">
      <c r="A353" s="70"/>
      <c r="B353" s="116"/>
      <c r="C353" s="117"/>
      <c r="D353" s="75"/>
      <c r="E353" s="118"/>
      <c r="F353" s="118"/>
      <c r="G353" s="75"/>
      <c r="H353" s="117"/>
      <c r="I353" s="75"/>
      <c r="J353" s="75"/>
      <c r="K353" s="125"/>
      <c r="L353" s="126"/>
      <c r="M353" s="80"/>
      <c r="N353" s="107"/>
      <c r="O353" s="98"/>
      <c r="P353" s="75"/>
      <c r="Q353" s="100"/>
      <c r="R353" s="93"/>
      <c r="S353" s="75"/>
      <c r="T353" s="75"/>
      <c r="V353" s="84"/>
    </row>
    <row r="354" ht="15.75" customHeight="1">
      <c r="A354" s="70"/>
      <c r="B354" s="116"/>
      <c r="C354" s="117"/>
      <c r="D354" s="75"/>
      <c r="E354" s="118"/>
      <c r="F354" s="118"/>
      <c r="G354" s="75"/>
      <c r="H354" s="117"/>
      <c r="I354" s="75"/>
      <c r="J354" s="75"/>
      <c r="K354" s="125"/>
      <c r="L354" s="126"/>
      <c r="M354" s="80"/>
      <c r="N354" s="107"/>
      <c r="O354" s="98"/>
      <c r="P354" s="75"/>
      <c r="Q354" s="100"/>
      <c r="R354" s="93"/>
      <c r="S354" s="75"/>
      <c r="T354" s="75"/>
      <c r="V354" s="84"/>
    </row>
    <row r="355" ht="15.75" customHeight="1">
      <c r="A355" s="70"/>
      <c r="B355" s="116"/>
      <c r="C355" s="84"/>
      <c r="D355" s="75"/>
      <c r="E355" s="118"/>
      <c r="F355" s="118"/>
      <c r="G355" s="75"/>
      <c r="H355" s="117"/>
      <c r="I355" s="75"/>
      <c r="J355" s="75"/>
      <c r="K355" s="125"/>
      <c r="L355" s="126"/>
      <c r="M355" s="80"/>
      <c r="N355" s="107"/>
      <c r="O355" s="98"/>
      <c r="P355" s="75"/>
      <c r="Q355" s="100"/>
      <c r="R355" s="93"/>
      <c r="S355" s="75"/>
      <c r="T355" s="75"/>
      <c r="V355" s="84"/>
    </row>
    <row r="356" ht="15.75" customHeight="1">
      <c r="A356" s="70"/>
      <c r="B356" s="116"/>
      <c r="C356" s="117"/>
      <c r="D356" s="75"/>
      <c r="E356" s="118"/>
      <c r="F356" s="118"/>
      <c r="G356" s="75"/>
      <c r="H356" s="117"/>
      <c r="I356" s="75"/>
      <c r="J356" s="75"/>
      <c r="K356" s="125"/>
      <c r="L356" s="126"/>
      <c r="M356" s="80"/>
      <c r="N356" s="107"/>
      <c r="O356" s="98"/>
      <c r="P356" s="75"/>
      <c r="Q356" s="100"/>
      <c r="R356" s="93"/>
      <c r="S356" s="75"/>
      <c r="T356" s="75"/>
      <c r="V356" s="84"/>
    </row>
    <row r="357" ht="15.75" customHeight="1">
      <c r="A357" s="70"/>
      <c r="B357" s="116"/>
      <c r="C357" s="117"/>
      <c r="D357" s="75"/>
      <c r="E357" s="118"/>
      <c r="F357" s="118"/>
      <c r="G357" s="75"/>
      <c r="H357" s="117"/>
      <c r="I357" s="75"/>
      <c r="J357" s="75"/>
      <c r="K357" s="125"/>
      <c r="L357" s="126"/>
      <c r="M357" s="80"/>
      <c r="N357" s="107"/>
      <c r="O357" s="98"/>
      <c r="P357" s="75"/>
      <c r="Q357" s="100"/>
      <c r="R357" s="93"/>
      <c r="S357" s="75"/>
      <c r="T357" s="75"/>
      <c r="V357" s="84"/>
    </row>
    <row r="358" ht="15.75" customHeight="1">
      <c r="A358" s="70"/>
      <c r="B358" s="116"/>
      <c r="C358" s="117"/>
      <c r="D358" s="75"/>
      <c r="E358" s="118"/>
      <c r="F358" s="118"/>
      <c r="G358" s="75"/>
      <c r="H358" s="117"/>
      <c r="I358" s="75"/>
      <c r="J358" s="75"/>
      <c r="K358" s="125"/>
      <c r="L358" s="126"/>
      <c r="M358" s="80"/>
      <c r="N358" s="107"/>
      <c r="O358" s="98"/>
      <c r="P358" s="75"/>
      <c r="Q358" s="100"/>
      <c r="R358" s="93"/>
      <c r="S358" s="75"/>
      <c r="T358" s="75"/>
      <c r="V358" s="84"/>
    </row>
    <row r="359" ht="15.75" customHeight="1">
      <c r="A359" s="70"/>
      <c r="B359" s="116"/>
      <c r="C359" s="117"/>
      <c r="D359" s="75"/>
      <c r="E359" s="118"/>
      <c r="F359" s="118"/>
      <c r="G359" s="75"/>
      <c r="H359" s="117"/>
      <c r="I359" s="75"/>
      <c r="J359" s="75"/>
      <c r="K359" s="125"/>
      <c r="L359" s="126"/>
      <c r="M359" s="80"/>
      <c r="N359" s="107"/>
      <c r="O359" s="98"/>
      <c r="P359" s="75"/>
      <c r="Q359" s="100"/>
      <c r="R359" s="93"/>
      <c r="S359" s="75"/>
      <c r="T359" s="75"/>
      <c r="V359" s="84"/>
    </row>
    <row r="360" ht="15.75" customHeight="1">
      <c r="A360" s="70"/>
      <c r="B360" s="116"/>
      <c r="C360" s="117"/>
      <c r="D360" s="75"/>
      <c r="E360" s="118"/>
      <c r="F360" s="118"/>
      <c r="G360" s="75"/>
      <c r="H360" s="117"/>
      <c r="I360" s="75"/>
      <c r="J360" s="75"/>
      <c r="K360" s="125"/>
      <c r="L360" s="126"/>
      <c r="M360" s="80"/>
      <c r="N360" s="107"/>
      <c r="O360" s="98"/>
      <c r="P360" s="75"/>
      <c r="Q360" s="100"/>
      <c r="R360" s="93"/>
      <c r="S360" s="75"/>
      <c r="T360" s="75"/>
      <c r="V360" s="84"/>
    </row>
  </sheetData>
  <autoFilter ref="$A$12:$V$109"/>
  <customSheetViews>
    <customSheetView guid="{90C2C1B9-45C2-480F-86D2-C6087C5A9E3B}" filter="1" showAutoFilter="1">
      <autoFilter ref="$R$17:$R$22"/>
    </customSheetView>
  </customSheetViews>
  <mergeCells count="35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s>
  <dataValidations>
    <dataValidation type="list" allowBlank="1" showErrorMessage="1" sqref="N13:N360">
      <formula1>"Think About It,Money,Partner,Time,Fear,Value"</formula1>
    </dataValidation>
    <dataValidation type="list" allowBlank="1" showErrorMessage="1" sqref="J15">
      <formula1>"Option 1,Option 2"</formula1>
    </dataValidation>
    <dataValidation type="list" allowBlank="1" showErrorMessage="1" sqref="I13:J14 I15 I16:J19 I20:I26 I27: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drawing r:id="rId2"/>
  <legacyDrawing r:id="rId3"/>
</worksheet>
</file>