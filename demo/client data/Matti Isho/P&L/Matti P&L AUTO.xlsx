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nL 2025" sheetId="1" r:id="rId5"/>
    <sheet state="visible" name="PnL 2026" sheetId="2" r:id="rId6"/>
    <sheet state="visible" name="Datalist" sheetId="3" r:id="rId7"/>
  </sheets>
  <definedNames/>
  <calcPr/>
</workbook>
</file>

<file path=xl/sharedStrings.xml><?xml version="1.0" encoding="utf-8"?>
<sst xmlns="http://schemas.openxmlformats.org/spreadsheetml/2006/main" count="2954" uniqueCount="942">
  <si>
    <t xml:space="preserve"> </t>
  </si>
  <si>
    <t>Total</t>
  </si>
  <si>
    <t>Income</t>
  </si>
  <si>
    <t xml:space="preserve">Total revenue </t>
  </si>
  <si>
    <t>Total revenue</t>
  </si>
  <si>
    <t>Total cash collected</t>
  </si>
  <si>
    <t>Expenses</t>
  </si>
  <si>
    <t>Ads Total</t>
  </si>
  <si>
    <t>Meta</t>
  </si>
  <si>
    <t>TikTok</t>
  </si>
  <si>
    <t>Youtube</t>
  </si>
  <si>
    <t>Google</t>
  </si>
  <si>
    <t>Closers/Setters Total</t>
  </si>
  <si>
    <t xml:space="preserve">Anton </t>
  </si>
  <si>
    <t>Håvard</t>
  </si>
  <si>
    <t>Stripe fee's</t>
  </si>
  <si>
    <t>Softwares</t>
  </si>
  <si>
    <t>Co-coach expenses</t>
  </si>
  <si>
    <t>Andre</t>
  </si>
  <si>
    <t>Total costs</t>
  </si>
  <si>
    <t>Total profit (Revenue)</t>
  </si>
  <si>
    <t>Total profit (Cash collected)</t>
  </si>
  <si>
    <t>NYSAESON cut</t>
  </si>
  <si>
    <t>Matti cut</t>
  </si>
  <si>
    <t>Name</t>
  </si>
  <si>
    <t>E-mail</t>
  </si>
  <si>
    <t>Date</t>
  </si>
  <si>
    <t>CASH COLLECTED</t>
  </si>
  <si>
    <t>Awais</t>
  </si>
  <si>
    <t>Sander Jensen</t>
  </si>
  <si>
    <t>Oliver</t>
  </si>
  <si>
    <t>Ali A</t>
  </si>
  <si>
    <t>Lucas</t>
  </si>
  <si>
    <t>Nikolaj</t>
  </si>
  <si>
    <t>AYman</t>
  </si>
  <si>
    <t>Mikkel Sommer</t>
  </si>
  <si>
    <t>Emil P</t>
  </si>
  <si>
    <t>Noah</t>
  </si>
  <si>
    <t>Ayaan</t>
  </si>
  <si>
    <t>Sebasian D</t>
  </si>
  <si>
    <t>David</t>
  </si>
  <si>
    <t>Jacob</t>
  </si>
  <si>
    <t>Oscar</t>
  </si>
  <si>
    <t>Hannibal</t>
  </si>
  <si>
    <t>Mads V</t>
  </si>
  <si>
    <t>Berzan</t>
  </si>
  <si>
    <t>Sayed</t>
  </si>
  <si>
    <t>Sebastian S</t>
  </si>
  <si>
    <t>Oliver F</t>
  </si>
  <si>
    <t>PIF-manden</t>
  </si>
  <si>
    <t>Andreas</t>
  </si>
  <si>
    <t>Jonas B</t>
  </si>
  <si>
    <t>Alexander L</t>
  </si>
  <si>
    <t>Christian</t>
  </si>
  <si>
    <t>Silas M</t>
  </si>
  <si>
    <t>LUCAS A</t>
  </si>
  <si>
    <t>Peter J</t>
  </si>
  <si>
    <t>Marius K</t>
  </si>
  <si>
    <t>Jeppe Karlson</t>
  </si>
  <si>
    <t>Mikkel A</t>
  </si>
  <si>
    <t>Rasmus K</t>
  </si>
  <si>
    <t>Haris</t>
  </si>
  <si>
    <t>Jeppe O</t>
  </si>
  <si>
    <t>SEJR</t>
  </si>
  <si>
    <t>Anders Stær</t>
  </si>
  <si>
    <t>Markus K</t>
  </si>
  <si>
    <t>Nicolai Louis</t>
  </si>
  <si>
    <t>Arvin</t>
  </si>
  <si>
    <t>Fahad Abdulla</t>
  </si>
  <si>
    <t>fahadahmadmus@gmail.com</t>
  </si>
  <si>
    <t>Gajan Theiventhiramoorthys</t>
  </si>
  <si>
    <t>Gajan2409@icloud.com</t>
  </si>
  <si>
    <t>Gabi Przybylak</t>
  </si>
  <si>
    <t>G.s.przyby@gmail.com</t>
  </si>
  <si>
    <t>Enis Hasanovic</t>
  </si>
  <si>
    <t>ennold123@gmail.com</t>
  </si>
  <si>
    <t>Oliver Valentin</t>
  </si>
  <si>
    <t>Oliver@hougaard.me</t>
  </si>
  <si>
    <t>rasmus Larsen</t>
  </si>
  <si>
    <t>rasmustoftlarsen@gmail.com</t>
  </si>
  <si>
    <t>Omed Mahmoud</t>
  </si>
  <si>
    <t>omedm21@hotmail.com</t>
  </si>
  <si>
    <t>Milo</t>
  </si>
  <si>
    <t>mjotown@hotmail.com</t>
  </si>
  <si>
    <t>lucasqs@icloud.com</t>
  </si>
  <si>
    <t>Daniel Mikus</t>
  </si>
  <si>
    <t>dani_mikus@yahoo.com</t>
  </si>
  <si>
    <t>Andreas Tindø</t>
  </si>
  <si>
    <t>Andreastindoe03@gmail.com</t>
  </si>
  <si>
    <t>Lucas Klysner</t>
  </si>
  <si>
    <t>klysnerlucas@gmail.com</t>
  </si>
  <si>
    <t>Anton Clementsen</t>
  </si>
  <si>
    <t>anton.clementsen@gmail.com</t>
  </si>
  <si>
    <t>Frederik Brøndum</t>
  </si>
  <si>
    <t>frederikbrondum@icloud.com</t>
  </si>
  <si>
    <t>Christian Sulkjær</t>
  </si>
  <si>
    <t>christiansulkjaer@gmail.com</t>
  </si>
  <si>
    <t>Emil Jensen</t>
  </si>
  <si>
    <t>Emilgodsvig@gmail.com</t>
  </si>
  <si>
    <t>Lukas Pedersen</t>
  </si>
  <si>
    <t>Lukaspedersen63@gmail.com</t>
  </si>
  <si>
    <t>Erik Bjerregaard</t>
  </si>
  <si>
    <t>erikgutfeldbjerregaard@gmail.com</t>
  </si>
  <si>
    <t>Mathias Kjølby</t>
  </si>
  <si>
    <t>mathiasdrage99@gmail.com</t>
  </si>
  <si>
    <t>Max Sandberg</t>
  </si>
  <si>
    <t>maxsandberg33@gmail.com</t>
  </si>
  <si>
    <t>Thorbjørn Kragh</t>
  </si>
  <si>
    <t>thorbjoernbk@gmail.com</t>
  </si>
  <si>
    <t>Daniel Scheppan</t>
  </si>
  <si>
    <t>Scheppan.daniel@gmail.com</t>
  </si>
  <si>
    <t>Simon Dinitzen</t>
  </si>
  <si>
    <t>simonjohannessendinitzen@gmail.com</t>
  </si>
  <si>
    <t>Tobias Kirketerp</t>
  </si>
  <si>
    <t>tobia.10@icloud.com</t>
  </si>
  <si>
    <t>Mads Jørgensen</t>
  </si>
  <si>
    <t>madsohj@gmail.com</t>
  </si>
  <si>
    <t>Malthe Breck</t>
  </si>
  <si>
    <t>malthe.breck@outlook.dk</t>
  </si>
  <si>
    <t>Andreas Wojtczak</t>
  </si>
  <si>
    <t>gameinga32@gmail.com</t>
  </si>
  <si>
    <t>Jonas Astrup</t>
  </si>
  <si>
    <t>jonas_astrup@icloud.com</t>
  </si>
  <si>
    <t>Lawin jwan mohammed</t>
  </si>
  <si>
    <t>lawinjwan2005@gmail.com</t>
  </si>
  <si>
    <t>Christopher Halvorsen</t>
  </si>
  <si>
    <t>Christophermark2002@gmail.com</t>
  </si>
  <si>
    <t>Diæt plan</t>
  </si>
  <si>
    <t>Simon</t>
  </si>
  <si>
    <t>Gustave Tribondeau</t>
  </si>
  <si>
    <t>gustavema@outlook.dk</t>
  </si>
  <si>
    <t>Christian Veselinovski</t>
  </si>
  <si>
    <t>Cveselinovski@gmail.com</t>
  </si>
  <si>
    <t>Marcus albæk</t>
  </si>
  <si>
    <t>Marcuslykkealbaek@gmail.com</t>
  </si>
  <si>
    <t>Noah kaadtmann</t>
  </si>
  <si>
    <t>noah1010sk@gmail.com</t>
  </si>
  <si>
    <t>Oliver Brøner</t>
  </si>
  <si>
    <t>oliverbroner@outlook.dk</t>
  </si>
  <si>
    <t>Nikolai Hagelskjær</t>
  </si>
  <si>
    <t>nikohag07@gmail.com</t>
  </si>
  <si>
    <t>Hjalte Vestergaard</t>
  </si>
  <si>
    <t>Hjaltevestergaard@gmail.com</t>
  </si>
  <si>
    <t>Marcus Poulsen</t>
  </si>
  <si>
    <t>marcusmille46@gmail.com</t>
  </si>
  <si>
    <t>Murad Adam</t>
  </si>
  <si>
    <t>Muradadam@hotmail.dk</t>
  </si>
  <si>
    <t>Marcus Thiersen</t>
  </si>
  <si>
    <t>Marcusbielefeldt@gmail.com</t>
  </si>
  <si>
    <t>Bashar Mageed</t>
  </si>
  <si>
    <t>basharmageed2004@gmail.com</t>
  </si>
  <si>
    <t>Christian Buchholtz Andreasen</t>
  </si>
  <si>
    <t>chr.b.andreasen@gmail.com</t>
  </si>
  <si>
    <t>Magnus Moynihan Koch</t>
  </si>
  <si>
    <t>Magnus.mouni@gmail.com</t>
  </si>
  <si>
    <t>Victor Ahrens Kattrup</t>
  </si>
  <si>
    <t>vak270607@gmail.com</t>
  </si>
  <si>
    <t>Marcus Rasmussen</t>
  </si>
  <si>
    <t>marcus.rasmussen@outlook.com</t>
  </si>
  <si>
    <t>Resul Amza</t>
  </si>
  <si>
    <t>ResulAmza2002@gmail.com</t>
  </si>
  <si>
    <t>Nikolaj Andressen</t>
  </si>
  <si>
    <t>nikolajpelle1234@gmail.com</t>
  </si>
  <si>
    <t>Malthe Trudslev</t>
  </si>
  <si>
    <t>malthetrudslev@gmail.com</t>
  </si>
  <si>
    <t>Anton Moe Ward</t>
  </si>
  <si>
    <t>Antonmoeward@gmail.com</t>
  </si>
  <si>
    <t>Lukas Romanius</t>
  </si>
  <si>
    <t>Romaniuslukas@gmail.com</t>
  </si>
  <si>
    <t>Matin Khan</t>
  </si>
  <si>
    <t>matinkhanxd@gmail.com</t>
  </si>
  <si>
    <t>Alexander Brovsting</t>
  </si>
  <si>
    <t>alexanderbrovsting@hotmail.com</t>
  </si>
  <si>
    <t>Robert Olofsson</t>
  </si>
  <si>
    <t>rkenolof02@gmail.com</t>
  </si>
  <si>
    <t>Kalle Locht</t>
  </si>
  <si>
    <t>kalle.vitrup.locht@gmail.com</t>
  </si>
  <si>
    <t>Ziad Nakad</t>
  </si>
  <si>
    <t>Ziad04@icloud.com</t>
  </si>
  <si>
    <t>Jamie Midtgaard</t>
  </si>
  <si>
    <t>jamiemidtgaard@gmail.com</t>
  </si>
  <si>
    <t>Emil Pedersen</t>
  </si>
  <si>
    <t>Emil022x@gmail.com</t>
  </si>
  <si>
    <t>Sejr Hvass</t>
  </si>
  <si>
    <t>hsejr211@gmail.com</t>
  </si>
  <si>
    <t>Lucas Dyhr</t>
  </si>
  <si>
    <t>lucaspdyhr@gmail.com</t>
  </si>
  <si>
    <t>Mikkel Touvdal</t>
  </si>
  <si>
    <t>mtouvdal@gmail.com</t>
  </si>
  <si>
    <t>Oliver Dalgaard</t>
  </si>
  <si>
    <t>oliv019d@gmail.com</t>
  </si>
  <si>
    <t>Lucas Andersen</t>
  </si>
  <si>
    <t>lucasandersen1404@gmail.com</t>
  </si>
  <si>
    <t>Sebastian Schøtt</t>
  </si>
  <si>
    <t>sebastian@schoet.es</t>
  </si>
  <si>
    <t>Awais Waseem</t>
  </si>
  <si>
    <t>awaisawaseem@gmail.com</t>
  </si>
  <si>
    <t>Benjamin Nymann</t>
  </si>
  <si>
    <t>benjamin.nymann.thomsen@gmail.com</t>
  </si>
  <si>
    <t>Oscar Steenberg</t>
  </si>
  <si>
    <t>oscarsteenberg@outlook.com</t>
  </si>
  <si>
    <t>Ayman Jamal</t>
  </si>
  <si>
    <t>aymanjamal474@gmail.com</t>
  </si>
  <si>
    <t>Berzan Asci</t>
  </si>
  <si>
    <t>berzanasci14@gmail.com</t>
  </si>
  <si>
    <t>Jonas Clausen</t>
  </si>
  <si>
    <t>jonas@elisabogaard.dk</t>
  </si>
  <si>
    <t>Oliver frandsen</t>
  </si>
  <si>
    <t>oliverbfrandsen@gmail.com</t>
  </si>
  <si>
    <t>Jay Egbach</t>
  </si>
  <si>
    <t>JayEgbach12@hotmail.com</t>
  </si>
  <si>
    <t>Christian Laursen</t>
  </si>
  <si>
    <t>chri50z6@icloud.com</t>
  </si>
  <si>
    <t>Jonas Boye Sandberg</t>
  </si>
  <si>
    <t>jonassandberg369@gmail.com</t>
  </si>
  <si>
    <t>Oliver Stubbe</t>
  </si>
  <si>
    <t>oliverstubbergaard81@gmail.com</t>
  </si>
  <si>
    <t>Robert Rankenberg</t>
  </si>
  <si>
    <t>RobertRankenberg@gmail.com</t>
  </si>
  <si>
    <t>Albert Trillingsgaard</t>
  </si>
  <si>
    <t>albertlt@outlook.dk</t>
  </si>
  <si>
    <t>Tristan Thode</t>
  </si>
  <si>
    <t>tristan@thode-family.dk</t>
  </si>
  <si>
    <t>Kristian Tomov</t>
  </si>
  <si>
    <t>kristiantomov2@gmail.com</t>
  </si>
  <si>
    <t>Faik Salim</t>
  </si>
  <si>
    <t>faiksalim@icloud.com</t>
  </si>
  <si>
    <t>Jeppe Schutt</t>
  </si>
  <si>
    <t>jeppeschutt@hotmail.com</t>
  </si>
  <si>
    <t>Haris husedzinovic</t>
  </si>
  <si>
    <t>Haris.husedzinovic@gmail.com</t>
  </si>
  <si>
    <t>Silas Molter</t>
  </si>
  <si>
    <t>Smolter52@gmail.com</t>
  </si>
  <si>
    <t>Oliver Hauge</t>
  </si>
  <si>
    <t>oliver.h2006@hotmail.com</t>
  </si>
  <si>
    <t>Andreas Arendal</t>
  </si>
  <si>
    <t>aarendalpetersen@gmail.com</t>
  </si>
  <si>
    <t>John Sarfo</t>
  </si>
  <si>
    <t>johnpedersen017@gmail.com</t>
  </si>
  <si>
    <t>Jacob Olsen</t>
  </si>
  <si>
    <t>jacobolsen1999@gmail.com</t>
  </si>
  <si>
    <t>Peter Johannsen</t>
  </si>
  <si>
    <t>p.johannsenteam@gmail.com</t>
  </si>
  <si>
    <t>Lucas Sørensen</t>
  </si>
  <si>
    <t>lucassorensen2006@gmail.om</t>
  </si>
  <si>
    <t>Arvin parthiban</t>
  </si>
  <si>
    <t>P.arvinparthiban12@gmail.com</t>
  </si>
  <si>
    <t>Jeppe Olsen</t>
  </si>
  <si>
    <t>jeppe_eh@hotmail.com</t>
  </si>
  <si>
    <t>Fida Bashir</t>
  </si>
  <si>
    <t>fida07bashir@gmail.com</t>
  </si>
  <si>
    <t>Samuel Olsen</t>
  </si>
  <si>
    <t>samuelhaaningolsen500@gmail.com</t>
  </si>
  <si>
    <t>staeranders@gmail.com</t>
  </si>
  <si>
    <t>Markus Karlsson</t>
  </si>
  <si>
    <t>Karlssonmarkus007@gmail.com</t>
  </si>
  <si>
    <t>Marius Kristensen</t>
  </si>
  <si>
    <t>mariusfk@hotmail.com</t>
  </si>
  <si>
    <t>nicolai2911@hotmail.dk</t>
  </si>
  <si>
    <t>Sefa Bulduk</t>
  </si>
  <si>
    <t>Sefaa2003@icloud.com</t>
  </si>
  <si>
    <t>Mikkel Andreassen</t>
  </si>
  <si>
    <t>mjandreassen@gmail.com</t>
  </si>
  <si>
    <t>Nicklas Andersen</t>
  </si>
  <si>
    <t>nicklas0802@gmail.com</t>
  </si>
  <si>
    <t>Denis Bukvic</t>
  </si>
  <si>
    <t>denisbukvic2003@gmail.com</t>
  </si>
  <si>
    <t>Lucas Missel</t>
  </si>
  <si>
    <t>lucasmissel@icloud.com</t>
  </si>
  <si>
    <t>Daniel Nielsen</t>
  </si>
  <si>
    <t>Danielnielsen2002@gmail.com</t>
  </si>
  <si>
    <t>Ali Altharwoni</t>
  </si>
  <si>
    <t>lush83rd@outlook.dk</t>
  </si>
  <si>
    <t>Casper Flindt</t>
  </si>
  <si>
    <t>pasp7378@gmail.com</t>
  </si>
  <si>
    <t>Kasper Hedme</t>
  </si>
  <si>
    <t>kkh@hedme.dk</t>
  </si>
  <si>
    <t>Mads Bøgh</t>
  </si>
  <si>
    <t>mads.boegh.pedersen@gmail.com</t>
  </si>
  <si>
    <t>Oliver Michael Lindh</t>
  </si>
  <si>
    <t>olivermlindh@gmail.com</t>
  </si>
  <si>
    <t>Valdemar Ballisager</t>
  </si>
  <si>
    <t>valde1711@yahoo.dk</t>
  </si>
  <si>
    <t>Adam Herskind-Sabri</t>
  </si>
  <si>
    <t>AdamHerskind@hotmail.com</t>
  </si>
  <si>
    <t>Jeppe Calmann</t>
  </si>
  <si>
    <t>jeppedalgaardcalmann@gmail.com</t>
  </si>
  <si>
    <t>Malthe Mortensen</t>
  </si>
  <si>
    <t>Malthekallesoee05@gmail.com</t>
  </si>
  <si>
    <t>Hannibal Holmgaard</t>
  </si>
  <si>
    <t>hannibal130107@gmail.com</t>
  </si>
  <si>
    <t>Kim Ideppilli</t>
  </si>
  <si>
    <t>Kimideppililund@gmail.com</t>
  </si>
  <si>
    <t>Alexander Friis Sanco</t>
  </si>
  <si>
    <t>Sander.sanco@gmail.com</t>
  </si>
  <si>
    <t>Frederik Kristiansen</t>
  </si>
  <si>
    <t>frederikskovbjergkristiansen@gmail.com</t>
  </si>
  <si>
    <t>kontaktlucasandersen@gmail.com</t>
  </si>
  <si>
    <t>Adriano Oraha</t>
  </si>
  <si>
    <t>adriano.oraha@live.dk</t>
  </si>
  <si>
    <t>Simon Andersen</t>
  </si>
  <si>
    <t>Simonroandersen@gmail.com</t>
  </si>
  <si>
    <t>Marcus Larsen</t>
  </si>
  <si>
    <t>marcus2003larsen@gmail.com</t>
  </si>
  <si>
    <t>Frederikke Jensen</t>
  </si>
  <si>
    <t>Frederikke.risom@hotmail.com</t>
  </si>
  <si>
    <t>Mikkel Bundgaard</t>
  </si>
  <si>
    <t>Mikkelb56@gmail.com</t>
  </si>
  <si>
    <t>Snorre Mørk Andersen</t>
  </si>
  <si>
    <t>snorrema6@gmail.com</t>
  </si>
  <si>
    <t>August Lund Nielsen</t>
  </si>
  <si>
    <t>august.l.nielsen@gmail.com</t>
  </si>
  <si>
    <t>Rasmus Haudrup</t>
  </si>
  <si>
    <t>haudrup@live.dk</t>
  </si>
  <si>
    <t>Gustav Mortensen</t>
  </si>
  <si>
    <t>gbmortensen0306@gmail.com</t>
  </si>
  <si>
    <t>Magnus Rose</t>
  </si>
  <si>
    <t>Magnus@rose.pm</t>
  </si>
  <si>
    <t>Jimmi Pederden</t>
  </si>
  <si>
    <t>Jimmip1987@hotmail.com</t>
  </si>
  <si>
    <t>Mikkel Christiansen</t>
  </si>
  <si>
    <t>Mikkellora39@gmail.com</t>
  </si>
  <si>
    <t>Jonas Skov Mikkelsen</t>
  </si>
  <si>
    <t>JonasSkovMikkelsen12@gmail.com</t>
  </si>
  <si>
    <t>Lukas Witek</t>
  </si>
  <si>
    <t>luggiwitek@gmail.com</t>
  </si>
  <si>
    <t>Michael Krebs</t>
  </si>
  <si>
    <t>Michaelchristiansen87@gmail.dk</t>
  </si>
  <si>
    <t>Adib Abul Razek</t>
  </si>
  <si>
    <t>adibrazek2003@gmail.com</t>
  </si>
  <si>
    <t>Blerand Hasani</t>
  </si>
  <si>
    <t>BlerandHasani18@gmail.com</t>
  </si>
  <si>
    <t>Oscar Bundgaard</t>
  </si>
  <si>
    <t>oscarbundgaardravn@icloud.com</t>
  </si>
  <si>
    <t>Kasper Grann</t>
  </si>
  <si>
    <t>grann.kasper@gmail.com</t>
  </si>
  <si>
    <t>Mads Vestergaard</t>
  </si>
  <si>
    <t>madsbojevestergaard@gmail.com</t>
  </si>
  <si>
    <t>Noah Toft</t>
  </si>
  <si>
    <t>noahtoft4000@gmail.com</t>
  </si>
  <si>
    <t>Kenneth Da Silva Nielsen</t>
  </si>
  <si>
    <t>Kennbeat2001@gmail.com</t>
  </si>
  <si>
    <t>Lucas Olesen</t>
  </si>
  <si>
    <t>Lucasfussing@gmail.com</t>
  </si>
  <si>
    <t>Aleksander Kamp</t>
  </si>
  <si>
    <t>Askamp05@gmail.com</t>
  </si>
  <si>
    <t>Malthe sigvaldasom</t>
  </si>
  <si>
    <t>b0tmalle08@gmail.com</t>
  </si>
  <si>
    <t>Boor</t>
  </si>
  <si>
    <t>Boornonsungnoen@gmail.com</t>
  </si>
  <si>
    <t>Noah Jensen</t>
  </si>
  <si>
    <t>Noahjensen748@gmail.com</t>
  </si>
  <si>
    <t>Anders Ascanius</t>
  </si>
  <si>
    <t>Anders@ascaniusbyg.dk</t>
  </si>
  <si>
    <t>Nicolai Andersen</t>
  </si>
  <si>
    <t>nicolai.andersen13@gmail.com</t>
  </si>
  <si>
    <t>Silas Christiansen</t>
  </si>
  <si>
    <t>Silaschr1706@gmail.com</t>
  </si>
  <si>
    <t>Mads Mogensen</t>
  </si>
  <si>
    <t>Madstm15@gmail.com</t>
  </si>
  <si>
    <t>Christian Foss-Møller</t>
  </si>
  <si>
    <t>christianfoss1234@gmail.com</t>
  </si>
  <si>
    <t>victoredvardsen9@gmail.com</t>
  </si>
  <si>
    <t>Thomas Jørgensen</t>
  </si>
  <si>
    <t>thjomas@icloud.com</t>
  </si>
  <si>
    <t>Marcus Søndergaard</t>
  </si>
  <si>
    <t>Marcussom2608@gmail.com</t>
  </si>
  <si>
    <t>Mathias Hermann</t>
  </si>
  <si>
    <t>mathiasher05@gmail.com</t>
  </si>
  <si>
    <t>emildegn@outlook.dk</t>
  </si>
  <si>
    <t>Mads Andersen</t>
  </si>
  <si>
    <t>pollethegod123@gmail.com</t>
  </si>
  <si>
    <t>Alanm3e46@icloud.com</t>
  </si>
  <si>
    <t>Rene jakobsen</t>
  </si>
  <si>
    <t>rene.kvist.jakobsen@gmail.com</t>
  </si>
  <si>
    <t>Theo hergott</t>
  </si>
  <si>
    <t>theo.hergott@gmail.com</t>
  </si>
  <si>
    <t>Mathias</t>
  </si>
  <si>
    <t>Mathiasvangtolstrup@gmail.com</t>
  </si>
  <si>
    <t>Jakob Lauritsen</t>
  </si>
  <si>
    <t>Jakob@gmail.com</t>
  </si>
  <si>
    <t>Nicolas Christensen</t>
  </si>
  <si>
    <t>21ihler@gmail.com</t>
  </si>
  <si>
    <t>Lukas Isaksson</t>
  </si>
  <si>
    <t>Issakssonlukas@gmail.com</t>
  </si>
  <si>
    <t>Mads Vang</t>
  </si>
  <si>
    <t>mchillvang@gmail.com</t>
  </si>
  <si>
    <t>Marcus fredskilde</t>
  </si>
  <si>
    <t>marcusrojkjaer@gmail.com</t>
  </si>
  <si>
    <t>frederiklykke30@gmail.com</t>
  </si>
  <si>
    <t>Emil Munch</t>
  </si>
  <si>
    <t>emilmunch.dk@gmail.com</t>
  </si>
  <si>
    <t>Mick Riis Andersen</t>
  </si>
  <si>
    <t>mickriisandersen@hotmail.com</t>
  </si>
  <si>
    <t>Abdul Flo</t>
  </si>
  <si>
    <t>mdsa439@gmail.com</t>
  </si>
  <si>
    <t>thomasbirkandersen@gmail.com</t>
  </si>
  <si>
    <t>Phillip Olsen</t>
  </si>
  <si>
    <t>phillipolsen919@gmail.com</t>
  </si>
  <si>
    <t>Marissa Mazin Yako</t>
  </si>
  <si>
    <t>marissamazin@hotmail.com</t>
  </si>
  <si>
    <t>🙅‍♂️</t>
  </si>
  <si>
    <t>victor.schwarz@outlook.dk</t>
  </si>
  <si>
    <t>Malthe Østrup</t>
  </si>
  <si>
    <t>malthebusk@gmail.com</t>
  </si>
  <si>
    <t>Christine Skov</t>
  </si>
  <si>
    <t>christine.ladegaard.skov@gmail.com</t>
  </si>
  <si>
    <t>Daniel</t>
  </si>
  <si>
    <t>danielm2607@gmail.com</t>
  </si>
  <si>
    <t>William jensen</t>
  </si>
  <si>
    <t>williamboberg18@gmail.com</t>
  </si>
  <si>
    <t>Thomas Olesen</t>
  </si>
  <si>
    <t>thomasoegaard@gmail.com</t>
  </si>
  <si>
    <t>Benedict Stucky Sørensen</t>
  </si>
  <si>
    <t>benedicts1711@gmail.com</t>
  </si>
  <si>
    <t>lucaskprivat@gmail.com</t>
  </si>
  <si>
    <t>Emil  Jensen</t>
  </si>
  <si>
    <t>emilgodsvig@gmail.com</t>
  </si>
  <si>
    <t>Magnus Pølkemann Stuhr</t>
  </si>
  <si>
    <t>magnusstuhr05@gmail.com</t>
  </si>
  <si>
    <t>Victor holm petersen</t>
  </si>
  <si>
    <t>victorholmpetersen@gmail.com</t>
  </si>
  <si>
    <t>Villads Anderskov</t>
  </si>
  <si>
    <t>anderskovvillads@gmail.com</t>
  </si>
  <si>
    <t xml:space="preserve">Jonathan  Pedersen </t>
  </si>
  <si>
    <t>jona119r@rksit.dk</t>
  </si>
  <si>
    <t>Mikkel Thrane Petersen</t>
  </si>
  <si>
    <t>miktp151002@gmail.com</t>
  </si>
  <si>
    <t>Oliver Heide</t>
  </si>
  <si>
    <t>oliverheide2003@gmail.com</t>
  </si>
  <si>
    <t>Emil Andersen</t>
  </si>
  <si>
    <t>emil28122006@icloud.com</t>
  </si>
  <si>
    <t>Mads Wissendorff Wissendorff</t>
  </si>
  <si>
    <t>wissendorfmads@gmail.com</t>
  </si>
  <si>
    <t>Carl Emil Borby Larsen</t>
  </si>
  <si>
    <t>carlemillarsen@icloud.com</t>
  </si>
  <si>
    <t>James Mellemkjær</t>
  </si>
  <si>
    <t>james.mellemkjaer@gmail.com</t>
  </si>
  <si>
    <t>Mikkel hansen</t>
  </si>
  <si>
    <t>mmkiller@hotmail.com</t>
  </si>
  <si>
    <t xml:space="preserve">Kristian  Hanssn </t>
  </si>
  <si>
    <t>kristianhansen99@hotmail.com</t>
  </si>
  <si>
    <t>Kristian</t>
  </si>
  <si>
    <t>kristian.tondering@gmail.com</t>
  </si>
  <si>
    <t>Valdemar Drejer Hansen</t>
  </si>
  <si>
    <t>valdemardrejerhansen@gmail.com</t>
  </si>
  <si>
    <t>Christian Christiansen</t>
  </si>
  <si>
    <t>christiantottrupchristiansen@gmail.com</t>
  </si>
  <si>
    <t>Laurits koch hansen</t>
  </si>
  <si>
    <t>lauritskochhansen@gmail.com</t>
  </si>
  <si>
    <t>David vang dampe</t>
  </si>
  <si>
    <t>david@dampe.dk</t>
  </si>
  <si>
    <t>Frederik Molander Vagner Olsen</t>
  </si>
  <si>
    <t>molander1807@gmail.com</t>
  </si>
  <si>
    <t>Victor  Gammelvind Ehmsen</t>
  </si>
  <si>
    <t>victorgammelvind@gmail.com</t>
  </si>
  <si>
    <t>Rasmus Pedersen</t>
  </si>
  <si>
    <t>Ralle210107@gmail.com</t>
  </si>
  <si>
    <t>Tinno valsten</t>
  </si>
  <si>
    <t>tinnovalsten16@gmail.com</t>
  </si>
  <si>
    <t xml:space="preserve">Mads Mose </t>
  </si>
  <si>
    <t>madsbolmose@gmail.com</t>
  </si>
  <si>
    <t>William Kjellberg</t>
  </si>
  <si>
    <t>mrmilli@outlook.dk</t>
  </si>
  <si>
    <t>Nicolas Iordanov Møller Jensen</t>
  </si>
  <si>
    <t>nico.iordanov@gmail.com</t>
  </si>
  <si>
    <t>Magnus Zeuthen Nielsen</t>
  </si>
  <si>
    <t>mazeni0917@gmail.com</t>
  </si>
  <si>
    <t xml:space="preserve">Kim  Jørgensen </t>
  </si>
  <si>
    <t>kim.bandhit.joergensen@gmail.com</t>
  </si>
  <si>
    <t>Murtadha Radi</t>
  </si>
  <si>
    <t>Murtadharadi18@outlook.dk</t>
  </si>
  <si>
    <t>Silas  Stoklund</t>
  </si>
  <si>
    <t>silasstoklund222@gmail.com</t>
  </si>
  <si>
    <t>Marcus Lundager</t>
  </si>
  <si>
    <t>mlundager69@gmail.com</t>
  </si>
  <si>
    <t>Enes Aktas</t>
  </si>
  <si>
    <t>enesakinaktas@icloud.com</t>
  </si>
  <si>
    <t>Oliver Grønning</t>
  </si>
  <si>
    <t>olivergroening37@gmail.com</t>
  </si>
  <si>
    <t>Faik</t>
  </si>
  <si>
    <t>Faikselim@icloud.com</t>
  </si>
  <si>
    <t>Mathias Hald</t>
  </si>
  <si>
    <t>mathiashald0@icloud.com</t>
  </si>
  <si>
    <t>max thybo</t>
  </si>
  <si>
    <t>maxmoelholm123@gmail.com</t>
  </si>
  <si>
    <t>Mazlom Nakib</t>
  </si>
  <si>
    <t>mazlom.nakib1235@gmail.com</t>
  </si>
  <si>
    <t>Christian Handberg</t>
  </si>
  <si>
    <t>christian.robert.handberg@gmail.com</t>
  </si>
  <si>
    <t>Lukas Blond</t>
  </si>
  <si>
    <t>lukasblond@outlook.com</t>
  </si>
  <si>
    <t>Martin blindkilde Balleby ørnskov</t>
  </si>
  <si>
    <t>martinbb06@gmail.com</t>
  </si>
  <si>
    <t>Magnus Gjørup</t>
  </si>
  <si>
    <t>magnusgjoerup@gmail.com</t>
  </si>
  <si>
    <t>Ole Klittenberg</t>
  </si>
  <si>
    <t>oleklittenberg@gmail.com</t>
  </si>
  <si>
    <t>Bizon Scaling</t>
  </si>
  <si>
    <t>benjamin@bizon-scaling.com</t>
  </si>
  <si>
    <t>Simon Lino</t>
  </si>
  <si>
    <t>Simonlino2611@gmail.com</t>
  </si>
  <si>
    <t>Rune Jensen</t>
  </si>
  <si>
    <t>rune3166@gmail.com</t>
  </si>
  <si>
    <t>Mathias Tinglef</t>
  </si>
  <si>
    <t>mathiastinglef@icloud.com</t>
  </si>
  <si>
    <t>Anas Andersen</t>
  </si>
  <si>
    <t>anas.andersen07@gmail.com</t>
  </si>
  <si>
    <t>Jakob witt Hvid Jørgensen</t>
  </si>
  <si>
    <t>jakobwitthvid@gmail.com</t>
  </si>
  <si>
    <t>Mads Skov</t>
  </si>
  <si>
    <t>madsskov05@hotmail.com</t>
  </si>
  <si>
    <t>Elias Zafar</t>
  </si>
  <si>
    <t>eliaszafar2005@gmail.com</t>
  </si>
  <si>
    <t>Jeppe Aalund</t>
  </si>
  <si>
    <t>jeppeaalund@gmail.com</t>
  </si>
  <si>
    <t>Emil Ladiges</t>
  </si>
  <si>
    <t>elite.bot.gurli@gmail.com</t>
  </si>
  <si>
    <t>kaspar</t>
  </si>
  <si>
    <t>kasparpollmann@gmail.com</t>
  </si>
  <si>
    <t>Gurjot Singh</t>
  </si>
  <si>
    <t>amandeep1@live.dk</t>
  </si>
  <si>
    <t>Max Beller</t>
  </si>
  <si>
    <t>1allahware.xyz@gmail.com</t>
  </si>
  <si>
    <t>Laurids Jørgensen</t>
  </si>
  <si>
    <t>ninjaslikker@gmail.com</t>
  </si>
  <si>
    <t>Oliver Sarto Bach Lønbæk</t>
  </si>
  <si>
    <t>oliversarto20@gmail.com</t>
  </si>
  <si>
    <t>Lucas Kehlman Løvenfelth</t>
  </si>
  <si>
    <t>Lbogadaba@hotmail.com</t>
  </si>
  <si>
    <t>Matthew Kristensen</t>
  </si>
  <si>
    <t>matthewkristensen07@gmail.com</t>
  </si>
  <si>
    <t>Nicolai Boye</t>
  </si>
  <si>
    <t>nicolaiboye@icloud.com</t>
  </si>
  <si>
    <t>Emil Rasmussen</t>
  </si>
  <si>
    <t>emailrasmussen@icloud.com</t>
  </si>
  <si>
    <t>Lasse Alsing</t>
  </si>
  <si>
    <t>lassegraner@gmail.com</t>
  </si>
  <si>
    <t>Lasse  Egløkke Petersen</t>
  </si>
  <si>
    <t>lasseeglykke@gmail.com</t>
  </si>
  <si>
    <t>Emil Bjork</t>
  </si>
  <si>
    <t>emilbjorkthomsen@gmail.com</t>
  </si>
  <si>
    <t>Bertram Hannibal Aasland Winther</t>
  </si>
  <si>
    <t>bertram0309@gmail.com</t>
  </si>
  <si>
    <t>Emil Vestergaard Madsen</t>
  </si>
  <si>
    <t>hallelevgaarden1@gmail.com</t>
  </si>
  <si>
    <t>Thore Bucka</t>
  </si>
  <si>
    <t>thore.bucka16@icloud.com</t>
  </si>
  <si>
    <t>WLS STENDER LILLIE</t>
  </si>
  <si>
    <t>willas.s.lillie@icloud.com</t>
  </si>
  <si>
    <t>William Homann</t>
  </si>
  <si>
    <t>william@hoco.dk</t>
  </si>
  <si>
    <t>Yusaf Tareen</t>
  </si>
  <si>
    <t>yusaftareen@gmail.com</t>
  </si>
  <si>
    <t>Gabriel Neiiendam</t>
  </si>
  <si>
    <t>gs.neiiendam@gmail.com</t>
  </si>
  <si>
    <t>Nicklas Jensen</t>
  </si>
  <si>
    <t>nicklas2712@icloud.com</t>
  </si>
  <si>
    <t>Sebastian Særkjær</t>
  </si>
  <si>
    <t>sebastiansaerkjaer@hotmail.com</t>
  </si>
  <si>
    <t>Jonas Hvid</t>
  </si>
  <si>
    <t>jh@2498.dk</t>
  </si>
  <si>
    <t>Mikail Kizilkaya</t>
  </si>
  <si>
    <t>10mikailk10@gmail.com</t>
  </si>
  <si>
    <t>Emanuel Munch</t>
  </si>
  <si>
    <t>mannimunch@gmail.com</t>
  </si>
  <si>
    <t>luca.holten@gmail.com</t>
  </si>
  <si>
    <t>Victor Colberg</t>
  </si>
  <si>
    <t>colberg.victor@gmail.com</t>
  </si>
  <si>
    <t>Magnus Hartmann</t>
  </si>
  <si>
    <t>magse.hartmann@gmail.com</t>
  </si>
  <si>
    <t>Andreas Storgaard</t>
  </si>
  <si>
    <t>storgaardandreas@gmail.com</t>
  </si>
  <si>
    <t>Vitus siegler aaen</t>
  </si>
  <si>
    <t>vi.s.aaen@gmail.com</t>
  </si>
  <si>
    <t>Jacob Abrahamsen</t>
  </si>
  <si>
    <t>jacob@abrahamsen.it</t>
  </si>
  <si>
    <t>Brian René severinsen</t>
  </si>
  <si>
    <t>filipdorf2009@gmail.com</t>
  </si>
  <si>
    <t>Lau</t>
  </si>
  <si>
    <t>laujm0801@gmail.com</t>
  </si>
  <si>
    <t>Mads Liltoft</t>
  </si>
  <si>
    <t>mads@liltoft.dk</t>
  </si>
  <si>
    <t>Nichlas Køtter</t>
  </si>
  <si>
    <t>nich2382@gmail.com</t>
  </si>
  <si>
    <t>Patrick andersen</t>
  </si>
  <si>
    <t>patrickanderden1806@gmail.com</t>
  </si>
  <si>
    <t>Lucas Toystrup</t>
  </si>
  <si>
    <t>luca5889@apps.vejle.dk</t>
  </si>
  <si>
    <t>Tobias Jensby</t>
  </si>
  <si>
    <t>tobiasjensby@gmail.com</t>
  </si>
  <si>
    <t>Frederik Rosenkilde Andersen</t>
  </si>
  <si>
    <t>frederikra@gmail.com</t>
  </si>
  <si>
    <t>emilras15@gmail.com</t>
  </si>
  <si>
    <t>Jannik Harrison</t>
  </si>
  <si>
    <t>jannikharrison05@gmail.com</t>
  </si>
  <si>
    <t>Mads Frederiksen</t>
  </si>
  <si>
    <t>Madsbfrede@gmail.com</t>
  </si>
  <si>
    <t>Jacob Jensen</t>
  </si>
  <si>
    <t>jacob_jensen.12@hotmail.com</t>
  </si>
  <si>
    <t>Casper Pedersen</t>
  </si>
  <si>
    <t>cpcasper@hotmail.dk</t>
  </si>
  <si>
    <t>Mikey Andersen</t>
  </si>
  <si>
    <t>MikeyAndersen2007@gmail.com</t>
  </si>
  <si>
    <t>Niklas juel jensen</t>
  </si>
  <si>
    <t>niklasjuel@hotmail.com</t>
  </si>
  <si>
    <t>Nicky Timm</t>
  </si>
  <si>
    <t>nickyborch04@icloud.com</t>
  </si>
  <si>
    <t>Søren</t>
  </si>
  <si>
    <t>sorenrasmussen605@gmail.com</t>
  </si>
  <si>
    <t>Rasmus Dalgaard Mortensen</t>
  </si>
  <si>
    <t>rasmusmortensen34@gmail.com</t>
  </si>
  <si>
    <t>Asbjørn  Madsen</t>
  </si>
  <si>
    <t>Dejligdreng2003@gmail.com</t>
  </si>
  <si>
    <t>Ditte Bentzen</t>
  </si>
  <si>
    <t>dittesbentzen@gmail.com</t>
  </si>
  <si>
    <t>Lucas Hartvig Ravn</t>
  </si>
  <si>
    <t>lucasravn2005@gmail.com</t>
  </si>
  <si>
    <t>Christian Hansen</t>
  </si>
  <si>
    <t>christianuhansen@gmail.com</t>
  </si>
  <si>
    <t>Niclas Hermann Pedersen</t>
  </si>
  <si>
    <t>niclas2001@outlook.dk</t>
  </si>
  <si>
    <t>Olivia becker holten</t>
  </si>
  <si>
    <t>Villads Kjøller</t>
  </si>
  <si>
    <t>villadskk@gmail.com</t>
  </si>
  <si>
    <t>Clara Eriksen</t>
  </si>
  <si>
    <t>claraeriksen2002@gmail.com</t>
  </si>
  <si>
    <t>Gustav Bøggild</t>
  </si>
  <si>
    <t>gustavboggild@gmail.com</t>
  </si>
  <si>
    <t>Victor</t>
  </si>
  <si>
    <t>victorbs2007@gmail.com</t>
  </si>
  <si>
    <t>Marcell Bilde</t>
  </si>
  <si>
    <t>Marcellbfk@icloud.com</t>
  </si>
  <si>
    <t>Malthe Baade</t>
  </si>
  <si>
    <t>malthe.baade@gmail.com</t>
  </si>
  <si>
    <t>Frej Staun</t>
  </si>
  <si>
    <t>frejstaun6@gmail.com</t>
  </si>
  <si>
    <t>mb</t>
  </si>
  <si>
    <t xml:space="preserve">Mikkel Isho </t>
  </si>
  <si>
    <t>visualsisho@gmail.com</t>
  </si>
  <si>
    <t>Asbjørn Kjerulf</t>
  </si>
  <si>
    <t>asbj2180@icloud.com</t>
  </si>
  <si>
    <t>Kasper Saabye</t>
  </si>
  <si>
    <t>kasper2007hansen@gmail.com</t>
  </si>
  <si>
    <t>Peter Larsen</t>
  </si>
  <si>
    <t>larsen81@live.dk</t>
  </si>
  <si>
    <t>Oliver Skovbo</t>
  </si>
  <si>
    <t>oliverkellyskovbo7@gmail.com</t>
  </si>
  <si>
    <t>Mike Jensen</t>
  </si>
  <si>
    <t>mikeelmeskovjensen@gmail.com</t>
  </si>
  <si>
    <t>Mathias Nielsen</t>
  </si>
  <si>
    <t>nielsenmathias24@gmail.com</t>
  </si>
  <si>
    <t>Emil højriis sørensen</t>
  </si>
  <si>
    <t>emil.moviestar@gmail.com</t>
  </si>
  <si>
    <t>Jens Hyllested</t>
  </si>
  <si>
    <t>rapgame1433@gmail.com</t>
  </si>
  <si>
    <t>lucasskaaruprasmussen@gmail.com</t>
  </si>
  <si>
    <t xml:space="preserve">Magnus  Andersen </t>
  </si>
  <si>
    <t>magnus.t.andersen2003@gmail.com</t>
  </si>
  <si>
    <t>Christoffer Knudsen</t>
  </si>
  <si>
    <t>gofferknudsenfck@gmail.com</t>
  </si>
  <si>
    <t>David Klitgaard</t>
  </si>
  <si>
    <t>davidklitgaard@icloud.com</t>
  </si>
  <si>
    <t>Muhammed Ozgur</t>
  </si>
  <si>
    <t>ekobey28@icloud.com</t>
  </si>
  <si>
    <t>Mikki Petersen</t>
  </si>
  <si>
    <t>mikkipetersen2107@gmail.com</t>
  </si>
  <si>
    <t>Marc Olsen</t>
  </si>
  <si>
    <t>marcolsen04@gmail.com</t>
  </si>
  <si>
    <t>Mads thomsen</t>
  </si>
  <si>
    <t>madsth27@gmail.com</t>
  </si>
  <si>
    <t>Firdaws shwan fahd</t>
  </si>
  <si>
    <t>nali-200@hotmail.com</t>
  </si>
  <si>
    <t>Lasse Clausen</t>
  </si>
  <si>
    <t>lassejedtilok@gmail.com</t>
  </si>
  <si>
    <t>Victor Valbjørn</t>
  </si>
  <si>
    <t>victorolezen@gmail.com</t>
  </si>
  <si>
    <t>Benjamin Graversen</t>
  </si>
  <si>
    <t>benjaminhadsten@icloud.com</t>
  </si>
  <si>
    <t>Victor Hvidberg</t>
  </si>
  <si>
    <t>vkhvidberg@gmail.com</t>
  </si>
  <si>
    <t>Christian Sørensen</t>
  </si>
  <si>
    <t>chriller.s10@gmail.com</t>
  </si>
  <si>
    <t>Sebastian Nielsen</t>
  </si>
  <si>
    <t>sebastiangug07@gmail.com</t>
  </si>
  <si>
    <t>Laurits Meier</t>
  </si>
  <si>
    <t>hjaltemeiet@gmail.com</t>
  </si>
  <si>
    <t>Bertram Rasmussen</t>
  </si>
  <si>
    <t>berras1605@gmail.com</t>
  </si>
  <si>
    <t>Frederik Jensen</t>
  </si>
  <si>
    <t>frederikraahaugejensen@gmail.com</t>
  </si>
  <si>
    <t>Oliver svane hjorth</t>
  </si>
  <si>
    <t>oliverhs310107@gmail.com</t>
  </si>
  <si>
    <t>Luckas Winther</t>
  </si>
  <si>
    <t>luckaswinther@live.dk</t>
  </si>
  <si>
    <t>Elias Krogh</t>
  </si>
  <si>
    <t>Eliasdalgaardkrogh@gmail.com</t>
  </si>
  <si>
    <t>Malthe Bistrup</t>
  </si>
  <si>
    <t>malthe.bistrup1234@gmail.com</t>
  </si>
  <si>
    <t>Philip Finn Mortensen</t>
  </si>
  <si>
    <t>philipfm10@gmail.com</t>
  </si>
  <si>
    <t xml:space="preserve">Oliver  Søndergaard </t>
  </si>
  <si>
    <t>olivershenriksen1@gmail.com</t>
  </si>
  <si>
    <t>Oliver Løvgreen</t>
  </si>
  <si>
    <t>oliver734h@gmail.com</t>
  </si>
  <si>
    <t>Bertram Wass Hee</t>
  </si>
  <si>
    <t>bwasshee@gmail.com</t>
  </si>
  <si>
    <t>Albert Gerguri</t>
  </si>
  <si>
    <t>gerguri.import.export@gmail.com</t>
  </si>
  <si>
    <t>Sebastian Eriksen</t>
  </si>
  <si>
    <t>sebastian.eriksen@icloud.com</t>
  </si>
  <si>
    <t>Tobias Risvig</t>
  </si>
  <si>
    <t>tobias@famrisvig.dk</t>
  </si>
  <si>
    <t>oliverulv@icloud.com</t>
  </si>
  <si>
    <t>Asbjørn reventlow</t>
  </si>
  <si>
    <t>reventlow22@gmail.com</t>
  </si>
  <si>
    <t>Christa Herskind</t>
  </si>
  <si>
    <t>christaherskind@hotmail.com</t>
  </si>
  <si>
    <t>Albion Peci</t>
  </si>
  <si>
    <t>albionpeci0@gmail.com</t>
  </si>
  <si>
    <t>Frederik  Køj</t>
  </si>
  <si>
    <t>frederikkoej@gmail.com</t>
  </si>
  <si>
    <t>Mustafa Ülker</t>
  </si>
  <si>
    <t>must0695@hotmail.com</t>
  </si>
  <si>
    <t>NOAH KAMER LUND</t>
  </si>
  <si>
    <t>noahlund@outlook.com</t>
  </si>
  <si>
    <t>Anthony Nielsen</t>
  </si>
  <si>
    <t>anthony.e.nielsen@gmail.com</t>
  </si>
  <si>
    <t>Kevin Srirangathurai</t>
  </si>
  <si>
    <t>kevin.srirangathurai@outlook.com</t>
  </si>
  <si>
    <t>Victor Kamp</t>
  </si>
  <si>
    <t>vikskamp@gmail.com</t>
  </si>
  <si>
    <t>Mikkel Ørregaard</t>
  </si>
  <si>
    <t>mikkelorregaard@gmail.com</t>
  </si>
  <si>
    <t>Mathias Eilif Nymark Andersen</t>
  </si>
  <si>
    <t>Mena.kvk00@gmail.com</t>
  </si>
  <si>
    <t>Mikkel Skovgaard</t>
  </si>
  <si>
    <t>mikkelskovgaard2007@gmail.com</t>
  </si>
  <si>
    <t>Marcell  Busch</t>
  </si>
  <si>
    <t>marcellodense@gmail.com</t>
  </si>
  <si>
    <t>Mike Wulff</t>
  </si>
  <si>
    <t>mikewulff6@gmail.com</t>
  </si>
  <si>
    <t>Adrian Bomin</t>
  </si>
  <si>
    <t>adrianbomin@icloud.com</t>
  </si>
  <si>
    <t>Philip Nissen</t>
  </si>
  <si>
    <t>philipnissen2005@live.dk</t>
  </si>
  <si>
    <t>Nicolai Emil Hansen</t>
  </si>
  <si>
    <t>nicolaiemilh@gmail.com</t>
  </si>
  <si>
    <t>Oliver Daniel soldthved munkholm</t>
  </si>
  <si>
    <t>oliversolmunk@gmail.com</t>
  </si>
  <si>
    <t>Emil iseni</t>
  </si>
  <si>
    <t>emiliseni@hotmail.com</t>
  </si>
  <si>
    <t>Oscar Christiansen</t>
  </si>
  <si>
    <t>oscar.christiansen9@gmail.com</t>
  </si>
  <si>
    <t>Noah Larsson</t>
  </si>
  <si>
    <t>noahlarsson99@gmail.com</t>
  </si>
  <si>
    <t>Niklas Kock</t>
  </si>
  <si>
    <t>niklaskock1909@gmail.com</t>
  </si>
  <si>
    <t>Silas Gren</t>
  </si>
  <si>
    <t>silashg@outlook.dk</t>
  </si>
  <si>
    <t>Bertram Stenholm Møller</t>
  </si>
  <si>
    <t>bertramstenholm@gmail.com</t>
  </si>
  <si>
    <t>Kamilla Skov</t>
  </si>
  <si>
    <t>kdkskov@gmail.com</t>
  </si>
  <si>
    <t>Simon Odberg</t>
  </si>
  <si>
    <t>simonodberg@gmail.com</t>
  </si>
  <si>
    <t>Magnus Jensen</t>
  </si>
  <si>
    <t>mrraymondbunior@gmail.com</t>
  </si>
  <si>
    <t>Konrad Johansen</t>
  </si>
  <si>
    <t>konradljohansen2000@gmail.com</t>
  </si>
  <si>
    <t>Malte Blomkvist jakobsen</t>
  </si>
  <si>
    <t>malteblomkvist@gmail.com</t>
  </si>
  <si>
    <t>Mathias Ebbesen</t>
  </si>
  <si>
    <t>thias7@icloud.com</t>
  </si>
  <si>
    <t>Sebastian Pedersen</t>
  </si>
  <si>
    <t>pedersen.sebastian@icloud.com</t>
  </si>
  <si>
    <t>Oliver Haugbølle</t>
  </si>
  <si>
    <t>oliver.haugboelle@gmail.com</t>
  </si>
  <si>
    <t>Hjalte Bladt tychsen</t>
  </si>
  <si>
    <t>hjalte_bt@icloud.com</t>
  </si>
  <si>
    <t>Vincent Abenth</t>
  </si>
  <si>
    <t>vincentabenthh@gmail.com</t>
  </si>
  <si>
    <t>Anton Koefoed</t>
  </si>
  <si>
    <t>anton7823@icloud.com</t>
  </si>
  <si>
    <t xml:space="preserve">Mathisd  Bernt </t>
  </si>
  <si>
    <t>mathiasbernt@hotmail.com</t>
  </si>
  <si>
    <t>Nicolai  Svne</t>
  </si>
  <si>
    <t>nicolaisvane4@gmail.com</t>
  </si>
  <si>
    <t>Gustav  Sansqvist</t>
  </si>
  <si>
    <t>gustavsandqvist@icloud.com</t>
  </si>
  <si>
    <t>Patrick Rasmussen</t>
  </si>
  <si>
    <t>patricknyvang@gmail.com</t>
  </si>
  <si>
    <t>Dzemil Balihodzic</t>
  </si>
  <si>
    <t>dzemilbalihodzic@gmail.com</t>
  </si>
  <si>
    <t>Victor Høyer</t>
  </si>
  <si>
    <t>vhj@zunoarchives.com</t>
  </si>
  <si>
    <t xml:space="preserve">Thomas Golle Hansen </t>
  </si>
  <si>
    <t>tgolle4@gmail.com</t>
  </si>
  <si>
    <t>Mads Hyldeqvist Laursen</t>
  </si>
  <si>
    <t>madshyldeqvist@outlook.com</t>
  </si>
  <si>
    <t>SKM Group ApS</t>
  </si>
  <si>
    <t>msk@tech-shoppen.dk</t>
  </si>
  <si>
    <t>Max</t>
  </si>
  <si>
    <t>werenbergm@gmail.com</t>
  </si>
  <si>
    <t>Nicolai Nielsen</t>
  </si>
  <si>
    <t>nicolaiskovsgaardnielsen@outlook.dk</t>
  </si>
  <si>
    <t>Adem Sibic</t>
  </si>
  <si>
    <t>sibicadem@gmail.com</t>
  </si>
  <si>
    <t>Andrea Andersen</t>
  </si>
  <si>
    <t>andreaandersen06@gmail.com</t>
  </si>
  <si>
    <t>Mads Macbook</t>
  </si>
  <si>
    <t>grisj1@hotmail.com</t>
  </si>
  <si>
    <t>Oliver Jensen</t>
  </si>
  <si>
    <t>oliverj2310@gmail.com</t>
  </si>
  <si>
    <t>Julie Winther Olesen</t>
  </si>
  <si>
    <t>juliewintherolesen@icloud.com</t>
  </si>
  <si>
    <t>Rasmus Lentfer</t>
  </si>
  <si>
    <t>rasmus.svindt.lentfer@gmail.com</t>
  </si>
  <si>
    <t>Silas jørgensen stentoft</t>
  </si>
  <si>
    <t>silasjsten@gmail.com</t>
  </si>
  <si>
    <t>Marcus  Finne</t>
  </si>
  <si>
    <t>marcusfinne.hasle@gmail.com</t>
  </si>
  <si>
    <t>Victor Skogstad</t>
  </si>
  <si>
    <t>victorskogstad@gmail.com</t>
  </si>
  <si>
    <t xml:space="preserve">Mikkel Feddersen </t>
  </si>
  <si>
    <t>mikkelfck1@outlook.dk</t>
  </si>
  <si>
    <t>Silas Jørgensen Stentoft</t>
  </si>
  <si>
    <t>Ahmed Achwah</t>
  </si>
  <si>
    <t>ahmed.achwah@gmail.com</t>
  </si>
  <si>
    <t>Emilie Hansen</t>
  </si>
  <si>
    <t>Emilie.05@icloud.com</t>
  </si>
  <si>
    <t>Bastian Kastberg</t>
  </si>
  <si>
    <t>kasbastian11@gmail.com</t>
  </si>
  <si>
    <t>Julie Andersen</t>
  </si>
  <si>
    <t>Julie.Aandersen03@gmail.com</t>
  </si>
  <si>
    <t>Parham Ahmadimoghaddam</t>
  </si>
  <si>
    <t>parhamahmadi562@gmail.com</t>
  </si>
  <si>
    <t>ANDREAS Røjkær Pedersen</t>
  </si>
  <si>
    <t>dressingdkv2@gmail.com</t>
  </si>
  <si>
    <t>Emma Hald List</t>
  </si>
  <si>
    <t>emma246@live.dk</t>
  </si>
  <si>
    <t>Christoffer Royal</t>
  </si>
  <si>
    <t>christofferroyal@gmail.com</t>
  </si>
  <si>
    <t>Emilie Raahauge</t>
  </si>
  <si>
    <t>milleraahauge@hotmail.com</t>
  </si>
  <si>
    <t>Line  Møller Andersen</t>
  </si>
  <si>
    <t>carlosylvester09@gmail.com</t>
  </si>
  <si>
    <t xml:space="preserve">Sebastian  Lundstrøm bach </t>
  </si>
  <si>
    <t>sebbach04@gmail.com</t>
  </si>
  <si>
    <t>Mads Fisker</t>
  </si>
  <si>
    <t>madsrfisker@gmail.com</t>
  </si>
  <si>
    <t>Mehmet Cekic</t>
  </si>
  <si>
    <t>mehmetarda50@outlook.com</t>
  </si>
  <si>
    <t>Emma Skov</t>
  </si>
  <si>
    <t>emma.e.skov@gmail.com</t>
  </si>
  <si>
    <t>Johan Martinsen</t>
  </si>
  <si>
    <t>johankmartinsen@gmail.com</t>
  </si>
  <si>
    <t>Noah skov</t>
  </si>
  <si>
    <t>noahskov2311@gmail.com</t>
  </si>
  <si>
    <t>Elias Pedersen</t>
  </si>
  <si>
    <t>elias35elias@gmail.com</t>
  </si>
  <si>
    <t>mike hansen</t>
  </si>
  <si>
    <t>Tobias  Vad</t>
  </si>
  <si>
    <t>tobiasavad@gmail.com</t>
  </si>
  <si>
    <t>Gustav Abkjær Lie</t>
  </si>
  <si>
    <t>gustavlie@live.dk</t>
  </si>
  <si>
    <t>Simon Gilberg</t>
  </si>
  <si>
    <t>simonsgilberg@gmail.com</t>
  </si>
  <si>
    <t>Rasmus Korsborg</t>
  </si>
  <si>
    <t>Rasmuskorsborg@icloud.com</t>
  </si>
  <si>
    <t>Villiam Givard</t>
  </si>
  <si>
    <t>givardvilliam@gmail.com</t>
  </si>
  <si>
    <t>Markus Vestermark Kløve</t>
  </si>
  <si>
    <t>aingvardson@gmail.com</t>
  </si>
  <si>
    <t>Andreas tørøk</t>
  </si>
  <si>
    <t>andreas7067@gmil.com</t>
  </si>
  <si>
    <t>Frederik Madsen</t>
  </si>
  <si>
    <t>frederikmadsen26@icloud.com</t>
  </si>
  <si>
    <t>Mike Brauer</t>
  </si>
  <si>
    <t>mikebrauer2@gmail.com</t>
  </si>
  <si>
    <t>Victor petersen</t>
  </si>
  <si>
    <t>victordkmaskin.dk@gmail.com</t>
  </si>
  <si>
    <t>Niklas P Sørensen</t>
  </si>
  <si>
    <t>niklasps12345@gmail.com</t>
  </si>
  <si>
    <t>Tristan Stegmann</t>
  </si>
  <si>
    <t>tristanisidor08@gmail.com</t>
  </si>
  <si>
    <t>Andreas Hammer Sonne Nielsen</t>
  </si>
  <si>
    <t>andreassonne2008@gmail.com</t>
  </si>
  <si>
    <t xml:space="preserve">Emil Dalsgård Jørgensen </t>
  </si>
  <si>
    <t>emil4juni@icloud.com</t>
  </si>
  <si>
    <t>Mads Koefoed</t>
  </si>
  <si>
    <t>madskoefoed2008@gmail.com</t>
  </si>
  <si>
    <t>Holger Bennike</t>
  </si>
  <si>
    <t>holgerthor21@gmail.com</t>
  </si>
  <si>
    <t>Oliver Thomsen</t>
  </si>
  <si>
    <t>oliverthomsen@hotmail.com</t>
  </si>
  <si>
    <t>Morten Vase</t>
  </si>
  <si>
    <t>mortenvase@icloud.com</t>
  </si>
  <si>
    <t>Frederik Sterup</t>
  </si>
  <si>
    <t>psterup@outlook.dk</t>
  </si>
  <si>
    <t>Mathias hansen</t>
  </si>
  <si>
    <t>repent@live.dk</t>
  </si>
  <si>
    <t>Magnus Seerup</t>
  </si>
  <si>
    <t>magnusseerup03@gmail.com</t>
  </si>
  <si>
    <t>SEBASTIAN MØLLER</t>
  </si>
  <si>
    <t>sm4241@outlook.dk</t>
  </si>
  <si>
    <t>Claus Hansen</t>
  </si>
  <si>
    <t>xclausg@hotmail.com</t>
  </si>
  <si>
    <t>Alexander Wiberg Holsting</t>
  </si>
  <si>
    <t>alexanderholsting@gmail.com</t>
  </si>
  <si>
    <t>Daniel Rask Sterobo</t>
  </si>
  <si>
    <t>d.r.sterobo@gmail.com</t>
  </si>
  <si>
    <t>Mathias  Sommer</t>
  </si>
  <si>
    <t>mathiassommer55@gmail.com</t>
  </si>
  <si>
    <t>Jonis Slaiman</t>
  </si>
  <si>
    <t>jonisslaiman@gmail.com</t>
  </si>
  <si>
    <t>Hjalte Junge</t>
  </si>
  <si>
    <t>hjalterubyjunge@gmail.com</t>
  </si>
  <si>
    <t>Mai Thu Laub Nielsen</t>
  </si>
  <si>
    <t>mainielsen4@gmail.com</t>
  </si>
  <si>
    <t>ANDREAS KARLSKOV</t>
  </si>
  <si>
    <t>karlskovandreas@gmail.com</t>
  </si>
  <si>
    <t>Judy Damholt</t>
  </si>
  <si>
    <t>judysofia@hotmail.dk</t>
  </si>
  <si>
    <t>Jonas Jensen</t>
  </si>
  <si>
    <t>jonasjensen280@hotmail.com</t>
  </si>
  <si>
    <t>Frederik Lorentsen</t>
  </si>
  <si>
    <t>frederiklorentsen4@gmail.com</t>
  </si>
  <si>
    <t>Sarah Kath</t>
  </si>
  <si>
    <t>sarahcrkath@hotmail.com</t>
  </si>
  <si>
    <t>Magnus Nielsen</t>
  </si>
  <si>
    <t>holtznielsenmagnus@gmail.com</t>
  </si>
  <si>
    <t>Nicolai Martens</t>
  </si>
  <si>
    <t>nicolai.martens@outlook.dk</t>
  </si>
  <si>
    <t>Adrian pedersen</t>
  </si>
  <si>
    <t>adrianpedersen000@gmail.com</t>
  </si>
  <si>
    <t>Elias Minke</t>
  </si>
  <si>
    <t>elias.minke@gmail.com</t>
  </si>
  <si>
    <t>Tobias Kobbeltvedt Risvig</t>
  </si>
  <si>
    <t>toviasfamrisvig@gmail.com</t>
  </si>
  <si>
    <t>William Kongslev</t>
  </si>
  <si>
    <t>william.kongslev@icloud.com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</si>
</sst>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m d"/>
    <numFmt numFmtId="165" formatCode="[$€]#,##0.00"/>
    <numFmt numFmtId="166" formatCode="#,##0.00[$ kr.]"/>
    <numFmt numFmtId="167" formatCode="dd/mm/yyyy"/>
    <numFmt numFmtId="168" formatCode="yyyy-mm-dd h:mm:ss"/>
    <numFmt numFmtId="169" formatCode="mm/dd/yyyy"/>
  </numFmts>
  <fonts count="9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FFFFFF"/>
      <name val="Arial"/>
    </font>
    <font>
      <b/>
      <sz val="12.0"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6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horizontal="left" readingOrder="0"/>
    </xf>
    <xf borderId="0" fillId="2" fontId="2" numFmtId="164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4" numFmtId="165" xfId="0" applyFont="1" applyNumberFormat="1"/>
    <xf borderId="0" fillId="0" fontId="4" numFmtId="0" xfId="0" applyAlignment="1" applyFont="1">
      <alignment readingOrder="0"/>
    </xf>
    <xf borderId="0" fillId="0" fontId="4" numFmtId="166" xfId="0" applyFont="1" applyNumberFormat="1"/>
    <xf borderId="0" fillId="0" fontId="4" numFmtId="166" xfId="0" applyAlignment="1" applyFont="1" applyNumberFormat="1">
      <alignment readingOrder="0"/>
    </xf>
    <xf borderId="0" fillId="0" fontId="5" numFmtId="166" xfId="0" applyAlignment="1" applyFont="1" applyNumberFormat="1">
      <alignment readingOrder="0"/>
    </xf>
    <xf borderId="0" fillId="3" fontId="0" numFmtId="166" xfId="0" applyFill="1" applyFont="1" applyNumberFormat="1"/>
    <xf borderId="1" fillId="0" fontId="6" numFmtId="0" xfId="0" applyAlignment="1" applyBorder="1" applyFont="1">
      <alignment readingOrder="0"/>
    </xf>
    <xf borderId="1" fillId="0" fontId="6" numFmtId="166" xfId="0" applyBorder="1" applyFont="1" applyNumberFormat="1"/>
    <xf borderId="1" fillId="0" fontId="4" numFmtId="166" xfId="0" applyBorder="1" applyFont="1" applyNumberFormat="1"/>
    <xf borderId="2" fillId="0" fontId="6" numFmtId="0" xfId="0" applyAlignment="1" applyBorder="1" applyFont="1">
      <alignment readingOrder="0"/>
    </xf>
    <xf borderId="2" fillId="0" fontId="6" numFmtId="166" xfId="0" applyBorder="1" applyFont="1" applyNumberFormat="1"/>
    <xf borderId="0" fillId="0" fontId="6" numFmtId="0" xfId="0" applyAlignment="1" applyFont="1">
      <alignment readingOrder="0"/>
    </xf>
    <xf borderId="0" fillId="0" fontId="4" numFmtId="4" xfId="0" applyAlignment="1" applyFont="1" applyNumberFormat="1">
      <alignment readingOrder="0"/>
    </xf>
    <xf borderId="3" fillId="0" fontId="6" numFmtId="0" xfId="0" applyAlignment="1" applyBorder="1" applyFont="1">
      <alignment readingOrder="0"/>
    </xf>
    <xf borderId="3" fillId="0" fontId="6" numFmtId="166" xfId="0" applyBorder="1" applyFont="1" applyNumberFormat="1"/>
    <xf borderId="0" fillId="0" fontId="6" numFmtId="166" xfId="0" applyFont="1" applyNumberFormat="1"/>
    <xf borderId="4" fillId="0" fontId="6" numFmtId="0" xfId="0" applyAlignment="1" applyBorder="1" applyFont="1">
      <alignment readingOrder="0"/>
    </xf>
    <xf borderId="5" fillId="0" fontId="6" numFmtId="0" xfId="0" applyAlignment="1" applyBorder="1" applyFont="1">
      <alignment readingOrder="0"/>
    </xf>
    <xf borderId="0" fillId="3" fontId="6" numFmtId="0" xfId="0" applyAlignment="1" applyFont="1">
      <alignment readingOrder="0"/>
    </xf>
    <xf borderId="0" fillId="3" fontId="4" numFmtId="0" xfId="0" applyFont="1"/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7" numFmtId="167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horizontal="right" vertical="bottom"/>
    </xf>
    <xf borderId="0" fillId="0" fontId="8" numFmtId="167" xfId="0" applyAlignment="1" applyFont="1" applyNumberFormat="1">
      <alignment horizontal="right" vertical="bottom"/>
    </xf>
    <xf borderId="0" fillId="0" fontId="8" numFmtId="0" xfId="0" applyAlignment="1" applyFont="1">
      <alignment readingOrder="0" vertical="bottom"/>
    </xf>
    <xf borderId="0" fillId="0" fontId="8" numFmtId="167" xfId="0" applyAlignment="1" applyFont="1" applyNumberFormat="1">
      <alignment horizontal="right"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168" xfId="0" applyAlignment="1" applyFont="1" applyNumberFormat="1">
      <alignment horizontal="right" readingOrder="0" vertical="bottom"/>
    </xf>
    <xf borderId="0" fillId="0" fontId="4" numFmtId="169" xfId="0" applyAlignment="1" applyFont="1" applyNumberFormat="1">
      <alignment readingOrder="0"/>
    </xf>
    <xf borderId="0" fillId="0" fontId="4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Row="1"/>
  <cols>
    <col customWidth="1" min="1" max="1" width="18.0"/>
  </cols>
  <sheetData>
    <row r="1">
      <c r="A1" s="1" t="s">
        <v>0</v>
      </c>
      <c r="B1" s="1" t="s">
        <v>1</v>
      </c>
      <c r="C1" s="2">
        <v>45682.0</v>
      </c>
      <c r="D1" s="3">
        <v>45713.0</v>
      </c>
      <c r="E1" s="3">
        <v>45741.0</v>
      </c>
      <c r="F1" s="3">
        <v>45772.0</v>
      </c>
      <c r="G1" s="3">
        <v>45802.0</v>
      </c>
      <c r="H1" s="3">
        <v>45833.0</v>
      </c>
      <c r="I1" s="3">
        <v>45863.0</v>
      </c>
      <c r="J1" s="3">
        <v>45894.0</v>
      </c>
      <c r="K1" s="2">
        <v>45925.0</v>
      </c>
      <c r="L1" s="3">
        <v>45955.0</v>
      </c>
      <c r="M1" s="3">
        <v>45986.0</v>
      </c>
      <c r="N1" s="3">
        <v>46016.0</v>
      </c>
    </row>
    <row r="2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>
      <c r="A3" s="6" t="s">
        <v>3</v>
      </c>
      <c r="B3" s="7">
        <f t="shared" ref="B3:B4" si="1">sum(C3:N3)</f>
        <v>2459801</v>
      </c>
      <c r="C3" s="8">
        <f>SUM(C4)</f>
        <v>0</v>
      </c>
      <c r="D3" s="8">
        <f>sum(D4)</f>
        <v>0</v>
      </c>
      <c r="E3" s="9">
        <v>79400.0</v>
      </c>
      <c r="F3" s="10">
        <f>SUMIFS(Datalist!$D:$D, Datalist!$C:$C, "&gt;="&amp;DATE(2025,4,1), Datalist!$C:$C, "&lt;"&amp;DATE(2025,5,1))</f>
        <v>151035</v>
      </c>
      <c r="G3" s="10">
        <f>SUMIFS(Datalist!$D:$D, Datalist!$C:$C, "&gt;="&amp;DATE(2025,5,1), Datalist!$C:$C, "&lt;"&amp;DATE(2025,6,1))</f>
        <v>204889</v>
      </c>
      <c r="H3" s="10">
        <f>SUMIFS(Datalist!$D:$D, Datalist!$C:$C, "&gt;="&amp;DATE(2025,6,1), Datalist!$C:$C, "&lt;"&amp;DATE(2025,7,1))</f>
        <v>266897</v>
      </c>
      <c r="I3" s="10">
        <f>SUMIFS(Datalist!$D:$D, Datalist!$C:$C, "&gt;="&amp;DATE(2025,7,1), Datalist!$C:$C, "&lt;"&amp;DATE(2025,8,1))</f>
        <v>273592</v>
      </c>
      <c r="J3" s="10">
        <f>SUMIFS(Datalist!$D:$D, Datalist!$C:$C, "&gt;="&amp;DATE(2025,8,1), Datalist!$C:$C, "&lt;"&amp;DATE(2025,9,1))</f>
        <v>399224</v>
      </c>
      <c r="K3" s="10">
        <f>SUMIFS(Datalist!$D:$D, Datalist!$C:$C, "&gt;="&amp;DATE(2025,9,1), Datalist!$C:$C, "&lt;"&amp;DATE(2025,10,1))</f>
        <v>290248</v>
      </c>
      <c r="L3" s="10">
        <f>SUMIFS(Datalist!$D:$D, Datalist!$C:$C, "&gt;="&amp;DATE(2025,10,1), Datalist!$C:$C, "&lt;"&amp;DATE(2025,11,1))</f>
        <v>288753</v>
      </c>
      <c r="M3" s="10">
        <f>SUMIFS(Datalist!$D:$D, Datalist!$C:$C, "&gt;="&amp;DATE(2025,11,1), Datalist!$C:$C, "&lt;"&amp;DATE(2025,12,1))</f>
        <v>309614</v>
      </c>
      <c r="N3" s="10">
        <f>SUMIFS(Datalist!$D:$D, Datalist!$C:$C, "&gt;="&amp;DATE(2025,12,1), Datalist!$C:$C, "&lt;"&amp;DATE(2026,1,1))</f>
        <v>196149</v>
      </c>
    </row>
    <row r="4" outlineLevel="1">
      <c r="A4" s="6" t="s">
        <v>4</v>
      </c>
      <c r="B4" s="7">
        <f t="shared" si="1"/>
        <v>2459801</v>
      </c>
      <c r="C4" s="10">
        <f>SUMIFS(Datalist!$D:$D, Datalist!$C:$C, "&gt;="&amp;DATE(2025,1,1), Datalist!$C:$C, "&lt;"&amp;DATE(2025,2,1))</f>
        <v>0</v>
      </c>
      <c r="D4" s="10">
        <f>SUMIFS(Datalist!$D:$D, Datalist!$C:$C, "&gt;="&amp;DATE(2025,2,1), Datalist!$C:$C, "&lt;"&amp;DATE(2025,3,1))</f>
        <v>0</v>
      </c>
      <c r="E4" s="9">
        <v>79400.0</v>
      </c>
      <c r="F4" s="10">
        <f>SUMIFS(Datalist!$D:$D, Datalist!$C:$C, "&gt;="&amp;DATE(2025,4,1), Datalist!$C:$C, "&lt;"&amp;DATE(2025,5,1))</f>
        <v>151035</v>
      </c>
      <c r="G4" s="10">
        <f>SUMIFS(Datalist!$D:$D, Datalist!$C:$C, "&gt;="&amp;DATE(2025,5,1), Datalist!$C:$C, "&lt;"&amp;DATE(2025,6,1))</f>
        <v>204889</v>
      </c>
      <c r="H4" s="10">
        <f>SUMIFS(Datalist!$D:$D, Datalist!$C:$C, "&gt;="&amp;DATE(2025,6,1), Datalist!$C:$C, "&lt;"&amp;DATE(2025,7,1))</f>
        <v>266897</v>
      </c>
      <c r="I4" s="10">
        <f>SUMIFS(Datalist!$D:$D, Datalist!$C:$C, "&gt;="&amp;DATE(2025,7,1), Datalist!$C:$C, "&lt;"&amp;DATE(2025,8,1))</f>
        <v>273592</v>
      </c>
      <c r="J4" s="10">
        <f>SUMIFS(Datalist!$D:$D, Datalist!$C:$C, "&gt;="&amp;DATE(2025,8,1), Datalist!$C:$C, "&lt;"&amp;DATE(2025,9,1))</f>
        <v>399224</v>
      </c>
      <c r="K4" s="10">
        <f>SUMIFS(Datalist!$D:$D, Datalist!$C:$C, "&gt;="&amp;DATE(2025,9,1), Datalist!$C:$C, "&lt;"&amp;DATE(2025,10,1))</f>
        <v>290248</v>
      </c>
      <c r="L4" s="10">
        <f>SUMIFS(Datalist!$D:$D, Datalist!$C:$C, "&gt;="&amp;DATE(2025,10,1), Datalist!$C:$C, "&lt;"&amp;DATE(2025,11,1))</f>
        <v>288753</v>
      </c>
      <c r="M4" s="10">
        <f>SUMIFS(Datalist!$D:$D, Datalist!$C:$C, "&gt;="&amp;DATE(2025,11,1), Datalist!$C:$C, "&lt;"&amp;DATE(2025,12,1))</f>
        <v>309614</v>
      </c>
      <c r="N4" s="10">
        <f>SUMIFS(Datalist!$D:$D, Datalist!$C:$C, "&gt;="&amp;DATE(2025,12,1), Datalist!$C:$C, "&lt;"&amp;DATE(2026,1,1))</f>
        <v>196149</v>
      </c>
    </row>
    <row r="5" outlineLevel="1">
      <c r="K5" s="6">
        <v>285500.0</v>
      </c>
      <c r="L5" s="6">
        <v>277300.0</v>
      </c>
      <c r="M5" s="6">
        <v>308700.0</v>
      </c>
    </row>
    <row r="6" outlineLevel="1">
      <c r="B6" s="7"/>
      <c r="C6" s="8"/>
      <c r="D6" s="7"/>
      <c r="E6" s="7"/>
      <c r="F6" s="8"/>
      <c r="G6" s="8"/>
      <c r="H6" s="7"/>
      <c r="I6" s="7"/>
      <c r="K6" s="7"/>
      <c r="L6" s="7"/>
      <c r="M6" s="7"/>
      <c r="N6" s="7"/>
    </row>
    <row r="7">
      <c r="A7" s="11" t="s">
        <v>5</v>
      </c>
      <c r="B7" s="12">
        <f>sum(C7:N7)</f>
        <v>2459801</v>
      </c>
      <c r="C7" s="13">
        <f t="shared" ref="C7:I7" si="2">SUM(C4:C6)</f>
        <v>0</v>
      </c>
      <c r="D7" s="13">
        <f t="shared" si="2"/>
        <v>0</v>
      </c>
      <c r="E7" s="13">
        <f t="shared" si="2"/>
        <v>79400</v>
      </c>
      <c r="F7" s="13">
        <f t="shared" si="2"/>
        <v>151035</v>
      </c>
      <c r="G7" s="13">
        <f t="shared" si="2"/>
        <v>204889</v>
      </c>
      <c r="H7" s="13">
        <f t="shared" si="2"/>
        <v>266897</v>
      </c>
      <c r="I7" s="13">
        <f t="shared" si="2"/>
        <v>273592</v>
      </c>
      <c r="J7" s="13">
        <f t="shared" ref="J7:N7" si="3">SUM(J4)</f>
        <v>399224</v>
      </c>
      <c r="K7" s="13">
        <f t="shared" si="3"/>
        <v>290248</v>
      </c>
      <c r="L7" s="13">
        <f t="shared" si="3"/>
        <v>288753</v>
      </c>
      <c r="M7" s="13">
        <f t="shared" si="3"/>
        <v>309614</v>
      </c>
      <c r="N7" s="13">
        <f t="shared" si="3"/>
        <v>196149</v>
      </c>
    </row>
    <row r="8">
      <c r="A8" s="4" t="s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collapsed="1">
      <c r="A9" s="6" t="s">
        <v>7</v>
      </c>
      <c r="B9" s="7">
        <f>sum(C9:N9)</f>
        <v>225516.03</v>
      </c>
      <c r="C9" s="8">
        <v>0.0</v>
      </c>
      <c r="D9" s="8">
        <v>0.0</v>
      </c>
      <c r="E9" s="8">
        <v>4200.0</v>
      </c>
      <c r="F9" s="8">
        <v>18700.0</v>
      </c>
      <c r="G9" s="8">
        <v>17224.03</v>
      </c>
      <c r="H9" s="8">
        <v>20657.0</v>
      </c>
      <c r="I9" s="8">
        <v>34562.0</v>
      </c>
      <c r="J9" s="8">
        <v>19337.0</v>
      </c>
      <c r="K9" s="8">
        <v>33100.0</v>
      </c>
      <c r="L9" s="8">
        <v>38600.0</v>
      </c>
      <c r="M9" s="8">
        <v>18725.0</v>
      </c>
      <c r="N9" s="8">
        <v>20411.0</v>
      </c>
    </row>
    <row r="10" hidden="1" outlineLevel="1">
      <c r="A10" s="6" t="s">
        <v>8</v>
      </c>
      <c r="B10" s="7"/>
      <c r="C10" s="8">
        <v>0.0</v>
      </c>
      <c r="D10" s="8">
        <v>0.0</v>
      </c>
      <c r="E10" s="8">
        <v>0.0</v>
      </c>
      <c r="F10" s="8">
        <v>0.0</v>
      </c>
      <c r="G10" s="8">
        <v>0.0</v>
      </c>
      <c r="H10" s="8">
        <v>0.0</v>
      </c>
      <c r="I10" s="8">
        <v>0.0</v>
      </c>
      <c r="J10" s="8">
        <v>0.0</v>
      </c>
      <c r="K10" s="8">
        <v>0.0</v>
      </c>
      <c r="L10" s="8">
        <v>0.0</v>
      </c>
      <c r="M10" s="8">
        <v>0.0</v>
      </c>
      <c r="N10" s="8">
        <v>0.0</v>
      </c>
    </row>
    <row r="11" hidden="1" outlineLevel="1">
      <c r="A11" s="6" t="s">
        <v>9</v>
      </c>
      <c r="B11" s="7"/>
      <c r="C11" s="8">
        <v>0.0</v>
      </c>
      <c r="D11" s="8">
        <v>0.0</v>
      </c>
      <c r="E11" s="8">
        <v>0.0</v>
      </c>
      <c r="F11" s="8">
        <v>0.0</v>
      </c>
      <c r="G11" s="8">
        <v>0.0</v>
      </c>
      <c r="H11" s="8">
        <v>0.0</v>
      </c>
      <c r="I11" s="8">
        <v>0.0</v>
      </c>
      <c r="J11" s="8">
        <v>0.0</v>
      </c>
      <c r="K11" s="8">
        <v>0.0</v>
      </c>
      <c r="L11" s="8">
        <v>0.0</v>
      </c>
      <c r="M11" s="8">
        <v>0.0</v>
      </c>
      <c r="N11" s="8">
        <v>0.0</v>
      </c>
    </row>
    <row r="12" hidden="1" outlineLevel="1">
      <c r="A12" s="6" t="s">
        <v>10</v>
      </c>
      <c r="B12" s="7"/>
      <c r="C12" s="8">
        <v>0.0</v>
      </c>
      <c r="D12" s="8">
        <v>0.0</v>
      </c>
      <c r="E12" s="8">
        <v>0.0</v>
      </c>
      <c r="F12" s="8">
        <v>0.0</v>
      </c>
      <c r="G12" s="8">
        <v>0.0</v>
      </c>
      <c r="H12" s="8">
        <v>0.0</v>
      </c>
      <c r="I12" s="8">
        <v>0.0</v>
      </c>
      <c r="J12" s="8">
        <v>0.0</v>
      </c>
      <c r="K12" s="8">
        <v>0.0</v>
      </c>
      <c r="L12" s="8">
        <v>0.0</v>
      </c>
      <c r="M12" s="8">
        <v>0.0</v>
      </c>
      <c r="N12" s="8">
        <v>0.0</v>
      </c>
    </row>
    <row r="13" hidden="1" outlineLevel="1">
      <c r="A13" s="6" t="s">
        <v>11</v>
      </c>
      <c r="B13" s="7"/>
      <c r="C13" s="8">
        <v>0.0</v>
      </c>
      <c r="D13" s="8">
        <v>0.0</v>
      </c>
      <c r="E13" s="8">
        <v>0.0</v>
      </c>
      <c r="F13" s="8">
        <v>0.0</v>
      </c>
      <c r="G13" s="8">
        <v>0.0</v>
      </c>
      <c r="H13" s="8">
        <v>0.0</v>
      </c>
      <c r="I13" s="8">
        <v>0.0</v>
      </c>
      <c r="J13" s="8">
        <v>0.0</v>
      </c>
      <c r="K13" s="8">
        <v>0.0</v>
      </c>
      <c r="L13" s="8">
        <v>0.0</v>
      </c>
      <c r="M13" s="8">
        <v>0.0</v>
      </c>
      <c r="N13" s="8">
        <v>0.0</v>
      </c>
    </row>
    <row r="14" collapsed="1">
      <c r="A14" s="6" t="s">
        <v>12</v>
      </c>
      <c r="B14" s="7">
        <f>sum(C14:N14)</f>
        <v>211700</v>
      </c>
      <c r="C14" s="8">
        <v>0.0</v>
      </c>
      <c r="D14" s="8">
        <v>0.0</v>
      </c>
      <c r="E14" s="8">
        <v>10700.0</v>
      </c>
      <c r="F14" s="8">
        <v>15000.0</v>
      </c>
      <c r="G14" s="8">
        <v>21500.0</v>
      </c>
      <c r="H14" s="8">
        <v>21500.0</v>
      </c>
      <c r="I14" s="8">
        <v>17500.0</v>
      </c>
      <c r="J14" s="8">
        <f> 28000 + 13750</f>
        <v>41750</v>
      </c>
      <c r="K14" s="8">
        <f> 14500 + 19500</f>
        <v>34000</v>
      </c>
      <c r="L14" s="8">
        <v>21250.0</v>
      </c>
      <c r="M14" s="8">
        <v>20000.0</v>
      </c>
      <c r="N14" s="8">
        <v>8500.0</v>
      </c>
    </row>
    <row r="15" hidden="1" outlineLevel="1">
      <c r="A15" s="6" t="s">
        <v>13</v>
      </c>
      <c r="B15" s="7"/>
      <c r="C15" s="8">
        <v>0.0</v>
      </c>
      <c r="D15" s="8">
        <v>0.0</v>
      </c>
      <c r="E15" s="8">
        <v>0.0</v>
      </c>
      <c r="F15" s="8">
        <v>0.0</v>
      </c>
      <c r="G15" s="8">
        <v>0.0</v>
      </c>
      <c r="H15" s="8">
        <v>0.0</v>
      </c>
      <c r="I15" s="8">
        <v>0.0</v>
      </c>
      <c r="J15" s="8">
        <v>0.0</v>
      </c>
      <c r="K15" s="8">
        <v>0.0</v>
      </c>
      <c r="L15" s="8">
        <v>0.0</v>
      </c>
      <c r="M15" s="8">
        <v>0.0</v>
      </c>
      <c r="N15" s="8">
        <v>0.0</v>
      </c>
    </row>
    <row r="16" hidden="1" outlineLevel="1">
      <c r="A16" s="6" t="s">
        <v>14</v>
      </c>
      <c r="B16" s="7">
        <f t="shared" ref="B16:B24" si="4">sum(C16:N16)</f>
        <v>0</v>
      </c>
      <c r="C16" s="8">
        <v>0.0</v>
      </c>
      <c r="D16" s="8">
        <v>0.0</v>
      </c>
      <c r="E16" s="8">
        <v>0.0</v>
      </c>
      <c r="F16" s="8">
        <v>0.0</v>
      </c>
      <c r="G16" s="8">
        <v>0.0</v>
      </c>
      <c r="H16" s="8">
        <v>0.0</v>
      </c>
      <c r="I16" s="8">
        <v>0.0</v>
      </c>
      <c r="J16" s="8">
        <v>0.0</v>
      </c>
      <c r="K16" s="8">
        <v>0.0</v>
      </c>
      <c r="L16" s="8">
        <v>0.0</v>
      </c>
      <c r="M16" s="8">
        <v>0.0</v>
      </c>
      <c r="N16" s="8">
        <v>0.0</v>
      </c>
    </row>
    <row r="17" collapsed="1">
      <c r="A17" s="6" t="s">
        <v>15</v>
      </c>
      <c r="B17" s="7">
        <f t="shared" si="4"/>
        <v>71644.68932</v>
      </c>
      <c r="C17" s="8">
        <v>0.0</v>
      </c>
      <c r="D17" s="8">
        <v>0.0</v>
      </c>
      <c r="E17" s="8">
        <f t="shared" ref="E17:N17" si="5">E7-(E7/1.03)</f>
        <v>2312.621359</v>
      </c>
      <c r="F17" s="8">
        <f t="shared" si="5"/>
        <v>4399.07767</v>
      </c>
      <c r="G17" s="8">
        <f t="shared" si="5"/>
        <v>5967.640777</v>
      </c>
      <c r="H17" s="8">
        <f t="shared" si="5"/>
        <v>7773.699029</v>
      </c>
      <c r="I17" s="8">
        <f t="shared" si="5"/>
        <v>7968.699029</v>
      </c>
      <c r="J17" s="8">
        <f t="shared" si="5"/>
        <v>11627.8835</v>
      </c>
      <c r="K17" s="8">
        <f t="shared" si="5"/>
        <v>8453.825243</v>
      </c>
      <c r="L17" s="8">
        <f t="shared" si="5"/>
        <v>8410.281553</v>
      </c>
      <c r="M17" s="8">
        <f t="shared" si="5"/>
        <v>9017.883495</v>
      </c>
      <c r="N17" s="8">
        <f t="shared" si="5"/>
        <v>5713.07767</v>
      </c>
    </row>
    <row r="18" hidden="1" outlineLevel="1">
      <c r="B18" s="7">
        <f t="shared" si="4"/>
        <v>0</v>
      </c>
      <c r="C18" s="8">
        <v>0.0</v>
      </c>
      <c r="D18" s="8">
        <v>0.0</v>
      </c>
      <c r="E18" s="8">
        <v>0.0</v>
      </c>
      <c r="F18" s="8">
        <v>0.0</v>
      </c>
      <c r="G18" s="8">
        <v>0.0</v>
      </c>
      <c r="H18" s="8">
        <v>0.0</v>
      </c>
      <c r="I18" s="8">
        <v>0.0</v>
      </c>
      <c r="J18" s="8">
        <v>0.0</v>
      </c>
      <c r="K18" s="8">
        <v>0.0</v>
      </c>
      <c r="L18" s="8">
        <v>0.0</v>
      </c>
      <c r="M18" s="8">
        <v>0.0</v>
      </c>
      <c r="N18" s="8">
        <v>0.0</v>
      </c>
    </row>
    <row r="19" hidden="1" outlineLevel="1">
      <c r="B19" s="7">
        <f t="shared" si="4"/>
        <v>0</v>
      </c>
      <c r="C19" s="8">
        <v>0.0</v>
      </c>
      <c r="D19" s="8">
        <v>0.0</v>
      </c>
      <c r="E19" s="8">
        <v>0.0</v>
      </c>
      <c r="F19" s="8">
        <v>0.0</v>
      </c>
      <c r="G19" s="8">
        <v>0.0</v>
      </c>
      <c r="H19" s="8">
        <v>0.0</v>
      </c>
      <c r="I19" s="8">
        <v>0.0</v>
      </c>
      <c r="J19" s="8">
        <v>0.0</v>
      </c>
      <c r="K19" s="8">
        <v>0.0</v>
      </c>
      <c r="L19" s="8">
        <v>0.0</v>
      </c>
      <c r="M19" s="8">
        <v>0.0</v>
      </c>
      <c r="N19" s="8">
        <v>0.0</v>
      </c>
    </row>
    <row r="20" hidden="1" outlineLevel="1">
      <c r="B20" s="7">
        <f t="shared" si="4"/>
        <v>0</v>
      </c>
      <c r="C20" s="8">
        <v>0.0</v>
      </c>
      <c r="D20" s="8">
        <v>0.0</v>
      </c>
      <c r="E20" s="8">
        <v>0.0</v>
      </c>
      <c r="F20" s="8">
        <v>0.0</v>
      </c>
      <c r="G20" s="8">
        <v>0.0</v>
      </c>
      <c r="H20" s="8">
        <v>0.0</v>
      </c>
      <c r="I20" s="8">
        <v>0.0</v>
      </c>
      <c r="J20" s="8">
        <v>0.0</v>
      </c>
      <c r="K20" s="8">
        <v>0.0</v>
      </c>
      <c r="L20" s="8">
        <v>0.0</v>
      </c>
      <c r="M20" s="8">
        <v>0.0</v>
      </c>
      <c r="N20" s="8">
        <v>0.0</v>
      </c>
    </row>
    <row r="21">
      <c r="A21" s="6" t="s">
        <v>16</v>
      </c>
      <c r="B21" s="7">
        <f t="shared" si="4"/>
        <v>115898</v>
      </c>
      <c r="C21" s="8">
        <v>0.0</v>
      </c>
      <c r="D21" s="8">
        <v>0.0</v>
      </c>
      <c r="E21" s="8">
        <v>5555.0</v>
      </c>
      <c r="F21" s="8">
        <v>7950.0</v>
      </c>
      <c r="G21" s="8">
        <v>7950.0</v>
      </c>
      <c r="H21" s="8">
        <v>13001.0</v>
      </c>
      <c r="I21" s="8">
        <v>7378.0</v>
      </c>
      <c r="J21" s="8">
        <v>12834.0</v>
      </c>
      <c r="K21" s="8">
        <v>27632.0</v>
      </c>
      <c r="L21" s="8">
        <v>10280.0</v>
      </c>
      <c r="M21" s="8">
        <v>11952.0</v>
      </c>
      <c r="N21" s="8">
        <v>11366.0</v>
      </c>
    </row>
    <row r="22">
      <c r="A22" s="6" t="s">
        <v>17</v>
      </c>
      <c r="B22" s="7">
        <f t="shared" si="4"/>
        <v>44276</v>
      </c>
      <c r="C22" s="8">
        <v>0.0</v>
      </c>
      <c r="D22" s="8">
        <v>0.0</v>
      </c>
      <c r="E22" s="8">
        <v>0.0</v>
      </c>
      <c r="F22" s="8">
        <v>0.0</v>
      </c>
      <c r="G22" s="8">
        <v>0.0</v>
      </c>
      <c r="H22" s="8">
        <v>0.0</v>
      </c>
      <c r="I22" s="8">
        <v>1500.0</v>
      </c>
      <c r="J22" s="8">
        <v>5500.0</v>
      </c>
      <c r="K22" s="8">
        <v>5500.0</v>
      </c>
      <c r="L22" s="8">
        <v>0.0</v>
      </c>
      <c r="M22" s="8">
        <v>22600.0</v>
      </c>
      <c r="N22" s="8">
        <v>9176.0</v>
      </c>
    </row>
    <row r="23">
      <c r="A23" s="6" t="s">
        <v>18</v>
      </c>
      <c r="B23" s="7">
        <f t="shared" si="4"/>
        <v>58954</v>
      </c>
      <c r="C23" s="8">
        <v>0.0</v>
      </c>
      <c r="D23" s="8">
        <v>0.0</v>
      </c>
      <c r="E23" s="8">
        <v>0.0</v>
      </c>
      <c r="F23" s="8">
        <v>0.0</v>
      </c>
      <c r="G23" s="8">
        <v>0.0</v>
      </c>
      <c r="H23" s="8">
        <v>0.0</v>
      </c>
      <c r="I23" s="8">
        <v>0.0</v>
      </c>
      <c r="J23" s="8">
        <v>0.0</v>
      </c>
      <c r="K23" s="8">
        <v>0.0</v>
      </c>
      <c r="L23" s="8">
        <v>0.0</v>
      </c>
      <c r="M23" s="8">
        <v>46005.0</v>
      </c>
      <c r="N23" s="8">
        <v>12949.0</v>
      </c>
    </row>
    <row r="24">
      <c r="A24" s="14" t="s">
        <v>19</v>
      </c>
      <c r="B24" s="15">
        <f t="shared" si="4"/>
        <v>702106.729</v>
      </c>
      <c r="C24" s="15">
        <f t="shared" ref="C24:D24" si="6">C9+C14+C17</f>
        <v>0</v>
      </c>
      <c r="D24" s="15">
        <f t="shared" si="6"/>
        <v>0</v>
      </c>
      <c r="E24" s="15">
        <f t="shared" ref="E24:J24" si="7">E9+E14+E17+E21+E22</f>
        <v>22767.62136</v>
      </c>
      <c r="F24" s="15">
        <f t="shared" si="7"/>
        <v>46049.07767</v>
      </c>
      <c r="G24" s="15">
        <f t="shared" si="7"/>
        <v>52641.67078</v>
      </c>
      <c r="H24" s="15">
        <f t="shared" si="7"/>
        <v>62931.69903</v>
      </c>
      <c r="I24" s="15">
        <f t="shared" si="7"/>
        <v>68908.69903</v>
      </c>
      <c r="J24" s="15">
        <f t="shared" si="7"/>
        <v>91048.8835</v>
      </c>
      <c r="K24" s="15">
        <f t="shared" ref="K24:M24" si="8">K9+K14+K21+K22+K23</f>
        <v>100232</v>
      </c>
      <c r="L24" s="15">
        <f t="shared" si="8"/>
        <v>70130</v>
      </c>
      <c r="M24" s="15">
        <f t="shared" si="8"/>
        <v>119282</v>
      </c>
      <c r="N24" s="15">
        <f>N9+N14+N17+N21+N22+N23</f>
        <v>68115.07767</v>
      </c>
    </row>
    <row r="25">
      <c r="A25" s="1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>
      <c r="A26" s="16" t="s">
        <v>20</v>
      </c>
      <c r="B26" s="7">
        <f t="shared" ref="B26:B27" si="12">sum(C26:N26)</f>
        <v>1740579.271</v>
      </c>
      <c r="C26" s="7">
        <f t="shared" ref="C26:D26" si="9">C3-C24</f>
        <v>0</v>
      </c>
      <c r="D26" s="7">
        <f t="shared" si="9"/>
        <v>0</v>
      </c>
      <c r="E26" s="7">
        <f t="shared" ref="E26:J26" si="10">E4-E24</f>
        <v>56632.37864</v>
      </c>
      <c r="F26" s="7">
        <f t="shared" si="10"/>
        <v>104985.9223</v>
      </c>
      <c r="G26" s="7">
        <f t="shared" si="10"/>
        <v>152247.3292</v>
      </c>
      <c r="H26" s="7">
        <f t="shared" si="10"/>
        <v>203965.301</v>
      </c>
      <c r="I26" s="7">
        <f t="shared" si="10"/>
        <v>204683.301</v>
      </c>
      <c r="J26" s="7">
        <f t="shared" si="10"/>
        <v>308175.1165</v>
      </c>
      <c r="K26" s="7">
        <f t="shared" ref="K26:M26" si="11">K5-K24</f>
        <v>185268</v>
      </c>
      <c r="L26" s="7">
        <f t="shared" si="11"/>
        <v>207170</v>
      </c>
      <c r="M26" s="7">
        <f t="shared" si="11"/>
        <v>189418</v>
      </c>
      <c r="N26" s="7">
        <f>N4-N24</f>
        <v>128033.9223</v>
      </c>
    </row>
    <row r="27">
      <c r="A27" s="16" t="s">
        <v>21</v>
      </c>
      <c r="B27" s="7">
        <f t="shared" si="12"/>
        <v>1740579.271</v>
      </c>
      <c r="C27" s="7">
        <f t="shared" ref="C27:D27" si="13">C3-C24</f>
        <v>0</v>
      </c>
      <c r="D27" s="7">
        <f t="shared" si="13"/>
        <v>0</v>
      </c>
      <c r="E27" s="7">
        <f t="shared" ref="E27:J27" si="14">E4-E24</f>
        <v>56632.37864</v>
      </c>
      <c r="F27" s="7">
        <f t="shared" si="14"/>
        <v>104985.9223</v>
      </c>
      <c r="G27" s="7">
        <f t="shared" si="14"/>
        <v>152247.3292</v>
      </c>
      <c r="H27" s="7">
        <f t="shared" si="14"/>
        <v>203965.301</v>
      </c>
      <c r="I27" s="7">
        <f t="shared" si="14"/>
        <v>204683.301</v>
      </c>
      <c r="J27" s="7">
        <f t="shared" si="14"/>
        <v>308175.1165</v>
      </c>
      <c r="K27" s="7">
        <f t="shared" ref="K27:M27" si="15">K5-K24</f>
        <v>185268</v>
      </c>
      <c r="L27" s="7">
        <f t="shared" si="15"/>
        <v>207170</v>
      </c>
      <c r="M27" s="7">
        <f t="shared" si="15"/>
        <v>189418</v>
      </c>
      <c r="N27" s="7">
        <f>N4-N24</f>
        <v>128033.9223</v>
      </c>
    </row>
    <row r="28">
      <c r="A28" s="16"/>
      <c r="B28" s="7"/>
      <c r="C28" s="7"/>
      <c r="D28" s="7"/>
      <c r="E28" s="7"/>
      <c r="F28" s="8">
        <v>-693.79</v>
      </c>
      <c r="G28" s="7"/>
      <c r="H28" s="7"/>
      <c r="I28" s="7"/>
      <c r="J28" s="8"/>
      <c r="K28" s="7"/>
      <c r="L28" s="7"/>
      <c r="M28" s="7"/>
      <c r="N28" s="7"/>
    </row>
    <row r="29">
      <c r="A29" s="16"/>
      <c r="B29" s="7"/>
      <c r="C29" s="7"/>
      <c r="D29" s="7"/>
      <c r="E29" s="17">
        <f t="shared" ref="E29:N29" si="16">(E4-E24)/E4*100</f>
        <v>71.32541391</v>
      </c>
      <c r="F29" s="17">
        <f t="shared" si="16"/>
        <v>69.51098906</v>
      </c>
      <c r="G29" s="17">
        <f t="shared" si="16"/>
        <v>74.30722451</v>
      </c>
      <c r="H29" s="17">
        <f t="shared" si="16"/>
        <v>76.42097924</v>
      </c>
      <c r="I29" s="17">
        <f t="shared" si="16"/>
        <v>74.81333554</v>
      </c>
      <c r="J29" s="17">
        <f t="shared" si="16"/>
        <v>77.19353458</v>
      </c>
      <c r="K29" s="17">
        <f t="shared" si="16"/>
        <v>65.46677324</v>
      </c>
      <c r="L29" s="17">
        <f t="shared" si="16"/>
        <v>75.71280645</v>
      </c>
      <c r="M29" s="17">
        <f t="shared" si="16"/>
        <v>61.47396436</v>
      </c>
      <c r="N29" s="17">
        <f t="shared" si="16"/>
        <v>65.27380834</v>
      </c>
    </row>
    <row r="30">
      <c r="A30" s="18" t="s">
        <v>22</v>
      </c>
      <c r="B30" s="19">
        <f t="shared" ref="B30:E30" si="17">(B26)*0.3</f>
        <v>522173.7813</v>
      </c>
      <c r="C30" s="19">
        <f t="shared" si="17"/>
        <v>0</v>
      </c>
      <c r="D30" s="19">
        <f t="shared" si="17"/>
        <v>0</v>
      </c>
      <c r="E30" s="19">
        <f t="shared" si="17"/>
        <v>16989.71359</v>
      </c>
      <c r="F30" s="19">
        <f>(F26)*0.3 +F28 + F29</f>
        <v>30871.49769</v>
      </c>
      <c r="G30" s="19">
        <f>(G27)*0.3</f>
        <v>45674.19877</v>
      </c>
      <c r="H30" s="19">
        <f t="shared" ref="H30:N30" si="18">(H26)*0.3</f>
        <v>61189.59029</v>
      </c>
      <c r="I30" s="19">
        <f t="shared" si="18"/>
        <v>61404.99029</v>
      </c>
      <c r="J30" s="19">
        <f t="shared" si="18"/>
        <v>92452.53495</v>
      </c>
      <c r="K30" s="19">
        <f t="shared" si="18"/>
        <v>55580.4</v>
      </c>
      <c r="L30" s="19">
        <f t="shared" si="18"/>
        <v>62151</v>
      </c>
      <c r="M30" s="19">
        <f t="shared" si="18"/>
        <v>56825.4</v>
      </c>
      <c r="N30" s="19">
        <f t="shared" si="18"/>
        <v>38410.1767</v>
      </c>
    </row>
    <row r="31">
      <c r="A31" s="14" t="s">
        <v>23</v>
      </c>
      <c r="B31" s="19">
        <f t="shared" ref="B31:N31" si="19">(B27)*0.7</f>
        <v>1218405.49</v>
      </c>
      <c r="C31" s="19">
        <f t="shared" si="19"/>
        <v>0</v>
      </c>
      <c r="D31" s="19">
        <f t="shared" si="19"/>
        <v>0</v>
      </c>
      <c r="E31" s="19">
        <f t="shared" si="19"/>
        <v>39642.66505</v>
      </c>
      <c r="F31" s="19">
        <f t="shared" si="19"/>
        <v>73490.14563</v>
      </c>
      <c r="G31" s="19">
        <f t="shared" si="19"/>
        <v>106573.1305</v>
      </c>
      <c r="H31" s="19">
        <f t="shared" si="19"/>
        <v>142775.7107</v>
      </c>
      <c r="I31" s="19">
        <f t="shared" si="19"/>
        <v>143278.3107</v>
      </c>
      <c r="J31" s="19">
        <f t="shared" si="19"/>
        <v>215722.5816</v>
      </c>
      <c r="K31" s="19">
        <f t="shared" si="19"/>
        <v>129687.6</v>
      </c>
      <c r="L31" s="19">
        <f t="shared" si="19"/>
        <v>145019</v>
      </c>
      <c r="M31" s="19">
        <f t="shared" si="19"/>
        <v>132592.6</v>
      </c>
      <c r="N31" s="19">
        <f t="shared" si="19"/>
        <v>89623.74563</v>
      </c>
    </row>
    <row r="32">
      <c r="A32" s="16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>
      <c r="A33" s="16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</row>
    <row r="34">
      <c r="A34" s="16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</row>
    <row r="35">
      <c r="A35" s="16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>
      <c r="A36" s="16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</row>
    <row r="37">
      <c r="A37" s="16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</row>
    <row r="38">
      <c r="A38" s="16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</row>
    <row r="39">
      <c r="A39" s="16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</row>
    <row r="40">
      <c r="A40" s="16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</row>
    <row r="41">
      <c r="A41" s="16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</row>
    <row r="42">
      <c r="A42" s="16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</row>
    <row r="43">
      <c r="A43" s="16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</row>
    <row r="44">
      <c r="A44" s="16"/>
      <c r="B44" s="20"/>
      <c r="C44" s="20"/>
      <c r="D44" s="20"/>
      <c r="E44" s="20"/>
      <c r="F44" s="20"/>
      <c r="G44" s="20"/>
      <c r="H44" s="20"/>
      <c r="J44" s="20"/>
      <c r="K44" s="20"/>
      <c r="L44" s="20"/>
      <c r="M44" s="20"/>
      <c r="N44" s="20"/>
    </row>
    <row r="45">
      <c r="A45" s="16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</row>
    <row r="46">
      <c r="A46" s="16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</row>
    <row r="47">
      <c r="A47" s="16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</row>
    <row r="48">
      <c r="A48" s="16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</row>
    <row r="49">
      <c r="A49" s="16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</row>
    <row r="50">
      <c r="A50" s="16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</row>
    <row r="51">
      <c r="A51" s="16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</row>
    <row r="52">
      <c r="A52" s="16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</row>
    <row r="53">
      <c r="A53" s="16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</row>
    <row r="54">
      <c r="A54" s="16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</row>
    <row r="55">
      <c r="A55" s="16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</row>
    <row r="56">
      <c r="A56" s="16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</row>
    <row r="57">
      <c r="A57" s="16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</row>
    <row r="58">
      <c r="A58" s="16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</row>
    <row r="59">
      <c r="A59" s="16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</row>
    <row r="60">
      <c r="A60" s="16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</row>
    <row r="61">
      <c r="A61" s="16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</row>
    <row r="62">
      <c r="A62" s="16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</row>
    <row r="63">
      <c r="A63" s="16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</row>
    <row r="64">
      <c r="A64" s="16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</row>
    <row r="65">
      <c r="A65" s="16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</row>
    <row r="66">
      <c r="A66" s="16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</row>
    <row r="67">
      <c r="A67" s="16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</row>
    <row r="68">
      <c r="A68" s="16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</row>
    <row r="69">
      <c r="A69" s="16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</row>
    <row r="70">
      <c r="A70" s="16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</row>
    <row r="71">
      <c r="A71" s="16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</row>
    <row r="72">
      <c r="A72" s="16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</row>
    <row r="73">
      <c r="A73" s="16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</row>
    <row r="74">
      <c r="A74" s="16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</row>
    <row r="75">
      <c r="A75" s="16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</row>
    <row r="76">
      <c r="A76" s="16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</row>
    <row r="77">
      <c r="A77" s="16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</row>
    <row r="78">
      <c r="A78" s="16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</row>
    <row r="79">
      <c r="A79" s="16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</row>
    <row r="80">
      <c r="A80" s="16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</row>
    <row r="81">
      <c r="A81" s="16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</row>
    <row r="82">
      <c r="A82" s="16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</row>
    <row r="83">
      <c r="A83" s="16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</row>
    <row r="84">
      <c r="A84" s="16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</row>
    <row r="85">
      <c r="A85" s="16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</row>
    <row r="86">
      <c r="A86" s="16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</row>
    <row r="87">
      <c r="A87" s="16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</row>
    <row r="88">
      <c r="A88" s="16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</row>
    <row r="89">
      <c r="A89" s="16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</row>
    <row r="90">
      <c r="A90" s="16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</row>
    <row r="91">
      <c r="A91" s="16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</row>
    <row r="92">
      <c r="A92" s="16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</row>
    <row r="93">
      <c r="A93" s="16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</row>
    <row r="94">
      <c r="A94" s="16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</row>
    <row r="95">
      <c r="A95" s="16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</row>
    <row r="96">
      <c r="A96" s="16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</row>
    <row r="97">
      <c r="A97" s="16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</row>
    <row r="98">
      <c r="A98" s="16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</row>
    <row r="99">
      <c r="A99" s="16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</row>
    <row r="100">
      <c r="A100" s="16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</row>
    <row r="101">
      <c r="A101" s="16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</row>
    <row r="102">
      <c r="A102" s="16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</row>
    <row r="103">
      <c r="A103" s="16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</row>
    <row r="104">
      <c r="A104" s="16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</row>
    <row r="105">
      <c r="A105" s="16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</row>
    <row r="106">
      <c r="A106" s="16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</row>
    <row r="107">
      <c r="A107" s="16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</row>
    <row r="108">
      <c r="A108" s="16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</row>
    <row r="109">
      <c r="A109" s="16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</row>
    <row r="110">
      <c r="A110" s="16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</row>
    <row r="111">
      <c r="A111" s="16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</row>
    <row r="112">
      <c r="A112" s="16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</row>
    <row r="113">
      <c r="A113" s="16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</row>
    <row r="114">
      <c r="A114" s="16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</row>
    <row r="115">
      <c r="A115" s="16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</row>
    <row r="116">
      <c r="A116" s="16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</row>
    <row r="117">
      <c r="A117" s="16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</row>
    <row r="118">
      <c r="A118" s="16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</row>
    <row r="119">
      <c r="A119" s="16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</row>
    <row r="120">
      <c r="A120" s="16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</row>
    <row r="121">
      <c r="A121" s="16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</row>
    <row r="122">
      <c r="A122" s="16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</row>
    <row r="123">
      <c r="A123" s="16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</row>
    <row r="124">
      <c r="A124" s="16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</row>
    <row r="125">
      <c r="A125" s="16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</row>
    <row r="126">
      <c r="A126" s="16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</row>
    <row r="127">
      <c r="A127" s="16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</row>
    <row r="128">
      <c r="A128" s="16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</row>
    <row r="129">
      <c r="A129" s="16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</row>
    <row r="130">
      <c r="A130" s="16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</row>
    <row r="131">
      <c r="A131" s="16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</row>
    <row r="132">
      <c r="A132" s="16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</row>
    <row r="133">
      <c r="A133" s="16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</row>
    <row r="134">
      <c r="A134" s="16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</row>
    <row r="135">
      <c r="A135" s="16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</row>
    <row r="136">
      <c r="A136" s="16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</row>
    <row r="137">
      <c r="A137" s="16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</row>
    <row r="138">
      <c r="A138" s="16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</row>
    <row r="139">
      <c r="A139" s="16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</row>
    <row r="140">
      <c r="A140" s="16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</row>
    <row r="141">
      <c r="A141" s="16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</row>
    <row r="142">
      <c r="A142" s="16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</row>
    <row r="143">
      <c r="A143" s="16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</row>
    <row r="144">
      <c r="A144" s="16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</row>
    <row r="145">
      <c r="A145" s="16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</row>
    <row r="146">
      <c r="A146" s="16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</row>
    <row r="147">
      <c r="A147" s="16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</row>
    <row r="148">
      <c r="A148" s="16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</row>
    <row r="149">
      <c r="A149" s="16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</row>
    <row r="150">
      <c r="A150" s="16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</row>
    <row r="151">
      <c r="A151" s="16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</row>
    <row r="152">
      <c r="A152" s="16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</row>
    <row r="153">
      <c r="A153" s="16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</row>
    <row r="154">
      <c r="A154" s="16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</row>
    <row r="155">
      <c r="A155" s="16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</row>
    <row r="156">
      <c r="A156" s="16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</row>
    <row r="157">
      <c r="A157" s="16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</row>
    <row r="158">
      <c r="A158" s="16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</row>
    <row r="159">
      <c r="A159" s="16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</row>
    <row r="160">
      <c r="A160" s="16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</row>
    <row r="161">
      <c r="A161" s="16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</row>
    <row r="162">
      <c r="A162" s="16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</row>
    <row r="163">
      <c r="A163" s="16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</row>
    <row r="164">
      <c r="A164" s="16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</row>
    <row r="165">
      <c r="A165" s="16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</row>
    <row r="166">
      <c r="A166" s="16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</row>
    <row r="167">
      <c r="A167" s="16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</row>
    <row r="168">
      <c r="A168" s="16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</row>
    <row r="169">
      <c r="A169" s="16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</row>
    <row r="170">
      <c r="A170" s="16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</row>
    <row r="171">
      <c r="A171" s="16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</row>
    <row r="172">
      <c r="A172" s="16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</row>
    <row r="173">
      <c r="A173" s="16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</row>
    <row r="174">
      <c r="A174" s="16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</row>
    <row r="175">
      <c r="A175" s="16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</row>
    <row r="176">
      <c r="A176" s="16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</row>
    <row r="177">
      <c r="A177" s="16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</row>
    <row r="178">
      <c r="A178" s="16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</row>
    <row r="179">
      <c r="A179" s="16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</row>
    <row r="180">
      <c r="A180" s="16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</row>
    <row r="181">
      <c r="A181" s="16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</row>
    <row r="182">
      <c r="A182" s="16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</row>
    <row r="183">
      <c r="A183" s="16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</row>
    <row r="184">
      <c r="A184" s="16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</row>
    <row r="185">
      <c r="A185" s="16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</row>
    <row r="186">
      <c r="A186" s="16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</row>
    <row r="187">
      <c r="A187" s="16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</row>
    <row r="188">
      <c r="A188" s="16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</row>
    <row r="189">
      <c r="A189" s="16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</row>
    <row r="190">
      <c r="A190" s="16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</row>
    <row r="191">
      <c r="A191" s="16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</row>
    <row r="192">
      <c r="A192" s="16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</row>
    <row r="193">
      <c r="A193" s="16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</row>
    <row r="194">
      <c r="A194" s="16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</row>
    <row r="195">
      <c r="A195" s="16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</row>
    <row r="196">
      <c r="A196" s="16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</row>
    <row r="197">
      <c r="A197" s="16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</row>
    <row r="198">
      <c r="A198" s="16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</row>
    <row r="199">
      <c r="A199" s="16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</row>
    <row r="200">
      <c r="A200" s="16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</row>
    <row r="201">
      <c r="A201" s="16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</row>
    <row r="202">
      <c r="A202" s="16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</row>
    <row r="203">
      <c r="A203" s="16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</row>
    <row r="204">
      <c r="A204" s="16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</row>
    <row r="205">
      <c r="A205" s="16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</row>
    <row r="206">
      <c r="A206" s="16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</row>
    <row r="207">
      <c r="A207" s="16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</row>
    <row r="208">
      <c r="A208" s="16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</row>
    <row r="209">
      <c r="A209" s="16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</row>
    <row r="210">
      <c r="A210" s="16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</row>
    <row r="211">
      <c r="A211" s="16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</row>
    <row r="212">
      <c r="A212" s="16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</row>
    <row r="213">
      <c r="A213" s="16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</row>
    <row r="214">
      <c r="A214" s="16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</row>
    <row r="215">
      <c r="A215" s="16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</row>
    <row r="216">
      <c r="A216" s="16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</row>
    <row r="217">
      <c r="A217" s="16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</row>
    <row r="218">
      <c r="A218" s="16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</row>
    <row r="219">
      <c r="A219" s="16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</row>
    <row r="220">
      <c r="A220" s="16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</row>
    <row r="221">
      <c r="A221" s="16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</row>
    <row r="222">
      <c r="A222" s="16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</row>
    <row r="223">
      <c r="A223" s="16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</row>
    <row r="224">
      <c r="A224" s="16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</row>
    <row r="225">
      <c r="A225" s="16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</row>
    <row r="226">
      <c r="A226" s="16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</row>
    <row r="227">
      <c r="A227" s="16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</row>
    <row r="228">
      <c r="A228" s="16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</row>
    <row r="229">
      <c r="A229" s="16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</row>
    <row r="230">
      <c r="A230" s="16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</row>
    <row r="231">
      <c r="A231" s="16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</row>
    <row r="232">
      <c r="A232" s="16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</row>
    <row r="233">
      <c r="A233" s="16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</row>
    <row r="234">
      <c r="A234" s="16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</row>
    <row r="235">
      <c r="A235" s="16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</row>
    <row r="236">
      <c r="A236" s="16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</row>
    <row r="237">
      <c r="A237" s="16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</row>
    <row r="238">
      <c r="A238" s="16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</row>
    <row r="239">
      <c r="A239" s="16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</row>
    <row r="240">
      <c r="A240" s="16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</row>
    <row r="241">
      <c r="A241" s="16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</row>
    <row r="242">
      <c r="A242" s="16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</row>
    <row r="243">
      <c r="A243" s="16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</row>
    <row r="244">
      <c r="A244" s="16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</row>
    <row r="245">
      <c r="A245" s="16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</row>
    <row r="246">
      <c r="A246" s="16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</row>
    <row r="247">
      <c r="A247" s="16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</row>
    <row r="248">
      <c r="A248" s="16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</row>
    <row r="249">
      <c r="A249" s="16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</row>
    <row r="250">
      <c r="A250" s="16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</row>
    <row r="251">
      <c r="A251" s="16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</row>
    <row r="252">
      <c r="A252" s="16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</row>
    <row r="253">
      <c r="A253" s="16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</row>
    <row r="254">
      <c r="A254" s="16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</row>
    <row r="255">
      <c r="A255" s="16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</row>
    <row r="256">
      <c r="A256" s="16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</row>
    <row r="257">
      <c r="A257" s="16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</row>
    <row r="258">
      <c r="A258" s="16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</row>
    <row r="259">
      <c r="A259" s="16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</row>
    <row r="260">
      <c r="A260" s="16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</row>
    <row r="261">
      <c r="A261" s="16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</row>
    <row r="262">
      <c r="A262" s="16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</row>
    <row r="263">
      <c r="A263" s="16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</row>
    <row r="264">
      <c r="A264" s="16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</row>
    <row r="265">
      <c r="A265" s="16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</row>
    <row r="266">
      <c r="A266" s="16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</row>
    <row r="267">
      <c r="A267" s="16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</row>
    <row r="268">
      <c r="A268" s="16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</row>
    <row r="269">
      <c r="A269" s="16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</row>
    <row r="270">
      <c r="A270" s="16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</row>
    <row r="271">
      <c r="A271" s="16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</row>
    <row r="272">
      <c r="A272" s="16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</row>
    <row r="273">
      <c r="A273" s="16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</row>
    <row r="274">
      <c r="A274" s="16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</row>
    <row r="275">
      <c r="A275" s="16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</row>
    <row r="276">
      <c r="A276" s="16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</row>
    <row r="277">
      <c r="A277" s="16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</row>
    <row r="278">
      <c r="A278" s="16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</row>
    <row r="279">
      <c r="A279" s="16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</row>
    <row r="280">
      <c r="A280" s="16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</row>
    <row r="281">
      <c r="A281" s="16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</row>
    <row r="282">
      <c r="A282" s="16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</row>
    <row r="283">
      <c r="A283" s="16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</row>
    <row r="284">
      <c r="A284" s="16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</row>
    <row r="285">
      <c r="A285" s="16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</row>
    <row r="286">
      <c r="A286" s="16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</row>
    <row r="287">
      <c r="A287" s="16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</row>
    <row r="288">
      <c r="A288" s="16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</row>
    <row r="289">
      <c r="A289" s="16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</row>
    <row r="290">
      <c r="A290" s="16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</row>
    <row r="291">
      <c r="A291" s="16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</row>
    <row r="292">
      <c r="A292" s="16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</row>
    <row r="293">
      <c r="A293" s="16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</row>
    <row r="294">
      <c r="A294" s="16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</row>
    <row r="295">
      <c r="A295" s="16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</row>
    <row r="296">
      <c r="A296" s="16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</row>
    <row r="297">
      <c r="A297" s="16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</row>
    <row r="298">
      <c r="A298" s="16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</row>
    <row r="299">
      <c r="A299" s="16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</row>
    <row r="300">
      <c r="A300" s="16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</row>
    <row r="301">
      <c r="A301" s="16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</row>
    <row r="302">
      <c r="A302" s="16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</row>
    <row r="303">
      <c r="A303" s="16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</row>
    <row r="304">
      <c r="A304" s="16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</row>
    <row r="305">
      <c r="A305" s="16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</row>
    <row r="306">
      <c r="A306" s="16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</row>
    <row r="307">
      <c r="A307" s="16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</row>
    <row r="308">
      <c r="A308" s="16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</row>
    <row r="309">
      <c r="A309" s="16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</row>
    <row r="310">
      <c r="A310" s="16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</row>
    <row r="311">
      <c r="A311" s="16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</row>
    <row r="312">
      <c r="A312" s="16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</row>
    <row r="313">
      <c r="A313" s="16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</row>
    <row r="314">
      <c r="A314" s="16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</row>
    <row r="315">
      <c r="A315" s="16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</row>
    <row r="316">
      <c r="A316" s="16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</row>
    <row r="317">
      <c r="A317" s="16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</row>
    <row r="318">
      <c r="A318" s="16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</row>
    <row r="319">
      <c r="A319" s="16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</row>
    <row r="320">
      <c r="A320" s="16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</row>
    <row r="321">
      <c r="A321" s="16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</row>
    <row r="322">
      <c r="A322" s="16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</row>
    <row r="323">
      <c r="A323" s="16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</row>
    <row r="324">
      <c r="A324" s="16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</row>
    <row r="325">
      <c r="A325" s="16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</row>
    <row r="326">
      <c r="A326" s="16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</row>
    <row r="327">
      <c r="A327" s="16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</row>
    <row r="328">
      <c r="A328" s="16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</row>
    <row r="329">
      <c r="A329" s="16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</row>
    <row r="330">
      <c r="A330" s="16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</row>
    <row r="331">
      <c r="A331" s="16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</row>
    <row r="332">
      <c r="A332" s="16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</row>
    <row r="333">
      <c r="A333" s="16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</row>
    <row r="334">
      <c r="A334" s="16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</row>
    <row r="335">
      <c r="A335" s="16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</row>
    <row r="336">
      <c r="A336" s="16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</row>
    <row r="337">
      <c r="A337" s="16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</row>
    <row r="338">
      <c r="A338" s="16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</row>
    <row r="339">
      <c r="A339" s="16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</row>
    <row r="340">
      <c r="A340" s="16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</row>
    <row r="341">
      <c r="A341" s="16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</row>
    <row r="342">
      <c r="A342" s="16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</row>
    <row r="343">
      <c r="A343" s="16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</row>
    <row r="344">
      <c r="A344" s="16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</row>
    <row r="345">
      <c r="A345" s="16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</row>
    <row r="346">
      <c r="A346" s="16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</row>
    <row r="347">
      <c r="A347" s="16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</row>
    <row r="348">
      <c r="A348" s="16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</row>
    <row r="349">
      <c r="A349" s="16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</row>
    <row r="350">
      <c r="A350" s="16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</row>
    <row r="351">
      <c r="A351" s="16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</row>
    <row r="352">
      <c r="A352" s="16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</row>
    <row r="353">
      <c r="A353" s="16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</row>
    <row r="354">
      <c r="A354" s="16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</row>
    <row r="355">
      <c r="A355" s="16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</row>
    <row r="356">
      <c r="A356" s="16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</row>
    <row r="357">
      <c r="A357" s="16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</row>
    <row r="358">
      <c r="A358" s="16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</row>
    <row r="359">
      <c r="A359" s="16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</row>
    <row r="360">
      <c r="A360" s="16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</row>
    <row r="361">
      <c r="A361" s="16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</row>
    <row r="362">
      <c r="A362" s="16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</row>
    <row r="363">
      <c r="A363" s="16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</row>
    <row r="364">
      <c r="A364" s="16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</row>
    <row r="365">
      <c r="A365" s="16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</row>
    <row r="366">
      <c r="A366" s="16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</row>
    <row r="367">
      <c r="A367" s="16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</row>
    <row r="368">
      <c r="A368" s="16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</row>
    <row r="369">
      <c r="A369" s="16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</row>
    <row r="370">
      <c r="A370" s="16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</row>
    <row r="371">
      <c r="A371" s="16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</row>
    <row r="372">
      <c r="A372" s="16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</row>
    <row r="373">
      <c r="A373" s="16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</row>
    <row r="374">
      <c r="A374" s="16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</row>
    <row r="375">
      <c r="A375" s="16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</row>
    <row r="376">
      <c r="A376" s="16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</row>
    <row r="377">
      <c r="A377" s="16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</row>
    <row r="378">
      <c r="A378" s="16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</row>
    <row r="379">
      <c r="A379" s="16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</row>
    <row r="380">
      <c r="A380" s="16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</row>
    <row r="381">
      <c r="A381" s="16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</row>
    <row r="382">
      <c r="A382" s="16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</row>
    <row r="383">
      <c r="A383" s="16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</row>
    <row r="384">
      <c r="A384" s="16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</row>
    <row r="385">
      <c r="A385" s="16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</row>
    <row r="386">
      <c r="A386" s="16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</row>
    <row r="387">
      <c r="A387" s="16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</row>
    <row r="388">
      <c r="A388" s="16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</row>
    <row r="389">
      <c r="A389" s="16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</row>
    <row r="390">
      <c r="A390" s="16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</row>
    <row r="391">
      <c r="A391" s="16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</row>
    <row r="392">
      <c r="A392" s="16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</row>
    <row r="393">
      <c r="A393" s="16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</row>
    <row r="394">
      <c r="A394" s="16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</row>
    <row r="395">
      <c r="A395" s="16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</row>
    <row r="396">
      <c r="A396" s="16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</row>
    <row r="397">
      <c r="A397" s="16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</row>
    <row r="398">
      <c r="A398" s="16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</row>
    <row r="399">
      <c r="A399" s="16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</row>
    <row r="400">
      <c r="A400" s="16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</row>
    <row r="401">
      <c r="A401" s="16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</row>
    <row r="402">
      <c r="A402" s="16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</row>
    <row r="403">
      <c r="A403" s="16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</row>
    <row r="404">
      <c r="A404" s="16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</row>
    <row r="405">
      <c r="A405" s="16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</row>
    <row r="406">
      <c r="A406" s="16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</row>
    <row r="407">
      <c r="A407" s="16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</row>
    <row r="408">
      <c r="A408" s="16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</row>
    <row r="409">
      <c r="A409" s="16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</row>
    <row r="410">
      <c r="A410" s="16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</row>
    <row r="411">
      <c r="A411" s="16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</row>
    <row r="412">
      <c r="A412" s="16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</row>
    <row r="413">
      <c r="A413" s="16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</row>
    <row r="414">
      <c r="A414" s="16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</row>
    <row r="415">
      <c r="A415" s="16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</row>
    <row r="416">
      <c r="A416" s="16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</row>
    <row r="417">
      <c r="A417" s="16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</row>
    <row r="418">
      <c r="A418" s="16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</row>
    <row r="419">
      <c r="A419" s="16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</row>
    <row r="420">
      <c r="A420" s="16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</row>
    <row r="421">
      <c r="A421" s="16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</row>
    <row r="422">
      <c r="A422" s="16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</row>
    <row r="423">
      <c r="A423" s="16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</row>
    <row r="424">
      <c r="A424" s="16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</row>
    <row r="425">
      <c r="A425" s="16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</row>
    <row r="426">
      <c r="A426" s="16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</row>
    <row r="427">
      <c r="A427" s="16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</row>
    <row r="428">
      <c r="A428" s="16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</row>
    <row r="429">
      <c r="A429" s="16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</row>
    <row r="430">
      <c r="A430" s="16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</row>
    <row r="431">
      <c r="A431" s="16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</row>
    <row r="432">
      <c r="A432" s="16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</row>
    <row r="433">
      <c r="A433" s="16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</row>
    <row r="434">
      <c r="A434" s="16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</row>
    <row r="435">
      <c r="A435" s="16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</row>
    <row r="436">
      <c r="A436" s="16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</row>
    <row r="437">
      <c r="A437" s="16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</row>
    <row r="438">
      <c r="A438" s="16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</row>
    <row r="439">
      <c r="A439" s="16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</row>
    <row r="440">
      <c r="A440" s="16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</row>
    <row r="441">
      <c r="A441" s="16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</row>
    <row r="442">
      <c r="A442" s="16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</row>
    <row r="443">
      <c r="A443" s="16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</row>
    <row r="444">
      <c r="A444" s="16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</row>
    <row r="445">
      <c r="A445" s="16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</row>
    <row r="446">
      <c r="A446" s="16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</row>
    <row r="447">
      <c r="A447" s="16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</row>
    <row r="448">
      <c r="A448" s="16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</row>
    <row r="449">
      <c r="A449" s="16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</row>
    <row r="450">
      <c r="A450" s="16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</row>
    <row r="451">
      <c r="A451" s="16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</row>
    <row r="452">
      <c r="A452" s="16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</row>
    <row r="453">
      <c r="A453" s="16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</row>
    <row r="454">
      <c r="A454" s="16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</row>
    <row r="455">
      <c r="A455" s="16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</row>
    <row r="456">
      <c r="A456" s="16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</row>
    <row r="457">
      <c r="A457" s="16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</row>
    <row r="458">
      <c r="A458" s="16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</row>
    <row r="459">
      <c r="A459" s="16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</row>
    <row r="460">
      <c r="A460" s="16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</row>
    <row r="461">
      <c r="A461" s="16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</row>
    <row r="462">
      <c r="A462" s="16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</row>
    <row r="463">
      <c r="A463" s="16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</row>
    <row r="464">
      <c r="A464" s="16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</row>
    <row r="465">
      <c r="A465" s="16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</row>
    <row r="466">
      <c r="A466" s="16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</row>
    <row r="467">
      <c r="A467" s="16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</row>
    <row r="468">
      <c r="A468" s="16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</row>
    <row r="469">
      <c r="A469" s="16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</row>
    <row r="470">
      <c r="A470" s="16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</row>
    <row r="471">
      <c r="A471" s="16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</row>
    <row r="472">
      <c r="A472" s="16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</row>
    <row r="473">
      <c r="A473" s="16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</row>
    <row r="474">
      <c r="A474" s="16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</row>
    <row r="475">
      <c r="A475" s="16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</row>
    <row r="476">
      <c r="A476" s="16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</row>
    <row r="477">
      <c r="A477" s="16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</row>
    <row r="478">
      <c r="A478" s="16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</row>
    <row r="479">
      <c r="A479" s="16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</row>
    <row r="480">
      <c r="A480" s="16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</row>
    <row r="481">
      <c r="A481" s="16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</row>
    <row r="482">
      <c r="A482" s="16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</row>
    <row r="483">
      <c r="A483" s="16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</row>
    <row r="484">
      <c r="A484" s="16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</row>
    <row r="485">
      <c r="A485" s="16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</row>
    <row r="486">
      <c r="A486" s="16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</row>
    <row r="487">
      <c r="A487" s="16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</row>
    <row r="488">
      <c r="A488" s="16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</row>
    <row r="489">
      <c r="A489" s="16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</row>
    <row r="490">
      <c r="A490" s="16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</row>
    <row r="491">
      <c r="A491" s="16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</row>
    <row r="492">
      <c r="A492" s="16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</row>
    <row r="493">
      <c r="A493" s="16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</row>
    <row r="494">
      <c r="A494" s="16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</row>
    <row r="495">
      <c r="A495" s="16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</row>
    <row r="496">
      <c r="A496" s="16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</row>
    <row r="497">
      <c r="A497" s="16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</row>
    <row r="498">
      <c r="A498" s="16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</row>
    <row r="499">
      <c r="A499" s="16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</row>
    <row r="500">
      <c r="A500" s="16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</row>
    <row r="501">
      <c r="A501" s="16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</row>
    <row r="502">
      <c r="A502" s="16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</row>
    <row r="503">
      <c r="A503" s="16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</row>
    <row r="504">
      <c r="A504" s="16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</row>
    <row r="505">
      <c r="A505" s="16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</row>
    <row r="506">
      <c r="A506" s="16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</row>
    <row r="507">
      <c r="A507" s="16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</row>
    <row r="508">
      <c r="A508" s="16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</row>
    <row r="509">
      <c r="A509" s="16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</row>
    <row r="510">
      <c r="A510" s="16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</row>
    <row r="511">
      <c r="A511" s="16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</row>
    <row r="512">
      <c r="A512" s="16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</row>
    <row r="513">
      <c r="A513" s="16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</row>
    <row r="514">
      <c r="A514" s="16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</row>
    <row r="515">
      <c r="A515" s="16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</row>
    <row r="516">
      <c r="A516" s="16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</row>
    <row r="517">
      <c r="A517" s="16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</row>
    <row r="518">
      <c r="A518" s="16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</row>
    <row r="519">
      <c r="A519" s="16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</row>
    <row r="520">
      <c r="A520" s="16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</row>
    <row r="521">
      <c r="A521" s="16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</row>
    <row r="522">
      <c r="A522" s="16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</row>
    <row r="523">
      <c r="A523" s="16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</row>
    <row r="524">
      <c r="A524" s="16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</row>
    <row r="525">
      <c r="A525" s="16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</row>
    <row r="526">
      <c r="A526" s="16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</row>
    <row r="527">
      <c r="A527" s="16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</row>
    <row r="528">
      <c r="A528" s="16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</row>
    <row r="529">
      <c r="A529" s="16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</row>
    <row r="530">
      <c r="A530" s="16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</row>
    <row r="531">
      <c r="A531" s="16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</row>
    <row r="532">
      <c r="A532" s="16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</row>
    <row r="533">
      <c r="A533" s="16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</row>
    <row r="534">
      <c r="A534" s="16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</row>
    <row r="535">
      <c r="A535" s="16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</row>
    <row r="536">
      <c r="A536" s="16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</row>
    <row r="537">
      <c r="A537" s="16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</row>
    <row r="538">
      <c r="A538" s="16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</row>
    <row r="539">
      <c r="A539" s="16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</row>
    <row r="540">
      <c r="A540" s="16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</row>
    <row r="541">
      <c r="A541" s="16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</row>
    <row r="542">
      <c r="A542" s="16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</row>
    <row r="543">
      <c r="A543" s="16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</row>
    <row r="544">
      <c r="A544" s="16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</row>
    <row r="545">
      <c r="A545" s="16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</row>
    <row r="546">
      <c r="A546" s="16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</row>
    <row r="547">
      <c r="A547" s="16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</row>
    <row r="548">
      <c r="A548" s="16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</row>
    <row r="549">
      <c r="A549" s="16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</row>
    <row r="550">
      <c r="A550" s="16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</row>
    <row r="551">
      <c r="A551" s="16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</row>
    <row r="552">
      <c r="A552" s="16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</row>
    <row r="553">
      <c r="A553" s="16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</row>
    <row r="554">
      <c r="A554" s="16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</row>
    <row r="555">
      <c r="A555" s="16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</row>
    <row r="556">
      <c r="A556" s="16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</row>
    <row r="557">
      <c r="A557" s="16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</row>
    <row r="558">
      <c r="A558" s="16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</row>
    <row r="559">
      <c r="A559" s="16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</row>
    <row r="560">
      <c r="A560" s="16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</row>
    <row r="561">
      <c r="A561" s="16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</row>
    <row r="562">
      <c r="A562" s="16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</row>
    <row r="563">
      <c r="A563" s="16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</row>
    <row r="564">
      <c r="A564" s="16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</row>
    <row r="565">
      <c r="A565" s="16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</row>
    <row r="566">
      <c r="A566" s="16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</row>
    <row r="567">
      <c r="A567" s="16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</row>
    <row r="568">
      <c r="A568" s="16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</row>
    <row r="569">
      <c r="A569" s="16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</row>
    <row r="570">
      <c r="A570" s="16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</row>
    <row r="571">
      <c r="A571" s="16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</row>
    <row r="572">
      <c r="A572" s="16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</row>
    <row r="573">
      <c r="A573" s="16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</row>
    <row r="574">
      <c r="A574" s="16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</row>
    <row r="575">
      <c r="A575" s="16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</row>
    <row r="576">
      <c r="A576" s="16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</row>
    <row r="577">
      <c r="A577" s="16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</row>
    <row r="578">
      <c r="A578" s="16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</row>
    <row r="579">
      <c r="A579" s="16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</row>
    <row r="580">
      <c r="A580" s="16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</row>
    <row r="581">
      <c r="A581" s="16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</row>
    <row r="582">
      <c r="A582" s="16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</row>
    <row r="583">
      <c r="A583" s="16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</row>
    <row r="584">
      <c r="A584" s="16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</row>
    <row r="585">
      <c r="A585" s="16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</row>
    <row r="586">
      <c r="A586" s="16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</row>
    <row r="587">
      <c r="A587" s="16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</row>
    <row r="588">
      <c r="A588" s="16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</row>
    <row r="589">
      <c r="A589" s="16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</row>
    <row r="590">
      <c r="A590" s="16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</row>
    <row r="591">
      <c r="A591" s="16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</row>
    <row r="592">
      <c r="A592" s="16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</row>
    <row r="593">
      <c r="A593" s="16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</row>
    <row r="594">
      <c r="A594" s="16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</row>
    <row r="595">
      <c r="A595" s="16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</row>
    <row r="596">
      <c r="A596" s="16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</row>
    <row r="597">
      <c r="A597" s="16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</row>
    <row r="598">
      <c r="A598" s="16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</row>
    <row r="599">
      <c r="A599" s="16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</row>
    <row r="600">
      <c r="A600" s="16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</row>
    <row r="601">
      <c r="A601" s="16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</row>
    <row r="602">
      <c r="A602" s="16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</row>
    <row r="603">
      <c r="A603" s="16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</row>
    <row r="604">
      <c r="A604" s="16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</row>
    <row r="605">
      <c r="A605" s="16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</row>
    <row r="606">
      <c r="A606" s="16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</row>
    <row r="607">
      <c r="A607" s="16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</row>
    <row r="608">
      <c r="A608" s="16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</row>
    <row r="609">
      <c r="A609" s="16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</row>
    <row r="610">
      <c r="A610" s="16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</row>
    <row r="611">
      <c r="A611" s="16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</row>
    <row r="612">
      <c r="A612" s="16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</row>
    <row r="613">
      <c r="A613" s="16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</row>
    <row r="614">
      <c r="A614" s="16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</row>
    <row r="615">
      <c r="A615" s="16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</row>
    <row r="616">
      <c r="A616" s="16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</row>
    <row r="617">
      <c r="A617" s="16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</row>
    <row r="618">
      <c r="A618" s="16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</row>
    <row r="619">
      <c r="A619" s="16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</row>
    <row r="620">
      <c r="A620" s="16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</row>
    <row r="621">
      <c r="A621" s="16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</row>
    <row r="622">
      <c r="A622" s="16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</row>
    <row r="623">
      <c r="A623" s="16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</row>
    <row r="624">
      <c r="A624" s="16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</row>
    <row r="625">
      <c r="A625" s="16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</row>
    <row r="626">
      <c r="A626" s="16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</row>
    <row r="627">
      <c r="A627" s="16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</row>
    <row r="628">
      <c r="A628" s="16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</row>
    <row r="629">
      <c r="A629" s="16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</row>
    <row r="630">
      <c r="A630" s="16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</row>
    <row r="631">
      <c r="A631" s="16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</row>
    <row r="632">
      <c r="A632" s="16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</row>
    <row r="633">
      <c r="A633" s="16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</row>
    <row r="634">
      <c r="A634" s="16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</row>
    <row r="635">
      <c r="A635" s="16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</row>
    <row r="636">
      <c r="A636" s="16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</row>
    <row r="637">
      <c r="A637" s="16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</row>
    <row r="638">
      <c r="A638" s="16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</row>
    <row r="639">
      <c r="A639" s="16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</row>
    <row r="640">
      <c r="A640" s="16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</row>
    <row r="641">
      <c r="A641" s="16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</row>
    <row r="642">
      <c r="A642" s="16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</row>
    <row r="643">
      <c r="A643" s="16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</row>
    <row r="644">
      <c r="A644" s="16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</row>
    <row r="645">
      <c r="A645" s="16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</row>
    <row r="646">
      <c r="A646" s="16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</row>
    <row r="647">
      <c r="A647" s="16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</row>
    <row r="648">
      <c r="A648" s="16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</row>
    <row r="649">
      <c r="A649" s="16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</row>
    <row r="650">
      <c r="A650" s="16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</row>
    <row r="651">
      <c r="A651" s="16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</row>
    <row r="652">
      <c r="A652" s="16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</row>
    <row r="653">
      <c r="A653" s="16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</row>
    <row r="654">
      <c r="A654" s="16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</row>
    <row r="655">
      <c r="A655" s="16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</row>
    <row r="656">
      <c r="A656" s="16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</row>
    <row r="657">
      <c r="A657" s="16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</row>
    <row r="658">
      <c r="A658" s="16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</row>
    <row r="659">
      <c r="A659" s="16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</row>
    <row r="660">
      <c r="A660" s="16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</row>
    <row r="661">
      <c r="A661" s="16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</row>
    <row r="662">
      <c r="A662" s="16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</row>
    <row r="663">
      <c r="A663" s="16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</row>
    <row r="664">
      <c r="A664" s="16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</row>
    <row r="665">
      <c r="A665" s="16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</row>
    <row r="666">
      <c r="A666" s="16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</row>
    <row r="667">
      <c r="A667" s="16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</row>
    <row r="668">
      <c r="A668" s="16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</row>
    <row r="669">
      <c r="A669" s="16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</row>
    <row r="670">
      <c r="A670" s="16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</row>
    <row r="671">
      <c r="A671" s="16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</row>
    <row r="672">
      <c r="A672" s="16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</row>
    <row r="673">
      <c r="A673" s="16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</row>
    <row r="674">
      <c r="A674" s="16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</row>
    <row r="675">
      <c r="A675" s="16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</row>
    <row r="676">
      <c r="A676" s="16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</row>
    <row r="677">
      <c r="A677" s="16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</row>
    <row r="678">
      <c r="A678" s="16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</row>
    <row r="679">
      <c r="A679" s="16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</row>
    <row r="680">
      <c r="A680" s="16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</row>
    <row r="681">
      <c r="A681" s="16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</row>
    <row r="682">
      <c r="A682" s="16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</row>
    <row r="683">
      <c r="A683" s="16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</row>
    <row r="684">
      <c r="A684" s="16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</row>
    <row r="685">
      <c r="A685" s="16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</row>
    <row r="686">
      <c r="A686" s="16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</row>
    <row r="687">
      <c r="A687" s="16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</row>
    <row r="688">
      <c r="A688" s="16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</row>
    <row r="689">
      <c r="A689" s="16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</row>
    <row r="690">
      <c r="A690" s="16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</row>
    <row r="691">
      <c r="A691" s="16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</row>
    <row r="692">
      <c r="A692" s="16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</row>
    <row r="693">
      <c r="A693" s="16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</row>
    <row r="694">
      <c r="A694" s="16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</row>
    <row r="695">
      <c r="A695" s="16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</row>
    <row r="696">
      <c r="A696" s="16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</row>
    <row r="697">
      <c r="A697" s="16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</row>
    <row r="698">
      <c r="A698" s="16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</row>
    <row r="699">
      <c r="A699" s="16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</row>
    <row r="700">
      <c r="A700" s="16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</row>
    <row r="701">
      <c r="A701" s="16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</row>
    <row r="702">
      <c r="A702" s="16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</row>
    <row r="703">
      <c r="A703" s="16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</row>
    <row r="704">
      <c r="A704" s="16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</row>
    <row r="705">
      <c r="A705" s="16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</row>
    <row r="706">
      <c r="A706" s="16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</row>
    <row r="707">
      <c r="A707" s="16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</row>
    <row r="708">
      <c r="A708" s="16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</row>
    <row r="709">
      <c r="A709" s="16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</row>
    <row r="710">
      <c r="A710" s="16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</row>
    <row r="711">
      <c r="A711" s="16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</row>
    <row r="712">
      <c r="A712" s="16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</row>
    <row r="713">
      <c r="A713" s="16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</row>
    <row r="714">
      <c r="A714" s="16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</row>
    <row r="715">
      <c r="A715" s="16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</row>
    <row r="716">
      <c r="A716" s="16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</row>
    <row r="717">
      <c r="A717" s="16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</row>
    <row r="718">
      <c r="A718" s="16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</row>
    <row r="719">
      <c r="A719" s="16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</row>
    <row r="720">
      <c r="A720" s="16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</row>
    <row r="721">
      <c r="A721" s="16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</row>
    <row r="722">
      <c r="A722" s="16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</row>
    <row r="723">
      <c r="A723" s="16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</row>
    <row r="724">
      <c r="A724" s="16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</row>
    <row r="725">
      <c r="A725" s="16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</row>
    <row r="726">
      <c r="A726" s="16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</row>
    <row r="727">
      <c r="A727" s="16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</row>
    <row r="728">
      <c r="A728" s="16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</row>
    <row r="729">
      <c r="A729" s="16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</row>
    <row r="730">
      <c r="A730" s="16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</row>
    <row r="731">
      <c r="A731" s="16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</row>
    <row r="732">
      <c r="A732" s="16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</row>
    <row r="733">
      <c r="A733" s="16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</row>
    <row r="734">
      <c r="A734" s="16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</row>
    <row r="735">
      <c r="A735" s="16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</row>
    <row r="736">
      <c r="A736" s="16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</row>
    <row r="737">
      <c r="A737" s="16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</row>
    <row r="738">
      <c r="A738" s="16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</row>
    <row r="739">
      <c r="A739" s="16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</row>
    <row r="740">
      <c r="A740" s="16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</row>
    <row r="741">
      <c r="A741" s="16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</row>
    <row r="742">
      <c r="A742" s="16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</row>
    <row r="743">
      <c r="A743" s="16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</row>
    <row r="744">
      <c r="A744" s="16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</row>
    <row r="745">
      <c r="A745" s="16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</row>
    <row r="746">
      <c r="A746" s="16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</row>
    <row r="747">
      <c r="A747" s="16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</row>
    <row r="748">
      <c r="A748" s="16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</row>
    <row r="749">
      <c r="A749" s="16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</row>
    <row r="750">
      <c r="A750" s="16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</row>
    <row r="751">
      <c r="A751" s="16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</row>
    <row r="752">
      <c r="A752" s="16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</row>
    <row r="753">
      <c r="A753" s="16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</row>
    <row r="754">
      <c r="A754" s="16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</row>
    <row r="755">
      <c r="A755" s="16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</row>
    <row r="756">
      <c r="A756" s="16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</row>
    <row r="757">
      <c r="A757" s="16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</row>
    <row r="758">
      <c r="A758" s="16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</row>
    <row r="759">
      <c r="A759" s="16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</row>
    <row r="760">
      <c r="A760" s="16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</row>
    <row r="761">
      <c r="A761" s="16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</row>
    <row r="762">
      <c r="A762" s="16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</row>
    <row r="763">
      <c r="A763" s="16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</row>
    <row r="764">
      <c r="A764" s="16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</row>
    <row r="765">
      <c r="A765" s="16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</row>
    <row r="766">
      <c r="A766" s="16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</row>
    <row r="767">
      <c r="A767" s="16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</row>
    <row r="768">
      <c r="A768" s="16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</row>
    <row r="769">
      <c r="A769" s="16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</row>
    <row r="770">
      <c r="A770" s="16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</row>
    <row r="771">
      <c r="A771" s="16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</row>
    <row r="772">
      <c r="A772" s="16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</row>
    <row r="773">
      <c r="A773" s="16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</row>
    <row r="774">
      <c r="A774" s="16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</row>
    <row r="775">
      <c r="A775" s="16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</row>
    <row r="776">
      <c r="A776" s="16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</row>
    <row r="777">
      <c r="A777" s="16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</row>
    <row r="778">
      <c r="A778" s="16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</row>
    <row r="779">
      <c r="A779" s="16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</row>
    <row r="780">
      <c r="A780" s="16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</row>
    <row r="781">
      <c r="A781" s="16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</row>
    <row r="782">
      <c r="A782" s="16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</row>
    <row r="783">
      <c r="A783" s="16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</row>
    <row r="784">
      <c r="A784" s="16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</row>
    <row r="785">
      <c r="A785" s="16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</row>
    <row r="786">
      <c r="A786" s="16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</row>
    <row r="787">
      <c r="A787" s="16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</row>
    <row r="788">
      <c r="A788" s="16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</row>
    <row r="789">
      <c r="A789" s="16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</row>
    <row r="790">
      <c r="A790" s="16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</row>
    <row r="791">
      <c r="A791" s="16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</row>
    <row r="792">
      <c r="A792" s="16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</row>
    <row r="793">
      <c r="A793" s="16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</row>
    <row r="794">
      <c r="A794" s="16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</row>
    <row r="795">
      <c r="A795" s="16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</row>
    <row r="796">
      <c r="A796" s="16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</row>
    <row r="797">
      <c r="A797" s="16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</row>
    <row r="798">
      <c r="A798" s="16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</row>
    <row r="799">
      <c r="A799" s="16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</row>
    <row r="800">
      <c r="A800" s="16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</row>
    <row r="801">
      <c r="A801" s="16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</row>
    <row r="802">
      <c r="A802" s="16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</row>
    <row r="803">
      <c r="A803" s="16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</row>
    <row r="804">
      <c r="A804" s="16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</row>
    <row r="805">
      <c r="A805" s="16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</row>
    <row r="806">
      <c r="A806" s="16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</row>
    <row r="807">
      <c r="A807" s="16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</row>
    <row r="808">
      <c r="A808" s="16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</row>
    <row r="809">
      <c r="A809" s="16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</row>
    <row r="810">
      <c r="A810" s="16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</row>
    <row r="811">
      <c r="A811" s="16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</row>
    <row r="812">
      <c r="A812" s="16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</row>
    <row r="813">
      <c r="A813" s="16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</row>
    <row r="814">
      <c r="A814" s="16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</row>
    <row r="815">
      <c r="A815" s="16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</row>
    <row r="816">
      <c r="A816" s="16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</row>
    <row r="817">
      <c r="A817" s="16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</row>
    <row r="818">
      <c r="A818" s="16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</row>
    <row r="819">
      <c r="A819" s="16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</row>
    <row r="820">
      <c r="A820" s="16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</row>
    <row r="821">
      <c r="A821" s="16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</row>
    <row r="822">
      <c r="A822" s="16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</row>
    <row r="823">
      <c r="A823" s="16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</row>
    <row r="824">
      <c r="A824" s="16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</row>
    <row r="825">
      <c r="A825" s="16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</row>
    <row r="826">
      <c r="A826" s="16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</row>
    <row r="827">
      <c r="A827" s="16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</row>
    <row r="828">
      <c r="A828" s="16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</row>
    <row r="829">
      <c r="A829" s="16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</row>
    <row r="830">
      <c r="A830" s="16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</row>
    <row r="831">
      <c r="A831" s="16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</row>
    <row r="832">
      <c r="A832" s="16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</row>
    <row r="833">
      <c r="A833" s="16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</row>
    <row r="834">
      <c r="A834" s="16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</row>
    <row r="835">
      <c r="A835" s="16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</row>
    <row r="836">
      <c r="A836" s="16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</row>
    <row r="837">
      <c r="A837" s="16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</row>
    <row r="838">
      <c r="A838" s="16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</row>
    <row r="839">
      <c r="A839" s="16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</row>
    <row r="840">
      <c r="A840" s="16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</row>
    <row r="841">
      <c r="A841" s="16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</row>
    <row r="842">
      <c r="A842" s="16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</row>
    <row r="843">
      <c r="A843" s="16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</row>
    <row r="844">
      <c r="A844" s="16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</row>
    <row r="845">
      <c r="A845" s="16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</row>
    <row r="846">
      <c r="A846" s="16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</row>
    <row r="847">
      <c r="A847" s="16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</row>
    <row r="848">
      <c r="A848" s="16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</row>
    <row r="849">
      <c r="A849" s="16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</row>
    <row r="850">
      <c r="A850" s="16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</row>
    <row r="851">
      <c r="A851" s="16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</row>
    <row r="852">
      <c r="A852" s="16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</row>
    <row r="853">
      <c r="A853" s="16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</row>
    <row r="854">
      <c r="A854" s="16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</row>
    <row r="855">
      <c r="A855" s="16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</row>
    <row r="856">
      <c r="A856" s="16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</row>
    <row r="857">
      <c r="A857" s="16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</row>
    <row r="858">
      <c r="A858" s="16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</row>
    <row r="859">
      <c r="A859" s="16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</row>
    <row r="860">
      <c r="A860" s="16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</row>
    <row r="861">
      <c r="A861" s="16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</row>
    <row r="862">
      <c r="A862" s="16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</row>
    <row r="863">
      <c r="A863" s="16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</row>
    <row r="864">
      <c r="A864" s="16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</row>
    <row r="865">
      <c r="A865" s="16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</row>
    <row r="866">
      <c r="A866" s="16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</row>
    <row r="867">
      <c r="A867" s="16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</row>
    <row r="868">
      <c r="A868" s="16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</row>
    <row r="869">
      <c r="A869" s="16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</row>
    <row r="870">
      <c r="A870" s="16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</row>
    <row r="871">
      <c r="A871" s="16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</row>
    <row r="872">
      <c r="A872" s="16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</row>
    <row r="873">
      <c r="A873" s="16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</row>
    <row r="874">
      <c r="A874" s="16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</row>
    <row r="875">
      <c r="A875" s="16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</row>
    <row r="876">
      <c r="A876" s="16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</row>
    <row r="877">
      <c r="A877" s="16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</row>
    <row r="878">
      <c r="A878" s="16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</row>
    <row r="879">
      <c r="A879" s="16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</row>
    <row r="880">
      <c r="A880" s="16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</row>
    <row r="881">
      <c r="A881" s="16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</row>
    <row r="882">
      <c r="A882" s="16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</row>
    <row r="883">
      <c r="A883" s="16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</row>
    <row r="884">
      <c r="A884" s="16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</row>
    <row r="885">
      <c r="A885" s="16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</row>
    <row r="886">
      <c r="A886" s="16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</row>
    <row r="887">
      <c r="A887" s="16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</row>
    <row r="888">
      <c r="A888" s="16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</row>
    <row r="889">
      <c r="A889" s="16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</row>
    <row r="890">
      <c r="A890" s="16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</row>
    <row r="891">
      <c r="A891" s="16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</row>
    <row r="892">
      <c r="A892" s="16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</row>
    <row r="893">
      <c r="A893" s="16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</row>
    <row r="894">
      <c r="A894" s="16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</row>
    <row r="895">
      <c r="A895" s="16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</row>
    <row r="896">
      <c r="A896" s="16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</row>
    <row r="897">
      <c r="A897" s="16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</row>
    <row r="898">
      <c r="A898" s="16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</row>
    <row r="899">
      <c r="A899" s="16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</row>
    <row r="900">
      <c r="A900" s="16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</row>
    <row r="901">
      <c r="A901" s="16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</row>
    <row r="902">
      <c r="A902" s="16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</row>
    <row r="903">
      <c r="A903" s="16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</row>
    <row r="904">
      <c r="A904" s="16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</row>
    <row r="905">
      <c r="A905" s="16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</row>
    <row r="906">
      <c r="A906" s="16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</row>
    <row r="907">
      <c r="A907" s="16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</row>
    <row r="908">
      <c r="A908" s="16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</row>
    <row r="909">
      <c r="A909" s="16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</row>
    <row r="910">
      <c r="A910" s="16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</row>
    <row r="911">
      <c r="A911" s="16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</row>
    <row r="912">
      <c r="A912" s="16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</row>
    <row r="913">
      <c r="A913" s="16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</row>
    <row r="914">
      <c r="A914" s="16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</row>
    <row r="915">
      <c r="A915" s="16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</row>
    <row r="916">
      <c r="A916" s="16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</row>
    <row r="917">
      <c r="A917" s="16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</row>
    <row r="918">
      <c r="A918" s="16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</row>
    <row r="919">
      <c r="A919" s="16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</row>
    <row r="920">
      <c r="A920" s="16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</row>
    <row r="921">
      <c r="A921" s="16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</row>
    <row r="922">
      <c r="A922" s="16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</row>
    <row r="923">
      <c r="A923" s="16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</row>
    <row r="924">
      <c r="A924" s="16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</row>
    <row r="925">
      <c r="A925" s="16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</row>
    <row r="926">
      <c r="A926" s="16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</row>
    <row r="927">
      <c r="A927" s="16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</row>
    <row r="928">
      <c r="A928" s="16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</row>
    <row r="929">
      <c r="A929" s="16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</row>
    <row r="930">
      <c r="A930" s="16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</row>
    <row r="931">
      <c r="A931" s="16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</row>
    <row r="932">
      <c r="A932" s="16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</row>
    <row r="933">
      <c r="A933" s="16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</row>
    <row r="934">
      <c r="A934" s="16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</row>
    <row r="935">
      <c r="A935" s="16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</row>
    <row r="936">
      <c r="A936" s="16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</row>
    <row r="937">
      <c r="A937" s="16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</row>
    <row r="938">
      <c r="A938" s="16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</row>
    <row r="939">
      <c r="A939" s="16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</row>
    <row r="940">
      <c r="A940" s="16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</row>
    <row r="941">
      <c r="A941" s="16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</row>
    <row r="942">
      <c r="A942" s="16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</row>
    <row r="943">
      <c r="A943" s="16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</row>
    <row r="944">
      <c r="A944" s="16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</row>
    <row r="945">
      <c r="A945" s="16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</row>
    <row r="946">
      <c r="A946" s="16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</row>
    <row r="947">
      <c r="A947" s="16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</row>
    <row r="948">
      <c r="A948" s="16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</row>
    <row r="949">
      <c r="A949" s="16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</row>
    <row r="950">
      <c r="A950" s="16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</row>
    <row r="951">
      <c r="A951" s="16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</row>
    <row r="952">
      <c r="A952" s="16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</row>
    <row r="953">
      <c r="A953" s="16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</row>
    <row r="954">
      <c r="A954" s="16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</row>
    <row r="955">
      <c r="A955" s="16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</row>
    <row r="956">
      <c r="A956" s="16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</row>
    <row r="957">
      <c r="A957" s="16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</row>
    <row r="958">
      <c r="A958" s="16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</row>
    <row r="959">
      <c r="A959" s="16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</row>
    <row r="960">
      <c r="A960" s="16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</row>
    <row r="961">
      <c r="A961" s="16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</row>
    <row r="962">
      <c r="A962" s="16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</row>
    <row r="963">
      <c r="A963" s="16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</row>
    <row r="964">
      <c r="A964" s="16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</row>
    <row r="965">
      <c r="A965" s="16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</row>
    <row r="966">
      <c r="A966" s="16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</row>
    <row r="967">
      <c r="A967" s="16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</row>
    <row r="968">
      <c r="A968" s="16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</row>
    <row r="969">
      <c r="A969" s="16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</row>
    <row r="970">
      <c r="A970" s="16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</row>
    <row r="971">
      <c r="A971" s="16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</row>
    <row r="972">
      <c r="A972" s="16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</row>
    <row r="973">
      <c r="A973" s="16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</row>
    <row r="974">
      <c r="A974" s="16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</row>
    <row r="975">
      <c r="A975" s="16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</row>
    <row r="976">
      <c r="A976" s="16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</row>
    <row r="977">
      <c r="A977" s="16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</row>
    <row r="978">
      <c r="A978" s="16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</row>
    <row r="979">
      <c r="A979" s="16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</row>
    <row r="980">
      <c r="A980" s="16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</row>
    <row r="981">
      <c r="A981" s="16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</row>
    <row r="982">
      <c r="A982" s="16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</row>
    <row r="983">
      <c r="A983" s="16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</row>
    <row r="984">
      <c r="A984" s="16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</row>
    <row r="985">
      <c r="A985" s="16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</row>
    <row r="986">
      <c r="A986" s="16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</row>
    <row r="987">
      <c r="A987" s="16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</row>
    <row r="988">
      <c r="A988" s="16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</row>
    <row r="989">
      <c r="A989" s="16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</row>
    <row r="990">
      <c r="A990" s="16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</row>
    <row r="991">
      <c r="A991" s="16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</row>
    <row r="992">
      <c r="A992" s="16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</row>
    <row r="993">
      <c r="A993" s="16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</row>
    <row r="994">
      <c r="A994" s="16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</row>
    <row r="995">
      <c r="A995" s="16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</row>
    <row r="996">
      <c r="A996" s="16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</row>
    <row r="997">
      <c r="A997" s="16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</row>
    <row r="998">
      <c r="A998" s="16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</row>
    <row r="999">
      <c r="A999" s="16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</row>
    <row r="1000">
      <c r="A1000" s="16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</row>
    <row r="1001">
      <c r="A1001" s="16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</row>
    <row r="1002">
      <c r="A1002" s="16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</row>
    <row r="1003">
      <c r="A1003" s="16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</row>
    <row r="1004">
      <c r="A1004" s="16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</row>
    <row r="1005">
      <c r="A1005" s="16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</row>
    <row r="1006">
      <c r="A1006" s="16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</row>
    <row r="1007">
      <c r="A1007" s="16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</row>
    <row r="1008">
      <c r="A1008" s="16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</row>
    <row r="1009">
      <c r="A1009" s="16"/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</row>
    <row r="1010">
      <c r="A1010" s="16"/>
      <c r="B1010" s="20"/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  <c r="M1010" s="20"/>
      <c r="N1010" s="20"/>
    </row>
    <row r="1011">
      <c r="A1011" s="16"/>
      <c r="B1011" s="20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</row>
    <row r="1012">
      <c r="A1012" s="16"/>
      <c r="B1012" s="20"/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  <c r="M1012" s="20"/>
      <c r="N1012" s="20"/>
    </row>
    <row r="1013">
      <c r="A1013" s="16"/>
      <c r="B1013" s="20"/>
      <c r="C1013" s="20"/>
      <c r="D1013" s="20"/>
      <c r="E1013" s="20"/>
      <c r="F1013" s="20"/>
      <c r="G1013" s="20"/>
      <c r="H1013" s="20"/>
      <c r="I1013" s="20"/>
      <c r="J1013" s="20"/>
      <c r="K1013" s="20"/>
      <c r="L1013" s="20"/>
      <c r="M1013" s="20"/>
      <c r="N1013" s="20"/>
    </row>
    <row r="1014">
      <c r="A1014" s="16"/>
      <c r="B1014" s="20"/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  <c r="M1014" s="20"/>
      <c r="N1014" s="20"/>
    </row>
    <row r="1015">
      <c r="A1015" s="16"/>
      <c r="B1015" s="20"/>
      <c r="C1015" s="20"/>
      <c r="D1015" s="20"/>
      <c r="E1015" s="20"/>
      <c r="F1015" s="20"/>
      <c r="G1015" s="20"/>
      <c r="H1015" s="20"/>
      <c r="I1015" s="20"/>
      <c r="J1015" s="20"/>
      <c r="K1015" s="20"/>
      <c r="L1015" s="20"/>
      <c r="M1015" s="20"/>
      <c r="N1015" s="20"/>
    </row>
    <row r="1016">
      <c r="A1016" s="16"/>
      <c r="B1016" s="20"/>
      <c r="C1016" s="20"/>
      <c r="D1016" s="20"/>
      <c r="E1016" s="20"/>
      <c r="F1016" s="20"/>
      <c r="G1016" s="20"/>
      <c r="H1016" s="20"/>
      <c r="I1016" s="20"/>
      <c r="J1016" s="20"/>
      <c r="K1016" s="20"/>
      <c r="L1016" s="20"/>
      <c r="M1016" s="20"/>
      <c r="N1016" s="20"/>
    </row>
    <row r="1017">
      <c r="A1017" s="16"/>
      <c r="B1017" s="20"/>
      <c r="C1017" s="20"/>
      <c r="D1017" s="20"/>
      <c r="E1017" s="20"/>
      <c r="F1017" s="20"/>
      <c r="G1017" s="20"/>
      <c r="H1017" s="20"/>
      <c r="I1017" s="20"/>
      <c r="J1017" s="20"/>
      <c r="K1017" s="20"/>
      <c r="L1017" s="20"/>
      <c r="M1017" s="20"/>
      <c r="N1017" s="20"/>
    </row>
    <row r="1018">
      <c r="A1018" s="16"/>
      <c r="B1018" s="20"/>
      <c r="C1018" s="20"/>
      <c r="D1018" s="20"/>
      <c r="E1018" s="20"/>
      <c r="F1018" s="20"/>
      <c r="G1018" s="20"/>
      <c r="H1018" s="20"/>
      <c r="I1018" s="20"/>
      <c r="J1018" s="20"/>
      <c r="K1018" s="20"/>
      <c r="L1018" s="20"/>
      <c r="M1018" s="20"/>
      <c r="N1018" s="20"/>
    </row>
    <row r="1019">
      <c r="A1019" s="16"/>
      <c r="B1019" s="20"/>
      <c r="C1019" s="20"/>
      <c r="D1019" s="20"/>
      <c r="E1019" s="20"/>
      <c r="F1019" s="20"/>
      <c r="G1019" s="20"/>
      <c r="H1019" s="20"/>
      <c r="I1019" s="20"/>
      <c r="J1019" s="20"/>
      <c r="K1019" s="20"/>
      <c r="L1019" s="20"/>
      <c r="M1019" s="20"/>
      <c r="N1019" s="20"/>
    </row>
    <row r="1020">
      <c r="A1020" s="16"/>
      <c r="B1020" s="20"/>
      <c r="C1020" s="20"/>
      <c r="D1020" s="20"/>
      <c r="E1020" s="20"/>
      <c r="F1020" s="20"/>
      <c r="G1020" s="20"/>
      <c r="H1020" s="20"/>
      <c r="I1020" s="20"/>
      <c r="J1020" s="20"/>
      <c r="K1020" s="20"/>
      <c r="L1020" s="20"/>
      <c r="M1020" s="20"/>
      <c r="N1020" s="20"/>
    </row>
    <row r="1021">
      <c r="A1021" s="16"/>
      <c r="B1021" s="20"/>
      <c r="C1021" s="20"/>
      <c r="D1021" s="20"/>
      <c r="E1021" s="20"/>
      <c r="F1021" s="20"/>
      <c r="G1021" s="20"/>
      <c r="H1021" s="20"/>
      <c r="I1021" s="20"/>
      <c r="J1021" s="20"/>
      <c r="K1021" s="20"/>
      <c r="L1021" s="20"/>
      <c r="M1021" s="20"/>
      <c r="N1021" s="20"/>
    </row>
    <row r="1022">
      <c r="A1022" s="16"/>
      <c r="B1022" s="20"/>
      <c r="C1022" s="20"/>
      <c r="D1022" s="20"/>
      <c r="E1022" s="20"/>
      <c r="F1022" s="20"/>
      <c r="G1022" s="20"/>
      <c r="H1022" s="20"/>
      <c r="I1022" s="20"/>
      <c r="J1022" s="20"/>
      <c r="K1022" s="20"/>
      <c r="L1022" s="20"/>
      <c r="M1022" s="20"/>
      <c r="N1022" s="20"/>
    </row>
    <row r="1023">
      <c r="A1023" s="16"/>
      <c r="B1023" s="20"/>
      <c r="C1023" s="20"/>
      <c r="D1023" s="20"/>
      <c r="E1023" s="20"/>
      <c r="F1023" s="20"/>
      <c r="G1023" s="20"/>
      <c r="H1023" s="20"/>
      <c r="I1023" s="20"/>
      <c r="J1023" s="20"/>
      <c r="K1023" s="20"/>
      <c r="L1023" s="20"/>
      <c r="M1023" s="20"/>
      <c r="N1023" s="20"/>
    </row>
    <row r="1024">
      <c r="A1024" s="16"/>
      <c r="B1024" s="20"/>
      <c r="C1024" s="20"/>
      <c r="D1024" s="20"/>
      <c r="E1024" s="20"/>
      <c r="F1024" s="20"/>
      <c r="G1024" s="20"/>
      <c r="H1024" s="20"/>
      <c r="I1024" s="20"/>
      <c r="J1024" s="20"/>
      <c r="K1024" s="20"/>
      <c r="L1024" s="20"/>
      <c r="M1024" s="20"/>
      <c r="N1024" s="20"/>
    </row>
    <row r="1025">
      <c r="A1025" s="16"/>
      <c r="B1025" s="20"/>
      <c r="C1025" s="20"/>
      <c r="D1025" s="20"/>
      <c r="E1025" s="20"/>
      <c r="F1025" s="20"/>
      <c r="G1025" s="20"/>
      <c r="H1025" s="20"/>
      <c r="I1025" s="20"/>
      <c r="J1025" s="20"/>
      <c r="K1025" s="20"/>
      <c r="L1025" s="20"/>
      <c r="M1025" s="20"/>
      <c r="N1025" s="20"/>
    </row>
    <row r="1026">
      <c r="A1026" s="16"/>
      <c r="B1026" s="20"/>
      <c r="C1026" s="20"/>
      <c r="D1026" s="20"/>
      <c r="E1026" s="20"/>
      <c r="F1026" s="20"/>
      <c r="G1026" s="20"/>
      <c r="H1026" s="20"/>
      <c r="I1026" s="20"/>
      <c r="J1026" s="20"/>
      <c r="K1026" s="20"/>
      <c r="L1026" s="20"/>
      <c r="M1026" s="20"/>
      <c r="N1026" s="20"/>
    </row>
    <row r="1027">
      <c r="A1027" s="16"/>
      <c r="B1027" s="20"/>
      <c r="C1027" s="20"/>
      <c r="D1027" s="20"/>
      <c r="E1027" s="20"/>
      <c r="F1027" s="20"/>
      <c r="G1027" s="20"/>
      <c r="H1027" s="20"/>
      <c r="I1027" s="20"/>
      <c r="J1027" s="20"/>
      <c r="K1027" s="20"/>
      <c r="L1027" s="20"/>
      <c r="M1027" s="20"/>
      <c r="N1027" s="20"/>
    </row>
    <row r="1028">
      <c r="A1028" s="16"/>
      <c r="B1028" s="20"/>
      <c r="C1028" s="20"/>
      <c r="D1028" s="20"/>
      <c r="E1028" s="20"/>
      <c r="F1028" s="20"/>
      <c r="G1028" s="20"/>
      <c r="H1028" s="20"/>
      <c r="I1028" s="20"/>
      <c r="J1028" s="20"/>
      <c r="K1028" s="20"/>
      <c r="L1028" s="20"/>
      <c r="M1028" s="20"/>
      <c r="N1028" s="20"/>
    </row>
    <row r="1029">
      <c r="A1029" s="16"/>
      <c r="B1029" s="20"/>
      <c r="C1029" s="20"/>
      <c r="D1029" s="20"/>
      <c r="E1029" s="20"/>
      <c r="F1029" s="20"/>
      <c r="G1029" s="20"/>
      <c r="H1029" s="20"/>
      <c r="I1029" s="20"/>
      <c r="J1029" s="20"/>
      <c r="K1029" s="20"/>
      <c r="L1029" s="20"/>
      <c r="M1029" s="20"/>
      <c r="N1029" s="20"/>
    </row>
    <row r="1030">
      <c r="A1030" s="16"/>
      <c r="B1030" s="20"/>
      <c r="C1030" s="20"/>
      <c r="D1030" s="20"/>
      <c r="E1030" s="20"/>
      <c r="F1030" s="20"/>
      <c r="G1030" s="20"/>
      <c r="H1030" s="20"/>
      <c r="I1030" s="20"/>
      <c r="J1030" s="20"/>
      <c r="K1030" s="20"/>
      <c r="L1030" s="20"/>
      <c r="M1030" s="20"/>
      <c r="N1030" s="2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Row="1"/>
  <cols>
    <col customWidth="1" min="1" max="1" width="18.0"/>
  </cols>
  <sheetData>
    <row r="1">
      <c r="A1" s="1" t="s">
        <v>0</v>
      </c>
      <c r="B1" s="1" t="s">
        <v>1</v>
      </c>
      <c r="C1" s="2">
        <v>45682.0</v>
      </c>
      <c r="D1" s="3">
        <v>45713.0</v>
      </c>
      <c r="E1" s="3">
        <v>45741.0</v>
      </c>
      <c r="F1" s="3">
        <v>45772.0</v>
      </c>
      <c r="G1" s="3">
        <v>45802.0</v>
      </c>
      <c r="H1" s="3">
        <v>45833.0</v>
      </c>
      <c r="I1" s="3">
        <v>45863.0</v>
      </c>
      <c r="J1" s="3">
        <v>45894.0</v>
      </c>
      <c r="K1" s="2">
        <v>45925.0</v>
      </c>
      <c r="L1" s="3">
        <v>45955.0</v>
      </c>
      <c r="M1" s="3">
        <v>45986.0</v>
      </c>
      <c r="N1" s="3">
        <v>46016.0</v>
      </c>
    </row>
    <row r="2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>
      <c r="A3" s="6" t="s">
        <v>3</v>
      </c>
      <c r="B3" s="7">
        <f t="shared" ref="B3:B4" si="2">sum(C3:N3)</f>
        <v>927374</v>
      </c>
      <c r="C3" s="8">
        <f t="shared" ref="C3:N3" si="1">SUM(C4)</f>
        <v>386424</v>
      </c>
      <c r="D3" s="8">
        <f t="shared" si="1"/>
        <v>301375</v>
      </c>
      <c r="E3" s="8">
        <f t="shared" si="1"/>
        <v>239575</v>
      </c>
      <c r="F3" s="8">
        <f t="shared" si="1"/>
        <v>0</v>
      </c>
      <c r="G3" s="8">
        <f t="shared" si="1"/>
        <v>0</v>
      </c>
      <c r="H3" s="8">
        <f t="shared" si="1"/>
        <v>0</v>
      </c>
      <c r="I3" s="8">
        <f t="shared" si="1"/>
        <v>0</v>
      </c>
      <c r="J3" s="8">
        <f t="shared" si="1"/>
        <v>0</v>
      </c>
      <c r="K3" s="8">
        <f t="shared" si="1"/>
        <v>0</v>
      </c>
      <c r="L3" s="8">
        <f t="shared" si="1"/>
        <v>0</v>
      </c>
      <c r="M3" s="8">
        <f t="shared" si="1"/>
        <v>0</v>
      </c>
      <c r="N3" s="8">
        <f t="shared" si="1"/>
        <v>0</v>
      </c>
    </row>
    <row r="4" outlineLevel="1">
      <c r="A4" s="6" t="s">
        <v>4</v>
      </c>
      <c r="B4" s="7">
        <f t="shared" si="2"/>
        <v>927374</v>
      </c>
      <c r="C4" s="10">
        <f>SUMIFS(Datalist!$D:$D, Datalist!$C:$C, "&gt;="&amp;DATE(2026,1,1), Datalist!$C:$C, "&lt;"&amp;DATE(2026,2,1))</f>
        <v>386424</v>
      </c>
      <c r="D4" s="10">
        <f>SUMIFS(Datalist!$D:$D, Datalist!$C:$C, "&gt;="&amp;DATE(2026,2,1), Datalist!$C:$C, "&lt;"&amp;DATE(2026,3,1))</f>
        <v>301375</v>
      </c>
      <c r="E4" s="10">
        <f>SUMIFS(Datalist!$D:$D, Datalist!$C:$C, "&gt;="&amp;DATE(2026,3,1), Datalist!$C:$C, "&lt;"&amp;DATE(2026,4,1))</f>
        <v>239575</v>
      </c>
      <c r="F4" s="10">
        <f>SUMIFS(Datalist!$D:$D, Datalist!$C:$C, "&gt;="&amp;DATE(2026,5,1), Datalist!$C:$C, "&lt;"&amp;DATE(2026,6,1))</f>
        <v>0</v>
      </c>
      <c r="G4" s="10">
        <f>SUMIFS(Datalist!$D:$D, Datalist!$C:$C, "&gt;="&amp;DATE(2026,5,1), Datalist!$C:$C, "&lt;"&amp;DATE(2026,6,1))</f>
        <v>0</v>
      </c>
      <c r="H4" s="10">
        <f>SUMIFS(Datalist!$D:$D, Datalist!$C:$C, "&gt;="&amp;DATE(2026,6,1), Datalist!$C:$C, "&lt;"&amp;DATE(2026,7,1))</f>
        <v>0</v>
      </c>
      <c r="I4" s="10">
        <f>SUMIFS(Datalist!$D:$D, Datalist!$C:$C, "&gt;="&amp;DATE(2026,7,1), Datalist!$C:$C, "&lt;"&amp;DATE(2026,8,1))</f>
        <v>0</v>
      </c>
      <c r="J4" s="10">
        <f>SUMIFS(Datalist!$D:$D, Datalist!$C:$C, "&gt;="&amp;DATE(2026,8,1), Datalist!$C:$C, "&lt;"&amp;DATE(2026,9,1))</f>
        <v>0</v>
      </c>
      <c r="K4" s="10">
        <f>SUMIFS(Datalist!$D:$D, Datalist!$C:$C, "&gt;="&amp;DATE(2026,9,1), Datalist!$C:$C, "&lt;"&amp;DATE(2026,10,1))</f>
        <v>0</v>
      </c>
      <c r="L4" s="10">
        <f>SUMIFS(Datalist!$D:$D, Datalist!$C:$C, "&gt;="&amp;DATE(2026,10,1), Datalist!$C:$C, "&lt;"&amp;DATE(2026,11,1))</f>
        <v>0</v>
      </c>
      <c r="M4" s="10">
        <f>SUMIFS(Datalist!$D:$D, Datalist!$C:$C, "&gt;="&amp;DATE(2026,11,1), Datalist!$C:$C, "&lt;"&amp;DATE(2026,12,1))</f>
        <v>0</v>
      </c>
      <c r="N4" s="10">
        <f>SUMIFS(Datalist!$D:$D, Datalist!$C:$C, "&gt;="&amp;DATE(2026,12,1), Datalist!$C:$C, "&lt;"&amp;DATE(2027,1,1))</f>
        <v>0</v>
      </c>
    </row>
    <row r="5" outlineLevel="1"/>
    <row r="6" outlineLevel="1">
      <c r="B6" s="7"/>
      <c r="C6" s="8"/>
      <c r="D6" s="7"/>
      <c r="E6" s="7"/>
      <c r="F6" s="8"/>
      <c r="G6" s="8"/>
      <c r="H6" s="7"/>
      <c r="I6" s="7"/>
      <c r="K6" s="7"/>
      <c r="L6" s="7"/>
      <c r="M6" s="7"/>
      <c r="N6" s="7"/>
    </row>
    <row r="7">
      <c r="A7" s="11" t="s">
        <v>5</v>
      </c>
      <c r="B7" s="12">
        <f>sum(C7:N7)</f>
        <v>927374</v>
      </c>
      <c r="C7" s="13">
        <f t="shared" ref="C7:I7" si="3">SUM(C4:C6)</f>
        <v>386424</v>
      </c>
      <c r="D7" s="13">
        <f t="shared" si="3"/>
        <v>301375</v>
      </c>
      <c r="E7" s="13">
        <f t="shared" si="3"/>
        <v>239575</v>
      </c>
      <c r="F7" s="13">
        <f t="shared" si="3"/>
        <v>0</v>
      </c>
      <c r="G7" s="13">
        <f t="shared" si="3"/>
        <v>0</v>
      </c>
      <c r="H7" s="13">
        <f t="shared" si="3"/>
        <v>0</v>
      </c>
      <c r="I7" s="13">
        <f t="shared" si="3"/>
        <v>0</v>
      </c>
      <c r="J7" s="13">
        <f t="shared" ref="J7:N7" si="4">SUM(J4)</f>
        <v>0</v>
      </c>
      <c r="K7" s="13">
        <f t="shared" si="4"/>
        <v>0</v>
      </c>
      <c r="L7" s="13">
        <f t="shared" si="4"/>
        <v>0</v>
      </c>
      <c r="M7" s="13">
        <f t="shared" si="4"/>
        <v>0</v>
      </c>
      <c r="N7" s="13">
        <f t="shared" si="4"/>
        <v>0</v>
      </c>
    </row>
    <row r="8">
      <c r="A8" s="4" t="s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collapsed="1">
      <c r="A9" s="6" t="s">
        <v>7</v>
      </c>
      <c r="B9" s="7">
        <f>sum(C9:N9)</f>
        <v>0</v>
      </c>
      <c r="C9" s="8">
        <v>0.0</v>
      </c>
      <c r="D9" s="8">
        <v>0.0</v>
      </c>
      <c r="E9" s="8">
        <v>0.0</v>
      </c>
      <c r="F9" s="8">
        <v>0.0</v>
      </c>
      <c r="G9" s="8">
        <v>0.0</v>
      </c>
      <c r="H9" s="8">
        <v>0.0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0.0</v>
      </c>
    </row>
    <row r="10" hidden="1" outlineLevel="1">
      <c r="A10" s="6" t="s">
        <v>8</v>
      </c>
      <c r="B10" s="7"/>
      <c r="C10" s="8">
        <v>0.0</v>
      </c>
      <c r="D10" s="8">
        <v>0.0</v>
      </c>
      <c r="E10" s="8">
        <v>0.0</v>
      </c>
      <c r="F10" s="8">
        <v>0.0</v>
      </c>
      <c r="G10" s="8">
        <v>0.0</v>
      </c>
      <c r="H10" s="8">
        <v>0.0</v>
      </c>
      <c r="I10" s="8">
        <v>0.0</v>
      </c>
      <c r="J10" s="8">
        <v>0.0</v>
      </c>
      <c r="K10" s="8">
        <v>0.0</v>
      </c>
      <c r="L10" s="8">
        <v>0.0</v>
      </c>
      <c r="M10" s="8">
        <v>0.0</v>
      </c>
      <c r="N10" s="8">
        <v>0.0</v>
      </c>
    </row>
    <row r="11" hidden="1" outlineLevel="1">
      <c r="A11" s="6" t="s">
        <v>9</v>
      </c>
      <c r="B11" s="7"/>
      <c r="C11" s="8">
        <v>0.0</v>
      </c>
      <c r="D11" s="8">
        <v>0.0</v>
      </c>
      <c r="E11" s="8">
        <v>0.0</v>
      </c>
      <c r="F11" s="8">
        <v>0.0</v>
      </c>
      <c r="G11" s="8">
        <v>0.0</v>
      </c>
      <c r="H11" s="8">
        <v>0.0</v>
      </c>
      <c r="I11" s="8">
        <v>0.0</v>
      </c>
      <c r="J11" s="8">
        <v>0.0</v>
      </c>
      <c r="K11" s="8">
        <v>0.0</v>
      </c>
      <c r="L11" s="8">
        <v>0.0</v>
      </c>
      <c r="M11" s="8">
        <v>0.0</v>
      </c>
      <c r="N11" s="8">
        <v>0.0</v>
      </c>
    </row>
    <row r="12" hidden="1" outlineLevel="1">
      <c r="A12" s="6" t="s">
        <v>10</v>
      </c>
      <c r="B12" s="7"/>
      <c r="C12" s="8">
        <v>0.0</v>
      </c>
      <c r="D12" s="8">
        <v>0.0</v>
      </c>
      <c r="E12" s="8">
        <v>0.0</v>
      </c>
      <c r="F12" s="8">
        <v>0.0</v>
      </c>
      <c r="G12" s="8">
        <v>0.0</v>
      </c>
      <c r="H12" s="8">
        <v>0.0</v>
      </c>
      <c r="I12" s="8">
        <v>0.0</v>
      </c>
      <c r="J12" s="8">
        <v>0.0</v>
      </c>
      <c r="K12" s="8">
        <v>0.0</v>
      </c>
      <c r="L12" s="8">
        <v>0.0</v>
      </c>
      <c r="M12" s="8">
        <v>0.0</v>
      </c>
      <c r="N12" s="8">
        <v>0.0</v>
      </c>
    </row>
    <row r="13" hidden="1" outlineLevel="1">
      <c r="A13" s="6" t="s">
        <v>11</v>
      </c>
      <c r="B13" s="7"/>
      <c r="C13" s="8">
        <v>0.0</v>
      </c>
      <c r="D13" s="8">
        <v>0.0</v>
      </c>
      <c r="E13" s="8">
        <v>0.0</v>
      </c>
      <c r="F13" s="8">
        <v>0.0</v>
      </c>
      <c r="G13" s="8">
        <v>0.0</v>
      </c>
      <c r="H13" s="8">
        <v>0.0</v>
      </c>
      <c r="I13" s="8">
        <v>0.0</v>
      </c>
      <c r="J13" s="8">
        <v>0.0</v>
      </c>
      <c r="K13" s="8">
        <v>0.0</v>
      </c>
      <c r="L13" s="8">
        <v>0.0</v>
      </c>
      <c r="M13" s="8">
        <v>0.0</v>
      </c>
      <c r="N13" s="8">
        <v>0.0</v>
      </c>
    </row>
    <row r="14" collapsed="1">
      <c r="A14" s="6" t="s">
        <v>12</v>
      </c>
      <c r="B14" s="7">
        <f>sum(C14:N14)</f>
        <v>0</v>
      </c>
      <c r="C14" s="8">
        <v>0.0</v>
      </c>
      <c r="D14" s="8">
        <v>0.0</v>
      </c>
      <c r="E14" s="8">
        <v>0.0</v>
      </c>
      <c r="F14" s="8">
        <v>0.0</v>
      </c>
      <c r="G14" s="8">
        <v>0.0</v>
      </c>
      <c r="H14" s="8">
        <v>0.0</v>
      </c>
      <c r="I14" s="8">
        <v>0.0</v>
      </c>
      <c r="J14" s="8">
        <v>0.0</v>
      </c>
      <c r="K14" s="8">
        <v>0.0</v>
      </c>
      <c r="L14" s="8">
        <v>0.0</v>
      </c>
      <c r="M14" s="8">
        <v>0.0</v>
      </c>
      <c r="N14" s="8">
        <v>0.0</v>
      </c>
    </row>
    <row r="15" hidden="1" outlineLevel="1">
      <c r="A15" s="6" t="s">
        <v>13</v>
      </c>
      <c r="B15" s="7"/>
      <c r="C15" s="8">
        <v>0.0</v>
      </c>
      <c r="D15" s="8">
        <v>0.0</v>
      </c>
      <c r="E15" s="8">
        <v>0.0</v>
      </c>
      <c r="F15" s="8">
        <v>0.0</v>
      </c>
      <c r="G15" s="8">
        <v>0.0</v>
      </c>
      <c r="H15" s="8">
        <v>0.0</v>
      </c>
      <c r="I15" s="8">
        <v>0.0</v>
      </c>
      <c r="J15" s="8">
        <v>0.0</v>
      </c>
      <c r="K15" s="8">
        <v>0.0</v>
      </c>
      <c r="L15" s="8">
        <v>0.0</v>
      </c>
      <c r="M15" s="8">
        <v>0.0</v>
      </c>
      <c r="N15" s="8">
        <v>0.0</v>
      </c>
    </row>
    <row r="16" hidden="1" outlineLevel="1">
      <c r="A16" s="6" t="s">
        <v>14</v>
      </c>
      <c r="B16" s="7">
        <f t="shared" ref="B16:B24" si="5">sum(C16:N16)</f>
        <v>0</v>
      </c>
      <c r="C16" s="8">
        <v>0.0</v>
      </c>
      <c r="D16" s="8">
        <v>0.0</v>
      </c>
      <c r="E16" s="8">
        <v>0.0</v>
      </c>
      <c r="F16" s="8">
        <v>0.0</v>
      </c>
      <c r="G16" s="8">
        <v>0.0</v>
      </c>
      <c r="H16" s="8">
        <v>0.0</v>
      </c>
      <c r="I16" s="8">
        <v>0.0</v>
      </c>
      <c r="J16" s="8">
        <v>0.0</v>
      </c>
      <c r="K16" s="8">
        <v>0.0</v>
      </c>
      <c r="L16" s="8">
        <v>0.0</v>
      </c>
      <c r="M16" s="8">
        <v>0.0</v>
      </c>
      <c r="N16" s="8">
        <v>0.0</v>
      </c>
    </row>
    <row r="17" collapsed="1">
      <c r="A17" s="6" t="s">
        <v>15</v>
      </c>
      <c r="B17" s="7">
        <f t="shared" si="5"/>
        <v>27010.8932</v>
      </c>
      <c r="C17" s="8">
        <f t="shared" ref="C17:N17" si="6">C7-(C7/1.03)</f>
        <v>11255.06796</v>
      </c>
      <c r="D17" s="8">
        <f t="shared" si="6"/>
        <v>8777.912621</v>
      </c>
      <c r="E17" s="8">
        <f t="shared" si="6"/>
        <v>6977.912621</v>
      </c>
      <c r="F17" s="8">
        <f t="shared" si="6"/>
        <v>0</v>
      </c>
      <c r="G17" s="8">
        <f t="shared" si="6"/>
        <v>0</v>
      </c>
      <c r="H17" s="8">
        <f t="shared" si="6"/>
        <v>0</v>
      </c>
      <c r="I17" s="8">
        <f t="shared" si="6"/>
        <v>0</v>
      </c>
      <c r="J17" s="8">
        <f t="shared" si="6"/>
        <v>0</v>
      </c>
      <c r="K17" s="8">
        <f t="shared" si="6"/>
        <v>0</v>
      </c>
      <c r="L17" s="8">
        <f t="shared" si="6"/>
        <v>0</v>
      </c>
      <c r="M17" s="8">
        <f t="shared" si="6"/>
        <v>0</v>
      </c>
      <c r="N17" s="8">
        <f t="shared" si="6"/>
        <v>0</v>
      </c>
    </row>
    <row r="18" hidden="1" outlineLevel="1">
      <c r="B18" s="7">
        <f t="shared" si="5"/>
        <v>0</v>
      </c>
      <c r="C18" s="8">
        <v>0.0</v>
      </c>
      <c r="D18" s="8">
        <v>0.0</v>
      </c>
      <c r="E18" s="8">
        <v>0.0</v>
      </c>
      <c r="F18" s="8">
        <v>0.0</v>
      </c>
      <c r="G18" s="8">
        <v>0.0</v>
      </c>
      <c r="H18" s="8">
        <v>0.0</v>
      </c>
      <c r="I18" s="8">
        <v>0.0</v>
      </c>
      <c r="J18" s="8">
        <v>0.0</v>
      </c>
      <c r="K18" s="8">
        <v>0.0</v>
      </c>
      <c r="L18" s="8">
        <v>0.0</v>
      </c>
      <c r="M18" s="8">
        <v>0.0</v>
      </c>
      <c r="N18" s="8">
        <v>0.0</v>
      </c>
    </row>
    <row r="19" hidden="1" outlineLevel="1">
      <c r="B19" s="7">
        <f t="shared" si="5"/>
        <v>0</v>
      </c>
      <c r="C19" s="8">
        <v>0.0</v>
      </c>
      <c r="D19" s="8">
        <v>0.0</v>
      </c>
      <c r="E19" s="8">
        <v>0.0</v>
      </c>
      <c r="F19" s="8">
        <v>0.0</v>
      </c>
      <c r="G19" s="8">
        <v>0.0</v>
      </c>
      <c r="H19" s="8">
        <v>0.0</v>
      </c>
      <c r="I19" s="8">
        <v>0.0</v>
      </c>
      <c r="J19" s="8">
        <v>0.0</v>
      </c>
      <c r="K19" s="8">
        <v>0.0</v>
      </c>
      <c r="L19" s="8">
        <v>0.0</v>
      </c>
      <c r="M19" s="8">
        <v>0.0</v>
      </c>
      <c r="N19" s="8">
        <v>0.0</v>
      </c>
    </row>
    <row r="20" hidden="1" outlineLevel="1">
      <c r="B20" s="7">
        <f t="shared" si="5"/>
        <v>0</v>
      </c>
      <c r="C20" s="8">
        <v>0.0</v>
      </c>
      <c r="D20" s="8">
        <v>0.0</v>
      </c>
      <c r="E20" s="8">
        <v>0.0</v>
      </c>
      <c r="F20" s="8">
        <v>0.0</v>
      </c>
      <c r="G20" s="8">
        <v>0.0</v>
      </c>
      <c r="H20" s="8">
        <v>0.0</v>
      </c>
      <c r="I20" s="8">
        <v>0.0</v>
      </c>
      <c r="J20" s="8">
        <v>0.0</v>
      </c>
      <c r="K20" s="8">
        <v>0.0</v>
      </c>
      <c r="L20" s="8">
        <v>0.0</v>
      </c>
      <c r="M20" s="8">
        <v>0.0</v>
      </c>
      <c r="N20" s="8">
        <v>0.0</v>
      </c>
    </row>
    <row r="21">
      <c r="A21" s="6" t="s">
        <v>16</v>
      </c>
      <c r="B21" s="7">
        <f t="shared" si="5"/>
        <v>0</v>
      </c>
      <c r="C21" s="8">
        <v>0.0</v>
      </c>
      <c r="D21" s="8">
        <v>0.0</v>
      </c>
      <c r="E21" s="8">
        <v>0.0</v>
      </c>
      <c r="F21" s="8">
        <v>0.0</v>
      </c>
      <c r="G21" s="8">
        <v>0.0</v>
      </c>
      <c r="H21" s="8">
        <v>0.0</v>
      </c>
      <c r="I21" s="8">
        <v>0.0</v>
      </c>
      <c r="J21" s="8">
        <v>0.0</v>
      </c>
      <c r="K21" s="8">
        <v>0.0</v>
      </c>
      <c r="L21" s="8">
        <v>0.0</v>
      </c>
      <c r="M21" s="8">
        <v>0.0</v>
      </c>
      <c r="N21" s="8">
        <v>0.0</v>
      </c>
    </row>
    <row r="22">
      <c r="A22" s="6" t="s">
        <v>17</v>
      </c>
      <c r="B22" s="7">
        <f t="shared" si="5"/>
        <v>0</v>
      </c>
      <c r="C22" s="8">
        <v>0.0</v>
      </c>
      <c r="D22" s="8">
        <v>0.0</v>
      </c>
      <c r="E22" s="8">
        <v>0.0</v>
      </c>
      <c r="F22" s="8">
        <v>0.0</v>
      </c>
      <c r="G22" s="8">
        <v>0.0</v>
      </c>
      <c r="H22" s="8">
        <v>0.0</v>
      </c>
      <c r="I22" s="8">
        <v>0.0</v>
      </c>
      <c r="J22" s="8">
        <v>0.0</v>
      </c>
      <c r="K22" s="8">
        <v>0.0</v>
      </c>
      <c r="L22" s="8">
        <v>0.0</v>
      </c>
      <c r="M22" s="8">
        <v>0.0</v>
      </c>
      <c r="N22" s="8">
        <v>0.0</v>
      </c>
    </row>
    <row r="23">
      <c r="A23" s="6" t="s">
        <v>18</v>
      </c>
      <c r="B23" s="7">
        <f t="shared" si="5"/>
        <v>0</v>
      </c>
      <c r="C23" s="8">
        <v>0.0</v>
      </c>
      <c r="D23" s="8">
        <v>0.0</v>
      </c>
      <c r="E23" s="8">
        <v>0.0</v>
      </c>
      <c r="F23" s="8">
        <v>0.0</v>
      </c>
      <c r="G23" s="8">
        <v>0.0</v>
      </c>
      <c r="H23" s="8">
        <v>0.0</v>
      </c>
      <c r="I23" s="8">
        <v>0.0</v>
      </c>
      <c r="J23" s="8">
        <v>0.0</v>
      </c>
      <c r="K23" s="8">
        <v>0.0</v>
      </c>
      <c r="L23" s="8">
        <v>0.0</v>
      </c>
      <c r="M23" s="8">
        <v>0.0</v>
      </c>
      <c r="N23" s="8">
        <v>0.0</v>
      </c>
    </row>
    <row r="24">
      <c r="A24" s="14" t="s">
        <v>19</v>
      </c>
      <c r="B24" s="15">
        <f t="shared" si="5"/>
        <v>27010.8932</v>
      </c>
      <c r="C24" s="15">
        <f t="shared" ref="C24:D24" si="7">C9+C14+C17</f>
        <v>11255.06796</v>
      </c>
      <c r="D24" s="15">
        <f t="shared" si="7"/>
        <v>8777.912621</v>
      </c>
      <c r="E24" s="15">
        <f t="shared" ref="E24:J24" si="8">E9+E14+E17+E21+E22</f>
        <v>6977.912621</v>
      </c>
      <c r="F24" s="15">
        <f t="shared" si="8"/>
        <v>0</v>
      </c>
      <c r="G24" s="15">
        <f t="shared" si="8"/>
        <v>0</v>
      </c>
      <c r="H24" s="15">
        <f t="shared" si="8"/>
        <v>0</v>
      </c>
      <c r="I24" s="15">
        <f t="shared" si="8"/>
        <v>0</v>
      </c>
      <c r="J24" s="15">
        <f t="shared" si="8"/>
        <v>0</v>
      </c>
      <c r="K24" s="15">
        <f t="shared" ref="K24:M24" si="9">K9+K14+K21+K22+K23</f>
        <v>0</v>
      </c>
      <c r="L24" s="15">
        <f t="shared" si="9"/>
        <v>0</v>
      </c>
      <c r="M24" s="15">
        <f t="shared" si="9"/>
        <v>0</v>
      </c>
      <c r="N24" s="15">
        <f>N9+N14+N17+N21+N22</f>
        <v>0</v>
      </c>
    </row>
    <row r="25">
      <c r="A25" s="1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>
      <c r="A26" s="16" t="s">
        <v>20</v>
      </c>
      <c r="B26" s="7">
        <f t="shared" ref="B26:B27" si="13">sum(C26:N26)</f>
        <v>900363.1068</v>
      </c>
      <c r="C26" s="7">
        <f t="shared" ref="C26:D26" si="10">C3-C24</f>
        <v>375168.932</v>
      </c>
      <c r="D26" s="7">
        <f t="shared" si="10"/>
        <v>292597.0874</v>
      </c>
      <c r="E26" s="7">
        <f t="shared" ref="E26:J26" si="11">E4-E24</f>
        <v>232597.0874</v>
      </c>
      <c r="F26" s="7">
        <f t="shared" si="11"/>
        <v>0</v>
      </c>
      <c r="G26" s="7">
        <f t="shared" si="11"/>
        <v>0</v>
      </c>
      <c r="H26" s="7">
        <f t="shared" si="11"/>
        <v>0</v>
      </c>
      <c r="I26" s="7">
        <f t="shared" si="11"/>
        <v>0</v>
      </c>
      <c r="J26" s="7">
        <f t="shared" si="11"/>
        <v>0</v>
      </c>
      <c r="K26" s="7">
        <f t="shared" ref="K26:M26" si="12">K5-K24</f>
        <v>0</v>
      </c>
      <c r="L26" s="7">
        <f t="shared" si="12"/>
        <v>0</v>
      </c>
      <c r="M26" s="7">
        <f t="shared" si="12"/>
        <v>0</v>
      </c>
      <c r="N26" s="7">
        <f>N4-N24</f>
        <v>0</v>
      </c>
    </row>
    <row r="27">
      <c r="A27" s="16" t="s">
        <v>21</v>
      </c>
      <c r="B27" s="7">
        <f t="shared" si="13"/>
        <v>900363.1068</v>
      </c>
      <c r="C27" s="7">
        <f t="shared" ref="C27:D27" si="14">C3-C24</f>
        <v>375168.932</v>
      </c>
      <c r="D27" s="7">
        <f t="shared" si="14"/>
        <v>292597.0874</v>
      </c>
      <c r="E27" s="7">
        <f t="shared" ref="E27:J27" si="15">E4-E24</f>
        <v>232597.0874</v>
      </c>
      <c r="F27" s="7">
        <f t="shared" si="15"/>
        <v>0</v>
      </c>
      <c r="G27" s="7">
        <f t="shared" si="15"/>
        <v>0</v>
      </c>
      <c r="H27" s="7">
        <f t="shared" si="15"/>
        <v>0</v>
      </c>
      <c r="I27" s="7">
        <f t="shared" si="15"/>
        <v>0</v>
      </c>
      <c r="J27" s="7">
        <f t="shared" si="15"/>
        <v>0</v>
      </c>
      <c r="K27" s="7">
        <f t="shared" ref="K27:M27" si="16">K5-K24</f>
        <v>0</v>
      </c>
      <c r="L27" s="7">
        <f t="shared" si="16"/>
        <v>0</v>
      </c>
      <c r="M27" s="7">
        <f t="shared" si="16"/>
        <v>0</v>
      </c>
      <c r="N27" s="7">
        <f>N4-N24</f>
        <v>0</v>
      </c>
    </row>
    <row r="28">
      <c r="A28" s="16"/>
      <c r="B28" s="7"/>
      <c r="C28" s="7"/>
      <c r="D28" s="7"/>
      <c r="E28" s="7"/>
      <c r="F28" s="8"/>
      <c r="G28" s="7"/>
      <c r="H28" s="7"/>
      <c r="I28" s="7"/>
      <c r="J28" s="8"/>
      <c r="K28" s="7"/>
      <c r="L28" s="7"/>
      <c r="M28" s="7"/>
      <c r="N28" s="7"/>
    </row>
    <row r="29">
      <c r="A29" s="16"/>
      <c r="B29" s="17">
        <f t="shared" ref="B29:N29" si="17">(B4-B24)/B4*100</f>
        <v>97.08737864</v>
      </c>
      <c r="C29" s="17">
        <f t="shared" si="17"/>
        <v>97.08737864</v>
      </c>
      <c r="D29" s="17">
        <f t="shared" si="17"/>
        <v>97.08737864</v>
      </c>
      <c r="E29" s="17">
        <f t="shared" si="17"/>
        <v>97.08737864</v>
      </c>
      <c r="F29" s="17" t="str">
        <f t="shared" si="17"/>
        <v>#DIV/0!</v>
      </c>
      <c r="G29" s="17" t="str">
        <f t="shared" si="17"/>
        <v>#DIV/0!</v>
      </c>
      <c r="H29" s="17" t="str">
        <f t="shared" si="17"/>
        <v>#DIV/0!</v>
      </c>
      <c r="I29" s="17" t="str">
        <f t="shared" si="17"/>
        <v>#DIV/0!</v>
      </c>
      <c r="J29" s="17" t="str">
        <f t="shared" si="17"/>
        <v>#DIV/0!</v>
      </c>
      <c r="K29" s="17" t="str">
        <f t="shared" si="17"/>
        <v>#DIV/0!</v>
      </c>
      <c r="L29" s="17" t="str">
        <f t="shared" si="17"/>
        <v>#DIV/0!</v>
      </c>
      <c r="M29" s="17" t="str">
        <f t="shared" si="17"/>
        <v>#DIV/0!</v>
      </c>
      <c r="N29" s="17" t="str">
        <f t="shared" si="17"/>
        <v>#DIV/0!</v>
      </c>
    </row>
    <row r="30">
      <c r="A30" s="18" t="s">
        <v>22</v>
      </c>
      <c r="B30" s="19">
        <f t="shared" ref="B30:E30" si="18">(B26)*0.3</f>
        <v>270108.932</v>
      </c>
      <c r="C30" s="19">
        <f t="shared" si="18"/>
        <v>112550.6796</v>
      </c>
      <c r="D30" s="19">
        <f t="shared" si="18"/>
        <v>87779.12621</v>
      </c>
      <c r="E30" s="19">
        <f t="shared" si="18"/>
        <v>69779.12621</v>
      </c>
      <c r="F30" s="19" t="str">
        <f>(F26)*0.3 +F28 + F29</f>
        <v>#DIV/0!</v>
      </c>
      <c r="G30" s="19">
        <f>(G27)*0.3</f>
        <v>0</v>
      </c>
      <c r="H30" s="19">
        <f t="shared" ref="H30:N30" si="19">(H26)*0.3</f>
        <v>0</v>
      </c>
      <c r="I30" s="19">
        <f t="shared" si="19"/>
        <v>0</v>
      </c>
      <c r="J30" s="19">
        <f t="shared" si="19"/>
        <v>0</v>
      </c>
      <c r="K30" s="19">
        <f t="shared" si="19"/>
        <v>0</v>
      </c>
      <c r="L30" s="19">
        <f t="shared" si="19"/>
        <v>0</v>
      </c>
      <c r="M30" s="19">
        <f t="shared" si="19"/>
        <v>0</v>
      </c>
      <c r="N30" s="19">
        <f t="shared" si="19"/>
        <v>0</v>
      </c>
    </row>
    <row r="31">
      <c r="A31" s="14" t="s">
        <v>23</v>
      </c>
      <c r="B31" s="19">
        <f t="shared" ref="B31:N31" si="20">(B27)*0.7</f>
        <v>630254.1748</v>
      </c>
      <c r="C31" s="19">
        <f t="shared" si="20"/>
        <v>262618.2524</v>
      </c>
      <c r="D31" s="19">
        <f t="shared" si="20"/>
        <v>204817.9612</v>
      </c>
      <c r="E31" s="19">
        <f t="shared" si="20"/>
        <v>162817.9612</v>
      </c>
      <c r="F31" s="19">
        <f t="shared" si="20"/>
        <v>0</v>
      </c>
      <c r="G31" s="19">
        <f t="shared" si="20"/>
        <v>0</v>
      </c>
      <c r="H31" s="19">
        <f t="shared" si="20"/>
        <v>0</v>
      </c>
      <c r="I31" s="19">
        <f t="shared" si="20"/>
        <v>0</v>
      </c>
      <c r="J31" s="19">
        <f t="shared" si="20"/>
        <v>0</v>
      </c>
      <c r="K31" s="19">
        <f t="shared" si="20"/>
        <v>0</v>
      </c>
      <c r="L31" s="19">
        <f t="shared" si="20"/>
        <v>0</v>
      </c>
      <c r="M31" s="19">
        <f t="shared" si="20"/>
        <v>0</v>
      </c>
      <c r="N31" s="19">
        <f t="shared" si="20"/>
        <v>0</v>
      </c>
    </row>
    <row r="32">
      <c r="A32" s="16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>
      <c r="A33" s="16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</row>
    <row r="34">
      <c r="A34" s="16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</row>
    <row r="35">
      <c r="A35" s="16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>
      <c r="A36" s="16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</row>
    <row r="37">
      <c r="A37" s="16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</row>
    <row r="38">
      <c r="A38" s="16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</row>
    <row r="39">
      <c r="A39" s="16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</row>
    <row r="40">
      <c r="A40" s="16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</row>
    <row r="41">
      <c r="A41" s="16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</row>
    <row r="42">
      <c r="A42" s="16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</row>
    <row r="43">
      <c r="A43" s="16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</row>
    <row r="44">
      <c r="A44" s="16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</row>
    <row r="45">
      <c r="A45" s="16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</row>
    <row r="46">
      <c r="A46" s="16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</row>
    <row r="47">
      <c r="A47" s="16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</row>
    <row r="48">
      <c r="A48" s="16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</row>
    <row r="49">
      <c r="A49" s="16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</row>
    <row r="50">
      <c r="A50" s="16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</row>
    <row r="51">
      <c r="A51" s="16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</row>
    <row r="52">
      <c r="A52" s="16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</row>
    <row r="53">
      <c r="A53" s="16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</row>
    <row r="54">
      <c r="A54" s="16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</row>
    <row r="55">
      <c r="A55" s="16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</row>
    <row r="56">
      <c r="A56" s="16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</row>
    <row r="57">
      <c r="A57" s="16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</row>
    <row r="58">
      <c r="A58" s="16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</row>
    <row r="59">
      <c r="A59" s="16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</row>
    <row r="60">
      <c r="A60" s="16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</row>
    <row r="61">
      <c r="A61" s="16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</row>
    <row r="62">
      <c r="A62" s="16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</row>
    <row r="63">
      <c r="A63" s="16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</row>
    <row r="64">
      <c r="A64" s="16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</row>
    <row r="65">
      <c r="A65" s="16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</row>
    <row r="66">
      <c r="A66" s="16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</row>
    <row r="67">
      <c r="A67" s="16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</row>
    <row r="68">
      <c r="A68" s="16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</row>
    <row r="69">
      <c r="A69" s="16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</row>
    <row r="70">
      <c r="A70" s="16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</row>
    <row r="71">
      <c r="A71" s="16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</row>
    <row r="72">
      <c r="A72" s="16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</row>
    <row r="73">
      <c r="A73" s="16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</row>
    <row r="74">
      <c r="A74" s="16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</row>
    <row r="75">
      <c r="A75" s="16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</row>
    <row r="76">
      <c r="A76" s="16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</row>
    <row r="77">
      <c r="A77" s="16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</row>
    <row r="78">
      <c r="A78" s="16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</row>
    <row r="79">
      <c r="A79" s="16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</row>
    <row r="80">
      <c r="A80" s="16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</row>
    <row r="81">
      <c r="A81" s="16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</row>
    <row r="82">
      <c r="A82" s="16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</row>
    <row r="83">
      <c r="A83" s="16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</row>
    <row r="84">
      <c r="A84" s="16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</row>
    <row r="85">
      <c r="A85" s="16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</row>
    <row r="86">
      <c r="A86" s="16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</row>
    <row r="87">
      <c r="A87" s="16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</row>
    <row r="88">
      <c r="A88" s="16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</row>
    <row r="89">
      <c r="A89" s="16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</row>
    <row r="90">
      <c r="A90" s="16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</row>
    <row r="91">
      <c r="A91" s="16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</row>
    <row r="92">
      <c r="A92" s="16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</row>
    <row r="93">
      <c r="A93" s="16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</row>
    <row r="94">
      <c r="A94" s="16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</row>
    <row r="95">
      <c r="A95" s="16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</row>
    <row r="96">
      <c r="A96" s="16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</row>
    <row r="97">
      <c r="A97" s="16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</row>
    <row r="98">
      <c r="A98" s="16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</row>
    <row r="99">
      <c r="A99" s="16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</row>
    <row r="100">
      <c r="A100" s="16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</row>
    <row r="101">
      <c r="A101" s="16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</row>
    <row r="102">
      <c r="A102" s="16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</row>
    <row r="103">
      <c r="A103" s="16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</row>
    <row r="104">
      <c r="A104" s="16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</row>
    <row r="105">
      <c r="A105" s="16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</row>
    <row r="106">
      <c r="A106" s="16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</row>
    <row r="107">
      <c r="A107" s="16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</row>
    <row r="108">
      <c r="A108" s="16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</row>
    <row r="109">
      <c r="A109" s="16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</row>
    <row r="110">
      <c r="A110" s="16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</row>
    <row r="111">
      <c r="A111" s="16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</row>
    <row r="112">
      <c r="A112" s="16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</row>
    <row r="113">
      <c r="A113" s="16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</row>
    <row r="114">
      <c r="A114" s="16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</row>
    <row r="115">
      <c r="A115" s="16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</row>
    <row r="116">
      <c r="A116" s="16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</row>
    <row r="117">
      <c r="A117" s="16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</row>
    <row r="118">
      <c r="A118" s="16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</row>
    <row r="119">
      <c r="A119" s="16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</row>
    <row r="120">
      <c r="A120" s="16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</row>
    <row r="121">
      <c r="A121" s="16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</row>
    <row r="122">
      <c r="A122" s="16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</row>
    <row r="123">
      <c r="A123" s="16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</row>
    <row r="124">
      <c r="A124" s="16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</row>
    <row r="125">
      <c r="A125" s="16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</row>
    <row r="126">
      <c r="A126" s="16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</row>
    <row r="127">
      <c r="A127" s="16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</row>
    <row r="128">
      <c r="A128" s="16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</row>
    <row r="129">
      <c r="A129" s="16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</row>
    <row r="130">
      <c r="A130" s="16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</row>
    <row r="131">
      <c r="A131" s="16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</row>
    <row r="132">
      <c r="A132" s="16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</row>
    <row r="133">
      <c r="A133" s="16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</row>
    <row r="134">
      <c r="A134" s="16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</row>
    <row r="135">
      <c r="A135" s="16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</row>
    <row r="136">
      <c r="A136" s="16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</row>
    <row r="137">
      <c r="A137" s="16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</row>
    <row r="138">
      <c r="A138" s="16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</row>
    <row r="139">
      <c r="A139" s="16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</row>
    <row r="140">
      <c r="A140" s="16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</row>
    <row r="141">
      <c r="A141" s="16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</row>
    <row r="142">
      <c r="A142" s="16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</row>
    <row r="143">
      <c r="A143" s="16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</row>
    <row r="144">
      <c r="A144" s="16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</row>
    <row r="145">
      <c r="A145" s="16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</row>
    <row r="146">
      <c r="A146" s="16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</row>
    <row r="147">
      <c r="A147" s="16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</row>
    <row r="148">
      <c r="A148" s="16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</row>
    <row r="149">
      <c r="A149" s="16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</row>
    <row r="150">
      <c r="A150" s="16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</row>
    <row r="151">
      <c r="A151" s="16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</row>
    <row r="152">
      <c r="A152" s="16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</row>
    <row r="153">
      <c r="A153" s="16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</row>
    <row r="154">
      <c r="A154" s="16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</row>
    <row r="155">
      <c r="A155" s="16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</row>
    <row r="156">
      <c r="A156" s="16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</row>
    <row r="157">
      <c r="A157" s="16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</row>
    <row r="158">
      <c r="A158" s="16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</row>
    <row r="159">
      <c r="A159" s="16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</row>
    <row r="160">
      <c r="A160" s="16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</row>
    <row r="161">
      <c r="A161" s="16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</row>
    <row r="162">
      <c r="A162" s="16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</row>
    <row r="163">
      <c r="A163" s="16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</row>
    <row r="164">
      <c r="A164" s="16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</row>
    <row r="165">
      <c r="A165" s="16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</row>
    <row r="166">
      <c r="A166" s="16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</row>
    <row r="167">
      <c r="A167" s="16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</row>
    <row r="168">
      <c r="A168" s="16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</row>
    <row r="169">
      <c r="A169" s="16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</row>
    <row r="170">
      <c r="A170" s="16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</row>
    <row r="171">
      <c r="A171" s="16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</row>
    <row r="172">
      <c r="A172" s="16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</row>
    <row r="173">
      <c r="A173" s="16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</row>
    <row r="174">
      <c r="A174" s="16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</row>
    <row r="175">
      <c r="A175" s="16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</row>
    <row r="176">
      <c r="A176" s="16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</row>
    <row r="177">
      <c r="A177" s="16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</row>
    <row r="178">
      <c r="A178" s="16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</row>
    <row r="179">
      <c r="A179" s="16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</row>
    <row r="180">
      <c r="A180" s="16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</row>
    <row r="181">
      <c r="A181" s="16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</row>
    <row r="182">
      <c r="A182" s="16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</row>
    <row r="183">
      <c r="A183" s="16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</row>
    <row r="184">
      <c r="A184" s="16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</row>
    <row r="185">
      <c r="A185" s="16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</row>
    <row r="186">
      <c r="A186" s="16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</row>
    <row r="187">
      <c r="A187" s="16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</row>
    <row r="188">
      <c r="A188" s="16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</row>
    <row r="189">
      <c r="A189" s="16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</row>
    <row r="190">
      <c r="A190" s="16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</row>
    <row r="191">
      <c r="A191" s="16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</row>
    <row r="192">
      <c r="A192" s="16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</row>
    <row r="193">
      <c r="A193" s="16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</row>
    <row r="194">
      <c r="A194" s="16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</row>
    <row r="195">
      <c r="A195" s="16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</row>
    <row r="196">
      <c r="A196" s="16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</row>
    <row r="197">
      <c r="A197" s="16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</row>
    <row r="198">
      <c r="A198" s="16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</row>
    <row r="199">
      <c r="A199" s="16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</row>
    <row r="200">
      <c r="A200" s="16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</row>
    <row r="201">
      <c r="A201" s="16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</row>
    <row r="202">
      <c r="A202" s="16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</row>
    <row r="203">
      <c r="A203" s="16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</row>
    <row r="204">
      <c r="A204" s="16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</row>
    <row r="205">
      <c r="A205" s="16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</row>
    <row r="206">
      <c r="A206" s="16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</row>
    <row r="207">
      <c r="A207" s="16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</row>
    <row r="208">
      <c r="A208" s="16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</row>
    <row r="209">
      <c r="A209" s="16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</row>
    <row r="210">
      <c r="A210" s="16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</row>
    <row r="211">
      <c r="A211" s="16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</row>
    <row r="212">
      <c r="A212" s="16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</row>
    <row r="213">
      <c r="A213" s="16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</row>
    <row r="214">
      <c r="A214" s="16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</row>
    <row r="215">
      <c r="A215" s="16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</row>
    <row r="216">
      <c r="A216" s="16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</row>
    <row r="217">
      <c r="A217" s="16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</row>
    <row r="218">
      <c r="A218" s="16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</row>
    <row r="219">
      <c r="A219" s="16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</row>
    <row r="220">
      <c r="A220" s="16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</row>
    <row r="221">
      <c r="A221" s="16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</row>
    <row r="222">
      <c r="A222" s="16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</row>
    <row r="223">
      <c r="A223" s="16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</row>
    <row r="224">
      <c r="A224" s="16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</row>
    <row r="225">
      <c r="A225" s="16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</row>
    <row r="226">
      <c r="A226" s="16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</row>
    <row r="227">
      <c r="A227" s="16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</row>
    <row r="228">
      <c r="A228" s="16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</row>
    <row r="229">
      <c r="A229" s="16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</row>
    <row r="230">
      <c r="A230" s="16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</row>
    <row r="231">
      <c r="A231" s="16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</row>
    <row r="232">
      <c r="A232" s="16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</row>
    <row r="233">
      <c r="A233" s="16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</row>
    <row r="234">
      <c r="A234" s="16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</row>
    <row r="235">
      <c r="A235" s="16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</row>
    <row r="236">
      <c r="A236" s="16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</row>
    <row r="237">
      <c r="A237" s="16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</row>
    <row r="238">
      <c r="A238" s="16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</row>
    <row r="239">
      <c r="A239" s="16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</row>
    <row r="240">
      <c r="A240" s="16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</row>
    <row r="241">
      <c r="A241" s="16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</row>
    <row r="242">
      <c r="A242" s="16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</row>
    <row r="243">
      <c r="A243" s="16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</row>
    <row r="244">
      <c r="A244" s="16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</row>
    <row r="245">
      <c r="A245" s="16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</row>
    <row r="246">
      <c r="A246" s="16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</row>
    <row r="247">
      <c r="A247" s="16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</row>
    <row r="248">
      <c r="A248" s="16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</row>
    <row r="249">
      <c r="A249" s="16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</row>
    <row r="250">
      <c r="A250" s="16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</row>
    <row r="251">
      <c r="A251" s="16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</row>
    <row r="252">
      <c r="A252" s="16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</row>
    <row r="253">
      <c r="A253" s="16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</row>
    <row r="254">
      <c r="A254" s="16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</row>
    <row r="255">
      <c r="A255" s="16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</row>
    <row r="256">
      <c r="A256" s="16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</row>
    <row r="257">
      <c r="A257" s="16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</row>
    <row r="258">
      <c r="A258" s="16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</row>
    <row r="259">
      <c r="A259" s="16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</row>
    <row r="260">
      <c r="A260" s="16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</row>
    <row r="261">
      <c r="A261" s="16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</row>
    <row r="262">
      <c r="A262" s="16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</row>
    <row r="263">
      <c r="A263" s="16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</row>
    <row r="264">
      <c r="A264" s="16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</row>
    <row r="265">
      <c r="A265" s="16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</row>
    <row r="266">
      <c r="A266" s="16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</row>
    <row r="267">
      <c r="A267" s="16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</row>
    <row r="268">
      <c r="A268" s="16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</row>
    <row r="269">
      <c r="A269" s="16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</row>
    <row r="270">
      <c r="A270" s="16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</row>
    <row r="271">
      <c r="A271" s="16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</row>
    <row r="272">
      <c r="A272" s="16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</row>
    <row r="273">
      <c r="A273" s="16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</row>
    <row r="274">
      <c r="A274" s="16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</row>
    <row r="275">
      <c r="A275" s="16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</row>
    <row r="276">
      <c r="A276" s="16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</row>
    <row r="277">
      <c r="A277" s="16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</row>
    <row r="278">
      <c r="A278" s="16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</row>
    <row r="279">
      <c r="A279" s="16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</row>
    <row r="280">
      <c r="A280" s="16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</row>
    <row r="281">
      <c r="A281" s="16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</row>
    <row r="282">
      <c r="A282" s="16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</row>
    <row r="283">
      <c r="A283" s="16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</row>
    <row r="284">
      <c r="A284" s="16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</row>
    <row r="285">
      <c r="A285" s="16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</row>
    <row r="286">
      <c r="A286" s="16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</row>
    <row r="287">
      <c r="A287" s="16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</row>
    <row r="288">
      <c r="A288" s="16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</row>
    <row r="289">
      <c r="A289" s="16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</row>
    <row r="290">
      <c r="A290" s="16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</row>
    <row r="291">
      <c r="A291" s="16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</row>
    <row r="292">
      <c r="A292" s="16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</row>
    <row r="293">
      <c r="A293" s="16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</row>
    <row r="294">
      <c r="A294" s="16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</row>
    <row r="295">
      <c r="A295" s="16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</row>
    <row r="296">
      <c r="A296" s="16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</row>
    <row r="297">
      <c r="A297" s="16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</row>
    <row r="298">
      <c r="A298" s="16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</row>
    <row r="299">
      <c r="A299" s="16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</row>
    <row r="300">
      <c r="A300" s="16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</row>
    <row r="301">
      <c r="A301" s="16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</row>
    <row r="302">
      <c r="A302" s="16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</row>
    <row r="303">
      <c r="A303" s="16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</row>
    <row r="304">
      <c r="A304" s="16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</row>
    <row r="305">
      <c r="A305" s="16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</row>
    <row r="306">
      <c r="A306" s="16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</row>
    <row r="307">
      <c r="A307" s="16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</row>
    <row r="308">
      <c r="A308" s="16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</row>
    <row r="309">
      <c r="A309" s="16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</row>
    <row r="310">
      <c r="A310" s="16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</row>
    <row r="311">
      <c r="A311" s="16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</row>
    <row r="312">
      <c r="A312" s="16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</row>
    <row r="313">
      <c r="A313" s="16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</row>
    <row r="314">
      <c r="A314" s="16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</row>
    <row r="315">
      <c r="A315" s="16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</row>
    <row r="316">
      <c r="A316" s="16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</row>
    <row r="317">
      <c r="A317" s="16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</row>
    <row r="318">
      <c r="A318" s="16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</row>
    <row r="319">
      <c r="A319" s="16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</row>
    <row r="320">
      <c r="A320" s="16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</row>
    <row r="321">
      <c r="A321" s="16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</row>
    <row r="322">
      <c r="A322" s="16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</row>
    <row r="323">
      <c r="A323" s="16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</row>
    <row r="324">
      <c r="A324" s="16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</row>
    <row r="325">
      <c r="A325" s="16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</row>
    <row r="326">
      <c r="A326" s="16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</row>
    <row r="327">
      <c r="A327" s="16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</row>
    <row r="328">
      <c r="A328" s="16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</row>
    <row r="329">
      <c r="A329" s="16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</row>
    <row r="330">
      <c r="A330" s="16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</row>
    <row r="331">
      <c r="A331" s="16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</row>
    <row r="332">
      <c r="A332" s="16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</row>
    <row r="333">
      <c r="A333" s="16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</row>
    <row r="334">
      <c r="A334" s="16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</row>
    <row r="335">
      <c r="A335" s="16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</row>
    <row r="336">
      <c r="A336" s="16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</row>
    <row r="337">
      <c r="A337" s="16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</row>
    <row r="338">
      <c r="A338" s="16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</row>
    <row r="339">
      <c r="A339" s="16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</row>
    <row r="340">
      <c r="A340" s="16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</row>
    <row r="341">
      <c r="A341" s="16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</row>
    <row r="342">
      <c r="A342" s="16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</row>
    <row r="343">
      <c r="A343" s="16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</row>
    <row r="344">
      <c r="A344" s="16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</row>
    <row r="345">
      <c r="A345" s="16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</row>
    <row r="346">
      <c r="A346" s="16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</row>
    <row r="347">
      <c r="A347" s="16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</row>
    <row r="348">
      <c r="A348" s="16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</row>
    <row r="349">
      <c r="A349" s="16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</row>
    <row r="350">
      <c r="A350" s="16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</row>
    <row r="351">
      <c r="A351" s="16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</row>
    <row r="352">
      <c r="A352" s="16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</row>
    <row r="353">
      <c r="A353" s="16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</row>
    <row r="354">
      <c r="A354" s="16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</row>
    <row r="355">
      <c r="A355" s="16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</row>
    <row r="356">
      <c r="A356" s="16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</row>
    <row r="357">
      <c r="A357" s="16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</row>
    <row r="358">
      <c r="A358" s="16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</row>
    <row r="359">
      <c r="A359" s="16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</row>
    <row r="360">
      <c r="A360" s="16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</row>
    <row r="361">
      <c r="A361" s="16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</row>
    <row r="362">
      <c r="A362" s="16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</row>
    <row r="363">
      <c r="A363" s="16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</row>
    <row r="364">
      <c r="A364" s="16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</row>
    <row r="365">
      <c r="A365" s="16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</row>
    <row r="366">
      <c r="A366" s="16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</row>
    <row r="367">
      <c r="A367" s="16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</row>
    <row r="368">
      <c r="A368" s="16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</row>
    <row r="369">
      <c r="A369" s="16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</row>
    <row r="370">
      <c r="A370" s="16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</row>
    <row r="371">
      <c r="A371" s="16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</row>
    <row r="372">
      <c r="A372" s="16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</row>
    <row r="373">
      <c r="A373" s="16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</row>
    <row r="374">
      <c r="A374" s="16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</row>
    <row r="375">
      <c r="A375" s="16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</row>
    <row r="376">
      <c r="A376" s="16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</row>
    <row r="377">
      <c r="A377" s="16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</row>
    <row r="378">
      <c r="A378" s="16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</row>
    <row r="379">
      <c r="A379" s="16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</row>
    <row r="380">
      <c r="A380" s="16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</row>
    <row r="381">
      <c r="A381" s="16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</row>
    <row r="382">
      <c r="A382" s="16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</row>
    <row r="383">
      <c r="A383" s="16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</row>
    <row r="384">
      <c r="A384" s="16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</row>
    <row r="385">
      <c r="A385" s="16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</row>
    <row r="386">
      <c r="A386" s="16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</row>
    <row r="387">
      <c r="A387" s="16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</row>
    <row r="388">
      <c r="A388" s="16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</row>
    <row r="389">
      <c r="A389" s="16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</row>
    <row r="390">
      <c r="A390" s="16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</row>
    <row r="391">
      <c r="A391" s="16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</row>
    <row r="392">
      <c r="A392" s="16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</row>
    <row r="393">
      <c r="A393" s="16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</row>
    <row r="394">
      <c r="A394" s="16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</row>
    <row r="395">
      <c r="A395" s="16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</row>
    <row r="396">
      <c r="A396" s="16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</row>
    <row r="397">
      <c r="A397" s="16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</row>
    <row r="398">
      <c r="A398" s="16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</row>
    <row r="399">
      <c r="A399" s="16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</row>
    <row r="400">
      <c r="A400" s="16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</row>
    <row r="401">
      <c r="A401" s="16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</row>
    <row r="402">
      <c r="A402" s="16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</row>
    <row r="403">
      <c r="A403" s="16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</row>
    <row r="404">
      <c r="A404" s="16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</row>
    <row r="405">
      <c r="A405" s="16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</row>
    <row r="406">
      <c r="A406" s="16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</row>
    <row r="407">
      <c r="A407" s="16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</row>
    <row r="408">
      <c r="A408" s="16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</row>
    <row r="409">
      <c r="A409" s="16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</row>
    <row r="410">
      <c r="A410" s="16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</row>
    <row r="411">
      <c r="A411" s="16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</row>
    <row r="412">
      <c r="A412" s="16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</row>
    <row r="413">
      <c r="A413" s="16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</row>
    <row r="414">
      <c r="A414" s="16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</row>
    <row r="415">
      <c r="A415" s="16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</row>
    <row r="416">
      <c r="A416" s="16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</row>
    <row r="417">
      <c r="A417" s="16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</row>
    <row r="418">
      <c r="A418" s="16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</row>
    <row r="419">
      <c r="A419" s="16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</row>
    <row r="420">
      <c r="A420" s="16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</row>
    <row r="421">
      <c r="A421" s="16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</row>
    <row r="422">
      <c r="A422" s="16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</row>
    <row r="423">
      <c r="A423" s="16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</row>
    <row r="424">
      <c r="A424" s="16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</row>
    <row r="425">
      <c r="A425" s="16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</row>
    <row r="426">
      <c r="A426" s="16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</row>
    <row r="427">
      <c r="A427" s="16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</row>
    <row r="428">
      <c r="A428" s="16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</row>
    <row r="429">
      <c r="A429" s="16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</row>
    <row r="430">
      <c r="A430" s="16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</row>
    <row r="431">
      <c r="A431" s="16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</row>
    <row r="432">
      <c r="A432" s="16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</row>
    <row r="433">
      <c r="A433" s="16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</row>
    <row r="434">
      <c r="A434" s="16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</row>
    <row r="435">
      <c r="A435" s="16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</row>
    <row r="436">
      <c r="A436" s="16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</row>
    <row r="437">
      <c r="A437" s="16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</row>
    <row r="438">
      <c r="A438" s="16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</row>
    <row r="439">
      <c r="A439" s="16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</row>
    <row r="440">
      <c r="A440" s="16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</row>
    <row r="441">
      <c r="A441" s="16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</row>
    <row r="442">
      <c r="A442" s="16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</row>
    <row r="443">
      <c r="A443" s="16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</row>
    <row r="444">
      <c r="A444" s="16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</row>
    <row r="445">
      <c r="A445" s="16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</row>
    <row r="446">
      <c r="A446" s="16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</row>
    <row r="447">
      <c r="A447" s="16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</row>
    <row r="448">
      <c r="A448" s="16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</row>
    <row r="449">
      <c r="A449" s="16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</row>
    <row r="450">
      <c r="A450" s="16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</row>
    <row r="451">
      <c r="A451" s="16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</row>
    <row r="452">
      <c r="A452" s="16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</row>
    <row r="453">
      <c r="A453" s="16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</row>
    <row r="454">
      <c r="A454" s="16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</row>
    <row r="455">
      <c r="A455" s="16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</row>
    <row r="456">
      <c r="A456" s="16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</row>
    <row r="457">
      <c r="A457" s="16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</row>
    <row r="458">
      <c r="A458" s="16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</row>
    <row r="459">
      <c r="A459" s="16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</row>
    <row r="460">
      <c r="A460" s="16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</row>
    <row r="461">
      <c r="A461" s="16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</row>
    <row r="462">
      <c r="A462" s="16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</row>
    <row r="463">
      <c r="A463" s="16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</row>
    <row r="464">
      <c r="A464" s="16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</row>
    <row r="465">
      <c r="A465" s="16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</row>
    <row r="466">
      <c r="A466" s="16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</row>
    <row r="467">
      <c r="A467" s="16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</row>
    <row r="468">
      <c r="A468" s="16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</row>
    <row r="469">
      <c r="A469" s="16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</row>
    <row r="470">
      <c r="A470" s="16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</row>
    <row r="471">
      <c r="A471" s="16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</row>
    <row r="472">
      <c r="A472" s="16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</row>
    <row r="473">
      <c r="A473" s="16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</row>
    <row r="474">
      <c r="A474" s="16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</row>
    <row r="475">
      <c r="A475" s="16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</row>
    <row r="476">
      <c r="A476" s="16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</row>
    <row r="477">
      <c r="A477" s="16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</row>
    <row r="478">
      <c r="A478" s="16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</row>
    <row r="479">
      <c r="A479" s="16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</row>
    <row r="480">
      <c r="A480" s="16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</row>
    <row r="481">
      <c r="A481" s="16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</row>
    <row r="482">
      <c r="A482" s="16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</row>
    <row r="483">
      <c r="A483" s="16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</row>
    <row r="484">
      <c r="A484" s="16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</row>
    <row r="485">
      <c r="A485" s="16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</row>
    <row r="486">
      <c r="A486" s="16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</row>
    <row r="487">
      <c r="A487" s="16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</row>
    <row r="488">
      <c r="A488" s="16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</row>
    <row r="489">
      <c r="A489" s="16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</row>
    <row r="490">
      <c r="A490" s="16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</row>
    <row r="491">
      <c r="A491" s="16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</row>
    <row r="492">
      <c r="A492" s="16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</row>
    <row r="493">
      <c r="A493" s="16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</row>
    <row r="494">
      <c r="A494" s="16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</row>
    <row r="495">
      <c r="A495" s="16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</row>
    <row r="496">
      <c r="A496" s="16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</row>
    <row r="497">
      <c r="A497" s="16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</row>
    <row r="498">
      <c r="A498" s="16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</row>
    <row r="499">
      <c r="A499" s="16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</row>
    <row r="500">
      <c r="A500" s="16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</row>
    <row r="501">
      <c r="A501" s="16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</row>
    <row r="502">
      <c r="A502" s="16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</row>
    <row r="503">
      <c r="A503" s="16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</row>
    <row r="504">
      <c r="A504" s="16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</row>
    <row r="505">
      <c r="A505" s="16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</row>
    <row r="506">
      <c r="A506" s="16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</row>
    <row r="507">
      <c r="A507" s="16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</row>
    <row r="508">
      <c r="A508" s="16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</row>
    <row r="509">
      <c r="A509" s="16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</row>
    <row r="510">
      <c r="A510" s="16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</row>
    <row r="511">
      <c r="A511" s="16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</row>
    <row r="512">
      <c r="A512" s="16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</row>
    <row r="513">
      <c r="A513" s="16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</row>
    <row r="514">
      <c r="A514" s="16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</row>
    <row r="515">
      <c r="A515" s="16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</row>
    <row r="516">
      <c r="A516" s="16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</row>
    <row r="517">
      <c r="A517" s="16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</row>
    <row r="518">
      <c r="A518" s="16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</row>
    <row r="519">
      <c r="A519" s="16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</row>
    <row r="520">
      <c r="A520" s="16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</row>
    <row r="521">
      <c r="A521" s="16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</row>
    <row r="522">
      <c r="A522" s="16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</row>
    <row r="523">
      <c r="A523" s="16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</row>
    <row r="524">
      <c r="A524" s="16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</row>
    <row r="525">
      <c r="A525" s="16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</row>
    <row r="526">
      <c r="A526" s="16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</row>
    <row r="527">
      <c r="A527" s="16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</row>
    <row r="528">
      <c r="A528" s="16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</row>
    <row r="529">
      <c r="A529" s="16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</row>
    <row r="530">
      <c r="A530" s="16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</row>
    <row r="531">
      <c r="A531" s="16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</row>
    <row r="532">
      <c r="A532" s="16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</row>
    <row r="533">
      <c r="A533" s="16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</row>
    <row r="534">
      <c r="A534" s="16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</row>
    <row r="535">
      <c r="A535" s="16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</row>
    <row r="536">
      <c r="A536" s="16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</row>
    <row r="537">
      <c r="A537" s="16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</row>
    <row r="538">
      <c r="A538" s="16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</row>
    <row r="539">
      <c r="A539" s="16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</row>
    <row r="540">
      <c r="A540" s="16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</row>
    <row r="541">
      <c r="A541" s="16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</row>
    <row r="542">
      <c r="A542" s="16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</row>
    <row r="543">
      <c r="A543" s="16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</row>
    <row r="544">
      <c r="A544" s="16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</row>
    <row r="545">
      <c r="A545" s="16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</row>
    <row r="546">
      <c r="A546" s="16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</row>
    <row r="547">
      <c r="A547" s="16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</row>
    <row r="548">
      <c r="A548" s="16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</row>
    <row r="549">
      <c r="A549" s="16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</row>
    <row r="550">
      <c r="A550" s="16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</row>
    <row r="551">
      <c r="A551" s="16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</row>
    <row r="552">
      <c r="A552" s="16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</row>
    <row r="553">
      <c r="A553" s="16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</row>
    <row r="554">
      <c r="A554" s="16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</row>
    <row r="555">
      <c r="A555" s="16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</row>
    <row r="556">
      <c r="A556" s="16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</row>
    <row r="557">
      <c r="A557" s="16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</row>
    <row r="558">
      <c r="A558" s="16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</row>
    <row r="559">
      <c r="A559" s="16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</row>
    <row r="560">
      <c r="A560" s="16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</row>
    <row r="561">
      <c r="A561" s="16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</row>
    <row r="562">
      <c r="A562" s="16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</row>
    <row r="563">
      <c r="A563" s="16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</row>
    <row r="564">
      <c r="A564" s="16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</row>
    <row r="565">
      <c r="A565" s="16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</row>
    <row r="566">
      <c r="A566" s="16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</row>
    <row r="567">
      <c r="A567" s="16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</row>
    <row r="568">
      <c r="A568" s="16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</row>
    <row r="569">
      <c r="A569" s="16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</row>
    <row r="570">
      <c r="A570" s="16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</row>
    <row r="571">
      <c r="A571" s="16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</row>
    <row r="572">
      <c r="A572" s="16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</row>
    <row r="573">
      <c r="A573" s="16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</row>
    <row r="574">
      <c r="A574" s="16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</row>
    <row r="575">
      <c r="A575" s="16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</row>
    <row r="576">
      <c r="A576" s="16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</row>
    <row r="577">
      <c r="A577" s="16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</row>
    <row r="578">
      <c r="A578" s="16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</row>
    <row r="579">
      <c r="A579" s="16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</row>
    <row r="580">
      <c r="A580" s="16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</row>
    <row r="581">
      <c r="A581" s="16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</row>
    <row r="582">
      <c r="A582" s="16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</row>
    <row r="583">
      <c r="A583" s="16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</row>
    <row r="584">
      <c r="A584" s="16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</row>
    <row r="585">
      <c r="A585" s="16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</row>
    <row r="586">
      <c r="A586" s="16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</row>
    <row r="587">
      <c r="A587" s="16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</row>
    <row r="588">
      <c r="A588" s="16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</row>
    <row r="589">
      <c r="A589" s="16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</row>
    <row r="590">
      <c r="A590" s="16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</row>
    <row r="591">
      <c r="A591" s="16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</row>
    <row r="592">
      <c r="A592" s="16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</row>
    <row r="593">
      <c r="A593" s="16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</row>
    <row r="594">
      <c r="A594" s="16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</row>
    <row r="595">
      <c r="A595" s="16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</row>
    <row r="596">
      <c r="A596" s="16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</row>
    <row r="597">
      <c r="A597" s="16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</row>
    <row r="598">
      <c r="A598" s="16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</row>
    <row r="599">
      <c r="A599" s="16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</row>
    <row r="600">
      <c r="A600" s="16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</row>
    <row r="601">
      <c r="A601" s="16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</row>
    <row r="602">
      <c r="A602" s="16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</row>
    <row r="603">
      <c r="A603" s="16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</row>
    <row r="604">
      <c r="A604" s="16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</row>
    <row r="605">
      <c r="A605" s="16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</row>
    <row r="606">
      <c r="A606" s="16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</row>
    <row r="607">
      <c r="A607" s="16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</row>
    <row r="608">
      <c r="A608" s="16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</row>
    <row r="609">
      <c r="A609" s="16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</row>
    <row r="610">
      <c r="A610" s="16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</row>
    <row r="611">
      <c r="A611" s="16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</row>
    <row r="612">
      <c r="A612" s="16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</row>
    <row r="613">
      <c r="A613" s="16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</row>
    <row r="614">
      <c r="A614" s="16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</row>
    <row r="615">
      <c r="A615" s="16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</row>
    <row r="616">
      <c r="A616" s="16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</row>
    <row r="617">
      <c r="A617" s="16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</row>
    <row r="618">
      <c r="A618" s="16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</row>
    <row r="619">
      <c r="A619" s="16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</row>
    <row r="620">
      <c r="A620" s="16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</row>
    <row r="621">
      <c r="A621" s="16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</row>
    <row r="622">
      <c r="A622" s="16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</row>
    <row r="623">
      <c r="A623" s="16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</row>
    <row r="624">
      <c r="A624" s="16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</row>
    <row r="625">
      <c r="A625" s="16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</row>
    <row r="626">
      <c r="A626" s="16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</row>
    <row r="627">
      <c r="A627" s="16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</row>
    <row r="628">
      <c r="A628" s="16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</row>
    <row r="629">
      <c r="A629" s="16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</row>
    <row r="630">
      <c r="A630" s="16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</row>
    <row r="631">
      <c r="A631" s="16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</row>
    <row r="632">
      <c r="A632" s="16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</row>
    <row r="633">
      <c r="A633" s="16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</row>
    <row r="634">
      <c r="A634" s="16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</row>
    <row r="635">
      <c r="A635" s="16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</row>
    <row r="636">
      <c r="A636" s="16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</row>
    <row r="637">
      <c r="A637" s="16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</row>
    <row r="638">
      <c r="A638" s="16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</row>
    <row r="639">
      <c r="A639" s="16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</row>
    <row r="640">
      <c r="A640" s="16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</row>
    <row r="641">
      <c r="A641" s="16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</row>
    <row r="642">
      <c r="A642" s="16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</row>
    <row r="643">
      <c r="A643" s="16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</row>
    <row r="644">
      <c r="A644" s="16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</row>
    <row r="645">
      <c r="A645" s="16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</row>
    <row r="646">
      <c r="A646" s="16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</row>
    <row r="647">
      <c r="A647" s="16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</row>
    <row r="648">
      <c r="A648" s="16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</row>
    <row r="649">
      <c r="A649" s="16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</row>
    <row r="650">
      <c r="A650" s="16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</row>
    <row r="651">
      <c r="A651" s="16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</row>
    <row r="652">
      <c r="A652" s="16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</row>
    <row r="653">
      <c r="A653" s="16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</row>
    <row r="654">
      <c r="A654" s="16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</row>
    <row r="655">
      <c r="A655" s="16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</row>
    <row r="656">
      <c r="A656" s="16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</row>
    <row r="657">
      <c r="A657" s="16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</row>
    <row r="658">
      <c r="A658" s="16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</row>
    <row r="659">
      <c r="A659" s="16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</row>
    <row r="660">
      <c r="A660" s="16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</row>
    <row r="661">
      <c r="A661" s="16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</row>
    <row r="662">
      <c r="A662" s="16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</row>
    <row r="663">
      <c r="A663" s="16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</row>
    <row r="664">
      <c r="A664" s="16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</row>
    <row r="665">
      <c r="A665" s="16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</row>
    <row r="666">
      <c r="A666" s="16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</row>
    <row r="667">
      <c r="A667" s="16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</row>
    <row r="668">
      <c r="A668" s="16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</row>
    <row r="669">
      <c r="A669" s="16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</row>
    <row r="670">
      <c r="A670" s="16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</row>
    <row r="671">
      <c r="A671" s="16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</row>
    <row r="672">
      <c r="A672" s="16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</row>
    <row r="673">
      <c r="A673" s="16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</row>
    <row r="674">
      <c r="A674" s="16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</row>
    <row r="675">
      <c r="A675" s="16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</row>
    <row r="676">
      <c r="A676" s="16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</row>
    <row r="677">
      <c r="A677" s="16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</row>
    <row r="678">
      <c r="A678" s="16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</row>
    <row r="679">
      <c r="A679" s="16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</row>
    <row r="680">
      <c r="A680" s="16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</row>
    <row r="681">
      <c r="A681" s="16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</row>
    <row r="682">
      <c r="A682" s="16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</row>
    <row r="683">
      <c r="A683" s="16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</row>
    <row r="684">
      <c r="A684" s="16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</row>
    <row r="685">
      <c r="A685" s="16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</row>
    <row r="686">
      <c r="A686" s="16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</row>
    <row r="687">
      <c r="A687" s="16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</row>
    <row r="688">
      <c r="A688" s="16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</row>
    <row r="689">
      <c r="A689" s="16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</row>
    <row r="690">
      <c r="A690" s="16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</row>
    <row r="691">
      <c r="A691" s="16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</row>
    <row r="692">
      <c r="A692" s="16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</row>
    <row r="693">
      <c r="A693" s="16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</row>
    <row r="694">
      <c r="A694" s="16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</row>
    <row r="695">
      <c r="A695" s="16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</row>
    <row r="696">
      <c r="A696" s="16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</row>
    <row r="697">
      <c r="A697" s="16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</row>
    <row r="698">
      <c r="A698" s="16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</row>
    <row r="699">
      <c r="A699" s="16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</row>
    <row r="700">
      <c r="A700" s="16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</row>
    <row r="701">
      <c r="A701" s="16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</row>
    <row r="702">
      <c r="A702" s="16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</row>
    <row r="703">
      <c r="A703" s="16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</row>
    <row r="704">
      <c r="A704" s="16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</row>
    <row r="705">
      <c r="A705" s="16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</row>
    <row r="706">
      <c r="A706" s="16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</row>
    <row r="707">
      <c r="A707" s="16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</row>
    <row r="708">
      <c r="A708" s="16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</row>
    <row r="709">
      <c r="A709" s="16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</row>
    <row r="710">
      <c r="A710" s="16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</row>
    <row r="711">
      <c r="A711" s="16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</row>
    <row r="712">
      <c r="A712" s="16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</row>
    <row r="713">
      <c r="A713" s="16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</row>
    <row r="714">
      <c r="A714" s="16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</row>
    <row r="715">
      <c r="A715" s="16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</row>
    <row r="716">
      <c r="A716" s="16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</row>
    <row r="717">
      <c r="A717" s="16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</row>
    <row r="718">
      <c r="A718" s="16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</row>
    <row r="719">
      <c r="A719" s="16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</row>
    <row r="720">
      <c r="A720" s="16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</row>
    <row r="721">
      <c r="A721" s="16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</row>
    <row r="722">
      <c r="A722" s="16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</row>
    <row r="723">
      <c r="A723" s="16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</row>
    <row r="724">
      <c r="A724" s="16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</row>
    <row r="725">
      <c r="A725" s="16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</row>
    <row r="726">
      <c r="A726" s="16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</row>
    <row r="727">
      <c r="A727" s="16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</row>
    <row r="728">
      <c r="A728" s="16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</row>
    <row r="729">
      <c r="A729" s="16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</row>
    <row r="730">
      <c r="A730" s="16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</row>
    <row r="731">
      <c r="A731" s="16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</row>
    <row r="732">
      <c r="A732" s="16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</row>
    <row r="733">
      <c r="A733" s="16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</row>
    <row r="734">
      <c r="A734" s="16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</row>
    <row r="735">
      <c r="A735" s="16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</row>
    <row r="736">
      <c r="A736" s="16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</row>
    <row r="737">
      <c r="A737" s="16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</row>
    <row r="738">
      <c r="A738" s="16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</row>
    <row r="739">
      <c r="A739" s="16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</row>
    <row r="740">
      <c r="A740" s="16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</row>
    <row r="741">
      <c r="A741" s="16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</row>
    <row r="742">
      <c r="A742" s="16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</row>
    <row r="743">
      <c r="A743" s="16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</row>
    <row r="744">
      <c r="A744" s="16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</row>
    <row r="745">
      <c r="A745" s="16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</row>
    <row r="746">
      <c r="A746" s="16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</row>
    <row r="747">
      <c r="A747" s="16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</row>
    <row r="748">
      <c r="A748" s="16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</row>
    <row r="749">
      <c r="A749" s="16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</row>
    <row r="750">
      <c r="A750" s="16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</row>
    <row r="751">
      <c r="A751" s="16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</row>
    <row r="752">
      <c r="A752" s="16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</row>
    <row r="753">
      <c r="A753" s="16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</row>
    <row r="754">
      <c r="A754" s="16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</row>
    <row r="755">
      <c r="A755" s="16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</row>
    <row r="756">
      <c r="A756" s="16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</row>
    <row r="757">
      <c r="A757" s="16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</row>
    <row r="758">
      <c r="A758" s="16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</row>
    <row r="759">
      <c r="A759" s="16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</row>
    <row r="760">
      <c r="A760" s="16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</row>
    <row r="761">
      <c r="A761" s="16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</row>
    <row r="762">
      <c r="A762" s="16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</row>
    <row r="763">
      <c r="A763" s="16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</row>
    <row r="764">
      <c r="A764" s="16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</row>
    <row r="765">
      <c r="A765" s="16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</row>
    <row r="766">
      <c r="A766" s="16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</row>
    <row r="767">
      <c r="A767" s="16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</row>
    <row r="768">
      <c r="A768" s="16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</row>
    <row r="769">
      <c r="A769" s="16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</row>
    <row r="770">
      <c r="A770" s="16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</row>
    <row r="771">
      <c r="A771" s="16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</row>
    <row r="772">
      <c r="A772" s="16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</row>
    <row r="773">
      <c r="A773" s="16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</row>
    <row r="774">
      <c r="A774" s="16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</row>
    <row r="775">
      <c r="A775" s="16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</row>
    <row r="776">
      <c r="A776" s="16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</row>
    <row r="777">
      <c r="A777" s="16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</row>
    <row r="778">
      <c r="A778" s="16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</row>
    <row r="779">
      <c r="A779" s="16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</row>
    <row r="780">
      <c r="A780" s="16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</row>
    <row r="781">
      <c r="A781" s="16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</row>
    <row r="782">
      <c r="A782" s="16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</row>
    <row r="783">
      <c r="A783" s="16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</row>
    <row r="784">
      <c r="A784" s="16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</row>
    <row r="785">
      <c r="A785" s="16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</row>
    <row r="786">
      <c r="A786" s="16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</row>
    <row r="787">
      <c r="A787" s="16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</row>
    <row r="788">
      <c r="A788" s="16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</row>
    <row r="789">
      <c r="A789" s="16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</row>
    <row r="790">
      <c r="A790" s="16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</row>
    <row r="791">
      <c r="A791" s="16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</row>
    <row r="792">
      <c r="A792" s="16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</row>
    <row r="793">
      <c r="A793" s="16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</row>
    <row r="794">
      <c r="A794" s="16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</row>
    <row r="795">
      <c r="A795" s="16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</row>
    <row r="796">
      <c r="A796" s="16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</row>
    <row r="797">
      <c r="A797" s="16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</row>
    <row r="798">
      <c r="A798" s="16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</row>
    <row r="799">
      <c r="A799" s="16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</row>
    <row r="800">
      <c r="A800" s="16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</row>
    <row r="801">
      <c r="A801" s="16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</row>
    <row r="802">
      <c r="A802" s="16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</row>
    <row r="803">
      <c r="A803" s="16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</row>
    <row r="804">
      <c r="A804" s="16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</row>
    <row r="805">
      <c r="A805" s="16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</row>
    <row r="806">
      <c r="A806" s="16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</row>
    <row r="807">
      <c r="A807" s="16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</row>
    <row r="808">
      <c r="A808" s="16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</row>
    <row r="809">
      <c r="A809" s="16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</row>
    <row r="810">
      <c r="A810" s="16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</row>
    <row r="811">
      <c r="A811" s="16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</row>
    <row r="812">
      <c r="A812" s="16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</row>
    <row r="813">
      <c r="A813" s="16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</row>
    <row r="814">
      <c r="A814" s="16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</row>
    <row r="815">
      <c r="A815" s="16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</row>
    <row r="816">
      <c r="A816" s="16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</row>
    <row r="817">
      <c r="A817" s="16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</row>
    <row r="818">
      <c r="A818" s="16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</row>
    <row r="819">
      <c r="A819" s="16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</row>
    <row r="820">
      <c r="A820" s="16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</row>
    <row r="821">
      <c r="A821" s="16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</row>
    <row r="822">
      <c r="A822" s="16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</row>
    <row r="823">
      <c r="A823" s="16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</row>
    <row r="824">
      <c r="A824" s="16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</row>
    <row r="825">
      <c r="A825" s="16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</row>
    <row r="826">
      <c r="A826" s="16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</row>
    <row r="827">
      <c r="A827" s="16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</row>
    <row r="828">
      <c r="A828" s="16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</row>
    <row r="829">
      <c r="A829" s="16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</row>
    <row r="830">
      <c r="A830" s="16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</row>
    <row r="831">
      <c r="A831" s="16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</row>
    <row r="832">
      <c r="A832" s="16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</row>
    <row r="833">
      <c r="A833" s="16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</row>
    <row r="834">
      <c r="A834" s="16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</row>
    <row r="835">
      <c r="A835" s="16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</row>
    <row r="836">
      <c r="A836" s="16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</row>
    <row r="837">
      <c r="A837" s="16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</row>
    <row r="838">
      <c r="A838" s="16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</row>
    <row r="839">
      <c r="A839" s="16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</row>
    <row r="840">
      <c r="A840" s="16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</row>
    <row r="841">
      <c r="A841" s="16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</row>
    <row r="842">
      <c r="A842" s="16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</row>
    <row r="843">
      <c r="A843" s="16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</row>
    <row r="844">
      <c r="A844" s="16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</row>
    <row r="845">
      <c r="A845" s="16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</row>
    <row r="846">
      <c r="A846" s="16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</row>
    <row r="847">
      <c r="A847" s="16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</row>
    <row r="848">
      <c r="A848" s="16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</row>
    <row r="849">
      <c r="A849" s="16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</row>
    <row r="850">
      <c r="A850" s="16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</row>
    <row r="851">
      <c r="A851" s="16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</row>
    <row r="852">
      <c r="A852" s="16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</row>
    <row r="853">
      <c r="A853" s="16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</row>
    <row r="854">
      <c r="A854" s="16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</row>
    <row r="855">
      <c r="A855" s="16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</row>
    <row r="856">
      <c r="A856" s="16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</row>
    <row r="857">
      <c r="A857" s="16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</row>
    <row r="858">
      <c r="A858" s="16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</row>
    <row r="859">
      <c r="A859" s="16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</row>
    <row r="860">
      <c r="A860" s="16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</row>
    <row r="861">
      <c r="A861" s="16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</row>
    <row r="862">
      <c r="A862" s="16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</row>
    <row r="863">
      <c r="A863" s="16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</row>
    <row r="864">
      <c r="A864" s="16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</row>
    <row r="865">
      <c r="A865" s="16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</row>
    <row r="866">
      <c r="A866" s="16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</row>
    <row r="867">
      <c r="A867" s="16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</row>
    <row r="868">
      <c r="A868" s="16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</row>
    <row r="869">
      <c r="A869" s="16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</row>
    <row r="870">
      <c r="A870" s="16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</row>
    <row r="871">
      <c r="A871" s="16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</row>
    <row r="872">
      <c r="A872" s="16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</row>
    <row r="873">
      <c r="A873" s="16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</row>
    <row r="874">
      <c r="A874" s="16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</row>
    <row r="875">
      <c r="A875" s="16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</row>
    <row r="876">
      <c r="A876" s="16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</row>
    <row r="877">
      <c r="A877" s="16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</row>
    <row r="878">
      <c r="A878" s="16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</row>
    <row r="879">
      <c r="A879" s="16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</row>
    <row r="880">
      <c r="A880" s="16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</row>
    <row r="881">
      <c r="A881" s="16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</row>
    <row r="882">
      <c r="A882" s="16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</row>
    <row r="883">
      <c r="A883" s="16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</row>
    <row r="884">
      <c r="A884" s="16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</row>
    <row r="885">
      <c r="A885" s="16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</row>
    <row r="886">
      <c r="A886" s="16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</row>
    <row r="887">
      <c r="A887" s="16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</row>
    <row r="888">
      <c r="A888" s="16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</row>
    <row r="889">
      <c r="A889" s="16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</row>
    <row r="890">
      <c r="A890" s="16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</row>
    <row r="891">
      <c r="A891" s="16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</row>
    <row r="892">
      <c r="A892" s="16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</row>
    <row r="893">
      <c r="A893" s="16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</row>
    <row r="894">
      <c r="A894" s="16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</row>
    <row r="895">
      <c r="A895" s="16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</row>
    <row r="896">
      <c r="A896" s="16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</row>
    <row r="897">
      <c r="A897" s="16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</row>
    <row r="898">
      <c r="A898" s="16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</row>
    <row r="899">
      <c r="A899" s="16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</row>
    <row r="900">
      <c r="A900" s="16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</row>
    <row r="901">
      <c r="A901" s="16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</row>
    <row r="902">
      <c r="A902" s="16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</row>
    <row r="903">
      <c r="A903" s="16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</row>
    <row r="904">
      <c r="A904" s="16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</row>
    <row r="905">
      <c r="A905" s="16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</row>
    <row r="906">
      <c r="A906" s="16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</row>
    <row r="907">
      <c r="A907" s="16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</row>
    <row r="908">
      <c r="A908" s="16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</row>
    <row r="909">
      <c r="A909" s="16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</row>
    <row r="910">
      <c r="A910" s="16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</row>
    <row r="911">
      <c r="A911" s="16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</row>
    <row r="912">
      <c r="A912" s="16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</row>
    <row r="913">
      <c r="A913" s="16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</row>
    <row r="914">
      <c r="A914" s="16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</row>
    <row r="915">
      <c r="A915" s="16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</row>
    <row r="916">
      <c r="A916" s="16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</row>
    <row r="917">
      <c r="A917" s="16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</row>
    <row r="918">
      <c r="A918" s="16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</row>
    <row r="919">
      <c r="A919" s="16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</row>
    <row r="920">
      <c r="A920" s="16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</row>
    <row r="921">
      <c r="A921" s="16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</row>
    <row r="922">
      <c r="A922" s="16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</row>
    <row r="923">
      <c r="A923" s="16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</row>
    <row r="924">
      <c r="A924" s="16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</row>
    <row r="925">
      <c r="A925" s="16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</row>
    <row r="926">
      <c r="A926" s="16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</row>
    <row r="927">
      <c r="A927" s="16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</row>
    <row r="928">
      <c r="A928" s="16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</row>
    <row r="929">
      <c r="A929" s="16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</row>
    <row r="930">
      <c r="A930" s="16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</row>
    <row r="931">
      <c r="A931" s="16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</row>
    <row r="932">
      <c r="A932" s="16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</row>
    <row r="933">
      <c r="A933" s="16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</row>
    <row r="934">
      <c r="A934" s="16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</row>
    <row r="935">
      <c r="A935" s="16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</row>
    <row r="936">
      <c r="A936" s="16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</row>
    <row r="937">
      <c r="A937" s="16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</row>
    <row r="938">
      <c r="A938" s="16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</row>
    <row r="939">
      <c r="A939" s="16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</row>
    <row r="940">
      <c r="A940" s="16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</row>
    <row r="941">
      <c r="A941" s="16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</row>
    <row r="942">
      <c r="A942" s="16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</row>
    <row r="943">
      <c r="A943" s="16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</row>
    <row r="944">
      <c r="A944" s="16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</row>
    <row r="945">
      <c r="A945" s="16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</row>
    <row r="946">
      <c r="A946" s="16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</row>
    <row r="947">
      <c r="A947" s="16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</row>
    <row r="948">
      <c r="A948" s="16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</row>
    <row r="949">
      <c r="A949" s="16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</row>
    <row r="950">
      <c r="A950" s="16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</row>
    <row r="951">
      <c r="A951" s="16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</row>
    <row r="952">
      <c r="A952" s="16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</row>
    <row r="953">
      <c r="A953" s="16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</row>
    <row r="954">
      <c r="A954" s="16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</row>
    <row r="955">
      <c r="A955" s="16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</row>
    <row r="956">
      <c r="A956" s="16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</row>
    <row r="957">
      <c r="A957" s="16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</row>
    <row r="958">
      <c r="A958" s="16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</row>
    <row r="959">
      <c r="A959" s="16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</row>
    <row r="960">
      <c r="A960" s="16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</row>
    <row r="961">
      <c r="A961" s="16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</row>
    <row r="962">
      <c r="A962" s="16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</row>
    <row r="963">
      <c r="A963" s="16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</row>
    <row r="964">
      <c r="A964" s="16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</row>
    <row r="965">
      <c r="A965" s="16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</row>
    <row r="966">
      <c r="A966" s="16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</row>
    <row r="967">
      <c r="A967" s="16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</row>
    <row r="968">
      <c r="A968" s="16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</row>
    <row r="969">
      <c r="A969" s="16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</row>
    <row r="970">
      <c r="A970" s="16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</row>
    <row r="971">
      <c r="A971" s="16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</row>
    <row r="972">
      <c r="A972" s="16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</row>
    <row r="973">
      <c r="A973" s="16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</row>
    <row r="974">
      <c r="A974" s="16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</row>
    <row r="975">
      <c r="A975" s="16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</row>
    <row r="976">
      <c r="A976" s="16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</row>
    <row r="977">
      <c r="A977" s="16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</row>
    <row r="978">
      <c r="A978" s="16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</row>
    <row r="979">
      <c r="A979" s="16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</row>
    <row r="980">
      <c r="A980" s="16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</row>
    <row r="981">
      <c r="A981" s="16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</row>
    <row r="982">
      <c r="A982" s="16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</row>
    <row r="983">
      <c r="A983" s="16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</row>
    <row r="984">
      <c r="A984" s="16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</row>
    <row r="985">
      <c r="A985" s="16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</row>
    <row r="986">
      <c r="A986" s="16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</row>
    <row r="987">
      <c r="A987" s="16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</row>
    <row r="988">
      <c r="A988" s="16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</row>
    <row r="989">
      <c r="A989" s="16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</row>
    <row r="990">
      <c r="A990" s="16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</row>
    <row r="991">
      <c r="A991" s="16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</row>
    <row r="992">
      <c r="A992" s="16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</row>
    <row r="993">
      <c r="A993" s="16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</row>
    <row r="994">
      <c r="A994" s="16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</row>
    <row r="995">
      <c r="A995" s="16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</row>
    <row r="996">
      <c r="A996" s="16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</row>
    <row r="997">
      <c r="A997" s="16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</row>
    <row r="998">
      <c r="A998" s="16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</row>
    <row r="999">
      <c r="A999" s="16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</row>
    <row r="1000">
      <c r="A1000" s="16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</row>
    <row r="1001">
      <c r="A1001" s="16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</row>
    <row r="1002">
      <c r="A1002" s="16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</row>
    <row r="1003">
      <c r="A1003" s="16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</row>
    <row r="1004">
      <c r="A1004" s="16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</row>
    <row r="1005">
      <c r="A1005" s="16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</row>
    <row r="1006">
      <c r="A1006" s="16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</row>
    <row r="1007">
      <c r="A1007" s="16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</row>
    <row r="1008">
      <c r="A1008" s="16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</row>
    <row r="1009">
      <c r="A1009" s="16"/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</row>
    <row r="1010">
      <c r="A1010" s="16"/>
      <c r="B1010" s="20"/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  <c r="M1010" s="20"/>
      <c r="N1010" s="20"/>
    </row>
    <row r="1011">
      <c r="A1011" s="16"/>
      <c r="B1011" s="20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</row>
    <row r="1012">
      <c r="A1012" s="16"/>
      <c r="B1012" s="20"/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  <c r="M1012" s="20"/>
      <c r="N1012" s="20"/>
    </row>
    <row r="1013">
      <c r="A1013" s="16"/>
      <c r="B1013" s="20"/>
      <c r="C1013" s="20"/>
      <c r="D1013" s="20"/>
      <c r="E1013" s="20"/>
      <c r="F1013" s="20"/>
      <c r="G1013" s="20"/>
      <c r="H1013" s="20"/>
      <c r="I1013" s="20"/>
      <c r="J1013" s="20"/>
      <c r="K1013" s="20"/>
      <c r="L1013" s="20"/>
      <c r="M1013" s="20"/>
      <c r="N1013" s="20"/>
    </row>
    <row r="1014">
      <c r="A1014" s="16"/>
      <c r="B1014" s="20"/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  <c r="M1014" s="20"/>
      <c r="N1014" s="20"/>
    </row>
    <row r="1015">
      <c r="A1015" s="16"/>
      <c r="B1015" s="20"/>
      <c r="C1015" s="20"/>
      <c r="D1015" s="20"/>
      <c r="E1015" s="20"/>
      <c r="F1015" s="20"/>
      <c r="G1015" s="20"/>
      <c r="H1015" s="20"/>
      <c r="I1015" s="20"/>
      <c r="J1015" s="20"/>
      <c r="K1015" s="20"/>
      <c r="L1015" s="20"/>
      <c r="M1015" s="20"/>
      <c r="N1015" s="20"/>
    </row>
    <row r="1016">
      <c r="A1016" s="16"/>
      <c r="B1016" s="20"/>
      <c r="C1016" s="20"/>
      <c r="D1016" s="20"/>
      <c r="E1016" s="20"/>
      <c r="F1016" s="20"/>
      <c r="G1016" s="20"/>
      <c r="H1016" s="20"/>
      <c r="I1016" s="20"/>
      <c r="J1016" s="20"/>
      <c r="K1016" s="20"/>
      <c r="L1016" s="20"/>
      <c r="M1016" s="20"/>
      <c r="N1016" s="20"/>
    </row>
    <row r="1017">
      <c r="A1017" s="16"/>
      <c r="B1017" s="20"/>
      <c r="C1017" s="20"/>
      <c r="D1017" s="20"/>
      <c r="E1017" s="20"/>
      <c r="F1017" s="20"/>
      <c r="G1017" s="20"/>
      <c r="H1017" s="20"/>
      <c r="I1017" s="20"/>
      <c r="J1017" s="20"/>
      <c r="K1017" s="20"/>
      <c r="L1017" s="20"/>
      <c r="M1017" s="20"/>
      <c r="N1017" s="20"/>
    </row>
    <row r="1018">
      <c r="A1018" s="16"/>
      <c r="B1018" s="20"/>
      <c r="C1018" s="20"/>
      <c r="D1018" s="20"/>
      <c r="E1018" s="20"/>
      <c r="F1018" s="20"/>
      <c r="G1018" s="20"/>
      <c r="H1018" s="20"/>
      <c r="I1018" s="20"/>
      <c r="J1018" s="20"/>
      <c r="K1018" s="20"/>
      <c r="L1018" s="20"/>
      <c r="M1018" s="20"/>
      <c r="N1018" s="20"/>
    </row>
    <row r="1019">
      <c r="A1019" s="16"/>
      <c r="B1019" s="20"/>
      <c r="C1019" s="20"/>
      <c r="D1019" s="20"/>
      <c r="E1019" s="20"/>
      <c r="F1019" s="20"/>
      <c r="G1019" s="20"/>
      <c r="H1019" s="20"/>
      <c r="I1019" s="20"/>
      <c r="J1019" s="20"/>
      <c r="K1019" s="20"/>
      <c r="L1019" s="20"/>
      <c r="M1019" s="20"/>
      <c r="N1019" s="20"/>
    </row>
    <row r="1020">
      <c r="A1020" s="16"/>
      <c r="B1020" s="20"/>
      <c r="C1020" s="20"/>
      <c r="D1020" s="20"/>
      <c r="E1020" s="20"/>
      <c r="F1020" s="20"/>
      <c r="G1020" s="20"/>
      <c r="H1020" s="20"/>
      <c r="I1020" s="20"/>
      <c r="J1020" s="20"/>
      <c r="K1020" s="20"/>
      <c r="L1020" s="20"/>
      <c r="M1020" s="20"/>
      <c r="N1020" s="20"/>
    </row>
    <row r="1021">
      <c r="A1021" s="16"/>
      <c r="B1021" s="20"/>
      <c r="C1021" s="20"/>
      <c r="D1021" s="20"/>
      <c r="E1021" s="20"/>
      <c r="F1021" s="20"/>
      <c r="G1021" s="20"/>
      <c r="H1021" s="20"/>
      <c r="I1021" s="20"/>
      <c r="J1021" s="20"/>
      <c r="K1021" s="20"/>
      <c r="L1021" s="20"/>
      <c r="M1021" s="20"/>
      <c r="N1021" s="20"/>
    </row>
    <row r="1022">
      <c r="A1022" s="16"/>
      <c r="B1022" s="20"/>
      <c r="C1022" s="20"/>
      <c r="D1022" s="20"/>
      <c r="E1022" s="20"/>
      <c r="F1022" s="20"/>
      <c r="G1022" s="20"/>
      <c r="H1022" s="20"/>
      <c r="I1022" s="20"/>
      <c r="J1022" s="20"/>
      <c r="K1022" s="20"/>
      <c r="L1022" s="20"/>
      <c r="M1022" s="20"/>
      <c r="N1022" s="20"/>
    </row>
    <row r="1023">
      <c r="A1023" s="16"/>
      <c r="B1023" s="20"/>
      <c r="C1023" s="20"/>
      <c r="D1023" s="20"/>
      <c r="E1023" s="20"/>
      <c r="F1023" s="20"/>
      <c r="G1023" s="20"/>
      <c r="H1023" s="20"/>
      <c r="I1023" s="20"/>
      <c r="J1023" s="20"/>
      <c r="K1023" s="20"/>
      <c r="L1023" s="20"/>
      <c r="M1023" s="20"/>
      <c r="N1023" s="20"/>
    </row>
    <row r="1024">
      <c r="A1024" s="16"/>
      <c r="B1024" s="20"/>
      <c r="C1024" s="20"/>
      <c r="D1024" s="20"/>
      <c r="E1024" s="20"/>
      <c r="F1024" s="20"/>
      <c r="G1024" s="20"/>
      <c r="H1024" s="20"/>
      <c r="I1024" s="20"/>
      <c r="J1024" s="20"/>
      <c r="K1024" s="20"/>
      <c r="L1024" s="20"/>
      <c r="M1024" s="20"/>
      <c r="N1024" s="20"/>
    </row>
    <row r="1025">
      <c r="A1025" s="16"/>
      <c r="B1025" s="20"/>
      <c r="C1025" s="20"/>
      <c r="D1025" s="20"/>
      <c r="E1025" s="20"/>
      <c r="F1025" s="20"/>
      <c r="G1025" s="20"/>
      <c r="H1025" s="20"/>
      <c r="I1025" s="20"/>
      <c r="J1025" s="20"/>
      <c r="K1025" s="20"/>
      <c r="L1025" s="20"/>
      <c r="M1025" s="20"/>
      <c r="N1025" s="20"/>
    </row>
    <row r="1026">
      <c r="A1026" s="16"/>
      <c r="B1026" s="20"/>
      <c r="C1026" s="20"/>
      <c r="D1026" s="20"/>
      <c r="E1026" s="20"/>
      <c r="F1026" s="20"/>
      <c r="G1026" s="20"/>
      <c r="H1026" s="20"/>
      <c r="I1026" s="20"/>
      <c r="J1026" s="20"/>
      <c r="K1026" s="20"/>
      <c r="L1026" s="20"/>
      <c r="M1026" s="20"/>
      <c r="N1026" s="20"/>
    </row>
    <row r="1027">
      <c r="A1027" s="16"/>
      <c r="B1027" s="20"/>
      <c r="C1027" s="20"/>
      <c r="D1027" s="20"/>
      <c r="E1027" s="20"/>
      <c r="F1027" s="20"/>
      <c r="G1027" s="20"/>
      <c r="H1027" s="20"/>
      <c r="I1027" s="20"/>
      <c r="J1027" s="20"/>
      <c r="K1027" s="20"/>
      <c r="L1027" s="20"/>
      <c r="M1027" s="20"/>
      <c r="N1027" s="20"/>
    </row>
    <row r="1028">
      <c r="A1028" s="16"/>
      <c r="B1028" s="20"/>
      <c r="C1028" s="20"/>
      <c r="D1028" s="20"/>
      <c r="E1028" s="20"/>
      <c r="F1028" s="20"/>
      <c r="G1028" s="20"/>
      <c r="H1028" s="20"/>
      <c r="I1028" s="20"/>
      <c r="J1028" s="20"/>
      <c r="K1028" s="20"/>
      <c r="L1028" s="20"/>
      <c r="M1028" s="20"/>
      <c r="N1028" s="20"/>
    </row>
    <row r="1029">
      <c r="A1029" s="16"/>
      <c r="B1029" s="20"/>
      <c r="C1029" s="20"/>
      <c r="D1029" s="20"/>
      <c r="E1029" s="20"/>
      <c r="F1029" s="20"/>
      <c r="G1029" s="20"/>
      <c r="H1029" s="20"/>
      <c r="I1029" s="20"/>
      <c r="J1029" s="20"/>
      <c r="K1029" s="20"/>
      <c r="L1029" s="20"/>
      <c r="M1029" s="20"/>
      <c r="N1029" s="20"/>
    </row>
    <row r="1030">
      <c r="A1030" s="16"/>
      <c r="B1030" s="20"/>
      <c r="C1030" s="20"/>
      <c r="D1030" s="20"/>
      <c r="E1030" s="20"/>
      <c r="F1030" s="20"/>
      <c r="G1030" s="20"/>
      <c r="H1030" s="20"/>
      <c r="I1030" s="20"/>
      <c r="J1030" s="20"/>
      <c r="K1030" s="20"/>
      <c r="L1030" s="20"/>
      <c r="M1030" s="20"/>
      <c r="N1030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33.0"/>
    <col customWidth="1" min="4" max="4" width="25.75"/>
    <col customWidth="1" min="5" max="5" width="31.13"/>
    <col customWidth="1" min="6" max="6" width="20.75"/>
    <col customWidth="1" min="7" max="7" width="23.0"/>
    <col customWidth="1" min="8" max="8" width="20.88"/>
  </cols>
  <sheetData>
    <row r="1">
      <c r="A1" s="21" t="s">
        <v>24</v>
      </c>
      <c r="B1" s="11" t="s">
        <v>25</v>
      </c>
      <c r="C1" s="11" t="s">
        <v>26</v>
      </c>
      <c r="D1" s="22" t="s">
        <v>27</v>
      </c>
      <c r="H1" s="23"/>
      <c r="I1" s="24"/>
    </row>
    <row r="2">
      <c r="A2" s="16"/>
    </row>
    <row r="3">
      <c r="A3" s="25" t="s">
        <v>28</v>
      </c>
      <c r="B3" s="26"/>
      <c r="C3" s="27">
        <v>45748.0</v>
      </c>
      <c r="D3" s="28">
        <v>1000.0</v>
      </c>
    </row>
    <row r="4">
      <c r="A4" s="25" t="s">
        <v>29</v>
      </c>
      <c r="B4" s="26"/>
      <c r="C4" s="27">
        <v>45748.0</v>
      </c>
      <c r="D4" s="28">
        <v>799.0</v>
      </c>
    </row>
    <row r="5">
      <c r="A5" s="29" t="s">
        <v>30</v>
      </c>
      <c r="B5" s="26"/>
      <c r="C5" s="27">
        <v>45748.0</v>
      </c>
      <c r="D5" s="28">
        <v>1000.0</v>
      </c>
    </row>
    <row r="6">
      <c r="A6" s="30" t="s">
        <v>31</v>
      </c>
      <c r="B6" s="26"/>
      <c r="C6" s="27">
        <v>45748.0</v>
      </c>
      <c r="D6" s="31">
        <v>1000.0</v>
      </c>
    </row>
    <row r="7">
      <c r="A7" s="30" t="s">
        <v>32</v>
      </c>
      <c r="B7" s="26"/>
      <c r="C7" s="27">
        <v>45748.0</v>
      </c>
      <c r="D7" s="31">
        <v>1000.0</v>
      </c>
    </row>
    <row r="8">
      <c r="A8" s="30" t="s">
        <v>33</v>
      </c>
      <c r="B8" s="26"/>
      <c r="C8" s="27">
        <v>45748.0</v>
      </c>
      <c r="D8" s="31">
        <v>1000.0</v>
      </c>
    </row>
    <row r="9">
      <c r="A9" s="26" t="s">
        <v>34</v>
      </c>
      <c r="B9" s="26"/>
      <c r="C9" s="27">
        <v>45748.0</v>
      </c>
      <c r="D9" s="31">
        <v>1000.0</v>
      </c>
    </row>
    <row r="10">
      <c r="A10" s="26" t="s">
        <v>35</v>
      </c>
      <c r="B10" s="26"/>
      <c r="C10" s="27">
        <v>45748.0</v>
      </c>
      <c r="D10" s="31">
        <v>1000.0</v>
      </c>
    </row>
    <row r="11">
      <c r="A11" s="26" t="s">
        <v>36</v>
      </c>
      <c r="B11" s="26"/>
      <c r="C11" s="27">
        <v>45748.0</v>
      </c>
      <c r="D11" s="31">
        <v>1000.0</v>
      </c>
    </row>
    <row r="12">
      <c r="A12" s="26" t="s">
        <v>37</v>
      </c>
      <c r="B12" s="26"/>
      <c r="C12" s="27">
        <v>45748.0</v>
      </c>
      <c r="D12" s="31">
        <v>1000.0</v>
      </c>
    </row>
    <row r="13">
      <c r="A13" s="26" t="s">
        <v>38</v>
      </c>
      <c r="B13" s="26"/>
      <c r="C13" s="27">
        <v>45748.0</v>
      </c>
      <c r="D13" s="31">
        <v>1000.0</v>
      </c>
    </row>
    <row r="14">
      <c r="A14" s="26" t="s">
        <v>39</v>
      </c>
      <c r="B14" s="26"/>
      <c r="C14" s="27">
        <v>45748.0</v>
      </c>
      <c r="D14" s="31">
        <v>1250.0</v>
      </c>
    </row>
    <row r="15">
      <c r="A15" s="26" t="s">
        <v>40</v>
      </c>
      <c r="B15" s="26"/>
      <c r="C15" s="27">
        <v>45748.0</v>
      </c>
      <c r="D15" s="31">
        <v>799.0</v>
      </c>
    </row>
    <row r="16">
      <c r="A16" s="26" t="s">
        <v>41</v>
      </c>
      <c r="B16" s="26"/>
      <c r="C16" s="27">
        <v>45748.0</v>
      </c>
      <c r="D16" s="31">
        <v>799.0</v>
      </c>
    </row>
    <row r="17">
      <c r="A17" s="26" t="s">
        <v>42</v>
      </c>
      <c r="B17" s="26"/>
      <c r="C17" s="27">
        <v>45748.0</v>
      </c>
      <c r="D17" s="31">
        <v>1000.0</v>
      </c>
    </row>
    <row r="18">
      <c r="A18" s="26" t="s">
        <v>43</v>
      </c>
      <c r="B18" s="26"/>
      <c r="C18" s="27">
        <v>45748.0</v>
      </c>
      <c r="D18" s="31">
        <v>1000.0</v>
      </c>
    </row>
    <row r="19">
      <c r="A19" s="26" t="s">
        <v>44</v>
      </c>
      <c r="B19" s="26"/>
      <c r="C19" s="27">
        <v>45748.0</v>
      </c>
      <c r="D19" s="31">
        <v>1000.0</v>
      </c>
    </row>
    <row r="20">
      <c r="A20" s="26" t="s">
        <v>45</v>
      </c>
      <c r="B20" s="26"/>
      <c r="C20" s="27">
        <v>45748.0</v>
      </c>
      <c r="D20" s="31">
        <v>1000.0</v>
      </c>
    </row>
    <row r="21">
      <c r="A21" s="26" t="s">
        <v>46</v>
      </c>
      <c r="B21" s="26"/>
      <c r="C21" s="27">
        <v>45748.0</v>
      </c>
      <c r="D21" s="31">
        <v>3000.0</v>
      </c>
    </row>
    <row r="22">
      <c r="A22" s="26" t="s">
        <v>47</v>
      </c>
      <c r="B22" s="26"/>
      <c r="C22" s="27">
        <v>45748.0</v>
      </c>
      <c r="D22" s="31">
        <v>1000.0</v>
      </c>
    </row>
    <row r="23">
      <c r="A23" s="26" t="s">
        <v>48</v>
      </c>
      <c r="B23" s="26"/>
      <c r="C23" s="27">
        <v>45748.0</v>
      </c>
      <c r="D23" s="31">
        <v>1000.0</v>
      </c>
    </row>
    <row r="24">
      <c r="A24" s="26" t="s">
        <v>49</v>
      </c>
      <c r="B24" s="26"/>
      <c r="C24" s="27">
        <v>45748.0</v>
      </c>
      <c r="D24" s="31">
        <v>3750.0</v>
      </c>
    </row>
    <row r="25">
      <c r="A25" s="26" t="s">
        <v>50</v>
      </c>
      <c r="B25" s="26"/>
      <c r="C25" s="27">
        <v>45748.0</v>
      </c>
      <c r="D25" s="31">
        <v>1500.0</v>
      </c>
    </row>
    <row r="26">
      <c r="A26" s="26" t="s">
        <v>51</v>
      </c>
      <c r="B26" s="26"/>
      <c r="C26" s="27">
        <v>45748.0</v>
      </c>
      <c r="D26" s="31">
        <v>1000.0</v>
      </c>
    </row>
    <row r="27">
      <c r="A27" s="26" t="s">
        <v>52</v>
      </c>
      <c r="B27" s="26"/>
      <c r="C27" s="27">
        <v>45748.0</v>
      </c>
      <c r="D27" s="31">
        <v>1000.0</v>
      </c>
    </row>
    <row r="28">
      <c r="A28" s="26" t="s">
        <v>53</v>
      </c>
      <c r="B28" s="26"/>
      <c r="C28" s="27">
        <v>45749.0</v>
      </c>
      <c r="D28" s="31">
        <v>1000.0</v>
      </c>
    </row>
    <row r="29">
      <c r="A29" s="26" t="s">
        <v>54</v>
      </c>
      <c r="B29" s="26"/>
      <c r="C29" s="27">
        <v>45749.0</v>
      </c>
      <c r="D29" s="31">
        <v>2750.0</v>
      </c>
    </row>
    <row r="30">
      <c r="A30" s="26" t="s">
        <v>50</v>
      </c>
      <c r="B30" s="26"/>
      <c r="C30" s="27">
        <v>45749.0</v>
      </c>
      <c r="D30" s="31">
        <v>2700.0</v>
      </c>
    </row>
    <row r="31">
      <c r="A31" s="26" t="s">
        <v>55</v>
      </c>
      <c r="B31" s="26"/>
      <c r="C31" s="27">
        <v>45749.0</v>
      </c>
      <c r="D31" s="31">
        <v>1500.0</v>
      </c>
    </row>
    <row r="32">
      <c r="A32" s="30" t="s">
        <v>56</v>
      </c>
      <c r="B32" s="30"/>
      <c r="C32" s="27">
        <v>45749.0</v>
      </c>
      <c r="D32" s="32">
        <v>2750.0</v>
      </c>
    </row>
    <row r="33">
      <c r="A33" s="30" t="s">
        <v>57</v>
      </c>
      <c r="B33" s="30"/>
      <c r="C33" s="27">
        <v>45749.0</v>
      </c>
      <c r="D33" s="32">
        <v>1000.0</v>
      </c>
    </row>
    <row r="34">
      <c r="A34" s="30" t="s">
        <v>58</v>
      </c>
      <c r="B34" s="30"/>
      <c r="C34" s="27">
        <v>45749.0</v>
      </c>
      <c r="D34" s="32">
        <v>799.0</v>
      </c>
    </row>
    <row r="35">
      <c r="A35" s="30" t="s">
        <v>59</v>
      </c>
      <c r="B35" s="30"/>
      <c r="C35" s="27">
        <v>45749.0</v>
      </c>
      <c r="D35" s="32">
        <v>1200.0</v>
      </c>
    </row>
    <row r="36">
      <c r="A36" s="30" t="s">
        <v>60</v>
      </c>
      <c r="B36" s="30"/>
      <c r="C36" s="27">
        <v>45749.0</v>
      </c>
      <c r="D36" s="32">
        <v>799.0</v>
      </c>
    </row>
    <row r="37">
      <c r="A37" s="30" t="s">
        <v>61</v>
      </c>
      <c r="B37" s="30"/>
      <c r="C37" s="33">
        <v>45750.0</v>
      </c>
      <c r="D37" s="32">
        <v>2750.0</v>
      </c>
    </row>
    <row r="38">
      <c r="A38" s="30" t="s">
        <v>62</v>
      </c>
      <c r="B38" s="30"/>
      <c r="C38" s="33">
        <v>45750.0</v>
      </c>
      <c r="D38" s="32">
        <v>2750.0</v>
      </c>
    </row>
    <row r="39">
      <c r="A39" s="30" t="s">
        <v>63</v>
      </c>
      <c r="B39" s="30"/>
      <c r="C39" s="33">
        <v>45750.0</v>
      </c>
      <c r="D39" s="32">
        <v>1000.0</v>
      </c>
    </row>
    <row r="40">
      <c r="A40" s="30"/>
      <c r="B40" s="30"/>
      <c r="C40" s="33"/>
      <c r="D40" s="32"/>
    </row>
    <row r="41">
      <c r="A41" s="30" t="s">
        <v>64</v>
      </c>
      <c r="B41" s="30"/>
      <c r="C41" s="33">
        <v>45750.0</v>
      </c>
      <c r="D41" s="32">
        <v>2700.0</v>
      </c>
    </row>
    <row r="42">
      <c r="A42" s="30" t="s">
        <v>65</v>
      </c>
      <c r="B42" s="30"/>
      <c r="C42" s="33">
        <v>45750.0</v>
      </c>
      <c r="D42" s="32">
        <v>1000.0</v>
      </c>
    </row>
    <row r="43">
      <c r="A43" s="30" t="s">
        <v>66</v>
      </c>
      <c r="B43" s="30"/>
      <c r="C43" s="33">
        <v>45750.0</v>
      </c>
      <c r="D43" s="32">
        <v>2700.0</v>
      </c>
    </row>
    <row r="44">
      <c r="A44" s="30" t="s">
        <v>67</v>
      </c>
      <c r="B44" s="30"/>
      <c r="C44" s="33">
        <v>45750.0</v>
      </c>
      <c r="D44" s="32">
        <v>1500.0</v>
      </c>
    </row>
    <row r="45">
      <c r="A45" s="34" t="s">
        <v>68</v>
      </c>
      <c r="B45" s="34" t="s">
        <v>69</v>
      </c>
      <c r="C45" s="35">
        <v>45753.04241898148</v>
      </c>
      <c r="D45" s="36">
        <v>1000.0</v>
      </c>
    </row>
    <row r="46">
      <c r="A46" s="34" t="s">
        <v>70</v>
      </c>
      <c r="B46" s="34" t="s">
        <v>71</v>
      </c>
      <c r="C46" s="35">
        <v>45753.589537037034</v>
      </c>
      <c r="D46" s="36">
        <v>1000.0</v>
      </c>
    </row>
    <row r="47">
      <c r="A47" s="34" t="s">
        <v>72</v>
      </c>
      <c r="B47" s="34" t="s">
        <v>73</v>
      </c>
      <c r="C47" s="35">
        <v>45753.768738425926</v>
      </c>
      <c r="D47" s="36">
        <v>3600.0</v>
      </c>
    </row>
    <row r="48">
      <c r="A48" s="34" t="s">
        <v>74</v>
      </c>
      <c r="B48" s="34" t="s">
        <v>75</v>
      </c>
      <c r="C48" s="35">
        <v>45753.807604166665</v>
      </c>
      <c r="D48" s="36">
        <v>2700.0</v>
      </c>
    </row>
    <row r="49">
      <c r="A49" s="34" t="s">
        <v>76</v>
      </c>
      <c r="B49" s="34" t="s">
        <v>77</v>
      </c>
      <c r="C49" s="37">
        <v>45754.65216435185</v>
      </c>
      <c r="D49" s="36">
        <v>2700.0</v>
      </c>
    </row>
    <row r="50">
      <c r="A50" s="34" t="s">
        <v>78</v>
      </c>
      <c r="B50" s="34" t="s">
        <v>79</v>
      </c>
      <c r="C50" s="37">
        <v>45755.59615740741</v>
      </c>
      <c r="D50" s="36">
        <v>699.0</v>
      </c>
    </row>
    <row r="51">
      <c r="A51" s="34" t="s">
        <v>80</v>
      </c>
      <c r="B51" s="34" t="s">
        <v>81</v>
      </c>
      <c r="C51" s="37">
        <v>45755.68708333333</v>
      </c>
      <c r="D51" s="36">
        <v>699.0</v>
      </c>
    </row>
    <row r="52">
      <c r="A52" s="34"/>
      <c r="B52" s="34"/>
      <c r="C52" s="37"/>
      <c r="D52" s="36"/>
    </row>
    <row r="53">
      <c r="A53" s="34" t="s">
        <v>82</v>
      </c>
      <c r="B53" s="34" t="s">
        <v>83</v>
      </c>
      <c r="C53" s="37">
        <v>45756.54555555555</v>
      </c>
      <c r="D53" s="36">
        <v>699.0</v>
      </c>
    </row>
    <row r="54">
      <c r="A54" s="34" t="s">
        <v>32</v>
      </c>
      <c r="B54" s="34" t="s">
        <v>84</v>
      </c>
      <c r="C54" s="37">
        <v>45756.56799768518</v>
      </c>
      <c r="D54" s="36">
        <v>699.0</v>
      </c>
    </row>
    <row r="55">
      <c r="A55" s="34" t="s">
        <v>85</v>
      </c>
      <c r="B55" s="34" t="s">
        <v>86</v>
      </c>
      <c r="C55" s="37">
        <v>45756.76559027778</v>
      </c>
      <c r="D55" s="36">
        <v>2700.0</v>
      </c>
    </row>
    <row r="56">
      <c r="A56" s="34" t="s">
        <v>87</v>
      </c>
      <c r="B56" s="34" t="s">
        <v>88</v>
      </c>
      <c r="C56" s="37">
        <v>45757.04278935185</v>
      </c>
      <c r="D56" s="36">
        <v>1250.0</v>
      </c>
    </row>
    <row r="57">
      <c r="A57" s="34"/>
      <c r="B57" s="34"/>
      <c r="C57" s="37"/>
      <c r="D57" s="36"/>
    </row>
    <row r="58">
      <c r="A58" s="34"/>
      <c r="B58" s="34"/>
      <c r="C58" s="37"/>
      <c r="D58" s="36"/>
    </row>
    <row r="59">
      <c r="A59" s="34" t="s">
        <v>89</v>
      </c>
      <c r="B59" s="34" t="s">
        <v>90</v>
      </c>
      <c r="C59" s="37">
        <v>45748.51084490741</v>
      </c>
      <c r="D59" s="36">
        <v>1500.0</v>
      </c>
    </row>
    <row r="60">
      <c r="A60" s="34"/>
      <c r="B60" s="34"/>
      <c r="C60" s="37"/>
      <c r="D60" s="36"/>
    </row>
    <row r="61">
      <c r="A61" s="34" t="s">
        <v>91</v>
      </c>
      <c r="B61" s="34" t="s">
        <v>92</v>
      </c>
      <c r="C61" s="37">
        <v>45757.69857638889</v>
      </c>
      <c r="D61" s="36">
        <v>699.0</v>
      </c>
    </row>
    <row r="62">
      <c r="A62" s="34" t="s">
        <v>93</v>
      </c>
      <c r="B62" s="34" t="s">
        <v>94</v>
      </c>
      <c r="C62" s="37">
        <v>45757.75077546296</v>
      </c>
      <c r="D62" s="36">
        <v>1000.0</v>
      </c>
    </row>
    <row r="63">
      <c r="A63" s="34" t="s">
        <v>95</v>
      </c>
      <c r="B63" s="34" t="s">
        <v>96</v>
      </c>
      <c r="C63" s="37">
        <v>45757.60700231481</v>
      </c>
      <c r="D63" s="36">
        <v>1200.0</v>
      </c>
    </row>
    <row r="64">
      <c r="A64" s="34" t="s">
        <v>97</v>
      </c>
      <c r="B64" s="34" t="s">
        <v>98</v>
      </c>
      <c r="C64" s="37">
        <v>45758.60569444444</v>
      </c>
      <c r="D64" s="36">
        <v>2700.0</v>
      </c>
    </row>
    <row r="65">
      <c r="A65" s="34" t="s">
        <v>99</v>
      </c>
      <c r="B65" s="34" t="s">
        <v>100</v>
      </c>
      <c r="C65" s="37">
        <v>45758.71600694444</v>
      </c>
      <c r="D65" s="36">
        <v>1200.0</v>
      </c>
    </row>
    <row r="66">
      <c r="A66" s="34" t="s">
        <v>101</v>
      </c>
      <c r="B66" s="34" t="s">
        <v>102</v>
      </c>
      <c r="C66" s="37">
        <v>45760.71244212963</v>
      </c>
      <c r="D66" s="36">
        <v>1200.0</v>
      </c>
    </row>
    <row r="67">
      <c r="A67" s="34"/>
      <c r="B67" s="34"/>
      <c r="C67" s="37"/>
      <c r="D67" s="36"/>
    </row>
    <row r="68">
      <c r="A68" s="34"/>
      <c r="B68" s="34"/>
      <c r="C68" s="37"/>
      <c r="D68" s="36"/>
    </row>
    <row r="69">
      <c r="A69" s="34"/>
      <c r="B69" s="34"/>
      <c r="C69" s="37"/>
      <c r="D69" s="36"/>
    </row>
    <row r="70">
      <c r="A70" s="34"/>
      <c r="B70" s="34"/>
      <c r="C70" s="37"/>
      <c r="D70" s="36"/>
    </row>
    <row r="71">
      <c r="A71" s="34" t="s">
        <v>103</v>
      </c>
      <c r="B71" s="34" t="s">
        <v>104</v>
      </c>
      <c r="C71" s="37">
        <v>45762.430231481485</v>
      </c>
      <c r="D71" s="36">
        <v>2700.0</v>
      </c>
    </row>
    <row r="72">
      <c r="A72" s="34" t="s">
        <v>105</v>
      </c>
      <c r="B72" s="34" t="s">
        <v>106</v>
      </c>
      <c r="C72" s="37">
        <v>45762.67600694444</v>
      </c>
      <c r="D72" s="36">
        <v>2700.0</v>
      </c>
    </row>
    <row r="73">
      <c r="A73" s="34" t="s">
        <v>107</v>
      </c>
      <c r="B73" s="34" t="s">
        <v>108</v>
      </c>
      <c r="C73" s="37">
        <v>45762.67600694444</v>
      </c>
      <c r="D73" s="36">
        <v>1000.0</v>
      </c>
    </row>
    <row r="74">
      <c r="A74" s="34" t="s">
        <v>109</v>
      </c>
      <c r="B74" s="34" t="s">
        <v>110</v>
      </c>
      <c r="C74" s="37">
        <v>45764.67737268518</v>
      </c>
      <c r="D74" s="36">
        <v>500.0</v>
      </c>
    </row>
    <row r="75">
      <c r="A75" s="34" t="s">
        <v>111</v>
      </c>
      <c r="B75" s="34" t="s">
        <v>112</v>
      </c>
      <c r="C75" s="37">
        <v>45765.672326388885</v>
      </c>
      <c r="D75" s="36">
        <v>1200.0</v>
      </c>
    </row>
    <row r="76">
      <c r="A76" s="34" t="s">
        <v>113</v>
      </c>
      <c r="B76" s="34" t="s">
        <v>114</v>
      </c>
      <c r="C76" s="37">
        <v>45766.676840277774</v>
      </c>
      <c r="D76" s="36">
        <v>1200.0</v>
      </c>
    </row>
    <row r="77">
      <c r="A77" s="34" t="s">
        <v>115</v>
      </c>
      <c r="B77" s="34" t="s">
        <v>116</v>
      </c>
      <c r="C77" s="37">
        <v>45767.395532407405</v>
      </c>
      <c r="D77" s="36">
        <v>1250.0</v>
      </c>
    </row>
    <row r="78">
      <c r="A78" s="34" t="s">
        <v>117</v>
      </c>
      <c r="B78" s="34" t="s">
        <v>118</v>
      </c>
      <c r="C78" s="37">
        <v>45767.54871527778</v>
      </c>
      <c r="D78" s="36">
        <v>2700.0</v>
      </c>
    </row>
    <row r="79">
      <c r="A79" s="34" t="s">
        <v>119</v>
      </c>
      <c r="B79" s="34" t="s">
        <v>120</v>
      </c>
      <c r="C79" s="37">
        <v>45766.67805555555</v>
      </c>
      <c r="D79" s="36">
        <v>1000.0</v>
      </c>
    </row>
    <row r="80">
      <c r="A80" s="34"/>
      <c r="B80" s="34"/>
      <c r="C80" s="37"/>
      <c r="D80" s="36"/>
    </row>
    <row r="81">
      <c r="A81" s="34" t="s">
        <v>115</v>
      </c>
      <c r="B81" s="34" t="s">
        <v>116</v>
      </c>
      <c r="C81" s="37">
        <v>45768.217523148145</v>
      </c>
      <c r="D81" s="36">
        <v>1500.0</v>
      </c>
    </row>
    <row r="82">
      <c r="A82" s="34" t="s">
        <v>121</v>
      </c>
      <c r="B82" s="34" t="s">
        <v>122</v>
      </c>
      <c r="C82" s="37">
        <v>45768.45216435185</v>
      </c>
      <c r="D82" s="36">
        <v>2700.0</v>
      </c>
    </row>
    <row r="83">
      <c r="A83" s="34" t="s">
        <v>123</v>
      </c>
      <c r="B83" s="34" t="s">
        <v>124</v>
      </c>
      <c r="C83" s="37">
        <v>45767.67271990741</v>
      </c>
      <c r="D83" s="36">
        <v>1200.0</v>
      </c>
    </row>
    <row r="84">
      <c r="A84" s="34"/>
      <c r="B84" s="34"/>
      <c r="C84" s="37">
        <v>45768.75844907408</v>
      </c>
      <c r="D84" s="36">
        <v>100.0</v>
      </c>
    </row>
    <row r="85">
      <c r="A85" s="34" t="s">
        <v>125</v>
      </c>
      <c r="B85" s="34" t="s">
        <v>126</v>
      </c>
      <c r="C85" s="37">
        <v>45769.42700231481</v>
      </c>
      <c r="D85" s="36">
        <v>799.0</v>
      </c>
    </row>
    <row r="86">
      <c r="A86" s="34" t="s">
        <v>127</v>
      </c>
      <c r="B86" s="34"/>
      <c r="C86" s="37">
        <v>45769.42700231481</v>
      </c>
      <c r="D86" s="36">
        <v>500.0</v>
      </c>
    </row>
    <row r="87">
      <c r="A87" s="34" t="s">
        <v>128</v>
      </c>
      <c r="B87" s="34"/>
      <c r="C87" s="37">
        <v>45769.42700231481</v>
      </c>
      <c r="D87" s="36">
        <v>2700.0</v>
      </c>
    </row>
    <row r="88">
      <c r="A88" s="34" t="s">
        <v>129</v>
      </c>
      <c r="B88" s="34" t="s">
        <v>130</v>
      </c>
      <c r="C88" s="37">
        <v>45769.615752314814</v>
      </c>
      <c r="D88" s="36">
        <v>1700.0</v>
      </c>
    </row>
    <row r="89">
      <c r="A89" s="34" t="s">
        <v>131</v>
      </c>
      <c r="B89" s="34" t="s">
        <v>132</v>
      </c>
      <c r="C89" s="37">
        <v>45769.64934027778</v>
      </c>
      <c r="D89" s="36">
        <v>1500.0</v>
      </c>
    </row>
    <row r="90">
      <c r="A90" s="34" t="s">
        <v>133</v>
      </c>
      <c r="B90" s="34" t="s">
        <v>134</v>
      </c>
      <c r="C90" s="37">
        <v>45770.504965277774</v>
      </c>
      <c r="D90" s="36">
        <v>1000.0</v>
      </c>
    </row>
    <row r="91">
      <c r="A91" s="34" t="s">
        <v>135</v>
      </c>
      <c r="B91" s="34" t="s">
        <v>136</v>
      </c>
      <c r="C91" s="37">
        <v>45770.61608796296</v>
      </c>
      <c r="D91" s="36">
        <v>2750.0</v>
      </c>
    </row>
    <row r="92">
      <c r="A92" s="34" t="s">
        <v>137</v>
      </c>
      <c r="B92" s="34" t="s">
        <v>138</v>
      </c>
      <c r="C92" s="37">
        <v>45771.667592592596</v>
      </c>
      <c r="D92" s="36">
        <v>799.0</v>
      </c>
    </row>
    <row r="93">
      <c r="A93" s="34" t="s">
        <v>139</v>
      </c>
      <c r="B93" s="34" t="s">
        <v>140</v>
      </c>
      <c r="C93" s="37">
        <v>45770.61450231481</v>
      </c>
      <c r="D93" s="36">
        <v>1200.0</v>
      </c>
    </row>
    <row r="94">
      <c r="A94" s="34" t="s">
        <v>141</v>
      </c>
      <c r="B94" s="34" t="s">
        <v>142</v>
      </c>
      <c r="C94" s="37">
        <v>45771.730578703704</v>
      </c>
      <c r="D94" s="36">
        <v>1000.0</v>
      </c>
    </row>
    <row r="95">
      <c r="A95" s="34" t="s">
        <v>143</v>
      </c>
      <c r="B95" s="34" t="s">
        <v>144</v>
      </c>
      <c r="C95" s="37">
        <v>45772.04355324074</v>
      </c>
      <c r="D95" s="36">
        <v>1200.0</v>
      </c>
    </row>
    <row r="96">
      <c r="A96" s="34" t="s">
        <v>145</v>
      </c>
      <c r="B96" s="34" t="s">
        <v>146</v>
      </c>
      <c r="C96" s="37">
        <v>45765.653495370374</v>
      </c>
      <c r="D96" s="36">
        <v>1200.0</v>
      </c>
    </row>
    <row r="97">
      <c r="A97" s="34"/>
      <c r="B97" s="34"/>
      <c r="C97" s="37">
        <v>45772.76976851852</v>
      </c>
      <c r="D97" s="36">
        <v>100.0</v>
      </c>
    </row>
    <row r="98">
      <c r="A98" s="34" t="s">
        <v>147</v>
      </c>
      <c r="B98" s="34" t="s">
        <v>148</v>
      </c>
      <c r="C98" s="37">
        <v>45772.815671296295</v>
      </c>
      <c r="D98" s="36">
        <v>1200.0</v>
      </c>
    </row>
    <row r="99">
      <c r="A99" s="34" t="s">
        <v>149</v>
      </c>
      <c r="B99" s="34" t="s">
        <v>150</v>
      </c>
      <c r="C99" s="37">
        <v>45773.74796296296</v>
      </c>
      <c r="D99" s="36">
        <v>1200.0</v>
      </c>
    </row>
    <row r="100">
      <c r="A100" s="34"/>
      <c r="B100" s="34"/>
      <c r="C100" s="37"/>
      <c r="D100" s="36"/>
    </row>
    <row r="101">
      <c r="A101" s="34"/>
      <c r="B101" s="34"/>
      <c r="C101" s="37"/>
      <c r="D101" s="36"/>
    </row>
    <row r="102">
      <c r="A102" s="34" t="s">
        <v>151</v>
      </c>
      <c r="B102" s="34" t="s">
        <v>152</v>
      </c>
      <c r="C102" s="37">
        <v>45769.52961805555</v>
      </c>
      <c r="D102" s="36">
        <v>1000.0</v>
      </c>
    </row>
    <row r="103">
      <c r="A103" s="34" t="s">
        <v>153</v>
      </c>
      <c r="B103" s="34" t="s">
        <v>154</v>
      </c>
      <c r="C103" s="37">
        <v>45774.04204861111</v>
      </c>
      <c r="D103" s="36">
        <v>799.0</v>
      </c>
    </row>
    <row r="104">
      <c r="A104" s="34" t="s">
        <v>155</v>
      </c>
      <c r="B104" s="34" t="s">
        <v>156</v>
      </c>
      <c r="C104" s="37">
        <v>45771.57108796296</v>
      </c>
      <c r="D104" s="36">
        <v>1200.0</v>
      </c>
    </row>
    <row r="105">
      <c r="A105" s="34" t="s">
        <v>157</v>
      </c>
      <c r="B105" s="34" t="s">
        <v>158</v>
      </c>
      <c r="C105" s="37">
        <v>45775.680127314816</v>
      </c>
      <c r="D105" s="36">
        <v>1200.0</v>
      </c>
    </row>
    <row r="106">
      <c r="A106" s="34" t="s">
        <v>159</v>
      </c>
      <c r="B106" s="34" t="s">
        <v>160</v>
      </c>
      <c r="C106" s="37">
        <v>45775.69920138889</v>
      </c>
      <c r="D106" s="36">
        <v>2700.0</v>
      </c>
    </row>
    <row r="107">
      <c r="A107" s="34"/>
      <c r="B107" s="34"/>
      <c r="C107" s="37">
        <v>45775.879837962966</v>
      </c>
      <c r="D107" s="36">
        <v>199.0</v>
      </c>
    </row>
    <row r="108">
      <c r="A108" s="34" t="s">
        <v>161</v>
      </c>
      <c r="B108" s="34" t="s">
        <v>162</v>
      </c>
      <c r="C108" s="37">
        <v>45776.6512037037</v>
      </c>
      <c r="D108" s="36">
        <v>2700.0</v>
      </c>
    </row>
    <row r="109">
      <c r="A109" s="34" t="s">
        <v>163</v>
      </c>
      <c r="B109" s="34" t="s">
        <v>164</v>
      </c>
      <c r="C109" s="37">
        <v>45777.04672453704</v>
      </c>
      <c r="D109" s="36">
        <v>1200.0</v>
      </c>
    </row>
    <row r="110">
      <c r="A110" s="34" t="s">
        <v>165</v>
      </c>
      <c r="B110" s="34" t="s">
        <v>166</v>
      </c>
      <c r="C110" s="37">
        <v>45777.046956018516</v>
      </c>
      <c r="D110" s="36">
        <v>2700.0</v>
      </c>
    </row>
    <row r="111">
      <c r="A111" s="34" t="s">
        <v>167</v>
      </c>
      <c r="B111" s="34" t="s">
        <v>168</v>
      </c>
      <c r="C111" s="37">
        <v>45777.04723379629</v>
      </c>
      <c r="D111" s="36">
        <v>1200.0</v>
      </c>
    </row>
    <row r="112">
      <c r="A112" s="34" t="s">
        <v>169</v>
      </c>
      <c r="B112" s="34" t="s">
        <v>170</v>
      </c>
      <c r="C112" s="37">
        <v>45767.61375</v>
      </c>
      <c r="D112" s="36">
        <v>1200.0</v>
      </c>
    </row>
    <row r="113">
      <c r="A113" s="34"/>
      <c r="B113" s="34"/>
      <c r="C113" s="37"/>
      <c r="D113" s="36"/>
    </row>
    <row r="114">
      <c r="A114" s="34"/>
      <c r="B114" s="34"/>
      <c r="C114" s="37"/>
      <c r="D114" s="36"/>
    </row>
    <row r="115">
      <c r="A115" s="34" t="s">
        <v>171</v>
      </c>
      <c r="B115" s="34" t="s">
        <v>172</v>
      </c>
      <c r="C115" s="37">
        <v>45775.10398148148</v>
      </c>
      <c r="D115" s="36">
        <v>1000.0</v>
      </c>
    </row>
    <row r="116">
      <c r="A116" s="34" t="s">
        <v>173</v>
      </c>
      <c r="B116" s="34" t="s">
        <v>174</v>
      </c>
      <c r="C116" s="37">
        <v>45748.07215277778</v>
      </c>
      <c r="D116" s="36">
        <v>1000.0</v>
      </c>
    </row>
    <row r="117">
      <c r="A117" s="34" t="s">
        <v>175</v>
      </c>
      <c r="B117" s="34" t="s">
        <v>176</v>
      </c>
      <c r="C117" s="37">
        <v>45748.1059375</v>
      </c>
      <c r="D117" s="36">
        <v>1000.0</v>
      </c>
    </row>
    <row r="118">
      <c r="A118" s="34"/>
      <c r="B118" s="34"/>
      <c r="C118" s="37"/>
      <c r="D118" s="36"/>
    </row>
    <row r="119">
      <c r="A119" s="34" t="s">
        <v>177</v>
      </c>
      <c r="B119" s="34" t="s">
        <v>178</v>
      </c>
      <c r="C119" s="37">
        <v>45777.437997685185</v>
      </c>
      <c r="D119" s="36">
        <v>1200.0</v>
      </c>
    </row>
    <row r="120">
      <c r="A120" s="34"/>
      <c r="B120" s="34"/>
      <c r="C120" s="37">
        <v>45777.63783564815</v>
      </c>
      <c r="D120" s="36">
        <v>1000.0</v>
      </c>
    </row>
    <row r="121">
      <c r="A121" s="34" t="s">
        <v>179</v>
      </c>
      <c r="B121" s="34" t="s">
        <v>180</v>
      </c>
      <c r="C121" s="37">
        <v>45777.769641203704</v>
      </c>
      <c r="D121" s="36">
        <v>700.0</v>
      </c>
    </row>
    <row r="122">
      <c r="A122" s="34"/>
      <c r="B122" s="34"/>
      <c r="C122" s="37"/>
      <c r="D122" s="36"/>
    </row>
    <row r="123">
      <c r="A123" s="34" t="s">
        <v>181</v>
      </c>
      <c r="B123" s="34" t="s">
        <v>182</v>
      </c>
      <c r="C123" s="37">
        <v>45778.05122685185</v>
      </c>
      <c r="D123" s="36">
        <v>1000.0</v>
      </c>
    </row>
    <row r="124">
      <c r="A124" s="34"/>
      <c r="B124" s="34"/>
      <c r="C124" s="37"/>
      <c r="D124" s="36"/>
    </row>
    <row r="125">
      <c r="A125" s="34" t="s">
        <v>183</v>
      </c>
      <c r="B125" s="34" t="s">
        <v>184</v>
      </c>
      <c r="C125" s="37">
        <v>45778.06116898148</v>
      </c>
      <c r="D125" s="36">
        <v>1000.0</v>
      </c>
    </row>
    <row r="126">
      <c r="A126" s="34" t="s">
        <v>185</v>
      </c>
      <c r="B126" s="34" t="s">
        <v>186</v>
      </c>
      <c r="C126" s="37">
        <v>45778.06298611111</v>
      </c>
      <c r="D126" s="36">
        <v>1000.0</v>
      </c>
    </row>
    <row r="127">
      <c r="A127" s="34" t="s">
        <v>187</v>
      </c>
      <c r="B127" s="34" t="s">
        <v>188</v>
      </c>
      <c r="C127" s="37">
        <v>45778.10422453703</v>
      </c>
      <c r="D127" s="36">
        <v>2700.0</v>
      </c>
    </row>
    <row r="128">
      <c r="A128" s="34" t="s">
        <v>189</v>
      </c>
      <c r="B128" s="34" t="s">
        <v>190</v>
      </c>
      <c r="C128" s="37">
        <v>45778.10422453703</v>
      </c>
      <c r="D128" s="36">
        <v>1000.0</v>
      </c>
    </row>
    <row r="129">
      <c r="A129" s="34" t="s">
        <v>109</v>
      </c>
      <c r="B129" s="34" t="s">
        <v>110</v>
      </c>
      <c r="C129" s="37">
        <v>45778.10474537037</v>
      </c>
      <c r="D129" s="36">
        <v>1000.0</v>
      </c>
    </row>
    <row r="130">
      <c r="A130" s="34" t="s">
        <v>191</v>
      </c>
      <c r="B130" s="34" t="s">
        <v>192</v>
      </c>
      <c r="C130" s="37">
        <v>45778.10502314815</v>
      </c>
      <c r="D130" s="36">
        <v>1250.0</v>
      </c>
    </row>
    <row r="131">
      <c r="A131" s="34" t="s">
        <v>131</v>
      </c>
      <c r="B131" s="34" t="s">
        <v>132</v>
      </c>
      <c r="C131" s="37">
        <v>45778.1144212963</v>
      </c>
      <c r="D131" s="36">
        <v>1000.0</v>
      </c>
    </row>
    <row r="132">
      <c r="A132" s="34" t="s">
        <v>193</v>
      </c>
      <c r="B132" s="34" t="s">
        <v>194</v>
      </c>
      <c r="C132" s="37">
        <v>45778.1144212963</v>
      </c>
      <c r="D132" s="36">
        <v>1000.0</v>
      </c>
    </row>
    <row r="133">
      <c r="A133" s="34" t="s">
        <v>195</v>
      </c>
      <c r="B133" s="34" t="s">
        <v>196</v>
      </c>
      <c r="C133" s="37">
        <v>45778.118159722224</v>
      </c>
      <c r="D133" s="36">
        <v>1000.0</v>
      </c>
    </row>
    <row r="134">
      <c r="A134" s="34" t="s">
        <v>197</v>
      </c>
      <c r="B134" s="34" t="s">
        <v>198</v>
      </c>
      <c r="C134" s="37">
        <v>45778.11888888889</v>
      </c>
      <c r="D134" s="36">
        <v>2700.0</v>
      </c>
    </row>
    <row r="135">
      <c r="A135" s="34" t="s">
        <v>199</v>
      </c>
      <c r="B135" s="34" t="s">
        <v>200</v>
      </c>
      <c r="C135" s="37">
        <v>45778.11887731482</v>
      </c>
      <c r="D135" s="36">
        <v>1000.0</v>
      </c>
    </row>
    <row r="136">
      <c r="A136" s="34" t="s">
        <v>201</v>
      </c>
      <c r="B136" s="34" t="s">
        <v>202</v>
      </c>
      <c r="C136" s="37">
        <v>45778.11900462963</v>
      </c>
      <c r="D136" s="36">
        <v>1000.0</v>
      </c>
    </row>
    <row r="137">
      <c r="A137" s="34"/>
      <c r="B137" s="34"/>
      <c r="C137" s="37">
        <v>45778.403182870374</v>
      </c>
      <c r="D137" s="36">
        <v>99.0</v>
      </c>
    </row>
    <row r="138">
      <c r="A138" s="34" t="s">
        <v>203</v>
      </c>
      <c r="B138" s="34" t="s">
        <v>204</v>
      </c>
      <c r="C138" s="37">
        <v>45778.44243055556</v>
      </c>
      <c r="D138" s="36">
        <v>1000.0</v>
      </c>
    </row>
    <row r="139">
      <c r="A139" s="34" t="s">
        <v>205</v>
      </c>
      <c r="B139" s="34" t="s">
        <v>206</v>
      </c>
      <c r="C139" s="37">
        <v>45778.47447916667</v>
      </c>
      <c r="D139" s="36">
        <v>2700.0</v>
      </c>
    </row>
    <row r="140">
      <c r="A140" s="34" t="s">
        <v>157</v>
      </c>
      <c r="B140" s="34" t="s">
        <v>158</v>
      </c>
      <c r="C140" s="37">
        <v>45778.49270833333</v>
      </c>
      <c r="D140" s="36">
        <v>1500.0</v>
      </c>
    </row>
    <row r="141">
      <c r="A141" s="34" t="s">
        <v>207</v>
      </c>
      <c r="B141" s="34" t="s">
        <v>208</v>
      </c>
      <c r="C141" s="37">
        <v>45778.56532407407</v>
      </c>
      <c r="D141" s="36">
        <v>1000.0</v>
      </c>
    </row>
    <row r="142">
      <c r="A142" s="34" t="s">
        <v>209</v>
      </c>
      <c r="B142" s="34" t="s">
        <v>210</v>
      </c>
      <c r="C142" s="37">
        <v>45778.6144212963</v>
      </c>
      <c r="D142" s="36">
        <v>2700.0</v>
      </c>
    </row>
    <row r="143">
      <c r="A143" s="34" t="s">
        <v>211</v>
      </c>
      <c r="B143" s="34" t="s">
        <v>212</v>
      </c>
      <c r="C143" s="37">
        <v>45778.702997685185</v>
      </c>
      <c r="D143" s="36">
        <v>2700.0</v>
      </c>
    </row>
    <row r="144">
      <c r="A144" s="34" t="s">
        <v>213</v>
      </c>
      <c r="B144" s="34" t="s">
        <v>214</v>
      </c>
      <c r="C144" s="37">
        <v>45778.720034722224</v>
      </c>
      <c r="D144" s="36">
        <v>1000.0</v>
      </c>
    </row>
    <row r="145">
      <c r="A145" s="34" t="s">
        <v>215</v>
      </c>
      <c r="B145" s="34" t="s">
        <v>216</v>
      </c>
      <c r="C145" s="37">
        <v>45778.72219907407</v>
      </c>
      <c r="D145" s="36">
        <v>1500.0</v>
      </c>
    </row>
    <row r="146">
      <c r="A146" s="34" t="s">
        <v>217</v>
      </c>
      <c r="B146" s="34" t="s">
        <v>218</v>
      </c>
      <c r="C146" s="37">
        <v>45778.76048611111</v>
      </c>
      <c r="D146" s="36">
        <v>2700.0</v>
      </c>
    </row>
    <row r="147">
      <c r="A147" s="34" t="s">
        <v>219</v>
      </c>
      <c r="B147" s="34" t="s">
        <v>220</v>
      </c>
      <c r="C147" s="37">
        <v>45774.742210648146</v>
      </c>
      <c r="D147" s="36">
        <v>1200.0</v>
      </c>
    </row>
    <row r="148">
      <c r="A148" s="34" t="s">
        <v>221</v>
      </c>
      <c r="B148" s="34" t="s">
        <v>222</v>
      </c>
      <c r="C148" s="37">
        <v>45775.667546296296</v>
      </c>
      <c r="D148" s="36">
        <v>999.0</v>
      </c>
    </row>
    <row r="149">
      <c r="A149" s="34" t="s">
        <v>223</v>
      </c>
      <c r="B149" s="34" t="s">
        <v>224</v>
      </c>
      <c r="C149" s="37">
        <v>45778.90739583333</v>
      </c>
      <c r="D149" s="36">
        <v>699.0</v>
      </c>
    </row>
    <row r="150">
      <c r="A150" s="34"/>
      <c r="B150" s="34"/>
      <c r="C150" s="37"/>
      <c r="D150" s="36"/>
    </row>
    <row r="151">
      <c r="A151" s="34"/>
      <c r="B151" s="34"/>
      <c r="C151" s="37"/>
      <c r="D151" s="36"/>
    </row>
    <row r="152">
      <c r="A152" s="34"/>
      <c r="B152" s="34"/>
      <c r="C152" s="37">
        <v>45779.47693287037</v>
      </c>
      <c r="D152" s="36">
        <v>99.0</v>
      </c>
    </row>
    <row r="153">
      <c r="A153" s="34" t="s">
        <v>225</v>
      </c>
      <c r="B153" s="34" t="s">
        <v>226</v>
      </c>
      <c r="C153" s="37">
        <v>45779.56857638889</v>
      </c>
      <c r="D153" s="36">
        <v>2700.0</v>
      </c>
    </row>
    <row r="154">
      <c r="A154" s="34" t="s">
        <v>227</v>
      </c>
      <c r="B154" s="34" t="s">
        <v>228</v>
      </c>
      <c r="C154" s="37">
        <v>45779.596238425926</v>
      </c>
      <c r="D154" s="36">
        <v>2700.0</v>
      </c>
    </row>
    <row r="155">
      <c r="A155" s="34"/>
      <c r="B155" s="34"/>
      <c r="C155" s="37"/>
      <c r="D155" s="36"/>
    </row>
    <row r="156">
      <c r="A156" s="34" t="s">
        <v>229</v>
      </c>
      <c r="B156" s="34" t="s">
        <v>230</v>
      </c>
      <c r="C156" s="37">
        <v>45779.53256944445</v>
      </c>
      <c r="D156" s="36">
        <v>1250.0</v>
      </c>
    </row>
    <row r="157">
      <c r="A157" s="34" t="s">
        <v>231</v>
      </c>
      <c r="B157" s="34" t="s">
        <v>232</v>
      </c>
      <c r="C157" s="37">
        <v>45779.64686342593</v>
      </c>
      <c r="D157" s="36">
        <v>1250.0</v>
      </c>
    </row>
    <row r="158">
      <c r="A158" s="34" t="s">
        <v>233</v>
      </c>
      <c r="B158" s="34" t="s">
        <v>234</v>
      </c>
      <c r="C158" s="37">
        <v>45779.6778587963</v>
      </c>
      <c r="D158" s="36">
        <v>2700.0</v>
      </c>
    </row>
    <row r="159">
      <c r="A159" s="34" t="s">
        <v>235</v>
      </c>
      <c r="B159" s="34" t="s">
        <v>236</v>
      </c>
      <c r="C159" s="37">
        <v>45779.69939814815</v>
      </c>
      <c r="D159" s="36">
        <v>1200.0</v>
      </c>
    </row>
    <row r="160">
      <c r="A160" s="34" t="s">
        <v>237</v>
      </c>
      <c r="B160" s="34" t="s">
        <v>238</v>
      </c>
      <c r="C160" s="37">
        <v>45779.74287037037</v>
      </c>
      <c r="D160" s="36">
        <v>2700.0</v>
      </c>
    </row>
    <row r="161">
      <c r="A161" s="34"/>
      <c r="B161" s="34"/>
      <c r="C161" s="37"/>
      <c r="D161" s="36"/>
    </row>
    <row r="162">
      <c r="A162" s="34" t="s">
        <v>239</v>
      </c>
      <c r="B162" s="34" t="s">
        <v>240</v>
      </c>
      <c r="C162" s="37">
        <v>45779.760347222225</v>
      </c>
      <c r="D162" s="36">
        <v>7200.0</v>
      </c>
    </row>
    <row r="163">
      <c r="A163" s="34" t="s">
        <v>241</v>
      </c>
      <c r="B163" s="34" t="s">
        <v>242</v>
      </c>
      <c r="C163" s="37">
        <v>45779.854675925926</v>
      </c>
      <c r="D163" s="36">
        <v>1250.0</v>
      </c>
    </row>
    <row r="164">
      <c r="A164" s="34" t="s">
        <v>243</v>
      </c>
      <c r="B164" s="34" t="s">
        <v>244</v>
      </c>
      <c r="C164" s="37">
        <v>45780.67827546296</v>
      </c>
      <c r="D164" s="36">
        <v>2800.0</v>
      </c>
    </row>
    <row r="165">
      <c r="A165" s="34" t="s">
        <v>245</v>
      </c>
      <c r="B165" s="34" t="s">
        <v>246</v>
      </c>
      <c r="C165" s="37">
        <v>45780.701574074075</v>
      </c>
      <c r="D165" s="36">
        <v>1500.0</v>
      </c>
    </row>
    <row r="166">
      <c r="A166" s="34" t="s">
        <v>247</v>
      </c>
      <c r="B166" s="34" t="s">
        <v>248</v>
      </c>
      <c r="C166" s="37">
        <v>45780.70664351852</v>
      </c>
      <c r="D166" s="36">
        <v>1250.0</v>
      </c>
    </row>
    <row r="167">
      <c r="A167" s="34" t="s">
        <v>249</v>
      </c>
      <c r="B167" s="34" t="s">
        <v>250</v>
      </c>
      <c r="C167" s="37">
        <v>45780.78040509259</v>
      </c>
      <c r="D167" s="36">
        <v>799.0</v>
      </c>
    </row>
    <row r="168">
      <c r="A168" s="34" t="s">
        <v>251</v>
      </c>
      <c r="B168" s="34" t="s">
        <v>252</v>
      </c>
      <c r="C168" s="37">
        <v>45780.80608796296</v>
      </c>
      <c r="D168" s="36">
        <v>2800.0</v>
      </c>
    </row>
    <row r="169">
      <c r="A169" s="34" t="s">
        <v>64</v>
      </c>
      <c r="B169" s="34" t="s">
        <v>253</v>
      </c>
      <c r="C169" s="37">
        <v>45780.85056712963</v>
      </c>
      <c r="D169" s="36">
        <v>1200.0</v>
      </c>
    </row>
    <row r="170">
      <c r="A170" s="34" t="s">
        <v>254</v>
      </c>
      <c r="B170" s="34" t="s">
        <v>255</v>
      </c>
      <c r="C170" s="37">
        <v>45778.048784722225</v>
      </c>
      <c r="D170" s="36">
        <v>1000.0</v>
      </c>
    </row>
    <row r="171">
      <c r="A171" s="34" t="s">
        <v>256</v>
      </c>
      <c r="B171" s="34" t="s">
        <v>257</v>
      </c>
      <c r="C171" s="37">
        <v>45777.6375</v>
      </c>
      <c r="D171" s="36">
        <v>1000.0</v>
      </c>
    </row>
    <row r="172">
      <c r="A172" s="34"/>
      <c r="B172" s="34"/>
      <c r="C172" s="37"/>
      <c r="D172" s="36"/>
    </row>
    <row r="173">
      <c r="A173" s="34" t="s">
        <v>66</v>
      </c>
      <c r="B173" s="34" t="s">
        <v>258</v>
      </c>
      <c r="C173" s="37">
        <v>45781.6446875</v>
      </c>
      <c r="D173" s="36">
        <v>1200.0</v>
      </c>
    </row>
    <row r="174">
      <c r="A174" s="34" t="s">
        <v>259</v>
      </c>
      <c r="B174" s="34" t="s">
        <v>260</v>
      </c>
      <c r="C174" s="37">
        <v>45781.67789351852</v>
      </c>
      <c r="D174" s="36">
        <v>2700.0</v>
      </c>
    </row>
    <row r="175">
      <c r="A175" s="34" t="s">
        <v>261</v>
      </c>
      <c r="B175" s="34" t="s">
        <v>262</v>
      </c>
      <c r="C175" s="37">
        <v>45780.04387731481</v>
      </c>
      <c r="D175" s="36">
        <v>1200.0</v>
      </c>
    </row>
    <row r="176">
      <c r="A176" s="34"/>
      <c r="B176" s="34"/>
      <c r="C176" s="37"/>
      <c r="D176" s="36"/>
    </row>
    <row r="177">
      <c r="A177" s="34" t="s">
        <v>263</v>
      </c>
      <c r="B177" s="34" t="s">
        <v>264</v>
      </c>
      <c r="C177" s="37">
        <v>45782.65289351852</v>
      </c>
      <c r="D177" s="36">
        <v>2700.0</v>
      </c>
    </row>
    <row r="178">
      <c r="A178" s="34" t="s">
        <v>265</v>
      </c>
      <c r="B178" s="34" t="s">
        <v>266</v>
      </c>
      <c r="C178" s="37">
        <v>45782.78533564815</v>
      </c>
      <c r="D178" s="36">
        <v>2700.0</v>
      </c>
    </row>
    <row r="179">
      <c r="A179" s="34" t="s">
        <v>267</v>
      </c>
      <c r="B179" s="34" t="s">
        <v>268</v>
      </c>
      <c r="C179" s="37">
        <v>45782.801145833335</v>
      </c>
      <c r="D179" s="36">
        <v>1700.0</v>
      </c>
    </row>
    <row r="180">
      <c r="A180" s="34" t="s">
        <v>74</v>
      </c>
      <c r="B180" s="34" t="s">
        <v>75</v>
      </c>
      <c r="C180" s="37">
        <v>45783.849907407406</v>
      </c>
      <c r="D180" s="36">
        <v>1200.0</v>
      </c>
    </row>
    <row r="181">
      <c r="A181" s="34"/>
      <c r="B181" s="34"/>
      <c r="C181" s="37"/>
      <c r="D181" s="36"/>
    </row>
    <row r="182">
      <c r="A182" s="34" t="s">
        <v>78</v>
      </c>
      <c r="B182" s="34" t="s">
        <v>79</v>
      </c>
      <c r="C182" s="37">
        <v>45785.59657407407</v>
      </c>
      <c r="D182" s="36">
        <v>699.0</v>
      </c>
    </row>
    <row r="183">
      <c r="A183" s="34" t="s">
        <v>80</v>
      </c>
      <c r="B183" s="34" t="s">
        <v>81</v>
      </c>
      <c r="C183" s="37">
        <v>45785.68759259259</v>
      </c>
      <c r="D183" s="36">
        <v>699.0</v>
      </c>
    </row>
    <row r="184">
      <c r="A184" s="34"/>
      <c r="B184" s="34"/>
      <c r="C184" s="37"/>
      <c r="D184" s="36"/>
    </row>
    <row r="185">
      <c r="A185" s="34" t="s">
        <v>269</v>
      </c>
      <c r="B185" s="34" t="s">
        <v>270</v>
      </c>
      <c r="C185" s="37">
        <v>45785.78327546296</v>
      </c>
      <c r="D185" s="36">
        <v>2700.0</v>
      </c>
    </row>
    <row r="186">
      <c r="A186" s="34" t="s">
        <v>271</v>
      </c>
      <c r="B186" s="34" t="s">
        <v>272</v>
      </c>
      <c r="C186" s="37">
        <v>45778.06298611111</v>
      </c>
      <c r="D186" s="36">
        <v>1000.0</v>
      </c>
    </row>
    <row r="187">
      <c r="A187" s="34"/>
      <c r="B187" s="34"/>
      <c r="C187" s="37"/>
      <c r="D187" s="36"/>
    </row>
    <row r="188">
      <c r="A188" s="34" t="s">
        <v>143</v>
      </c>
      <c r="B188" s="34" t="s">
        <v>144</v>
      </c>
      <c r="C188" s="37">
        <v>45778.51804398148</v>
      </c>
      <c r="D188" s="36">
        <v>1500.0</v>
      </c>
    </row>
    <row r="189">
      <c r="A189" s="34" t="s">
        <v>32</v>
      </c>
      <c r="B189" s="34" t="s">
        <v>84</v>
      </c>
      <c r="C189" s="37">
        <v>45786.56775462963</v>
      </c>
      <c r="D189" s="36">
        <v>699.0</v>
      </c>
    </row>
    <row r="190">
      <c r="A190" s="34" t="s">
        <v>273</v>
      </c>
      <c r="B190" s="34" t="s">
        <v>274</v>
      </c>
      <c r="C190" s="37">
        <v>45786.6440625</v>
      </c>
      <c r="D190" s="36">
        <v>5000.0</v>
      </c>
    </row>
    <row r="191">
      <c r="A191" s="34"/>
      <c r="B191" s="34"/>
      <c r="C191" s="37"/>
      <c r="D191" s="36"/>
    </row>
    <row r="192">
      <c r="A192" s="34" t="s">
        <v>87</v>
      </c>
      <c r="B192" s="34" t="s">
        <v>88</v>
      </c>
      <c r="C192" s="37">
        <v>45787.04541666667</v>
      </c>
      <c r="D192" s="36">
        <v>1250.0</v>
      </c>
    </row>
    <row r="193">
      <c r="A193" s="34"/>
      <c r="B193" s="34"/>
      <c r="C193" s="37"/>
      <c r="D193" s="36"/>
    </row>
    <row r="194">
      <c r="A194" s="34"/>
      <c r="B194" s="34"/>
      <c r="C194" s="37"/>
      <c r="D194" s="36"/>
    </row>
    <row r="195">
      <c r="A195" s="34" t="s">
        <v>82</v>
      </c>
      <c r="B195" s="34" t="s">
        <v>83</v>
      </c>
      <c r="C195" s="37">
        <v>45786.54486111111</v>
      </c>
      <c r="D195" s="36">
        <v>699.0</v>
      </c>
    </row>
    <row r="196">
      <c r="A196" s="34" t="s">
        <v>91</v>
      </c>
      <c r="B196" s="34" t="s">
        <v>92</v>
      </c>
      <c r="C196" s="37">
        <v>45787.69936342593</v>
      </c>
      <c r="D196" s="36">
        <v>699.0</v>
      </c>
    </row>
    <row r="197">
      <c r="A197" s="34"/>
      <c r="B197" s="34"/>
      <c r="C197" s="37">
        <v>45787.72269675926</v>
      </c>
      <c r="D197" s="36">
        <v>100.0</v>
      </c>
    </row>
    <row r="198">
      <c r="A198" s="34"/>
      <c r="B198" s="34"/>
      <c r="C198" s="37">
        <v>45787.74888888889</v>
      </c>
      <c r="D198" s="36">
        <v>100.0</v>
      </c>
    </row>
    <row r="199">
      <c r="A199" s="34" t="s">
        <v>93</v>
      </c>
      <c r="B199" s="34" t="s">
        <v>94</v>
      </c>
      <c r="C199" s="37">
        <v>45787.75150462963</v>
      </c>
      <c r="D199" s="36">
        <v>1000.0</v>
      </c>
    </row>
    <row r="200">
      <c r="A200" s="34"/>
      <c r="B200" s="34"/>
      <c r="C200" s="37"/>
      <c r="D200" s="36"/>
    </row>
    <row r="201">
      <c r="A201" s="34" t="s">
        <v>95</v>
      </c>
      <c r="B201" s="34" t="s">
        <v>96</v>
      </c>
      <c r="C201" s="37">
        <v>45788.43114583333</v>
      </c>
      <c r="D201" s="36">
        <v>1200.0</v>
      </c>
    </row>
    <row r="202">
      <c r="A202" s="34" t="s">
        <v>97</v>
      </c>
      <c r="B202" s="34" t="s">
        <v>98</v>
      </c>
      <c r="C202" s="37">
        <v>45788.6484375</v>
      </c>
      <c r="D202" s="36">
        <v>1200.0</v>
      </c>
    </row>
    <row r="203">
      <c r="A203" s="34" t="s">
        <v>99</v>
      </c>
      <c r="B203" s="34" t="s">
        <v>100</v>
      </c>
      <c r="C203" s="37">
        <v>45788.71611111111</v>
      </c>
      <c r="D203" s="36">
        <v>1200.0</v>
      </c>
    </row>
    <row r="204">
      <c r="A204" s="34" t="s">
        <v>275</v>
      </c>
      <c r="B204" s="34" t="s">
        <v>276</v>
      </c>
      <c r="C204" s="37">
        <v>45789.654178240744</v>
      </c>
      <c r="D204" s="36">
        <v>1000.0</v>
      </c>
    </row>
    <row r="205">
      <c r="A205" s="34" t="s">
        <v>101</v>
      </c>
      <c r="B205" s="34" t="s">
        <v>102</v>
      </c>
      <c r="C205" s="37">
        <v>45790.71267361111</v>
      </c>
      <c r="D205" s="36">
        <v>1200.0</v>
      </c>
    </row>
    <row r="206">
      <c r="A206" s="34" t="s">
        <v>277</v>
      </c>
      <c r="B206" s="34" t="s">
        <v>278</v>
      </c>
      <c r="C206" s="37">
        <v>45791.64402777778</v>
      </c>
      <c r="D206" s="36">
        <v>2700.0</v>
      </c>
    </row>
    <row r="207">
      <c r="A207" s="34" t="s">
        <v>279</v>
      </c>
      <c r="B207" s="34" t="s">
        <v>280</v>
      </c>
      <c r="C207" s="37">
        <v>45791.66443287037</v>
      </c>
      <c r="D207" s="36">
        <v>2700.0</v>
      </c>
    </row>
    <row r="208">
      <c r="A208" s="34"/>
      <c r="B208" s="34"/>
      <c r="C208" s="37">
        <v>45791.78978009259</v>
      </c>
      <c r="D208" s="36">
        <v>100.0</v>
      </c>
    </row>
    <row r="209">
      <c r="A209" s="34"/>
      <c r="B209" s="34"/>
      <c r="C209" s="37">
        <v>45791.888344907406</v>
      </c>
      <c r="D209" s="36">
        <v>2000.0</v>
      </c>
    </row>
    <row r="210">
      <c r="A210" s="34"/>
      <c r="B210" s="34"/>
      <c r="C210" s="37"/>
      <c r="D210" s="36"/>
    </row>
    <row r="211">
      <c r="A211" s="34" t="s">
        <v>103</v>
      </c>
      <c r="B211" s="34" t="s">
        <v>104</v>
      </c>
      <c r="C211" s="37">
        <v>45792.436840277776</v>
      </c>
      <c r="D211" s="36">
        <v>1200.0</v>
      </c>
    </row>
    <row r="212">
      <c r="A212" s="34" t="s">
        <v>281</v>
      </c>
      <c r="B212" s="34" t="s">
        <v>282</v>
      </c>
      <c r="C212" s="37">
        <v>45792.67634259259</v>
      </c>
      <c r="D212" s="36">
        <v>2700.0</v>
      </c>
    </row>
    <row r="213">
      <c r="A213" s="34" t="s">
        <v>283</v>
      </c>
      <c r="B213" s="34" t="s">
        <v>284</v>
      </c>
      <c r="C213" s="37">
        <v>45792.84793981481</v>
      </c>
      <c r="D213" s="36">
        <v>2700.0</v>
      </c>
    </row>
    <row r="214">
      <c r="A214" s="34" t="s">
        <v>68</v>
      </c>
      <c r="B214" s="34" t="s">
        <v>69</v>
      </c>
      <c r="C214" s="37">
        <v>45783.04287037037</v>
      </c>
      <c r="D214" s="36">
        <v>1000.0</v>
      </c>
    </row>
    <row r="215">
      <c r="A215" s="34" t="s">
        <v>285</v>
      </c>
      <c r="B215" s="34" t="s">
        <v>286</v>
      </c>
      <c r="C215" s="37">
        <v>45794.659837962965</v>
      </c>
      <c r="D215" s="36">
        <v>2700.0</v>
      </c>
    </row>
    <row r="216">
      <c r="A216" s="34" t="s">
        <v>105</v>
      </c>
      <c r="B216" s="34" t="s">
        <v>106</v>
      </c>
      <c r="C216" s="37">
        <v>45792.71864583333</v>
      </c>
      <c r="D216" s="36">
        <v>1200.0</v>
      </c>
    </row>
    <row r="217">
      <c r="A217" s="34" t="s">
        <v>287</v>
      </c>
      <c r="B217" s="34" t="s">
        <v>288</v>
      </c>
      <c r="C217" s="37">
        <v>45795.646516203706</v>
      </c>
      <c r="D217" s="36">
        <v>2700.0</v>
      </c>
    </row>
    <row r="218">
      <c r="A218" s="34" t="s">
        <v>145</v>
      </c>
      <c r="B218" s="34" t="s">
        <v>146</v>
      </c>
      <c r="C218" s="37">
        <v>45795.653391203705</v>
      </c>
      <c r="D218" s="36">
        <v>1200.0</v>
      </c>
    </row>
    <row r="219">
      <c r="A219" s="34" t="s">
        <v>111</v>
      </c>
      <c r="B219" s="34" t="s">
        <v>112</v>
      </c>
      <c r="C219" s="37">
        <v>45795.67212962963</v>
      </c>
      <c r="D219" s="36">
        <v>1200.0</v>
      </c>
    </row>
    <row r="220">
      <c r="A220" s="34" t="s">
        <v>289</v>
      </c>
      <c r="B220" s="34" t="s">
        <v>290</v>
      </c>
      <c r="C220" s="37">
        <v>45795.70011574074</v>
      </c>
      <c r="D220" s="36">
        <v>2200.0</v>
      </c>
    </row>
    <row r="221">
      <c r="A221" s="34" t="s">
        <v>291</v>
      </c>
      <c r="B221" s="34" t="s">
        <v>292</v>
      </c>
      <c r="C221" s="37">
        <v>45796.63792824074</v>
      </c>
      <c r="D221" s="36">
        <v>2700.0</v>
      </c>
    </row>
    <row r="222">
      <c r="A222" s="34" t="s">
        <v>113</v>
      </c>
      <c r="B222" s="34" t="s">
        <v>114</v>
      </c>
      <c r="C222" s="37">
        <v>45796.676886574074</v>
      </c>
      <c r="D222" s="36">
        <v>1200.0</v>
      </c>
    </row>
    <row r="223">
      <c r="A223" s="34" t="s">
        <v>293</v>
      </c>
      <c r="B223" s="34" t="s">
        <v>294</v>
      </c>
      <c r="C223" s="37">
        <v>45796.68892361111</v>
      </c>
      <c r="D223" s="36">
        <v>2700.0</v>
      </c>
    </row>
    <row r="224">
      <c r="A224" s="34" t="s">
        <v>115</v>
      </c>
      <c r="B224" s="34" t="s">
        <v>116</v>
      </c>
      <c r="C224" s="37">
        <v>45797.43798611111</v>
      </c>
      <c r="D224" s="36">
        <v>1250.0</v>
      </c>
    </row>
    <row r="225">
      <c r="A225" s="34" t="s">
        <v>117</v>
      </c>
      <c r="B225" s="34" t="s">
        <v>118</v>
      </c>
      <c r="C225" s="37">
        <v>45797.59122685185</v>
      </c>
      <c r="D225" s="36">
        <v>1200.0</v>
      </c>
    </row>
    <row r="226">
      <c r="A226" s="34" t="s">
        <v>147</v>
      </c>
      <c r="B226" s="34" t="s">
        <v>148</v>
      </c>
      <c r="C226" s="37">
        <v>45797.58864583333</v>
      </c>
      <c r="D226" s="36">
        <v>1200.0</v>
      </c>
    </row>
    <row r="227">
      <c r="A227" s="34" t="s">
        <v>295</v>
      </c>
      <c r="B227" s="34" t="s">
        <v>296</v>
      </c>
      <c r="C227" s="37">
        <v>45798.68466435185</v>
      </c>
      <c r="D227" s="36">
        <v>2700.0</v>
      </c>
    </row>
    <row r="228">
      <c r="A228" s="34" t="s">
        <v>123</v>
      </c>
      <c r="B228" s="34" t="s">
        <v>124</v>
      </c>
      <c r="C228" s="37">
        <v>45797.6730787037</v>
      </c>
      <c r="D228" s="36">
        <v>1200.0</v>
      </c>
    </row>
    <row r="229">
      <c r="A229" s="34" t="s">
        <v>191</v>
      </c>
      <c r="B229" s="34" t="s">
        <v>297</v>
      </c>
      <c r="C229" s="37">
        <v>45789.04314814815</v>
      </c>
      <c r="D229" s="36">
        <v>2700.0</v>
      </c>
    </row>
    <row r="230">
      <c r="A230" s="34" t="s">
        <v>129</v>
      </c>
      <c r="B230" s="34" t="s">
        <v>130</v>
      </c>
      <c r="C230" s="37">
        <v>45799.65835648148</v>
      </c>
      <c r="D230" s="36">
        <v>1200.0</v>
      </c>
    </row>
    <row r="231">
      <c r="A231" s="34" t="s">
        <v>133</v>
      </c>
      <c r="B231" s="34" t="s">
        <v>134</v>
      </c>
      <c r="C231" s="37">
        <v>45800.50450231481</v>
      </c>
      <c r="D231" s="36">
        <v>1000.0</v>
      </c>
    </row>
    <row r="232">
      <c r="A232" s="34" t="s">
        <v>135</v>
      </c>
      <c r="B232" s="34" t="s">
        <v>136</v>
      </c>
      <c r="C232" s="37">
        <v>45800.658368055556</v>
      </c>
      <c r="D232" s="36">
        <v>1250.0</v>
      </c>
    </row>
    <row r="233">
      <c r="A233" s="34" t="s">
        <v>298</v>
      </c>
      <c r="B233" s="34" t="s">
        <v>299</v>
      </c>
      <c r="C233" s="37">
        <v>45801.448842592596</v>
      </c>
      <c r="D233" s="36">
        <v>7200.0</v>
      </c>
    </row>
    <row r="234">
      <c r="A234" s="34" t="s">
        <v>137</v>
      </c>
      <c r="B234" s="34" t="s">
        <v>138</v>
      </c>
      <c r="C234" s="37">
        <v>45801.66756944444</v>
      </c>
      <c r="D234" s="36">
        <v>799.0</v>
      </c>
    </row>
    <row r="235">
      <c r="A235" s="34" t="s">
        <v>141</v>
      </c>
      <c r="B235" s="34" t="s">
        <v>142</v>
      </c>
      <c r="C235" s="37">
        <v>45801.73090277778</v>
      </c>
      <c r="D235" s="36">
        <v>1000.0</v>
      </c>
    </row>
    <row r="236">
      <c r="A236" s="34" t="s">
        <v>143</v>
      </c>
      <c r="B236" s="34" t="s">
        <v>144</v>
      </c>
      <c r="C236" s="37">
        <v>45802.04292824074</v>
      </c>
      <c r="D236" s="36">
        <v>1200.0</v>
      </c>
    </row>
    <row r="237">
      <c r="A237" s="34" t="s">
        <v>300</v>
      </c>
      <c r="B237" s="34" t="s">
        <v>301</v>
      </c>
      <c r="C237" s="37">
        <v>45803.454560185186</v>
      </c>
      <c r="D237" s="36">
        <v>2700.0</v>
      </c>
    </row>
    <row r="238">
      <c r="A238" s="34" t="s">
        <v>121</v>
      </c>
      <c r="B238" s="34" t="s">
        <v>122</v>
      </c>
      <c r="C238" s="37">
        <v>45798.494733796295</v>
      </c>
      <c r="D238" s="36">
        <v>1200.0</v>
      </c>
    </row>
    <row r="239">
      <c r="A239" s="34" t="s">
        <v>302</v>
      </c>
      <c r="B239" s="34" t="s">
        <v>303</v>
      </c>
      <c r="C239" s="37">
        <v>45804.04394675926</v>
      </c>
      <c r="D239" s="36">
        <v>2700.0</v>
      </c>
    </row>
    <row r="240">
      <c r="A240" s="34" t="s">
        <v>304</v>
      </c>
      <c r="B240" s="34" t="s">
        <v>305</v>
      </c>
      <c r="C240" s="37">
        <v>45804.04456018518</v>
      </c>
      <c r="D240" s="36">
        <v>700.0</v>
      </c>
    </row>
    <row r="241">
      <c r="A241" s="34" t="s">
        <v>153</v>
      </c>
      <c r="B241" s="34" t="s">
        <v>154</v>
      </c>
      <c r="C241" s="37">
        <v>45804.04456018518</v>
      </c>
      <c r="D241" s="36">
        <v>799.0</v>
      </c>
    </row>
    <row r="242">
      <c r="A242" s="34" t="s">
        <v>171</v>
      </c>
      <c r="B242" s="34" t="s">
        <v>172</v>
      </c>
      <c r="C242" s="37">
        <v>45805.10340277778</v>
      </c>
      <c r="D242" s="36">
        <v>1000.0</v>
      </c>
    </row>
    <row r="243">
      <c r="A243" s="34"/>
      <c r="B243" s="34"/>
      <c r="C243" s="37"/>
      <c r="D243" s="36"/>
    </row>
    <row r="244">
      <c r="A244" s="34"/>
      <c r="B244" s="34"/>
      <c r="C244" s="37"/>
      <c r="D244" s="36"/>
    </row>
    <row r="245">
      <c r="A245" s="34" t="s">
        <v>157</v>
      </c>
      <c r="B245" s="34" t="s">
        <v>158</v>
      </c>
      <c r="C245" s="37">
        <v>45805.72275462963</v>
      </c>
      <c r="D245" s="36">
        <v>1200.0</v>
      </c>
    </row>
    <row r="246">
      <c r="A246" s="34" t="s">
        <v>159</v>
      </c>
      <c r="B246" s="34" t="s">
        <v>160</v>
      </c>
      <c r="C246" s="37">
        <v>45805.74151620371</v>
      </c>
      <c r="D246" s="36">
        <v>1200.0</v>
      </c>
    </row>
    <row r="247">
      <c r="A247" s="34"/>
      <c r="B247" s="34"/>
      <c r="C247" s="37"/>
      <c r="D247" s="36"/>
    </row>
    <row r="248">
      <c r="A248" s="34" t="s">
        <v>161</v>
      </c>
      <c r="B248" s="34" t="s">
        <v>162</v>
      </c>
      <c r="C248" s="37">
        <v>45806.69375</v>
      </c>
      <c r="D248" s="36">
        <v>1200.0</v>
      </c>
    </row>
    <row r="249">
      <c r="A249" s="34" t="s">
        <v>306</v>
      </c>
      <c r="B249" s="34" t="s">
        <v>307</v>
      </c>
      <c r="C249" s="37">
        <v>45806.69847222222</v>
      </c>
      <c r="D249" s="36">
        <v>2700.0</v>
      </c>
    </row>
    <row r="250">
      <c r="A250" s="34" t="s">
        <v>219</v>
      </c>
      <c r="B250" s="34" t="s">
        <v>220</v>
      </c>
      <c r="C250" s="37">
        <v>45804.74290509259</v>
      </c>
      <c r="D250" s="36">
        <v>1200.0</v>
      </c>
    </row>
    <row r="251">
      <c r="A251" s="34" t="s">
        <v>163</v>
      </c>
      <c r="B251" s="34" t="s">
        <v>164</v>
      </c>
      <c r="C251" s="37">
        <v>45807.045578703706</v>
      </c>
      <c r="D251" s="36">
        <v>1200.0</v>
      </c>
    </row>
    <row r="252">
      <c r="A252" s="34" t="s">
        <v>165</v>
      </c>
      <c r="B252" s="34" t="s">
        <v>166</v>
      </c>
      <c r="C252" s="37">
        <v>45807.04561342593</v>
      </c>
      <c r="D252" s="36">
        <v>1200.0</v>
      </c>
    </row>
    <row r="253">
      <c r="A253" s="34" t="s">
        <v>177</v>
      </c>
      <c r="B253" s="34" t="s">
        <v>178</v>
      </c>
      <c r="C253" s="37">
        <v>45807.39763888889</v>
      </c>
      <c r="D253" s="36">
        <v>1200.0</v>
      </c>
    </row>
    <row r="254">
      <c r="A254" s="34" t="s">
        <v>85</v>
      </c>
      <c r="B254" s="34" t="s">
        <v>86</v>
      </c>
      <c r="C254" s="37">
        <v>45786.80793981482</v>
      </c>
      <c r="D254" s="36">
        <v>1200.0</v>
      </c>
    </row>
    <row r="255">
      <c r="A255" s="34" t="s">
        <v>308</v>
      </c>
      <c r="B255" s="34" t="s">
        <v>309</v>
      </c>
      <c r="C255" s="37">
        <v>45807.667083333334</v>
      </c>
      <c r="D255" s="36">
        <v>2700.0</v>
      </c>
    </row>
    <row r="256">
      <c r="A256" s="34" t="s">
        <v>310</v>
      </c>
      <c r="B256" s="34" t="s">
        <v>311</v>
      </c>
      <c r="C256" s="37">
        <v>45807.682337962964</v>
      </c>
      <c r="D256" s="36">
        <v>2700.0</v>
      </c>
    </row>
    <row r="257">
      <c r="A257" s="34" t="s">
        <v>312</v>
      </c>
      <c r="B257" s="34" t="s">
        <v>313</v>
      </c>
      <c r="C257" s="37">
        <v>45807.69744212963</v>
      </c>
      <c r="D257" s="36">
        <v>7200.0</v>
      </c>
    </row>
    <row r="258">
      <c r="A258" s="34" t="s">
        <v>314</v>
      </c>
      <c r="B258" s="34" t="s">
        <v>315</v>
      </c>
      <c r="C258" s="37">
        <v>45757.68990740741</v>
      </c>
      <c r="D258" s="36">
        <v>1200.0</v>
      </c>
    </row>
    <row r="259">
      <c r="A259" s="34" t="s">
        <v>70</v>
      </c>
      <c r="B259" s="34" t="s">
        <v>71</v>
      </c>
      <c r="C259" s="37">
        <v>45808.04225694444</v>
      </c>
      <c r="D259" s="36">
        <v>1000.0</v>
      </c>
    </row>
    <row r="260">
      <c r="A260" s="34" t="s">
        <v>167</v>
      </c>
      <c r="B260" s="34" t="s">
        <v>168</v>
      </c>
      <c r="C260" s="37">
        <v>45808.04340277778</v>
      </c>
      <c r="D260" s="36">
        <v>1200.0</v>
      </c>
    </row>
    <row r="261">
      <c r="A261" s="34"/>
      <c r="B261" s="34"/>
      <c r="C261" s="37"/>
      <c r="D261" s="36"/>
    </row>
    <row r="262">
      <c r="A262" s="34" t="s">
        <v>256</v>
      </c>
      <c r="B262" s="34" t="s">
        <v>257</v>
      </c>
      <c r="C262" s="37">
        <v>45808.637349537035</v>
      </c>
      <c r="D262" s="36">
        <v>1000.0</v>
      </c>
    </row>
    <row r="263">
      <c r="A263" s="34"/>
      <c r="B263" s="34"/>
      <c r="C263" s="37"/>
      <c r="D263" s="36"/>
    </row>
    <row r="264">
      <c r="A264" s="34" t="s">
        <v>316</v>
      </c>
      <c r="B264" s="34" t="s">
        <v>317</v>
      </c>
      <c r="C264" s="37">
        <v>45808.9015162037</v>
      </c>
      <c r="D264" s="36">
        <v>2700.0</v>
      </c>
    </row>
    <row r="265">
      <c r="A265" s="34" t="s">
        <v>318</v>
      </c>
      <c r="B265" s="34" t="s">
        <v>319</v>
      </c>
      <c r="C265" s="37">
        <v>45809.07329861111</v>
      </c>
      <c r="D265" s="36">
        <v>2750.0</v>
      </c>
    </row>
    <row r="266">
      <c r="A266" s="34" t="s">
        <v>320</v>
      </c>
      <c r="B266" s="34" t="s">
        <v>321</v>
      </c>
      <c r="C266" s="37">
        <v>45809.08321759259</v>
      </c>
      <c r="D266" s="36">
        <v>1200.0</v>
      </c>
    </row>
    <row r="267">
      <c r="A267" s="34" t="s">
        <v>131</v>
      </c>
      <c r="B267" s="34" t="s">
        <v>132</v>
      </c>
      <c r="C267" s="37">
        <v>45809.08324074074</v>
      </c>
      <c r="D267" s="36">
        <v>1000.0</v>
      </c>
    </row>
    <row r="268">
      <c r="A268" s="34" t="s">
        <v>322</v>
      </c>
      <c r="B268" s="34" t="s">
        <v>323</v>
      </c>
      <c r="C268" s="37">
        <v>45809.10613425926</v>
      </c>
      <c r="D268" s="36">
        <v>2700.0</v>
      </c>
    </row>
    <row r="269">
      <c r="A269" s="34" t="s">
        <v>324</v>
      </c>
      <c r="B269" s="34" t="s">
        <v>325</v>
      </c>
      <c r="C269" s="37">
        <v>45809.11400462963</v>
      </c>
      <c r="D269" s="36">
        <v>1900.0</v>
      </c>
    </row>
    <row r="270">
      <c r="A270" s="34" t="s">
        <v>326</v>
      </c>
      <c r="B270" s="34" t="s">
        <v>327</v>
      </c>
      <c r="C270" s="37">
        <v>45809.11417824074</v>
      </c>
      <c r="D270" s="36">
        <v>2700.0</v>
      </c>
    </row>
    <row r="271">
      <c r="A271" s="34"/>
      <c r="B271" s="34"/>
      <c r="C271" s="37"/>
      <c r="D271" s="36"/>
    </row>
    <row r="272">
      <c r="A272" s="34" t="s">
        <v>201</v>
      </c>
      <c r="B272" s="34" t="s">
        <v>202</v>
      </c>
      <c r="C272" s="37">
        <v>45809.12033564815</v>
      </c>
      <c r="D272" s="36">
        <v>1000.0</v>
      </c>
    </row>
    <row r="273">
      <c r="A273" s="34" t="s">
        <v>181</v>
      </c>
      <c r="B273" s="34" t="s">
        <v>182</v>
      </c>
      <c r="C273" s="37">
        <v>45809.14304398148</v>
      </c>
      <c r="D273" s="36">
        <v>1000.0</v>
      </c>
    </row>
    <row r="274">
      <c r="A274" s="34" t="s">
        <v>191</v>
      </c>
      <c r="B274" s="34" t="s">
        <v>192</v>
      </c>
      <c r="C274" s="37">
        <v>45809.14574074074</v>
      </c>
      <c r="D274" s="36">
        <v>1250.0</v>
      </c>
    </row>
    <row r="275">
      <c r="A275" s="34" t="s">
        <v>189</v>
      </c>
      <c r="B275" s="34" t="s">
        <v>190</v>
      </c>
      <c r="C275" s="37">
        <v>45809.14824074074</v>
      </c>
      <c r="D275" s="36">
        <v>1000.0</v>
      </c>
    </row>
    <row r="276">
      <c r="A276" s="34" t="s">
        <v>203</v>
      </c>
      <c r="B276" s="34" t="s">
        <v>204</v>
      </c>
      <c r="C276" s="37">
        <v>45809.4377662037</v>
      </c>
      <c r="D276" s="36">
        <v>1000.0</v>
      </c>
    </row>
    <row r="277">
      <c r="A277" s="34" t="s">
        <v>207</v>
      </c>
      <c r="B277" s="34" t="s">
        <v>208</v>
      </c>
      <c r="C277" s="37">
        <v>45809.564722222225</v>
      </c>
      <c r="D277" s="36">
        <v>1000.0</v>
      </c>
    </row>
    <row r="278">
      <c r="A278" s="34" t="s">
        <v>221</v>
      </c>
      <c r="B278" s="34" t="s">
        <v>222</v>
      </c>
      <c r="C278" s="37">
        <v>45809.591828703706</v>
      </c>
      <c r="D278" s="36">
        <v>999.0</v>
      </c>
    </row>
    <row r="279">
      <c r="A279" s="34" t="s">
        <v>209</v>
      </c>
      <c r="B279" s="34" t="s">
        <v>210</v>
      </c>
      <c r="C279" s="37">
        <v>45809.65667824074</v>
      </c>
      <c r="D279" s="36">
        <v>1200.0</v>
      </c>
    </row>
    <row r="280">
      <c r="A280" s="34" t="s">
        <v>213</v>
      </c>
      <c r="B280" s="34" t="s">
        <v>214</v>
      </c>
      <c r="C280" s="37">
        <v>45809.71980324074</v>
      </c>
      <c r="D280" s="36">
        <v>1000.0</v>
      </c>
    </row>
    <row r="281">
      <c r="A281" s="34" t="s">
        <v>211</v>
      </c>
      <c r="B281" s="34" t="s">
        <v>212</v>
      </c>
      <c r="C281" s="37">
        <v>45809.74543981482</v>
      </c>
      <c r="D281" s="36">
        <v>1200.0</v>
      </c>
    </row>
    <row r="282">
      <c r="A282" s="34" t="s">
        <v>217</v>
      </c>
      <c r="B282" s="34" t="s">
        <v>218</v>
      </c>
      <c r="C282" s="37">
        <v>45809.80290509259</v>
      </c>
      <c r="D282" s="36">
        <v>1200.0</v>
      </c>
    </row>
    <row r="283">
      <c r="A283" s="34"/>
      <c r="B283" s="34"/>
      <c r="C283" s="37"/>
      <c r="D283" s="36"/>
    </row>
    <row r="284">
      <c r="A284" s="34"/>
      <c r="B284" s="34"/>
      <c r="C284" s="37"/>
      <c r="D284" s="36"/>
    </row>
    <row r="285">
      <c r="A285" s="34" t="s">
        <v>229</v>
      </c>
      <c r="B285" s="34" t="s">
        <v>230</v>
      </c>
      <c r="C285" s="37">
        <v>45810.53282407407</v>
      </c>
      <c r="D285" s="36">
        <v>1250.0</v>
      </c>
    </row>
    <row r="286">
      <c r="A286" s="34" t="s">
        <v>225</v>
      </c>
      <c r="B286" s="34" t="s">
        <v>226</v>
      </c>
      <c r="C286" s="37">
        <v>45810.610671296294</v>
      </c>
      <c r="D286" s="36">
        <v>1200.0</v>
      </c>
    </row>
    <row r="287">
      <c r="A287" s="34" t="s">
        <v>328</v>
      </c>
      <c r="B287" s="34" t="s">
        <v>329</v>
      </c>
      <c r="C287" s="37">
        <v>45810.62640046296</v>
      </c>
      <c r="D287" s="36">
        <v>7200.0</v>
      </c>
    </row>
    <row r="288">
      <c r="A288" s="34" t="s">
        <v>227</v>
      </c>
      <c r="B288" s="34" t="s">
        <v>228</v>
      </c>
      <c r="C288" s="37">
        <v>45810.63862268518</v>
      </c>
      <c r="D288" s="36">
        <v>1200.0</v>
      </c>
    </row>
    <row r="289">
      <c r="A289" s="34" t="s">
        <v>231</v>
      </c>
      <c r="B289" s="34" t="s">
        <v>232</v>
      </c>
      <c r="C289" s="37">
        <v>45810.64738425926</v>
      </c>
      <c r="D289" s="36">
        <v>1250.0</v>
      </c>
    </row>
    <row r="290">
      <c r="A290" s="34" t="s">
        <v>330</v>
      </c>
      <c r="B290" s="34" t="s">
        <v>331</v>
      </c>
      <c r="C290" s="37">
        <v>45810.682650462964</v>
      </c>
      <c r="D290" s="36">
        <v>7200.0</v>
      </c>
    </row>
    <row r="291">
      <c r="A291" s="34" t="s">
        <v>235</v>
      </c>
      <c r="B291" s="34" t="s">
        <v>236</v>
      </c>
      <c r="C291" s="37">
        <v>45810.69944444444</v>
      </c>
      <c r="D291" s="36">
        <v>1200.0</v>
      </c>
    </row>
    <row r="292">
      <c r="A292" s="34"/>
      <c r="B292" s="34"/>
      <c r="C292" s="37"/>
      <c r="D292" s="36"/>
    </row>
    <row r="293">
      <c r="A293" s="34" t="s">
        <v>237</v>
      </c>
      <c r="B293" s="34" t="s">
        <v>238</v>
      </c>
      <c r="C293" s="37">
        <v>45810.78582175926</v>
      </c>
      <c r="D293" s="36">
        <v>1200.0</v>
      </c>
    </row>
    <row r="294">
      <c r="A294" s="34" t="s">
        <v>332</v>
      </c>
      <c r="B294" s="34" t="s">
        <v>333</v>
      </c>
      <c r="C294" s="37">
        <v>45810.80681712963</v>
      </c>
      <c r="D294" s="36">
        <v>2700.0</v>
      </c>
    </row>
    <row r="295">
      <c r="A295" s="34" t="s">
        <v>261</v>
      </c>
      <c r="B295" s="34" t="s">
        <v>262</v>
      </c>
      <c r="C295" s="37">
        <v>45811.04571759259</v>
      </c>
      <c r="D295" s="36">
        <v>1200.0</v>
      </c>
    </row>
    <row r="296">
      <c r="A296" s="34" t="s">
        <v>149</v>
      </c>
      <c r="B296" s="34" t="s">
        <v>150</v>
      </c>
      <c r="C296" s="37">
        <v>45811.7475</v>
      </c>
      <c r="D296" s="36">
        <v>1200.0</v>
      </c>
    </row>
    <row r="297">
      <c r="A297" s="34" t="s">
        <v>334</v>
      </c>
      <c r="B297" s="34" t="s">
        <v>335</v>
      </c>
      <c r="C297" s="37">
        <v>45811.70290509259</v>
      </c>
      <c r="D297" s="36">
        <v>2700.0</v>
      </c>
    </row>
    <row r="298">
      <c r="A298" s="34" t="s">
        <v>247</v>
      </c>
      <c r="B298" s="34" t="s">
        <v>248</v>
      </c>
      <c r="C298" s="37">
        <v>45811.70607638889</v>
      </c>
      <c r="D298" s="36">
        <v>1250.0</v>
      </c>
    </row>
    <row r="299">
      <c r="A299" s="34" t="s">
        <v>243</v>
      </c>
      <c r="B299" s="34" t="s">
        <v>244</v>
      </c>
      <c r="C299" s="37">
        <v>45811.721400462964</v>
      </c>
      <c r="D299" s="36">
        <v>1300.0</v>
      </c>
    </row>
    <row r="300">
      <c r="A300" s="34" t="s">
        <v>64</v>
      </c>
      <c r="B300" s="34" t="s">
        <v>253</v>
      </c>
      <c r="C300" s="37">
        <v>45811.851018518515</v>
      </c>
      <c r="D300" s="36">
        <v>1200.0</v>
      </c>
    </row>
    <row r="301">
      <c r="A301" s="34"/>
      <c r="B301" s="34"/>
      <c r="C301" s="37"/>
      <c r="D301" s="36"/>
    </row>
    <row r="302">
      <c r="A302" s="34" t="s">
        <v>233</v>
      </c>
      <c r="B302" s="34" t="s">
        <v>234</v>
      </c>
      <c r="C302" s="37">
        <v>45810.72005787037</v>
      </c>
      <c r="D302" s="36">
        <v>1200.0</v>
      </c>
    </row>
    <row r="303">
      <c r="A303" s="34"/>
      <c r="B303" s="34"/>
      <c r="C303" s="37"/>
      <c r="D303" s="36"/>
    </row>
    <row r="304">
      <c r="A304" s="34" t="s">
        <v>66</v>
      </c>
      <c r="B304" s="34" t="s">
        <v>258</v>
      </c>
      <c r="C304" s="37">
        <v>45812.64556712963</v>
      </c>
      <c r="D304" s="36">
        <v>1200.0</v>
      </c>
    </row>
    <row r="305">
      <c r="A305" s="34" t="s">
        <v>259</v>
      </c>
      <c r="B305" s="34" t="s">
        <v>260</v>
      </c>
      <c r="C305" s="37">
        <v>45812.72059027778</v>
      </c>
      <c r="D305" s="36">
        <v>1200.0</v>
      </c>
    </row>
    <row r="306">
      <c r="A306" s="34" t="s">
        <v>193</v>
      </c>
      <c r="B306" s="34" t="s">
        <v>194</v>
      </c>
      <c r="C306" s="37">
        <v>45809.12006944444</v>
      </c>
      <c r="D306" s="36">
        <v>1000.0</v>
      </c>
    </row>
    <row r="307">
      <c r="A307" s="34"/>
      <c r="B307" s="34"/>
      <c r="C307" s="37"/>
      <c r="D307" s="36"/>
    </row>
    <row r="308">
      <c r="A308" s="34" t="s">
        <v>336</v>
      </c>
      <c r="B308" s="34" t="s">
        <v>337</v>
      </c>
      <c r="C308" s="37">
        <v>45813.66452546296</v>
      </c>
      <c r="D308" s="36">
        <v>749.0</v>
      </c>
    </row>
    <row r="309">
      <c r="A309" s="34" t="s">
        <v>265</v>
      </c>
      <c r="B309" s="34" t="s">
        <v>266</v>
      </c>
      <c r="C309" s="37">
        <v>45813.828043981484</v>
      </c>
      <c r="D309" s="36">
        <v>1200.0</v>
      </c>
    </row>
    <row r="310">
      <c r="A310" s="34" t="s">
        <v>241</v>
      </c>
      <c r="B310" s="34" t="s">
        <v>242</v>
      </c>
      <c r="C310" s="37">
        <v>45810.85476851852</v>
      </c>
      <c r="D310" s="36">
        <v>1250.0</v>
      </c>
    </row>
    <row r="311">
      <c r="A311" s="34" t="s">
        <v>70</v>
      </c>
      <c r="B311" s="34" t="s">
        <v>71</v>
      </c>
      <c r="C311" s="37">
        <v>45814.63502314815</v>
      </c>
      <c r="D311" s="36">
        <v>1000.0</v>
      </c>
    </row>
    <row r="312">
      <c r="A312" s="34" t="s">
        <v>338</v>
      </c>
      <c r="B312" s="34" t="s">
        <v>339</v>
      </c>
      <c r="C312" s="37">
        <v>45814.63502314815</v>
      </c>
      <c r="D312" s="36">
        <v>2700.0</v>
      </c>
    </row>
    <row r="313">
      <c r="A313" s="34" t="s">
        <v>340</v>
      </c>
      <c r="B313" s="34" t="s">
        <v>341</v>
      </c>
      <c r="C313" s="37">
        <v>45814.72608796296</v>
      </c>
      <c r="D313" s="36">
        <v>7200.0</v>
      </c>
    </row>
    <row r="314">
      <c r="A314" s="34" t="s">
        <v>342</v>
      </c>
      <c r="B314" s="34" t="s">
        <v>343</v>
      </c>
      <c r="C314" s="37">
        <v>45814.75109953704</v>
      </c>
      <c r="D314" s="36">
        <v>7200.0</v>
      </c>
    </row>
    <row r="315">
      <c r="A315" s="34" t="s">
        <v>74</v>
      </c>
      <c r="B315" s="34" t="s">
        <v>75</v>
      </c>
      <c r="C315" s="37">
        <v>45814.849444444444</v>
      </c>
      <c r="D315" s="36">
        <v>1200.0</v>
      </c>
    </row>
    <row r="316">
      <c r="A316" s="34" t="s">
        <v>344</v>
      </c>
      <c r="B316" s="34" t="s">
        <v>345</v>
      </c>
      <c r="C316" s="37">
        <v>45815.42643518518</v>
      </c>
      <c r="D316" s="36">
        <v>7200.0</v>
      </c>
    </row>
    <row r="317">
      <c r="A317" s="34" t="s">
        <v>346</v>
      </c>
      <c r="B317" s="34" t="s">
        <v>347</v>
      </c>
      <c r="C317" s="37">
        <v>45815.42643518518</v>
      </c>
      <c r="D317" s="36">
        <v>1250.0</v>
      </c>
    </row>
    <row r="318">
      <c r="A318" s="34" t="s">
        <v>173</v>
      </c>
      <c r="B318" s="34" t="s">
        <v>174</v>
      </c>
      <c r="C318" s="37">
        <v>45815.44505787037</v>
      </c>
      <c r="D318" s="36">
        <v>1000.0</v>
      </c>
    </row>
    <row r="319">
      <c r="A319" s="34" t="s">
        <v>263</v>
      </c>
      <c r="B319" s="34" t="s">
        <v>264</v>
      </c>
      <c r="C319" s="37">
        <v>45813.69517361111</v>
      </c>
      <c r="D319" s="36">
        <v>1200.0</v>
      </c>
    </row>
    <row r="320">
      <c r="A320" s="34" t="s">
        <v>348</v>
      </c>
      <c r="B320" s="34" t="s">
        <v>349</v>
      </c>
      <c r="C320" s="37">
        <v>45815.677256944444</v>
      </c>
      <c r="D320" s="36">
        <v>2700.0</v>
      </c>
    </row>
    <row r="321">
      <c r="A321" s="34"/>
      <c r="B321" s="34"/>
      <c r="C321" s="37">
        <v>45816.3833912037</v>
      </c>
      <c r="D321" s="36">
        <v>2000.0</v>
      </c>
    </row>
    <row r="322">
      <c r="A322" s="34" t="s">
        <v>78</v>
      </c>
      <c r="B322" s="34" t="s">
        <v>79</v>
      </c>
      <c r="C322" s="37">
        <v>45816.597037037034</v>
      </c>
      <c r="D322" s="36">
        <v>699.0</v>
      </c>
    </row>
    <row r="323">
      <c r="A323" s="34" t="s">
        <v>80</v>
      </c>
      <c r="B323" s="34" t="s">
        <v>81</v>
      </c>
      <c r="C323" s="37">
        <v>45816.68711805555</v>
      </c>
      <c r="D323" s="36">
        <v>699.0</v>
      </c>
    </row>
    <row r="324">
      <c r="A324" s="34" t="s">
        <v>350</v>
      </c>
      <c r="B324" s="34" t="s">
        <v>351</v>
      </c>
      <c r="C324" s="37">
        <v>45816.7090625</v>
      </c>
      <c r="D324" s="36">
        <v>3600.0</v>
      </c>
    </row>
    <row r="325">
      <c r="A325" s="34" t="s">
        <v>269</v>
      </c>
      <c r="B325" s="34" t="s">
        <v>270</v>
      </c>
      <c r="C325" s="37">
        <v>45816.8259837963</v>
      </c>
      <c r="D325" s="36">
        <v>1200.0</v>
      </c>
    </row>
    <row r="326">
      <c r="A326" s="34" t="s">
        <v>32</v>
      </c>
      <c r="B326" s="34" t="s">
        <v>84</v>
      </c>
      <c r="C326" s="37">
        <v>45817.56747685185</v>
      </c>
      <c r="D326" s="36">
        <v>699.0</v>
      </c>
    </row>
    <row r="327">
      <c r="A327" s="34" t="s">
        <v>352</v>
      </c>
      <c r="B327" s="34" t="s">
        <v>353</v>
      </c>
      <c r="C327" s="37">
        <v>45817.80631944445</v>
      </c>
      <c r="D327" s="36">
        <v>2700.0</v>
      </c>
    </row>
    <row r="328">
      <c r="A328" s="34" t="s">
        <v>87</v>
      </c>
      <c r="B328" s="34" t="s">
        <v>88</v>
      </c>
      <c r="C328" s="37">
        <v>45818.044583333336</v>
      </c>
      <c r="D328" s="36">
        <v>1250.0</v>
      </c>
    </row>
    <row r="329">
      <c r="A329" s="34"/>
      <c r="B329" s="34"/>
      <c r="C329" s="37"/>
      <c r="D329" s="36"/>
    </row>
    <row r="330">
      <c r="A330" s="34" t="s">
        <v>354</v>
      </c>
      <c r="B330" s="34" t="s">
        <v>355</v>
      </c>
      <c r="C330" s="37">
        <v>45818.46849537037</v>
      </c>
      <c r="D330" s="36">
        <v>2700.0</v>
      </c>
    </row>
    <row r="331">
      <c r="A331" s="34" t="s">
        <v>356</v>
      </c>
      <c r="B331" s="34" t="s">
        <v>357</v>
      </c>
      <c r="C331" s="37">
        <v>45818.71988425926</v>
      </c>
      <c r="D331" s="36">
        <v>2700.0</v>
      </c>
    </row>
    <row r="332">
      <c r="A332" s="34" t="s">
        <v>93</v>
      </c>
      <c r="B332" s="34" t="s">
        <v>94</v>
      </c>
      <c r="C332" s="37">
        <v>45818.75125</v>
      </c>
      <c r="D332" s="36">
        <v>1000.0</v>
      </c>
    </row>
    <row r="333">
      <c r="A333" s="34"/>
      <c r="B333" s="34"/>
      <c r="C333" s="37"/>
      <c r="D333" s="36"/>
    </row>
    <row r="334">
      <c r="A334" s="34" t="s">
        <v>95</v>
      </c>
      <c r="B334" s="34" t="s">
        <v>96</v>
      </c>
      <c r="C334" s="37">
        <v>45819.473912037036</v>
      </c>
      <c r="D334" s="36">
        <v>1200.0</v>
      </c>
    </row>
    <row r="335">
      <c r="A335" s="34" t="s">
        <v>97</v>
      </c>
      <c r="B335" s="34" t="s">
        <v>98</v>
      </c>
      <c r="C335" s="37">
        <v>45819.648368055554</v>
      </c>
      <c r="D335" s="36">
        <v>1200.0</v>
      </c>
    </row>
    <row r="336">
      <c r="A336" s="34" t="s">
        <v>99</v>
      </c>
      <c r="B336" s="34" t="s">
        <v>100</v>
      </c>
      <c r="C336" s="37">
        <v>45819.71670138889</v>
      </c>
      <c r="D336" s="36">
        <v>1200.0</v>
      </c>
    </row>
    <row r="337">
      <c r="A337" s="34" t="s">
        <v>215</v>
      </c>
      <c r="B337" s="34" t="s">
        <v>216</v>
      </c>
      <c r="C337" s="37">
        <v>45809.12908564815</v>
      </c>
      <c r="D337" s="36">
        <v>1200.0</v>
      </c>
    </row>
    <row r="338">
      <c r="A338" s="34" t="s">
        <v>358</v>
      </c>
      <c r="B338" s="34" t="s">
        <v>359</v>
      </c>
      <c r="C338" s="37">
        <v>45820.042395833334</v>
      </c>
      <c r="D338" s="36">
        <v>4800.0</v>
      </c>
    </row>
    <row r="339">
      <c r="A339" s="34" t="s">
        <v>68</v>
      </c>
      <c r="B339" s="34" t="s">
        <v>69</v>
      </c>
      <c r="C339" s="37">
        <v>45814.0440625</v>
      </c>
      <c r="D339" s="36">
        <v>1000.0</v>
      </c>
    </row>
    <row r="340">
      <c r="A340" s="34" t="s">
        <v>275</v>
      </c>
      <c r="B340" s="34" t="s">
        <v>276</v>
      </c>
      <c r="C340" s="37">
        <v>45820.69697916666</v>
      </c>
      <c r="D340" s="36">
        <v>1000.0</v>
      </c>
    </row>
    <row r="341">
      <c r="A341" s="34" t="s">
        <v>101</v>
      </c>
      <c r="B341" s="34" t="s">
        <v>102</v>
      </c>
      <c r="C341" s="37">
        <v>45821.712372685186</v>
      </c>
      <c r="D341" s="36">
        <v>1200.0</v>
      </c>
    </row>
    <row r="342">
      <c r="A342" s="34"/>
      <c r="B342" s="34"/>
      <c r="C342" s="37"/>
      <c r="D342" s="36"/>
    </row>
    <row r="343">
      <c r="A343" s="34" t="s">
        <v>279</v>
      </c>
      <c r="B343" s="34" t="s">
        <v>280</v>
      </c>
      <c r="C343" s="37">
        <v>45822.70662037037</v>
      </c>
      <c r="D343" s="36">
        <v>1200.0</v>
      </c>
    </row>
    <row r="344">
      <c r="A344" s="34" t="s">
        <v>107</v>
      </c>
      <c r="B344" s="34" t="s">
        <v>108</v>
      </c>
      <c r="C344" s="37">
        <v>45815.45153935185</v>
      </c>
      <c r="D344" s="36">
        <v>1000.0</v>
      </c>
    </row>
    <row r="345">
      <c r="A345" s="34"/>
      <c r="B345" s="34"/>
      <c r="C345" s="37"/>
      <c r="D345" s="36"/>
    </row>
    <row r="346">
      <c r="A346" s="34" t="s">
        <v>360</v>
      </c>
      <c r="B346" s="34" t="s">
        <v>361</v>
      </c>
      <c r="C346" s="37">
        <v>45823.4709375</v>
      </c>
      <c r="D346" s="36">
        <v>1200.0</v>
      </c>
    </row>
    <row r="347">
      <c r="A347" s="34" t="s">
        <v>103</v>
      </c>
      <c r="B347" s="34" t="s">
        <v>104</v>
      </c>
      <c r="C347" s="37">
        <v>45823.47263888889</v>
      </c>
      <c r="D347" s="36">
        <v>1200.0</v>
      </c>
    </row>
    <row r="348">
      <c r="A348" s="34"/>
      <c r="B348" s="34" t="s">
        <v>362</v>
      </c>
      <c r="C348" s="37">
        <v>45823.59341435185</v>
      </c>
      <c r="D348" s="36">
        <v>2700.0</v>
      </c>
    </row>
    <row r="349">
      <c r="A349" s="34" t="s">
        <v>105</v>
      </c>
      <c r="B349" s="34" t="s">
        <v>106</v>
      </c>
      <c r="C349" s="37">
        <v>45823.71800925926</v>
      </c>
      <c r="D349" s="36">
        <v>1200.0</v>
      </c>
    </row>
    <row r="350">
      <c r="A350" s="34" t="s">
        <v>363</v>
      </c>
      <c r="B350" s="34" t="s">
        <v>364</v>
      </c>
      <c r="C350" s="37">
        <v>45823.76362268518</v>
      </c>
      <c r="D350" s="36">
        <v>7200.0</v>
      </c>
    </row>
    <row r="351">
      <c r="A351" s="34" t="s">
        <v>365</v>
      </c>
      <c r="B351" s="34" t="s">
        <v>366</v>
      </c>
      <c r="C351" s="37">
        <v>45823.782222222224</v>
      </c>
      <c r="D351" s="36">
        <v>7200.0</v>
      </c>
    </row>
    <row r="352">
      <c r="A352" s="34" t="s">
        <v>367</v>
      </c>
      <c r="B352" s="34" t="s">
        <v>368</v>
      </c>
      <c r="C352" s="37">
        <v>45823.84280092592</v>
      </c>
      <c r="D352" s="36">
        <v>2700.0</v>
      </c>
    </row>
    <row r="353">
      <c r="A353" s="34"/>
      <c r="B353" s="34" t="s">
        <v>369</v>
      </c>
      <c r="C353" s="37">
        <v>45824.56905092593</v>
      </c>
      <c r="D353" s="36">
        <v>2700.0</v>
      </c>
    </row>
    <row r="354">
      <c r="A354" s="34" t="s">
        <v>370</v>
      </c>
      <c r="B354" s="34" t="s">
        <v>371</v>
      </c>
      <c r="C354" s="37">
        <v>45824.73814814815</v>
      </c>
      <c r="D354" s="36">
        <v>2700.0</v>
      </c>
    </row>
    <row r="355">
      <c r="A355" s="34" t="s">
        <v>285</v>
      </c>
      <c r="B355" s="34" t="s">
        <v>286</v>
      </c>
      <c r="C355" s="37">
        <v>45825.70175925926</v>
      </c>
      <c r="D355" s="36">
        <v>1200.0</v>
      </c>
    </row>
    <row r="356">
      <c r="A356" s="34" t="s">
        <v>113</v>
      </c>
      <c r="B356" s="34" t="s">
        <v>114</v>
      </c>
      <c r="C356" s="37">
        <v>45827.677141203705</v>
      </c>
      <c r="D356" s="36">
        <v>1200.0</v>
      </c>
    </row>
    <row r="357">
      <c r="A357" s="34" t="s">
        <v>291</v>
      </c>
      <c r="B357" s="34" t="s">
        <v>292</v>
      </c>
      <c r="C357" s="37">
        <v>45827.680289351854</v>
      </c>
      <c r="D357" s="36">
        <v>1200.0</v>
      </c>
    </row>
    <row r="358">
      <c r="A358" s="34" t="s">
        <v>293</v>
      </c>
      <c r="B358" s="34" t="s">
        <v>294</v>
      </c>
      <c r="C358" s="37">
        <v>45827.73164351852</v>
      </c>
      <c r="D358" s="36">
        <v>1200.0</v>
      </c>
    </row>
    <row r="359">
      <c r="A359" s="34"/>
      <c r="B359" s="34"/>
      <c r="C359" s="37">
        <v>45827.75150462963</v>
      </c>
      <c r="D359" s="36">
        <v>7200.0</v>
      </c>
    </row>
    <row r="360">
      <c r="A360" s="34" t="s">
        <v>115</v>
      </c>
      <c r="B360" s="34" t="s">
        <v>116</v>
      </c>
      <c r="C360" s="37">
        <v>45828.43835648148</v>
      </c>
      <c r="D360" s="36">
        <v>1250.0</v>
      </c>
    </row>
    <row r="361">
      <c r="A361" s="34" t="s">
        <v>117</v>
      </c>
      <c r="B361" s="34" t="s">
        <v>118</v>
      </c>
      <c r="C361" s="37">
        <v>45828.591261574074</v>
      </c>
      <c r="D361" s="36">
        <v>1200.0</v>
      </c>
    </row>
    <row r="362">
      <c r="A362" s="34"/>
      <c r="B362" s="34"/>
      <c r="C362" s="37"/>
      <c r="D362" s="36"/>
    </row>
    <row r="363">
      <c r="A363" s="34" t="s">
        <v>283</v>
      </c>
      <c r="B363" s="34" t="s">
        <v>284</v>
      </c>
      <c r="C363" s="37">
        <v>45823.89003472222</v>
      </c>
      <c r="D363" s="36">
        <v>1200.0</v>
      </c>
    </row>
    <row r="364">
      <c r="A364" s="34" t="s">
        <v>129</v>
      </c>
      <c r="B364" s="34" t="s">
        <v>130</v>
      </c>
      <c r="C364" s="37">
        <v>45830.65806712963</v>
      </c>
      <c r="D364" s="36">
        <v>1200.0</v>
      </c>
    </row>
    <row r="365">
      <c r="A365" s="34" t="s">
        <v>295</v>
      </c>
      <c r="B365" s="34" t="s">
        <v>296</v>
      </c>
      <c r="C365" s="37">
        <v>45829.72684027778</v>
      </c>
      <c r="D365" s="36">
        <v>1200.0</v>
      </c>
    </row>
    <row r="366">
      <c r="A366" s="34"/>
      <c r="B366" s="34" t="s">
        <v>372</v>
      </c>
      <c r="C366" s="37">
        <v>45831.636145833334</v>
      </c>
      <c r="D366" s="36">
        <v>2700.0</v>
      </c>
    </row>
    <row r="367">
      <c r="A367" s="34" t="s">
        <v>137</v>
      </c>
      <c r="B367" s="34" t="s">
        <v>138</v>
      </c>
      <c r="C367" s="37">
        <v>45832.668275462966</v>
      </c>
      <c r="D367" s="36">
        <v>799.0</v>
      </c>
    </row>
    <row r="368">
      <c r="A368" s="34" t="s">
        <v>141</v>
      </c>
      <c r="B368" s="34" t="s">
        <v>142</v>
      </c>
      <c r="C368" s="37">
        <v>45832.730532407404</v>
      </c>
      <c r="D368" s="36">
        <v>1000.0</v>
      </c>
    </row>
    <row r="369">
      <c r="A369" s="34"/>
      <c r="B369" s="34"/>
      <c r="C369" s="37"/>
      <c r="D369" s="36"/>
    </row>
    <row r="370">
      <c r="A370" s="34" t="s">
        <v>373</v>
      </c>
      <c r="B370" s="34" t="s">
        <v>374</v>
      </c>
      <c r="C370" s="37">
        <v>45833.729050925926</v>
      </c>
      <c r="D370" s="36">
        <v>2700.0</v>
      </c>
    </row>
    <row r="371">
      <c r="A371" s="34"/>
      <c r="B371" s="34"/>
      <c r="C371" s="37"/>
      <c r="D371" s="36"/>
    </row>
    <row r="372">
      <c r="A372" s="34" t="s">
        <v>375</v>
      </c>
      <c r="B372" s="34" t="s">
        <v>376</v>
      </c>
      <c r="C372" s="37">
        <v>45833.74506944444</v>
      </c>
      <c r="D372" s="36">
        <v>3000.0</v>
      </c>
    </row>
    <row r="373">
      <c r="A373" s="34"/>
      <c r="B373" s="34"/>
      <c r="C373" s="37">
        <v>45834.42424768519</v>
      </c>
      <c r="D373" s="36">
        <v>5.0</v>
      </c>
    </row>
    <row r="374">
      <c r="A374" s="34"/>
      <c r="B374" s="34"/>
      <c r="C374" s="37"/>
      <c r="D374" s="36"/>
    </row>
    <row r="375">
      <c r="A375" s="34" t="s">
        <v>123</v>
      </c>
      <c r="B375" s="34" t="s">
        <v>124</v>
      </c>
      <c r="C375" s="37">
        <v>45828.67335648148</v>
      </c>
      <c r="D375" s="36">
        <v>1200.0</v>
      </c>
    </row>
    <row r="376">
      <c r="A376" s="34" t="s">
        <v>289</v>
      </c>
      <c r="B376" s="34" t="s">
        <v>290</v>
      </c>
      <c r="C376" s="37">
        <v>45826.74261574074</v>
      </c>
      <c r="D376" s="36">
        <v>1200.0</v>
      </c>
    </row>
    <row r="377">
      <c r="A377" s="34" t="s">
        <v>377</v>
      </c>
      <c r="B377" s="34" t="s">
        <v>378</v>
      </c>
      <c r="C377" s="37">
        <v>45835.30552083333</v>
      </c>
      <c r="D377" s="36">
        <v>7200.0</v>
      </c>
    </row>
    <row r="378">
      <c r="A378" s="34" t="s">
        <v>287</v>
      </c>
      <c r="B378" s="34" t="s">
        <v>288</v>
      </c>
      <c r="C378" s="37">
        <v>45826.688888888886</v>
      </c>
      <c r="D378" s="36">
        <v>1200.0</v>
      </c>
    </row>
    <row r="379">
      <c r="A379" s="34" t="s">
        <v>271</v>
      </c>
      <c r="B379" s="34" t="s">
        <v>272</v>
      </c>
      <c r="C379" s="37">
        <v>45835.43525462963</v>
      </c>
      <c r="D379" s="36">
        <v>1000.0</v>
      </c>
    </row>
    <row r="380">
      <c r="A380" s="34" t="s">
        <v>302</v>
      </c>
      <c r="B380" s="34" t="s">
        <v>303</v>
      </c>
      <c r="C380" s="37">
        <v>45835.046111111114</v>
      </c>
      <c r="D380" s="36">
        <v>1200.0</v>
      </c>
    </row>
    <row r="381">
      <c r="A381" s="34"/>
      <c r="B381" s="34"/>
      <c r="C381" s="37"/>
      <c r="D381" s="36"/>
    </row>
    <row r="382">
      <c r="A382" s="34"/>
      <c r="B382" s="34"/>
      <c r="C382" s="37">
        <v>45835.49527777778</v>
      </c>
      <c r="D382" s="36">
        <v>2500.0</v>
      </c>
    </row>
    <row r="383">
      <c r="A383" s="34" t="s">
        <v>145</v>
      </c>
      <c r="B383" s="34" t="s">
        <v>146</v>
      </c>
      <c r="C383" s="37">
        <v>45826.65355324074</v>
      </c>
      <c r="D383" s="36">
        <v>1200.0</v>
      </c>
    </row>
    <row r="384">
      <c r="A384" s="34" t="s">
        <v>277</v>
      </c>
      <c r="B384" s="34" t="s">
        <v>278</v>
      </c>
      <c r="C384" s="37">
        <v>45822.68649305555</v>
      </c>
      <c r="D384" s="36">
        <v>1200.0</v>
      </c>
    </row>
    <row r="385">
      <c r="A385" s="34" t="s">
        <v>219</v>
      </c>
      <c r="B385" s="34" t="s">
        <v>220</v>
      </c>
      <c r="C385" s="37">
        <v>45835.744259259256</v>
      </c>
      <c r="D385" s="36">
        <v>1200.0</v>
      </c>
    </row>
    <row r="386">
      <c r="A386" s="34" t="s">
        <v>157</v>
      </c>
      <c r="B386" s="34" t="s">
        <v>158</v>
      </c>
      <c r="C386" s="37">
        <v>45836.72256944444</v>
      </c>
      <c r="D386" s="36">
        <v>1200.0</v>
      </c>
    </row>
    <row r="387">
      <c r="A387" s="34" t="s">
        <v>159</v>
      </c>
      <c r="B387" s="34" t="s">
        <v>160</v>
      </c>
      <c r="C387" s="37">
        <v>45836.742060185185</v>
      </c>
      <c r="D387" s="36">
        <v>1200.0</v>
      </c>
    </row>
    <row r="388">
      <c r="A388" s="34" t="s">
        <v>300</v>
      </c>
      <c r="B388" s="34" t="s">
        <v>301</v>
      </c>
      <c r="C388" s="37">
        <v>45834.49722222222</v>
      </c>
      <c r="D388" s="36">
        <v>1200.0</v>
      </c>
    </row>
    <row r="389">
      <c r="A389" s="34" t="s">
        <v>153</v>
      </c>
      <c r="B389" s="34" t="s">
        <v>154</v>
      </c>
      <c r="C389" s="37">
        <v>45835.04591435185</v>
      </c>
      <c r="D389" s="36">
        <v>799.0</v>
      </c>
    </row>
    <row r="390">
      <c r="A390" s="34" t="s">
        <v>379</v>
      </c>
      <c r="B390" s="34" t="s">
        <v>380</v>
      </c>
      <c r="C390" s="37">
        <v>45835.04315972222</v>
      </c>
      <c r="D390" s="36">
        <v>2700.0</v>
      </c>
    </row>
    <row r="391">
      <c r="A391" s="34" t="s">
        <v>161</v>
      </c>
      <c r="B391" s="34" t="s">
        <v>162</v>
      </c>
      <c r="C391" s="37">
        <v>45837.69431712963</v>
      </c>
      <c r="D391" s="36">
        <v>1200.0</v>
      </c>
    </row>
    <row r="392">
      <c r="A392" s="34" t="s">
        <v>167</v>
      </c>
      <c r="B392" s="34" t="s">
        <v>168</v>
      </c>
      <c r="C392" s="37">
        <v>45838.04788194445</v>
      </c>
      <c r="D392" s="36">
        <v>1200.0</v>
      </c>
    </row>
    <row r="393">
      <c r="A393" s="34" t="s">
        <v>163</v>
      </c>
      <c r="B393" s="34" t="s">
        <v>164</v>
      </c>
      <c r="C393" s="37">
        <v>45838.048125</v>
      </c>
      <c r="D393" s="36">
        <v>1200.0</v>
      </c>
    </row>
    <row r="394">
      <c r="A394" s="34" t="s">
        <v>165</v>
      </c>
      <c r="B394" s="34" t="s">
        <v>166</v>
      </c>
      <c r="C394" s="37">
        <v>45838.04896990741</v>
      </c>
      <c r="D394" s="36">
        <v>1200.0</v>
      </c>
    </row>
    <row r="395">
      <c r="A395" s="34" t="s">
        <v>381</v>
      </c>
      <c r="B395" s="34" t="s">
        <v>382</v>
      </c>
      <c r="C395" s="37">
        <v>45838.18748842592</v>
      </c>
      <c r="D395" s="36">
        <v>1200.0</v>
      </c>
    </row>
    <row r="396">
      <c r="A396" s="34"/>
      <c r="B396" s="34"/>
      <c r="C396" s="37">
        <v>45838.344189814816</v>
      </c>
      <c r="D396" s="36">
        <v>800.0</v>
      </c>
    </row>
    <row r="397">
      <c r="A397" s="34" t="s">
        <v>383</v>
      </c>
      <c r="B397" s="34" t="s">
        <v>384</v>
      </c>
      <c r="C397" s="37">
        <v>45838.34819444444</v>
      </c>
      <c r="D397" s="36">
        <v>9000.0</v>
      </c>
    </row>
    <row r="398">
      <c r="A398" s="34" t="s">
        <v>85</v>
      </c>
      <c r="B398" s="34" t="s">
        <v>86</v>
      </c>
      <c r="C398" s="37">
        <v>45838.35666666667</v>
      </c>
      <c r="D398" s="36">
        <v>1200.0</v>
      </c>
    </row>
    <row r="399">
      <c r="A399" s="34" t="s">
        <v>385</v>
      </c>
      <c r="B399" s="34" t="s">
        <v>386</v>
      </c>
      <c r="C399" s="37">
        <v>45838.37730324074</v>
      </c>
      <c r="D399" s="36">
        <v>2100.0</v>
      </c>
    </row>
    <row r="400">
      <c r="A400" s="34" t="s">
        <v>82</v>
      </c>
      <c r="B400" s="34" t="s">
        <v>83</v>
      </c>
      <c r="C400" s="37">
        <v>45817.54509259259</v>
      </c>
      <c r="D400" s="36">
        <v>699.0</v>
      </c>
    </row>
    <row r="401">
      <c r="A401" s="34"/>
      <c r="B401" s="34"/>
      <c r="C401" s="37">
        <v>45838.394282407404</v>
      </c>
      <c r="D401" s="36">
        <v>3600.0</v>
      </c>
    </row>
    <row r="402">
      <c r="A402" s="34"/>
      <c r="B402" s="34"/>
      <c r="C402" s="37"/>
      <c r="D402" s="36"/>
    </row>
    <row r="403">
      <c r="A403" s="34" t="s">
        <v>177</v>
      </c>
      <c r="B403" s="34" t="s">
        <v>178</v>
      </c>
      <c r="C403" s="37">
        <v>45838.41354166667</v>
      </c>
      <c r="D403" s="36">
        <v>1200.0</v>
      </c>
    </row>
    <row r="404">
      <c r="A404" s="34"/>
      <c r="B404" s="34"/>
      <c r="C404" s="37">
        <v>45838.64324074074</v>
      </c>
      <c r="D404" s="36">
        <v>9000.0</v>
      </c>
    </row>
    <row r="405">
      <c r="A405" s="34" t="s">
        <v>306</v>
      </c>
      <c r="B405" s="34" t="s">
        <v>307</v>
      </c>
      <c r="C405" s="37">
        <v>45837.741481481484</v>
      </c>
      <c r="D405" s="36">
        <v>1200.0</v>
      </c>
    </row>
    <row r="406">
      <c r="A406" s="34" t="s">
        <v>308</v>
      </c>
      <c r="B406" s="34" t="s">
        <v>309</v>
      </c>
      <c r="C406" s="37">
        <v>45838.71076388889</v>
      </c>
      <c r="D406" s="36">
        <v>1200.0</v>
      </c>
    </row>
    <row r="407">
      <c r="A407" s="34"/>
      <c r="B407" s="34"/>
      <c r="C407" s="37">
        <v>45838.71849537037</v>
      </c>
      <c r="D407" s="36">
        <v>7200.0</v>
      </c>
    </row>
    <row r="408">
      <c r="A408" s="34" t="s">
        <v>310</v>
      </c>
      <c r="B408" s="34" t="s">
        <v>311</v>
      </c>
      <c r="C408" s="37">
        <v>45838.72587962963</v>
      </c>
      <c r="D408" s="36">
        <v>1200.0</v>
      </c>
    </row>
    <row r="409">
      <c r="A409" s="34" t="s">
        <v>387</v>
      </c>
      <c r="B409" s="34" t="s">
        <v>388</v>
      </c>
      <c r="C409" s="37">
        <v>45838.765914351854</v>
      </c>
      <c r="D409" s="36">
        <v>3000.0</v>
      </c>
    </row>
    <row r="410">
      <c r="A410" s="34"/>
      <c r="B410" s="34" t="s">
        <v>389</v>
      </c>
      <c r="C410" s="37">
        <v>45838.79957175926</v>
      </c>
      <c r="D410" s="36">
        <v>3000.0</v>
      </c>
    </row>
    <row r="411">
      <c r="A411" s="34" t="s">
        <v>316</v>
      </c>
      <c r="B411" s="34" t="s">
        <v>317</v>
      </c>
      <c r="C411" s="37">
        <v>45838.94446759259</v>
      </c>
      <c r="D411" s="36">
        <v>1200.0</v>
      </c>
    </row>
    <row r="412">
      <c r="A412" s="34"/>
      <c r="B412" s="34"/>
      <c r="C412" s="37"/>
      <c r="D412" s="36"/>
    </row>
    <row r="413">
      <c r="A413" s="34" t="s">
        <v>390</v>
      </c>
      <c r="B413" s="34" t="s">
        <v>391</v>
      </c>
      <c r="C413" s="37">
        <v>45839.068078703705</v>
      </c>
      <c r="D413" s="36">
        <v>2700.0</v>
      </c>
    </row>
    <row r="414">
      <c r="A414" s="34" t="s">
        <v>392</v>
      </c>
      <c r="B414" s="34" t="s">
        <v>393</v>
      </c>
      <c r="C414" s="37">
        <v>45839.068090277775</v>
      </c>
      <c r="D414" s="36">
        <v>2700.0</v>
      </c>
    </row>
    <row r="415">
      <c r="A415" s="34" t="s">
        <v>394</v>
      </c>
      <c r="B415" s="34" t="s">
        <v>395</v>
      </c>
      <c r="C415" s="37">
        <v>45839.10283564815</v>
      </c>
      <c r="D415" s="36">
        <v>2700.0</v>
      </c>
    </row>
    <row r="416">
      <c r="A416" s="34" t="s">
        <v>318</v>
      </c>
      <c r="B416" s="34" t="s">
        <v>319</v>
      </c>
      <c r="C416" s="37">
        <v>45839.107569444444</v>
      </c>
      <c r="D416" s="36">
        <v>1500.0</v>
      </c>
    </row>
    <row r="417">
      <c r="A417" s="34" t="s">
        <v>131</v>
      </c>
      <c r="B417" s="34" t="s">
        <v>132</v>
      </c>
      <c r="C417" s="37">
        <v>45839.14266203704</v>
      </c>
      <c r="D417" s="36">
        <v>1000.0</v>
      </c>
    </row>
    <row r="418">
      <c r="A418" s="34" t="s">
        <v>322</v>
      </c>
      <c r="B418" s="34" t="s">
        <v>323</v>
      </c>
      <c r="C418" s="37">
        <v>45839.203576388885</v>
      </c>
      <c r="D418" s="36">
        <v>1200.0</v>
      </c>
    </row>
    <row r="419">
      <c r="A419" s="34" t="s">
        <v>324</v>
      </c>
      <c r="B419" s="34" t="s">
        <v>325</v>
      </c>
      <c r="C419" s="37">
        <v>45839.27486111111</v>
      </c>
      <c r="D419" s="36">
        <v>1200.0</v>
      </c>
    </row>
    <row r="420">
      <c r="A420" s="34" t="s">
        <v>191</v>
      </c>
      <c r="B420" s="34" t="s">
        <v>192</v>
      </c>
      <c r="C420" s="37">
        <v>45839.27762731481</v>
      </c>
      <c r="D420" s="36">
        <v>1250.0</v>
      </c>
    </row>
    <row r="421">
      <c r="A421" s="34" t="s">
        <v>381</v>
      </c>
      <c r="B421" s="34" t="s">
        <v>382</v>
      </c>
      <c r="C421" s="37">
        <v>45839.27762731481</v>
      </c>
      <c r="D421" s="36">
        <v>1500.0</v>
      </c>
    </row>
    <row r="422">
      <c r="A422" s="34" t="s">
        <v>271</v>
      </c>
      <c r="B422" s="34" t="s">
        <v>272</v>
      </c>
      <c r="C422" s="37">
        <v>45839.55619212963</v>
      </c>
      <c r="D422" s="36">
        <v>1000.0</v>
      </c>
    </row>
    <row r="423">
      <c r="A423" s="34" t="s">
        <v>207</v>
      </c>
      <c r="B423" s="34" t="s">
        <v>208</v>
      </c>
      <c r="C423" s="37">
        <v>45839.57471064815</v>
      </c>
      <c r="D423" s="36">
        <v>1000.0</v>
      </c>
    </row>
    <row r="424">
      <c r="A424" s="34" t="s">
        <v>221</v>
      </c>
      <c r="B424" s="34" t="s">
        <v>222</v>
      </c>
      <c r="C424" s="37">
        <v>45839.639699074076</v>
      </c>
      <c r="D424" s="36">
        <v>999.0</v>
      </c>
    </row>
    <row r="425">
      <c r="A425" s="34" t="s">
        <v>209</v>
      </c>
      <c r="B425" s="34" t="s">
        <v>210</v>
      </c>
      <c r="C425" s="37">
        <v>45839.6596875</v>
      </c>
      <c r="D425" s="36">
        <v>1200.0</v>
      </c>
    </row>
    <row r="426">
      <c r="A426" s="34"/>
      <c r="B426" s="34" t="s">
        <v>396</v>
      </c>
      <c r="C426" s="37">
        <v>45839.717939814815</v>
      </c>
      <c r="D426" s="36">
        <v>3000.0</v>
      </c>
    </row>
    <row r="427">
      <c r="A427" s="34" t="s">
        <v>213</v>
      </c>
      <c r="B427" s="34" t="s">
        <v>214</v>
      </c>
      <c r="C427" s="37">
        <v>45839.72219907407</v>
      </c>
      <c r="D427" s="36">
        <v>1000.0</v>
      </c>
    </row>
    <row r="428">
      <c r="A428" s="34" t="s">
        <v>211</v>
      </c>
      <c r="B428" s="34" t="s">
        <v>212</v>
      </c>
      <c r="C428" s="37">
        <v>45839.74741898148</v>
      </c>
      <c r="D428" s="36">
        <v>1200.0</v>
      </c>
    </row>
    <row r="429">
      <c r="A429" s="34" t="s">
        <v>205</v>
      </c>
      <c r="B429" s="34" t="s">
        <v>206</v>
      </c>
      <c r="C429" s="37">
        <v>45839.27762731481</v>
      </c>
      <c r="D429" s="36">
        <v>1200.0</v>
      </c>
    </row>
    <row r="430">
      <c r="A430" s="34" t="s">
        <v>217</v>
      </c>
      <c r="B430" s="34" t="s">
        <v>218</v>
      </c>
      <c r="C430" s="37">
        <v>45839.80333333334</v>
      </c>
      <c r="D430" s="36">
        <v>1200.0</v>
      </c>
    </row>
    <row r="431">
      <c r="A431" s="34"/>
      <c r="B431" s="34"/>
      <c r="C431" s="37"/>
      <c r="D431" s="36"/>
    </row>
    <row r="432">
      <c r="A432" s="34"/>
      <c r="B432" s="34"/>
      <c r="C432" s="37"/>
      <c r="D432" s="36"/>
    </row>
    <row r="433">
      <c r="A433" s="34"/>
      <c r="B433" s="34"/>
      <c r="C433" s="37"/>
      <c r="D433" s="36"/>
    </row>
    <row r="434">
      <c r="A434" s="34" t="s">
        <v>229</v>
      </c>
      <c r="B434" s="34" t="s">
        <v>230</v>
      </c>
      <c r="C434" s="37">
        <v>45840.5321875</v>
      </c>
      <c r="D434" s="36">
        <v>1250.0</v>
      </c>
    </row>
    <row r="435">
      <c r="A435" s="34" t="s">
        <v>225</v>
      </c>
      <c r="B435" s="34" t="s">
        <v>226</v>
      </c>
      <c r="C435" s="37">
        <v>45840.61305555556</v>
      </c>
      <c r="D435" s="36">
        <v>1200.0</v>
      </c>
    </row>
    <row r="436">
      <c r="A436" s="34" t="s">
        <v>227</v>
      </c>
      <c r="B436" s="34" t="s">
        <v>228</v>
      </c>
      <c r="C436" s="37">
        <v>45840.638819444444</v>
      </c>
      <c r="D436" s="36">
        <v>1200.0</v>
      </c>
    </row>
    <row r="437">
      <c r="A437" s="34" t="s">
        <v>231</v>
      </c>
      <c r="B437" s="34" t="s">
        <v>232</v>
      </c>
      <c r="C437" s="37">
        <v>45840.64702546296</v>
      </c>
      <c r="D437" s="36">
        <v>1250.0</v>
      </c>
    </row>
    <row r="438">
      <c r="A438" s="34" t="s">
        <v>235</v>
      </c>
      <c r="B438" s="34" t="s">
        <v>236</v>
      </c>
      <c r="C438" s="37">
        <v>45840.699791666666</v>
      </c>
      <c r="D438" s="36">
        <v>1200.0</v>
      </c>
    </row>
    <row r="439">
      <c r="A439" s="34" t="s">
        <v>233</v>
      </c>
      <c r="B439" s="34" t="s">
        <v>234</v>
      </c>
      <c r="C439" s="37">
        <v>45840.72215277778</v>
      </c>
      <c r="D439" s="36">
        <v>1200.0</v>
      </c>
    </row>
    <row r="440">
      <c r="A440" s="34"/>
      <c r="B440" s="34"/>
      <c r="C440" s="37"/>
      <c r="D440" s="36"/>
    </row>
    <row r="441">
      <c r="A441" s="34" t="s">
        <v>397</v>
      </c>
      <c r="B441" s="34" t="s">
        <v>398</v>
      </c>
      <c r="C441" s="37">
        <v>45840.761516203704</v>
      </c>
      <c r="D441" s="36">
        <v>3000.0</v>
      </c>
    </row>
    <row r="442">
      <c r="A442" s="34" t="s">
        <v>237</v>
      </c>
      <c r="B442" s="34" t="s">
        <v>238</v>
      </c>
      <c r="C442" s="37">
        <v>45840.78603009259</v>
      </c>
      <c r="D442" s="36">
        <v>1200.0</v>
      </c>
    </row>
    <row r="443">
      <c r="A443" s="34" t="s">
        <v>149</v>
      </c>
      <c r="B443" s="34" t="s">
        <v>150</v>
      </c>
      <c r="C443" s="37">
        <v>45840.78603009259</v>
      </c>
      <c r="D443" s="36">
        <v>1200.0</v>
      </c>
    </row>
    <row r="444">
      <c r="A444" s="34" t="s">
        <v>70</v>
      </c>
      <c r="B444" s="34" t="s">
        <v>71</v>
      </c>
      <c r="C444" s="37">
        <v>45840.78603009259</v>
      </c>
      <c r="D444" s="36">
        <v>1000.0</v>
      </c>
    </row>
    <row r="445">
      <c r="A445" s="34" t="s">
        <v>247</v>
      </c>
      <c r="B445" s="34" t="s">
        <v>248</v>
      </c>
      <c r="C445" s="37">
        <v>45841.70773148148</v>
      </c>
      <c r="D445" s="36">
        <v>1250.0</v>
      </c>
    </row>
    <row r="446">
      <c r="A446" s="34"/>
      <c r="B446" s="34"/>
      <c r="C446" s="37">
        <v>45841.77065972222</v>
      </c>
      <c r="D446" s="36">
        <v>1500.0</v>
      </c>
    </row>
    <row r="447">
      <c r="A447" s="34" t="s">
        <v>261</v>
      </c>
      <c r="B447" s="34" t="s">
        <v>262</v>
      </c>
      <c r="C447" s="37">
        <v>45841.04378472222</v>
      </c>
      <c r="D447" s="36">
        <v>1200.0</v>
      </c>
    </row>
    <row r="448">
      <c r="A448" s="34"/>
      <c r="B448" s="34"/>
      <c r="C448" s="37">
        <v>45842.47064814815</v>
      </c>
      <c r="D448" s="36">
        <v>9000.0</v>
      </c>
    </row>
    <row r="449">
      <c r="A449" s="34" t="s">
        <v>241</v>
      </c>
      <c r="B449" s="34" t="s">
        <v>242</v>
      </c>
      <c r="C449" s="37">
        <v>45840.85542824074</v>
      </c>
      <c r="D449" s="36">
        <v>1250.0</v>
      </c>
    </row>
    <row r="450">
      <c r="A450" s="34" t="s">
        <v>399</v>
      </c>
      <c r="B450" s="34" t="s">
        <v>400</v>
      </c>
      <c r="C450" s="37">
        <v>45842.6075462963</v>
      </c>
      <c r="D450" s="36">
        <v>800.0</v>
      </c>
    </row>
    <row r="451">
      <c r="A451" s="34" t="s">
        <v>66</v>
      </c>
      <c r="B451" s="34" t="s">
        <v>258</v>
      </c>
      <c r="C451" s="37">
        <v>45842.646782407406</v>
      </c>
      <c r="D451" s="36">
        <v>1200.0</v>
      </c>
    </row>
    <row r="452">
      <c r="A452" s="34" t="s">
        <v>243</v>
      </c>
      <c r="B452" s="34" t="s">
        <v>244</v>
      </c>
      <c r="C452" s="37">
        <v>45841.72167824074</v>
      </c>
      <c r="D452" s="36">
        <v>1300.0</v>
      </c>
    </row>
    <row r="453">
      <c r="A453" s="34" t="s">
        <v>259</v>
      </c>
      <c r="B453" s="34" t="s">
        <v>260</v>
      </c>
      <c r="C453" s="37">
        <v>45842.720300925925</v>
      </c>
      <c r="D453" s="36">
        <v>1200.0</v>
      </c>
    </row>
    <row r="454">
      <c r="A454" s="34" t="s">
        <v>401</v>
      </c>
      <c r="B454" s="34" t="s">
        <v>402</v>
      </c>
      <c r="C454" s="37">
        <v>45842.748136574075</v>
      </c>
      <c r="D454" s="36">
        <v>3000.0</v>
      </c>
    </row>
    <row r="455">
      <c r="A455" s="34" t="s">
        <v>403</v>
      </c>
      <c r="B455" s="34" t="s">
        <v>404</v>
      </c>
      <c r="C455" s="37">
        <v>45842.754328703704</v>
      </c>
      <c r="D455" s="36">
        <v>3000.0</v>
      </c>
    </row>
    <row r="456">
      <c r="A456" s="34" t="s">
        <v>405</v>
      </c>
      <c r="B456" s="34" t="s">
        <v>406</v>
      </c>
      <c r="C456" s="37">
        <v>45842.816666666666</v>
      </c>
      <c r="D456" s="36">
        <v>500.0</v>
      </c>
    </row>
    <row r="457">
      <c r="A457" s="34" t="s">
        <v>336</v>
      </c>
      <c r="B457" s="34" t="s">
        <v>337</v>
      </c>
      <c r="C457" s="37">
        <v>45843.70800925926</v>
      </c>
      <c r="D457" s="36">
        <v>749.0</v>
      </c>
    </row>
    <row r="458">
      <c r="A458" s="34" t="s">
        <v>265</v>
      </c>
      <c r="B458" s="34" t="s">
        <v>266</v>
      </c>
      <c r="C458" s="37">
        <v>45843.82986111111</v>
      </c>
      <c r="D458" s="36">
        <v>1200.0</v>
      </c>
    </row>
    <row r="459">
      <c r="A459" s="34" t="s">
        <v>263</v>
      </c>
      <c r="B459" s="34" t="s">
        <v>264</v>
      </c>
      <c r="C459" s="37">
        <v>45843.69664351852</v>
      </c>
      <c r="D459" s="36">
        <v>1200.0</v>
      </c>
    </row>
    <row r="460">
      <c r="A460" s="34" t="s">
        <v>338</v>
      </c>
      <c r="B460" s="34" t="s">
        <v>339</v>
      </c>
      <c r="C460" s="37">
        <v>45844.67896990741</v>
      </c>
      <c r="D460" s="36">
        <v>1200.0</v>
      </c>
    </row>
    <row r="461">
      <c r="A461" s="34" t="s">
        <v>348</v>
      </c>
      <c r="B461" s="34" t="s">
        <v>349</v>
      </c>
      <c r="C461" s="37">
        <v>45845.72063657407</v>
      </c>
      <c r="D461" s="36">
        <v>1200.0</v>
      </c>
    </row>
    <row r="462">
      <c r="A462" s="34" t="s">
        <v>80</v>
      </c>
      <c r="B462" s="34" t="s">
        <v>81</v>
      </c>
      <c r="C462" s="37">
        <v>45846.686898148146</v>
      </c>
      <c r="D462" s="36">
        <v>699.0</v>
      </c>
    </row>
    <row r="463">
      <c r="A463" s="34"/>
      <c r="B463" s="34"/>
      <c r="C463" s="37">
        <v>45846.686944444446</v>
      </c>
      <c r="D463" s="36">
        <v>500.0</v>
      </c>
    </row>
    <row r="464">
      <c r="A464" s="34" t="s">
        <v>407</v>
      </c>
      <c r="B464" s="34" t="s">
        <v>408</v>
      </c>
      <c r="C464" s="37">
        <v>45846.71739583334</v>
      </c>
      <c r="D464" s="36">
        <v>3000.0</v>
      </c>
    </row>
    <row r="465">
      <c r="A465" s="34"/>
      <c r="B465" s="34"/>
      <c r="C465" s="37"/>
      <c r="D465" s="36"/>
    </row>
    <row r="466">
      <c r="A466" s="34" t="s">
        <v>350</v>
      </c>
      <c r="B466" s="34" t="s">
        <v>351</v>
      </c>
      <c r="C466" s="37">
        <v>45846.75148148148</v>
      </c>
      <c r="D466" s="36">
        <v>3600.0</v>
      </c>
    </row>
    <row r="467">
      <c r="A467" s="34"/>
      <c r="B467" s="34"/>
      <c r="C467" s="37">
        <v>45846.777337962965</v>
      </c>
      <c r="D467" s="36">
        <v>100.0</v>
      </c>
    </row>
    <row r="468">
      <c r="A468" s="34" t="s">
        <v>269</v>
      </c>
      <c r="B468" s="34" t="s">
        <v>270</v>
      </c>
      <c r="C468" s="37">
        <v>45846.82653935185</v>
      </c>
      <c r="D468" s="36">
        <v>1200.0</v>
      </c>
    </row>
    <row r="469">
      <c r="A469" s="34" t="s">
        <v>32</v>
      </c>
      <c r="B469" s="34" t="s">
        <v>84</v>
      </c>
      <c r="C469" s="37">
        <v>45847.56795138889</v>
      </c>
      <c r="D469" s="36">
        <v>699.0</v>
      </c>
    </row>
    <row r="470">
      <c r="A470" s="34" t="s">
        <v>352</v>
      </c>
      <c r="B470" s="34" t="s">
        <v>353</v>
      </c>
      <c r="C470" s="37">
        <v>45847.84894675926</v>
      </c>
      <c r="D470" s="36">
        <v>1200.0</v>
      </c>
    </row>
    <row r="471">
      <c r="A471" s="34"/>
      <c r="B471" s="34"/>
      <c r="C471" s="37"/>
      <c r="D471" s="36"/>
    </row>
    <row r="472">
      <c r="A472" s="34"/>
      <c r="B472" s="34"/>
      <c r="C472" s="37"/>
      <c r="D472" s="36"/>
    </row>
    <row r="473">
      <c r="A473" s="34" t="s">
        <v>354</v>
      </c>
      <c r="B473" s="34" t="s">
        <v>355</v>
      </c>
      <c r="C473" s="37">
        <v>45848.51125</v>
      </c>
      <c r="D473" s="36">
        <v>1200.0</v>
      </c>
    </row>
    <row r="474">
      <c r="A474" s="34"/>
      <c r="B474" s="34"/>
      <c r="C474" s="37">
        <v>45848.712592592594</v>
      </c>
      <c r="D474" s="36">
        <v>1500.0</v>
      </c>
    </row>
    <row r="475">
      <c r="A475" s="34" t="s">
        <v>93</v>
      </c>
      <c r="B475" s="34" t="s">
        <v>94</v>
      </c>
      <c r="C475" s="37">
        <v>45848.75298611111</v>
      </c>
      <c r="D475" s="36">
        <v>1000.0</v>
      </c>
    </row>
    <row r="476">
      <c r="A476" s="34" t="s">
        <v>409</v>
      </c>
      <c r="B476" s="34" t="s">
        <v>410</v>
      </c>
      <c r="C476" s="37">
        <v>45848.76155092593</v>
      </c>
      <c r="D476" s="36">
        <v>3000.0</v>
      </c>
    </row>
    <row r="477">
      <c r="A477" s="34" t="s">
        <v>356</v>
      </c>
      <c r="B477" s="34" t="s">
        <v>357</v>
      </c>
      <c r="C477" s="37">
        <v>45848.76261574074</v>
      </c>
      <c r="D477" s="36">
        <v>1200.0</v>
      </c>
    </row>
    <row r="478">
      <c r="A478" s="34"/>
      <c r="B478" s="34"/>
      <c r="C478" s="37"/>
      <c r="D478" s="36"/>
    </row>
    <row r="479">
      <c r="A479" s="34" t="s">
        <v>95</v>
      </c>
      <c r="B479" s="34" t="s">
        <v>96</v>
      </c>
      <c r="C479" s="37">
        <v>45849.47324074074</v>
      </c>
      <c r="D479" s="36">
        <v>1200.0</v>
      </c>
    </row>
    <row r="480">
      <c r="A480" s="34"/>
      <c r="B480" s="34"/>
      <c r="C480" s="37">
        <v>45849.47381944444</v>
      </c>
      <c r="D480" s="36">
        <v>199.0</v>
      </c>
    </row>
    <row r="481">
      <c r="A481" s="34" t="s">
        <v>411</v>
      </c>
      <c r="B481" s="34" t="s">
        <v>412</v>
      </c>
      <c r="C481" s="37">
        <v>45849.52085648148</v>
      </c>
      <c r="D481" s="36">
        <v>1500.0</v>
      </c>
    </row>
    <row r="482">
      <c r="A482" s="34" t="s">
        <v>68</v>
      </c>
      <c r="B482" s="34" t="s">
        <v>69</v>
      </c>
      <c r="C482" s="37">
        <v>45844.045902777776</v>
      </c>
      <c r="D482" s="36">
        <v>1000.0</v>
      </c>
    </row>
    <row r="483">
      <c r="A483" s="34" t="s">
        <v>99</v>
      </c>
      <c r="B483" s="34" t="s">
        <v>100</v>
      </c>
      <c r="C483" s="37">
        <v>45849.71770833333</v>
      </c>
      <c r="D483" s="36">
        <v>1200.0</v>
      </c>
    </row>
    <row r="484">
      <c r="A484" s="34" t="s">
        <v>275</v>
      </c>
      <c r="B484" s="34" t="s">
        <v>276</v>
      </c>
      <c r="C484" s="37">
        <v>45850.662511574075</v>
      </c>
      <c r="D484" s="36">
        <v>1000.0</v>
      </c>
    </row>
    <row r="485">
      <c r="A485" s="34"/>
      <c r="B485" s="34"/>
      <c r="C485" s="37">
        <v>45851.679618055554</v>
      </c>
      <c r="D485" s="36">
        <v>9000.0</v>
      </c>
    </row>
    <row r="486">
      <c r="A486" s="34" t="s">
        <v>101</v>
      </c>
      <c r="B486" s="34" t="s">
        <v>102</v>
      </c>
      <c r="C486" s="37">
        <v>45851.71224537037</v>
      </c>
      <c r="D486" s="36">
        <v>1200.0</v>
      </c>
    </row>
    <row r="487">
      <c r="A487" s="34" t="s">
        <v>413</v>
      </c>
      <c r="B487" s="34" t="s">
        <v>414</v>
      </c>
      <c r="C487" s="37">
        <v>45852.718819444446</v>
      </c>
      <c r="D487" s="36">
        <v>3000.0</v>
      </c>
    </row>
    <row r="488">
      <c r="A488" s="34"/>
      <c r="B488" s="34"/>
      <c r="C488" s="37">
        <v>45852.77210648148</v>
      </c>
      <c r="D488" s="36">
        <v>100.0</v>
      </c>
    </row>
    <row r="489">
      <c r="A489" s="34" t="s">
        <v>103</v>
      </c>
      <c r="B489" s="34" t="s">
        <v>104</v>
      </c>
      <c r="C489" s="37">
        <v>45853.47403935185</v>
      </c>
      <c r="D489" s="36">
        <v>1200.0</v>
      </c>
    </row>
    <row r="490">
      <c r="A490" s="34"/>
      <c r="B490" s="34" t="s">
        <v>362</v>
      </c>
      <c r="C490" s="37">
        <v>45853.63685185185</v>
      </c>
      <c r="D490" s="36">
        <v>1200.0</v>
      </c>
    </row>
    <row r="491">
      <c r="A491" s="34" t="s">
        <v>105</v>
      </c>
      <c r="B491" s="34" t="s">
        <v>106</v>
      </c>
      <c r="C491" s="37">
        <v>45853.71865740741</v>
      </c>
      <c r="D491" s="36">
        <v>1200.0</v>
      </c>
    </row>
    <row r="492">
      <c r="A492" s="34"/>
      <c r="B492" s="34"/>
      <c r="C492" s="37">
        <v>45853.74269675926</v>
      </c>
      <c r="D492" s="36">
        <v>9000.0</v>
      </c>
    </row>
    <row r="493">
      <c r="A493" s="34"/>
      <c r="B493" s="34"/>
      <c r="C493" s="37">
        <v>45853.78978009259</v>
      </c>
      <c r="D493" s="36">
        <v>500.0</v>
      </c>
    </row>
    <row r="494">
      <c r="A494" s="34" t="s">
        <v>367</v>
      </c>
      <c r="B494" s="34" t="s">
        <v>368</v>
      </c>
      <c r="C494" s="37">
        <v>45853.88487268519</v>
      </c>
      <c r="D494" s="36">
        <v>1200.0</v>
      </c>
    </row>
    <row r="495">
      <c r="A495" s="34" t="s">
        <v>205</v>
      </c>
      <c r="B495" s="34" t="s">
        <v>206</v>
      </c>
      <c r="C495" s="37">
        <v>45853.88487268519</v>
      </c>
      <c r="D495" s="36">
        <v>1200.0</v>
      </c>
    </row>
    <row r="496">
      <c r="A496" s="34"/>
      <c r="B496" s="34" t="s">
        <v>369</v>
      </c>
      <c r="C496" s="37">
        <v>45854.61121527778</v>
      </c>
      <c r="D496" s="36">
        <v>1200.0</v>
      </c>
    </row>
    <row r="497">
      <c r="A497" s="34" t="s">
        <v>370</v>
      </c>
      <c r="B497" s="34" t="s">
        <v>371</v>
      </c>
      <c r="C497" s="37">
        <v>45854.78052083333</v>
      </c>
      <c r="D497" s="36">
        <v>1200.0</v>
      </c>
    </row>
    <row r="498">
      <c r="A498" s="34" t="s">
        <v>82</v>
      </c>
      <c r="B498" s="34" t="s">
        <v>83</v>
      </c>
      <c r="C498" s="37">
        <v>45854.44857638889</v>
      </c>
      <c r="D498" s="36">
        <v>699.0</v>
      </c>
    </row>
    <row r="499">
      <c r="A499" s="34"/>
      <c r="B499" s="34"/>
      <c r="C499" s="37"/>
      <c r="D499" s="36"/>
    </row>
    <row r="500">
      <c r="A500" s="34" t="s">
        <v>87</v>
      </c>
      <c r="B500" s="34" t="s">
        <v>88</v>
      </c>
      <c r="C500" s="37">
        <v>45848.04278935185</v>
      </c>
      <c r="D500" s="36">
        <v>1250.0</v>
      </c>
    </row>
    <row r="501">
      <c r="A501" s="34" t="s">
        <v>285</v>
      </c>
      <c r="B501" s="34" t="s">
        <v>286</v>
      </c>
      <c r="C501" s="37">
        <v>45855.70321759259</v>
      </c>
      <c r="D501" s="36">
        <v>1200.0</v>
      </c>
    </row>
    <row r="502">
      <c r="A502" s="34" t="s">
        <v>277</v>
      </c>
      <c r="B502" s="34" t="s">
        <v>278</v>
      </c>
      <c r="C502" s="37">
        <v>45852.68729166667</v>
      </c>
      <c r="D502" s="36">
        <v>1200.0</v>
      </c>
    </row>
    <row r="503">
      <c r="A503" s="34" t="s">
        <v>243</v>
      </c>
      <c r="B503" s="34" t="s">
        <v>415</v>
      </c>
      <c r="C503" s="37">
        <v>45856.56255787037</v>
      </c>
      <c r="D503" s="36">
        <v>3000.0</v>
      </c>
    </row>
    <row r="504">
      <c r="A504" s="34"/>
      <c r="B504" s="34"/>
      <c r="C504" s="37">
        <v>45856.82981481482</v>
      </c>
      <c r="D504" s="36">
        <v>1500.0</v>
      </c>
    </row>
    <row r="505">
      <c r="A505" s="34" t="s">
        <v>283</v>
      </c>
      <c r="B505" s="34" t="s">
        <v>284</v>
      </c>
      <c r="C505" s="37">
        <v>45853.890555555554</v>
      </c>
      <c r="D505" s="36">
        <v>1200.0</v>
      </c>
    </row>
    <row r="506">
      <c r="A506" s="34" t="s">
        <v>332</v>
      </c>
      <c r="B506" s="34" t="s">
        <v>333</v>
      </c>
      <c r="C506" s="37">
        <v>45840.84935185185</v>
      </c>
      <c r="D506" s="36">
        <v>1200.0</v>
      </c>
    </row>
    <row r="507">
      <c r="A507" s="34" t="s">
        <v>113</v>
      </c>
      <c r="B507" s="34" t="s">
        <v>114</v>
      </c>
      <c r="C507" s="37">
        <v>45857.67696759259</v>
      </c>
      <c r="D507" s="36">
        <v>1200.0</v>
      </c>
    </row>
    <row r="508">
      <c r="A508" s="34" t="s">
        <v>291</v>
      </c>
      <c r="B508" s="34" t="s">
        <v>292</v>
      </c>
      <c r="C508" s="37">
        <v>45857.68041666667</v>
      </c>
      <c r="D508" s="36">
        <v>1200.0</v>
      </c>
    </row>
    <row r="509">
      <c r="A509" s="34" t="s">
        <v>416</v>
      </c>
      <c r="B509" s="34" t="s">
        <v>417</v>
      </c>
      <c r="C509" s="37">
        <v>45857.807118055556</v>
      </c>
      <c r="D509" s="36">
        <v>1200.0</v>
      </c>
    </row>
    <row r="510">
      <c r="A510" s="34" t="s">
        <v>287</v>
      </c>
      <c r="B510" s="34" t="s">
        <v>288</v>
      </c>
      <c r="C510" s="37">
        <v>45856.68914351852</v>
      </c>
      <c r="D510" s="36">
        <v>1200.0</v>
      </c>
    </row>
    <row r="511">
      <c r="A511" s="34" t="s">
        <v>115</v>
      </c>
      <c r="B511" s="34" t="s">
        <v>116</v>
      </c>
      <c r="C511" s="37">
        <v>45858.438993055555</v>
      </c>
      <c r="D511" s="36">
        <v>1250.0</v>
      </c>
    </row>
    <row r="512">
      <c r="A512" s="34" t="s">
        <v>117</v>
      </c>
      <c r="B512" s="34" t="s">
        <v>118</v>
      </c>
      <c r="C512" s="37">
        <v>45858.59217592593</v>
      </c>
      <c r="D512" s="36">
        <v>1200.0</v>
      </c>
    </row>
    <row r="513">
      <c r="A513" s="34" t="s">
        <v>418</v>
      </c>
      <c r="B513" s="34" t="s">
        <v>419</v>
      </c>
      <c r="C513" s="37">
        <v>45858.663611111115</v>
      </c>
      <c r="D513" s="36">
        <v>3000.0</v>
      </c>
    </row>
    <row r="514">
      <c r="A514" s="34" t="s">
        <v>420</v>
      </c>
      <c r="B514" s="34" t="s">
        <v>421</v>
      </c>
      <c r="C514" s="37">
        <v>45858.685208333336</v>
      </c>
      <c r="D514" s="36">
        <v>3000.0</v>
      </c>
    </row>
    <row r="515">
      <c r="A515" s="34" t="s">
        <v>422</v>
      </c>
      <c r="B515" s="34" t="s">
        <v>423</v>
      </c>
      <c r="C515" s="37">
        <v>45858.76605324074</v>
      </c>
      <c r="D515" s="36">
        <v>3000.0</v>
      </c>
    </row>
    <row r="516">
      <c r="A516" s="34"/>
      <c r="B516" s="34"/>
      <c r="C516" s="37"/>
      <c r="D516" s="36"/>
    </row>
    <row r="517">
      <c r="A517" s="34" t="s">
        <v>293</v>
      </c>
      <c r="B517" s="34" t="s">
        <v>294</v>
      </c>
      <c r="C517" s="37">
        <v>45857.73274305555</v>
      </c>
      <c r="D517" s="36">
        <v>1200.0</v>
      </c>
    </row>
    <row r="518">
      <c r="A518" s="34" t="s">
        <v>424</v>
      </c>
      <c r="B518" s="34" t="s">
        <v>425</v>
      </c>
      <c r="C518" s="37">
        <v>45859.44478009259</v>
      </c>
      <c r="D518" s="36">
        <v>3000.0</v>
      </c>
    </row>
    <row r="519">
      <c r="A519" s="34" t="s">
        <v>426</v>
      </c>
      <c r="B519" s="34" t="s">
        <v>427</v>
      </c>
      <c r="C519" s="37">
        <v>45859.57288194444</v>
      </c>
      <c r="D519" s="36">
        <v>3000.0</v>
      </c>
    </row>
    <row r="520">
      <c r="A520" s="34"/>
      <c r="B520" s="34"/>
      <c r="C520" s="37">
        <v>45859.63741898148</v>
      </c>
      <c r="D520" s="36">
        <v>9000.0</v>
      </c>
    </row>
    <row r="521">
      <c r="A521" s="34"/>
      <c r="B521" s="34"/>
      <c r="C521" s="37">
        <v>45859.65721064815</v>
      </c>
      <c r="D521" s="36">
        <v>9000.0</v>
      </c>
    </row>
    <row r="522">
      <c r="A522" s="34" t="s">
        <v>295</v>
      </c>
      <c r="B522" s="34" t="s">
        <v>296</v>
      </c>
      <c r="C522" s="37">
        <v>45859.72662037037</v>
      </c>
      <c r="D522" s="36">
        <v>1200.0</v>
      </c>
    </row>
    <row r="523">
      <c r="A523" s="34"/>
      <c r="B523" s="34"/>
      <c r="C523" s="37">
        <v>45860.53959490741</v>
      </c>
      <c r="D523" s="36">
        <v>9000.0</v>
      </c>
    </row>
    <row r="524">
      <c r="A524" s="34" t="s">
        <v>129</v>
      </c>
      <c r="B524" s="34" t="s">
        <v>130</v>
      </c>
      <c r="C524" s="37">
        <v>45860.65929398148</v>
      </c>
      <c r="D524" s="36">
        <v>1200.0</v>
      </c>
    </row>
    <row r="525">
      <c r="A525" s="34" t="s">
        <v>428</v>
      </c>
      <c r="B525" s="34" t="s">
        <v>429</v>
      </c>
      <c r="C525" s="37">
        <v>45860.76524305555</v>
      </c>
      <c r="D525" s="36">
        <v>3000.0</v>
      </c>
    </row>
    <row r="526">
      <c r="A526" s="34"/>
      <c r="B526" s="34"/>
      <c r="C526" s="37">
        <v>45860.772256944445</v>
      </c>
      <c r="D526" s="36">
        <v>1500.0</v>
      </c>
    </row>
    <row r="527">
      <c r="A527" s="34" t="s">
        <v>430</v>
      </c>
      <c r="B527" s="34" t="s">
        <v>431</v>
      </c>
      <c r="C527" s="37">
        <v>45860.78600694444</v>
      </c>
      <c r="D527" s="36">
        <v>3000.0</v>
      </c>
    </row>
    <row r="528">
      <c r="A528" s="34" t="s">
        <v>137</v>
      </c>
      <c r="B528" s="34" t="s">
        <v>138</v>
      </c>
      <c r="C528" s="37">
        <v>45862.668969907405</v>
      </c>
      <c r="D528" s="36">
        <v>799.0</v>
      </c>
    </row>
    <row r="529">
      <c r="A529" s="34" t="s">
        <v>141</v>
      </c>
      <c r="B529" s="34" t="s">
        <v>142</v>
      </c>
      <c r="C529" s="37">
        <v>45862.73125</v>
      </c>
      <c r="D529" s="36">
        <v>1000.0</v>
      </c>
    </row>
    <row r="530">
      <c r="A530" s="34"/>
      <c r="B530" s="34"/>
      <c r="C530" s="37"/>
      <c r="D530" s="36"/>
    </row>
    <row r="531">
      <c r="A531" s="34" t="s">
        <v>373</v>
      </c>
      <c r="B531" s="34" t="s">
        <v>374</v>
      </c>
      <c r="C531" s="37">
        <v>45863.773043981484</v>
      </c>
      <c r="D531" s="36">
        <v>1200.0</v>
      </c>
    </row>
    <row r="532">
      <c r="A532" s="34"/>
      <c r="B532" s="34"/>
      <c r="C532" s="37">
        <v>45863.78099537037</v>
      </c>
      <c r="D532" s="36">
        <v>4500.0</v>
      </c>
    </row>
    <row r="533">
      <c r="A533" s="34" t="s">
        <v>375</v>
      </c>
      <c r="B533" s="34" t="s">
        <v>376</v>
      </c>
      <c r="C533" s="37">
        <v>45863.7878587963</v>
      </c>
      <c r="D533" s="36">
        <v>1500.0</v>
      </c>
    </row>
    <row r="534">
      <c r="A534" s="34" t="s">
        <v>432</v>
      </c>
      <c r="B534" s="34" t="s">
        <v>433</v>
      </c>
      <c r="C534" s="37">
        <v>45864.69841435185</v>
      </c>
      <c r="D534" s="36">
        <v>3000.0</v>
      </c>
    </row>
    <row r="535">
      <c r="A535" s="34"/>
      <c r="B535" s="34"/>
      <c r="C535" s="37">
        <v>45864.79696759259</v>
      </c>
      <c r="D535" s="36">
        <v>6000.0</v>
      </c>
    </row>
    <row r="536">
      <c r="A536" s="34"/>
      <c r="B536" s="34"/>
      <c r="C536" s="37"/>
      <c r="D536" s="36"/>
    </row>
    <row r="537">
      <c r="A537" s="34" t="s">
        <v>300</v>
      </c>
      <c r="B537" s="34" t="s">
        <v>301</v>
      </c>
      <c r="C537" s="37">
        <v>45864.49670138889</v>
      </c>
      <c r="D537" s="36">
        <v>1200.0</v>
      </c>
    </row>
    <row r="538">
      <c r="A538" s="34"/>
      <c r="B538" s="34"/>
      <c r="C538" s="37"/>
      <c r="D538" s="36"/>
    </row>
    <row r="539">
      <c r="A539" s="34"/>
      <c r="B539" s="34"/>
      <c r="C539" s="37">
        <v>45865.730625</v>
      </c>
      <c r="D539" s="36">
        <v>1600.0</v>
      </c>
    </row>
    <row r="540">
      <c r="A540" s="34" t="s">
        <v>302</v>
      </c>
      <c r="B540" s="34" t="s">
        <v>303</v>
      </c>
      <c r="C540" s="37">
        <v>45865.04393518518</v>
      </c>
      <c r="D540" s="36">
        <v>1200.0</v>
      </c>
    </row>
    <row r="541">
      <c r="A541" s="34"/>
      <c r="B541" s="34"/>
      <c r="C541" s="37">
        <v>45866.59869212963</v>
      </c>
      <c r="D541" s="36">
        <v>9000.0</v>
      </c>
    </row>
    <row r="542">
      <c r="A542" s="34" t="s">
        <v>159</v>
      </c>
      <c r="B542" s="34" t="s">
        <v>160</v>
      </c>
      <c r="C542" s="37">
        <v>45866.74232638889</v>
      </c>
      <c r="D542" s="36">
        <v>1200.0</v>
      </c>
    </row>
    <row r="543">
      <c r="A543" s="34" t="s">
        <v>434</v>
      </c>
      <c r="B543" s="34" t="s">
        <v>435</v>
      </c>
      <c r="C543" s="37">
        <v>45866.75371527778</v>
      </c>
      <c r="D543" s="36">
        <v>3000.0</v>
      </c>
    </row>
    <row r="544">
      <c r="A544" s="34" t="s">
        <v>165</v>
      </c>
      <c r="B544" s="34" t="s">
        <v>166</v>
      </c>
      <c r="C544" s="37">
        <v>45868.047106481485</v>
      </c>
      <c r="D544" s="36">
        <v>1200.0</v>
      </c>
    </row>
    <row r="545">
      <c r="A545" s="34" t="s">
        <v>163</v>
      </c>
      <c r="B545" s="34" t="s">
        <v>164</v>
      </c>
      <c r="C545" s="37">
        <v>45868.04744212963</v>
      </c>
      <c r="D545" s="36">
        <v>1200.0</v>
      </c>
    </row>
    <row r="546">
      <c r="A546" s="34" t="s">
        <v>177</v>
      </c>
      <c r="B546" s="34" t="s">
        <v>178</v>
      </c>
      <c r="C546" s="37">
        <v>45868.439039351855</v>
      </c>
      <c r="D546" s="36">
        <v>1200.0</v>
      </c>
    </row>
    <row r="547">
      <c r="A547" s="34"/>
      <c r="B547" s="34"/>
      <c r="C547" s="37">
        <v>45868.59857638889</v>
      </c>
      <c r="D547" s="36">
        <v>9000.0</v>
      </c>
    </row>
    <row r="548">
      <c r="A548" s="34" t="s">
        <v>308</v>
      </c>
      <c r="B548" s="34" t="s">
        <v>309</v>
      </c>
      <c r="C548" s="37">
        <v>45868.70982638889</v>
      </c>
      <c r="D548" s="36">
        <v>1200.0</v>
      </c>
    </row>
    <row r="549">
      <c r="A549" s="34" t="s">
        <v>310</v>
      </c>
      <c r="B549" s="34" t="s">
        <v>311</v>
      </c>
      <c r="C549" s="37">
        <v>45868.72520833334</v>
      </c>
      <c r="D549" s="36">
        <v>1200.0</v>
      </c>
    </row>
    <row r="550">
      <c r="A550" s="34" t="s">
        <v>436</v>
      </c>
      <c r="B550" s="34" t="s">
        <v>437</v>
      </c>
      <c r="C550" s="37">
        <v>45868.79015046296</v>
      </c>
      <c r="D550" s="36">
        <v>3000.0</v>
      </c>
    </row>
    <row r="551">
      <c r="A551" s="34" t="s">
        <v>360</v>
      </c>
      <c r="B551" s="34" t="s">
        <v>361</v>
      </c>
      <c r="C551" s="37">
        <v>45853.51342592593</v>
      </c>
      <c r="D551" s="36">
        <v>1200.0</v>
      </c>
    </row>
    <row r="552">
      <c r="A552" s="34" t="s">
        <v>70</v>
      </c>
      <c r="B552" s="34" t="s">
        <v>71</v>
      </c>
      <c r="C552" s="37">
        <v>45869.04353009259</v>
      </c>
      <c r="D552" s="36">
        <v>1000.0</v>
      </c>
    </row>
    <row r="553">
      <c r="A553" s="34" t="s">
        <v>167</v>
      </c>
      <c r="B553" s="34" t="s">
        <v>168</v>
      </c>
      <c r="C553" s="37">
        <v>45869.044270833336</v>
      </c>
      <c r="D553" s="36">
        <v>1200.0</v>
      </c>
    </row>
    <row r="554">
      <c r="A554" s="34"/>
      <c r="B554" s="34" t="s">
        <v>389</v>
      </c>
      <c r="C554" s="37">
        <v>45868.841875</v>
      </c>
      <c r="D554" s="36">
        <v>1500.0</v>
      </c>
    </row>
    <row r="555">
      <c r="A555" s="34" t="s">
        <v>387</v>
      </c>
      <c r="B555" s="34" t="s">
        <v>388</v>
      </c>
      <c r="C555" s="37">
        <v>45868.80840277778</v>
      </c>
      <c r="D555" s="36">
        <v>1500.0</v>
      </c>
    </row>
    <row r="556">
      <c r="A556" s="34"/>
      <c r="B556" s="34"/>
      <c r="C556" s="37"/>
      <c r="D556" s="36"/>
    </row>
    <row r="557">
      <c r="A557" s="34" t="s">
        <v>379</v>
      </c>
      <c r="B557" s="34" t="s">
        <v>380</v>
      </c>
      <c r="C557" s="37">
        <v>45865.046261574076</v>
      </c>
      <c r="D557" s="36">
        <v>1200.0</v>
      </c>
    </row>
    <row r="558">
      <c r="A558" s="34" t="s">
        <v>334</v>
      </c>
      <c r="B558" s="34" t="s">
        <v>335</v>
      </c>
      <c r="C558" s="37">
        <v>45841.74599537037</v>
      </c>
      <c r="D558" s="36">
        <v>1200.0</v>
      </c>
    </row>
    <row r="559">
      <c r="A559" s="34" t="s">
        <v>334</v>
      </c>
      <c r="B559" s="34" t="s">
        <v>335</v>
      </c>
      <c r="C559" s="37">
        <v>45869.253958333335</v>
      </c>
      <c r="D559" s="36">
        <v>1200.0</v>
      </c>
    </row>
    <row r="560">
      <c r="A560" s="34" t="s">
        <v>215</v>
      </c>
      <c r="B560" s="34" t="s">
        <v>216</v>
      </c>
      <c r="C560" s="37">
        <v>45839.21413194444</v>
      </c>
      <c r="D560" s="36">
        <v>1200.0</v>
      </c>
    </row>
    <row r="561">
      <c r="A561" s="34"/>
      <c r="B561" s="34"/>
      <c r="C561" s="37"/>
      <c r="D561" s="36"/>
    </row>
    <row r="562">
      <c r="A562" s="34" t="s">
        <v>438</v>
      </c>
      <c r="B562" s="34" t="s">
        <v>439</v>
      </c>
      <c r="C562" s="37">
        <v>45869.673854166664</v>
      </c>
      <c r="D562" s="36">
        <v>2000.0</v>
      </c>
    </row>
    <row r="563">
      <c r="A563" s="34" t="s">
        <v>153</v>
      </c>
      <c r="B563" s="34" t="s">
        <v>154</v>
      </c>
      <c r="C563" s="37">
        <v>45865.046261574076</v>
      </c>
      <c r="D563" s="36">
        <v>799.0</v>
      </c>
    </row>
    <row r="564">
      <c r="A564" s="34" t="s">
        <v>440</v>
      </c>
      <c r="B564" s="34" t="s">
        <v>441</v>
      </c>
      <c r="C564" s="37">
        <v>45869.81459490741</v>
      </c>
      <c r="D564" s="36">
        <v>3000.0</v>
      </c>
    </row>
    <row r="565">
      <c r="A565" s="34" t="s">
        <v>316</v>
      </c>
      <c r="B565" s="34" t="s">
        <v>317</v>
      </c>
      <c r="C565" s="37">
        <v>45869.94375</v>
      </c>
      <c r="D565" s="36">
        <v>1200.0</v>
      </c>
    </row>
    <row r="566">
      <c r="A566" s="34" t="s">
        <v>442</v>
      </c>
      <c r="B566" s="34" t="s">
        <v>443</v>
      </c>
      <c r="C566" s="37">
        <v>45870.0694212963</v>
      </c>
      <c r="D566" s="36">
        <v>1700.0</v>
      </c>
    </row>
    <row r="567">
      <c r="A567" s="34" t="s">
        <v>131</v>
      </c>
      <c r="B567" s="34" t="s">
        <v>132</v>
      </c>
      <c r="C567" s="37">
        <v>45870.06974537037</v>
      </c>
      <c r="D567" s="36">
        <v>1000.0</v>
      </c>
    </row>
    <row r="568">
      <c r="A568" s="34" t="s">
        <v>444</v>
      </c>
      <c r="B568" s="34" t="s">
        <v>445</v>
      </c>
      <c r="C568" s="37">
        <v>45870.08918981482</v>
      </c>
      <c r="D568" s="36">
        <v>1200.0</v>
      </c>
    </row>
    <row r="569">
      <c r="A569" s="34" t="s">
        <v>390</v>
      </c>
      <c r="B569" s="34" t="s">
        <v>391</v>
      </c>
      <c r="C569" s="37">
        <v>45870.0903125</v>
      </c>
      <c r="D569" s="36">
        <v>1200.0</v>
      </c>
    </row>
    <row r="570">
      <c r="A570" s="34"/>
      <c r="B570" s="34"/>
      <c r="C570" s="37"/>
      <c r="D570" s="36"/>
    </row>
    <row r="571">
      <c r="A571" s="34" t="s">
        <v>392</v>
      </c>
      <c r="B571" s="34" t="s">
        <v>393</v>
      </c>
      <c r="C571" s="37">
        <v>45870.105266203704</v>
      </c>
      <c r="D571" s="36">
        <v>1200.0</v>
      </c>
    </row>
    <row r="572">
      <c r="A572" s="34" t="s">
        <v>322</v>
      </c>
      <c r="B572" s="34" t="s">
        <v>323</v>
      </c>
      <c r="C572" s="37">
        <v>45870.106099537035</v>
      </c>
      <c r="D572" s="36">
        <v>1200.0</v>
      </c>
    </row>
    <row r="573">
      <c r="A573" s="34" t="s">
        <v>394</v>
      </c>
      <c r="B573" s="34" t="s">
        <v>395</v>
      </c>
      <c r="C573" s="37">
        <v>45870.10795138889</v>
      </c>
      <c r="D573" s="36">
        <v>1200.0</v>
      </c>
    </row>
    <row r="574">
      <c r="A574" s="34" t="s">
        <v>324</v>
      </c>
      <c r="B574" s="34" t="s">
        <v>325</v>
      </c>
      <c r="C574" s="37">
        <v>45870.114224537036</v>
      </c>
      <c r="D574" s="36">
        <v>1200.0</v>
      </c>
    </row>
    <row r="575">
      <c r="A575" s="34" t="s">
        <v>318</v>
      </c>
      <c r="B575" s="34" t="s">
        <v>319</v>
      </c>
      <c r="C575" s="37">
        <v>45870.11732638889</v>
      </c>
      <c r="D575" s="36">
        <v>1500.0</v>
      </c>
    </row>
    <row r="576">
      <c r="A576" s="34" t="s">
        <v>85</v>
      </c>
      <c r="B576" s="34" t="s">
        <v>86</v>
      </c>
      <c r="C576" s="37">
        <v>45870.22262731481</v>
      </c>
      <c r="D576" s="36">
        <v>1200.0</v>
      </c>
    </row>
    <row r="577">
      <c r="A577" s="34" t="s">
        <v>157</v>
      </c>
      <c r="B577" s="34" t="s">
        <v>158</v>
      </c>
      <c r="C577" s="37">
        <v>45870.244421296295</v>
      </c>
      <c r="D577" s="36">
        <v>1200.0</v>
      </c>
    </row>
    <row r="578">
      <c r="A578" s="34"/>
      <c r="B578" s="34"/>
      <c r="C578" s="37">
        <v>45870.36958333333</v>
      </c>
      <c r="D578" s="36">
        <v>4500.0</v>
      </c>
    </row>
    <row r="579">
      <c r="A579" s="34" t="s">
        <v>320</v>
      </c>
      <c r="B579" s="34" t="s">
        <v>321</v>
      </c>
      <c r="C579" s="37">
        <v>45870.48280092593</v>
      </c>
      <c r="D579" s="36">
        <v>2700.0</v>
      </c>
    </row>
    <row r="580">
      <c r="A580" s="34" t="s">
        <v>207</v>
      </c>
      <c r="B580" s="34" t="s">
        <v>208</v>
      </c>
      <c r="C580" s="37">
        <v>45870.56585648148</v>
      </c>
      <c r="D580" s="36">
        <v>1000.0</v>
      </c>
    </row>
    <row r="581">
      <c r="A581" s="34" t="s">
        <v>446</v>
      </c>
      <c r="B581" s="34" t="s">
        <v>447</v>
      </c>
      <c r="C581" s="37">
        <v>45870.58840277778</v>
      </c>
      <c r="D581" s="36">
        <v>1500.0</v>
      </c>
    </row>
    <row r="582">
      <c r="A582" s="34" t="s">
        <v>221</v>
      </c>
      <c r="B582" s="34" t="s">
        <v>222</v>
      </c>
      <c r="C582" s="37">
        <v>45870.634305555555</v>
      </c>
      <c r="D582" s="36">
        <v>999.0</v>
      </c>
    </row>
    <row r="583">
      <c r="A583" s="34" t="s">
        <v>448</v>
      </c>
      <c r="B583" s="34" t="s">
        <v>449</v>
      </c>
      <c r="C583" s="37">
        <v>45870.68450231481</v>
      </c>
      <c r="D583" s="36">
        <v>3000.0</v>
      </c>
    </row>
    <row r="584">
      <c r="A584" s="34" t="s">
        <v>213</v>
      </c>
      <c r="B584" s="34" t="s">
        <v>214</v>
      </c>
      <c r="C584" s="37">
        <v>45870.72157407407</v>
      </c>
      <c r="D584" s="36">
        <v>1000.0</v>
      </c>
    </row>
    <row r="585">
      <c r="A585" s="34" t="s">
        <v>450</v>
      </c>
      <c r="B585" s="34" t="s">
        <v>451</v>
      </c>
      <c r="C585" s="37">
        <v>45870.7424537037</v>
      </c>
      <c r="D585" s="36">
        <v>3000.0</v>
      </c>
    </row>
    <row r="586">
      <c r="A586" s="34" t="s">
        <v>211</v>
      </c>
      <c r="B586" s="34" t="s">
        <v>212</v>
      </c>
      <c r="C586" s="37">
        <v>45870.745983796296</v>
      </c>
      <c r="D586" s="36">
        <v>1200.0</v>
      </c>
    </row>
    <row r="587">
      <c r="A587" s="34"/>
      <c r="B587" s="34" t="s">
        <v>396</v>
      </c>
      <c r="C587" s="37">
        <v>45870.76149305556</v>
      </c>
      <c r="D587" s="36">
        <v>1500.0</v>
      </c>
    </row>
    <row r="588">
      <c r="A588" s="34" t="s">
        <v>217</v>
      </c>
      <c r="B588" s="34" t="s">
        <v>218</v>
      </c>
      <c r="C588" s="37">
        <v>45870.804074074076</v>
      </c>
      <c r="D588" s="36">
        <v>1200.0</v>
      </c>
    </row>
    <row r="589">
      <c r="A589" s="34" t="s">
        <v>452</v>
      </c>
      <c r="B589" s="34" t="s">
        <v>453</v>
      </c>
      <c r="C589" s="37">
        <v>45870.85501157407</v>
      </c>
      <c r="D589" s="36">
        <v>2500.0</v>
      </c>
    </row>
    <row r="590">
      <c r="A590" s="34"/>
      <c r="B590" s="34"/>
      <c r="C590" s="37"/>
      <c r="D590" s="36"/>
    </row>
    <row r="591">
      <c r="A591" s="34" t="s">
        <v>209</v>
      </c>
      <c r="B591" s="34" t="s">
        <v>210</v>
      </c>
      <c r="C591" s="37">
        <v>45870.657997685186</v>
      </c>
      <c r="D591" s="36">
        <v>1200.0</v>
      </c>
    </row>
    <row r="592">
      <c r="A592" s="34" t="s">
        <v>149</v>
      </c>
      <c r="B592" s="34" t="s">
        <v>150</v>
      </c>
      <c r="C592" s="37">
        <v>45880.71603009259</v>
      </c>
      <c r="D592" s="36">
        <v>1200.0</v>
      </c>
    </row>
    <row r="593">
      <c r="A593" s="34" t="s">
        <v>229</v>
      </c>
      <c r="B593" s="34" t="s">
        <v>230</v>
      </c>
      <c r="C593" s="37">
        <v>45871.53228009259</v>
      </c>
      <c r="D593" s="36">
        <v>1250.0</v>
      </c>
    </row>
    <row r="594">
      <c r="A594" s="34" t="s">
        <v>231</v>
      </c>
      <c r="B594" s="34" t="s">
        <v>232</v>
      </c>
      <c r="C594" s="37">
        <v>45871.647731481484</v>
      </c>
      <c r="D594" s="36">
        <v>1250.0</v>
      </c>
    </row>
    <row r="595">
      <c r="A595" s="34" t="s">
        <v>235</v>
      </c>
      <c r="B595" s="34" t="s">
        <v>236</v>
      </c>
      <c r="C595" s="37">
        <v>45871.69950231481</v>
      </c>
      <c r="D595" s="36">
        <v>1200.0</v>
      </c>
    </row>
    <row r="596">
      <c r="A596" s="34" t="s">
        <v>237</v>
      </c>
      <c r="B596" s="34" t="s">
        <v>238</v>
      </c>
      <c r="C596" s="37">
        <v>45871.786527777775</v>
      </c>
      <c r="D596" s="36">
        <v>1200.0</v>
      </c>
    </row>
    <row r="597">
      <c r="A597" s="34" t="s">
        <v>397</v>
      </c>
      <c r="B597" s="34" t="s">
        <v>398</v>
      </c>
      <c r="C597" s="37">
        <v>45871.80399305555</v>
      </c>
      <c r="D597" s="36">
        <v>1500.0</v>
      </c>
    </row>
    <row r="598">
      <c r="A598" s="34" t="s">
        <v>261</v>
      </c>
      <c r="B598" s="34" t="s">
        <v>262</v>
      </c>
      <c r="C598" s="37">
        <v>45872.04415509259</v>
      </c>
      <c r="D598" s="36">
        <v>1200.0</v>
      </c>
    </row>
    <row r="599">
      <c r="A599" s="34" t="s">
        <v>454</v>
      </c>
      <c r="B599" s="34" t="s">
        <v>455</v>
      </c>
      <c r="C599" s="37">
        <v>45872.55677083333</v>
      </c>
      <c r="D599" s="36">
        <v>3000.0</v>
      </c>
    </row>
    <row r="600">
      <c r="A600" s="34"/>
      <c r="B600" s="34"/>
      <c r="C600" s="37">
        <v>45872.65872685185</v>
      </c>
      <c r="D600" s="36">
        <v>9000.0</v>
      </c>
    </row>
    <row r="601">
      <c r="A601" s="34"/>
      <c r="B601" s="34"/>
      <c r="C601" s="37">
        <v>45872.70355324074</v>
      </c>
      <c r="D601" s="36">
        <v>9000.0</v>
      </c>
    </row>
    <row r="602">
      <c r="A602" s="34" t="s">
        <v>247</v>
      </c>
      <c r="B602" s="34" t="s">
        <v>248</v>
      </c>
      <c r="C602" s="37">
        <v>45872.70767361111</v>
      </c>
      <c r="D602" s="36">
        <v>1250.0</v>
      </c>
    </row>
    <row r="603">
      <c r="A603" s="34" t="s">
        <v>241</v>
      </c>
      <c r="B603" s="34" t="s">
        <v>242</v>
      </c>
      <c r="C603" s="37">
        <v>45871.855266203704</v>
      </c>
      <c r="D603" s="36">
        <v>1250.0</v>
      </c>
    </row>
    <row r="604">
      <c r="A604" s="34" t="s">
        <v>456</v>
      </c>
      <c r="B604" s="34" t="s">
        <v>457</v>
      </c>
      <c r="C604" s="37">
        <v>45872.81034722222</v>
      </c>
      <c r="D604" s="36">
        <v>3000.0</v>
      </c>
    </row>
    <row r="605">
      <c r="A605" s="34"/>
      <c r="B605" s="34"/>
      <c r="C605" s="37"/>
      <c r="D605" s="36"/>
    </row>
    <row r="606">
      <c r="A606" s="34" t="s">
        <v>458</v>
      </c>
      <c r="B606" s="34" t="s">
        <v>459</v>
      </c>
      <c r="C606" s="37">
        <v>45873.643125</v>
      </c>
      <c r="D606" s="36">
        <v>3000.0</v>
      </c>
    </row>
    <row r="607">
      <c r="A607" s="34" t="s">
        <v>460</v>
      </c>
      <c r="B607" s="34" t="s">
        <v>461</v>
      </c>
      <c r="C607" s="37">
        <v>45873.70167824074</v>
      </c>
      <c r="D607" s="36">
        <v>3000.0</v>
      </c>
    </row>
    <row r="608">
      <c r="A608" s="34"/>
      <c r="B608" s="34"/>
      <c r="C608" s="37">
        <v>45873.717210648145</v>
      </c>
      <c r="D608" s="36">
        <v>6000.0</v>
      </c>
    </row>
    <row r="609">
      <c r="A609" s="34" t="s">
        <v>259</v>
      </c>
      <c r="B609" s="34" t="s">
        <v>260</v>
      </c>
      <c r="C609" s="37">
        <v>45873.72090277778</v>
      </c>
      <c r="D609" s="36">
        <v>1200.0</v>
      </c>
    </row>
    <row r="610">
      <c r="A610" s="34" t="s">
        <v>462</v>
      </c>
      <c r="B610" s="34" t="s">
        <v>463</v>
      </c>
      <c r="C610" s="37">
        <v>45873.763090277775</v>
      </c>
      <c r="D610" s="36">
        <v>1500.0</v>
      </c>
    </row>
    <row r="611">
      <c r="A611" s="34" t="s">
        <v>403</v>
      </c>
      <c r="B611" s="34" t="s">
        <v>404</v>
      </c>
      <c r="C611" s="37">
        <v>45873.79917824074</v>
      </c>
      <c r="D611" s="36">
        <v>1500.0</v>
      </c>
    </row>
    <row r="612">
      <c r="A612" s="34" t="s">
        <v>444</v>
      </c>
      <c r="B612" s="34" t="s">
        <v>445</v>
      </c>
      <c r="C612" s="37">
        <v>45874.26372685185</v>
      </c>
      <c r="D612" s="36">
        <v>1500.0</v>
      </c>
    </row>
    <row r="613">
      <c r="A613" s="34"/>
      <c r="B613" s="34"/>
      <c r="C613" s="37">
        <v>45874.70240740741</v>
      </c>
      <c r="D613" s="36">
        <v>9000.0</v>
      </c>
    </row>
    <row r="614">
      <c r="A614" s="34" t="s">
        <v>336</v>
      </c>
      <c r="B614" s="34" t="s">
        <v>337</v>
      </c>
      <c r="C614" s="37">
        <v>45874.70775462963</v>
      </c>
      <c r="D614" s="36">
        <v>749.0</v>
      </c>
    </row>
    <row r="615">
      <c r="A615" s="34" t="s">
        <v>464</v>
      </c>
      <c r="B615" s="34" t="s">
        <v>465</v>
      </c>
      <c r="C615" s="37">
        <v>45874.75268518519</v>
      </c>
      <c r="D615" s="36">
        <v>1700.0</v>
      </c>
    </row>
    <row r="616">
      <c r="A616" s="34" t="s">
        <v>265</v>
      </c>
      <c r="B616" s="34" t="s">
        <v>266</v>
      </c>
      <c r="C616" s="37">
        <v>45874.82769675926</v>
      </c>
      <c r="D616" s="36">
        <v>1200.0</v>
      </c>
    </row>
    <row r="617">
      <c r="A617" s="34"/>
      <c r="B617" s="34"/>
      <c r="C617" s="37">
        <v>45875.51658564815</v>
      </c>
      <c r="D617" s="36">
        <v>229.0</v>
      </c>
    </row>
    <row r="618">
      <c r="A618" s="34" t="s">
        <v>466</v>
      </c>
      <c r="B618" s="34" t="s">
        <v>467</v>
      </c>
      <c r="C618" s="37">
        <v>45876.5877662037</v>
      </c>
      <c r="D618" s="36">
        <v>3000.0</v>
      </c>
    </row>
    <row r="619">
      <c r="A619" s="34" t="s">
        <v>468</v>
      </c>
      <c r="B619" s="34" t="s">
        <v>469</v>
      </c>
      <c r="C619" s="37">
        <v>45876.71880787037</v>
      </c>
      <c r="D619" s="36">
        <v>2000.0</v>
      </c>
    </row>
    <row r="620">
      <c r="A620" s="34" t="s">
        <v>348</v>
      </c>
      <c r="B620" s="34" t="s">
        <v>349</v>
      </c>
      <c r="C620" s="37">
        <v>45876.721770833334</v>
      </c>
      <c r="D620" s="36">
        <v>1200.0</v>
      </c>
    </row>
    <row r="621">
      <c r="A621" s="34" t="s">
        <v>470</v>
      </c>
      <c r="B621" s="34" t="s">
        <v>471</v>
      </c>
      <c r="C621" s="37">
        <v>45877.60288194445</v>
      </c>
      <c r="D621" s="36">
        <v>1500.0</v>
      </c>
    </row>
    <row r="622">
      <c r="A622" s="34" t="s">
        <v>407</v>
      </c>
      <c r="B622" s="34" t="s">
        <v>408</v>
      </c>
      <c r="C622" s="37">
        <v>45877.75991898148</v>
      </c>
      <c r="D622" s="36">
        <v>1500.0</v>
      </c>
    </row>
    <row r="623">
      <c r="A623" s="34" t="s">
        <v>66</v>
      </c>
      <c r="B623" s="34" t="s">
        <v>258</v>
      </c>
      <c r="C623" s="37">
        <v>45873.64564814815</v>
      </c>
      <c r="D623" s="36">
        <v>1200.0</v>
      </c>
    </row>
    <row r="624">
      <c r="A624" s="34"/>
      <c r="B624" s="34"/>
      <c r="C624" s="37">
        <v>45878.679918981485</v>
      </c>
      <c r="D624" s="36">
        <v>6000.0</v>
      </c>
    </row>
    <row r="625">
      <c r="A625" s="34" t="s">
        <v>338</v>
      </c>
      <c r="B625" s="34" t="s">
        <v>339</v>
      </c>
      <c r="C625" s="37">
        <v>45875.6784837963</v>
      </c>
      <c r="D625" s="36">
        <v>1200.0</v>
      </c>
    </row>
    <row r="626">
      <c r="A626" s="34" t="s">
        <v>87</v>
      </c>
      <c r="B626" s="34" t="s">
        <v>88</v>
      </c>
      <c r="C626" s="37">
        <v>45879.042662037034</v>
      </c>
      <c r="D626" s="36">
        <v>1250.0</v>
      </c>
    </row>
    <row r="627">
      <c r="A627" s="34"/>
      <c r="B627" s="34"/>
      <c r="C627" s="37"/>
      <c r="D627" s="36"/>
    </row>
    <row r="628">
      <c r="A628" s="34"/>
      <c r="B628" s="34"/>
      <c r="C628" s="37"/>
      <c r="D628" s="36"/>
    </row>
    <row r="629">
      <c r="A629" s="34" t="s">
        <v>354</v>
      </c>
      <c r="B629" s="34" t="s">
        <v>355</v>
      </c>
      <c r="C629" s="37">
        <v>45879.51099537037</v>
      </c>
      <c r="D629" s="36">
        <v>1200.0</v>
      </c>
    </row>
    <row r="630">
      <c r="A630" s="34" t="s">
        <v>472</v>
      </c>
      <c r="B630" s="34" t="s">
        <v>473</v>
      </c>
      <c r="C630" s="37">
        <v>45879.63041666667</v>
      </c>
      <c r="D630" s="36">
        <v>3000.0</v>
      </c>
    </row>
    <row r="631">
      <c r="A631" s="34" t="s">
        <v>352</v>
      </c>
      <c r="B631" s="34" t="s">
        <v>353</v>
      </c>
      <c r="C631" s="37">
        <v>45878.84886574074</v>
      </c>
      <c r="D631" s="36">
        <v>1200.0</v>
      </c>
    </row>
    <row r="632">
      <c r="A632" s="34"/>
      <c r="B632" s="34"/>
      <c r="C632" s="37">
        <v>45879.7403587963</v>
      </c>
      <c r="D632" s="36">
        <v>9000.0</v>
      </c>
    </row>
    <row r="633">
      <c r="A633" s="34" t="s">
        <v>356</v>
      </c>
      <c r="B633" s="34" t="s">
        <v>357</v>
      </c>
      <c r="C633" s="37">
        <v>45879.762291666666</v>
      </c>
      <c r="D633" s="36">
        <v>1200.0</v>
      </c>
    </row>
    <row r="634">
      <c r="A634" s="34" t="s">
        <v>409</v>
      </c>
      <c r="B634" s="34" t="s">
        <v>410</v>
      </c>
      <c r="C634" s="37">
        <v>45879.80430555555</v>
      </c>
      <c r="D634" s="36">
        <v>1500.0</v>
      </c>
    </row>
    <row r="635">
      <c r="A635" s="34" t="s">
        <v>474</v>
      </c>
      <c r="B635" s="34" t="s">
        <v>475</v>
      </c>
      <c r="C635" s="37">
        <v>45879.827893518515</v>
      </c>
      <c r="D635" s="36">
        <v>1500.0</v>
      </c>
    </row>
    <row r="636">
      <c r="A636" s="34" t="s">
        <v>263</v>
      </c>
      <c r="B636" s="34" t="s">
        <v>264</v>
      </c>
      <c r="C636" s="37">
        <v>45874.69542824074</v>
      </c>
      <c r="D636" s="36">
        <v>1200.0</v>
      </c>
    </row>
    <row r="637">
      <c r="A637" s="34"/>
      <c r="B637" s="34"/>
      <c r="C637" s="37"/>
      <c r="D637" s="36"/>
    </row>
    <row r="638">
      <c r="A638" s="34" t="s">
        <v>95</v>
      </c>
      <c r="B638" s="34" t="s">
        <v>96</v>
      </c>
      <c r="C638" s="37">
        <v>45880.47377314815</v>
      </c>
      <c r="D638" s="36">
        <v>1200.0</v>
      </c>
    </row>
    <row r="639">
      <c r="A639" s="34" t="s">
        <v>476</v>
      </c>
      <c r="B639" s="34" t="s">
        <v>477</v>
      </c>
      <c r="C639" s="37">
        <v>45880.702627314815</v>
      </c>
      <c r="D639" s="36">
        <v>3000.0</v>
      </c>
    </row>
    <row r="640">
      <c r="A640" s="34"/>
      <c r="B640" s="34"/>
      <c r="C640" s="37">
        <v>45880.71306712963</v>
      </c>
      <c r="D640" s="36">
        <v>6000.0</v>
      </c>
    </row>
    <row r="641">
      <c r="A641" s="34" t="s">
        <v>99</v>
      </c>
      <c r="B641" s="34" t="s">
        <v>100</v>
      </c>
      <c r="C641" s="37">
        <v>45880.71603009259</v>
      </c>
      <c r="D641" s="36">
        <v>1200.0</v>
      </c>
    </row>
    <row r="642">
      <c r="A642" s="34" t="s">
        <v>478</v>
      </c>
      <c r="B642" s="34" t="s">
        <v>479</v>
      </c>
      <c r="C642" s="37">
        <v>45880.044027777774</v>
      </c>
      <c r="D642" s="36">
        <v>3000.0</v>
      </c>
    </row>
    <row r="643">
      <c r="A643" s="34" t="s">
        <v>279</v>
      </c>
      <c r="B643" s="34" t="s">
        <v>280</v>
      </c>
      <c r="C643" s="37">
        <v>45852.70869212963</v>
      </c>
      <c r="D643" s="36">
        <v>1200.0</v>
      </c>
    </row>
    <row r="644">
      <c r="A644" s="34" t="s">
        <v>411</v>
      </c>
      <c r="B644" s="34" t="s">
        <v>412</v>
      </c>
      <c r="C644" s="37">
        <v>45880.564675925925</v>
      </c>
      <c r="D644" s="36">
        <v>1500.0</v>
      </c>
    </row>
    <row r="645">
      <c r="A645" s="34" t="s">
        <v>480</v>
      </c>
      <c r="B645" s="34" t="s">
        <v>481</v>
      </c>
      <c r="C645" s="37">
        <v>45883.30915509259</v>
      </c>
      <c r="D645" s="36">
        <v>1200.0</v>
      </c>
    </row>
    <row r="646">
      <c r="A646" s="34" t="s">
        <v>482</v>
      </c>
      <c r="B646" s="34" t="s">
        <v>483</v>
      </c>
      <c r="C646" s="37">
        <v>45883.61494212963</v>
      </c>
      <c r="D646" s="36">
        <v>1500.0</v>
      </c>
    </row>
    <row r="647">
      <c r="A647" s="34" t="s">
        <v>484</v>
      </c>
      <c r="B647" s="34" t="s">
        <v>485</v>
      </c>
      <c r="C647" s="37">
        <v>45883.66211805555</v>
      </c>
      <c r="D647" s="36">
        <v>3000.0</v>
      </c>
    </row>
    <row r="648">
      <c r="A648" s="34"/>
      <c r="B648" s="34"/>
      <c r="C648" s="37">
        <v>45883.720289351855</v>
      </c>
      <c r="D648" s="36">
        <v>6000.0</v>
      </c>
    </row>
    <row r="649">
      <c r="A649" s="34" t="s">
        <v>413</v>
      </c>
      <c r="B649" s="34" t="s">
        <v>414</v>
      </c>
      <c r="C649" s="37">
        <v>45883.761145833334</v>
      </c>
      <c r="D649" s="36">
        <v>1500.0</v>
      </c>
    </row>
    <row r="650">
      <c r="A650" s="34" t="s">
        <v>486</v>
      </c>
      <c r="B650" s="34" t="s">
        <v>487</v>
      </c>
      <c r="C650" s="37">
        <v>45883.77181712963</v>
      </c>
      <c r="D650" s="36">
        <v>1500.0</v>
      </c>
    </row>
    <row r="651">
      <c r="A651" s="34" t="s">
        <v>145</v>
      </c>
      <c r="B651" s="34" t="s">
        <v>146</v>
      </c>
      <c r="C651" s="37">
        <v>45856.65368055556</v>
      </c>
      <c r="D651" s="36">
        <v>1200.0</v>
      </c>
    </row>
    <row r="652">
      <c r="A652" s="34" t="s">
        <v>101</v>
      </c>
      <c r="B652" s="34" t="s">
        <v>102</v>
      </c>
      <c r="C652" s="37">
        <v>45882.71320601852</v>
      </c>
      <c r="D652" s="36">
        <v>1200.0</v>
      </c>
    </row>
    <row r="653">
      <c r="A653" s="34"/>
      <c r="B653" s="34"/>
      <c r="C653" s="37"/>
      <c r="D653" s="36"/>
    </row>
    <row r="654">
      <c r="A654" s="34" t="s">
        <v>103</v>
      </c>
      <c r="B654" s="34" t="s">
        <v>104</v>
      </c>
      <c r="C654" s="37">
        <v>45884.47263888889</v>
      </c>
      <c r="D654" s="36">
        <v>1200.0</v>
      </c>
    </row>
    <row r="655">
      <c r="A655" s="34"/>
      <c r="B655" s="34" t="s">
        <v>362</v>
      </c>
      <c r="C655" s="37">
        <v>45884.63621527778</v>
      </c>
      <c r="D655" s="36">
        <v>1200.0</v>
      </c>
    </row>
    <row r="656">
      <c r="A656" s="34" t="s">
        <v>488</v>
      </c>
      <c r="B656" s="34" t="s">
        <v>489</v>
      </c>
      <c r="C656" s="37">
        <v>45884.76347222222</v>
      </c>
      <c r="D656" s="36">
        <v>3000.0</v>
      </c>
    </row>
    <row r="657">
      <c r="A657" s="34" t="s">
        <v>367</v>
      </c>
      <c r="B657" s="34" t="s">
        <v>368</v>
      </c>
      <c r="C657" s="37">
        <v>45884.885104166664</v>
      </c>
      <c r="D657" s="36">
        <v>1200.0</v>
      </c>
    </row>
    <row r="658">
      <c r="A658" s="34"/>
      <c r="B658" s="34"/>
      <c r="C658" s="37">
        <v>45885.42758101852</v>
      </c>
      <c r="D658" s="36">
        <v>9000.0</v>
      </c>
    </row>
    <row r="659">
      <c r="A659" s="34" t="s">
        <v>82</v>
      </c>
      <c r="B659" s="34" t="s">
        <v>83</v>
      </c>
      <c r="C659" s="37">
        <v>45885.44898148148</v>
      </c>
      <c r="D659" s="36">
        <v>699.0</v>
      </c>
    </row>
    <row r="660">
      <c r="A660" s="34"/>
      <c r="B660" s="34" t="s">
        <v>369</v>
      </c>
      <c r="C660" s="37">
        <v>45885.612974537034</v>
      </c>
      <c r="D660" s="36">
        <v>1200.0</v>
      </c>
    </row>
    <row r="661">
      <c r="A661" s="34"/>
      <c r="B661" s="34"/>
      <c r="C661" s="37">
        <v>45885.720983796295</v>
      </c>
      <c r="D661" s="36">
        <v>1500.0</v>
      </c>
    </row>
    <row r="662">
      <c r="A662" s="34" t="s">
        <v>370</v>
      </c>
      <c r="B662" s="34" t="s">
        <v>371</v>
      </c>
      <c r="C662" s="37">
        <v>45885.78011574074</v>
      </c>
      <c r="D662" s="36">
        <v>1200.0</v>
      </c>
    </row>
    <row r="663">
      <c r="A663" s="34" t="s">
        <v>277</v>
      </c>
      <c r="B663" s="34" t="s">
        <v>278</v>
      </c>
      <c r="C663" s="37">
        <v>45883.68767361111</v>
      </c>
      <c r="D663" s="36">
        <v>1200.0</v>
      </c>
    </row>
    <row r="664">
      <c r="A664" s="34" t="s">
        <v>490</v>
      </c>
      <c r="B664" s="34" t="s">
        <v>491</v>
      </c>
      <c r="C664" s="37">
        <v>45886.691469907404</v>
      </c>
      <c r="D664" s="36">
        <v>3000.0</v>
      </c>
    </row>
    <row r="665">
      <c r="A665" s="34" t="s">
        <v>285</v>
      </c>
      <c r="B665" s="34" t="s">
        <v>286</v>
      </c>
      <c r="C665" s="37">
        <v>45886.7025</v>
      </c>
      <c r="D665" s="36">
        <v>1200.0</v>
      </c>
    </row>
    <row r="666">
      <c r="A666" s="34" t="s">
        <v>105</v>
      </c>
      <c r="B666" s="34" t="s">
        <v>106</v>
      </c>
      <c r="C666" s="37">
        <v>45884.71908564815</v>
      </c>
      <c r="D666" s="36">
        <v>1200.0</v>
      </c>
    </row>
    <row r="667">
      <c r="A667" s="34"/>
      <c r="B667" s="34"/>
      <c r="C667" s="37">
        <v>45887.579513888886</v>
      </c>
      <c r="D667" s="36">
        <v>500.0</v>
      </c>
    </row>
    <row r="668">
      <c r="A668" s="34"/>
      <c r="B668" s="34"/>
      <c r="C668" s="37">
        <v>45887.67513888889</v>
      </c>
      <c r="D668" s="36">
        <v>9000.0</v>
      </c>
    </row>
    <row r="669">
      <c r="A669" s="34" t="s">
        <v>492</v>
      </c>
      <c r="B669" s="34" t="s">
        <v>493</v>
      </c>
      <c r="C669" s="37">
        <v>45887.71978009259</v>
      </c>
      <c r="D669" s="36">
        <v>3000.0</v>
      </c>
    </row>
    <row r="670">
      <c r="A670" s="34"/>
      <c r="B670" s="34"/>
      <c r="C670" s="37">
        <v>45888.58925925926</v>
      </c>
      <c r="D670" s="36">
        <v>9000.0</v>
      </c>
    </row>
    <row r="671">
      <c r="A671" s="34"/>
      <c r="B671" s="34"/>
      <c r="C671" s="37">
        <v>45888.62085648148</v>
      </c>
      <c r="D671" s="36">
        <v>1500.0</v>
      </c>
    </row>
    <row r="672">
      <c r="A672" s="34"/>
      <c r="B672" s="34"/>
      <c r="C672" s="37">
        <v>45888.662511574075</v>
      </c>
      <c r="D672" s="36">
        <v>4500.0</v>
      </c>
    </row>
    <row r="673">
      <c r="A673" s="34" t="s">
        <v>291</v>
      </c>
      <c r="B673" s="34" t="s">
        <v>292</v>
      </c>
      <c r="C673" s="37">
        <v>45888.679814814815</v>
      </c>
      <c r="D673" s="36">
        <v>1200.0</v>
      </c>
    </row>
    <row r="674">
      <c r="A674" s="34"/>
      <c r="B674" s="34"/>
      <c r="C674" s="37">
        <v>45888.70967592593</v>
      </c>
      <c r="D674" s="36">
        <v>199.0</v>
      </c>
    </row>
    <row r="675">
      <c r="A675" s="34" t="s">
        <v>293</v>
      </c>
      <c r="B675" s="34" t="s">
        <v>294</v>
      </c>
      <c r="C675" s="37">
        <v>45888.731307870374</v>
      </c>
      <c r="D675" s="36">
        <v>1200.0</v>
      </c>
    </row>
    <row r="676">
      <c r="A676" s="34" t="s">
        <v>416</v>
      </c>
      <c r="B676" s="34" t="s">
        <v>417</v>
      </c>
      <c r="C676" s="37">
        <v>45888.85119212963</v>
      </c>
      <c r="D676" s="36">
        <v>1200.0</v>
      </c>
    </row>
    <row r="677">
      <c r="A677" s="34" t="s">
        <v>117</v>
      </c>
      <c r="B677" s="34" t="s">
        <v>118</v>
      </c>
      <c r="C677" s="37">
        <v>45889.59228009259</v>
      </c>
      <c r="D677" s="36">
        <v>1200.0</v>
      </c>
    </row>
    <row r="678">
      <c r="A678" s="34" t="s">
        <v>494</v>
      </c>
      <c r="B678" s="34" t="s">
        <v>495</v>
      </c>
      <c r="C678" s="37">
        <v>45889.66216435185</v>
      </c>
      <c r="D678" s="36">
        <v>3000.0</v>
      </c>
    </row>
    <row r="679">
      <c r="A679" s="34" t="s">
        <v>418</v>
      </c>
      <c r="B679" s="34" t="s">
        <v>419</v>
      </c>
      <c r="C679" s="37">
        <v>45889.706354166665</v>
      </c>
      <c r="D679" s="36">
        <v>1500.0</v>
      </c>
    </row>
    <row r="680">
      <c r="A680" s="34"/>
      <c r="B680" s="34"/>
      <c r="C680" s="37">
        <v>45889.793912037036</v>
      </c>
      <c r="D680" s="36">
        <v>4500.0</v>
      </c>
    </row>
    <row r="681">
      <c r="A681" s="34" t="s">
        <v>424</v>
      </c>
      <c r="B681" s="34" t="s">
        <v>425</v>
      </c>
      <c r="C681" s="37">
        <v>45890.48743055556</v>
      </c>
      <c r="D681" s="36">
        <v>1500.0</v>
      </c>
    </row>
    <row r="682">
      <c r="A682" s="34"/>
      <c r="B682" s="34"/>
      <c r="C682" s="37">
        <v>45890.64847222222</v>
      </c>
      <c r="D682" s="36">
        <v>4500.0</v>
      </c>
    </row>
    <row r="683">
      <c r="A683" s="34" t="s">
        <v>295</v>
      </c>
      <c r="B683" s="34" t="s">
        <v>296</v>
      </c>
      <c r="C683" s="37">
        <v>45890.72877314815</v>
      </c>
      <c r="D683" s="36">
        <v>1200.0</v>
      </c>
    </row>
    <row r="684">
      <c r="A684" s="34"/>
      <c r="B684" s="34"/>
      <c r="C684" s="37">
        <v>45890.781909722224</v>
      </c>
      <c r="D684" s="36">
        <v>6000.0</v>
      </c>
    </row>
    <row r="685">
      <c r="A685" s="34"/>
      <c r="B685" s="34"/>
      <c r="C685" s="37">
        <v>45890.84391203704</v>
      </c>
      <c r="D685" s="36">
        <v>4500.0</v>
      </c>
    </row>
    <row r="686">
      <c r="A686" s="34" t="s">
        <v>420</v>
      </c>
      <c r="B686" s="34" t="s">
        <v>421</v>
      </c>
      <c r="C686" s="37">
        <v>45889.727638888886</v>
      </c>
      <c r="D686" s="36">
        <v>1500.0</v>
      </c>
    </row>
    <row r="687">
      <c r="A687" s="34" t="s">
        <v>129</v>
      </c>
      <c r="B687" s="34" t="s">
        <v>130</v>
      </c>
      <c r="C687" s="37">
        <v>45891.65834490741</v>
      </c>
      <c r="D687" s="36">
        <v>1200.0</v>
      </c>
    </row>
    <row r="688">
      <c r="A688" s="34" t="s">
        <v>496</v>
      </c>
      <c r="B688" s="34" t="s">
        <v>497</v>
      </c>
      <c r="C688" s="37">
        <v>45891.67774305555</v>
      </c>
      <c r="D688" s="36">
        <v>3000.0</v>
      </c>
    </row>
    <row r="689">
      <c r="A689" s="34" t="s">
        <v>430</v>
      </c>
      <c r="B689" s="34" t="s">
        <v>431</v>
      </c>
      <c r="C689" s="37">
        <v>45891.83015046296</v>
      </c>
      <c r="D689" s="36">
        <v>1500.0</v>
      </c>
    </row>
    <row r="690">
      <c r="A690" s="34" t="s">
        <v>422</v>
      </c>
      <c r="B690" s="34" t="s">
        <v>423</v>
      </c>
      <c r="C690" s="37">
        <v>45889.809907407405</v>
      </c>
      <c r="D690" s="36">
        <v>1500.0</v>
      </c>
    </row>
    <row r="691">
      <c r="A691" s="34"/>
      <c r="B691" s="34"/>
      <c r="C691" s="37">
        <v>45892.6587037037</v>
      </c>
      <c r="D691" s="36">
        <v>1500.0</v>
      </c>
    </row>
    <row r="692">
      <c r="A692" s="34"/>
      <c r="B692" s="34"/>
      <c r="C692" s="37">
        <v>45892.697384259256</v>
      </c>
      <c r="D692" s="36">
        <v>9000.0</v>
      </c>
    </row>
    <row r="693">
      <c r="A693" s="34" t="s">
        <v>426</v>
      </c>
      <c r="B693" s="34" t="s">
        <v>427</v>
      </c>
      <c r="C693" s="37">
        <v>45890.61550925926</v>
      </c>
      <c r="D693" s="36">
        <v>1500.0</v>
      </c>
    </row>
    <row r="694">
      <c r="A694" s="34"/>
      <c r="B694" s="34"/>
      <c r="C694" s="37"/>
      <c r="D694" s="36"/>
    </row>
    <row r="695">
      <c r="A695" s="34" t="s">
        <v>287</v>
      </c>
      <c r="B695" s="34" t="s">
        <v>288</v>
      </c>
      <c r="C695" s="37">
        <v>45887.68885416666</v>
      </c>
      <c r="D695" s="36">
        <v>1200.0</v>
      </c>
    </row>
    <row r="696">
      <c r="A696" s="34" t="s">
        <v>428</v>
      </c>
      <c r="B696" s="34" t="s">
        <v>429</v>
      </c>
      <c r="C696" s="37">
        <v>45891.80912037037</v>
      </c>
      <c r="D696" s="36">
        <v>1500.0</v>
      </c>
    </row>
    <row r="697">
      <c r="A697" s="34" t="s">
        <v>149</v>
      </c>
      <c r="B697" s="34" t="s">
        <v>150</v>
      </c>
      <c r="C697" s="37">
        <v>45895.74769675926</v>
      </c>
      <c r="D697" s="36">
        <v>1200.0</v>
      </c>
    </row>
    <row r="698">
      <c r="A698" s="34" t="s">
        <v>302</v>
      </c>
      <c r="B698" s="34" t="s">
        <v>303</v>
      </c>
      <c r="C698" s="37">
        <v>45896.042337962965</v>
      </c>
      <c r="D698" s="36">
        <v>1200.0</v>
      </c>
    </row>
    <row r="699">
      <c r="A699" s="34" t="s">
        <v>498</v>
      </c>
      <c r="B699" s="34" t="s">
        <v>499</v>
      </c>
      <c r="C699" s="37">
        <v>45890.53724537037</v>
      </c>
      <c r="D699" s="36">
        <v>9000.0</v>
      </c>
    </row>
    <row r="700">
      <c r="A700" s="34" t="s">
        <v>373</v>
      </c>
      <c r="B700" s="34" t="s">
        <v>374</v>
      </c>
      <c r="C700" s="37">
        <v>45894.77240740741</v>
      </c>
      <c r="D700" s="36">
        <v>1200.0</v>
      </c>
    </row>
    <row r="701">
      <c r="A701" s="34"/>
      <c r="B701" s="34"/>
      <c r="C701" s="37">
        <v>45897.65635416667</v>
      </c>
      <c r="D701" s="36">
        <v>9000.0</v>
      </c>
    </row>
    <row r="702">
      <c r="A702" s="34" t="s">
        <v>159</v>
      </c>
      <c r="B702" s="34" t="s">
        <v>160</v>
      </c>
      <c r="C702" s="37">
        <v>45897.742685185185</v>
      </c>
      <c r="D702" s="36">
        <v>1200.0</v>
      </c>
    </row>
    <row r="703">
      <c r="A703" s="34" t="s">
        <v>434</v>
      </c>
      <c r="B703" s="34" t="s">
        <v>435</v>
      </c>
      <c r="C703" s="37">
        <v>45897.7978125</v>
      </c>
      <c r="D703" s="36">
        <v>1500.0</v>
      </c>
    </row>
    <row r="704">
      <c r="A704" s="34" t="s">
        <v>500</v>
      </c>
      <c r="B704" s="34" t="s">
        <v>501</v>
      </c>
      <c r="C704" s="37">
        <v>45889.045486111114</v>
      </c>
      <c r="D704" s="36">
        <v>2700.0</v>
      </c>
    </row>
    <row r="705">
      <c r="A705" s="34" t="s">
        <v>300</v>
      </c>
      <c r="B705" s="34" t="s">
        <v>301</v>
      </c>
      <c r="C705" s="37">
        <v>45895.49780092593</v>
      </c>
      <c r="D705" s="36">
        <v>1200.0</v>
      </c>
    </row>
    <row r="706">
      <c r="A706" s="34" t="s">
        <v>379</v>
      </c>
      <c r="B706" s="34" t="s">
        <v>380</v>
      </c>
      <c r="C706" s="37">
        <v>45896.04494212963</v>
      </c>
      <c r="D706" s="36">
        <v>1200.0</v>
      </c>
    </row>
    <row r="707">
      <c r="A707" s="34" t="s">
        <v>375</v>
      </c>
      <c r="B707" s="34" t="s">
        <v>376</v>
      </c>
      <c r="C707" s="37">
        <v>45894.78771990741</v>
      </c>
      <c r="D707" s="36">
        <v>1500.0</v>
      </c>
    </row>
    <row r="708">
      <c r="A708" s="34" t="s">
        <v>482</v>
      </c>
      <c r="B708" s="34" t="s">
        <v>483</v>
      </c>
      <c r="C708" s="37">
        <v>45898.35811342593</v>
      </c>
      <c r="D708" s="36">
        <v>1500.0</v>
      </c>
    </row>
    <row r="709">
      <c r="A709" s="34" t="s">
        <v>141</v>
      </c>
      <c r="B709" s="34" t="s">
        <v>142</v>
      </c>
      <c r="C709" s="37">
        <v>45898.37871527778</v>
      </c>
      <c r="D709" s="36">
        <v>1000.0</v>
      </c>
    </row>
    <row r="710">
      <c r="A710" s="34" t="s">
        <v>332</v>
      </c>
      <c r="B710" s="34" t="s">
        <v>333</v>
      </c>
      <c r="C710" s="37">
        <v>45898.41899305556</v>
      </c>
      <c r="D710" s="36">
        <v>1200.0</v>
      </c>
    </row>
    <row r="711">
      <c r="A711" s="34" t="s">
        <v>151</v>
      </c>
      <c r="B711" s="34" t="s">
        <v>152</v>
      </c>
      <c r="C711" s="37">
        <v>45898.430625</v>
      </c>
      <c r="D711" s="36">
        <v>1000.0</v>
      </c>
    </row>
    <row r="712">
      <c r="A712" s="34" t="s">
        <v>502</v>
      </c>
      <c r="B712" s="34" t="s">
        <v>503</v>
      </c>
      <c r="C712" s="37">
        <v>45778.052881944444</v>
      </c>
      <c r="D712" s="36">
        <v>2700.0</v>
      </c>
    </row>
    <row r="713">
      <c r="A713" s="34" t="s">
        <v>89</v>
      </c>
      <c r="B713" s="34" t="s">
        <v>90</v>
      </c>
      <c r="C713" s="37">
        <v>45778.54913194444</v>
      </c>
      <c r="D713" s="36">
        <v>1500.0</v>
      </c>
    </row>
    <row r="714">
      <c r="A714" s="34" t="s">
        <v>504</v>
      </c>
      <c r="B714" s="34" t="s">
        <v>505</v>
      </c>
      <c r="C714" s="37">
        <v>45898.616643518515</v>
      </c>
      <c r="D714" s="36">
        <v>3000.0</v>
      </c>
    </row>
    <row r="715">
      <c r="A715" s="34" t="s">
        <v>506</v>
      </c>
      <c r="B715" s="34" t="s">
        <v>507</v>
      </c>
      <c r="C715" s="37">
        <v>45898.68498842593</v>
      </c>
      <c r="D715" s="36">
        <v>3000.0</v>
      </c>
    </row>
    <row r="716">
      <c r="A716" s="34"/>
      <c r="B716" s="34"/>
      <c r="C716" s="37">
        <v>45898.72194444444</v>
      </c>
      <c r="D716" s="36">
        <v>4500.0</v>
      </c>
    </row>
    <row r="717">
      <c r="A717" s="34"/>
      <c r="B717" s="34"/>
      <c r="C717" s="37"/>
      <c r="D717" s="36"/>
    </row>
    <row r="718">
      <c r="A718" s="34" t="s">
        <v>145</v>
      </c>
      <c r="B718" s="34" t="s">
        <v>146</v>
      </c>
      <c r="C718" s="37">
        <v>45898.3858912037</v>
      </c>
      <c r="D718" s="36">
        <v>1200.0</v>
      </c>
    </row>
    <row r="719">
      <c r="A719" s="34" t="s">
        <v>163</v>
      </c>
      <c r="B719" s="34" t="s">
        <v>164</v>
      </c>
      <c r="C719" s="37">
        <v>45899.049733796295</v>
      </c>
      <c r="D719" s="36">
        <v>1200.0</v>
      </c>
    </row>
    <row r="720">
      <c r="A720" s="34"/>
      <c r="B720" s="34"/>
      <c r="C720" s="37">
        <v>45899.28144675926</v>
      </c>
      <c r="D720" s="36">
        <v>3000.0</v>
      </c>
    </row>
    <row r="721">
      <c r="A721" s="34" t="s">
        <v>432</v>
      </c>
      <c r="B721" s="34" t="s">
        <v>433</v>
      </c>
      <c r="C721" s="37">
        <v>45895.74270833333</v>
      </c>
      <c r="D721" s="36">
        <v>1500.0</v>
      </c>
    </row>
    <row r="722">
      <c r="A722" s="34" t="s">
        <v>177</v>
      </c>
      <c r="B722" s="34" t="s">
        <v>178</v>
      </c>
      <c r="C722" s="37">
        <v>45899.43809027778</v>
      </c>
      <c r="D722" s="36">
        <v>1200.0</v>
      </c>
    </row>
    <row r="723">
      <c r="A723" s="34" t="s">
        <v>360</v>
      </c>
      <c r="B723" s="34" t="s">
        <v>361</v>
      </c>
      <c r="C723" s="37">
        <v>45899.47136574074</v>
      </c>
      <c r="D723" s="36">
        <v>1200.0</v>
      </c>
    </row>
    <row r="724">
      <c r="A724" s="34" t="s">
        <v>508</v>
      </c>
      <c r="B724" s="34" t="s">
        <v>509</v>
      </c>
      <c r="C724" s="37">
        <v>45899.53466435185</v>
      </c>
      <c r="D724" s="36">
        <v>3000.0</v>
      </c>
    </row>
    <row r="725">
      <c r="A725" s="34"/>
      <c r="B725" s="34"/>
      <c r="C725" s="37">
        <v>45899.67141203704</v>
      </c>
      <c r="D725" s="36">
        <v>3600.0</v>
      </c>
    </row>
    <row r="726">
      <c r="A726" s="34" t="s">
        <v>310</v>
      </c>
      <c r="B726" s="34" t="s">
        <v>311</v>
      </c>
      <c r="C726" s="37">
        <v>45899.72545138889</v>
      </c>
      <c r="D726" s="36">
        <v>1200.0</v>
      </c>
    </row>
    <row r="727">
      <c r="A727" s="34" t="s">
        <v>387</v>
      </c>
      <c r="B727" s="34" t="s">
        <v>388</v>
      </c>
      <c r="C727" s="37">
        <v>45899.808287037034</v>
      </c>
      <c r="D727" s="36">
        <v>1500.0</v>
      </c>
    </row>
    <row r="728">
      <c r="A728" s="34" t="s">
        <v>436</v>
      </c>
      <c r="B728" s="34" t="s">
        <v>437</v>
      </c>
      <c r="C728" s="37">
        <v>45899.83290509259</v>
      </c>
      <c r="D728" s="36">
        <v>1500.0</v>
      </c>
    </row>
    <row r="729">
      <c r="A729" s="34"/>
      <c r="B729" s="34" t="s">
        <v>389</v>
      </c>
      <c r="C729" s="37">
        <v>45899.843252314815</v>
      </c>
      <c r="D729" s="36">
        <v>1500.0</v>
      </c>
    </row>
    <row r="730">
      <c r="A730" s="34" t="s">
        <v>283</v>
      </c>
      <c r="B730" s="34" t="s">
        <v>284</v>
      </c>
      <c r="C730" s="37">
        <v>45884.89048611111</v>
      </c>
      <c r="D730" s="36">
        <v>1200.0</v>
      </c>
    </row>
    <row r="731">
      <c r="A731" s="34" t="s">
        <v>167</v>
      </c>
      <c r="B731" s="34" t="s">
        <v>168</v>
      </c>
      <c r="C731" s="37">
        <v>45900.04576388889</v>
      </c>
      <c r="D731" s="36">
        <v>1200.0</v>
      </c>
    </row>
    <row r="732">
      <c r="A732" s="34" t="s">
        <v>70</v>
      </c>
      <c r="B732" s="34" t="s">
        <v>71</v>
      </c>
      <c r="C732" s="37">
        <v>45900.04684027778</v>
      </c>
      <c r="D732" s="36">
        <v>1000.0</v>
      </c>
    </row>
    <row r="733">
      <c r="A733" s="34" t="s">
        <v>334</v>
      </c>
      <c r="B733" s="34" t="s">
        <v>335</v>
      </c>
      <c r="C733" s="37">
        <v>45900.296006944445</v>
      </c>
      <c r="D733" s="36">
        <v>1200.0</v>
      </c>
    </row>
    <row r="734">
      <c r="A734" s="34"/>
      <c r="B734" s="34"/>
      <c r="C734" s="37"/>
      <c r="D734" s="36"/>
    </row>
    <row r="735">
      <c r="A735" s="34"/>
      <c r="B735" s="34"/>
      <c r="C735" s="37">
        <v>45900.35381944444</v>
      </c>
      <c r="D735" s="36">
        <v>500.0</v>
      </c>
    </row>
    <row r="736">
      <c r="A736" s="34"/>
      <c r="B736" s="34"/>
      <c r="C736" s="37">
        <v>45900.4340625</v>
      </c>
      <c r="D736" s="36">
        <v>9000.0</v>
      </c>
    </row>
    <row r="737">
      <c r="A737" s="34" t="s">
        <v>510</v>
      </c>
      <c r="B737" s="34" t="s">
        <v>511</v>
      </c>
      <c r="C737" s="37">
        <v>45900.5653125</v>
      </c>
      <c r="D737" s="36">
        <v>3000.0</v>
      </c>
    </row>
    <row r="738">
      <c r="A738" s="34" t="s">
        <v>512</v>
      </c>
      <c r="B738" s="34" t="s">
        <v>513</v>
      </c>
      <c r="C738" s="37">
        <v>45900.59453703704</v>
      </c>
      <c r="D738" s="36">
        <v>3000.0</v>
      </c>
    </row>
    <row r="739">
      <c r="A739" s="34" t="s">
        <v>514</v>
      </c>
      <c r="B739" s="34" t="s">
        <v>515</v>
      </c>
      <c r="C739" s="37">
        <v>45900.64387731482</v>
      </c>
      <c r="D739" s="36">
        <v>3000.0</v>
      </c>
    </row>
    <row r="740">
      <c r="A740" s="34" t="s">
        <v>516</v>
      </c>
      <c r="B740" s="34" t="s">
        <v>517</v>
      </c>
      <c r="C740" s="37">
        <v>45900.660625</v>
      </c>
      <c r="D740" s="36">
        <v>3000.0</v>
      </c>
    </row>
    <row r="741">
      <c r="A741" s="34"/>
      <c r="B741" s="34"/>
      <c r="C741" s="37">
        <v>45900.67967592592</v>
      </c>
      <c r="D741" s="36">
        <v>9000.0</v>
      </c>
    </row>
    <row r="742">
      <c r="A742" s="34" t="s">
        <v>438</v>
      </c>
      <c r="B742" s="34" t="s">
        <v>439</v>
      </c>
      <c r="C742" s="37">
        <v>45900.71686342593</v>
      </c>
      <c r="D742" s="36">
        <v>1500.0</v>
      </c>
    </row>
    <row r="743">
      <c r="A743" s="34"/>
      <c r="B743" s="34"/>
      <c r="C743" s="37">
        <v>45900.77625</v>
      </c>
      <c r="D743" s="36">
        <v>99.0</v>
      </c>
    </row>
    <row r="744">
      <c r="A744" s="34"/>
      <c r="B744" s="34"/>
      <c r="C744" s="37">
        <v>45900.89540509259</v>
      </c>
      <c r="D744" s="36">
        <v>1000.0</v>
      </c>
    </row>
    <row r="745">
      <c r="A745" s="34" t="s">
        <v>131</v>
      </c>
      <c r="B745" s="34" t="s">
        <v>132</v>
      </c>
      <c r="C745" s="37">
        <v>45901.05703703704</v>
      </c>
      <c r="D745" s="36">
        <v>1000.0</v>
      </c>
    </row>
    <row r="746">
      <c r="A746" s="34"/>
      <c r="B746" s="34"/>
      <c r="C746" s="37"/>
      <c r="D746" s="36"/>
    </row>
    <row r="747">
      <c r="A747" s="34" t="s">
        <v>324</v>
      </c>
      <c r="B747" s="34" t="s">
        <v>325</v>
      </c>
      <c r="C747" s="37">
        <v>45901.06930555555</v>
      </c>
      <c r="D747" s="36">
        <v>1200.0</v>
      </c>
    </row>
    <row r="748">
      <c r="A748" s="34" t="s">
        <v>442</v>
      </c>
      <c r="B748" s="34" t="s">
        <v>443</v>
      </c>
      <c r="C748" s="37">
        <v>45901.08164351852</v>
      </c>
      <c r="D748" s="36">
        <v>1200.0</v>
      </c>
    </row>
    <row r="749">
      <c r="A749" s="34" t="s">
        <v>322</v>
      </c>
      <c r="B749" s="34" t="s">
        <v>323</v>
      </c>
      <c r="C749" s="37">
        <v>45901.08378472222</v>
      </c>
      <c r="D749" s="36">
        <v>1200.0</v>
      </c>
    </row>
    <row r="750">
      <c r="A750" s="34" t="s">
        <v>518</v>
      </c>
      <c r="B750" s="34" t="s">
        <v>519</v>
      </c>
      <c r="C750" s="37">
        <v>45901.10128472222</v>
      </c>
      <c r="D750" s="36">
        <v>3000.0</v>
      </c>
    </row>
    <row r="751">
      <c r="A751" s="34" t="s">
        <v>318</v>
      </c>
      <c r="B751" s="34" t="s">
        <v>319</v>
      </c>
      <c r="C751" s="37">
        <v>45901.101273148146</v>
      </c>
      <c r="D751" s="36">
        <v>1500.0</v>
      </c>
    </row>
    <row r="752">
      <c r="A752" s="34"/>
      <c r="B752" s="34"/>
      <c r="C752" s="37">
        <v>45882.72185185185</v>
      </c>
      <c r="D752" s="36">
        <v>9000.0</v>
      </c>
    </row>
    <row r="753">
      <c r="A753" s="34" t="s">
        <v>157</v>
      </c>
      <c r="B753" s="34" t="s">
        <v>158</v>
      </c>
      <c r="C753" s="37">
        <v>45901.25655092593</v>
      </c>
      <c r="D753" s="36">
        <v>1200.0</v>
      </c>
    </row>
    <row r="754">
      <c r="A754" s="34"/>
      <c r="B754" s="34"/>
      <c r="C754" s="37">
        <v>45901.443703703706</v>
      </c>
      <c r="D754" s="36">
        <v>6000.0</v>
      </c>
    </row>
    <row r="755">
      <c r="A755" s="34"/>
      <c r="B755" s="34"/>
      <c r="C755" s="37">
        <v>45901.60832175926</v>
      </c>
      <c r="D755" s="36">
        <v>9000.0</v>
      </c>
    </row>
    <row r="756">
      <c r="A756" s="34"/>
      <c r="B756" s="34"/>
      <c r="C756" s="37">
        <v>45901.630162037036</v>
      </c>
      <c r="D756" s="36">
        <v>99.0</v>
      </c>
    </row>
    <row r="757">
      <c r="A757" s="34" t="s">
        <v>446</v>
      </c>
      <c r="B757" s="34" t="s">
        <v>447</v>
      </c>
      <c r="C757" s="37">
        <v>45901.63232638889</v>
      </c>
      <c r="D757" s="36">
        <v>1500.0</v>
      </c>
    </row>
    <row r="758">
      <c r="A758" s="34" t="s">
        <v>221</v>
      </c>
      <c r="B758" s="34" t="s">
        <v>222</v>
      </c>
      <c r="C758" s="37">
        <v>45901.63429398148</v>
      </c>
      <c r="D758" s="36">
        <v>999.0</v>
      </c>
    </row>
    <row r="759">
      <c r="A759" s="34" t="s">
        <v>520</v>
      </c>
      <c r="B759" s="34" t="s">
        <v>521</v>
      </c>
      <c r="C759" s="37">
        <v>45901.64226851852</v>
      </c>
      <c r="D759" s="36">
        <v>2250.0</v>
      </c>
    </row>
    <row r="760">
      <c r="A760" s="34" t="s">
        <v>209</v>
      </c>
      <c r="B760" s="34" t="s">
        <v>210</v>
      </c>
      <c r="C760" s="37">
        <v>45901.65818287037</v>
      </c>
      <c r="D760" s="36">
        <v>1200.0</v>
      </c>
    </row>
    <row r="761">
      <c r="A761" s="34" t="s">
        <v>213</v>
      </c>
      <c r="B761" s="34" t="s">
        <v>214</v>
      </c>
      <c r="C761" s="37">
        <v>45901.72017361111</v>
      </c>
      <c r="D761" s="36">
        <v>1000.0</v>
      </c>
    </row>
    <row r="762">
      <c r="A762" s="34" t="s">
        <v>211</v>
      </c>
      <c r="B762" s="34" t="s">
        <v>212</v>
      </c>
      <c r="C762" s="37">
        <v>45901.74636574074</v>
      </c>
      <c r="D762" s="36">
        <v>1200.0</v>
      </c>
    </row>
    <row r="763">
      <c r="A763" s="34"/>
      <c r="B763" s="34" t="s">
        <v>396</v>
      </c>
      <c r="C763" s="37">
        <v>45901.76081018519</v>
      </c>
      <c r="D763" s="36">
        <v>1500.0</v>
      </c>
    </row>
    <row r="764">
      <c r="A764" s="34" t="s">
        <v>450</v>
      </c>
      <c r="B764" s="34" t="s">
        <v>451</v>
      </c>
      <c r="C764" s="37">
        <v>45901.78538194444</v>
      </c>
      <c r="D764" s="36">
        <v>1500.0</v>
      </c>
    </row>
    <row r="765">
      <c r="A765" s="34" t="s">
        <v>452</v>
      </c>
      <c r="B765" s="34" t="s">
        <v>453</v>
      </c>
      <c r="C765" s="37">
        <v>45901.897152777776</v>
      </c>
      <c r="D765" s="36">
        <v>1500.0</v>
      </c>
    </row>
    <row r="766">
      <c r="A766" s="34" t="s">
        <v>85</v>
      </c>
      <c r="B766" s="34" t="s">
        <v>86</v>
      </c>
      <c r="C766" s="37">
        <v>45901.25636574074</v>
      </c>
      <c r="D766" s="36">
        <v>1200.0</v>
      </c>
    </row>
    <row r="767">
      <c r="A767" s="34" t="s">
        <v>522</v>
      </c>
      <c r="B767" s="34" t="s">
        <v>523</v>
      </c>
      <c r="C767" s="37">
        <v>45902.64549768518</v>
      </c>
      <c r="D767" s="36">
        <v>2700.0</v>
      </c>
    </row>
    <row r="768">
      <c r="A768" s="34" t="s">
        <v>231</v>
      </c>
      <c r="B768" s="34" t="s">
        <v>232</v>
      </c>
      <c r="C768" s="37">
        <v>45902.64708333334</v>
      </c>
      <c r="D768" s="36">
        <v>1250.0</v>
      </c>
    </row>
    <row r="769">
      <c r="A769" s="34" t="s">
        <v>524</v>
      </c>
      <c r="B769" s="34" t="s">
        <v>525</v>
      </c>
      <c r="C769" s="37">
        <v>45902.67815972222</v>
      </c>
      <c r="D769" s="36">
        <v>3000.0</v>
      </c>
    </row>
    <row r="770">
      <c r="A770" s="34" t="s">
        <v>526</v>
      </c>
      <c r="B770" s="34" t="s">
        <v>527</v>
      </c>
      <c r="C770" s="37">
        <v>45902.693402777775</v>
      </c>
      <c r="D770" s="36">
        <v>1500.0</v>
      </c>
    </row>
    <row r="771">
      <c r="A771" s="34" t="s">
        <v>235</v>
      </c>
      <c r="B771" s="34" t="s">
        <v>236</v>
      </c>
      <c r="C771" s="37">
        <v>45902.69951388889</v>
      </c>
      <c r="D771" s="36">
        <v>1200.0</v>
      </c>
    </row>
    <row r="772">
      <c r="A772" s="34"/>
      <c r="B772" s="34"/>
      <c r="C772" s="37">
        <v>45902.725648148145</v>
      </c>
      <c r="D772" s="36">
        <v>4500.0</v>
      </c>
    </row>
    <row r="773">
      <c r="A773" s="34" t="s">
        <v>237</v>
      </c>
      <c r="B773" s="34" t="s">
        <v>238</v>
      </c>
      <c r="C773" s="37">
        <v>45902.78525462963</v>
      </c>
      <c r="D773" s="36">
        <v>1200.0</v>
      </c>
    </row>
    <row r="774">
      <c r="A774" s="34" t="s">
        <v>397</v>
      </c>
      <c r="B774" s="34" t="s">
        <v>398</v>
      </c>
      <c r="C774" s="37">
        <v>45902.80577546296</v>
      </c>
      <c r="D774" s="36">
        <v>1500.0</v>
      </c>
    </row>
    <row r="775">
      <c r="A775" s="34" t="s">
        <v>241</v>
      </c>
      <c r="B775" s="34" t="s">
        <v>242</v>
      </c>
      <c r="C775" s="37">
        <v>45902.85438657407</v>
      </c>
      <c r="D775" s="36">
        <v>1250.0</v>
      </c>
    </row>
    <row r="776">
      <c r="A776" s="34" t="s">
        <v>440</v>
      </c>
      <c r="B776" s="34" t="s">
        <v>441</v>
      </c>
      <c r="C776" s="37">
        <v>45903.600277777776</v>
      </c>
      <c r="D776" s="36">
        <v>1500.0</v>
      </c>
    </row>
    <row r="777">
      <c r="A777" s="34" t="s">
        <v>454</v>
      </c>
      <c r="B777" s="34" t="s">
        <v>455</v>
      </c>
      <c r="C777" s="37">
        <v>45903.600277777776</v>
      </c>
      <c r="D777" s="36">
        <v>1500.0</v>
      </c>
    </row>
    <row r="778">
      <c r="A778" s="34" t="s">
        <v>247</v>
      </c>
      <c r="B778" s="34" t="s">
        <v>248</v>
      </c>
      <c r="C778" s="37">
        <v>45903.70606481482</v>
      </c>
      <c r="D778" s="36">
        <v>1250.0</v>
      </c>
    </row>
    <row r="779">
      <c r="A779" s="34" t="s">
        <v>528</v>
      </c>
      <c r="B779" s="34" t="s">
        <v>529</v>
      </c>
      <c r="C779" s="37">
        <v>45903.72582175926</v>
      </c>
      <c r="D779" s="36">
        <v>3000.0</v>
      </c>
    </row>
    <row r="780">
      <c r="A780" s="34" t="s">
        <v>456</v>
      </c>
      <c r="B780" s="34" t="s">
        <v>457</v>
      </c>
      <c r="C780" s="37">
        <v>45903.85391203704</v>
      </c>
      <c r="D780" s="36">
        <v>1500.0</v>
      </c>
    </row>
    <row r="781">
      <c r="A781" s="34"/>
      <c r="B781" s="34"/>
      <c r="C781" s="37"/>
      <c r="D781" s="36"/>
    </row>
    <row r="782">
      <c r="A782" s="34" t="s">
        <v>66</v>
      </c>
      <c r="B782" s="34" t="s">
        <v>258</v>
      </c>
      <c r="C782" s="37">
        <v>45904.6450462963</v>
      </c>
      <c r="D782" s="36">
        <v>1200.0</v>
      </c>
    </row>
    <row r="783">
      <c r="A783" s="34"/>
      <c r="B783" s="34"/>
      <c r="C783" s="37">
        <v>45904.655023148145</v>
      </c>
      <c r="D783" s="36">
        <v>6000.0</v>
      </c>
    </row>
    <row r="784">
      <c r="A784" s="34" t="s">
        <v>259</v>
      </c>
      <c r="B784" s="34" t="s">
        <v>260</v>
      </c>
      <c r="C784" s="37">
        <v>45904.72194444444</v>
      </c>
      <c r="D784" s="36">
        <v>1200.0</v>
      </c>
    </row>
    <row r="785">
      <c r="A785" s="34"/>
      <c r="B785" s="34"/>
      <c r="C785" s="37">
        <v>45904.72313657407</v>
      </c>
      <c r="D785" s="36">
        <v>1500.0</v>
      </c>
    </row>
    <row r="786">
      <c r="A786" s="34" t="s">
        <v>403</v>
      </c>
      <c r="B786" s="34" t="s">
        <v>404</v>
      </c>
      <c r="C786" s="37">
        <v>45904.797326388885</v>
      </c>
      <c r="D786" s="36">
        <v>1500.0</v>
      </c>
    </row>
    <row r="787">
      <c r="A787" s="34" t="s">
        <v>462</v>
      </c>
      <c r="B787" s="34" t="s">
        <v>463</v>
      </c>
      <c r="C787" s="37">
        <v>45904.80604166666</v>
      </c>
      <c r="D787" s="36">
        <v>1500.0</v>
      </c>
    </row>
    <row r="788">
      <c r="A788" s="34" t="s">
        <v>394</v>
      </c>
      <c r="B788" s="34" t="s">
        <v>395</v>
      </c>
      <c r="C788" s="37">
        <v>45901.11221064815</v>
      </c>
      <c r="D788" s="36">
        <v>1200.0</v>
      </c>
    </row>
    <row r="789">
      <c r="A789" s="34" t="s">
        <v>530</v>
      </c>
      <c r="B789" s="34" t="s">
        <v>531</v>
      </c>
      <c r="C789" s="37">
        <v>45905.60252314815</v>
      </c>
      <c r="D789" s="36">
        <v>1500.0</v>
      </c>
    </row>
    <row r="790">
      <c r="A790" s="34" t="s">
        <v>532</v>
      </c>
      <c r="B790" s="34" t="s">
        <v>533</v>
      </c>
      <c r="C790" s="37">
        <v>45905.71989583333</v>
      </c>
      <c r="D790" s="36">
        <v>3000.0</v>
      </c>
    </row>
    <row r="791">
      <c r="A791" s="34"/>
      <c r="B791" s="34"/>
      <c r="C791" s="37">
        <v>45905.779490740744</v>
      </c>
      <c r="D791" s="36">
        <v>1500.0</v>
      </c>
    </row>
    <row r="792">
      <c r="A792" s="34" t="s">
        <v>464</v>
      </c>
      <c r="B792" s="34" t="s">
        <v>465</v>
      </c>
      <c r="C792" s="37">
        <v>45905.795011574075</v>
      </c>
      <c r="D792" s="36">
        <v>1200.0</v>
      </c>
    </row>
    <row r="793">
      <c r="A793" s="34" t="s">
        <v>263</v>
      </c>
      <c r="B793" s="34" t="s">
        <v>264</v>
      </c>
      <c r="C793" s="37">
        <v>45905.69599537037</v>
      </c>
      <c r="D793" s="36">
        <v>1200.0</v>
      </c>
    </row>
    <row r="794">
      <c r="A794" s="34" t="s">
        <v>338</v>
      </c>
      <c r="B794" s="34" t="s">
        <v>339</v>
      </c>
      <c r="C794" s="37">
        <v>45906.67752314815</v>
      </c>
      <c r="D794" s="36">
        <v>1200.0</v>
      </c>
    </row>
    <row r="795">
      <c r="A795" s="34"/>
      <c r="B795" s="34"/>
      <c r="C795" s="37">
        <v>45906.6808912037</v>
      </c>
      <c r="D795" s="36">
        <v>1500.0</v>
      </c>
    </row>
    <row r="796">
      <c r="A796" s="34"/>
      <c r="B796" s="34"/>
      <c r="C796" s="37">
        <v>45906.771944444445</v>
      </c>
      <c r="D796" s="36">
        <v>500.0</v>
      </c>
    </row>
    <row r="797">
      <c r="A797" s="34" t="s">
        <v>348</v>
      </c>
      <c r="B797" s="34" t="s">
        <v>349</v>
      </c>
      <c r="C797" s="37">
        <v>45907.721400462964</v>
      </c>
      <c r="D797" s="36">
        <v>1200.0</v>
      </c>
    </row>
    <row r="798">
      <c r="A798" s="34"/>
      <c r="B798" s="34"/>
      <c r="C798" s="37">
        <v>45907.75601851852</v>
      </c>
      <c r="D798" s="36">
        <v>100.0</v>
      </c>
    </row>
    <row r="799">
      <c r="A799" s="34" t="s">
        <v>468</v>
      </c>
      <c r="B799" s="34" t="s">
        <v>469</v>
      </c>
      <c r="C799" s="37">
        <v>45907.76195601852</v>
      </c>
      <c r="D799" s="36">
        <v>1500.0</v>
      </c>
    </row>
    <row r="800">
      <c r="A800" s="34" t="s">
        <v>534</v>
      </c>
      <c r="B800" s="34" t="s">
        <v>535</v>
      </c>
      <c r="C800" s="37">
        <v>45908.592523148145</v>
      </c>
      <c r="D800" s="36">
        <v>3000.0</v>
      </c>
    </row>
    <row r="801">
      <c r="A801" s="34" t="s">
        <v>470</v>
      </c>
      <c r="B801" s="34" t="s">
        <v>471</v>
      </c>
      <c r="C801" s="37">
        <v>45908.64680555555</v>
      </c>
      <c r="D801" s="36">
        <v>1500.0</v>
      </c>
    </row>
    <row r="802">
      <c r="A802" s="34" t="s">
        <v>536</v>
      </c>
      <c r="B802" s="34" t="s">
        <v>537</v>
      </c>
      <c r="C802" s="37">
        <v>45908.69938657407</v>
      </c>
      <c r="D802" s="36">
        <v>3000.0</v>
      </c>
    </row>
    <row r="803">
      <c r="A803" s="34" t="s">
        <v>407</v>
      </c>
      <c r="B803" s="34" t="s">
        <v>408</v>
      </c>
      <c r="C803" s="37">
        <v>45908.760358796295</v>
      </c>
      <c r="D803" s="36">
        <v>1500.0</v>
      </c>
    </row>
    <row r="804">
      <c r="A804" s="34"/>
      <c r="B804" s="34"/>
      <c r="C804" s="37">
        <v>45909.66490740741</v>
      </c>
      <c r="D804" s="36">
        <v>8500.0</v>
      </c>
    </row>
    <row r="805">
      <c r="A805" s="34"/>
      <c r="B805" s="34"/>
      <c r="C805" s="37">
        <v>45909.74466435185</v>
      </c>
      <c r="D805" s="36">
        <v>4500.0</v>
      </c>
    </row>
    <row r="806">
      <c r="A806" s="34" t="s">
        <v>538</v>
      </c>
      <c r="B806" s="34" t="s">
        <v>539</v>
      </c>
      <c r="C806" s="37">
        <v>45909.78304398148</v>
      </c>
      <c r="D806" s="36">
        <v>3000.0</v>
      </c>
    </row>
    <row r="807">
      <c r="A807" s="34"/>
      <c r="B807" s="34"/>
      <c r="C807" s="37"/>
      <c r="D807" s="36"/>
    </row>
    <row r="808">
      <c r="A808" s="34"/>
      <c r="B808" s="34"/>
      <c r="C808" s="37"/>
      <c r="D808" s="36"/>
    </row>
    <row r="809">
      <c r="A809" s="34" t="s">
        <v>540</v>
      </c>
      <c r="B809" s="34" t="s">
        <v>541</v>
      </c>
      <c r="C809" s="37">
        <v>45910.549409722225</v>
      </c>
      <c r="D809" s="36">
        <v>3000.0</v>
      </c>
    </row>
    <row r="810">
      <c r="A810" s="34"/>
      <c r="B810" s="34"/>
      <c r="C810" s="37">
        <v>45910.693761574075</v>
      </c>
      <c r="D810" s="36">
        <v>100.0</v>
      </c>
    </row>
    <row r="811">
      <c r="A811" s="34"/>
      <c r="B811" s="34"/>
      <c r="C811" s="37">
        <v>45910.7109375</v>
      </c>
      <c r="D811" s="36">
        <v>6000.0</v>
      </c>
    </row>
    <row r="812">
      <c r="A812" s="34" t="s">
        <v>356</v>
      </c>
      <c r="B812" s="34" t="s">
        <v>357</v>
      </c>
      <c r="C812" s="37">
        <v>45910.76200231481</v>
      </c>
      <c r="D812" s="36">
        <v>1200.0</v>
      </c>
    </row>
    <row r="813">
      <c r="A813" s="34" t="s">
        <v>458</v>
      </c>
      <c r="B813" s="34" t="s">
        <v>459</v>
      </c>
      <c r="C813" s="37">
        <v>45904.68651620371</v>
      </c>
      <c r="D813" s="36">
        <v>1500.0</v>
      </c>
    </row>
    <row r="814">
      <c r="A814" s="34" t="s">
        <v>542</v>
      </c>
      <c r="B814" s="34" t="s">
        <v>543</v>
      </c>
      <c r="C814" s="37">
        <v>45910.77082175926</v>
      </c>
      <c r="D814" s="36">
        <v>3000.0</v>
      </c>
    </row>
    <row r="815">
      <c r="A815" s="34" t="s">
        <v>474</v>
      </c>
      <c r="B815" s="34" t="s">
        <v>475</v>
      </c>
      <c r="C815" s="37">
        <v>45910.828148148146</v>
      </c>
      <c r="D815" s="36">
        <v>1500.0</v>
      </c>
    </row>
    <row r="816">
      <c r="A816" s="34"/>
      <c r="B816" s="34"/>
      <c r="C816" s="37"/>
      <c r="D816" s="36"/>
    </row>
    <row r="817">
      <c r="A817" s="34" t="s">
        <v>478</v>
      </c>
      <c r="B817" s="34" t="s">
        <v>479</v>
      </c>
      <c r="C817" s="37">
        <v>45911.04825231482</v>
      </c>
      <c r="D817" s="36">
        <v>1500.0</v>
      </c>
    </row>
    <row r="818">
      <c r="A818" s="34" t="s">
        <v>411</v>
      </c>
      <c r="B818" s="34" t="s">
        <v>412</v>
      </c>
      <c r="C818" s="37">
        <v>45911.56292824074</v>
      </c>
      <c r="D818" s="36">
        <v>1500.0</v>
      </c>
    </row>
    <row r="819">
      <c r="A819" s="34"/>
      <c r="B819" s="34"/>
      <c r="C819" s="37">
        <v>45912.56700231481</v>
      </c>
      <c r="D819" s="36">
        <v>3000.0</v>
      </c>
    </row>
    <row r="820">
      <c r="A820" s="34" t="s">
        <v>354</v>
      </c>
      <c r="B820" s="34" t="s">
        <v>355</v>
      </c>
      <c r="C820" s="37">
        <v>45910.51064814815</v>
      </c>
      <c r="D820" s="36">
        <v>1200.0</v>
      </c>
    </row>
    <row r="821">
      <c r="A821" s="34" t="s">
        <v>544</v>
      </c>
      <c r="B821" s="34" t="s">
        <v>545</v>
      </c>
      <c r="C821" s="37">
        <v>45912.71696759259</v>
      </c>
      <c r="D821" s="36">
        <v>3000.0</v>
      </c>
    </row>
    <row r="822">
      <c r="A822" s="34"/>
      <c r="B822" s="34"/>
      <c r="C822" s="37"/>
      <c r="D822" s="36"/>
    </row>
    <row r="823">
      <c r="A823" s="34" t="s">
        <v>409</v>
      </c>
      <c r="B823" s="34" t="s">
        <v>410</v>
      </c>
      <c r="C823" s="37">
        <v>45910.80421296296</v>
      </c>
      <c r="D823" s="36">
        <v>1500.0</v>
      </c>
    </row>
    <row r="824">
      <c r="A824" s="34" t="s">
        <v>480</v>
      </c>
      <c r="B824" s="34" t="s">
        <v>481</v>
      </c>
      <c r="C824" s="37">
        <v>45914.353425925925</v>
      </c>
      <c r="D824" s="36">
        <v>1200.0</v>
      </c>
    </row>
    <row r="825">
      <c r="A825" s="34" t="s">
        <v>277</v>
      </c>
      <c r="B825" s="34" t="s">
        <v>278</v>
      </c>
      <c r="C825" s="37">
        <v>45914.68651620371</v>
      </c>
      <c r="D825" s="36">
        <v>1200.0</v>
      </c>
    </row>
    <row r="826">
      <c r="A826" s="34" t="s">
        <v>484</v>
      </c>
      <c r="B826" s="34" t="s">
        <v>485</v>
      </c>
      <c r="C826" s="37">
        <v>45914.704675925925</v>
      </c>
      <c r="D826" s="36">
        <v>1500.0</v>
      </c>
    </row>
    <row r="827">
      <c r="A827" s="34" t="s">
        <v>413</v>
      </c>
      <c r="B827" s="34" t="s">
        <v>414</v>
      </c>
      <c r="C827" s="37">
        <v>45914.76212962963</v>
      </c>
      <c r="D827" s="36">
        <v>1500.0</v>
      </c>
    </row>
    <row r="828">
      <c r="A828" s="34"/>
      <c r="B828" s="34"/>
      <c r="C828" s="37"/>
      <c r="D828" s="36"/>
    </row>
    <row r="829">
      <c r="A829" s="34" t="s">
        <v>103</v>
      </c>
      <c r="B829" s="34" t="s">
        <v>104</v>
      </c>
      <c r="C829" s="37">
        <v>45915.47236111111</v>
      </c>
      <c r="D829" s="36">
        <v>1200.0</v>
      </c>
    </row>
    <row r="830">
      <c r="A830" s="34" t="s">
        <v>546</v>
      </c>
      <c r="B830" s="34" t="s">
        <v>547</v>
      </c>
      <c r="C830" s="37">
        <v>45915.76112268519</v>
      </c>
      <c r="D830" s="36">
        <v>3000.0</v>
      </c>
    </row>
    <row r="831">
      <c r="A831" s="34" t="s">
        <v>367</v>
      </c>
      <c r="B831" s="34" t="s">
        <v>368</v>
      </c>
      <c r="C831" s="37">
        <v>45915.8853125</v>
      </c>
      <c r="D831" s="36">
        <v>1200.0</v>
      </c>
    </row>
    <row r="832">
      <c r="A832" s="34"/>
      <c r="B832" s="34" t="s">
        <v>369</v>
      </c>
      <c r="C832" s="37">
        <v>45916.61181712963</v>
      </c>
      <c r="D832" s="36">
        <v>1200.0</v>
      </c>
    </row>
    <row r="833">
      <c r="A833" s="34"/>
      <c r="B833" s="34"/>
      <c r="C833" s="37">
        <v>45917.7266087963</v>
      </c>
      <c r="D833" s="36">
        <v>100.0</v>
      </c>
    </row>
    <row r="834">
      <c r="A834" s="34" t="s">
        <v>548</v>
      </c>
      <c r="B834" s="34" t="s">
        <v>549</v>
      </c>
      <c r="C834" s="37">
        <v>45917.763240740744</v>
      </c>
      <c r="D834" s="36">
        <v>3000.0</v>
      </c>
    </row>
    <row r="835">
      <c r="A835" s="34" t="s">
        <v>370</v>
      </c>
      <c r="B835" s="34" t="s">
        <v>371</v>
      </c>
      <c r="C835" s="37">
        <v>45916.78060185185</v>
      </c>
      <c r="D835" s="36">
        <v>1200.0</v>
      </c>
    </row>
    <row r="836">
      <c r="A836" s="34"/>
      <c r="B836" s="34"/>
      <c r="C836" s="37">
        <v>45918.632627314815</v>
      </c>
      <c r="D836" s="36">
        <v>3000.0</v>
      </c>
    </row>
    <row r="837">
      <c r="A837" s="34"/>
      <c r="B837" s="34"/>
      <c r="C837" s="37">
        <v>45918.708287037036</v>
      </c>
      <c r="D837" s="36">
        <v>1500.0</v>
      </c>
    </row>
    <row r="838">
      <c r="A838" s="34" t="s">
        <v>550</v>
      </c>
      <c r="B838" s="34" t="s">
        <v>551</v>
      </c>
      <c r="C838" s="37">
        <v>45918.740381944444</v>
      </c>
      <c r="D838" s="36">
        <v>3000.0</v>
      </c>
    </row>
    <row r="839">
      <c r="A839" s="34" t="s">
        <v>492</v>
      </c>
      <c r="B839" s="34" t="s">
        <v>493</v>
      </c>
      <c r="C839" s="37">
        <v>45918.7628587963</v>
      </c>
      <c r="D839" s="36">
        <v>1500.0</v>
      </c>
    </row>
    <row r="840">
      <c r="A840" s="34"/>
      <c r="B840" s="34"/>
      <c r="C840" s="37">
        <v>45919.54893518519</v>
      </c>
      <c r="D840" s="36">
        <v>4500.0</v>
      </c>
    </row>
    <row r="841">
      <c r="A841" s="34" t="s">
        <v>105</v>
      </c>
      <c r="B841" s="34" t="s">
        <v>106</v>
      </c>
      <c r="C841" s="37">
        <v>45915.718252314815</v>
      </c>
      <c r="D841" s="36">
        <v>1200.0</v>
      </c>
    </row>
    <row r="842">
      <c r="A842" s="34" t="s">
        <v>291</v>
      </c>
      <c r="B842" s="34" t="s">
        <v>292</v>
      </c>
      <c r="C842" s="37">
        <v>45919.68064814815</v>
      </c>
      <c r="D842" s="36">
        <v>1200.0</v>
      </c>
    </row>
    <row r="843">
      <c r="A843" s="34" t="s">
        <v>552</v>
      </c>
      <c r="B843" s="34" t="s">
        <v>553</v>
      </c>
      <c r="C843" s="37">
        <v>45919.72864583333</v>
      </c>
      <c r="D843" s="36">
        <v>3000.0</v>
      </c>
    </row>
    <row r="844">
      <c r="A844" s="34" t="s">
        <v>293</v>
      </c>
      <c r="B844" s="34" t="s">
        <v>294</v>
      </c>
      <c r="C844" s="37">
        <v>45919.73123842593</v>
      </c>
      <c r="D844" s="36">
        <v>1200.0</v>
      </c>
    </row>
    <row r="845">
      <c r="A845" s="34"/>
      <c r="B845" s="34"/>
      <c r="C845" s="37">
        <v>45919.78962962963</v>
      </c>
      <c r="D845" s="36">
        <v>1500.0</v>
      </c>
    </row>
    <row r="846">
      <c r="A846" s="34" t="s">
        <v>416</v>
      </c>
      <c r="B846" s="34" t="s">
        <v>417</v>
      </c>
      <c r="C846" s="37">
        <v>45919.84960648148</v>
      </c>
      <c r="D846" s="36">
        <v>1200.0</v>
      </c>
    </row>
    <row r="847">
      <c r="A847" s="34" t="s">
        <v>117</v>
      </c>
      <c r="B847" s="34" t="s">
        <v>118</v>
      </c>
      <c r="C847" s="37">
        <v>45920.59087962963</v>
      </c>
      <c r="D847" s="36">
        <v>1200.0</v>
      </c>
    </row>
    <row r="848">
      <c r="A848" s="34" t="s">
        <v>418</v>
      </c>
      <c r="B848" s="34" t="s">
        <v>419</v>
      </c>
      <c r="C848" s="37">
        <v>45920.70601851852</v>
      </c>
      <c r="D848" s="36">
        <v>1500.0</v>
      </c>
    </row>
    <row r="849">
      <c r="A849" s="34" t="s">
        <v>554</v>
      </c>
      <c r="B849" s="34" t="s">
        <v>555</v>
      </c>
      <c r="C849" s="37">
        <v>45920.768530092595</v>
      </c>
      <c r="D849" s="36">
        <v>2250.0</v>
      </c>
    </row>
    <row r="850">
      <c r="A850" s="34" t="s">
        <v>422</v>
      </c>
      <c r="B850" s="34" t="s">
        <v>423</v>
      </c>
      <c r="C850" s="37">
        <v>45920.80868055556</v>
      </c>
      <c r="D850" s="36">
        <v>1500.0</v>
      </c>
    </row>
    <row r="851">
      <c r="A851" s="34" t="s">
        <v>287</v>
      </c>
      <c r="B851" s="34" t="s">
        <v>288</v>
      </c>
      <c r="C851" s="37">
        <v>45918.68944444445</v>
      </c>
      <c r="D851" s="36">
        <v>1200.0</v>
      </c>
    </row>
    <row r="852">
      <c r="A852" s="34" t="s">
        <v>424</v>
      </c>
      <c r="B852" s="34" t="s">
        <v>425</v>
      </c>
      <c r="C852" s="37">
        <v>45921.48708333333</v>
      </c>
      <c r="D852" s="36">
        <v>1500.0</v>
      </c>
    </row>
    <row r="853">
      <c r="A853" s="34" t="s">
        <v>556</v>
      </c>
      <c r="B853" s="34" t="s">
        <v>557</v>
      </c>
      <c r="C853" s="37">
        <v>45921.593310185184</v>
      </c>
      <c r="D853" s="36">
        <v>3000.0</v>
      </c>
    </row>
    <row r="854">
      <c r="A854" s="34"/>
      <c r="B854" s="34"/>
      <c r="C854" s="37">
        <v>45921.615636574075</v>
      </c>
      <c r="D854" s="36">
        <v>500.0</v>
      </c>
    </row>
    <row r="855">
      <c r="A855" s="34" t="s">
        <v>295</v>
      </c>
      <c r="B855" s="34" t="s">
        <v>296</v>
      </c>
      <c r="C855" s="37">
        <v>45921.7284375</v>
      </c>
      <c r="D855" s="36">
        <v>1200.0</v>
      </c>
    </row>
    <row r="856">
      <c r="A856" s="34" t="s">
        <v>420</v>
      </c>
      <c r="B856" s="34" t="s">
        <v>421</v>
      </c>
      <c r="C856" s="37">
        <v>45920.72862268519</v>
      </c>
      <c r="D856" s="36">
        <v>1500.0</v>
      </c>
    </row>
    <row r="857">
      <c r="A857" s="34" t="s">
        <v>496</v>
      </c>
      <c r="B857" s="34" t="s">
        <v>497</v>
      </c>
      <c r="C857" s="37">
        <v>45922.72054398148</v>
      </c>
      <c r="D857" s="36">
        <v>1500.0</v>
      </c>
    </row>
    <row r="858">
      <c r="A858" s="34" t="s">
        <v>558</v>
      </c>
      <c r="B858" s="34" t="s">
        <v>559</v>
      </c>
      <c r="C858" s="37">
        <v>45922.73274305555</v>
      </c>
      <c r="D858" s="36">
        <v>3000.0</v>
      </c>
    </row>
    <row r="859">
      <c r="A859" s="34" t="s">
        <v>428</v>
      </c>
      <c r="B859" s="34" t="s">
        <v>429</v>
      </c>
      <c r="C859" s="37">
        <v>45922.80809027778</v>
      </c>
      <c r="D859" s="36">
        <v>1500.0</v>
      </c>
    </row>
    <row r="860">
      <c r="A860" s="34" t="s">
        <v>430</v>
      </c>
      <c r="B860" s="34" t="s">
        <v>431</v>
      </c>
      <c r="C860" s="37">
        <v>45922.82827546296</v>
      </c>
      <c r="D860" s="36">
        <v>1500.0</v>
      </c>
    </row>
    <row r="861">
      <c r="A861" s="34"/>
      <c r="B861" s="34"/>
      <c r="C861" s="37">
        <v>45924.81804398148</v>
      </c>
      <c r="D861" s="36">
        <v>9000.0</v>
      </c>
    </row>
    <row r="862">
      <c r="A862" s="34"/>
      <c r="B862" s="34"/>
      <c r="C862" s="37"/>
      <c r="D862" s="36"/>
    </row>
    <row r="863">
      <c r="A863" s="34"/>
      <c r="B863" s="34"/>
      <c r="C863" s="37"/>
      <c r="D863" s="36"/>
    </row>
    <row r="864">
      <c r="A864" s="34" t="s">
        <v>373</v>
      </c>
      <c r="B864" s="34" t="s">
        <v>374</v>
      </c>
      <c r="C864" s="37">
        <v>45925.77923611111</v>
      </c>
      <c r="D864" s="36">
        <v>1200.0</v>
      </c>
    </row>
    <row r="865">
      <c r="A865" s="34" t="s">
        <v>375</v>
      </c>
      <c r="B865" s="34" t="s">
        <v>376</v>
      </c>
      <c r="C865" s="37">
        <v>45925.79634259259</v>
      </c>
      <c r="D865" s="36">
        <v>1500.0</v>
      </c>
    </row>
    <row r="866">
      <c r="A866" s="34" t="s">
        <v>300</v>
      </c>
      <c r="B866" s="34" t="s">
        <v>301</v>
      </c>
      <c r="C866" s="37">
        <v>45926.497141203705</v>
      </c>
      <c r="D866" s="36">
        <v>1200.0</v>
      </c>
    </row>
    <row r="867">
      <c r="A867" s="34" t="s">
        <v>302</v>
      </c>
      <c r="B867" s="34" t="s">
        <v>303</v>
      </c>
      <c r="C867" s="37">
        <v>45927.04445601852</v>
      </c>
      <c r="D867" s="36">
        <v>1200.0</v>
      </c>
    </row>
    <row r="868">
      <c r="A868" s="34"/>
      <c r="B868" s="34"/>
      <c r="C868" s="37">
        <v>45927.594201388885</v>
      </c>
      <c r="D868" s="36">
        <v>9000.0</v>
      </c>
    </row>
    <row r="869">
      <c r="A869" s="34" t="s">
        <v>560</v>
      </c>
      <c r="B869" s="34" t="s">
        <v>561</v>
      </c>
      <c r="C869" s="37">
        <v>45928.51527777778</v>
      </c>
      <c r="D869" s="36">
        <v>1500.0</v>
      </c>
    </row>
    <row r="870">
      <c r="A870" s="34"/>
      <c r="B870" s="34"/>
      <c r="C870" s="37">
        <v>45928.63615740741</v>
      </c>
      <c r="D870" s="36">
        <v>6000.0</v>
      </c>
    </row>
    <row r="871">
      <c r="A871" s="34" t="s">
        <v>562</v>
      </c>
      <c r="B871" s="34" t="s">
        <v>563</v>
      </c>
      <c r="C871" s="37">
        <v>45928.710185185184</v>
      </c>
      <c r="D871" s="36">
        <v>1500.0</v>
      </c>
    </row>
    <row r="872">
      <c r="A872" s="34" t="s">
        <v>159</v>
      </c>
      <c r="B872" s="34" t="s">
        <v>160</v>
      </c>
      <c r="C872" s="37">
        <v>45928.74172453704</v>
      </c>
      <c r="D872" s="36">
        <v>1200.0</v>
      </c>
    </row>
    <row r="873">
      <c r="A873" s="34" t="s">
        <v>434</v>
      </c>
      <c r="B873" s="34" t="s">
        <v>435</v>
      </c>
      <c r="C873" s="37">
        <v>45928.79615740741</v>
      </c>
      <c r="D873" s="36">
        <v>1500.0</v>
      </c>
    </row>
    <row r="874">
      <c r="A874" s="34" t="s">
        <v>129</v>
      </c>
      <c r="B874" s="34" t="s">
        <v>130</v>
      </c>
      <c r="C874" s="37">
        <v>45922.6580787037</v>
      </c>
      <c r="D874" s="36">
        <v>1200.0</v>
      </c>
    </row>
    <row r="875">
      <c r="A875" s="34" t="s">
        <v>141</v>
      </c>
      <c r="B875" s="34" t="s">
        <v>142</v>
      </c>
      <c r="C875" s="37">
        <v>45929.421875</v>
      </c>
      <c r="D875" s="36">
        <v>1000.0</v>
      </c>
    </row>
    <row r="876">
      <c r="A876" s="34" t="s">
        <v>151</v>
      </c>
      <c r="B876" s="34" t="s">
        <v>152</v>
      </c>
      <c r="C876" s="37">
        <v>45929.47453703704</v>
      </c>
      <c r="D876" s="36">
        <v>1000.0</v>
      </c>
    </row>
    <row r="877">
      <c r="A877" s="34"/>
      <c r="B877" s="34"/>
      <c r="C877" s="37">
        <v>45929.79096064815</v>
      </c>
      <c r="D877" s="36">
        <v>4500.0</v>
      </c>
    </row>
    <row r="878">
      <c r="A878" s="34"/>
      <c r="B878" s="34"/>
      <c r="C878" s="37"/>
      <c r="D878" s="36"/>
    </row>
    <row r="879">
      <c r="A879" s="34" t="s">
        <v>163</v>
      </c>
      <c r="B879" s="34" t="s">
        <v>164</v>
      </c>
      <c r="C879" s="37">
        <v>45930.04583333333</v>
      </c>
      <c r="D879" s="36">
        <v>1200.0</v>
      </c>
    </row>
    <row r="880">
      <c r="A880" s="34" t="s">
        <v>70</v>
      </c>
      <c r="B880" s="34" t="s">
        <v>71</v>
      </c>
      <c r="C880" s="37">
        <v>45930.047638888886</v>
      </c>
      <c r="D880" s="36">
        <v>1000.0</v>
      </c>
    </row>
    <row r="881">
      <c r="A881" s="34" t="s">
        <v>332</v>
      </c>
      <c r="B881" s="34" t="s">
        <v>333</v>
      </c>
      <c r="C881" s="37">
        <v>45929.46262731482</v>
      </c>
      <c r="D881" s="36">
        <v>1200.0</v>
      </c>
    </row>
    <row r="882">
      <c r="A882" s="34" t="s">
        <v>506</v>
      </c>
      <c r="B882" s="34" t="s">
        <v>507</v>
      </c>
      <c r="C882" s="37">
        <v>45929.72756944445</v>
      </c>
      <c r="D882" s="36">
        <v>1500.0</v>
      </c>
    </row>
    <row r="883">
      <c r="A883" s="34" t="s">
        <v>504</v>
      </c>
      <c r="B883" s="34" t="s">
        <v>505</v>
      </c>
      <c r="C883" s="37">
        <v>45929.65893518519</v>
      </c>
      <c r="D883" s="36">
        <v>1500.0</v>
      </c>
    </row>
    <row r="884">
      <c r="A884" s="34" t="s">
        <v>426</v>
      </c>
      <c r="B884" s="34" t="s">
        <v>427</v>
      </c>
      <c r="C884" s="37">
        <v>45921.61497685185</v>
      </c>
      <c r="D884" s="36">
        <v>1500.0</v>
      </c>
    </row>
    <row r="885">
      <c r="A885" s="34" t="s">
        <v>285</v>
      </c>
      <c r="B885" s="34" t="s">
        <v>286</v>
      </c>
      <c r="C885" s="37">
        <v>45917.70229166667</v>
      </c>
      <c r="D885" s="36">
        <v>1200.0</v>
      </c>
    </row>
    <row r="886">
      <c r="A886" s="34" t="s">
        <v>390</v>
      </c>
      <c r="B886" s="34" t="s">
        <v>391</v>
      </c>
      <c r="C886" s="37">
        <v>45930.274976851855</v>
      </c>
      <c r="D886" s="36">
        <v>1200.0</v>
      </c>
    </row>
    <row r="887">
      <c r="A887" s="34" t="s">
        <v>444</v>
      </c>
      <c r="B887" s="34" t="s">
        <v>445</v>
      </c>
      <c r="C887" s="37">
        <v>45901.04555555555</v>
      </c>
      <c r="D887" s="36">
        <v>1200.0</v>
      </c>
    </row>
    <row r="888">
      <c r="A888" s="34" t="s">
        <v>482</v>
      </c>
      <c r="B888" s="34" t="s">
        <v>483</v>
      </c>
      <c r="C888" s="37">
        <v>45930.34128472222</v>
      </c>
      <c r="D888" s="36">
        <v>1500.0</v>
      </c>
    </row>
    <row r="889">
      <c r="A889" s="34"/>
      <c r="B889" s="34"/>
      <c r="C889" s="37"/>
      <c r="D889" s="36"/>
    </row>
    <row r="890">
      <c r="A890" s="34" t="s">
        <v>432</v>
      </c>
      <c r="B890" s="34" t="s">
        <v>433</v>
      </c>
      <c r="C890" s="37">
        <v>45926.74265046296</v>
      </c>
      <c r="D890" s="36">
        <v>1500.0</v>
      </c>
    </row>
    <row r="891">
      <c r="A891" s="34" t="s">
        <v>508</v>
      </c>
      <c r="B891" s="34" t="s">
        <v>509</v>
      </c>
      <c r="C891" s="37">
        <v>45930.577627314815</v>
      </c>
      <c r="D891" s="36">
        <v>1500.0</v>
      </c>
    </row>
    <row r="892">
      <c r="A892" s="34" t="s">
        <v>510</v>
      </c>
      <c r="B892" s="34" t="s">
        <v>511</v>
      </c>
      <c r="C892" s="37">
        <v>45930.60851851852</v>
      </c>
      <c r="D892" s="36">
        <v>1500.0</v>
      </c>
    </row>
    <row r="893">
      <c r="A893" s="34" t="s">
        <v>564</v>
      </c>
      <c r="B893" s="34" t="s">
        <v>565</v>
      </c>
      <c r="C893" s="37">
        <v>45930.67003472222</v>
      </c>
      <c r="D893" s="36">
        <v>3000.0</v>
      </c>
    </row>
    <row r="894">
      <c r="A894" s="34" t="s">
        <v>516</v>
      </c>
      <c r="B894" s="34" t="s">
        <v>517</v>
      </c>
      <c r="C894" s="37">
        <v>45930.702939814815</v>
      </c>
      <c r="D894" s="36">
        <v>1500.0</v>
      </c>
    </row>
    <row r="895">
      <c r="A895" s="34" t="s">
        <v>438</v>
      </c>
      <c r="B895" s="34" t="s">
        <v>439</v>
      </c>
      <c r="C895" s="37">
        <v>45930.7172337963</v>
      </c>
      <c r="D895" s="36">
        <v>1500.0</v>
      </c>
    </row>
    <row r="896">
      <c r="A896" s="34"/>
      <c r="B896" s="34" t="s">
        <v>566</v>
      </c>
      <c r="C896" s="37">
        <v>45930.717824074076</v>
      </c>
      <c r="D896" s="36">
        <v>3000.0</v>
      </c>
    </row>
    <row r="897">
      <c r="A897" s="34" t="s">
        <v>387</v>
      </c>
      <c r="B897" s="34" t="s">
        <v>388</v>
      </c>
      <c r="C897" s="37">
        <v>45930.80810185185</v>
      </c>
      <c r="D897" s="36">
        <v>1500.0</v>
      </c>
    </row>
    <row r="898">
      <c r="A898" s="34" t="s">
        <v>436</v>
      </c>
      <c r="B898" s="34" t="s">
        <v>437</v>
      </c>
      <c r="C898" s="37">
        <v>45930.83414351852</v>
      </c>
      <c r="D898" s="36">
        <v>1500.0</v>
      </c>
    </row>
    <row r="899">
      <c r="A899" s="34"/>
      <c r="B899" s="34" t="s">
        <v>389</v>
      </c>
      <c r="C899" s="37">
        <v>45930.842997685184</v>
      </c>
      <c r="D899" s="36">
        <v>1500.0</v>
      </c>
    </row>
    <row r="900">
      <c r="A900" s="34" t="s">
        <v>318</v>
      </c>
      <c r="B900" s="34" t="s">
        <v>319</v>
      </c>
      <c r="C900" s="37">
        <v>45931.0465625</v>
      </c>
      <c r="D900" s="36">
        <v>1500.0</v>
      </c>
    </row>
    <row r="901">
      <c r="A901" s="34" t="s">
        <v>322</v>
      </c>
      <c r="B901" s="34" t="s">
        <v>323</v>
      </c>
      <c r="C901" s="37">
        <v>45931.085</v>
      </c>
      <c r="D901" s="36">
        <v>1200.0</v>
      </c>
    </row>
    <row r="902">
      <c r="A902" s="34" t="s">
        <v>442</v>
      </c>
      <c r="B902" s="34" t="s">
        <v>443</v>
      </c>
      <c r="C902" s="37">
        <v>45931.10559027778</v>
      </c>
      <c r="D902" s="36">
        <v>1200.0</v>
      </c>
    </row>
    <row r="903">
      <c r="A903" s="34"/>
      <c r="B903" s="34"/>
      <c r="C903" s="37"/>
      <c r="D903" s="36"/>
    </row>
    <row r="904">
      <c r="A904" s="34" t="s">
        <v>324</v>
      </c>
      <c r="B904" s="34" t="s">
        <v>325</v>
      </c>
      <c r="C904" s="37">
        <v>45931.13043981481</v>
      </c>
      <c r="D904" s="36">
        <v>1200.0</v>
      </c>
    </row>
    <row r="905">
      <c r="A905" s="34" t="s">
        <v>85</v>
      </c>
      <c r="B905" s="34" t="s">
        <v>86</v>
      </c>
      <c r="C905" s="37">
        <v>45931.27276620371</v>
      </c>
      <c r="D905" s="36">
        <v>1200.0</v>
      </c>
    </row>
    <row r="906">
      <c r="A906" s="34" t="s">
        <v>157</v>
      </c>
      <c r="B906" s="34" t="s">
        <v>158</v>
      </c>
      <c r="C906" s="37">
        <v>45931.287627314814</v>
      </c>
      <c r="D906" s="36">
        <v>1200.0</v>
      </c>
    </row>
    <row r="907">
      <c r="A907" s="34" t="s">
        <v>567</v>
      </c>
      <c r="B907" s="34" t="s">
        <v>568</v>
      </c>
      <c r="C907" s="37">
        <v>45931.5646875</v>
      </c>
      <c r="D907" s="36">
        <v>1500.0</v>
      </c>
    </row>
    <row r="908">
      <c r="A908" s="34" t="s">
        <v>446</v>
      </c>
      <c r="B908" s="34" t="s">
        <v>447</v>
      </c>
      <c r="C908" s="37">
        <v>45931.631006944444</v>
      </c>
      <c r="D908" s="36">
        <v>1500.0</v>
      </c>
    </row>
    <row r="909">
      <c r="A909" s="34" t="s">
        <v>221</v>
      </c>
      <c r="B909" s="34" t="s">
        <v>222</v>
      </c>
      <c r="C909" s="37">
        <v>45931.634050925924</v>
      </c>
      <c r="D909" s="36">
        <v>999.0</v>
      </c>
    </row>
    <row r="910">
      <c r="A910" s="34" t="s">
        <v>209</v>
      </c>
      <c r="B910" s="34" t="s">
        <v>210</v>
      </c>
      <c r="C910" s="37">
        <v>45931.658587962964</v>
      </c>
      <c r="D910" s="36">
        <v>1200.0</v>
      </c>
    </row>
    <row r="911">
      <c r="A911" s="34" t="s">
        <v>520</v>
      </c>
      <c r="B911" s="34" t="s">
        <v>521</v>
      </c>
      <c r="C911" s="37">
        <v>45931.68483796297</v>
      </c>
      <c r="D911" s="36">
        <v>2250.0</v>
      </c>
    </row>
    <row r="912">
      <c r="A912" s="34" t="s">
        <v>213</v>
      </c>
      <c r="B912" s="34" t="s">
        <v>214</v>
      </c>
      <c r="C912" s="37">
        <v>45931.72188657407</v>
      </c>
      <c r="D912" s="36">
        <v>1000.0</v>
      </c>
    </row>
    <row r="913">
      <c r="A913" s="34" t="s">
        <v>490</v>
      </c>
      <c r="B913" s="34" t="s">
        <v>491</v>
      </c>
      <c r="C913" s="37">
        <v>45917.73465277778</v>
      </c>
      <c r="D913" s="36">
        <v>1500.0</v>
      </c>
    </row>
    <row r="914">
      <c r="A914" s="34" t="s">
        <v>211</v>
      </c>
      <c r="B914" s="34" t="s">
        <v>212</v>
      </c>
      <c r="C914" s="37">
        <v>45931.746979166666</v>
      </c>
      <c r="D914" s="36">
        <v>1200.0</v>
      </c>
    </row>
    <row r="915">
      <c r="A915" s="34"/>
      <c r="B915" s="34" t="s">
        <v>396</v>
      </c>
      <c r="C915" s="37">
        <v>45931.76099537037</v>
      </c>
      <c r="D915" s="36">
        <v>1500.0</v>
      </c>
    </row>
    <row r="916">
      <c r="A916" s="34" t="s">
        <v>452</v>
      </c>
      <c r="B916" s="34" t="s">
        <v>453</v>
      </c>
      <c r="C916" s="37">
        <v>45931.89818287037</v>
      </c>
      <c r="D916" s="36">
        <v>1500.0</v>
      </c>
    </row>
    <row r="917">
      <c r="A917" s="34" t="s">
        <v>524</v>
      </c>
      <c r="B917" s="34" t="s">
        <v>525</v>
      </c>
      <c r="C917" s="37">
        <v>45932.72188657407</v>
      </c>
      <c r="D917" s="36">
        <v>1500.0</v>
      </c>
    </row>
    <row r="918">
      <c r="A918" s="34"/>
      <c r="B918" s="34"/>
      <c r="C918" s="37">
        <v>45932.771828703706</v>
      </c>
      <c r="D918" s="36">
        <v>500.0</v>
      </c>
    </row>
    <row r="919">
      <c r="A919" s="34" t="s">
        <v>237</v>
      </c>
      <c r="B919" s="34" t="s">
        <v>238</v>
      </c>
      <c r="C919" s="37">
        <v>45932.785416666666</v>
      </c>
      <c r="D919" s="36">
        <v>1200.0</v>
      </c>
    </row>
    <row r="920">
      <c r="A920" s="34" t="s">
        <v>397</v>
      </c>
      <c r="B920" s="34" t="s">
        <v>398</v>
      </c>
      <c r="C920" s="37">
        <v>45932.80440972222</v>
      </c>
      <c r="D920" s="36">
        <v>1500.0</v>
      </c>
    </row>
    <row r="921">
      <c r="A921" s="34" t="s">
        <v>569</v>
      </c>
      <c r="B921" s="34" t="s">
        <v>570</v>
      </c>
      <c r="C921" s="37">
        <v>45932.80767361111</v>
      </c>
      <c r="D921" s="36">
        <v>3000.0</v>
      </c>
    </row>
    <row r="922">
      <c r="A922" s="34" t="s">
        <v>514</v>
      </c>
      <c r="B922" s="34" t="s">
        <v>515</v>
      </c>
      <c r="C922" s="37">
        <v>45930.687893518516</v>
      </c>
      <c r="D922" s="36">
        <v>1500.0</v>
      </c>
    </row>
    <row r="923">
      <c r="A923" s="34" t="s">
        <v>394</v>
      </c>
      <c r="B923" s="34" t="s">
        <v>395</v>
      </c>
      <c r="C923" s="37">
        <v>45931.04640046296</v>
      </c>
      <c r="D923" s="36">
        <v>1200.0</v>
      </c>
    </row>
    <row r="924">
      <c r="A924" s="34" t="s">
        <v>528</v>
      </c>
      <c r="B924" s="34" t="s">
        <v>529</v>
      </c>
      <c r="C924" s="37">
        <v>45933.770474537036</v>
      </c>
      <c r="D924" s="36">
        <v>1500.0</v>
      </c>
    </row>
    <row r="925">
      <c r="A925" s="34" t="s">
        <v>456</v>
      </c>
      <c r="B925" s="34" t="s">
        <v>457</v>
      </c>
      <c r="C925" s="37">
        <v>45933.85420138889</v>
      </c>
      <c r="D925" s="36">
        <v>1500.0</v>
      </c>
    </row>
    <row r="926">
      <c r="A926" s="34"/>
      <c r="B926" s="34"/>
      <c r="C926" s="37"/>
      <c r="D926" s="36"/>
    </row>
    <row r="927">
      <c r="A927" s="34" t="s">
        <v>571</v>
      </c>
      <c r="B927" s="34" t="s">
        <v>572</v>
      </c>
      <c r="C927" s="37">
        <v>45934.63607638889</v>
      </c>
      <c r="D927" s="36">
        <v>3000.0</v>
      </c>
    </row>
    <row r="928">
      <c r="A928" s="34" t="s">
        <v>66</v>
      </c>
      <c r="B928" s="34" t="s">
        <v>258</v>
      </c>
      <c r="C928" s="37">
        <v>45934.64643518518</v>
      </c>
      <c r="D928" s="36">
        <v>1200.0</v>
      </c>
    </row>
    <row r="929">
      <c r="A929" s="34" t="s">
        <v>259</v>
      </c>
      <c r="B929" s="34" t="s">
        <v>260</v>
      </c>
      <c r="C929" s="37">
        <v>45934.72039351852</v>
      </c>
      <c r="D929" s="36">
        <v>1200.0</v>
      </c>
    </row>
    <row r="930">
      <c r="A930" s="34" t="s">
        <v>403</v>
      </c>
      <c r="B930" s="34" t="s">
        <v>404</v>
      </c>
      <c r="C930" s="37">
        <v>45934.79875</v>
      </c>
      <c r="D930" s="36">
        <v>1500.0</v>
      </c>
    </row>
    <row r="931">
      <c r="A931" s="34" t="s">
        <v>573</v>
      </c>
      <c r="B931" s="34" t="s">
        <v>574</v>
      </c>
      <c r="C931" s="37">
        <v>45935.30322916667</v>
      </c>
      <c r="D931" s="36">
        <v>3000.0</v>
      </c>
    </row>
    <row r="932">
      <c r="A932" s="34" t="s">
        <v>575</v>
      </c>
      <c r="B932" s="34" t="s">
        <v>576</v>
      </c>
      <c r="C932" s="37">
        <v>45935.572280092594</v>
      </c>
      <c r="D932" s="36">
        <v>100.0</v>
      </c>
    </row>
    <row r="933">
      <c r="A933" s="34" t="s">
        <v>577</v>
      </c>
      <c r="B933" s="34" t="s">
        <v>578</v>
      </c>
      <c r="C933" s="37">
        <v>45935.595868055556</v>
      </c>
      <c r="D933" s="36">
        <v>3000.0</v>
      </c>
    </row>
    <row r="934">
      <c r="A934" s="34" t="s">
        <v>530</v>
      </c>
      <c r="B934" s="34" t="s">
        <v>531</v>
      </c>
      <c r="C934" s="37">
        <v>45935.6453587963</v>
      </c>
      <c r="D934" s="36">
        <v>1500.0</v>
      </c>
    </row>
    <row r="935">
      <c r="A935" s="34" t="s">
        <v>263</v>
      </c>
      <c r="B935" s="34" t="s">
        <v>264</v>
      </c>
      <c r="C935" s="37">
        <v>45935.69498842592</v>
      </c>
      <c r="D935" s="36">
        <v>1200.0</v>
      </c>
    </row>
    <row r="936">
      <c r="A936" s="34" t="s">
        <v>532</v>
      </c>
      <c r="B936" s="34" t="s">
        <v>533</v>
      </c>
      <c r="C936" s="37">
        <v>45935.762395833335</v>
      </c>
      <c r="D936" s="36">
        <v>1500.0</v>
      </c>
    </row>
    <row r="937">
      <c r="A937" s="34" t="s">
        <v>338</v>
      </c>
      <c r="B937" s="34" t="s">
        <v>339</v>
      </c>
      <c r="C937" s="37">
        <v>45936.67865740741</v>
      </c>
      <c r="D937" s="36">
        <v>1200.0</v>
      </c>
    </row>
    <row r="938">
      <c r="A938" s="34"/>
      <c r="B938" s="34"/>
      <c r="C938" s="37">
        <v>45936.78398148148</v>
      </c>
      <c r="D938" s="36">
        <v>1500.0</v>
      </c>
    </row>
    <row r="939">
      <c r="A939" s="34"/>
      <c r="B939" s="34"/>
      <c r="C939" s="37">
        <v>45936.78480324074</v>
      </c>
      <c r="D939" s="36">
        <v>500.0</v>
      </c>
    </row>
    <row r="940">
      <c r="A940" s="34" t="s">
        <v>579</v>
      </c>
      <c r="B940" s="34" t="s">
        <v>580</v>
      </c>
      <c r="C940" s="37">
        <v>45937.702256944445</v>
      </c>
      <c r="D940" s="36">
        <v>3000.0</v>
      </c>
    </row>
    <row r="941">
      <c r="A941" s="34" t="s">
        <v>468</v>
      </c>
      <c r="B941" s="34" t="s">
        <v>469</v>
      </c>
      <c r="C941" s="37">
        <v>45937.76252314815</v>
      </c>
      <c r="D941" s="36">
        <v>1500.0</v>
      </c>
    </row>
    <row r="942">
      <c r="A942" s="34" t="s">
        <v>360</v>
      </c>
      <c r="B942" s="34" t="s">
        <v>361</v>
      </c>
      <c r="C942" s="37">
        <v>45930.5134375</v>
      </c>
      <c r="D942" s="36">
        <v>1200.0</v>
      </c>
    </row>
    <row r="943">
      <c r="A943" s="34" t="s">
        <v>470</v>
      </c>
      <c r="B943" s="34" t="s">
        <v>471</v>
      </c>
      <c r="C943" s="37">
        <v>45938.64494212963</v>
      </c>
      <c r="D943" s="36">
        <v>1500.0</v>
      </c>
    </row>
    <row r="944">
      <c r="A944" s="34" t="s">
        <v>536</v>
      </c>
      <c r="B944" s="34" t="s">
        <v>537</v>
      </c>
      <c r="C944" s="37">
        <v>45938.74265046296</v>
      </c>
      <c r="D944" s="36">
        <v>1500.0</v>
      </c>
    </row>
    <row r="945">
      <c r="A945" s="34" t="s">
        <v>407</v>
      </c>
      <c r="B945" s="34" t="s">
        <v>408</v>
      </c>
      <c r="C945" s="37">
        <v>45938.759722222225</v>
      </c>
      <c r="D945" s="36">
        <v>1500.0</v>
      </c>
    </row>
    <row r="946">
      <c r="A946" s="34" t="s">
        <v>581</v>
      </c>
      <c r="B946" s="34" t="s">
        <v>582</v>
      </c>
      <c r="C946" s="37">
        <v>45939.1940625</v>
      </c>
      <c r="D946" s="36">
        <v>750.0</v>
      </c>
    </row>
    <row r="947">
      <c r="A947" s="34" t="s">
        <v>583</v>
      </c>
      <c r="B947" s="34" t="s">
        <v>584</v>
      </c>
      <c r="C947" s="37">
        <v>45939.63761574074</v>
      </c>
      <c r="D947" s="36">
        <v>3000.0</v>
      </c>
    </row>
    <row r="948">
      <c r="A948" s="34" t="s">
        <v>464</v>
      </c>
      <c r="B948" s="34" t="s">
        <v>465</v>
      </c>
      <c r="C948" s="37">
        <v>45935.79628472222</v>
      </c>
      <c r="D948" s="36">
        <v>1200.0</v>
      </c>
    </row>
    <row r="949">
      <c r="A949" s="34"/>
      <c r="B949" s="34"/>
      <c r="C949" s="37"/>
      <c r="D949" s="36"/>
    </row>
    <row r="950">
      <c r="A950" s="34"/>
      <c r="B950" s="34"/>
      <c r="C950" s="37"/>
      <c r="D950" s="36"/>
    </row>
    <row r="951">
      <c r="A951" s="34" t="s">
        <v>454</v>
      </c>
      <c r="B951" s="34" t="s">
        <v>455</v>
      </c>
      <c r="C951" s="37">
        <v>45933.60005787037</v>
      </c>
      <c r="D951" s="36">
        <v>1500.0</v>
      </c>
    </row>
    <row r="952">
      <c r="A952" s="34" t="s">
        <v>354</v>
      </c>
      <c r="B952" s="34" t="s">
        <v>355</v>
      </c>
      <c r="C952" s="37">
        <v>45940.51127314815</v>
      </c>
      <c r="D952" s="36">
        <v>1200.0</v>
      </c>
    </row>
    <row r="953">
      <c r="A953" s="34" t="s">
        <v>540</v>
      </c>
      <c r="B953" s="34" t="s">
        <v>541</v>
      </c>
      <c r="C953" s="37">
        <v>45940.591875</v>
      </c>
      <c r="D953" s="36">
        <v>1500.0</v>
      </c>
    </row>
    <row r="954">
      <c r="A954" s="34" t="s">
        <v>356</v>
      </c>
      <c r="B954" s="34" t="s">
        <v>357</v>
      </c>
      <c r="C954" s="37">
        <v>45940.76230324074</v>
      </c>
      <c r="D954" s="36">
        <v>1200.0</v>
      </c>
    </row>
    <row r="955">
      <c r="A955" s="34" t="s">
        <v>409</v>
      </c>
      <c r="B955" s="34" t="s">
        <v>410</v>
      </c>
      <c r="C955" s="37">
        <v>45940.80472222222</v>
      </c>
      <c r="D955" s="36">
        <v>1500.0</v>
      </c>
    </row>
    <row r="956">
      <c r="A956" s="34" t="s">
        <v>542</v>
      </c>
      <c r="B956" s="34" t="s">
        <v>543</v>
      </c>
      <c r="C956" s="37">
        <v>45940.81351851852</v>
      </c>
      <c r="D956" s="36">
        <v>1500.0</v>
      </c>
    </row>
    <row r="957">
      <c r="A957" s="34"/>
      <c r="B957" s="34"/>
      <c r="C957" s="37"/>
      <c r="D957" s="36"/>
    </row>
    <row r="958">
      <c r="A958" s="34" t="s">
        <v>585</v>
      </c>
      <c r="B958" s="34" t="s">
        <v>586</v>
      </c>
      <c r="C958" s="37">
        <v>45941.549375</v>
      </c>
      <c r="D958" s="36">
        <v>3000.0</v>
      </c>
    </row>
    <row r="959">
      <c r="A959" s="34" t="s">
        <v>411</v>
      </c>
      <c r="B959" s="34" t="s">
        <v>412</v>
      </c>
      <c r="C959" s="37">
        <v>45941.56303240741</v>
      </c>
      <c r="D959" s="36">
        <v>1500.0</v>
      </c>
    </row>
    <row r="960">
      <c r="A960" s="34" t="s">
        <v>587</v>
      </c>
      <c r="B960" s="34" t="s">
        <v>588</v>
      </c>
      <c r="C960" s="37">
        <v>45941.69980324074</v>
      </c>
      <c r="D960" s="36">
        <v>1500.0</v>
      </c>
    </row>
    <row r="961">
      <c r="A961" s="34" t="s">
        <v>589</v>
      </c>
      <c r="B961" s="34" t="s">
        <v>590</v>
      </c>
      <c r="C961" s="37">
        <v>45942.70381944445</v>
      </c>
      <c r="D961" s="36">
        <v>1500.0</v>
      </c>
    </row>
    <row r="962">
      <c r="A962" s="34" t="s">
        <v>544</v>
      </c>
      <c r="B962" s="34" t="s">
        <v>545</v>
      </c>
      <c r="C962" s="37">
        <v>45942.759467592594</v>
      </c>
      <c r="D962" s="36">
        <v>1500.0</v>
      </c>
    </row>
    <row r="963">
      <c r="A963" s="34" t="s">
        <v>591</v>
      </c>
      <c r="B963" s="34" t="s">
        <v>592</v>
      </c>
      <c r="C963" s="37">
        <v>45943.66844907407</v>
      </c>
      <c r="D963" s="36">
        <v>3000.0</v>
      </c>
    </row>
    <row r="964">
      <c r="A964" s="34"/>
      <c r="B964" s="34"/>
      <c r="C964" s="37">
        <v>45943.699907407405</v>
      </c>
      <c r="D964" s="36">
        <v>6000.0</v>
      </c>
    </row>
    <row r="965">
      <c r="A965" s="34" t="s">
        <v>534</v>
      </c>
      <c r="B965" s="34" t="s">
        <v>593</v>
      </c>
      <c r="C965" s="37">
        <v>45944.47634259259</v>
      </c>
      <c r="D965" s="36">
        <v>100.0</v>
      </c>
    </row>
    <row r="966">
      <c r="A966" s="34" t="s">
        <v>594</v>
      </c>
      <c r="B966" s="34" t="s">
        <v>595</v>
      </c>
      <c r="C966" s="37">
        <v>45944.639398148145</v>
      </c>
      <c r="D966" s="36">
        <v>1500.0</v>
      </c>
    </row>
    <row r="967">
      <c r="A967" s="34"/>
      <c r="B967" s="34"/>
      <c r="C967" s="37">
        <v>45944.66056712963</v>
      </c>
      <c r="D967" s="36">
        <v>9000.0</v>
      </c>
    </row>
    <row r="968">
      <c r="A968" s="34"/>
      <c r="B968" s="34"/>
      <c r="C968" s="37">
        <v>45944.69673611111</v>
      </c>
      <c r="D968" s="36">
        <v>9000.0</v>
      </c>
    </row>
    <row r="969">
      <c r="A969" s="34" t="s">
        <v>484</v>
      </c>
      <c r="B969" s="34" t="s">
        <v>485</v>
      </c>
      <c r="C969" s="37">
        <v>45944.70545138889</v>
      </c>
      <c r="D969" s="36">
        <v>1500.0</v>
      </c>
    </row>
    <row r="970">
      <c r="A970" s="34" t="s">
        <v>413</v>
      </c>
      <c r="B970" s="34" t="s">
        <v>414</v>
      </c>
      <c r="C970" s="37">
        <v>45944.761145833334</v>
      </c>
      <c r="D970" s="36">
        <v>1500.0</v>
      </c>
    </row>
    <row r="971">
      <c r="A971" s="34"/>
      <c r="B971" s="34"/>
      <c r="C971" s="37"/>
      <c r="D971" s="36"/>
    </row>
    <row r="972">
      <c r="A972" s="34" t="s">
        <v>596</v>
      </c>
      <c r="B972" s="34" t="s">
        <v>597</v>
      </c>
      <c r="C972" s="37">
        <v>45945.665810185186</v>
      </c>
      <c r="D972" s="36">
        <v>3000.0</v>
      </c>
    </row>
    <row r="973">
      <c r="A973" s="34" t="s">
        <v>581</v>
      </c>
      <c r="B973" s="34" t="s">
        <v>582</v>
      </c>
      <c r="C973" s="37">
        <v>45945.695868055554</v>
      </c>
      <c r="D973" s="36">
        <v>1500.0</v>
      </c>
    </row>
    <row r="974">
      <c r="A974" s="34"/>
      <c r="B974" s="34"/>
      <c r="C974" s="37">
        <v>45945.763553240744</v>
      </c>
      <c r="D974" s="36">
        <v>9000.0</v>
      </c>
    </row>
    <row r="975">
      <c r="A975" s="34" t="s">
        <v>598</v>
      </c>
      <c r="B975" s="34" t="s">
        <v>599</v>
      </c>
      <c r="C975" s="37">
        <v>45945.788773148146</v>
      </c>
      <c r="D975" s="36">
        <v>3000.0</v>
      </c>
    </row>
    <row r="976">
      <c r="A976" s="34" t="s">
        <v>546</v>
      </c>
      <c r="B976" s="34" t="s">
        <v>547</v>
      </c>
      <c r="C976" s="37">
        <v>45945.804618055554</v>
      </c>
      <c r="D976" s="36">
        <v>1500.0</v>
      </c>
    </row>
    <row r="977">
      <c r="A977" s="34" t="s">
        <v>367</v>
      </c>
      <c r="B977" s="34" t="s">
        <v>368</v>
      </c>
      <c r="C977" s="37">
        <v>45945.88613425926</v>
      </c>
      <c r="D977" s="36">
        <v>1200.0</v>
      </c>
    </row>
    <row r="978">
      <c r="A978" s="34"/>
      <c r="B978" s="34" t="s">
        <v>369</v>
      </c>
      <c r="C978" s="37">
        <v>45946.61210648148</v>
      </c>
      <c r="D978" s="36">
        <v>1200.0</v>
      </c>
    </row>
    <row r="979">
      <c r="A979" s="34" t="s">
        <v>522</v>
      </c>
      <c r="B979" s="34" t="s">
        <v>523</v>
      </c>
      <c r="C979" s="37">
        <v>45932.68819444445</v>
      </c>
      <c r="D979" s="36">
        <v>1200.0</v>
      </c>
    </row>
    <row r="980">
      <c r="A980" s="34" t="s">
        <v>600</v>
      </c>
      <c r="B980" s="34" t="s">
        <v>601</v>
      </c>
      <c r="C980" s="37">
        <v>45946.70505787037</v>
      </c>
      <c r="D980" s="36">
        <v>4500.0</v>
      </c>
    </row>
    <row r="981">
      <c r="A981" s="34" t="s">
        <v>285</v>
      </c>
      <c r="B981" s="34" t="s">
        <v>286</v>
      </c>
      <c r="C981" s="37">
        <v>45947.70217592592</v>
      </c>
      <c r="D981" s="36">
        <v>1200.0</v>
      </c>
    </row>
    <row r="982">
      <c r="A982" s="34" t="s">
        <v>474</v>
      </c>
      <c r="B982" s="34" t="s">
        <v>475</v>
      </c>
      <c r="C982" s="37">
        <v>45940.82931712963</v>
      </c>
      <c r="D982" s="36">
        <v>1500.0</v>
      </c>
    </row>
    <row r="983">
      <c r="A983" s="34" t="s">
        <v>534</v>
      </c>
      <c r="B983" s="34" t="s">
        <v>535</v>
      </c>
      <c r="C983" s="37">
        <v>45938.63568287037</v>
      </c>
      <c r="D983" s="36">
        <v>1500.0</v>
      </c>
    </row>
    <row r="984">
      <c r="A984" s="34" t="s">
        <v>492</v>
      </c>
      <c r="B984" s="34" t="s">
        <v>493</v>
      </c>
      <c r="C984" s="37">
        <v>45948.76246527778</v>
      </c>
      <c r="D984" s="36">
        <v>1500.0</v>
      </c>
    </row>
    <row r="985">
      <c r="A985" s="34" t="s">
        <v>277</v>
      </c>
      <c r="B985" s="34" t="s">
        <v>278</v>
      </c>
      <c r="C985" s="37">
        <v>45944.6862962963</v>
      </c>
      <c r="D985" s="36">
        <v>1200.0</v>
      </c>
    </row>
    <row r="986">
      <c r="A986" s="34" t="s">
        <v>602</v>
      </c>
      <c r="B986" s="34" t="s">
        <v>603</v>
      </c>
      <c r="C986" s="37">
        <v>45949.53450231482</v>
      </c>
      <c r="D986" s="36">
        <v>3000.0</v>
      </c>
    </row>
    <row r="987">
      <c r="A987" s="34" t="s">
        <v>291</v>
      </c>
      <c r="B987" s="34" t="s">
        <v>292</v>
      </c>
      <c r="C987" s="37">
        <v>45949.6803125</v>
      </c>
      <c r="D987" s="36">
        <v>1200.0</v>
      </c>
    </row>
    <row r="988">
      <c r="A988" s="34" t="s">
        <v>293</v>
      </c>
      <c r="B988" s="34" t="s">
        <v>294</v>
      </c>
      <c r="C988" s="37">
        <v>45949.731354166666</v>
      </c>
      <c r="D988" s="36">
        <v>1200.0</v>
      </c>
    </row>
    <row r="989">
      <c r="A989" s="34" t="s">
        <v>552</v>
      </c>
      <c r="B989" s="34" t="s">
        <v>553</v>
      </c>
      <c r="C989" s="37">
        <v>45949.770891203705</v>
      </c>
      <c r="D989" s="36">
        <v>1500.0</v>
      </c>
    </row>
    <row r="990">
      <c r="A990" s="34" t="s">
        <v>416</v>
      </c>
      <c r="B990" s="34" t="s">
        <v>417</v>
      </c>
      <c r="C990" s="37">
        <v>45949.84936342593</v>
      </c>
      <c r="D990" s="36">
        <v>1200.0</v>
      </c>
    </row>
    <row r="991">
      <c r="A991" s="34" t="s">
        <v>117</v>
      </c>
      <c r="B991" s="34" t="s">
        <v>118</v>
      </c>
      <c r="C991" s="37">
        <v>45950.59104166667</v>
      </c>
      <c r="D991" s="36">
        <v>1200.0</v>
      </c>
    </row>
    <row r="992">
      <c r="A992" s="34" t="s">
        <v>418</v>
      </c>
      <c r="B992" s="34" t="s">
        <v>419</v>
      </c>
      <c r="C992" s="37">
        <v>45950.705775462964</v>
      </c>
      <c r="D992" s="36">
        <v>1500.0</v>
      </c>
    </row>
    <row r="993">
      <c r="A993" s="34" t="s">
        <v>420</v>
      </c>
      <c r="B993" s="34" t="s">
        <v>421</v>
      </c>
      <c r="C993" s="37">
        <v>45950.72769675926</v>
      </c>
      <c r="D993" s="36">
        <v>1500.0</v>
      </c>
    </row>
    <row r="994">
      <c r="A994" s="34" t="s">
        <v>604</v>
      </c>
      <c r="B994" s="34" t="s">
        <v>605</v>
      </c>
      <c r="C994" s="37">
        <v>45950.76893518519</v>
      </c>
      <c r="D994" s="36">
        <v>3000.0</v>
      </c>
    </row>
    <row r="995">
      <c r="A995" s="34" t="s">
        <v>554</v>
      </c>
      <c r="B995" s="34" t="s">
        <v>555</v>
      </c>
      <c r="C995" s="37">
        <v>45950.81133101852</v>
      </c>
      <c r="D995" s="36">
        <v>2250.0</v>
      </c>
    </row>
    <row r="996">
      <c r="A996" s="34" t="s">
        <v>424</v>
      </c>
      <c r="B996" s="34" t="s">
        <v>425</v>
      </c>
      <c r="C996" s="37">
        <v>45951.48806712963</v>
      </c>
      <c r="D996" s="36">
        <v>1500.0</v>
      </c>
    </row>
    <row r="997">
      <c r="A997" s="34"/>
      <c r="B997" s="34"/>
      <c r="C997" s="37">
        <v>45951.57347222222</v>
      </c>
      <c r="D997" s="36">
        <v>6000.0</v>
      </c>
    </row>
    <row r="998">
      <c r="A998" s="34" t="s">
        <v>556</v>
      </c>
      <c r="B998" s="34" t="s">
        <v>557</v>
      </c>
      <c r="C998" s="37">
        <v>45951.63599537037</v>
      </c>
      <c r="D998" s="36">
        <v>1500.0</v>
      </c>
    </row>
    <row r="999">
      <c r="A999" s="34" t="s">
        <v>606</v>
      </c>
      <c r="B999" s="34" t="s">
        <v>607</v>
      </c>
      <c r="C999" s="37">
        <v>45951.69398148148</v>
      </c>
      <c r="D999" s="36">
        <v>500.0</v>
      </c>
    </row>
    <row r="1000">
      <c r="A1000" s="34" t="s">
        <v>348</v>
      </c>
      <c r="B1000" s="34" t="s">
        <v>349</v>
      </c>
      <c r="C1000" s="37">
        <v>45937.72010416666</v>
      </c>
      <c r="D1000" s="36">
        <v>1200.0</v>
      </c>
    </row>
    <row r="1001">
      <c r="A1001" s="34" t="s">
        <v>295</v>
      </c>
      <c r="B1001" s="34" t="s">
        <v>296</v>
      </c>
      <c r="C1001" s="37">
        <v>45951.72724537037</v>
      </c>
      <c r="D1001" s="36">
        <v>1200.0</v>
      </c>
    </row>
    <row r="1002">
      <c r="A1002" s="34" t="s">
        <v>608</v>
      </c>
      <c r="B1002" s="34" t="s">
        <v>609</v>
      </c>
      <c r="C1002" s="37">
        <v>45951.78412037037</v>
      </c>
      <c r="D1002" s="36">
        <v>5.0</v>
      </c>
    </row>
    <row r="1003">
      <c r="A1003" s="34" t="s">
        <v>606</v>
      </c>
      <c r="B1003" s="34" t="s">
        <v>607</v>
      </c>
      <c r="C1003" s="37">
        <v>45952.64072916667</v>
      </c>
      <c r="D1003" s="36">
        <v>2500.0</v>
      </c>
    </row>
    <row r="1004">
      <c r="A1004" s="34" t="s">
        <v>610</v>
      </c>
      <c r="B1004" s="34" t="s">
        <v>611</v>
      </c>
      <c r="C1004" s="37">
        <v>45952.657638888886</v>
      </c>
      <c r="D1004" s="36">
        <v>500.0</v>
      </c>
    </row>
    <row r="1005">
      <c r="A1005" s="34" t="s">
        <v>612</v>
      </c>
      <c r="B1005" s="34" t="s">
        <v>613</v>
      </c>
      <c r="C1005" s="37">
        <v>45952.70302083333</v>
      </c>
      <c r="D1005" s="36">
        <v>3000.0</v>
      </c>
    </row>
    <row r="1006">
      <c r="A1006" s="34" t="s">
        <v>496</v>
      </c>
      <c r="B1006" s="34" t="s">
        <v>497</v>
      </c>
      <c r="C1006" s="37">
        <v>45952.71958333333</v>
      </c>
      <c r="D1006" s="36">
        <v>1500.0</v>
      </c>
    </row>
    <row r="1007">
      <c r="A1007" s="34" t="s">
        <v>558</v>
      </c>
      <c r="B1007" s="34" t="s">
        <v>559</v>
      </c>
      <c r="C1007" s="37">
        <v>45952.77563657407</v>
      </c>
      <c r="D1007" s="36">
        <v>1500.0</v>
      </c>
    </row>
    <row r="1008">
      <c r="A1008" s="34" t="s">
        <v>430</v>
      </c>
      <c r="B1008" s="34" t="s">
        <v>431</v>
      </c>
      <c r="C1008" s="37">
        <v>45952.828668981485</v>
      </c>
      <c r="D1008" s="36">
        <v>1500.0</v>
      </c>
    </row>
    <row r="1009">
      <c r="A1009" s="34" t="s">
        <v>548</v>
      </c>
      <c r="B1009" s="34" t="s">
        <v>549</v>
      </c>
      <c r="C1009" s="37">
        <v>45947.80547453704</v>
      </c>
      <c r="D1009" s="36">
        <v>1500.0</v>
      </c>
    </row>
    <row r="1010">
      <c r="A1010" s="34" t="s">
        <v>608</v>
      </c>
      <c r="B1010" s="34" t="s">
        <v>609</v>
      </c>
      <c r="C1010" s="37">
        <v>45953.23174768518</v>
      </c>
      <c r="D1010" s="36">
        <v>3000.0</v>
      </c>
    </row>
    <row r="1011">
      <c r="A1011" s="34" t="s">
        <v>426</v>
      </c>
      <c r="B1011" s="34" t="s">
        <v>427</v>
      </c>
      <c r="C1011" s="37">
        <v>45951.61614583333</v>
      </c>
      <c r="D1011" s="36">
        <v>1500.0</v>
      </c>
    </row>
    <row r="1012">
      <c r="A1012" s="34" t="s">
        <v>304</v>
      </c>
      <c r="B1012" s="34" t="s">
        <v>305</v>
      </c>
      <c r="C1012" s="37">
        <v>45954.84947916667</v>
      </c>
      <c r="D1012" s="36">
        <v>400.0</v>
      </c>
    </row>
    <row r="1013">
      <c r="A1013" s="34" t="s">
        <v>428</v>
      </c>
      <c r="B1013" s="34" t="s">
        <v>429</v>
      </c>
      <c r="C1013" s="37">
        <v>45952.80962962963</v>
      </c>
      <c r="D1013" s="36">
        <v>1500.0</v>
      </c>
    </row>
    <row r="1014">
      <c r="A1014" s="34" t="s">
        <v>614</v>
      </c>
      <c r="B1014" s="34" t="s">
        <v>615</v>
      </c>
      <c r="C1014" s="37">
        <v>45955.44152777778</v>
      </c>
      <c r="D1014" s="36">
        <v>700.0</v>
      </c>
    </row>
    <row r="1015">
      <c r="A1015" s="34"/>
      <c r="B1015" s="34"/>
      <c r="C1015" s="37">
        <v>45955.441655092596</v>
      </c>
      <c r="D1015" s="36">
        <v>200.0</v>
      </c>
    </row>
    <row r="1016">
      <c r="A1016" s="34" t="s">
        <v>373</v>
      </c>
      <c r="B1016" s="34" t="s">
        <v>374</v>
      </c>
      <c r="C1016" s="37">
        <v>45955.77125</v>
      </c>
      <c r="D1016" s="36">
        <v>1200.0</v>
      </c>
    </row>
    <row r="1017">
      <c r="A1017" s="34"/>
      <c r="B1017" s="34"/>
      <c r="C1017" s="37">
        <v>45956.213900462964</v>
      </c>
      <c r="D1017" s="36">
        <v>199.0</v>
      </c>
    </row>
    <row r="1018">
      <c r="A1018" s="34"/>
      <c r="B1018" s="34"/>
      <c r="C1018" s="37">
        <v>45956.683275462965</v>
      </c>
      <c r="D1018" s="36">
        <v>9000.0</v>
      </c>
    </row>
    <row r="1019">
      <c r="A1019" s="34" t="s">
        <v>302</v>
      </c>
      <c r="B1019" s="34" t="s">
        <v>303</v>
      </c>
      <c r="C1019" s="37">
        <v>45957.04498842593</v>
      </c>
      <c r="D1019" s="36">
        <v>1200.0</v>
      </c>
    </row>
    <row r="1020">
      <c r="A1020" s="34" t="s">
        <v>616</v>
      </c>
      <c r="B1020" s="34" t="s">
        <v>617</v>
      </c>
      <c r="C1020" s="37">
        <v>45957.68103009259</v>
      </c>
      <c r="D1020" s="36">
        <v>3000.0</v>
      </c>
    </row>
    <row r="1021">
      <c r="A1021" s="34" t="s">
        <v>618</v>
      </c>
      <c r="B1021" s="34" t="s">
        <v>619</v>
      </c>
      <c r="C1021" s="37">
        <v>45957.789131944446</v>
      </c>
      <c r="D1021" s="36">
        <v>3000.0</v>
      </c>
    </row>
    <row r="1022">
      <c r="A1022" s="34" t="s">
        <v>620</v>
      </c>
      <c r="B1022" s="34" t="s">
        <v>621</v>
      </c>
      <c r="C1022" s="37">
        <v>45958.75335648148</v>
      </c>
      <c r="D1022" s="36">
        <v>3000.0</v>
      </c>
    </row>
    <row r="1023">
      <c r="A1023" s="34" t="s">
        <v>562</v>
      </c>
      <c r="B1023" s="34" t="s">
        <v>563</v>
      </c>
      <c r="C1023" s="37">
        <v>45958.75341435185</v>
      </c>
      <c r="D1023" s="36">
        <v>1500.0</v>
      </c>
    </row>
    <row r="1024">
      <c r="A1024" s="34" t="s">
        <v>434</v>
      </c>
      <c r="B1024" s="34" t="s">
        <v>435</v>
      </c>
      <c r="C1024" s="37">
        <v>45958.79744212963</v>
      </c>
      <c r="D1024" s="36">
        <v>1500.0</v>
      </c>
    </row>
    <row r="1025">
      <c r="A1025" s="34" t="s">
        <v>300</v>
      </c>
      <c r="B1025" s="34" t="s">
        <v>301</v>
      </c>
      <c r="C1025" s="37">
        <v>45956.49886574074</v>
      </c>
      <c r="D1025" s="36">
        <v>1200.0</v>
      </c>
    </row>
    <row r="1026">
      <c r="A1026" s="34" t="s">
        <v>141</v>
      </c>
      <c r="B1026" s="34" t="s">
        <v>142</v>
      </c>
      <c r="C1026" s="37">
        <v>45959.42091435185</v>
      </c>
      <c r="D1026" s="36">
        <v>1000.0</v>
      </c>
    </row>
    <row r="1027">
      <c r="A1027" s="34" t="s">
        <v>450</v>
      </c>
      <c r="B1027" s="34" t="s">
        <v>451</v>
      </c>
      <c r="C1027" s="37">
        <v>45959.9140162037</v>
      </c>
      <c r="D1027" s="36">
        <v>1500.0</v>
      </c>
    </row>
    <row r="1028">
      <c r="A1028" s="34" t="s">
        <v>482</v>
      </c>
      <c r="B1028" s="34" t="s">
        <v>483</v>
      </c>
      <c r="C1028" s="37">
        <v>45960.38383101852</v>
      </c>
      <c r="D1028" s="36">
        <v>1500.0</v>
      </c>
    </row>
    <row r="1029">
      <c r="A1029" s="34" t="s">
        <v>508</v>
      </c>
      <c r="B1029" s="34" t="s">
        <v>509</v>
      </c>
      <c r="C1029" s="37">
        <v>45960.57666666667</v>
      </c>
      <c r="D1029" s="36">
        <v>1500.0</v>
      </c>
    </row>
    <row r="1030">
      <c r="A1030" s="34" t="s">
        <v>622</v>
      </c>
      <c r="B1030" s="34" t="s">
        <v>566</v>
      </c>
      <c r="C1030" s="37">
        <v>45960.76216435185</v>
      </c>
      <c r="D1030" s="36">
        <v>1500.0</v>
      </c>
    </row>
    <row r="1031">
      <c r="A1031" s="34" t="s">
        <v>623</v>
      </c>
      <c r="B1031" s="34" t="s">
        <v>624</v>
      </c>
      <c r="C1031" s="37">
        <v>45960.83122685185</v>
      </c>
      <c r="D1031" s="36">
        <v>3000.0</v>
      </c>
    </row>
    <row r="1032">
      <c r="A1032" s="34" t="s">
        <v>436</v>
      </c>
      <c r="B1032" s="34" t="s">
        <v>437</v>
      </c>
      <c r="C1032" s="37">
        <v>45960.83262731481</v>
      </c>
      <c r="D1032" s="36">
        <v>1500.0</v>
      </c>
    </row>
    <row r="1033">
      <c r="A1033" s="34" t="s">
        <v>332</v>
      </c>
      <c r="B1033" s="34" t="s">
        <v>333</v>
      </c>
      <c r="C1033" s="37">
        <v>45959.46260416666</v>
      </c>
      <c r="D1033" s="36">
        <v>1200.0</v>
      </c>
    </row>
    <row r="1034">
      <c r="A1034" s="34"/>
      <c r="B1034" s="34" t="s">
        <v>389</v>
      </c>
      <c r="C1034" s="37">
        <v>45960.8421875</v>
      </c>
      <c r="D1034" s="36">
        <v>1500.0</v>
      </c>
    </row>
    <row r="1035">
      <c r="A1035" s="34" t="s">
        <v>387</v>
      </c>
      <c r="B1035" s="34" t="s">
        <v>388</v>
      </c>
      <c r="C1035" s="37">
        <v>45960.808912037035</v>
      </c>
      <c r="D1035" s="36">
        <v>1500.0</v>
      </c>
    </row>
    <row r="1036">
      <c r="A1036" s="34" t="s">
        <v>163</v>
      </c>
      <c r="B1036" s="34" t="s">
        <v>164</v>
      </c>
      <c r="C1036" s="37">
        <v>45960.047326388885</v>
      </c>
      <c r="D1036" s="36">
        <v>1200.0</v>
      </c>
    </row>
    <row r="1037">
      <c r="A1037" s="34" t="s">
        <v>625</v>
      </c>
      <c r="B1037" s="34" t="s">
        <v>626</v>
      </c>
      <c r="C1037" s="37">
        <v>45959.843680555554</v>
      </c>
      <c r="D1037" s="36">
        <v>800.0</v>
      </c>
    </row>
    <row r="1038">
      <c r="A1038" s="34" t="s">
        <v>506</v>
      </c>
      <c r="B1038" s="34" t="s">
        <v>507</v>
      </c>
      <c r="C1038" s="37">
        <v>45959.728310185186</v>
      </c>
      <c r="D1038" s="36">
        <v>1500.0</v>
      </c>
    </row>
    <row r="1039">
      <c r="A1039" s="34" t="s">
        <v>375</v>
      </c>
      <c r="B1039" s="34" t="s">
        <v>376</v>
      </c>
      <c r="C1039" s="37">
        <v>45955.78766203704</v>
      </c>
      <c r="D1039" s="36">
        <v>1500.0</v>
      </c>
    </row>
    <row r="1040">
      <c r="A1040" s="34" t="s">
        <v>422</v>
      </c>
      <c r="B1040" s="34" t="s">
        <v>423</v>
      </c>
      <c r="C1040" s="37">
        <v>45950.808599537035</v>
      </c>
      <c r="D1040" s="36">
        <v>1500.0</v>
      </c>
    </row>
    <row r="1041">
      <c r="A1041" s="34" t="s">
        <v>526</v>
      </c>
      <c r="B1041" s="34" t="s">
        <v>527</v>
      </c>
      <c r="C1041" s="37">
        <v>45961.23229166667</v>
      </c>
      <c r="D1041" s="36">
        <v>1500.0</v>
      </c>
    </row>
    <row r="1042">
      <c r="A1042" s="34" t="s">
        <v>600</v>
      </c>
      <c r="B1042" s="34" t="s">
        <v>601</v>
      </c>
      <c r="C1042" s="37">
        <v>45961.235185185185</v>
      </c>
      <c r="D1042" s="36">
        <v>4500.0</v>
      </c>
    </row>
    <row r="1043">
      <c r="A1043" s="34" t="s">
        <v>320</v>
      </c>
      <c r="B1043" s="34" t="s">
        <v>321</v>
      </c>
      <c r="C1043" s="37">
        <v>45961.23637731482</v>
      </c>
      <c r="D1043" s="36">
        <v>2400.0</v>
      </c>
    </row>
    <row r="1044">
      <c r="A1044" s="34" t="s">
        <v>560</v>
      </c>
      <c r="B1044" s="34" t="s">
        <v>561</v>
      </c>
      <c r="C1044" s="37">
        <v>45955.65802083333</v>
      </c>
      <c r="D1044" s="36">
        <v>1500.0</v>
      </c>
    </row>
    <row r="1045">
      <c r="A1045" s="34"/>
      <c r="B1045" s="34"/>
      <c r="C1045" s="37"/>
      <c r="D1045" s="36"/>
    </row>
    <row r="1046">
      <c r="A1046" s="34" t="s">
        <v>287</v>
      </c>
      <c r="B1046" s="34" t="s">
        <v>288</v>
      </c>
      <c r="C1046" s="37">
        <v>45948.69002314815</v>
      </c>
      <c r="D1046" s="36">
        <v>1200.0</v>
      </c>
    </row>
    <row r="1047">
      <c r="A1047" s="34" t="s">
        <v>627</v>
      </c>
      <c r="B1047" s="34" t="s">
        <v>628</v>
      </c>
      <c r="C1047" s="37">
        <v>45961.585277777776</v>
      </c>
      <c r="D1047" s="36">
        <v>3000.0</v>
      </c>
    </row>
    <row r="1048">
      <c r="A1048" s="34" t="s">
        <v>510</v>
      </c>
      <c r="B1048" s="34" t="s">
        <v>511</v>
      </c>
      <c r="C1048" s="37">
        <v>45961.608090277776</v>
      </c>
      <c r="D1048" s="36">
        <v>1500.0</v>
      </c>
    </row>
    <row r="1049">
      <c r="A1049" s="34"/>
      <c r="B1049" s="34"/>
      <c r="C1049" s="37">
        <v>45961.63099537037</v>
      </c>
      <c r="D1049" s="36">
        <v>4000.0</v>
      </c>
    </row>
    <row r="1050">
      <c r="A1050" s="34" t="s">
        <v>629</v>
      </c>
      <c r="B1050" s="34" t="s">
        <v>630</v>
      </c>
      <c r="C1050" s="37">
        <v>45961.694016203706</v>
      </c>
      <c r="D1050" s="36">
        <v>3000.0</v>
      </c>
    </row>
    <row r="1051">
      <c r="A1051" s="34" t="s">
        <v>516</v>
      </c>
      <c r="B1051" s="34" t="s">
        <v>517</v>
      </c>
      <c r="C1051" s="37">
        <v>45961.703206018516</v>
      </c>
      <c r="D1051" s="36">
        <v>1500.0</v>
      </c>
    </row>
    <row r="1052">
      <c r="A1052" s="34" t="s">
        <v>438</v>
      </c>
      <c r="B1052" s="34" t="s">
        <v>439</v>
      </c>
      <c r="C1052" s="37">
        <v>45961.716469907406</v>
      </c>
      <c r="D1052" s="36">
        <v>1500.0</v>
      </c>
    </row>
    <row r="1053">
      <c r="A1053" s="34" t="s">
        <v>631</v>
      </c>
      <c r="B1053" s="34" t="s">
        <v>632</v>
      </c>
      <c r="C1053" s="37">
        <v>45961.720729166664</v>
      </c>
      <c r="D1053" s="36">
        <v>3000.0</v>
      </c>
    </row>
    <row r="1054">
      <c r="A1054" s="34"/>
      <c r="B1054" s="34"/>
      <c r="C1054" s="37">
        <v>45961.728217592594</v>
      </c>
      <c r="D1054" s="36">
        <v>500.0</v>
      </c>
    </row>
    <row r="1055">
      <c r="A1055" s="34" t="s">
        <v>633</v>
      </c>
      <c r="B1055" s="34" t="s">
        <v>634</v>
      </c>
      <c r="C1055" s="37">
        <v>45961.750497685185</v>
      </c>
      <c r="D1055" s="36">
        <v>3000.0</v>
      </c>
    </row>
    <row r="1056">
      <c r="A1056" s="34" t="s">
        <v>635</v>
      </c>
      <c r="B1056" s="34" t="s">
        <v>636</v>
      </c>
      <c r="C1056" s="37">
        <v>45961.80238425926</v>
      </c>
      <c r="D1056" s="36">
        <v>2500.0</v>
      </c>
    </row>
    <row r="1057">
      <c r="A1057" s="34" t="s">
        <v>318</v>
      </c>
      <c r="B1057" s="34" t="s">
        <v>319</v>
      </c>
      <c r="C1057" s="37">
        <v>45962.06255787037</v>
      </c>
      <c r="D1057" s="36">
        <v>1500.0</v>
      </c>
    </row>
    <row r="1058">
      <c r="A1058" s="34" t="s">
        <v>442</v>
      </c>
      <c r="B1058" s="34" t="s">
        <v>443</v>
      </c>
      <c r="C1058" s="37">
        <v>45962.11216435185</v>
      </c>
      <c r="D1058" s="36">
        <v>1200.0</v>
      </c>
    </row>
    <row r="1059">
      <c r="A1059" s="34" t="s">
        <v>322</v>
      </c>
      <c r="B1059" s="34" t="s">
        <v>323</v>
      </c>
      <c r="C1059" s="37">
        <v>45962.14013888889</v>
      </c>
      <c r="D1059" s="36">
        <v>1200.0</v>
      </c>
    </row>
    <row r="1060">
      <c r="A1060" s="34" t="s">
        <v>157</v>
      </c>
      <c r="B1060" s="34" t="s">
        <v>158</v>
      </c>
      <c r="C1060" s="37">
        <v>45962.287152777775</v>
      </c>
      <c r="D1060" s="36">
        <v>1200.0</v>
      </c>
    </row>
    <row r="1061">
      <c r="A1061" s="34" t="s">
        <v>594</v>
      </c>
      <c r="B1061" s="34" t="s">
        <v>595</v>
      </c>
      <c r="C1061" s="37">
        <v>45962.59168981481</v>
      </c>
      <c r="D1061" s="36">
        <v>1500.0</v>
      </c>
    </row>
    <row r="1062">
      <c r="A1062" s="34" t="s">
        <v>589</v>
      </c>
      <c r="B1062" s="34" t="s">
        <v>590</v>
      </c>
      <c r="C1062" s="37">
        <v>45962.594513888886</v>
      </c>
      <c r="D1062" s="36">
        <v>1500.0</v>
      </c>
    </row>
    <row r="1063">
      <c r="A1063" s="34" t="s">
        <v>567</v>
      </c>
      <c r="B1063" s="34" t="s">
        <v>568</v>
      </c>
      <c r="C1063" s="37">
        <v>45962.607395833336</v>
      </c>
      <c r="D1063" s="36">
        <v>1500.0</v>
      </c>
    </row>
    <row r="1064">
      <c r="A1064" s="34" t="s">
        <v>446</v>
      </c>
      <c r="B1064" s="34" t="s">
        <v>447</v>
      </c>
      <c r="C1064" s="37">
        <v>45962.630902777775</v>
      </c>
      <c r="D1064" s="36">
        <v>1500.0</v>
      </c>
    </row>
    <row r="1065">
      <c r="A1065" s="34" t="s">
        <v>221</v>
      </c>
      <c r="B1065" s="34" t="s">
        <v>222</v>
      </c>
      <c r="C1065" s="37">
        <v>45962.636412037034</v>
      </c>
      <c r="D1065" s="36">
        <v>999.0</v>
      </c>
    </row>
    <row r="1066">
      <c r="A1066" s="34" t="s">
        <v>520</v>
      </c>
      <c r="B1066" s="34" t="s">
        <v>521</v>
      </c>
      <c r="C1066" s="37">
        <v>45962.684699074074</v>
      </c>
      <c r="D1066" s="36">
        <v>2250.0</v>
      </c>
    </row>
    <row r="1067">
      <c r="A1067" s="34" t="s">
        <v>213</v>
      </c>
      <c r="B1067" s="34" t="s">
        <v>214</v>
      </c>
      <c r="C1067" s="37">
        <v>45962.721284722225</v>
      </c>
      <c r="D1067" s="36">
        <v>1000.0</v>
      </c>
    </row>
    <row r="1068">
      <c r="A1068" s="34" t="s">
        <v>211</v>
      </c>
      <c r="B1068" s="34" t="s">
        <v>212</v>
      </c>
      <c r="C1068" s="37">
        <v>45962.74550925926</v>
      </c>
      <c r="D1068" s="36">
        <v>1200.0</v>
      </c>
    </row>
    <row r="1069">
      <c r="A1069" s="34"/>
      <c r="B1069" s="34" t="s">
        <v>396</v>
      </c>
      <c r="C1069" s="37">
        <v>45962.759884259256</v>
      </c>
      <c r="D1069" s="36">
        <v>1500.0</v>
      </c>
    </row>
    <row r="1070">
      <c r="A1070" s="34" t="s">
        <v>550</v>
      </c>
      <c r="B1070" s="34" t="s">
        <v>551</v>
      </c>
      <c r="C1070" s="37">
        <v>45948.78266203704</v>
      </c>
      <c r="D1070" s="36">
        <v>1500.0</v>
      </c>
    </row>
    <row r="1071">
      <c r="A1071" s="34" t="s">
        <v>452</v>
      </c>
      <c r="B1071" s="34" t="s">
        <v>453</v>
      </c>
      <c r="C1071" s="37">
        <v>45962.89907407408</v>
      </c>
      <c r="D1071" s="36">
        <v>1500.0</v>
      </c>
    </row>
    <row r="1072">
      <c r="A1072" s="34" t="s">
        <v>70</v>
      </c>
      <c r="B1072" s="34" t="s">
        <v>71</v>
      </c>
      <c r="C1072" s="37">
        <v>45961.04665509259</v>
      </c>
      <c r="D1072" s="36">
        <v>1000.0</v>
      </c>
    </row>
    <row r="1073">
      <c r="A1073" s="34" t="s">
        <v>637</v>
      </c>
      <c r="B1073" s="34"/>
      <c r="C1073" s="37">
        <v>45963.397939814815</v>
      </c>
      <c r="D1073" s="36">
        <v>4500.0</v>
      </c>
    </row>
    <row r="1074">
      <c r="A1074" s="34"/>
      <c r="B1074" s="34"/>
      <c r="C1074" s="37">
        <v>45961.694016203706</v>
      </c>
      <c r="D1074" s="36">
        <v>3000.0</v>
      </c>
    </row>
    <row r="1075">
      <c r="A1075" s="34" t="s">
        <v>522</v>
      </c>
      <c r="B1075" s="34" t="s">
        <v>523</v>
      </c>
      <c r="C1075" s="37">
        <v>45963.689097222225</v>
      </c>
      <c r="D1075" s="36">
        <v>1200.0</v>
      </c>
    </row>
    <row r="1076">
      <c r="A1076" s="34" t="s">
        <v>638</v>
      </c>
      <c r="B1076" s="34" t="s">
        <v>639</v>
      </c>
      <c r="C1076" s="37">
        <v>45963.701516203706</v>
      </c>
      <c r="D1076" s="36">
        <v>4500.0</v>
      </c>
    </row>
    <row r="1077">
      <c r="A1077" s="34" t="s">
        <v>640</v>
      </c>
      <c r="B1077" s="34" t="s">
        <v>641</v>
      </c>
      <c r="C1077" s="37">
        <v>45963.720046296294</v>
      </c>
      <c r="D1077" s="36">
        <v>3000.0</v>
      </c>
    </row>
    <row r="1078">
      <c r="A1078" s="34" t="s">
        <v>524</v>
      </c>
      <c r="B1078" s="34" t="s">
        <v>525</v>
      </c>
      <c r="C1078" s="37">
        <v>45963.721296296295</v>
      </c>
      <c r="D1078" s="36">
        <v>1500.0</v>
      </c>
    </row>
    <row r="1079">
      <c r="A1079" s="34" t="s">
        <v>642</v>
      </c>
      <c r="B1079" s="34" t="s">
        <v>643</v>
      </c>
      <c r="C1079" s="37">
        <v>45963.75226851852</v>
      </c>
      <c r="D1079" s="36">
        <v>3000.0</v>
      </c>
    </row>
    <row r="1080">
      <c r="A1080" s="34" t="s">
        <v>397</v>
      </c>
      <c r="B1080" s="34" t="s">
        <v>398</v>
      </c>
      <c r="C1080" s="37">
        <v>45963.80434027778</v>
      </c>
      <c r="D1080" s="36">
        <v>1500.0</v>
      </c>
    </row>
    <row r="1081">
      <c r="A1081" s="34" t="s">
        <v>569</v>
      </c>
      <c r="B1081" s="34" t="s">
        <v>570</v>
      </c>
      <c r="C1081" s="37">
        <v>45963.849803240744</v>
      </c>
      <c r="D1081" s="36">
        <v>1500.0</v>
      </c>
    </row>
    <row r="1082">
      <c r="A1082" s="34" t="s">
        <v>454</v>
      </c>
      <c r="B1082" s="34" t="s">
        <v>455</v>
      </c>
      <c r="C1082" s="37">
        <v>45964.60084490741</v>
      </c>
      <c r="D1082" s="36">
        <v>1500.0</v>
      </c>
    </row>
    <row r="1083">
      <c r="A1083" s="34" t="s">
        <v>456</v>
      </c>
      <c r="B1083" s="34" t="s">
        <v>457</v>
      </c>
      <c r="C1083" s="37">
        <v>45964.85221064815</v>
      </c>
      <c r="D1083" s="36">
        <v>1500.0</v>
      </c>
    </row>
    <row r="1084">
      <c r="A1084" s="34" t="s">
        <v>66</v>
      </c>
      <c r="B1084" s="34" t="s">
        <v>258</v>
      </c>
      <c r="C1084" s="37">
        <v>45965.64733796296</v>
      </c>
      <c r="D1084" s="36">
        <v>1200.0</v>
      </c>
    </row>
    <row r="1085">
      <c r="A1085" s="34" t="s">
        <v>571</v>
      </c>
      <c r="B1085" s="34" t="s">
        <v>572</v>
      </c>
      <c r="C1085" s="37">
        <v>45965.67917824074</v>
      </c>
      <c r="D1085" s="36">
        <v>1500.0</v>
      </c>
    </row>
    <row r="1086">
      <c r="A1086" s="34" t="s">
        <v>259</v>
      </c>
      <c r="B1086" s="34" t="s">
        <v>260</v>
      </c>
      <c r="C1086" s="37">
        <v>45965.72148148148</v>
      </c>
      <c r="D1086" s="36">
        <v>1200.0</v>
      </c>
    </row>
    <row r="1087">
      <c r="A1087" s="34" t="s">
        <v>403</v>
      </c>
      <c r="B1087" s="34" t="s">
        <v>404</v>
      </c>
      <c r="C1087" s="37">
        <v>45965.79903935185</v>
      </c>
      <c r="D1087" s="36">
        <v>1500.0</v>
      </c>
    </row>
    <row r="1088">
      <c r="A1088" s="34" t="s">
        <v>644</v>
      </c>
      <c r="B1088" s="34" t="s">
        <v>645</v>
      </c>
      <c r="C1088" s="37">
        <v>45965.8202662037</v>
      </c>
      <c r="D1088" s="36">
        <v>3000.0</v>
      </c>
    </row>
    <row r="1089">
      <c r="A1089" s="34" t="s">
        <v>514</v>
      </c>
      <c r="B1089" s="34" t="s">
        <v>515</v>
      </c>
      <c r="C1089" s="37">
        <v>45961.688159722224</v>
      </c>
      <c r="D1089" s="36">
        <v>1500.0</v>
      </c>
    </row>
    <row r="1090">
      <c r="A1090" s="34" t="s">
        <v>573</v>
      </c>
      <c r="B1090" s="34" t="s">
        <v>574</v>
      </c>
      <c r="C1090" s="37">
        <v>45966.346712962964</v>
      </c>
      <c r="D1090" s="36">
        <v>1500.0</v>
      </c>
    </row>
    <row r="1091">
      <c r="A1091" s="34" t="s">
        <v>577</v>
      </c>
      <c r="B1091" s="34" t="s">
        <v>578</v>
      </c>
      <c r="C1091" s="37">
        <v>45966.637974537036</v>
      </c>
      <c r="D1091" s="36">
        <v>1500.0</v>
      </c>
    </row>
    <row r="1092">
      <c r="A1092" s="34" t="s">
        <v>530</v>
      </c>
      <c r="B1092" s="34" t="s">
        <v>531</v>
      </c>
      <c r="C1092" s="37">
        <v>45966.645</v>
      </c>
      <c r="D1092" s="36">
        <v>1500.0</v>
      </c>
    </row>
    <row r="1093">
      <c r="A1093" s="34" t="s">
        <v>263</v>
      </c>
      <c r="B1093" s="34" t="s">
        <v>264</v>
      </c>
      <c r="C1093" s="37">
        <v>45966.69664351852</v>
      </c>
      <c r="D1093" s="36">
        <v>1200.0</v>
      </c>
    </row>
    <row r="1094">
      <c r="A1094" s="34" t="s">
        <v>532</v>
      </c>
      <c r="B1094" s="34" t="s">
        <v>533</v>
      </c>
      <c r="C1094" s="37">
        <v>45966.763287037036</v>
      </c>
      <c r="D1094" s="36">
        <v>1500.0</v>
      </c>
    </row>
    <row r="1095">
      <c r="A1095" s="34" t="s">
        <v>464</v>
      </c>
      <c r="B1095" s="34" t="s">
        <v>465</v>
      </c>
      <c r="C1095" s="37">
        <v>45966.7968287037</v>
      </c>
      <c r="D1095" s="36">
        <v>1200.0</v>
      </c>
    </row>
    <row r="1096">
      <c r="A1096" s="34"/>
      <c r="B1096" s="34"/>
      <c r="C1096" s="37">
        <v>45966.92076388889</v>
      </c>
      <c r="D1096" s="36">
        <v>4500.0</v>
      </c>
    </row>
    <row r="1097">
      <c r="A1097" s="34" t="s">
        <v>646</v>
      </c>
      <c r="B1097" s="34" t="s">
        <v>647</v>
      </c>
      <c r="C1097" s="37">
        <v>45967.616006944445</v>
      </c>
      <c r="D1097" s="36">
        <v>3000.0</v>
      </c>
    </row>
    <row r="1098">
      <c r="A1098" s="34" t="s">
        <v>648</v>
      </c>
      <c r="B1098" s="34" t="s">
        <v>649</v>
      </c>
      <c r="C1098" s="37">
        <v>45967.74030092593</v>
      </c>
      <c r="D1098" s="36">
        <v>500.0</v>
      </c>
    </row>
    <row r="1099">
      <c r="A1099" s="34" t="s">
        <v>650</v>
      </c>
      <c r="B1099" s="34" t="s">
        <v>651</v>
      </c>
      <c r="C1099" s="37">
        <v>45967.766331018516</v>
      </c>
      <c r="D1099" s="36">
        <v>3000.0</v>
      </c>
    </row>
    <row r="1100">
      <c r="A1100" s="34" t="s">
        <v>652</v>
      </c>
      <c r="B1100" s="34" t="s">
        <v>653</v>
      </c>
      <c r="C1100" s="37">
        <v>45967.82858796296</v>
      </c>
      <c r="D1100" s="36">
        <v>1500.0</v>
      </c>
    </row>
    <row r="1101">
      <c r="A1101" s="34" t="s">
        <v>504</v>
      </c>
      <c r="B1101" s="34" t="s">
        <v>505</v>
      </c>
      <c r="C1101" s="37">
        <v>45959.65925925926</v>
      </c>
      <c r="D1101" s="36">
        <v>1500.0</v>
      </c>
    </row>
    <row r="1102">
      <c r="A1102" s="34" t="s">
        <v>579</v>
      </c>
      <c r="B1102" s="34" t="s">
        <v>580</v>
      </c>
      <c r="C1102" s="37">
        <v>45968.74484953703</v>
      </c>
      <c r="D1102" s="36">
        <v>1500.0</v>
      </c>
    </row>
    <row r="1103">
      <c r="A1103" s="34" t="s">
        <v>468</v>
      </c>
      <c r="B1103" s="34" t="s">
        <v>469</v>
      </c>
      <c r="C1103" s="37">
        <v>45968.76142361111</v>
      </c>
      <c r="D1103" s="36">
        <v>1500.0</v>
      </c>
    </row>
    <row r="1104">
      <c r="A1104" s="34" t="s">
        <v>528</v>
      </c>
      <c r="B1104" s="34" t="s">
        <v>529</v>
      </c>
      <c r="C1104" s="37">
        <v>45964.76831018519</v>
      </c>
      <c r="D1104" s="36">
        <v>1500.0</v>
      </c>
    </row>
    <row r="1105">
      <c r="A1105" s="34" t="s">
        <v>470</v>
      </c>
      <c r="B1105" s="34" t="s">
        <v>471</v>
      </c>
      <c r="C1105" s="37">
        <v>45969.64533564815</v>
      </c>
      <c r="D1105" s="36">
        <v>1500.0</v>
      </c>
    </row>
    <row r="1106">
      <c r="A1106" s="34" t="s">
        <v>536</v>
      </c>
      <c r="B1106" s="34" t="s">
        <v>537</v>
      </c>
      <c r="C1106" s="37">
        <v>45969.74392361111</v>
      </c>
      <c r="D1106" s="36">
        <v>1500.0</v>
      </c>
    </row>
    <row r="1107">
      <c r="A1107" s="34" t="s">
        <v>407</v>
      </c>
      <c r="B1107" s="34" t="s">
        <v>408</v>
      </c>
      <c r="C1107" s="37">
        <v>45969.76137731481</v>
      </c>
      <c r="D1107" s="36">
        <v>1500.0</v>
      </c>
    </row>
    <row r="1108">
      <c r="A1108" s="34"/>
      <c r="B1108" s="34"/>
      <c r="C1108" s="37">
        <v>45970.54856481482</v>
      </c>
      <c r="D1108" s="36">
        <v>4500.0</v>
      </c>
    </row>
    <row r="1109">
      <c r="A1109" s="34"/>
      <c r="B1109" s="34"/>
      <c r="C1109" s="37">
        <v>45970.59842592593</v>
      </c>
      <c r="D1109" s="36">
        <v>6000.0</v>
      </c>
    </row>
    <row r="1110">
      <c r="A1110" s="34" t="s">
        <v>583</v>
      </c>
      <c r="B1110" s="34" t="s">
        <v>584</v>
      </c>
      <c r="C1110" s="37">
        <v>45970.68016203704</v>
      </c>
      <c r="D1110" s="36">
        <v>1500.0</v>
      </c>
    </row>
    <row r="1111">
      <c r="A1111" s="34"/>
      <c r="B1111" s="34"/>
      <c r="C1111" s="37">
        <v>45970.71787037037</v>
      </c>
      <c r="D1111" s="36">
        <v>500.0</v>
      </c>
    </row>
    <row r="1112">
      <c r="A1112" s="34" t="s">
        <v>338</v>
      </c>
      <c r="B1112" s="34" t="s">
        <v>339</v>
      </c>
      <c r="C1112" s="37">
        <v>45967.67689814815</v>
      </c>
      <c r="D1112" s="36">
        <v>1200.0</v>
      </c>
    </row>
    <row r="1113">
      <c r="A1113" s="34"/>
      <c r="B1113" s="34"/>
      <c r="C1113" s="37"/>
      <c r="D1113" s="36"/>
    </row>
    <row r="1114">
      <c r="A1114" s="34"/>
      <c r="B1114" s="34"/>
      <c r="C1114" s="37"/>
      <c r="D1114" s="36"/>
    </row>
    <row r="1115">
      <c r="A1115" s="34"/>
      <c r="B1115" s="34"/>
      <c r="C1115" s="37">
        <v>45971.658738425926</v>
      </c>
      <c r="D1115" s="36">
        <v>4500.0</v>
      </c>
    </row>
    <row r="1116">
      <c r="A1116" s="34"/>
      <c r="B1116" s="34"/>
      <c r="C1116" s="37">
        <v>45971.76399305555</v>
      </c>
      <c r="D1116" s="36">
        <v>4500.0</v>
      </c>
    </row>
    <row r="1117">
      <c r="A1117" s="34"/>
      <c r="B1117" s="34"/>
      <c r="C1117" s="37">
        <v>45971.78928240741</v>
      </c>
      <c r="D1117" s="36">
        <v>9000.0</v>
      </c>
    </row>
    <row r="1118">
      <c r="A1118" s="34"/>
      <c r="B1118" s="34"/>
      <c r="C1118" s="37"/>
      <c r="D1118" s="36"/>
    </row>
    <row r="1119">
      <c r="A1119" s="34" t="s">
        <v>411</v>
      </c>
      <c r="B1119" s="34" t="s">
        <v>412</v>
      </c>
      <c r="C1119" s="37">
        <v>45972.56444444445</v>
      </c>
      <c r="D1119" s="36">
        <v>1500.0</v>
      </c>
    </row>
    <row r="1120">
      <c r="A1120" s="34" t="s">
        <v>654</v>
      </c>
      <c r="B1120" s="34" t="s">
        <v>655</v>
      </c>
      <c r="C1120" s="37">
        <v>45972.72729166667</v>
      </c>
      <c r="D1120" s="36">
        <v>1500.0</v>
      </c>
    </row>
    <row r="1121">
      <c r="A1121" s="34" t="s">
        <v>587</v>
      </c>
      <c r="B1121" s="34" t="s">
        <v>588</v>
      </c>
      <c r="C1121" s="37">
        <v>45972.74287037037</v>
      </c>
      <c r="D1121" s="36">
        <v>1500.0</v>
      </c>
    </row>
    <row r="1122">
      <c r="A1122" s="34" t="s">
        <v>581</v>
      </c>
      <c r="B1122" s="34" t="s">
        <v>582</v>
      </c>
      <c r="C1122" s="37">
        <v>45962.59363425926</v>
      </c>
      <c r="D1122" s="36">
        <v>750.0</v>
      </c>
    </row>
    <row r="1123">
      <c r="A1123" s="34" t="s">
        <v>32</v>
      </c>
      <c r="B1123" s="34" t="s">
        <v>656</v>
      </c>
      <c r="C1123" s="37">
        <v>45973.371724537035</v>
      </c>
      <c r="D1123" s="36">
        <v>1500.0</v>
      </c>
    </row>
    <row r="1124">
      <c r="A1124" s="34" t="s">
        <v>657</v>
      </c>
      <c r="B1124" s="34" t="s">
        <v>658</v>
      </c>
      <c r="C1124" s="37">
        <v>45973.72524305555</v>
      </c>
      <c r="D1124" s="36">
        <v>500.0</v>
      </c>
    </row>
    <row r="1125">
      <c r="A1125" s="34"/>
      <c r="B1125" s="34"/>
      <c r="C1125" s="37"/>
      <c r="D1125" s="36"/>
    </row>
    <row r="1126">
      <c r="A1126" s="34" t="s">
        <v>544</v>
      </c>
      <c r="B1126" s="34" t="s">
        <v>545</v>
      </c>
      <c r="C1126" s="37">
        <v>45973.75954861111</v>
      </c>
      <c r="D1126" s="36">
        <v>1500.0</v>
      </c>
    </row>
    <row r="1127">
      <c r="A1127" s="34"/>
      <c r="B1127" s="34"/>
      <c r="C1127" s="37">
        <v>45973.76835648148</v>
      </c>
      <c r="D1127" s="36">
        <v>265.0</v>
      </c>
    </row>
    <row r="1128">
      <c r="A1128" s="34"/>
      <c r="B1128" s="34"/>
      <c r="C1128" s="37">
        <v>45973.85189814815</v>
      </c>
      <c r="D1128" s="36">
        <v>6000.0</v>
      </c>
    </row>
    <row r="1129">
      <c r="A1129" s="34" t="s">
        <v>354</v>
      </c>
      <c r="B1129" s="34" t="s">
        <v>355</v>
      </c>
      <c r="C1129" s="37">
        <v>45971.511608796296</v>
      </c>
      <c r="D1129" s="36">
        <v>1200.0</v>
      </c>
    </row>
    <row r="1130">
      <c r="A1130" s="34" t="s">
        <v>591</v>
      </c>
      <c r="B1130" s="34" t="s">
        <v>592</v>
      </c>
      <c r="C1130" s="37">
        <v>45974.711851851855</v>
      </c>
      <c r="D1130" s="36">
        <v>1500.0</v>
      </c>
    </row>
    <row r="1131">
      <c r="A1131" s="34"/>
      <c r="B1131" s="34"/>
      <c r="C1131" s="37">
        <v>45974.724699074075</v>
      </c>
      <c r="D1131" s="36">
        <v>100.0</v>
      </c>
    </row>
    <row r="1132">
      <c r="A1132" s="34" t="s">
        <v>585</v>
      </c>
      <c r="B1132" s="34" t="s">
        <v>586</v>
      </c>
      <c r="C1132" s="37">
        <v>45972.59158564815</v>
      </c>
      <c r="D1132" s="36">
        <v>1500.0</v>
      </c>
    </row>
    <row r="1133">
      <c r="A1133" s="34" t="s">
        <v>534</v>
      </c>
      <c r="B1133" s="34" t="s">
        <v>535</v>
      </c>
      <c r="C1133" s="37">
        <v>45969.63590277778</v>
      </c>
      <c r="D1133" s="36">
        <v>1500.0</v>
      </c>
    </row>
    <row r="1134">
      <c r="A1134" s="34" t="s">
        <v>474</v>
      </c>
      <c r="B1134" s="34" t="s">
        <v>475</v>
      </c>
      <c r="C1134" s="37">
        <v>45971.827893518515</v>
      </c>
      <c r="D1134" s="36">
        <v>1500.0</v>
      </c>
    </row>
    <row r="1135">
      <c r="A1135" s="34"/>
      <c r="B1135" s="34"/>
      <c r="C1135" s="37">
        <v>45975.54555555555</v>
      </c>
      <c r="D1135" s="36">
        <v>9000.0</v>
      </c>
    </row>
    <row r="1136">
      <c r="A1136" s="34" t="s">
        <v>484</v>
      </c>
      <c r="B1136" s="34" t="s">
        <v>485</v>
      </c>
      <c r="C1136" s="37">
        <v>45975.706192129626</v>
      </c>
      <c r="D1136" s="36">
        <v>1500.0</v>
      </c>
    </row>
    <row r="1137">
      <c r="A1137" s="34" t="s">
        <v>413</v>
      </c>
      <c r="B1137" s="34" t="s">
        <v>414</v>
      </c>
      <c r="C1137" s="37">
        <v>45975.76113425926</v>
      </c>
      <c r="D1137" s="36">
        <v>1500.0</v>
      </c>
    </row>
    <row r="1138">
      <c r="A1138" s="34"/>
      <c r="B1138" s="34"/>
      <c r="C1138" s="37">
        <v>45975.80222222222</v>
      </c>
      <c r="D1138" s="36">
        <v>6000.0</v>
      </c>
    </row>
    <row r="1139">
      <c r="A1139" s="34"/>
      <c r="B1139" s="34"/>
      <c r="C1139" s="37"/>
      <c r="D1139" s="36"/>
    </row>
    <row r="1140">
      <c r="A1140" s="34" t="s">
        <v>596</v>
      </c>
      <c r="B1140" s="34" t="s">
        <v>597</v>
      </c>
      <c r="C1140" s="37">
        <v>45976.708020833335</v>
      </c>
      <c r="D1140" s="36">
        <v>1500.0</v>
      </c>
    </row>
    <row r="1141">
      <c r="A1141" s="34" t="s">
        <v>542</v>
      </c>
      <c r="B1141" s="34" t="s">
        <v>543</v>
      </c>
      <c r="C1141" s="37">
        <v>45971.81348379629</v>
      </c>
      <c r="D1141" s="36">
        <v>1500.0</v>
      </c>
    </row>
    <row r="1142">
      <c r="A1142" s="34" t="s">
        <v>581</v>
      </c>
      <c r="B1142" s="34" t="s">
        <v>582</v>
      </c>
      <c r="C1142" s="37">
        <v>45976.73824074074</v>
      </c>
      <c r="D1142" s="36">
        <v>1500.0</v>
      </c>
    </row>
    <row r="1143">
      <c r="A1143" s="34" t="s">
        <v>546</v>
      </c>
      <c r="B1143" s="34" t="s">
        <v>547</v>
      </c>
      <c r="C1143" s="37">
        <v>45976.80380787037</v>
      </c>
      <c r="D1143" s="36">
        <v>1500.0</v>
      </c>
    </row>
    <row r="1144">
      <c r="A1144" s="34"/>
      <c r="B1144" s="34"/>
      <c r="C1144" s="37">
        <v>45976.813113425924</v>
      </c>
      <c r="D1144" s="36">
        <v>9000.0</v>
      </c>
    </row>
    <row r="1145">
      <c r="A1145" s="34" t="s">
        <v>598</v>
      </c>
      <c r="B1145" s="34" t="s">
        <v>599</v>
      </c>
      <c r="C1145" s="37">
        <v>45976.831458333334</v>
      </c>
      <c r="D1145" s="36">
        <v>1500.0</v>
      </c>
    </row>
    <row r="1146">
      <c r="A1146" s="34"/>
      <c r="B1146" s="34" t="s">
        <v>369</v>
      </c>
      <c r="C1146" s="37">
        <v>45977.61275462963</v>
      </c>
      <c r="D1146" s="36">
        <v>1200.0</v>
      </c>
    </row>
    <row r="1147">
      <c r="A1147" s="34"/>
      <c r="B1147" s="34"/>
      <c r="C1147" s="37">
        <v>45977.72298611111</v>
      </c>
      <c r="D1147" s="36">
        <v>9000.0</v>
      </c>
    </row>
    <row r="1148">
      <c r="A1148" s="34"/>
      <c r="B1148" s="34"/>
      <c r="C1148" s="37">
        <v>45978.85934027778</v>
      </c>
      <c r="D1148" s="36">
        <v>500.0</v>
      </c>
    </row>
    <row r="1149">
      <c r="A1149" s="34"/>
      <c r="B1149" s="34"/>
      <c r="C1149" s="37">
        <v>45979.746782407405</v>
      </c>
      <c r="D1149" s="36">
        <v>500.0</v>
      </c>
    </row>
    <row r="1150">
      <c r="A1150" s="34" t="s">
        <v>492</v>
      </c>
      <c r="B1150" s="34" t="s">
        <v>493</v>
      </c>
      <c r="C1150" s="37">
        <v>45979.7625462963</v>
      </c>
      <c r="D1150" s="36">
        <v>1500.0</v>
      </c>
    </row>
    <row r="1151">
      <c r="A1151" s="34" t="s">
        <v>594</v>
      </c>
      <c r="B1151" s="34" t="s">
        <v>595</v>
      </c>
      <c r="C1151" s="37">
        <v>45975.68346064815</v>
      </c>
      <c r="D1151" s="36">
        <v>1500.0</v>
      </c>
    </row>
    <row r="1152">
      <c r="A1152" s="34" t="s">
        <v>659</v>
      </c>
      <c r="B1152" s="34" t="s">
        <v>660</v>
      </c>
      <c r="C1152" s="37">
        <v>45980.73232638889</v>
      </c>
      <c r="D1152" s="36">
        <v>500.0</v>
      </c>
    </row>
    <row r="1153">
      <c r="A1153" s="34" t="s">
        <v>661</v>
      </c>
      <c r="B1153" s="34" t="s">
        <v>662</v>
      </c>
      <c r="C1153" s="37">
        <v>45980.81482638889</v>
      </c>
      <c r="D1153" s="36">
        <v>500.0</v>
      </c>
    </row>
    <row r="1154">
      <c r="A1154" s="34" t="s">
        <v>416</v>
      </c>
      <c r="B1154" s="34" t="s">
        <v>417</v>
      </c>
      <c r="C1154" s="37">
        <v>45980.849641203706</v>
      </c>
      <c r="D1154" s="36">
        <v>1200.0</v>
      </c>
    </row>
    <row r="1155">
      <c r="A1155" s="34" t="s">
        <v>117</v>
      </c>
      <c r="B1155" s="34" t="s">
        <v>118</v>
      </c>
      <c r="C1155" s="37">
        <v>45981.59238425926</v>
      </c>
      <c r="D1155" s="36">
        <v>1200.0</v>
      </c>
    </row>
    <row r="1156">
      <c r="A1156" s="34" t="s">
        <v>663</v>
      </c>
      <c r="B1156" s="34" t="s">
        <v>664</v>
      </c>
      <c r="C1156" s="37">
        <v>45981.699375</v>
      </c>
      <c r="D1156" s="36">
        <v>2500.0</v>
      </c>
    </row>
    <row r="1157">
      <c r="A1157" s="34" t="s">
        <v>418</v>
      </c>
      <c r="B1157" s="34" t="s">
        <v>419</v>
      </c>
      <c r="C1157" s="37">
        <v>45981.707083333335</v>
      </c>
      <c r="D1157" s="36">
        <v>1500.0</v>
      </c>
    </row>
    <row r="1158">
      <c r="A1158" s="34" t="s">
        <v>665</v>
      </c>
      <c r="B1158" s="34" t="s">
        <v>666</v>
      </c>
      <c r="C1158" s="37">
        <v>45981.72592592592</v>
      </c>
      <c r="D1158" s="36">
        <v>100.0</v>
      </c>
    </row>
    <row r="1159">
      <c r="A1159" s="34" t="s">
        <v>554</v>
      </c>
      <c r="B1159" s="34" t="s">
        <v>555</v>
      </c>
      <c r="C1159" s="37">
        <v>45981.812256944446</v>
      </c>
      <c r="D1159" s="36">
        <v>2250.0</v>
      </c>
    </row>
    <row r="1160">
      <c r="A1160" s="34" t="s">
        <v>604</v>
      </c>
      <c r="B1160" s="34" t="s">
        <v>605</v>
      </c>
      <c r="C1160" s="37">
        <v>45981.81266203704</v>
      </c>
      <c r="D1160" s="36">
        <v>1500.0</v>
      </c>
    </row>
    <row r="1161">
      <c r="A1161" s="34" t="s">
        <v>424</v>
      </c>
      <c r="B1161" s="34" t="s">
        <v>425</v>
      </c>
      <c r="C1161" s="37">
        <v>45982.48856481481</v>
      </c>
      <c r="D1161" s="36">
        <v>1500.0</v>
      </c>
    </row>
    <row r="1162">
      <c r="A1162" s="34" t="s">
        <v>556</v>
      </c>
      <c r="B1162" s="34" t="s">
        <v>557</v>
      </c>
      <c r="C1162" s="37">
        <v>45982.63628472222</v>
      </c>
      <c r="D1162" s="36">
        <v>1500.0</v>
      </c>
    </row>
    <row r="1163">
      <c r="A1163" s="34" t="s">
        <v>295</v>
      </c>
      <c r="B1163" s="34" t="s">
        <v>296</v>
      </c>
      <c r="C1163" s="37">
        <v>45982.72724537037</v>
      </c>
      <c r="D1163" s="36">
        <v>1200.0</v>
      </c>
    </row>
    <row r="1164">
      <c r="A1164" s="34" t="s">
        <v>606</v>
      </c>
      <c r="B1164" s="34" t="s">
        <v>607</v>
      </c>
      <c r="C1164" s="37">
        <v>45982.7365162037</v>
      </c>
      <c r="D1164" s="36">
        <v>500.0</v>
      </c>
    </row>
    <row r="1165">
      <c r="A1165" s="34" t="s">
        <v>367</v>
      </c>
      <c r="B1165" s="34" t="s">
        <v>368</v>
      </c>
      <c r="C1165" s="37">
        <v>45976.885104166664</v>
      </c>
      <c r="D1165" s="36">
        <v>1200.0</v>
      </c>
    </row>
    <row r="1166">
      <c r="A1166" s="34" t="s">
        <v>420</v>
      </c>
      <c r="B1166" s="34" t="s">
        <v>421</v>
      </c>
      <c r="C1166" s="37">
        <v>45981.72813657407</v>
      </c>
      <c r="D1166" s="36">
        <v>1500.0</v>
      </c>
    </row>
    <row r="1167">
      <c r="A1167" s="34" t="s">
        <v>667</v>
      </c>
      <c r="B1167" s="34" t="s">
        <v>668</v>
      </c>
      <c r="C1167" s="37">
        <v>45983.63875</v>
      </c>
      <c r="D1167" s="36">
        <v>100.0</v>
      </c>
    </row>
    <row r="1168">
      <c r="A1168" s="34" t="s">
        <v>669</v>
      </c>
      <c r="B1168" s="34" t="s">
        <v>670</v>
      </c>
      <c r="C1168" s="37">
        <v>45983.66576388889</v>
      </c>
      <c r="D1168" s="36">
        <v>3000.0</v>
      </c>
    </row>
    <row r="1169">
      <c r="A1169" s="34" t="s">
        <v>558</v>
      </c>
      <c r="B1169" s="34" t="s">
        <v>559</v>
      </c>
      <c r="C1169" s="37">
        <v>45983.77532407407</v>
      </c>
      <c r="D1169" s="36">
        <v>1500.0</v>
      </c>
    </row>
    <row r="1170">
      <c r="A1170" s="34" t="s">
        <v>430</v>
      </c>
      <c r="B1170" s="34" t="s">
        <v>431</v>
      </c>
      <c r="C1170" s="37">
        <v>45983.82990740741</v>
      </c>
      <c r="D1170" s="36">
        <v>1500.0</v>
      </c>
    </row>
    <row r="1171">
      <c r="A1171" s="34" t="s">
        <v>589</v>
      </c>
      <c r="B1171" s="34" t="s">
        <v>590</v>
      </c>
      <c r="C1171" s="37">
        <v>45973.74668981481</v>
      </c>
      <c r="D1171" s="36">
        <v>1500.0</v>
      </c>
    </row>
    <row r="1172">
      <c r="A1172" s="34"/>
      <c r="B1172" s="34"/>
      <c r="C1172" s="37">
        <v>45984.769375</v>
      </c>
      <c r="D1172" s="36">
        <v>6000.0</v>
      </c>
    </row>
    <row r="1173">
      <c r="A1173" s="34"/>
      <c r="B1173" s="34"/>
      <c r="C1173" s="37">
        <v>45984.95103009259</v>
      </c>
      <c r="D1173" s="36">
        <v>500.0</v>
      </c>
    </row>
    <row r="1174">
      <c r="A1174" s="34"/>
      <c r="B1174" s="34"/>
      <c r="C1174" s="37"/>
      <c r="D1174" s="36"/>
    </row>
    <row r="1175">
      <c r="A1175" s="34" t="s">
        <v>428</v>
      </c>
      <c r="B1175" s="34" t="s">
        <v>429</v>
      </c>
      <c r="C1175" s="37">
        <v>45983.807905092595</v>
      </c>
      <c r="D1175" s="36">
        <v>1500.0</v>
      </c>
    </row>
    <row r="1176">
      <c r="A1176" s="34" t="s">
        <v>606</v>
      </c>
      <c r="B1176" s="34" t="s">
        <v>607</v>
      </c>
      <c r="C1176" s="37">
        <v>45983.68336805556</v>
      </c>
      <c r="D1176" s="36">
        <v>1500.0</v>
      </c>
    </row>
    <row r="1177">
      <c r="A1177" s="34"/>
      <c r="B1177" s="34"/>
      <c r="C1177" s="37"/>
      <c r="D1177" s="36"/>
    </row>
    <row r="1178">
      <c r="A1178" s="34" t="s">
        <v>373</v>
      </c>
      <c r="B1178" s="34" t="s">
        <v>374</v>
      </c>
      <c r="C1178" s="37">
        <v>45986.77263888889</v>
      </c>
      <c r="D1178" s="36">
        <v>1200.0</v>
      </c>
    </row>
    <row r="1179">
      <c r="A1179" s="34" t="s">
        <v>616</v>
      </c>
      <c r="B1179" s="34" t="s">
        <v>617</v>
      </c>
      <c r="C1179" s="37">
        <v>45988.723715277774</v>
      </c>
      <c r="D1179" s="36">
        <v>1500.0</v>
      </c>
    </row>
    <row r="1180">
      <c r="A1180" s="34" t="s">
        <v>671</v>
      </c>
      <c r="B1180" s="34" t="s">
        <v>672</v>
      </c>
      <c r="C1180" s="37">
        <v>45988.84489583333</v>
      </c>
      <c r="D1180" s="36">
        <v>3000.0</v>
      </c>
    </row>
    <row r="1181">
      <c r="A1181" s="34" t="s">
        <v>673</v>
      </c>
      <c r="B1181" s="34" t="s">
        <v>674</v>
      </c>
      <c r="C1181" s="37">
        <v>45988.86686342592</v>
      </c>
      <c r="D1181" s="36">
        <v>3000.0</v>
      </c>
    </row>
    <row r="1182">
      <c r="A1182" s="34" t="s">
        <v>375</v>
      </c>
      <c r="B1182" s="34" t="s">
        <v>376</v>
      </c>
      <c r="C1182" s="37">
        <v>45986.78766203704</v>
      </c>
      <c r="D1182" s="36">
        <v>1500.0</v>
      </c>
    </row>
    <row r="1183">
      <c r="A1183" s="34" t="s">
        <v>324</v>
      </c>
      <c r="B1183" s="34" t="s">
        <v>325</v>
      </c>
      <c r="C1183" s="37">
        <v>45962.065104166664</v>
      </c>
      <c r="D1183" s="36">
        <v>1200.0</v>
      </c>
    </row>
    <row r="1184">
      <c r="A1184" s="34" t="s">
        <v>348</v>
      </c>
      <c r="B1184" s="34" t="s">
        <v>349</v>
      </c>
      <c r="C1184" s="37">
        <v>45968.72010416666</v>
      </c>
      <c r="D1184" s="36">
        <v>1200.0</v>
      </c>
    </row>
    <row r="1185">
      <c r="A1185" s="34" t="s">
        <v>540</v>
      </c>
      <c r="B1185" s="34" t="s">
        <v>541</v>
      </c>
      <c r="C1185" s="37">
        <v>45989.25158564815</v>
      </c>
      <c r="D1185" s="36">
        <v>1500.0</v>
      </c>
    </row>
    <row r="1186">
      <c r="A1186" s="34" t="s">
        <v>548</v>
      </c>
      <c r="B1186" s="34" t="s">
        <v>549</v>
      </c>
      <c r="C1186" s="37">
        <v>45978.80599537037</v>
      </c>
      <c r="D1186" s="36">
        <v>1500.0</v>
      </c>
    </row>
    <row r="1187">
      <c r="A1187" s="34" t="s">
        <v>496</v>
      </c>
      <c r="B1187" s="34" t="s">
        <v>497</v>
      </c>
      <c r="C1187" s="37">
        <v>45983.720868055556</v>
      </c>
      <c r="D1187" s="36">
        <v>1500.0</v>
      </c>
    </row>
    <row r="1188">
      <c r="A1188" s="34" t="s">
        <v>608</v>
      </c>
      <c r="B1188" s="34" t="s">
        <v>609</v>
      </c>
      <c r="C1188" s="37">
        <v>45984.27416666667</v>
      </c>
      <c r="D1188" s="36">
        <v>1500.0</v>
      </c>
    </row>
    <row r="1189">
      <c r="A1189" s="34" t="s">
        <v>560</v>
      </c>
      <c r="B1189" s="34" t="s">
        <v>561</v>
      </c>
      <c r="C1189" s="37">
        <v>45986.65819444445</v>
      </c>
      <c r="D1189" s="36">
        <v>1500.0</v>
      </c>
    </row>
    <row r="1190">
      <c r="A1190" s="34" t="s">
        <v>667</v>
      </c>
      <c r="B1190" s="34" t="s">
        <v>668</v>
      </c>
      <c r="C1190" s="37">
        <v>45989.33101851852</v>
      </c>
      <c r="D1190" s="36">
        <v>3000.0</v>
      </c>
    </row>
    <row r="1191">
      <c r="A1191" s="34" t="s">
        <v>657</v>
      </c>
      <c r="B1191" s="34" t="s">
        <v>658</v>
      </c>
      <c r="C1191" s="37">
        <v>45989.334085648145</v>
      </c>
      <c r="D1191" s="36">
        <v>2500.0</v>
      </c>
    </row>
    <row r="1192">
      <c r="A1192" s="34" t="s">
        <v>675</v>
      </c>
      <c r="B1192" s="34" t="s">
        <v>676</v>
      </c>
      <c r="C1192" s="37">
        <v>45989.66741898148</v>
      </c>
      <c r="D1192" s="36">
        <v>3000.0</v>
      </c>
    </row>
    <row r="1193">
      <c r="A1193" s="34" t="s">
        <v>677</v>
      </c>
      <c r="B1193" s="34" t="s">
        <v>678</v>
      </c>
      <c r="C1193" s="37">
        <v>45989.71450231481</v>
      </c>
      <c r="D1193" s="36">
        <v>500.0</v>
      </c>
    </row>
    <row r="1194">
      <c r="A1194" s="34"/>
      <c r="B1194" s="34"/>
      <c r="C1194" s="37">
        <v>45989.74083333334</v>
      </c>
      <c r="D1194" s="36">
        <v>1500.0</v>
      </c>
    </row>
    <row r="1195">
      <c r="A1195" s="34" t="s">
        <v>679</v>
      </c>
      <c r="B1195" s="34" t="s">
        <v>680</v>
      </c>
      <c r="C1195" s="37">
        <v>45989.74783564815</v>
      </c>
      <c r="D1195" s="36">
        <v>3000.0</v>
      </c>
    </row>
    <row r="1196">
      <c r="A1196" s="34" t="s">
        <v>562</v>
      </c>
      <c r="B1196" s="34" t="s">
        <v>563</v>
      </c>
      <c r="C1196" s="37">
        <v>45989.75488425926</v>
      </c>
      <c r="D1196" s="36">
        <v>1500.0</v>
      </c>
    </row>
    <row r="1197">
      <c r="A1197" s="34" t="s">
        <v>434</v>
      </c>
      <c r="B1197" s="34" t="s">
        <v>435</v>
      </c>
      <c r="C1197" s="37">
        <v>45989.797106481485</v>
      </c>
      <c r="D1197" s="36">
        <v>1500.0</v>
      </c>
    </row>
    <row r="1198">
      <c r="A1198" s="34" t="s">
        <v>620</v>
      </c>
      <c r="B1198" s="34" t="s">
        <v>621</v>
      </c>
      <c r="C1198" s="37">
        <v>45989.79722222222</v>
      </c>
      <c r="D1198" s="36">
        <v>1500.0</v>
      </c>
    </row>
    <row r="1199">
      <c r="A1199" s="34" t="s">
        <v>141</v>
      </c>
      <c r="B1199" s="34" t="s">
        <v>142</v>
      </c>
      <c r="C1199" s="37">
        <v>45990.42324074074</v>
      </c>
      <c r="D1199" s="36">
        <v>1000.0</v>
      </c>
    </row>
    <row r="1200">
      <c r="A1200" s="34" t="s">
        <v>681</v>
      </c>
      <c r="B1200" s="34" t="s">
        <v>682</v>
      </c>
      <c r="C1200" s="37">
        <v>45990.59483796296</v>
      </c>
      <c r="D1200" s="36">
        <v>3000.0</v>
      </c>
    </row>
    <row r="1201">
      <c r="A1201" s="34" t="s">
        <v>504</v>
      </c>
      <c r="B1201" s="34" t="s">
        <v>505</v>
      </c>
      <c r="C1201" s="37">
        <v>45990.65892361111</v>
      </c>
      <c r="D1201" s="36">
        <v>1500.0</v>
      </c>
    </row>
    <row r="1202">
      <c r="A1202" s="34" t="s">
        <v>506</v>
      </c>
      <c r="B1202" s="34" t="s">
        <v>507</v>
      </c>
      <c r="C1202" s="37">
        <v>45990.728125</v>
      </c>
      <c r="D1202" s="36">
        <v>1500.0</v>
      </c>
    </row>
    <row r="1203">
      <c r="A1203" s="34"/>
      <c r="B1203" s="34"/>
      <c r="C1203" s="37"/>
      <c r="D1203" s="36"/>
    </row>
    <row r="1204">
      <c r="A1204" s="34"/>
      <c r="B1204" s="34"/>
      <c r="C1204" s="37">
        <v>45990.87994212963</v>
      </c>
      <c r="D1204" s="36">
        <v>4500.0</v>
      </c>
    </row>
    <row r="1205">
      <c r="A1205" s="34" t="s">
        <v>70</v>
      </c>
      <c r="B1205" s="34" t="s">
        <v>71</v>
      </c>
      <c r="C1205" s="37">
        <v>45991.05405092592</v>
      </c>
      <c r="D1205" s="36">
        <v>1000.0</v>
      </c>
    </row>
    <row r="1206">
      <c r="A1206" s="34" t="s">
        <v>526</v>
      </c>
      <c r="B1206" s="34" t="s">
        <v>527</v>
      </c>
      <c r="C1206" s="37">
        <v>45991.27644675926</v>
      </c>
      <c r="D1206" s="36">
        <v>1500.0</v>
      </c>
    </row>
    <row r="1207">
      <c r="A1207" s="34"/>
      <c r="B1207" s="34"/>
      <c r="C1207" s="37"/>
      <c r="D1207" s="36"/>
    </row>
    <row r="1208">
      <c r="A1208" s="34" t="s">
        <v>508</v>
      </c>
      <c r="B1208" s="34" t="s">
        <v>509</v>
      </c>
      <c r="C1208" s="37">
        <v>45991.57925925926</v>
      </c>
      <c r="D1208" s="36">
        <v>1500.0</v>
      </c>
    </row>
    <row r="1209">
      <c r="A1209" s="34" t="s">
        <v>510</v>
      </c>
      <c r="B1209" s="34" t="s">
        <v>511</v>
      </c>
      <c r="C1209" s="37">
        <v>45991.60805555555</v>
      </c>
      <c r="D1209" s="36">
        <v>1500.0</v>
      </c>
    </row>
    <row r="1210">
      <c r="A1210" s="34" t="s">
        <v>627</v>
      </c>
      <c r="B1210" s="34" t="s">
        <v>628</v>
      </c>
      <c r="C1210" s="37">
        <v>45991.62931712963</v>
      </c>
      <c r="D1210" s="36">
        <v>1500.0</v>
      </c>
    </row>
    <row r="1211">
      <c r="A1211" s="34" t="s">
        <v>32</v>
      </c>
      <c r="B1211" s="34" t="s">
        <v>656</v>
      </c>
      <c r="C1211" s="37">
        <v>45991.67652777778</v>
      </c>
      <c r="D1211" s="36">
        <v>1500.0</v>
      </c>
    </row>
    <row r="1212">
      <c r="A1212" s="34" t="s">
        <v>438</v>
      </c>
      <c r="B1212" s="34" t="s">
        <v>439</v>
      </c>
      <c r="C1212" s="37">
        <v>45991.718773148146</v>
      </c>
      <c r="D1212" s="36">
        <v>1500.0</v>
      </c>
    </row>
    <row r="1213">
      <c r="A1213" s="34"/>
      <c r="B1213" s="34"/>
      <c r="C1213" s="37">
        <v>45991.725023148145</v>
      </c>
      <c r="D1213" s="36">
        <v>9000.0</v>
      </c>
    </row>
    <row r="1214">
      <c r="A1214" s="34" t="s">
        <v>629</v>
      </c>
      <c r="B1214" s="34" t="s">
        <v>630</v>
      </c>
      <c r="C1214" s="37">
        <v>45991.736759259256</v>
      </c>
      <c r="D1214" s="36">
        <v>1500.0</v>
      </c>
    </row>
    <row r="1215">
      <c r="A1215" s="34" t="s">
        <v>683</v>
      </c>
      <c r="B1215" s="34" t="s">
        <v>684</v>
      </c>
      <c r="C1215" s="37">
        <v>45991.75267361111</v>
      </c>
      <c r="D1215" s="36">
        <v>3000.0</v>
      </c>
    </row>
    <row r="1216">
      <c r="A1216" s="34"/>
      <c r="B1216" s="34"/>
      <c r="C1216" s="37"/>
      <c r="D1216" s="36"/>
    </row>
    <row r="1217">
      <c r="A1217" s="34" t="s">
        <v>631</v>
      </c>
      <c r="B1217" s="34" t="s">
        <v>632</v>
      </c>
      <c r="C1217" s="37">
        <v>45991.764236111114</v>
      </c>
      <c r="D1217" s="36">
        <v>1500.0</v>
      </c>
    </row>
    <row r="1218">
      <c r="A1218" s="34" t="s">
        <v>514</v>
      </c>
      <c r="B1218" s="34" t="s">
        <v>515</v>
      </c>
      <c r="C1218" s="37">
        <v>45991.67201388889</v>
      </c>
      <c r="D1218" s="36">
        <v>1500.0</v>
      </c>
    </row>
    <row r="1219">
      <c r="A1219" s="34" t="s">
        <v>652</v>
      </c>
      <c r="B1219" s="34" t="s">
        <v>653</v>
      </c>
      <c r="C1219" s="37">
        <v>45991.675787037035</v>
      </c>
      <c r="D1219" s="36">
        <v>1500.0</v>
      </c>
    </row>
    <row r="1220">
      <c r="A1220" s="34" t="s">
        <v>436</v>
      </c>
      <c r="B1220" s="34" t="s">
        <v>437</v>
      </c>
      <c r="C1220" s="37">
        <v>45991.80290509259</v>
      </c>
      <c r="D1220" s="36">
        <v>1500.0</v>
      </c>
    </row>
    <row r="1221">
      <c r="A1221" s="34"/>
      <c r="B1221" s="34" t="s">
        <v>389</v>
      </c>
      <c r="C1221" s="37">
        <v>45991.803078703706</v>
      </c>
      <c r="D1221" s="36">
        <v>1500.0</v>
      </c>
    </row>
    <row r="1222">
      <c r="A1222" s="34" t="s">
        <v>516</v>
      </c>
      <c r="B1222" s="34" t="s">
        <v>517</v>
      </c>
      <c r="C1222" s="37">
        <v>45991.672418981485</v>
      </c>
      <c r="D1222" s="36">
        <v>1500.0</v>
      </c>
    </row>
    <row r="1223">
      <c r="A1223" s="34" t="s">
        <v>685</v>
      </c>
      <c r="B1223" s="34" t="s">
        <v>686</v>
      </c>
      <c r="C1223" s="37">
        <v>45991.84988425926</v>
      </c>
      <c r="D1223" s="36">
        <v>1500.0</v>
      </c>
    </row>
    <row r="1224">
      <c r="A1224" s="34" t="s">
        <v>157</v>
      </c>
      <c r="B1224" s="34" t="s">
        <v>158</v>
      </c>
      <c r="C1224" s="37">
        <v>45992.294907407406</v>
      </c>
      <c r="D1224" s="36">
        <v>1200.0</v>
      </c>
    </row>
    <row r="1225">
      <c r="A1225" s="34" t="s">
        <v>567</v>
      </c>
      <c r="B1225" s="34" t="s">
        <v>568</v>
      </c>
      <c r="C1225" s="37">
        <v>45992.60920138889</v>
      </c>
      <c r="D1225" s="36">
        <v>1500.0</v>
      </c>
    </row>
    <row r="1226">
      <c r="A1226" s="34" t="s">
        <v>221</v>
      </c>
      <c r="B1226" s="34" t="s">
        <v>222</v>
      </c>
      <c r="C1226" s="37">
        <v>45992.63550925926</v>
      </c>
      <c r="D1226" s="36">
        <v>999.0</v>
      </c>
    </row>
    <row r="1227">
      <c r="A1227" s="34" t="s">
        <v>213</v>
      </c>
      <c r="B1227" s="34" t="s">
        <v>214</v>
      </c>
      <c r="C1227" s="37">
        <v>45992.7208912037</v>
      </c>
      <c r="D1227" s="36">
        <v>1000.0</v>
      </c>
    </row>
    <row r="1228">
      <c r="A1228" s="34"/>
      <c r="B1228" s="34" t="s">
        <v>396</v>
      </c>
      <c r="C1228" s="37">
        <v>45992.76237268518</v>
      </c>
      <c r="D1228" s="36">
        <v>1500.0</v>
      </c>
    </row>
    <row r="1229">
      <c r="A1229" s="34" t="s">
        <v>687</v>
      </c>
      <c r="B1229" s="34" t="s">
        <v>688</v>
      </c>
      <c r="C1229" s="37">
        <v>45992.82320601852</v>
      </c>
      <c r="D1229" s="36">
        <v>3000.0</v>
      </c>
    </row>
    <row r="1230">
      <c r="A1230" s="34" t="s">
        <v>452</v>
      </c>
      <c r="B1230" s="34" t="s">
        <v>453</v>
      </c>
      <c r="C1230" s="37">
        <v>45992.897141203706</v>
      </c>
      <c r="D1230" s="36">
        <v>1500.0</v>
      </c>
    </row>
    <row r="1231">
      <c r="A1231" s="34" t="s">
        <v>689</v>
      </c>
      <c r="B1231" s="34" t="s">
        <v>690</v>
      </c>
      <c r="C1231" s="37">
        <v>45993.68712962963</v>
      </c>
      <c r="D1231" s="36">
        <v>3000.0</v>
      </c>
    </row>
    <row r="1232">
      <c r="A1232" s="34" t="s">
        <v>524</v>
      </c>
      <c r="B1232" s="34" t="s">
        <v>525</v>
      </c>
      <c r="C1232" s="37">
        <v>45993.720925925925</v>
      </c>
      <c r="D1232" s="36">
        <v>1500.0</v>
      </c>
    </row>
    <row r="1233">
      <c r="A1233" s="34" t="s">
        <v>640</v>
      </c>
      <c r="B1233" s="34" t="s">
        <v>641</v>
      </c>
      <c r="C1233" s="37">
        <v>45993.762291666666</v>
      </c>
      <c r="D1233" s="36">
        <v>1500.0</v>
      </c>
    </row>
    <row r="1234">
      <c r="A1234" s="34" t="s">
        <v>691</v>
      </c>
      <c r="B1234" s="34" t="s">
        <v>692</v>
      </c>
      <c r="C1234" s="37">
        <v>45993.78184027778</v>
      </c>
      <c r="D1234" s="36">
        <v>3000.0</v>
      </c>
    </row>
    <row r="1235">
      <c r="A1235" s="34" t="s">
        <v>397</v>
      </c>
      <c r="B1235" s="34" t="s">
        <v>398</v>
      </c>
      <c r="C1235" s="37">
        <v>45993.80496527778</v>
      </c>
      <c r="D1235" s="36">
        <v>1500.0</v>
      </c>
    </row>
    <row r="1236">
      <c r="A1236" s="34"/>
      <c r="B1236" s="34"/>
      <c r="C1236" s="37">
        <v>45993.8233912037</v>
      </c>
      <c r="D1236" s="36">
        <v>1500.0</v>
      </c>
    </row>
    <row r="1237">
      <c r="A1237" s="34" t="s">
        <v>693</v>
      </c>
      <c r="B1237" s="34" t="s">
        <v>694</v>
      </c>
      <c r="C1237" s="37">
        <v>45993.82670138889</v>
      </c>
      <c r="D1237" s="36">
        <v>500.0</v>
      </c>
    </row>
    <row r="1238">
      <c r="A1238" s="34"/>
      <c r="B1238" s="34"/>
      <c r="C1238" s="37">
        <v>45993.82922453704</v>
      </c>
      <c r="D1238" s="36">
        <v>1500.0</v>
      </c>
    </row>
    <row r="1239">
      <c r="A1239" s="34" t="s">
        <v>569</v>
      </c>
      <c r="B1239" s="34" t="s">
        <v>570</v>
      </c>
      <c r="C1239" s="37">
        <v>45993.849965277775</v>
      </c>
      <c r="D1239" s="36">
        <v>1500.0</v>
      </c>
    </row>
    <row r="1240">
      <c r="A1240" s="34" t="s">
        <v>446</v>
      </c>
      <c r="B1240" s="34" t="s">
        <v>447</v>
      </c>
      <c r="C1240" s="37">
        <v>45992.6325462963</v>
      </c>
      <c r="D1240" s="36">
        <v>1500.0</v>
      </c>
    </row>
    <row r="1241">
      <c r="A1241" s="34" t="s">
        <v>454</v>
      </c>
      <c r="B1241" s="34" t="s">
        <v>455</v>
      </c>
      <c r="C1241" s="37">
        <v>45994.60157407408</v>
      </c>
      <c r="D1241" s="36">
        <v>1500.0</v>
      </c>
    </row>
    <row r="1242">
      <c r="A1242" s="34" t="s">
        <v>695</v>
      </c>
      <c r="B1242" s="34" t="s">
        <v>696</v>
      </c>
      <c r="C1242" s="37">
        <v>45994.740648148145</v>
      </c>
      <c r="D1242" s="36">
        <v>2500.0</v>
      </c>
    </row>
    <row r="1243">
      <c r="A1243" s="34"/>
      <c r="B1243" s="34"/>
      <c r="C1243" s="37">
        <v>45994.800532407404</v>
      </c>
      <c r="D1243" s="36">
        <v>6000.0</v>
      </c>
    </row>
    <row r="1244">
      <c r="A1244" s="34" t="s">
        <v>456</v>
      </c>
      <c r="B1244" s="34" t="s">
        <v>457</v>
      </c>
      <c r="C1244" s="37">
        <v>45994.85326388889</v>
      </c>
      <c r="D1244" s="36">
        <v>1500.0</v>
      </c>
    </row>
    <row r="1245">
      <c r="A1245" s="34"/>
      <c r="B1245" s="34"/>
      <c r="C1245" s="37">
        <v>45994.893796296295</v>
      </c>
      <c r="D1245" s="36"/>
    </row>
    <row r="1246">
      <c r="A1246" s="34"/>
      <c r="B1246" s="34"/>
      <c r="C1246" s="37">
        <v>45995.297488425924</v>
      </c>
      <c r="D1246" s="36"/>
    </row>
    <row r="1247">
      <c r="A1247" s="34" t="s">
        <v>66</v>
      </c>
      <c r="B1247" s="34" t="s">
        <v>258</v>
      </c>
      <c r="C1247" s="37">
        <v>45995.647314814814</v>
      </c>
      <c r="D1247" s="36">
        <v>1200.0</v>
      </c>
    </row>
    <row r="1248">
      <c r="A1248" s="34" t="s">
        <v>571</v>
      </c>
      <c r="B1248" s="34" t="s">
        <v>572</v>
      </c>
      <c r="C1248" s="37">
        <v>45995.678773148145</v>
      </c>
      <c r="D1248" s="36">
        <v>1500.0</v>
      </c>
    </row>
    <row r="1249">
      <c r="A1249" s="34" t="s">
        <v>259</v>
      </c>
      <c r="B1249" s="34" t="s">
        <v>260</v>
      </c>
      <c r="C1249" s="37">
        <v>45995.72146990741</v>
      </c>
      <c r="D1249" s="36">
        <v>1200.0</v>
      </c>
    </row>
    <row r="1250">
      <c r="A1250" s="34" t="s">
        <v>403</v>
      </c>
      <c r="B1250" s="34" t="s">
        <v>404</v>
      </c>
      <c r="C1250" s="37">
        <v>45995.797951388886</v>
      </c>
      <c r="D1250" s="36">
        <v>1500.0</v>
      </c>
    </row>
    <row r="1251">
      <c r="A1251" s="34" t="s">
        <v>573</v>
      </c>
      <c r="B1251" s="34" t="s">
        <v>574</v>
      </c>
      <c r="C1251" s="37">
        <v>45996.346979166665</v>
      </c>
      <c r="D1251" s="36">
        <v>1500.0</v>
      </c>
    </row>
    <row r="1252">
      <c r="A1252" s="34" t="s">
        <v>577</v>
      </c>
      <c r="B1252" s="34" t="s">
        <v>578</v>
      </c>
      <c r="C1252" s="37">
        <v>45996.63912037037</v>
      </c>
      <c r="D1252" s="36">
        <v>1500.0</v>
      </c>
    </row>
    <row r="1253">
      <c r="A1253" s="34" t="s">
        <v>530</v>
      </c>
      <c r="B1253" s="34" t="s">
        <v>531</v>
      </c>
      <c r="C1253" s="37">
        <v>45996.64540509259</v>
      </c>
      <c r="D1253" s="36">
        <v>1500.0</v>
      </c>
    </row>
    <row r="1254">
      <c r="A1254" s="34" t="s">
        <v>263</v>
      </c>
      <c r="B1254" s="34" t="s">
        <v>264</v>
      </c>
      <c r="C1254" s="37">
        <v>45996.696805555555</v>
      </c>
      <c r="D1254" s="36">
        <v>1200.0</v>
      </c>
    </row>
    <row r="1255">
      <c r="A1255" s="34" t="s">
        <v>532</v>
      </c>
      <c r="B1255" s="34" t="s">
        <v>533</v>
      </c>
      <c r="C1255" s="37">
        <v>45996.763194444444</v>
      </c>
      <c r="D1255" s="36">
        <v>1500.0</v>
      </c>
    </row>
    <row r="1256">
      <c r="A1256" s="34" t="s">
        <v>464</v>
      </c>
      <c r="B1256" s="34" t="s">
        <v>465</v>
      </c>
      <c r="C1256" s="37">
        <v>45996.79572916667</v>
      </c>
      <c r="D1256" s="36">
        <v>1200.0</v>
      </c>
    </row>
    <row r="1257">
      <c r="A1257" s="34" t="s">
        <v>387</v>
      </c>
      <c r="B1257" s="34" t="s">
        <v>388</v>
      </c>
      <c r="C1257" s="37">
        <v>45991.80274305555</v>
      </c>
      <c r="D1257" s="36">
        <v>1500.0</v>
      </c>
    </row>
    <row r="1258">
      <c r="A1258" s="34" t="s">
        <v>646</v>
      </c>
      <c r="B1258" s="34" t="s">
        <v>647</v>
      </c>
      <c r="C1258" s="37">
        <v>45997.658842592595</v>
      </c>
      <c r="D1258" s="36">
        <v>1500.0</v>
      </c>
    </row>
    <row r="1259">
      <c r="A1259" s="34" t="s">
        <v>697</v>
      </c>
      <c r="B1259" s="34" t="s">
        <v>698</v>
      </c>
      <c r="C1259" s="37">
        <v>45997.73976851852</v>
      </c>
      <c r="D1259" s="36">
        <v>3000.0</v>
      </c>
    </row>
    <row r="1260">
      <c r="A1260" s="34" t="s">
        <v>579</v>
      </c>
      <c r="B1260" s="34" t="s">
        <v>580</v>
      </c>
      <c r="C1260" s="37">
        <v>45998.745358796295</v>
      </c>
      <c r="D1260" s="36">
        <v>1500.0</v>
      </c>
    </row>
    <row r="1261">
      <c r="A1261" s="34" t="s">
        <v>468</v>
      </c>
      <c r="B1261" s="34" t="s">
        <v>469</v>
      </c>
      <c r="C1261" s="37">
        <v>45998.76322916667</v>
      </c>
      <c r="D1261" s="36">
        <v>1500.0</v>
      </c>
    </row>
    <row r="1262">
      <c r="A1262" s="34"/>
      <c r="B1262" s="34"/>
      <c r="C1262" s="37"/>
      <c r="D1262" s="36"/>
    </row>
    <row r="1263">
      <c r="A1263" s="34" t="s">
        <v>528</v>
      </c>
      <c r="B1263" s="34" t="s">
        <v>529</v>
      </c>
      <c r="C1263" s="37">
        <v>45994.76957175926</v>
      </c>
      <c r="D1263" s="36">
        <v>1500.0</v>
      </c>
    </row>
    <row r="1264">
      <c r="A1264" s="34" t="s">
        <v>534</v>
      </c>
      <c r="B1264" s="34" t="s">
        <v>535</v>
      </c>
      <c r="C1264" s="37">
        <v>45999.636666666665</v>
      </c>
      <c r="D1264" s="36">
        <v>1500.0</v>
      </c>
    </row>
    <row r="1265">
      <c r="A1265" s="34" t="s">
        <v>470</v>
      </c>
      <c r="B1265" s="34" t="s">
        <v>471</v>
      </c>
      <c r="C1265" s="37">
        <v>45999.64778935185</v>
      </c>
      <c r="D1265" s="36">
        <v>1500.0</v>
      </c>
    </row>
    <row r="1266">
      <c r="A1266" s="34" t="s">
        <v>536</v>
      </c>
      <c r="B1266" s="34" t="s">
        <v>537</v>
      </c>
      <c r="C1266" s="37">
        <v>45999.742210648146</v>
      </c>
      <c r="D1266" s="36">
        <v>1500.0</v>
      </c>
    </row>
    <row r="1267">
      <c r="A1267" s="34" t="s">
        <v>407</v>
      </c>
      <c r="B1267" s="34" t="s">
        <v>408</v>
      </c>
      <c r="C1267" s="37">
        <v>45999.76195601852</v>
      </c>
      <c r="D1267" s="36">
        <v>1500.0</v>
      </c>
    </row>
    <row r="1268">
      <c r="A1268" s="34" t="s">
        <v>699</v>
      </c>
      <c r="B1268" s="34" t="s">
        <v>700</v>
      </c>
      <c r="C1268" s="37">
        <v>45999.886782407404</v>
      </c>
      <c r="D1268" s="36">
        <v>500.0</v>
      </c>
    </row>
    <row r="1269">
      <c r="A1269" s="34"/>
      <c r="B1269" s="34"/>
      <c r="C1269" s="37"/>
      <c r="D1269" s="36"/>
    </row>
    <row r="1270">
      <c r="A1270" s="34" t="s">
        <v>701</v>
      </c>
      <c r="B1270" s="34" t="s">
        <v>702</v>
      </c>
      <c r="C1270" s="37">
        <v>46001.73155092593</v>
      </c>
      <c r="D1270" s="36">
        <v>3000.0</v>
      </c>
    </row>
    <row r="1271">
      <c r="A1271" s="34" t="s">
        <v>542</v>
      </c>
      <c r="B1271" s="34" t="s">
        <v>543</v>
      </c>
      <c r="C1271" s="37">
        <v>46001.813055555554</v>
      </c>
      <c r="D1271" s="36">
        <v>1500.0</v>
      </c>
    </row>
    <row r="1272">
      <c r="A1272" s="34" t="s">
        <v>411</v>
      </c>
      <c r="B1272" s="34" t="s">
        <v>412</v>
      </c>
      <c r="C1272" s="37">
        <v>46002.56456018519</v>
      </c>
      <c r="D1272" s="36">
        <v>1500.0</v>
      </c>
    </row>
    <row r="1273">
      <c r="A1273" s="34" t="s">
        <v>585</v>
      </c>
      <c r="B1273" s="34" t="s">
        <v>586</v>
      </c>
      <c r="C1273" s="37">
        <v>46002.591365740744</v>
      </c>
      <c r="D1273" s="36">
        <v>1500.0</v>
      </c>
    </row>
    <row r="1274">
      <c r="A1274" s="34"/>
      <c r="B1274" s="34"/>
      <c r="C1274" s="37"/>
      <c r="D1274" s="36"/>
    </row>
    <row r="1275">
      <c r="A1275" s="34" t="s">
        <v>654</v>
      </c>
      <c r="B1275" s="34" t="s">
        <v>655</v>
      </c>
      <c r="C1275" s="37">
        <v>46002.77002314815</v>
      </c>
      <c r="D1275" s="36">
        <v>1500.0</v>
      </c>
    </row>
    <row r="1276">
      <c r="A1276" s="34"/>
      <c r="B1276" s="34"/>
      <c r="C1276" s="37">
        <v>46002.79837962963</v>
      </c>
      <c r="D1276" s="36">
        <v>9000.0</v>
      </c>
    </row>
    <row r="1277">
      <c r="A1277" s="34" t="s">
        <v>450</v>
      </c>
      <c r="B1277" s="34" t="s">
        <v>451</v>
      </c>
      <c r="C1277" s="37">
        <v>45990.95638888889</v>
      </c>
      <c r="D1277" s="36">
        <v>1500.0</v>
      </c>
    </row>
    <row r="1278">
      <c r="A1278" s="34" t="s">
        <v>32</v>
      </c>
      <c r="B1278" s="34" t="s">
        <v>656</v>
      </c>
      <c r="C1278" s="37">
        <v>46003.414085648146</v>
      </c>
      <c r="D1278" s="36">
        <v>1500.0</v>
      </c>
    </row>
    <row r="1279">
      <c r="A1279" s="34" t="s">
        <v>703</v>
      </c>
      <c r="B1279" s="34" t="s">
        <v>704</v>
      </c>
      <c r="C1279" s="37">
        <v>46003.735243055555</v>
      </c>
      <c r="D1279" s="36">
        <v>1500.0</v>
      </c>
    </row>
    <row r="1280">
      <c r="A1280" s="34" t="s">
        <v>589</v>
      </c>
      <c r="B1280" s="34" t="s">
        <v>590</v>
      </c>
      <c r="C1280" s="37">
        <v>46003.74642361111</v>
      </c>
      <c r="D1280" s="36">
        <v>1500.0</v>
      </c>
    </row>
    <row r="1281">
      <c r="A1281" s="34" t="s">
        <v>544</v>
      </c>
      <c r="B1281" s="34" t="s">
        <v>545</v>
      </c>
      <c r="C1281" s="37">
        <v>46003.760879629626</v>
      </c>
      <c r="D1281" s="36">
        <v>1500.0</v>
      </c>
    </row>
    <row r="1282">
      <c r="A1282" s="34" t="s">
        <v>522</v>
      </c>
      <c r="B1282" s="34" t="s">
        <v>523</v>
      </c>
      <c r="C1282" s="37">
        <v>45993.689039351855</v>
      </c>
      <c r="D1282" s="36">
        <v>1200.0</v>
      </c>
    </row>
    <row r="1283">
      <c r="A1283" s="34" t="s">
        <v>583</v>
      </c>
      <c r="B1283" s="34" t="s">
        <v>584</v>
      </c>
      <c r="C1283" s="37">
        <v>46000.68173611111</v>
      </c>
      <c r="D1283" s="36">
        <v>1500.0</v>
      </c>
    </row>
    <row r="1284">
      <c r="A1284" s="34" t="s">
        <v>591</v>
      </c>
      <c r="B1284" s="34" t="s">
        <v>592</v>
      </c>
      <c r="C1284" s="37">
        <v>46004.711863425924</v>
      </c>
      <c r="D1284" s="36">
        <v>1500.0</v>
      </c>
    </row>
    <row r="1285">
      <c r="A1285" s="34"/>
      <c r="B1285" s="34"/>
      <c r="C1285" s="37">
        <v>46005.460173611114</v>
      </c>
      <c r="D1285" s="36">
        <v>4500.0</v>
      </c>
    </row>
    <row r="1286">
      <c r="A1286" s="34" t="s">
        <v>413</v>
      </c>
      <c r="B1286" s="34" t="s">
        <v>414</v>
      </c>
      <c r="C1286" s="37">
        <v>46005.76219907407</v>
      </c>
      <c r="D1286" s="36">
        <v>1500.0</v>
      </c>
    </row>
    <row r="1287">
      <c r="A1287" s="34"/>
      <c r="B1287" s="34"/>
      <c r="C1287" s="37"/>
      <c r="D1287" s="36"/>
    </row>
    <row r="1288">
      <c r="A1288" s="34"/>
      <c r="B1288" s="34"/>
      <c r="C1288" s="37">
        <v>46006.64078703704</v>
      </c>
      <c r="D1288" s="36">
        <v>100.0</v>
      </c>
    </row>
    <row r="1289">
      <c r="A1289" s="34" t="s">
        <v>596</v>
      </c>
      <c r="B1289" s="34" t="s">
        <v>597</v>
      </c>
      <c r="C1289" s="37">
        <v>46006.708645833336</v>
      </c>
      <c r="D1289" s="36">
        <v>1500.0</v>
      </c>
    </row>
    <row r="1290">
      <c r="A1290" s="34" t="s">
        <v>705</v>
      </c>
      <c r="B1290" s="34" t="s">
        <v>706</v>
      </c>
      <c r="C1290" s="37">
        <v>46006.727789351855</v>
      </c>
      <c r="D1290" s="36">
        <v>500.0</v>
      </c>
    </row>
    <row r="1291">
      <c r="A1291" s="34"/>
      <c r="B1291" s="34"/>
      <c r="C1291" s="37">
        <v>46006.751550925925</v>
      </c>
      <c r="D1291" s="36">
        <v>9000.0</v>
      </c>
    </row>
    <row r="1292">
      <c r="A1292" s="34" t="s">
        <v>546</v>
      </c>
      <c r="B1292" s="34" t="s">
        <v>547</v>
      </c>
      <c r="C1292" s="37">
        <v>46006.804398148146</v>
      </c>
      <c r="D1292" s="36">
        <v>1500.0</v>
      </c>
    </row>
    <row r="1293">
      <c r="A1293" s="34" t="s">
        <v>598</v>
      </c>
      <c r="B1293" s="34" t="s">
        <v>599</v>
      </c>
      <c r="C1293" s="37">
        <v>46006.833020833335</v>
      </c>
      <c r="D1293" s="36">
        <v>1500.0</v>
      </c>
    </row>
    <row r="1294">
      <c r="A1294" s="34"/>
      <c r="B1294" s="34" t="s">
        <v>369</v>
      </c>
      <c r="C1294" s="37">
        <v>46007.613333333335</v>
      </c>
      <c r="D1294" s="36">
        <v>1200.0</v>
      </c>
    </row>
    <row r="1295">
      <c r="A1295" s="34" t="s">
        <v>594</v>
      </c>
      <c r="B1295" s="34" t="s">
        <v>595</v>
      </c>
      <c r="C1295" s="37">
        <v>46005.68174768519</v>
      </c>
      <c r="D1295" s="36">
        <v>1500.0</v>
      </c>
    </row>
    <row r="1296">
      <c r="A1296" s="34" t="s">
        <v>492</v>
      </c>
      <c r="B1296" s="34" t="s">
        <v>493</v>
      </c>
      <c r="C1296" s="37">
        <v>46009.762349537035</v>
      </c>
      <c r="D1296" s="36">
        <v>1500.0</v>
      </c>
    </row>
    <row r="1297">
      <c r="A1297" s="34" t="s">
        <v>484</v>
      </c>
      <c r="B1297" s="34" t="s">
        <v>485</v>
      </c>
      <c r="C1297" s="37">
        <v>46005.7046412037</v>
      </c>
      <c r="D1297" s="36">
        <v>1500.0</v>
      </c>
    </row>
    <row r="1298">
      <c r="A1298" s="34" t="s">
        <v>416</v>
      </c>
      <c r="B1298" s="34" t="s">
        <v>417</v>
      </c>
      <c r="C1298" s="37">
        <v>46010.84967592593</v>
      </c>
      <c r="D1298" s="36">
        <v>1200.0</v>
      </c>
    </row>
    <row r="1299">
      <c r="A1299" s="34" t="s">
        <v>661</v>
      </c>
      <c r="B1299" s="34" t="s">
        <v>662</v>
      </c>
      <c r="C1299" s="37">
        <v>46010.85864583333</v>
      </c>
      <c r="D1299" s="36">
        <v>500.0</v>
      </c>
    </row>
    <row r="1300">
      <c r="A1300" s="34" t="s">
        <v>367</v>
      </c>
      <c r="B1300" s="34" t="s">
        <v>368</v>
      </c>
      <c r="C1300" s="37">
        <v>46006.88630787037</v>
      </c>
      <c r="D1300" s="36">
        <v>1200.0</v>
      </c>
    </row>
    <row r="1301">
      <c r="A1301" s="34" t="s">
        <v>418</v>
      </c>
      <c r="B1301" s="34" t="s">
        <v>419</v>
      </c>
      <c r="C1301" s="37">
        <v>46011.705972222226</v>
      </c>
      <c r="D1301" s="36">
        <v>1500.0</v>
      </c>
    </row>
    <row r="1302">
      <c r="A1302" s="34" t="s">
        <v>420</v>
      </c>
      <c r="B1302" s="34" t="s">
        <v>421</v>
      </c>
      <c r="C1302" s="37">
        <v>46011.72861111111</v>
      </c>
      <c r="D1302" s="36">
        <v>1500.0</v>
      </c>
    </row>
    <row r="1303">
      <c r="A1303" s="34" t="s">
        <v>663</v>
      </c>
      <c r="B1303" s="34" t="s">
        <v>664</v>
      </c>
      <c r="C1303" s="37">
        <v>46011.74162037037</v>
      </c>
      <c r="D1303" s="36">
        <v>1500.0</v>
      </c>
    </row>
    <row r="1304">
      <c r="A1304" s="34" t="s">
        <v>604</v>
      </c>
      <c r="B1304" s="34" t="s">
        <v>605</v>
      </c>
      <c r="C1304" s="37">
        <v>46011.81134259259</v>
      </c>
      <c r="D1304" s="36">
        <v>1500.0</v>
      </c>
    </row>
    <row r="1305">
      <c r="A1305" s="34" t="s">
        <v>554</v>
      </c>
      <c r="B1305" s="34" t="s">
        <v>555</v>
      </c>
      <c r="C1305" s="37">
        <v>46011.81288194445</v>
      </c>
      <c r="D1305" s="36">
        <v>2250.0</v>
      </c>
    </row>
    <row r="1306">
      <c r="A1306" s="34" t="s">
        <v>424</v>
      </c>
      <c r="B1306" s="34" t="s">
        <v>425</v>
      </c>
      <c r="C1306" s="37">
        <v>46012.488171296296</v>
      </c>
      <c r="D1306" s="36">
        <v>1500.0</v>
      </c>
    </row>
    <row r="1307">
      <c r="A1307" s="34" t="s">
        <v>556</v>
      </c>
      <c r="B1307" s="34" t="s">
        <v>557</v>
      </c>
      <c r="C1307" s="37">
        <v>46012.637141203704</v>
      </c>
      <c r="D1307" s="36">
        <v>1500.0</v>
      </c>
    </row>
    <row r="1308">
      <c r="A1308" s="34" t="s">
        <v>295</v>
      </c>
      <c r="B1308" s="34" t="s">
        <v>296</v>
      </c>
      <c r="C1308" s="37">
        <v>46012.727268518516</v>
      </c>
      <c r="D1308" s="36">
        <v>1200.0</v>
      </c>
    </row>
    <row r="1309">
      <c r="A1309" s="34" t="s">
        <v>606</v>
      </c>
      <c r="B1309" s="34" t="s">
        <v>607</v>
      </c>
      <c r="C1309" s="37">
        <v>46012.73674768519</v>
      </c>
      <c r="D1309" s="36">
        <v>500.0</v>
      </c>
    </row>
    <row r="1310">
      <c r="A1310" s="34" t="s">
        <v>707</v>
      </c>
      <c r="B1310" s="34" t="s">
        <v>708</v>
      </c>
      <c r="C1310" s="37">
        <v>46012.85780092593</v>
      </c>
      <c r="D1310" s="36">
        <v>3000.0</v>
      </c>
    </row>
    <row r="1311">
      <c r="A1311" s="34" t="s">
        <v>430</v>
      </c>
      <c r="B1311" s="34" t="s">
        <v>431</v>
      </c>
      <c r="C1311" s="37">
        <v>46013.82892361111</v>
      </c>
      <c r="D1311" s="36">
        <v>1500.0</v>
      </c>
    </row>
    <row r="1312">
      <c r="A1312" s="34" t="s">
        <v>709</v>
      </c>
      <c r="B1312" s="34" t="s">
        <v>710</v>
      </c>
      <c r="C1312" s="37">
        <v>46014.57679398148</v>
      </c>
      <c r="D1312" s="36">
        <v>500.0</v>
      </c>
    </row>
    <row r="1313">
      <c r="A1313" s="34" t="s">
        <v>581</v>
      </c>
      <c r="B1313" s="34" t="s">
        <v>582</v>
      </c>
      <c r="C1313" s="37">
        <v>46006.73876157407</v>
      </c>
      <c r="D1313" s="36">
        <v>1500.0</v>
      </c>
    </row>
    <row r="1314">
      <c r="A1314" s="34" t="s">
        <v>304</v>
      </c>
      <c r="B1314" s="34" t="s">
        <v>305</v>
      </c>
      <c r="C1314" s="37">
        <v>46015.848344907405</v>
      </c>
      <c r="D1314" s="36">
        <v>400.0</v>
      </c>
    </row>
    <row r="1315">
      <c r="A1315" s="34" t="s">
        <v>606</v>
      </c>
      <c r="B1315" s="34" t="s">
        <v>607</v>
      </c>
      <c r="C1315" s="37">
        <v>46013.684432870374</v>
      </c>
      <c r="D1315" s="36">
        <v>1500.0</v>
      </c>
    </row>
    <row r="1316">
      <c r="A1316" s="34"/>
      <c r="B1316" s="34"/>
      <c r="C1316" s="37"/>
      <c r="D1316" s="36"/>
    </row>
    <row r="1317">
      <c r="A1317" s="34" t="s">
        <v>373</v>
      </c>
      <c r="B1317" s="34" t="s">
        <v>374</v>
      </c>
      <c r="C1317" s="37">
        <v>46016.77123842593</v>
      </c>
      <c r="D1317" s="36">
        <v>1200.0</v>
      </c>
    </row>
    <row r="1318">
      <c r="A1318" s="34" t="s">
        <v>616</v>
      </c>
      <c r="B1318" s="34" t="s">
        <v>617</v>
      </c>
      <c r="C1318" s="37">
        <v>46018.724953703706</v>
      </c>
      <c r="D1318" s="36">
        <v>1500.0</v>
      </c>
    </row>
    <row r="1319">
      <c r="A1319" s="34" t="s">
        <v>671</v>
      </c>
      <c r="B1319" s="34" t="s">
        <v>672</v>
      </c>
      <c r="C1319" s="37">
        <v>46018.88712962963</v>
      </c>
      <c r="D1319" s="36">
        <v>1500.0</v>
      </c>
    </row>
    <row r="1320">
      <c r="A1320" s="34"/>
      <c r="B1320" s="34"/>
      <c r="C1320" s="37"/>
      <c r="D1320" s="36"/>
    </row>
    <row r="1321">
      <c r="A1321" s="34" t="s">
        <v>434</v>
      </c>
      <c r="B1321" s="34" t="s">
        <v>435</v>
      </c>
      <c r="C1321" s="37">
        <v>46019.796793981484</v>
      </c>
      <c r="D1321" s="36">
        <v>1500.0</v>
      </c>
    </row>
    <row r="1322">
      <c r="A1322" s="34" t="s">
        <v>620</v>
      </c>
      <c r="B1322" s="34" t="s">
        <v>621</v>
      </c>
      <c r="C1322" s="37">
        <v>46019.79728009259</v>
      </c>
      <c r="D1322" s="36">
        <v>1500.0</v>
      </c>
    </row>
    <row r="1323">
      <c r="A1323" s="34" t="s">
        <v>117</v>
      </c>
      <c r="B1323" s="34" t="s">
        <v>118</v>
      </c>
      <c r="C1323" s="37">
        <v>46011.590995370374</v>
      </c>
      <c r="D1323" s="36">
        <v>1200.0</v>
      </c>
    </row>
    <row r="1324">
      <c r="A1324" s="34" t="s">
        <v>548</v>
      </c>
      <c r="B1324" s="34" t="s">
        <v>549</v>
      </c>
      <c r="C1324" s="37">
        <v>46008.80626157407</v>
      </c>
      <c r="D1324" s="36">
        <v>1500.0</v>
      </c>
    </row>
    <row r="1325">
      <c r="A1325" s="34" t="s">
        <v>667</v>
      </c>
      <c r="B1325" s="34" t="s">
        <v>668</v>
      </c>
      <c r="C1325" s="37">
        <v>46019.37422453704</v>
      </c>
      <c r="D1325" s="36">
        <v>1500.0</v>
      </c>
    </row>
    <row r="1326">
      <c r="A1326" s="34" t="s">
        <v>608</v>
      </c>
      <c r="B1326" s="34" t="s">
        <v>609</v>
      </c>
      <c r="C1326" s="37">
        <v>46014.27443287037</v>
      </c>
      <c r="D1326" s="36">
        <v>1500.0</v>
      </c>
    </row>
    <row r="1327">
      <c r="A1327" s="34" t="s">
        <v>458</v>
      </c>
      <c r="B1327" s="34" t="s">
        <v>459</v>
      </c>
      <c r="C1327" s="37">
        <v>45934.68510416667</v>
      </c>
      <c r="D1327" s="36">
        <v>1500.0</v>
      </c>
    </row>
    <row r="1328">
      <c r="A1328" s="34" t="s">
        <v>458</v>
      </c>
      <c r="B1328" s="34" t="s">
        <v>459</v>
      </c>
      <c r="C1328" s="37">
        <v>46021.36140046296</v>
      </c>
      <c r="D1328" s="36">
        <v>1500.0</v>
      </c>
    </row>
    <row r="1329">
      <c r="A1329" s="34" t="s">
        <v>472</v>
      </c>
      <c r="B1329" s="34" t="s">
        <v>473</v>
      </c>
      <c r="C1329" s="37">
        <v>45910.67277777778</v>
      </c>
      <c r="D1329" s="36">
        <v>1500.0</v>
      </c>
    </row>
    <row r="1330">
      <c r="A1330" s="34" t="s">
        <v>472</v>
      </c>
      <c r="B1330" s="34" t="s">
        <v>473</v>
      </c>
      <c r="C1330" s="37">
        <v>46021.36318287037</v>
      </c>
      <c r="D1330" s="36">
        <v>1500.0</v>
      </c>
    </row>
    <row r="1331">
      <c r="A1331" s="34" t="s">
        <v>488</v>
      </c>
      <c r="B1331" s="34" t="s">
        <v>489</v>
      </c>
      <c r="C1331" s="37">
        <v>45915.80679398148</v>
      </c>
      <c r="D1331" s="36">
        <v>1500.0</v>
      </c>
    </row>
    <row r="1332">
      <c r="A1332" s="34" t="s">
        <v>488</v>
      </c>
      <c r="B1332" s="34" t="s">
        <v>489</v>
      </c>
      <c r="C1332" s="37">
        <v>46021.37087962963</v>
      </c>
      <c r="D1332" s="36">
        <v>1500.0</v>
      </c>
    </row>
    <row r="1333">
      <c r="A1333" s="34" t="s">
        <v>560</v>
      </c>
      <c r="B1333" s="34" t="s">
        <v>561</v>
      </c>
      <c r="C1333" s="37">
        <v>46016.65850694444</v>
      </c>
      <c r="D1333" s="36">
        <v>1500.0</v>
      </c>
    </row>
    <row r="1334">
      <c r="A1334" s="34" t="s">
        <v>540</v>
      </c>
      <c r="B1334" s="34" t="s">
        <v>541</v>
      </c>
      <c r="C1334" s="37">
        <v>46019.29355324074</v>
      </c>
      <c r="D1334" s="36">
        <v>1500.0</v>
      </c>
    </row>
    <row r="1335">
      <c r="A1335" s="34" t="s">
        <v>496</v>
      </c>
      <c r="B1335" s="34" t="s">
        <v>497</v>
      </c>
      <c r="C1335" s="37">
        <v>46013.72119212963</v>
      </c>
      <c r="D1335" s="36">
        <v>1500.0</v>
      </c>
    </row>
    <row r="1336">
      <c r="A1336" s="34" t="s">
        <v>375</v>
      </c>
      <c r="B1336" s="34" t="s">
        <v>376</v>
      </c>
      <c r="C1336" s="37">
        <v>46016.78921296296</v>
      </c>
      <c r="D1336" s="36">
        <v>1500.0</v>
      </c>
    </row>
    <row r="1337">
      <c r="A1337" s="34"/>
      <c r="B1337" s="34"/>
      <c r="C1337" s="37"/>
      <c r="D1337" s="36"/>
    </row>
    <row r="1338">
      <c r="A1338" s="34" t="s">
        <v>683</v>
      </c>
      <c r="B1338" s="34" t="s">
        <v>684</v>
      </c>
      <c r="C1338" s="37">
        <v>46021.79471064815</v>
      </c>
      <c r="D1338" s="36">
        <v>1500.0</v>
      </c>
    </row>
    <row r="1339">
      <c r="A1339" s="34" t="s">
        <v>436</v>
      </c>
      <c r="B1339" s="34" t="s">
        <v>437</v>
      </c>
      <c r="C1339" s="37">
        <v>46021.83414351852</v>
      </c>
      <c r="D1339" s="36">
        <v>1500.0</v>
      </c>
    </row>
    <row r="1340">
      <c r="A1340" s="34"/>
      <c r="B1340" s="34" t="s">
        <v>389</v>
      </c>
      <c r="C1340" s="37">
        <v>46021.84357638889</v>
      </c>
      <c r="D1340" s="36">
        <v>1500.0</v>
      </c>
    </row>
    <row r="1341">
      <c r="A1341" s="34" t="s">
        <v>428</v>
      </c>
      <c r="B1341" s="34" t="s">
        <v>429</v>
      </c>
      <c r="C1341" s="37">
        <v>46013.80777777778</v>
      </c>
      <c r="D1341" s="36">
        <v>1500.0</v>
      </c>
    </row>
    <row r="1342">
      <c r="A1342" s="34" t="s">
        <v>504</v>
      </c>
      <c r="B1342" s="34" t="s">
        <v>505</v>
      </c>
      <c r="C1342" s="37">
        <v>46020.65920138889</v>
      </c>
      <c r="D1342" s="36">
        <v>1500.0</v>
      </c>
    </row>
    <row r="1343">
      <c r="A1343" s="34" t="s">
        <v>623</v>
      </c>
      <c r="B1343" s="34" t="s">
        <v>624</v>
      </c>
      <c r="C1343" s="37">
        <v>45991.87496527778</v>
      </c>
      <c r="D1343" s="36">
        <v>1500.0</v>
      </c>
    </row>
    <row r="1344">
      <c r="A1344" s="34" t="s">
        <v>623</v>
      </c>
      <c r="B1344" s="34" t="s">
        <v>624</v>
      </c>
      <c r="C1344" s="37">
        <v>46021.879270833335</v>
      </c>
      <c r="D1344" s="36">
        <v>1500.0</v>
      </c>
    </row>
    <row r="1345">
      <c r="A1345" s="34" t="s">
        <v>562</v>
      </c>
      <c r="B1345" s="34" t="s">
        <v>563</v>
      </c>
      <c r="C1345" s="37">
        <v>46019.75420138889</v>
      </c>
      <c r="D1345" s="36">
        <v>1500.0</v>
      </c>
    </row>
    <row r="1346">
      <c r="A1346" s="34" t="s">
        <v>675</v>
      </c>
      <c r="B1346" s="34" t="s">
        <v>676</v>
      </c>
      <c r="C1346" s="37">
        <v>46019.70991898148</v>
      </c>
      <c r="D1346" s="36">
        <v>1500.0</v>
      </c>
    </row>
    <row r="1347">
      <c r="A1347" s="34" t="s">
        <v>681</v>
      </c>
      <c r="B1347" s="34" t="s">
        <v>682</v>
      </c>
      <c r="C1347" s="37">
        <v>46020.636967592596</v>
      </c>
      <c r="D1347" s="36">
        <v>1500.0</v>
      </c>
    </row>
    <row r="1348">
      <c r="A1348" s="34" t="s">
        <v>679</v>
      </c>
      <c r="B1348" s="34" t="s">
        <v>680</v>
      </c>
      <c r="C1348" s="37">
        <v>46019.78990740741</v>
      </c>
      <c r="D1348" s="36">
        <v>1500.0</v>
      </c>
    </row>
    <row r="1349">
      <c r="A1349" s="34" t="s">
        <v>669</v>
      </c>
      <c r="B1349" s="34" t="s">
        <v>670</v>
      </c>
      <c r="C1349" s="37">
        <v>46013.709282407406</v>
      </c>
      <c r="D1349" s="36">
        <v>1500.0</v>
      </c>
    </row>
    <row r="1350">
      <c r="A1350" s="34" t="s">
        <v>550</v>
      </c>
      <c r="B1350" s="34" t="s">
        <v>551</v>
      </c>
      <c r="C1350" s="37">
        <v>45979.78369212963</v>
      </c>
      <c r="D1350" s="36">
        <v>1500.0</v>
      </c>
    </row>
    <row r="1351">
      <c r="A1351" s="34" t="s">
        <v>506</v>
      </c>
      <c r="B1351" s="34" t="s">
        <v>507</v>
      </c>
      <c r="C1351" s="37">
        <v>46020.72770833333</v>
      </c>
      <c r="D1351" s="36">
        <v>1500.0</v>
      </c>
    </row>
    <row r="1352">
      <c r="A1352" s="34" t="s">
        <v>526</v>
      </c>
      <c r="B1352" s="34" t="s">
        <v>527</v>
      </c>
      <c r="C1352" s="37">
        <v>46022.27439814815</v>
      </c>
      <c r="D1352" s="36">
        <v>1500.0</v>
      </c>
    </row>
    <row r="1353">
      <c r="A1353" s="34" t="s">
        <v>677</v>
      </c>
      <c r="B1353" s="34" t="s">
        <v>678</v>
      </c>
      <c r="C1353" s="37">
        <v>46019.75699074074</v>
      </c>
      <c r="D1353" s="36">
        <v>500.0</v>
      </c>
    </row>
    <row r="1354">
      <c r="A1354" s="34"/>
      <c r="B1354" s="34"/>
      <c r="C1354" s="37"/>
      <c r="D1354" s="36"/>
    </row>
    <row r="1355">
      <c r="A1355" s="34" t="s">
        <v>627</v>
      </c>
      <c r="B1355" s="34" t="s">
        <v>628</v>
      </c>
      <c r="C1355" s="37">
        <v>46022.628275462965</v>
      </c>
      <c r="D1355" s="36">
        <v>1500.0</v>
      </c>
    </row>
    <row r="1356">
      <c r="A1356" s="34" t="s">
        <v>629</v>
      </c>
      <c r="B1356" s="34" t="s">
        <v>630</v>
      </c>
      <c r="C1356" s="37">
        <v>46022.73701388889</v>
      </c>
      <c r="D1356" s="36">
        <v>1500.0</v>
      </c>
    </row>
    <row r="1357">
      <c r="A1357" s="34" t="s">
        <v>631</v>
      </c>
      <c r="B1357" s="34" t="s">
        <v>632</v>
      </c>
      <c r="C1357" s="37">
        <v>46022.76436342593</v>
      </c>
      <c r="D1357" s="36">
        <v>1500.0</v>
      </c>
    </row>
    <row r="1358">
      <c r="A1358" s="34" t="s">
        <v>157</v>
      </c>
      <c r="B1358" s="34" t="s">
        <v>158</v>
      </c>
      <c r="C1358" s="37">
        <v>46023.28957175926</v>
      </c>
      <c r="D1358" s="36">
        <v>1200.0</v>
      </c>
    </row>
    <row r="1359">
      <c r="A1359" s="34" t="s">
        <v>567</v>
      </c>
      <c r="B1359" s="34" t="s">
        <v>568</v>
      </c>
      <c r="C1359" s="37">
        <v>46023.606782407405</v>
      </c>
      <c r="D1359" s="36">
        <v>1500.0</v>
      </c>
    </row>
    <row r="1360">
      <c r="A1360" s="34" t="s">
        <v>446</v>
      </c>
      <c r="B1360" s="34" t="s">
        <v>447</v>
      </c>
      <c r="C1360" s="37">
        <v>46023.631898148145</v>
      </c>
      <c r="D1360" s="36">
        <v>1500.0</v>
      </c>
    </row>
    <row r="1361">
      <c r="A1361" s="34" t="s">
        <v>221</v>
      </c>
      <c r="B1361" s="34" t="s">
        <v>222</v>
      </c>
      <c r="C1361" s="37">
        <v>46023.63431712963</v>
      </c>
      <c r="D1361" s="36">
        <v>999.0</v>
      </c>
    </row>
    <row r="1362">
      <c r="A1362" s="34"/>
      <c r="B1362" s="34" t="s">
        <v>396</v>
      </c>
      <c r="C1362" s="37">
        <v>46023.76101851852</v>
      </c>
      <c r="D1362" s="36">
        <v>1500.0</v>
      </c>
    </row>
    <row r="1363">
      <c r="A1363" s="34" t="s">
        <v>711</v>
      </c>
      <c r="B1363" s="34" t="s">
        <v>712</v>
      </c>
      <c r="C1363" s="37">
        <v>46023.81579861111</v>
      </c>
      <c r="D1363" s="36">
        <v>3000.0</v>
      </c>
    </row>
    <row r="1364">
      <c r="A1364" s="34" t="s">
        <v>30</v>
      </c>
      <c r="B1364" s="34" t="s">
        <v>713</v>
      </c>
      <c r="C1364" s="37">
        <v>46023.83663194445</v>
      </c>
      <c r="D1364" s="36">
        <v>3000.0</v>
      </c>
    </row>
    <row r="1365">
      <c r="A1365" s="34" t="s">
        <v>714</v>
      </c>
      <c r="B1365" s="34" t="s">
        <v>715</v>
      </c>
      <c r="C1365" s="37">
        <v>46023.85527777778</v>
      </c>
      <c r="D1365" s="36">
        <v>3000.0</v>
      </c>
    </row>
    <row r="1366">
      <c r="A1366" s="34" t="s">
        <v>687</v>
      </c>
      <c r="B1366" s="34" t="s">
        <v>688</v>
      </c>
      <c r="C1366" s="37">
        <v>46023.86597222222</v>
      </c>
      <c r="D1366" s="36">
        <v>1500.0</v>
      </c>
    </row>
    <row r="1367">
      <c r="A1367" s="34" t="s">
        <v>452</v>
      </c>
      <c r="B1367" s="34" t="s">
        <v>453</v>
      </c>
      <c r="C1367" s="37">
        <v>46023.89745370371</v>
      </c>
      <c r="D1367" s="36">
        <v>1500.0</v>
      </c>
    </row>
    <row r="1368">
      <c r="A1368" s="34" t="s">
        <v>716</v>
      </c>
      <c r="B1368" s="34" t="s">
        <v>717</v>
      </c>
      <c r="C1368" s="37">
        <v>46024.59657407407</v>
      </c>
      <c r="D1368" s="36">
        <v>4800.0</v>
      </c>
    </row>
    <row r="1369">
      <c r="A1369" s="34"/>
      <c r="B1369" s="34"/>
      <c r="C1369" s="37">
        <v>46024.70208333333</v>
      </c>
      <c r="D1369" s="36">
        <v>9000.0</v>
      </c>
    </row>
    <row r="1370">
      <c r="A1370" s="34" t="s">
        <v>718</v>
      </c>
      <c r="B1370" s="34" t="s">
        <v>719</v>
      </c>
      <c r="C1370" s="37">
        <v>46024.714224537034</v>
      </c>
      <c r="D1370" s="36">
        <v>2200.0</v>
      </c>
    </row>
    <row r="1371">
      <c r="A1371" s="34" t="s">
        <v>524</v>
      </c>
      <c r="B1371" s="34" t="s">
        <v>525</v>
      </c>
      <c r="C1371" s="37">
        <v>46024.720983796295</v>
      </c>
      <c r="D1371" s="36">
        <v>1500.0</v>
      </c>
    </row>
    <row r="1372">
      <c r="A1372" s="34" t="s">
        <v>720</v>
      </c>
      <c r="B1372" s="34" t="s">
        <v>721</v>
      </c>
      <c r="C1372" s="37">
        <v>46024.723715277774</v>
      </c>
      <c r="D1372" s="36">
        <v>1500.0</v>
      </c>
    </row>
    <row r="1373">
      <c r="A1373" s="34" t="s">
        <v>722</v>
      </c>
      <c r="B1373" s="34" t="s">
        <v>723</v>
      </c>
      <c r="C1373" s="37">
        <v>46024.72883101852</v>
      </c>
      <c r="D1373" s="36">
        <v>3000.0</v>
      </c>
    </row>
    <row r="1374">
      <c r="A1374" s="34"/>
      <c r="B1374" s="34"/>
      <c r="C1374" s="37">
        <v>46024.73987268518</v>
      </c>
      <c r="D1374" s="36">
        <v>4000.0</v>
      </c>
    </row>
    <row r="1375">
      <c r="A1375" s="34" t="s">
        <v>724</v>
      </c>
      <c r="B1375" s="34" t="s">
        <v>725</v>
      </c>
      <c r="C1375" s="37">
        <v>46024.7472337963</v>
      </c>
      <c r="D1375" s="36">
        <v>3000.0</v>
      </c>
    </row>
    <row r="1376">
      <c r="A1376" s="34" t="s">
        <v>726</v>
      </c>
      <c r="B1376" s="34" t="s">
        <v>727</v>
      </c>
      <c r="C1376" s="37">
        <v>46024.75695601852</v>
      </c>
      <c r="D1376" s="36">
        <v>3000.0</v>
      </c>
    </row>
    <row r="1377">
      <c r="A1377" s="34" t="s">
        <v>640</v>
      </c>
      <c r="B1377" s="34" t="s">
        <v>641</v>
      </c>
      <c r="C1377" s="37">
        <v>46024.76290509259</v>
      </c>
      <c r="D1377" s="36">
        <v>1500.0</v>
      </c>
    </row>
    <row r="1378">
      <c r="A1378" s="34" t="s">
        <v>709</v>
      </c>
      <c r="B1378" s="34" t="s">
        <v>710</v>
      </c>
      <c r="C1378" s="37">
        <v>46024.77921296296</v>
      </c>
      <c r="D1378" s="36">
        <v>3000.0</v>
      </c>
    </row>
    <row r="1379">
      <c r="A1379" s="34" t="s">
        <v>691</v>
      </c>
      <c r="B1379" s="34" t="s">
        <v>692</v>
      </c>
      <c r="C1379" s="37">
        <v>46024.824375</v>
      </c>
      <c r="D1379" s="36">
        <v>1500.0</v>
      </c>
    </row>
    <row r="1380">
      <c r="A1380" s="34" t="s">
        <v>569</v>
      </c>
      <c r="B1380" s="34" t="s">
        <v>570</v>
      </c>
      <c r="C1380" s="37">
        <v>46024.85023148148</v>
      </c>
      <c r="D1380" s="36">
        <v>1500.0</v>
      </c>
    </row>
    <row r="1381">
      <c r="A1381" s="34" t="s">
        <v>728</v>
      </c>
      <c r="B1381" s="34" t="s">
        <v>729</v>
      </c>
      <c r="C1381" s="37">
        <v>46024.85565972222</v>
      </c>
      <c r="D1381" s="36">
        <v>3000.0</v>
      </c>
    </row>
    <row r="1382">
      <c r="A1382" s="34" t="s">
        <v>514</v>
      </c>
      <c r="B1382" s="34" t="s">
        <v>515</v>
      </c>
      <c r="C1382" s="37">
        <v>46022.68649305555</v>
      </c>
      <c r="D1382" s="36">
        <v>1500.0</v>
      </c>
    </row>
    <row r="1383">
      <c r="A1383" s="34" t="s">
        <v>730</v>
      </c>
      <c r="B1383" s="34" t="s">
        <v>731</v>
      </c>
      <c r="C1383" s="37">
        <v>46025.52241898148</v>
      </c>
      <c r="D1383" s="36">
        <v>3000.0</v>
      </c>
    </row>
    <row r="1384">
      <c r="A1384" s="34" t="s">
        <v>456</v>
      </c>
      <c r="B1384" s="34" t="s">
        <v>457</v>
      </c>
      <c r="C1384" s="37">
        <v>46025.8525</v>
      </c>
      <c r="D1384" s="36">
        <v>1500.0</v>
      </c>
    </row>
    <row r="1385">
      <c r="A1385" s="34" t="s">
        <v>689</v>
      </c>
      <c r="B1385" s="34" t="s">
        <v>690</v>
      </c>
      <c r="C1385" s="37">
        <v>46024.72949074074</v>
      </c>
      <c r="D1385" s="36">
        <v>3000.0</v>
      </c>
    </row>
    <row r="1386">
      <c r="A1386" s="34"/>
      <c r="B1386" s="34"/>
      <c r="C1386" s="37">
        <v>46026.63483796296</v>
      </c>
      <c r="D1386" s="36">
        <v>6000.0</v>
      </c>
    </row>
    <row r="1387">
      <c r="A1387" s="34" t="s">
        <v>66</v>
      </c>
      <c r="B1387" s="34" t="s">
        <v>258</v>
      </c>
      <c r="C1387" s="37">
        <v>46026.64540509259</v>
      </c>
      <c r="D1387" s="36">
        <v>1200.0</v>
      </c>
    </row>
    <row r="1388">
      <c r="A1388" s="34" t="s">
        <v>732</v>
      </c>
      <c r="B1388" s="34" t="s">
        <v>733</v>
      </c>
      <c r="C1388" s="37">
        <v>46026.64925925926</v>
      </c>
      <c r="D1388" s="36">
        <v>1500.0</v>
      </c>
    </row>
    <row r="1389">
      <c r="A1389" s="34"/>
      <c r="B1389" s="34"/>
      <c r="C1389" s="37">
        <v>46026.660775462966</v>
      </c>
      <c r="D1389" s="36">
        <v>9000.0</v>
      </c>
    </row>
    <row r="1390">
      <c r="A1390" s="34" t="s">
        <v>571</v>
      </c>
      <c r="B1390" s="34" t="s">
        <v>572</v>
      </c>
      <c r="C1390" s="37">
        <v>46026.67831018518</v>
      </c>
      <c r="D1390" s="36">
        <v>1500.0</v>
      </c>
    </row>
    <row r="1391">
      <c r="A1391" s="34" t="s">
        <v>573</v>
      </c>
      <c r="B1391" s="34" t="s">
        <v>574</v>
      </c>
      <c r="C1391" s="37">
        <v>46027.34616898148</v>
      </c>
      <c r="D1391" s="36">
        <v>1500.0</v>
      </c>
    </row>
    <row r="1392">
      <c r="A1392" s="34" t="s">
        <v>734</v>
      </c>
      <c r="B1392" s="34" t="s">
        <v>735</v>
      </c>
      <c r="C1392" s="37">
        <v>46027.596712962964</v>
      </c>
      <c r="D1392" s="36">
        <v>3000.0</v>
      </c>
    </row>
    <row r="1393">
      <c r="A1393" s="34" t="s">
        <v>577</v>
      </c>
      <c r="B1393" s="34" t="s">
        <v>578</v>
      </c>
      <c r="C1393" s="37">
        <v>46027.63792824074</v>
      </c>
      <c r="D1393" s="36">
        <v>1500.0</v>
      </c>
    </row>
    <row r="1394">
      <c r="A1394" s="34" t="s">
        <v>530</v>
      </c>
      <c r="B1394" s="34" t="s">
        <v>531</v>
      </c>
      <c r="C1394" s="37">
        <v>46027.64494212963</v>
      </c>
      <c r="D1394" s="36">
        <v>1500.0</v>
      </c>
    </row>
    <row r="1395">
      <c r="A1395" s="34" t="s">
        <v>736</v>
      </c>
      <c r="B1395" s="34" t="s">
        <v>737</v>
      </c>
      <c r="C1395" s="37">
        <v>46027.72819444445</v>
      </c>
      <c r="D1395" s="36">
        <v>1500.0</v>
      </c>
    </row>
    <row r="1396">
      <c r="A1396" s="34" t="s">
        <v>532</v>
      </c>
      <c r="B1396" s="34" t="s">
        <v>533</v>
      </c>
      <c r="C1396" s="37">
        <v>46027.762662037036</v>
      </c>
      <c r="D1396" s="36">
        <v>1500.0</v>
      </c>
    </row>
    <row r="1397">
      <c r="A1397" s="34"/>
      <c r="B1397" s="34"/>
      <c r="C1397" s="37">
        <v>46027.76547453704</v>
      </c>
      <c r="D1397" s="36">
        <v>4500.0</v>
      </c>
    </row>
    <row r="1398">
      <c r="A1398" s="34"/>
      <c r="B1398" s="34"/>
      <c r="C1398" s="37">
        <v>46027.787083333336</v>
      </c>
      <c r="D1398" s="36">
        <v>9000.0</v>
      </c>
    </row>
    <row r="1399">
      <c r="A1399" s="34" t="s">
        <v>464</v>
      </c>
      <c r="B1399" s="34" t="s">
        <v>465</v>
      </c>
      <c r="C1399" s="37">
        <v>46027.79483796296</v>
      </c>
      <c r="D1399" s="36">
        <v>1200.0</v>
      </c>
    </row>
    <row r="1400">
      <c r="A1400" s="34" t="s">
        <v>652</v>
      </c>
      <c r="B1400" s="34" t="s">
        <v>653</v>
      </c>
      <c r="C1400" s="37">
        <v>46028.472916666666</v>
      </c>
      <c r="D1400" s="36">
        <v>1500.0</v>
      </c>
    </row>
    <row r="1401">
      <c r="A1401" s="34" t="s">
        <v>644</v>
      </c>
      <c r="B1401" s="34" t="s">
        <v>645</v>
      </c>
      <c r="C1401" s="37">
        <v>46028.71800925926</v>
      </c>
      <c r="D1401" s="36">
        <v>1500.0</v>
      </c>
    </row>
    <row r="1402">
      <c r="A1402" s="34" t="s">
        <v>697</v>
      </c>
      <c r="B1402" s="34" t="s">
        <v>698</v>
      </c>
      <c r="C1402" s="37">
        <v>46028.78255787037</v>
      </c>
      <c r="D1402" s="36">
        <v>1500.0</v>
      </c>
    </row>
    <row r="1403">
      <c r="A1403" s="34" t="s">
        <v>738</v>
      </c>
      <c r="B1403" s="34" t="s">
        <v>739</v>
      </c>
      <c r="C1403" s="37">
        <v>46028.80212962963</v>
      </c>
      <c r="D1403" s="36">
        <v>500.0</v>
      </c>
    </row>
    <row r="1404">
      <c r="A1404" s="34" t="s">
        <v>454</v>
      </c>
      <c r="B1404" s="34" t="s">
        <v>455</v>
      </c>
      <c r="C1404" s="37">
        <v>46025.59953703704</v>
      </c>
      <c r="D1404" s="36">
        <v>1500.0</v>
      </c>
    </row>
    <row r="1405">
      <c r="A1405" s="34"/>
      <c r="B1405" s="34"/>
      <c r="C1405" s="37"/>
      <c r="D1405" s="36"/>
    </row>
    <row r="1406">
      <c r="A1406" s="34"/>
      <c r="B1406" s="34"/>
      <c r="C1406" s="37">
        <v>46029.691087962965</v>
      </c>
      <c r="D1406" s="36">
        <v>200.0</v>
      </c>
    </row>
    <row r="1407">
      <c r="A1407" s="34" t="s">
        <v>740</v>
      </c>
      <c r="B1407" s="34" t="s">
        <v>741</v>
      </c>
      <c r="C1407" s="37">
        <v>46029.72200231482</v>
      </c>
      <c r="D1407" s="36">
        <v>500.0</v>
      </c>
    </row>
    <row r="1408">
      <c r="A1408" s="34" t="s">
        <v>579</v>
      </c>
      <c r="B1408" s="34" t="s">
        <v>580</v>
      </c>
      <c r="C1408" s="37">
        <v>46029.7465625</v>
      </c>
      <c r="D1408" s="36">
        <v>1500.0</v>
      </c>
    </row>
    <row r="1409">
      <c r="A1409" s="34" t="s">
        <v>468</v>
      </c>
      <c r="B1409" s="34" t="s">
        <v>469</v>
      </c>
      <c r="C1409" s="37">
        <v>46029.761724537035</v>
      </c>
      <c r="D1409" s="36">
        <v>1500.0</v>
      </c>
    </row>
    <row r="1410">
      <c r="A1410" s="34" t="s">
        <v>742</v>
      </c>
      <c r="B1410" s="34" t="s">
        <v>743</v>
      </c>
      <c r="C1410" s="37">
        <v>46029.84756944444</v>
      </c>
      <c r="D1410" s="36">
        <v>3000.0</v>
      </c>
    </row>
    <row r="1411">
      <c r="A1411" s="34" t="s">
        <v>744</v>
      </c>
      <c r="B1411" s="34" t="s">
        <v>745</v>
      </c>
      <c r="C1411" s="37">
        <v>46030.70141203704</v>
      </c>
      <c r="D1411" s="36">
        <v>100.0</v>
      </c>
    </row>
    <row r="1412">
      <c r="A1412" s="34" t="s">
        <v>746</v>
      </c>
      <c r="B1412" s="34" t="s">
        <v>747</v>
      </c>
      <c r="C1412" s="37">
        <v>46030.740891203706</v>
      </c>
      <c r="D1412" s="36">
        <v>1500.0</v>
      </c>
    </row>
    <row r="1413">
      <c r="A1413" s="34" t="s">
        <v>536</v>
      </c>
      <c r="B1413" s="34" t="s">
        <v>537</v>
      </c>
      <c r="C1413" s="37">
        <v>46030.74167824074</v>
      </c>
      <c r="D1413" s="36">
        <v>1500.0</v>
      </c>
    </row>
    <row r="1414">
      <c r="A1414" s="34" t="s">
        <v>748</v>
      </c>
      <c r="B1414" s="34" t="s">
        <v>749</v>
      </c>
      <c r="C1414" s="37">
        <v>46030.76665509259</v>
      </c>
      <c r="D1414" s="36">
        <v>100.0</v>
      </c>
    </row>
    <row r="1415">
      <c r="A1415" s="34" t="s">
        <v>480</v>
      </c>
      <c r="B1415" s="34" t="s">
        <v>481</v>
      </c>
      <c r="C1415" s="37">
        <v>46030.96371527778</v>
      </c>
      <c r="D1415" s="36">
        <v>3600.0</v>
      </c>
    </row>
    <row r="1416">
      <c r="A1416" s="34"/>
      <c r="B1416" s="34"/>
      <c r="C1416" s="37">
        <v>46031.57408564815</v>
      </c>
      <c r="D1416" s="36">
        <v>4500.0</v>
      </c>
    </row>
    <row r="1417">
      <c r="A1417" s="34" t="s">
        <v>750</v>
      </c>
      <c r="B1417" s="34" t="s">
        <v>751</v>
      </c>
      <c r="C1417" s="37">
        <v>46031.58833333333</v>
      </c>
      <c r="D1417" s="36">
        <v>3000.0</v>
      </c>
    </row>
    <row r="1418">
      <c r="A1418" s="34" t="s">
        <v>583</v>
      </c>
      <c r="B1418" s="34" t="s">
        <v>584</v>
      </c>
      <c r="C1418" s="37">
        <v>46031.680300925924</v>
      </c>
      <c r="D1418" s="36">
        <v>1500.0</v>
      </c>
    </row>
    <row r="1419">
      <c r="A1419" s="34" t="s">
        <v>522</v>
      </c>
      <c r="B1419" s="34" t="s">
        <v>523</v>
      </c>
      <c r="C1419" s="37">
        <v>46024.68796296296</v>
      </c>
      <c r="D1419" s="36">
        <v>1200.0</v>
      </c>
    </row>
    <row r="1420">
      <c r="A1420" s="34" t="s">
        <v>752</v>
      </c>
      <c r="B1420" s="34" t="s">
        <v>753</v>
      </c>
      <c r="C1420" s="37">
        <v>46031.79555555555</v>
      </c>
      <c r="D1420" s="36">
        <v>3000.0</v>
      </c>
    </row>
    <row r="1421">
      <c r="A1421" s="34"/>
      <c r="B1421" s="34"/>
      <c r="C1421" s="37"/>
      <c r="D1421" s="36"/>
    </row>
    <row r="1422">
      <c r="A1422" s="34"/>
      <c r="B1422" s="34"/>
      <c r="C1422" s="37">
        <v>46032.555868055555</v>
      </c>
      <c r="D1422" s="36">
        <v>6000.0</v>
      </c>
    </row>
    <row r="1423">
      <c r="A1423" s="34"/>
      <c r="B1423" s="34"/>
      <c r="C1423" s="37">
        <v>46032.65049768519</v>
      </c>
      <c r="D1423" s="36">
        <v>6000.0</v>
      </c>
    </row>
    <row r="1424">
      <c r="A1424" s="34" t="s">
        <v>701</v>
      </c>
      <c r="B1424" s="34" t="s">
        <v>702</v>
      </c>
      <c r="C1424" s="37">
        <v>46032.77439814815</v>
      </c>
      <c r="D1424" s="36">
        <v>1500.0</v>
      </c>
    </row>
    <row r="1425">
      <c r="A1425" s="34" t="s">
        <v>542</v>
      </c>
      <c r="B1425" s="34" t="s">
        <v>543</v>
      </c>
      <c r="C1425" s="37">
        <v>46032.81390046296</v>
      </c>
      <c r="D1425" s="36">
        <v>1500.0</v>
      </c>
    </row>
    <row r="1426">
      <c r="A1426" s="34"/>
      <c r="B1426" s="34"/>
      <c r="C1426" s="37"/>
      <c r="D1426" s="36"/>
    </row>
    <row r="1427">
      <c r="A1427" s="34" t="s">
        <v>585</v>
      </c>
      <c r="B1427" s="34" t="s">
        <v>586</v>
      </c>
      <c r="C1427" s="37">
        <v>46033.59260416667</v>
      </c>
      <c r="D1427" s="36">
        <v>1500.0</v>
      </c>
    </row>
    <row r="1428">
      <c r="A1428" s="34" t="s">
        <v>754</v>
      </c>
      <c r="B1428" s="34" t="s">
        <v>755</v>
      </c>
      <c r="C1428" s="37">
        <v>46033.7508912037</v>
      </c>
      <c r="D1428" s="36">
        <v>500.0</v>
      </c>
    </row>
    <row r="1429">
      <c r="A1429" s="34"/>
      <c r="B1429" s="34"/>
      <c r="C1429" s="37"/>
      <c r="D1429" s="36"/>
    </row>
    <row r="1430">
      <c r="A1430" s="34" t="s">
        <v>654</v>
      </c>
      <c r="B1430" s="34" t="s">
        <v>655</v>
      </c>
      <c r="C1430" s="37">
        <v>46033.771469907406</v>
      </c>
      <c r="D1430" s="36">
        <v>1500.0</v>
      </c>
    </row>
    <row r="1431">
      <c r="A1431" s="34" t="s">
        <v>695</v>
      </c>
      <c r="B1431" s="34" t="s">
        <v>696</v>
      </c>
      <c r="C1431" s="37">
        <v>46025.7843287037</v>
      </c>
      <c r="D1431" s="36">
        <v>1000.0</v>
      </c>
    </row>
    <row r="1432">
      <c r="A1432" s="34" t="s">
        <v>32</v>
      </c>
      <c r="B1432" s="34" t="s">
        <v>656</v>
      </c>
      <c r="C1432" s="37">
        <v>46034.413831018515</v>
      </c>
      <c r="D1432" s="36">
        <v>1500.0</v>
      </c>
    </row>
    <row r="1433">
      <c r="A1433" s="34"/>
      <c r="B1433" s="34"/>
      <c r="C1433" s="37"/>
      <c r="D1433" s="36"/>
    </row>
    <row r="1434">
      <c r="A1434" s="34" t="s">
        <v>589</v>
      </c>
      <c r="B1434" s="34" t="s">
        <v>590</v>
      </c>
      <c r="C1434" s="37">
        <v>46034.74652777778</v>
      </c>
      <c r="D1434" s="36">
        <v>1500.0</v>
      </c>
    </row>
    <row r="1435">
      <c r="A1435" s="34" t="s">
        <v>544</v>
      </c>
      <c r="B1435" s="34" t="s">
        <v>545</v>
      </c>
      <c r="C1435" s="37">
        <v>46034.760046296295</v>
      </c>
      <c r="D1435" s="36">
        <v>1500.0</v>
      </c>
    </row>
    <row r="1436">
      <c r="A1436" s="34"/>
      <c r="B1436" s="34"/>
      <c r="C1436" s="37">
        <v>46034.76094907407</v>
      </c>
      <c r="D1436" s="36">
        <v>9000.0</v>
      </c>
    </row>
    <row r="1437">
      <c r="A1437" s="34" t="s">
        <v>591</v>
      </c>
      <c r="B1437" s="34" t="s">
        <v>592</v>
      </c>
      <c r="C1437" s="37">
        <v>46035.71158564815</v>
      </c>
      <c r="D1437" s="36">
        <v>1500.0</v>
      </c>
    </row>
    <row r="1438">
      <c r="A1438" s="34" t="s">
        <v>756</v>
      </c>
      <c r="B1438" s="34" t="s">
        <v>757</v>
      </c>
      <c r="C1438" s="37">
        <v>46035.78356481482</v>
      </c>
      <c r="D1438" s="36">
        <v>3000.0</v>
      </c>
    </row>
    <row r="1439">
      <c r="A1439" s="34"/>
      <c r="B1439" s="34"/>
      <c r="C1439" s="37"/>
      <c r="D1439" s="36"/>
    </row>
    <row r="1440">
      <c r="A1440" s="34" t="s">
        <v>594</v>
      </c>
      <c r="B1440" s="34" t="s">
        <v>595</v>
      </c>
      <c r="C1440" s="37">
        <v>46036.68310185185</v>
      </c>
      <c r="D1440" s="36">
        <v>1500.0</v>
      </c>
    </row>
    <row r="1441">
      <c r="A1441" s="34"/>
      <c r="B1441" s="34"/>
      <c r="C1441" s="37">
        <v>46036.78616898148</v>
      </c>
      <c r="D1441" s="36">
        <v>9000.0</v>
      </c>
    </row>
    <row r="1442">
      <c r="A1442" s="34" t="s">
        <v>758</v>
      </c>
      <c r="B1442" s="34" t="s">
        <v>759</v>
      </c>
      <c r="C1442" s="37">
        <v>46036.83052083333</v>
      </c>
      <c r="D1442" s="36">
        <v>500.0</v>
      </c>
    </row>
    <row r="1443">
      <c r="A1443" s="34" t="s">
        <v>646</v>
      </c>
      <c r="B1443" s="34" t="s">
        <v>647</v>
      </c>
      <c r="C1443" s="37">
        <v>46028.65918981482</v>
      </c>
      <c r="D1443" s="36">
        <v>1500.0</v>
      </c>
    </row>
    <row r="1444">
      <c r="A1444" s="34" t="s">
        <v>760</v>
      </c>
      <c r="B1444" s="34" t="s">
        <v>761</v>
      </c>
      <c r="C1444" s="37">
        <v>46037.663877314815</v>
      </c>
      <c r="D1444" s="36">
        <v>3000.0</v>
      </c>
    </row>
    <row r="1445">
      <c r="A1445" s="34"/>
      <c r="B1445" s="34"/>
      <c r="C1445" s="37">
        <v>46037.68545138889</v>
      </c>
      <c r="D1445" s="36">
        <v>4500.0</v>
      </c>
    </row>
    <row r="1446">
      <c r="A1446" s="34" t="s">
        <v>596</v>
      </c>
      <c r="B1446" s="34" t="s">
        <v>597</v>
      </c>
      <c r="C1446" s="37">
        <v>46037.70927083334</v>
      </c>
      <c r="D1446" s="36">
        <v>1500.0</v>
      </c>
    </row>
    <row r="1447">
      <c r="A1447" s="34" t="s">
        <v>762</v>
      </c>
      <c r="B1447" s="34" t="s">
        <v>763</v>
      </c>
      <c r="C1447" s="37">
        <v>46037.75929398148</v>
      </c>
      <c r="D1447" s="36">
        <v>2500.0</v>
      </c>
    </row>
    <row r="1448">
      <c r="A1448" s="34" t="s">
        <v>546</v>
      </c>
      <c r="B1448" s="34" t="s">
        <v>547</v>
      </c>
      <c r="C1448" s="37">
        <v>46037.80434027778</v>
      </c>
      <c r="D1448" s="36">
        <v>1500.0</v>
      </c>
    </row>
    <row r="1449">
      <c r="A1449" s="34" t="s">
        <v>367</v>
      </c>
      <c r="B1449" s="34" t="s">
        <v>368</v>
      </c>
      <c r="C1449" s="37">
        <v>46037.88475694445</v>
      </c>
      <c r="D1449" s="36">
        <v>1200.0</v>
      </c>
    </row>
    <row r="1450">
      <c r="A1450" s="34"/>
      <c r="B1450" s="34"/>
      <c r="C1450" s="37">
        <v>46038.66091435185</v>
      </c>
      <c r="D1450" s="36">
        <v>9000.0</v>
      </c>
    </row>
    <row r="1451">
      <c r="A1451" s="34" t="s">
        <v>764</v>
      </c>
      <c r="B1451" s="34" t="s">
        <v>765</v>
      </c>
      <c r="C1451" s="37">
        <v>46038.72011574074</v>
      </c>
      <c r="D1451" s="36">
        <v>3000.0</v>
      </c>
    </row>
    <row r="1452">
      <c r="A1452" s="34" t="s">
        <v>766</v>
      </c>
      <c r="B1452" s="34" t="s">
        <v>767</v>
      </c>
      <c r="C1452" s="37">
        <v>46038.90758101852</v>
      </c>
      <c r="D1452" s="36">
        <v>3000.0</v>
      </c>
    </row>
    <row r="1453">
      <c r="A1453" s="34" t="s">
        <v>484</v>
      </c>
      <c r="B1453" s="34" t="s">
        <v>485</v>
      </c>
      <c r="C1453" s="37">
        <v>46036.706400462965</v>
      </c>
      <c r="D1453" s="36">
        <v>1500.0</v>
      </c>
    </row>
    <row r="1454">
      <c r="A1454" s="34" t="s">
        <v>768</v>
      </c>
      <c r="B1454" s="34" t="s">
        <v>769</v>
      </c>
      <c r="C1454" s="37">
        <v>46039.564155092594</v>
      </c>
      <c r="D1454" s="36">
        <v>3000.0</v>
      </c>
    </row>
    <row r="1455">
      <c r="A1455" s="34" t="s">
        <v>598</v>
      </c>
      <c r="B1455" s="34" t="s">
        <v>599</v>
      </c>
      <c r="C1455" s="37">
        <v>46037.82493055556</v>
      </c>
      <c r="D1455" s="36">
        <v>1500.0</v>
      </c>
    </row>
    <row r="1456">
      <c r="A1456" s="34" t="s">
        <v>770</v>
      </c>
      <c r="B1456" s="34" t="s">
        <v>771</v>
      </c>
      <c r="C1456" s="37">
        <v>46040.64098379629</v>
      </c>
      <c r="D1456" s="36">
        <v>2000.0</v>
      </c>
    </row>
    <row r="1457">
      <c r="A1457" s="34" t="s">
        <v>772</v>
      </c>
      <c r="B1457" s="34" t="s">
        <v>773</v>
      </c>
      <c r="C1457" s="37">
        <v>46040.73582175926</v>
      </c>
      <c r="D1457" s="36">
        <v>5000.0</v>
      </c>
    </row>
    <row r="1458">
      <c r="A1458" s="34" t="s">
        <v>492</v>
      </c>
      <c r="B1458" s="34" t="s">
        <v>493</v>
      </c>
      <c r="C1458" s="37">
        <v>46040.7628587963</v>
      </c>
      <c r="D1458" s="36">
        <v>1500.0</v>
      </c>
    </row>
    <row r="1459">
      <c r="A1459" s="34" t="s">
        <v>774</v>
      </c>
      <c r="B1459" s="34" t="s">
        <v>775</v>
      </c>
      <c r="C1459" s="37">
        <v>46040.82697916667</v>
      </c>
      <c r="D1459" s="36">
        <v>3000.0</v>
      </c>
    </row>
    <row r="1460">
      <c r="A1460" s="34" t="s">
        <v>744</v>
      </c>
      <c r="B1460" s="34" t="s">
        <v>745</v>
      </c>
      <c r="C1460" s="37">
        <v>46041.75375</v>
      </c>
      <c r="D1460" s="36">
        <v>3000.0</v>
      </c>
    </row>
    <row r="1461">
      <c r="A1461" s="34"/>
      <c r="B1461" s="34"/>
      <c r="C1461" s="37">
        <v>46041.8068287037</v>
      </c>
      <c r="D1461" s="36">
        <v>9000.0</v>
      </c>
    </row>
    <row r="1462">
      <c r="A1462" s="34"/>
      <c r="B1462" s="34"/>
      <c r="C1462" s="37">
        <v>46041.82710648148</v>
      </c>
      <c r="D1462" s="36">
        <v>9000.0</v>
      </c>
    </row>
    <row r="1463">
      <c r="A1463" s="34" t="s">
        <v>416</v>
      </c>
      <c r="B1463" s="34" t="s">
        <v>417</v>
      </c>
      <c r="C1463" s="37">
        <v>46041.84983796296</v>
      </c>
      <c r="D1463" s="36">
        <v>1200.0</v>
      </c>
    </row>
    <row r="1464">
      <c r="A1464" s="34" t="s">
        <v>117</v>
      </c>
      <c r="B1464" s="34" t="s">
        <v>118</v>
      </c>
      <c r="C1464" s="37">
        <v>46042.592824074076</v>
      </c>
      <c r="D1464" s="36">
        <v>1200.0</v>
      </c>
    </row>
    <row r="1465">
      <c r="A1465" s="34" t="s">
        <v>776</v>
      </c>
      <c r="B1465" s="34" t="s">
        <v>777</v>
      </c>
      <c r="C1465" s="37">
        <v>46042.741793981484</v>
      </c>
      <c r="D1465" s="36">
        <v>50.0</v>
      </c>
    </row>
    <row r="1466">
      <c r="A1466" s="34" t="s">
        <v>604</v>
      </c>
      <c r="B1466" s="34" t="s">
        <v>605</v>
      </c>
      <c r="C1466" s="37">
        <v>46042.81138888889</v>
      </c>
      <c r="D1466" s="36">
        <v>1500.0</v>
      </c>
    </row>
    <row r="1467">
      <c r="A1467" s="34" t="s">
        <v>424</v>
      </c>
      <c r="B1467" s="34" t="s">
        <v>425</v>
      </c>
      <c r="C1467" s="37">
        <v>46043.48699074074</v>
      </c>
      <c r="D1467" s="36">
        <v>1500.0</v>
      </c>
    </row>
    <row r="1468">
      <c r="A1468" s="34" t="s">
        <v>556</v>
      </c>
      <c r="B1468" s="34" t="s">
        <v>557</v>
      </c>
      <c r="C1468" s="37">
        <v>46043.63694444444</v>
      </c>
      <c r="D1468" s="36">
        <v>1500.0</v>
      </c>
    </row>
    <row r="1469">
      <c r="A1469" s="34" t="s">
        <v>778</v>
      </c>
      <c r="B1469" s="34" t="s">
        <v>779</v>
      </c>
      <c r="C1469" s="37">
        <v>46043.704050925924</v>
      </c>
      <c r="D1469" s="36">
        <v>50.0</v>
      </c>
    </row>
    <row r="1470">
      <c r="A1470" s="34" t="s">
        <v>780</v>
      </c>
      <c r="B1470" s="34" t="s">
        <v>781</v>
      </c>
      <c r="C1470" s="37">
        <v>46043.724444444444</v>
      </c>
      <c r="D1470" s="36">
        <v>50.0</v>
      </c>
    </row>
    <row r="1471">
      <c r="A1471" s="34" t="s">
        <v>782</v>
      </c>
      <c r="B1471" s="34" t="s">
        <v>783</v>
      </c>
      <c r="C1471" s="37">
        <v>46043.789930555555</v>
      </c>
      <c r="D1471" s="36">
        <v>7000.0</v>
      </c>
    </row>
    <row r="1472">
      <c r="A1472" s="34" t="s">
        <v>784</v>
      </c>
      <c r="B1472" s="34" t="s">
        <v>785</v>
      </c>
      <c r="C1472" s="37">
        <v>46043.84631944444</v>
      </c>
      <c r="D1472" s="36">
        <v>2500.0</v>
      </c>
    </row>
    <row r="1473">
      <c r="A1473" s="34" t="s">
        <v>786</v>
      </c>
      <c r="B1473" s="34" t="s">
        <v>787</v>
      </c>
      <c r="C1473" s="37">
        <v>46044.47179398148</v>
      </c>
      <c r="D1473" s="36">
        <v>3000.0</v>
      </c>
    </row>
    <row r="1474">
      <c r="A1474" s="34" t="s">
        <v>420</v>
      </c>
      <c r="B1474" s="34" t="s">
        <v>421</v>
      </c>
      <c r="C1474" s="37">
        <v>46042.72739583333</v>
      </c>
      <c r="D1474" s="36">
        <v>1500.0</v>
      </c>
    </row>
    <row r="1475">
      <c r="A1475" s="34" t="s">
        <v>581</v>
      </c>
      <c r="B1475" s="34" t="s">
        <v>582</v>
      </c>
      <c r="C1475" s="37">
        <v>46037.73949074074</v>
      </c>
      <c r="D1475" s="36">
        <v>1500.0</v>
      </c>
    </row>
    <row r="1476">
      <c r="A1476" s="34" t="s">
        <v>778</v>
      </c>
      <c r="B1476" s="34" t="s">
        <v>779</v>
      </c>
      <c r="C1476" s="37">
        <v>46044.76358796296</v>
      </c>
      <c r="D1476" s="36">
        <v>2600.0</v>
      </c>
    </row>
    <row r="1477">
      <c r="A1477" s="34"/>
      <c r="B1477" s="34"/>
      <c r="C1477" s="37">
        <v>46044.80217592593</v>
      </c>
      <c r="D1477" s="36">
        <v>6000.0</v>
      </c>
    </row>
    <row r="1478">
      <c r="A1478" s="34" t="s">
        <v>788</v>
      </c>
      <c r="B1478" s="34" t="s">
        <v>789</v>
      </c>
      <c r="C1478" s="37">
        <v>46045.64496527778</v>
      </c>
      <c r="D1478" s="36">
        <v>3000.0</v>
      </c>
    </row>
    <row r="1479">
      <c r="A1479" s="34" t="s">
        <v>790</v>
      </c>
      <c r="B1479" s="34" t="s">
        <v>791</v>
      </c>
      <c r="C1479" s="37">
        <v>46045.71959490741</v>
      </c>
      <c r="D1479" s="36">
        <v>3000.0</v>
      </c>
    </row>
    <row r="1480">
      <c r="A1480" s="34" t="s">
        <v>496</v>
      </c>
      <c r="B1480" s="34" t="s">
        <v>497</v>
      </c>
      <c r="C1480" s="37">
        <v>46044.71986111111</v>
      </c>
      <c r="D1480" s="36">
        <v>1500.0</v>
      </c>
    </row>
    <row r="1481">
      <c r="A1481" s="34" t="s">
        <v>548</v>
      </c>
      <c r="B1481" s="34" t="s">
        <v>549</v>
      </c>
      <c r="C1481" s="37">
        <v>46039.80679398148</v>
      </c>
      <c r="D1481" s="36">
        <v>1500.0</v>
      </c>
    </row>
    <row r="1482">
      <c r="A1482" s="34"/>
      <c r="B1482" s="34"/>
      <c r="C1482" s="37"/>
      <c r="D1482" s="36"/>
    </row>
    <row r="1483">
      <c r="A1483" s="34"/>
      <c r="B1483" s="34"/>
      <c r="C1483" s="37"/>
      <c r="D1483" s="36"/>
    </row>
    <row r="1484">
      <c r="A1484" s="34" t="s">
        <v>792</v>
      </c>
      <c r="B1484" s="34" t="s">
        <v>793</v>
      </c>
      <c r="C1484" s="37">
        <v>46048.76846064815</v>
      </c>
      <c r="D1484" s="36">
        <v>500.0</v>
      </c>
    </row>
    <row r="1485">
      <c r="A1485" s="34" t="s">
        <v>794</v>
      </c>
      <c r="B1485" s="34" t="s">
        <v>795</v>
      </c>
      <c r="C1485" s="37">
        <v>46048.78665509259</v>
      </c>
      <c r="D1485" s="36">
        <v>3000.0</v>
      </c>
    </row>
    <row r="1486">
      <c r="A1486" s="34" t="s">
        <v>616</v>
      </c>
      <c r="B1486" s="34" t="s">
        <v>617</v>
      </c>
      <c r="C1486" s="37">
        <v>46049.72591435185</v>
      </c>
      <c r="D1486" s="36">
        <v>1500.0</v>
      </c>
    </row>
    <row r="1487">
      <c r="A1487" s="34" t="s">
        <v>796</v>
      </c>
      <c r="B1487" s="34" t="s">
        <v>797</v>
      </c>
      <c r="C1487" s="37">
        <v>46049.74940972222</v>
      </c>
      <c r="D1487" s="36">
        <v>3000.0</v>
      </c>
    </row>
    <row r="1488">
      <c r="A1488" s="34" t="s">
        <v>798</v>
      </c>
      <c r="B1488" s="34" t="s">
        <v>799</v>
      </c>
      <c r="C1488" s="37">
        <v>46049.76905092593</v>
      </c>
      <c r="D1488" s="36">
        <v>4500.0</v>
      </c>
    </row>
    <row r="1489">
      <c r="A1489" s="34" t="s">
        <v>798</v>
      </c>
      <c r="B1489" s="34" t="s">
        <v>799</v>
      </c>
      <c r="C1489" s="37">
        <v>46049.77043981481</v>
      </c>
      <c r="D1489" s="36">
        <v>4500.0</v>
      </c>
    </row>
    <row r="1490">
      <c r="A1490" s="34" t="s">
        <v>758</v>
      </c>
      <c r="B1490" s="34" t="s">
        <v>759</v>
      </c>
      <c r="C1490" s="37">
        <v>46049.81297453704</v>
      </c>
      <c r="D1490" s="36">
        <v>2500.0</v>
      </c>
    </row>
    <row r="1491">
      <c r="A1491" s="34" t="s">
        <v>671</v>
      </c>
      <c r="B1491" s="34" t="s">
        <v>672</v>
      </c>
      <c r="C1491" s="37">
        <v>46049.88736111111</v>
      </c>
      <c r="D1491" s="36">
        <v>1500.0</v>
      </c>
    </row>
    <row r="1492">
      <c r="A1492" s="34" t="s">
        <v>562</v>
      </c>
      <c r="B1492" s="34" t="s">
        <v>563</v>
      </c>
      <c r="C1492" s="37">
        <v>46050.755324074074</v>
      </c>
      <c r="D1492" s="36">
        <v>1500.0</v>
      </c>
    </row>
    <row r="1493">
      <c r="A1493" s="34" t="s">
        <v>677</v>
      </c>
      <c r="B1493" s="34" t="s">
        <v>678</v>
      </c>
      <c r="C1493" s="37">
        <v>46050.756747685184</v>
      </c>
      <c r="D1493" s="36">
        <v>500.0</v>
      </c>
    </row>
    <row r="1494">
      <c r="A1494" s="34" t="s">
        <v>620</v>
      </c>
      <c r="B1494" s="34" t="s">
        <v>621</v>
      </c>
      <c r="C1494" s="37">
        <v>46050.79576388889</v>
      </c>
      <c r="D1494" s="36">
        <v>1500.0</v>
      </c>
    </row>
    <row r="1495">
      <c r="A1495" s="34" t="s">
        <v>707</v>
      </c>
      <c r="B1495" s="34" t="s">
        <v>708</v>
      </c>
      <c r="C1495" s="37">
        <v>46043.90084490741</v>
      </c>
      <c r="D1495" s="36">
        <v>1500.0</v>
      </c>
    </row>
    <row r="1496">
      <c r="A1496" s="34" t="s">
        <v>669</v>
      </c>
      <c r="B1496" s="34" t="s">
        <v>670</v>
      </c>
      <c r="C1496" s="37">
        <v>46044.70824074074</v>
      </c>
      <c r="D1496" s="36">
        <v>1500.0</v>
      </c>
    </row>
    <row r="1497">
      <c r="A1497" s="34" t="s">
        <v>681</v>
      </c>
      <c r="B1497" s="34" t="s">
        <v>682</v>
      </c>
      <c r="C1497" s="37">
        <v>46051.638194444444</v>
      </c>
      <c r="D1497" s="36">
        <v>1500.0</v>
      </c>
    </row>
    <row r="1498">
      <c r="A1498" s="34" t="s">
        <v>800</v>
      </c>
      <c r="B1498" s="34" t="s">
        <v>801</v>
      </c>
      <c r="C1498" s="37">
        <v>46051.69799768519</v>
      </c>
      <c r="D1498" s="36">
        <v>12000.0</v>
      </c>
    </row>
    <row r="1499">
      <c r="A1499" s="34" t="s">
        <v>428</v>
      </c>
      <c r="B1499" s="34" t="s">
        <v>429</v>
      </c>
      <c r="C1499" s="37">
        <v>46044.80900462963</v>
      </c>
      <c r="D1499" s="36">
        <v>1500.0</v>
      </c>
    </row>
    <row r="1500">
      <c r="A1500" s="34" t="s">
        <v>506</v>
      </c>
      <c r="B1500" s="34" t="s">
        <v>507</v>
      </c>
      <c r="C1500" s="37">
        <v>46051.72917824074</v>
      </c>
      <c r="D1500" s="36">
        <v>1500.0</v>
      </c>
    </row>
    <row r="1501">
      <c r="A1501" s="34" t="s">
        <v>679</v>
      </c>
      <c r="B1501" s="34" t="s">
        <v>680</v>
      </c>
      <c r="C1501" s="37">
        <v>46050.7908912037</v>
      </c>
      <c r="D1501" s="36">
        <v>1500.0</v>
      </c>
    </row>
    <row r="1502">
      <c r="A1502" s="34" t="s">
        <v>675</v>
      </c>
      <c r="B1502" s="34" t="s">
        <v>676</v>
      </c>
      <c r="C1502" s="37">
        <v>46050.71020833333</v>
      </c>
      <c r="D1502" s="36">
        <v>1500.0</v>
      </c>
    </row>
    <row r="1503">
      <c r="A1503" s="34" t="s">
        <v>782</v>
      </c>
      <c r="B1503" s="34" t="s">
        <v>783</v>
      </c>
      <c r="C1503" s="37">
        <v>46052.313472222224</v>
      </c>
      <c r="D1503" s="36">
        <v>3000.0</v>
      </c>
    </row>
    <row r="1504">
      <c r="A1504" s="34" t="s">
        <v>608</v>
      </c>
      <c r="B1504" s="34" t="s">
        <v>609</v>
      </c>
      <c r="C1504" s="37">
        <v>46045.27520833333</v>
      </c>
      <c r="D1504" s="36">
        <v>1500.0</v>
      </c>
    </row>
    <row r="1505">
      <c r="A1505" s="34" t="s">
        <v>802</v>
      </c>
      <c r="B1505" s="34" t="s">
        <v>803</v>
      </c>
      <c r="C1505" s="37">
        <v>46052.49465277778</v>
      </c>
      <c r="D1505" s="36">
        <v>3000.0</v>
      </c>
    </row>
    <row r="1506">
      <c r="A1506" s="34"/>
      <c r="B1506" s="34"/>
      <c r="C1506" s="37">
        <v>46052.56313657408</v>
      </c>
      <c r="D1506" s="36">
        <v>4800.0</v>
      </c>
    </row>
    <row r="1507">
      <c r="A1507" s="34" t="s">
        <v>560</v>
      </c>
      <c r="B1507" s="34" t="s">
        <v>561</v>
      </c>
      <c r="C1507" s="37">
        <v>46047.65795138889</v>
      </c>
      <c r="D1507" s="36">
        <v>1500.0</v>
      </c>
    </row>
    <row r="1508">
      <c r="A1508" s="34"/>
      <c r="B1508" s="34"/>
      <c r="C1508" s="37">
        <v>46052.62960648148</v>
      </c>
      <c r="D1508" s="36">
        <v>6000.0</v>
      </c>
    </row>
    <row r="1509">
      <c r="A1509" s="34" t="s">
        <v>804</v>
      </c>
      <c r="B1509" s="34" t="s">
        <v>805</v>
      </c>
      <c r="C1509" s="37">
        <v>46050.7908912037</v>
      </c>
      <c r="D1509" s="36">
        <v>3000.0</v>
      </c>
    </row>
    <row r="1510">
      <c r="A1510" s="34"/>
      <c r="B1510" s="34"/>
      <c r="C1510" s="37">
        <v>46050.71020833333</v>
      </c>
      <c r="D1510" s="31">
        <v>-1500.0</v>
      </c>
    </row>
    <row r="1511">
      <c r="A1511" s="34"/>
      <c r="B1511" s="34"/>
      <c r="C1511" s="37">
        <v>46052.313472222224</v>
      </c>
      <c r="D1511" s="31">
        <v>-1200.0</v>
      </c>
    </row>
    <row r="1512">
      <c r="A1512" s="34"/>
      <c r="B1512" s="34"/>
      <c r="C1512" s="37">
        <v>46045.27520833333</v>
      </c>
      <c r="D1512" s="31">
        <v>-1200.0</v>
      </c>
    </row>
    <row r="1513">
      <c r="A1513" s="34"/>
      <c r="B1513" s="34"/>
      <c r="C1513" s="37">
        <v>46052.49465277778</v>
      </c>
      <c r="D1513" s="31">
        <v>-9000.0</v>
      </c>
    </row>
    <row r="1514">
      <c r="A1514" s="34"/>
      <c r="B1514" s="34"/>
      <c r="C1514" s="37">
        <v>46052.56313657408</v>
      </c>
      <c r="D1514" s="31">
        <v>-100.0</v>
      </c>
    </row>
    <row r="1515">
      <c r="A1515" s="34"/>
      <c r="B1515" s="34"/>
      <c r="C1515" s="37">
        <v>46047.65795138889</v>
      </c>
      <c r="D1515" s="31">
        <v>-1500.0</v>
      </c>
    </row>
    <row r="1516">
      <c r="A1516" s="34"/>
      <c r="B1516" s="34"/>
      <c r="C1516" s="37">
        <v>46052.62960648148</v>
      </c>
      <c r="D1516" s="31">
        <v>-1000.0</v>
      </c>
    </row>
    <row r="1517">
      <c r="A1517" s="34" t="s">
        <v>806</v>
      </c>
      <c r="B1517" s="34" t="s">
        <v>807</v>
      </c>
      <c r="C1517" s="37">
        <v>46052.70087962963</v>
      </c>
      <c r="D1517" s="36">
        <v>3000.0</v>
      </c>
    </row>
    <row r="1518">
      <c r="A1518" s="34"/>
      <c r="B1518" s="34"/>
      <c r="C1518" s="37">
        <v>46052.76519675926</v>
      </c>
      <c r="D1518" s="36">
        <v>6000.0</v>
      </c>
    </row>
    <row r="1519">
      <c r="A1519" s="34" t="s">
        <v>622</v>
      </c>
      <c r="B1519" s="34" t="s">
        <v>566</v>
      </c>
      <c r="C1519" s="37">
        <v>46052.76540509259</v>
      </c>
      <c r="D1519" s="36">
        <v>1500.0</v>
      </c>
    </row>
    <row r="1520">
      <c r="A1520" s="34" t="s">
        <v>683</v>
      </c>
      <c r="B1520" s="34" t="s">
        <v>684</v>
      </c>
      <c r="C1520" s="37">
        <v>46052.80496527778</v>
      </c>
      <c r="D1520" s="36">
        <v>1500.0</v>
      </c>
    </row>
    <row r="1521">
      <c r="A1521" s="34" t="s">
        <v>436</v>
      </c>
      <c r="B1521" s="34" t="s">
        <v>437</v>
      </c>
      <c r="C1521" s="37">
        <v>46052.842361111114</v>
      </c>
      <c r="D1521" s="36">
        <v>1500.0</v>
      </c>
    </row>
    <row r="1522">
      <c r="A1522" s="34" t="s">
        <v>623</v>
      </c>
      <c r="B1522" s="34" t="s">
        <v>624</v>
      </c>
      <c r="C1522" s="37">
        <v>46052.92717592593</v>
      </c>
      <c r="D1522" s="36">
        <v>1500.0</v>
      </c>
    </row>
    <row r="1523">
      <c r="A1523" s="34" t="s">
        <v>808</v>
      </c>
      <c r="B1523" s="34" t="s">
        <v>809</v>
      </c>
      <c r="C1523" s="37">
        <v>46053.39493055556</v>
      </c>
      <c r="D1523" s="36">
        <v>800.0</v>
      </c>
    </row>
    <row r="1524">
      <c r="A1524" s="34" t="s">
        <v>627</v>
      </c>
      <c r="B1524" s="34" t="s">
        <v>628</v>
      </c>
      <c r="C1524" s="37">
        <v>46053.63119212963</v>
      </c>
      <c r="D1524" s="36">
        <v>1500.0</v>
      </c>
    </row>
    <row r="1525">
      <c r="A1525" s="34" t="s">
        <v>629</v>
      </c>
      <c r="B1525" s="34" t="s">
        <v>630</v>
      </c>
      <c r="C1525" s="37">
        <v>46053.74313657408</v>
      </c>
      <c r="D1525" s="36">
        <v>1500.0</v>
      </c>
    </row>
    <row r="1526">
      <c r="A1526" s="34" t="s">
        <v>810</v>
      </c>
      <c r="B1526" s="34" t="s">
        <v>811</v>
      </c>
      <c r="C1526" s="37">
        <v>46053.77302083333</v>
      </c>
      <c r="D1526" s="36">
        <v>500.0</v>
      </c>
    </row>
    <row r="1527">
      <c r="A1527" s="34" t="s">
        <v>812</v>
      </c>
      <c r="B1527" s="34" t="s">
        <v>813</v>
      </c>
      <c r="C1527" s="37">
        <v>46053.82939814815</v>
      </c>
      <c r="D1527" s="36">
        <v>3000.0</v>
      </c>
    </row>
    <row r="1528">
      <c r="A1528" s="34" t="s">
        <v>780</v>
      </c>
      <c r="B1528" s="34" t="s">
        <v>781</v>
      </c>
      <c r="C1528" s="37">
        <v>46053.87515046296</v>
      </c>
      <c r="D1528" s="36">
        <v>1875.0</v>
      </c>
    </row>
    <row r="1529">
      <c r="A1529" s="34" t="s">
        <v>157</v>
      </c>
      <c r="B1529" s="34" t="s">
        <v>158</v>
      </c>
      <c r="C1529" s="37">
        <v>46054.30068287037</v>
      </c>
      <c r="D1529" s="36">
        <v>1200.0</v>
      </c>
    </row>
    <row r="1530">
      <c r="A1530" s="34" t="s">
        <v>567</v>
      </c>
      <c r="B1530" s="34" t="s">
        <v>568</v>
      </c>
      <c r="C1530" s="37">
        <v>46054.619675925926</v>
      </c>
      <c r="D1530" s="36">
        <v>1500.0</v>
      </c>
    </row>
    <row r="1531">
      <c r="A1531" s="34"/>
      <c r="B1531" s="34"/>
      <c r="C1531" s="37">
        <v>46054.74</v>
      </c>
      <c r="D1531" s="36">
        <v>4500.0</v>
      </c>
    </row>
    <row r="1532">
      <c r="A1532" s="34" t="s">
        <v>711</v>
      </c>
      <c r="B1532" s="34" t="s">
        <v>712</v>
      </c>
      <c r="C1532" s="37">
        <v>46054.870729166665</v>
      </c>
      <c r="D1532" s="36">
        <v>1500.0</v>
      </c>
    </row>
    <row r="1533">
      <c r="A1533" s="34" t="s">
        <v>687</v>
      </c>
      <c r="B1533" s="34" t="s">
        <v>688</v>
      </c>
      <c r="C1533" s="37">
        <v>46054.87792824074</v>
      </c>
      <c r="D1533" s="36">
        <v>1500.0</v>
      </c>
    </row>
    <row r="1534">
      <c r="A1534" s="34" t="s">
        <v>714</v>
      </c>
      <c r="B1534" s="34" t="s">
        <v>715</v>
      </c>
      <c r="C1534" s="37">
        <v>46054.9077662037</v>
      </c>
      <c r="D1534" s="36">
        <v>1500.0</v>
      </c>
    </row>
    <row r="1535">
      <c r="A1535" s="34" t="s">
        <v>452</v>
      </c>
      <c r="B1535" s="34" t="s">
        <v>453</v>
      </c>
      <c r="C1535" s="37">
        <v>46054.91407407408</v>
      </c>
      <c r="D1535" s="36">
        <v>1500.0</v>
      </c>
    </row>
    <row r="1536">
      <c r="A1536" s="34" t="s">
        <v>814</v>
      </c>
      <c r="B1536" s="34" t="s">
        <v>815</v>
      </c>
      <c r="C1536" s="37">
        <v>46050.600335648145</v>
      </c>
      <c r="D1536" s="36">
        <v>800.0</v>
      </c>
    </row>
    <row r="1537">
      <c r="A1537" s="34" t="s">
        <v>514</v>
      </c>
      <c r="B1537" s="34" t="s">
        <v>515</v>
      </c>
      <c r="C1537" s="37">
        <v>46053.690347222226</v>
      </c>
      <c r="D1537" s="36">
        <v>1500.0</v>
      </c>
    </row>
    <row r="1538">
      <c r="A1538" s="34" t="s">
        <v>816</v>
      </c>
      <c r="B1538" s="34" t="s">
        <v>817</v>
      </c>
      <c r="C1538" s="37">
        <v>46055.73171296297</v>
      </c>
      <c r="D1538" s="36">
        <v>1875.0</v>
      </c>
    </row>
    <row r="1539">
      <c r="A1539" s="34" t="s">
        <v>818</v>
      </c>
      <c r="B1539" s="34" t="s">
        <v>819</v>
      </c>
      <c r="C1539" s="37">
        <v>46055.756527777776</v>
      </c>
      <c r="D1539" s="36">
        <v>500.0</v>
      </c>
    </row>
    <row r="1540">
      <c r="A1540" s="34" t="s">
        <v>718</v>
      </c>
      <c r="B1540" s="34" t="s">
        <v>719</v>
      </c>
      <c r="C1540" s="37">
        <v>46055.757581018515</v>
      </c>
      <c r="D1540" s="36">
        <v>1200.0</v>
      </c>
    </row>
    <row r="1541">
      <c r="A1541" s="34" t="s">
        <v>640</v>
      </c>
      <c r="B1541" s="34" t="s">
        <v>641</v>
      </c>
      <c r="C1541" s="37">
        <v>46055.76201388889</v>
      </c>
      <c r="D1541" s="36">
        <v>1500.0</v>
      </c>
    </row>
    <row r="1542">
      <c r="A1542" s="34" t="s">
        <v>720</v>
      </c>
      <c r="B1542" s="34" t="s">
        <v>721</v>
      </c>
      <c r="C1542" s="37">
        <v>46055.76666666667</v>
      </c>
      <c r="D1542" s="36">
        <v>1500.0</v>
      </c>
    </row>
    <row r="1543">
      <c r="A1543" s="34" t="s">
        <v>722</v>
      </c>
      <c r="B1543" s="34" t="s">
        <v>723</v>
      </c>
      <c r="C1543" s="37">
        <v>46055.77313657408</v>
      </c>
      <c r="D1543" s="36">
        <v>1500.0</v>
      </c>
    </row>
    <row r="1544">
      <c r="A1544" s="34" t="s">
        <v>820</v>
      </c>
      <c r="B1544" s="34" t="s">
        <v>821</v>
      </c>
      <c r="C1544" s="37">
        <v>46055.7896412037</v>
      </c>
      <c r="D1544" s="36">
        <v>3000.0</v>
      </c>
    </row>
    <row r="1545">
      <c r="A1545" s="34" t="s">
        <v>726</v>
      </c>
      <c r="B1545" s="34" t="s">
        <v>727</v>
      </c>
      <c r="C1545" s="37">
        <v>46055.80082175926</v>
      </c>
      <c r="D1545" s="36">
        <v>1500.0</v>
      </c>
    </row>
    <row r="1546">
      <c r="A1546" s="34" t="s">
        <v>709</v>
      </c>
      <c r="B1546" s="34" t="s">
        <v>710</v>
      </c>
      <c r="C1546" s="37">
        <v>46055.823587962965</v>
      </c>
      <c r="D1546" s="36">
        <v>1500.0</v>
      </c>
    </row>
    <row r="1547">
      <c r="A1547" s="34" t="s">
        <v>691</v>
      </c>
      <c r="B1547" s="34" t="s">
        <v>692</v>
      </c>
      <c r="C1547" s="37">
        <v>46055.825150462966</v>
      </c>
      <c r="D1547" s="36">
        <v>1500.0</v>
      </c>
    </row>
    <row r="1548">
      <c r="A1548" s="34" t="s">
        <v>569</v>
      </c>
      <c r="B1548" s="34" t="s">
        <v>570</v>
      </c>
      <c r="C1548" s="37">
        <v>46055.85013888889</v>
      </c>
      <c r="D1548" s="36">
        <v>1500.0</v>
      </c>
    </row>
    <row r="1549">
      <c r="A1549" s="34" t="s">
        <v>728</v>
      </c>
      <c r="B1549" s="34" t="s">
        <v>729</v>
      </c>
      <c r="C1549" s="37">
        <v>46055.89917824074</v>
      </c>
      <c r="D1549" s="36">
        <v>1500.0</v>
      </c>
    </row>
    <row r="1550">
      <c r="A1550" s="34" t="s">
        <v>822</v>
      </c>
      <c r="B1550" s="34" t="s">
        <v>823</v>
      </c>
      <c r="C1550" s="37">
        <v>46056.7212037037</v>
      </c>
      <c r="D1550" s="36">
        <v>3000.0</v>
      </c>
    </row>
    <row r="1551">
      <c r="A1551" s="34"/>
      <c r="B1551" s="34"/>
      <c r="C1551" s="37">
        <v>46056.75372685185</v>
      </c>
      <c r="D1551" s="36">
        <v>9000.0</v>
      </c>
    </row>
    <row r="1552">
      <c r="A1552" s="34" t="s">
        <v>695</v>
      </c>
      <c r="B1552" s="34" t="s">
        <v>696</v>
      </c>
      <c r="C1552" s="37">
        <v>46056.784583333334</v>
      </c>
      <c r="D1552" s="36">
        <v>1000.0</v>
      </c>
    </row>
    <row r="1553">
      <c r="A1553" s="34" t="s">
        <v>516</v>
      </c>
      <c r="B1553" s="34" t="s">
        <v>517</v>
      </c>
      <c r="C1553" s="37">
        <v>46057.3602662037</v>
      </c>
      <c r="D1553" s="36">
        <v>1500.0</v>
      </c>
    </row>
    <row r="1554">
      <c r="A1554" s="34" t="s">
        <v>516</v>
      </c>
      <c r="B1554" s="34" t="s">
        <v>517</v>
      </c>
      <c r="C1554" s="37">
        <v>46057.360625</v>
      </c>
      <c r="D1554" s="36">
        <v>1500.0</v>
      </c>
    </row>
    <row r="1555">
      <c r="A1555" s="34" t="s">
        <v>571</v>
      </c>
      <c r="B1555" s="34" t="s">
        <v>572</v>
      </c>
      <c r="C1555" s="37">
        <v>46057.67989583333</v>
      </c>
      <c r="D1555" s="36">
        <v>1500.0</v>
      </c>
    </row>
    <row r="1556">
      <c r="A1556" s="34" t="s">
        <v>824</v>
      </c>
      <c r="B1556" s="34" t="s">
        <v>825</v>
      </c>
      <c r="C1556" s="37">
        <v>46057.77563657407</v>
      </c>
      <c r="D1556" s="36">
        <v>1800.0</v>
      </c>
    </row>
    <row r="1557">
      <c r="A1557" s="34" t="s">
        <v>30</v>
      </c>
      <c r="B1557" s="34" t="s">
        <v>713</v>
      </c>
      <c r="C1557" s="37">
        <v>46054.88619212963</v>
      </c>
      <c r="D1557" s="36">
        <v>1500.0</v>
      </c>
    </row>
    <row r="1558">
      <c r="A1558" s="34" t="s">
        <v>577</v>
      </c>
      <c r="B1558" s="34" t="s">
        <v>578</v>
      </c>
      <c r="C1558" s="37">
        <v>46058.639965277776</v>
      </c>
      <c r="D1558" s="36">
        <v>1500.0</v>
      </c>
    </row>
    <row r="1559">
      <c r="A1559" s="34" t="s">
        <v>530</v>
      </c>
      <c r="B1559" s="34" t="s">
        <v>531</v>
      </c>
      <c r="C1559" s="37">
        <v>46058.64611111111</v>
      </c>
      <c r="D1559" s="36">
        <v>1500.0</v>
      </c>
    </row>
    <row r="1560">
      <c r="A1560" s="34" t="s">
        <v>826</v>
      </c>
      <c r="B1560" s="34" t="s">
        <v>819</v>
      </c>
      <c r="C1560" s="37">
        <v>46058.71366898148</v>
      </c>
      <c r="D1560" s="36">
        <v>3000.0</v>
      </c>
    </row>
    <row r="1561">
      <c r="A1561" s="34" t="s">
        <v>827</v>
      </c>
      <c r="B1561" s="34" t="s">
        <v>828</v>
      </c>
      <c r="C1561" s="37">
        <v>46058.72951388889</v>
      </c>
      <c r="D1561" s="36">
        <v>500.0</v>
      </c>
    </row>
    <row r="1562">
      <c r="A1562" s="34" t="s">
        <v>532</v>
      </c>
      <c r="B1562" s="34" t="s">
        <v>533</v>
      </c>
      <c r="C1562" s="37">
        <v>46058.76395833334</v>
      </c>
      <c r="D1562" s="36">
        <v>1500.0</v>
      </c>
    </row>
    <row r="1563">
      <c r="A1563" s="34" t="s">
        <v>464</v>
      </c>
      <c r="B1563" s="34" t="s">
        <v>465</v>
      </c>
      <c r="C1563" s="37">
        <v>46058.796006944445</v>
      </c>
      <c r="D1563" s="36">
        <v>1200.0</v>
      </c>
    </row>
    <row r="1564">
      <c r="A1564" s="34" t="s">
        <v>652</v>
      </c>
      <c r="B1564" s="34" t="s">
        <v>653</v>
      </c>
      <c r="C1564" s="37">
        <v>46059.516539351855</v>
      </c>
      <c r="D1564" s="36">
        <v>1500.0</v>
      </c>
    </row>
    <row r="1565">
      <c r="A1565" s="34" t="s">
        <v>644</v>
      </c>
      <c r="B1565" s="34" t="s">
        <v>645</v>
      </c>
      <c r="C1565" s="37">
        <v>46059.76170138889</v>
      </c>
      <c r="D1565" s="36">
        <v>1500.0</v>
      </c>
    </row>
    <row r="1566">
      <c r="A1566" s="34" t="s">
        <v>697</v>
      </c>
      <c r="B1566" s="34" t="s">
        <v>698</v>
      </c>
      <c r="C1566" s="37">
        <v>46059.784166666665</v>
      </c>
      <c r="D1566" s="36">
        <v>1500.0</v>
      </c>
    </row>
    <row r="1567">
      <c r="A1567" s="34" t="s">
        <v>66</v>
      </c>
      <c r="B1567" s="34" t="s">
        <v>258</v>
      </c>
      <c r="C1567" s="37">
        <v>46057.64576388889</v>
      </c>
      <c r="D1567" s="36">
        <v>1200.0</v>
      </c>
    </row>
    <row r="1568">
      <c r="A1568" s="34" t="s">
        <v>579</v>
      </c>
      <c r="B1568" s="34" t="s">
        <v>580</v>
      </c>
      <c r="C1568" s="37">
        <v>46060.74664351852</v>
      </c>
      <c r="D1568" s="36">
        <v>1500.0</v>
      </c>
    </row>
    <row r="1569">
      <c r="A1569" s="34" t="s">
        <v>468</v>
      </c>
      <c r="B1569" s="34" t="s">
        <v>469</v>
      </c>
      <c r="C1569" s="37">
        <v>46060.76306712963</v>
      </c>
      <c r="D1569" s="36">
        <v>1500.0</v>
      </c>
    </row>
    <row r="1570">
      <c r="A1570" s="34" t="s">
        <v>829</v>
      </c>
      <c r="B1570" s="34" t="s">
        <v>830</v>
      </c>
      <c r="C1570" s="37">
        <v>46060.867106481484</v>
      </c>
      <c r="D1570" s="36">
        <v>700.0</v>
      </c>
    </row>
    <row r="1571">
      <c r="A1571" s="34"/>
      <c r="B1571" s="34"/>
      <c r="C1571" s="37">
        <v>46061.426828703705</v>
      </c>
      <c r="D1571" s="36">
        <v>9000.0</v>
      </c>
    </row>
    <row r="1572">
      <c r="A1572" s="34"/>
      <c r="B1572" s="34"/>
      <c r="C1572" s="37">
        <v>46061.658634259256</v>
      </c>
      <c r="D1572" s="36">
        <v>9000.0</v>
      </c>
    </row>
    <row r="1573">
      <c r="A1573" s="34" t="s">
        <v>746</v>
      </c>
      <c r="B1573" s="34" t="s">
        <v>747</v>
      </c>
      <c r="C1573" s="37">
        <v>46061.7840162037</v>
      </c>
      <c r="D1573" s="36">
        <v>1500.0</v>
      </c>
    </row>
    <row r="1574">
      <c r="A1574" s="34" t="s">
        <v>480</v>
      </c>
      <c r="B1574" s="34" t="s">
        <v>481</v>
      </c>
      <c r="C1574" s="37">
        <v>46062.00709490741</v>
      </c>
      <c r="D1574" s="36">
        <v>1200.0</v>
      </c>
    </row>
    <row r="1575">
      <c r="A1575" s="34" t="s">
        <v>750</v>
      </c>
      <c r="B1575" s="34" t="s">
        <v>751</v>
      </c>
      <c r="C1575" s="37">
        <v>46062.63248842592</v>
      </c>
      <c r="D1575" s="36">
        <v>1500.0</v>
      </c>
    </row>
    <row r="1576">
      <c r="A1576" s="34" t="s">
        <v>831</v>
      </c>
      <c r="B1576" s="34" t="s">
        <v>832</v>
      </c>
      <c r="C1576" s="37">
        <v>46062.73421296296</v>
      </c>
      <c r="D1576" s="36">
        <v>1800.0</v>
      </c>
    </row>
    <row r="1577">
      <c r="A1577" s="34" t="s">
        <v>752</v>
      </c>
      <c r="B1577" s="34" t="s">
        <v>753</v>
      </c>
      <c r="C1577" s="37">
        <v>46062.83967592593</v>
      </c>
      <c r="D1577" s="36">
        <v>1500.0</v>
      </c>
    </row>
    <row r="1578">
      <c r="A1578" s="34"/>
      <c r="B1578" s="34"/>
      <c r="C1578" s="37">
        <v>46063.38049768518</v>
      </c>
      <c r="D1578" s="36">
        <v>9000.0</v>
      </c>
    </row>
    <row r="1579">
      <c r="A1579" s="34" t="s">
        <v>833</v>
      </c>
      <c r="B1579" s="34" t="s">
        <v>834</v>
      </c>
      <c r="C1579" s="37">
        <v>46063.38715277778</v>
      </c>
      <c r="D1579" s="36">
        <v>500.0</v>
      </c>
    </row>
    <row r="1580">
      <c r="A1580" s="34" t="s">
        <v>701</v>
      </c>
      <c r="B1580" s="34" t="s">
        <v>702</v>
      </c>
      <c r="C1580" s="37">
        <v>46063.77543981482</v>
      </c>
      <c r="D1580" s="36">
        <v>1500.0</v>
      </c>
    </row>
    <row r="1581">
      <c r="A1581" s="34" t="s">
        <v>542</v>
      </c>
      <c r="B1581" s="34" t="s">
        <v>543</v>
      </c>
      <c r="C1581" s="37">
        <v>46063.81489583333</v>
      </c>
      <c r="D1581" s="36">
        <v>1500.0</v>
      </c>
    </row>
    <row r="1582">
      <c r="A1582" s="34" t="s">
        <v>835</v>
      </c>
      <c r="B1582" s="34" t="s">
        <v>836</v>
      </c>
      <c r="C1582" s="37">
        <v>46063.87467592592</v>
      </c>
      <c r="D1582" s="36">
        <v>100.0</v>
      </c>
    </row>
    <row r="1583">
      <c r="A1583" s="34" t="s">
        <v>734</v>
      </c>
      <c r="B1583" s="34" t="s">
        <v>735</v>
      </c>
      <c r="C1583" s="37">
        <v>46058.64009259259</v>
      </c>
      <c r="D1583" s="36">
        <v>1500.0</v>
      </c>
    </row>
    <row r="1584">
      <c r="A1584" s="34" t="s">
        <v>837</v>
      </c>
      <c r="B1584" s="34" t="s">
        <v>838</v>
      </c>
      <c r="C1584" s="37">
        <v>46064.66730324074</v>
      </c>
      <c r="D1584" s="36">
        <v>3000.0</v>
      </c>
    </row>
    <row r="1585">
      <c r="A1585" s="34" t="s">
        <v>839</v>
      </c>
      <c r="B1585" s="34" t="s">
        <v>840</v>
      </c>
      <c r="C1585" s="37">
        <v>46064.75219907407</v>
      </c>
      <c r="D1585" s="36">
        <v>800.0</v>
      </c>
    </row>
    <row r="1586">
      <c r="A1586" s="34" t="s">
        <v>654</v>
      </c>
      <c r="B1586" s="34" t="s">
        <v>655</v>
      </c>
      <c r="C1586" s="37">
        <v>46064.770636574074</v>
      </c>
      <c r="D1586" s="36">
        <v>1500.0</v>
      </c>
    </row>
    <row r="1587">
      <c r="A1587" s="34" t="s">
        <v>841</v>
      </c>
      <c r="B1587" s="34" t="s">
        <v>842</v>
      </c>
      <c r="C1587" s="37">
        <v>46064.8044212963</v>
      </c>
      <c r="D1587" s="36">
        <v>3000.0</v>
      </c>
    </row>
    <row r="1588">
      <c r="A1588" s="34" t="s">
        <v>32</v>
      </c>
      <c r="B1588" s="34" t="s">
        <v>656</v>
      </c>
      <c r="C1588" s="37">
        <v>46065.42003472222</v>
      </c>
      <c r="D1588" s="36">
        <v>1500.0</v>
      </c>
    </row>
    <row r="1589">
      <c r="A1589" s="34" t="s">
        <v>843</v>
      </c>
      <c r="B1589" s="34" t="s">
        <v>844</v>
      </c>
      <c r="C1589" s="37">
        <v>46060.734872685185</v>
      </c>
      <c r="D1589" s="36">
        <v>800.0</v>
      </c>
    </row>
    <row r="1590">
      <c r="A1590" s="34" t="s">
        <v>845</v>
      </c>
      <c r="B1590" s="34" t="s">
        <v>846</v>
      </c>
      <c r="C1590" s="37">
        <v>46065.760717592595</v>
      </c>
      <c r="D1590" s="36">
        <v>500.0</v>
      </c>
    </row>
    <row r="1591">
      <c r="A1591" s="34" t="s">
        <v>544</v>
      </c>
      <c r="B1591" s="34" t="s">
        <v>545</v>
      </c>
      <c r="C1591" s="37">
        <v>46065.76627314815</v>
      </c>
      <c r="D1591" s="36">
        <v>1500.0</v>
      </c>
    </row>
    <row r="1592">
      <c r="A1592" s="34" t="s">
        <v>847</v>
      </c>
      <c r="B1592" s="34" t="s">
        <v>848</v>
      </c>
      <c r="C1592" s="37">
        <v>46065.89204861111</v>
      </c>
      <c r="D1592" s="36">
        <v>3000.0</v>
      </c>
    </row>
    <row r="1593">
      <c r="A1593" s="34" t="s">
        <v>454</v>
      </c>
      <c r="B1593" s="34" t="s">
        <v>455</v>
      </c>
      <c r="C1593" s="37">
        <v>46056.60114583333</v>
      </c>
      <c r="D1593" s="36">
        <v>1500.0</v>
      </c>
    </row>
    <row r="1594">
      <c r="A1594" s="34"/>
      <c r="B1594" s="34"/>
      <c r="C1594" s="37">
        <v>46066.683483796296</v>
      </c>
      <c r="D1594" s="36">
        <v>6000.0</v>
      </c>
    </row>
    <row r="1595">
      <c r="A1595" s="34" t="s">
        <v>849</v>
      </c>
      <c r="B1595" s="34" t="s">
        <v>850</v>
      </c>
      <c r="C1595" s="37">
        <v>46066.713541666664</v>
      </c>
      <c r="D1595" s="36">
        <v>1500.0</v>
      </c>
    </row>
    <row r="1596">
      <c r="A1596" s="34" t="s">
        <v>591</v>
      </c>
      <c r="B1596" s="34" t="s">
        <v>592</v>
      </c>
      <c r="C1596" s="37">
        <v>46066.718831018516</v>
      </c>
      <c r="D1596" s="36">
        <v>1500.0</v>
      </c>
    </row>
    <row r="1597">
      <c r="A1597" s="34"/>
      <c r="B1597" s="34"/>
      <c r="C1597" s="37">
        <v>46066.7203125</v>
      </c>
      <c r="D1597" s="36">
        <v>3600.0</v>
      </c>
    </row>
    <row r="1598">
      <c r="A1598" s="34" t="s">
        <v>756</v>
      </c>
      <c r="B1598" s="34" t="s">
        <v>757</v>
      </c>
      <c r="C1598" s="37">
        <v>46066.83300925926</v>
      </c>
      <c r="D1598" s="36">
        <v>1500.0</v>
      </c>
    </row>
    <row r="1599">
      <c r="A1599" s="34"/>
      <c r="B1599" s="34"/>
      <c r="C1599" s="37">
        <v>46067.384247685186</v>
      </c>
      <c r="D1599" s="36">
        <v>4500.0</v>
      </c>
    </row>
    <row r="1600">
      <c r="A1600" s="34" t="s">
        <v>589</v>
      </c>
      <c r="B1600" s="34" t="s">
        <v>590</v>
      </c>
      <c r="C1600" s="37">
        <v>46065.75131944445</v>
      </c>
      <c r="D1600" s="36">
        <v>1500.0</v>
      </c>
    </row>
    <row r="1601">
      <c r="A1601" s="34" t="s">
        <v>851</v>
      </c>
      <c r="B1601" s="34" t="s">
        <v>852</v>
      </c>
      <c r="C1601" s="37">
        <v>46067.68576388889</v>
      </c>
      <c r="D1601" s="36">
        <v>50.0</v>
      </c>
    </row>
    <row r="1602">
      <c r="A1602" s="34" t="s">
        <v>484</v>
      </c>
      <c r="B1602" s="34" t="s">
        <v>485</v>
      </c>
      <c r="C1602" s="37">
        <v>46067.71197916667</v>
      </c>
      <c r="D1602" s="36">
        <v>1500.0</v>
      </c>
    </row>
    <row r="1603">
      <c r="A1603" s="34" t="s">
        <v>804</v>
      </c>
      <c r="B1603" s="34" t="s">
        <v>805</v>
      </c>
      <c r="C1603" s="37">
        <v>46068.59614583333</v>
      </c>
      <c r="D1603" s="36">
        <v>6000.0</v>
      </c>
    </row>
    <row r="1604">
      <c r="A1604" s="34" t="s">
        <v>853</v>
      </c>
      <c r="B1604" s="34" t="s">
        <v>854</v>
      </c>
      <c r="C1604" s="37">
        <v>46065.747824074075</v>
      </c>
      <c r="D1604" s="36">
        <v>800.0</v>
      </c>
    </row>
    <row r="1605">
      <c r="A1605" s="34" t="s">
        <v>855</v>
      </c>
      <c r="B1605" s="34" t="s">
        <v>856</v>
      </c>
      <c r="C1605" s="37">
        <v>46068.673125</v>
      </c>
      <c r="D1605" s="36">
        <v>3000.0</v>
      </c>
    </row>
    <row r="1606">
      <c r="A1606" s="34" t="s">
        <v>596</v>
      </c>
      <c r="B1606" s="34" t="s">
        <v>597</v>
      </c>
      <c r="C1606" s="37">
        <v>46068.713738425926</v>
      </c>
      <c r="D1606" s="36">
        <v>1500.0</v>
      </c>
    </row>
    <row r="1607">
      <c r="A1607" s="34" t="s">
        <v>857</v>
      </c>
      <c r="B1607" s="34" t="s">
        <v>858</v>
      </c>
      <c r="C1607" s="37">
        <v>46068.80684027778</v>
      </c>
      <c r="D1607" s="36">
        <v>1000.0</v>
      </c>
    </row>
    <row r="1608">
      <c r="A1608" s="34" t="s">
        <v>546</v>
      </c>
      <c r="B1608" s="34" t="s">
        <v>547</v>
      </c>
      <c r="C1608" s="37">
        <v>46068.81269675926</v>
      </c>
      <c r="D1608" s="36">
        <v>1500.0</v>
      </c>
    </row>
    <row r="1609">
      <c r="A1609" s="34"/>
      <c r="B1609" s="34"/>
      <c r="C1609" s="37">
        <v>46069.738344907404</v>
      </c>
      <c r="D1609" s="36">
        <v>9000.0</v>
      </c>
    </row>
    <row r="1610">
      <c r="A1610" s="34" t="s">
        <v>766</v>
      </c>
      <c r="B1610" s="34" t="s">
        <v>767</v>
      </c>
      <c r="C1610" s="37">
        <v>46069.95586805556</v>
      </c>
      <c r="D1610" s="36">
        <v>1500.0</v>
      </c>
    </row>
    <row r="1611">
      <c r="A1611" s="34"/>
      <c r="B1611" s="34"/>
      <c r="C1611" s="37">
        <v>46071.65565972222</v>
      </c>
      <c r="D1611" s="36">
        <v>6000.0</v>
      </c>
    </row>
    <row r="1612">
      <c r="A1612" s="34"/>
      <c r="B1612" s="34"/>
      <c r="C1612" s="37">
        <v>46071.76055555556</v>
      </c>
      <c r="D1612" s="36">
        <v>8000.0</v>
      </c>
    </row>
    <row r="1613">
      <c r="A1613" s="34" t="s">
        <v>492</v>
      </c>
      <c r="B1613" s="34" t="s">
        <v>493</v>
      </c>
      <c r="C1613" s="37">
        <v>46071.76292824074</v>
      </c>
      <c r="D1613" s="36">
        <v>1500.0</v>
      </c>
    </row>
    <row r="1614">
      <c r="A1614" s="34" t="s">
        <v>774</v>
      </c>
      <c r="B1614" s="34" t="s">
        <v>775</v>
      </c>
      <c r="C1614" s="37">
        <v>46071.87869212963</v>
      </c>
      <c r="D1614" s="36">
        <v>1500.0</v>
      </c>
    </row>
    <row r="1615">
      <c r="A1615" s="34" t="s">
        <v>760</v>
      </c>
      <c r="B1615" s="34" t="s">
        <v>761</v>
      </c>
      <c r="C1615" s="37">
        <v>46068.71129629629</v>
      </c>
      <c r="D1615" s="36">
        <v>1500.0</v>
      </c>
    </row>
    <row r="1616">
      <c r="A1616" s="34" t="s">
        <v>416</v>
      </c>
      <c r="B1616" s="34" t="s">
        <v>417</v>
      </c>
      <c r="C1616" s="37">
        <v>46072.85480324074</v>
      </c>
      <c r="D1616" s="36">
        <v>1200.0</v>
      </c>
    </row>
    <row r="1617">
      <c r="A1617" s="34" t="s">
        <v>768</v>
      </c>
      <c r="B1617" s="34" t="s">
        <v>769</v>
      </c>
      <c r="C1617" s="37">
        <v>46070.61405092593</v>
      </c>
      <c r="D1617" s="36">
        <v>1500.0</v>
      </c>
    </row>
    <row r="1618">
      <c r="A1618" s="34" t="s">
        <v>585</v>
      </c>
      <c r="B1618" s="34" t="s">
        <v>586</v>
      </c>
      <c r="C1618" s="37">
        <v>46064.59344907408</v>
      </c>
      <c r="D1618" s="36">
        <v>1500.0</v>
      </c>
    </row>
    <row r="1619">
      <c r="A1619" s="34" t="s">
        <v>859</v>
      </c>
      <c r="B1619" s="34" t="s">
        <v>860</v>
      </c>
      <c r="C1619" s="37">
        <v>46073.687951388885</v>
      </c>
      <c r="D1619" s="36">
        <v>1500.0</v>
      </c>
    </row>
    <row r="1620">
      <c r="A1620" s="34" t="s">
        <v>604</v>
      </c>
      <c r="B1620" s="34" t="s">
        <v>605</v>
      </c>
      <c r="C1620" s="37">
        <v>46073.817708333336</v>
      </c>
      <c r="D1620" s="36">
        <v>1500.0</v>
      </c>
    </row>
    <row r="1621">
      <c r="A1621" s="34" t="s">
        <v>424</v>
      </c>
      <c r="B1621" s="34" t="s">
        <v>425</v>
      </c>
      <c r="C1621" s="37">
        <v>46074.49439814815</v>
      </c>
      <c r="D1621" s="36">
        <v>1500.0</v>
      </c>
    </row>
    <row r="1622">
      <c r="A1622" s="34" t="s">
        <v>861</v>
      </c>
      <c r="B1622" s="34" t="s">
        <v>741</v>
      </c>
      <c r="C1622" s="37">
        <v>46074.58738425926</v>
      </c>
      <c r="D1622" s="36">
        <v>2500.0</v>
      </c>
    </row>
    <row r="1623">
      <c r="A1623" s="34" t="s">
        <v>754</v>
      </c>
      <c r="B1623" s="34" t="s">
        <v>755</v>
      </c>
      <c r="C1623" s="37">
        <v>46074.59577546296</v>
      </c>
      <c r="D1623" s="36">
        <v>2500.0</v>
      </c>
    </row>
    <row r="1624">
      <c r="A1624" s="34" t="s">
        <v>556</v>
      </c>
      <c r="B1624" s="34" t="s">
        <v>557</v>
      </c>
      <c r="C1624" s="37">
        <v>46074.64474537037</v>
      </c>
      <c r="D1624" s="36">
        <v>1500.0</v>
      </c>
    </row>
    <row r="1625">
      <c r="A1625" s="34" t="s">
        <v>778</v>
      </c>
      <c r="B1625" s="34" t="s">
        <v>779</v>
      </c>
      <c r="C1625" s="37">
        <v>46074.752488425926</v>
      </c>
      <c r="D1625" s="36">
        <v>50.0</v>
      </c>
    </row>
    <row r="1626">
      <c r="A1626" s="34" t="s">
        <v>784</v>
      </c>
      <c r="B1626" s="34" t="s">
        <v>785</v>
      </c>
      <c r="C1626" s="37">
        <v>46074.892962962964</v>
      </c>
      <c r="D1626" s="36">
        <v>1000.0</v>
      </c>
    </row>
    <row r="1627">
      <c r="A1627" s="34" t="s">
        <v>598</v>
      </c>
      <c r="B1627" s="34" t="s">
        <v>599</v>
      </c>
      <c r="C1627" s="37">
        <v>46068.83938657407</v>
      </c>
      <c r="D1627" s="36">
        <v>1500.0</v>
      </c>
    </row>
    <row r="1628">
      <c r="A1628" s="34" t="s">
        <v>862</v>
      </c>
      <c r="B1628" s="34" t="s">
        <v>863</v>
      </c>
      <c r="C1628" s="37">
        <v>46075.77962962963</v>
      </c>
      <c r="D1628" s="36">
        <v>100.0</v>
      </c>
    </row>
    <row r="1629">
      <c r="A1629" s="34" t="s">
        <v>778</v>
      </c>
      <c r="B1629" s="34" t="s">
        <v>779</v>
      </c>
      <c r="C1629" s="37">
        <v>46075.81327546296</v>
      </c>
      <c r="D1629" s="36">
        <v>1100.0</v>
      </c>
    </row>
    <row r="1630">
      <c r="A1630" s="34" t="s">
        <v>864</v>
      </c>
      <c r="B1630" s="34" t="s">
        <v>865</v>
      </c>
      <c r="C1630" s="37">
        <v>46075.82512731481</v>
      </c>
      <c r="D1630" s="36">
        <v>500.0</v>
      </c>
    </row>
    <row r="1631">
      <c r="A1631" s="34"/>
      <c r="B1631" s="34"/>
      <c r="C1631" s="37">
        <v>46076.67880787037</v>
      </c>
      <c r="D1631" s="36">
        <v>6000.0</v>
      </c>
    </row>
    <row r="1632">
      <c r="A1632" s="34" t="s">
        <v>866</v>
      </c>
      <c r="B1632" s="34" t="s">
        <v>867</v>
      </c>
      <c r="C1632" s="37">
        <v>46076.78959490741</v>
      </c>
      <c r="D1632" s="36">
        <v>3000.0</v>
      </c>
    </row>
    <row r="1633">
      <c r="A1633" s="34" t="s">
        <v>868</v>
      </c>
      <c r="B1633" s="34" t="s">
        <v>869</v>
      </c>
      <c r="C1633" s="37">
        <v>46076.89333333333</v>
      </c>
      <c r="D1633" s="36">
        <v>3000.0</v>
      </c>
    </row>
    <row r="1634">
      <c r="A1634" s="34" t="s">
        <v>870</v>
      </c>
      <c r="B1634" s="34" t="s">
        <v>871</v>
      </c>
      <c r="C1634" s="37">
        <v>46077.74496527778</v>
      </c>
      <c r="D1634" s="36">
        <v>3000.0</v>
      </c>
    </row>
    <row r="1635">
      <c r="A1635" s="34" t="s">
        <v>304</v>
      </c>
      <c r="B1635" s="34" t="s">
        <v>305</v>
      </c>
      <c r="C1635" s="37">
        <v>46077.84893518518</v>
      </c>
      <c r="D1635" s="36">
        <v>400.0</v>
      </c>
    </row>
    <row r="1636">
      <c r="A1636" s="34" t="s">
        <v>794</v>
      </c>
      <c r="B1636" s="34" t="s">
        <v>795</v>
      </c>
      <c r="C1636" s="37">
        <v>46078.33351851852</v>
      </c>
      <c r="D1636" s="36">
        <v>1500.0</v>
      </c>
    </row>
    <row r="1637">
      <c r="A1637" s="34" t="s">
        <v>790</v>
      </c>
      <c r="B1637" s="34" t="s">
        <v>791</v>
      </c>
      <c r="C1637" s="37">
        <v>46076.77144675926</v>
      </c>
      <c r="D1637" s="36">
        <v>1500.0</v>
      </c>
    </row>
    <row r="1638">
      <c r="A1638" s="34"/>
      <c r="B1638" s="34"/>
      <c r="C1638" s="37">
        <v>46078.759560185186</v>
      </c>
      <c r="D1638" s="36">
        <v>300.0</v>
      </c>
    </row>
    <row r="1639">
      <c r="A1639" s="34" t="s">
        <v>872</v>
      </c>
      <c r="B1639" s="34" t="s">
        <v>873</v>
      </c>
      <c r="C1639" s="37">
        <v>46078.8172337963</v>
      </c>
      <c r="D1639" s="36">
        <v>500.0</v>
      </c>
    </row>
    <row r="1640">
      <c r="A1640" s="34" t="s">
        <v>669</v>
      </c>
      <c r="B1640" s="34" t="s">
        <v>670</v>
      </c>
      <c r="C1640" s="37">
        <v>46075.71512731481</v>
      </c>
      <c r="D1640" s="36">
        <v>1500.0</v>
      </c>
    </row>
    <row r="1641">
      <c r="A1641" s="34"/>
      <c r="B1641" s="34"/>
      <c r="C1641" s="37">
        <v>46079.81190972222</v>
      </c>
      <c r="D1641" s="36">
        <v>7500.0</v>
      </c>
    </row>
    <row r="1642">
      <c r="A1642" s="34" t="s">
        <v>788</v>
      </c>
      <c r="B1642" s="34" t="s">
        <v>789</v>
      </c>
      <c r="C1642" s="37">
        <v>46076.693449074075</v>
      </c>
      <c r="D1642" s="36">
        <v>1500.0</v>
      </c>
    </row>
    <row r="1643">
      <c r="A1643" s="34" t="s">
        <v>770</v>
      </c>
      <c r="B1643" s="34" t="s">
        <v>771</v>
      </c>
      <c r="C1643" s="37">
        <v>46071.69162037037</v>
      </c>
      <c r="D1643" s="36">
        <v>1500.0</v>
      </c>
    </row>
    <row r="1644">
      <c r="A1644" s="34" t="s">
        <v>428</v>
      </c>
      <c r="B1644" s="34" t="s">
        <v>429</v>
      </c>
      <c r="C1644" s="37">
        <v>46075.81340277778</v>
      </c>
      <c r="D1644" s="36">
        <v>1500.0</v>
      </c>
    </row>
    <row r="1645">
      <c r="A1645" s="34" t="s">
        <v>786</v>
      </c>
      <c r="B1645" s="34" t="s">
        <v>787</v>
      </c>
      <c r="C1645" s="37">
        <v>46075.51943287037</v>
      </c>
      <c r="D1645" s="36">
        <v>3000.0</v>
      </c>
    </row>
    <row r="1646">
      <c r="A1646" s="34" t="s">
        <v>548</v>
      </c>
      <c r="B1646" s="34" t="s">
        <v>549</v>
      </c>
      <c r="C1646" s="37">
        <v>46070.81380787037</v>
      </c>
      <c r="D1646" s="36">
        <v>1500.0</v>
      </c>
    </row>
    <row r="1647">
      <c r="A1647" s="34" t="s">
        <v>581</v>
      </c>
      <c r="B1647" s="34" t="s">
        <v>582</v>
      </c>
      <c r="C1647" s="37">
        <v>46068.74356481482</v>
      </c>
      <c r="D1647" s="36">
        <v>1500.0</v>
      </c>
    </row>
    <row r="1648">
      <c r="A1648" s="34" t="s">
        <v>742</v>
      </c>
      <c r="B1648" s="34" t="s">
        <v>743</v>
      </c>
      <c r="C1648" s="37">
        <v>46080.59775462963</v>
      </c>
      <c r="D1648" s="36">
        <v>1500.0</v>
      </c>
    </row>
    <row r="1649">
      <c r="A1649" s="34" t="s">
        <v>724</v>
      </c>
      <c r="B1649" s="34" t="s">
        <v>725</v>
      </c>
      <c r="C1649" s="37">
        <v>46080.60021990741</v>
      </c>
      <c r="D1649" s="36">
        <v>1500.0</v>
      </c>
    </row>
    <row r="1650">
      <c r="A1650" s="34" t="s">
        <v>524</v>
      </c>
      <c r="B1650" s="34" t="s">
        <v>525</v>
      </c>
      <c r="C1650" s="37">
        <v>46055.72131944444</v>
      </c>
      <c r="D1650" s="36">
        <v>1500.0</v>
      </c>
    </row>
    <row r="1651">
      <c r="A1651" s="34" t="s">
        <v>616</v>
      </c>
      <c r="B1651" s="34" t="s">
        <v>617</v>
      </c>
      <c r="C1651" s="37">
        <v>46080.72350694444</v>
      </c>
      <c r="D1651" s="36">
        <v>1500.0</v>
      </c>
    </row>
    <row r="1652">
      <c r="A1652" s="34" t="s">
        <v>874</v>
      </c>
      <c r="B1652" s="34" t="s">
        <v>875</v>
      </c>
      <c r="C1652" s="37">
        <v>46080.7696875</v>
      </c>
      <c r="D1652" s="36">
        <v>100.0</v>
      </c>
    </row>
    <row r="1653">
      <c r="A1653" s="34"/>
      <c r="B1653" s="34"/>
      <c r="C1653" s="37">
        <v>46080.78563657407</v>
      </c>
      <c r="D1653" s="36">
        <v>5700.0</v>
      </c>
    </row>
    <row r="1654">
      <c r="A1654" s="34" t="s">
        <v>796</v>
      </c>
      <c r="B1654" s="34" t="s">
        <v>797</v>
      </c>
      <c r="C1654" s="37">
        <v>46080.792650462965</v>
      </c>
      <c r="D1654" s="36">
        <v>1500.0</v>
      </c>
    </row>
    <row r="1655">
      <c r="A1655" s="34" t="s">
        <v>758</v>
      </c>
      <c r="B1655" s="34" t="s">
        <v>759</v>
      </c>
      <c r="C1655" s="37">
        <v>46080.85545138889</v>
      </c>
      <c r="D1655" s="36">
        <v>1500.0</v>
      </c>
    </row>
    <row r="1656">
      <c r="A1656" s="34" t="s">
        <v>671</v>
      </c>
      <c r="B1656" s="34" t="s">
        <v>672</v>
      </c>
      <c r="C1656" s="37">
        <v>46080.887604166666</v>
      </c>
      <c r="D1656" s="36">
        <v>1500.0</v>
      </c>
    </row>
    <row r="1657">
      <c r="A1657" s="34" t="s">
        <v>772</v>
      </c>
      <c r="B1657" s="34" t="s">
        <v>773</v>
      </c>
      <c r="C1657" s="37">
        <v>46071.78313657407</v>
      </c>
      <c r="D1657" s="36">
        <v>2000.0</v>
      </c>
    </row>
    <row r="1658">
      <c r="A1658" s="34" t="s">
        <v>808</v>
      </c>
      <c r="B1658" s="34" t="s">
        <v>809</v>
      </c>
      <c r="C1658" s="37">
        <v>46081.393159722225</v>
      </c>
      <c r="D1658" s="36">
        <v>800.0</v>
      </c>
    </row>
    <row r="1659">
      <c r="A1659" s="34" t="s">
        <v>862</v>
      </c>
      <c r="B1659" s="34" t="s">
        <v>863</v>
      </c>
      <c r="C1659" s="37">
        <v>46081.44396990741</v>
      </c>
      <c r="D1659" s="36">
        <v>3000.0</v>
      </c>
    </row>
    <row r="1660">
      <c r="A1660" s="34" t="s">
        <v>802</v>
      </c>
      <c r="B1660" s="34" t="s">
        <v>803</v>
      </c>
      <c r="C1660" s="37">
        <v>46081.54020833333</v>
      </c>
      <c r="D1660" s="36">
        <v>1500.0</v>
      </c>
    </row>
    <row r="1661">
      <c r="A1661" s="34" t="s">
        <v>814</v>
      </c>
      <c r="B1661" s="34" t="s">
        <v>815</v>
      </c>
      <c r="C1661" s="37">
        <v>46081.60605324074</v>
      </c>
      <c r="D1661" s="36">
        <v>800.0</v>
      </c>
    </row>
    <row r="1662">
      <c r="A1662" s="34" t="s">
        <v>560</v>
      </c>
      <c r="B1662" s="34" t="s">
        <v>561</v>
      </c>
      <c r="C1662" s="37">
        <v>46078.65883101852</v>
      </c>
      <c r="D1662" s="36">
        <v>1500.0</v>
      </c>
    </row>
    <row r="1663">
      <c r="A1663" s="34" t="s">
        <v>681</v>
      </c>
      <c r="B1663" s="34" t="s">
        <v>682</v>
      </c>
      <c r="C1663" s="37">
        <v>46081.64649305555</v>
      </c>
      <c r="D1663" s="36">
        <v>1500.0</v>
      </c>
    </row>
    <row r="1664">
      <c r="A1664" s="34" t="s">
        <v>876</v>
      </c>
      <c r="B1664" s="34" t="s">
        <v>877</v>
      </c>
      <c r="C1664" s="37">
        <v>46081.73585648148</v>
      </c>
      <c r="D1664" s="36">
        <v>3000.0</v>
      </c>
    </row>
    <row r="1665">
      <c r="A1665" s="34" t="s">
        <v>675</v>
      </c>
      <c r="B1665" s="34" t="s">
        <v>676</v>
      </c>
      <c r="C1665" s="37">
        <v>46081.73756944444</v>
      </c>
      <c r="D1665" s="36">
        <v>1500.0</v>
      </c>
    </row>
    <row r="1666">
      <c r="A1666" s="34"/>
      <c r="B1666" s="34"/>
      <c r="C1666" s="37">
        <v>46081.744791666664</v>
      </c>
      <c r="D1666" s="36">
        <v>5500.0</v>
      </c>
    </row>
    <row r="1667">
      <c r="A1667" s="34" t="s">
        <v>506</v>
      </c>
      <c r="B1667" s="34" t="s">
        <v>507</v>
      </c>
      <c r="C1667" s="37">
        <v>46081.776655092595</v>
      </c>
      <c r="D1667" s="36">
        <v>1500.0</v>
      </c>
    </row>
    <row r="1668">
      <c r="A1668" s="34" t="s">
        <v>629</v>
      </c>
      <c r="B1668" s="34" t="s">
        <v>630</v>
      </c>
      <c r="C1668" s="37">
        <v>46081.81103009259</v>
      </c>
      <c r="D1668" s="36">
        <v>1500.0</v>
      </c>
    </row>
    <row r="1669">
      <c r="A1669" s="34" t="s">
        <v>622</v>
      </c>
      <c r="B1669" s="34" t="s">
        <v>566</v>
      </c>
      <c r="C1669" s="37">
        <v>46081.841412037036</v>
      </c>
      <c r="D1669" s="36">
        <v>1500.0</v>
      </c>
    </row>
    <row r="1670">
      <c r="A1670" s="34" t="s">
        <v>679</v>
      </c>
      <c r="B1670" s="34" t="s">
        <v>680</v>
      </c>
      <c r="C1670" s="37">
        <v>46081.86599537037</v>
      </c>
      <c r="D1670" s="36">
        <v>1500.0</v>
      </c>
    </row>
    <row r="1671">
      <c r="A1671" s="34" t="s">
        <v>620</v>
      </c>
      <c r="B1671" s="34" t="s">
        <v>621</v>
      </c>
      <c r="C1671" s="37">
        <v>46081.87189814815</v>
      </c>
      <c r="D1671" s="36">
        <v>1500.0</v>
      </c>
    </row>
    <row r="1672">
      <c r="A1672" s="34" t="s">
        <v>562</v>
      </c>
      <c r="B1672" s="34" t="s">
        <v>563</v>
      </c>
      <c r="C1672" s="37">
        <v>46081.87667824074</v>
      </c>
      <c r="D1672" s="36">
        <v>1500.0</v>
      </c>
    </row>
    <row r="1673">
      <c r="A1673" s="34" t="s">
        <v>436</v>
      </c>
      <c r="B1673" s="34" t="s">
        <v>437</v>
      </c>
      <c r="C1673" s="37">
        <v>46081.94640046296</v>
      </c>
      <c r="D1673" s="36">
        <v>1500.0</v>
      </c>
    </row>
    <row r="1674">
      <c r="A1674" s="34" t="s">
        <v>812</v>
      </c>
      <c r="B1674" s="34" t="s">
        <v>813</v>
      </c>
      <c r="C1674" s="37">
        <v>46081.994525462964</v>
      </c>
      <c r="D1674" s="36">
        <v>1500.0</v>
      </c>
    </row>
    <row r="1675">
      <c r="A1675" s="34" t="s">
        <v>623</v>
      </c>
      <c r="B1675" s="34" t="s">
        <v>624</v>
      </c>
      <c r="C1675" s="37">
        <v>46082.104525462964</v>
      </c>
      <c r="D1675" s="36">
        <v>1500.0</v>
      </c>
    </row>
    <row r="1676">
      <c r="A1676" s="34" t="s">
        <v>157</v>
      </c>
      <c r="B1676" s="34" t="s">
        <v>158</v>
      </c>
      <c r="C1676" s="37">
        <v>46082.32644675926</v>
      </c>
      <c r="D1676" s="36">
        <v>1200.0</v>
      </c>
    </row>
    <row r="1677">
      <c r="A1677" s="34" t="s">
        <v>631</v>
      </c>
      <c r="B1677" s="34" t="s">
        <v>632</v>
      </c>
      <c r="C1677" s="37">
        <v>46053.76546296296</v>
      </c>
      <c r="D1677" s="36">
        <v>1500.0</v>
      </c>
    </row>
    <row r="1678">
      <c r="A1678" s="34" t="s">
        <v>567</v>
      </c>
      <c r="B1678" s="34" t="s">
        <v>568</v>
      </c>
      <c r="C1678" s="37">
        <v>46082.60797453704</v>
      </c>
      <c r="D1678" s="36">
        <v>1500.0</v>
      </c>
    </row>
    <row r="1679">
      <c r="A1679" s="34" t="s">
        <v>878</v>
      </c>
      <c r="B1679" s="34" t="s">
        <v>879</v>
      </c>
      <c r="C1679" s="37">
        <v>46082.8224537037</v>
      </c>
      <c r="D1679" s="36">
        <v>1500.0</v>
      </c>
    </row>
    <row r="1680">
      <c r="A1680" s="34" t="s">
        <v>687</v>
      </c>
      <c r="B1680" s="34" t="s">
        <v>688</v>
      </c>
      <c r="C1680" s="37">
        <v>46082.86666666667</v>
      </c>
      <c r="D1680" s="36">
        <v>1500.0</v>
      </c>
    </row>
    <row r="1681">
      <c r="A1681" s="34" t="s">
        <v>714</v>
      </c>
      <c r="B1681" s="34" t="s">
        <v>715</v>
      </c>
      <c r="C1681" s="37">
        <v>46082.898564814815</v>
      </c>
      <c r="D1681" s="36">
        <v>1500.0</v>
      </c>
    </row>
    <row r="1682">
      <c r="A1682" s="34" t="s">
        <v>718</v>
      </c>
      <c r="B1682" s="34" t="s">
        <v>719</v>
      </c>
      <c r="C1682" s="37">
        <v>46083.75814814815</v>
      </c>
      <c r="D1682" s="36">
        <v>1200.0</v>
      </c>
    </row>
    <row r="1683">
      <c r="A1683" s="34" t="s">
        <v>640</v>
      </c>
      <c r="B1683" s="34" t="s">
        <v>641</v>
      </c>
      <c r="C1683" s="37">
        <v>46083.76278935185</v>
      </c>
      <c r="D1683" s="36">
        <v>1500.0</v>
      </c>
    </row>
    <row r="1684">
      <c r="A1684" s="34" t="s">
        <v>720</v>
      </c>
      <c r="B1684" s="34" t="s">
        <v>721</v>
      </c>
      <c r="C1684" s="37">
        <v>46083.76699074074</v>
      </c>
      <c r="D1684" s="36">
        <v>1500.0</v>
      </c>
    </row>
    <row r="1685">
      <c r="A1685" s="34" t="s">
        <v>722</v>
      </c>
      <c r="B1685" s="34" t="s">
        <v>723</v>
      </c>
      <c r="C1685" s="37">
        <v>46083.77127314815</v>
      </c>
      <c r="D1685" s="36">
        <v>1500.0</v>
      </c>
    </row>
    <row r="1686">
      <c r="A1686" s="34" t="s">
        <v>816</v>
      </c>
      <c r="B1686" s="34" t="s">
        <v>817</v>
      </c>
      <c r="C1686" s="37">
        <v>46083.774733796294</v>
      </c>
      <c r="D1686" s="36">
        <v>1875.0</v>
      </c>
    </row>
    <row r="1687">
      <c r="A1687" s="34" t="s">
        <v>726</v>
      </c>
      <c r="B1687" s="34" t="s">
        <v>727</v>
      </c>
      <c r="C1687" s="37">
        <v>46083.79956018519</v>
      </c>
      <c r="D1687" s="36">
        <v>1500.0</v>
      </c>
    </row>
    <row r="1688">
      <c r="A1688" s="34" t="s">
        <v>709</v>
      </c>
      <c r="B1688" s="34" t="s">
        <v>710</v>
      </c>
      <c r="C1688" s="37">
        <v>46083.822962962964</v>
      </c>
      <c r="D1688" s="36">
        <v>1500.0</v>
      </c>
    </row>
    <row r="1689">
      <c r="A1689" s="34" t="s">
        <v>691</v>
      </c>
      <c r="B1689" s="34" t="s">
        <v>692</v>
      </c>
      <c r="C1689" s="37">
        <v>46083.82392361111</v>
      </c>
      <c r="D1689" s="36">
        <v>1500.0</v>
      </c>
    </row>
    <row r="1690">
      <c r="A1690" s="34" t="s">
        <v>569</v>
      </c>
      <c r="B1690" s="34" t="s">
        <v>570</v>
      </c>
      <c r="C1690" s="37">
        <v>46083.850949074076</v>
      </c>
      <c r="D1690" s="36">
        <v>1500.0</v>
      </c>
    </row>
    <row r="1691">
      <c r="A1691" s="34" t="s">
        <v>728</v>
      </c>
      <c r="B1691" s="34" t="s">
        <v>729</v>
      </c>
      <c r="C1691" s="37">
        <v>46083.89766203704</v>
      </c>
      <c r="D1691" s="36">
        <v>1500.0</v>
      </c>
    </row>
    <row r="1692">
      <c r="A1692" s="34" t="s">
        <v>730</v>
      </c>
      <c r="B1692" s="34" t="s">
        <v>731</v>
      </c>
      <c r="C1692" s="37">
        <v>46084.56524305556</v>
      </c>
      <c r="D1692" s="36">
        <v>1500.0</v>
      </c>
    </row>
    <row r="1693">
      <c r="A1693" s="34" t="s">
        <v>822</v>
      </c>
      <c r="B1693" s="34" t="s">
        <v>823</v>
      </c>
      <c r="C1693" s="37">
        <v>46084.76466435185</v>
      </c>
      <c r="D1693" s="36">
        <v>1500.0</v>
      </c>
    </row>
    <row r="1694">
      <c r="A1694" s="34" t="s">
        <v>764</v>
      </c>
      <c r="B1694" s="34" t="s">
        <v>765</v>
      </c>
      <c r="C1694" s="37">
        <v>46084.779027777775</v>
      </c>
      <c r="D1694" s="36">
        <v>1500.0</v>
      </c>
    </row>
    <row r="1695">
      <c r="A1695" s="34" t="s">
        <v>695</v>
      </c>
      <c r="B1695" s="34" t="s">
        <v>696</v>
      </c>
      <c r="C1695" s="37">
        <v>46084.78333333333</v>
      </c>
      <c r="D1695" s="36">
        <v>1000.0</v>
      </c>
    </row>
    <row r="1696">
      <c r="A1696" s="34" t="s">
        <v>571</v>
      </c>
      <c r="B1696" s="34" t="s">
        <v>572</v>
      </c>
      <c r="C1696" s="37">
        <v>46085.67873842592</v>
      </c>
      <c r="D1696" s="36">
        <v>1500.0</v>
      </c>
    </row>
    <row r="1697">
      <c r="A1697" s="34" t="s">
        <v>880</v>
      </c>
      <c r="B1697" s="34" t="s">
        <v>881</v>
      </c>
      <c r="C1697" s="37">
        <v>46085.79824074074</v>
      </c>
      <c r="D1697" s="36">
        <v>1500.0</v>
      </c>
    </row>
    <row r="1698">
      <c r="A1698" s="34" t="s">
        <v>824</v>
      </c>
      <c r="B1698" s="34" t="s">
        <v>825</v>
      </c>
      <c r="C1698" s="37">
        <v>46085.81884259259</v>
      </c>
      <c r="D1698" s="36">
        <v>1800.0</v>
      </c>
    </row>
    <row r="1699">
      <c r="A1699" s="34"/>
      <c r="B1699" s="34"/>
      <c r="C1699" s="37">
        <v>46085.83740740741</v>
      </c>
      <c r="D1699" s="36">
        <v>9000.0</v>
      </c>
    </row>
    <row r="1700">
      <c r="A1700" s="34" t="s">
        <v>530</v>
      </c>
      <c r="B1700" s="34" t="s">
        <v>531</v>
      </c>
      <c r="C1700" s="37">
        <v>46086.64517361111</v>
      </c>
      <c r="D1700" s="36">
        <v>1500.0</v>
      </c>
    </row>
    <row r="1701">
      <c r="A1701" s="34" t="s">
        <v>826</v>
      </c>
      <c r="B1701" s="34" t="s">
        <v>819</v>
      </c>
      <c r="C1701" s="37">
        <v>46086.75622685185</v>
      </c>
      <c r="D1701" s="36">
        <v>1500.0</v>
      </c>
    </row>
    <row r="1702">
      <c r="A1702" s="34" t="s">
        <v>644</v>
      </c>
      <c r="B1702" s="34" t="s">
        <v>645</v>
      </c>
      <c r="C1702" s="37">
        <v>46087.761342592596</v>
      </c>
      <c r="D1702" s="36">
        <v>1500.0</v>
      </c>
    </row>
    <row r="1703">
      <c r="A1703" s="34" t="s">
        <v>882</v>
      </c>
      <c r="B1703" s="34" t="s">
        <v>883</v>
      </c>
      <c r="C1703" s="37">
        <v>46087.7737037037</v>
      </c>
      <c r="D1703" s="36">
        <v>1500.0</v>
      </c>
    </row>
    <row r="1704">
      <c r="A1704" s="34" t="s">
        <v>697</v>
      </c>
      <c r="B1704" s="34" t="s">
        <v>698</v>
      </c>
      <c r="C1704" s="37">
        <v>46087.782013888886</v>
      </c>
      <c r="D1704" s="36">
        <v>1500.0</v>
      </c>
    </row>
    <row r="1705">
      <c r="A1705" s="34" t="s">
        <v>884</v>
      </c>
      <c r="B1705" s="34" t="s">
        <v>885</v>
      </c>
      <c r="C1705" s="37">
        <v>46087.799409722225</v>
      </c>
      <c r="D1705" s="36">
        <v>1500.0</v>
      </c>
    </row>
    <row r="1706">
      <c r="A1706" s="34" t="s">
        <v>683</v>
      </c>
      <c r="B1706" s="34" t="s">
        <v>684</v>
      </c>
      <c r="C1706" s="37">
        <v>46081.87289351852</v>
      </c>
      <c r="D1706" s="36">
        <v>1500.0</v>
      </c>
    </row>
    <row r="1707">
      <c r="A1707" s="34" t="s">
        <v>886</v>
      </c>
      <c r="B1707" s="34" t="s">
        <v>887</v>
      </c>
      <c r="C1707" s="37">
        <v>46088.64571759259</v>
      </c>
      <c r="D1707" s="36">
        <v>3000.0</v>
      </c>
    </row>
    <row r="1708">
      <c r="A1708" s="34" t="s">
        <v>579</v>
      </c>
      <c r="B1708" s="34" t="s">
        <v>580</v>
      </c>
      <c r="C1708" s="37">
        <v>46088.745775462965</v>
      </c>
      <c r="D1708" s="36">
        <v>1500.0</v>
      </c>
    </row>
    <row r="1709">
      <c r="A1709" s="34" t="s">
        <v>829</v>
      </c>
      <c r="B1709" s="34" t="s">
        <v>830</v>
      </c>
      <c r="C1709" s="37">
        <v>46088.865648148145</v>
      </c>
      <c r="D1709" s="36">
        <v>700.0</v>
      </c>
    </row>
    <row r="1710">
      <c r="A1710" s="34"/>
      <c r="B1710" s="34"/>
      <c r="C1710" s="37">
        <v>46088.88364583333</v>
      </c>
      <c r="D1710" s="36">
        <v>6000.0</v>
      </c>
    </row>
    <row r="1711">
      <c r="A1711" s="34" t="s">
        <v>30</v>
      </c>
      <c r="B1711" s="34" t="s">
        <v>713</v>
      </c>
      <c r="C1711" s="37">
        <v>46082.87945601852</v>
      </c>
      <c r="D1711" s="36">
        <v>1500.0</v>
      </c>
    </row>
    <row r="1712">
      <c r="A1712" s="34" t="s">
        <v>882</v>
      </c>
      <c r="B1712" s="34" t="s">
        <v>883</v>
      </c>
      <c r="C1712" s="37">
        <v>46089.463738425926</v>
      </c>
      <c r="D1712" s="36">
        <v>1500.0</v>
      </c>
    </row>
    <row r="1713">
      <c r="A1713" s="34"/>
      <c r="B1713" s="34"/>
      <c r="C1713" s="37">
        <v>46089.4846875</v>
      </c>
      <c r="D1713" s="36">
        <v>7500.0</v>
      </c>
    </row>
    <row r="1714">
      <c r="A1714" s="34" t="s">
        <v>888</v>
      </c>
      <c r="B1714" s="34" t="s">
        <v>889</v>
      </c>
      <c r="C1714" s="37">
        <v>46089.73667824074</v>
      </c>
      <c r="D1714" s="36">
        <v>3000.0</v>
      </c>
    </row>
    <row r="1715">
      <c r="A1715" s="34" t="s">
        <v>746</v>
      </c>
      <c r="B1715" s="34" t="s">
        <v>747</v>
      </c>
      <c r="C1715" s="37">
        <v>46089.783113425925</v>
      </c>
      <c r="D1715" s="36">
        <v>1500.0</v>
      </c>
    </row>
    <row r="1716">
      <c r="A1716" s="34" t="s">
        <v>480</v>
      </c>
      <c r="B1716" s="34" t="s">
        <v>481</v>
      </c>
      <c r="C1716" s="37">
        <v>46090.008680555555</v>
      </c>
      <c r="D1716" s="36">
        <v>1200.0</v>
      </c>
    </row>
    <row r="1717">
      <c r="A1717" s="34" t="s">
        <v>890</v>
      </c>
      <c r="B1717" s="34" t="s">
        <v>891</v>
      </c>
      <c r="C1717" s="37">
        <v>46090.66840277778</v>
      </c>
      <c r="D1717" s="36">
        <v>500.0</v>
      </c>
    </row>
    <row r="1718">
      <c r="A1718" s="34" t="s">
        <v>831</v>
      </c>
      <c r="B1718" s="34" t="s">
        <v>832</v>
      </c>
      <c r="C1718" s="37">
        <v>46090.776608796295</v>
      </c>
      <c r="D1718" s="36">
        <v>1800.0</v>
      </c>
    </row>
    <row r="1719">
      <c r="A1719" s="34" t="s">
        <v>892</v>
      </c>
      <c r="B1719" s="34" t="s">
        <v>893</v>
      </c>
      <c r="C1719" s="37">
        <v>46090.858252314814</v>
      </c>
      <c r="D1719" s="36">
        <v>100.0</v>
      </c>
    </row>
    <row r="1720">
      <c r="A1720" s="34" t="s">
        <v>833</v>
      </c>
      <c r="B1720" s="34" t="s">
        <v>834</v>
      </c>
      <c r="C1720" s="37">
        <v>46091.387291666666</v>
      </c>
      <c r="D1720" s="36">
        <v>500.0</v>
      </c>
    </row>
    <row r="1721">
      <c r="A1721" s="34" t="s">
        <v>752</v>
      </c>
      <c r="B1721" s="34" t="s">
        <v>753</v>
      </c>
      <c r="C1721" s="37">
        <v>46090.83841435185</v>
      </c>
      <c r="D1721" s="36">
        <v>1500.0</v>
      </c>
    </row>
    <row r="1722">
      <c r="A1722" s="34" t="s">
        <v>894</v>
      </c>
      <c r="B1722" s="34" t="s">
        <v>895</v>
      </c>
      <c r="C1722" s="37">
        <v>46091.75337962963</v>
      </c>
      <c r="D1722" s="36">
        <v>1500.0</v>
      </c>
    </row>
    <row r="1723">
      <c r="A1723" s="34" t="s">
        <v>701</v>
      </c>
      <c r="B1723" s="34" t="s">
        <v>702</v>
      </c>
      <c r="C1723" s="37">
        <v>46091.77478009259</v>
      </c>
      <c r="D1723" s="36">
        <v>1500.0</v>
      </c>
    </row>
    <row r="1724">
      <c r="A1724" s="34" t="s">
        <v>542</v>
      </c>
      <c r="B1724" s="34" t="s">
        <v>543</v>
      </c>
      <c r="C1724" s="37">
        <v>46091.814259259256</v>
      </c>
      <c r="D1724" s="36">
        <v>1500.0</v>
      </c>
    </row>
    <row r="1725">
      <c r="A1725" s="34" t="s">
        <v>835</v>
      </c>
      <c r="B1725" s="34" t="s">
        <v>836</v>
      </c>
      <c r="C1725" s="37">
        <v>46091.91695601852</v>
      </c>
      <c r="D1725" s="36">
        <v>100.0</v>
      </c>
    </row>
    <row r="1726">
      <c r="A1726" s="34" t="s">
        <v>896</v>
      </c>
      <c r="B1726" s="34" t="s">
        <v>897</v>
      </c>
      <c r="C1726" s="37">
        <v>46092.35799768518</v>
      </c>
      <c r="D1726" s="36">
        <v>50.0</v>
      </c>
    </row>
    <row r="1727">
      <c r="A1727" s="34" t="s">
        <v>894</v>
      </c>
      <c r="B1727" s="34" t="s">
        <v>895</v>
      </c>
      <c r="C1727" s="37">
        <v>46092.69887731481</v>
      </c>
      <c r="D1727" s="36">
        <v>1000.0</v>
      </c>
    </row>
    <row r="1728">
      <c r="A1728" s="34" t="s">
        <v>837</v>
      </c>
      <c r="B1728" s="34" t="s">
        <v>838</v>
      </c>
      <c r="C1728" s="37">
        <v>46092.70930555555</v>
      </c>
      <c r="D1728" s="36">
        <v>1500.0</v>
      </c>
    </row>
    <row r="1729">
      <c r="A1729" s="34" t="s">
        <v>839</v>
      </c>
      <c r="B1729" s="34" t="s">
        <v>840</v>
      </c>
      <c r="C1729" s="37">
        <v>46092.751180555555</v>
      </c>
      <c r="D1729" s="36">
        <v>800.0</v>
      </c>
    </row>
    <row r="1730">
      <c r="A1730" s="34" t="s">
        <v>654</v>
      </c>
      <c r="B1730" s="34" t="s">
        <v>655</v>
      </c>
      <c r="C1730" s="37">
        <v>46092.76988425926</v>
      </c>
      <c r="D1730" s="36">
        <v>1500.0</v>
      </c>
    </row>
    <row r="1731">
      <c r="A1731" s="34" t="s">
        <v>841</v>
      </c>
      <c r="B1731" s="34" t="s">
        <v>842</v>
      </c>
      <c r="C1731" s="37">
        <v>46092.847546296296</v>
      </c>
      <c r="D1731" s="36">
        <v>1500.0</v>
      </c>
    </row>
    <row r="1732">
      <c r="A1732" s="34" t="s">
        <v>843</v>
      </c>
      <c r="B1732" s="34" t="s">
        <v>844</v>
      </c>
      <c r="C1732" s="37">
        <v>46088.73292824074</v>
      </c>
      <c r="D1732" s="36">
        <v>800.0</v>
      </c>
    </row>
    <row r="1733">
      <c r="A1733" s="34" t="s">
        <v>853</v>
      </c>
      <c r="B1733" s="34" t="s">
        <v>854</v>
      </c>
      <c r="C1733" s="37">
        <v>46093.74172453704</v>
      </c>
      <c r="D1733" s="36">
        <v>800.0</v>
      </c>
    </row>
    <row r="1734">
      <c r="A1734" s="34" t="s">
        <v>589</v>
      </c>
      <c r="B1734" s="34" t="s">
        <v>590</v>
      </c>
      <c r="C1734" s="37">
        <v>46093.746400462966</v>
      </c>
      <c r="D1734" s="36">
        <v>1500.0</v>
      </c>
    </row>
    <row r="1735">
      <c r="A1735" s="34" t="s">
        <v>544</v>
      </c>
      <c r="B1735" s="34" t="s">
        <v>545</v>
      </c>
      <c r="C1735" s="37">
        <v>46093.75975694445</v>
      </c>
      <c r="D1735" s="36">
        <v>1500.0</v>
      </c>
    </row>
    <row r="1736">
      <c r="A1736" s="34" t="s">
        <v>847</v>
      </c>
      <c r="B1736" s="34" t="s">
        <v>848</v>
      </c>
      <c r="C1736" s="37">
        <v>46093.935011574074</v>
      </c>
      <c r="D1736" s="36">
        <v>1500.0</v>
      </c>
    </row>
    <row r="1737">
      <c r="A1737" s="34" t="s">
        <v>591</v>
      </c>
      <c r="B1737" s="34" t="s">
        <v>592</v>
      </c>
      <c r="C1737" s="37">
        <v>46094.711863425924</v>
      </c>
      <c r="D1737" s="36">
        <v>1500.0</v>
      </c>
    </row>
    <row r="1738">
      <c r="A1738" s="34" t="s">
        <v>849</v>
      </c>
      <c r="B1738" s="34" t="s">
        <v>850</v>
      </c>
      <c r="C1738" s="37">
        <v>46094.755891203706</v>
      </c>
      <c r="D1738" s="36">
        <v>1500.0</v>
      </c>
    </row>
    <row r="1739">
      <c r="A1739" s="34" t="s">
        <v>756</v>
      </c>
      <c r="B1739" s="34" t="s">
        <v>757</v>
      </c>
      <c r="C1739" s="37">
        <v>46094.82678240741</v>
      </c>
      <c r="D1739" s="36">
        <v>1500.0</v>
      </c>
    </row>
    <row r="1740">
      <c r="A1740" s="34" t="s">
        <v>608</v>
      </c>
      <c r="B1740" s="34" t="s">
        <v>609</v>
      </c>
      <c r="C1740" s="37">
        <v>46094.85288194445</v>
      </c>
      <c r="D1740" s="36">
        <v>1500.0</v>
      </c>
    </row>
    <row r="1741">
      <c r="A1741" s="34" t="s">
        <v>585</v>
      </c>
      <c r="B1741" s="34" t="s">
        <v>586</v>
      </c>
      <c r="C1741" s="37">
        <v>46092.59276620371</v>
      </c>
      <c r="D1741" s="36">
        <v>1500.0</v>
      </c>
    </row>
    <row r="1742">
      <c r="A1742" s="34" t="s">
        <v>898</v>
      </c>
      <c r="B1742" s="34" t="s">
        <v>899</v>
      </c>
      <c r="C1742" s="37">
        <v>46095.60275462963</v>
      </c>
      <c r="D1742" s="36">
        <v>3000.0</v>
      </c>
    </row>
    <row r="1743">
      <c r="A1743" s="34"/>
      <c r="B1743" s="34"/>
      <c r="C1743" s="37">
        <v>46095.72508101852</v>
      </c>
      <c r="D1743" s="36">
        <v>9000.0</v>
      </c>
    </row>
    <row r="1744">
      <c r="A1744" s="34" t="s">
        <v>851</v>
      </c>
      <c r="B1744" s="34" t="s">
        <v>852</v>
      </c>
      <c r="C1744" s="37">
        <v>46095.72782407407</v>
      </c>
      <c r="D1744" s="36">
        <v>50.0</v>
      </c>
    </row>
    <row r="1745">
      <c r="A1745" s="34"/>
      <c r="B1745" s="34"/>
      <c r="C1745" s="37">
        <v>46096.6827662037</v>
      </c>
      <c r="D1745" s="36">
        <v>6000.0</v>
      </c>
    </row>
    <row r="1746">
      <c r="A1746" s="34" t="s">
        <v>596</v>
      </c>
      <c r="B1746" s="34" t="s">
        <v>597</v>
      </c>
      <c r="C1746" s="37">
        <v>46096.70854166667</v>
      </c>
      <c r="D1746" s="36">
        <v>1500.0</v>
      </c>
    </row>
    <row r="1747">
      <c r="A1747" s="34" t="s">
        <v>855</v>
      </c>
      <c r="B1747" s="34" t="s">
        <v>856</v>
      </c>
      <c r="C1747" s="37">
        <v>46096.716157407405</v>
      </c>
      <c r="D1747" s="36">
        <v>1500.0</v>
      </c>
    </row>
    <row r="1748">
      <c r="A1748" s="34" t="s">
        <v>900</v>
      </c>
      <c r="B1748" s="34" t="s">
        <v>901</v>
      </c>
      <c r="C1748" s="37">
        <v>46096.74912037037</v>
      </c>
      <c r="D1748" s="36">
        <v>3000.0</v>
      </c>
    </row>
    <row r="1749">
      <c r="A1749" s="34" t="s">
        <v>902</v>
      </c>
      <c r="B1749" s="34" t="s">
        <v>903</v>
      </c>
      <c r="C1749" s="37">
        <v>46096.78277777778</v>
      </c>
      <c r="D1749" s="36">
        <v>1500.0</v>
      </c>
    </row>
    <row r="1750">
      <c r="A1750" s="34" t="s">
        <v>857</v>
      </c>
      <c r="B1750" s="34" t="s">
        <v>858</v>
      </c>
      <c r="C1750" s="37">
        <v>46096.801840277774</v>
      </c>
      <c r="D1750" s="36">
        <v>1000.0</v>
      </c>
    </row>
    <row r="1751">
      <c r="A1751" s="34" t="s">
        <v>546</v>
      </c>
      <c r="B1751" s="34" t="s">
        <v>547</v>
      </c>
      <c r="C1751" s="37">
        <v>46096.80383101852</v>
      </c>
      <c r="D1751" s="36">
        <v>1500.0</v>
      </c>
    </row>
    <row r="1752">
      <c r="A1752" s="34" t="s">
        <v>598</v>
      </c>
      <c r="B1752" s="34" t="s">
        <v>599</v>
      </c>
      <c r="C1752" s="37">
        <v>46096.83157407407</v>
      </c>
      <c r="D1752" s="36">
        <v>1500.0</v>
      </c>
    </row>
    <row r="1753">
      <c r="A1753" s="34"/>
      <c r="B1753" s="34"/>
      <c r="C1753" s="37">
        <v>46097.63136574074</v>
      </c>
      <c r="D1753" s="36">
        <v>4500.0</v>
      </c>
    </row>
    <row r="1754">
      <c r="A1754" s="34" t="s">
        <v>904</v>
      </c>
      <c r="B1754" s="34" t="s">
        <v>905</v>
      </c>
      <c r="C1754" s="37">
        <v>46097.70630787037</v>
      </c>
      <c r="D1754" s="36">
        <v>3000.0</v>
      </c>
    </row>
    <row r="1755">
      <c r="A1755" s="34" t="s">
        <v>734</v>
      </c>
      <c r="B1755" s="34" t="s">
        <v>735</v>
      </c>
      <c r="C1755" s="37">
        <v>46086.640011574076</v>
      </c>
      <c r="D1755" s="36">
        <v>1500.0</v>
      </c>
    </row>
    <row r="1756">
      <c r="A1756" s="34" t="s">
        <v>906</v>
      </c>
      <c r="B1756" s="34" t="s">
        <v>907</v>
      </c>
      <c r="C1756" s="37">
        <v>46099.65068287037</v>
      </c>
      <c r="D1756" s="36">
        <v>500.0</v>
      </c>
    </row>
    <row r="1757">
      <c r="A1757" s="34" t="s">
        <v>774</v>
      </c>
      <c r="B1757" s="34" t="s">
        <v>775</v>
      </c>
      <c r="C1757" s="37">
        <v>46099.87001157407</v>
      </c>
      <c r="D1757" s="36">
        <v>1500.0</v>
      </c>
    </row>
    <row r="1758">
      <c r="A1758" s="34" t="s">
        <v>416</v>
      </c>
      <c r="B1758" s="34" t="s">
        <v>417</v>
      </c>
      <c r="C1758" s="37">
        <v>46100.85023148148</v>
      </c>
      <c r="D1758" s="36">
        <v>1200.0</v>
      </c>
    </row>
    <row r="1759">
      <c r="A1759" s="34" t="s">
        <v>768</v>
      </c>
      <c r="B1759" s="34" t="s">
        <v>769</v>
      </c>
      <c r="C1759" s="37">
        <v>46098.60674768518</v>
      </c>
      <c r="D1759" s="36">
        <v>1500.0</v>
      </c>
    </row>
    <row r="1760">
      <c r="A1760" s="34" t="s">
        <v>908</v>
      </c>
      <c r="B1760" s="34" t="s">
        <v>909</v>
      </c>
      <c r="C1760" s="37">
        <v>46101.53591435185</v>
      </c>
      <c r="D1760" s="36">
        <v>3000.0</v>
      </c>
    </row>
    <row r="1761">
      <c r="A1761" s="34" t="s">
        <v>859</v>
      </c>
      <c r="B1761" s="34" t="s">
        <v>860</v>
      </c>
      <c r="C1761" s="37">
        <v>46101.731261574074</v>
      </c>
      <c r="D1761" s="36">
        <v>1500.0</v>
      </c>
    </row>
    <row r="1762">
      <c r="A1762" s="34" t="s">
        <v>604</v>
      </c>
      <c r="B1762" s="34" t="s">
        <v>605</v>
      </c>
      <c r="C1762" s="37">
        <v>46101.811840277776</v>
      </c>
      <c r="D1762" s="36">
        <v>1500.0</v>
      </c>
    </row>
    <row r="1763">
      <c r="A1763" s="34" t="s">
        <v>424</v>
      </c>
      <c r="B1763" s="34" t="s">
        <v>425</v>
      </c>
      <c r="C1763" s="37">
        <v>46102.4875</v>
      </c>
      <c r="D1763" s="36">
        <v>1500.0</v>
      </c>
    </row>
    <row r="1764">
      <c r="A1764" s="34" t="s">
        <v>910</v>
      </c>
      <c r="B1764" s="34" t="s">
        <v>911</v>
      </c>
      <c r="C1764" s="37">
        <v>46102.58459490741</v>
      </c>
      <c r="D1764" s="36">
        <v>3000.0</v>
      </c>
    </row>
    <row r="1765">
      <c r="A1765" s="34" t="s">
        <v>861</v>
      </c>
      <c r="B1765" s="34" t="s">
        <v>741</v>
      </c>
      <c r="C1765" s="37">
        <v>46102.62938657407</v>
      </c>
      <c r="D1765" s="36">
        <v>1500.0</v>
      </c>
    </row>
    <row r="1766">
      <c r="A1766" s="34" t="s">
        <v>556</v>
      </c>
      <c r="B1766" s="34" t="s">
        <v>557</v>
      </c>
      <c r="C1766" s="37">
        <v>46102.635625</v>
      </c>
      <c r="D1766" s="36">
        <v>1500.0</v>
      </c>
    </row>
    <row r="1767">
      <c r="A1767" s="34" t="s">
        <v>754</v>
      </c>
      <c r="B1767" s="34" t="s">
        <v>755</v>
      </c>
      <c r="C1767" s="37">
        <v>46102.63799768518</v>
      </c>
      <c r="D1767" s="36">
        <v>1500.0</v>
      </c>
    </row>
    <row r="1768">
      <c r="A1768" s="34" t="s">
        <v>912</v>
      </c>
      <c r="B1768" s="34" t="s">
        <v>913</v>
      </c>
      <c r="C1768" s="37">
        <v>46102.72</v>
      </c>
      <c r="D1768" s="36">
        <v>3000.0</v>
      </c>
    </row>
    <row r="1769">
      <c r="A1769" s="34" t="s">
        <v>914</v>
      </c>
      <c r="B1769" s="34" t="s">
        <v>915</v>
      </c>
      <c r="C1769" s="37">
        <v>46102.743472222224</v>
      </c>
      <c r="D1769" s="36">
        <v>500.0</v>
      </c>
    </row>
    <row r="1770">
      <c r="A1770" s="34" t="s">
        <v>784</v>
      </c>
      <c r="B1770" s="34" t="s">
        <v>785</v>
      </c>
      <c r="C1770" s="37">
        <v>46102.88989583333</v>
      </c>
      <c r="D1770" s="36">
        <v>1000.0</v>
      </c>
    </row>
    <row r="1771">
      <c r="A1771" s="34"/>
      <c r="B1771" s="34"/>
      <c r="C1771" s="37">
        <v>46103.547800925924</v>
      </c>
      <c r="D1771" s="36">
        <v>4500.0</v>
      </c>
    </row>
    <row r="1772">
      <c r="A1772" s="34" t="s">
        <v>916</v>
      </c>
      <c r="B1772" s="34" t="s">
        <v>917</v>
      </c>
      <c r="C1772" s="37">
        <v>46103.68576388889</v>
      </c>
      <c r="D1772" s="36">
        <v>3000.0</v>
      </c>
    </row>
    <row r="1773">
      <c r="A1773" s="34" t="s">
        <v>778</v>
      </c>
      <c r="B1773" s="34" t="s">
        <v>779</v>
      </c>
      <c r="C1773" s="37">
        <v>46102.747141203705</v>
      </c>
      <c r="D1773" s="36">
        <v>50.0</v>
      </c>
    </row>
    <row r="1774">
      <c r="A1774" s="34" t="s">
        <v>918</v>
      </c>
      <c r="B1774" s="34" t="s">
        <v>919</v>
      </c>
      <c r="C1774" s="37">
        <v>46104.63658564815</v>
      </c>
      <c r="D1774" s="36">
        <v>800.0</v>
      </c>
    </row>
    <row r="1775">
      <c r="A1775" s="34" t="s">
        <v>788</v>
      </c>
      <c r="B1775" s="34" t="s">
        <v>789</v>
      </c>
      <c r="C1775" s="37">
        <v>46104.68763888889</v>
      </c>
      <c r="D1775" s="36">
        <v>1500.0</v>
      </c>
    </row>
    <row r="1776">
      <c r="A1776" s="34"/>
      <c r="B1776" s="34"/>
      <c r="C1776" s="37">
        <v>46104.772835648146</v>
      </c>
      <c r="D1776" s="36">
        <v>3000.0</v>
      </c>
    </row>
    <row r="1777">
      <c r="A1777" s="34"/>
      <c r="B1777" s="34"/>
      <c r="C1777" s="37">
        <v>46104.774375</v>
      </c>
      <c r="D1777" s="36">
        <v>3000.0</v>
      </c>
    </row>
    <row r="1778">
      <c r="A1778" s="34" t="s">
        <v>920</v>
      </c>
      <c r="B1778" s="34" t="s">
        <v>921</v>
      </c>
      <c r="C1778" s="37">
        <v>46104.808958333335</v>
      </c>
      <c r="D1778" s="36">
        <v>3000.0</v>
      </c>
    </row>
    <row r="1779">
      <c r="A1779" s="34" t="s">
        <v>866</v>
      </c>
      <c r="B1779" s="34" t="s">
        <v>867</v>
      </c>
      <c r="C1779" s="37">
        <v>46104.83305555556</v>
      </c>
      <c r="D1779" s="36">
        <v>1500.0</v>
      </c>
    </row>
    <row r="1780">
      <c r="A1780" s="34" t="s">
        <v>922</v>
      </c>
      <c r="B1780" s="34" t="s">
        <v>923</v>
      </c>
      <c r="C1780" s="37">
        <v>46104.86641203704</v>
      </c>
      <c r="D1780" s="36">
        <v>800.0</v>
      </c>
    </row>
    <row r="1781">
      <c r="A1781" s="34" t="s">
        <v>864</v>
      </c>
      <c r="B1781" s="34" t="s">
        <v>865</v>
      </c>
      <c r="C1781" s="37">
        <v>46103.86748842592</v>
      </c>
      <c r="D1781" s="36">
        <v>500.0</v>
      </c>
    </row>
    <row r="1782">
      <c r="A1782" s="34" t="s">
        <v>778</v>
      </c>
      <c r="B1782" s="34" t="s">
        <v>779</v>
      </c>
      <c r="C1782" s="37">
        <v>46103.80571759259</v>
      </c>
      <c r="D1782" s="36">
        <v>1100.0</v>
      </c>
    </row>
    <row r="1783">
      <c r="A1783" s="34" t="s">
        <v>924</v>
      </c>
      <c r="B1783" s="34" t="s">
        <v>925</v>
      </c>
      <c r="C1783" s="37">
        <v>46105.719988425924</v>
      </c>
      <c r="D1783" s="36">
        <v>2500.0</v>
      </c>
    </row>
    <row r="1784">
      <c r="A1784" s="34" t="s">
        <v>870</v>
      </c>
      <c r="B1784" s="34" t="s">
        <v>871</v>
      </c>
      <c r="C1784" s="37">
        <v>46105.78766203704</v>
      </c>
      <c r="D1784" s="36">
        <v>1500.0</v>
      </c>
    </row>
    <row r="1785">
      <c r="A1785" s="34" t="s">
        <v>304</v>
      </c>
      <c r="B1785" s="34" t="s">
        <v>305</v>
      </c>
      <c r="C1785" s="37">
        <v>46105.8478125</v>
      </c>
      <c r="D1785" s="36">
        <v>400.0</v>
      </c>
    </row>
    <row r="1786">
      <c r="A1786" s="34" t="s">
        <v>926</v>
      </c>
      <c r="B1786" s="34" t="s">
        <v>927</v>
      </c>
      <c r="C1786" s="37">
        <v>46106.61850694445</v>
      </c>
      <c r="D1786" s="36">
        <v>50.0</v>
      </c>
    </row>
    <row r="1787">
      <c r="A1787" s="34" t="s">
        <v>928</v>
      </c>
      <c r="B1787" s="34" t="s">
        <v>929</v>
      </c>
      <c r="C1787" s="37">
        <v>46106.67787037037</v>
      </c>
      <c r="D1787" s="36">
        <v>500.0</v>
      </c>
    </row>
    <row r="1788">
      <c r="A1788" s="34" t="s">
        <v>930</v>
      </c>
      <c r="B1788" s="34" t="s">
        <v>931</v>
      </c>
      <c r="C1788" s="37">
        <v>46106.69986111111</v>
      </c>
      <c r="D1788" s="36">
        <v>2400.0</v>
      </c>
    </row>
    <row r="1789">
      <c r="A1789" s="34" t="s">
        <v>794</v>
      </c>
      <c r="B1789" s="34" t="s">
        <v>795</v>
      </c>
      <c r="C1789" s="37">
        <v>46106.758518518516</v>
      </c>
      <c r="D1789" s="36">
        <v>1500.0</v>
      </c>
    </row>
    <row r="1790">
      <c r="A1790" s="34"/>
      <c r="B1790" s="34"/>
      <c r="C1790" s="37">
        <v>46106.894212962965</v>
      </c>
      <c r="D1790" s="36">
        <v>4500.0</v>
      </c>
    </row>
    <row r="1791">
      <c r="A1791" s="34" t="s">
        <v>790</v>
      </c>
      <c r="B1791" s="34" t="s">
        <v>791</v>
      </c>
      <c r="C1791" s="37">
        <v>46104.764699074076</v>
      </c>
      <c r="D1791" s="36">
        <v>1500.0</v>
      </c>
    </row>
    <row r="1792">
      <c r="A1792" s="34" t="s">
        <v>932</v>
      </c>
      <c r="B1792" s="34" t="s">
        <v>933</v>
      </c>
      <c r="C1792" s="37">
        <v>46107.71078703704</v>
      </c>
      <c r="D1792" s="36">
        <v>500.0</v>
      </c>
    </row>
    <row r="1793">
      <c r="A1793" s="34"/>
      <c r="B1793" s="34"/>
      <c r="C1793" s="37">
        <v>46107.72418981481</v>
      </c>
      <c r="D1793" s="36">
        <v>6000.0</v>
      </c>
    </row>
    <row r="1794">
      <c r="A1794" s="34" t="s">
        <v>934</v>
      </c>
      <c r="B1794" s="34" t="s">
        <v>935</v>
      </c>
      <c r="C1794" s="37">
        <v>46107.802881944444</v>
      </c>
      <c r="D1794" s="36">
        <v>100.0</v>
      </c>
    </row>
    <row r="1795">
      <c r="A1795" s="34" t="s">
        <v>936</v>
      </c>
      <c r="B1795" s="34" t="s">
        <v>937</v>
      </c>
      <c r="C1795" s="37">
        <v>46107.81905092593</v>
      </c>
      <c r="D1795" s="36">
        <v>100.0</v>
      </c>
    </row>
    <row r="1796">
      <c r="A1796" s="34" t="s">
        <v>669</v>
      </c>
      <c r="B1796" s="34" t="s">
        <v>670</v>
      </c>
      <c r="C1796" s="37">
        <v>46103.709189814814</v>
      </c>
      <c r="D1796" s="36">
        <v>1500.0</v>
      </c>
    </row>
    <row r="1797">
      <c r="A1797" s="34" t="s">
        <v>766</v>
      </c>
      <c r="B1797" s="34" t="s">
        <v>767</v>
      </c>
      <c r="C1797" s="37">
        <v>46097.950266203705</v>
      </c>
      <c r="D1797" s="36">
        <v>1500.0</v>
      </c>
    </row>
    <row r="1798">
      <c r="A1798" s="34" t="s">
        <v>616</v>
      </c>
      <c r="B1798" s="34" t="s">
        <v>617</v>
      </c>
      <c r="C1798" s="37">
        <v>46108.72403935185</v>
      </c>
      <c r="D1798" s="36">
        <v>1500.0</v>
      </c>
    </row>
    <row r="1799">
      <c r="A1799" s="34" t="s">
        <v>758</v>
      </c>
      <c r="B1799" s="34" t="s">
        <v>759</v>
      </c>
      <c r="C1799" s="37">
        <v>46108.85563657407</v>
      </c>
      <c r="D1799" s="36">
        <v>1500.0</v>
      </c>
    </row>
    <row r="1800">
      <c r="A1800" s="34" t="s">
        <v>671</v>
      </c>
      <c r="B1800" s="34" t="s">
        <v>672</v>
      </c>
      <c r="C1800" s="37">
        <v>46108.888344907406</v>
      </c>
      <c r="D1800" s="36">
        <v>1500.0</v>
      </c>
    </row>
    <row r="1801">
      <c r="A1801" s="34" t="s">
        <v>770</v>
      </c>
      <c r="B1801" s="34" t="s">
        <v>771</v>
      </c>
      <c r="C1801" s="37">
        <v>46099.68429398148</v>
      </c>
      <c r="D1801" s="36">
        <v>1500.0</v>
      </c>
    </row>
    <row r="1802">
      <c r="A1802" s="34" t="s">
        <v>562</v>
      </c>
      <c r="B1802" s="34" t="s">
        <v>563</v>
      </c>
      <c r="C1802" s="37">
        <v>46109.75332175926</v>
      </c>
      <c r="D1802" s="36">
        <v>1500.0</v>
      </c>
    </row>
    <row r="1803">
      <c r="A1803" s="34" t="s">
        <v>620</v>
      </c>
      <c r="B1803" s="34" t="s">
        <v>621</v>
      </c>
      <c r="C1803" s="37">
        <v>46109.79609953704</v>
      </c>
      <c r="D1803" s="36">
        <v>1500.0</v>
      </c>
    </row>
    <row r="1804">
      <c r="A1804" s="34" t="s">
        <v>760</v>
      </c>
      <c r="B1804" s="34" t="s">
        <v>761</v>
      </c>
      <c r="C1804" s="37">
        <v>46096.70663194444</v>
      </c>
      <c r="D1804" s="36">
        <v>1500.0</v>
      </c>
    </row>
    <row r="1805">
      <c r="A1805" s="34"/>
      <c r="B1805" s="34"/>
      <c r="C1805" s="37">
        <v>46110.50947916666</v>
      </c>
      <c r="D1805" s="36">
        <v>4500.0</v>
      </c>
    </row>
    <row r="1806">
      <c r="A1806" s="34" t="s">
        <v>938</v>
      </c>
      <c r="B1806" s="34" t="s">
        <v>939</v>
      </c>
      <c r="C1806" s="37">
        <v>46110.71063657408</v>
      </c>
      <c r="D1806" s="36">
        <v>1500.0</v>
      </c>
    </row>
    <row r="1807">
      <c r="A1807" s="34" t="s">
        <v>940</v>
      </c>
      <c r="B1807" s="34" t="s">
        <v>941</v>
      </c>
      <c r="C1807" s="37">
        <v>46110.71761574074</v>
      </c>
      <c r="D1807" s="36">
        <v>100.0</v>
      </c>
    </row>
    <row r="1808">
      <c r="A1808" s="34"/>
      <c r="B1808" s="34"/>
      <c r="C1808" s="37">
        <v>46110.78983796296</v>
      </c>
      <c r="D1808" s="36">
        <v>4500.0</v>
      </c>
    </row>
    <row r="1809">
      <c r="A1809" s="34"/>
      <c r="B1809" s="34"/>
      <c r="C1809" s="37"/>
      <c r="D1809" s="36"/>
    </row>
    <row r="1810">
      <c r="A1810" s="34"/>
      <c r="B1810" s="34"/>
      <c r="D1810" s="36"/>
    </row>
    <row r="1811">
      <c r="A1811" s="34"/>
      <c r="B1811" s="34"/>
      <c r="C1811" s="37"/>
      <c r="D1811" s="36"/>
    </row>
    <row r="1812">
      <c r="A1812" s="34"/>
      <c r="B1812" s="34"/>
      <c r="C1812" s="37"/>
      <c r="D1812" s="36"/>
    </row>
    <row r="1813">
      <c r="A1813" s="34"/>
      <c r="B1813" s="34"/>
      <c r="C1813" s="35"/>
      <c r="D1813" s="36"/>
    </row>
    <row r="1814">
      <c r="A1814" s="34"/>
      <c r="B1814" s="34"/>
      <c r="C1814" s="37"/>
      <c r="D1814" s="36"/>
    </row>
    <row r="1815">
      <c r="C1815" s="38"/>
    </row>
    <row r="1816">
      <c r="C1816" s="38"/>
    </row>
    <row r="1817">
      <c r="C1817" s="38"/>
    </row>
    <row r="1818">
      <c r="C1818" s="38"/>
    </row>
    <row r="1819">
      <c r="C1819" s="38"/>
    </row>
    <row r="1820">
      <c r="C1820" s="38"/>
    </row>
    <row r="1821">
      <c r="C1821" s="38"/>
    </row>
    <row r="1822">
      <c r="C1822" s="38"/>
    </row>
    <row r="1823">
      <c r="C1823" s="38"/>
    </row>
    <row r="1824">
      <c r="C1824" s="39"/>
    </row>
  </sheetData>
  <drawing r:id="rId1"/>
</worksheet>
</file>