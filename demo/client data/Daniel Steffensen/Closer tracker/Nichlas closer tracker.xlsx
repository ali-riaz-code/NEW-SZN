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Template" sheetId="2" r:id="rId6"/>
    <sheet state="visible" name="May" sheetId="3" r:id="rId7"/>
    <sheet state="visible" name="Jun" sheetId="4" r:id="rId8"/>
    <sheet state="visible" name="Jul" sheetId="5" r:id="rId9"/>
    <sheet state="visible" name="Aug" sheetId="6" r:id="rId10"/>
    <sheet state="visible" name="Sep" sheetId="7" r:id="rId11"/>
    <sheet state="visible" name="Oct" sheetId="8" r:id="rId12"/>
    <sheet state="visible" name="Nov" sheetId="9" r:id="rId13"/>
    <sheet state="visible" name="Dec" sheetId="10" r:id="rId14"/>
    <sheet state="visible" name="Jan 26" sheetId="11" r:id="rId15"/>
    <sheet state="visible" name="Feb 26" sheetId="12" r:id="rId16"/>
    <sheet state="visible" name="Mar 26" sheetId="13" r:id="rId17"/>
  </sheets>
  <definedNames>
    <definedName hidden="1" localSheetId="1" name="_xlnm._FilterDatabase">Template!$A$12:$V$109</definedName>
    <definedName hidden="1" localSheetId="2" name="_xlnm._FilterDatabase">May!$A$12:$V$109</definedName>
    <definedName hidden="1" localSheetId="3" name="_xlnm._FilterDatabase">Jun!$A$12:$V$109</definedName>
    <definedName hidden="1" localSheetId="4" name="_xlnm._FilterDatabase">Jul!$A$12:$V$109</definedName>
    <definedName hidden="1" localSheetId="5" name="_xlnm._FilterDatabase">Aug!$A$12:$V$109</definedName>
    <definedName hidden="1" localSheetId="6" name="_xlnm._FilterDatabase">Sep!$A$12:$V$108</definedName>
    <definedName hidden="1" localSheetId="7" name="_xlnm._FilterDatabase">Oct!$A$12:$V$109</definedName>
    <definedName hidden="1" localSheetId="8" name="_xlnm._FilterDatabase">Nov!$A$12:$V$106</definedName>
    <definedName hidden="1" localSheetId="9" name="_xlnm._FilterDatabase">Dec!$A$12:$V$109</definedName>
    <definedName hidden="1" localSheetId="10" name="_xlnm._FilterDatabase">'Jan 26'!$A$12:$V$110</definedName>
    <definedName hidden="1" localSheetId="11" name="_xlnm._FilterDatabase">'Feb 26'!$A$12:$V$109</definedName>
    <definedName hidden="1" localSheetId="12" name="_xlnm._FilterDatabase">'Mar 26'!$A$12:$V$108</definedName>
    <definedName hidden="1" localSheetId="1" name="Z_13FBEE33_5560_4ECB_B707_C73777468090_.wvu.FilterData">Template!$R$17:$R$22</definedName>
    <definedName hidden="1" localSheetId="2" name="Z_13FBEE33_5560_4ECB_B707_C73777468090_.wvu.FilterData">May!$R$18</definedName>
    <definedName hidden="1" localSheetId="3" name="Z_13FBEE33_5560_4ECB_B707_C73777468090_.wvu.FilterData">Jun!$R$18</definedName>
    <definedName hidden="1" localSheetId="4" name="Z_13FBEE33_5560_4ECB_B707_C73777468090_.wvu.FilterData">Jul!$R$18</definedName>
    <definedName hidden="1" localSheetId="5" name="Z_13FBEE33_5560_4ECB_B707_C73777468090_.wvu.FilterData">Aug!$R$18</definedName>
    <definedName hidden="1" localSheetId="7" name="Z_13FBEE33_5560_4ECB_B707_C73777468090_.wvu.FilterData">Oct!$R$18</definedName>
    <definedName hidden="1" localSheetId="8" name="Z_13FBEE33_5560_4ECB_B707_C73777468090_.wvu.FilterData">Nov!$R$16</definedName>
    <definedName hidden="1" localSheetId="9" name="Z_13FBEE33_5560_4ECB_B707_C73777468090_.wvu.FilterData">Dec!$R$18</definedName>
    <definedName hidden="1" localSheetId="10" name="Z_13FBEE33_5560_4ECB_B707_C73777468090_.wvu.FilterData">'Jan 26'!$R$17:$R$22</definedName>
    <definedName hidden="1" localSheetId="11" name="Z_13FBEE33_5560_4ECB_B707_C73777468090_.wvu.FilterData">'Feb 26'!$R$17:$R$22</definedName>
    <definedName hidden="1" localSheetId="12" name="Z_13FBEE33_5560_4ECB_B707_C73777468090_.wvu.FilterData">'Mar 26'!$R$17:$R$22</definedName>
  </definedNames>
  <calcPr/>
  <customWorkbookViews>
    <customWorkbookView activeSheetId="0" maximized="1" windowHeight="0" windowWidth="0" guid="{13FBEE33-5560-4ECB-B707-C73777468090}"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sharedStrings.xml><?xml version="1.0" encoding="utf-8"?>
<sst xmlns="http://schemas.openxmlformats.org/spreadsheetml/2006/main" count="4930" uniqueCount="2101">
  <si>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</si>
  <si>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</si>
  <si>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</si>
  <si>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</si>
  <si>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</si>
  <si>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</si>
  <si>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</si>
  <si>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</si>
  <si>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</si>
  <si>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</si>
  <si>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</si>
  <si>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</si>
  <si>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</si>
  <si>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</si>
  <si>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</si>
  <si>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</si>
  <si>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</si>
  <si>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</si>
  <si>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</si>
  <si>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</si>
  <si>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</si>
  <si>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</si>
  <si>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</si>
  <si>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</si>
  <si>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</si>
  <si>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</si>
  <si>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</si>
  <si>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</si>
  <si>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</si>
  <si>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</si>
  <si>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</si>
  <si>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 xml:space="preserve">Rep: </t>
  </si>
  <si>
    <t>Anna</t>
  </si>
  <si>
    <t>Outcome</t>
  </si>
  <si>
    <t>KPIs%</t>
  </si>
  <si>
    <t>Show Rate</t>
  </si>
  <si>
    <t>Objections</t>
  </si>
  <si>
    <t>Source</t>
  </si>
  <si>
    <t>Tracking</t>
  </si>
  <si>
    <t>Rescheduling Rate:</t>
  </si>
  <si>
    <t xml:space="preserve">Think About It </t>
  </si>
  <si>
    <t>Reschedule</t>
  </si>
  <si>
    <t>Cold Call</t>
  </si>
  <si>
    <t xml:space="preserve">Revenue </t>
  </si>
  <si>
    <t>Cancellation Rate:</t>
  </si>
  <si>
    <t>Money</t>
  </si>
  <si>
    <t>YouTube</t>
  </si>
  <si>
    <t>Twitter</t>
  </si>
  <si>
    <t>Cash</t>
  </si>
  <si>
    <t>No-Shows Rate:</t>
  </si>
  <si>
    <t>Time</t>
  </si>
  <si>
    <t>YouTube Ads</t>
  </si>
  <si>
    <t>Skool</t>
  </si>
  <si>
    <t>Offer &amp; Didn't Buy:</t>
  </si>
  <si>
    <t>Drag Over Rate:</t>
  </si>
  <si>
    <t>Partner</t>
  </si>
  <si>
    <t>Email</t>
  </si>
  <si>
    <t>Instagram</t>
  </si>
  <si>
    <t>Total Calls :</t>
  </si>
  <si>
    <t>Bad Fit &amp; No Offer:</t>
  </si>
  <si>
    <t>Fear</t>
  </si>
  <si>
    <t>Facebook</t>
  </si>
  <si>
    <t>TikTok</t>
  </si>
  <si>
    <t>Total Won :</t>
  </si>
  <si>
    <t>Drag Over &amp; Show:</t>
  </si>
  <si>
    <t>Value</t>
  </si>
  <si>
    <t>Facebook Ads</t>
  </si>
  <si>
    <t>Google</t>
  </si>
  <si>
    <t>Total Lost :</t>
  </si>
  <si>
    <t>Rescheduled:</t>
  </si>
  <si>
    <t>LinkedIn</t>
  </si>
  <si>
    <t>Referral</t>
  </si>
  <si>
    <t>Closing % :</t>
  </si>
  <si>
    <t>Cancelled:</t>
  </si>
  <si>
    <t>No-Show:</t>
  </si>
  <si>
    <t>Deals</t>
  </si>
  <si>
    <t>Date</t>
  </si>
  <si>
    <t>Name</t>
  </si>
  <si>
    <t>Phone No.</t>
  </si>
  <si>
    <t>IG</t>
  </si>
  <si>
    <t>Revenue</t>
  </si>
  <si>
    <t>Objection</t>
  </si>
  <si>
    <t>Objection Notes</t>
  </si>
  <si>
    <t>Length</t>
  </si>
  <si>
    <t>Recording Link</t>
  </si>
  <si>
    <t>Follow Up/Next Steps</t>
  </si>
  <si>
    <t>Call Summary</t>
  </si>
  <si>
    <t>2. juni</t>
  </si>
  <si>
    <t>Alex Pedersen</t>
  </si>
  <si>
    <t>alexelfving@hotmail.dk</t>
  </si>
  <si>
    <t>Setter</t>
  </si>
  <si>
    <t>Offer &amp; Didn't Buy</t>
  </si>
  <si>
    <t>Nævnt både tid og pengene, men var nok i bund og grund pengene</t>
  </si>
  <si>
    <t>X</t>
  </si>
  <si>
    <t>Var i bund og grund ikke klar til a committe og syntes det var dyrt, i forhold til hvad han ville lægge i det</t>
  </si>
  <si>
    <t>Malte Brix</t>
  </si>
  <si>
    <t>brixmalte392@gmail.com</t>
  </si>
  <si>
    <t>Landing page</t>
  </si>
  <si>
    <t>Rescheduled</t>
  </si>
  <si>
    <t>Follow Up</t>
  </si>
  <si>
    <t>3. juni</t>
  </si>
  <si>
    <t>Patrick Hansen</t>
  </si>
  <si>
    <t>paatrickkh@gmail.com</t>
  </si>
  <si>
    <t>Syntes det var dyrt og lige pludseligt var der det ene og andet i vejen</t>
  </si>
  <si>
    <t>Havde ikke tænkt over hvorfor det var vigtigt for ham, tror ikke rigtigt han havde tænkt det igennem</t>
  </si>
  <si>
    <t>Pia Mattheisen</t>
  </si>
  <si>
    <t>blomst1981@hotmail.com</t>
  </si>
  <si>
    <t>Split-pay</t>
  </si>
  <si>
    <t>Var det økonomisk med 4 børn der trykkede</t>
  </si>
  <si>
    <t>4 Måneder</t>
  </si>
  <si>
    <t>Closed</t>
  </si>
  <si>
    <t>Syntes det var en god samtale jeg havde med hende lød ret klar og følger op på hende i morgen kl 16:15</t>
  </si>
  <si>
    <t xml:space="preserve">5. juni </t>
  </si>
  <si>
    <t>Agnes Balch</t>
  </si>
  <si>
    <t>agnesbalch@gmail.com</t>
  </si>
  <si>
    <t>Skulle snakke med sin mor om det, fordi hun også ville støtte hende økonomisk, føler først det gav mening efter sommerferien, hvor skoledagen pressed på igen. Har tilbudt hende en plads efter sommerferien, hvis hun lægger et depositum</t>
  </si>
  <si>
    <t>Follow Up Set</t>
  </si>
  <si>
    <t>Rigtig god snak hun virker varm, jeg hører noget om et par timer</t>
  </si>
  <si>
    <t>5.juni</t>
  </si>
  <si>
    <t>Marie Rasmussen</t>
  </si>
  <si>
    <t>marielrasmussen01@gmail.com</t>
  </si>
  <si>
    <t>5 Måneder</t>
  </si>
  <si>
    <t>6. juni</t>
  </si>
  <si>
    <t>Cathrine NIlson</t>
  </si>
  <si>
    <t>cathrinehn@hotmail.com</t>
  </si>
  <si>
    <t>No-Show</t>
  </si>
  <si>
    <t>Malthe Reilund</t>
  </si>
  <si>
    <t>malthereilund@icloud.com</t>
  </si>
  <si>
    <t>Sagde han skulle tænke over, og det var hverken penge, værdi, eller noget andet</t>
  </si>
  <si>
    <t>Han sagde jeg til alt i forhold til om at følte det var det rette for ham kunne bare ikke commite sig og endte med at lægge på</t>
  </si>
  <si>
    <t>Nana Sommer</t>
  </si>
  <si>
    <t>nanasommer99@gmail.com</t>
  </si>
  <si>
    <t>God samtale, vi havde, hun kunne nemmere få det til at fungere med en højere månedlig pris end en opstart</t>
  </si>
  <si>
    <t>9. juni</t>
  </si>
  <si>
    <t>Line Chan Larsen</t>
  </si>
  <si>
    <t>linechanlarsen@gmail.com</t>
  </si>
  <si>
    <t>Sagde det var dårlig timing i forhold til hvor hun var lige nu, følger op på hende 1. august, der sagde hun det ville passe</t>
  </si>
  <si>
    <t>Samtalen, kunne godt have gået bedre, var ikke god nok i discovery og gik ikke skabt nok pain og urgency</t>
  </si>
  <si>
    <t>Johannes Jensen</t>
  </si>
  <si>
    <t>jensenjohannes5@gmail.com</t>
  </si>
  <si>
    <t>11. juni</t>
  </si>
  <si>
    <t>Nikoline Pilgaard Nielsen</t>
  </si>
  <si>
    <t>nikoline.pilgaard@gmail.com</t>
  </si>
  <si>
    <t>Think About It</t>
  </si>
  <si>
    <t>Hun sagde nu ikke var sikker på om en online træner var noget for hende, nu nok havde mere gavn af en fysisk</t>
  </si>
  <si>
    <t>Var bedre i discovery fandt noget pain og havde fokus på at frame samtalen godt.(kom til at sprøge om de samme spørgsmål for mange gang.) Fucker nok lidt op ved pricedrop, og corner hende lidt for meget i forhold til objection handling, skal være/lyde mere hjælpsom. Hun endte med at lægge på</t>
  </si>
  <si>
    <t>13. juni</t>
  </si>
  <si>
    <t>Lucas Starup</t>
  </si>
  <si>
    <t>lucas.jorgensen.starup@gmail.com</t>
  </si>
  <si>
    <t>Bad Fit &amp; No Offer</t>
  </si>
  <si>
    <t>God snak med lucas, fucker lidt på med hans money objection, ved ikke hvorfor jeg ikke bare følger frameworket. Han havde ingen penge nu, så kunne først lade sig gøre 1. august, derfor ingen startup :(. Viser sig han ikke har fået forældre tilladelse (under 18) selvom han sagde det ikke var et problem</t>
  </si>
  <si>
    <t>16. juni</t>
  </si>
  <si>
    <t>Carina Jensen</t>
  </si>
  <si>
    <t>carinawj@hotmail.com</t>
  </si>
  <si>
    <t>Det kunne simpelthen ikke lade sig gøre økonomisk. Hun sagde udgifterne var større end indkomsten, og sådan havde det egenligt været de sidste par måneder</t>
  </si>
  <si>
    <t>God snak, hun syntes det virkede fedt, skulle bare tjekke op på det økonomiske. Kunne simpelthen ikke lade sig gøre</t>
  </si>
  <si>
    <t>Sofia Bogarch</t>
  </si>
  <si>
    <t>sofia.bogarch@gmail.com</t>
  </si>
  <si>
    <t xml:space="preserve">Gik godt, havde ikke de store indsigelser, godt være skarpere på nogle spørgsmål. betalte 1000 upfront og resten delt i 3 </t>
  </si>
  <si>
    <t>17. juni</t>
  </si>
  <si>
    <t>Naya Lindevang-Hilstrø,</t>
  </si>
  <si>
    <t>aya_hil@hotmail.con</t>
  </si>
  <si>
    <t>Hun var pt på barsel, så hun skulle lige undersøge økonomien i det</t>
  </si>
  <si>
    <t>Hun var klar, det var kun pengene, der var problemet, eller så var hun 100 procent klar når hun kom tilbage fra barsel</t>
  </si>
  <si>
    <t>17 juni</t>
  </si>
  <si>
    <t>Jeppe Bach Olesen</t>
  </si>
  <si>
    <t>jeppebacholesen@gmail.com</t>
  </si>
  <si>
    <t>Han skulle simpelthen, bare kigge på det økonomien i det</t>
  </si>
  <si>
    <t>Har en aftale med ham i morgen kl 17. Skulle have brugt den med "jeg ved hvad der sker når vi lægger på nu her...." Ved ikke hvorfor jeg ikke gjorde det</t>
  </si>
  <si>
    <t>William Holm Carlson</t>
  </si>
  <si>
    <t>williamholm.carlson@icloud.com</t>
  </si>
  <si>
    <t>Skal have forældrene med var under 18</t>
  </si>
  <si>
    <t>18. juni</t>
  </si>
  <si>
    <t>Hørður í geil</t>
  </si>
  <si>
    <t>hig1998@gmail.com</t>
  </si>
  <si>
    <t>Cancelled</t>
  </si>
  <si>
    <t>Tommy Lindevang Hansen</t>
  </si>
  <si>
    <t>tommylhansen@hotmail.com</t>
  </si>
  <si>
    <t>Full-Pay</t>
  </si>
  <si>
    <t>5 måneder</t>
  </si>
  <si>
    <t>Klasse snak, prøvede at arbejde med med tonailty, og brugte feedback i picth</t>
  </si>
  <si>
    <t>22. juni</t>
  </si>
  <si>
    <t>Cecilie H</t>
  </si>
  <si>
    <t>madison.hartwich@gmail.com</t>
  </si>
  <si>
    <t>Hun var på SU, skulle betale husleje og havde bil, så kunne ikke lade sig gøre</t>
  </si>
  <si>
    <t>Syntes, vi havde en god snak, skulle have brugt commitment noget mere. Har en aftale med at kontakte hende igen slut august, når hun skal i lære og har nogle flere penge</t>
  </si>
  <si>
    <t>Jesper Mortensen</t>
  </si>
  <si>
    <t>soegaard96@gmail.com</t>
  </si>
  <si>
    <t>Økonomien var ikke til har ikke job fra næste måned af så nok også timing</t>
  </si>
  <si>
    <t>Havde en god snak med ham, lød virkeligt på. Lød til ham super gerne ville, men det var pengene, der kom i vejen. Han sagde det nok godt kunne lade sig gøre, men han stod uden job i slutningen af den her måned, så det holdte ham tilbage. Han endte med at lægge på</t>
  </si>
  <si>
    <t xml:space="preserve">23. juni </t>
  </si>
  <si>
    <t>Mette Møller</t>
  </si>
  <si>
    <t>mette@family-moeller.net</t>
  </si>
  <si>
    <t>Det er faktisk kan hjælpe hende, da nu har noget løs hud hun ikke er sikker på kan trænes væk</t>
  </si>
  <si>
    <t>Virker virkeligt på bare usikker på om vi kan få hende i mål. Hun har tidligere været på et andet forløb, hvor hun ikke kom i mål. Ringer tilbage til hende i morgen</t>
  </si>
  <si>
    <t>23. juni</t>
  </si>
  <si>
    <t xml:space="preserve">Michelle Als </t>
  </si>
  <si>
    <t>missals@live.dk</t>
  </si>
  <si>
    <t>Ville være et dårligt fit hun har en sclerose og det er ikke noget vi normalt arbejder med</t>
  </si>
  <si>
    <t>24. juni</t>
  </si>
  <si>
    <t xml:space="preserve">Lykke Henckel </t>
  </si>
  <si>
    <t xml:space="preserve">Skulle høre om mor ikke kunne hjælpe </t>
  </si>
  <si>
    <t xml:space="preserve">Ville virkeligt gerne, men havde ikke pengene selv, så ville hører sin mor </t>
  </si>
  <si>
    <t>Jack andersen</t>
  </si>
  <si>
    <t>jackandersen66@gmail.com</t>
  </si>
  <si>
    <t>Han ghoestede mig selvom han sagde ja til det, så havde en lige pludseligt ikket et kort det virkede</t>
  </si>
  <si>
    <t>Endte jo med han sagde ja, men var nok stadig i tvivel eller turde ikke sige nej, så kunne godt blive bedre</t>
  </si>
  <si>
    <t>25. juni</t>
  </si>
  <si>
    <t>Lasse Lund</t>
  </si>
  <si>
    <t>lasselund2404@gmail.com</t>
  </si>
  <si>
    <t>Vidste ikke hvorfor han ikke skulle gøre det, der var i hvert fald noget fear, men endte med han gjorde det</t>
  </si>
  <si>
    <t>28. juni</t>
  </si>
  <si>
    <t>David Silva</t>
  </si>
  <si>
    <t>ds8.1999@gmail.com</t>
  </si>
  <si>
    <t>Han vil første starte til August</t>
  </si>
  <si>
    <t>God snak, han ville udfylde mailen og kort oplysninger i dag</t>
  </si>
  <si>
    <t>30. juni</t>
  </si>
  <si>
    <t>Mikkel Hansen</t>
  </si>
  <si>
    <t>mikkelhansen@toftlund.net</t>
  </si>
  <si>
    <t>Er egenligt ikke helt klar over, hvad det var, men syntes ikke det var det rette for ham, det var ikke det han havde brug for og syntes også det var dyrt</t>
  </si>
  <si>
    <t xml:space="preserve">Fucker op i starten med discovery det kunne godt have været bedre, men syntes, det var en lidt mærkelig snak og ærligt jeg får ham sku ikke solgt. </t>
  </si>
  <si>
    <t>Ciao Peruzzo</t>
  </si>
  <si>
    <t>caioperusso@hotmail.com</t>
  </si>
  <si>
    <t>Ig navn</t>
  </si>
  <si>
    <t>1. Juli</t>
  </si>
  <si>
    <t>Emma Dybdal Knudsen</t>
  </si>
  <si>
    <t>https://www.instagram.com/emma__knudsen/</t>
  </si>
  <si>
    <t>Skulle tjekke om det kunne lade sig gøre, mistanke om der er noget fear</t>
  </si>
  <si>
    <t>Syntes vi havde en virkeligt god snak, hun var så tæt på, men skulle lige tænke over det økonomiske. Ringer til hende igen i morgen</t>
  </si>
  <si>
    <t>4. juli</t>
  </si>
  <si>
    <t>Amma Kvist</t>
  </si>
  <si>
    <t>https://www.instagram.com/a_kvist/</t>
  </si>
  <si>
    <t>Hun havde egenligt sagt nu nok ikke havde pengene, men havde slet ingen objections, så hun må jo have være solgt. Hun havde ingen internet, så hun kunne ikke svare på mailsene, men vil gøre det i dag</t>
  </si>
  <si>
    <t>6. juli</t>
  </si>
  <si>
    <t>Mia Rørdam Støckel</t>
  </si>
  <si>
    <t>https://www.instagram.com/miastockel/</t>
  </si>
  <si>
    <t>Hun var bare klar på der skulle ske noget, havde lidt en objection om hendes arbejde fyldte en del men, fik hende i gang</t>
  </si>
  <si>
    <t>7. juli</t>
  </si>
  <si>
    <t>Mathilde Knudsen</t>
  </si>
  <si>
    <t>@matildeknudsen04</t>
  </si>
  <si>
    <t>Skulle vende den med forældrene og så vil hun tænke over det til i morgen</t>
  </si>
  <si>
    <t>Fik et depositum, lød virkeligt hooked, men skulle så lige vende den med forældrene og ville gerne have pengene igen for en sikkerhedsskyld. Følte allerede hun var solgt, så challenged hende ikke nok og sprang over nogle spørgsmål og dykkede ikke nok ned i hendes pain og især hendes commitment og motivation</t>
  </si>
  <si>
    <t>8. juli</t>
  </si>
  <si>
    <t>Marie Christina Gryndahl</t>
  </si>
  <si>
    <t>https://www.instagram.com/mariechristina75/</t>
  </si>
  <si>
    <t>Hun sagde tiden ikke var den rigtige, det var meget på tapetet, mistænker også fear</t>
  </si>
  <si>
    <t>Var allerede fra startet ikke afklaret med det var noget hun ville det her. Var en hård nød at knække. Kunne sku ikke få hende solgt</t>
  </si>
  <si>
    <t>Nanna Cajer</t>
  </si>
  <si>
    <t>https://www.instagram.com/nannacajar/</t>
  </si>
  <si>
    <t>Skulle vende den med sin bankrådgiver</t>
  </si>
  <si>
    <t xml:space="preserve">Lød meget positivt, hun ville vende tilbage i morgen i forhold til hvad bankrådgiveren siger, hun mente selv, det kunne lade sig gøre. </t>
  </si>
  <si>
    <t>9. juli</t>
  </si>
  <si>
    <t xml:space="preserve">Helle Toft Hansen </t>
  </si>
  <si>
    <t>helle_t_hansen</t>
  </si>
  <si>
    <t>Klasse samtale, energi var der bare og tonailty spillede. Vigtigst af alt jeg var hjælpende</t>
  </si>
  <si>
    <t xml:space="preserve">9. juli </t>
  </si>
  <si>
    <t>Mads Gøsta Brøgger</t>
  </si>
  <si>
    <t>@kunmads</t>
  </si>
  <si>
    <t>Skulle lige flytte rundt på nogle penge, ville sende når han kom hjem i aften</t>
  </si>
  <si>
    <t>10. juli</t>
  </si>
  <si>
    <t>Maya B Laursen</t>
  </si>
  <si>
    <t>https://www.instagram.com/mayabetaklaursen/</t>
  </si>
  <si>
    <t>Hun skulle lige have tænker over det, hun var ikke i tvivl om værdien og hun havde pengene. Skulle have spurgt, hvad det var hun skulle tænke over, i stedet for at gå for deposit</t>
  </si>
  <si>
    <t>11. juli</t>
  </si>
  <si>
    <t>Merle Iversen</t>
  </si>
  <si>
    <t>https://www.instagram.com/merle_iversen_/</t>
  </si>
  <si>
    <t>13. juli</t>
  </si>
  <si>
    <t>Mikkel Lohse</t>
  </si>
  <si>
    <t>https://www.instagram.com/lohse_fyren/</t>
  </si>
  <si>
    <t>14. juli</t>
  </si>
  <si>
    <t>Lea Marie W. Wesselhoff</t>
  </si>
  <si>
    <t>https://www.instagram.com/leawesselhoff/</t>
  </si>
  <si>
    <t>Benjamin Kyoo Dysager</t>
  </si>
  <si>
    <t>https://www.instagram.com/benjamin_dysager/</t>
  </si>
  <si>
    <t>August Rothstein</t>
  </si>
  <si>
    <t>https://www.instagram.com/august_rothstein/</t>
  </si>
  <si>
    <t>havde sagt han ikke havde pengene at de ville være et problem på forhånd er kun 17</t>
  </si>
  <si>
    <t>God snak, følger egenligt jeg fik ham solgt, men jo ikke nok kan man sige. Kunne godt have skubbet mere på i forhold til at han ikke havde pengene, men han siger 100 eller 500 kr. ville ødelægge hans budget, kunne først gøre noget d. 1 august</t>
  </si>
  <si>
    <t>Mathilde Sund</t>
  </si>
  <si>
    <t>https://www.instagram.com/mathilde_dannow/</t>
  </si>
  <si>
    <t>På SU havde ikke pengene</t>
  </si>
  <si>
    <t>Kunne nok godt få hende solgt mere på og fundet mere pain. Når alt kom til alt havde hun bare ikke pengene, sad med hende i 15-20 min for at prøve at få det til at lade sig gøre, ved ikke lige hvad jeg skulle gøre i sådan en situation ellers. Følger op på hende på om et par måneder, det var det vi aftalte</t>
  </si>
  <si>
    <t xml:space="preserve">14. juli </t>
  </si>
  <si>
    <t>Jakob Haakenstad</t>
  </si>
  <si>
    <t>https://www.instagram.com/jakob_haakenstad/</t>
  </si>
  <si>
    <t>Havde ikke pengene nu, fik først løn d. 1 august så der kommer 2500 kr. mere ind</t>
  </si>
  <si>
    <t>15. juli</t>
  </si>
  <si>
    <t>Maria Thygsen</t>
  </si>
  <si>
    <t>https://www.instagram.com/thygesen88/</t>
  </si>
  <si>
    <t>Hun havde bare ikke pegene</t>
  </si>
  <si>
    <t>Vender tilbage til hende d. 1 september</t>
  </si>
  <si>
    <t>Line Svendsen</t>
  </si>
  <si>
    <t>https://www.instagram.com/linelindgaardsvendsen/</t>
  </si>
  <si>
    <t>Johanne Fredslund</t>
  </si>
  <si>
    <t>https://www.instagram.com/johanneaagaardd/</t>
  </si>
  <si>
    <t>Havde ikke pengene</t>
  </si>
  <si>
    <t>Syntes det var en svær snak, tænker hun var mere nysgerrig på en samtale en villig til at gøre noget. Klart pengene der holdte hende tilbage</t>
  </si>
  <si>
    <t>16. Juli</t>
  </si>
  <si>
    <t>Heidi Henriksen</t>
  </si>
  <si>
    <t>@henriksen1397</t>
  </si>
  <si>
    <t>Skal snakke med hende igen om en uge, for at se om hun kan skaffe pengene. Skulle have dykket mere ned i hendes pain hun nævnte hun følte sig grim, skulle bare have stukket den fucking kniv ind, fandme dumt</t>
  </si>
  <si>
    <t>17. juli</t>
  </si>
  <si>
    <t>Rebecca Storm Olesen</t>
  </si>
  <si>
    <t>Rebecca_s_olesen</t>
  </si>
  <si>
    <t>20. Juli</t>
  </si>
  <si>
    <t>Christian Andersen</t>
  </si>
  <si>
    <t>candersen725@gmail.com</t>
  </si>
  <si>
    <t>21. juli</t>
  </si>
  <si>
    <t>Gustav Jeremiassen</t>
  </si>
  <si>
    <t>@gustavjeremiassen</t>
  </si>
  <si>
    <t>Julie Lorenzen</t>
  </si>
  <si>
    <t>@julielorenzen24</t>
  </si>
  <si>
    <t>22. juli</t>
  </si>
  <si>
    <t>Kristoffer Wiedemann</t>
  </si>
  <si>
    <t>kristofferwiedemann@gmail.com</t>
  </si>
  <si>
    <t>Lise Kjærsgaard</t>
  </si>
  <si>
    <t>@lisekg</t>
  </si>
  <si>
    <t>Hun havde brug for at afdække markedet, siger hun er sådan hun ikke gør noget impulsivt</t>
  </si>
  <si>
    <t>Snakke med hende igen 3. august. Får hende jo klart ikke solgt godt nok. Hun sagde pengene ikke var et problem, men det skulle priorteres, kunne godt have fået kørt det på en bedre måde efter det, og faktisk spurgt hvad var mest værd. Fik presset hende for meget i stedet for.</t>
  </si>
  <si>
    <t>23. juli</t>
  </si>
  <si>
    <t>Laura Mearun</t>
  </si>
  <si>
    <t>@lauraraun</t>
  </si>
  <si>
    <t>Nåede ikke objection handling fordi hun skulle til læge. WTF!</t>
  </si>
  <si>
    <t>Lidt en mærkeligt snak, gav ikke ret meget af sig selv og forstod ikke hvad jeg spurgte om. Havde ikke sat tid af til snakken</t>
  </si>
  <si>
    <t>25. juli</t>
  </si>
  <si>
    <t>Ida Hakansson</t>
  </si>
  <si>
    <t>30 49 41 72</t>
  </si>
  <si>
    <t>https://www.instagram.com/idamarie.hakansson/</t>
  </si>
  <si>
    <t>100 procent pengene</t>
  </si>
  <si>
    <t>Har en rigtigt god fornemmelse med den her follow up</t>
  </si>
  <si>
    <t xml:space="preserve">25. juli </t>
  </si>
  <si>
    <t>Ciano kristensen</t>
  </si>
  <si>
    <t>ciakristensen@gmail.com</t>
  </si>
  <si>
    <t>Deposit</t>
  </si>
  <si>
    <t>Skulle vende den med mor, der havde styr på budgettet</t>
  </si>
  <si>
    <t>Deposit (Follow Up Set)</t>
  </si>
  <si>
    <t>Han ville super gerne, men skulle lige have vente økonomien han sagde han kunne finde de første 1000 kr. fik et symbols deposit på 250 kr. for at vise det var noget han ville</t>
  </si>
  <si>
    <t>Mathias Hyldager</t>
  </si>
  <si>
    <t>53 28 89 52</t>
  </si>
  <si>
    <t>@hyldagerrn</t>
  </si>
  <si>
    <t>26. juli</t>
  </si>
  <si>
    <t>Nanna Kjeldsen</t>
  </si>
  <si>
    <t>41 44 69 79</t>
  </si>
  <si>
    <t>https://www.instagram.com/nanna_kjeldsen_/</t>
  </si>
  <si>
    <t>27. juli</t>
  </si>
  <si>
    <t xml:space="preserve">Kristian Antonsen </t>
  </si>
  <si>
    <t>42 26 10 71</t>
  </si>
  <si>
    <t>https://www.instagram.com/kristianantonsen82/</t>
  </si>
  <si>
    <t>Tobias Poulsen</t>
  </si>
  <si>
    <t>51 91 29 03</t>
  </si>
  <si>
    <t>https://www.instagram.com/tobiaspoulsen_/</t>
  </si>
  <si>
    <t>28. juli</t>
  </si>
  <si>
    <t>Lucas Lauridsen</t>
  </si>
  <si>
    <t>22 59 64 43</t>
  </si>
  <si>
    <t>https://www.instagram.com/lauridsenlucas/</t>
  </si>
  <si>
    <t xml:space="preserve">Anja Marker Tuet </t>
  </si>
  <si>
    <t>24 63 49 28</t>
  </si>
  <si>
    <t>https://www.instagram.com/anjamaerker/</t>
  </si>
  <si>
    <t>29. juli</t>
  </si>
  <si>
    <t>Rosa Schmidt</t>
  </si>
  <si>
    <t>93 88 54 23</t>
  </si>
  <si>
    <t xml:space="preserve">Var under 18, så havde mor med på samtalen og skulle lige vendes i familien </t>
  </si>
  <si>
    <t>Rosa som det handlede om var solgt, men hendes mor var heller ikke, var ikke helt sikker på hvordan den skulle tackles</t>
  </si>
  <si>
    <t>Mark Lykke</t>
  </si>
  <si>
    <t>22 45 47 69</t>
  </si>
  <si>
    <t>https://www.instagram.com/mark5900/</t>
  </si>
  <si>
    <t>Ziggy Saaby Nielsen</t>
  </si>
  <si>
    <t>42 31 12 11</t>
  </si>
  <si>
    <t>https://www.instagram.com/ziggysaaby/</t>
  </si>
  <si>
    <t>Ville være 100 på han havde pengene, fik først et job til september</t>
  </si>
  <si>
    <t>Havde ikke kongens mønt sagde han havde 90 kroner på kortet lige nu. Vil fucking gerne, havde begået en fejl før, hvor han ikke havde pengene, så de ville han ikke begå igen. Ringer til ham 31. august</t>
  </si>
  <si>
    <t>31. juli</t>
  </si>
  <si>
    <t>Camilla Fræhr Hansen</t>
  </si>
  <si>
    <t>93 93 13 80</t>
  </si>
  <si>
    <t>https://www.instagram.com/c_fraehr/</t>
  </si>
  <si>
    <t>Skulle vende økonomi med kærsten de havde fælles økonomi</t>
  </si>
  <si>
    <t>Ringer til hende i morgen formiddag, skulle have dykket mere ned i partner f.eks spøge om "Det er selvfølelig, du skal bare snakke med dem, hvad ville der sker hvis partner sagde nej?, hvis partner ikke vil have du bruger penge, på at løse dit problem … hvad ville du så gøre?" Skulle også have haft mere commitment ud af hende og brugt mere tid der</t>
  </si>
  <si>
    <t>Mads Konrad</t>
  </si>
  <si>
    <t>28 55 11 73</t>
  </si>
  <si>
    <t>https://www.instagram.com/madshkonrad/</t>
  </si>
  <si>
    <t>Albert Speth Hansen</t>
  </si>
  <si>
    <t>25 38 52 02</t>
  </si>
  <si>
    <t>https://www.instagram.com/albert_speth/</t>
  </si>
  <si>
    <t>Rev per lead</t>
  </si>
  <si>
    <t>Thomas Vasegaard</t>
  </si>
  <si>
    <t>21 39 50 36</t>
  </si>
  <si>
    <t>https://www.instagram.com/thomas_vasegaard/</t>
  </si>
  <si>
    <t>Lagde på da han skulle betale</t>
  </si>
  <si>
    <t>Magnus Hagmann</t>
  </si>
  <si>
    <t>29 87 42 00</t>
  </si>
  <si>
    <t>https://www.instagram.com/magnus_hamann/</t>
  </si>
  <si>
    <t>8 måneder</t>
  </si>
  <si>
    <t>Zilas Andersen</t>
  </si>
  <si>
    <t>21 22 09 53</t>
  </si>
  <si>
    <t>https://www.instagram.com/zilaswinzini/</t>
  </si>
  <si>
    <t>Skulle finde ud af om mor kunne betale lidt til det og lige have den vendt med hende</t>
  </si>
  <si>
    <t>Follow up onsdag kl 16</t>
  </si>
  <si>
    <t>Lukas Lind</t>
  </si>
  <si>
    <t>23 93 79 21</t>
  </si>
  <si>
    <t>https://www.instagram.com/lukas_lind_737/</t>
  </si>
  <si>
    <t>Nicklas Burkal</t>
  </si>
  <si>
    <t>20 35 41 33</t>
  </si>
  <si>
    <t>https://www.instagram.com/nicklas.burkal/</t>
  </si>
  <si>
    <t>Oliver Rosenvinge</t>
  </si>
  <si>
    <t>30 24 23 71</t>
  </si>
  <si>
    <t>https://www.instagram.com/olirosenvinge/</t>
  </si>
  <si>
    <t>Christian Rasmussen</t>
  </si>
  <si>
    <t>22 89 44 83</t>
  </si>
  <si>
    <t>https://www.instagram.com/_christian_rasmussen_/</t>
  </si>
  <si>
    <t>Havde ikke pengene sagde han kun havde et par 100 om måneden</t>
  </si>
  <si>
    <t>Vidste på forhånd han nok ikke havde pengene og sagde det ogsåp tidligt i samtalen, men kørte på alligvel</t>
  </si>
  <si>
    <t>Mikkel Overgaard Vængtoft</t>
  </si>
  <si>
    <t>22 42 65 14</t>
  </si>
  <si>
    <t>https://www.instagram.com/mikkelovergaardvaengtoft/</t>
  </si>
  <si>
    <t>Ofelia Branco</t>
  </si>
  <si>
    <t>60 20 08 33</t>
  </si>
  <si>
    <t>https://www.instagram.com/ofelia_branco7/</t>
  </si>
  <si>
    <t>Mikkel Vielsted</t>
  </si>
  <si>
    <t>Cathrine Ottzen</t>
  </si>
  <si>
    <t>21 90 50 48</t>
  </si>
  <si>
    <t>https://www.instagram.com/cath_ottzen/</t>
  </si>
  <si>
    <t>Andreas Olesen</t>
  </si>
  <si>
    <t>24 67 36 87</t>
  </si>
  <si>
    <t>https://www.instagram.com/andreas.ole/</t>
  </si>
  <si>
    <t>Victoria Taulbæk</t>
  </si>
  <si>
    <t>21 22 17 85</t>
  </si>
  <si>
    <t>https://www.instagram.com/victoriataulbaek/</t>
  </si>
  <si>
    <t>Var alt for mange penge</t>
  </si>
  <si>
    <t>Ikke det rigtige fit, hun var fast besluttet på hun kun skulle have en træningsplan, og hun allerde følte hun havde meldt det kun var det for hendes økonomi slet ikke var til det. Så hun var egenligt lidt ærgerlig over at have brug tid på det når vi ikke kunne imødekomme hendes behov</t>
  </si>
  <si>
    <t>Brit Knudsen</t>
  </si>
  <si>
    <t>60 12 59 75</t>
  </si>
  <si>
    <t>https://www.instagram.com/brit_knudsen/</t>
  </si>
  <si>
    <t>Mikkel Holm</t>
  </si>
  <si>
    <t>30 95 89 69</t>
  </si>
  <si>
    <t>https://www.instagram.com/mikkelholm__/</t>
  </si>
  <si>
    <t xml:space="preserve">Han ville fucking skulle bare tænke over det og sove på den kunne ikke få ham overbevidt om han bare skulle gøre </t>
  </si>
  <si>
    <t>Arnaq Pjettursson</t>
  </si>
  <si>
    <t>28 96 98 67</t>
  </si>
  <si>
    <t>https://www.instagram.com/arnaqpjettursson/</t>
  </si>
  <si>
    <t>Skulle til Grønland</t>
  </si>
  <si>
    <t>Hun starter op 1. september, Modtog en SMS her til aften, så havde hun bare lige glemt hun skulle på Grønland til sin hjemby så det kunne ikke lade sig gøre alligevel</t>
  </si>
  <si>
    <t>Signe Holck</t>
  </si>
  <si>
    <t>22 43 44 30</t>
  </si>
  <si>
    <t>https://www.instagram.com/signeholck93/</t>
  </si>
  <si>
    <t>Hun siger hun skal tænke over det, men det nok faktisk var pengene</t>
  </si>
  <si>
    <t>Hun vil super gerne også noget der var vigtigt for hende at finde en løsning på, hun skulle bare lige vende den om det var det hun skulle. Følger op på hende 5. september</t>
  </si>
  <si>
    <t>Kristine Aagaard</t>
  </si>
  <si>
    <t>30 29 33 30</t>
  </si>
  <si>
    <t>https://www.instagram.com/kristineaagaard/</t>
  </si>
  <si>
    <t>Vidste ikke om det ville være pengene værd i forhold til hvor hun stod. Vil også rigtigt gerne have noget på skrift</t>
  </si>
  <si>
    <t>Har aftalt at ringe til hende om en uge eller 2. Syntes egenligt jeg finder noget pain og hun havde et mål om at stå skarpt til sit bryllup, men vidste ikke om det værd pengene, og vil gerne undersøge andre muligheder og om hun kunne gøre det selv eller der var et alternativ</t>
  </si>
  <si>
    <t>Emma Juliane</t>
  </si>
  <si>
    <t>25 79 76 90</t>
  </si>
  <si>
    <t>https://www.instagram.com/emma_juliane05/</t>
  </si>
  <si>
    <t>Skulle være sikker på det kunne løbe rundt og have hjælp af mor til at få lagt et budget</t>
  </si>
  <si>
    <t>Indtil 1. december</t>
  </si>
  <si>
    <t>Var frisk på det hele syntes det var det helt rigtige, hun skulle bare være sikker på hun kunne få det til at ske økonomisk, fordi hun havde en meget ustabil inkomst. Ringer til hende i morgen før kl 13</t>
  </si>
  <si>
    <t>Simone Schønning Larsen</t>
  </si>
  <si>
    <t>29 87 58 50</t>
  </si>
  <si>
    <t>https://www.instagram.com/simone_schonning1/</t>
  </si>
  <si>
    <t xml:space="preserve">Sagde det var pengene, men var noget fear </t>
  </si>
  <si>
    <t>Ringer på mandag til hende kl 16. Syntes snakken var god og hun var klar og sagde egenligt ja, men så kom undskuldninger og fik dem krydset godt af, det var helt irrationelt at hun skulle tænke over det</t>
  </si>
  <si>
    <t>Leonie Simsch</t>
  </si>
  <si>
    <t>71 48 71 43</t>
  </si>
  <si>
    <t>https://www.instagram.com/leoniesimsch/</t>
  </si>
  <si>
    <t>Om det virkeligt var noget hun ville prioriterer frem for en skiferie eller en racercykel</t>
  </si>
  <si>
    <t>Syntes vi havde en god snak og fik lagt en rigtigt god plan for hende, hendes store bekymring var om det var pengene værd, hun siger egenligt det ville være og var klar til at gennemgå økonomien med mig, men det sagde hun at hun ikke havde tid til, så det gør vi på tirsdag</t>
  </si>
  <si>
    <t>Sophia de Linde</t>
  </si>
  <si>
    <t>31 38 06 05</t>
  </si>
  <si>
    <t>https://www.instagram.com/sophiadelinde/</t>
  </si>
  <si>
    <t>Så god snak fik hende bar solgt</t>
  </si>
  <si>
    <t>Sara Eram</t>
  </si>
  <si>
    <t>61 67 10 07</t>
  </si>
  <si>
    <t>https://www.instagram.com/s_eram/</t>
  </si>
  <si>
    <t>Hun havde meget svært ved at få hjælp ude fra havde altid klaret tingene selv</t>
  </si>
  <si>
    <t>Det var det rigtige for hende og hun fik Tony Robins talen og det hele og var milimeter fra at sige ja, men hun har bare så svært ved at be om hjælp fordi hun ser sig selv som den her stærke kvinde, der ikke har brug for hjælp</t>
  </si>
  <si>
    <t>Emilia Børresen</t>
  </si>
  <si>
    <t>60 61 51 04</t>
  </si>
  <si>
    <t>https://www.instagram.com/_emilia_borresen_/</t>
  </si>
  <si>
    <t>Simon Sloth</t>
  </si>
  <si>
    <t>61 71 24 73</t>
  </si>
  <si>
    <t>https://www.instagram.com/simon_sloth_/</t>
  </si>
  <si>
    <t>Havde allerede booket møde med en anden coach</t>
  </si>
  <si>
    <t>Han sagde det var det helt rigtige for ham, men ville hører hvad en anden kunne tilbyde og om det bare var det "samme" og så gå med det billigste. Spørger ham om det det billigste også var det bedst "nej det var det jo ikke så kunen det være man ikke gik lige små meget op i det. Follow up i morgen kl 12</t>
  </si>
  <si>
    <t>Christina Vammen Andreassen</t>
  </si>
  <si>
    <t>28 19 88 56</t>
  </si>
  <si>
    <t>https://www.instagram.com/christinavammen88/</t>
  </si>
  <si>
    <t>Nogle måneder havde hun pengene, men andre havde hun ikke</t>
  </si>
  <si>
    <t>Hun var så klar og syntes det var mega fedt. Hun var bare ikke sikker på om hun kunne skrabe 1500 kr. sammen alle månederne da hun pt gik sygmeldt. Så vi har lagt en plan for hun laver et budget og jeg ringer til hende igen d. 1 Sep. Skulle have været lidt bedre i objection handling følg nu bare det script og få krydset en ting af ad gangen</t>
  </si>
  <si>
    <t>Mette Lassen Matthiasen</t>
  </si>
  <si>
    <t>22 77 67 77</t>
  </si>
  <si>
    <t>https://www.instagram.com/mettelassen86/</t>
  </si>
  <si>
    <t>At den energi hun havde set og faktisk købt ind i fra både mig men også Daniel var det hun fik</t>
  </si>
  <si>
    <t>Fandt super meget pain og brugt lang tid på det, og hun siger det lød som det rigtige for hende især efter tidligere dårlige oplevelser med coaching, det her var meget mere hende. Kunne ikke nå at negotiate, fordi hun fakitsk var på arbejde og ikke havde mere tid. Booker en snak ind til hende med Daniel på mandag</t>
  </si>
  <si>
    <t>Mia Vejrum</t>
  </si>
  <si>
    <t>25 70 06 44</t>
  </si>
  <si>
    <t>https://www.instagram.com/mia_vejrum/</t>
  </si>
  <si>
    <t>Syntes det var en mega god snak, kom hurtigt til pointe og hendes pain, og fik hende bare solgt godt. De kunne først betale til oktober, men kunne smide 500 kr. nu og så komme i gang, og så betale første invoice til oktober</t>
  </si>
  <si>
    <t>Frederik Lüth</t>
  </si>
  <si>
    <t>60 53 06 09</t>
  </si>
  <si>
    <t>https://www.instagram.com/friddeluth?igsh=MTRrcGg4MGM3cHFmdQ==</t>
  </si>
  <si>
    <t>Syntes det var mange penge og skulle tænke over det for han budget var ret høj</t>
  </si>
  <si>
    <t xml:space="preserve">Vi vibede ret godt og lavede nogle jokes undervejs, han ville passe perfekt ind. Var svær at finde noget pain ved, men fandt da noget, kunne sagtens have været bedre. Kunne godt have objection handlede bedre også </t>
  </si>
  <si>
    <t>Mathias Jensen</t>
  </si>
  <si>
    <t>40 32 71 96</t>
  </si>
  <si>
    <t>Var bare med ved siden af Mia (kæresten) sagde ikke så meget</t>
  </si>
  <si>
    <t>Nikolai Rahbech Højgaard</t>
  </si>
  <si>
    <t>27 79 63 25</t>
  </si>
  <si>
    <t>https://www.instagram.com/nikolai1702/</t>
  </si>
  <si>
    <t>Havde sagt i DM'en han ikke rigitgt havde pengene. Så søgte bare efter alt det pain jeg kunne og labeled ham som en der udskød ting om det var noget han ville blive ved med og konsekvenserne ved ikke at gøre det</t>
  </si>
  <si>
    <t>Magnus Helkiær</t>
  </si>
  <si>
    <t>51 86 36 56</t>
  </si>
  <si>
    <t>https://www.instagram.com/m.helkiaer/</t>
  </si>
  <si>
    <t>Skulle tjekke hvor meget han kunne smide nu så han kunne komme i gang</t>
  </si>
  <si>
    <t>Ringer til ham igen slut september. Super godt fit han var klar på det hele skulle bare lige have finanserne på plads. Kunne godt have været hårde ved ham da han sagde han bar skinny og rankler, altid var ham man kunne skubbe væk på fodboldbanen "Hvordan er det som mand og være ham?" Skulle bare have fundet mere pain</t>
  </si>
  <si>
    <t>Anton KPI's</t>
  </si>
  <si>
    <t>kvinde/mand</t>
  </si>
  <si>
    <t>Rev per call</t>
  </si>
  <si>
    <t>Kvinde kald</t>
  </si>
  <si>
    <t>Cash per call</t>
  </si>
  <si>
    <t>Mande kald</t>
  </si>
  <si>
    <t>Cash upfront %</t>
  </si>
  <si>
    <t>Kvinde salg</t>
  </si>
  <si>
    <t>PIF %</t>
  </si>
  <si>
    <t>Mande salg</t>
  </si>
  <si>
    <t>Average Binding</t>
  </si>
  <si>
    <t>Kvinde closing %</t>
  </si>
  <si>
    <t>Average deal</t>
  </si>
  <si>
    <t>Mande closing %</t>
  </si>
  <si>
    <t>Average cash</t>
  </si>
  <si>
    <t>Ig</t>
  </si>
  <si>
    <t>Josephine Alexandra Abildtrup</t>
  </si>
  <si>
    <t>51 15 03 22</t>
  </si>
  <si>
    <t>Jonathan Mikkelsen</t>
  </si>
  <si>
    <t>61 28 53 09</t>
  </si>
  <si>
    <t>Han havde nogle fysiske og mentale udfordringer, og stod ikke selv for sin økonomi. Fandt rigtigt meget pain og han ville også gøre det, hvis han selv stod for sin økonomi, men det er desværre forældrene, der gør det. Så har aftalt han skriver til sin forældre, om de har tid. Han nævnte hans forældre var ligeglad med ham og hvordan han havde og de ikke ville støtte ham</t>
  </si>
  <si>
    <t>Jesper Stubkjær Hummelmose Brühl</t>
  </si>
  <si>
    <t>28 34 95 83</t>
  </si>
  <si>
    <t>Sagde flere gange til at starte med at det ikke var et forløb han var ude i han det troede det var var en guidet snak, men syntes egenligt jeg fik ham overtalt og endte dag også med at pitche for ham, men han skulle føle sig klar mentalt og havde også en brækket hånd der skulle styr på. Var nødt til at afslutte samtalen fordi hans børn stod og råbte i baggrunden</t>
  </si>
  <si>
    <t>Lucas Denker</t>
  </si>
  <si>
    <t>53 82 56 58</t>
  </si>
  <si>
    <t>Emil Engel</t>
  </si>
  <si>
    <t>20 72 55 62</t>
  </si>
  <si>
    <t>Havde ingen intentioner om at starte op og mener det kun var "Daniel dert havde presset på i forhold til en samtale"</t>
  </si>
  <si>
    <t>Linda Hvidberg Sørensen</t>
  </si>
  <si>
    <t>24 22 88 47</t>
  </si>
  <si>
    <t>Hun havde nogle blodprøver fra læge som hun lige skulle have svar på, på mandag</t>
  </si>
  <si>
    <t>Ringer til hende igen på mandag</t>
  </si>
  <si>
    <t>Pola Karim</t>
  </si>
  <si>
    <t>31 17 16 86</t>
  </si>
  <si>
    <t>Michael Rasmussen</t>
  </si>
  <si>
    <t>60 27 73 39</t>
  </si>
  <si>
    <t>Kunne ikke få sig selv til at gøre det og tage i mod hjælpen, gjorde alt der stod i min magt</t>
  </si>
  <si>
    <t>Magnus Lazarotti</t>
  </si>
  <si>
    <t>30 86 51 86</t>
  </si>
  <si>
    <t>Det er han forældre der styrer hans økonomi</t>
  </si>
  <si>
    <t>Han var så frisk på det, men var nervøs for hans forældre ikke ville se værdien i det og syntes det var for mange penge, så får et kald med ham og dem på onsdag eller i weekenden</t>
  </si>
  <si>
    <t>Mia Frederiksen</t>
  </si>
  <si>
    <t>21 51 08 09</t>
  </si>
  <si>
    <t>Bertram A. Rosendal Fagerlind</t>
  </si>
  <si>
    <t>25 19 17 27</t>
  </si>
  <si>
    <t>Havde pengene, men hvis ha brugte dem på det her havde han ikke penge til noget andet</t>
  </si>
  <si>
    <t>Ringer til ham igen i morgen. Syntes egenligt jeg var god på snakken. Han sagde han havde 100 kr. tilbage, hvis han brugte pengene på det så vil undersøge om han kunne tage noget fra opsparringen, men havde ikke selv adgang til den så skulle spørge en af sin forældre</t>
  </si>
  <si>
    <t>Therese S. Langfjord</t>
  </si>
  <si>
    <t>42 83 04 42</t>
  </si>
  <si>
    <t>En blanding af timing ifht. job og økonomien så hun var 100 procent klar</t>
  </si>
  <si>
    <t>Follow-up Fredag kl 13. Hun ville sygt gerne hun skulle bare have alle brikkerne til at falde på plads, så følte faktisk ikke jeg ville presse hende for meget, for hun virkede virkeligt oprigtig og ærlig</t>
  </si>
  <si>
    <t>Anne Lê Karlsen</t>
  </si>
  <si>
    <t>51 21 57 18</t>
  </si>
  <si>
    <t>hende og kæresten stod midt i en flytning og hun havde ikke et arbejde, så hun ville gerne når de var flyttet</t>
  </si>
  <si>
    <t>Hot Follow Up</t>
  </si>
  <si>
    <t>Virkeligt et sludreshatol, føltes lidt som en terpai session, men hun siger flere gange hun gerne ville have programmet og alt den støtte det giver, men det ikke kunne lade sig gøre pga en flytning og dobbelt husleje, men hun ville igang når økonomien tillod det</t>
  </si>
  <si>
    <t>Mathias Hanen</t>
  </si>
  <si>
    <t>22 72 62 15</t>
  </si>
  <si>
    <t>Peter Lørup</t>
  </si>
  <si>
    <t>22 42 68 39</t>
  </si>
  <si>
    <t>Havde ikke pengene før Oktober</t>
  </si>
  <si>
    <t>Følger op på ham 23. september</t>
  </si>
  <si>
    <t>Johan Loch</t>
  </si>
  <si>
    <t>22 67 61 17</t>
  </si>
  <si>
    <t>Frederik Duborg Juhl</t>
  </si>
  <si>
    <t>29 84 21 21</t>
  </si>
  <si>
    <t>Ville ikke når der var andre end Daniel</t>
  </si>
  <si>
    <t>Johanne Norrland Grauslund</t>
  </si>
  <si>
    <t>71 70 06 17</t>
  </si>
  <si>
    <t>Havde ikke et overblik over økonomien</t>
  </si>
  <si>
    <t>Skulle undersøge økonomi fordi hun ikke havde fået sin første løn hende om det så kunne lade sig gøre, gik fra hun kun vil have kost til hun faktisk ville have hele pakkeb</t>
  </si>
  <si>
    <t>Clara Smidt</t>
  </si>
  <si>
    <t>81 75 15 88</t>
  </si>
  <si>
    <t>Mega god samtale tror måske det var en af mine bedste samtaler, jeg stillte gode og præcise spørgsmål, så samtalen blev heller ikke for lang, men jeg fandt ud af de jeg skulle finde ud af</t>
  </si>
  <si>
    <t>Dmytro Torbynskyi</t>
  </si>
  <si>
    <t>91 41 99 81</t>
  </si>
  <si>
    <t>Lidt et mystisk kald, syntes det var svært på engelsk når man har det hele i hovedet på dansk. Han vil gerne have et overblik over hvordan det så ud inde i appen så det sendte jeg videre til ham hører fra ham i morgen eller overmorgen</t>
  </si>
  <si>
    <t>Rolf Hansen</t>
  </si>
  <si>
    <t>30 32 20 97</t>
  </si>
  <si>
    <t>Kathrine Nordentoft</t>
  </si>
  <si>
    <t>Rigtig god snak, syntes egenligt hun havde besluttet sig på forhånd, og så lavede jeg bare en god pitch til hende og var god i discovery</t>
  </si>
  <si>
    <t>Emil Christensen</t>
  </si>
  <si>
    <t>ilyaas bashir</t>
  </si>
  <si>
    <t>71 39 85 79</t>
  </si>
  <si>
    <t>booket ind</t>
  </si>
  <si>
    <t>18 år gammel som virkeligt gerne vil blive tilfreds med spejlbilledet der er hængemave og hængebryster og det er på tid at gøre noget både for synets skyld men også sundhedsmæssigt.
Han vil gerne tabe 35-40 kg har af den grund bundet ham et år for vi er sikre på vi får ham helt i mål. Han bor stadigt hjemme, så vil selvfølgelig gerne spise aftensmad med forældrene og bare få redskaberne til hvordan det skal gribes an. Så bare en god og effektiv plan der holder ham motiveret og ikke smider håndklædet i ringen
Han havde tidligere været på forløb, men syntes ikke han fik den støtte som han havde brug for, og det var vigtigt for ham
Han får nogle indsprøjtninger ved lægen for at mindske appetitten, men det var ikke weegovy, en nog lignende</t>
  </si>
  <si>
    <t>Natalie Klamer</t>
  </si>
  <si>
    <t>40 98 60 70</t>
  </si>
  <si>
    <t xml:space="preserve">Under 18 </t>
  </si>
  <si>
    <t>Snakkede både med Natalie og kæresten. Lød begge to solgte men skulle vende den med forældrene, hører noget her til aften</t>
  </si>
  <si>
    <t>Pernille Jespersen</t>
  </si>
  <si>
    <t>93 94 85 33</t>
  </si>
  <si>
    <t>Magnus mejlvang grum</t>
  </si>
  <si>
    <t>Malou</t>
  </si>
  <si>
    <t>60 88 46 01</t>
  </si>
  <si>
    <t>Havde ikke overblik og økonomien, hun havde nogle udfordringer så hun får hjælp til at lægge budget</t>
  </si>
  <si>
    <t>Booket ind</t>
  </si>
  <si>
    <t>Har follow-up med hende d. 25 kl 16:30. Hun lød super solgt og sagde det het ville være det helt rigtige for hende</t>
  </si>
  <si>
    <t>Kia Bodeholt</t>
  </si>
  <si>
    <t>31 50 34 98</t>
  </si>
  <si>
    <t>Frederik Flensborg</t>
  </si>
  <si>
    <t>53 85 14 00</t>
  </si>
  <si>
    <t>Skulle finde pengene</t>
  </si>
  <si>
    <t>Har follow-up med ham om en måned d. 21 oktober, han ville virkeligt gerne og ville finde pengene til det og så finder vi en løsning</t>
  </si>
  <si>
    <t>Carl Søgaard Vangsøe</t>
  </si>
  <si>
    <t>22 37 43 12</t>
  </si>
  <si>
    <t>Fik ham sku ikke solgt, føltes ikke som han så værdien i det og ikke noget han havde brug for</t>
  </si>
  <si>
    <t>Lukas Grejs</t>
  </si>
  <si>
    <t>27 29 03 10</t>
  </si>
  <si>
    <t>Marcus Olsen</t>
  </si>
  <si>
    <t>Lucas Jørgensen</t>
  </si>
  <si>
    <t>61 16 51 79</t>
  </si>
  <si>
    <t>Under 18 så skulle vendes med forældrene</t>
  </si>
  <si>
    <t xml:space="preserve">Syntes snakken var god og jeg fik af solgt stod han selv for pengene havde han 100 procent gjort det </t>
  </si>
  <si>
    <t>Julie Wael Foss</t>
  </si>
  <si>
    <t>51 80 20 25</t>
  </si>
  <si>
    <t>Sascha Nielsen</t>
  </si>
  <si>
    <t>25 78 87 38</t>
  </si>
  <si>
    <t>Hun sagde hun skulle prioritere pengene og det godt kunne lade sig gøre, men hun også var typen der skulle tænke over det</t>
  </si>
  <si>
    <t>Mega godt snak og hun lød virkeligt postiv på det hele og at det faktisk var noget for hende, men det hele var kommet meget pludseligt, så har follow - up med hende sødan d.21 om eftermiddagen, så finder vi en løsning på det der</t>
  </si>
  <si>
    <t>Mikkel Flygenring Mørch</t>
  </si>
  <si>
    <t>53 85 85 60</t>
  </si>
  <si>
    <t>https://www.instagram.com/mikkel_moerch06/</t>
  </si>
  <si>
    <t>Skulle vende den med forældrene og have deres Bekræftelse</t>
  </si>
  <si>
    <t xml:space="preserve">Han giver lyd tilbage til mig i aften, ville super gerne men skulle have forældrenes accept. Han sagde flere gange han tit var en som udskød ting, så det kunne jeg 100 procent have challegende ham på </t>
  </si>
  <si>
    <t>Sebastian Lund</t>
  </si>
  <si>
    <t>22 86 84 89</t>
  </si>
  <si>
    <t>https://www.instagram.com/sebastianlund.28/</t>
  </si>
  <si>
    <t>Han sagde det var noget som betød rigtigt meget for ham, men han havde ikke pengene til</t>
  </si>
  <si>
    <t>Martha-Malou Sørensen</t>
  </si>
  <si>
    <t>50 91 13 15</t>
  </si>
  <si>
    <t>https://www.instagram.com/marthassorensen/</t>
  </si>
  <si>
    <t>Havde ikke pengene før d. 1 oktober</t>
  </si>
  <si>
    <t>Super god snak mega frisk på at starte op her til d.1 oktober</t>
  </si>
  <si>
    <t>Melissa Sofia</t>
  </si>
  <si>
    <t>27 28 53 78</t>
  </si>
  <si>
    <t>https://www.instagram.com/melissatheibel_/</t>
  </si>
  <si>
    <t>Det passede dårligt nu i forhold til hun skulle have helt styr på helbredet og nogle eksamner</t>
  </si>
  <si>
    <t>Følger op på hende 27. Oktober kl 13:30. Super god snak og hun vil super gerne, så fik hende solgt godt så det blev noget på hendes præmisser. Hun var histamintolerant og havde pots. Ville gerne tabe 3-5 kg, bygge noget muskelmasse så hun kan føle sig sund og rask med en sund krop</t>
  </si>
  <si>
    <t>Emil Bejder</t>
  </si>
  <si>
    <t>42 23 06 13</t>
  </si>
  <si>
    <t>https://www.instagram.com/emilbejder/</t>
  </si>
  <si>
    <t>Har først penge til den første</t>
  </si>
  <si>
    <t>Har først pengene til den første</t>
  </si>
  <si>
    <t>Sophia Seidelin Nordby</t>
  </si>
  <si>
    <t>20 94 82 28</t>
  </si>
  <si>
    <t>https://www.instagram.com/sophiasnordby/</t>
  </si>
  <si>
    <t>Skulle have lagt budgettet om, så det kunne lade sig gøre</t>
  </si>
  <si>
    <t>Ringer til hende igen på fredag kl 9. Det lød helt sikkert som om det var noget for hende, men pengene skulle bare findes til det</t>
  </si>
  <si>
    <t>Matti Christoffersen</t>
  </si>
  <si>
    <t>53 69 64 61</t>
  </si>
  <si>
    <t>https://www.instagram.com/matti_christoffersen/</t>
  </si>
  <si>
    <t>Ingen penge før den 1. oktober</t>
  </si>
  <si>
    <t>Totalt solgt skal bare blive et rigtigt møgsvin, starter op d. 1 oktober</t>
  </si>
  <si>
    <t>Osvald Lynge Larsen</t>
  </si>
  <si>
    <t>60 17 77 94</t>
  </si>
  <si>
    <t>https://www.instagram.com/detjoikosvald/</t>
  </si>
  <si>
    <t>Det var moren der skulle lægge pengene</t>
  </si>
  <si>
    <t>Ringer til mig igen i aften</t>
  </si>
  <si>
    <t>Anja Lykke Vögeli</t>
  </si>
  <si>
    <t>61 33 77 73</t>
  </si>
  <si>
    <t>https://www.instagram.com/anjavogeli/</t>
  </si>
  <si>
    <t>Tobias Rosengreen</t>
  </si>
  <si>
    <t>26 78 00 11</t>
  </si>
  <si>
    <t>https://www.instagram.com/tobias_rosengreen/</t>
  </si>
  <si>
    <t>Først penge d.1 oktober</t>
  </si>
  <si>
    <t>Starter op d. 1 oktober</t>
  </si>
  <si>
    <t>Marius</t>
  </si>
  <si>
    <t>25 39 78 00</t>
  </si>
  <si>
    <t>https://www.instagram.com/marsiusis/</t>
  </si>
  <si>
    <t>Havde første penge til November</t>
  </si>
  <si>
    <t>Starter op d. 1 november</t>
  </si>
  <si>
    <t>Martin Herholdt Friederichsen</t>
  </si>
  <si>
    <t>28 26 80 91</t>
  </si>
  <si>
    <t>https://www.instagram.com/friederichsenmartin/</t>
  </si>
  <si>
    <t>Har ikke pengene lige nu pga han betaler til wegovy</t>
  </si>
  <si>
    <t xml:space="preserve">Skal snakke hame ham igen til d.1 oktober, hvor han skal op til sygeplejerske og hører om han skal forsætte på wegovy, hvis ikke så har han pengene til at komme i gang </t>
  </si>
  <si>
    <t>Noah Raunholt Herlufsen</t>
  </si>
  <si>
    <t>91 36 52 22</t>
  </si>
  <si>
    <t>https://www.instagram.com/noah_raunholt/</t>
  </si>
  <si>
    <t>Har først penge til November</t>
  </si>
  <si>
    <t>Snakker med ham igen d. 1 November hvor han har fået mere i løn. Han vil så gerne i gang med at bygge noget muskelmasse, så han kan blive tilfreds og så skarpt til sommer når han skal på ferie med gutterne</t>
  </si>
  <si>
    <t>Tina Thomsen</t>
  </si>
  <si>
    <t>23 36 64 19</t>
  </si>
  <si>
    <t>https://www.instagram.com/tina_lthomsen/</t>
  </si>
  <si>
    <t>Betaler til december</t>
  </si>
  <si>
    <t>Ringer til hende i morgen kl 16. Hun følte det var det som skulle til og det eneste hun ikke havde prøvet endnu</t>
  </si>
  <si>
    <t>Freja Thomsen</t>
  </si>
  <si>
    <t>42 23 77 02</t>
  </si>
  <si>
    <t>https://www.instagram.com/freja_marbo/</t>
  </si>
  <si>
    <t>Ville vende den med kæresten, men gjorde det alligvel</t>
  </si>
  <si>
    <t>Mega god snak fik hende virkeligt solgt. Hvade først nogle money concerns, men dem fik vi clearet og vi fik også clearet at hun ville gøre det, hvis partneren sagde nej "Så måtte hun jo låne pengene, for det var virkeligt noget hun ville" Så kæmpe succes</t>
  </si>
  <si>
    <t>Christian Osther</t>
  </si>
  <si>
    <t>22 89 04 50</t>
  </si>
  <si>
    <t>https://www.instagram.com/christian_osther_/</t>
  </si>
  <si>
    <t>Skulle bare vende den med vennerne (havde en ven med en tidligere dårlig oplevelse)</t>
  </si>
  <si>
    <t>Ringer til ham igen på lørdag kl. 12 - Ville super gerne og det hele lød god den skulle bare vendes fordig han havde en kammerat, der tidligere havde været i et dårligt forløb, så ville være sikker på han ikke bare hoppede ud i noget</t>
  </si>
  <si>
    <t>Asger Olsen</t>
  </si>
  <si>
    <t>61 28 68 65</t>
  </si>
  <si>
    <t>https://www.instagram.com/asgerolsen__/</t>
  </si>
  <si>
    <t>Syntes det var mange penge</t>
  </si>
  <si>
    <t>Har followup med ham på mandag kl 10:45. Ville fucking gerne men stod og skulle ud på en rejse til Januar, så pengene var lidt små</t>
  </si>
  <si>
    <t>Jeanette Borregaard Jensen</t>
  </si>
  <si>
    <t>20 93 45 64</t>
  </si>
  <si>
    <t>https://www.instagram.com/jeanette.borregaard.jensen/</t>
  </si>
  <si>
    <t>Var totalt på hendes niveau og satte mig totalt ind i hendes sted så hun følte hun blev hørt og set</t>
  </si>
  <si>
    <t>Gustav Hansen</t>
  </si>
  <si>
    <t>24 75 09 24</t>
  </si>
  <si>
    <t>https://www.instagram.com/gustavhansen79/</t>
  </si>
  <si>
    <t xml:space="preserve">Det var bare det helt rigtige for ham og var helt solgt </t>
  </si>
  <si>
    <t>Heidi Amos</t>
  </si>
  <si>
    <t>22 16 66 02</t>
  </si>
  <si>
    <t>https://www.instagram.com/heidi_amos/</t>
  </si>
  <si>
    <t>Mads Johansen</t>
  </si>
  <si>
    <t>24 24 09 81</t>
  </si>
  <si>
    <t>https://www.instagram.com/mads.valentin3/</t>
  </si>
  <si>
    <t>Havde ikke et job, men kunne godt lade sig gøre, hvis han prioriterede det, så undersøger det til fredag</t>
  </si>
  <si>
    <t>Ringer til ham igen på fredag kl 15, hvor vi har hans mor med. Ville så gerne og har søgt en coach længe, men følte ikke kemien var der og følte så det her var det rigtigt match for ham</t>
  </si>
  <si>
    <t>Gustav Vilfing</t>
  </si>
  <si>
    <t>51 36 45 57</t>
  </si>
  <si>
    <t>https://www.instagram.com/gustav.vilfing/</t>
  </si>
  <si>
    <t>Malene Møller</t>
  </si>
  <si>
    <t>24 41 60 37</t>
  </si>
  <si>
    <t>https://www.instagram.com/moeller.1992/</t>
  </si>
  <si>
    <t>Skulle snakke med 2 andre coaches i morgen</t>
  </si>
  <si>
    <t>Skal ringe til hende igen på tirsdag kl 16. Hun sagde hun havde en god fornemmelse med det hele og det for hende var det vigtigste at blive set og ikke bare være et nummer i rækken</t>
  </si>
  <si>
    <t>Daniel Bille</t>
  </si>
  <si>
    <t>91 70 05 44</t>
  </si>
  <si>
    <t>https://www.instagram.com/daniel_bille2300/</t>
  </si>
  <si>
    <t>Starter til November</t>
  </si>
  <si>
    <t>Sagde på kaldet han ikke havde tænkt han skulle starte på men det lød som noget for ham og det der skulle til for ham</t>
  </si>
  <si>
    <t>Frederik Eisgart</t>
  </si>
  <si>
    <t>22 55 91 41</t>
  </si>
  <si>
    <t>https://www.instagram.com/frederik_eisgart/</t>
  </si>
  <si>
    <t>Linn Aiyuan</t>
  </si>
  <si>
    <t>51 16 69 39</t>
  </si>
  <si>
    <t>https://www.instagram.com/linnaiyuan/</t>
  </si>
  <si>
    <t>Havde tidligere været i forløb, hvor det ikke havde fungeret, men det her lød som noget meget mere for hende. Det var vigtigt det hele ikke blev for meget på en gang men gik i et tempo så hun kunne følge med, så det ikke bare blev fra 0-100</t>
  </si>
  <si>
    <t>Sarah Christine Mess Nielsen</t>
  </si>
  <si>
    <t>23 91 35 30</t>
  </si>
  <si>
    <t>https://www.instagram.com/sarahmesssss/</t>
  </si>
  <si>
    <t>Havde bare ikke pengene</t>
  </si>
  <si>
    <t>Kristina Wentzel</t>
  </si>
  <si>
    <t>28 72 13 52</t>
  </si>
  <si>
    <t>https://www.instagram.com/kristinawentzel_1991/</t>
  </si>
  <si>
    <t>Joanne Sophia Salazar</t>
  </si>
  <si>
    <t>40 54 36 31</t>
  </si>
  <si>
    <t>https://www.instagram.com/sophia_s84/</t>
  </si>
  <si>
    <t>Charlotte Winther</t>
  </si>
  <si>
    <t>23 98 73 98</t>
  </si>
  <si>
    <t>https://www.instagram.com/charlottebwinther/</t>
  </si>
  <si>
    <t>Kunne først starte til december pga en rejse og flytning</t>
  </si>
  <si>
    <t>Laura Tandrup Sørensen</t>
  </si>
  <si>
    <t>28 57 60 86</t>
  </si>
  <si>
    <t>https://www.instagram.com/lauratandrup/</t>
  </si>
  <si>
    <t>Lagde på da der skulle betales</t>
  </si>
  <si>
    <t>Ingen ide om hvorfor hun lagde på og nu har blokeret mig og Daniel IG</t>
  </si>
  <si>
    <t>Anna Hartwigsen</t>
  </si>
  <si>
    <t>93 94 31 22</t>
  </si>
  <si>
    <t>https://www.instagram.com/annahartwigsen/</t>
  </si>
  <si>
    <t>Havde ikke et fuldtidsjob</t>
  </si>
  <si>
    <t>Ringer til hende d. 31 Oktober, hvor hun sagde hun ville have et job. Havde ikke den bedste kemi til at starte med, hun kom med nogle meget korte svar og var sku svær at åbne op, men vi sluttede ham på en god note og lød som noget for hende, når hun havde pengene til slut oktober og havde fået et job</t>
  </si>
  <si>
    <t>Celina Hindhede</t>
  </si>
  <si>
    <t>Var bare klar på det hele direkte fra landingpage</t>
  </si>
  <si>
    <t>Phone</t>
  </si>
  <si>
    <t>Sara Block Bach</t>
  </si>
  <si>
    <t>42 97 85 75</t>
  </si>
  <si>
    <t>https://www.instagram.com/back_bloch/</t>
  </si>
  <si>
    <t>Christina S. Nielsen</t>
  </si>
  <si>
    <t>60 21 97 03</t>
  </si>
  <si>
    <t>https://www.instagram.com/christina.sn03/</t>
  </si>
  <si>
    <t>Penge skulle prioriteres og kunne skaffes til d. 13 oktober</t>
  </si>
  <si>
    <t>Naja Ravnsdal Rasmussen</t>
  </si>
  <si>
    <t>29 70 31 71</t>
  </si>
  <si>
    <t>https://www.instagram.com/najaravnsdal/</t>
  </si>
  <si>
    <t xml:space="preserve">Kun slet ikke lade sig gøre </t>
  </si>
  <si>
    <t>Mega god snak syntes og jeg får stillet de rigtige spørgsmål, men var udelukkende pengene der gjorde udfaldet</t>
  </si>
  <si>
    <t>Oliver Otkjær Ulriksen Thune</t>
  </si>
  <si>
    <t>30 70 55 67</t>
  </si>
  <si>
    <t>https://www.instagram.com/oliverotkjerulriksenthune/</t>
  </si>
  <si>
    <t>Frederikke</t>
  </si>
  <si>
    <t>22 84 24 69</t>
  </si>
  <si>
    <t>https://www.instagram.com/frederikkeayoe/</t>
  </si>
  <si>
    <t>Starter d. 1 November havde først pegnene der</t>
  </si>
  <si>
    <t>Gik virkeligt godt meget åben person så nok at tage fat i. Hun ville så gerne men pengene resten af den her måned var virkeligt små, men det kunne lade sig gøre fra d. 1 november. Kunne jo hører økonomisk det kunne lade sig gøre, skulle bare sprøge hende om det var et eller andet der holdte hende tilbage ligesom på kaldet ned Christina</t>
  </si>
  <si>
    <t>Det gik virkeligt godt, havde nævnt det var hans forældre som skulle støtte ham økonomisk handlede den til at starte med, og det virkede jo så</t>
  </si>
  <si>
    <t>Mikkel Skovgaard</t>
  </si>
  <si>
    <t>22 38 33 82</t>
  </si>
  <si>
    <t>https://www.instagram.com/mik.skovgaard/</t>
  </si>
  <si>
    <t>Spiller amerikansk fodbold på højt niveau, så han havde adgang til kosten igennem hans klub som havde virkeligt godt styr på, så det var kun træningsprogrammet han var interesseret i</t>
  </si>
  <si>
    <t>Jesper</t>
  </si>
  <si>
    <t>22 62 01 08</t>
  </si>
  <si>
    <t>https://www.instagram.com/jespero87/</t>
  </si>
  <si>
    <t xml:space="preserve">Havde en masse skavanker, som han lige skulle have styr, inden han kunne </t>
  </si>
  <si>
    <t>Han gav ikke så meget af sig selv, men fik ham da åbnet op og stilte nogle gode spørgsmål, men han var nok ikke helt solgt på ide for så havde han jo gjort det. Vigtigt det blev holdbart og på hans præmisser så det ikke blev en kæmpe opvæltning</t>
  </si>
  <si>
    <t>Simone Frøslev</t>
  </si>
  <si>
    <t>61 40 61 26</t>
  </si>
  <si>
    <t>https://www.instagram.com/mrs_stop_giving_up/</t>
  </si>
  <si>
    <t>Skulle bare tænke over det og sige det højt for sig selv</t>
  </si>
  <si>
    <t>Nick Seliger Sommer</t>
  </si>
  <si>
    <t>53 77 28 93</t>
  </si>
  <si>
    <t>https://www.instagram.com/nickseligersommer/</t>
  </si>
  <si>
    <t>Ana Monik</t>
  </si>
  <si>
    <t>50 29 74 79</t>
  </si>
  <si>
    <t>https://www.instagram.com/marabouaddict/</t>
  </si>
  <si>
    <t>Suzie M Ruusgaard</t>
  </si>
  <si>
    <t>61 70 62 58</t>
  </si>
  <si>
    <t>https://www.instagram.com/suzie.m.ruusgaard/</t>
  </si>
  <si>
    <t xml:space="preserve">Skulle informere manden om det </t>
  </si>
  <si>
    <t>Ringer til hende i morgen aften. virkede som det helt rigtige for hende, hun havde pengene, ville gøre det selvom partneren sagde, nej hun skulle bare informere ham om det. Startede med hun først ville i gang til nytår, men fik hende til at indse det skulle være nu og lavede et kæmpe gap.</t>
  </si>
  <si>
    <t>Caroline Slipsager Aebeloe</t>
  </si>
  <si>
    <t>30 20 74 38</t>
  </si>
  <si>
    <t>https://www.instagram.com/aebeloe.eq/</t>
  </si>
  <si>
    <t>Havde et stramt budget med hest</t>
  </si>
  <si>
    <t>Ringer til hende tirsdag kl 20. Hun havde en masse pain og det blev også fundet aldrig været tilfreds. Skulle nok have gennemgået mere iforhold hvad konsekvenser var ved ikke at gøre noget</t>
  </si>
  <si>
    <t>Nicki Lund</t>
  </si>
  <si>
    <t>23 67 72 00</t>
  </si>
  <si>
    <t>https://www.instagram.com/nickilund007/</t>
  </si>
  <si>
    <t>Kunne kun smide 400 kr. nu her o</t>
  </si>
  <si>
    <t>Alexander Marion</t>
  </si>
  <si>
    <t>53 62 60 79</t>
  </si>
  <si>
    <t>https://www.instagram.com/marionadefar/</t>
  </si>
  <si>
    <t>Turde ikke tage skridtet</t>
  </si>
  <si>
    <t xml:space="preserve">Ringer til ham kl 16:30 i morgen. Ville sygt gerne kunne bare ikke få ham til at tage skridtet </t>
  </si>
  <si>
    <t>Emilie Stilling</t>
  </si>
  <si>
    <t>29 66 22 03</t>
  </si>
  <si>
    <t>https://www.instagram.com/emilie_stilling/</t>
  </si>
  <si>
    <t>Super fin snak vi havde, fik fundet noget pain, hun altid havde døjet med vægten og aldrig været helt tilfreds. Så hun også havde nogle mål og hun ikke ville skuffe sig selv. Kunne godt have spurgt mere ind til, hvis hun ikke nåede de her mål.</t>
  </si>
  <si>
    <t>Oskar Kjærsgaard</t>
  </si>
  <si>
    <t>61 45 22 41</t>
  </si>
  <si>
    <t>https://www.instagram.com/oskar_kjaersgaard/</t>
  </si>
  <si>
    <t>Havde først pengene til novmeber</t>
  </si>
  <si>
    <t>Virkede ikke til han havde pain, men havde røv meget pain, så det var fucking nice. Så god discovery førte til salg</t>
  </si>
  <si>
    <t>Miha Mihaela</t>
  </si>
  <si>
    <t>25 12 37 93</t>
  </si>
  <si>
    <t>https://www.instagram.com/miha560/</t>
  </si>
  <si>
    <t>Amalie Bramsted</t>
  </si>
  <si>
    <t>91 25 18 21</t>
  </si>
  <si>
    <t>https://www.instagram.com/amaliebramsted/</t>
  </si>
  <si>
    <t>Skulle bare vende den med forældrene</t>
  </si>
  <si>
    <t xml:space="preserve">Hun ville vende tilbage, hun var bange for at det ville blive for seriøst og hun ville ikke spilde vores tid. Hører fra hende til aften d. 7 </t>
  </si>
  <si>
    <t>Catharina Dam</t>
  </si>
  <si>
    <t>27 14 28 54</t>
  </si>
  <si>
    <t>https://www.instagram.com/cathdam/</t>
  </si>
  <si>
    <t xml:space="preserve">Kunne ikke få hende til det, skulle tænke over det </t>
  </si>
  <si>
    <t>Var vel i bund og grund jeg ikke fik hende solgt godt, nok sygt godt nok jeg generelt strugglede i dag med min kald, ikke de bedste discoveries ved sku ikke lige hvad der skete.</t>
  </si>
  <si>
    <t>Malene Helsinghoff</t>
  </si>
  <si>
    <t>29 87 70 96</t>
  </si>
  <si>
    <t>https://www.instagram.com/helsinghoff/</t>
  </si>
  <si>
    <t>Daniel Schlippe</t>
  </si>
  <si>
    <t>53 20 36 33</t>
  </si>
  <si>
    <t>https://www.instagram.com/danielschlippe?igsh=dWw0M2kybzZsNGgz</t>
  </si>
  <si>
    <t>Ville virkeligt gerne, men kunne simplhent ikke få hende til at tage en beslutning, hun tænkte altid over tingene. Var svært at snakke med ikke den bedste til dansk og snakkede ekstremt meget</t>
  </si>
  <si>
    <t>Albert Føgh Lenler</t>
  </si>
  <si>
    <t>30 20 19 01</t>
  </si>
  <si>
    <t>https://www.instagram.com/albert.lenler?igsh=MW94bWZlaGlrcHdtNg==</t>
  </si>
  <si>
    <t>Ville fortryde det, hvis han kunne på egen hånd</t>
  </si>
  <si>
    <t>Skal Reviewes. Fik ham ikke til at se den fulde værdi i det, ville hellere gøre det selv og ikke bruge pengene på det. Ville fortryde endnu mere hvis han gjore det her og så heller ikke kom i mål og havde spildt pengene</t>
  </si>
  <si>
    <t>Hjalte Westeraa</t>
  </si>
  <si>
    <t>22 58 16 51</t>
  </si>
  <si>
    <t>https://www.instagram.com/hjaltewesteraa02/</t>
  </si>
  <si>
    <t>Skulle have tjekket op det hele kunne lade sig gøre</t>
  </si>
  <si>
    <t>Skal snakke med Daniel igen på mandag, hvor de gennemgår programmet. Vil gerne tage det næste skridt, og tage det til næste niveau, så han kan blive så stor som overhovedte muligt</t>
  </si>
  <si>
    <t>Caroline Hauge</t>
  </si>
  <si>
    <t>21 62 39 04</t>
  </si>
  <si>
    <t>https://www.instagram.com/carolinehauge?igsh=NXZmMnlybDA1Ynp0</t>
  </si>
  <si>
    <t>Line Larsen</t>
  </si>
  <si>
    <t>22 95 18 79</t>
  </si>
  <si>
    <t>https://www.instagram.com/linensl/</t>
  </si>
  <si>
    <t>Var meget tilbageholdende med at gøre det, fordi hun tidligere havde været i nogle forløb som ikke var gået ret godt, men fik en til at indse det var det rigtige for hende</t>
  </si>
  <si>
    <t>Janni Fruergaard</t>
  </si>
  <si>
    <t>20 68 21 37</t>
  </si>
  <si>
    <t>https://www.instagram.com/janni86dk/</t>
  </si>
  <si>
    <t>Skulle vendes med manden</t>
  </si>
  <si>
    <t xml:space="preserve">Prøvede egenligt at prime hende til at det her var den rigtigt løsning for hende og det var det rigtige for hende at få den her hjælp og det mente hun også det var skulle bare vendes med manden. </t>
  </si>
  <si>
    <t>Maria Balskov Jakobsen</t>
  </si>
  <si>
    <t>24 47 68 99</t>
  </si>
  <si>
    <t>https://www.instagram.com/balskov2/</t>
  </si>
  <si>
    <t>Vil gerne have en snak til nytår</t>
  </si>
  <si>
    <t>Lucca Augusta Bennetzen</t>
  </si>
  <si>
    <t>26 34 11 77</t>
  </si>
  <si>
    <t>Sofie Callesen</t>
  </si>
  <si>
    <t>25 76 60 01</t>
  </si>
  <si>
    <t>https://www.instagram.com/callesen.s/</t>
  </si>
  <si>
    <t>Mathias Zickert</t>
  </si>
  <si>
    <t>21 39 95 90</t>
  </si>
  <si>
    <t>https://www.instagram.com/mathias.zickert/</t>
  </si>
  <si>
    <t>Mia Rindom</t>
  </si>
  <si>
    <t>27 28 62 19</t>
  </si>
  <si>
    <t>https://www.instagram.com/miarindom/</t>
  </si>
  <si>
    <t xml:space="preserve">En mærkelig case faktisk, kunne nok 100 procent hjælpe hende med havde svært ved at finde den rigtige løsning for hende i forhold til hvad hun ønskede, skal lige have fat i Daniel og så ringer jeg </t>
  </si>
  <si>
    <t>Andreas Sørensen</t>
  </si>
  <si>
    <t>22 53 79 33</t>
  </si>
  <si>
    <t>https://www.instagram.com/andreassorensen667/</t>
  </si>
  <si>
    <t>Stod mellem 2 jobs, så vidste ikke om han have nogen indtægt fra på søndag af</t>
  </si>
  <si>
    <t>Have en virkeligt god snak med ham, var det helt rigtige for ham og ville så gerne, det eneste der holdt ham tilbage var han stod uden job fra på søndag. Havde en venide han trænede med som også ville ind i poliitiet som også var interesseret i det, så hende prøver jeg at få med på mandag når jeg ringer til ham igen, ellers så ringer jeg selv til hende</t>
  </si>
  <si>
    <t>Tobias Godske Højgaard</t>
  </si>
  <si>
    <t>93 92 10 05</t>
  </si>
  <si>
    <t>https://www.instagram.com/direct/t/100373261360420/</t>
  </si>
  <si>
    <t>Var i stedet ende at han syntes det var for mange penge, og så helt klart noget fear</t>
  </si>
  <si>
    <t>Kunne sku ikke få ham over stregen, gjorde alt jeg kunne syntes jeg, men i bund og grund fik jeg ham ikke solgt godt nok, skulle have bygget et større gap fra hvor han nu til der han gerne ville hen. Fundet ud af hvordan jeg prober mere i stedet for at tænke "jeg har nok"</t>
  </si>
  <si>
    <t>Kathrine Kallehauge</t>
  </si>
  <si>
    <t>60 86 26 54</t>
  </si>
  <si>
    <t>https://www.instagram.com/kathrinekallehauge/</t>
  </si>
  <si>
    <t>Hun vidste hun skulle til at flytte ud om 6 måneder og skulle bruge en god opsparing til det</t>
  </si>
  <si>
    <t>Fik hende ikke solgt godt nok for så havde hun jo købt. Hvis hun skar ind til benet havde hun pengene, men hun vægtede højere hun havde penge til en lejlighed til om 6 måneder og så var hun lige starte på et terapi forløb, som hun selv sagde var en non-negotinable for hende</t>
  </si>
  <si>
    <t>Emma Kjær</t>
  </si>
  <si>
    <t>31 35 89 98</t>
  </si>
  <si>
    <t>https://www.instagram.com/emma_kjaer__/</t>
  </si>
  <si>
    <t>En blanding af penge og fear</t>
  </si>
  <si>
    <t>Hun syntes virkeligt det lød som noget for hende, men hun havde tidligere været i forløb, hvor hun var blevet lovet nogle at de kunne hjælpe i fothold til hendes delte mavemuskler, hvor de så ikke kunne og kastede nærmeste pengene ud af vinduet som hun selv sagde</t>
  </si>
  <si>
    <t>Andreas Frederiksen</t>
  </si>
  <si>
    <t>30 83 43 02</t>
  </si>
  <si>
    <t>https://www.instagram.com/andrewmf87/</t>
  </si>
  <si>
    <t>Han var allerede i gang med et andet forløb som han skulle have afslutet</t>
  </si>
  <si>
    <t>Følger op på ham på mandag. Skulle have afsluttet et allerede igangværende forløb og lige finde ud af hvordan fungerede. Havde aftalt han skulle ligge et depsitum for at få pladsen til 1/12</t>
  </si>
  <si>
    <t>Camilla Holm</t>
  </si>
  <si>
    <t>22 96 57 70</t>
  </si>
  <si>
    <t>https://www.instagram.com/camillaholm1803/</t>
  </si>
  <si>
    <t>Victoria Hansen</t>
  </si>
  <si>
    <t>71 95 92 60</t>
  </si>
  <si>
    <t>https://www.instagram.com/v_hansen20/</t>
  </si>
  <si>
    <t>Kicki Bervild</t>
  </si>
  <si>
    <t>28 25 16 98</t>
  </si>
  <si>
    <t>https://www.instagram.com/kickibervild/</t>
  </si>
  <si>
    <t>Var pegnene der holdte hende tilbage</t>
  </si>
  <si>
    <t>Skal ringe til hende på mandag kl 16:30. Bliver en alt for langt samtale, fokusere ikke nok på det vigtige, så den trækker voldsomt ud, og kunne sku ikke få hende til det rent økonomisk. Hun har haft en tidligere dårlige oplevelse i hende unge dag i forhold til at bruge flere penge end hun har</t>
  </si>
  <si>
    <t>Simone Larsen</t>
  </si>
  <si>
    <t>41 60 60 66</t>
  </si>
  <si>
    <t>https://www.instagram.com/simone.larsen.9465/</t>
  </si>
  <si>
    <t>Diana Behlic</t>
  </si>
  <si>
    <t>51 78 56 00</t>
  </si>
  <si>
    <t>https://www.instagram.com/dianabehlic/</t>
  </si>
  <si>
    <t>Var bange for at skuffe og ikke kunne leve op til forventningerne</t>
  </si>
  <si>
    <t>Jannie Pihl Pedersen</t>
  </si>
  <si>
    <t>61 65 66 16</t>
  </si>
  <si>
    <t>https://www.instagram.com/_janniepihl_/</t>
  </si>
  <si>
    <t>Annika Roskov</t>
  </si>
  <si>
    <t>60 77 61 68</t>
  </si>
  <si>
    <t>https://www.instagram.com/roskovannika/</t>
  </si>
  <si>
    <t>Ronni</t>
  </si>
  <si>
    <t>40 89 25 58</t>
  </si>
  <si>
    <t>https://www.instagram.com/ronnikn/</t>
  </si>
  <si>
    <t>Bliver en alt for lang snak den løber sku lidt af sporet for mig, syntes det er noget jeg har meget svært ved. Får heller ikke sat framet ordenligt fra starten af.</t>
  </si>
  <si>
    <t>FILIPPA WEBER PAUSTIAN</t>
  </si>
  <si>
    <t>81 71 71 81</t>
  </si>
  <si>
    <t>https://www.instagram.com/filippa_paustian/</t>
  </si>
  <si>
    <t>Tidligere dårligere oplevelse med coaching</t>
  </si>
  <si>
    <t>Sagde hun havde en rigtig god mavefornemmelse, men hun skulle sove på den og det samme gjaldt inden samtale, hun skulle også på den og finde ud af om det var noget for hende</t>
  </si>
  <si>
    <t>Martina Bangsø</t>
  </si>
  <si>
    <t>26 84 09 28</t>
  </si>
  <si>
    <t>https://www.instagram.com/martina.bangsoe?igsh=Y3R6dDd1czF3cGow</t>
  </si>
  <si>
    <t xml:space="preserve">Hendes mand der ikke var helt solgt </t>
  </si>
  <si>
    <t xml:space="preserve">Par forløb hun er fuldstændigt solgt og vil overtale manden til de skal igang og kan sætte fundamentet for resten af deres liv. </t>
  </si>
  <si>
    <t>Heidi Nyborg Kristensen</t>
  </si>
  <si>
    <t>22 17 17 05</t>
  </si>
  <si>
    <t>https://www.instagram.com/heidinyborgkr/</t>
  </si>
  <si>
    <t>Udeklukkende pengene der holder hende tilbage</t>
  </si>
  <si>
    <t>Line-Johanne Schmidt Popall</t>
  </si>
  <si>
    <t>61 48 19 86</t>
  </si>
  <si>
    <t>https://www.instagram.com/line.j.popall/</t>
  </si>
  <si>
    <t>Følte ikke det var det rigtige for hende</t>
  </si>
  <si>
    <t>Hanne Vieland Ågård</t>
  </si>
  <si>
    <t>22 73 24 47</t>
  </si>
  <si>
    <t>https://www.instagram.com/hannevieland/</t>
  </si>
  <si>
    <t>Ditte Lykke Kleis Borch Sørensen</t>
  </si>
  <si>
    <t>50 47 09 12</t>
  </si>
  <si>
    <t>https://www.instagram.com/dittelkborch/</t>
  </si>
  <si>
    <t>Daniella Elna Schor-Stott Andersen</t>
  </si>
  <si>
    <t>42 75 02 18</t>
  </si>
  <si>
    <t>https://www.instagram.com/dannimus01_basim/</t>
  </si>
  <si>
    <t>Var meget tilbageholdende med at bruge pengene på det, om det var spild af penge</t>
  </si>
  <si>
    <t>Starter op til d. 1 december, var din eneste løsning</t>
  </si>
  <si>
    <t>Rico</t>
  </si>
  <si>
    <t>50 31 18 72</t>
  </si>
  <si>
    <t>https://www.instagram.com/javricoj/</t>
  </si>
  <si>
    <t>Skulle bare altid tænke over det noget han stod meget fast ved</t>
  </si>
  <si>
    <t xml:space="preserve">Ville give Daniel et svar tilbage. En svær snak, fordi han ikke var så god til dansk, så han forstod ikke alle mine spørgsmål, så vi misforstod hinanden, så blev ikke den perfekte samtale, men sagde at fornemmelse med det hele var bedre nu end før han gik på kald, så nu må vi se </t>
  </si>
  <si>
    <t>Rebecca Bech</t>
  </si>
  <si>
    <t>28 57 92 13</t>
  </si>
  <si>
    <t>https://www.instagram.com/rebeccabechh/</t>
  </si>
  <si>
    <t>Hun kunne ikke andet end at tænke på pengene, men var også noget fear for at få dem brugt</t>
  </si>
  <si>
    <t>Hun var ultra fokuseret på hun ikke havde pengene og det eneste hun tænkte på, og hun var bange for at bruge dem. Skulle helt klart have talt mere ind i konsekvenserne ved ikke at gøre noget. Hun blev frusteret og irriteret på sig selv, fordi hun ville sygt gerne men kunne bare ikke pga "pengene"</t>
  </si>
  <si>
    <t>Signe Liv Hyldahl Lauritzen</t>
  </si>
  <si>
    <t>22 23 18 31</t>
  </si>
  <si>
    <t>https://www.instagram.com/signe_liv_lauritzen/</t>
  </si>
  <si>
    <t>Kristina Skov</t>
  </si>
  <si>
    <t>42 39 69 81</t>
  </si>
  <si>
    <t>https://www.instagram.com/kristinaskov?igsh=MTMwdTdlbHdxcGpsZg==</t>
  </si>
  <si>
    <t>Magda De Castro</t>
  </si>
  <si>
    <t>71 58 53 12</t>
  </si>
  <si>
    <t>https://www.instagram.com/magda_d_castro/</t>
  </si>
  <si>
    <t>Mads Frederik Møller Marcussen</t>
  </si>
  <si>
    <t>21 35 73 51</t>
  </si>
  <si>
    <t>https://www.instagram.com/alahwaqba?igsh=NGx1bHdlenB1ZDJk</t>
  </si>
  <si>
    <t>Stephanie Vestergaard</t>
  </si>
  <si>
    <t>25 11 18 07</t>
  </si>
  <si>
    <t>https://www.instagram.com/stephanie.klindtworth?igsh=cWxzbTMxNHJxYzh6</t>
  </si>
  <si>
    <t>Havde sagt ja og sendt penge men fortrød et par timer senere, da det var for mange penge og det ikke kunne lade sig gøre</t>
  </si>
  <si>
    <t>Var det helt rigtige for hende, hun havde jo goså sagt ja, men efter at have kigget på hvor mange penge hun havde, fortrød hun. Mega ærgerligt især når jeg følte det var en mega god snak</t>
  </si>
  <si>
    <t>Nicolai Ærbo Jensen</t>
  </si>
  <si>
    <t>51 17 11 76</t>
  </si>
  <si>
    <t>https://www.instagram.com/nicolai_aerbo?igsh=cXN6cWNmNDg4M2E3</t>
  </si>
  <si>
    <t>Han ville gerne have noget PT, hvor jeg havde snakket med Daniel om jeg kunne gøre det fordi han var fra Aarhus. Så skal mødes med ham på mandag til en træning, inden han lige sagde ja til det hele</t>
  </si>
  <si>
    <t>Skal mødes med ham på mandag, fordi han gerne ville have noget PT ved siden af forløbet, og jeg havde tilbudt at gøre det, men ville gerne lige se mig an om vi klikkede og det sagde jeg så ja til. Det ville han gerne inde han lige sagde ja til det hele</t>
  </si>
  <si>
    <t>Lisbeth Thim Fabricius Frederiksen</t>
  </si>
  <si>
    <t>60 48 43 21</t>
  </si>
  <si>
    <t>Ole Anders</t>
  </si>
  <si>
    <t>27 13 07 73</t>
  </si>
  <si>
    <t>https://www.instagram.com/besseby/</t>
  </si>
  <si>
    <t>Han giver lyd i morgen. Daniel snakked også med ham ifht. PT som egenligt var det vigtigste for ham</t>
  </si>
  <si>
    <t>Martin Hove</t>
  </si>
  <si>
    <t>81 24 37 28</t>
  </si>
  <si>
    <t>https://www.instagram.com/martin.hove?igsh=MWVnc2FrZjBqcHFxaw==</t>
  </si>
  <si>
    <t>Kunne ikke se det var pengene værd</t>
  </si>
  <si>
    <t>Han er fysisk klient. Får slet ikke fundet nok pain, så han ender selvfølgelig ikke med at købe. Skal sku blive meget bedre i discovery.</t>
  </si>
  <si>
    <t>Dominic Kamke</t>
  </si>
  <si>
    <t>60 13 27 01</t>
  </si>
  <si>
    <t>Sagde jeg ikke fik et svar i dag</t>
  </si>
  <si>
    <t>Ringer til ham i morgen kl 10. Svær snak når vi begge snakker ikke snakker engelsk som vores først sprog, så kom nogle misforståelse undervejs, får ikke stillede de rigtige spørgsmål, og heller ikke altid han helt forstod, hvad jeg spurgte om, men tager det med oprejst pande.</t>
  </si>
  <si>
    <t>Agnethe Wallin</t>
  </si>
  <si>
    <t>26 16 66 68</t>
  </si>
  <si>
    <t>https://www.instagram.com/agnethewallin/</t>
  </si>
  <si>
    <t>Havde ikke pengene, nu stod i en dårlig situation med hus salg og lån</t>
  </si>
  <si>
    <t>Følte mig meget mere tilstede på samtalen,  end jeg har gjort de sidste mange gange og kunne virkeligt mærke en forskel, selvom den ikke blev lukket. Har skrevet i kalenderen jeg følger op på hende til d.1 december</t>
  </si>
  <si>
    <t>Rasmus Valsted Thellemann</t>
  </si>
  <si>
    <t>30 74 12 01</t>
  </si>
  <si>
    <t>https://www.instagram.com/rasmusthellemann/</t>
  </si>
  <si>
    <t>21 57 85 59</t>
  </si>
  <si>
    <t>Lost lead</t>
  </si>
  <si>
    <t>Kunne første betale resten, når han kom hjem fra job og på mandag</t>
  </si>
  <si>
    <t>Dejlig kort samtale, fandt noget pain og fandt ud af, hvad der var vigtigt for ham, og brugte det i gennem samtalen</t>
  </si>
  <si>
    <t xml:space="preserve">Super god snak, bragte den helt gode energi, og fandt ud af hvorfor det var vigtigt for ham </t>
  </si>
  <si>
    <t>emma</t>
  </si>
  <si>
    <t>Delte hendes opstart op udover 5 måneder, var inden vi aftale 6 måneders binding</t>
  </si>
  <si>
    <t>Rasmus Mortensen</t>
  </si>
  <si>
    <t>81 67 04 44</t>
  </si>
  <si>
    <t>https://www.instagram.com/ra_mortensen/</t>
  </si>
  <si>
    <t>Han havde pengene, men skulle lige kigge det igennem</t>
  </si>
  <si>
    <t>Fik et deposit på 500 kr. Han skriver til mig senere og sagde han troede det godt kunne lade sig gøre</t>
  </si>
  <si>
    <t>Thea Stange Smed</t>
  </si>
  <si>
    <t>26 82 79 55</t>
  </si>
  <si>
    <t>https://www.instagram.com/theastangesmed/</t>
  </si>
  <si>
    <t>Nickolai Hansen</t>
  </si>
  <si>
    <t>81 29 18 89</t>
  </si>
  <si>
    <t>https://www.instagram.com/nhansen899/</t>
  </si>
  <si>
    <t>Havde ingen penge nu pga han lige har betalt indskud til lejlighed, men har fra d. 1 december</t>
  </si>
  <si>
    <t>Han er fysisk klient med Daniel, så er på down-sell og går mest op i fysisk træning</t>
  </si>
  <si>
    <t>Kathrine Libergren</t>
  </si>
  <si>
    <t>51 27 21 62</t>
  </si>
  <si>
    <t>https://www.instagram.com/kathrinelibergren/</t>
  </si>
  <si>
    <t xml:space="preserve">Lægger på </t>
  </si>
  <si>
    <t>Var et super god kald syntes jeg, hun var klar, no clue hvorfor hun smider røret på. Så den er jeg ærgerlig over, for syntes det var et rigtigt god kald, men kan jeg ikke gøre noget ved nu</t>
  </si>
  <si>
    <t>Mathias Marcussen</t>
  </si>
  <si>
    <t>22 21 14 95</t>
  </si>
  <si>
    <t>https://www.instagram.com/mathias.marcussen/</t>
  </si>
  <si>
    <t>Kun 4 måneder pga, han skulle på en lang rejse til marts</t>
  </si>
  <si>
    <t>Sofie Marie Kurtz</t>
  </si>
  <si>
    <t>22 64 07 15</t>
  </si>
  <si>
    <t>https://www.instagram.com/sofiekurtz/</t>
  </si>
  <si>
    <t>Var pengene der holdte hende tilbage</t>
  </si>
  <si>
    <t>Fik ikke fundet nok pain, hun sagde hun havde noget fedt hun var træt af blandt andet på maven, det får jeg ikke spurgt nok ind til og kommer også for sent ind på det i samtalen</t>
  </si>
  <si>
    <t>Jasper Vestergaard</t>
  </si>
  <si>
    <t>93 96 17 37</t>
  </si>
  <si>
    <t>https://www.instagram.com/jaspervestergaard/</t>
  </si>
  <si>
    <t>Var kun interesseret i det gratis</t>
  </si>
  <si>
    <t>Rebecca Møller Nielsen</t>
  </si>
  <si>
    <t>42 28 43 45</t>
  </si>
  <si>
    <t>https://www.instagram.com/rebecca__nielsen/</t>
  </si>
  <si>
    <t>Skulle snakke med manden om pengene</t>
  </si>
  <si>
    <t>Kunne godt have været mere skarp på samtalen, ved ikke hvorfor jeg ikke var det, lidt mere tilstedeværelse havde været rigtig, godt selvom jeg egenligt syntes vi har en udmærket snak. Skulle vende det med manden og skulle se om det kunne lade sig gøre oveni iet husbyggeri, bryllup og en operation</t>
  </si>
  <si>
    <t>https://www.instagram.com/kristinaskov/</t>
  </si>
  <si>
    <t>Kunne kun betale opstart nu</t>
  </si>
  <si>
    <t>Var allerde på et andet forløb, som hun afslutter til slut januar</t>
  </si>
  <si>
    <t>Ville gerne tage det hele til næste niveau, har været på forløb de sidste 4 år, men trængte til forandring at få et nyt sæt øjne på det hele. Så hun starter op til februar når hun afslutter sit nuværende forløb</t>
  </si>
  <si>
    <t>Tobias Mittun</t>
  </si>
  <si>
    <t>25 33 49 04</t>
  </si>
  <si>
    <t>https://www.instagram.com/tobias_mittun/</t>
  </si>
  <si>
    <t>Emil Schultz-Vistedsen</t>
  </si>
  <si>
    <t>29 70 43 44</t>
  </si>
  <si>
    <t>https://www.instagram.com/emilschultz.99/</t>
  </si>
  <si>
    <t>Skulle lige tjekke økonomien helt i gennem</t>
  </si>
  <si>
    <t>Ringer til ham i morgen, og får styr på det sidste, så får vi ham igang til mandag</t>
  </si>
  <si>
    <t>Tanja Steenbjerg</t>
  </si>
  <si>
    <t>51 62 23 70</t>
  </si>
  <si>
    <t>https://www.instagram.com/t_steenbjerg/</t>
  </si>
  <si>
    <t>Har ikke pengene</t>
  </si>
  <si>
    <t>Syntes jeg får stillet nogle gode spørgsmål og at det er en god snak vi har. Hun siger tidligt hun ikke har pengene pga. hun lige er stoppet på et andet forløb og er blevet sygmeldt og ikek aner, hvornår hun er tilbage på job. Så prøvede bare at give hende en masse værdi, så hun indser et forløb her vil være det helt rigtige for hende</t>
  </si>
  <si>
    <t>Steffen Nielsen</t>
  </si>
  <si>
    <t>29 47 11 81</t>
  </si>
  <si>
    <t>https://www.instagram.com/steffennielsen1980/</t>
  </si>
  <si>
    <t>Om han kunne selv</t>
  </si>
  <si>
    <t>Jeg ringer til ham igen i morgen kl 13:45. Skulle have fundet mere pain, men syntes det var en svær snak. Skulle have kommet med de "kritisk spørgsmål noget før. Skulle have primet ham noget mere, for han siger han har været på andre kald før. Skulle have spurgt hvad har gjort du ikke har tog action den gang, hvilke resultater har det givet dig?</t>
  </si>
  <si>
    <t>Maiken</t>
  </si>
  <si>
    <t>28 59 86 51</t>
  </si>
  <si>
    <t>https://www.instagram.com/maikenvesth/</t>
  </si>
  <si>
    <t>Nanna Elisabeth Pedersen</t>
  </si>
  <si>
    <t>42 44 95 68</t>
  </si>
  <si>
    <t>https://www.instagram.com/nannaelisabethpedersen/</t>
  </si>
  <si>
    <t>Var mest interesseret i de gratis planer</t>
  </si>
  <si>
    <t>Syntes egenligt vi har en god snak, men ligesom hun ikke kører på alle cylindere. Bliver lidt en sjov afslutning både før jeg pitcher og efter, der siger hun allerede hun skal tænke over det. Så endte bare med at sende hende de gratis planer</t>
  </si>
  <si>
    <t>Benjamin Ejler</t>
  </si>
  <si>
    <t>22 42 16 10</t>
  </si>
  <si>
    <t>https://www.instagram.com/ejler2000/</t>
  </si>
  <si>
    <t>Mikkel Baungård Olesen</t>
  </si>
  <si>
    <t>71 70 41 42</t>
  </si>
  <si>
    <t>https://www.instagram.com/mikkel_bo99/</t>
  </si>
  <si>
    <t>Sagde det var pengene</t>
  </si>
  <si>
    <t xml:space="preserve">fik ham ikke solgt godt nok for ellers havde han jo købt. Ville hellere prøve selv så </t>
  </si>
  <si>
    <t>Alexander Mathiassen</t>
  </si>
  <si>
    <t>22 58 27 00</t>
  </si>
  <si>
    <t>https://www.instagram.com/alexandervalsgaard/</t>
  </si>
  <si>
    <t>Laura Froberg</t>
  </si>
  <si>
    <t>20 36 26 14</t>
  </si>
  <si>
    <t>https://www.instagram.com/laurafroberg_/</t>
  </si>
  <si>
    <t>Skulle finde ud af om hun havde pengene,s kulle til at sparre op til kørekort også</t>
  </si>
  <si>
    <t>Syntes egenligt vi havde en god snak, fik stillet noget gode spørgsmål. Var under 18 og havde mor med på sidelinjen, så pressede ikke citronen for meget i forhold til objection handling. Sluttede på en god note om at hun havde en god mavefornemmelse. Ringer til hende og mor igen i morgen kl 16:15</t>
  </si>
  <si>
    <t>Bertram Geisler Jensen</t>
  </si>
  <si>
    <t>53 85 60 95</t>
  </si>
  <si>
    <t>https://www.instagram.com/bertram_gj/</t>
  </si>
  <si>
    <t>Fik ham bare totalt solgt med fucking meget conviction, han kunne hører jeg var eksperten og kunne se han var langt fra at af den nødvendige viden og fik af til at se, hvad er ville ske, hvis han ikke kom mål</t>
  </si>
  <si>
    <t>Kristian Weber Johansen</t>
  </si>
  <si>
    <t>60 54 20 84</t>
  </si>
  <si>
    <t>https://www.instagram.com/kristianweber05/</t>
  </si>
  <si>
    <t>Han havde pengene, tiden og følte sig tryg ved programemt</t>
  </si>
  <si>
    <t>Han skulle bare tænke over det lød ikke på ham, som han var helt klar til at tage en beslutning her over telefonen, lige som det ikke var det, som han havde signet op til</t>
  </si>
  <si>
    <t>Tenna R Christensen</t>
  </si>
  <si>
    <t>28 18 92 14</t>
  </si>
  <si>
    <t>https://www.instagram.com/tenna.christensen/</t>
  </si>
  <si>
    <t>Skulle vende den med sin partner</t>
  </si>
  <si>
    <t xml:space="preserve">Ringer til hende lørdag kl 15. Syntes egenligt jeg får hende spurgt godt ind, kunne godt have været mere aktivt lyttende, for ved jo, det er det som virker. Hun siger hun vil være klar til at investerer i sig selv. Skulle begynde at sprøge ind til om de bor alene eller hvordan, så jeg kan prehandle partner. </t>
  </si>
  <si>
    <t>Sidsel Kjellstrøm Larsen</t>
  </si>
  <si>
    <t>93 99 05 28</t>
  </si>
  <si>
    <t>Havde forventet længden på forløber var 1 eller 2 måneder</t>
  </si>
  <si>
    <t xml:space="preserve">Har en aftale med hende i morgen aften. Hun var en great to even greater prospect så ikke ret meget, pain så lagde ikke fokus på det, men skulle jeg nok og så konsekvenserne ved ikke at få styr på det. </t>
  </si>
  <si>
    <t>Mads Lund</t>
  </si>
  <si>
    <t>29 89 17 57</t>
  </si>
  <si>
    <t>https://www.instagram.com/lmads_/</t>
  </si>
  <si>
    <t>Ville syge gerne bare ikke få sig selv til det</t>
  </si>
  <si>
    <t>Vil prøve at få hans forældre med på kald</t>
  </si>
  <si>
    <t>Julie Pietersen</t>
  </si>
  <si>
    <t>41 20 09 82</t>
  </si>
  <si>
    <t>https://www.instagram.com/juliapietersenn/</t>
  </si>
  <si>
    <t>Fik stillet hende nogle god spørgsmål og samtalen blev ret følelsesmæssig, endte med hun græd flere gang, så hun havde jo virkeligt dyb pain. Men vidste ikke om det var pengene værd. Vi objection handlede længe, hvor det endte med hun smed på, og jeg var også allerede gået 15 min over tid</t>
  </si>
  <si>
    <t>Lea Hedegaard Berg</t>
  </si>
  <si>
    <t>41 81 73 21</t>
  </si>
  <si>
    <t>https://www.instagram.com/leahedegaardberg/</t>
  </si>
  <si>
    <t>Havde sagt ja og skulle starte d. 1 december</t>
  </si>
  <si>
    <t>God snak, hun var rigtigt varm i forvejen, men fik hendes stadig solgt godt, og gik for premium forløbet, men hun var førtidspensionist så havde ikke det helt vilde at gøre med. Hun syntes hun havde taget en forhastet beslutning så endte med at melde fra selvom hun havde udfyldt det hele og var klar</t>
  </si>
  <si>
    <t>Emilia Breumlund Uldall Jepsen</t>
  </si>
  <si>
    <t>29 91 37 21</t>
  </si>
  <si>
    <t>https://www.instagram.com/emiliaujepsen/</t>
  </si>
  <si>
    <t>En jeg tidligere havde snakket med, hvor pengene holdte hende tilbage, så gik for downsell</t>
  </si>
  <si>
    <t>Penge, og så også med at bruge dem på sig selv, istedte for andre</t>
  </si>
  <si>
    <t>Chris Pedersen</t>
  </si>
  <si>
    <t>71 36 14 48</t>
  </si>
  <si>
    <t>https://www.instagram.com/bullietshot/</t>
  </si>
  <si>
    <t>Stod ikke selv for sin økonmi</t>
  </si>
  <si>
    <t>Rigtigt god snak, fat rigtigt meget pain og fik ham solgt godt og grundigt, hvis han selv stod for sin økonomi havde han overført med det sammen. Føler den er totalt ude af mine hænder</t>
  </si>
  <si>
    <t>Marcus Bank Topp</t>
  </si>
  <si>
    <t>71 75 92 12</t>
  </si>
  <si>
    <t>https://www.instagram.com/marcus__topp/</t>
  </si>
  <si>
    <t>Mest interesseret i de gratis planer</t>
  </si>
  <si>
    <t>Steen Bro Demant</t>
  </si>
  <si>
    <t>40 35 72 92</t>
  </si>
  <si>
    <t>https://www.instagram.com/steenbrodemant/</t>
  </si>
  <si>
    <t>Resten af den her måned var december passede bare dårligt</t>
  </si>
  <si>
    <t xml:space="preserve">Har betalt opstart på 1500, og starter d. 1 januar </t>
  </si>
  <si>
    <t>Christian</t>
  </si>
  <si>
    <t>42 31 19 95</t>
  </si>
  <si>
    <t>https://www.instagram.com/chr_post12/</t>
  </si>
  <si>
    <t>Gitte Kirkegaard</t>
  </si>
  <si>
    <t>23 61 81 78</t>
  </si>
  <si>
    <t>https://www.instagram.com/gittebkirkegaard/</t>
  </si>
  <si>
    <t>Følte ikke rigtigt hun havde brug for hjælp lige nu</t>
  </si>
  <si>
    <t>Finder intet pain, som i slet ingenting. Havde ærligt nok besluttet mig på forhånd, at jeg ikke vidste hvordan jeg skulle hjælpe hende</t>
  </si>
  <si>
    <t>Maria Daisy</t>
  </si>
  <si>
    <t>60 52 63 76</t>
  </si>
  <si>
    <t>https://www.instagram.com/mariadaisykjoensen/</t>
  </si>
  <si>
    <t>Hun havde penge, men insisterede på at sove på den</t>
  </si>
  <si>
    <t>Gik for længe før jeg kommer med the killer question og fik fundet hendes pain, ikke godt nok</t>
  </si>
  <si>
    <t>Mathias Kamp</t>
  </si>
  <si>
    <t>26 22 85 24</t>
  </si>
  <si>
    <t>https://www.instagram.com/mathiaskamp/</t>
  </si>
  <si>
    <t>Var stadig på lærlige løn, gik over på svendeløn fra december</t>
  </si>
  <si>
    <t>Kunne godt have fået endnu mere pain ud af ham, hvordan det påvirkede ham og om hvad andre tænkte, bare virkeligt få ham til at føle den. Kunne godt have udfordret ham mere i forhold til at tage en beslutning og bruge den reframe ifht. "den måde han tager beslutninger på" eller hvis han var i min situaition</t>
  </si>
  <si>
    <t>Jessica Müller Winther</t>
  </si>
  <si>
    <t>31 39 77 05</t>
  </si>
  <si>
    <t>https://www.instagram.com/wintherjessica/</t>
  </si>
  <si>
    <t>Pengene der holdte hende tilbage og så det her med at binde sig til noget</t>
  </si>
  <si>
    <t>Skulle have udfordret hende mere, når hun komme med vage svar, også i forhold til hvor vigtigt det var for hende</t>
  </si>
  <si>
    <t>Marcus Haun</t>
  </si>
  <si>
    <t>21 64 86 12</t>
  </si>
  <si>
    <t>https://www.instagram.com/marcus.haun.1/</t>
  </si>
  <si>
    <t>Anne-Marie Asperup</t>
  </si>
  <si>
    <t>28 23 51 52</t>
  </si>
  <si>
    <t>https://www.instagram.com/asperup/</t>
  </si>
  <si>
    <t>Havde meget at se til resten af måneden, så starter 1. december</t>
  </si>
  <si>
    <t>Kunne sagtens have fået mere pain ud af hende, føler lidt det er som om jeg er bange for at stille de svære spørgsmål, men ved også på den anden hånd det er det, som skal til for at lukke dem</t>
  </si>
  <si>
    <t>Jonas Victor</t>
  </si>
  <si>
    <t>91 53 28 74</t>
  </si>
  <si>
    <t>https://www.instagram.com/liljonasvictor/</t>
  </si>
  <si>
    <t>Han havde først pengene d. 1 december</t>
  </si>
  <si>
    <t>Var en svær snak, for han havde bare verdens værste højtaler og mikrofon i sin telefon. Han havde først pengene til d. 1 december</t>
  </si>
  <si>
    <t>Dorthe Elmbo</t>
  </si>
  <si>
    <t>61 27 72 04</t>
  </si>
  <si>
    <t>https://www.instagram.com/elmbodorthe/</t>
  </si>
  <si>
    <t>Trine Kastrup</t>
  </si>
  <si>
    <t>40 33 76 10</t>
  </si>
  <si>
    <t>https://www.instagram.com/trine.kastrup/</t>
  </si>
  <si>
    <t>Havde sagt på forhånd nu slet ikke var et sted, hvor det skulle være nu</t>
  </si>
  <si>
    <t>Jeg syntes hun var svært at danse med, kunne ikke rigtigt få noget konkret ud af hende, havde ikke nogle mål som sådan, andet end det var meget fluffy. Så finder faktisk ikke noget pain. Havde prøvet 2 andre forløb der ikke havde været nogen succes. Får ikke holdt frameworket på mine præmisser</t>
  </si>
  <si>
    <t>Magnus Nielsen</t>
  </si>
  <si>
    <t>42 19 16 23</t>
  </si>
  <si>
    <t>https://www.instagram.com/kursist87/</t>
  </si>
  <si>
    <t>Havde rigtigt meget pain, som jeg kom ind på med det samme, så blev en kort snak. Han var heller ikke en mand af ret mange ord</t>
  </si>
  <si>
    <t>Mira Christiansen</t>
  </si>
  <si>
    <t>60 17 09 13</t>
  </si>
  <si>
    <t>https://www.instagram.com/itsmiravibes/</t>
  </si>
  <si>
    <t>Hun sagde hun var 80/20 i forhold til om det kunne lade sig gøre</t>
  </si>
  <si>
    <t>Kunne godt have udfordret hende mere i forhold til pengene, hvor hun kunne finde nogle, og spørger en ekstra gang i stedet for bare at acceptere hendes svar. Men ved ikke om det var BS det hun sagde med hun var 80/20 om det. kunne lade sig gøre. Så valgte at slutte på en god tone, hvilket måske er lidt for naivt af mig</t>
  </si>
  <si>
    <t>William Henriksen</t>
  </si>
  <si>
    <t>61 27 78 19</t>
  </si>
  <si>
    <t>https://www.instagram.com/william_henriksen07/</t>
  </si>
  <si>
    <t>Var kun 18 så han skulle vende den med sin mor, men sagde tidligere på kaldet det var hans beslutning, så nok bare noget BS</t>
  </si>
  <si>
    <t>Skulle have dykket langt dybere i hans pain, selvom jeg finder noget er det kun en halv åben dør, den skal sku brækkes helt op.</t>
  </si>
  <si>
    <t>Brian Eriksson</t>
  </si>
  <si>
    <t>42 15 89 92</t>
  </si>
  <si>
    <t>https://www.instagram.com/sjonedk1971/</t>
  </si>
  <si>
    <t>Ville først kunne starte til Januar</t>
  </si>
  <si>
    <t>Skulle have holdt ham mere på sporet i starten. Kunne ikke udfylde noget endnu, da han var ude at køre</t>
  </si>
  <si>
    <t>Ellen Ibsen</t>
  </si>
  <si>
    <t>40 61 34 38</t>
  </si>
  <si>
    <t>https://www.instagram.com/ellen_ibsen/</t>
  </si>
  <si>
    <t>Sagde hun havde meget angst og tiden ikke var til det selvom hun slev havde rakt ud</t>
  </si>
  <si>
    <t>Anna Dyreborg Frost</t>
  </si>
  <si>
    <t>25 74 09 55</t>
  </si>
  <si>
    <t>https://www.instagram.com/ellamyangel/</t>
  </si>
  <si>
    <t>Ville have dårlgt samvittighed ved at sende hende videre</t>
  </si>
  <si>
    <t>Nicolaj Mortensen</t>
  </si>
  <si>
    <t>42 50 90 68</t>
  </si>
  <si>
    <t>https://www.instagram.com/nicolajhmortensen/</t>
  </si>
  <si>
    <t>Sille Ahle</t>
  </si>
  <si>
    <t>60 17 57 21</t>
  </si>
  <si>
    <t>https://www.instagram.com/sille_ahle/</t>
  </si>
  <si>
    <t>Sofiya</t>
  </si>
  <si>
    <t>53 56 22 26</t>
  </si>
  <si>
    <t>https://www.instagram.com/sofiya_saint_/</t>
  </si>
  <si>
    <t>Var sikker på hun skulle have en personligtræner</t>
  </si>
  <si>
    <t xml:space="preserve">Hun følte ikke det var det rigtige for hende , hun syntes hun skulle have en PT i stedet for, så fik hende ikke solgt godt nok, og kom også med dårlige svar under pitchen og efter. </t>
  </si>
  <si>
    <t>Rikke L Petersen</t>
  </si>
  <si>
    <t>31 69 60 04</t>
  </si>
  <si>
    <t>https://www.instagram.com/petersenrikkel/</t>
  </si>
  <si>
    <t>Gik direkete på telefonsvarer</t>
  </si>
  <si>
    <t>Mette Vilsen Kragholm</t>
  </si>
  <si>
    <t>24 83 19 85</t>
  </si>
  <si>
    <t>https://www.instagram.com/mettekragholm/</t>
  </si>
  <si>
    <t>Skulle vende den med sin mand</t>
  </si>
  <si>
    <t>Bliver en aaaaalt for lang snak, har svært ved at styre de der sludrechatoler, og holde samtalen på sporet. Får ikke prehandlet ordenligt hun siger tidligt i kaldet hun skal vende den med med manden, men får jeg slet ikke vendt. Får spurgt hende, hvis ansvar det er at tage action på det her, det er hende siger hun, så skulle jeg 100 procent have noteret det med manden "Hvad så i forhold til at vende den med ham</t>
  </si>
  <si>
    <t>Rikke-Cæcilie Kronvold Carlsen</t>
  </si>
  <si>
    <t>27 11 59 56</t>
  </si>
  <si>
    <t>https://www.instagram.com/rikkecaecilie/</t>
  </si>
  <si>
    <t>Liv Bjørn Larsen</t>
  </si>
  <si>
    <t>25 59 89 90</t>
  </si>
  <si>
    <t>https://www.instagram.com/livbjoernlarsen/</t>
  </si>
  <si>
    <t>Var allerede på wegoovy, så havde ikke penge til coaching også. Havde været ved 3 andre coach, som ikke hvad hjulpet hende, så ville meget gerne holde fast i wegoovyen, fordi det var det første som havde hjulpet hende</t>
  </si>
  <si>
    <t xml:space="preserve">Skulle have dykket mere ned i hvorfor hun havde valgt at tage en samtale, nu når hun havde været på 3 andre mislykket forløb, hvorfor hun så tror det her var noget for hende. Hun siger til sidst hun sagde i DM hun ikke havde pengene, så det lød som om det irriterede hende vi ikke havde taget højde for det. </t>
  </si>
  <si>
    <t>Kristian Nordahl Lange</t>
  </si>
  <si>
    <t>23 80 80 16</t>
  </si>
  <si>
    <t>https://www.instagram.com/nordahlkristian/</t>
  </si>
  <si>
    <t>Var meget nervøs for pengene, men fik prehandlet den godt</t>
  </si>
  <si>
    <t>Syntes jeg var rigtig god på det her kald, bragte den hel god energi, var overbevisende og fik prehandlet hans money objection rigtigt og talt ind i hvad der ville være mest værd på sigt, at have det lidt hårdt nu, men kunne have det fucking fedt på den anden side</t>
  </si>
  <si>
    <t>Nina E. Bruun</t>
  </si>
  <si>
    <t>52 39 98 08</t>
  </si>
  <si>
    <t>https://www.instagram.com/ninabruun_solsikkepige_denmark/</t>
  </si>
  <si>
    <t>Hun syntes det var mange penge, men ville være villig til at finde dem</t>
  </si>
  <si>
    <t>Skal styre hende bedre, når hun bare. begynder og snakke om alt muligt andet. Skal komme hurtigere ind på de rigtige spørgsmål, der går alt alt for længe</t>
  </si>
  <si>
    <t>Trine Snitgaard Betzer Nielsen</t>
  </si>
  <si>
    <t>40 79 70 20</t>
  </si>
  <si>
    <t>https://www.instagram.com/trinebnielsen/</t>
  </si>
  <si>
    <t>Sacha Heron</t>
  </si>
  <si>
    <t>44 11 20 36</t>
  </si>
  <si>
    <t>https://www.instagram.com/h_sacha/</t>
  </si>
  <si>
    <t>Kira Theander Price</t>
  </si>
  <si>
    <t>51 70 16 52</t>
  </si>
  <si>
    <t>https://www.instagram.com/kiratheanderpriice/</t>
  </si>
  <si>
    <t>25 69 65 21</t>
  </si>
  <si>
    <t>Nanna Starris-Reiffenstein</t>
  </si>
  <si>
    <t>42 18 03 22</t>
  </si>
  <si>
    <t>https://www.instagram.com/nansen_07/</t>
  </si>
  <si>
    <t>Arsan Pourmozaffari</t>
  </si>
  <si>
    <t>30 30 33 54</t>
  </si>
  <si>
    <t>https://www.instagram.com/arsan.pourmozaffari?igsh=NTd6dHJpcmxuMXIy</t>
  </si>
  <si>
    <t>Mit fokus ligger for meget på at prehandle de objections jeg vidste ville komme i stedet for at dykke ned i hendes pain og virkeligt få hende til at føle den</t>
  </si>
  <si>
    <t>a</t>
  </si>
  <si>
    <t>Kholud El Masri</t>
  </si>
  <si>
    <t>93 84 32 22</t>
  </si>
  <si>
    <t>https://www.instagram.com/kholud_elmasri/</t>
  </si>
  <si>
    <t>Anaa Ramadan</t>
  </si>
  <si>
    <t>22 88 46 33</t>
  </si>
  <si>
    <t>https://www.instagram.com/frk_ramadan?igsh=aGp2cGo1a2kxMXJj</t>
  </si>
  <si>
    <t>Skulle være sikker på hun kunne sige helt ja</t>
  </si>
  <si>
    <t>Skulle have vendt tilbage til det her med hun udsatte tingene og challenge hende på hendes måde at tage beslutninger på</t>
  </si>
  <si>
    <t>Maria Louise Buus Nielsen</t>
  </si>
  <si>
    <t>61 27 02 96</t>
  </si>
  <si>
    <t>https://www.instagram.com/marialouisebuus?igsh=MXEzb3Q5cW5uMjkxeA==</t>
  </si>
  <si>
    <t>Stod midt i en graviditet med kejsersnit, så kunne først være henne i slut januar starte februar</t>
  </si>
  <si>
    <t>Skulle have gjort hendes mål mere specifikt og malet billedet noget bedre. Syntes det var svært ifht. hun stod midt i en graviditet, så er det svært at lave konsekvens ved ikke at tage action fordi hun kan ikke tage action før efter hun har født og kommet sig over sig kejsersnit.</t>
  </si>
  <si>
    <t>Gitte Christensen</t>
  </si>
  <si>
    <t>42 32 89 14</t>
  </si>
  <si>
    <t>https://www.instagram.com/gitte_betinalaulau?igsh=MTMwb29panlnbm12bg==</t>
  </si>
  <si>
    <t>100 procent bs, hun skulle vende den med partner</t>
  </si>
  <si>
    <t>Fik ikke bygget nok pain i starten af kaldet, især i forhold til hvordan hun så ud, og hvorfor hun ikke var tilfreds med det, så var hun bare ikke solgt nok for hun havde pengene, tiden, og det kun var for at informere sin mand, så reelt ikke noget der holdte hende tilbage, men kan jo regne ud der var et eller andet.</t>
  </si>
  <si>
    <t>Dina Alexandra Pedersen</t>
  </si>
  <si>
    <t>53 62 80 49</t>
  </si>
  <si>
    <t>https://www.instagram.com/dinaaa_alexandra/</t>
  </si>
  <si>
    <t>Virkede slet ikke til hun var klar over hvorfor vi sad der</t>
  </si>
  <si>
    <t>Var virkeligt svær at få noget ud af, men ender alligevel med at snakke med hende i 30 minutter, men offer hende aldrig dealen. Skal gerne erkende jeg havde givet op på hende tidligt i kaldet og nok noget hun kunne mærke</t>
  </si>
  <si>
    <t>Lene Bjerre</t>
  </si>
  <si>
    <t>40 33 96 48</t>
  </si>
  <si>
    <t>https://www.instagram.com/bjerre1986/</t>
  </si>
  <si>
    <t>Dejlig snak, kom ind på det som var vigtigt for hende hun blev også rørt på et tidspunkt ifht. hvis hun ikke gjorde noget, så fik gjort det vigtigt for hende, som var vigtigt fordi hun aldrig havde prioriteret sig selv</t>
  </si>
  <si>
    <t>Havde ikke pengene i december, så vi starter hende op til januar</t>
  </si>
  <si>
    <t>Var vigtigt for hende endeligt at gøre noget godt for sig selv. Nu var det på tide</t>
  </si>
  <si>
    <t>Frederik Dalgaard høj</t>
  </si>
  <si>
    <t>42 31 38 59</t>
  </si>
  <si>
    <t>https://www.instagram.com/frederdalgaard/</t>
  </si>
  <si>
    <t>Stephanie Barner Æbeløe Jørgensen</t>
  </si>
  <si>
    <t>60 89 71 08</t>
  </si>
  <si>
    <t>https://www.instagram.com/stephanie_barner/</t>
  </si>
  <si>
    <t>Skulle snakke øknomi med partneren</t>
  </si>
  <si>
    <t xml:space="preserve">Kunne godt at have trukket pain endnu længere ud. Skulle 100 procent have prehandlet partner objectionen, om det var hendes beslutningen eller mandens </t>
  </si>
  <si>
    <t>Alexander</t>
  </si>
  <si>
    <t>23 92 90 71</t>
  </si>
  <si>
    <t>https://www.instagram.com/alexsorensen_?igsh=MXF4NjVuNHQxaGdkbw==</t>
  </si>
  <si>
    <t>Havde ikke et arbejde pt</t>
  </si>
  <si>
    <t>Skulle have prehandlet hans money objection bedre, han stod i en situation hvir han ikke havde et job og lige var flyttet hjemmefra. Skulle virkeligt have taget ham endnu mere ned i pain, så han virkeligt følte den</t>
  </si>
  <si>
    <t xml:space="preserve">Nikolai Holt Petersen </t>
  </si>
  <si>
    <t>51 92 18 24</t>
  </si>
  <si>
    <t>Jeanette</t>
  </si>
  <si>
    <t>24 61 64 25</t>
  </si>
  <si>
    <t>https://www.instagram.com/jeanettegylling?igsh=bGQyeW1wOHJzM3My</t>
  </si>
  <si>
    <t xml:space="preserve">Hun havde noget der hed proteinurin, så meget gerne ville have hun skulle have undersøgt </t>
  </si>
  <si>
    <t>Får ikke holdt godt nok styr på samtalen, hun skulle være ledt meget mere og afbrudt hende, når hun bare begyndt at snakke. Men også en anderledes snak for hun havde den her nyresygdom, så ville ikke kunne sende hende videre med god samvittighed, før det var undersøgt</t>
  </si>
  <si>
    <t>Jan Kenneth Bøge Jensen</t>
  </si>
  <si>
    <t>40 94 14 11</t>
  </si>
  <si>
    <t xml:space="preserve">Han siger mange gange, at han ikke er helt utilfreds, men er utilfreds. Skal være lidt hårdere ved ham der og få ham til at anse, så længe han siger det kan han ikke lave en ændring. </t>
  </si>
  <si>
    <t>Havde ikke pengene nu</t>
  </si>
  <si>
    <t>Skal være meget mere ledende og direkte, i mine samtaler for de er sku begyndt at trække for langt ud. Skulle have fundet mere pain komme med killer spørgsmålet tidligere. Skulle have prehandlet hans money objection, for kunne hører, det godt kunne komme til at ske, fordi han brugte penge hver dag på tanken. Kan sku godt være lidt hårdere</t>
  </si>
  <si>
    <t>Alexander Vibeholm</t>
  </si>
  <si>
    <t>22 58 21 88</t>
  </si>
  <si>
    <t>https://www.instagram.com/alexandervibeholm/</t>
  </si>
  <si>
    <t>Gabriella Mikkelsen</t>
  </si>
  <si>
    <t>42 15 37 43</t>
  </si>
  <si>
    <t>https://www.instagram.com/gabriella_956/</t>
  </si>
  <si>
    <t>Han kvinde af få ord, men fandt pain og prehandlet hendes money concern, som så endte ud i et salg</t>
  </si>
  <si>
    <t>Sara V Macedo</t>
  </si>
  <si>
    <t>53 66 25 26</t>
  </si>
  <si>
    <t>https://www.instagram.com/sara_v_macedo/</t>
  </si>
  <si>
    <t>Syntes det var for mange penge</t>
  </si>
  <si>
    <t>Hun ville give sig i kast med sine egne programmer. Gik ind til samtalen med en dårlig attitude, spørg mig ikke hvorfor havde bare ikke min bedste dag</t>
  </si>
  <si>
    <t>Line Kamstrup</t>
  </si>
  <si>
    <t>61 30 69 27</t>
  </si>
  <si>
    <t>https://www.instagram.com/linekamstrup/</t>
  </si>
  <si>
    <t>Stod ikke selv for sin egen økonomi</t>
  </si>
  <si>
    <t>Vi slår hovederne sammen igen på fredag. Kunne godt have gjort samtalen lidt kortere og ledt hende mere</t>
  </si>
  <si>
    <t>Olga Dmytruk</t>
  </si>
  <si>
    <t>27 57 32 45</t>
  </si>
  <si>
    <t>https://www.instagram.com/olgad_k?igsh=MTRmeXljbTRrNzlvMg==</t>
  </si>
  <si>
    <t>Hun havde penge, men skulle være 100 procent sikker</t>
  </si>
  <si>
    <t>Skal helt klart blive bedre til at stille mere præcise sprøgsmål, og så dykke mere ned i detaljen nærmest diagnosticere ligesom en læge ville gøre det for at finde pain.</t>
  </si>
  <si>
    <t>Albert Fuglsang-Madsen</t>
  </si>
  <si>
    <t>71 48 66 39</t>
  </si>
  <si>
    <t>https://www.instagram.com/fuglsangmadsen/</t>
  </si>
  <si>
    <t>Syntes ikke det var noget for ham</t>
  </si>
  <si>
    <t>Skulle have grebet det fra en anden indgangsvinkel, med at han havde været i gang i et halvt år, hvor han ikke rigtigt havde set nogle resultaer og spørger ind til "Hvad mener du med det? Trækker meget på det når jeg spørger indtil om han er 100 procent tilfreds med spejlbilledet, det skal han udfordres på. Han siger han har det "fint" med hvordan han ser ud, men var sku ikke meget for jeg stillede ham de spørgsmål</t>
  </si>
  <si>
    <t>Tobias Jørgensen</t>
  </si>
  <si>
    <t>21 56 41 05</t>
  </si>
  <si>
    <t>https://www.instagram.com/tonser12/</t>
  </si>
  <si>
    <t>Han kunne ikke starte før d. 22 Januar</t>
  </si>
  <si>
    <t>Vi starter ham på d. 22 januar og er nærmest 100 procent sikker på han kommer i gang. Vi havde en god snak og fik sat nogle gode perspektiver på, så han indså det var vigtigt for ham. Ved ikke om jeg skulle have udfordret ham mere på at han skulle smide penge i dag.</t>
  </si>
  <si>
    <t>Freya Pallesgaard</t>
  </si>
  <si>
    <t>53 27 22 38</t>
  </si>
  <si>
    <t>https://www.instagram.com/msoedorf/</t>
  </si>
  <si>
    <t>Hun havde ikke budgeteret med pengene den her måned men er klar til Januar</t>
  </si>
  <si>
    <t>Hun starter til d. 2 Januar. Skulle have spurgt ind til hvad der kunne ske til januar, så det ikke kunne lade sig gøre, og så bare dobbeldown efter price drop</t>
  </si>
  <si>
    <t>Michelle Sødorf Svendsen</t>
  </si>
  <si>
    <t>22 34 75 80</t>
  </si>
  <si>
    <t>Dea Nordstrøm Ferré</t>
  </si>
  <si>
    <t>23 73 88 14</t>
  </si>
  <si>
    <t>https://www.instagram.com/dunsemarie/</t>
  </si>
  <si>
    <t>Skulle bare lige vende den i hovedet og med manden</t>
  </si>
  <si>
    <t>Skulle bare have fuldt framework, doubledown, value og clarify pengene, og så have brugt det vi gennem gik med fear objection og reframe, men skal gerne indrømme jeg ikke følte mig helt komfortable med at gøre det, fordi jeg ikke havde øvet det og gennemgået det i hovedet. Skulle have brugt den her med "Har du taget en stor beslutning før?" - "Hvordan føles det inde? Hvad så med efter?"</t>
  </si>
  <si>
    <t>Louise Fliis Schwærter</t>
  </si>
  <si>
    <t>52 40 86 87</t>
  </si>
  <si>
    <t>https://www.instagram.com/louiseschwaerter/</t>
  </si>
  <si>
    <t>Det var økonomien der holdte hende igen</t>
  </si>
  <si>
    <t>Finder slet ikke nok pain, syntes det var svært at finde noget, vil faktisk sige det er decideret ringe, men syntes ærligt det var svært med hende. Jeg fik til gengæld øvet det her med hun bare skulle tænke over det. Glemmer desværre det her med, hvad konsekvensen er ved slet ikke at gøre noget. Tænker hvis der var fundet mere pain var hun lukket, for så så hun også mere value i det</t>
  </si>
  <si>
    <t>Berfe Zeynep Sari</t>
  </si>
  <si>
    <t>51 72 25 14</t>
  </si>
  <si>
    <t>https://www.instagram.com/berfezeynep3/</t>
  </si>
  <si>
    <t>Havde ikke mere end 700 kr. her i december</t>
  </si>
  <si>
    <t>Hun kunne kun smide 700 kr. nu her og så betaler hun resten af opstarten og for først måned, en måned fra nu</t>
  </si>
  <si>
    <t>https://www.instagram.com/nansen_07?igsh=MTY1ajVyY3p6dDhjdA==</t>
  </si>
  <si>
    <t>Ann Michelle Woltemaht</t>
  </si>
  <si>
    <t>61 33 37 22</t>
  </si>
  <si>
    <t>https://www.instagram.com/woltemaht?igsh=c2czNGF3eTQyYzYy</t>
  </si>
  <si>
    <t>Trine Mortensen</t>
  </si>
  <si>
    <t>21 51 37 51</t>
  </si>
  <si>
    <t>https://www.instagram.com/gnominden/</t>
  </si>
  <si>
    <t>Pengene der holdte hende tilbage</t>
  </si>
  <si>
    <t>Får ikke fundet nok pain, følte mig træt og lidt ugidelig her til først kald, hvilket gjorde jeg ikke fik fik fundet nok pain og bygget nok value. Syntes sku selv det lød til for robotagtigt, der var ikke rigtigt flow i samtalen, blev mere et interview end en samtale.</t>
  </si>
  <si>
    <t>Elisabeth Ryaa</t>
  </si>
  <si>
    <t>26 54 60 86</t>
  </si>
  <si>
    <t>https://www.instagram.com/ryaa32/</t>
  </si>
  <si>
    <t>Var urokkelig skulle vende den med manden</t>
  </si>
  <si>
    <t>Syntes det er en hård fin balance ar finde i forhold til at presse på i objectionhandling, valgte at gå med mavefornemmelse at hun bare lige skulle informere manden om inden hun brugte penge. Vi har aftalt at sætte det hele op på søndag kl 9</t>
  </si>
  <si>
    <t>Kenneth Nørgaard Jensen</t>
  </si>
  <si>
    <t>31 55 50 41</t>
  </si>
  <si>
    <t>https://www.instagram.com/knj_87/</t>
  </si>
  <si>
    <t>Sille</t>
  </si>
  <si>
    <t>20 36 61 20</t>
  </si>
  <si>
    <t>https://www.instagram.com/sille07/</t>
  </si>
  <si>
    <t>Hun var meget det der med, jeg er jo okay tilfreds, og så slemt er det ikke, så jeg kaldte hende bare ud på det, og så kunne hun jo egenligt godt set det selv</t>
  </si>
  <si>
    <t>Helena Olsen</t>
  </si>
  <si>
    <t>22 27 57 23</t>
  </si>
  <si>
    <t>https://www.instagram.com/helenaaaolsen/</t>
  </si>
  <si>
    <t>Pernille</t>
  </si>
  <si>
    <t>27 62 43 49</t>
  </si>
  <si>
    <t>https://www.instagram.com/pernille_upside_down/</t>
  </si>
  <si>
    <t>Anja Kristensen</t>
  </si>
  <si>
    <t>20 40 44 01</t>
  </si>
  <si>
    <t>https://www.instagram.com/anjakristensen6/</t>
  </si>
  <si>
    <t>Hun sagde mange gange, hun egenligt godt vidste, hvad der skulle til, fordi hun selv var coach, så spurgt hende også rigtigt mange gange, hvorfor hun så har brug for hjælp</t>
  </si>
  <si>
    <t>Cecilie Kjær</t>
  </si>
  <si>
    <t>26 19 67 80</t>
  </si>
  <si>
    <t>https://www.instagram.com/cecilie_t_kjaer?igsh=MTF6b2M3OGgwY2x3eA==</t>
  </si>
  <si>
    <t>Maria Koll</t>
  </si>
  <si>
    <t>25 14 95 18</t>
  </si>
  <si>
    <t>https://www.instagram.com/m_koll/</t>
  </si>
  <si>
    <t>Det var for mange penge her i december måned, men er klar til januar</t>
  </si>
  <si>
    <t>Hun havde ikke penge lige nu, men sagde hun var totalt klar til januar, så gik efter deposit til Januar. Spurgte hende flere gange om hun var sikker om det kunne lade sig gøre til januar, og hvordan det føles at have taget den her beslutning. Så har ro i maven, om hun nok skal betale til Januar</t>
  </si>
  <si>
    <t>Johnny Bech Jensen</t>
  </si>
  <si>
    <t>42 18 67 17</t>
  </si>
  <si>
    <t>https://www.instagram.com/johnnybechjensen8230/</t>
  </si>
  <si>
    <t>Betina</t>
  </si>
  <si>
    <t>93 10 11 22</t>
  </si>
  <si>
    <t>https://www.instagram.com/laerkeredensunivers/</t>
  </si>
  <si>
    <t>Havde simpelthen ikke pengene</t>
  </si>
  <si>
    <t>Går lidt for lang tid før, jeg stiller de svære spørgsmål. Får ikke prehandlet hendes money objection ordenligt, skulle jeg have gjort bedre. Skulle have spurgt mere konkret hvad hendes penge går til, og kommer også til at handle for meget om pengene</t>
  </si>
  <si>
    <t>Bitten Boelt Nielsen</t>
  </si>
  <si>
    <t>23 29 16 49</t>
  </si>
  <si>
    <t>https://www.instagram.com/bittenboelt/</t>
  </si>
  <si>
    <t>Gav hende sygt meget kontrol, skulle nærmest ikke spørge hende, hun kom bare med alt selv, så spurgte bare hvorfor det var vigtigt for hende og så konsekvesen ved ikke at komme i mål. Så også spørge indtil hvorfor vi så sidder her, hvis hun har prøvet så mange forskellige coaches</t>
  </si>
  <si>
    <t>Sabine Hjorth Jensen</t>
  </si>
  <si>
    <t>31 13 84 07</t>
  </si>
  <si>
    <t>https://www.instagram.com/sabine5026/</t>
  </si>
  <si>
    <t>Syntes jeg gjorde det virkeligt godt på det her kald fik hende solgt, fik klaret de objections hun kom med. Fulgte bare frameworket til punkt og prikke og sørgede for at være totalt hjælpende. Er sku stolt af mig selv efter det her kald</t>
  </si>
  <si>
    <t>Henrik</t>
  </si>
  <si>
    <t>50 73 56 58</t>
  </si>
  <si>
    <t>https://www.instagram.com/henrikt2000/</t>
  </si>
  <si>
    <t>Han sagde det var pengene, men var i bund og grund value</t>
  </si>
  <si>
    <t>Får ærligt ikke solgt ham godt nok, får ikke nok pain ud af ham, som gør at han ikke ser value i det, og derfor ikke er villig til at købe. Så discoveryen skal ses igennem, for hvad der kunne gøres anderledes</t>
  </si>
  <si>
    <t>Emma</t>
  </si>
  <si>
    <t>30 12 40 39</t>
  </si>
  <si>
    <t>https://www.instagram.com/emmawolf.farbaek/</t>
  </si>
  <si>
    <t>Trine Haboe la Cour</t>
  </si>
  <si>
    <t>50 59 66 90</t>
  </si>
  <si>
    <t>https://www.instagram.com/trinehaboelacour/</t>
  </si>
  <si>
    <t>Hun har en baby på armen, så kunne ikke gennemfører snakker så ringer til hende igen d. 29. Endte aldrig med at pitche</t>
  </si>
  <si>
    <t>Skulle have holdt samtlane kortere, og bryde noget mere ind når hun snakkede lort. Nåede ikke at pitche for hende og hun havde gang i alle mulige ting imens, fordi babyen vågnede. Vil gerne have en rutine, der passede til hende som hjemmegående mor på barsel med 2 smål børn, så hun kunne få noget mere overskud og energi, og ikke være den her sure mor</t>
  </si>
  <si>
    <t>Simone Dyveke Damgaard Jensen</t>
  </si>
  <si>
    <t>20 94 51 84</t>
  </si>
  <si>
    <t>https://www.instagram.com/simoneddj/</t>
  </si>
  <si>
    <t>Hun syntes det var mange penge</t>
  </si>
  <si>
    <t xml:space="preserve">Får det ikke gjort håndgribeligt nok og får et specifikt nok mål, det bliver for fluffy, det bliver ikke vigtigt nok </t>
  </si>
  <si>
    <t>Syntes det var en svært samtale, ikke lige en avatar jeg var vant til at snakke med. Han stod allerede godt trænede 6 gange om ugen gik meget op i kosten, og syntes egenligt ikke han vil bruge penge på det når han allerede så resultater. Så syntes det var svært at finde pain, som jeg heller ikke rigtigt får gjort</t>
  </si>
  <si>
    <t>Mathias Tobiesen</t>
  </si>
  <si>
    <t>22 16 18 62</t>
  </si>
  <si>
    <t>https://www.instagram.com/mtobiesen_/</t>
  </si>
  <si>
    <t>Jeannet</t>
  </si>
  <si>
    <t>61 70 83 16</t>
  </si>
  <si>
    <t>https://www.instagram.com/jeannet_707/</t>
  </si>
  <si>
    <t>Stod ikke selv for sin økonomi, skulle snakke med sin vejleder</t>
  </si>
  <si>
    <t>Stod desværre ikke selv for sit budget, så kunne hverken sige ja eller nej. Skulle dykke med ned i pain og virkeligt få hende til at føle din, og få det til at blive mere flydende</t>
  </si>
  <si>
    <t>Anton Emil Christensen</t>
  </si>
  <si>
    <t>24 97 33 22</t>
  </si>
  <si>
    <t>https://www.instagram.com/antonemil.ch/</t>
  </si>
  <si>
    <t>Kunne ikke få ham til at tage beslutningen</t>
  </si>
  <si>
    <t>Skulle have fundet endnu dybere pain. Han smed alle objections efter mig, så kom ned til noget frygt. Skulle have udfordet ham på "hvis du fortæller dig selv du ikke kan tage beslutninger, så er det jo sådan det bil blive".</t>
  </si>
  <si>
    <t>Jesper Boelt Johnsen</t>
  </si>
  <si>
    <t>42 42 53 61</t>
  </si>
  <si>
    <t>https://www.instagram.com/jesper_boelt/</t>
  </si>
  <si>
    <t>Ville rigtigt gerne snakke med forældrene, men fik ham til at sende 1500 alligvel</t>
  </si>
  <si>
    <t>Synts jeg virkede lidt rusten og stillede nogle halv dårlige spørgsmål undervejs, men gik jo godt alligevel</t>
  </si>
  <si>
    <t>Lærke Bøgehave Kristiansen</t>
  </si>
  <si>
    <t>27 19 49 77</t>
  </si>
  <si>
    <t>https://www.instagram.com/laerke_boegehave/</t>
  </si>
  <si>
    <t>Kunne ikke finde pengene</t>
  </si>
  <si>
    <t>Får slet ikke gjort det vigtigt nok for hende, og finder hendes pain, skal udfordre hende mere, når hun kommer med vage svar</t>
  </si>
  <si>
    <t>Christeen Jacoub</t>
  </si>
  <si>
    <t>52 11 61 73</t>
  </si>
  <si>
    <t>https://www.instagram.com/christeenjacoub/</t>
  </si>
  <si>
    <t>Skulle tjekke budgettet</t>
  </si>
  <si>
    <t>Syntes det er svært med det her, når de siger de ikke har pengene, men i sidste ende er det fordi jeg ikke får bygget nok value op for dem. Har Pcos, insulin resistent</t>
  </si>
  <si>
    <t>Malin C. Dagenborg Christensen</t>
  </si>
  <si>
    <t>50 11 86 18</t>
  </si>
  <si>
    <t>https://www.instagram.com/mcatrine/</t>
  </si>
  <si>
    <t>Pengene holdt hende tilbage efter nogle svære år</t>
  </si>
  <si>
    <t>Bliver en alt for lang snak med, at hun bare yapper, ved ikke hvorfor jeg ikke bare bryder ind, det bliver hele tiden med jeg skal trække samtalen tilbage til det vigtige, som bare gør, at hun ikke kommer til at føle den, og så ved jeg ikke hvorfor jeg ikke bare følger frameworket, da hun så hører prisen, det er jo snot dumt. For ved jo det virker, tror bare jeg syntes snakken allerede havde været alt for lang. Skal bare følge det hver evigt eneste gang</t>
  </si>
  <si>
    <t>Daniel Lund Christensen</t>
  </si>
  <si>
    <t>30 27 66 04</t>
  </si>
  <si>
    <t>https://www.instagram.com/daniellundchristensen/</t>
  </si>
  <si>
    <t>Var sku nærmest presold og havde besluttet sig på forhånd, fik ham bare solgt endnu mere</t>
  </si>
  <si>
    <t>Amalie Høyrup-Andreasen</t>
  </si>
  <si>
    <t>28 89 69 67</t>
  </si>
  <si>
    <t>https://www.instagram.com/amaliehoeyrup/</t>
  </si>
  <si>
    <t>Skulle kigge økonomi</t>
  </si>
  <si>
    <t>Følger jeg har svært ved at finde nok pain på de her kald med "good to great" prospects, for får ikke bygget nok value for dem</t>
  </si>
  <si>
    <t>Online coaching var ikke det rigtige for ham, hvis jeg skal være ærlig. Havde tidligere haft en spiseforstyre, så det her med struktur omkring træning og kost kunne han slet ikke arbejde med i hovedet. Det han havde brug for var nærmere end psykolog</t>
  </si>
  <si>
    <t>Jonas Sørensen</t>
  </si>
  <si>
    <t>50 54 20 05</t>
  </si>
  <si>
    <t xml:space="preserve">Skulle tænke over det </t>
  </si>
  <si>
    <t>Søren Glinvad</t>
  </si>
  <si>
    <t>51 34 25 22</t>
  </si>
  <si>
    <t>https://www.instagram.com/s_glinvad/</t>
  </si>
  <si>
    <t>Theis Schiødts</t>
  </si>
  <si>
    <t>42 43 85 13</t>
  </si>
  <si>
    <t>https://www.instagram.com/thjeis69/</t>
  </si>
  <si>
    <t>Havde ikke penge før d. 1 februar</t>
  </si>
  <si>
    <t>Er nervøs for han ikke ender med at betale, for han nævnte han var ved at blive udredt for nogle ting. Men spurgte ham flere gange om han havde pengene, der til februar hvor han svarede ja, så nu må vi se</t>
  </si>
  <si>
    <t>Marko Marojevic</t>
  </si>
  <si>
    <t>42 36 79 55</t>
  </si>
  <si>
    <t>https://www.instagram.com/markomarojevic92/</t>
  </si>
  <si>
    <t>Magnus N Nielsen</t>
  </si>
  <si>
    <t>22 73 62 11</t>
  </si>
  <si>
    <t>https://www.instagram.com/magnus.kvist/</t>
  </si>
  <si>
    <t>Han havde en anden samtale linet op med en anden coach senere i dag</t>
  </si>
  <si>
    <t>Er usikker på hvordan jeg skal finde pain i sådan et prospect som ham, om fokus skal være på at finde den dybde pain, eller om fokus skal ligge på det her med at hvorfor at være average ikke er godt nok til ham. Det var det sidste mit fokus lå på til den her samtale</t>
  </si>
  <si>
    <t>Julia</t>
  </si>
  <si>
    <t>42 43 05 05</t>
  </si>
  <si>
    <t>https://www.instagram.com/juliahansen111/</t>
  </si>
  <si>
    <t>Så ikke værdien i det følte godt hun kunne selv, men skulle bare tage sig sammen</t>
  </si>
  <si>
    <t>Sagde nej hun syntes det var for mange penge. Skulle have fået langt mere pain, hver gang hun sagde noget trak hun i land kaldte hende også flere gang ud på dansker-menataliteten, men blev ved med at køre i det her med hun ikke var tilfreds, hun ville bare være helt tilfreds. Kunne ikke få hende ud af det tankemønster, men i bund og grund får jeg ikke bygget nok værdi op for hende</t>
  </si>
  <si>
    <t>Dorthe Pernille Nielsen</t>
  </si>
  <si>
    <t>30 89 13 56</t>
  </si>
  <si>
    <t>https://www.instagram.com/dopernie/</t>
  </si>
  <si>
    <t>En blanding af mange penge og partner</t>
  </si>
  <si>
    <t>Syntes ikke der var det bedste flow samtalen, kunne godt have fundet endnu dybere pain selvom jeg finder en del. Syntes det er virkeligt svært i forhold til dem her der tidligt nævner pengene er et problem</t>
  </si>
  <si>
    <t>Christine Kristensen</t>
  </si>
  <si>
    <t>52 11 00 61</t>
  </si>
  <si>
    <t>https://www.instagram.com/_christinek/</t>
  </si>
  <si>
    <t>Ville være et dårligt fit, lød til hun havde noget spiseforstyrrelse der ikke var blevet diagnositseret. Hun siger hun nærmest kunne gå flere dage uden at spise, og bare fik kvalme ved at kigge på mad. Ville ikke med god samvittighed kunne starte hende op</t>
  </si>
  <si>
    <t>Peter Stuhr Hollænder</t>
  </si>
  <si>
    <t>31 16 25 37</t>
  </si>
  <si>
    <t>https://www.instagram.com/peterstuhr/</t>
  </si>
  <si>
    <t>Stine Kelly</t>
  </si>
  <si>
    <t>28 93 38 52</t>
  </si>
  <si>
    <t>https://www.instagram.com/kellymoren/</t>
  </si>
  <si>
    <t xml:space="preserve">Skulle bare tænke over det </t>
  </si>
  <si>
    <t>Skulle 100 p have fundet mere pain, og spurgt ind til det her med spejlbillede (rookie mistake) syntes ellers jeg har en kanon startvar udfordende, stillede gode spørgsmål. Ville ikke have hun skulle føle sig presset og hun sagde selv vi starter i morgen, men nu må vi se om jeg er for godtroende. Skulle have kørt reframen i forhold til det her med at tage store beslutninger.</t>
  </si>
  <si>
    <t>Emma Søgaard Jensen</t>
  </si>
  <si>
    <t>40 62 03 56</t>
  </si>
  <si>
    <t>Får stillet hende de helt rigtige spørgsmål, som gør hun blive virkeligt rørt, og så sælger jeg hende bare fucking godt</t>
  </si>
  <si>
    <t>Nikolaj</t>
  </si>
  <si>
    <t>42 51 42 53</t>
  </si>
  <si>
    <t>Skulle finde ud af om det kunne lade sig gøre</t>
  </si>
  <si>
    <t>Lost lead jeg aldrig fik snakket med, men som skrev efter jeg havde sendt ham en del beskeder, så tog snakken med ham. Var svært at få pain ud af ham, fik ikke ham selv til at sætte ord på hvorfor han ikke var tilfreds, men lagde meget vægt på det her med han var average. Skulle også have ham til at sætte flere ord på dreamstate</t>
  </si>
  <si>
    <t>Sarah Lee Wolff Beck</t>
  </si>
  <si>
    <t>30 48 53 66</t>
  </si>
  <si>
    <t>https://www.instagram.com/sarahleebeck/</t>
  </si>
  <si>
    <t>Vi kommer skævt ind på hinanden til at starte på føler hun var helt delusional og havde virkeligt svært ved at få hende ned på jorden, så det blev en lang snak og havde så svært ved at få pain ud af hende.</t>
  </si>
  <si>
    <t>Adam Lund Jensen</t>
  </si>
  <si>
    <t>28 61 59 09</t>
  </si>
  <si>
    <t>https://www.instagram.com/adamlundjensen/</t>
  </si>
  <si>
    <t>Var kun på SU, og kunne først starte, når han havde fundet en læreplads</t>
  </si>
  <si>
    <t>Er i tvivl om, hvordan jeg skal handle sådan en, når han allerede på starten af kaldet siger han er nødt til at vente indtil han har en læreplads. Kunne selv udfordre ham mere på og gennemgået framework</t>
  </si>
  <si>
    <t>Tobias</t>
  </si>
  <si>
    <t>42 68 05 38</t>
  </si>
  <si>
    <t>https://www.instagram.com/tobiasvlund/</t>
  </si>
  <si>
    <t>Vi vibede godt og fik ham bare solgt sindsygt godt, sikker på jeg godt kunne have fået ham til at sætte endnu flere ord på sin pain.</t>
  </si>
  <si>
    <t>Maya Nicholls</t>
  </si>
  <si>
    <t>52 42 12 01</t>
  </si>
  <si>
    <t>https://www.instagram.com/nicholls90/</t>
  </si>
  <si>
    <t>En god blanding af penge og fear</t>
  </si>
  <si>
    <t>Bliver en meget coachende samtale med mange perspektiver og reframes, ender med samtalen bliver for lang, hun kommer med en masse objections, som leder mig på vildspor for følger ikke frame work, går direkete i fear objections selvom jeg først skal krydes value og money af</t>
  </si>
  <si>
    <t>Kenneth Da Silva Nielsen</t>
  </si>
  <si>
    <t>22 54 10 67</t>
  </si>
  <si>
    <t>https://www.instagram.com/silva.beatbox/</t>
  </si>
  <si>
    <t>Havde haft dårlige oplevelser med andre forløb</t>
  </si>
  <si>
    <t>Skal virkeligt dykke ned i hans pain mere og virkeligt grave, og få ham til at se, hvad der sker hvis han ikke gør noget og hvordan det vil være.</t>
  </si>
  <si>
    <t>Christopher Maersk Grau Poulsen</t>
  </si>
  <si>
    <t>81 73 50 99</t>
  </si>
  <si>
    <t>https://www.instagram.com/christopher.maersk?igsh=M2pqZDVvYXV4d3Iw</t>
  </si>
  <si>
    <t>Pengene da han var på SU</t>
  </si>
  <si>
    <t>Han er meget fokuseret på han syntes det er dyrt. Får ikke prehandlet hans money objection godt nok (Noget jeg skal have fokus på at blive bedre til). Da det så kommer til objection handling ved jeg jo godt han ikke ender med at købe, skal have lavet en langt bedre struktur i forhold til netop objection handling, så jeg gør det samme hver gang. I stedet for at flyve rundt</t>
  </si>
  <si>
    <t>Kira S. Bengtsson</t>
  </si>
  <si>
    <t>60 38 21 31</t>
  </si>
  <si>
    <t>https://www.instagram.com/ks.bengtsson/</t>
  </si>
  <si>
    <t xml:space="preserve">Skulle bare tygge på den </t>
  </si>
  <si>
    <t xml:space="preserve">Skal blive langt skarpere i objection handlingen. Ved der er et eller andet hun siger som jeg ikke får fundet, og er det som holder hende tilbage. hun siger tidligt på kaldet hun har svært ved at prioritere sig selv, det er klart en jeg skal gribe </t>
  </si>
  <si>
    <t>Majken Christensen</t>
  </si>
  <si>
    <t>50 62 59 52</t>
  </si>
  <si>
    <t>https://www.instagram.com/majkenchristensen03/</t>
  </si>
  <si>
    <t>Cecilie Nielsen</t>
  </si>
  <si>
    <t>23 41 04 41</t>
  </si>
  <si>
    <t>Hendes pain var ikke hvordan hun så ud, hendes pain var ikke at komme i mål med det hun satte sig for. Så fik jeg pre-handled hendes money objection ret godt!</t>
  </si>
  <si>
    <t>Linnea Annastacia Kinslev</t>
  </si>
  <si>
    <t>61 54 66 32</t>
  </si>
  <si>
    <t>https://www.instagram.com/linnea_0752/</t>
  </si>
  <si>
    <t>Havde ikke pengene selv, så skulle snakke med kæresten</t>
  </si>
  <si>
    <t>Kun ikke lade sig gøre med mindre hun fik økonomisk støtte fra kærsten, syntes jeg finder pain, det var bare en reel objection</t>
  </si>
  <si>
    <t>60 15 87 46</t>
  </si>
  <si>
    <t>https://www.instagram.com/malouhoegenhaven?igsh=ZTlmc3lwZW0zNzY0</t>
  </si>
  <si>
    <t>Starter til Februar</t>
  </si>
  <si>
    <t>Thomas Zanchetta</t>
  </si>
  <si>
    <t>60 89 03 99</t>
  </si>
  <si>
    <t>https://www.instagram.com/thomaszanchetta?igsh=MTJjdzBobTk1ZDcydA==</t>
  </si>
  <si>
    <t>Han havde pengene, men kunne bare ikke tage en beslutning</t>
  </si>
  <si>
    <t>Sille Ehlers Bonne</t>
  </si>
  <si>
    <t>60 35 16 17</t>
  </si>
  <si>
    <t>https://www.instagram.com/sillebonne/</t>
  </si>
  <si>
    <t>Hun var bare klar til at gøre, noget prøvede også at disqualify hende nogle gange, som jo så gjorde hun bare solgt sig selv endnu mere</t>
  </si>
  <si>
    <t>Det handlede mere for hende om at tage beslutning, det var det svære for hende, at comitte sig, men fik stillet hende de rigtigte spørgsmål</t>
  </si>
  <si>
    <t>Michael Holme</t>
  </si>
  <si>
    <t>30 33 93 77</t>
  </si>
  <si>
    <t>https://www.instagram.com/holmegopro/</t>
  </si>
  <si>
    <t>Ville det have på mail</t>
  </si>
  <si>
    <t>Syntes ikke vi connecter alt for godt, så viben er der ikke helt, han bliver træt af min spørgsmål. Følte ikke jeg havde nok autoritet på kaldet, for skulle klart have trukket den ud, skal ærligt godt sige jeg følte mig som en pussy</t>
  </si>
  <si>
    <t>Steven</t>
  </si>
  <si>
    <t>21 35 79 11</t>
  </si>
  <si>
    <t>https://www.instagram.com/steven_t_hertz/</t>
  </si>
  <si>
    <t>Simon Nielsen</t>
  </si>
  <si>
    <t>25 29 48 67</t>
  </si>
  <si>
    <t>https://www.instagram.com/simon_nielsen_2000?igsh=dHE3ZWM0cm04Y3li</t>
  </si>
  <si>
    <t>Christina Hermansen</t>
  </si>
  <si>
    <t>25 30 88 84</t>
  </si>
  <si>
    <t>https://www.instagram.com/_scubamermaid_/</t>
  </si>
  <si>
    <t>Manglede et job, men sagde hun var klar når hun fik</t>
  </si>
  <si>
    <t>Var ikke rigtigt med på det var hendes egen ide, med hun skulle på forløb, så det arbejde vi lidt med, kørte den så langt jeg kunne havde et kald lige efter. Havde svært ved at finde pain ved hende</t>
  </si>
  <si>
    <t>Oscar Dall</t>
  </si>
  <si>
    <t>30 74 37 00</t>
  </si>
  <si>
    <t>https://www.instagram.com/oscar.dall_?igsh=eTJ4c240YXZ2cGpo</t>
  </si>
  <si>
    <t>Var i tvivl om han kunne selv</t>
  </si>
  <si>
    <t xml:space="preserve">Skulle have fået mere pain ud af ham findet det egenligt, men så svarer han ikke ordenligt på min spørgsmål og snakker uden om </t>
  </si>
  <si>
    <t>Oliver Svensson</t>
  </si>
  <si>
    <t>60 48 47 15</t>
  </si>
  <si>
    <t>https://www.instagram.com/oliverhallsvensson?igsh=MXZwdXN1Z3l0ZDlpZQ==</t>
  </si>
  <si>
    <t>Betina Hammelsvang</t>
  </si>
  <si>
    <t>31 77 09 93</t>
  </si>
  <si>
    <t>https://www.instagram.com/betinahammelsvang/</t>
  </si>
  <si>
    <t>Skulle finde ud af om hun havde pengene</t>
  </si>
  <si>
    <t>Skulle have lagt mere vægt på, hvad hvis hun ikke gjorde noget, da jeg objection handlede, så hun så endnu mere af værdien i det</t>
  </si>
  <si>
    <t>Sarah Pedersen</t>
  </si>
  <si>
    <t>40 24 26 15</t>
  </si>
  <si>
    <t>https://www.instagram.com/sarah__pedersen_/</t>
  </si>
  <si>
    <t>Hun skulle have støtte fra sin kæreste</t>
  </si>
  <si>
    <t>Får fundet ud af hun har en opsparring og har pengene til det, hun skal også bare have manden med på vognen. Skal blive bedre til at bruge det hun har sagt tidligere som ammo. Ved hun er dårligt til at pritoitere sig selv og udsætter tingene. Det skal jeg 100 procent bruge f.eks "Er det ikke den her adfærd, der vender tilbage, med du udskyder det og du ikke prioritere dig selv?"</t>
  </si>
  <si>
    <t>Heidi Valentin</t>
  </si>
  <si>
    <t>60 78 96 98</t>
  </si>
  <si>
    <t>https://www.instagram.com/heidi_valentin87/</t>
  </si>
  <si>
    <t>Hun havde simpelthen bare ikke pengene</t>
  </si>
  <si>
    <t xml:space="preserve">Har svært ved at få pain ud af hende, for hun føler hun har styr på det, får hende så til at indse det har hun ikke, men går for lang tid før jeg gør. </t>
  </si>
  <si>
    <t>Martin Skoubo</t>
  </si>
  <si>
    <t>28 94 98 69</t>
  </si>
  <si>
    <t>https://www.instagram.com/ma_skoubo/</t>
  </si>
  <si>
    <t>Han havde en overrevet skulder og kendt slet ikke situationen eller havd enogen tidshorsiont på det. Så vi har aftalt at holde hinanden opdateret</t>
  </si>
  <si>
    <t>Gustav Hallas</t>
  </si>
  <si>
    <t>91 56 71 17</t>
  </si>
  <si>
    <t>https://www.instagram.com/gustav_hallas/</t>
  </si>
  <si>
    <t>Virkeligt et godt kald, får fundet hans pain og han vil bare super gerne, kommer alligvel med en concern, hvor han ville vende den med mutti, men fik double-down og snakket økonomi og fortalte ham han kunne spare 2000 ved at betale det hele på en gang</t>
  </si>
  <si>
    <t>Julie Hoffmann Frederiksen</t>
  </si>
  <si>
    <t>21 68 18 22</t>
  </si>
  <si>
    <t>https://www.instagram.com/_.juwels/</t>
  </si>
  <si>
    <t>Havde ikke penge før d. 30 januar</t>
  </si>
  <si>
    <t>Emil Jens Christensen</t>
  </si>
  <si>
    <t>27 40 32 05</t>
  </si>
  <si>
    <t>https://www.instagram.com/losemilos40?igsh=MWd1NGQyN24yZGNwYg==</t>
  </si>
  <si>
    <t>Vægtede kørekort højere</t>
  </si>
  <si>
    <t>Slukke have fået ham til at sætte endnu flere ord på hans pain, for endte med han ikke så nok værdi i det</t>
  </si>
  <si>
    <t>Niklas Holm</t>
  </si>
  <si>
    <t>61 71 14 15</t>
  </si>
  <si>
    <t>https://www.instagram.com/niklasholm_/</t>
  </si>
  <si>
    <t>Syntes det var mange penge, og om det var det værd</t>
  </si>
  <si>
    <t>Skal handle ham langt bedre til sidste, har ikke fået skabt nok værdi igennem kaldet ellers havde han jo købt</t>
  </si>
  <si>
    <t>Lasse Lund Hansen</t>
  </si>
  <si>
    <t>27 84 74 99</t>
  </si>
  <si>
    <t>https://www.instagram.com/lasselundhansen9?igsh=Z2NyMTRvczhoM2dn</t>
  </si>
  <si>
    <t>Havde sindsygt meget pain, Han havde virkeligt svært ved at tage beslutningen og gik vildt meget op i pengene, så var svært at trække sig væk fra det. Tror han havde nogle penge der kunne prioriteres anderledes. Fandt painen, men fik ikke hjulepet ham nok med at tage en beslutning</t>
  </si>
  <si>
    <t>Emma Julie Olafsen</t>
  </si>
  <si>
    <t>91 56 24 18</t>
  </si>
  <si>
    <t>https://www.instagram.com/emmaju2/</t>
  </si>
  <si>
    <t xml:space="preserve">Blev overvældet af det bare lød som noget for hende så lagde på </t>
  </si>
  <si>
    <t>Hun ville vildt gerne, og havde sagt ja og bookede hende ind til en snak med Daniel, men så var hun langsom om at få betalt og lagde så på fordi hun var flov over at sige ja, men så ikke kunne alligvel</t>
  </si>
  <si>
    <t>Line Frederiksen</t>
  </si>
  <si>
    <t>27 62 05 16</t>
  </si>
  <si>
    <t>https://www.instagram.com/linehalling/</t>
  </si>
  <si>
    <t>Victor Fryland</t>
  </si>
  <si>
    <t>30 27 27 90</t>
  </si>
  <si>
    <t>https://www.instagram.com/victor_fryland?igsh=NGQxZm43MHZrdTdp</t>
  </si>
  <si>
    <t>Har betalt opstart betaler for første måned d. 1 februar, han var bare mega klar, prøvede at disqualify ham en del gange, som gjorde han bare snakkede sig selv mere ind i det</t>
  </si>
  <si>
    <t>Mikkel Lindskov Brentegani</t>
  </si>
  <si>
    <t>52 17 74 83</t>
  </si>
  <si>
    <t>https://www.instagram.com/mikkelbrentegani/</t>
  </si>
  <si>
    <t xml:space="preserve">Vi gennemgik økonomien, men pengene var der ikke </t>
  </si>
  <si>
    <t>Syntes jeg fandt virkeligt meget pain, vi gennemgik også økonomien, men penge var bare ikke til det som det så ud, så er i tvivle om hvad jeg ellers skulle have gjort, selvom jeg godt ved et kaldt aldrig er perfekt, man kan altid gøre noget bedre</t>
  </si>
  <si>
    <t>Mia</t>
  </si>
  <si>
    <t>42 92 40 32</t>
  </si>
  <si>
    <t>https://www.instagram.com/miadalhauge?igsh=MWtma2tlemw1ZDZodA==</t>
  </si>
  <si>
    <t>Christina</t>
  </si>
  <si>
    <t>27 13 82 34</t>
  </si>
  <si>
    <t>https://www.instagram.com/luksuskokkener?igsh=MWpyeTY4dmVjbWZnNw==</t>
  </si>
  <si>
    <t>Lod hende slippe, troede oprigtigt på hende, så må vi se om hun røvrender mig</t>
  </si>
  <si>
    <t>Vi har aftalt, at få hende i gang i morgen. Fandt super meget pain. Min mavefornemmelse sagde mig hun havde brug for space til at tage beslutningen, så det gjorde jeg i stedet for at presse hende ind i et hjørne, tager det 100 procent på min kappe, hvis hun så ghoster. Kunne fået krydset nogle flere bokse af, med value og om hun havde pengene, før jeg lod hende gå</t>
  </si>
  <si>
    <t>Kokulan Komathithevan</t>
  </si>
  <si>
    <t>42 32 23 14</t>
  </si>
  <si>
    <t>https://www.instagram.com/mrkokulan/</t>
  </si>
  <si>
    <t>Havde samtale med 2 andre coaches, som han havde opsøgt først selv, før "Daniel" strøg ind i indbakken</t>
  </si>
  <si>
    <t>Var aller mest interesseret i en fysisk træner, prøvede at forklare ham det kun var en ingrediens, men han tror ikke helt han købte denog så havde han de her 2 andre samtler efterfølgende</t>
  </si>
  <si>
    <t>Ida Friis Anker</t>
  </si>
  <si>
    <t>22 96 15 12</t>
  </si>
  <si>
    <t>https://www.instagram.com/ida_friis_anker/</t>
  </si>
  <si>
    <t>Skulle vende den med manden</t>
  </si>
  <si>
    <t>Får ikke kørt min partner objecjtion, snakker med sin manden i dag, coachede ham i hvordan han skulle sige det til manden, så vi fik ham med på vognen</t>
  </si>
  <si>
    <t>Hamit Tugay Cem Erarslan</t>
  </si>
  <si>
    <t>20 81 70 53</t>
  </si>
  <si>
    <t>https://www.instagram.com/hamit_tugaycemerarslan/</t>
  </si>
  <si>
    <t>Aftalt vi får ham i gang i morgen</t>
  </si>
  <si>
    <t>Syntes det er lidt et "double edge sword" med at pitche premium, fordi ham her vil aller helst have premium og heller vente, til han kan få det til at lade sig gøre end at start på signatur. Blev også en alt for lang snak. Vi har aftalt at få ham i gang i morgen, enten på premium om 3 måneder, pga han havde et kørekort, vil selvfølgelig helst have ham i gang på signatur så vi kan gøre det med det samme</t>
  </si>
  <si>
    <t>Ninna Nygaard</t>
  </si>
  <si>
    <t>30 59 02 09</t>
  </si>
  <si>
    <t>https://www.instagram.com/ninna_nygaard/</t>
  </si>
  <si>
    <t>Fejler med at ikke finde ret meget, pain lægger mere fokus hvorfor hun søger hjælp når hun allerede havde været på flere forskellige forløb. Hun manglede den personlige kontakte og tænkte derfor premium var det helt rigtige for hende, men det var helt udenfor hendes prisklasse, og vidste "normal" coaching" ikke var noget for hende</t>
  </si>
  <si>
    <t>Casper</t>
  </si>
  <si>
    <t>41 44 02 47</t>
  </si>
  <si>
    <t>https://www.instagram.com/casperstenbjerg/</t>
  </si>
  <si>
    <t>Vi kom skævt ind på hinanden, jeg fik stillet nogle dårlige spørgsmål</t>
  </si>
  <si>
    <t>Anja Nielsen</t>
  </si>
  <si>
    <t>29 24 34 18</t>
  </si>
  <si>
    <t>https://www.instagram.com/anjanielsen_90/</t>
  </si>
  <si>
    <t>Fik et helt chok over prisen</t>
  </si>
  <si>
    <t>Syntes det er vrkeligt svært med dem her hvor pengene fylder meget, og de har fortalt på forhånd at de ikke har ret mange penge. Hende her følte sig nærmest stødt da hun hørte pris og at hun ikke var blevet hørt, fordi hun allerede havde fortalt om hende situation</t>
  </si>
  <si>
    <t>Fie</t>
  </si>
  <si>
    <t>22 56 42 22</t>
  </si>
  <si>
    <t>https://www.instagram.com/annsofiemortensen9/</t>
  </si>
  <si>
    <t>31 33 93 34</t>
  </si>
  <si>
    <t>https://www.instagram.com/frederiksalling/</t>
  </si>
  <si>
    <t>Var selv sælger, havde også haft de her samtaler før, så den blev lidt atypisk. Han ville egenligt godt bare have styr på kosten, om vi kunne hjælpe ham ifht til det. Skulle dog klart have fundet mere pain og dykket ned i det.</t>
  </si>
  <si>
    <t>Dennis Scharno Bertram</t>
  </si>
  <si>
    <t>26 91 94 26</t>
  </si>
  <si>
    <t>https://www.instagram.com/dennis_s_bertram/</t>
  </si>
  <si>
    <t>Anja</t>
  </si>
  <si>
    <t>22 14 44 83</t>
  </si>
  <si>
    <t>https://www.instagram.com/anjajungnielsen/</t>
  </si>
  <si>
    <t>Michael Overgaard</t>
  </si>
  <si>
    <t>22 45 28 18</t>
  </si>
  <si>
    <t>split-pay</t>
  </si>
  <si>
    <t>Er nysgerrig, er interesseret i ham og hans situation og får fundet det der gør, at han køber</t>
  </si>
  <si>
    <t>Jonathan Mortensen</t>
  </si>
  <si>
    <t>51 70 37 87</t>
  </si>
  <si>
    <t>https://www.instagram.com/jonamort02?igsh=M2R0NzcydGNwaDlx</t>
  </si>
  <si>
    <t>Liv Toft Sølvmose Simonsen</t>
  </si>
  <si>
    <t>25 32 14 45</t>
  </si>
  <si>
    <t>https://www.instagram.com/livtss2000/</t>
  </si>
  <si>
    <t>Skulle bare tænke over det og vende det med en veninde</t>
  </si>
  <si>
    <t>Kunne godt have været mere skarp i obejtion handling og bruge den her usikkerhed hun havde som ammonition, at det var derfor hun ikke kunne tage en beslutning</t>
  </si>
  <si>
    <t>Lucas</t>
  </si>
  <si>
    <t>42 46 37 52</t>
  </si>
  <si>
    <t>https://www.instagram.com/lu3as.t0mmi/</t>
  </si>
  <si>
    <t>Ikke det bedste flow i samtalen, det kunne godt ah været bedre. Bliver ikke så skarpt som jeg gerne vil have den skulle været, det bliver hakkende. Frusterende at han lige en jeg dropper prisen om jeg kan sende det på en mail, fordi han var ved at pakke bilen ud. Så dropper prisen og så føler jeg, at jeg får travlt så får ikke gennemgået frameworket efter</t>
  </si>
  <si>
    <t>Micky</t>
  </si>
  <si>
    <t>91 78 57 82</t>
  </si>
  <si>
    <t>https://www.instagram.com/mickychristianhavtorn/</t>
  </si>
  <si>
    <t>Følte ikke at han var helt med på, hvad der foregik og hvordan det fungerede. I sidste ende får jeg ham ikke solgt nok, for han syntes 6 måneder var alt for lang tid og kunne ikke få ham til at indse, det var det som skulle til. Får ikke tacklet hans objection ordenligt, skal bare følge det forbandet framework</t>
  </si>
  <si>
    <t>Mikkel Raakjær</t>
  </si>
  <si>
    <t>28 15 57 39</t>
  </si>
  <si>
    <t>Dennis fuglesang</t>
  </si>
  <si>
    <t>22 26 41 10</t>
  </si>
  <si>
    <t>Hun var egenligt ikke lige klar på at starte nu, men ville gerne lige vente med at sætte det i gang til mandag</t>
  </si>
  <si>
    <t>Bliver en for lang snak syntes jeg, får først fundet pain alt for sent</t>
  </si>
  <si>
    <t>Tobias Grøndal Jensen</t>
  </si>
  <si>
    <t>53 29 75 00</t>
  </si>
  <si>
    <t>https://www.instagram.com/tobiasgjensen_/</t>
  </si>
  <si>
    <t>Følte ikke det ville være værd at starte nu, når han havde en skade med hånden</t>
  </si>
  <si>
    <t>Får ikke fundet hans pain, han var svært at få noget ud af, får ham ikke brudt nok ned. Ender med han en bliver ret interesseret, men kommer med en undskyldning om en skade</t>
  </si>
  <si>
    <t>Lina Thejman</t>
  </si>
  <si>
    <t>42 71 30 19</t>
  </si>
  <si>
    <t>https://www.instagram.com/linathejlman?igsh=MW55cnhrMnV2OGZ0YQ==</t>
  </si>
  <si>
    <t>Var under 18 så skulle vende med med mor og far</t>
  </si>
  <si>
    <t>Syntes det er svært at objection handle når farmand sidder ved siden af og det jo egenligt i bund og grund er ham/moren, som skal lægge pengene, så fik double down og hørt om det syntes det var pengene hver, men slap dem så der</t>
  </si>
  <si>
    <t>Annette Westergaard Petersen</t>
  </si>
  <si>
    <t>42 67 60 27</t>
  </si>
  <si>
    <t>https://www.instagram.com/mortil4unger/</t>
  </si>
  <si>
    <t>Hun smed røret på efter 20 minutter</t>
  </si>
  <si>
    <t>Laura Vorsholt Hellesøe</t>
  </si>
  <si>
    <t>30 55 57 71</t>
  </si>
  <si>
    <t>https://www.instagram.com/lauravhellesoe/</t>
  </si>
  <si>
    <t>Syntes virkeligt det er svært med dem her som, siger de bare ikke har pengene</t>
  </si>
  <si>
    <t>Tina</t>
  </si>
  <si>
    <t>31 21 27 78</t>
  </si>
  <si>
    <t>https://www.instagram.com/tinaragnhildblomstrand/</t>
  </si>
  <si>
    <t>Vi har aftalt at sætte det hele op på mandag, vi vibede godt syntes og havde god kemi. Men kunne mærke jeg blev bange for at udforde hende til sidste at da hun sagde den lige skulle vendes med manden.</t>
  </si>
  <si>
    <t>Vibeke</t>
  </si>
  <si>
    <t>29 34 15 25</t>
  </si>
  <si>
    <t>https://www.instagram.com/vibekelindekrantz?igsh=MWFrbGc5ZGIxaWh1cg==</t>
  </si>
  <si>
    <t>Der kommer slet ikke nok pain eller konsekvens ved inaction, hun føler den slet ikke. Var ikke solgt på ideen med online coaching, da hun havde prøvet det før og det med at skrive ikke var noget for hende</t>
  </si>
  <si>
    <t>Helle Kirk Sørensen</t>
  </si>
  <si>
    <t>61 68 44 38</t>
  </si>
  <si>
    <t>https://www.instagram.com/helle_s_lopper/</t>
  </si>
  <si>
    <t>"Skulle altid tænke over det"</t>
  </si>
  <si>
    <t>Snakken blev for lang, kom for stor afsted mellem det der betød noget og så snak. Som resulterede i der ikke var nok tid til negotiation</t>
  </si>
  <si>
    <t>Samuel</t>
  </si>
  <si>
    <t>28 87 82 84</t>
  </si>
  <si>
    <t>https://www.instagram.com/samueljust_/</t>
  </si>
  <si>
    <t>Turde ikke tage en beslutning</t>
  </si>
  <si>
    <t>Syntes ikke flowet er ret godt, får skabt unødvendig modstand i kaldet, som ikke var nødvenidg. Så nævner han inden jeg pitcher, han er på vej ude at døren, som stresser mig, så da det kommet til neogtiation, får jeg ikke gjort det ordenligt</t>
  </si>
  <si>
    <t>Niclas</t>
  </si>
  <si>
    <t>31 52 95 90</t>
  </si>
  <si>
    <t>https://www.instagram.com/niclas_stromgren/</t>
  </si>
  <si>
    <t>Havde svært ved at tage beslutningen, og følte han kunne nå noget af vejen selv</t>
  </si>
  <si>
    <t>Skal have hørt kaldet igennem igen, får ham ikke til at sætte nok ord på sin pain, kommer med nogle alt for kringlet spørgsmål, han nævner han har trænet med sin ven og det motivere han, det skulle jeg helt klart have udfordret ham på hvorfor han ikke bare bruger ham. Så også med at han havde motivationen nu, hvad så når den forsvinder?</t>
  </si>
  <si>
    <t>Gustav Ruby</t>
  </si>
  <si>
    <t>30 48 68 25</t>
  </si>
  <si>
    <t>https://www.instagram.com/gullegagav/</t>
  </si>
  <si>
    <t>Havde ikke råd til det</t>
  </si>
  <si>
    <t>Bliver en alt for lang snak painen er der ikke</t>
  </si>
  <si>
    <t>Line Wassmann</t>
  </si>
  <si>
    <t>60 11 67 49</t>
  </si>
  <si>
    <t>https://www.instagram.com/linewassmann/</t>
  </si>
  <si>
    <t>Det var et godt kald, kom ind med god energi lavede sjov med hende og hun elskede det</t>
  </si>
  <si>
    <t>Pernille Schaumann Andreasen</t>
  </si>
  <si>
    <t>23 88 98 64</t>
  </si>
  <si>
    <t>https://www.instagram.com/pernilleandreasens/</t>
  </si>
  <si>
    <t>Var allerede i andet forløb, så betaler 1. marts</t>
  </si>
  <si>
    <t>Hun starter op 1. marts</t>
  </si>
  <si>
    <t>23 92 73 00</t>
  </si>
  <si>
    <t>https://www.instagram.com/emmaerichsensorensen/</t>
  </si>
  <si>
    <t>Syntes det var for mange penge ifht. til hendes budget</t>
  </si>
  <si>
    <t>Fandt pain, men skulle have hende fået til at sætte flere ord på det selv, så gappet blev større og kosten ved in-action også blev større</t>
  </si>
  <si>
    <t>Noah Vejborg</t>
  </si>
  <si>
    <t>40 60 11 12</t>
  </si>
  <si>
    <t>https://www.instagram.com/noah.vejborg/</t>
  </si>
  <si>
    <t xml:space="preserve">Var under 18 og farmand sad ved siden af </t>
  </si>
  <si>
    <t>Svær snak fordi når jeg spurgte om noget lagde faren ordene i munden på Noah i stedte for han selv sagde det. Hvis det 100 p stod til Noah var vi startet op var sku faren der holdte ham tilbage</t>
  </si>
  <si>
    <t>Magnus</t>
  </si>
  <si>
    <t>42 20 52 75</t>
  </si>
  <si>
    <t>https://www.instagram.com/magnus_hornbeck?igsh=cnc5NmdrMjFreHVo</t>
  </si>
  <si>
    <t>Troede han kunne få rabat</t>
  </si>
  <si>
    <t>Skal blive bedre til bare at grave den pain helt ned, fordi det endte med han ikke købte selvom han havde pengene, han ville dog slet ikke have noget tilbage så. Føler godt jeg kunne have fået ham der</t>
  </si>
  <si>
    <t>Simone Johansen</t>
  </si>
  <si>
    <t>27 57 32 49</t>
  </si>
  <si>
    <t>https://www.instagram.com/simonejohansen_03/</t>
  </si>
  <si>
    <t>Liva Elise</t>
  </si>
  <si>
    <t>29 60 98 61</t>
  </si>
  <si>
    <t>Havde lige sagt sit job op og på sabbatår</t>
  </si>
  <si>
    <t>Hendes udfordring lå i at hun tidligere havde haft en dårlig oplevelse med at snakke med en coach og så have tillid til at springe ud i det. Jeg skulle have fået hende til at sætte flere ord på hendes nuværende situation. Logistisk kunne det ikke hænge sammen nu uden job, men vi gennemgik økonomien og fandt steder der kunne spares, og hun sagde hun gerne være villig til at spare det og prioritere når hun fandt et job</t>
  </si>
  <si>
    <t>Benjamin Pilemann</t>
  </si>
  <si>
    <t>29 93 86 12</t>
  </si>
  <si>
    <t>https://www.instagram.com/benjamin.priess/</t>
  </si>
  <si>
    <t>Simone Frøkjær</t>
  </si>
  <si>
    <t>28 76 65 84</t>
  </si>
  <si>
    <t>https://www.instagram.com/simonefrokjaer/</t>
  </si>
  <si>
    <t>Betaler resten til den første</t>
  </si>
  <si>
    <t>Den eneste som holdt ham tilbage var økonomien, havde ikke et job</t>
  </si>
  <si>
    <t>Jeg snakket med ham igen torsdag, for at høre hvor han står i forhold til job. Kunne godt have udfordret ham noget mere, og der hvor jeg spørger, om han kan overbevise mig skal jeg også få ham fucking til det</t>
  </si>
  <si>
    <t>Philip Bertelsen</t>
  </si>
  <si>
    <t>42 55 09 03</t>
  </si>
  <si>
    <t>https://www.instagram.com/philip_bertelsen/</t>
  </si>
  <si>
    <t>Anders Mosegaard Kappel</t>
  </si>
  <si>
    <t>31 20 23 22</t>
  </si>
  <si>
    <t>https://www.instagram.com/hamderkappel/</t>
  </si>
  <si>
    <t>Anne Kathrine Bang Larsen</t>
  </si>
  <si>
    <t>50 82 26 69</t>
  </si>
  <si>
    <t>https://www.instagram.com/anne_kathirine?igsh=ejU2MDVncXQwaGc1</t>
  </si>
  <si>
    <t>Lige fået job, så venter på den første løn</t>
  </si>
  <si>
    <t>Hun ender med at få nogle bekymringer til sidst, som jeg ikke får handlet godt nok, det skal gøres bedre. Syntes eller jeg sælger hende godt, den skal sku bare over målstregen til sidst.</t>
  </si>
  <si>
    <t>Mathias</t>
  </si>
  <si>
    <t>60 47 50 05</t>
  </si>
  <si>
    <t>https://www.instagram.com/mathiasvi_ch?igsh=M3B5NGE5amd6aTB3</t>
  </si>
  <si>
    <t>Mickey</t>
  </si>
  <si>
    <t>50 51 15 47</t>
  </si>
  <si>
    <t>https://www.instagram.com/mickey__moeller/</t>
  </si>
  <si>
    <t>Zenia Gjerlev</t>
  </si>
  <si>
    <t>60 61 22 60</t>
  </si>
  <si>
    <t>https://www.instagram.com/zenia.a.gjerlev/</t>
  </si>
  <si>
    <t>Skulle til syn med bilen på onsdag, så skulel lige have status på den</t>
  </si>
  <si>
    <t>Hun smed symbolsk deposit, skulle lige have status med på bil på onsdag, og så får vi hende i gang. Havde fokus på ikke at følge scriptet slavisk, men når det gav mening, det syntes jeg, at jeg fik en langt bedre samtale ud af</t>
  </si>
  <si>
    <t>Signe</t>
  </si>
  <si>
    <t>25 11 22 13</t>
  </si>
  <si>
    <t>https://www.instagram.com/s.lstorm/</t>
  </si>
  <si>
    <t>22 15 09 93</t>
  </si>
  <si>
    <t>https://www.instagram.com/mangusnr1?igsh=ZGFkcDRhM2J5MGE0</t>
  </si>
  <si>
    <t>Var allerede i discovery at han skulle tænke over det, men fik den vendt og spurgt, hvad den fremtidige version af ham ville have gjort</t>
  </si>
  <si>
    <t>Kristoffer Thomsen</t>
  </si>
  <si>
    <t>81 73 81 61</t>
  </si>
  <si>
    <t>https://www.instagram.com/kristofferwthomsen/</t>
  </si>
  <si>
    <t>Fik raiset han committment gav ham meget push back, som gjorde han talte ham selv endnu mere ind i det, jeg spørger om det jeg tidligere har hooldt tilbage med</t>
  </si>
  <si>
    <t>Snakker med ham igen på fredag, følte samtalen blev lidt for enforced den var ikke lige så flyedende som jeg gerne ville have at den skulle være. Vi har aftalt han starter op på fredag, men det har jeg hørt før. "havde ikke tid" til at få at det på da han hans mor rev i ham...</t>
  </si>
  <si>
    <t>Kristina Laursen</t>
  </si>
  <si>
    <t>31 76 55 25</t>
  </si>
  <si>
    <t>https://www.instagram.com/kristinaryel/</t>
  </si>
  <si>
    <t>Skulle være helt sikker på det kunne løbe rundt</t>
  </si>
  <si>
    <t>Får en dårlig start, da jeg sætter framet som ikke er skarpt nok, mister grebet om samtalen, så den bliver for lang og holder ikke fokus på det som er vigtigt</t>
  </si>
  <si>
    <t>Laura</t>
  </si>
  <si>
    <t>51 41 58 53</t>
  </si>
  <si>
    <t>https://www.instagram.com/laura.skram/</t>
  </si>
  <si>
    <t>Vi får hende i gang på fredag, når der kommer løn har smidt 200 kr i dag</t>
  </si>
  <si>
    <t>Michelle Johannessen</t>
  </si>
  <si>
    <t>52 92 35 10</t>
  </si>
  <si>
    <t>https://www.instagram.com/direct/t/115667516493635/</t>
  </si>
  <si>
    <t>Pengene var der ikke før til april</t>
  </si>
  <si>
    <t>Kunne godt få hende til at have sat lidt flere op på sin situation. Fik hende til at være resourcefull, så hun var villig til at rykke rundt i budgettet.</t>
  </si>
  <si>
    <t>Han stod ikke selv for sine penge, da han tidligere har været ludoman</t>
  </si>
  <si>
    <t xml:space="preserve">Var en super sød gut og ville gerne gøre det her for sig selv, det eneste som holdte ham tilbage var situation med at hans løn kom ind på konens konto </t>
  </si>
  <si>
    <t>Monika</t>
  </si>
  <si>
    <t>22 54 02 85</t>
  </si>
  <si>
    <t>https://www.instagram.com/olivius_monika/</t>
  </si>
  <si>
    <t>Var på hjemmeboende SU, så tjente kun 720 om måneden</t>
  </si>
  <si>
    <t>Får ikke fundet nok pain, acceptere hendes svar og får hende ikke kaldt ud på hun faktisk er helt tilfreds "hvorfor sidder vi så her"? - Så syntes jeg det er svært når hun var på SU og kun tjente omkring 700 om måneden</t>
  </si>
  <si>
    <t>Marie</t>
  </si>
  <si>
    <t>53 88 86 59</t>
  </si>
  <si>
    <t>https://www.instagram.com/marie_sigrid_lilja/</t>
  </si>
  <si>
    <t>Nasra</t>
  </si>
  <si>
    <t>61 66 76 65</t>
  </si>
  <si>
    <t>https://www.instagram.com/nasramadsen?igsh=ZW9jZ2t3NTJhaDlx</t>
  </si>
  <si>
    <t>l</t>
  </si>
  <si>
    <t>Michael</t>
  </si>
  <si>
    <t>20 29 78 29</t>
  </si>
  <si>
    <t>https://www.instagram.com/michael.s.kristensen.5/</t>
  </si>
  <si>
    <t>Brugte penge som undskyldning, var frygt og bange for at tage en beslutning</t>
  </si>
  <si>
    <t>En jeg er ærgerlig over for det var virkeligt en som havde brug for hjælp. Vi snakkede sammen 3 gange første gang blev snakke om lang, men fik af virkeligt ind i følelserne, men som kom sønnen hjem og afbrød, så vi snakkede først igen 6 timer efter, så var han slet ikke i samme stadie. 3. gang dagen efter fik vi konen med, men der var beslutningen taget om det var et nej, hun havde kommet med alt hendes fornuft, så han ikke købte. Skulle have sagte hvad jeg mente i stedte for at holde det tilbage "hvorfor er det fair du om bruge penge på hjælp, når Michael ikke må" (hun var lige starte på ozempic)</t>
  </si>
  <si>
    <t>Kanita Talovic</t>
  </si>
  <si>
    <t>91 77 66 87</t>
  </si>
  <si>
    <t>https://www.instagram.com/ktalovic_27/</t>
  </si>
  <si>
    <t>Får ikke fundet den dybe pain, som gør at hun ikke kommer fordi cost of inaction slet ikke er der. negotiater med hende længe, men fører ikke frem til noget da hun ikke er solgt og ikke får handlet pengene ordenligt til at starte med</t>
  </si>
  <si>
    <t>Lukas Vilshardt Eriksen</t>
  </si>
  <si>
    <t>60 21 58 35</t>
  </si>
  <si>
    <t>https://www.instagram.com/lukas_v_eriksen/</t>
  </si>
  <si>
    <t>Han nævner tidlig han har svært ved at række ud efter hjælp så det snakker vi ind i og jeg spørger meget ind til det og spørger hvorfor det her vil hjælpe ham, får fundet hans pain og går videre, så den bliver effektiv</t>
  </si>
  <si>
    <t>Victor bisgaard</t>
  </si>
  <si>
    <t>53 54 88 96</t>
  </si>
  <si>
    <t>Vi båndede bare sygt godt til at starte med og så kørte samtalen ellers bare</t>
  </si>
  <si>
    <t>Noél Johannsen</t>
  </si>
  <si>
    <t>60 48 04 86</t>
  </si>
  <si>
    <t>https://www.instagram.com/noelbojsen/</t>
  </si>
  <si>
    <t>Andreas ingemann</t>
  </si>
  <si>
    <t>26 46 80 26</t>
  </si>
  <si>
    <t>Både tid og penge pga skiftende arbejde</t>
  </si>
  <si>
    <t>Starter op 1. April</t>
  </si>
  <si>
    <t xml:space="preserve">Rasmus Larsen </t>
  </si>
  <si>
    <t>61 70 05 70</t>
  </si>
  <si>
    <t>Ceci</t>
  </si>
  <si>
    <t>54 32 90 01</t>
  </si>
  <si>
    <t>https://www.instagram.com/ceci_josefsen/</t>
  </si>
  <si>
    <t>Der var lidt udfordringer for dansk var hendes andet sprog, da hun er grønlænder. Så jeg prøvede ikke at overkomplicere samtale og min spørgsmål</t>
  </si>
  <si>
    <t>Cecilie Hovalt Chander</t>
  </si>
  <si>
    <t>42 58 59 09</t>
  </si>
  <si>
    <t>https://www.instagram.com/ceciliechander/</t>
  </si>
  <si>
    <t>Hun sagde det var hende selv. som holdt hende tilbage</t>
  </si>
  <si>
    <t xml:space="preserve">Prøvede at indvede tidligt det her med hun altid var en der skulle tænke over det og kom godt i mål med den, men glemte at bruge den senere. Skulle også have sat det her i kontekst med når hun tager beslutninger på jobbet som socialrådgiver tænker du så også over det? </t>
  </si>
  <si>
    <t>Lene Maya Ingvorsen</t>
  </si>
  <si>
    <t>53 69 98 18</t>
  </si>
  <si>
    <t>https://www.instagram.com/lene_maya_ingvorsen/</t>
  </si>
  <si>
    <t>Choko Christensen</t>
  </si>
  <si>
    <t>61 65 53 11</t>
  </si>
  <si>
    <t>https://www.instagram.com/sjoko91?igsh=eWFia21yd2FuaTho</t>
  </si>
  <si>
    <t>Får først løn fra sit nye job d. 1 maj</t>
  </si>
  <si>
    <t>Follow-up fra Januar, starter op d. 1 maj</t>
  </si>
  <si>
    <t>Ida Marie Roed</t>
  </si>
  <si>
    <t>42 23 29 31</t>
  </si>
  <si>
    <t>https://www.instagram.com/imroed?igsh=cHpsMWZsZzgwanF6</t>
  </si>
  <si>
    <t>Vi connectede godt, fandt ud af hun også var nordjyde, så vi havde en del tilfælles</t>
  </si>
  <si>
    <t xml:space="preserve">Christine Bredahl Tidemand </t>
  </si>
  <si>
    <t>25 75 51 50</t>
  </si>
  <si>
    <t>https://www.instagram.com/lolonygaard/</t>
  </si>
  <si>
    <t>Heidi Topp</t>
  </si>
  <si>
    <t>26 83 63 03</t>
  </si>
  <si>
    <t>https://www.instagram.com/fruen_topp/</t>
  </si>
  <si>
    <t>Camilla Hedegaard Pedersen</t>
  </si>
  <si>
    <t>23 86 44 28</t>
  </si>
  <si>
    <t>https://www.instagram.com/camulla_hedegaard/</t>
  </si>
  <si>
    <t>Har det var sjovt på kaldende, og hygger mig med det</t>
  </si>
  <si>
    <t>Anitta</t>
  </si>
  <si>
    <t>26 11 19 16</t>
  </si>
  <si>
    <t>https://www.instagram.com/anittahansen1968?igsh=bjVyZmYyZTczZGto</t>
  </si>
  <si>
    <t>Marcus Laursen</t>
  </si>
  <si>
    <t>25 14 07 36</t>
  </si>
  <si>
    <t>https://www.instagram.com/marcus__laursen/</t>
  </si>
  <si>
    <t>Sagde det var pengene, men kunne godt lade sig gøre</t>
  </si>
  <si>
    <t>Får ikke fundet nok pain hos ham, og fik ham til at sætte nok ord på det, syntes den var svær for alt spillede allerede, kosten var der træningen var der, han kunne bare godt lide at have en coach. Skulle have gået hårdere til ham da han sagde han havde 4-5000 kr. tilbage om måneden</t>
  </si>
  <si>
    <t>Danielle Vinberg</t>
  </si>
  <si>
    <t>20 73 26 06</t>
  </si>
  <si>
    <t>https://www.instagram.com/daniellevinberg/</t>
  </si>
  <si>
    <t>Mads Lykke</t>
  </si>
  <si>
    <t>60 68 47 52</t>
  </si>
  <si>
    <t>https://www.instagram.com/mads_l.s/</t>
  </si>
  <si>
    <t>Han var en usikker ung mand med skepsis både ifht. online coach, men også med pengene, fik det hele prehandlet, istedet for at skubbe lorten videre. Han har udfyldt kortoplysninger og sendt 500 kr i deposit, og har et coaching kald med ham 31. marts, hvor vi får ham i gang</t>
  </si>
  <si>
    <t>Nadia</t>
  </si>
  <si>
    <t>42 57 16 11</t>
  </si>
  <si>
    <t>https://www.instagram.com/nadiasteenhansen/</t>
  </si>
  <si>
    <t>Manglede et job</t>
  </si>
  <si>
    <t>Vi havde en rigtig god samtale, fik hende solgt godt, det kunne bare ikke hænge sammen rent logistisk, før hun gik op i timer, så hun holder mig opdateret, og har planlagt vi starter omkring maj</t>
  </si>
  <si>
    <t xml:space="preserve">Syntes altid det er lidt svært på de her kald, hvor de har en samtale med en anden coach efter. Fik hende concern frem, men fik ikke dykket ned i det, og hørte om pengene overhovedet kunne lade sig gøre, de skulle jeg helt sikkert have gjort </t>
  </si>
  <si>
    <t>Nicole</t>
  </si>
  <si>
    <t>28 43 90 48</t>
  </si>
  <si>
    <t>https://www.instagram.com/niicolejacobsen/</t>
  </si>
  <si>
    <t xml:space="preserve">Var meget oppe med paraderne </t>
  </si>
  <si>
    <t>Så vi fik en okay start, fik da et lille grin id af hende, men får stillet nogle dårlige spørgsmål. En dame meget i forsvarsposition, var ikke så villig til at svare på mine spørgsmål</t>
  </si>
  <si>
    <t>Ida Davidsen</t>
  </si>
  <si>
    <t>23 98 39 93</t>
  </si>
  <si>
    <t>https://www.instagram.com/idadavidsen/</t>
  </si>
  <si>
    <t>Daniel</t>
  </si>
  <si>
    <t>51 20 72 70</t>
  </si>
  <si>
    <t>https://www.instagram.com/danielmikkelsen99/</t>
  </si>
  <si>
    <t>Line Lehnshøj</t>
  </si>
  <si>
    <t>40 45 86 00</t>
  </si>
  <si>
    <t>https://www.instagram.com/linelehnshoej/</t>
  </si>
  <si>
    <t>Kristian</t>
  </si>
  <si>
    <t>26 14 61 63</t>
  </si>
  <si>
    <t>https://www.instagram.com/kfj14/</t>
  </si>
  <si>
    <t>Føler jeg gik i gang med at prehandle for tidligt og aldrig fik fundet den rigtige pain, som også gjorde han skulle tænke over det, og ikke tog beslutning nu. Så blev jeg også stresset over vi var ved at være slut på kaldet, og jeg vidste jeg havde et bag efter, som jeg var ved at komme for sent til, så fik ikke fulgt framework</t>
  </si>
  <si>
    <t>Nanna</t>
  </si>
  <si>
    <t>21 96 45 44</t>
  </si>
  <si>
    <t>https://www.instagram.com/nanna.bjoernlund/</t>
  </si>
  <si>
    <t>Fandt frem til hun havde penge, så det var værdien nu ikke så</t>
  </si>
  <si>
    <t>Hun var meget usikker og havde en stor concern ifht. til penge da hun var på SU, men hun havde det job ved siden, af skulle have gået dybere i pain, det havde gjort det nemmere for mig at prehandle money, og virkeligt udnytte at pengene kunne løse hendes problem</t>
  </si>
  <si>
    <t>Oscar Nielsen</t>
  </si>
  <si>
    <t>51 93 44 19</t>
  </si>
  <si>
    <t>https://www.instagram.com/osci_12_boel/</t>
  </si>
  <si>
    <t>Aldrig oplevet noget lignende, prøvede at få betalingen sat op med ham dagen efter. Jeg ringer til ham som aftalt, hvor han siger opkaldene ikke er gået igennem og min sms'er. Så virker hans Mobilepay ikke da vi ringes sammen om aftenen, og så kan han heller ikke åbne hverken mail eller link</t>
  </si>
  <si>
    <t>Malene</t>
  </si>
  <si>
    <t>60 13 94 69</t>
  </si>
  <si>
    <t>https://www.instagram.com/malene.hartmann/</t>
  </si>
  <si>
    <t>Havde svært ved at sætte sig selv først især efter sin børn</t>
  </si>
  <si>
    <t>Der blev fundet pain, men fik ikke handlet hendes money concern, som så vidste sig i at være fear, skulle have spurgt tidligere på kaldet "hvad gør at du har svært ved at bruge penge?" - Hun sagde til sidste det var fordi hun altid har skulle sætte andre før sig selv helt tilbage fra barndommen med skilsmisse. Kunne jeg godt have handlet bedre og hører det i gennem i morgen</t>
  </si>
  <si>
    <t>Kasper Johansen</t>
  </si>
  <si>
    <t>42 83 14 78</t>
  </si>
  <si>
    <t>Skal passe på med ikke at være for gentagende i mine spørgsmål, hvis han ikke havde været så varm som han var kunne han hurtigt være blevet irriteret</t>
  </si>
  <si>
    <t>Han siger at han havde at se det mavefedt han har, får jeg ikke gået dybt nok ned i, skulle bare have spurgt "hvorfor?" Kastede mig ud i et reframe, som vi snakkede om , følte jeg tabte ham mere end det gjorde godt, han sagde flere gange han ikke følte hanhavde brug for hjælp til kost og træning. Prøvede at sige til ham flere gange hvorfor han så sad i den het situation, hvis han havde styr på det, det var alle mulige andre grunde og han ikke var klar på det. Så ærligt viste ikke helt hvad jeg skulle sælge ham så.</t>
  </si>
  <si>
    <t>42 42 88 71</t>
  </si>
  <si>
    <t>https://www.instagram.com/benjaminbachfihl/</t>
  </si>
  <si>
    <t xml:space="preserve">Han var sindsygt varm, syntes vi havde en god snak, men så kom betalting ville gerne betale det hele på en gang, siger så hans kort ikke virker før han fik et nyt kæmpe BS, "skulle have spurgt hvordan betaler du så til andre ting, hvis du først får det om en uge?" - Kørte framework med at double down om det var der rigtige, om det kunne hjælpe ham og hvorfor. Han lød slet ikke i tvivl om han ville. Så spørger jeg, så her når du får kortet skal vi i gang, skulle helt klart have fulgt op med "Er du sikker? Nu har du sagt du gerne ville i gang de sidste par år, prøv at overbevis mig om, vi skal igang? </t>
  </si>
  <si>
    <t>Erni Kristiansen</t>
  </si>
  <si>
    <t>299 52 26 16</t>
  </si>
  <si>
    <t>https://www.instagram.com/erni_kristiansen/</t>
  </si>
  <si>
    <t>Skulle vende den med kæresten, da de var ved at spare sammen til lejlighed</t>
  </si>
  <si>
    <t>Han var grønlænder, så nogle af mine sprøgsmål han ikke helt forstod, så havde svært ved at bygge nok værdi, så sprang også nogle over for ikke at forvirre ham. Han endte egenligt med at sige ja, og jeg sendte en anmodning, men så skulle han lige være helt sikker med kæreste og ville gerne have vedkommende med på en snak, som vi så tager på lørdag</t>
  </si>
  <si>
    <t>Emil Vinther</t>
  </si>
  <si>
    <t>22 33 58 07</t>
  </si>
  <si>
    <t>https://www.instagram.com/emilvinther_/</t>
  </si>
  <si>
    <t>Det ville blive stramt med pengene, og skulle vurdere om han ville sælge aktier for det kunne lade sig gøre</t>
  </si>
  <si>
    <t>Han bliver aldrig solgt nok, der bliver ikke fundet nok pain, det er helt klart et sted jeg har slacket på det sidste, den når kun at blive overfladisk, der kommer ikke en konsekvens ved så at lade være</t>
  </si>
  <si>
    <t>Tina Damsted Lundgreen</t>
  </si>
  <si>
    <t>23 36 68 30</t>
  </si>
  <si>
    <t>https://www.instagram.com/tina.lundgreen/</t>
  </si>
  <si>
    <t>Var ikke klar til at få hjælp</t>
  </si>
  <si>
    <t>Følte ikke hun var ret klar til at få noget hjælp, og det gjotde egenligt jeg gav lidt op på hende for at være ærlig, det ærger mig lidt at sige. Jeg sørgede for hun fik en god oplevelse med det hele uanset hvad</t>
  </si>
  <si>
    <t>Nicolai</t>
  </si>
  <si>
    <t>31 60 00 89</t>
  </si>
  <si>
    <t>https://www.instagram.com/nicolaikarup/</t>
  </si>
  <si>
    <t>Var alt for mange penge for ham</t>
  </si>
  <si>
    <t>Syntes egenligt vi viber ret godt, og får fundet noget pain, kunne godt være kommet lidt dybere ned. Det gav bare slet ikke menig, ifht hans budget, han havde 2000 kr. når alt var betalt og så var der ikke til mad eller noget</t>
  </si>
  <si>
    <t>Lasse Barth Hansen</t>
  </si>
  <si>
    <t>92 16 30 75</t>
  </si>
  <si>
    <t>https://www.instagram.com/barthfit9/</t>
  </si>
  <si>
    <t>Anna Clausen</t>
  </si>
  <si>
    <t>28 55 95 34</t>
  </si>
  <si>
    <t>https://www.instagram.com/anna_always_dream/</t>
  </si>
  <si>
    <t>Var mange penge især, når hun gik som ledig</t>
  </si>
  <si>
    <t>Vidste på forhånd hun havde en money concern, men fik den aldrig adresseret korrekt og var også det hun syntes var dyrt til sidst, og så ikke sprøg mig hvorfor jeg ikke vare fulgte frameworket, følte bare hun ikke vil købe og det er sku for dårligt af mig jeg giver op på hende og ikke får hende hjulpet</t>
  </si>
  <si>
    <t>28 19 69 81</t>
  </si>
  <si>
    <t>https://www.instagram.com/jullefar1992/</t>
  </si>
  <si>
    <t>Sad i en svær økonomisk situation pgs fængsel</t>
  </si>
  <si>
    <t>Kunne slet ikke lade sig gøre lige nu havde 500 kr. til overs om måned havde en kæmp gæld og siddet 8 år i fængsels. Vi snakkes ved om 1,5 måned, hvor han hørte noget fra gældsstyrrelsen</t>
  </si>
  <si>
    <t>Gogs</t>
  </si>
  <si>
    <t>91 10 70 46</t>
  </si>
  <si>
    <t>https://www.instagram.com/officialkinggogs/</t>
  </si>
  <si>
    <t>Kastede mig ud i et reframe, som vi snakkede om , følte jeg tabte ham mere end det gjorde godt, han sagde flere gange han ikke følte hanhavde brug for hjælp til kost og træning. Prøvede at sige til ham flere gange hvorfor han så sad i den het situation, hvis han havde styr på det, det var alle mulige andre grunde og han ikke var klar på det. Så ærligt viste ikke helt hvad jeg skulle sælge ham så.</t>
  </si>
  <si>
    <t>Tanja</t>
  </si>
  <si>
    <t>28 94 84 97</t>
  </si>
  <si>
    <t>https://www.instagram.com/tanjareinholdt/</t>
  </si>
  <si>
    <t>Anne Schou Nielsen</t>
  </si>
  <si>
    <t>31 65 05 18</t>
  </si>
  <si>
    <t>https://www.instagram.com/anneschounielsen/</t>
  </si>
  <si>
    <t>Vi havde en super god snak og hun var bare klar</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</si>
</sst>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 kr.]"/>
    <numFmt numFmtId="165" formatCode="#,##0.00[$ kr.]"/>
    <numFmt numFmtId="166" formatCode="&quot;$&quot;#,##0"/>
    <numFmt numFmtId="167" formatCode="m&quot;/&quot;d&quot;/&quot;yy"/>
    <numFmt numFmtId="168" formatCode="[$$]#,##0.00"/>
    <numFmt numFmtId="169" formatCode="dd&quot;/&quot;mmm&quot;/&quot;yy"/>
    <numFmt numFmtId="170" formatCode="&quot;$&quot;#,##0.00"/>
    <numFmt numFmtId="171" formatCode="d. mmmm"/>
    <numFmt numFmtId="172" formatCode="d/mmm/yy"/>
    <numFmt numFmtId="173" formatCode="M/d/yyyy"/>
    <numFmt numFmtId="174" formatCode="d. mmm"/>
  </numFmts>
  <fonts count="77">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b/>
      <sz val="10.0"/>
      <color rgb="FFFFFFFF"/>
      <name val="Arial"/>
    </font>
    <font>
      <sz val="10.0"/>
      <color theme="1"/>
      <name val="Arial"/>
    </font>
    <font>
      <b/>
      <sz val="10.0"/>
      <color theme="1"/>
      <name val="Arial"/>
    </font>
    <font>
      <b/>
      <color theme="1"/>
      <name val="Arial"/>
    </font>
    <font>
      <sz val="10.0"/>
      <color rgb="FFFFFFFF"/>
      <name val="Arial"/>
    </font>
    <font>
      <sz val="9.0"/>
      <color rgb="FFFFFFFF"/>
      <name val="Arial"/>
    </font>
    <font>
      <color rgb="FF000000"/>
      <name val="Arial"/>
    </font>
    <font>
      <color rgb="FF000000"/>
      <name val="Muli"/>
    </font>
    <font>
      <sz val="10.0"/>
      <color rgb="FF0A2540"/>
      <name val="&quot;Proxima Nova&quot;"/>
    </font>
    <font>
      <sz val="10.0"/>
      <color rgb="FF476788"/>
      <name val="&quot;Proxima Nova&quot;"/>
    </font>
    <font>
      <sz val="11.0"/>
      <color rgb="FF476788"/>
      <name val="&quot;Proxima Nova&quot;"/>
    </font>
    <font>
      <color rgb="FF4E4B66"/>
      <name val="Arial"/>
    </font>
    <font>
      <sz val="11.0"/>
      <color rgb="FF0E0E0E"/>
      <name val="Arial"/>
    </font>
    <font>
      <sz val="9.0"/>
      <color rgb="FF000000"/>
      <name val="Helvetica"/>
    </font>
    <font>
      <sz val="10.0"/>
      <color rgb="FF000000"/>
      <name val="Helvetica"/>
    </font>
    <font>
      <sz val="10.0"/>
      <color rgb="FF3C4043"/>
      <name val="Roboto"/>
    </font>
    <font>
      <sz val="10.0"/>
      <color rgb="FF5F6368"/>
      <name val="Roboto"/>
    </font>
    <font>
      <sz val="11.0"/>
      <color rgb="FF0A2540"/>
      <name val="&quot;Proxima Nova&quot;"/>
    </font>
    <font>
      <sz val="9.0"/>
      <color rgb="FF0A2540"/>
      <name val="&quot;Proxima Nova&quot;"/>
    </font>
    <font>
      <sz val="11.0"/>
      <color rgb="FF3C4043"/>
      <name val="Roboto"/>
    </font>
    <font>
      <sz val="9.0"/>
      <color rgb="FF5F6368"/>
      <name val="Roboto"/>
    </font>
    <font>
      <sz val="11.0"/>
      <color rgb="FF000000"/>
      <name val="Roboto"/>
    </font>
    <font>
      <sz val="11.0"/>
      <color rgb="FF3C4043"/>
      <name val="&quot;Google Sans&quot;"/>
    </font>
    <font>
      <sz val="10.0"/>
      <color rgb="FF1F1F1F"/>
      <name val="&quot;Google Sans&quot;"/>
    </font>
    <font>
      <b/>
      <sz val="9.0"/>
      <color theme="1"/>
      <name val="Arial"/>
    </font>
    <font>
      <u/>
      <sz val="11.0"/>
      <color rgb="FF3C4043"/>
      <name val="Roboto"/>
    </font>
    <font>
      <sz val="9.0"/>
      <color rgb="FF1F1F1F"/>
      <name val="&quot;Google Sans&quot;"/>
    </font>
    <font>
      <strike/>
      <color rgb="FF000000"/>
      <name val="Arial"/>
    </font>
    <font>
      <sz val="12.0"/>
      <color rgb="FF0A2540"/>
      <name val="&quot;Proxima Nova&quot;"/>
    </font>
    <font>
      <strike/>
      <color theme="1"/>
      <name val="Arial"/>
    </font>
    <font>
      <strike/>
      <sz val="9.0"/>
      <color theme="1"/>
      <name val="Arial"/>
    </font>
    <font>
      <sz val="11.0"/>
      <color rgb="FF000000"/>
      <name val="System-ui"/>
    </font>
    <font>
      <color theme="1"/>
      <name val="Arial"/>
      <scheme val="minor"/>
    </font>
    <font>
      <strike/>
      <sz val="9.0"/>
      <color rgb="FF000000"/>
      <name val="Arial"/>
    </font>
    <font>
      <sz val="11.0"/>
      <color theme="1"/>
      <name val="Arial"/>
    </font>
    <font>
      <sz val="11.0"/>
      <color rgb="FF5F6368"/>
      <name val="Roboto"/>
    </font>
    <font>
      <b/>
      <color rgb="FF000000"/>
      <name val="Arial"/>
    </font>
    <font>
      <u/>
      <color rgb="FF4E4B66"/>
      <name val="Muli"/>
    </font>
    <font>
      <u/>
      <color rgb="FF4E4B66"/>
      <name val="Muli"/>
    </font>
    <font>
      <u/>
      <color rgb="FF000000"/>
      <name val="Muli"/>
    </font>
    <font>
      <u/>
      <sz val="11.0"/>
      <color rgb="FF476788"/>
      <name val="&quot;Proxima Nova&quot;"/>
    </font>
    <font>
      <strike/>
      <sz val="9.0"/>
      <color rgb="FF000000"/>
      <name val="Helvetica"/>
    </font>
    <font>
      <color rgb="FF4E4B66"/>
      <name val="Muli"/>
    </font>
    <font>
      <u/>
      <color rgb="FF4E4B66"/>
      <name val="Muli"/>
    </font>
    <font>
      <u/>
      <sz val="11.0"/>
      <color rgb="FF3C4043"/>
      <name val="Roboto"/>
    </font>
    <font>
      <u/>
      <color rgb="FF4E4B66"/>
      <name val="Arial"/>
    </font>
    <font>
      <u/>
      <sz val="11.0"/>
      <color rgb="FF3C4043"/>
      <name val="Roboto"/>
    </font>
    <font>
      <u/>
      <sz val="11.0"/>
      <color rgb="FF0A2540"/>
      <name val="&quot;Proxima Nova&quot;"/>
    </font>
    <font>
      <u/>
      <sz val="9.0"/>
      <color rgb="FF5F6368"/>
      <name val="Roboto"/>
    </font>
    <font>
      <sz val="11.0"/>
      <color theme="1"/>
      <name val="Slack-Lato"/>
    </font>
    <font>
      <color rgb="FF000000"/>
      <name val="Arial"/>
      <scheme val="minor"/>
    </font>
    <font>
      <u/>
      <sz val="11.0"/>
      <color rgb="FF0A2540"/>
      <name val="&quot;Proxima Nova&quot;"/>
    </font>
    <font>
      <u/>
      <color rgb="FF4E4B66"/>
      <name val="Arial"/>
    </font>
    <font>
      <sz val="9.0"/>
      <color rgb="FF000000"/>
      <name val="Arial"/>
    </font>
    <font>
      <b/>
      <sz val="9.0"/>
      <color rgb="FF000000"/>
      <name val="Arial"/>
    </font>
    <font>
      <b/>
      <sz val="9.0"/>
      <color rgb="FF0E0E0E"/>
      <name val="Arial"/>
    </font>
    <font>
      <sz val="9.0"/>
      <color rgb="FF0E0E0E"/>
      <name val="Arial"/>
    </font>
    <font>
      <b/>
      <sz val="9.0"/>
      <color rgb="FF000000"/>
      <name val="Helvetica"/>
    </font>
    <font>
      <color rgb="FF000000"/>
      <name val="Inter"/>
    </font>
    <font>
      <b/>
      <color rgb="FF000000"/>
      <name val="Inter"/>
    </font>
    <font>
      <sz val="11.0"/>
      <color theme="1"/>
      <name val="&quot;Proxima Nova&quot;"/>
    </font>
    <font>
      <strike/>
      <sz val="11.0"/>
      <color rgb="FF0A2540"/>
      <name val="&quot;Proxima Nova&quot;"/>
    </font>
    <font>
      <b/>
      <sz val="11.0"/>
      <color rgb="FF0A2540"/>
      <name val="&quot;Proxima Nova&quot;"/>
    </font>
    <font>
      <sz val="11.0"/>
      <color rgb="FF1B1F3B"/>
      <name val="Muli"/>
    </font>
    <font>
      <u/>
      <sz val="11.0"/>
      <color rgb="FF0A2540"/>
      <name val="&quot;Proxima Nova&quot;"/>
    </font>
    <font>
      <strike/>
      <sz val="11.0"/>
      <color theme="1"/>
      <name val="&quot;Proxima Nova&quot;"/>
    </font>
    <font>
      <b/>
      <sz val="11.0"/>
      <color theme="1"/>
      <name val="&quot;Proxima Nova&quot;"/>
    </font>
    <font>
      <sz val="11.0"/>
      <color rgb="FF000000"/>
      <name val="Arial"/>
    </font>
    <font>
      <b/>
      <u/>
      <sz val="11.0"/>
      <color rgb="FF0A2540"/>
      <name val="&quot;Proxima Nova&quot;"/>
    </font>
    <font>
      <b/>
      <color rgb="FF28292A"/>
      <name val="Inter"/>
    </font>
    <font>
      <color theme="1"/>
      <name val="Inter"/>
    </font>
  </fonts>
  <fills count="16">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F7F7FC"/>
        <bgColor rgb="FFF7F7FC"/>
      </patternFill>
    </fill>
    <fill>
      <patternFill patternType="solid">
        <fgColor rgb="FFFF0000"/>
        <bgColor rgb="FFFF0000"/>
      </patternFill>
    </fill>
    <fill>
      <patternFill patternType="solid">
        <fgColor theme="7"/>
        <bgColor theme="7"/>
      </patternFill>
    </fill>
    <fill>
      <patternFill patternType="solid">
        <fgColor rgb="FF3C78D8"/>
        <bgColor rgb="FF3C78D8"/>
      </patternFill>
    </fill>
    <fill>
      <patternFill patternType="solid">
        <fgColor theme="5"/>
        <bgColor theme="5"/>
      </patternFill>
    </fill>
  </fills>
  <borders count="13">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dotted">
        <color rgb="FF000000"/>
      </right>
    </border>
    <border>
      <right style="dotted">
        <color rgb="FF000000"/>
      </right>
      <bottom style="thin">
        <color rgb="FF000000"/>
      </bottom>
    </border>
    <border>
      <left style="thin">
        <color rgb="FF000000"/>
      </left>
      <bottom style="thin">
        <color rgb="FF000000"/>
      </bottom>
    </border>
    <border>
      <left style="thin">
        <color rgb="FF000000"/>
      </left>
      <top style="thin">
        <color rgb="FF000000"/>
      </top>
    </border>
  </borders>
  <cellStyleXfs count="1">
    <xf borderId="0" fillId="0" fontId="0" numFmtId="0" applyAlignment="1" applyFont="1"/>
  </cellStyleXfs>
  <cellXfs count="290">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4" fillId="0" fontId="5" numFmtId="0" xfId="0" applyAlignment="1" applyBorder="1" applyFont="1">
      <alignment vertical="bottom"/>
    </xf>
    <xf borderId="0" fillId="3" fontId="2" numFmtId="0" xfId="0" applyAlignment="1" applyFont="1">
      <alignment vertical="bottom"/>
    </xf>
    <xf borderId="0" fillId="3" fontId="2" numFmtId="9" xfId="0" applyAlignment="1" applyFont="1" applyNumberFormat="1">
      <alignment horizontal="right" vertical="bottom"/>
    </xf>
    <xf borderId="0" fillId="0" fontId="5" numFmtId="0" xfId="0" applyAlignment="1" applyFont="1">
      <alignment vertical="bottom"/>
    </xf>
    <xf borderId="0" fillId="2" fontId="6" numFmtId="0" xfId="0" applyAlignment="1" applyFont="1">
      <alignment horizontal="center" vertical="bottom"/>
    </xf>
    <xf borderId="0" fillId="2" fontId="1" numFmtId="0" xfId="0" applyAlignment="1" applyFont="1">
      <alignment horizontal="center" readingOrder="0" vertical="bottom"/>
    </xf>
    <xf borderId="5" fillId="2" fontId="6" numFmtId="0" xfId="0" applyAlignment="1" applyBorder="1" applyFont="1">
      <alignment horizontal="left" vertical="bottom"/>
    </xf>
    <xf borderId="5" fillId="0" fontId="7" numFmtId="0" xfId="0" applyAlignment="1" applyBorder="1" applyFont="1">
      <alignment vertical="bottom"/>
    </xf>
    <xf borderId="5" fillId="2" fontId="1" numFmtId="0" xfId="0" applyAlignment="1" applyBorder="1" applyFont="1">
      <alignment vertical="bottom"/>
    </xf>
    <xf borderId="5" fillId="0" fontId="5" numFmtId="0" xfId="0" applyAlignment="1" applyBorder="1" applyFont="1">
      <alignment vertical="bottom"/>
    </xf>
    <xf borderId="6" fillId="2" fontId="6"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7" numFmtId="0" xfId="0" applyAlignment="1" applyBorder="1" applyFill="1" applyFont="1">
      <alignment horizontal="left" vertical="bottom"/>
    </xf>
    <xf borderId="3" fillId="4" fontId="7" numFmtId="0" xfId="0" applyAlignment="1" applyBorder="1" applyFont="1">
      <alignment horizontal="right" vertical="bottom"/>
    </xf>
    <xf borderId="0" fillId="5" fontId="2" numFmtId="0" xfId="0" applyAlignment="1" applyFill="1" applyFont="1">
      <alignment vertical="bottom"/>
    </xf>
    <xf borderId="3" fillId="5" fontId="5" numFmtId="9" xfId="0" applyAlignment="1" applyBorder="1" applyFont="1" applyNumberFormat="1">
      <alignment vertical="bottom"/>
    </xf>
    <xf borderId="0" fillId="6" fontId="7"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0" xfId="0" applyAlignment="1" applyBorder="1" applyFont="1">
      <alignment horizontal="left" shrinkToFit="0" vertical="bottom" wrapText="1"/>
    </xf>
    <xf borderId="0" fillId="8" fontId="2" numFmtId="0" xfId="0" applyAlignment="1" applyFill="1" applyFont="1">
      <alignment vertical="bottom"/>
    </xf>
    <xf borderId="9" fillId="8" fontId="2" numFmtId="0" xfId="0" applyAlignment="1" applyBorder="1" applyFont="1">
      <alignment horizontal="left" vertical="bottom"/>
    </xf>
    <xf borderId="3" fillId="8" fontId="2" numFmtId="0" xfId="0" applyAlignment="1" applyBorder="1" applyFont="1">
      <alignment horizontal="left" vertical="bottom"/>
    </xf>
    <xf borderId="0" fillId="3" fontId="5" numFmtId="0" xfId="0" applyAlignment="1" applyFont="1">
      <alignment vertical="bottom"/>
    </xf>
    <xf borderId="0" fillId="9" fontId="8" numFmtId="0" xfId="0" applyAlignment="1" applyFill="1" applyFont="1">
      <alignment vertical="bottom"/>
    </xf>
    <xf borderId="3" fillId="9" fontId="9" numFmtId="165" xfId="0" applyAlignment="1" applyBorder="1" applyFont="1" applyNumberFormat="1">
      <alignment horizontal="left" vertical="bottom"/>
    </xf>
    <xf borderId="3" fillId="0" fontId="5" numFmtId="166" xfId="0" applyAlignment="1" applyBorder="1" applyFont="1" applyNumberFormat="1">
      <alignment vertical="bottom"/>
    </xf>
    <xf borderId="3" fillId="7" fontId="2" numFmtId="0" xfId="0" applyAlignment="1" applyBorder="1" applyFont="1">
      <alignment horizontal="left" shrinkToFit="0" vertical="bottom" wrapText="1"/>
    </xf>
    <xf borderId="5" fillId="9" fontId="8" numFmtId="0" xfId="0" applyAlignment="1" applyBorder="1" applyFont="1">
      <alignment vertical="bottom"/>
    </xf>
    <xf borderId="4" fillId="9" fontId="9" numFmtId="165" xfId="0" applyAlignment="1" applyBorder="1" applyFont="1" applyNumberFormat="1">
      <alignment horizontal="left" vertical="bottom"/>
    </xf>
    <xf borderId="4" fillId="0" fontId="8" numFmtId="0" xfId="0" applyAlignment="1" applyBorder="1" applyFont="1">
      <alignment vertical="bottom"/>
    </xf>
    <xf borderId="4" fillId="0" fontId="9" numFmtId="0" xfId="0" applyAlignment="1" applyBorder="1" applyFont="1">
      <alignment horizontal="left" vertical="bottom"/>
    </xf>
    <xf borderId="3" fillId="5" fontId="2" numFmtId="0" xfId="0" applyAlignment="1" applyBorder="1" applyFont="1">
      <alignment horizontal="right" vertical="bottom"/>
    </xf>
    <xf borderId="0" fillId="6" fontId="8" numFmtId="0" xfId="0" applyAlignment="1" applyFont="1">
      <alignment vertical="bottom"/>
    </xf>
    <xf borderId="4" fillId="3" fontId="9" numFmtId="0" xfId="0" applyAlignment="1" applyBorder="1" applyFont="1">
      <alignment horizontal="left" vertical="bottom"/>
    </xf>
    <xf borderId="5" fillId="6" fontId="8" numFmtId="0" xfId="0" applyAlignment="1" applyBorder="1" applyFont="1">
      <alignment vertical="bottom"/>
    </xf>
    <xf borderId="4" fillId="6" fontId="5" numFmtId="9" xfId="0" applyAlignment="1" applyBorder="1" applyFont="1" applyNumberFormat="1">
      <alignment vertical="bottom"/>
    </xf>
    <xf borderId="5" fillId="7" fontId="2" numFmtId="0" xfId="0" applyAlignment="1" applyBorder="1" applyFont="1">
      <alignment vertical="bottom"/>
    </xf>
    <xf borderId="4" fillId="7" fontId="5" numFmtId="0" xfId="0" applyAlignment="1" applyBorder="1" applyFont="1">
      <alignment horizontal="left" shrinkToFit="0" vertical="bottom" wrapText="1"/>
    </xf>
    <xf borderId="4" fillId="0" fontId="9" numFmtId="3" xfId="0" applyAlignment="1" applyBorder="1" applyFont="1" applyNumberFormat="1">
      <alignment horizontal="left" vertical="bottom"/>
    </xf>
    <xf borderId="3" fillId="0" fontId="5" numFmtId="3" xfId="0" applyAlignment="1" applyBorder="1" applyFont="1" applyNumberFormat="1">
      <alignment vertical="bottom"/>
    </xf>
    <xf borderId="0" fillId="0" fontId="7" numFmtId="0" xfId="0" applyAlignment="1" applyFont="1">
      <alignment vertical="bottom"/>
    </xf>
    <xf borderId="0" fillId="0" fontId="5" numFmtId="0" xfId="0" applyAlignment="1" applyFont="1">
      <alignment shrinkToFit="0" vertical="bottom" wrapText="1"/>
    </xf>
    <xf borderId="5" fillId="8" fontId="2" numFmtId="0" xfId="0" applyAlignment="1" applyBorder="1" applyFont="1">
      <alignment vertical="bottom"/>
    </xf>
    <xf borderId="10" fillId="8" fontId="2" numFmtId="0" xfId="0" applyAlignment="1" applyBorder="1" applyFont="1">
      <alignment horizontal="left" vertical="bottom"/>
    </xf>
    <xf borderId="4" fillId="8" fontId="2" numFmtId="0" xfId="0" applyAlignment="1" applyBorder="1" applyFont="1">
      <alignment horizontal="left" vertical="bottom"/>
    </xf>
    <xf borderId="4" fillId="10" fontId="9" numFmtId="9" xfId="0" applyAlignment="1" applyBorder="1" applyFill="1" applyFont="1" applyNumberFormat="1">
      <alignment horizontal="left" vertical="bottom"/>
    </xf>
    <xf borderId="11" fillId="4" fontId="7" numFmtId="0" xfId="0" applyAlignment="1" applyBorder="1" applyFont="1">
      <alignment horizontal="left" vertical="bottom"/>
    </xf>
    <xf borderId="4" fillId="4" fontId="7" numFmtId="0" xfId="0" applyAlignment="1" applyBorder="1" applyFont="1">
      <alignment horizontal="right" vertical="bottom"/>
    </xf>
    <xf borderId="5" fillId="5" fontId="2" numFmtId="0" xfId="0" applyAlignment="1" applyBorder="1" applyFont="1">
      <alignment vertical="bottom"/>
    </xf>
    <xf borderId="4" fillId="5" fontId="2" numFmtId="0" xfId="0" applyAlignment="1" applyBorder="1" applyFont="1">
      <alignment horizontal="right" vertical="bottom"/>
    </xf>
    <xf borderId="0" fillId="0" fontId="7" numFmtId="0" xfId="0" applyAlignment="1" applyFont="1">
      <alignment horizontal="left" vertical="bottom"/>
    </xf>
    <xf borderId="0" fillId="2" fontId="10" numFmtId="0" xfId="0" applyAlignment="1" applyFont="1">
      <alignment horizontal="center" vertical="bottom"/>
    </xf>
    <xf borderId="0" fillId="2" fontId="11" numFmtId="0" xfId="0" applyAlignment="1" applyFont="1">
      <alignment horizontal="center" vertical="bottom"/>
    </xf>
    <xf borderId="0" fillId="2" fontId="6" numFmtId="0" xfId="0" applyAlignment="1" applyFont="1">
      <alignment horizontal="left" vertical="bottom"/>
    </xf>
    <xf borderId="0" fillId="2" fontId="6" numFmtId="0" xfId="0" applyAlignment="1" applyFont="1">
      <alignment horizontal="center" readingOrder="0" vertical="bottom"/>
    </xf>
    <xf borderId="0" fillId="2" fontId="1" numFmtId="0" xfId="0" applyAlignment="1" applyFont="1">
      <alignment horizontal="center" vertical="bottom"/>
    </xf>
    <xf borderId="0" fillId="2" fontId="1" numFmtId="0" xfId="0" applyAlignment="1" applyFont="1">
      <alignment horizontal="center" shrinkToFit="0" vertical="bottom" wrapText="1"/>
    </xf>
    <xf borderId="0" fillId="0" fontId="5" numFmtId="167" xfId="0" applyAlignment="1" applyFont="1" applyNumberFormat="1">
      <alignment horizontal="left" vertical="bottom"/>
    </xf>
    <xf borderId="0" fillId="3" fontId="7" numFmtId="0" xfId="0" applyAlignment="1" applyFont="1">
      <alignment horizontal="left" readingOrder="0" vertical="bottom"/>
    </xf>
    <xf borderId="0" fillId="3" fontId="12" numFmtId="0" xfId="0" applyAlignment="1" applyFont="1">
      <alignment readingOrder="0" shrinkToFit="0" wrapText="1"/>
    </xf>
    <xf borderId="0" fillId="3" fontId="13" numFmtId="0" xfId="0" applyAlignment="1" applyFont="1">
      <alignment readingOrder="0" shrinkToFit="0" wrapText="1"/>
    </xf>
    <xf borderId="0" fillId="3" fontId="14" numFmtId="0" xfId="0" applyAlignment="1" applyFont="1">
      <alignment horizontal="left" readingOrder="0"/>
    </xf>
    <xf borderId="0" fillId="3" fontId="15" numFmtId="0" xfId="0" applyAlignment="1" applyFont="1">
      <alignment readingOrder="0"/>
    </xf>
    <xf borderId="0" fillId="0" fontId="5" numFmtId="0" xfId="0" applyAlignment="1" applyFont="1">
      <alignment horizontal="left" vertical="bottom"/>
    </xf>
    <xf borderId="0" fillId="3" fontId="2" numFmtId="0" xfId="0" applyAlignment="1" applyFont="1">
      <alignment horizontal="left" readingOrder="0" vertical="bottom"/>
    </xf>
    <xf borderId="0" fillId="0" fontId="2" numFmtId="0" xfId="0" applyAlignment="1" applyFont="1">
      <alignment horizontal="left" readingOrder="0" vertical="bottom"/>
    </xf>
    <xf borderId="0" fillId="3" fontId="7" numFmtId="165" xfId="0" applyAlignment="1" applyFont="1" applyNumberFormat="1">
      <alignment horizontal="left" readingOrder="0" vertical="bottom"/>
    </xf>
    <xf borderId="0" fillId="3" fontId="2" numFmtId="165" xfId="0" applyAlignment="1" applyFont="1" applyNumberFormat="1">
      <alignment horizontal="left" readingOrder="0" vertical="bottom"/>
    </xf>
    <xf borderId="0" fillId="0" fontId="5" numFmtId="166" xfId="0" applyAlignment="1" applyFont="1" applyNumberFormat="1">
      <alignment horizontal="left" vertical="bottom"/>
    </xf>
    <xf borderId="0" fillId="0" fontId="5" numFmtId="168"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0" fontId="5" numFmtId="0" xfId="0" applyAlignment="1" applyFont="1">
      <alignment horizontal="left" readingOrder="0" vertical="bottom"/>
    </xf>
    <xf borderId="0" fillId="0" fontId="5" numFmtId="0" xfId="0" applyAlignment="1" applyFont="1">
      <alignment readingOrder="0" shrinkToFit="0" vertical="bottom" wrapText="1"/>
    </xf>
    <xf borderId="0" fillId="3" fontId="5" numFmtId="0" xfId="0" applyAlignment="1" applyFont="1">
      <alignment horizontal="left" readingOrder="0" vertical="bottom"/>
    </xf>
    <xf borderId="0" fillId="3" fontId="5" numFmtId="0" xfId="0" applyAlignment="1" applyFont="1">
      <alignment horizontal="left" vertical="bottom"/>
    </xf>
    <xf borderId="0" fillId="3" fontId="12" numFmtId="0" xfId="0" applyAlignment="1" applyFont="1">
      <alignment readingOrder="0"/>
    </xf>
    <xf borderId="0" fillId="3" fontId="16" numFmtId="0" xfId="0" applyAlignment="1" applyFont="1">
      <alignment readingOrder="0"/>
    </xf>
    <xf borderId="0" fillId="11" fontId="12" numFmtId="0" xfId="0" applyAlignment="1" applyFill="1" applyFont="1">
      <alignment readingOrder="0"/>
    </xf>
    <xf borderId="0" fillId="3" fontId="14" numFmtId="0" xfId="0" applyAlignment="1" applyFont="1">
      <alignment readingOrder="0"/>
    </xf>
    <xf borderId="0" fillId="3" fontId="7" numFmtId="165" xfId="0" applyAlignment="1" applyFont="1" applyNumberFormat="1">
      <alignment horizontal="left" vertical="bottom"/>
    </xf>
    <xf borderId="0" fillId="3" fontId="2" numFmtId="165" xfId="0" applyAlignment="1" applyFont="1" applyNumberFormat="1">
      <alignment horizontal="left" vertical="bottom"/>
    </xf>
    <xf borderId="0" fillId="0" fontId="5" numFmtId="21" xfId="0" applyAlignment="1" applyFont="1" applyNumberFormat="1">
      <alignment horizontal="left" readingOrder="0" vertical="bottom"/>
    </xf>
    <xf borderId="0" fillId="3" fontId="5" numFmtId="0" xfId="0" applyAlignment="1" applyFont="1">
      <alignment horizontal="left" readingOrder="0" vertical="bottom"/>
    </xf>
    <xf borderId="0" fillId="11" fontId="17" numFmtId="0" xfId="0" applyAlignment="1" applyFont="1">
      <alignment readingOrder="0"/>
    </xf>
    <xf borderId="0" fillId="3" fontId="18"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3" fontId="21" numFmtId="0" xfId="0" applyAlignment="1" applyFont="1">
      <alignment horizontal="left" readingOrder="0" shrinkToFit="0" wrapText="0"/>
    </xf>
    <xf borderId="0" fillId="0" fontId="21" numFmtId="0" xfId="0" applyAlignment="1" applyFont="1">
      <alignment horizontal="left" readingOrder="0"/>
    </xf>
    <xf borderId="0" fillId="3" fontId="22" numFmtId="0" xfId="0" applyAlignment="1" applyFont="1">
      <alignment horizontal="left" readingOrder="0" shrinkToFit="0" wrapText="0"/>
    </xf>
    <xf borderId="0" fillId="0" fontId="5" numFmtId="168" xfId="0" applyAlignment="1" applyFont="1" applyNumberFormat="1">
      <alignment horizontal="left" vertical="bottom"/>
    </xf>
    <xf borderId="0" fillId="0" fontId="5" numFmtId="0" xfId="0" applyAlignment="1" applyFont="1">
      <alignment horizontal="left" shrinkToFit="0" vertical="bottom" wrapText="1"/>
    </xf>
    <xf borderId="0" fillId="3" fontId="5" numFmtId="46" xfId="0" applyAlignment="1" applyFont="1" applyNumberFormat="1">
      <alignment horizontal="left" vertical="bottom"/>
    </xf>
    <xf borderId="0" fillId="3" fontId="23" numFmtId="0" xfId="0" applyAlignment="1" applyFont="1">
      <alignment readingOrder="0"/>
    </xf>
    <xf borderId="0" fillId="3" fontId="24" numFmtId="0" xfId="0" applyAlignment="1" applyFont="1">
      <alignment readingOrder="0"/>
    </xf>
    <xf borderId="0" fillId="3" fontId="7" numFmtId="169" xfId="0" applyAlignment="1" applyFont="1" applyNumberFormat="1">
      <alignment horizontal="left" readingOrder="0" vertical="bottom"/>
    </xf>
    <xf borderId="0" fillId="0" fontId="5" numFmtId="46" xfId="0" applyAlignment="1" applyFont="1" applyNumberFormat="1">
      <alignment horizontal="left" readingOrder="0" vertical="bottom"/>
    </xf>
    <xf borderId="0" fillId="0" fontId="5" numFmtId="46" xfId="0" applyAlignment="1" applyFont="1" applyNumberFormat="1">
      <alignment horizontal="left" vertical="bottom"/>
    </xf>
    <xf borderId="0" fillId="3" fontId="7" numFmtId="0" xfId="0" applyAlignment="1" applyFont="1">
      <alignment horizontal="left" readingOrder="0" shrinkToFit="0" vertical="bottom" wrapText="0"/>
    </xf>
    <xf borderId="0" fillId="3" fontId="12" numFmtId="0" xfId="0" applyAlignment="1" applyFont="1">
      <alignment horizontal="left" readingOrder="0" vertical="bottom"/>
    </xf>
    <xf borderId="0" fillId="0" fontId="25" numFmtId="0" xfId="0" applyAlignment="1" applyFont="1">
      <alignment horizontal="left" readingOrder="0" shrinkToFit="0" wrapText="0"/>
    </xf>
    <xf borderId="0" fillId="0" fontId="26" numFmtId="0" xfId="0" applyAlignment="1" applyFont="1">
      <alignment horizontal="left" readingOrder="0" shrinkToFit="0" wrapText="0"/>
    </xf>
    <xf borderId="0" fillId="0" fontId="27" numFmtId="0" xfId="0" applyAlignment="1" applyFont="1">
      <alignment readingOrder="0"/>
    </xf>
    <xf borderId="0" fillId="0" fontId="28" numFmtId="0" xfId="0" applyAlignment="1" applyFont="1">
      <alignment readingOrder="0"/>
    </xf>
    <xf borderId="0" fillId="3" fontId="25" numFmtId="0" xfId="0" applyAlignment="1" applyFont="1">
      <alignment horizontal="left" readingOrder="0" shrinkToFit="0" wrapText="0"/>
    </xf>
    <xf borderId="0" fillId="3" fontId="22" numFmtId="0" xfId="0" applyAlignment="1" applyFont="1">
      <alignment horizontal="left" shrinkToFit="0" wrapText="0"/>
    </xf>
    <xf borderId="0" fillId="3" fontId="26" numFmtId="0" xfId="0" applyAlignment="1" applyFont="1">
      <alignment horizontal="left" readingOrder="0" shrinkToFit="0" wrapText="0"/>
    </xf>
    <xf borderId="0" fillId="0" fontId="29" numFmtId="0" xfId="0" applyAlignment="1" applyFont="1">
      <alignment horizontal="left" readingOrder="0"/>
    </xf>
    <xf borderId="0" fillId="3" fontId="7" numFmtId="169" xfId="0" applyAlignment="1" applyFont="1" applyNumberFormat="1">
      <alignment horizontal="left" vertical="bottom"/>
    </xf>
    <xf borderId="0" fillId="3" fontId="2" numFmtId="0" xfId="0" applyAlignment="1" applyFont="1">
      <alignment horizontal="left" vertical="bottom"/>
    </xf>
    <xf borderId="0" fillId="3" fontId="7" numFmtId="0" xfId="0" applyAlignment="1" applyFont="1">
      <alignment horizontal="left" vertical="bottom"/>
    </xf>
    <xf borderId="0" fillId="0" fontId="2" numFmtId="0" xfId="0" applyAlignment="1" applyFont="1">
      <alignment horizontal="left" vertical="bottom"/>
    </xf>
    <xf borderId="0" fillId="3" fontId="7" numFmtId="0" xfId="0" applyAlignment="1" applyFont="1">
      <alignment horizontal="left" shrinkToFit="0" vertical="bottom" wrapText="0"/>
    </xf>
    <xf borderId="0" fillId="3" fontId="7" numFmtId="170" xfId="0" applyAlignment="1" applyFont="1" applyNumberFormat="1">
      <alignment horizontal="left" vertical="bottom"/>
    </xf>
    <xf borderId="0" fillId="3" fontId="2" numFmtId="170" xfId="0" applyAlignment="1" applyFont="1" applyNumberFormat="1">
      <alignment horizontal="left" vertical="bottom"/>
    </xf>
    <xf borderId="0" fillId="3" fontId="7" numFmtId="170" xfId="0" applyAlignment="1" applyFont="1" applyNumberFormat="1">
      <alignment horizontal="left" readingOrder="0" vertical="bottom"/>
    </xf>
    <xf borderId="0" fillId="3" fontId="2" numFmtId="170" xfId="0" applyAlignment="1" applyFont="1" applyNumberFormat="1">
      <alignment horizontal="left" readingOrder="0" vertical="bottom"/>
    </xf>
    <xf borderId="0" fillId="3" fontId="7" numFmtId="166" xfId="0" applyAlignment="1" applyFont="1" applyNumberFormat="1">
      <alignment horizontal="left" vertical="bottom"/>
    </xf>
    <xf borderId="0" fillId="3" fontId="5" numFmtId="166" xfId="0" applyAlignment="1" applyFont="1" applyNumberFormat="1">
      <alignment horizontal="left" vertical="bottom"/>
    </xf>
    <xf borderId="6" fillId="2" fontId="1" numFmtId="0" xfId="0" applyAlignment="1" applyBorder="1" applyFont="1">
      <alignment vertical="bottom"/>
    </xf>
    <xf borderId="8" fillId="4" fontId="2" numFmtId="0" xfId="0" applyAlignment="1" applyBorder="1" applyFont="1">
      <alignment vertical="bottom"/>
    </xf>
    <xf borderId="3" fillId="4" fontId="2" numFmtId="0" xfId="0" applyAlignment="1" applyBorder="1" applyFont="1">
      <alignment horizontal="right" vertical="bottom"/>
    </xf>
    <xf borderId="0" fillId="6" fontId="2" numFmtId="0" xfId="0" applyAlignment="1" applyFont="1">
      <alignment vertical="bottom"/>
    </xf>
    <xf borderId="0" fillId="9" fontId="9" numFmtId="0" xfId="0" applyAlignment="1" applyFont="1">
      <alignment vertical="bottom"/>
    </xf>
    <xf borderId="5" fillId="9" fontId="9" numFmtId="0" xfId="0" applyAlignment="1" applyBorder="1" applyFont="1">
      <alignment vertical="bottom"/>
    </xf>
    <xf borderId="4" fillId="0" fontId="9" numFmtId="0" xfId="0" applyAlignment="1" applyBorder="1" applyFont="1">
      <alignment vertical="bottom"/>
    </xf>
    <xf borderId="0" fillId="6" fontId="30" numFmtId="0" xfId="0" applyAlignment="1" applyFont="1">
      <alignment vertical="bottom"/>
    </xf>
    <xf borderId="5" fillId="6" fontId="30" numFmtId="0" xfId="0" applyAlignment="1" applyBorder="1" applyFont="1">
      <alignment vertical="bottom"/>
    </xf>
    <xf borderId="11" fillId="4" fontId="2" numFmtId="0" xfId="0" applyAlignment="1" applyBorder="1" applyFont="1">
      <alignment vertical="bottom"/>
    </xf>
    <xf borderId="4" fillId="4" fontId="2" numFmtId="0" xfId="0" applyAlignment="1" applyBorder="1" applyFont="1">
      <alignment horizontal="right" vertical="bottom"/>
    </xf>
    <xf borderId="0" fillId="0" fontId="31" numFmtId="0" xfId="0" applyAlignment="1" applyFont="1">
      <alignment readingOrder="0"/>
    </xf>
    <xf borderId="0" fillId="0" fontId="25" numFmtId="0" xfId="0" applyAlignment="1" applyFont="1">
      <alignment readingOrder="0"/>
    </xf>
    <xf borderId="0" fillId="3" fontId="2" numFmtId="169" xfId="0" applyAlignment="1" applyFont="1" applyNumberFormat="1">
      <alignment horizontal="left" readingOrder="0" vertical="bottom"/>
    </xf>
    <xf borderId="0" fillId="0" fontId="25" numFmtId="0" xfId="0" applyAlignment="1" applyFont="1">
      <alignment horizontal="left" readingOrder="0"/>
    </xf>
    <xf borderId="0" fillId="3" fontId="2" numFmtId="0" xfId="0" applyAlignment="1" applyFont="1">
      <alignment horizontal="left" readingOrder="0" shrinkToFit="0" vertical="bottom" wrapText="0"/>
    </xf>
    <xf borderId="0" fillId="3" fontId="26" numFmtId="0" xfId="0" applyAlignment="1" applyFont="1">
      <alignment horizontal="left" shrinkToFit="0" wrapText="0"/>
    </xf>
    <xf borderId="0" fillId="0" fontId="32" numFmtId="0" xfId="0" applyAlignment="1" applyFont="1">
      <alignment readingOrder="0"/>
    </xf>
    <xf borderId="0" fillId="3" fontId="2" numFmtId="169" xfId="0" applyAlignment="1" applyFont="1" applyNumberFormat="1">
      <alignment horizontal="left" vertical="bottom"/>
    </xf>
    <xf borderId="0" fillId="3" fontId="2" numFmtId="0" xfId="0" applyAlignment="1" applyFont="1">
      <alignment horizontal="left" shrinkToFit="0" vertical="bottom" wrapText="0"/>
    </xf>
    <xf borderId="0" fillId="12" fontId="33" numFmtId="0" xfId="0" applyAlignment="1" applyFill="1" applyFont="1">
      <alignment readingOrder="0" shrinkToFit="0" wrapText="1"/>
    </xf>
    <xf borderId="0" fillId="12" fontId="12" numFmtId="0" xfId="0" applyAlignment="1" applyFont="1">
      <alignment readingOrder="0"/>
    </xf>
    <xf borderId="0" fillId="3" fontId="34" numFmtId="0" xfId="0" applyAlignment="1" applyFont="1">
      <alignment readingOrder="0"/>
    </xf>
    <xf borderId="0" fillId="13" fontId="35" numFmtId="0" xfId="0" applyAlignment="1" applyFill="1" applyFont="1">
      <alignment readingOrder="0"/>
    </xf>
    <xf borderId="0" fillId="12" fontId="18" numFmtId="0" xfId="0" applyAlignment="1" applyFont="1">
      <alignment readingOrder="0"/>
    </xf>
    <xf borderId="0" fillId="13" fontId="18" numFmtId="0" xfId="0" applyAlignment="1" applyFont="1">
      <alignment readingOrder="0"/>
    </xf>
    <xf borderId="0" fillId="12" fontId="19" numFmtId="0" xfId="0" applyAlignment="1" applyFont="1">
      <alignment readingOrder="0"/>
    </xf>
    <xf borderId="0" fillId="12" fontId="33" numFmtId="0" xfId="0" applyAlignment="1" applyFont="1">
      <alignment readingOrder="0"/>
    </xf>
    <xf borderId="0" fillId="3" fontId="13" numFmtId="0" xfId="0" applyAlignment="1" applyFont="1">
      <alignment readingOrder="0"/>
    </xf>
    <xf borderId="0" fillId="13" fontId="36" numFmtId="0" xfId="0" applyAlignment="1" applyFont="1">
      <alignment horizontal="left" readingOrder="0" vertical="bottom"/>
    </xf>
    <xf borderId="0" fillId="13" fontId="2" numFmtId="0" xfId="0" applyAlignment="1" applyFont="1">
      <alignment horizontal="left" readingOrder="0" vertical="bottom"/>
    </xf>
    <xf borderId="0" fillId="12" fontId="36" numFmtId="0" xfId="0" applyAlignment="1" applyFont="1">
      <alignment horizontal="left" readingOrder="0" vertical="bottom"/>
    </xf>
    <xf borderId="0" fillId="12" fontId="2" numFmtId="0" xfId="0" applyAlignment="1" applyFont="1">
      <alignment horizontal="left" readingOrder="0" vertical="bottom"/>
    </xf>
    <xf borderId="0" fillId="12" fontId="5" numFmtId="0" xfId="0" applyAlignment="1" applyFont="1">
      <alignment horizontal="left" readingOrder="0" vertical="bottom"/>
    </xf>
    <xf borderId="0" fillId="0" fontId="37" numFmtId="0" xfId="0" applyAlignment="1" applyFont="1">
      <alignment readingOrder="0"/>
    </xf>
    <xf borderId="0" fillId="0" fontId="38" numFmtId="0" xfId="0" applyAlignment="1" applyFont="1">
      <alignment readingOrder="0"/>
    </xf>
    <xf borderId="0" fillId="12" fontId="39" numFmtId="0" xfId="0" applyAlignment="1" applyFont="1">
      <alignment horizontal="left" readingOrder="0" vertical="bottom"/>
    </xf>
    <xf borderId="0" fillId="3" fontId="40" numFmtId="0" xfId="0" applyAlignment="1" applyFont="1">
      <alignment horizontal="right" readingOrder="0" vertical="bottom"/>
    </xf>
    <xf borderId="0" fillId="3" fontId="41" numFmtId="0" xfId="0" applyAlignment="1" applyFont="1">
      <alignment horizontal="left" readingOrder="0" shrinkToFit="0" wrapText="0"/>
    </xf>
    <xf borderId="0" fillId="13" fontId="35" numFmtId="0" xfId="0" applyAlignment="1" applyFont="1">
      <alignment horizontal="left" readingOrder="0" vertical="bottom"/>
    </xf>
    <xf borderId="0" fillId="3" fontId="40" numFmtId="0" xfId="0" applyAlignment="1" applyFont="1">
      <alignment horizontal="left" readingOrder="0" vertical="bottom"/>
    </xf>
    <xf borderId="0" fillId="0" fontId="5" numFmtId="165" xfId="0" applyAlignment="1" applyFont="1" applyNumberFormat="1">
      <alignment vertical="bottom"/>
    </xf>
    <xf borderId="0" fillId="12" fontId="42" numFmtId="0" xfId="0" applyAlignment="1" applyFont="1">
      <alignment readingOrder="0" shrinkToFit="0" wrapText="1"/>
    </xf>
    <xf borderId="0" fillId="11" fontId="43" numFmtId="0" xfId="0" applyAlignment="1" applyFont="1">
      <alignment readingOrder="0" shrinkToFit="0" wrapText="1"/>
    </xf>
    <xf borderId="0" fillId="13" fontId="12" numFmtId="0" xfId="0" applyAlignment="1" applyFont="1">
      <alignment readingOrder="0" shrinkToFit="0" wrapText="1"/>
    </xf>
    <xf borderId="0" fillId="3" fontId="13" numFmtId="0" xfId="0" applyAlignment="1" applyFont="1">
      <alignment readingOrder="0"/>
    </xf>
    <xf borderId="0" fillId="0" fontId="44" numFmtId="0" xfId="0" applyAlignment="1" applyFont="1">
      <alignment readingOrder="0" shrinkToFit="0" wrapText="1"/>
    </xf>
    <xf borderId="0" fillId="13" fontId="12" numFmtId="0" xfId="0" applyAlignment="1" applyFont="1">
      <alignment readingOrder="0"/>
    </xf>
    <xf borderId="0" fillId="0" fontId="45" numFmtId="0" xfId="0" applyAlignment="1" applyFont="1">
      <alignment readingOrder="0" shrinkToFit="0" wrapText="1"/>
    </xf>
    <xf borderId="0" fillId="12" fontId="38" numFmtId="0" xfId="0" applyAlignment="1" applyFont="1">
      <alignment readingOrder="0"/>
    </xf>
    <xf borderId="0" fillId="3" fontId="46" numFmtId="0" xfId="0" applyAlignment="1" applyFont="1">
      <alignment readingOrder="0"/>
    </xf>
    <xf borderId="0" fillId="13" fontId="47" numFmtId="0" xfId="0" applyAlignment="1" applyFont="1">
      <alignment readingOrder="0"/>
    </xf>
    <xf borderId="0" fillId="11" fontId="48" numFmtId="0" xfId="0" applyAlignment="1" applyFont="1">
      <alignment readingOrder="0"/>
    </xf>
    <xf borderId="0" fillId="13" fontId="19" numFmtId="0" xfId="0" applyAlignment="1" applyFont="1">
      <alignment readingOrder="0"/>
    </xf>
    <xf borderId="0" fillId="11" fontId="49" numFmtId="0" xfId="0" applyAlignment="1" applyFont="1">
      <alignment readingOrder="0"/>
    </xf>
    <xf borderId="0" fillId="3" fontId="50" numFmtId="0" xfId="0" applyAlignment="1" applyFont="1">
      <alignment horizontal="left" readingOrder="0" shrinkToFit="0" wrapText="0"/>
    </xf>
    <xf borderId="0" fillId="11" fontId="51" numFmtId="0" xfId="0" applyAlignment="1" applyFont="1">
      <alignment readingOrder="0"/>
    </xf>
    <xf borderId="0" fillId="3" fontId="52" numFmtId="0" xfId="0" applyAlignment="1" applyFont="1">
      <alignment horizontal="left" readingOrder="0" shrinkToFit="0" wrapText="0"/>
    </xf>
    <xf borderId="0" fillId="3" fontId="53" numFmtId="0" xfId="0" applyAlignment="1" applyFont="1">
      <alignment readingOrder="0"/>
    </xf>
    <xf borderId="0" fillId="13" fontId="5" numFmtId="0" xfId="0" applyAlignment="1" applyFont="1">
      <alignment horizontal="left" readingOrder="0" vertical="bottom"/>
    </xf>
    <xf borderId="0" fillId="3" fontId="54" numFmtId="0" xfId="0" applyAlignment="1" applyFont="1">
      <alignment horizontal="left" readingOrder="0" shrinkToFit="0" wrapText="0"/>
    </xf>
    <xf borderId="0" fillId="0" fontId="55" numFmtId="0" xfId="0" applyAlignment="1" applyFont="1">
      <alignment horizontal="left" readingOrder="0"/>
    </xf>
    <xf borderId="0" fillId="13" fontId="56" numFmtId="0" xfId="0" applyAlignment="1" applyFont="1">
      <alignment readingOrder="0"/>
    </xf>
    <xf borderId="0" fillId="3" fontId="57" numFmtId="0" xfId="0" applyAlignment="1" applyFont="1">
      <alignment readingOrder="0"/>
    </xf>
    <xf borderId="0" fillId="3" fontId="23" numFmtId="0" xfId="0" applyAlignment="1" applyFont="1">
      <alignment horizontal="right" readingOrder="0"/>
    </xf>
    <xf borderId="0" fillId="11" fontId="58" numFmtId="0" xfId="0" applyAlignment="1" applyFont="1">
      <alignment readingOrder="0" shrinkToFit="0" wrapText="1"/>
    </xf>
    <xf borderId="0" fillId="3" fontId="23" numFmtId="0" xfId="0" applyFont="1"/>
    <xf borderId="0" fillId="0" fontId="5" numFmtId="0" xfId="0" applyAlignment="1" applyFont="1">
      <alignment readingOrder="0" vertical="bottom"/>
    </xf>
    <xf borderId="0" fillId="12" fontId="59" numFmtId="0" xfId="0" applyAlignment="1" applyFont="1">
      <alignment readingOrder="0" shrinkToFit="0" wrapText="1"/>
    </xf>
    <xf borderId="0" fillId="0" fontId="5" numFmtId="0" xfId="0" applyAlignment="1" applyFont="1">
      <alignment shrinkToFit="0" vertical="bottom" wrapText="1"/>
    </xf>
    <xf borderId="0" fillId="3" fontId="2" numFmtId="171" xfId="0" applyAlignment="1" applyFont="1" applyNumberFormat="1">
      <alignment horizontal="left" readingOrder="0" vertical="bottom"/>
    </xf>
    <xf borderId="0" fillId="12" fontId="60" numFmtId="0" xfId="0" applyAlignment="1" applyFont="1">
      <alignment readingOrder="0" shrinkToFit="0" wrapText="1"/>
    </xf>
    <xf borderId="0" fillId="12" fontId="59" numFmtId="0" xfId="0" applyAlignment="1" applyFont="1">
      <alignment readingOrder="0"/>
    </xf>
    <xf borderId="0" fillId="13" fontId="61" numFmtId="0" xfId="0" applyAlignment="1" applyFont="1">
      <alignment readingOrder="0"/>
    </xf>
    <xf borderId="0" fillId="12" fontId="62" numFmtId="0" xfId="0" applyAlignment="1" applyFont="1">
      <alignment readingOrder="0"/>
    </xf>
    <xf borderId="0" fillId="0" fontId="19" numFmtId="172" xfId="0" applyAlignment="1" applyFont="1" applyNumberFormat="1">
      <alignment horizontal="left" readingOrder="0"/>
    </xf>
    <xf borderId="0" fillId="13" fontId="63" numFmtId="0" xfId="0" applyAlignment="1" applyFont="1">
      <alignment readingOrder="0"/>
    </xf>
    <xf borderId="0" fillId="13" fontId="64" numFmtId="0" xfId="0" applyAlignment="1" applyFont="1">
      <alignment readingOrder="0"/>
    </xf>
    <xf borderId="0" fillId="13" fontId="65" numFmtId="0" xfId="0" applyAlignment="1" applyFont="1">
      <alignment readingOrder="0"/>
    </xf>
    <xf borderId="0" fillId="13" fontId="8" numFmtId="0" xfId="0" applyAlignment="1" applyFont="1">
      <alignment horizontal="left" readingOrder="0" vertical="bottom"/>
    </xf>
    <xf borderId="0" fillId="2" fontId="2" numFmtId="0" xfId="0" applyAlignment="1" applyFont="1">
      <alignment horizontal="left" readingOrder="0" vertical="bottom"/>
    </xf>
    <xf borderId="0" fillId="13" fontId="23" numFmtId="0" xfId="0" applyAlignment="1" applyFont="1">
      <alignment readingOrder="0"/>
    </xf>
    <xf borderId="0" fillId="12" fontId="23" numFmtId="0" xfId="0" applyAlignment="1" applyFont="1">
      <alignment readingOrder="0"/>
    </xf>
    <xf borderId="0" fillId="12" fontId="64" numFmtId="0" xfId="0" applyAlignment="1" applyFont="1">
      <alignment readingOrder="0"/>
    </xf>
    <xf borderId="0" fillId="12" fontId="66" numFmtId="0" xfId="0" applyAlignment="1" applyFont="1">
      <alignment readingOrder="0"/>
    </xf>
    <xf borderId="0" fillId="3" fontId="66" numFmtId="0" xfId="0" applyFont="1"/>
    <xf borderId="0" fillId="2" fontId="11" numFmtId="0" xfId="0" applyAlignment="1" applyFont="1">
      <alignment vertical="bottom"/>
    </xf>
    <xf borderId="5" fillId="2" fontId="1" numFmtId="0" xfId="0" applyAlignment="1" applyBorder="1" applyFont="1">
      <alignment readingOrder="0" vertical="bottom"/>
    </xf>
    <xf borderId="12" fillId="14" fontId="2" numFmtId="0" xfId="0" applyAlignment="1" applyBorder="1" applyFill="1" applyFont="1">
      <alignment vertical="bottom"/>
    </xf>
    <xf borderId="1" fillId="14" fontId="2" numFmtId="165" xfId="0" applyAlignment="1" applyBorder="1" applyFont="1" applyNumberFormat="1">
      <alignment horizontal="right" vertical="bottom"/>
    </xf>
    <xf borderId="0" fillId="8" fontId="2" numFmtId="0" xfId="0" applyAlignment="1" applyFont="1">
      <alignment readingOrder="0" vertical="bottom"/>
    </xf>
    <xf borderId="8" fillId="14" fontId="2" numFmtId="0" xfId="0" applyAlignment="1" applyBorder="1" applyFont="1">
      <alignment vertical="bottom"/>
    </xf>
    <xf borderId="3" fillId="14" fontId="2" numFmtId="165" xfId="0" applyAlignment="1" applyBorder="1" applyFont="1" applyNumberFormat="1">
      <alignment horizontal="right" vertical="bottom"/>
    </xf>
    <xf borderId="3" fillId="14" fontId="2" numFmtId="4" xfId="0" applyAlignment="1" applyBorder="1" applyFont="1" applyNumberFormat="1">
      <alignment horizontal="right" vertical="bottom"/>
    </xf>
    <xf borderId="3" fillId="14" fontId="2" numFmtId="0" xfId="0" applyAlignment="1" applyBorder="1" applyFont="1">
      <alignment horizontal="right" vertical="bottom"/>
    </xf>
    <xf borderId="3" fillId="14" fontId="2" numFmtId="2" xfId="0" applyAlignment="1" applyBorder="1" applyFont="1" applyNumberFormat="1">
      <alignment horizontal="right" vertical="bottom"/>
    </xf>
    <xf borderId="8" fillId="14" fontId="5" numFmtId="0" xfId="0" applyAlignment="1" applyBorder="1" applyFont="1">
      <alignment vertical="bottom"/>
    </xf>
    <xf borderId="3" fillId="14" fontId="5" numFmtId="0" xfId="0" applyAlignment="1" applyBorder="1" applyFont="1">
      <alignment vertical="bottom"/>
    </xf>
    <xf borderId="11" fillId="14" fontId="5" numFmtId="0" xfId="0" applyAlignment="1" applyBorder="1" applyFont="1">
      <alignment vertical="bottom"/>
    </xf>
    <xf borderId="4" fillId="14" fontId="5" numFmtId="0" xfId="0" applyAlignment="1" applyBorder="1" applyFont="1">
      <alignment vertical="bottom"/>
    </xf>
    <xf borderId="0" fillId="15" fontId="23" numFmtId="0" xfId="0" applyAlignment="1" applyFill="1" applyFont="1">
      <alignment readingOrder="0"/>
    </xf>
    <xf borderId="0" fillId="3" fontId="64" numFmtId="0" xfId="0" applyAlignment="1" applyFont="1">
      <alignment readingOrder="0"/>
    </xf>
    <xf borderId="0" fillId="3" fontId="67" numFmtId="0" xfId="0" applyAlignment="1" applyFont="1">
      <alignment readingOrder="0"/>
    </xf>
    <xf borderId="0" fillId="12" fontId="68" numFmtId="0" xfId="0" applyAlignment="1" applyFont="1">
      <alignment readingOrder="0"/>
    </xf>
    <xf borderId="0" fillId="3" fontId="23" numFmtId="0" xfId="0" applyAlignment="1" applyFont="1">
      <alignment horizontal="left" readingOrder="0"/>
    </xf>
    <xf borderId="0" fillId="3" fontId="66" numFmtId="0" xfId="0" applyAlignment="1" applyFont="1">
      <alignment readingOrder="0"/>
    </xf>
    <xf borderId="0" fillId="13" fontId="66" numFmtId="0" xfId="0" applyAlignment="1" applyFont="1">
      <alignment readingOrder="0"/>
    </xf>
    <xf borderId="0" fillId="3" fontId="64" numFmtId="0" xfId="0" applyFont="1"/>
    <xf borderId="0" fillId="13" fontId="69" numFmtId="0" xfId="0" applyAlignment="1" applyFont="1">
      <alignment readingOrder="0"/>
    </xf>
    <xf borderId="0" fillId="0" fontId="12" numFmtId="0" xfId="0" applyAlignment="1" applyFont="1">
      <alignment readingOrder="0" shrinkToFit="0" wrapText="1"/>
    </xf>
    <xf borderId="0" fillId="0" fontId="70" numFmtId="0" xfId="0" applyAlignment="1" applyFont="1">
      <alignment readingOrder="0"/>
    </xf>
    <xf borderId="0" fillId="2" fontId="5" numFmtId="0" xfId="0" applyAlignment="1" applyFont="1">
      <alignment horizontal="left" readingOrder="0" vertical="bottom"/>
    </xf>
    <xf borderId="0" fillId="3" fontId="12" numFmtId="0" xfId="0" applyAlignment="1" applyFont="1">
      <alignment horizontal="left" readingOrder="0"/>
    </xf>
    <xf borderId="0" fillId="15" fontId="66" numFmtId="0" xfId="0" applyAlignment="1" applyFont="1">
      <alignment readingOrder="0"/>
    </xf>
    <xf borderId="0" fillId="0" fontId="66" numFmtId="0" xfId="0" applyAlignment="1" applyFont="1">
      <alignment readingOrder="0"/>
    </xf>
    <xf borderId="0" fillId="2" fontId="66" numFmtId="0" xfId="0" applyAlignment="1" applyFont="1">
      <alignment readingOrder="0"/>
    </xf>
    <xf borderId="0" fillId="3" fontId="71" numFmtId="0" xfId="0" applyAlignment="1" applyFont="1">
      <alignment readingOrder="0"/>
    </xf>
    <xf borderId="0" fillId="3" fontId="72" numFmtId="0" xfId="0" applyAlignment="1" applyFont="1">
      <alignment readingOrder="0"/>
    </xf>
    <xf borderId="0" fillId="0" fontId="40" numFmtId="0" xfId="0" applyAlignment="1" applyFont="1">
      <alignment horizontal="left" readingOrder="0"/>
    </xf>
    <xf borderId="0" fillId="3" fontId="42" numFmtId="0" xfId="0" applyAlignment="1" applyFont="1">
      <alignment readingOrder="0"/>
    </xf>
    <xf borderId="0" fillId="3" fontId="65" numFmtId="0" xfId="0" applyAlignment="1" applyFont="1">
      <alignment readingOrder="0"/>
    </xf>
    <xf borderId="0" fillId="0" fontId="73" numFmtId="0" xfId="0" applyAlignment="1" applyFont="1">
      <alignment horizontal="left" readingOrder="0"/>
    </xf>
    <xf borderId="0" fillId="3" fontId="68" numFmtId="0" xfId="0" applyAlignment="1" applyFont="1">
      <alignment readingOrder="0"/>
    </xf>
    <xf borderId="0" fillId="3" fontId="74" numFmtId="0" xfId="0" applyAlignment="1" applyFont="1">
      <alignment readingOrder="0"/>
    </xf>
    <xf borderId="0" fillId="2" fontId="10" numFmtId="173" xfId="0" applyAlignment="1" applyFont="1" applyNumberFormat="1">
      <alignment horizontal="center" vertical="bottom"/>
    </xf>
    <xf borderId="0" fillId="3" fontId="7" numFmtId="174" xfId="0" applyAlignment="1" applyFont="1" applyNumberFormat="1">
      <alignment horizontal="left" readingOrder="0" vertical="bottom"/>
    </xf>
    <xf borderId="0" fillId="0" fontId="20" numFmtId="174" xfId="0" applyAlignment="1" applyFont="1" applyNumberFormat="1">
      <alignment horizontal="left" readingOrder="0"/>
    </xf>
    <xf borderId="0" fillId="0" fontId="5" numFmtId="165" xfId="0" applyAlignment="1" applyFont="1" applyNumberFormat="1">
      <alignment horizontal="left" readingOrder="0" vertical="bottom"/>
    </xf>
    <xf borderId="0" fillId="3" fontId="75" numFmtId="0" xfId="0" applyAlignment="1" applyFont="1">
      <alignment readingOrder="0"/>
    </xf>
    <xf borderId="0" fillId="0" fontId="38" numFmtId="165" xfId="0" applyAlignment="1" applyFont="1" applyNumberFormat="1">
      <alignment readingOrder="0"/>
    </xf>
    <xf borderId="0" fillId="3" fontId="5" numFmtId="165" xfId="0" applyAlignment="1" applyFont="1" applyNumberFormat="1">
      <alignment horizontal="left" readingOrder="0" vertical="bottom"/>
    </xf>
    <xf borderId="0" fillId="3" fontId="5" numFmtId="165" xfId="0" applyAlignment="1" applyFont="1" applyNumberFormat="1">
      <alignment readingOrder="0" vertical="bottom"/>
    </xf>
    <xf borderId="0" fillId="3" fontId="5" numFmtId="165" xfId="0" applyAlignment="1" applyFont="1" applyNumberFormat="1">
      <alignment vertical="bottom"/>
    </xf>
    <xf borderId="0" fillId="3" fontId="76" numFmtId="0" xfId="0" applyAlignment="1" applyFont="1">
      <alignment readingOrder="0"/>
    </xf>
    <xf borderId="0" fillId="0" fontId="12" numFmtId="0" xfId="0" applyAlignment="1" applyFont="1">
      <alignment readingOrder="0" vertical="bottom"/>
    </xf>
    <xf borderId="0" fillId="0" fontId="9" numFmtId="0" xfId="0" applyAlignment="1" applyFont="1">
      <alignment horizontal="left" readingOrder="0" vertical="bottom"/>
    </xf>
    <xf borderId="0" fillId="0" fontId="30"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instagram.com/nanna_kjeldsen_/" TargetMode="External"/><Relationship Id="rId22" Type="http://schemas.openxmlformats.org/officeDocument/2006/relationships/hyperlink" Target="https://www.instagram.com/tobiaspoulsen_/" TargetMode="External"/><Relationship Id="rId21" Type="http://schemas.openxmlformats.org/officeDocument/2006/relationships/hyperlink" Target="https://www.instagram.com/kristianantonsen82/" TargetMode="External"/><Relationship Id="rId24" Type="http://schemas.openxmlformats.org/officeDocument/2006/relationships/hyperlink" Target="https://www.instagram.com/anjamaerker/" TargetMode="External"/><Relationship Id="rId23" Type="http://schemas.openxmlformats.org/officeDocument/2006/relationships/hyperlink" Target="https://www.instagram.com/lauridsenlucas/" TargetMode="External"/><Relationship Id="rId1" Type="http://schemas.openxmlformats.org/officeDocument/2006/relationships/comments" Target="../comments4.xml"/><Relationship Id="rId2" Type="http://schemas.openxmlformats.org/officeDocument/2006/relationships/hyperlink" Target="https://www.instagram.com/emma__knudsen/" TargetMode="External"/><Relationship Id="rId3" Type="http://schemas.openxmlformats.org/officeDocument/2006/relationships/hyperlink" Target="https://www.instagram.com/a_kvist/" TargetMode="External"/><Relationship Id="rId4" Type="http://schemas.openxmlformats.org/officeDocument/2006/relationships/hyperlink" Target="https://www.instagram.com/miastockel/" TargetMode="External"/><Relationship Id="rId9" Type="http://schemas.openxmlformats.org/officeDocument/2006/relationships/hyperlink" Target="https://www.instagram.com/lohse_fyren/" TargetMode="External"/><Relationship Id="rId26" Type="http://schemas.openxmlformats.org/officeDocument/2006/relationships/hyperlink" Target="https://www.instagram.com/ziggysaaby/" TargetMode="External"/><Relationship Id="rId25" Type="http://schemas.openxmlformats.org/officeDocument/2006/relationships/hyperlink" Target="https://www.instagram.com/mark5900/" TargetMode="External"/><Relationship Id="rId28" Type="http://schemas.openxmlformats.org/officeDocument/2006/relationships/hyperlink" Target="https://www.instagram.com/madshkonrad/" TargetMode="External"/><Relationship Id="rId27" Type="http://schemas.openxmlformats.org/officeDocument/2006/relationships/hyperlink" Target="https://www.instagram.com/c_fraehr/" TargetMode="External"/><Relationship Id="rId5" Type="http://schemas.openxmlformats.org/officeDocument/2006/relationships/hyperlink" Target="https://www.instagram.com/mariechristina75/" TargetMode="External"/><Relationship Id="rId6" Type="http://schemas.openxmlformats.org/officeDocument/2006/relationships/hyperlink" Target="https://www.instagram.com/nannacajar/" TargetMode="External"/><Relationship Id="rId29" Type="http://schemas.openxmlformats.org/officeDocument/2006/relationships/hyperlink" Target="https://www.instagram.com/albert_speth/" TargetMode="External"/><Relationship Id="rId7" Type="http://schemas.openxmlformats.org/officeDocument/2006/relationships/hyperlink" Target="https://www.instagram.com/mayabetaklaursen/" TargetMode="External"/><Relationship Id="rId8" Type="http://schemas.openxmlformats.org/officeDocument/2006/relationships/hyperlink" Target="https://www.instagram.com/merle_iversen_/" TargetMode="External"/><Relationship Id="rId31" Type="http://schemas.openxmlformats.org/officeDocument/2006/relationships/vmlDrawing" Target="../drawings/vmlDrawing4.vml"/><Relationship Id="rId30" Type="http://schemas.openxmlformats.org/officeDocument/2006/relationships/drawing" Target="../drawings/drawing5.xml"/><Relationship Id="rId11" Type="http://schemas.openxmlformats.org/officeDocument/2006/relationships/hyperlink" Target="https://www.instagram.com/benjamin_dysager/" TargetMode="External"/><Relationship Id="rId10" Type="http://schemas.openxmlformats.org/officeDocument/2006/relationships/hyperlink" Target="https://www.instagram.com/leawesselhoff/" TargetMode="External"/><Relationship Id="rId13" Type="http://schemas.openxmlformats.org/officeDocument/2006/relationships/hyperlink" Target="https://www.instagram.com/mathilde_dannow/" TargetMode="External"/><Relationship Id="rId12" Type="http://schemas.openxmlformats.org/officeDocument/2006/relationships/hyperlink" Target="https://www.instagram.com/august_rothstein/" TargetMode="External"/><Relationship Id="rId15" Type="http://schemas.openxmlformats.org/officeDocument/2006/relationships/hyperlink" Target="https://www.instagram.com/thygesen88/" TargetMode="External"/><Relationship Id="rId14" Type="http://schemas.openxmlformats.org/officeDocument/2006/relationships/hyperlink" Target="https://www.instagram.com/jakob_haakenstad/" TargetMode="External"/><Relationship Id="rId17" Type="http://schemas.openxmlformats.org/officeDocument/2006/relationships/hyperlink" Target="https://www.instagram.com/johanneaagaardd/" TargetMode="External"/><Relationship Id="rId16" Type="http://schemas.openxmlformats.org/officeDocument/2006/relationships/hyperlink" Target="https://www.instagram.com/linelindgaardsvendsen/" TargetMode="External"/><Relationship Id="rId19" Type="http://schemas.openxmlformats.org/officeDocument/2006/relationships/hyperlink" Target="https://www.instagram.com/idamarie.hakansson/" TargetMode="External"/><Relationship Id="rId18" Type="http://schemas.openxmlformats.org/officeDocument/2006/relationships/hyperlink" Target="https://www.instagram.com/lohse_fyren/"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www.instagram.com/simone_schonning1/" TargetMode="External"/><Relationship Id="rId22" Type="http://schemas.openxmlformats.org/officeDocument/2006/relationships/hyperlink" Target="https://www.instagram.com/sophiadelinde/" TargetMode="External"/><Relationship Id="rId21" Type="http://schemas.openxmlformats.org/officeDocument/2006/relationships/hyperlink" Target="https://www.instagram.com/leoniesimsch/" TargetMode="External"/><Relationship Id="rId24" Type="http://schemas.openxmlformats.org/officeDocument/2006/relationships/hyperlink" Target="https://www.instagram.com/_emilia_borresen_/" TargetMode="External"/><Relationship Id="rId23" Type="http://schemas.openxmlformats.org/officeDocument/2006/relationships/hyperlink" Target="https://www.instagram.com/s_eram/" TargetMode="External"/><Relationship Id="rId1" Type="http://schemas.openxmlformats.org/officeDocument/2006/relationships/comments" Target="../comments5.xml"/><Relationship Id="rId2" Type="http://schemas.openxmlformats.org/officeDocument/2006/relationships/hyperlink" Target="https://www.instagram.com/thomas_vasegaard/" TargetMode="External"/><Relationship Id="rId3" Type="http://schemas.openxmlformats.org/officeDocument/2006/relationships/hyperlink" Target="https://www.instagram.com/magnus_hamann/" TargetMode="External"/><Relationship Id="rId4" Type="http://schemas.openxmlformats.org/officeDocument/2006/relationships/hyperlink" Target="https://www.instagram.com/zilaswinzini/" TargetMode="External"/><Relationship Id="rId9" Type="http://schemas.openxmlformats.org/officeDocument/2006/relationships/hyperlink" Target="https://www.instagram.com/mikkelovergaardvaengtoft/" TargetMode="External"/><Relationship Id="rId26" Type="http://schemas.openxmlformats.org/officeDocument/2006/relationships/hyperlink" Target="https://www.instagram.com/christinavammen88/" TargetMode="External"/><Relationship Id="rId25" Type="http://schemas.openxmlformats.org/officeDocument/2006/relationships/hyperlink" Target="https://www.instagram.com/simon_sloth_/" TargetMode="External"/><Relationship Id="rId28" Type="http://schemas.openxmlformats.org/officeDocument/2006/relationships/hyperlink" Target="https://www.instagram.com/mia_vejrum/" TargetMode="External"/><Relationship Id="rId27" Type="http://schemas.openxmlformats.org/officeDocument/2006/relationships/hyperlink" Target="https://www.instagram.com/mettelassen86/" TargetMode="External"/><Relationship Id="rId5" Type="http://schemas.openxmlformats.org/officeDocument/2006/relationships/hyperlink" Target="https://www.instagram.com/lukas_lind_737/" TargetMode="External"/><Relationship Id="rId6" Type="http://schemas.openxmlformats.org/officeDocument/2006/relationships/hyperlink" Target="https://www.instagram.com/nicklas.burkal/" TargetMode="External"/><Relationship Id="rId29" Type="http://schemas.openxmlformats.org/officeDocument/2006/relationships/hyperlink" Target="https://www.instagram.com/friddeluth?igsh=MTRrcGg4MGM3cHFmdQ==" TargetMode="External"/><Relationship Id="rId7" Type="http://schemas.openxmlformats.org/officeDocument/2006/relationships/hyperlink" Target="https://www.instagram.com/olirosenvinge/" TargetMode="External"/><Relationship Id="rId8" Type="http://schemas.openxmlformats.org/officeDocument/2006/relationships/hyperlink" Target="https://www.instagram.com/_christian_rasmussen_/" TargetMode="External"/><Relationship Id="rId31" Type="http://schemas.openxmlformats.org/officeDocument/2006/relationships/hyperlink" Target="https://www.instagram.com/m.helkiaer/" TargetMode="External"/><Relationship Id="rId30" Type="http://schemas.openxmlformats.org/officeDocument/2006/relationships/hyperlink" Target="https://www.instagram.com/nikolai1702/" TargetMode="External"/><Relationship Id="rId11" Type="http://schemas.openxmlformats.org/officeDocument/2006/relationships/hyperlink" Target="https://www.instagram.com/cath_ottzen/" TargetMode="External"/><Relationship Id="rId33" Type="http://schemas.openxmlformats.org/officeDocument/2006/relationships/vmlDrawing" Target="../drawings/vmlDrawing5.vml"/><Relationship Id="rId10" Type="http://schemas.openxmlformats.org/officeDocument/2006/relationships/hyperlink" Target="https://www.instagram.com/ofelia_branco7/" TargetMode="External"/><Relationship Id="rId32" Type="http://schemas.openxmlformats.org/officeDocument/2006/relationships/drawing" Target="../drawings/drawing6.xml"/><Relationship Id="rId13" Type="http://schemas.openxmlformats.org/officeDocument/2006/relationships/hyperlink" Target="https://www.instagram.com/victoriataulbaek/" TargetMode="External"/><Relationship Id="rId12" Type="http://schemas.openxmlformats.org/officeDocument/2006/relationships/hyperlink" Target="https://www.instagram.com/andreas.ole/" TargetMode="External"/><Relationship Id="rId15" Type="http://schemas.openxmlformats.org/officeDocument/2006/relationships/hyperlink" Target="https://www.instagram.com/mikkelholm__/" TargetMode="External"/><Relationship Id="rId14" Type="http://schemas.openxmlformats.org/officeDocument/2006/relationships/hyperlink" Target="https://www.instagram.com/brit_knudsen/" TargetMode="External"/><Relationship Id="rId17" Type="http://schemas.openxmlformats.org/officeDocument/2006/relationships/hyperlink" Target="https://www.instagram.com/signeholck93/" TargetMode="External"/><Relationship Id="rId16" Type="http://schemas.openxmlformats.org/officeDocument/2006/relationships/hyperlink" Target="https://www.instagram.com/arnaqpjettursson/" TargetMode="External"/><Relationship Id="rId19" Type="http://schemas.openxmlformats.org/officeDocument/2006/relationships/hyperlink" Target="https://www.instagram.com/emma_juliane05/" TargetMode="External"/><Relationship Id="rId18" Type="http://schemas.openxmlformats.org/officeDocument/2006/relationships/hyperlink" Target="https://www.instagram.com/kristineaagaard/"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www.instagram.com/gustavhansen79/" TargetMode="External"/><Relationship Id="rId22" Type="http://schemas.openxmlformats.org/officeDocument/2006/relationships/hyperlink" Target="https://www.instagram.com/mads.valentin3/" TargetMode="External"/><Relationship Id="rId21" Type="http://schemas.openxmlformats.org/officeDocument/2006/relationships/hyperlink" Target="https://www.instagram.com/heidi_amos/" TargetMode="External"/><Relationship Id="rId24" Type="http://schemas.openxmlformats.org/officeDocument/2006/relationships/hyperlink" Target="https://www.instagram.com/moeller.1992/" TargetMode="External"/><Relationship Id="rId23" Type="http://schemas.openxmlformats.org/officeDocument/2006/relationships/hyperlink" Target="https://www.instagram.com/gustav.vilfing/" TargetMode="External"/><Relationship Id="rId1" Type="http://schemas.openxmlformats.org/officeDocument/2006/relationships/comments" Target="../comments6.xml"/><Relationship Id="rId2" Type="http://schemas.openxmlformats.org/officeDocument/2006/relationships/hyperlink" Target="https://www.instagram.com/mikkel_moerch06/" TargetMode="External"/><Relationship Id="rId3" Type="http://schemas.openxmlformats.org/officeDocument/2006/relationships/hyperlink" Target="https://www.instagram.com/sebastianlund.28/" TargetMode="External"/><Relationship Id="rId4" Type="http://schemas.openxmlformats.org/officeDocument/2006/relationships/hyperlink" Target="https://www.instagram.com/marthassorensen/" TargetMode="External"/><Relationship Id="rId9" Type="http://schemas.openxmlformats.org/officeDocument/2006/relationships/hyperlink" Target="https://www.instagram.com/detjoikosvald/" TargetMode="External"/><Relationship Id="rId26" Type="http://schemas.openxmlformats.org/officeDocument/2006/relationships/hyperlink" Target="https://www.instagram.com/frederik_eisgart/" TargetMode="External"/><Relationship Id="rId25" Type="http://schemas.openxmlformats.org/officeDocument/2006/relationships/hyperlink" Target="https://www.instagram.com/daniel_bille2300/" TargetMode="External"/><Relationship Id="rId28" Type="http://schemas.openxmlformats.org/officeDocument/2006/relationships/hyperlink" Target="https://www.instagram.com/sarahmesssss/" TargetMode="External"/><Relationship Id="rId27" Type="http://schemas.openxmlformats.org/officeDocument/2006/relationships/hyperlink" Target="https://www.instagram.com/linnaiyuan/" TargetMode="External"/><Relationship Id="rId5" Type="http://schemas.openxmlformats.org/officeDocument/2006/relationships/hyperlink" Target="https://www.instagram.com/melissatheibel_/" TargetMode="External"/><Relationship Id="rId6" Type="http://schemas.openxmlformats.org/officeDocument/2006/relationships/hyperlink" Target="https://www.instagram.com/emilbejder/" TargetMode="External"/><Relationship Id="rId29" Type="http://schemas.openxmlformats.org/officeDocument/2006/relationships/hyperlink" Target="https://www.instagram.com/kristinawentzel_1991/" TargetMode="External"/><Relationship Id="rId7" Type="http://schemas.openxmlformats.org/officeDocument/2006/relationships/hyperlink" Target="https://www.instagram.com/sophiasnordby/" TargetMode="External"/><Relationship Id="rId8" Type="http://schemas.openxmlformats.org/officeDocument/2006/relationships/hyperlink" Target="https://www.instagram.com/matti_christoffersen/" TargetMode="External"/><Relationship Id="rId31" Type="http://schemas.openxmlformats.org/officeDocument/2006/relationships/hyperlink" Target="https://www.instagram.com/charlottebwinther/" TargetMode="External"/><Relationship Id="rId30" Type="http://schemas.openxmlformats.org/officeDocument/2006/relationships/hyperlink" Target="https://www.instagram.com/sophia_s84/" TargetMode="External"/><Relationship Id="rId11" Type="http://schemas.openxmlformats.org/officeDocument/2006/relationships/hyperlink" Target="https://www.instagram.com/tobias_rosengreen/" TargetMode="External"/><Relationship Id="rId33" Type="http://schemas.openxmlformats.org/officeDocument/2006/relationships/hyperlink" Target="https://www.instagram.com/annahartwigsen/" TargetMode="External"/><Relationship Id="rId10" Type="http://schemas.openxmlformats.org/officeDocument/2006/relationships/hyperlink" Target="https://www.instagram.com/anjavogeli/" TargetMode="External"/><Relationship Id="rId32" Type="http://schemas.openxmlformats.org/officeDocument/2006/relationships/hyperlink" Target="https://www.instagram.com/lauratandrup/" TargetMode="External"/><Relationship Id="rId13" Type="http://schemas.openxmlformats.org/officeDocument/2006/relationships/hyperlink" Target="https://www.instagram.com/friederichsenmartin/" TargetMode="External"/><Relationship Id="rId35" Type="http://schemas.openxmlformats.org/officeDocument/2006/relationships/vmlDrawing" Target="../drawings/vmlDrawing6.vml"/><Relationship Id="rId12" Type="http://schemas.openxmlformats.org/officeDocument/2006/relationships/hyperlink" Target="https://www.instagram.com/marsiusis/" TargetMode="External"/><Relationship Id="rId34" Type="http://schemas.openxmlformats.org/officeDocument/2006/relationships/drawing" Target="../drawings/drawing7.xml"/><Relationship Id="rId15" Type="http://schemas.openxmlformats.org/officeDocument/2006/relationships/hyperlink" Target="https://www.instagram.com/tina_lthomsen/" TargetMode="External"/><Relationship Id="rId14" Type="http://schemas.openxmlformats.org/officeDocument/2006/relationships/hyperlink" Target="https://www.instagram.com/noah_raunholt/" TargetMode="External"/><Relationship Id="rId17" Type="http://schemas.openxmlformats.org/officeDocument/2006/relationships/hyperlink" Target="https://www.instagram.com/christian_osther_/" TargetMode="External"/><Relationship Id="rId16" Type="http://schemas.openxmlformats.org/officeDocument/2006/relationships/hyperlink" Target="https://www.instagram.com/freja_marbo/" TargetMode="External"/><Relationship Id="rId19" Type="http://schemas.openxmlformats.org/officeDocument/2006/relationships/hyperlink" Target="https://www.instagram.com/jeanette.borregaard.jensen/" TargetMode="External"/><Relationship Id="rId18" Type="http://schemas.openxmlformats.org/officeDocument/2006/relationships/hyperlink" Target="https://www.instagram.com/asgerolsen__/"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instagram.com/emma_kjaer__/" TargetMode="External"/><Relationship Id="rId42" Type="http://schemas.openxmlformats.org/officeDocument/2006/relationships/hyperlink" Target="https://www.instagram.com/camillaholm1803/" TargetMode="External"/><Relationship Id="rId41" Type="http://schemas.openxmlformats.org/officeDocument/2006/relationships/hyperlink" Target="https://www.instagram.com/andrewmf87/" TargetMode="External"/><Relationship Id="rId44" Type="http://schemas.openxmlformats.org/officeDocument/2006/relationships/hyperlink" Target="https://www.instagram.com/kickibervild/" TargetMode="External"/><Relationship Id="rId43" Type="http://schemas.openxmlformats.org/officeDocument/2006/relationships/hyperlink" Target="https://www.instagram.com/v_hansen20/" TargetMode="External"/><Relationship Id="rId46" Type="http://schemas.openxmlformats.org/officeDocument/2006/relationships/hyperlink" Target="https://www.instagram.com/dianabehlic/" TargetMode="External"/><Relationship Id="rId45" Type="http://schemas.openxmlformats.org/officeDocument/2006/relationships/hyperlink" Target="https://www.instagram.com/simone.larsen.9465/" TargetMode="External"/><Relationship Id="rId1" Type="http://schemas.openxmlformats.org/officeDocument/2006/relationships/comments" Target="../comments7.xml"/><Relationship Id="rId2" Type="http://schemas.openxmlformats.org/officeDocument/2006/relationships/hyperlink" Target="https://www.instagram.com/marthassorensen/" TargetMode="External"/><Relationship Id="rId3" Type="http://schemas.openxmlformats.org/officeDocument/2006/relationships/hyperlink" Target="https://www.instagram.com/emilbejder/" TargetMode="External"/><Relationship Id="rId4" Type="http://schemas.openxmlformats.org/officeDocument/2006/relationships/hyperlink" Target="https://www.instagram.com/tobias_rosengreen/" TargetMode="External"/><Relationship Id="rId9" Type="http://schemas.openxmlformats.org/officeDocument/2006/relationships/hyperlink" Target="https://www.instagram.com/frederikkeayoe/" TargetMode="External"/><Relationship Id="rId48" Type="http://schemas.openxmlformats.org/officeDocument/2006/relationships/hyperlink" Target="https://www.instagram.com/roskovannika/" TargetMode="External"/><Relationship Id="rId47" Type="http://schemas.openxmlformats.org/officeDocument/2006/relationships/hyperlink" Target="https://www.instagram.com/_janniepihl_/" TargetMode="External"/><Relationship Id="rId49" Type="http://schemas.openxmlformats.org/officeDocument/2006/relationships/hyperlink" Target="https://www.instagram.com/v_hansen20/" TargetMode="External"/><Relationship Id="rId5" Type="http://schemas.openxmlformats.org/officeDocument/2006/relationships/hyperlink" Target="https://www.instagram.com/back_bloch/" TargetMode="External"/><Relationship Id="rId6" Type="http://schemas.openxmlformats.org/officeDocument/2006/relationships/hyperlink" Target="https://www.instagram.com/christina.sn03/" TargetMode="External"/><Relationship Id="rId7" Type="http://schemas.openxmlformats.org/officeDocument/2006/relationships/hyperlink" Target="https://www.instagram.com/najaravnsdal/" TargetMode="External"/><Relationship Id="rId8" Type="http://schemas.openxmlformats.org/officeDocument/2006/relationships/hyperlink" Target="https://www.instagram.com/oliverotkjerulriksenthune/" TargetMode="External"/><Relationship Id="rId73" Type="http://schemas.openxmlformats.org/officeDocument/2006/relationships/vmlDrawing" Target="../drawings/vmlDrawing7.vml"/><Relationship Id="rId72" Type="http://schemas.openxmlformats.org/officeDocument/2006/relationships/drawing" Target="../drawings/drawing8.xml"/><Relationship Id="rId31" Type="http://schemas.openxmlformats.org/officeDocument/2006/relationships/hyperlink" Target="https://www.instagram.com/linensl/" TargetMode="External"/><Relationship Id="rId30" Type="http://schemas.openxmlformats.org/officeDocument/2006/relationships/hyperlink" Target="https://www.instagram.com/carolinehauge?igsh=NXZmMnlybDA1Ynp0" TargetMode="External"/><Relationship Id="rId33" Type="http://schemas.openxmlformats.org/officeDocument/2006/relationships/hyperlink" Target="https://www.instagram.com/balskov2/" TargetMode="External"/><Relationship Id="rId32" Type="http://schemas.openxmlformats.org/officeDocument/2006/relationships/hyperlink" Target="https://www.instagram.com/janni86dk/" TargetMode="External"/><Relationship Id="rId35" Type="http://schemas.openxmlformats.org/officeDocument/2006/relationships/hyperlink" Target="https://www.instagram.com/mathias.zickert/" TargetMode="External"/><Relationship Id="rId34" Type="http://schemas.openxmlformats.org/officeDocument/2006/relationships/hyperlink" Target="https://www.instagram.com/callesen.s/" TargetMode="External"/><Relationship Id="rId71" Type="http://schemas.openxmlformats.org/officeDocument/2006/relationships/hyperlink" Target="https://www.instagram.com/frederik_eisgart/" TargetMode="External"/><Relationship Id="rId70" Type="http://schemas.openxmlformats.org/officeDocument/2006/relationships/hyperlink" Target="https://www.instagram.com/lohse_fyren/" TargetMode="External"/><Relationship Id="rId37" Type="http://schemas.openxmlformats.org/officeDocument/2006/relationships/hyperlink" Target="https://www.instagram.com/andreassorensen667/" TargetMode="External"/><Relationship Id="rId36" Type="http://schemas.openxmlformats.org/officeDocument/2006/relationships/hyperlink" Target="https://www.instagram.com/miarindom/" TargetMode="External"/><Relationship Id="rId39" Type="http://schemas.openxmlformats.org/officeDocument/2006/relationships/hyperlink" Target="https://www.instagram.com/kathrinekallehauge/" TargetMode="External"/><Relationship Id="rId38" Type="http://schemas.openxmlformats.org/officeDocument/2006/relationships/hyperlink" Target="https://www.instagram.com/direct/t/100373261360420/" TargetMode="External"/><Relationship Id="rId62" Type="http://schemas.openxmlformats.org/officeDocument/2006/relationships/hyperlink" Target="https://www.instagram.com/magda_d_castro/" TargetMode="External"/><Relationship Id="rId61" Type="http://schemas.openxmlformats.org/officeDocument/2006/relationships/hyperlink" Target="https://www.instagram.com/kristinaskov?igsh=MTMwdTdlbHdxcGpsZg==" TargetMode="External"/><Relationship Id="rId20" Type="http://schemas.openxmlformats.org/officeDocument/2006/relationships/hyperlink" Target="https://www.instagram.com/emilie_stilling/" TargetMode="External"/><Relationship Id="rId64" Type="http://schemas.openxmlformats.org/officeDocument/2006/relationships/hyperlink" Target="https://www.instagram.com/stephanie.klindtworth?igsh=cWxzbTMxNHJxYzh6" TargetMode="External"/><Relationship Id="rId63" Type="http://schemas.openxmlformats.org/officeDocument/2006/relationships/hyperlink" Target="https://www.instagram.com/alahwaqba?igsh=NGx1bHdlenB1ZDJk" TargetMode="External"/><Relationship Id="rId22" Type="http://schemas.openxmlformats.org/officeDocument/2006/relationships/hyperlink" Target="https://www.instagram.com/miha560/" TargetMode="External"/><Relationship Id="rId66" Type="http://schemas.openxmlformats.org/officeDocument/2006/relationships/hyperlink" Target="https://www.instagram.com/besseby/" TargetMode="External"/><Relationship Id="rId21" Type="http://schemas.openxmlformats.org/officeDocument/2006/relationships/hyperlink" Target="https://www.instagram.com/oskar_kjaersgaard/" TargetMode="External"/><Relationship Id="rId65" Type="http://schemas.openxmlformats.org/officeDocument/2006/relationships/hyperlink" Target="https://www.instagram.com/nicolai_aerbo?igsh=cXN6cWNmNDg4M2E3" TargetMode="External"/><Relationship Id="rId24" Type="http://schemas.openxmlformats.org/officeDocument/2006/relationships/hyperlink" Target="https://www.instagram.com/cathdam/" TargetMode="External"/><Relationship Id="rId68" Type="http://schemas.openxmlformats.org/officeDocument/2006/relationships/hyperlink" Target="https://www.instagram.com/agnethewallin/" TargetMode="External"/><Relationship Id="rId23" Type="http://schemas.openxmlformats.org/officeDocument/2006/relationships/hyperlink" Target="https://www.instagram.com/amaliebramsted/" TargetMode="External"/><Relationship Id="rId67" Type="http://schemas.openxmlformats.org/officeDocument/2006/relationships/hyperlink" Target="https://www.instagram.com/martin.hove?igsh=MWVnc2FrZjBqcHFxaw==" TargetMode="External"/><Relationship Id="rId60" Type="http://schemas.openxmlformats.org/officeDocument/2006/relationships/hyperlink" Target="https://www.instagram.com/signe_liv_lauritzen/" TargetMode="External"/><Relationship Id="rId26" Type="http://schemas.openxmlformats.org/officeDocument/2006/relationships/hyperlink" Target="https://www.instagram.com/danielschlippe?igsh=dWw0M2kybzZsNGgz" TargetMode="External"/><Relationship Id="rId25" Type="http://schemas.openxmlformats.org/officeDocument/2006/relationships/hyperlink" Target="https://www.instagram.com/helsinghoff/" TargetMode="External"/><Relationship Id="rId69" Type="http://schemas.openxmlformats.org/officeDocument/2006/relationships/hyperlink" Target="https://www.instagram.com/rasmusthellemann/" TargetMode="External"/><Relationship Id="rId28" Type="http://schemas.openxmlformats.org/officeDocument/2006/relationships/hyperlink" Target="https://www.instagram.com/albert.lenler?igsh=MW94bWZlaGlrcHdtNg==" TargetMode="External"/><Relationship Id="rId27" Type="http://schemas.openxmlformats.org/officeDocument/2006/relationships/hyperlink" Target="https://www.instagram.com/miha560/" TargetMode="External"/><Relationship Id="rId29" Type="http://schemas.openxmlformats.org/officeDocument/2006/relationships/hyperlink" Target="https://www.instagram.com/hjaltewesteraa02/" TargetMode="External"/><Relationship Id="rId51" Type="http://schemas.openxmlformats.org/officeDocument/2006/relationships/hyperlink" Target="https://www.instagram.com/filippa_paustian/" TargetMode="External"/><Relationship Id="rId50" Type="http://schemas.openxmlformats.org/officeDocument/2006/relationships/hyperlink" Target="https://www.instagram.com/ronnikn/" TargetMode="External"/><Relationship Id="rId53" Type="http://schemas.openxmlformats.org/officeDocument/2006/relationships/hyperlink" Target="https://www.instagram.com/heidinyborgkr/" TargetMode="External"/><Relationship Id="rId52" Type="http://schemas.openxmlformats.org/officeDocument/2006/relationships/hyperlink" Target="https://www.instagram.com/martina.bangsoe?igsh=Y3R6dDd1czF3cGow" TargetMode="External"/><Relationship Id="rId11" Type="http://schemas.openxmlformats.org/officeDocument/2006/relationships/hyperlink" Target="https://www.instagram.com/mik.skovgaard/" TargetMode="External"/><Relationship Id="rId55" Type="http://schemas.openxmlformats.org/officeDocument/2006/relationships/hyperlink" Target="https://www.instagram.com/hannevieland/" TargetMode="External"/><Relationship Id="rId10" Type="http://schemas.openxmlformats.org/officeDocument/2006/relationships/hyperlink" Target="https://www.instagram.com/gustav.vilfing/" TargetMode="External"/><Relationship Id="rId54" Type="http://schemas.openxmlformats.org/officeDocument/2006/relationships/hyperlink" Target="https://www.instagram.com/line.j.popall/" TargetMode="External"/><Relationship Id="rId13" Type="http://schemas.openxmlformats.org/officeDocument/2006/relationships/hyperlink" Target="https://www.instagram.com/mrs_stop_giving_up/" TargetMode="External"/><Relationship Id="rId57" Type="http://schemas.openxmlformats.org/officeDocument/2006/relationships/hyperlink" Target="https://www.instagram.com/dannimus01_basim/" TargetMode="External"/><Relationship Id="rId12" Type="http://schemas.openxmlformats.org/officeDocument/2006/relationships/hyperlink" Target="https://www.instagram.com/jespero87/" TargetMode="External"/><Relationship Id="rId56" Type="http://schemas.openxmlformats.org/officeDocument/2006/relationships/hyperlink" Target="https://www.instagram.com/dittelkborch/" TargetMode="External"/><Relationship Id="rId15" Type="http://schemas.openxmlformats.org/officeDocument/2006/relationships/hyperlink" Target="https://www.instagram.com/marabouaddict/" TargetMode="External"/><Relationship Id="rId59" Type="http://schemas.openxmlformats.org/officeDocument/2006/relationships/hyperlink" Target="https://www.instagram.com/rebeccabechh/" TargetMode="External"/><Relationship Id="rId14" Type="http://schemas.openxmlformats.org/officeDocument/2006/relationships/hyperlink" Target="https://www.instagram.com/nickseligersommer/" TargetMode="External"/><Relationship Id="rId58" Type="http://schemas.openxmlformats.org/officeDocument/2006/relationships/hyperlink" Target="https://www.instagram.com/javricoj/" TargetMode="External"/><Relationship Id="rId17" Type="http://schemas.openxmlformats.org/officeDocument/2006/relationships/hyperlink" Target="https://www.instagram.com/aebeloe.eq/" TargetMode="External"/><Relationship Id="rId16" Type="http://schemas.openxmlformats.org/officeDocument/2006/relationships/hyperlink" Target="https://www.instagram.com/suzie.m.ruusgaard/" TargetMode="External"/><Relationship Id="rId19" Type="http://schemas.openxmlformats.org/officeDocument/2006/relationships/hyperlink" Target="https://www.instagram.com/marionadefar/" TargetMode="External"/><Relationship Id="rId18" Type="http://schemas.openxmlformats.org/officeDocument/2006/relationships/hyperlink" Target="https://www.instagram.com/nickilund007/"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instagram.com/wintherjessica/" TargetMode="External"/><Relationship Id="rId42" Type="http://schemas.openxmlformats.org/officeDocument/2006/relationships/hyperlink" Target="https://www.instagram.com/asperup/" TargetMode="External"/><Relationship Id="rId41" Type="http://schemas.openxmlformats.org/officeDocument/2006/relationships/hyperlink" Target="https://www.instagram.com/marcus.haun.1/" TargetMode="External"/><Relationship Id="rId44" Type="http://schemas.openxmlformats.org/officeDocument/2006/relationships/hyperlink" Target="https://www.instagram.com/elmbodorthe/" TargetMode="External"/><Relationship Id="rId43" Type="http://schemas.openxmlformats.org/officeDocument/2006/relationships/hyperlink" Target="https://www.instagram.com/liljonasvictor/" TargetMode="External"/><Relationship Id="rId46" Type="http://schemas.openxmlformats.org/officeDocument/2006/relationships/hyperlink" Target="https://www.instagram.com/kursist87/" TargetMode="External"/><Relationship Id="rId45" Type="http://schemas.openxmlformats.org/officeDocument/2006/relationships/hyperlink" Target="https://www.instagram.com/trine.kastrup/" TargetMode="External"/><Relationship Id="rId1" Type="http://schemas.openxmlformats.org/officeDocument/2006/relationships/comments" Target="../comments8.xml"/><Relationship Id="rId2" Type="http://schemas.openxmlformats.org/officeDocument/2006/relationships/hyperlink" Target="https://www.instagram.com/frederikkeayoe/" TargetMode="External"/><Relationship Id="rId3" Type="http://schemas.openxmlformats.org/officeDocument/2006/relationships/hyperlink" Target="https://www.instagram.com/ra_mortensen/" TargetMode="External"/><Relationship Id="rId4" Type="http://schemas.openxmlformats.org/officeDocument/2006/relationships/hyperlink" Target="https://www.instagram.com/theastangesmed/" TargetMode="External"/><Relationship Id="rId9" Type="http://schemas.openxmlformats.org/officeDocument/2006/relationships/hyperlink" Target="https://www.instagram.com/sofiekurtz/" TargetMode="External"/><Relationship Id="rId48" Type="http://schemas.openxmlformats.org/officeDocument/2006/relationships/hyperlink" Target="https://www.instagram.com/william_henriksen07/" TargetMode="External"/><Relationship Id="rId47" Type="http://schemas.openxmlformats.org/officeDocument/2006/relationships/hyperlink" Target="https://www.instagram.com/itsmiravibes/" TargetMode="External"/><Relationship Id="rId49" Type="http://schemas.openxmlformats.org/officeDocument/2006/relationships/hyperlink" Target="https://www.instagram.com/sjonedk1971/" TargetMode="External"/><Relationship Id="rId5" Type="http://schemas.openxmlformats.org/officeDocument/2006/relationships/hyperlink" Target="https://www.instagram.com/nhansen899/" TargetMode="External"/><Relationship Id="rId6" Type="http://schemas.openxmlformats.org/officeDocument/2006/relationships/hyperlink" Target="https://www.instagram.com/besseby/" TargetMode="External"/><Relationship Id="rId7" Type="http://schemas.openxmlformats.org/officeDocument/2006/relationships/hyperlink" Target="https://www.instagram.com/kathrinelibergren/" TargetMode="External"/><Relationship Id="rId8" Type="http://schemas.openxmlformats.org/officeDocument/2006/relationships/hyperlink" Target="https://www.instagram.com/mathias.marcussen/" TargetMode="External"/><Relationship Id="rId31" Type="http://schemas.openxmlformats.org/officeDocument/2006/relationships/hyperlink" Target="https://www.instagram.com/emiliaujepsen/" TargetMode="External"/><Relationship Id="rId30" Type="http://schemas.openxmlformats.org/officeDocument/2006/relationships/hyperlink" Target="https://www.instagram.com/leahedegaardberg/" TargetMode="External"/><Relationship Id="rId33" Type="http://schemas.openxmlformats.org/officeDocument/2006/relationships/hyperlink" Target="https://www.instagram.com/bullietshot/" TargetMode="External"/><Relationship Id="rId32" Type="http://schemas.openxmlformats.org/officeDocument/2006/relationships/hyperlink" Target="https://www.instagram.com/maikenvesth/" TargetMode="External"/><Relationship Id="rId35" Type="http://schemas.openxmlformats.org/officeDocument/2006/relationships/hyperlink" Target="https://www.instagram.com/steenbrodemant/" TargetMode="External"/><Relationship Id="rId34" Type="http://schemas.openxmlformats.org/officeDocument/2006/relationships/hyperlink" Target="https://www.instagram.com/marcus__topp/" TargetMode="External"/><Relationship Id="rId37" Type="http://schemas.openxmlformats.org/officeDocument/2006/relationships/hyperlink" Target="https://www.instagram.com/gittebkirkegaard/" TargetMode="External"/><Relationship Id="rId36" Type="http://schemas.openxmlformats.org/officeDocument/2006/relationships/hyperlink" Target="https://www.instagram.com/chr_post12/" TargetMode="External"/><Relationship Id="rId39" Type="http://schemas.openxmlformats.org/officeDocument/2006/relationships/hyperlink" Target="https://www.instagram.com/mathiaskamp/" TargetMode="External"/><Relationship Id="rId38" Type="http://schemas.openxmlformats.org/officeDocument/2006/relationships/hyperlink" Target="https://www.instagram.com/mariadaisykjoensen/" TargetMode="External"/><Relationship Id="rId62" Type="http://schemas.openxmlformats.org/officeDocument/2006/relationships/hyperlink" Target="https://www.instagram.com/h_sacha/" TargetMode="External"/><Relationship Id="rId61" Type="http://schemas.openxmlformats.org/officeDocument/2006/relationships/hyperlink" Target="https://www.instagram.com/trinebnielsen/" TargetMode="External"/><Relationship Id="rId20" Type="http://schemas.openxmlformats.org/officeDocument/2006/relationships/hyperlink" Target="https://www.instagram.com/nannaelisabethpedersen/" TargetMode="External"/><Relationship Id="rId64" Type="http://schemas.openxmlformats.org/officeDocument/2006/relationships/hyperlink" Target="https://www.instagram.com/petersenrikkel/" TargetMode="External"/><Relationship Id="rId63" Type="http://schemas.openxmlformats.org/officeDocument/2006/relationships/hyperlink" Target="https://www.instagram.com/kiratheanderpriice/" TargetMode="External"/><Relationship Id="rId22" Type="http://schemas.openxmlformats.org/officeDocument/2006/relationships/hyperlink" Target="https://www.instagram.com/mikkel_bo99/" TargetMode="External"/><Relationship Id="rId66" Type="http://schemas.openxmlformats.org/officeDocument/2006/relationships/hyperlink" Target="https://www.instagram.com/arsan.pourmozaffari?igsh=NTd6dHJpcmxuMXIy" TargetMode="External"/><Relationship Id="rId21" Type="http://schemas.openxmlformats.org/officeDocument/2006/relationships/hyperlink" Target="https://www.instagram.com/ejler2000/" TargetMode="External"/><Relationship Id="rId65" Type="http://schemas.openxmlformats.org/officeDocument/2006/relationships/hyperlink" Target="https://www.instagram.com/nansen_07/" TargetMode="External"/><Relationship Id="rId24" Type="http://schemas.openxmlformats.org/officeDocument/2006/relationships/hyperlink" Target="https://www.instagram.com/laurafroberg_/" TargetMode="External"/><Relationship Id="rId68" Type="http://schemas.openxmlformats.org/officeDocument/2006/relationships/vmlDrawing" Target="../drawings/vmlDrawing8.vml"/><Relationship Id="rId23" Type="http://schemas.openxmlformats.org/officeDocument/2006/relationships/hyperlink" Target="https://www.instagram.com/alexandervalsgaard/" TargetMode="External"/><Relationship Id="rId67" Type="http://schemas.openxmlformats.org/officeDocument/2006/relationships/drawing" Target="../drawings/drawing9.xml"/><Relationship Id="rId60" Type="http://schemas.openxmlformats.org/officeDocument/2006/relationships/hyperlink" Target="https://www.instagram.com/ninabruun_solsikkepige_denmark/" TargetMode="External"/><Relationship Id="rId26" Type="http://schemas.openxmlformats.org/officeDocument/2006/relationships/hyperlink" Target="https://www.instagram.com/kristianweber05/" TargetMode="External"/><Relationship Id="rId25" Type="http://schemas.openxmlformats.org/officeDocument/2006/relationships/hyperlink" Target="https://www.instagram.com/bertram_gj/" TargetMode="External"/><Relationship Id="rId28" Type="http://schemas.openxmlformats.org/officeDocument/2006/relationships/hyperlink" Target="https://www.instagram.com/lmads_/" TargetMode="External"/><Relationship Id="rId27" Type="http://schemas.openxmlformats.org/officeDocument/2006/relationships/hyperlink" Target="https://www.instagram.com/tenna.christensen/" TargetMode="External"/><Relationship Id="rId29" Type="http://schemas.openxmlformats.org/officeDocument/2006/relationships/hyperlink" Target="https://www.instagram.com/juliapietersenn/" TargetMode="External"/><Relationship Id="rId51" Type="http://schemas.openxmlformats.org/officeDocument/2006/relationships/hyperlink" Target="https://www.instagram.com/ellamyangel/" TargetMode="External"/><Relationship Id="rId50" Type="http://schemas.openxmlformats.org/officeDocument/2006/relationships/hyperlink" Target="https://www.instagram.com/ellen_ibsen/" TargetMode="External"/><Relationship Id="rId53" Type="http://schemas.openxmlformats.org/officeDocument/2006/relationships/hyperlink" Target="https://www.instagram.com/sille_ahle/" TargetMode="External"/><Relationship Id="rId52" Type="http://schemas.openxmlformats.org/officeDocument/2006/relationships/hyperlink" Target="https://www.instagram.com/nicolajhmortensen/" TargetMode="External"/><Relationship Id="rId11" Type="http://schemas.openxmlformats.org/officeDocument/2006/relationships/hyperlink" Target="https://www.instagram.com/jaspervestergaard/" TargetMode="External"/><Relationship Id="rId55" Type="http://schemas.openxmlformats.org/officeDocument/2006/relationships/hyperlink" Target="https://www.instagram.com/petersenrikkel/" TargetMode="External"/><Relationship Id="rId10" Type="http://schemas.openxmlformats.org/officeDocument/2006/relationships/hyperlink" Target="https://www.instagram.com/sarahmesssss/" TargetMode="External"/><Relationship Id="rId54" Type="http://schemas.openxmlformats.org/officeDocument/2006/relationships/hyperlink" Target="https://www.instagram.com/sofiya_saint_/" TargetMode="External"/><Relationship Id="rId13" Type="http://schemas.openxmlformats.org/officeDocument/2006/relationships/hyperlink" Target="https://www.instagram.com/kristinaskov/" TargetMode="External"/><Relationship Id="rId57" Type="http://schemas.openxmlformats.org/officeDocument/2006/relationships/hyperlink" Target="https://www.instagram.com/rikkecaecilie/" TargetMode="External"/><Relationship Id="rId12" Type="http://schemas.openxmlformats.org/officeDocument/2006/relationships/hyperlink" Target="https://www.instagram.com/rebecca__nielsen/" TargetMode="External"/><Relationship Id="rId56" Type="http://schemas.openxmlformats.org/officeDocument/2006/relationships/hyperlink" Target="https://www.instagram.com/mettekragholm/" TargetMode="External"/><Relationship Id="rId15" Type="http://schemas.openxmlformats.org/officeDocument/2006/relationships/hyperlink" Target="https://www.instagram.com/tobias_mittun/" TargetMode="External"/><Relationship Id="rId59" Type="http://schemas.openxmlformats.org/officeDocument/2006/relationships/hyperlink" Target="https://www.instagram.com/nordahlkristian/" TargetMode="External"/><Relationship Id="rId14" Type="http://schemas.openxmlformats.org/officeDocument/2006/relationships/hyperlink" Target="https://www.instagram.com/theastangesmed/" TargetMode="External"/><Relationship Id="rId58" Type="http://schemas.openxmlformats.org/officeDocument/2006/relationships/hyperlink" Target="https://www.instagram.com/livbjoernlarsen/" TargetMode="External"/><Relationship Id="rId17" Type="http://schemas.openxmlformats.org/officeDocument/2006/relationships/hyperlink" Target="https://www.instagram.com/t_steenbjerg/" TargetMode="External"/><Relationship Id="rId16" Type="http://schemas.openxmlformats.org/officeDocument/2006/relationships/hyperlink" Target="https://www.instagram.com/emilschultz.99/" TargetMode="External"/><Relationship Id="rId19" Type="http://schemas.openxmlformats.org/officeDocument/2006/relationships/hyperlink" Target="https://www.instagram.com/maikenvesth/" TargetMode="External"/><Relationship Id="rId18" Type="http://schemas.openxmlformats.org/officeDocument/2006/relationships/hyperlink" Target="https://www.instagram.com/steffennielsen1980/"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instagram.com/anjakristensen6/" TargetMode="External"/><Relationship Id="rId42" Type="http://schemas.openxmlformats.org/officeDocument/2006/relationships/hyperlink" Target="https://www.instagram.com/m_koll/" TargetMode="External"/><Relationship Id="rId41" Type="http://schemas.openxmlformats.org/officeDocument/2006/relationships/hyperlink" Target="https://www.instagram.com/cecilie_t_kjaer?igsh=MTF6b2M3OGgwY2x3eA==" TargetMode="External"/><Relationship Id="rId44" Type="http://schemas.openxmlformats.org/officeDocument/2006/relationships/hyperlink" Target="https://www.instagram.com/laerkeredensunivers/" TargetMode="External"/><Relationship Id="rId43" Type="http://schemas.openxmlformats.org/officeDocument/2006/relationships/hyperlink" Target="https://www.instagram.com/johnnybechjensen8230/" TargetMode="External"/><Relationship Id="rId46" Type="http://schemas.openxmlformats.org/officeDocument/2006/relationships/hyperlink" Target="https://www.instagram.com/sabine5026/" TargetMode="External"/><Relationship Id="rId45" Type="http://schemas.openxmlformats.org/officeDocument/2006/relationships/hyperlink" Target="https://www.instagram.com/bittenboelt/" TargetMode="External"/><Relationship Id="rId1" Type="http://schemas.openxmlformats.org/officeDocument/2006/relationships/comments" Target="../comments9.xml"/><Relationship Id="rId2" Type="http://schemas.openxmlformats.org/officeDocument/2006/relationships/hyperlink" Target="https://www.instagram.com/andrewmf87/" TargetMode="External"/><Relationship Id="rId3" Type="http://schemas.openxmlformats.org/officeDocument/2006/relationships/hyperlink" Target="https://www.instagram.com/oskar_kjaersgaard/" TargetMode="External"/><Relationship Id="rId4" Type="http://schemas.openxmlformats.org/officeDocument/2006/relationships/hyperlink" Target="https://www.instagram.com/tina_lthomsen/" TargetMode="External"/><Relationship Id="rId9" Type="http://schemas.openxmlformats.org/officeDocument/2006/relationships/hyperlink" Target="https://www.instagram.com/nansen_07/" TargetMode="External"/><Relationship Id="rId48" Type="http://schemas.openxmlformats.org/officeDocument/2006/relationships/hyperlink" Target="https://www.instagram.com/johnnybechjensen8230/" TargetMode="External"/><Relationship Id="rId47" Type="http://schemas.openxmlformats.org/officeDocument/2006/relationships/hyperlink" Target="https://www.instagram.com/henrikt2000/" TargetMode="External"/><Relationship Id="rId49" Type="http://schemas.openxmlformats.org/officeDocument/2006/relationships/hyperlink" Target="https://www.instagram.com/helenaaaolsen/" TargetMode="External"/><Relationship Id="rId5" Type="http://schemas.openxmlformats.org/officeDocument/2006/relationships/hyperlink" Target="https://www.instagram.com/asperup/" TargetMode="External"/><Relationship Id="rId6" Type="http://schemas.openxmlformats.org/officeDocument/2006/relationships/hyperlink" Target="https://www.instagram.com/kholud_elmasri/" TargetMode="External"/><Relationship Id="rId7" Type="http://schemas.openxmlformats.org/officeDocument/2006/relationships/hyperlink" Target="https://www.instagram.com/frk_ramadan?igsh=aGp2cGo1a2kxMXJj" TargetMode="External"/><Relationship Id="rId8" Type="http://schemas.openxmlformats.org/officeDocument/2006/relationships/hyperlink" Target="https://www.instagram.com/magda_d_castro/" TargetMode="External"/><Relationship Id="rId31" Type="http://schemas.openxmlformats.org/officeDocument/2006/relationships/hyperlink" Target="https://www.instagram.com/berfezeynep3/" TargetMode="External"/><Relationship Id="rId30" Type="http://schemas.openxmlformats.org/officeDocument/2006/relationships/hyperlink" Target="https://www.instagram.com/louiseschwaerter/" TargetMode="External"/><Relationship Id="rId33" Type="http://schemas.openxmlformats.org/officeDocument/2006/relationships/hyperlink" Target="https://www.instagram.com/woltemaht?igsh=c2czNGF3eTQyYzYy" TargetMode="External"/><Relationship Id="rId32" Type="http://schemas.openxmlformats.org/officeDocument/2006/relationships/hyperlink" Target="https://www.instagram.com/nansen_07?igsh=MTY1ajVyY3p6dDhjdA==" TargetMode="External"/><Relationship Id="rId35" Type="http://schemas.openxmlformats.org/officeDocument/2006/relationships/hyperlink" Target="https://www.instagram.com/ryaa32/" TargetMode="External"/><Relationship Id="rId34" Type="http://schemas.openxmlformats.org/officeDocument/2006/relationships/hyperlink" Target="https://www.instagram.com/gnominden/" TargetMode="External"/><Relationship Id="rId37" Type="http://schemas.openxmlformats.org/officeDocument/2006/relationships/hyperlink" Target="https://www.instagram.com/sille07/" TargetMode="External"/><Relationship Id="rId36" Type="http://schemas.openxmlformats.org/officeDocument/2006/relationships/hyperlink" Target="https://www.instagram.com/knj_87/" TargetMode="External"/><Relationship Id="rId39" Type="http://schemas.openxmlformats.org/officeDocument/2006/relationships/hyperlink" Target="https://www.instagram.com/pernille_upside_down/" TargetMode="External"/><Relationship Id="rId38" Type="http://schemas.openxmlformats.org/officeDocument/2006/relationships/hyperlink" Target="https://www.instagram.com/helenaaaolsen/" TargetMode="External"/><Relationship Id="rId62" Type="http://schemas.openxmlformats.org/officeDocument/2006/relationships/hyperlink" Target="https://www.instagram.com/amaliehoeyrup/" TargetMode="External"/><Relationship Id="rId61" Type="http://schemas.openxmlformats.org/officeDocument/2006/relationships/hyperlink" Target="https://www.instagram.com/daniellundchristensen/" TargetMode="External"/><Relationship Id="rId20" Type="http://schemas.openxmlformats.org/officeDocument/2006/relationships/hyperlink" Target="https://www.instagram.com/alexandervibeholm/" TargetMode="External"/><Relationship Id="rId64" Type="http://schemas.openxmlformats.org/officeDocument/2006/relationships/drawing" Target="../drawings/drawing10.xml"/><Relationship Id="rId63" Type="http://schemas.openxmlformats.org/officeDocument/2006/relationships/hyperlink" Target="https://www.instagram.com/mtobiesen_/" TargetMode="External"/><Relationship Id="rId22" Type="http://schemas.openxmlformats.org/officeDocument/2006/relationships/hyperlink" Target="https://www.instagram.com/sara_v_macedo/" TargetMode="External"/><Relationship Id="rId21" Type="http://schemas.openxmlformats.org/officeDocument/2006/relationships/hyperlink" Target="https://www.instagram.com/gabriella_956/" TargetMode="External"/><Relationship Id="rId65" Type="http://schemas.openxmlformats.org/officeDocument/2006/relationships/vmlDrawing" Target="../drawings/vmlDrawing9.vml"/><Relationship Id="rId24" Type="http://schemas.openxmlformats.org/officeDocument/2006/relationships/hyperlink" Target="https://www.instagram.com/olgad_k?igsh=MTRmeXljbTRrNzlvMg==" TargetMode="External"/><Relationship Id="rId23" Type="http://schemas.openxmlformats.org/officeDocument/2006/relationships/hyperlink" Target="https://www.instagram.com/linekamstrup/" TargetMode="External"/><Relationship Id="rId60" Type="http://schemas.openxmlformats.org/officeDocument/2006/relationships/hyperlink" Target="https://www.instagram.com/mcatrine/" TargetMode="External"/><Relationship Id="rId26" Type="http://schemas.openxmlformats.org/officeDocument/2006/relationships/hyperlink" Target="https://www.instagram.com/tonser12/" TargetMode="External"/><Relationship Id="rId25" Type="http://schemas.openxmlformats.org/officeDocument/2006/relationships/hyperlink" Target="https://www.instagram.com/fuglsangmadsen/" TargetMode="External"/><Relationship Id="rId28" Type="http://schemas.openxmlformats.org/officeDocument/2006/relationships/hyperlink" Target="https://www.instagram.com/msoedorf/" TargetMode="External"/><Relationship Id="rId27" Type="http://schemas.openxmlformats.org/officeDocument/2006/relationships/hyperlink" Target="https://www.instagram.com/msoedorf/" TargetMode="External"/><Relationship Id="rId29" Type="http://schemas.openxmlformats.org/officeDocument/2006/relationships/hyperlink" Target="https://www.instagram.com/dunsemarie/" TargetMode="External"/><Relationship Id="rId51" Type="http://schemas.openxmlformats.org/officeDocument/2006/relationships/hyperlink" Target="https://www.instagram.com/trinehaboelacour/" TargetMode="External"/><Relationship Id="rId50" Type="http://schemas.openxmlformats.org/officeDocument/2006/relationships/hyperlink" Target="https://www.instagram.com/emmawolf.farbaek/" TargetMode="External"/><Relationship Id="rId53" Type="http://schemas.openxmlformats.org/officeDocument/2006/relationships/hyperlink" Target="https://www.instagram.com/henrikt2000/" TargetMode="External"/><Relationship Id="rId52" Type="http://schemas.openxmlformats.org/officeDocument/2006/relationships/hyperlink" Target="https://www.instagram.com/simoneddj/" TargetMode="External"/><Relationship Id="rId11" Type="http://schemas.openxmlformats.org/officeDocument/2006/relationships/hyperlink" Target="https://www.instagram.com/marialouisebuus?igsh=MXEzb3Q5cW5uMjkxeA==" TargetMode="External"/><Relationship Id="rId55" Type="http://schemas.openxmlformats.org/officeDocument/2006/relationships/hyperlink" Target="https://www.instagram.com/jeannet_707/" TargetMode="External"/><Relationship Id="rId10" Type="http://schemas.openxmlformats.org/officeDocument/2006/relationships/hyperlink" Target="https://www.instagram.com/liljonasvictor/" TargetMode="External"/><Relationship Id="rId54" Type="http://schemas.openxmlformats.org/officeDocument/2006/relationships/hyperlink" Target="https://www.instagram.com/mtobiesen_/" TargetMode="External"/><Relationship Id="rId13" Type="http://schemas.openxmlformats.org/officeDocument/2006/relationships/hyperlink" Target="https://www.instagram.com/dinaaa_alexandra/" TargetMode="External"/><Relationship Id="rId57" Type="http://schemas.openxmlformats.org/officeDocument/2006/relationships/hyperlink" Target="https://www.instagram.com/jesper_boelt/" TargetMode="External"/><Relationship Id="rId12" Type="http://schemas.openxmlformats.org/officeDocument/2006/relationships/hyperlink" Target="https://www.instagram.com/gitte_betinalaulau?igsh=MTMwb29panlnbm12bg==" TargetMode="External"/><Relationship Id="rId56" Type="http://schemas.openxmlformats.org/officeDocument/2006/relationships/hyperlink" Target="https://www.instagram.com/antonemil.ch/" TargetMode="External"/><Relationship Id="rId15" Type="http://schemas.openxmlformats.org/officeDocument/2006/relationships/hyperlink" Target="https://www.instagram.com/kristinawentzel_1991/" TargetMode="External"/><Relationship Id="rId59" Type="http://schemas.openxmlformats.org/officeDocument/2006/relationships/hyperlink" Target="https://www.instagram.com/christeenjacoub/" TargetMode="External"/><Relationship Id="rId14" Type="http://schemas.openxmlformats.org/officeDocument/2006/relationships/hyperlink" Target="https://www.instagram.com/bjerre1986/" TargetMode="External"/><Relationship Id="rId58" Type="http://schemas.openxmlformats.org/officeDocument/2006/relationships/hyperlink" Target="https://www.instagram.com/laerke_boegehave/" TargetMode="External"/><Relationship Id="rId17" Type="http://schemas.openxmlformats.org/officeDocument/2006/relationships/hyperlink" Target="https://www.instagram.com/stephanie_barner/" TargetMode="External"/><Relationship Id="rId16" Type="http://schemas.openxmlformats.org/officeDocument/2006/relationships/hyperlink" Target="https://www.instagram.com/frederdalgaard/" TargetMode="External"/><Relationship Id="rId19" Type="http://schemas.openxmlformats.org/officeDocument/2006/relationships/hyperlink" Target="https://www.instagram.com/jeanettegylling?igsh=bGQyeW1wOHJzM3My" TargetMode="External"/><Relationship Id="rId18" Type="http://schemas.openxmlformats.org/officeDocument/2006/relationships/hyperlink" Target="https://www.instagram.com/alexsorensen_?igsh=MXF4NjVuNHQxaGdkbw=="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instagram.com/heidi_valentin87/" TargetMode="External"/><Relationship Id="rId42" Type="http://schemas.openxmlformats.org/officeDocument/2006/relationships/hyperlink" Target="https://www.instagram.com/gustav_hallas/" TargetMode="External"/><Relationship Id="rId41" Type="http://schemas.openxmlformats.org/officeDocument/2006/relationships/hyperlink" Target="https://www.instagram.com/ma_skoubo/" TargetMode="External"/><Relationship Id="rId44" Type="http://schemas.openxmlformats.org/officeDocument/2006/relationships/hyperlink" Target="https://www.instagram.com/losemilos40?igsh=MWd1NGQyN24yZGNwYg==" TargetMode="External"/><Relationship Id="rId43" Type="http://schemas.openxmlformats.org/officeDocument/2006/relationships/hyperlink" Target="https://www.instagram.com/_.juwels/" TargetMode="External"/><Relationship Id="rId46" Type="http://schemas.openxmlformats.org/officeDocument/2006/relationships/hyperlink" Target="https://www.instagram.com/tonser12/" TargetMode="External"/><Relationship Id="rId45" Type="http://schemas.openxmlformats.org/officeDocument/2006/relationships/hyperlink" Target="https://www.instagram.com/niklasholm_/" TargetMode="External"/><Relationship Id="rId1" Type="http://schemas.openxmlformats.org/officeDocument/2006/relationships/comments" Target="../comments10.xml"/><Relationship Id="rId2" Type="http://schemas.openxmlformats.org/officeDocument/2006/relationships/hyperlink" Target="https://www.instagram.com/steenbrodemant/" TargetMode="External"/><Relationship Id="rId3" Type="http://schemas.openxmlformats.org/officeDocument/2006/relationships/hyperlink" Target="https://www.instagram.com/javricoj/" TargetMode="External"/><Relationship Id="rId4" Type="http://schemas.openxmlformats.org/officeDocument/2006/relationships/hyperlink" Target="https://www.instagram.com/itsmiravibes/" TargetMode="External"/><Relationship Id="rId9" Type="http://schemas.openxmlformats.org/officeDocument/2006/relationships/hyperlink" Target="https://www.instagram.com/thjeis69/" TargetMode="External"/><Relationship Id="rId48" Type="http://schemas.openxmlformats.org/officeDocument/2006/relationships/hyperlink" Target="https://www.instagram.com/emmaju2/" TargetMode="External"/><Relationship Id="rId47" Type="http://schemas.openxmlformats.org/officeDocument/2006/relationships/hyperlink" Target="https://www.instagram.com/lasselundhansen9?igsh=Z2NyMTRvczhoM2dn" TargetMode="External"/><Relationship Id="rId49" Type="http://schemas.openxmlformats.org/officeDocument/2006/relationships/hyperlink" Target="https://www.instagram.com/linehalling/" TargetMode="External"/><Relationship Id="rId5" Type="http://schemas.openxmlformats.org/officeDocument/2006/relationships/hyperlink" Target="https://www.instagram.com/msoedorf/" TargetMode="External"/><Relationship Id="rId6" Type="http://schemas.openxmlformats.org/officeDocument/2006/relationships/hyperlink" Target="https://www.instagram.com/m_koll/" TargetMode="External"/><Relationship Id="rId7" Type="http://schemas.openxmlformats.org/officeDocument/2006/relationships/hyperlink" Target="https://www.instagram.com/kristinawentzel_1991/" TargetMode="External"/><Relationship Id="rId8" Type="http://schemas.openxmlformats.org/officeDocument/2006/relationships/hyperlink" Target="https://www.instagram.com/s_glinvad/" TargetMode="External"/><Relationship Id="rId31" Type="http://schemas.openxmlformats.org/officeDocument/2006/relationships/hyperlink" Target="https://www.instagram.com/nansen_07?igsh=MTY1ajVyY3p6dDhjdA==" TargetMode="External"/><Relationship Id="rId30" Type="http://schemas.openxmlformats.org/officeDocument/2006/relationships/hyperlink" Target="https://www.instagram.com/sillebonne/" TargetMode="External"/><Relationship Id="rId33" Type="http://schemas.openxmlformats.org/officeDocument/2006/relationships/hyperlink" Target="https://www.instagram.com/steven_t_hertz/" TargetMode="External"/><Relationship Id="rId32" Type="http://schemas.openxmlformats.org/officeDocument/2006/relationships/hyperlink" Target="https://www.instagram.com/holmegopro/" TargetMode="External"/><Relationship Id="rId35" Type="http://schemas.openxmlformats.org/officeDocument/2006/relationships/hyperlink" Target="https://www.instagram.com/_scubamermaid_/" TargetMode="External"/><Relationship Id="rId34" Type="http://schemas.openxmlformats.org/officeDocument/2006/relationships/hyperlink" Target="https://www.instagram.com/simon_nielsen_2000?igsh=dHE3ZWM0cm04Y3li" TargetMode="External"/><Relationship Id="rId37" Type="http://schemas.openxmlformats.org/officeDocument/2006/relationships/hyperlink" Target="https://www.instagram.com/oliverhallsvensson?igsh=MXZwdXN1Z3l0ZDlpZQ==" TargetMode="External"/><Relationship Id="rId36" Type="http://schemas.openxmlformats.org/officeDocument/2006/relationships/hyperlink" Target="https://www.instagram.com/oscar.dall_?igsh=eTJ4c240YXZ2cGpo" TargetMode="External"/><Relationship Id="rId39" Type="http://schemas.openxmlformats.org/officeDocument/2006/relationships/hyperlink" Target="https://www.instagram.com/sarah__pedersen_/" TargetMode="External"/><Relationship Id="rId38" Type="http://schemas.openxmlformats.org/officeDocument/2006/relationships/hyperlink" Target="https://www.instagram.com/betinahammelsvang/" TargetMode="External"/><Relationship Id="rId62" Type="http://schemas.openxmlformats.org/officeDocument/2006/relationships/hyperlink" Target="https://www.instagram.com/anjanielsen_90/" TargetMode="External"/><Relationship Id="rId61" Type="http://schemas.openxmlformats.org/officeDocument/2006/relationships/hyperlink" Target="https://www.instagram.com/casperstenbjerg/" TargetMode="External"/><Relationship Id="rId20" Type="http://schemas.openxmlformats.org/officeDocument/2006/relationships/hyperlink" Target="https://www.instagram.com/tobiasvlund/" TargetMode="External"/><Relationship Id="rId64" Type="http://schemas.openxmlformats.org/officeDocument/2006/relationships/drawing" Target="../drawings/drawing11.xml"/><Relationship Id="rId63" Type="http://schemas.openxmlformats.org/officeDocument/2006/relationships/hyperlink" Target="https://www.instagram.com/annsofiemortensen9/" TargetMode="External"/><Relationship Id="rId22" Type="http://schemas.openxmlformats.org/officeDocument/2006/relationships/hyperlink" Target="https://www.instagram.com/silva.beatbox/" TargetMode="External"/><Relationship Id="rId21" Type="http://schemas.openxmlformats.org/officeDocument/2006/relationships/hyperlink" Target="https://www.instagram.com/nicholls90/" TargetMode="External"/><Relationship Id="rId65" Type="http://schemas.openxmlformats.org/officeDocument/2006/relationships/vmlDrawing" Target="../drawings/vmlDrawing10.vml"/><Relationship Id="rId24" Type="http://schemas.openxmlformats.org/officeDocument/2006/relationships/hyperlink" Target="https://www.instagram.com/ks.bengtsson/" TargetMode="External"/><Relationship Id="rId23" Type="http://schemas.openxmlformats.org/officeDocument/2006/relationships/hyperlink" Target="https://www.instagram.com/christopher.maersk?igsh=M2pqZDVvYXV4d3Iw" TargetMode="External"/><Relationship Id="rId60" Type="http://schemas.openxmlformats.org/officeDocument/2006/relationships/hyperlink" Target="https://www.instagram.com/linehalling/" TargetMode="External"/><Relationship Id="rId26" Type="http://schemas.openxmlformats.org/officeDocument/2006/relationships/hyperlink" Target="https://www.instagram.com/majkenchristensen03/" TargetMode="External"/><Relationship Id="rId25" Type="http://schemas.openxmlformats.org/officeDocument/2006/relationships/hyperlink" Target="https://www.instagram.com/majkenchristensen03/" TargetMode="External"/><Relationship Id="rId28" Type="http://schemas.openxmlformats.org/officeDocument/2006/relationships/hyperlink" Target="https://www.instagram.com/malouhoegenhaven?igsh=ZTlmc3lwZW0zNzY0" TargetMode="External"/><Relationship Id="rId27" Type="http://schemas.openxmlformats.org/officeDocument/2006/relationships/hyperlink" Target="https://www.instagram.com/linnea_0752/" TargetMode="External"/><Relationship Id="rId29" Type="http://schemas.openxmlformats.org/officeDocument/2006/relationships/hyperlink" Target="https://www.instagram.com/thomaszanchetta?igsh=MTJjdzBobTk1ZDcydA==" TargetMode="External"/><Relationship Id="rId51" Type="http://schemas.openxmlformats.org/officeDocument/2006/relationships/hyperlink" Target="https://www.instagram.com/mikkelbrentegani/" TargetMode="External"/><Relationship Id="rId50" Type="http://schemas.openxmlformats.org/officeDocument/2006/relationships/hyperlink" Target="https://www.instagram.com/victor_fryland?igsh=NGQxZm43MHZrdTdp" TargetMode="External"/><Relationship Id="rId53" Type="http://schemas.openxmlformats.org/officeDocument/2006/relationships/hyperlink" Target="https://www.instagram.com/linehalling/" TargetMode="External"/><Relationship Id="rId52" Type="http://schemas.openxmlformats.org/officeDocument/2006/relationships/hyperlink" Target="https://www.instagram.com/miadalhauge?igsh=MWtma2tlemw1ZDZodA==" TargetMode="External"/><Relationship Id="rId11" Type="http://schemas.openxmlformats.org/officeDocument/2006/relationships/hyperlink" Target="https://www.instagram.com/markomarojevic92/" TargetMode="External"/><Relationship Id="rId55" Type="http://schemas.openxmlformats.org/officeDocument/2006/relationships/hyperlink" Target="https://www.instagram.com/mrkokulan/" TargetMode="External"/><Relationship Id="rId10" Type="http://schemas.openxmlformats.org/officeDocument/2006/relationships/hyperlink" Target="https://www.instagram.com/markomarojevic92/" TargetMode="External"/><Relationship Id="rId54" Type="http://schemas.openxmlformats.org/officeDocument/2006/relationships/hyperlink" Target="https://www.instagram.com/luksuskokkener?igsh=MWpyeTY4dmVjbWZnNw==" TargetMode="External"/><Relationship Id="rId13" Type="http://schemas.openxmlformats.org/officeDocument/2006/relationships/hyperlink" Target="https://www.instagram.com/juliahansen111/" TargetMode="External"/><Relationship Id="rId57" Type="http://schemas.openxmlformats.org/officeDocument/2006/relationships/hyperlink" Target="https://www.instagram.com/steven_t_hertz/" TargetMode="External"/><Relationship Id="rId12" Type="http://schemas.openxmlformats.org/officeDocument/2006/relationships/hyperlink" Target="https://www.instagram.com/magnus.kvist/" TargetMode="External"/><Relationship Id="rId56" Type="http://schemas.openxmlformats.org/officeDocument/2006/relationships/hyperlink" Target="https://www.instagram.com/ida_friis_anker/" TargetMode="External"/><Relationship Id="rId15" Type="http://schemas.openxmlformats.org/officeDocument/2006/relationships/hyperlink" Target="https://www.instagram.com/_christinek/" TargetMode="External"/><Relationship Id="rId59" Type="http://schemas.openxmlformats.org/officeDocument/2006/relationships/hyperlink" Target="https://www.instagram.com/ninna_nygaard/" TargetMode="External"/><Relationship Id="rId14" Type="http://schemas.openxmlformats.org/officeDocument/2006/relationships/hyperlink" Target="https://www.instagram.com/dopernie/" TargetMode="External"/><Relationship Id="rId58" Type="http://schemas.openxmlformats.org/officeDocument/2006/relationships/hyperlink" Target="https://www.instagram.com/hamit_tugaycemerarslan/" TargetMode="External"/><Relationship Id="rId17" Type="http://schemas.openxmlformats.org/officeDocument/2006/relationships/hyperlink" Target="https://www.instagram.com/kellymoren/" TargetMode="External"/><Relationship Id="rId16" Type="http://schemas.openxmlformats.org/officeDocument/2006/relationships/hyperlink" Target="https://www.instagram.com/peterstuhr/" TargetMode="External"/><Relationship Id="rId19" Type="http://schemas.openxmlformats.org/officeDocument/2006/relationships/hyperlink" Target="https://www.instagram.com/adamlundjensen/" TargetMode="External"/><Relationship Id="rId18" Type="http://schemas.openxmlformats.org/officeDocument/2006/relationships/hyperlink" Target="https://www.instagram.com/sarahleebeck/"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instagram.com/kristofferwthomsen/" TargetMode="External"/><Relationship Id="rId42" Type="http://schemas.openxmlformats.org/officeDocument/2006/relationships/hyperlink" Target="https://www.instagram.com/mickey__moeller/" TargetMode="External"/><Relationship Id="rId41" Type="http://schemas.openxmlformats.org/officeDocument/2006/relationships/hyperlink" Target="https://www.instagram.com/philip_bertelsen/" TargetMode="External"/><Relationship Id="rId44" Type="http://schemas.openxmlformats.org/officeDocument/2006/relationships/hyperlink" Target="https://www.instagram.com/laura.skram/" TargetMode="External"/><Relationship Id="rId43" Type="http://schemas.openxmlformats.org/officeDocument/2006/relationships/hyperlink" Target="https://www.instagram.com/kristinaryel/" TargetMode="External"/><Relationship Id="rId46" Type="http://schemas.openxmlformats.org/officeDocument/2006/relationships/hyperlink" Target="https://www.instagram.com/mathiasvi_ch?igsh=M3B5NGE5amd6aTB3" TargetMode="External"/><Relationship Id="rId45" Type="http://schemas.openxmlformats.org/officeDocument/2006/relationships/hyperlink" Target="https://www.instagram.com/direct/t/115667516493635/" TargetMode="External"/><Relationship Id="rId1" Type="http://schemas.openxmlformats.org/officeDocument/2006/relationships/comments" Target="../comments11.xml"/><Relationship Id="rId2" Type="http://schemas.openxmlformats.org/officeDocument/2006/relationships/hyperlink" Target="https://www.instagram.com/frederiksalling/" TargetMode="External"/><Relationship Id="rId3" Type="http://schemas.openxmlformats.org/officeDocument/2006/relationships/hyperlink" Target="https://www.instagram.com/ida_friis_anker/" TargetMode="External"/><Relationship Id="rId4" Type="http://schemas.openxmlformats.org/officeDocument/2006/relationships/hyperlink" Target="https://www.instagram.com/dennis_s_bertram/" TargetMode="External"/><Relationship Id="rId9" Type="http://schemas.openxmlformats.org/officeDocument/2006/relationships/hyperlink" Target="https://www.instagram.com/mickychristianhavtorn/" TargetMode="External"/><Relationship Id="rId48" Type="http://schemas.openxmlformats.org/officeDocument/2006/relationships/hyperlink" Target="https://www.instagram.com/olivius_monika/" TargetMode="External"/><Relationship Id="rId47" Type="http://schemas.openxmlformats.org/officeDocument/2006/relationships/hyperlink" Target="https://www.instagram.com/hamderkappel/" TargetMode="External"/><Relationship Id="rId49" Type="http://schemas.openxmlformats.org/officeDocument/2006/relationships/hyperlink" Target="https://www.instagram.com/marie_sigrid_lilja/" TargetMode="External"/><Relationship Id="rId5" Type="http://schemas.openxmlformats.org/officeDocument/2006/relationships/hyperlink" Target="https://www.instagram.com/anjajungnielsen/" TargetMode="External"/><Relationship Id="rId6" Type="http://schemas.openxmlformats.org/officeDocument/2006/relationships/hyperlink" Target="https://www.instagram.com/jonamort02?igsh=M2R0NzcydGNwaDlx" TargetMode="External"/><Relationship Id="rId7" Type="http://schemas.openxmlformats.org/officeDocument/2006/relationships/hyperlink" Target="https://www.instagram.com/livtss2000/" TargetMode="External"/><Relationship Id="rId8" Type="http://schemas.openxmlformats.org/officeDocument/2006/relationships/hyperlink" Target="https://www.instagram.com/lu3as.t0mmi/" TargetMode="External"/><Relationship Id="rId31" Type="http://schemas.openxmlformats.org/officeDocument/2006/relationships/hyperlink" Target="https://www.instagram.com/philip_bertelsen/" TargetMode="External"/><Relationship Id="rId30" Type="http://schemas.openxmlformats.org/officeDocument/2006/relationships/hyperlink" Target="https://www.instagram.com/benjamin.priess/" TargetMode="External"/><Relationship Id="rId33" Type="http://schemas.openxmlformats.org/officeDocument/2006/relationships/hyperlink" Target="https://www.instagram.com/anne_kathirine?igsh=ejU2MDVncXQwaGc1" TargetMode="External"/><Relationship Id="rId32" Type="http://schemas.openxmlformats.org/officeDocument/2006/relationships/hyperlink" Target="https://www.instagram.com/hamderkappel/" TargetMode="External"/><Relationship Id="rId35" Type="http://schemas.openxmlformats.org/officeDocument/2006/relationships/hyperlink" Target="https://www.instagram.com/mickey__moeller/" TargetMode="External"/><Relationship Id="rId34" Type="http://schemas.openxmlformats.org/officeDocument/2006/relationships/hyperlink" Target="https://www.instagram.com/mathiasvi_ch?igsh=M3B5NGE5amd6aTB3" TargetMode="External"/><Relationship Id="rId37" Type="http://schemas.openxmlformats.org/officeDocument/2006/relationships/hyperlink" Target="https://www.instagram.com/zenia.a.gjerlev/" TargetMode="External"/><Relationship Id="rId36" Type="http://schemas.openxmlformats.org/officeDocument/2006/relationships/hyperlink" Target="https://www.instagram.com/hamderkappel/" TargetMode="External"/><Relationship Id="rId39" Type="http://schemas.openxmlformats.org/officeDocument/2006/relationships/hyperlink" Target="https://www.instagram.com/mangusnr1?igsh=ZGFkcDRhM2J5MGE0" TargetMode="External"/><Relationship Id="rId38" Type="http://schemas.openxmlformats.org/officeDocument/2006/relationships/hyperlink" Target="https://www.instagram.com/s.lstorm/" TargetMode="External"/><Relationship Id="rId20" Type="http://schemas.openxmlformats.org/officeDocument/2006/relationships/hyperlink" Target="https://www.instagram.com/gullegagav/" TargetMode="External"/><Relationship Id="rId22" Type="http://schemas.openxmlformats.org/officeDocument/2006/relationships/hyperlink" Target="https://www.instagram.com/pernilleandreasens/" TargetMode="External"/><Relationship Id="rId21" Type="http://schemas.openxmlformats.org/officeDocument/2006/relationships/hyperlink" Target="https://www.instagram.com/linewassmann/" TargetMode="External"/><Relationship Id="rId24" Type="http://schemas.openxmlformats.org/officeDocument/2006/relationships/hyperlink" Target="https://www.instagram.com/noah.vejborg/" TargetMode="External"/><Relationship Id="rId23" Type="http://schemas.openxmlformats.org/officeDocument/2006/relationships/hyperlink" Target="https://www.instagram.com/emmaerichsensorensen/" TargetMode="External"/><Relationship Id="rId26" Type="http://schemas.openxmlformats.org/officeDocument/2006/relationships/hyperlink" Target="https://www.instagram.com/simonejohansen_03/" TargetMode="External"/><Relationship Id="rId25" Type="http://schemas.openxmlformats.org/officeDocument/2006/relationships/hyperlink" Target="https://www.instagram.com/magnus_hornbeck?igsh=cnc5NmdrMjFreHVo" TargetMode="External"/><Relationship Id="rId28" Type="http://schemas.openxmlformats.org/officeDocument/2006/relationships/hyperlink" Target="https://www.instagram.com/simonefrokjaer/" TargetMode="External"/><Relationship Id="rId27" Type="http://schemas.openxmlformats.org/officeDocument/2006/relationships/hyperlink" Target="https://www.instagram.com/benjamin.priess/" TargetMode="External"/><Relationship Id="rId29" Type="http://schemas.openxmlformats.org/officeDocument/2006/relationships/hyperlink" Target="https://www.instagram.com/simonejohansen_03/" TargetMode="External"/><Relationship Id="rId51" Type="http://schemas.openxmlformats.org/officeDocument/2006/relationships/drawing" Target="../drawings/drawing12.xml"/><Relationship Id="rId50" Type="http://schemas.openxmlformats.org/officeDocument/2006/relationships/hyperlink" Target="https://www.instagram.com/nasramadsen?igsh=ZW9jZ2t3NTJhaDlx" TargetMode="External"/><Relationship Id="rId52" Type="http://schemas.openxmlformats.org/officeDocument/2006/relationships/vmlDrawing" Target="../drawings/vmlDrawing11.vml"/><Relationship Id="rId11" Type="http://schemas.openxmlformats.org/officeDocument/2006/relationships/hyperlink" Target="https://www.instagram.com/tobiasgjensen_/" TargetMode="External"/><Relationship Id="rId10" Type="http://schemas.openxmlformats.org/officeDocument/2006/relationships/hyperlink" Target="https://www.instagram.com/anjajungnielsen/" TargetMode="External"/><Relationship Id="rId13" Type="http://schemas.openxmlformats.org/officeDocument/2006/relationships/hyperlink" Target="https://www.instagram.com/mortil4unger/" TargetMode="External"/><Relationship Id="rId12" Type="http://schemas.openxmlformats.org/officeDocument/2006/relationships/hyperlink" Target="https://www.instagram.com/linathejlman?igsh=MW55cnhrMnV2OGZ0YQ==" TargetMode="External"/><Relationship Id="rId15" Type="http://schemas.openxmlformats.org/officeDocument/2006/relationships/hyperlink" Target="https://www.instagram.com/tinaragnhildblomstrand/" TargetMode="External"/><Relationship Id="rId14" Type="http://schemas.openxmlformats.org/officeDocument/2006/relationships/hyperlink" Target="https://www.instagram.com/lauravhellesoe/" TargetMode="External"/><Relationship Id="rId17" Type="http://schemas.openxmlformats.org/officeDocument/2006/relationships/hyperlink" Target="https://www.instagram.com/helle_s_lopper/" TargetMode="External"/><Relationship Id="rId16" Type="http://schemas.openxmlformats.org/officeDocument/2006/relationships/hyperlink" Target="https://www.instagram.com/vibekelindekrantz?igsh=MWFrbGc5ZGIxaWh1cg==" TargetMode="External"/><Relationship Id="rId19" Type="http://schemas.openxmlformats.org/officeDocument/2006/relationships/hyperlink" Target="https://www.instagram.com/niclas_stromgren/" TargetMode="External"/><Relationship Id="rId18" Type="http://schemas.openxmlformats.org/officeDocument/2006/relationships/hyperlink" Target="https://www.instagram.com/samueljust_/"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instagram.com/daniellevinberg/" TargetMode="External"/><Relationship Id="rId42" Type="http://schemas.openxmlformats.org/officeDocument/2006/relationships/hyperlink" Target="https://www.instagram.com/officialkinggogs/" TargetMode="External"/><Relationship Id="rId41" Type="http://schemas.openxmlformats.org/officeDocument/2006/relationships/hyperlink" Target="https://www.instagram.com/jullefar1992/" TargetMode="External"/><Relationship Id="rId44" Type="http://schemas.openxmlformats.org/officeDocument/2006/relationships/hyperlink" Target="https://www.instagram.com/tanjareinholdt/" TargetMode="External"/><Relationship Id="rId43" Type="http://schemas.openxmlformats.org/officeDocument/2006/relationships/hyperlink" Target="https://www.instagram.com/barthfit9/" TargetMode="External"/><Relationship Id="rId46" Type="http://schemas.openxmlformats.org/officeDocument/2006/relationships/drawing" Target="../drawings/drawing13.xml"/><Relationship Id="rId45" Type="http://schemas.openxmlformats.org/officeDocument/2006/relationships/hyperlink" Target="https://www.instagram.com/anneschounielsen/" TargetMode="External"/><Relationship Id="rId1" Type="http://schemas.openxmlformats.org/officeDocument/2006/relationships/comments" Target="../comments12.xml"/><Relationship Id="rId2" Type="http://schemas.openxmlformats.org/officeDocument/2006/relationships/hyperlink" Target="https://www.instagram.com/pernilleandreasens/" TargetMode="External"/><Relationship Id="rId3" Type="http://schemas.openxmlformats.org/officeDocument/2006/relationships/hyperlink" Target="https://www.instagram.com/ziggysaaby/" TargetMode="External"/><Relationship Id="rId4" Type="http://schemas.openxmlformats.org/officeDocument/2006/relationships/hyperlink" Target="https://www.instagram.com/michael.s.kristensen.5/" TargetMode="External"/><Relationship Id="rId9" Type="http://schemas.openxmlformats.org/officeDocument/2006/relationships/hyperlink" Target="https://www.instagram.com/ceci_josefsen/" TargetMode="External"/><Relationship Id="rId47" Type="http://schemas.openxmlformats.org/officeDocument/2006/relationships/vmlDrawing" Target="../drawings/vmlDrawing12.vml"/><Relationship Id="rId5" Type="http://schemas.openxmlformats.org/officeDocument/2006/relationships/hyperlink" Target="https://www.instagram.com/ktalovic_27/" TargetMode="External"/><Relationship Id="rId6" Type="http://schemas.openxmlformats.org/officeDocument/2006/relationships/hyperlink" Target="https://www.instagram.com/nasramadsen?igsh=ZW9jZ2t3NTJhaDlx" TargetMode="External"/><Relationship Id="rId7" Type="http://schemas.openxmlformats.org/officeDocument/2006/relationships/hyperlink" Target="https://www.instagram.com/lukas_v_eriksen/" TargetMode="External"/><Relationship Id="rId8" Type="http://schemas.openxmlformats.org/officeDocument/2006/relationships/hyperlink" Target="https://www.instagram.com/noelbojsen/" TargetMode="External"/><Relationship Id="rId31" Type="http://schemas.openxmlformats.org/officeDocument/2006/relationships/hyperlink" Target="https://www.instagram.com/osci_12_boel/" TargetMode="External"/><Relationship Id="rId30" Type="http://schemas.openxmlformats.org/officeDocument/2006/relationships/hyperlink" Target="https://www.instagram.com/nanna.bjoernlund/" TargetMode="External"/><Relationship Id="rId33" Type="http://schemas.openxmlformats.org/officeDocument/2006/relationships/hyperlink" Target="https://www.instagram.com/benjaminbachfihl/" TargetMode="External"/><Relationship Id="rId32" Type="http://schemas.openxmlformats.org/officeDocument/2006/relationships/hyperlink" Target="https://www.instagram.com/malene.hartmann/" TargetMode="External"/><Relationship Id="rId35" Type="http://schemas.openxmlformats.org/officeDocument/2006/relationships/hyperlink" Target="https://www.instagram.com/emilvinther_/" TargetMode="External"/><Relationship Id="rId34" Type="http://schemas.openxmlformats.org/officeDocument/2006/relationships/hyperlink" Target="https://www.instagram.com/erni_kristiansen/" TargetMode="External"/><Relationship Id="rId37" Type="http://schemas.openxmlformats.org/officeDocument/2006/relationships/hyperlink" Target="https://www.instagram.com/nicolaikarup/" TargetMode="External"/><Relationship Id="rId36" Type="http://schemas.openxmlformats.org/officeDocument/2006/relationships/hyperlink" Target="https://www.instagram.com/tina.lundgreen/" TargetMode="External"/><Relationship Id="rId39" Type="http://schemas.openxmlformats.org/officeDocument/2006/relationships/hyperlink" Target="https://www.instagram.com/anna_always_dream/" TargetMode="External"/><Relationship Id="rId38" Type="http://schemas.openxmlformats.org/officeDocument/2006/relationships/hyperlink" Target="https://www.instagram.com/barthfit9/" TargetMode="External"/><Relationship Id="rId20" Type="http://schemas.openxmlformats.org/officeDocument/2006/relationships/hyperlink" Target="https://www.instagram.com/marcus__laursen/" TargetMode="External"/><Relationship Id="rId22" Type="http://schemas.openxmlformats.org/officeDocument/2006/relationships/hyperlink" Target="https://www.instagram.com/mads_l.s/" TargetMode="External"/><Relationship Id="rId21" Type="http://schemas.openxmlformats.org/officeDocument/2006/relationships/hyperlink" Target="https://www.instagram.com/daniellevinberg/" TargetMode="External"/><Relationship Id="rId24" Type="http://schemas.openxmlformats.org/officeDocument/2006/relationships/hyperlink" Target="https://www.instagram.com/sjoko91?igsh=eWFia21yd2FuaTho" TargetMode="External"/><Relationship Id="rId23" Type="http://schemas.openxmlformats.org/officeDocument/2006/relationships/hyperlink" Target="https://www.instagram.com/nadiasteenhansen/" TargetMode="External"/><Relationship Id="rId26" Type="http://schemas.openxmlformats.org/officeDocument/2006/relationships/hyperlink" Target="https://www.instagram.com/idadavidsen/" TargetMode="External"/><Relationship Id="rId25" Type="http://schemas.openxmlformats.org/officeDocument/2006/relationships/hyperlink" Target="https://www.instagram.com/niicolejacobsen/" TargetMode="External"/><Relationship Id="rId28" Type="http://schemas.openxmlformats.org/officeDocument/2006/relationships/hyperlink" Target="https://www.instagram.com/linelehnshoej/" TargetMode="External"/><Relationship Id="rId27" Type="http://schemas.openxmlformats.org/officeDocument/2006/relationships/hyperlink" Target="https://www.instagram.com/danielmikkelsen99/" TargetMode="External"/><Relationship Id="rId29" Type="http://schemas.openxmlformats.org/officeDocument/2006/relationships/hyperlink" Target="https://www.instagram.com/kfj14/" TargetMode="External"/><Relationship Id="rId11" Type="http://schemas.openxmlformats.org/officeDocument/2006/relationships/hyperlink" Target="https://www.instagram.com/lene_maya_ingvorsen/" TargetMode="External"/><Relationship Id="rId10" Type="http://schemas.openxmlformats.org/officeDocument/2006/relationships/hyperlink" Target="https://www.instagram.com/ceciliechander/" TargetMode="External"/><Relationship Id="rId13" Type="http://schemas.openxmlformats.org/officeDocument/2006/relationships/hyperlink" Target="https://www.instagram.com/_scubamermaid_/" TargetMode="External"/><Relationship Id="rId12" Type="http://schemas.openxmlformats.org/officeDocument/2006/relationships/hyperlink" Target="https://www.instagram.com/sjoko91?igsh=eWFia21yd2FuaTho" TargetMode="External"/><Relationship Id="rId15" Type="http://schemas.openxmlformats.org/officeDocument/2006/relationships/hyperlink" Target="https://www.instagram.com/lolonygaard/" TargetMode="External"/><Relationship Id="rId14" Type="http://schemas.openxmlformats.org/officeDocument/2006/relationships/hyperlink" Target="https://www.instagram.com/imroed?igsh=cHpsMWZsZzgwanF6" TargetMode="External"/><Relationship Id="rId17" Type="http://schemas.openxmlformats.org/officeDocument/2006/relationships/hyperlink" Target="https://www.instagram.com/sjoko91?igsh=eWFia21yd2FuaTho" TargetMode="External"/><Relationship Id="rId16" Type="http://schemas.openxmlformats.org/officeDocument/2006/relationships/hyperlink" Target="https://www.instagram.com/fruen_topp/" TargetMode="External"/><Relationship Id="rId19" Type="http://schemas.openxmlformats.org/officeDocument/2006/relationships/hyperlink" Target="https://www.instagram.com/anittahansen1968?igsh=bjVyZmYyZTczZGto" TargetMode="External"/><Relationship Id="rId18" Type="http://schemas.openxmlformats.org/officeDocument/2006/relationships/hyperlink" Target="https://www.instagram.com/camulla_hedegaar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t="str">
        <f>iferror(B12/B10,"")</f>
        <v/>
      </c>
      <c r="C3" s="10" t="str">
        <f t="shared" ref="C3:C5" si="1">Jan!I2</f>
        <v>#REF!</v>
      </c>
      <c r="D3" s="10" t="str">
        <f t="shared" ref="D3:D5" si="2">IFERROR(Feb!I2,"")</f>
        <v/>
      </c>
      <c r="E3" s="11" t="str">
        <f>Mar!I2</f>
        <v>#REF!</v>
      </c>
      <c r="F3" s="11" t="str">
        <f>IFERROR(Template!I2,"")</f>
        <v/>
      </c>
      <c r="G3" s="11" t="str">
        <f>IFERROR(May!I2,"")</f>
        <v/>
      </c>
      <c r="H3" s="11">
        <f>IFERROR(Jun!I2,"")</f>
        <v>0.32</v>
      </c>
      <c r="I3" s="11">
        <f>IFERROR(Jul!I2,"")</f>
        <v>0.5294117647</v>
      </c>
      <c r="J3" s="11">
        <f>IFERROR(Aug!I2,"")</f>
        <v>0.4137931034</v>
      </c>
      <c r="K3" s="11">
        <f>IFERROR(Sep!L2,"")</f>
        <v>0.3114754098</v>
      </c>
      <c r="L3" s="11" t="str">
        <f>IFERROR(Oct!I2,"")</f>
        <v/>
      </c>
      <c r="M3" s="11" t="str">
        <f t="shared" ref="M3:M5" si="3">IFERROR(Nov!I2,"")</f>
        <v/>
      </c>
      <c r="N3" s="12" t="str">
        <f t="shared" ref="N3:N5" si="4">IFERROR(Dec!I2,"")</f>
        <v/>
      </c>
      <c r="O3" s="13" t="str">
        <f>IFERROR(__xludf.DUMMYFUNCTION("IFERROR(SPARKLINE(C3:N3, {""chartype"", ""line""; ""color"", ""blue""}))
"),"")</f>
        <v/>
      </c>
    </row>
    <row r="4" ht="15.75" customHeight="1">
      <c r="A4" s="14" t="s">
        <v>17</v>
      </c>
      <c r="B4" s="9" t="str">
        <f>iferror(B12/B11,"")</f>
        <v/>
      </c>
      <c r="C4" s="10" t="str">
        <f t="shared" si="1"/>
        <v>#REF!</v>
      </c>
      <c r="D4" s="10" t="str">
        <f t="shared" si="2"/>
        <v/>
      </c>
      <c r="E4" s="11" t="str">
        <f t="shared" ref="E4:E5" si="5">IFERROR(Mar!I3,"")</f>
        <v/>
      </c>
      <c r="F4" s="11" t="str">
        <f>IFERROR(Template!I3,"")</f>
        <v/>
      </c>
      <c r="G4" s="11" t="str">
        <f>IFERROR(May!I3,"")</f>
        <v/>
      </c>
      <c r="H4" s="11">
        <f>IFERROR(Jun!I3,"")</f>
        <v>0.347826087</v>
      </c>
      <c r="I4" s="11">
        <f>IFERROR(Jul!I3,"")</f>
        <v>0.5294117647</v>
      </c>
      <c r="J4" s="11">
        <f>IFERROR(Aug!I3,"")</f>
        <v>0.4137931034</v>
      </c>
      <c r="K4" s="11">
        <f>IFERROR(Sep!L3,"")</f>
        <v>0.3220338983</v>
      </c>
      <c r="L4" s="11">
        <f>IFERROR(Oct!L3,"")</f>
        <v>0.3965517241</v>
      </c>
      <c r="M4" s="11" t="str">
        <f t="shared" si="3"/>
        <v/>
      </c>
      <c r="N4" s="12" t="str">
        <f t="shared" si="4"/>
        <v/>
      </c>
      <c r="O4" s="13" t="str">
        <f>IFERROR(__xludf.DUMMYFUNCTION("IFERROR(SPARKLINE(C4:N4, {""chartype"", ""line""; ""color"", ""blue""}))
"),"")</f>
        <v/>
      </c>
    </row>
    <row r="5" ht="15.75" customHeight="1">
      <c r="A5" s="14" t="s">
        <v>18</v>
      </c>
      <c r="B5" s="15" t="str">
        <f>IFERROR(B11/B10,"")</f>
        <v/>
      </c>
      <c r="C5" s="10" t="str">
        <f t="shared" si="1"/>
        <v>#REF!</v>
      </c>
      <c r="D5" s="10" t="str">
        <f t="shared" si="2"/>
        <v/>
      </c>
      <c r="E5" s="11" t="str">
        <f t="shared" si="5"/>
        <v/>
      </c>
      <c r="F5" s="11" t="str">
        <f>IFERROR(Template!I4,"")</f>
        <v/>
      </c>
      <c r="G5" s="11" t="str">
        <f>IFERROR(May!I4,"")</f>
        <v/>
      </c>
      <c r="H5" s="11">
        <f>IFERROR(Jun!I4,"")</f>
        <v>0.92</v>
      </c>
      <c r="I5" s="11">
        <f>IFERROR(Jul!I4,"")</f>
        <v>1</v>
      </c>
      <c r="J5" s="11">
        <f>IFERROR(Aug!I4,"")</f>
        <v>1</v>
      </c>
      <c r="K5" s="11">
        <f>IFERROR(Sep!L4,"")</f>
        <v>0.9672131148</v>
      </c>
      <c r="L5" s="11">
        <f>IFERROR(Oct!L4,"")</f>
        <v>0.9830508475</v>
      </c>
      <c r="M5" s="11" t="str">
        <f t="shared" si="3"/>
        <v/>
      </c>
      <c r="N5" s="12" t="str">
        <f t="shared" si="4"/>
        <v/>
      </c>
      <c r="O5" s="13" t="str">
        <f>IFERROR(__xludf.DUMMYFUNCTION("IFERROR(SPARKLINE(C5:N5, {""chartype"", ""line""; ""color"", ""blue""}))
"),"")</f>
        <v/>
      </c>
    </row>
    <row r="6" ht="15.75" customHeight="1">
      <c r="A6" s="14" t="s">
        <v>19</v>
      </c>
      <c r="B6" s="16" t="str">
        <f t="shared" ref="B6:B8" si="6">IFERROR(SUM(C6:N6),"")</f>
        <v/>
      </c>
      <c r="C6" s="17" t="str">
        <f t="shared" ref="C6:C7" si="7">Jan!C3</f>
        <v>#REF!</v>
      </c>
      <c r="D6" s="17" t="str">
        <f t="shared" ref="D6:D7" si="8">IFERROR(Feb!C3,"")</f>
        <v/>
      </c>
      <c r="E6" s="18" t="str">
        <f t="shared" ref="E6:E7" si="9">IFERROR(Mar!$C3,"")</f>
        <v/>
      </c>
      <c r="F6" s="18">
        <f>IFERROR(Template!$C3,"")</f>
        <v>0</v>
      </c>
      <c r="G6" s="18">
        <f>IFERROR(May!$C3,"")</f>
        <v>0</v>
      </c>
      <c r="H6" s="18">
        <f>IFERROR(Jun!$C3,"")</f>
        <v>69500</v>
      </c>
      <c r="I6" s="18">
        <f>IFERROR(Jul!$C3,"")</f>
        <v>162000</v>
      </c>
      <c r="J6" s="18">
        <f>IFERROR(Aug!$C3,"")</f>
        <v>111000</v>
      </c>
      <c r="K6" s="18">
        <f>IFERROR(Sep!$C3,"")</f>
        <v>202500</v>
      </c>
      <c r="L6" s="18">
        <f>IFERROR(Oct!$C3,"")</f>
        <v>238500</v>
      </c>
      <c r="M6" s="18">
        <f>IFERROR(Nov!$C3,"")</f>
        <v>155000</v>
      </c>
      <c r="N6" s="19">
        <f>IFERROR(Dec!$C3,"")</f>
        <v>239000</v>
      </c>
      <c r="O6" s="13" t="str">
        <f>IFERROR(__xludf.DUMMYFUNCTION("IFERROR(SPARKLINE(C6:N6, {""chartype"", ""line""; ""color"", ""blue""}))
"),"")</f>
        <v/>
      </c>
    </row>
    <row r="7" ht="15.75" customHeight="1">
      <c r="A7" s="14" t="s">
        <v>20</v>
      </c>
      <c r="B7" s="16" t="str">
        <f t="shared" si="6"/>
        <v/>
      </c>
      <c r="C7" s="17" t="str">
        <f t="shared" si="7"/>
        <v>#REF!</v>
      </c>
      <c r="D7" s="18" t="str">
        <f t="shared" si="8"/>
        <v/>
      </c>
      <c r="E7" s="18" t="str">
        <f t="shared" si="9"/>
        <v/>
      </c>
      <c r="F7" s="18">
        <f>IFERROR(Template!$C4,"")</f>
        <v>0</v>
      </c>
      <c r="G7" s="18">
        <f>IFERROR(May!$C4,"")</f>
        <v>0</v>
      </c>
      <c r="H7" s="18">
        <f>IFERROR(Jun!$C4,"")</f>
        <v>22100</v>
      </c>
      <c r="I7" s="18">
        <f>IFERROR(Jul!$C4,"")</f>
        <v>88550</v>
      </c>
      <c r="J7" s="18">
        <f>IFERROR(Aug!$C4,"")</f>
        <v>43875</v>
      </c>
      <c r="K7" s="18">
        <f>IFERROR(Sep!$C4,"")</f>
        <v>55150</v>
      </c>
      <c r="L7" s="18">
        <f>IFERROR(Oct!$C4,"")</f>
        <v>75349.5</v>
      </c>
      <c r="M7" s="18">
        <f>IFERROR(Nov!$C4,"")</f>
        <v>64800</v>
      </c>
      <c r="N7" s="19">
        <f>IFERROR(Dec!$C4,"")</f>
        <v>80950</v>
      </c>
      <c r="O7" s="13" t="str">
        <f>IFERROR(__xludf.DUMMYFUNCTION("IFERROR(SPARKLINE(C7:N7, {""chartype"", ""line""; ""color"", ""blue""}))
"),"")</f>
        <v/>
      </c>
    </row>
    <row r="8" ht="15.75" customHeight="1">
      <c r="A8" s="14" t="s">
        <v>21</v>
      </c>
      <c r="B8" s="20" t="str">
        <f t="shared" si="6"/>
        <v/>
      </c>
      <c r="C8" s="21" t="str">
        <f t="shared" ref="C8:C9" si="10">Jan!I6</f>
        <v>#REF!</v>
      </c>
      <c r="D8" s="22" t="str">
        <f>IFERROR(Feb!I6,"")</f>
        <v/>
      </c>
      <c r="E8" s="22" t="str">
        <f>IFERROR(Mar!$I6,"")</f>
        <v/>
      </c>
      <c r="F8" s="22">
        <f>IFERROR(Template!$I6,"")</f>
        <v>0</v>
      </c>
      <c r="G8" s="22">
        <f>IFERROR(May!$I6,"")</f>
        <v>0</v>
      </c>
      <c r="H8" s="22">
        <f>IFERROR(Jun!$I6,"")</f>
        <v>31</v>
      </c>
      <c r="I8" s="22">
        <f>IFERROR(Jul!$I6,"")</f>
        <v>42</v>
      </c>
      <c r="J8" s="22">
        <f>IFERROR(Aug!$I6,"")</f>
        <v>32</v>
      </c>
      <c r="K8" s="22">
        <f>IFERROR(Sep!$L6,"")</f>
        <v>70</v>
      </c>
      <c r="L8" s="22">
        <f>IFERROR(Oct!$L6,"")</f>
        <v>73</v>
      </c>
      <c r="M8" s="22">
        <f>IFERROR(Nov!$L6,"")</f>
        <v>67</v>
      </c>
      <c r="N8" s="23">
        <f>IFERROR(Dec!$L6,"")</f>
        <v>65</v>
      </c>
      <c r="O8" s="13" t="str">
        <f>IFERROR(__xludf.DUMMYFUNCTION("IFERROR(SPARKLINE(C8:N8, {""chartype"", ""line""; ""color"", ""blue""}))
"),"")</f>
        <v/>
      </c>
    </row>
    <row r="9" ht="15.75" customHeight="1">
      <c r="A9" s="14" t="s">
        <v>22</v>
      </c>
      <c r="B9" s="24" t="str">
        <f>sum(C9:N9)</f>
        <v>#REF!</v>
      </c>
      <c r="C9" s="21" t="str">
        <f t="shared" si="10"/>
        <v>#REF!</v>
      </c>
      <c r="D9" s="22" t="str">
        <f>IFERROR(Feb!$I$7,"")</f>
        <v/>
      </c>
      <c r="E9" s="22" t="str">
        <f>IFERROR(Mar!$I$7,"")</f>
        <v/>
      </c>
      <c r="F9" s="22">
        <f>IFERROR(Template!$I$7,"")</f>
        <v>0</v>
      </c>
      <c r="G9" s="22">
        <f>IFERROR(May!$I$7,"")</f>
        <v>0</v>
      </c>
      <c r="H9" s="22">
        <f>IFERROR(Jun!$I$7,"")</f>
        <v>25</v>
      </c>
      <c r="I9" s="22">
        <f>IFERROR(Jul!$I$7,"")</f>
        <v>34</v>
      </c>
      <c r="J9" s="22">
        <f>IFERROR(Aug!$I$7,"")</f>
        <v>29</v>
      </c>
      <c r="K9" s="22">
        <f>IFERROR(Sep!$L$7,"")</f>
        <v>61</v>
      </c>
      <c r="L9" s="22">
        <f>IFERROR(Oct!$L$7,"")</f>
        <v>59</v>
      </c>
      <c r="M9" s="22">
        <f>IFERROR(Nov!$L$7,"")</f>
        <v>57</v>
      </c>
      <c r="N9" s="23">
        <f>IFERROR(Dec!$L$7,"")</f>
        <v>55</v>
      </c>
      <c r="O9" s="13" t="str">
        <f>IFERROR(__xludf.DUMMYFUNCTION("IFERROR(SPARKLINE(C9:N9, {""chartype"", ""line""; ""color"", ""blue""}))
"),"")</f>
        <v/>
      </c>
    </row>
    <row r="10" ht="15.75" customHeight="1">
      <c r="A10" s="14" t="s">
        <v>23</v>
      </c>
      <c r="B10" s="20" t="str">
        <f t="shared" ref="B10:B15" si="11">IFERROR(SUM(C10:N10),"")</f>
        <v/>
      </c>
      <c r="C10" s="21" t="str">
        <f>Jan!I7</f>
        <v>#REF!</v>
      </c>
      <c r="D10" s="22" t="str">
        <f t="shared" ref="D10:D12" si="12">IFERROR(Feb!I8,"")</f>
        <v/>
      </c>
      <c r="E10" s="22" t="str">
        <f t="shared" ref="E10:E12" si="13">IFERROR(Mar!$I8,"")</f>
        <v/>
      </c>
      <c r="F10" s="22">
        <f>IFERROR(Template!$I8,"")</f>
        <v>0</v>
      </c>
      <c r="G10" s="22">
        <f>IFERROR(May!$I8,"")</f>
        <v>0</v>
      </c>
      <c r="H10" s="22">
        <f>IFERROR(Jun!$I8,"")</f>
        <v>25</v>
      </c>
      <c r="I10" s="22">
        <f>IFERROR(Jul!$I8,"")</f>
        <v>34</v>
      </c>
      <c r="J10" s="22">
        <f>IFERROR(Aug!$I8,"")</f>
        <v>29</v>
      </c>
      <c r="K10" s="22">
        <f>IFERROR(Sep!$L8,"")</f>
        <v>61</v>
      </c>
      <c r="L10" s="22">
        <f>IFERROR(Oct!$L8,"")</f>
        <v>59</v>
      </c>
      <c r="M10" s="22">
        <f>IFERROR(Nov!$L8,"")</f>
        <v>57</v>
      </c>
      <c r="N10" s="23">
        <f>IFERROR(Dec!$L8,"")</f>
        <v>55</v>
      </c>
      <c r="O10" s="13" t="str">
        <f>IFERROR(__xludf.DUMMYFUNCTION("IFERROR(SPARKLINE(C10:N10, {""chartype"", ""line""; ""color"", ""blue""}))
"),"")</f>
        <v/>
      </c>
    </row>
    <row r="11" ht="15.75" customHeight="1">
      <c r="A11" s="14" t="s">
        <v>24</v>
      </c>
      <c r="B11" s="20" t="str">
        <f t="shared" si="11"/>
        <v/>
      </c>
      <c r="C11" s="21" t="str">
        <f t="shared" ref="C11:C12" si="14">Jan!I9</f>
        <v>#REF!</v>
      </c>
      <c r="D11" s="22" t="str">
        <f t="shared" si="12"/>
        <v/>
      </c>
      <c r="E11" s="22" t="str">
        <f t="shared" si="13"/>
        <v/>
      </c>
      <c r="F11" s="22">
        <f>IFERROR(Template!$I9,"")</f>
        <v>0</v>
      </c>
      <c r="G11" s="22">
        <f>IFERROR(May!$I9,"")</f>
        <v>0</v>
      </c>
      <c r="H11" s="22">
        <f>IFERROR(Jun!$I9,"")</f>
        <v>23</v>
      </c>
      <c r="I11" s="22">
        <f>IFERROR(Jul!$I9,"")</f>
        <v>34</v>
      </c>
      <c r="J11" s="22">
        <f>IFERROR(Aug!$I9,"")</f>
        <v>29</v>
      </c>
      <c r="K11" s="22">
        <f>IFERROR(Sep!$L9,"")</f>
        <v>59</v>
      </c>
      <c r="L11" s="22">
        <f>IFERROR(Oct!$L9,"")</f>
        <v>58</v>
      </c>
      <c r="M11" s="22">
        <f>IFERROR(Nov!$L9,"")</f>
        <v>55</v>
      </c>
      <c r="N11" s="23">
        <f>IFERROR(Dec!$L9,"")</f>
        <v>52</v>
      </c>
      <c r="O11" s="13" t="str">
        <f>IFERROR(__xludf.DUMMYFUNCTION("IFERROR(SPARKLINE(C11:N11, {""chartype"", ""line""; ""color"", ""blue""}))
"),"")</f>
        <v/>
      </c>
    </row>
    <row r="12" ht="15.75" customHeight="1">
      <c r="A12" s="14" t="s">
        <v>25</v>
      </c>
      <c r="B12" s="20" t="str">
        <f t="shared" si="11"/>
        <v/>
      </c>
      <c r="C12" s="21" t="str">
        <f t="shared" si="14"/>
        <v>#REF!</v>
      </c>
      <c r="D12" s="22" t="str">
        <f t="shared" si="12"/>
        <v/>
      </c>
      <c r="E12" s="22" t="str">
        <f t="shared" si="13"/>
        <v/>
      </c>
      <c r="F12" s="22">
        <f>IFERROR(Template!$I10,"")</f>
        <v>0</v>
      </c>
      <c r="G12" s="22">
        <f>IFERROR(May!$I10,"")</f>
        <v>0</v>
      </c>
      <c r="H12" s="22">
        <f>IFERROR(Jun!$I10,"")</f>
        <v>8</v>
      </c>
      <c r="I12" s="22">
        <f>IFERROR(Jul!$I10,"")</f>
        <v>18</v>
      </c>
      <c r="J12" s="22">
        <f>IFERROR(Aug!$I10,"")</f>
        <v>12</v>
      </c>
      <c r="K12" s="22">
        <f>IFERROR(Sep!$L10,"")</f>
        <v>19</v>
      </c>
      <c r="L12" s="22">
        <f>IFERROR(Oct!$L10,"")</f>
        <v>23</v>
      </c>
      <c r="M12" s="22">
        <f>IFERROR(Nov!$L10,"")</f>
        <v>17</v>
      </c>
      <c r="N12" s="23">
        <f>IFERROR(Dec!$L10,"")</f>
        <v>23</v>
      </c>
      <c r="O12" s="13" t="str">
        <f>IFERROR(__xludf.DUMMYFUNCTION("IFERROR(SPARKLINE(C12:N12, {""chartype"", ""line""; ""color"", ""blue""}))
"),"")</f>
        <v/>
      </c>
    </row>
    <row r="13" ht="15.75" customHeight="1">
      <c r="A13" s="25" t="s">
        <v>26</v>
      </c>
      <c r="B13" s="20" t="str">
        <f t="shared" si="11"/>
        <v/>
      </c>
      <c r="C13" s="21" t="str">
        <f t="shared" ref="C13:C15" si="15">Jan!F2</f>
        <v>#REF!</v>
      </c>
      <c r="D13" s="22" t="str">
        <f t="shared" ref="D13:D15" si="16">IFERROR(Feb!F2,"")</f>
        <v/>
      </c>
      <c r="E13" s="22" t="str">
        <f t="shared" ref="E13:E15" si="17">IFERROR(Mar!$F2,"")</f>
        <v/>
      </c>
      <c r="F13" s="22">
        <f>IFERROR(Template!$F2,"")</f>
        <v>0</v>
      </c>
      <c r="G13" s="22">
        <f>IFERROR(May!$F2,"")</f>
        <v>0</v>
      </c>
      <c r="H13" s="22">
        <f>IFERROR(Jun!$F2,"")</f>
        <v>1</v>
      </c>
      <c r="I13" s="22">
        <f>IFERROR(Jul!$F2,"")</f>
        <v>7</v>
      </c>
      <c r="J13" s="22">
        <f>IFERROR(Aug!$F2,"")</f>
        <v>3</v>
      </c>
      <c r="K13" s="22">
        <f>IFERROR(Sep!$I2,"")</f>
        <v>1</v>
      </c>
      <c r="L13" s="22">
        <f>IFERROR(Oct!$I2,"")</f>
        <v>1</v>
      </c>
      <c r="M13" s="22">
        <f>IFERROR(Nov!$I2,"")</f>
        <v>5</v>
      </c>
      <c r="N13" s="23">
        <f>IFERROR(Dec!$I2,"")</f>
        <v>3</v>
      </c>
      <c r="O13" s="13" t="str">
        <f>IFERROR(__xludf.DUMMYFUNCTION("IFERROR(SPARKLINE(C13:N13, {""chartype"", ""line""; ""color"", ""blue""}))
"),"")</f>
        <v/>
      </c>
    </row>
    <row r="14" ht="15.75" customHeight="1">
      <c r="A14" s="25" t="s">
        <v>27</v>
      </c>
      <c r="B14" s="20" t="str">
        <f t="shared" si="11"/>
        <v/>
      </c>
      <c r="C14" s="21" t="str">
        <f t="shared" si="15"/>
        <v>#REF!</v>
      </c>
      <c r="D14" s="21" t="str">
        <f t="shared" si="16"/>
        <v/>
      </c>
      <c r="E14" s="22" t="str">
        <f t="shared" si="17"/>
        <v/>
      </c>
      <c r="F14" s="22">
        <f>IFERROR(Template!$F3,"")</f>
        <v>0</v>
      </c>
      <c r="G14" s="22">
        <f>IFERROR(May!$F3,"")</f>
        <v>0</v>
      </c>
      <c r="H14" s="22">
        <f>IFERROR(Jun!$F3,"")</f>
        <v>7</v>
      </c>
      <c r="I14" s="22">
        <f>IFERROR(Jul!$F3,"")</f>
        <v>11</v>
      </c>
      <c r="J14" s="22">
        <f>IFERROR(Aug!$F3,"")</f>
        <v>9</v>
      </c>
      <c r="K14" s="22">
        <f>IFERROR(Sep!$I3,"")</f>
        <v>18</v>
      </c>
      <c r="L14" s="22">
        <f>IFERROR(Oct!$I3,"")</f>
        <v>22</v>
      </c>
      <c r="M14" s="22">
        <f>IFERROR(Nov!$I3,"")</f>
        <v>12</v>
      </c>
      <c r="N14" s="23">
        <f>IFERROR(Dec!$I3,"")</f>
        <v>20</v>
      </c>
      <c r="O14" s="13" t="str">
        <f>IFERROR(__xludf.DUMMYFUNCTION("IFERROR(SPARKLINE(C14:N14, {""chartype"", ""line""; ""color"", ""blue""}))
"),"")</f>
        <v/>
      </c>
    </row>
    <row r="15" ht="15.75" customHeight="1">
      <c r="A15" s="25" t="s">
        <v>28</v>
      </c>
      <c r="B15" s="20" t="str">
        <f t="shared" si="11"/>
        <v/>
      </c>
      <c r="C15" s="26" t="str">
        <f t="shared" si="15"/>
        <v>#REF!</v>
      </c>
      <c r="D15" s="21" t="str">
        <f t="shared" si="16"/>
        <v/>
      </c>
      <c r="E15" s="22" t="str">
        <f t="shared" si="17"/>
        <v/>
      </c>
      <c r="F15" s="22">
        <f>IFERROR(Template!$F4,"")</f>
        <v>0</v>
      </c>
      <c r="G15" s="22">
        <f>IFERROR(May!$F4,"")</f>
        <v>0</v>
      </c>
      <c r="H15" s="22">
        <f>IFERROR(Jun!$F4,"")</f>
        <v>0</v>
      </c>
      <c r="I15" s="22">
        <f>IFERROR(Jul!$F4,"")</f>
        <v>1</v>
      </c>
      <c r="J15" s="22">
        <f>IFERROR(Aug!$F4,"")</f>
        <v>1</v>
      </c>
      <c r="K15" s="22">
        <f>IFERROR(Sep!$I4,"")</f>
        <v>8</v>
      </c>
      <c r="L15" s="22">
        <f>IFERROR(Oct!$I4,"")</f>
        <v>4</v>
      </c>
      <c r="M15" s="22">
        <f>IFERROR(Nov!$I4,"")</f>
        <v>7</v>
      </c>
      <c r="N15" s="23">
        <f>IFERROR(Dec!$I4,"")</f>
        <v>6</v>
      </c>
      <c r="O15" s="13" t="str">
        <f>IFERROR(__xludf.DUMMYFUNCTION("IFERROR(SPARKLINE(C15:N15, {""chartype"", ""line""; ""color"", ""blue""}))
"),"")</f>
        <v/>
      </c>
    </row>
    <row r="16" ht="15.75" customHeight="1">
      <c r="A16" s="25" t="s">
        <v>29</v>
      </c>
      <c r="B16" s="27" t="str">
        <f t="shared" ref="B16:N16" si="18">B9/B8</f>
        <v>#REF!</v>
      </c>
      <c r="C16" s="10" t="str">
        <f t="shared" si="18"/>
        <v>#REF!</v>
      </c>
      <c r="D16" s="10" t="str">
        <f t="shared" si="18"/>
        <v>#DIV/0!</v>
      </c>
      <c r="E16" s="10" t="str">
        <f t="shared" si="18"/>
        <v>#DIV/0!</v>
      </c>
      <c r="F16" s="10" t="str">
        <f t="shared" si="18"/>
        <v>#DIV/0!</v>
      </c>
      <c r="G16" s="10" t="str">
        <f t="shared" si="18"/>
        <v>#DIV/0!</v>
      </c>
      <c r="H16" s="10">
        <f t="shared" si="18"/>
        <v>0.8064516129</v>
      </c>
      <c r="I16" s="10">
        <f t="shared" si="18"/>
        <v>0.8095238095</v>
      </c>
      <c r="J16" s="10">
        <f t="shared" si="18"/>
        <v>0.90625</v>
      </c>
      <c r="K16" s="10">
        <f t="shared" si="18"/>
        <v>0.8714285714</v>
      </c>
      <c r="L16" s="10">
        <f t="shared" si="18"/>
        <v>0.8082191781</v>
      </c>
      <c r="M16" s="10">
        <f t="shared" si="18"/>
        <v>0.8507462687</v>
      </c>
      <c r="N16" s="10">
        <f t="shared" si="18"/>
        <v>0.8461538462</v>
      </c>
      <c r="O16" s="13" t="str">
        <f>IFERROR(__xludf.DUMMYFUNCTION("IFERROR(SPARKLINE(C16:N16, {""chartype"", ""line""; ""color"", ""blue""}))
"),"")</f>
        <v/>
      </c>
    </row>
    <row r="17" ht="15.75" customHeight="1">
      <c r="A17" s="28" t="s">
        <v>30</v>
      </c>
      <c r="B17" s="29" t="str">
        <f t="shared" ref="B17:N17" si="19">B10/B8</f>
        <v>#DIV/0!</v>
      </c>
      <c r="C17" s="30" t="str">
        <f t="shared" si="19"/>
        <v>#REF!</v>
      </c>
      <c r="D17" s="30" t="str">
        <f t="shared" si="19"/>
        <v>#DIV/0!</v>
      </c>
      <c r="E17" s="30" t="str">
        <f t="shared" si="19"/>
        <v>#DIV/0!</v>
      </c>
      <c r="F17" s="30" t="str">
        <f t="shared" si="19"/>
        <v>#DIV/0!</v>
      </c>
      <c r="G17" s="30" t="str">
        <f t="shared" si="19"/>
        <v>#DIV/0!</v>
      </c>
      <c r="H17" s="30">
        <f t="shared" si="19"/>
        <v>0.8064516129</v>
      </c>
      <c r="I17" s="30">
        <f t="shared" si="19"/>
        <v>0.8095238095</v>
      </c>
      <c r="J17" s="30">
        <f t="shared" si="19"/>
        <v>0.90625</v>
      </c>
      <c r="K17" s="30">
        <f t="shared" si="19"/>
        <v>0.8714285714</v>
      </c>
      <c r="L17" s="30">
        <f t="shared" si="19"/>
        <v>0.8082191781</v>
      </c>
      <c r="M17" s="30">
        <f t="shared" si="19"/>
        <v>0.8507462687</v>
      </c>
      <c r="N17" s="30">
        <f t="shared" si="19"/>
        <v>0.8461538462</v>
      </c>
      <c r="O17" s="31" t="str">
        <f>IFERROR(__xludf.DUMMYFUNCTION("IFERROR(SPARKLINE(C17:N17, {""chartype"", ""line""; ""color"", ""blue""}))
"),"")</f>
        <v/>
      </c>
    </row>
    <row r="18" ht="15.75" customHeight="1">
      <c r="A18" s="32"/>
      <c r="B18" s="33"/>
      <c r="C18" s="10"/>
      <c r="D18" s="10"/>
      <c r="E18" s="10"/>
      <c r="F18" s="10"/>
      <c r="G18" s="10"/>
      <c r="H18" s="10"/>
      <c r="I18" s="10"/>
      <c r="J18" s="10"/>
      <c r="K18" s="10"/>
      <c r="L18" s="10"/>
      <c r="M18" s="10"/>
      <c r="N18" s="10"/>
      <c r="O18" s="34"/>
    </row>
    <row r="19" ht="15.75" customHeight="1">
      <c r="A19" s="32"/>
      <c r="B19" s="33"/>
      <c r="C19" s="10"/>
      <c r="D19" s="10"/>
      <c r="E19" s="10"/>
      <c r="F19" s="10"/>
      <c r="G19" s="10"/>
      <c r="H19" s="10"/>
      <c r="I19" s="10"/>
      <c r="J19" s="10"/>
      <c r="K19" s="10"/>
      <c r="L19" s="10"/>
      <c r="M19" s="10"/>
      <c r="N19" s="10"/>
      <c r="O19" s="34"/>
    </row>
    <row r="20" ht="15.75" customHeight="1">
      <c r="A20" s="32"/>
      <c r="B20" s="33"/>
      <c r="C20" s="10"/>
      <c r="D20" s="10"/>
      <c r="E20" s="10"/>
      <c r="F20" s="10"/>
      <c r="G20" s="10"/>
      <c r="H20" s="10"/>
      <c r="I20" s="10"/>
      <c r="J20" s="10"/>
      <c r="K20" s="10"/>
      <c r="L20" s="10"/>
      <c r="M20" s="10"/>
      <c r="N20" s="10"/>
      <c r="O20" s="34"/>
    </row>
    <row r="21" ht="15.75" customHeight="1">
      <c r="A21" s="32"/>
      <c r="B21" s="33"/>
      <c r="C21" s="10"/>
      <c r="D21" s="10"/>
      <c r="E21" s="10"/>
      <c r="F21" s="10"/>
      <c r="G21" s="10"/>
      <c r="H21" s="10"/>
      <c r="I21" s="10"/>
      <c r="J21" s="10"/>
      <c r="K21" s="10"/>
      <c r="L21" s="10"/>
      <c r="M21" s="10"/>
      <c r="N21" s="10"/>
      <c r="O21" s="34"/>
    </row>
    <row r="22" ht="15.75" customHeight="1">
      <c r="A22" s="32"/>
      <c r="B22" s="33"/>
      <c r="C22" s="10"/>
      <c r="D22" s="10"/>
      <c r="E22" s="10"/>
      <c r="F22" s="10"/>
      <c r="G22" s="10"/>
      <c r="H22" s="10"/>
      <c r="I22" s="10"/>
      <c r="J22" s="10"/>
      <c r="K22" s="10"/>
      <c r="L22" s="10"/>
      <c r="M22" s="10"/>
      <c r="N22" s="10"/>
      <c r="O22" s="34"/>
    </row>
    <row r="23" ht="15.75" customHeight="1">
      <c r="A23" s="32"/>
      <c r="B23" s="33"/>
      <c r="C23" s="10"/>
      <c r="D23" s="10"/>
      <c r="E23" s="10"/>
      <c r="F23" s="10"/>
      <c r="G23" s="10"/>
      <c r="H23" s="10"/>
      <c r="I23" s="10"/>
      <c r="J23" s="10"/>
      <c r="K23" s="10"/>
      <c r="L23" s="10"/>
      <c r="M23" s="10"/>
      <c r="N23" s="10"/>
      <c r="O23" s="34"/>
    </row>
    <row r="24" ht="15.75" customHeight="1">
      <c r="A24" s="32"/>
      <c r="B24" s="33"/>
      <c r="C24" s="10"/>
      <c r="D24" s="10"/>
      <c r="E24" s="10"/>
      <c r="F24" s="10"/>
      <c r="G24" s="10"/>
      <c r="H24" s="10"/>
      <c r="I24" s="10"/>
      <c r="J24" s="10"/>
      <c r="K24" s="10"/>
      <c r="L24" s="10"/>
      <c r="M24" s="10"/>
      <c r="N24" s="10"/>
      <c r="O24" s="34"/>
    </row>
    <row r="25" ht="15.75" customHeight="1">
      <c r="A25" s="32"/>
      <c r="B25" s="33"/>
      <c r="C25" s="10"/>
      <c r="D25" s="10"/>
      <c r="E25" s="10"/>
      <c r="F25" s="10"/>
      <c r="G25" s="10"/>
      <c r="H25" s="10"/>
      <c r="I25" s="10"/>
      <c r="J25" s="10"/>
      <c r="K25" s="10"/>
      <c r="L25" s="10"/>
      <c r="M25" s="10"/>
      <c r="N25" s="10"/>
      <c r="O25" s="34"/>
    </row>
    <row r="26" ht="15.75" customHeight="1">
      <c r="A26" s="32"/>
      <c r="B26" s="33"/>
      <c r="C26" s="10"/>
      <c r="D26" s="10"/>
      <c r="E26" s="10"/>
      <c r="F26" s="10"/>
      <c r="G26" s="10"/>
      <c r="H26" s="10"/>
      <c r="I26" s="10"/>
      <c r="J26" s="10"/>
      <c r="K26" s="10"/>
      <c r="L26" s="10"/>
      <c r="M26" s="10"/>
      <c r="N26" s="10"/>
      <c r="O26" s="34"/>
    </row>
    <row r="27" ht="15.75" customHeight="1">
      <c r="A27" s="32"/>
      <c r="B27" s="33"/>
      <c r="C27" s="10"/>
      <c r="D27" s="10"/>
      <c r="E27" s="10"/>
      <c r="F27" s="10"/>
      <c r="G27" s="10"/>
      <c r="H27" s="10"/>
      <c r="I27" s="10"/>
      <c r="J27" s="10"/>
      <c r="K27" s="10"/>
      <c r="L27" s="10"/>
      <c r="M27" s="10"/>
      <c r="N27" s="10"/>
      <c r="O27" s="34"/>
    </row>
    <row r="28" ht="15.75" customHeight="1">
      <c r="A28" s="32"/>
      <c r="B28" s="33"/>
      <c r="C28" s="10"/>
      <c r="D28" s="10"/>
      <c r="E28" s="10"/>
      <c r="F28" s="10"/>
      <c r="G28" s="10"/>
      <c r="H28" s="10"/>
      <c r="I28" s="10"/>
      <c r="J28" s="10"/>
      <c r="K28" s="10"/>
      <c r="L28" s="10"/>
      <c r="M28" s="10"/>
      <c r="N28" s="10"/>
      <c r="O28" s="34"/>
    </row>
    <row r="29" ht="15.75" customHeight="1">
      <c r="A29" s="32"/>
      <c r="B29" s="33"/>
      <c r="C29" s="10"/>
      <c r="D29" s="10"/>
      <c r="E29" s="10"/>
      <c r="F29" s="10"/>
      <c r="G29" s="10"/>
      <c r="H29" s="10"/>
      <c r="I29" s="10"/>
      <c r="J29" s="10"/>
      <c r="K29" s="10"/>
      <c r="L29" s="10"/>
      <c r="M29" s="10"/>
      <c r="N29" s="10"/>
      <c r="O29" s="34"/>
    </row>
    <row r="30" ht="15.75" customHeight="1">
      <c r="A30" s="32"/>
      <c r="B30" s="33"/>
      <c r="C30" s="10"/>
      <c r="D30" s="10"/>
      <c r="E30" s="10"/>
      <c r="F30" s="10"/>
      <c r="G30" s="10"/>
      <c r="H30" s="10"/>
      <c r="I30" s="10"/>
      <c r="J30" s="10"/>
      <c r="K30" s="10"/>
      <c r="L30" s="10"/>
      <c r="M30" s="10"/>
      <c r="N30" s="10"/>
      <c r="O30" s="34"/>
    </row>
    <row r="31" ht="15.75" customHeight="1">
      <c r="A31" s="32"/>
      <c r="B31" s="33"/>
      <c r="C31" s="10"/>
      <c r="D31" s="10"/>
      <c r="E31" s="10"/>
      <c r="F31" s="10"/>
      <c r="G31" s="10"/>
      <c r="H31" s="10"/>
      <c r="I31" s="10"/>
      <c r="J31" s="10"/>
      <c r="K31" s="10"/>
      <c r="L31" s="10"/>
      <c r="M31" s="10"/>
      <c r="N31" s="10"/>
      <c r="O31" s="34"/>
    </row>
    <row r="32" ht="15.75" customHeight="1">
      <c r="A32" s="32"/>
      <c r="B32" s="33"/>
      <c r="C32" s="10"/>
      <c r="D32" s="10"/>
      <c r="E32" s="10"/>
      <c r="F32" s="10"/>
      <c r="G32" s="10"/>
      <c r="H32" s="10"/>
      <c r="I32" s="10"/>
      <c r="J32" s="10"/>
      <c r="K32" s="10"/>
      <c r="L32" s="10"/>
      <c r="M32" s="10"/>
      <c r="N32" s="10"/>
      <c r="O32" s="34"/>
    </row>
    <row r="33" ht="15.75" customHeight="1">
      <c r="A33" s="32"/>
      <c r="B33" s="33"/>
      <c r="C33" s="10"/>
      <c r="D33" s="10"/>
      <c r="E33" s="10"/>
      <c r="F33" s="10"/>
      <c r="G33" s="10"/>
      <c r="H33" s="10"/>
      <c r="I33" s="10"/>
      <c r="J33" s="10"/>
      <c r="K33" s="10"/>
      <c r="L33" s="10"/>
      <c r="M33" s="10"/>
      <c r="N33" s="10"/>
      <c r="O33" s="34"/>
    </row>
    <row r="34" ht="15.75" customHeight="1">
      <c r="A34" s="32"/>
      <c r="B34" s="33"/>
      <c r="C34" s="10"/>
      <c r="D34" s="10"/>
      <c r="E34" s="10"/>
      <c r="F34" s="10"/>
      <c r="G34" s="10"/>
      <c r="H34" s="10"/>
      <c r="I34" s="10"/>
      <c r="J34" s="10"/>
      <c r="K34" s="10"/>
      <c r="L34" s="10"/>
      <c r="M34" s="10"/>
      <c r="N34" s="10"/>
      <c r="O34" s="34"/>
    </row>
    <row r="35" ht="15.75" customHeight="1">
      <c r="A35" s="32"/>
      <c r="B35" s="33"/>
      <c r="C35" s="10"/>
      <c r="D35" s="10"/>
      <c r="E35" s="10"/>
      <c r="F35" s="10"/>
      <c r="G35" s="10"/>
      <c r="H35" s="10"/>
      <c r="I35" s="10"/>
      <c r="J35" s="10"/>
      <c r="K35" s="10"/>
      <c r="L35" s="10"/>
      <c r="M35" s="10"/>
      <c r="N35" s="10"/>
      <c r="O35" s="34"/>
    </row>
    <row r="36" ht="15.75" customHeight="1">
      <c r="A36" s="32"/>
      <c r="B36" s="33"/>
      <c r="C36" s="10"/>
      <c r="D36" s="10"/>
      <c r="E36" s="10"/>
      <c r="F36" s="10"/>
      <c r="G36" s="10"/>
      <c r="H36" s="10"/>
      <c r="I36" s="10"/>
      <c r="J36" s="10"/>
      <c r="K36" s="10"/>
      <c r="L36" s="10"/>
      <c r="M36" s="10"/>
      <c r="N36" s="10"/>
      <c r="O36" s="34"/>
    </row>
    <row r="37" ht="15.75" customHeight="1">
      <c r="A37" s="32"/>
      <c r="B37" s="33"/>
      <c r="C37" s="10"/>
      <c r="D37" s="10"/>
      <c r="E37" s="10"/>
      <c r="F37" s="10"/>
      <c r="G37" s="10"/>
      <c r="H37" s="10"/>
      <c r="I37" s="10"/>
      <c r="J37" s="10"/>
      <c r="K37" s="10"/>
      <c r="L37" s="10"/>
      <c r="M37" s="10"/>
      <c r="N37" s="10"/>
      <c r="O37" s="34"/>
    </row>
    <row r="38" ht="15.75" customHeight="1">
      <c r="A38" s="32"/>
      <c r="B38" s="33"/>
      <c r="C38" s="10"/>
      <c r="D38" s="10"/>
      <c r="E38" s="10"/>
      <c r="F38" s="10"/>
      <c r="G38" s="10"/>
      <c r="H38" s="10"/>
      <c r="I38" s="10"/>
      <c r="J38" s="10"/>
      <c r="K38" s="10"/>
      <c r="L38" s="10"/>
      <c r="M38" s="10"/>
      <c r="N38" s="10"/>
      <c r="O38" s="34"/>
    </row>
    <row r="39" ht="15.75" customHeight="1">
      <c r="A39" s="32"/>
      <c r="B39" s="33"/>
      <c r="C39" s="10"/>
      <c r="D39" s="10"/>
      <c r="E39" s="10"/>
      <c r="F39" s="10"/>
      <c r="G39" s="10"/>
      <c r="H39" s="10"/>
      <c r="I39" s="10"/>
      <c r="J39" s="10"/>
      <c r="K39" s="10"/>
      <c r="L39" s="10"/>
      <c r="M39" s="10"/>
      <c r="N39" s="10"/>
      <c r="O39" s="34"/>
    </row>
    <row r="40" ht="15.75" customHeight="1">
      <c r="A40" s="32"/>
      <c r="B40" s="33"/>
      <c r="C40" s="10"/>
      <c r="D40" s="10"/>
      <c r="E40" s="10"/>
      <c r="F40" s="10"/>
      <c r="G40" s="10"/>
      <c r="H40" s="10"/>
      <c r="I40" s="10"/>
      <c r="J40" s="10"/>
      <c r="K40" s="10"/>
      <c r="L40" s="10"/>
      <c r="M40" s="10"/>
      <c r="N40" s="10"/>
      <c r="O40" s="34"/>
    </row>
    <row r="41" ht="15.75" customHeight="1">
      <c r="A41" s="32"/>
      <c r="B41" s="33"/>
      <c r="C41" s="10"/>
      <c r="D41" s="10"/>
      <c r="E41" s="10"/>
      <c r="F41" s="10"/>
      <c r="G41" s="10"/>
      <c r="H41" s="10"/>
      <c r="I41" s="10"/>
      <c r="J41" s="10"/>
      <c r="K41" s="10"/>
      <c r="L41" s="10"/>
      <c r="M41" s="10"/>
      <c r="N41" s="10"/>
      <c r="O41" s="34"/>
    </row>
    <row r="42" ht="15.75" customHeight="1">
      <c r="A42" s="32"/>
      <c r="B42" s="33"/>
      <c r="C42" s="10"/>
      <c r="D42" s="10"/>
      <c r="E42" s="10"/>
      <c r="F42" s="10"/>
      <c r="G42" s="10"/>
      <c r="H42" s="10"/>
      <c r="I42" s="10"/>
      <c r="J42" s="10"/>
      <c r="K42" s="10"/>
      <c r="L42" s="10"/>
      <c r="M42" s="10"/>
      <c r="N42" s="10"/>
      <c r="O42" s="34"/>
    </row>
    <row r="43" ht="15.75" customHeight="1">
      <c r="A43" s="32"/>
      <c r="B43" s="33"/>
      <c r="C43" s="10"/>
      <c r="D43" s="10"/>
      <c r="E43" s="10"/>
      <c r="F43" s="10"/>
      <c r="G43" s="10"/>
      <c r="H43" s="10"/>
      <c r="I43" s="10"/>
      <c r="J43" s="10"/>
      <c r="K43" s="10"/>
      <c r="L43" s="10"/>
      <c r="M43" s="10"/>
      <c r="N43" s="10"/>
      <c r="O43" s="34"/>
    </row>
    <row r="44" ht="15.75" customHeight="1">
      <c r="A44" s="32"/>
      <c r="B44" s="33"/>
      <c r="C44" s="10"/>
      <c r="D44" s="10"/>
      <c r="E44" s="10"/>
      <c r="F44" s="10"/>
      <c r="G44" s="10"/>
      <c r="H44" s="10"/>
      <c r="I44" s="10"/>
      <c r="J44" s="10"/>
      <c r="K44" s="10"/>
      <c r="L44" s="10"/>
      <c r="M44" s="10"/>
      <c r="N44" s="10"/>
      <c r="O44" s="34"/>
    </row>
    <row r="45" ht="15.75" customHeight="1">
      <c r="A45" s="32"/>
      <c r="B45" s="33"/>
      <c r="C45" s="10"/>
      <c r="D45" s="10"/>
      <c r="E45" s="10"/>
      <c r="F45" s="10"/>
      <c r="G45" s="10"/>
      <c r="H45" s="10"/>
      <c r="I45" s="10"/>
      <c r="J45" s="10"/>
      <c r="K45" s="10"/>
      <c r="L45" s="10"/>
      <c r="M45" s="10"/>
      <c r="N45" s="10"/>
      <c r="O45" s="34"/>
    </row>
    <row r="46" ht="15.75" customHeight="1">
      <c r="A46" s="32"/>
      <c r="B46" s="33"/>
      <c r="C46" s="10"/>
      <c r="D46" s="10"/>
      <c r="E46" s="10"/>
      <c r="F46" s="10"/>
      <c r="G46" s="10"/>
      <c r="H46" s="10"/>
      <c r="I46" s="10"/>
      <c r="J46" s="10"/>
      <c r="K46" s="10"/>
      <c r="L46" s="10"/>
      <c r="M46" s="10"/>
      <c r="N46" s="10"/>
      <c r="O46" s="34"/>
    </row>
    <row r="47" ht="15.75" customHeight="1">
      <c r="A47" s="32"/>
      <c r="B47" s="33"/>
      <c r="C47" s="10"/>
      <c r="D47" s="10"/>
      <c r="E47" s="10"/>
      <c r="F47" s="10"/>
      <c r="G47" s="10"/>
      <c r="H47" s="10"/>
      <c r="I47" s="10"/>
      <c r="J47" s="10"/>
      <c r="K47" s="10"/>
      <c r="L47" s="10"/>
      <c r="M47" s="10"/>
      <c r="N47" s="10"/>
      <c r="O47" s="34"/>
    </row>
    <row r="48" ht="15.75" customHeight="1">
      <c r="A48" s="32"/>
      <c r="B48" s="33"/>
      <c r="C48" s="10"/>
      <c r="D48" s="10"/>
      <c r="E48" s="10"/>
      <c r="F48" s="10"/>
      <c r="G48" s="10"/>
      <c r="H48" s="10"/>
      <c r="I48" s="10"/>
      <c r="J48" s="10"/>
      <c r="K48" s="10"/>
      <c r="L48" s="10"/>
      <c r="M48" s="10"/>
      <c r="N48" s="10"/>
      <c r="O48" s="34"/>
    </row>
    <row r="49" ht="15.75" customHeight="1">
      <c r="A49" s="32"/>
      <c r="B49" s="33"/>
      <c r="C49" s="10"/>
      <c r="D49" s="10"/>
      <c r="E49" s="10"/>
      <c r="F49" s="10"/>
      <c r="G49" s="10"/>
      <c r="H49" s="10"/>
      <c r="I49" s="10"/>
      <c r="J49" s="10"/>
      <c r="K49" s="10"/>
      <c r="L49" s="10"/>
      <c r="M49" s="10"/>
      <c r="N49" s="10"/>
      <c r="O49" s="34"/>
    </row>
    <row r="50" ht="15.75" customHeight="1">
      <c r="A50" s="32"/>
      <c r="B50" s="33"/>
      <c r="C50" s="10"/>
      <c r="D50" s="10"/>
      <c r="E50" s="10"/>
      <c r="F50" s="10"/>
      <c r="G50" s="10"/>
      <c r="H50" s="10"/>
      <c r="I50" s="10"/>
      <c r="J50" s="10"/>
      <c r="K50" s="10"/>
      <c r="L50" s="10"/>
      <c r="M50" s="10"/>
      <c r="N50" s="10"/>
      <c r="O50" s="34"/>
    </row>
    <row r="51" ht="15.75" customHeight="1">
      <c r="A51" s="32"/>
      <c r="B51" s="33"/>
      <c r="C51" s="10"/>
      <c r="D51" s="10"/>
      <c r="E51" s="10"/>
      <c r="F51" s="10"/>
      <c r="G51" s="10"/>
      <c r="H51" s="10"/>
      <c r="I51" s="10"/>
      <c r="J51" s="10"/>
      <c r="K51" s="10"/>
      <c r="L51" s="10"/>
      <c r="M51" s="10"/>
      <c r="N51" s="10"/>
      <c r="O51" s="34"/>
    </row>
    <row r="52" ht="15.75" customHeight="1">
      <c r="A52" s="32"/>
      <c r="B52" s="33"/>
      <c r="C52" s="10"/>
      <c r="D52" s="10"/>
      <c r="E52" s="10"/>
      <c r="F52" s="10"/>
      <c r="G52" s="10"/>
      <c r="H52" s="10"/>
      <c r="I52" s="10"/>
      <c r="J52" s="10"/>
      <c r="K52" s="10"/>
      <c r="L52" s="10"/>
      <c r="M52" s="10"/>
      <c r="N52" s="10"/>
      <c r="O52" s="34"/>
    </row>
    <row r="53" ht="15.75" customHeight="1">
      <c r="A53" s="32"/>
      <c r="B53" s="33"/>
      <c r="C53" s="10"/>
      <c r="D53" s="10"/>
      <c r="E53" s="10"/>
      <c r="F53" s="10"/>
      <c r="G53" s="10"/>
      <c r="H53" s="10"/>
      <c r="I53" s="10"/>
      <c r="J53" s="10"/>
      <c r="K53" s="10"/>
      <c r="L53" s="10"/>
      <c r="M53" s="10"/>
      <c r="N53" s="10"/>
      <c r="O53" s="34"/>
    </row>
    <row r="54" ht="15.75" customHeight="1">
      <c r="A54" s="32"/>
      <c r="B54" s="33"/>
      <c r="C54" s="10"/>
      <c r="D54" s="10"/>
      <c r="E54" s="10"/>
      <c r="F54" s="10"/>
      <c r="G54" s="10"/>
      <c r="H54" s="10"/>
      <c r="I54" s="10"/>
      <c r="J54" s="10"/>
      <c r="K54" s="10"/>
      <c r="L54" s="10"/>
      <c r="M54" s="10"/>
      <c r="N54" s="10"/>
      <c r="O54" s="34"/>
    </row>
    <row r="55" ht="15.75" customHeight="1">
      <c r="A55" s="32"/>
      <c r="B55" s="33"/>
      <c r="C55" s="10"/>
      <c r="D55" s="10"/>
      <c r="E55" s="10"/>
      <c r="F55" s="10"/>
      <c r="G55" s="10"/>
      <c r="H55" s="10"/>
      <c r="I55" s="10"/>
      <c r="J55" s="10"/>
      <c r="K55" s="10"/>
      <c r="L55" s="10"/>
      <c r="M55" s="10"/>
      <c r="N55" s="10"/>
      <c r="O55" s="34"/>
    </row>
    <row r="56" ht="15.75" customHeight="1">
      <c r="A56" s="32"/>
      <c r="B56" s="33"/>
      <c r="C56" s="10"/>
      <c r="D56" s="10"/>
      <c r="E56" s="10"/>
      <c r="F56" s="10"/>
      <c r="G56" s="10"/>
      <c r="H56" s="10"/>
      <c r="I56" s="10"/>
      <c r="J56" s="10"/>
      <c r="K56" s="10"/>
      <c r="L56" s="10"/>
      <c r="M56" s="10"/>
      <c r="N56" s="10"/>
      <c r="O56" s="34"/>
    </row>
    <row r="57" ht="15.75" customHeight="1">
      <c r="A57" s="32"/>
      <c r="B57" s="33"/>
      <c r="C57" s="10"/>
      <c r="D57" s="10"/>
      <c r="E57" s="10"/>
      <c r="F57" s="10"/>
      <c r="G57" s="10"/>
      <c r="H57" s="10"/>
      <c r="I57" s="10"/>
      <c r="J57" s="10"/>
      <c r="K57" s="10"/>
      <c r="L57" s="10"/>
      <c r="M57" s="10"/>
      <c r="N57" s="10"/>
      <c r="O57" s="34"/>
    </row>
    <row r="58" ht="15.75" customHeight="1">
      <c r="A58" s="32"/>
      <c r="B58" s="33"/>
      <c r="C58" s="10"/>
      <c r="D58" s="10"/>
      <c r="E58" s="10"/>
      <c r="F58" s="10"/>
      <c r="G58" s="10"/>
      <c r="H58" s="10"/>
      <c r="I58" s="10"/>
      <c r="J58" s="10"/>
      <c r="K58" s="10"/>
      <c r="L58" s="10"/>
      <c r="M58" s="10"/>
      <c r="N58" s="10"/>
      <c r="O58" s="34"/>
    </row>
    <row r="59" ht="15.75" customHeight="1">
      <c r="A59" s="32"/>
      <c r="B59" s="33"/>
      <c r="C59" s="10"/>
      <c r="D59" s="10"/>
      <c r="E59" s="10"/>
      <c r="F59" s="10"/>
      <c r="G59" s="10"/>
      <c r="H59" s="10"/>
      <c r="I59" s="10"/>
      <c r="J59" s="10"/>
      <c r="K59" s="10"/>
      <c r="L59" s="10"/>
      <c r="M59" s="10"/>
      <c r="N59" s="10"/>
      <c r="O59" s="34"/>
    </row>
    <row r="60" ht="15.75" customHeight="1">
      <c r="A60" s="32"/>
      <c r="B60" s="33"/>
      <c r="C60" s="10"/>
      <c r="D60" s="10"/>
      <c r="E60" s="10"/>
      <c r="F60" s="10"/>
      <c r="G60" s="10"/>
      <c r="H60" s="10"/>
      <c r="I60" s="10"/>
      <c r="J60" s="10"/>
      <c r="K60" s="10"/>
      <c r="L60" s="10"/>
      <c r="M60" s="10"/>
      <c r="N60" s="10"/>
      <c r="O60" s="34"/>
    </row>
    <row r="61" ht="15.75" customHeight="1">
      <c r="A61" s="32"/>
      <c r="B61" s="33"/>
      <c r="C61" s="10"/>
      <c r="D61" s="10"/>
      <c r="E61" s="10"/>
      <c r="F61" s="10"/>
      <c r="G61" s="10"/>
      <c r="H61" s="10"/>
      <c r="I61" s="10"/>
      <c r="J61" s="10"/>
      <c r="K61" s="10"/>
      <c r="L61" s="10"/>
      <c r="M61" s="10"/>
      <c r="N61" s="10"/>
      <c r="O61" s="34"/>
    </row>
    <row r="62" ht="15.75" customHeight="1">
      <c r="A62" s="32"/>
      <c r="B62" s="33"/>
      <c r="C62" s="10"/>
      <c r="D62" s="10"/>
      <c r="E62" s="10"/>
      <c r="F62" s="10"/>
      <c r="G62" s="10"/>
      <c r="H62" s="10"/>
      <c r="I62" s="10"/>
      <c r="J62" s="10"/>
      <c r="K62" s="10"/>
      <c r="L62" s="10"/>
      <c r="M62" s="10"/>
      <c r="N62" s="10"/>
      <c r="O62" s="34"/>
    </row>
    <row r="63" ht="15.75" customHeight="1">
      <c r="A63" s="32"/>
      <c r="B63" s="33"/>
      <c r="C63" s="10"/>
      <c r="D63" s="10"/>
      <c r="E63" s="10"/>
      <c r="F63" s="10"/>
      <c r="G63" s="10"/>
      <c r="H63" s="10"/>
      <c r="I63" s="10"/>
      <c r="J63" s="10"/>
      <c r="K63" s="10"/>
      <c r="L63" s="10"/>
      <c r="M63" s="10"/>
      <c r="N63" s="10"/>
      <c r="O63" s="34"/>
    </row>
    <row r="64" ht="15.75" customHeight="1">
      <c r="A64" s="32"/>
      <c r="B64" s="33"/>
      <c r="C64" s="10"/>
      <c r="D64" s="10"/>
      <c r="E64" s="10"/>
      <c r="F64" s="10"/>
      <c r="G64" s="10"/>
      <c r="H64" s="10"/>
      <c r="I64" s="10"/>
      <c r="J64" s="10"/>
      <c r="K64" s="10"/>
      <c r="L64" s="10"/>
      <c r="M64" s="10"/>
      <c r="N64" s="10"/>
      <c r="O64" s="34"/>
    </row>
    <row r="65" ht="15.75" customHeight="1">
      <c r="A65" s="32"/>
      <c r="B65" s="33"/>
      <c r="C65" s="10"/>
      <c r="D65" s="10"/>
      <c r="E65" s="10"/>
      <c r="F65" s="10"/>
      <c r="G65" s="10"/>
      <c r="H65" s="10"/>
      <c r="I65" s="10"/>
      <c r="J65" s="10"/>
      <c r="K65" s="10"/>
      <c r="L65" s="10"/>
      <c r="M65" s="10"/>
      <c r="N65" s="10"/>
      <c r="O65" s="34"/>
    </row>
    <row r="66" ht="15.75" customHeight="1">
      <c r="A66" s="32"/>
      <c r="B66" s="33"/>
      <c r="C66" s="10"/>
      <c r="D66" s="10"/>
      <c r="E66" s="10"/>
      <c r="F66" s="10"/>
      <c r="G66" s="10"/>
      <c r="H66" s="10"/>
      <c r="I66" s="10"/>
      <c r="J66" s="10"/>
      <c r="K66" s="10"/>
      <c r="L66" s="10"/>
      <c r="M66" s="10"/>
      <c r="N66" s="10"/>
      <c r="O66" s="34"/>
    </row>
    <row r="67" ht="15.75" customHeight="1">
      <c r="A67" s="32"/>
      <c r="B67" s="33"/>
      <c r="C67" s="10"/>
      <c r="D67" s="10"/>
      <c r="E67" s="10"/>
      <c r="F67" s="10"/>
      <c r="G67" s="10"/>
      <c r="H67" s="10"/>
      <c r="I67" s="10"/>
      <c r="J67" s="10"/>
      <c r="K67" s="10"/>
      <c r="L67" s="10"/>
      <c r="M67" s="10"/>
      <c r="N67" s="10"/>
      <c r="O67" s="34"/>
    </row>
    <row r="68" ht="15.75" customHeight="1">
      <c r="A68" s="32"/>
      <c r="B68" s="33"/>
      <c r="C68" s="10"/>
      <c r="D68" s="10"/>
      <c r="E68" s="10"/>
      <c r="F68" s="10"/>
      <c r="G68" s="10"/>
      <c r="H68" s="10"/>
      <c r="I68" s="10"/>
      <c r="J68" s="10"/>
      <c r="K68" s="10"/>
      <c r="L68" s="10"/>
      <c r="M68" s="10"/>
      <c r="N68" s="10"/>
      <c r="O68" s="34"/>
    </row>
    <row r="69" ht="15.75" customHeight="1">
      <c r="A69" s="32"/>
      <c r="B69" s="33"/>
      <c r="C69" s="10"/>
      <c r="D69" s="10"/>
      <c r="E69" s="10"/>
      <c r="F69" s="10"/>
      <c r="G69" s="10"/>
      <c r="H69" s="10"/>
      <c r="I69" s="10"/>
      <c r="J69" s="10"/>
      <c r="K69" s="10"/>
      <c r="L69" s="10"/>
      <c r="M69" s="10"/>
      <c r="N69" s="10"/>
      <c r="O69" s="34"/>
    </row>
    <row r="70" ht="15.75" customHeight="1">
      <c r="A70" s="32"/>
      <c r="B70" s="33"/>
      <c r="C70" s="10"/>
      <c r="D70" s="10"/>
      <c r="E70" s="10"/>
      <c r="F70" s="10"/>
      <c r="G70" s="10"/>
      <c r="H70" s="10"/>
      <c r="I70" s="10"/>
      <c r="J70" s="10"/>
      <c r="K70" s="10"/>
      <c r="L70" s="10"/>
      <c r="M70" s="10"/>
      <c r="N70" s="10"/>
      <c r="O70" s="34"/>
    </row>
    <row r="71" ht="15.75" customHeight="1">
      <c r="A71" s="32"/>
      <c r="B71" s="33"/>
      <c r="C71" s="10"/>
      <c r="D71" s="10"/>
      <c r="E71" s="10"/>
      <c r="F71" s="10"/>
      <c r="G71" s="10"/>
      <c r="H71" s="10"/>
      <c r="I71" s="10"/>
      <c r="J71" s="10"/>
      <c r="K71" s="10"/>
      <c r="L71" s="10"/>
      <c r="M71" s="10"/>
      <c r="N71" s="10"/>
      <c r="O71" s="34"/>
    </row>
    <row r="72" ht="15.75" customHeight="1">
      <c r="A72" s="32"/>
      <c r="B72" s="33"/>
      <c r="C72" s="10"/>
      <c r="D72" s="10"/>
      <c r="E72" s="10"/>
      <c r="F72" s="10"/>
      <c r="G72" s="10"/>
      <c r="H72" s="10"/>
      <c r="I72" s="10"/>
      <c r="J72" s="10"/>
      <c r="K72" s="10"/>
      <c r="L72" s="10"/>
      <c r="M72" s="10"/>
      <c r="N72" s="10"/>
      <c r="O72" s="34"/>
    </row>
    <row r="73" ht="15.75" customHeight="1">
      <c r="A73" s="32"/>
      <c r="B73" s="33"/>
      <c r="C73" s="10"/>
      <c r="D73" s="10"/>
      <c r="E73" s="10"/>
      <c r="F73" s="10"/>
      <c r="G73" s="10"/>
      <c r="H73" s="10"/>
      <c r="I73" s="10"/>
      <c r="J73" s="10"/>
      <c r="K73" s="10"/>
      <c r="L73" s="10"/>
      <c r="M73" s="10"/>
      <c r="N73" s="10"/>
      <c r="O73" s="34"/>
    </row>
    <row r="74" ht="15.75" customHeight="1">
      <c r="A74" s="32"/>
      <c r="B74" s="33"/>
      <c r="C74" s="10"/>
      <c r="D74" s="10"/>
      <c r="E74" s="10"/>
      <c r="F74" s="10"/>
      <c r="G74" s="10"/>
      <c r="H74" s="10"/>
      <c r="I74" s="10"/>
      <c r="J74" s="10"/>
      <c r="K74" s="10"/>
      <c r="L74" s="10"/>
      <c r="M74" s="10"/>
      <c r="N74" s="10"/>
      <c r="O74" s="34"/>
    </row>
    <row r="75" ht="15.75" customHeight="1">
      <c r="A75" s="32"/>
      <c r="B75" s="33"/>
      <c r="C75" s="10"/>
      <c r="D75" s="10"/>
      <c r="E75" s="10"/>
      <c r="F75" s="10"/>
      <c r="G75" s="10"/>
      <c r="H75" s="10"/>
      <c r="I75" s="10"/>
      <c r="J75" s="10"/>
      <c r="K75" s="10"/>
      <c r="L75" s="10"/>
      <c r="M75" s="10"/>
      <c r="N75" s="10"/>
      <c r="O75" s="34"/>
    </row>
    <row r="76" ht="15.75" customHeight="1">
      <c r="A76" s="32"/>
      <c r="B76" s="33"/>
      <c r="C76" s="10"/>
      <c r="D76" s="10"/>
      <c r="E76" s="10"/>
      <c r="F76" s="10"/>
      <c r="G76" s="10"/>
      <c r="H76" s="10"/>
      <c r="I76" s="10"/>
      <c r="J76" s="10"/>
      <c r="K76" s="10"/>
      <c r="L76" s="10"/>
      <c r="M76" s="10"/>
      <c r="N76" s="10"/>
      <c r="O76" s="34"/>
    </row>
    <row r="77" ht="15.75" customHeight="1">
      <c r="A77" s="32"/>
      <c r="B77" s="33"/>
      <c r="C77" s="10"/>
      <c r="D77" s="10"/>
      <c r="E77" s="10"/>
      <c r="F77" s="10"/>
      <c r="G77" s="10"/>
      <c r="H77" s="10"/>
      <c r="I77" s="10"/>
      <c r="J77" s="10"/>
      <c r="K77" s="10"/>
      <c r="L77" s="10"/>
      <c r="M77" s="10"/>
      <c r="N77" s="10"/>
      <c r="O77" s="34"/>
    </row>
    <row r="78" ht="15.75" customHeight="1">
      <c r="A78" s="32"/>
      <c r="B78" s="33"/>
      <c r="C78" s="10"/>
      <c r="D78" s="10"/>
      <c r="E78" s="10"/>
      <c r="F78" s="10"/>
      <c r="G78" s="10"/>
      <c r="H78" s="10"/>
      <c r="I78" s="10"/>
      <c r="J78" s="10"/>
      <c r="K78" s="10"/>
      <c r="L78" s="10"/>
      <c r="M78" s="10"/>
      <c r="N78" s="10"/>
      <c r="O78" s="34"/>
    </row>
    <row r="79" ht="15.75" customHeight="1">
      <c r="A79" s="32"/>
      <c r="B79" s="33"/>
      <c r="C79" s="10"/>
      <c r="D79" s="10"/>
      <c r="E79" s="10"/>
      <c r="F79" s="10"/>
      <c r="G79" s="10"/>
      <c r="H79" s="10"/>
      <c r="I79" s="10"/>
      <c r="J79" s="10"/>
      <c r="K79" s="10"/>
      <c r="L79" s="10"/>
      <c r="M79" s="10"/>
      <c r="N79" s="10"/>
      <c r="O79" s="34"/>
    </row>
    <row r="80" ht="15.75" customHeight="1">
      <c r="A80" s="32"/>
      <c r="B80" s="33"/>
      <c r="C80" s="10"/>
      <c r="D80" s="10"/>
      <c r="E80" s="10"/>
      <c r="F80" s="10"/>
      <c r="G80" s="10"/>
      <c r="H80" s="10"/>
      <c r="I80" s="10"/>
      <c r="J80" s="10"/>
      <c r="K80" s="10"/>
      <c r="L80" s="10"/>
      <c r="M80" s="10"/>
      <c r="N80" s="10"/>
      <c r="O80" s="34"/>
    </row>
    <row r="81" ht="15.75" customHeight="1">
      <c r="A81" s="32"/>
      <c r="B81" s="33"/>
      <c r="C81" s="10"/>
      <c r="D81" s="10"/>
      <c r="E81" s="10"/>
      <c r="F81" s="10"/>
      <c r="G81" s="10"/>
      <c r="H81" s="10"/>
      <c r="I81" s="10"/>
      <c r="J81" s="10"/>
      <c r="K81" s="10"/>
      <c r="L81" s="10"/>
      <c r="M81" s="10"/>
      <c r="N81" s="10"/>
      <c r="O81" s="34"/>
    </row>
    <row r="82" ht="15.75" customHeight="1">
      <c r="A82" s="32"/>
      <c r="B82" s="33"/>
      <c r="C82" s="10"/>
      <c r="D82" s="10"/>
      <c r="E82" s="10"/>
      <c r="F82" s="10"/>
      <c r="G82" s="10"/>
      <c r="H82" s="10"/>
      <c r="I82" s="10"/>
      <c r="J82" s="10"/>
      <c r="K82" s="10"/>
      <c r="L82" s="10"/>
      <c r="M82" s="10"/>
      <c r="N82" s="10"/>
      <c r="O82" s="34"/>
    </row>
    <row r="83" ht="15.75" customHeight="1">
      <c r="A83" s="32"/>
      <c r="B83" s="33"/>
      <c r="C83" s="10"/>
      <c r="D83" s="10"/>
      <c r="E83" s="10"/>
      <c r="F83" s="10"/>
      <c r="G83" s="10"/>
      <c r="H83" s="10"/>
      <c r="I83" s="10"/>
      <c r="J83" s="10"/>
      <c r="K83" s="10"/>
      <c r="L83" s="10"/>
      <c r="M83" s="10"/>
      <c r="N83" s="10"/>
      <c r="O83" s="34"/>
    </row>
    <row r="84" ht="15.75" customHeight="1">
      <c r="A84" s="32"/>
      <c r="B84" s="33"/>
      <c r="C84" s="10"/>
      <c r="D84" s="10"/>
      <c r="E84" s="10"/>
      <c r="F84" s="10"/>
      <c r="G84" s="10"/>
      <c r="H84" s="10"/>
      <c r="I84" s="10"/>
      <c r="J84" s="10"/>
      <c r="K84" s="10"/>
      <c r="L84" s="10"/>
      <c r="M84" s="10"/>
      <c r="N84" s="10"/>
      <c r="O84" s="34"/>
    </row>
    <row r="85" ht="15.75" customHeight="1">
      <c r="A85" s="32"/>
      <c r="B85" s="33"/>
      <c r="C85" s="10"/>
      <c r="D85" s="10"/>
      <c r="E85" s="10"/>
      <c r="F85" s="10"/>
      <c r="G85" s="10"/>
      <c r="H85" s="10"/>
      <c r="I85" s="10"/>
      <c r="J85" s="10"/>
      <c r="K85" s="10"/>
      <c r="L85" s="10"/>
      <c r="M85" s="10"/>
      <c r="N85" s="10"/>
      <c r="O85" s="34"/>
    </row>
    <row r="86" ht="15.75" customHeight="1">
      <c r="A86" s="32"/>
      <c r="B86" s="33"/>
      <c r="C86" s="10"/>
      <c r="D86" s="10"/>
      <c r="E86" s="10"/>
      <c r="F86" s="10"/>
      <c r="G86" s="10"/>
      <c r="H86" s="10"/>
      <c r="I86" s="10"/>
      <c r="J86" s="10"/>
      <c r="K86" s="10"/>
      <c r="L86" s="10"/>
      <c r="M86" s="10"/>
      <c r="N86" s="10"/>
      <c r="O86" s="34"/>
    </row>
    <row r="87" ht="15.75" customHeight="1">
      <c r="A87" s="32"/>
      <c r="B87" s="33"/>
      <c r="C87" s="10"/>
      <c r="D87" s="10"/>
      <c r="E87" s="10"/>
      <c r="F87" s="10"/>
      <c r="G87" s="10"/>
      <c r="H87" s="10"/>
      <c r="I87" s="10"/>
      <c r="J87" s="10"/>
      <c r="K87" s="10"/>
      <c r="L87" s="10"/>
      <c r="M87" s="10"/>
      <c r="N87" s="10"/>
      <c r="O87" s="34"/>
    </row>
    <row r="88" ht="15.75" customHeight="1">
      <c r="A88" s="32"/>
      <c r="B88" s="33"/>
      <c r="C88" s="10"/>
      <c r="D88" s="10"/>
      <c r="E88" s="10"/>
      <c r="F88" s="10"/>
      <c r="G88" s="10"/>
      <c r="H88" s="10"/>
      <c r="I88" s="10"/>
      <c r="J88" s="10"/>
      <c r="K88" s="10"/>
      <c r="L88" s="10"/>
      <c r="M88" s="10"/>
      <c r="N88" s="10"/>
      <c r="O88" s="34"/>
    </row>
    <row r="89" ht="15.75" customHeight="1">
      <c r="A89" s="32"/>
      <c r="B89" s="33"/>
      <c r="C89" s="10"/>
      <c r="D89" s="10"/>
      <c r="E89" s="10"/>
      <c r="F89" s="10"/>
      <c r="G89" s="10"/>
      <c r="H89" s="10"/>
      <c r="I89" s="10"/>
      <c r="J89" s="10"/>
      <c r="K89" s="10"/>
      <c r="L89" s="10"/>
      <c r="M89" s="10"/>
      <c r="N89" s="10"/>
      <c r="O89" s="34"/>
    </row>
    <row r="90" ht="15.75" customHeight="1">
      <c r="A90" s="32"/>
      <c r="B90" s="33"/>
      <c r="C90" s="10"/>
      <c r="D90" s="10"/>
      <c r="E90" s="10"/>
      <c r="F90" s="10"/>
      <c r="G90" s="10"/>
      <c r="H90" s="10"/>
      <c r="I90" s="10"/>
      <c r="J90" s="10"/>
      <c r="K90" s="10"/>
      <c r="L90" s="10"/>
      <c r="M90" s="10"/>
      <c r="N90" s="10"/>
      <c r="O90" s="34"/>
    </row>
    <row r="91" ht="15.75" customHeight="1">
      <c r="A91" s="32"/>
      <c r="B91" s="33"/>
      <c r="C91" s="10"/>
      <c r="D91" s="10"/>
      <c r="E91" s="10"/>
      <c r="F91" s="10"/>
      <c r="G91" s="10"/>
      <c r="H91" s="10"/>
      <c r="I91" s="10"/>
      <c r="J91" s="10"/>
      <c r="K91" s="10"/>
      <c r="L91" s="10"/>
      <c r="M91" s="10"/>
      <c r="N91" s="10"/>
      <c r="O91" s="34"/>
    </row>
    <row r="92" ht="15.75" customHeight="1">
      <c r="A92" s="32"/>
      <c r="B92" s="33"/>
      <c r="C92" s="10"/>
      <c r="D92" s="10"/>
      <c r="E92" s="10"/>
      <c r="F92" s="10"/>
      <c r="G92" s="10"/>
      <c r="H92" s="10"/>
      <c r="I92" s="10"/>
      <c r="J92" s="10"/>
      <c r="K92" s="10"/>
      <c r="L92" s="10"/>
      <c r="M92" s="10"/>
      <c r="N92" s="10"/>
      <c r="O92" s="34"/>
    </row>
    <row r="93" ht="15.75" customHeight="1">
      <c r="A93" s="32"/>
      <c r="B93" s="33"/>
      <c r="C93" s="10"/>
      <c r="D93" s="10"/>
      <c r="E93" s="10"/>
      <c r="F93" s="10"/>
      <c r="G93" s="10"/>
      <c r="H93" s="10"/>
      <c r="I93" s="10"/>
      <c r="J93" s="10"/>
      <c r="K93" s="10"/>
      <c r="L93" s="10"/>
      <c r="M93" s="10"/>
      <c r="N93" s="10"/>
      <c r="O93" s="34"/>
    </row>
    <row r="94" ht="15.75" customHeight="1">
      <c r="A94" s="32"/>
      <c r="B94" s="33"/>
      <c r="C94" s="10"/>
      <c r="D94" s="10"/>
      <c r="E94" s="10"/>
      <c r="F94" s="10"/>
      <c r="G94" s="10"/>
      <c r="H94" s="10"/>
      <c r="I94" s="10"/>
      <c r="J94" s="10"/>
      <c r="K94" s="10"/>
      <c r="L94" s="10"/>
      <c r="M94" s="10"/>
      <c r="N94" s="10"/>
      <c r="O94" s="34"/>
    </row>
    <row r="95" ht="15.75" customHeight="1">
      <c r="A95" s="32"/>
      <c r="B95" s="33"/>
      <c r="C95" s="10"/>
      <c r="D95" s="10"/>
      <c r="E95" s="10"/>
      <c r="F95" s="10"/>
      <c r="G95" s="10"/>
      <c r="H95" s="10"/>
      <c r="I95" s="10"/>
      <c r="J95" s="10"/>
      <c r="K95" s="10"/>
      <c r="L95" s="10"/>
      <c r="M95" s="10"/>
      <c r="N95" s="10"/>
      <c r="O95" s="34"/>
    </row>
    <row r="96" ht="15.75" customHeight="1">
      <c r="A96" s="32"/>
      <c r="B96" s="33"/>
      <c r="C96" s="10"/>
      <c r="D96" s="10"/>
      <c r="E96" s="10"/>
      <c r="F96" s="10"/>
      <c r="G96" s="10"/>
      <c r="H96" s="10"/>
      <c r="I96" s="10"/>
      <c r="J96" s="10"/>
      <c r="K96" s="10"/>
      <c r="L96" s="10"/>
      <c r="M96" s="10"/>
      <c r="N96" s="10"/>
      <c r="O96" s="34"/>
    </row>
    <row r="97" ht="15.75" customHeight="1">
      <c r="A97" s="32"/>
      <c r="B97" s="33"/>
      <c r="C97" s="10"/>
      <c r="D97" s="10"/>
      <c r="E97" s="10"/>
      <c r="F97" s="10"/>
      <c r="G97" s="10"/>
      <c r="H97" s="10"/>
      <c r="I97" s="10"/>
      <c r="J97" s="10"/>
      <c r="K97" s="10"/>
      <c r="L97" s="10"/>
      <c r="M97" s="10"/>
      <c r="N97" s="10"/>
      <c r="O97" s="34"/>
    </row>
    <row r="98" ht="15.75" customHeight="1">
      <c r="A98" s="32"/>
      <c r="B98" s="33"/>
      <c r="C98" s="10"/>
      <c r="D98" s="10"/>
      <c r="E98" s="10"/>
      <c r="F98" s="10"/>
      <c r="G98" s="10"/>
      <c r="H98" s="10"/>
      <c r="I98" s="10"/>
      <c r="J98" s="10"/>
      <c r="K98" s="10"/>
      <c r="L98" s="10"/>
      <c r="M98" s="10"/>
      <c r="N98" s="10"/>
      <c r="O98" s="34"/>
    </row>
    <row r="99" ht="15.75" customHeight="1">
      <c r="A99" s="32"/>
      <c r="B99" s="33"/>
      <c r="C99" s="10"/>
      <c r="D99" s="10"/>
      <c r="E99" s="10"/>
      <c r="F99" s="10"/>
      <c r="G99" s="10"/>
      <c r="H99" s="10"/>
      <c r="I99" s="10"/>
      <c r="J99" s="10"/>
      <c r="K99" s="10"/>
      <c r="L99" s="10"/>
      <c r="M99" s="10"/>
      <c r="N99" s="10"/>
      <c r="O99" s="34"/>
    </row>
    <row r="100" ht="15.75" customHeight="1">
      <c r="A100" s="32"/>
      <c r="B100" s="33"/>
      <c r="C100" s="10"/>
      <c r="D100" s="10"/>
      <c r="E100" s="10"/>
      <c r="F100" s="10"/>
      <c r="G100" s="10"/>
      <c r="H100" s="10"/>
      <c r="I100" s="10"/>
      <c r="J100" s="10"/>
      <c r="K100" s="10"/>
      <c r="L100" s="10"/>
      <c r="M100" s="10"/>
      <c r="N100" s="10"/>
      <c r="O100" s="34"/>
    </row>
    <row r="101" ht="15.75" customHeight="1">
      <c r="A101" s="32"/>
      <c r="B101" s="33"/>
      <c r="C101" s="10"/>
      <c r="D101" s="10"/>
      <c r="E101" s="10"/>
      <c r="F101" s="10"/>
      <c r="G101" s="10"/>
      <c r="H101" s="10"/>
      <c r="I101" s="10"/>
      <c r="J101" s="10"/>
      <c r="K101" s="10"/>
      <c r="L101" s="10"/>
      <c r="M101" s="10"/>
      <c r="N101" s="10"/>
      <c r="O101" s="34"/>
    </row>
    <row r="102" ht="15.75" customHeight="1">
      <c r="A102" s="32"/>
      <c r="B102" s="33"/>
      <c r="C102" s="10"/>
      <c r="D102" s="10"/>
      <c r="E102" s="10"/>
      <c r="F102" s="10"/>
      <c r="G102" s="10"/>
      <c r="H102" s="10"/>
      <c r="I102" s="10"/>
      <c r="J102" s="10"/>
      <c r="K102" s="10"/>
      <c r="L102" s="10"/>
      <c r="M102" s="10"/>
      <c r="N102" s="10"/>
      <c r="O102" s="34"/>
    </row>
    <row r="103" ht="15.75" customHeight="1">
      <c r="A103" s="32"/>
      <c r="B103" s="33"/>
      <c r="C103" s="10"/>
      <c r="D103" s="10"/>
      <c r="E103" s="10"/>
      <c r="F103" s="10"/>
      <c r="G103" s="10"/>
      <c r="H103" s="10"/>
      <c r="I103" s="10"/>
      <c r="J103" s="10"/>
      <c r="K103" s="10"/>
      <c r="L103" s="10"/>
      <c r="M103" s="10"/>
      <c r="N103" s="10"/>
      <c r="O103" s="34"/>
    </row>
    <row r="104" ht="15.75" customHeight="1">
      <c r="A104" s="32"/>
      <c r="B104" s="33"/>
      <c r="C104" s="10"/>
      <c r="D104" s="10"/>
      <c r="E104" s="10"/>
      <c r="F104" s="10"/>
      <c r="G104" s="10"/>
      <c r="H104" s="10"/>
      <c r="I104" s="10"/>
      <c r="J104" s="10"/>
      <c r="K104" s="10"/>
      <c r="L104" s="10"/>
      <c r="M104" s="10"/>
      <c r="N104" s="10"/>
      <c r="O104" s="34"/>
    </row>
    <row r="105" ht="15.75" customHeight="1">
      <c r="A105" s="32"/>
      <c r="B105" s="33"/>
      <c r="C105" s="10"/>
      <c r="D105" s="10"/>
      <c r="E105" s="10"/>
      <c r="F105" s="10"/>
      <c r="G105" s="10"/>
      <c r="H105" s="10"/>
      <c r="I105" s="10"/>
      <c r="J105" s="10"/>
      <c r="K105" s="10"/>
      <c r="L105" s="10"/>
      <c r="M105" s="10"/>
      <c r="N105" s="10"/>
      <c r="O105" s="34"/>
    </row>
    <row r="106" ht="15.75" customHeight="1">
      <c r="A106" s="32"/>
      <c r="B106" s="33"/>
      <c r="C106" s="10"/>
      <c r="D106" s="10"/>
      <c r="E106" s="10"/>
      <c r="F106" s="10"/>
      <c r="G106" s="10"/>
      <c r="H106" s="10"/>
      <c r="I106" s="10"/>
      <c r="J106" s="10"/>
      <c r="K106" s="10"/>
      <c r="L106" s="10"/>
      <c r="M106" s="10"/>
      <c r="N106" s="10"/>
      <c r="O106" s="34"/>
    </row>
    <row r="107" ht="15.75" customHeight="1">
      <c r="A107" s="32"/>
      <c r="B107" s="33"/>
      <c r="C107" s="10"/>
      <c r="D107" s="10"/>
      <c r="E107" s="10"/>
      <c r="F107" s="10"/>
      <c r="G107" s="10"/>
      <c r="H107" s="10"/>
      <c r="I107" s="10"/>
      <c r="J107" s="10"/>
      <c r="K107" s="10"/>
      <c r="L107" s="10"/>
      <c r="M107" s="10"/>
      <c r="N107" s="10"/>
      <c r="O107" s="34"/>
    </row>
    <row r="108" ht="15.75" customHeight="1">
      <c r="A108" s="32"/>
      <c r="B108" s="33"/>
      <c r="C108" s="10"/>
      <c r="D108" s="10"/>
      <c r="E108" s="10"/>
      <c r="F108" s="10"/>
      <c r="G108" s="10"/>
      <c r="H108" s="10"/>
      <c r="I108" s="10"/>
      <c r="J108" s="10"/>
      <c r="K108" s="10"/>
      <c r="L108" s="10"/>
      <c r="M108" s="10"/>
      <c r="N108" s="10"/>
      <c r="O108" s="34"/>
    </row>
    <row r="109" ht="15.75" customHeight="1">
      <c r="A109" s="32"/>
      <c r="B109" s="33"/>
      <c r="C109" s="10"/>
      <c r="D109" s="10"/>
      <c r="E109" s="10"/>
      <c r="F109" s="10"/>
      <c r="G109" s="10"/>
      <c r="H109" s="10"/>
      <c r="I109" s="10"/>
      <c r="J109" s="10"/>
      <c r="K109" s="10"/>
      <c r="L109" s="10"/>
      <c r="M109" s="10"/>
      <c r="N109" s="10"/>
      <c r="O109" s="34"/>
    </row>
    <row r="110" ht="15.75" customHeight="1">
      <c r="A110" s="32"/>
      <c r="B110" s="33"/>
      <c r="C110" s="10"/>
      <c r="D110" s="10"/>
      <c r="E110" s="10"/>
      <c r="F110" s="10"/>
      <c r="G110" s="10"/>
      <c r="H110" s="10"/>
      <c r="I110" s="10"/>
      <c r="J110" s="10"/>
      <c r="K110" s="10"/>
      <c r="L110" s="10"/>
      <c r="M110" s="10"/>
      <c r="N110" s="10"/>
      <c r="O110" s="34"/>
    </row>
    <row r="111" ht="15.75" customHeight="1">
      <c r="A111" s="32"/>
      <c r="B111" s="33"/>
      <c r="C111" s="10"/>
      <c r="D111" s="10"/>
      <c r="E111" s="10"/>
      <c r="F111" s="10"/>
      <c r="G111" s="10"/>
      <c r="H111" s="10"/>
      <c r="I111" s="10"/>
      <c r="J111" s="10"/>
      <c r="K111" s="10"/>
      <c r="L111" s="10"/>
      <c r="M111" s="10"/>
      <c r="N111" s="10"/>
      <c r="O111" s="34"/>
    </row>
    <row r="112" ht="15.75" customHeight="1">
      <c r="A112" s="32"/>
      <c r="B112" s="33"/>
      <c r="C112" s="10"/>
      <c r="D112" s="10"/>
      <c r="E112" s="10"/>
      <c r="F112" s="10"/>
      <c r="G112" s="10"/>
      <c r="H112" s="10"/>
      <c r="I112" s="10"/>
      <c r="J112" s="10"/>
      <c r="K112" s="10"/>
      <c r="L112" s="10"/>
      <c r="M112" s="10"/>
      <c r="N112" s="10"/>
      <c r="O112" s="34"/>
    </row>
    <row r="113" ht="15.75" customHeight="1">
      <c r="A113" s="32"/>
      <c r="B113" s="33"/>
      <c r="C113" s="10"/>
      <c r="D113" s="10"/>
      <c r="E113" s="10"/>
      <c r="F113" s="10"/>
      <c r="G113" s="10"/>
      <c r="H113" s="10"/>
      <c r="I113" s="10"/>
      <c r="J113" s="10"/>
      <c r="K113" s="10"/>
      <c r="L113" s="10"/>
      <c r="M113" s="10"/>
      <c r="N113" s="10"/>
      <c r="O113" s="34"/>
    </row>
    <row r="114" ht="15.75" customHeight="1">
      <c r="A114" s="32"/>
      <c r="B114" s="33"/>
      <c r="C114" s="10"/>
      <c r="D114" s="10"/>
      <c r="E114" s="10"/>
      <c r="F114" s="10"/>
      <c r="G114" s="10"/>
      <c r="H114" s="10"/>
      <c r="I114" s="10"/>
      <c r="J114" s="10"/>
      <c r="K114" s="10"/>
      <c r="L114" s="10"/>
      <c r="M114" s="10"/>
      <c r="N114" s="10"/>
      <c r="O114" s="34"/>
    </row>
    <row r="115" ht="15.75" customHeight="1">
      <c r="A115" s="32"/>
      <c r="B115" s="33"/>
      <c r="C115" s="10"/>
      <c r="D115" s="10"/>
      <c r="E115" s="10"/>
      <c r="F115" s="10"/>
      <c r="G115" s="10"/>
      <c r="H115" s="10"/>
      <c r="I115" s="10"/>
      <c r="J115" s="10"/>
      <c r="K115" s="10"/>
      <c r="L115" s="10"/>
      <c r="M115" s="10"/>
      <c r="N115" s="10"/>
      <c r="O115" s="34"/>
    </row>
    <row r="116" ht="15.75" customHeight="1">
      <c r="A116" s="32"/>
      <c r="B116" s="33"/>
      <c r="C116" s="10"/>
      <c r="D116" s="10"/>
      <c r="E116" s="10"/>
      <c r="F116" s="10"/>
      <c r="G116" s="10"/>
      <c r="H116" s="10"/>
      <c r="I116" s="10"/>
      <c r="J116" s="10"/>
      <c r="K116" s="10"/>
      <c r="L116" s="10"/>
      <c r="M116" s="10"/>
      <c r="N116" s="10"/>
      <c r="O116" s="34"/>
    </row>
    <row r="117" ht="15.75" customHeight="1">
      <c r="A117" s="32"/>
      <c r="B117" s="33"/>
      <c r="C117" s="10"/>
      <c r="D117" s="10"/>
      <c r="E117" s="10"/>
      <c r="F117" s="10"/>
      <c r="G117" s="10"/>
      <c r="H117" s="10"/>
      <c r="I117" s="10"/>
      <c r="J117" s="10"/>
      <c r="K117" s="10"/>
      <c r="L117" s="10"/>
      <c r="M117" s="10"/>
      <c r="N117" s="10"/>
      <c r="O117" s="34"/>
    </row>
    <row r="118" ht="15.75" customHeight="1">
      <c r="A118" s="32"/>
      <c r="B118" s="33"/>
      <c r="C118" s="10"/>
      <c r="D118" s="10"/>
      <c r="E118" s="10"/>
      <c r="F118" s="10"/>
      <c r="G118" s="10"/>
      <c r="H118" s="10"/>
      <c r="I118" s="10"/>
      <c r="J118" s="10"/>
      <c r="K118" s="10"/>
      <c r="L118" s="10"/>
      <c r="M118" s="10"/>
      <c r="N118" s="10"/>
      <c r="O118" s="34"/>
    </row>
    <row r="119" ht="15.75" customHeight="1">
      <c r="A119" s="32"/>
      <c r="B119" s="33"/>
      <c r="C119" s="10"/>
      <c r="D119" s="10"/>
      <c r="E119" s="10"/>
      <c r="F119" s="10"/>
      <c r="G119" s="10"/>
      <c r="H119" s="10"/>
      <c r="I119" s="10"/>
      <c r="J119" s="10"/>
      <c r="K119" s="10"/>
      <c r="L119" s="10"/>
      <c r="M119" s="10"/>
      <c r="N119" s="10"/>
      <c r="O119" s="34"/>
    </row>
    <row r="120" ht="15.75" customHeight="1">
      <c r="A120" s="32"/>
      <c r="B120" s="33"/>
      <c r="C120" s="10"/>
      <c r="D120" s="10"/>
      <c r="E120" s="10"/>
      <c r="F120" s="10"/>
      <c r="G120" s="10"/>
      <c r="H120" s="10"/>
      <c r="I120" s="10"/>
      <c r="J120" s="10"/>
      <c r="K120" s="10"/>
      <c r="L120" s="10"/>
      <c r="M120" s="10"/>
      <c r="N120" s="10"/>
      <c r="O120" s="34"/>
    </row>
    <row r="121" ht="15.75" customHeight="1">
      <c r="A121" s="32"/>
      <c r="B121" s="33"/>
      <c r="C121" s="10"/>
      <c r="D121" s="10"/>
      <c r="E121" s="10"/>
      <c r="F121" s="10"/>
      <c r="G121" s="10"/>
      <c r="H121" s="10"/>
      <c r="I121" s="10"/>
      <c r="J121" s="10"/>
      <c r="K121" s="10"/>
      <c r="L121" s="10"/>
      <c r="M121" s="10"/>
      <c r="N121" s="10"/>
      <c r="O121" s="34"/>
    </row>
    <row r="122" ht="15.75" customHeight="1">
      <c r="A122" s="32"/>
      <c r="B122" s="33"/>
      <c r="C122" s="10"/>
      <c r="D122" s="10"/>
      <c r="E122" s="10"/>
      <c r="F122" s="10"/>
      <c r="G122" s="10"/>
      <c r="H122" s="10"/>
      <c r="I122" s="10"/>
      <c r="J122" s="10"/>
      <c r="K122" s="10"/>
      <c r="L122" s="10"/>
      <c r="M122" s="10"/>
      <c r="N122" s="10"/>
      <c r="O122" s="34"/>
    </row>
    <row r="123" ht="15.75" customHeight="1">
      <c r="A123" s="32"/>
      <c r="B123" s="33"/>
      <c r="C123" s="10"/>
      <c r="D123" s="10"/>
      <c r="E123" s="10"/>
      <c r="F123" s="10"/>
      <c r="G123" s="10"/>
      <c r="H123" s="10"/>
      <c r="I123" s="10"/>
      <c r="J123" s="10"/>
      <c r="K123" s="10"/>
      <c r="L123" s="10"/>
      <c r="M123" s="10"/>
      <c r="N123" s="10"/>
      <c r="O123" s="34"/>
    </row>
    <row r="124" ht="15.75" customHeight="1">
      <c r="A124" s="32"/>
      <c r="B124" s="33"/>
      <c r="C124" s="10"/>
      <c r="D124" s="10"/>
      <c r="E124" s="10"/>
      <c r="F124" s="10"/>
      <c r="G124" s="10"/>
      <c r="H124" s="10"/>
      <c r="I124" s="10"/>
      <c r="J124" s="10"/>
      <c r="K124" s="10"/>
      <c r="L124" s="10"/>
      <c r="M124" s="10"/>
      <c r="N124" s="10"/>
      <c r="O124" s="34"/>
    </row>
    <row r="125" ht="15.75" customHeight="1">
      <c r="A125" s="32"/>
      <c r="B125" s="33"/>
      <c r="C125" s="10"/>
      <c r="D125" s="10"/>
      <c r="E125" s="10"/>
      <c r="F125" s="10"/>
      <c r="G125" s="10"/>
      <c r="H125" s="10"/>
      <c r="I125" s="10"/>
      <c r="J125" s="10"/>
      <c r="K125" s="10"/>
      <c r="L125" s="10"/>
      <c r="M125" s="10"/>
      <c r="N125" s="10"/>
      <c r="O125" s="34"/>
    </row>
    <row r="126" ht="15.75" customHeight="1">
      <c r="A126" s="32"/>
      <c r="B126" s="33"/>
      <c r="C126" s="10"/>
      <c r="D126" s="10"/>
      <c r="E126" s="10"/>
      <c r="F126" s="10"/>
      <c r="G126" s="10"/>
      <c r="H126" s="10"/>
      <c r="I126" s="10"/>
      <c r="J126" s="10"/>
      <c r="K126" s="10"/>
      <c r="L126" s="10"/>
      <c r="M126" s="10"/>
      <c r="N126" s="10"/>
      <c r="O126" s="34"/>
    </row>
    <row r="127" ht="15.75" customHeight="1">
      <c r="A127" s="32"/>
      <c r="B127" s="33"/>
      <c r="C127" s="10"/>
      <c r="D127" s="10"/>
      <c r="E127" s="10"/>
      <c r="F127" s="10"/>
      <c r="G127" s="10"/>
      <c r="H127" s="10"/>
      <c r="I127" s="10"/>
      <c r="J127" s="10"/>
      <c r="K127" s="10"/>
      <c r="L127" s="10"/>
      <c r="M127" s="10"/>
      <c r="N127" s="10"/>
      <c r="O127" s="34"/>
    </row>
    <row r="128" ht="15.75" customHeight="1">
      <c r="A128" s="32"/>
      <c r="B128" s="33"/>
      <c r="C128" s="10"/>
      <c r="D128" s="10"/>
      <c r="E128" s="10"/>
      <c r="F128" s="10"/>
      <c r="G128" s="10"/>
      <c r="H128" s="10"/>
      <c r="I128" s="10"/>
      <c r="J128" s="10"/>
      <c r="K128" s="10"/>
      <c r="L128" s="10"/>
      <c r="M128" s="10"/>
      <c r="N128" s="10"/>
      <c r="O128" s="34"/>
    </row>
    <row r="129" ht="15.75" customHeight="1">
      <c r="A129" s="32"/>
      <c r="B129" s="33"/>
      <c r="C129" s="10"/>
      <c r="D129" s="10"/>
      <c r="E129" s="10"/>
      <c r="F129" s="10"/>
      <c r="G129" s="10"/>
      <c r="H129" s="10"/>
      <c r="I129" s="10"/>
      <c r="J129" s="10"/>
      <c r="K129" s="10"/>
      <c r="L129" s="10"/>
      <c r="M129" s="10"/>
      <c r="N129" s="10"/>
      <c r="O129" s="34"/>
    </row>
    <row r="130" ht="15.75" customHeight="1">
      <c r="A130" s="32"/>
      <c r="B130" s="33"/>
      <c r="C130" s="10"/>
      <c r="D130" s="10"/>
      <c r="E130" s="10"/>
      <c r="F130" s="10"/>
      <c r="G130" s="10"/>
      <c r="H130" s="10"/>
      <c r="I130" s="10"/>
      <c r="J130" s="10"/>
      <c r="K130" s="10"/>
      <c r="L130" s="10"/>
      <c r="M130" s="10"/>
      <c r="N130" s="10"/>
      <c r="O130" s="34"/>
    </row>
    <row r="131" ht="15.75" customHeight="1">
      <c r="A131" s="32"/>
      <c r="B131" s="33"/>
      <c r="C131" s="10"/>
      <c r="D131" s="10"/>
      <c r="E131" s="10"/>
      <c r="F131" s="10"/>
      <c r="G131" s="10"/>
      <c r="H131" s="10"/>
      <c r="I131" s="10"/>
      <c r="J131" s="10"/>
      <c r="K131" s="10"/>
      <c r="L131" s="10"/>
      <c r="M131" s="10"/>
      <c r="N131" s="10"/>
      <c r="O131" s="34"/>
    </row>
    <row r="132" ht="15.75" customHeight="1">
      <c r="A132" s="32"/>
      <c r="B132" s="33"/>
      <c r="C132" s="10"/>
      <c r="D132" s="10"/>
      <c r="E132" s="10"/>
      <c r="F132" s="10"/>
      <c r="G132" s="10"/>
      <c r="H132" s="10"/>
      <c r="I132" s="10"/>
      <c r="J132" s="10"/>
      <c r="K132" s="10"/>
      <c r="L132" s="10"/>
      <c r="M132" s="10"/>
      <c r="N132" s="10"/>
      <c r="O132" s="34"/>
    </row>
    <row r="133" ht="15.75" customHeight="1">
      <c r="A133" s="32"/>
      <c r="B133" s="33"/>
      <c r="C133" s="10"/>
      <c r="D133" s="10"/>
      <c r="E133" s="10"/>
      <c r="F133" s="10"/>
      <c r="G133" s="10"/>
      <c r="H133" s="10"/>
      <c r="I133" s="10"/>
      <c r="J133" s="10"/>
      <c r="K133" s="10"/>
      <c r="L133" s="10"/>
      <c r="M133" s="10"/>
      <c r="N133" s="10"/>
      <c r="O133" s="34"/>
    </row>
    <row r="134" ht="15.75" customHeight="1">
      <c r="A134" s="32"/>
      <c r="B134" s="33"/>
      <c r="C134" s="10"/>
      <c r="D134" s="10"/>
      <c r="E134" s="10"/>
      <c r="F134" s="10"/>
      <c r="G134" s="10"/>
      <c r="H134" s="10"/>
      <c r="I134" s="10"/>
      <c r="J134" s="10"/>
      <c r="K134" s="10"/>
      <c r="L134" s="10"/>
      <c r="M134" s="10"/>
      <c r="N134" s="10"/>
      <c r="O134" s="34"/>
    </row>
    <row r="135" ht="15.75" customHeight="1">
      <c r="A135" s="32"/>
      <c r="B135" s="33"/>
      <c r="C135" s="10"/>
      <c r="D135" s="10"/>
      <c r="E135" s="10"/>
      <c r="F135" s="10"/>
      <c r="G135" s="10"/>
      <c r="H135" s="10"/>
      <c r="I135" s="10"/>
      <c r="J135" s="10"/>
      <c r="K135" s="10"/>
      <c r="L135" s="10"/>
      <c r="M135" s="10"/>
      <c r="N135" s="10"/>
      <c r="O135" s="34"/>
    </row>
    <row r="136" ht="15.75" customHeight="1">
      <c r="A136" s="32"/>
      <c r="B136" s="33"/>
      <c r="C136" s="10"/>
      <c r="D136" s="10"/>
      <c r="E136" s="10"/>
      <c r="F136" s="10"/>
      <c r="G136" s="10"/>
      <c r="H136" s="10"/>
      <c r="I136" s="10"/>
      <c r="J136" s="10"/>
      <c r="K136" s="10"/>
      <c r="L136" s="10"/>
      <c r="M136" s="10"/>
      <c r="N136" s="10"/>
      <c r="O136" s="34"/>
    </row>
    <row r="137" ht="15.75" customHeight="1">
      <c r="A137" s="32"/>
      <c r="B137" s="33"/>
      <c r="C137" s="10"/>
      <c r="D137" s="10"/>
      <c r="E137" s="10"/>
      <c r="F137" s="10"/>
      <c r="G137" s="10"/>
      <c r="H137" s="10"/>
      <c r="I137" s="10"/>
      <c r="J137" s="10"/>
      <c r="K137" s="10"/>
      <c r="L137" s="10"/>
      <c r="M137" s="10"/>
      <c r="N137" s="10"/>
      <c r="O137" s="34"/>
    </row>
    <row r="138" ht="15.75" customHeight="1">
      <c r="A138" s="32"/>
      <c r="B138" s="33"/>
      <c r="C138" s="10"/>
      <c r="D138" s="10"/>
      <c r="E138" s="10"/>
      <c r="F138" s="10"/>
      <c r="G138" s="10"/>
      <c r="H138" s="10"/>
      <c r="I138" s="10"/>
      <c r="J138" s="10"/>
      <c r="K138" s="10"/>
      <c r="L138" s="10"/>
      <c r="M138" s="10"/>
      <c r="N138" s="10"/>
      <c r="O138" s="34"/>
    </row>
    <row r="139" ht="15.75" customHeight="1">
      <c r="A139" s="32"/>
      <c r="B139" s="33"/>
      <c r="C139" s="10"/>
      <c r="D139" s="10"/>
      <c r="E139" s="10"/>
      <c r="F139" s="10"/>
      <c r="G139" s="10"/>
      <c r="H139" s="10"/>
      <c r="I139" s="10"/>
      <c r="J139" s="10"/>
      <c r="K139" s="10"/>
      <c r="L139" s="10"/>
      <c r="M139" s="10"/>
      <c r="N139" s="10"/>
      <c r="O139" s="34"/>
    </row>
    <row r="140" ht="15.75" customHeight="1">
      <c r="A140" s="32"/>
      <c r="B140" s="33"/>
      <c r="C140" s="10"/>
      <c r="D140" s="10"/>
      <c r="E140" s="10"/>
      <c r="F140" s="10"/>
      <c r="G140" s="10"/>
      <c r="H140" s="10"/>
      <c r="I140" s="10"/>
      <c r="J140" s="10"/>
      <c r="K140" s="10"/>
      <c r="L140" s="10"/>
      <c r="M140" s="10"/>
      <c r="N140" s="10"/>
      <c r="O140" s="34"/>
    </row>
    <row r="141" ht="15.75" customHeight="1">
      <c r="A141" s="32"/>
      <c r="B141" s="33"/>
      <c r="C141" s="10"/>
      <c r="D141" s="10"/>
      <c r="E141" s="10"/>
      <c r="F141" s="10"/>
      <c r="G141" s="10"/>
      <c r="H141" s="10"/>
      <c r="I141" s="10"/>
      <c r="J141" s="10"/>
      <c r="K141" s="10"/>
      <c r="L141" s="10"/>
      <c r="M141" s="10"/>
      <c r="N141" s="10"/>
      <c r="O141" s="34"/>
    </row>
    <row r="142" ht="15.75" customHeight="1">
      <c r="A142" s="32"/>
      <c r="B142" s="33"/>
      <c r="C142" s="10"/>
      <c r="D142" s="10"/>
      <c r="E142" s="10"/>
      <c r="F142" s="10"/>
      <c r="G142" s="10"/>
      <c r="H142" s="10"/>
      <c r="I142" s="10"/>
      <c r="J142" s="10"/>
      <c r="K142" s="10"/>
      <c r="L142" s="10"/>
      <c r="M142" s="10"/>
      <c r="N142" s="10"/>
      <c r="O142" s="34"/>
    </row>
    <row r="143" ht="15.75" customHeight="1">
      <c r="A143" s="32"/>
      <c r="B143" s="33"/>
      <c r="C143" s="10"/>
      <c r="D143" s="10"/>
      <c r="E143" s="10"/>
      <c r="F143" s="10"/>
      <c r="G143" s="10"/>
      <c r="H143" s="10"/>
      <c r="I143" s="10"/>
      <c r="J143" s="10"/>
      <c r="K143" s="10"/>
      <c r="L143" s="10"/>
      <c r="M143" s="10"/>
      <c r="N143" s="10"/>
      <c r="O143" s="34"/>
    </row>
    <row r="144" ht="15.75" customHeight="1">
      <c r="A144" s="32"/>
      <c r="B144" s="33"/>
      <c r="C144" s="10"/>
      <c r="D144" s="10"/>
      <c r="E144" s="10"/>
      <c r="F144" s="10"/>
      <c r="G144" s="10"/>
      <c r="H144" s="10"/>
      <c r="I144" s="10"/>
      <c r="J144" s="10"/>
      <c r="K144" s="10"/>
      <c r="L144" s="10"/>
      <c r="M144" s="10"/>
      <c r="N144" s="10"/>
      <c r="O144" s="34"/>
    </row>
    <row r="145" ht="15.75" customHeight="1">
      <c r="A145" s="32"/>
      <c r="B145" s="33"/>
      <c r="C145" s="10"/>
      <c r="D145" s="10"/>
      <c r="E145" s="10"/>
      <c r="F145" s="10"/>
      <c r="G145" s="10"/>
      <c r="H145" s="10"/>
      <c r="I145" s="10"/>
      <c r="J145" s="10"/>
      <c r="K145" s="10"/>
      <c r="L145" s="10"/>
      <c r="M145" s="10"/>
      <c r="N145" s="10"/>
      <c r="O145" s="34"/>
    </row>
    <row r="146" ht="15.75" customHeight="1">
      <c r="A146" s="32"/>
      <c r="B146" s="33"/>
      <c r="C146" s="10"/>
      <c r="D146" s="10"/>
      <c r="E146" s="10"/>
      <c r="F146" s="10"/>
      <c r="G146" s="10"/>
      <c r="H146" s="10"/>
      <c r="I146" s="10"/>
      <c r="J146" s="10"/>
      <c r="K146" s="10"/>
      <c r="L146" s="10"/>
      <c r="M146" s="10"/>
      <c r="N146" s="10"/>
      <c r="O146" s="34"/>
    </row>
    <row r="147" ht="15.75" customHeight="1">
      <c r="A147" s="32"/>
      <c r="B147" s="33"/>
      <c r="C147" s="10"/>
      <c r="D147" s="10"/>
      <c r="E147" s="10"/>
      <c r="F147" s="10"/>
      <c r="G147" s="10"/>
      <c r="H147" s="10"/>
      <c r="I147" s="10"/>
      <c r="J147" s="10"/>
      <c r="K147" s="10"/>
      <c r="L147" s="10"/>
      <c r="M147" s="10"/>
      <c r="N147" s="10"/>
      <c r="O147" s="34"/>
    </row>
    <row r="148" ht="15.75" customHeight="1">
      <c r="A148" s="32"/>
      <c r="B148" s="33"/>
      <c r="C148" s="10"/>
      <c r="D148" s="10"/>
      <c r="E148" s="10"/>
      <c r="F148" s="10"/>
      <c r="G148" s="10"/>
      <c r="H148" s="10"/>
      <c r="I148" s="10"/>
      <c r="J148" s="10"/>
      <c r="K148" s="10"/>
      <c r="L148" s="10"/>
      <c r="M148" s="10"/>
      <c r="N148" s="10"/>
      <c r="O148" s="34"/>
    </row>
    <row r="149" ht="15.75" customHeight="1">
      <c r="A149" s="32"/>
      <c r="B149" s="33"/>
      <c r="C149" s="10"/>
      <c r="D149" s="10"/>
      <c r="E149" s="10"/>
      <c r="F149" s="10"/>
      <c r="G149" s="10"/>
      <c r="H149" s="10"/>
      <c r="I149" s="10"/>
      <c r="J149" s="10"/>
      <c r="K149" s="10"/>
      <c r="L149" s="10"/>
      <c r="M149" s="10"/>
      <c r="N149" s="10"/>
      <c r="O149" s="34"/>
    </row>
    <row r="150" ht="15.75" customHeight="1">
      <c r="A150" s="32"/>
      <c r="B150" s="33"/>
      <c r="C150" s="10"/>
      <c r="D150" s="10"/>
      <c r="E150" s="10"/>
      <c r="F150" s="10"/>
      <c r="G150" s="10"/>
      <c r="H150" s="10"/>
      <c r="I150" s="10"/>
      <c r="J150" s="10"/>
      <c r="K150" s="10"/>
      <c r="L150" s="10"/>
      <c r="M150" s="10"/>
      <c r="N150" s="10"/>
      <c r="O150" s="34"/>
    </row>
    <row r="151" ht="15.75" customHeight="1">
      <c r="A151" s="32"/>
      <c r="B151" s="33"/>
      <c r="C151" s="10"/>
      <c r="D151" s="10"/>
      <c r="E151" s="10"/>
      <c r="F151" s="10"/>
      <c r="G151" s="10"/>
      <c r="H151" s="10"/>
      <c r="I151" s="10"/>
      <c r="J151" s="10"/>
      <c r="K151" s="10"/>
      <c r="L151" s="10"/>
      <c r="M151" s="10"/>
      <c r="N151" s="10"/>
      <c r="O151" s="34"/>
    </row>
    <row r="152" ht="15.75" customHeight="1">
      <c r="A152" s="32"/>
      <c r="B152" s="33"/>
      <c r="C152" s="10"/>
      <c r="D152" s="10"/>
      <c r="E152" s="10"/>
      <c r="F152" s="10"/>
      <c r="G152" s="10"/>
      <c r="H152" s="10"/>
      <c r="I152" s="10"/>
      <c r="J152" s="10"/>
      <c r="K152" s="10"/>
      <c r="L152" s="10"/>
      <c r="M152" s="10"/>
      <c r="N152" s="10"/>
      <c r="O152" s="34"/>
    </row>
    <row r="153" ht="15.75" customHeight="1">
      <c r="A153" s="32"/>
      <c r="B153" s="33"/>
      <c r="C153" s="10"/>
      <c r="D153" s="10"/>
      <c r="E153" s="10"/>
      <c r="F153" s="10"/>
      <c r="G153" s="10"/>
      <c r="H153" s="10"/>
      <c r="I153" s="10"/>
      <c r="J153" s="10"/>
      <c r="K153" s="10"/>
      <c r="L153" s="10"/>
      <c r="M153" s="10"/>
      <c r="N153" s="10"/>
      <c r="O153" s="34"/>
    </row>
    <row r="154" ht="15.75" customHeight="1">
      <c r="A154" s="32"/>
      <c r="B154" s="33"/>
      <c r="C154" s="10"/>
      <c r="D154" s="10"/>
      <c r="E154" s="10"/>
      <c r="F154" s="10"/>
      <c r="G154" s="10"/>
      <c r="H154" s="10"/>
      <c r="I154" s="10"/>
      <c r="J154" s="10"/>
      <c r="K154" s="10"/>
      <c r="L154" s="10"/>
      <c r="M154" s="10"/>
      <c r="N154" s="10"/>
      <c r="O154" s="34"/>
    </row>
    <row r="155" ht="15.75" customHeight="1">
      <c r="A155" s="32"/>
      <c r="B155" s="33"/>
      <c r="C155" s="10"/>
      <c r="D155" s="10"/>
      <c r="E155" s="10"/>
      <c r="F155" s="10"/>
      <c r="G155" s="10"/>
      <c r="H155" s="10"/>
      <c r="I155" s="10"/>
      <c r="J155" s="10"/>
      <c r="K155" s="10"/>
      <c r="L155" s="10"/>
      <c r="M155" s="10"/>
      <c r="N155" s="10"/>
      <c r="O155" s="34"/>
    </row>
    <row r="156" ht="15.75" customHeight="1">
      <c r="A156" s="32"/>
      <c r="B156" s="33"/>
      <c r="C156" s="10"/>
      <c r="D156" s="10"/>
      <c r="E156" s="10"/>
      <c r="F156" s="10"/>
      <c r="G156" s="10"/>
      <c r="H156" s="10"/>
      <c r="I156" s="10"/>
      <c r="J156" s="10"/>
      <c r="K156" s="10"/>
      <c r="L156" s="10"/>
      <c r="M156" s="10"/>
      <c r="N156" s="10"/>
      <c r="O156" s="34"/>
    </row>
    <row r="157" ht="15.75" customHeight="1">
      <c r="A157" s="32"/>
      <c r="B157" s="33"/>
      <c r="C157" s="10"/>
      <c r="D157" s="10"/>
      <c r="E157" s="10"/>
      <c r="F157" s="10"/>
      <c r="G157" s="10"/>
      <c r="H157" s="10"/>
      <c r="I157" s="10"/>
      <c r="J157" s="10"/>
      <c r="K157" s="10"/>
      <c r="L157" s="10"/>
      <c r="M157" s="10"/>
      <c r="N157" s="10"/>
      <c r="O157" s="34"/>
    </row>
    <row r="158" ht="15.75" customHeight="1">
      <c r="A158" s="32"/>
      <c r="B158" s="33"/>
      <c r="C158" s="10"/>
      <c r="D158" s="10"/>
      <c r="E158" s="10"/>
      <c r="F158" s="10"/>
      <c r="G158" s="10"/>
      <c r="H158" s="10"/>
      <c r="I158" s="10"/>
      <c r="J158" s="10"/>
      <c r="K158" s="10"/>
      <c r="L158" s="10"/>
      <c r="M158" s="10"/>
      <c r="N158" s="10"/>
      <c r="O158" s="34"/>
    </row>
    <row r="159" ht="15.75" customHeight="1">
      <c r="A159" s="32"/>
      <c r="B159" s="33"/>
      <c r="C159" s="10"/>
      <c r="D159" s="10"/>
      <c r="E159" s="10"/>
      <c r="F159" s="10"/>
      <c r="G159" s="10"/>
      <c r="H159" s="10"/>
      <c r="I159" s="10"/>
      <c r="J159" s="10"/>
      <c r="K159" s="10"/>
      <c r="L159" s="10"/>
      <c r="M159" s="10"/>
      <c r="N159" s="10"/>
      <c r="O159" s="34"/>
    </row>
    <row r="160" ht="15.75" customHeight="1">
      <c r="A160" s="32"/>
      <c r="B160" s="33"/>
      <c r="C160" s="10"/>
      <c r="D160" s="10"/>
      <c r="E160" s="10"/>
      <c r="F160" s="10"/>
      <c r="G160" s="10"/>
      <c r="H160" s="10"/>
      <c r="I160" s="10"/>
      <c r="J160" s="10"/>
      <c r="K160" s="10"/>
      <c r="L160" s="10"/>
      <c r="M160" s="10"/>
      <c r="N160" s="10"/>
      <c r="O160" s="34"/>
    </row>
    <row r="161" ht="15.75" customHeight="1">
      <c r="A161" s="32"/>
      <c r="B161" s="33"/>
      <c r="C161" s="10"/>
      <c r="D161" s="10"/>
      <c r="E161" s="10"/>
      <c r="F161" s="10"/>
      <c r="G161" s="10"/>
      <c r="H161" s="10"/>
      <c r="I161" s="10"/>
      <c r="J161" s="10"/>
      <c r="K161" s="10"/>
      <c r="L161" s="10"/>
      <c r="M161" s="10"/>
      <c r="N161" s="10"/>
      <c r="O161" s="34"/>
    </row>
    <row r="162" ht="15.75" customHeight="1">
      <c r="A162" s="32"/>
      <c r="B162" s="33"/>
      <c r="C162" s="10"/>
      <c r="D162" s="10"/>
      <c r="E162" s="10"/>
      <c r="F162" s="10"/>
      <c r="G162" s="10"/>
      <c r="H162" s="10"/>
      <c r="I162" s="10"/>
      <c r="J162" s="10"/>
      <c r="K162" s="10"/>
      <c r="L162" s="10"/>
      <c r="M162" s="10"/>
      <c r="N162" s="10"/>
      <c r="O162" s="34"/>
    </row>
    <row r="163" ht="15.75" customHeight="1">
      <c r="A163" s="32"/>
      <c r="B163" s="33"/>
      <c r="C163" s="10"/>
      <c r="D163" s="10"/>
      <c r="E163" s="10"/>
      <c r="F163" s="10"/>
      <c r="G163" s="10"/>
      <c r="H163" s="10"/>
      <c r="I163" s="10"/>
      <c r="J163" s="10"/>
      <c r="K163" s="10"/>
      <c r="L163" s="10"/>
      <c r="M163" s="10"/>
      <c r="N163" s="10"/>
      <c r="O163" s="34"/>
    </row>
    <row r="164" ht="15.75" customHeight="1">
      <c r="A164" s="32"/>
      <c r="B164" s="33"/>
      <c r="C164" s="10"/>
      <c r="D164" s="10"/>
      <c r="E164" s="10"/>
      <c r="F164" s="10"/>
      <c r="G164" s="10"/>
      <c r="H164" s="10"/>
      <c r="I164" s="10"/>
      <c r="J164" s="10"/>
      <c r="K164" s="10"/>
      <c r="L164" s="10"/>
      <c r="M164" s="10"/>
      <c r="N164" s="10"/>
      <c r="O164" s="34"/>
    </row>
    <row r="165" ht="15.75" customHeight="1">
      <c r="A165" s="32"/>
      <c r="B165" s="33"/>
      <c r="C165" s="10"/>
      <c r="D165" s="10"/>
      <c r="E165" s="10"/>
      <c r="F165" s="10"/>
      <c r="G165" s="10"/>
      <c r="H165" s="10"/>
      <c r="I165" s="10"/>
      <c r="J165" s="10"/>
      <c r="K165" s="10"/>
      <c r="L165" s="10"/>
      <c r="M165" s="10"/>
      <c r="N165" s="10"/>
      <c r="O165" s="34"/>
    </row>
    <row r="166" ht="15.75" customHeight="1">
      <c r="A166" s="32"/>
      <c r="B166" s="33"/>
      <c r="C166" s="10"/>
      <c r="D166" s="10"/>
      <c r="E166" s="10"/>
      <c r="F166" s="10"/>
      <c r="G166" s="10"/>
      <c r="H166" s="10"/>
      <c r="I166" s="10"/>
      <c r="J166" s="10"/>
      <c r="K166" s="10"/>
      <c r="L166" s="10"/>
      <c r="M166" s="10"/>
      <c r="N166" s="10"/>
      <c r="O166" s="34"/>
    </row>
    <row r="167" ht="15.75" customHeight="1">
      <c r="A167" s="32"/>
      <c r="B167" s="33"/>
      <c r="C167" s="10"/>
      <c r="D167" s="10"/>
      <c r="E167" s="10"/>
      <c r="F167" s="10"/>
      <c r="G167" s="10"/>
      <c r="H167" s="10"/>
      <c r="I167" s="10"/>
      <c r="J167" s="10"/>
      <c r="K167" s="10"/>
      <c r="L167" s="10"/>
      <c r="M167" s="10"/>
      <c r="N167" s="10"/>
      <c r="O167" s="34"/>
    </row>
    <row r="168" ht="15.75" customHeight="1">
      <c r="A168" s="32"/>
      <c r="B168" s="33"/>
      <c r="C168" s="10"/>
      <c r="D168" s="10"/>
      <c r="E168" s="10"/>
      <c r="F168" s="10"/>
      <c r="G168" s="10"/>
      <c r="H168" s="10"/>
      <c r="I168" s="10"/>
      <c r="J168" s="10"/>
      <c r="K168" s="10"/>
      <c r="L168" s="10"/>
      <c r="M168" s="10"/>
      <c r="N168" s="10"/>
      <c r="O168" s="34"/>
    </row>
    <row r="169" ht="15.75" customHeight="1">
      <c r="A169" s="32"/>
      <c r="B169" s="33"/>
      <c r="C169" s="10"/>
      <c r="D169" s="10"/>
      <c r="E169" s="10"/>
      <c r="F169" s="10"/>
      <c r="G169" s="10"/>
      <c r="H169" s="10"/>
      <c r="I169" s="10"/>
      <c r="J169" s="10"/>
      <c r="K169" s="10"/>
      <c r="L169" s="10"/>
      <c r="M169" s="10"/>
      <c r="N169" s="10"/>
      <c r="O169" s="34"/>
    </row>
    <row r="170" ht="15.75" customHeight="1">
      <c r="A170" s="32"/>
      <c r="B170" s="33"/>
      <c r="C170" s="10"/>
      <c r="D170" s="10"/>
      <c r="E170" s="10"/>
      <c r="F170" s="10"/>
      <c r="G170" s="10"/>
      <c r="H170" s="10"/>
      <c r="I170" s="10"/>
      <c r="J170" s="10"/>
      <c r="K170" s="10"/>
      <c r="L170" s="10"/>
      <c r="M170" s="10"/>
      <c r="N170" s="10"/>
      <c r="O170" s="34"/>
    </row>
    <row r="171" ht="15.75" customHeight="1">
      <c r="A171" s="32"/>
      <c r="B171" s="33"/>
      <c r="C171" s="10"/>
      <c r="D171" s="10"/>
      <c r="E171" s="10"/>
      <c r="F171" s="10"/>
      <c r="G171" s="10"/>
      <c r="H171" s="10"/>
      <c r="I171" s="10"/>
      <c r="J171" s="10"/>
      <c r="K171" s="10"/>
      <c r="L171" s="10"/>
      <c r="M171" s="10"/>
      <c r="N171" s="10"/>
      <c r="O171" s="34"/>
    </row>
    <row r="172" ht="15.75" customHeight="1">
      <c r="A172" s="32"/>
      <c r="B172" s="33"/>
      <c r="C172" s="10"/>
      <c r="D172" s="10"/>
      <c r="E172" s="10"/>
      <c r="F172" s="10"/>
      <c r="G172" s="10"/>
      <c r="H172" s="10"/>
      <c r="I172" s="10"/>
      <c r="J172" s="10"/>
      <c r="K172" s="10"/>
      <c r="L172" s="10"/>
      <c r="M172" s="10"/>
      <c r="N172" s="10"/>
      <c r="O172" s="34"/>
    </row>
    <row r="173" ht="15.75" customHeight="1">
      <c r="A173" s="32"/>
      <c r="B173" s="33"/>
      <c r="C173" s="10"/>
      <c r="D173" s="10"/>
      <c r="E173" s="10"/>
      <c r="F173" s="10"/>
      <c r="G173" s="10"/>
      <c r="H173" s="10"/>
      <c r="I173" s="10"/>
      <c r="J173" s="10"/>
      <c r="K173" s="10"/>
      <c r="L173" s="10"/>
      <c r="M173" s="10"/>
      <c r="N173" s="10"/>
      <c r="O173" s="34"/>
    </row>
    <row r="174" ht="15.75" customHeight="1">
      <c r="A174" s="32"/>
      <c r="B174" s="33"/>
      <c r="C174" s="10"/>
      <c r="D174" s="10"/>
      <c r="E174" s="10"/>
      <c r="F174" s="10"/>
      <c r="G174" s="10"/>
      <c r="H174" s="10"/>
      <c r="I174" s="10"/>
      <c r="J174" s="10"/>
      <c r="K174" s="10"/>
      <c r="L174" s="10"/>
      <c r="M174" s="10"/>
      <c r="N174" s="10"/>
      <c r="O174" s="34"/>
    </row>
    <row r="175" ht="15.75" customHeight="1">
      <c r="A175" s="32"/>
      <c r="B175" s="33"/>
      <c r="C175" s="10"/>
      <c r="D175" s="10"/>
      <c r="E175" s="10"/>
      <c r="F175" s="10"/>
      <c r="G175" s="10"/>
      <c r="H175" s="10"/>
      <c r="I175" s="10"/>
      <c r="J175" s="10"/>
      <c r="K175" s="10"/>
      <c r="L175" s="10"/>
      <c r="M175" s="10"/>
      <c r="N175" s="10"/>
      <c r="O175" s="34"/>
    </row>
    <row r="176" ht="15.75" customHeight="1">
      <c r="A176" s="32"/>
      <c r="B176" s="33"/>
      <c r="C176" s="10"/>
      <c r="D176" s="10"/>
      <c r="E176" s="10"/>
      <c r="F176" s="10"/>
      <c r="G176" s="10"/>
      <c r="H176" s="10"/>
      <c r="I176" s="10"/>
      <c r="J176" s="10"/>
      <c r="K176" s="10"/>
      <c r="L176" s="10"/>
      <c r="M176" s="10"/>
      <c r="N176" s="10"/>
      <c r="O176" s="34"/>
    </row>
    <row r="177" ht="15.75" customHeight="1">
      <c r="A177" s="32"/>
      <c r="B177" s="33"/>
      <c r="C177" s="10"/>
      <c r="D177" s="10"/>
      <c r="E177" s="10"/>
      <c r="F177" s="10"/>
      <c r="G177" s="10"/>
      <c r="H177" s="10"/>
      <c r="I177" s="10"/>
      <c r="J177" s="10"/>
      <c r="K177" s="10"/>
      <c r="L177" s="10"/>
      <c r="M177" s="10"/>
      <c r="N177" s="10"/>
      <c r="O177" s="34"/>
    </row>
    <row r="178" ht="15.75" customHeight="1">
      <c r="A178" s="32"/>
      <c r="B178" s="33"/>
      <c r="C178" s="10"/>
      <c r="D178" s="10"/>
      <c r="E178" s="10"/>
      <c r="F178" s="10"/>
      <c r="G178" s="10"/>
      <c r="H178" s="10"/>
      <c r="I178" s="10"/>
      <c r="J178" s="10"/>
      <c r="K178" s="10"/>
      <c r="L178" s="10"/>
      <c r="M178" s="10"/>
      <c r="N178" s="10"/>
      <c r="O178" s="34"/>
    </row>
    <row r="179" ht="15.75" customHeight="1">
      <c r="A179" s="32"/>
      <c r="B179" s="33"/>
      <c r="C179" s="10"/>
      <c r="D179" s="10"/>
      <c r="E179" s="10"/>
      <c r="F179" s="10"/>
      <c r="G179" s="10"/>
      <c r="H179" s="10"/>
      <c r="I179" s="10"/>
      <c r="J179" s="10"/>
      <c r="K179" s="10"/>
      <c r="L179" s="10"/>
      <c r="M179" s="10"/>
      <c r="N179" s="10"/>
      <c r="O179" s="34"/>
    </row>
    <row r="180" ht="15.75" customHeight="1">
      <c r="A180" s="32"/>
      <c r="B180" s="33"/>
      <c r="C180" s="10"/>
      <c r="D180" s="10"/>
      <c r="E180" s="10"/>
      <c r="F180" s="10"/>
      <c r="G180" s="10"/>
      <c r="H180" s="10"/>
      <c r="I180" s="10"/>
      <c r="J180" s="10"/>
      <c r="K180" s="10"/>
      <c r="L180" s="10"/>
      <c r="M180" s="10"/>
      <c r="N180" s="10"/>
      <c r="O180" s="34"/>
    </row>
    <row r="181" ht="15.75" customHeight="1">
      <c r="A181" s="32"/>
      <c r="B181" s="33"/>
      <c r="C181" s="10"/>
      <c r="D181" s="10"/>
      <c r="E181" s="10"/>
      <c r="F181" s="10"/>
      <c r="G181" s="10"/>
      <c r="H181" s="10"/>
      <c r="I181" s="10"/>
      <c r="J181" s="10"/>
      <c r="K181" s="10"/>
      <c r="L181" s="10"/>
      <c r="M181" s="10"/>
      <c r="N181" s="10"/>
      <c r="O181" s="34"/>
    </row>
    <row r="182" ht="15.75" customHeight="1">
      <c r="A182" s="32"/>
      <c r="B182" s="33"/>
      <c r="C182" s="10"/>
      <c r="D182" s="10"/>
      <c r="E182" s="10"/>
      <c r="F182" s="10"/>
      <c r="G182" s="10"/>
      <c r="H182" s="10"/>
      <c r="I182" s="10"/>
      <c r="J182" s="10"/>
      <c r="K182" s="10"/>
      <c r="L182" s="10"/>
      <c r="M182" s="10"/>
      <c r="N182" s="10"/>
      <c r="O182" s="34"/>
    </row>
    <row r="183" ht="15.75" customHeight="1">
      <c r="A183" s="32"/>
      <c r="B183" s="33"/>
      <c r="C183" s="10"/>
      <c r="D183" s="10"/>
      <c r="E183" s="10"/>
      <c r="F183" s="10"/>
      <c r="G183" s="10"/>
      <c r="H183" s="10"/>
      <c r="I183" s="10"/>
      <c r="J183" s="10"/>
      <c r="K183" s="10"/>
      <c r="L183" s="10"/>
      <c r="M183" s="10"/>
      <c r="N183" s="10"/>
      <c r="O183" s="34"/>
    </row>
    <row r="184" ht="15.75" customHeight="1">
      <c r="A184" s="32"/>
      <c r="B184" s="33"/>
      <c r="C184" s="10"/>
      <c r="D184" s="10"/>
      <c r="E184" s="10"/>
      <c r="F184" s="10"/>
      <c r="G184" s="10"/>
      <c r="H184" s="10"/>
      <c r="I184" s="10"/>
      <c r="J184" s="10"/>
      <c r="K184" s="10"/>
      <c r="L184" s="10"/>
      <c r="M184" s="10"/>
      <c r="N184" s="10"/>
      <c r="O184" s="34"/>
    </row>
    <row r="185" ht="15.75" customHeight="1">
      <c r="A185" s="32"/>
      <c r="B185" s="33"/>
      <c r="C185" s="10"/>
      <c r="D185" s="10"/>
      <c r="E185" s="10"/>
      <c r="F185" s="10"/>
      <c r="G185" s="10"/>
      <c r="H185" s="10"/>
      <c r="I185" s="10"/>
      <c r="J185" s="10"/>
      <c r="K185" s="10"/>
      <c r="L185" s="10"/>
      <c r="M185" s="10"/>
      <c r="N185" s="10"/>
      <c r="O185" s="34"/>
    </row>
    <row r="186" ht="15.75" customHeight="1">
      <c r="A186" s="32"/>
      <c r="B186" s="33"/>
      <c r="C186" s="10"/>
      <c r="D186" s="10"/>
      <c r="E186" s="10"/>
      <c r="F186" s="10"/>
      <c r="G186" s="10"/>
      <c r="H186" s="10"/>
      <c r="I186" s="10"/>
      <c r="J186" s="10"/>
      <c r="K186" s="10"/>
      <c r="L186" s="10"/>
      <c r="M186" s="10"/>
      <c r="N186" s="10"/>
      <c r="O186" s="34"/>
    </row>
    <row r="187" ht="15.75" customHeight="1">
      <c r="A187" s="32"/>
      <c r="B187" s="33"/>
      <c r="C187" s="10"/>
      <c r="D187" s="10"/>
      <c r="E187" s="10"/>
      <c r="F187" s="10"/>
      <c r="G187" s="10"/>
      <c r="H187" s="10"/>
      <c r="I187" s="10"/>
      <c r="J187" s="10"/>
      <c r="K187" s="10"/>
      <c r="L187" s="10"/>
      <c r="M187" s="10"/>
      <c r="N187" s="10"/>
      <c r="O187" s="34"/>
    </row>
    <row r="188" ht="15.75" customHeight="1">
      <c r="A188" s="32"/>
      <c r="B188" s="33"/>
      <c r="C188" s="10"/>
      <c r="D188" s="10"/>
      <c r="E188" s="10"/>
      <c r="F188" s="10"/>
      <c r="G188" s="10"/>
      <c r="H188" s="10"/>
      <c r="I188" s="10"/>
      <c r="J188" s="10"/>
      <c r="K188" s="10"/>
      <c r="L188" s="10"/>
      <c r="M188" s="10"/>
      <c r="N188" s="10"/>
      <c r="O188" s="34"/>
    </row>
    <row r="189" ht="15.75" customHeight="1">
      <c r="A189" s="32"/>
      <c r="B189" s="33"/>
      <c r="C189" s="10"/>
      <c r="D189" s="10"/>
      <c r="E189" s="10"/>
      <c r="F189" s="10"/>
      <c r="G189" s="10"/>
      <c r="H189" s="10"/>
      <c r="I189" s="10"/>
      <c r="J189" s="10"/>
      <c r="K189" s="10"/>
      <c r="L189" s="10"/>
      <c r="M189" s="10"/>
      <c r="N189" s="10"/>
      <c r="O189" s="34"/>
    </row>
    <row r="190" ht="15.75" customHeight="1">
      <c r="A190" s="32"/>
      <c r="B190" s="33"/>
      <c r="C190" s="10"/>
      <c r="D190" s="10"/>
      <c r="E190" s="10"/>
      <c r="F190" s="10"/>
      <c r="G190" s="10"/>
      <c r="H190" s="10"/>
      <c r="I190" s="10"/>
      <c r="J190" s="10"/>
      <c r="K190" s="10"/>
      <c r="L190" s="10"/>
      <c r="M190" s="10"/>
      <c r="N190" s="10"/>
      <c r="O190" s="34"/>
    </row>
    <row r="191" ht="15.75" customHeight="1">
      <c r="A191" s="32"/>
      <c r="B191" s="33"/>
      <c r="C191" s="10"/>
      <c r="D191" s="10"/>
      <c r="E191" s="10"/>
      <c r="F191" s="10"/>
      <c r="G191" s="10"/>
      <c r="H191" s="10"/>
      <c r="I191" s="10"/>
      <c r="J191" s="10"/>
      <c r="K191" s="10"/>
      <c r="L191" s="10"/>
      <c r="M191" s="10"/>
      <c r="N191" s="10"/>
      <c r="O191" s="34"/>
    </row>
    <row r="192" ht="15.75" customHeight="1">
      <c r="A192" s="32"/>
      <c r="B192" s="33"/>
      <c r="C192" s="10"/>
      <c r="D192" s="10"/>
      <c r="E192" s="10"/>
      <c r="F192" s="10"/>
      <c r="G192" s="10"/>
      <c r="H192" s="10"/>
      <c r="I192" s="10"/>
      <c r="J192" s="10"/>
      <c r="K192" s="10"/>
      <c r="L192" s="10"/>
      <c r="M192" s="10"/>
      <c r="N192" s="10"/>
      <c r="O192" s="34"/>
    </row>
    <row r="193" ht="15.75" customHeight="1">
      <c r="A193" s="32"/>
      <c r="B193" s="33"/>
      <c r="C193" s="10"/>
      <c r="D193" s="10"/>
      <c r="E193" s="10"/>
      <c r="F193" s="10"/>
      <c r="G193" s="10"/>
      <c r="H193" s="10"/>
      <c r="I193" s="10"/>
      <c r="J193" s="10"/>
      <c r="K193" s="10"/>
      <c r="L193" s="10"/>
      <c r="M193" s="10"/>
      <c r="N193" s="10"/>
      <c r="O193" s="34"/>
    </row>
    <row r="194" ht="15.75" customHeight="1">
      <c r="A194" s="32"/>
      <c r="B194" s="33"/>
      <c r="C194" s="10"/>
      <c r="D194" s="10"/>
      <c r="E194" s="10"/>
      <c r="F194" s="10"/>
      <c r="G194" s="10"/>
      <c r="H194" s="10"/>
      <c r="I194" s="10"/>
      <c r="J194" s="10"/>
      <c r="K194" s="10"/>
      <c r="L194" s="10"/>
      <c r="M194" s="10"/>
      <c r="N194" s="10"/>
      <c r="O194" s="34"/>
    </row>
    <row r="195" ht="15.75" customHeight="1">
      <c r="A195" s="32"/>
      <c r="B195" s="33"/>
      <c r="C195" s="10"/>
      <c r="D195" s="10"/>
      <c r="E195" s="10"/>
      <c r="F195" s="10"/>
      <c r="G195" s="10"/>
      <c r="H195" s="10"/>
      <c r="I195" s="10"/>
      <c r="J195" s="10"/>
      <c r="K195" s="10"/>
      <c r="L195" s="10"/>
      <c r="M195" s="10"/>
      <c r="N195" s="10"/>
      <c r="O195" s="34"/>
    </row>
    <row r="196" ht="15.75" customHeight="1">
      <c r="A196" s="32"/>
      <c r="B196" s="33"/>
      <c r="C196" s="10"/>
      <c r="D196" s="10"/>
      <c r="E196" s="10"/>
      <c r="F196" s="10"/>
      <c r="G196" s="10"/>
      <c r="H196" s="10"/>
      <c r="I196" s="10"/>
      <c r="J196" s="10"/>
      <c r="K196" s="10"/>
      <c r="L196" s="10"/>
      <c r="M196" s="10"/>
      <c r="N196" s="10"/>
      <c r="O196" s="34"/>
    </row>
    <row r="197" ht="15.75" customHeight="1">
      <c r="A197" s="32"/>
      <c r="B197" s="33"/>
      <c r="C197" s="10"/>
      <c r="D197" s="10"/>
      <c r="E197" s="10"/>
      <c r="F197" s="10"/>
      <c r="G197" s="10"/>
      <c r="H197" s="10"/>
      <c r="I197" s="10"/>
      <c r="J197" s="10"/>
      <c r="K197" s="10"/>
      <c r="L197" s="10"/>
      <c r="M197" s="10"/>
      <c r="N197" s="10"/>
      <c r="O197" s="34"/>
    </row>
    <row r="198" ht="15.75" customHeight="1">
      <c r="A198" s="32"/>
      <c r="B198" s="33"/>
      <c r="C198" s="10"/>
      <c r="D198" s="10"/>
      <c r="E198" s="10"/>
      <c r="F198" s="10"/>
      <c r="G198" s="10"/>
      <c r="H198" s="10"/>
      <c r="I198" s="10"/>
      <c r="J198" s="10"/>
      <c r="K198" s="10"/>
      <c r="L198" s="10"/>
      <c r="M198" s="10"/>
      <c r="N198" s="10"/>
      <c r="O198" s="34"/>
    </row>
    <row r="199" ht="15.75" customHeight="1">
      <c r="A199" s="32"/>
      <c r="B199" s="33"/>
      <c r="C199" s="10"/>
      <c r="D199" s="10"/>
      <c r="E199" s="10"/>
      <c r="F199" s="10"/>
      <c r="G199" s="10"/>
      <c r="H199" s="10"/>
      <c r="I199" s="10"/>
      <c r="J199" s="10"/>
      <c r="K199" s="10"/>
      <c r="L199" s="10"/>
      <c r="M199" s="10"/>
      <c r="N199" s="10"/>
      <c r="O199" s="34"/>
    </row>
    <row r="200" ht="15.75" customHeight="1">
      <c r="A200" s="32"/>
      <c r="B200" s="33"/>
      <c r="C200" s="10"/>
      <c r="D200" s="10"/>
      <c r="E200" s="10"/>
      <c r="F200" s="10"/>
      <c r="G200" s="10"/>
      <c r="H200" s="10"/>
      <c r="I200" s="10"/>
      <c r="J200" s="10"/>
      <c r="K200" s="10"/>
      <c r="L200" s="10"/>
      <c r="M200" s="10"/>
      <c r="N200" s="10"/>
      <c r="O200" s="34"/>
    </row>
    <row r="201" ht="15.75" customHeight="1">
      <c r="A201" s="32"/>
      <c r="B201" s="33"/>
      <c r="C201" s="10"/>
      <c r="D201" s="10"/>
      <c r="E201" s="10"/>
      <c r="F201" s="10"/>
      <c r="G201" s="10"/>
      <c r="H201" s="10"/>
      <c r="I201" s="10"/>
      <c r="J201" s="10"/>
      <c r="K201" s="10"/>
      <c r="L201" s="10"/>
      <c r="M201" s="10"/>
      <c r="N201" s="10"/>
      <c r="O201" s="34"/>
    </row>
    <row r="202" ht="15.75" customHeight="1">
      <c r="A202" s="32"/>
      <c r="B202" s="33"/>
      <c r="C202" s="10"/>
      <c r="D202" s="10"/>
      <c r="E202" s="10"/>
      <c r="F202" s="10"/>
      <c r="G202" s="10"/>
      <c r="H202" s="10"/>
      <c r="I202" s="10"/>
      <c r="J202" s="10"/>
      <c r="K202" s="10"/>
      <c r="L202" s="10"/>
      <c r="M202" s="10"/>
      <c r="N202" s="10"/>
      <c r="O202" s="34"/>
    </row>
    <row r="203" ht="15.75" customHeight="1">
      <c r="A203" s="32"/>
      <c r="B203" s="33"/>
      <c r="C203" s="10"/>
      <c r="D203" s="10"/>
      <c r="E203" s="10"/>
      <c r="F203" s="10"/>
      <c r="G203" s="10"/>
      <c r="H203" s="10"/>
      <c r="I203" s="10"/>
      <c r="J203" s="10"/>
      <c r="K203" s="10"/>
      <c r="L203" s="10"/>
      <c r="M203" s="10"/>
      <c r="N203" s="10"/>
      <c r="O203" s="34"/>
    </row>
    <row r="204" ht="15.75" customHeight="1">
      <c r="A204" s="32"/>
      <c r="B204" s="33"/>
      <c r="C204" s="10"/>
      <c r="D204" s="10"/>
      <c r="E204" s="10"/>
      <c r="F204" s="10"/>
      <c r="G204" s="10"/>
      <c r="H204" s="10"/>
      <c r="I204" s="10"/>
      <c r="J204" s="10"/>
      <c r="K204" s="10"/>
      <c r="L204" s="10"/>
      <c r="M204" s="10"/>
      <c r="N204" s="10"/>
      <c r="O204" s="34"/>
    </row>
    <row r="205" ht="15.75" customHeight="1">
      <c r="A205" s="32"/>
      <c r="B205" s="33"/>
      <c r="C205" s="10"/>
      <c r="D205" s="10"/>
      <c r="E205" s="10"/>
      <c r="F205" s="10"/>
      <c r="G205" s="10"/>
      <c r="H205" s="10"/>
      <c r="I205" s="10"/>
      <c r="J205" s="10"/>
      <c r="K205" s="10"/>
      <c r="L205" s="10"/>
      <c r="M205" s="10"/>
      <c r="N205" s="10"/>
      <c r="O205" s="34"/>
    </row>
    <row r="206" ht="15.75" customHeight="1">
      <c r="A206" s="32"/>
      <c r="B206" s="33"/>
      <c r="C206" s="10"/>
      <c r="D206" s="10"/>
      <c r="E206" s="10"/>
      <c r="F206" s="10"/>
      <c r="G206" s="10"/>
      <c r="H206" s="10"/>
      <c r="I206" s="10"/>
      <c r="J206" s="10"/>
      <c r="K206" s="10"/>
      <c r="L206" s="10"/>
      <c r="M206" s="10"/>
      <c r="N206" s="10"/>
      <c r="O206" s="34"/>
    </row>
    <row r="207" ht="15.75" customHeight="1">
      <c r="A207" s="32"/>
      <c r="B207" s="33"/>
      <c r="C207" s="10"/>
      <c r="D207" s="10"/>
      <c r="E207" s="10"/>
      <c r="F207" s="10"/>
      <c r="G207" s="10"/>
      <c r="H207" s="10"/>
      <c r="I207" s="10"/>
      <c r="J207" s="10"/>
      <c r="K207" s="10"/>
      <c r="L207" s="10"/>
      <c r="M207" s="10"/>
      <c r="N207" s="10"/>
      <c r="O207" s="34"/>
    </row>
    <row r="208" ht="15.75" customHeight="1">
      <c r="A208" s="32"/>
      <c r="B208" s="33"/>
      <c r="C208" s="10"/>
      <c r="D208" s="10"/>
      <c r="E208" s="10"/>
      <c r="F208" s="10"/>
      <c r="G208" s="10"/>
      <c r="H208" s="10"/>
      <c r="I208" s="10"/>
      <c r="J208" s="10"/>
      <c r="K208" s="10"/>
      <c r="L208" s="10"/>
      <c r="M208" s="10"/>
      <c r="N208" s="10"/>
      <c r="O208" s="34"/>
    </row>
    <row r="209" ht="15.75" customHeight="1">
      <c r="A209" s="32"/>
      <c r="B209" s="33"/>
      <c r="C209" s="10"/>
      <c r="D209" s="10"/>
      <c r="E209" s="10"/>
      <c r="F209" s="10"/>
      <c r="G209" s="10"/>
      <c r="H209" s="10"/>
      <c r="I209" s="10"/>
      <c r="J209" s="10"/>
      <c r="K209" s="10"/>
      <c r="L209" s="10"/>
      <c r="M209" s="10"/>
      <c r="N209" s="10"/>
      <c r="O209" s="34"/>
    </row>
    <row r="210" ht="15.75" customHeight="1">
      <c r="A210" s="32"/>
      <c r="B210" s="33"/>
      <c r="C210" s="10"/>
      <c r="D210" s="10"/>
      <c r="E210" s="10"/>
      <c r="F210" s="10"/>
      <c r="G210" s="10"/>
      <c r="H210" s="10"/>
      <c r="I210" s="10"/>
      <c r="J210" s="10"/>
      <c r="K210" s="10"/>
      <c r="L210" s="10"/>
      <c r="M210" s="10"/>
      <c r="N210" s="10"/>
      <c r="O210" s="34"/>
    </row>
    <row r="211" ht="15.75" customHeight="1">
      <c r="A211" s="32"/>
      <c r="B211" s="33"/>
      <c r="C211" s="10"/>
      <c r="D211" s="10"/>
      <c r="E211" s="10"/>
      <c r="F211" s="10"/>
      <c r="G211" s="10"/>
      <c r="H211" s="10"/>
      <c r="I211" s="10"/>
      <c r="J211" s="10"/>
      <c r="K211" s="10"/>
      <c r="L211" s="10"/>
      <c r="M211" s="10"/>
      <c r="N211" s="10"/>
      <c r="O211" s="34"/>
    </row>
    <row r="212" ht="15.75" customHeight="1">
      <c r="A212" s="32"/>
      <c r="B212" s="33"/>
      <c r="C212" s="10"/>
      <c r="D212" s="10"/>
      <c r="E212" s="10"/>
      <c r="F212" s="10"/>
      <c r="G212" s="10"/>
      <c r="H212" s="10"/>
      <c r="I212" s="10"/>
      <c r="J212" s="10"/>
      <c r="K212" s="10"/>
      <c r="L212" s="10"/>
      <c r="M212" s="10"/>
      <c r="N212" s="10"/>
      <c r="O212" s="34"/>
    </row>
    <row r="213" ht="15.75" customHeight="1">
      <c r="A213" s="32"/>
      <c r="B213" s="33"/>
      <c r="C213" s="10"/>
      <c r="D213" s="10"/>
      <c r="E213" s="10"/>
      <c r="F213" s="10"/>
      <c r="G213" s="10"/>
      <c r="H213" s="10"/>
      <c r="I213" s="10"/>
      <c r="J213" s="10"/>
      <c r="K213" s="10"/>
      <c r="L213" s="10"/>
      <c r="M213" s="10"/>
      <c r="N213" s="10"/>
      <c r="O213" s="34"/>
    </row>
    <row r="214" ht="15.75" customHeight="1">
      <c r="A214" s="32"/>
      <c r="B214" s="33"/>
      <c r="C214" s="10"/>
      <c r="D214" s="10"/>
      <c r="E214" s="10"/>
      <c r="F214" s="10"/>
      <c r="G214" s="10"/>
      <c r="H214" s="10"/>
      <c r="I214" s="10"/>
      <c r="J214" s="10"/>
      <c r="K214" s="10"/>
      <c r="L214" s="10"/>
      <c r="M214" s="10"/>
      <c r="N214" s="10"/>
      <c r="O214" s="34"/>
    </row>
    <row r="215" ht="15.75" customHeight="1">
      <c r="A215" s="32"/>
      <c r="B215" s="33"/>
      <c r="C215" s="10"/>
      <c r="D215" s="10"/>
      <c r="E215" s="10"/>
      <c r="F215" s="10"/>
      <c r="G215" s="10"/>
      <c r="H215" s="10"/>
      <c r="I215" s="10"/>
      <c r="J215" s="10"/>
      <c r="K215" s="10"/>
      <c r="L215" s="10"/>
      <c r="M215" s="10"/>
      <c r="N215" s="10"/>
      <c r="O215" s="34"/>
    </row>
    <row r="216" ht="15.75" customHeight="1">
      <c r="A216" s="32"/>
      <c r="B216" s="33"/>
      <c r="C216" s="10"/>
      <c r="D216" s="10"/>
      <c r="E216" s="10"/>
      <c r="F216" s="10"/>
      <c r="G216" s="10"/>
      <c r="H216" s="10"/>
      <c r="I216" s="10"/>
      <c r="J216" s="10"/>
      <c r="K216" s="10"/>
      <c r="L216" s="10"/>
      <c r="M216" s="10"/>
      <c r="N216" s="10"/>
      <c r="O216" s="34"/>
    </row>
    <row r="217" ht="15.75" customHeight="1">
      <c r="A217" s="32"/>
      <c r="B217" s="33"/>
      <c r="C217" s="10"/>
      <c r="D217" s="10"/>
      <c r="E217" s="10"/>
      <c r="F217" s="10"/>
      <c r="G217" s="10"/>
      <c r="H217" s="10"/>
      <c r="I217" s="10"/>
      <c r="J217" s="10"/>
      <c r="K217" s="10"/>
      <c r="L217" s="10"/>
      <c r="M217" s="10"/>
      <c r="N217" s="10"/>
      <c r="O217" s="34"/>
    </row>
    <row r="218" ht="15.75" customHeight="1">
      <c r="A218" s="32"/>
      <c r="B218" s="33"/>
      <c r="C218" s="10"/>
      <c r="D218" s="10"/>
      <c r="E218" s="10"/>
      <c r="F218" s="10"/>
      <c r="G218" s="10"/>
      <c r="H218" s="10"/>
      <c r="I218" s="10"/>
      <c r="J218" s="10"/>
      <c r="K218" s="10"/>
      <c r="L218" s="10"/>
      <c r="M218" s="10"/>
      <c r="N218" s="10"/>
      <c r="O218" s="34"/>
    </row>
    <row r="219" ht="15.75" customHeight="1">
      <c r="A219" s="32"/>
      <c r="B219" s="33"/>
      <c r="C219" s="10"/>
      <c r="D219" s="10"/>
      <c r="E219" s="10"/>
      <c r="F219" s="10"/>
      <c r="G219" s="10"/>
      <c r="H219" s="10"/>
      <c r="I219" s="10"/>
      <c r="J219" s="10"/>
      <c r="K219" s="10"/>
      <c r="L219" s="10"/>
      <c r="M219" s="10"/>
      <c r="N219" s="10"/>
      <c r="O219" s="34"/>
    </row>
    <row r="220" ht="15.75" customHeight="1">
      <c r="A220" s="32"/>
      <c r="B220" s="33"/>
      <c r="C220" s="10"/>
      <c r="D220" s="10"/>
      <c r="E220" s="10"/>
      <c r="F220" s="10"/>
      <c r="G220" s="10"/>
      <c r="H220" s="10"/>
      <c r="I220" s="10"/>
      <c r="J220" s="10"/>
      <c r="K220" s="10"/>
      <c r="L220" s="10"/>
      <c r="M220" s="10"/>
      <c r="N220" s="10"/>
      <c r="O220" s="34"/>
    </row>
    <row r="221" ht="15.75" customHeight="1">
      <c r="A221" s="32"/>
      <c r="B221" s="33"/>
      <c r="C221" s="10"/>
      <c r="D221" s="10"/>
      <c r="E221" s="10"/>
      <c r="F221" s="10"/>
      <c r="G221" s="10"/>
      <c r="H221" s="10"/>
      <c r="I221" s="10"/>
      <c r="J221" s="10"/>
      <c r="K221" s="10"/>
      <c r="L221" s="10"/>
      <c r="M221" s="10"/>
      <c r="N221" s="10"/>
      <c r="O221" s="34"/>
    </row>
    <row r="222" ht="15.75" customHeight="1">
      <c r="A222" s="32"/>
      <c r="B222" s="33"/>
      <c r="C222" s="10"/>
      <c r="D222" s="10"/>
      <c r="E222" s="10"/>
      <c r="F222" s="10"/>
      <c r="G222" s="10"/>
      <c r="H222" s="10"/>
      <c r="I222" s="10"/>
      <c r="J222" s="10"/>
      <c r="K222" s="10"/>
      <c r="L222" s="10"/>
      <c r="M222" s="10"/>
      <c r="N222" s="10"/>
      <c r="O222" s="34"/>
    </row>
    <row r="223" ht="15.75" customHeight="1">
      <c r="A223" s="32"/>
      <c r="B223" s="33"/>
      <c r="C223" s="10"/>
      <c r="D223" s="10"/>
      <c r="E223" s="10"/>
      <c r="F223" s="10"/>
      <c r="G223" s="10"/>
      <c r="H223" s="10"/>
      <c r="I223" s="10"/>
      <c r="J223" s="10"/>
      <c r="K223" s="10"/>
      <c r="L223" s="10"/>
      <c r="M223" s="10"/>
      <c r="N223" s="10"/>
      <c r="O223" s="34"/>
    </row>
    <row r="224" ht="15.75" customHeight="1">
      <c r="A224" s="32"/>
      <c r="B224" s="33"/>
      <c r="C224" s="10"/>
      <c r="D224" s="10"/>
      <c r="E224" s="10"/>
      <c r="F224" s="10"/>
      <c r="G224" s="10"/>
      <c r="H224" s="10"/>
      <c r="I224" s="10"/>
      <c r="J224" s="10"/>
      <c r="K224" s="10"/>
      <c r="L224" s="10"/>
      <c r="M224" s="10"/>
      <c r="N224" s="10"/>
      <c r="O224" s="34"/>
    </row>
    <row r="225" ht="15.75" customHeight="1">
      <c r="A225" s="32"/>
      <c r="B225" s="33"/>
      <c r="C225" s="10"/>
      <c r="D225" s="10"/>
      <c r="E225" s="10"/>
      <c r="F225" s="10"/>
      <c r="G225" s="10"/>
      <c r="H225" s="10"/>
      <c r="I225" s="10"/>
      <c r="J225" s="10"/>
      <c r="K225" s="10"/>
      <c r="L225" s="10"/>
      <c r="M225" s="10"/>
      <c r="N225" s="10"/>
      <c r="O225" s="34"/>
    </row>
    <row r="226" ht="15.75" customHeight="1">
      <c r="A226" s="32"/>
      <c r="B226" s="33"/>
      <c r="C226" s="10"/>
      <c r="D226" s="10"/>
      <c r="E226" s="10"/>
      <c r="F226" s="10"/>
      <c r="G226" s="10"/>
      <c r="H226" s="10"/>
      <c r="I226" s="10"/>
      <c r="J226" s="10"/>
      <c r="K226" s="10"/>
      <c r="L226" s="10"/>
      <c r="M226" s="10"/>
      <c r="N226" s="10"/>
      <c r="O226" s="34"/>
    </row>
    <row r="227" ht="15.75" customHeight="1">
      <c r="A227" s="32"/>
      <c r="B227" s="33"/>
      <c r="C227" s="10"/>
      <c r="D227" s="10"/>
      <c r="E227" s="10"/>
      <c r="F227" s="10"/>
      <c r="G227" s="10"/>
      <c r="H227" s="10"/>
      <c r="I227" s="10"/>
      <c r="J227" s="10"/>
      <c r="K227" s="10"/>
      <c r="L227" s="10"/>
      <c r="M227" s="10"/>
      <c r="N227" s="10"/>
      <c r="O227" s="34"/>
    </row>
    <row r="228" ht="15.75" customHeight="1">
      <c r="A228" s="32"/>
      <c r="B228" s="33"/>
      <c r="C228" s="10"/>
      <c r="D228" s="10"/>
      <c r="E228" s="10"/>
      <c r="F228" s="10"/>
      <c r="G228" s="10"/>
      <c r="H228" s="10"/>
      <c r="I228" s="10"/>
      <c r="J228" s="10"/>
      <c r="K228" s="10"/>
      <c r="L228" s="10"/>
      <c r="M228" s="10"/>
      <c r="N228" s="10"/>
      <c r="O228" s="34"/>
    </row>
    <row r="229" ht="15.75" customHeight="1">
      <c r="A229" s="32"/>
      <c r="B229" s="33"/>
      <c r="C229" s="10"/>
      <c r="D229" s="10"/>
      <c r="E229" s="10"/>
      <c r="F229" s="10"/>
      <c r="G229" s="10"/>
      <c r="H229" s="10"/>
      <c r="I229" s="10"/>
      <c r="J229" s="10"/>
      <c r="K229" s="10"/>
      <c r="L229" s="10"/>
      <c r="M229" s="10"/>
      <c r="N229" s="10"/>
      <c r="O229" s="34"/>
    </row>
    <row r="230" ht="15.75" customHeight="1">
      <c r="A230" s="32"/>
      <c r="B230" s="33"/>
      <c r="C230" s="10"/>
      <c r="D230" s="10"/>
      <c r="E230" s="10"/>
      <c r="F230" s="10"/>
      <c r="G230" s="10"/>
      <c r="H230" s="10"/>
      <c r="I230" s="10"/>
      <c r="J230" s="10"/>
      <c r="K230" s="10"/>
      <c r="L230" s="10"/>
      <c r="M230" s="10"/>
      <c r="N230" s="10"/>
      <c r="O230" s="34"/>
    </row>
    <row r="231" ht="15.75" customHeight="1">
      <c r="A231" s="32"/>
      <c r="B231" s="33"/>
      <c r="C231" s="10"/>
      <c r="D231" s="10"/>
      <c r="E231" s="10"/>
      <c r="F231" s="10"/>
      <c r="G231" s="10"/>
      <c r="H231" s="10"/>
      <c r="I231" s="10"/>
      <c r="J231" s="10"/>
      <c r="K231" s="10"/>
      <c r="L231" s="10"/>
      <c r="M231" s="10"/>
      <c r="N231" s="10"/>
      <c r="O231" s="34"/>
    </row>
    <row r="232" ht="15.75" customHeight="1">
      <c r="A232" s="32"/>
      <c r="B232" s="33"/>
      <c r="C232" s="10"/>
      <c r="D232" s="10"/>
      <c r="E232" s="10"/>
      <c r="F232" s="10"/>
      <c r="G232" s="10"/>
      <c r="H232" s="10"/>
      <c r="I232" s="10"/>
      <c r="J232" s="10"/>
      <c r="K232" s="10"/>
      <c r="L232" s="10"/>
      <c r="M232" s="10"/>
      <c r="N232" s="10"/>
      <c r="O232" s="34"/>
    </row>
    <row r="233" ht="15.75" customHeight="1">
      <c r="A233" s="32"/>
      <c r="B233" s="33"/>
      <c r="C233" s="10"/>
      <c r="D233" s="10"/>
      <c r="E233" s="10"/>
      <c r="F233" s="10"/>
      <c r="G233" s="10"/>
      <c r="H233" s="10"/>
      <c r="I233" s="10"/>
      <c r="J233" s="10"/>
      <c r="K233" s="10"/>
      <c r="L233" s="10"/>
      <c r="M233" s="10"/>
      <c r="N233" s="10"/>
      <c r="O233" s="34"/>
    </row>
    <row r="234" ht="15.75" customHeight="1">
      <c r="A234" s="32"/>
      <c r="B234" s="33"/>
      <c r="C234" s="10"/>
      <c r="D234" s="10"/>
      <c r="E234" s="10"/>
      <c r="F234" s="10"/>
      <c r="G234" s="10"/>
      <c r="H234" s="10"/>
      <c r="I234" s="10"/>
      <c r="J234" s="10"/>
      <c r="K234" s="10"/>
      <c r="L234" s="10"/>
      <c r="M234" s="10"/>
      <c r="N234" s="10"/>
      <c r="O234" s="34"/>
    </row>
    <row r="235" ht="15.75" customHeight="1">
      <c r="A235" s="32"/>
      <c r="B235" s="33"/>
      <c r="C235" s="10"/>
      <c r="D235" s="10"/>
      <c r="E235" s="10"/>
      <c r="F235" s="10"/>
      <c r="G235" s="10"/>
      <c r="H235" s="10"/>
      <c r="I235" s="10"/>
      <c r="J235" s="10"/>
      <c r="K235" s="10"/>
      <c r="L235" s="10"/>
      <c r="M235" s="10"/>
      <c r="N235" s="10"/>
      <c r="O235" s="34"/>
    </row>
    <row r="236" ht="15.75" customHeight="1">
      <c r="A236" s="32"/>
      <c r="B236" s="33"/>
      <c r="C236" s="10"/>
      <c r="D236" s="10"/>
      <c r="E236" s="10"/>
      <c r="F236" s="10"/>
      <c r="G236" s="10"/>
      <c r="H236" s="10"/>
      <c r="I236" s="10"/>
      <c r="J236" s="10"/>
      <c r="K236" s="10"/>
      <c r="L236" s="10"/>
      <c r="M236" s="10"/>
      <c r="N236" s="10"/>
      <c r="O236" s="34"/>
    </row>
    <row r="237" ht="15.75" customHeight="1">
      <c r="A237" s="32"/>
      <c r="B237" s="33"/>
      <c r="C237" s="10"/>
      <c r="D237" s="10"/>
      <c r="E237" s="10"/>
      <c r="F237" s="10"/>
      <c r="G237" s="10"/>
      <c r="H237" s="10"/>
      <c r="I237" s="10"/>
      <c r="J237" s="10"/>
      <c r="K237" s="10"/>
      <c r="L237" s="10"/>
      <c r="M237" s="10"/>
      <c r="N237" s="10"/>
      <c r="O237" s="34"/>
    </row>
    <row r="238" ht="15.75" customHeight="1">
      <c r="A238" s="32"/>
      <c r="B238" s="33"/>
      <c r="C238" s="10"/>
      <c r="D238" s="10"/>
      <c r="E238" s="10"/>
      <c r="F238" s="10"/>
      <c r="G238" s="10"/>
      <c r="H238" s="10"/>
      <c r="I238" s="10"/>
      <c r="J238" s="10"/>
      <c r="K238" s="10"/>
      <c r="L238" s="10"/>
      <c r="M238" s="10"/>
      <c r="N238" s="10"/>
      <c r="O238" s="34"/>
    </row>
    <row r="239" ht="15.75" customHeight="1">
      <c r="A239" s="32"/>
      <c r="B239" s="33"/>
      <c r="C239" s="10"/>
      <c r="D239" s="10"/>
      <c r="E239" s="10"/>
      <c r="F239" s="10"/>
      <c r="G239" s="10"/>
      <c r="H239" s="10"/>
      <c r="I239" s="10"/>
      <c r="J239" s="10"/>
      <c r="K239" s="10"/>
      <c r="L239" s="10"/>
      <c r="M239" s="10"/>
      <c r="N239" s="10"/>
      <c r="O239" s="34"/>
    </row>
    <row r="240" ht="15.75" customHeight="1">
      <c r="A240" s="32"/>
      <c r="B240" s="33"/>
      <c r="C240" s="10"/>
      <c r="D240" s="10"/>
      <c r="E240" s="10"/>
      <c r="F240" s="10"/>
      <c r="G240" s="10"/>
      <c r="H240" s="10"/>
      <c r="I240" s="10"/>
      <c r="J240" s="10"/>
      <c r="K240" s="10"/>
      <c r="L240" s="10"/>
      <c r="M240" s="10"/>
      <c r="N240" s="10"/>
      <c r="O240" s="34"/>
    </row>
    <row r="241" ht="15.75" customHeight="1">
      <c r="A241" s="32"/>
      <c r="B241" s="33"/>
      <c r="C241" s="10"/>
      <c r="D241" s="10"/>
      <c r="E241" s="10"/>
      <c r="F241" s="10"/>
      <c r="G241" s="10"/>
      <c r="H241" s="10"/>
      <c r="I241" s="10"/>
      <c r="J241" s="10"/>
      <c r="K241" s="10"/>
      <c r="L241" s="10"/>
      <c r="M241" s="10"/>
      <c r="N241" s="10"/>
      <c r="O241" s="34"/>
    </row>
    <row r="242" ht="15.75" customHeight="1">
      <c r="A242" s="32"/>
      <c r="B242" s="33"/>
      <c r="C242" s="10"/>
      <c r="D242" s="10"/>
      <c r="E242" s="10"/>
      <c r="F242" s="10"/>
      <c r="G242" s="10"/>
      <c r="H242" s="10"/>
      <c r="I242" s="10"/>
      <c r="J242" s="10"/>
      <c r="K242" s="10"/>
      <c r="L242" s="10"/>
      <c r="M242" s="10"/>
      <c r="N242" s="10"/>
      <c r="O242" s="34"/>
    </row>
    <row r="243" ht="15.75" customHeight="1">
      <c r="A243" s="32"/>
      <c r="B243" s="33"/>
      <c r="C243" s="10"/>
      <c r="D243" s="10"/>
      <c r="E243" s="10"/>
      <c r="F243" s="10"/>
      <c r="G243" s="10"/>
      <c r="H243" s="10"/>
      <c r="I243" s="10"/>
      <c r="J243" s="10"/>
      <c r="K243" s="10"/>
      <c r="L243" s="10"/>
      <c r="M243" s="10"/>
      <c r="N243" s="10"/>
      <c r="O243" s="34"/>
    </row>
    <row r="244" ht="15.75" customHeight="1">
      <c r="A244" s="32"/>
      <c r="B244" s="33"/>
      <c r="C244" s="10"/>
      <c r="D244" s="10"/>
      <c r="E244" s="10"/>
      <c r="F244" s="10"/>
      <c r="G244" s="10"/>
      <c r="H244" s="10"/>
      <c r="I244" s="10"/>
      <c r="J244" s="10"/>
      <c r="K244" s="10"/>
      <c r="L244" s="10"/>
      <c r="M244" s="10"/>
      <c r="N244" s="10"/>
      <c r="O244" s="34"/>
    </row>
    <row r="245" ht="15.75" customHeight="1">
      <c r="A245" s="32"/>
      <c r="B245" s="33"/>
      <c r="C245" s="10"/>
      <c r="D245" s="10"/>
      <c r="E245" s="10"/>
      <c r="F245" s="10"/>
      <c r="G245" s="10"/>
      <c r="H245" s="10"/>
      <c r="I245" s="10"/>
      <c r="J245" s="10"/>
      <c r="K245" s="10"/>
      <c r="L245" s="10"/>
      <c r="M245" s="10"/>
      <c r="N245" s="10"/>
      <c r="O245" s="34"/>
    </row>
    <row r="246" ht="15.75" customHeight="1">
      <c r="A246" s="32"/>
      <c r="B246" s="33"/>
      <c r="C246" s="10"/>
      <c r="D246" s="10"/>
      <c r="E246" s="10"/>
      <c r="F246" s="10"/>
      <c r="G246" s="10"/>
      <c r="H246" s="10"/>
      <c r="I246" s="10"/>
      <c r="J246" s="10"/>
      <c r="K246" s="10"/>
      <c r="L246" s="10"/>
      <c r="M246" s="10"/>
      <c r="N246" s="10"/>
      <c r="O246" s="34"/>
    </row>
    <row r="247" ht="15.75" customHeight="1">
      <c r="A247" s="32"/>
      <c r="B247" s="33"/>
      <c r="C247" s="10"/>
      <c r="D247" s="10"/>
      <c r="E247" s="10"/>
      <c r="F247" s="10"/>
      <c r="G247" s="10"/>
      <c r="H247" s="10"/>
      <c r="I247" s="10"/>
      <c r="J247" s="10"/>
      <c r="K247" s="10"/>
      <c r="L247" s="10"/>
      <c r="M247" s="10"/>
      <c r="N247" s="10"/>
      <c r="O247" s="34"/>
    </row>
    <row r="248" ht="15.75" customHeight="1">
      <c r="A248" s="32"/>
      <c r="B248" s="33"/>
      <c r="C248" s="10"/>
      <c r="D248" s="10"/>
      <c r="E248" s="10"/>
      <c r="F248" s="10"/>
      <c r="G248" s="10"/>
      <c r="H248" s="10"/>
      <c r="I248" s="10"/>
      <c r="J248" s="10"/>
      <c r="K248" s="10"/>
      <c r="L248" s="10"/>
      <c r="M248" s="10"/>
      <c r="N248" s="10"/>
      <c r="O248" s="34"/>
    </row>
    <row r="249" ht="15.75" customHeight="1">
      <c r="A249" s="32"/>
      <c r="B249" s="33"/>
      <c r="C249" s="10"/>
      <c r="D249" s="10"/>
      <c r="E249" s="10"/>
      <c r="F249" s="10"/>
      <c r="G249" s="10"/>
      <c r="H249" s="10"/>
      <c r="I249" s="10"/>
      <c r="J249" s="10"/>
      <c r="K249" s="10"/>
      <c r="L249" s="10"/>
      <c r="M249" s="10"/>
      <c r="N249" s="10"/>
      <c r="O249" s="34"/>
    </row>
    <row r="250" ht="15.75" customHeight="1">
      <c r="A250" s="32"/>
      <c r="B250" s="33"/>
      <c r="C250" s="10"/>
      <c r="D250" s="10"/>
      <c r="E250" s="10"/>
      <c r="F250" s="10"/>
      <c r="G250" s="10"/>
      <c r="H250" s="10"/>
      <c r="I250" s="10"/>
      <c r="J250" s="10"/>
      <c r="K250" s="10"/>
      <c r="L250" s="10"/>
      <c r="M250" s="10"/>
      <c r="N250" s="10"/>
      <c r="O250" s="34"/>
    </row>
    <row r="251" ht="15.75" customHeight="1">
      <c r="A251" s="32"/>
      <c r="B251" s="33"/>
      <c r="C251" s="10"/>
      <c r="D251" s="10"/>
      <c r="E251" s="10"/>
      <c r="F251" s="10"/>
      <c r="G251" s="10"/>
      <c r="H251" s="10"/>
      <c r="I251" s="10"/>
      <c r="J251" s="10"/>
      <c r="K251" s="10"/>
      <c r="L251" s="10"/>
      <c r="M251" s="10"/>
      <c r="N251" s="10"/>
      <c r="O251" s="34"/>
    </row>
    <row r="252" ht="15.75" customHeight="1">
      <c r="A252" s="32"/>
      <c r="B252" s="33"/>
      <c r="C252" s="10"/>
      <c r="D252" s="10"/>
      <c r="E252" s="10"/>
      <c r="F252" s="10"/>
      <c r="G252" s="10"/>
      <c r="H252" s="10"/>
      <c r="I252" s="10"/>
      <c r="J252" s="10"/>
      <c r="K252" s="10"/>
      <c r="L252" s="10"/>
      <c r="M252" s="10"/>
      <c r="N252" s="10"/>
      <c r="O252" s="34"/>
    </row>
    <row r="253" ht="15.75" customHeight="1">
      <c r="A253" s="32"/>
      <c r="B253" s="33"/>
      <c r="C253" s="10"/>
      <c r="D253" s="10"/>
      <c r="E253" s="10"/>
      <c r="F253" s="10"/>
      <c r="G253" s="10"/>
      <c r="H253" s="10"/>
      <c r="I253" s="10"/>
      <c r="J253" s="10"/>
      <c r="K253" s="10"/>
      <c r="L253" s="10"/>
      <c r="M253" s="10"/>
      <c r="N253" s="10"/>
      <c r="O253" s="34"/>
    </row>
    <row r="254" ht="15.75" customHeight="1">
      <c r="A254" s="32"/>
      <c r="B254" s="33"/>
      <c r="C254" s="10"/>
      <c r="D254" s="10"/>
      <c r="E254" s="10"/>
      <c r="F254" s="10"/>
      <c r="G254" s="10"/>
      <c r="H254" s="10"/>
      <c r="I254" s="10"/>
      <c r="J254" s="10"/>
      <c r="K254" s="10"/>
      <c r="L254" s="10"/>
      <c r="M254" s="10"/>
      <c r="N254" s="10"/>
      <c r="O254" s="34"/>
    </row>
    <row r="255" ht="15.75" customHeight="1">
      <c r="A255" s="32"/>
      <c r="B255" s="33"/>
      <c r="C255" s="10"/>
      <c r="D255" s="10"/>
      <c r="E255" s="10"/>
      <c r="F255" s="10"/>
      <c r="G255" s="10"/>
      <c r="H255" s="10"/>
      <c r="I255" s="10"/>
      <c r="J255" s="10"/>
      <c r="K255" s="10"/>
      <c r="L255" s="10"/>
      <c r="M255" s="10"/>
      <c r="N255" s="10"/>
      <c r="O255" s="34"/>
    </row>
    <row r="256" ht="15.75" customHeight="1">
      <c r="A256" s="32"/>
      <c r="B256" s="33"/>
      <c r="C256" s="10"/>
      <c r="D256" s="10"/>
      <c r="E256" s="10"/>
      <c r="F256" s="10"/>
      <c r="G256" s="10"/>
      <c r="H256" s="10"/>
      <c r="I256" s="10"/>
      <c r="J256" s="10"/>
      <c r="K256" s="10"/>
      <c r="L256" s="10"/>
      <c r="M256" s="10"/>
      <c r="N256" s="10"/>
      <c r="O256" s="34"/>
    </row>
    <row r="257" ht="15.75" customHeight="1">
      <c r="A257" s="32"/>
      <c r="B257" s="33"/>
      <c r="C257" s="10"/>
      <c r="D257" s="10"/>
      <c r="E257" s="10"/>
      <c r="F257" s="10"/>
      <c r="G257" s="10"/>
      <c r="H257" s="10"/>
      <c r="I257" s="10"/>
      <c r="J257" s="10"/>
      <c r="K257" s="10"/>
      <c r="L257" s="10"/>
      <c r="M257" s="10"/>
      <c r="N257" s="10"/>
      <c r="O257" s="34"/>
    </row>
    <row r="258" ht="15.75" customHeight="1">
      <c r="A258" s="32"/>
      <c r="B258" s="33"/>
      <c r="C258" s="10"/>
      <c r="D258" s="10"/>
      <c r="E258" s="10"/>
      <c r="F258" s="10"/>
      <c r="G258" s="10"/>
      <c r="H258" s="10"/>
      <c r="I258" s="10"/>
      <c r="J258" s="10"/>
      <c r="K258" s="10"/>
      <c r="L258" s="10"/>
      <c r="M258" s="10"/>
      <c r="N258" s="10"/>
      <c r="O258" s="34"/>
    </row>
    <row r="259" ht="15.75" customHeight="1">
      <c r="A259" s="32"/>
      <c r="B259" s="33"/>
      <c r="C259" s="10"/>
      <c r="D259" s="10"/>
      <c r="E259" s="10"/>
      <c r="F259" s="10"/>
      <c r="G259" s="10"/>
      <c r="H259" s="10"/>
      <c r="I259" s="10"/>
      <c r="J259" s="10"/>
      <c r="K259" s="10"/>
      <c r="L259" s="10"/>
      <c r="M259" s="10"/>
      <c r="N259" s="10"/>
      <c r="O259" s="34"/>
    </row>
    <row r="260" ht="15.75" customHeight="1">
      <c r="A260" s="32"/>
      <c r="B260" s="33"/>
      <c r="C260" s="10"/>
      <c r="D260" s="10"/>
      <c r="E260" s="10"/>
      <c r="F260" s="10"/>
      <c r="G260" s="10"/>
      <c r="H260" s="10"/>
      <c r="I260" s="10"/>
      <c r="J260" s="10"/>
      <c r="K260" s="10"/>
      <c r="L260" s="10"/>
      <c r="M260" s="10"/>
      <c r="N260" s="10"/>
      <c r="O260" s="34"/>
    </row>
    <row r="261" ht="15.75" customHeight="1">
      <c r="A261" s="32"/>
      <c r="B261" s="33"/>
      <c r="C261" s="10"/>
      <c r="D261" s="10"/>
      <c r="E261" s="10"/>
      <c r="F261" s="10"/>
      <c r="G261" s="10"/>
      <c r="H261" s="10"/>
      <c r="I261" s="10"/>
      <c r="J261" s="10"/>
      <c r="K261" s="10"/>
      <c r="L261" s="10"/>
      <c r="M261" s="10"/>
      <c r="N261" s="10"/>
      <c r="O261" s="34"/>
    </row>
    <row r="262" ht="15.75" customHeight="1">
      <c r="A262" s="32"/>
      <c r="B262" s="33"/>
      <c r="C262" s="10"/>
      <c r="D262" s="10"/>
      <c r="E262" s="10"/>
      <c r="F262" s="10"/>
      <c r="G262" s="10"/>
      <c r="H262" s="10"/>
      <c r="I262" s="10"/>
      <c r="J262" s="10"/>
      <c r="K262" s="10"/>
      <c r="L262" s="10"/>
      <c r="M262" s="10"/>
      <c r="N262" s="10"/>
      <c r="O262" s="34"/>
    </row>
    <row r="263" ht="15.75" customHeight="1">
      <c r="A263" s="32"/>
      <c r="B263" s="33"/>
      <c r="C263" s="10"/>
      <c r="D263" s="10"/>
      <c r="E263" s="10"/>
      <c r="F263" s="10"/>
      <c r="G263" s="10"/>
      <c r="H263" s="10"/>
      <c r="I263" s="10"/>
      <c r="J263" s="10"/>
      <c r="K263" s="10"/>
      <c r="L263" s="10"/>
      <c r="M263" s="10"/>
      <c r="N263" s="10"/>
      <c r="O263" s="34"/>
    </row>
    <row r="264" ht="15.75" customHeight="1">
      <c r="A264" s="32"/>
      <c r="B264" s="33"/>
      <c r="C264" s="10"/>
      <c r="D264" s="10"/>
      <c r="E264" s="10"/>
      <c r="F264" s="10"/>
      <c r="G264" s="10"/>
      <c r="H264" s="10"/>
      <c r="I264" s="10"/>
      <c r="J264" s="10"/>
      <c r="K264" s="10"/>
      <c r="L264" s="10"/>
      <c r="M264" s="10"/>
      <c r="N264" s="10"/>
      <c r="O264" s="34"/>
    </row>
    <row r="265" ht="15.75" customHeight="1">
      <c r="A265" s="32"/>
      <c r="B265" s="33"/>
      <c r="C265" s="10"/>
      <c r="D265" s="10"/>
      <c r="E265" s="10"/>
      <c r="F265" s="10"/>
      <c r="G265" s="10"/>
      <c r="H265" s="10"/>
      <c r="I265" s="10"/>
      <c r="J265" s="10"/>
      <c r="K265" s="10"/>
      <c r="L265" s="10"/>
      <c r="M265" s="10"/>
      <c r="N265" s="10"/>
      <c r="O265" s="34"/>
    </row>
    <row r="266" ht="15.75" customHeight="1">
      <c r="A266" s="32"/>
      <c r="B266" s="33"/>
      <c r="C266" s="10"/>
      <c r="D266" s="10"/>
      <c r="E266" s="10"/>
      <c r="F266" s="10"/>
      <c r="G266" s="10"/>
      <c r="H266" s="10"/>
      <c r="I266" s="10"/>
      <c r="J266" s="10"/>
      <c r="K266" s="10"/>
      <c r="L266" s="10"/>
      <c r="M266" s="10"/>
      <c r="N266" s="10"/>
      <c r="O266" s="34"/>
    </row>
    <row r="267" ht="15.75" customHeight="1">
      <c r="A267" s="32"/>
      <c r="B267" s="33"/>
      <c r="C267" s="10"/>
      <c r="D267" s="10"/>
      <c r="E267" s="10"/>
      <c r="F267" s="10"/>
      <c r="G267" s="10"/>
      <c r="H267" s="10"/>
      <c r="I267" s="10"/>
      <c r="J267" s="10"/>
      <c r="K267" s="10"/>
      <c r="L267" s="10"/>
      <c r="M267" s="10"/>
      <c r="N267" s="10"/>
      <c r="O267" s="34"/>
    </row>
    <row r="268" ht="15.75" customHeight="1">
      <c r="A268" s="32"/>
      <c r="B268" s="33"/>
      <c r="C268" s="10"/>
      <c r="D268" s="10"/>
      <c r="E268" s="10"/>
      <c r="F268" s="10"/>
      <c r="G268" s="10"/>
      <c r="H268" s="10"/>
      <c r="I268" s="10"/>
      <c r="J268" s="10"/>
      <c r="K268" s="10"/>
      <c r="L268" s="10"/>
      <c r="M268" s="10"/>
      <c r="N268" s="10"/>
      <c r="O268" s="34"/>
    </row>
    <row r="269" ht="15.75" customHeight="1">
      <c r="A269" s="32"/>
      <c r="B269" s="33"/>
      <c r="C269" s="10"/>
      <c r="D269" s="10"/>
      <c r="E269" s="10"/>
      <c r="F269" s="10"/>
      <c r="G269" s="10"/>
      <c r="H269" s="10"/>
      <c r="I269" s="10"/>
      <c r="J269" s="10"/>
      <c r="K269" s="10"/>
      <c r="L269" s="10"/>
      <c r="M269" s="10"/>
      <c r="N269" s="10"/>
      <c r="O269" s="34"/>
    </row>
    <row r="270" ht="15.75" customHeight="1">
      <c r="A270" s="32"/>
      <c r="B270" s="33"/>
      <c r="C270" s="10"/>
      <c r="D270" s="10"/>
      <c r="E270" s="10"/>
      <c r="F270" s="10"/>
      <c r="G270" s="10"/>
      <c r="H270" s="10"/>
      <c r="I270" s="10"/>
      <c r="J270" s="10"/>
      <c r="K270" s="10"/>
      <c r="L270" s="10"/>
      <c r="M270" s="10"/>
      <c r="N270" s="10"/>
      <c r="O270" s="34"/>
    </row>
    <row r="271" ht="15.75" customHeight="1">
      <c r="A271" s="32"/>
      <c r="B271" s="33"/>
      <c r="C271" s="10"/>
      <c r="D271" s="10"/>
      <c r="E271" s="10"/>
      <c r="F271" s="10"/>
      <c r="G271" s="10"/>
      <c r="H271" s="10"/>
      <c r="I271" s="10"/>
      <c r="J271" s="10"/>
      <c r="K271" s="10"/>
      <c r="L271" s="10"/>
      <c r="M271" s="10"/>
      <c r="N271" s="10"/>
      <c r="O271" s="34"/>
    </row>
    <row r="272" ht="15.75" customHeight="1">
      <c r="A272" s="32"/>
      <c r="B272" s="33"/>
      <c r="C272" s="10"/>
      <c r="D272" s="10"/>
      <c r="E272" s="10"/>
      <c r="F272" s="10"/>
      <c r="G272" s="10"/>
      <c r="H272" s="10"/>
      <c r="I272" s="10"/>
      <c r="J272" s="10"/>
      <c r="K272" s="10"/>
      <c r="L272" s="10"/>
      <c r="M272" s="10"/>
      <c r="N272" s="10"/>
      <c r="O272" s="34"/>
    </row>
    <row r="273" ht="15.75" customHeight="1">
      <c r="A273" s="32"/>
      <c r="B273" s="33"/>
      <c r="C273" s="10"/>
      <c r="D273" s="10"/>
      <c r="E273" s="10"/>
      <c r="F273" s="10"/>
      <c r="G273" s="10"/>
      <c r="H273" s="10"/>
      <c r="I273" s="10"/>
      <c r="J273" s="10"/>
      <c r="K273" s="10"/>
      <c r="L273" s="10"/>
      <c r="M273" s="10"/>
      <c r="N273" s="10"/>
      <c r="O273" s="34"/>
    </row>
    <row r="274" ht="15.75" customHeight="1">
      <c r="A274" s="32"/>
      <c r="B274" s="33"/>
      <c r="C274" s="10"/>
      <c r="D274" s="10"/>
      <c r="E274" s="10"/>
      <c r="F274" s="10"/>
      <c r="G274" s="10"/>
      <c r="H274" s="10"/>
      <c r="I274" s="10"/>
      <c r="J274" s="10"/>
      <c r="K274" s="10"/>
      <c r="L274" s="10"/>
      <c r="M274" s="10"/>
      <c r="N274" s="10"/>
      <c r="O274" s="34"/>
    </row>
    <row r="275" ht="15.75" customHeight="1">
      <c r="A275" s="32"/>
      <c r="B275" s="33"/>
      <c r="C275" s="10"/>
      <c r="D275" s="10"/>
      <c r="E275" s="10"/>
      <c r="F275" s="10"/>
      <c r="G275" s="10"/>
      <c r="H275" s="10"/>
      <c r="I275" s="10"/>
      <c r="J275" s="10"/>
      <c r="K275" s="10"/>
      <c r="L275" s="10"/>
      <c r="M275" s="10"/>
      <c r="N275" s="10"/>
      <c r="O275" s="34"/>
    </row>
    <row r="276" ht="15.75" customHeight="1">
      <c r="A276" s="32"/>
      <c r="B276" s="33"/>
      <c r="C276" s="10"/>
      <c r="D276" s="10"/>
      <c r="E276" s="10"/>
      <c r="F276" s="10"/>
      <c r="G276" s="10"/>
      <c r="H276" s="10"/>
      <c r="I276" s="10"/>
      <c r="J276" s="10"/>
      <c r="K276" s="10"/>
      <c r="L276" s="10"/>
      <c r="M276" s="10"/>
      <c r="N276" s="10"/>
      <c r="O276" s="34"/>
    </row>
    <row r="277" ht="15.75" customHeight="1">
      <c r="A277" s="32"/>
      <c r="B277" s="33"/>
      <c r="C277" s="10"/>
      <c r="D277" s="10"/>
      <c r="E277" s="10"/>
      <c r="F277" s="10"/>
      <c r="G277" s="10"/>
      <c r="H277" s="10"/>
      <c r="I277" s="10"/>
      <c r="J277" s="10"/>
      <c r="K277" s="10"/>
      <c r="L277" s="10"/>
      <c r="M277" s="10"/>
      <c r="N277" s="10"/>
      <c r="O277" s="34"/>
    </row>
    <row r="278" ht="15.75" customHeight="1">
      <c r="A278" s="32"/>
      <c r="B278" s="33"/>
      <c r="C278" s="10"/>
      <c r="D278" s="10"/>
      <c r="E278" s="10"/>
      <c r="F278" s="10"/>
      <c r="G278" s="10"/>
      <c r="H278" s="10"/>
      <c r="I278" s="10"/>
      <c r="J278" s="10"/>
      <c r="K278" s="10"/>
      <c r="L278" s="10"/>
      <c r="M278" s="10"/>
      <c r="N278" s="10"/>
      <c r="O278" s="34"/>
    </row>
    <row r="279" ht="15.75" customHeight="1">
      <c r="A279" s="32"/>
      <c r="B279" s="33"/>
      <c r="C279" s="10"/>
      <c r="D279" s="10"/>
      <c r="E279" s="10"/>
      <c r="F279" s="10"/>
      <c r="G279" s="10"/>
      <c r="H279" s="10"/>
      <c r="I279" s="10"/>
      <c r="J279" s="10"/>
      <c r="K279" s="10"/>
      <c r="L279" s="10"/>
      <c r="M279" s="10"/>
      <c r="N279" s="10"/>
      <c r="O279" s="34"/>
    </row>
    <row r="280" ht="15.75" customHeight="1">
      <c r="A280" s="32"/>
      <c r="B280" s="33"/>
      <c r="C280" s="10"/>
      <c r="D280" s="10"/>
      <c r="E280" s="10"/>
      <c r="F280" s="10"/>
      <c r="G280" s="10"/>
      <c r="H280" s="10"/>
      <c r="I280" s="10"/>
      <c r="J280" s="10"/>
      <c r="K280" s="10"/>
      <c r="L280" s="10"/>
      <c r="M280" s="10"/>
      <c r="N280" s="10"/>
      <c r="O280" s="34"/>
    </row>
    <row r="281" ht="15.75" customHeight="1">
      <c r="A281" s="32"/>
      <c r="B281" s="33"/>
      <c r="C281" s="10"/>
      <c r="D281" s="10"/>
      <c r="E281" s="10"/>
      <c r="F281" s="10"/>
      <c r="G281" s="10"/>
      <c r="H281" s="10"/>
      <c r="I281" s="10"/>
      <c r="J281" s="10"/>
      <c r="K281" s="10"/>
      <c r="L281" s="10"/>
      <c r="M281" s="10"/>
      <c r="N281" s="10"/>
      <c r="O281" s="34"/>
    </row>
    <row r="282" ht="15.75" customHeight="1">
      <c r="A282" s="32"/>
      <c r="B282" s="33"/>
      <c r="C282" s="10"/>
      <c r="D282" s="10"/>
      <c r="E282" s="10"/>
      <c r="F282" s="10"/>
      <c r="G282" s="10"/>
      <c r="H282" s="10"/>
      <c r="I282" s="10"/>
      <c r="J282" s="10"/>
      <c r="K282" s="10"/>
      <c r="L282" s="10"/>
      <c r="M282" s="10"/>
      <c r="N282" s="10"/>
      <c r="O282" s="34"/>
    </row>
    <row r="283" ht="15.75" customHeight="1">
      <c r="A283" s="32"/>
      <c r="B283" s="33"/>
      <c r="C283" s="10"/>
      <c r="D283" s="10"/>
      <c r="E283" s="10"/>
      <c r="F283" s="10"/>
      <c r="G283" s="10"/>
      <c r="H283" s="10"/>
      <c r="I283" s="10"/>
      <c r="J283" s="10"/>
      <c r="K283" s="10"/>
      <c r="L283" s="10"/>
      <c r="M283" s="10"/>
      <c r="N283" s="10"/>
      <c r="O283" s="34"/>
    </row>
    <row r="284" ht="15.75" customHeight="1">
      <c r="A284" s="32"/>
      <c r="B284" s="33"/>
      <c r="C284" s="10"/>
      <c r="D284" s="10"/>
      <c r="E284" s="10"/>
      <c r="F284" s="10"/>
      <c r="G284" s="10"/>
      <c r="H284" s="10"/>
      <c r="I284" s="10"/>
      <c r="J284" s="10"/>
      <c r="K284" s="10"/>
      <c r="L284" s="10"/>
      <c r="M284" s="10"/>
      <c r="N284" s="10"/>
      <c r="O284" s="34"/>
    </row>
    <row r="285" ht="15.75" customHeight="1">
      <c r="A285" s="32"/>
      <c r="B285" s="33"/>
      <c r="C285" s="10"/>
      <c r="D285" s="10"/>
      <c r="E285" s="10"/>
      <c r="F285" s="10"/>
      <c r="G285" s="10"/>
      <c r="H285" s="10"/>
      <c r="I285" s="10"/>
      <c r="J285" s="10"/>
      <c r="K285" s="10"/>
      <c r="L285" s="10"/>
      <c r="M285" s="10"/>
      <c r="N285" s="10"/>
      <c r="O285" s="34"/>
    </row>
    <row r="286" ht="15.75" customHeight="1">
      <c r="A286" s="32"/>
      <c r="B286" s="33"/>
      <c r="C286" s="10"/>
      <c r="D286" s="10"/>
      <c r="E286" s="10"/>
      <c r="F286" s="10"/>
      <c r="G286" s="10"/>
      <c r="H286" s="10"/>
      <c r="I286" s="10"/>
      <c r="J286" s="10"/>
      <c r="K286" s="10"/>
      <c r="L286" s="10"/>
      <c r="M286" s="10"/>
      <c r="N286" s="10"/>
      <c r="O286" s="34"/>
    </row>
    <row r="287" ht="15.75" customHeight="1">
      <c r="A287" s="32"/>
      <c r="B287" s="33"/>
      <c r="C287" s="10"/>
      <c r="D287" s="10"/>
      <c r="E287" s="10"/>
      <c r="F287" s="10"/>
      <c r="G287" s="10"/>
      <c r="H287" s="10"/>
      <c r="I287" s="10"/>
      <c r="J287" s="10"/>
      <c r="K287" s="10"/>
      <c r="L287" s="10"/>
      <c r="M287" s="10"/>
      <c r="N287" s="10"/>
      <c r="O287" s="34"/>
    </row>
    <row r="288" ht="15.75" customHeight="1">
      <c r="A288" s="32"/>
      <c r="B288" s="33"/>
      <c r="C288" s="10"/>
      <c r="D288" s="10"/>
      <c r="E288" s="10"/>
      <c r="F288" s="10"/>
      <c r="G288" s="10"/>
      <c r="H288" s="10"/>
      <c r="I288" s="10"/>
      <c r="J288" s="10"/>
      <c r="K288" s="10"/>
      <c r="L288" s="10"/>
      <c r="M288" s="10"/>
      <c r="N288" s="10"/>
      <c r="O288" s="34"/>
    </row>
    <row r="289" ht="15.75" customHeight="1">
      <c r="A289" s="32"/>
      <c r="B289" s="33"/>
      <c r="C289" s="10"/>
      <c r="D289" s="10"/>
      <c r="E289" s="10"/>
      <c r="F289" s="10"/>
      <c r="G289" s="10"/>
      <c r="H289" s="10"/>
      <c r="I289" s="10"/>
      <c r="J289" s="10"/>
      <c r="K289" s="10"/>
      <c r="L289" s="10"/>
      <c r="M289" s="10"/>
      <c r="N289" s="10"/>
      <c r="O289" s="34"/>
    </row>
    <row r="290" ht="15.75" customHeight="1">
      <c r="A290" s="32"/>
      <c r="B290" s="33"/>
      <c r="C290" s="10"/>
      <c r="D290" s="10"/>
      <c r="E290" s="10"/>
      <c r="F290" s="10"/>
      <c r="G290" s="10"/>
      <c r="H290" s="10"/>
      <c r="I290" s="10"/>
      <c r="J290" s="10"/>
      <c r="K290" s="10"/>
      <c r="L290" s="10"/>
      <c r="M290" s="10"/>
      <c r="N290" s="10"/>
      <c r="O290" s="34"/>
    </row>
    <row r="291" ht="15.75" customHeight="1">
      <c r="A291" s="32"/>
      <c r="B291" s="33"/>
      <c r="C291" s="10"/>
      <c r="D291" s="10"/>
      <c r="E291" s="10"/>
      <c r="F291" s="10"/>
      <c r="G291" s="10"/>
      <c r="H291" s="10"/>
      <c r="I291" s="10"/>
      <c r="J291" s="10"/>
      <c r="K291" s="10"/>
      <c r="L291" s="10"/>
      <c r="M291" s="10"/>
      <c r="N291" s="10"/>
      <c r="O291" s="34"/>
    </row>
    <row r="292" ht="15.75" customHeight="1">
      <c r="A292" s="32"/>
      <c r="B292" s="33"/>
      <c r="C292" s="10"/>
      <c r="D292" s="10"/>
      <c r="E292" s="10"/>
      <c r="F292" s="10"/>
      <c r="G292" s="10"/>
      <c r="H292" s="10"/>
      <c r="I292" s="10"/>
      <c r="J292" s="10"/>
      <c r="K292" s="10"/>
      <c r="L292" s="10"/>
      <c r="M292" s="10"/>
      <c r="N292" s="10"/>
      <c r="O292" s="34"/>
    </row>
    <row r="293" ht="15.75" customHeight="1">
      <c r="A293" s="32"/>
      <c r="B293" s="33"/>
      <c r="C293" s="10"/>
      <c r="D293" s="10"/>
      <c r="E293" s="10"/>
      <c r="F293" s="10"/>
      <c r="G293" s="10"/>
      <c r="H293" s="10"/>
      <c r="I293" s="10"/>
      <c r="J293" s="10"/>
      <c r="K293" s="10"/>
      <c r="L293" s="10"/>
      <c r="M293" s="10"/>
      <c r="N293" s="10"/>
      <c r="O293" s="34"/>
    </row>
    <row r="294" ht="15.75" customHeight="1">
      <c r="A294" s="32"/>
      <c r="B294" s="33"/>
      <c r="C294" s="10"/>
      <c r="D294" s="10"/>
      <c r="E294" s="10"/>
      <c r="F294" s="10"/>
      <c r="G294" s="10"/>
      <c r="H294" s="10"/>
      <c r="I294" s="10"/>
      <c r="J294" s="10"/>
      <c r="K294" s="10"/>
      <c r="L294" s="10"/>
      <c r="M294" s="10"/>
      <c r="N294" s="10"/>
      <c r="O294" s="34"/>
    </row>
    <row r="295" ht="15.75" customHeight="1">
      <c r="A295" s="32"/>
      <c r="B295" s="33"/>
      <c r="C295" s="10"/>
      <c r="D295" s="10"/>
      <c r="E295" s="10"/>
      <c r="F295" s="10"/>
      <c r="G295" s="10"/>
      <c r="H295" s="10"/>
      <c r="I295" s="10"/>
      <c r="J295" s="10"/>
      <c r="K295" s="10"/>
      <c r="L295" s="10"/>
      <c r="M295" s="10"/>
      <c r="N295" s="10"/>
      <c r="O295" s="34"/>
    </row>
    <row r="296" ht="15.75" customHeight="1">
      <c r="A296" s="32"/>
      <c r="B296" s="33"/>
      <c r="C296" s="10"/>
      <c r="D296" s="10"/>
      <c r="E296" s="10"/>
      <c r="F296" s="10"/>
      <c r="G296" s="10"/>
      <c r="H296" s="10"/>
      <c r="I296" s="10"/>
      <c r="J296" s="10"/>
      <c r="K296" s="10"/>
      <c r="L296" s="10"/>
      <c r="M296" s="10"/>
      <c r="N296" s="10"/>
      <c r="O296" s="34"/>
    </row>
    <row r="297" ht="15.75" customHeight="1">
      <c r="A297" s="32"/>
      <c r="B297" s="33"/>
      <c r="C297" s="10"/>
      <c r="D297" s="10"/>
      <c r="E297" s="10"/>
      <c r="F297" s="10"/>
      <c r="G297" s="10"/>
      <c r="H297" s="10"/>
      <c r="I297" s="10"/>
      <c r="J297" s="10"/>
      <c r="K297" s="10"/>
      <c r="L297" s="10"/>
      <c r="M297" s="10"/>
      <c r="N297" s="10"/>
      <c r="O297" s="34"/>
    </row>
    <row r="298" ht="15.75" customHeight="1">
      <c r="A298" s="32"/>
      <c r="B298" s="33"/>
      <c r="C298" s="10"/>
      <c r="D298" s="10"/>
      <c r="E298" s="10"/>
      <c r="F298" s="10"/>
      <c r="G298" s="10"/>
      <c r="H298" s="10"/>
      <c r="I298" s="10"/>
      <c r="J298" s="10"/>
      <c r="K298" s="10"/>
      <c r="L298" s="10"/>
      <c r="M298" s="10"/>
      <c r="N298" s="10"/>
      <c r="O298" s="34"/>
    </row>
    <row r="299" ht="15.75" customHeight="1">
      <c r="A299" s="32"/>
      <c r="B299" s="33"/>
      <c r="C299" s="10"/>
      <c r="D299" s="10"/>
      <c r="E299" s="10"/>
      <c r="F299" s="10"/>
      <c r="G299" s="10"/>
      <c r="H299" s="10"/>
      <c r="I299" s="10"/>
      <c r="J299" s="10"/>
      <c r="K299" s="10"/>
      <c r="L299" s="10"/>
      <c r="M299" s="10"/>
      <c r="N299" s="10"/>
      <c r="O299" s="34"/>
    </row>
    <row r="300" ht="15.75" customHeight="1">
      <c r="A300" s="32"/>
      <c r="B300" s="33"/>
      <c r="C300" s="10"/>
      <c r="D300" s="10"/>
      <c r="E300" s="10"/>
      <c r="F300" s="10"/>
      <c r="G300" s="10"/>
      <c r="H300" s="10"/>
      <c r="I300" s="10"/>
      <c r="J300" s="10"/>
      <c r="K300" s="10"/>
      <c r="L300" s="10"/>
      <c r="M300" s="10"/>
      <c r="N300" s="10"/>
      <c r="O300" s="34"/>
    </row>
    <row r="301" ht="15.75" customHeight="1">
      <c r="A301" s="32"/>
      <c r="B301" s="33"/>
      <c r="C301" s="10"/>
      <c r="D301" s="10"/>
      <c r="E301" s="10"/>
      <c r="F301" s="10"/>
      <c r="G301" s="10"/>
      <c r="H301" s="10"/>
      <c r="I301" s="10"/>
      <c r="J301" s="10"/>
      <c r="K301" s="10"/>
      <c r="L301" s="10"/>
      <c r="M301" s="10"/>
      <c r="N301" s="10"/>
      <c r="O301" s="34"/>
    </row>
    <row r="302" ht="15.75" customHeight="1">
      <c r="A302" s="32"/>
      <c r="B302" s="33"/>
      <c r="C302" s="10"/>
      <c r="D302" s="10"/>
      <c r="E302" s="10"/>
      <c r="F302" s="10"/>
      <c r="G302" s="10"/>
      <c r="H302" s="10"/>
      <c r="I302" s="10"/>
      <c r="J302" s="10"/>
      <c r="K302" s="10"/>
      <c r="L302" s="10"/>
      <c r="M302" s="10"/>
      <c r="N302" s="10"/>
      <c r="O302" s="34"/>
    </row>
    <row r="303" ht="15.75" customHeight="1">
      <c r="A303" s="32"/>
      <c r="B303" s="33"/>
      <c r="C303" s="10"/>
      <c r="D303" s="10"/>
      <c r="E303" s="10"/>
      <c r="F303" s="10"/>
      <c r="G303" s="10"/>
      <c r="H303" s="10"/>
      <c r="I303" s="10"/>
      <c r="J303" s="10"/>
      <c r="K303" s="10"/>
      <c r="L303" s="10"/>
      <c r="M303" s="10"/>
      <c r="N303" s="10"/>
      <c r="O303" s="34"/>
    </row>
    <row r="304" ht="15.75" customHeight="1">
      <c r="A304" s="32"/>
      <c r="B304" s="33"/>
      <c r="C304" s="10"/>
      <c r="D304" s="10"/>
      <c r="E304" s="10"/>
      <c r="F304" s="10"/>
      <c r="G304" s="10"/>
      <c r="H304" s="10"/>
      <c r="I304" s="10"/>
      <c r="J304" s="10"/>
      <c r="K304" s="10"/>
      <c r="L304" s="10"/>
      <c r="M304" s="10"/>
      <c r="N304" s="10"/>
      <c r="O304" s="34"/>
    </row>
    <row r="305" ht="15.75" customHeight="1">
      <c r="A305" s="32"/>
      <c r="B305" s="33"/>
      <c r="C305" s="10"/>
      <c r="D305" s="10"/>
      <c r="E305" s="10"/>
      <c r="F305" s="10"/>
      <c r="G305" s="10"/>
      <c r="H305" s="10"/>
      <c r="I305" s="10"/>
      <c r="J305" s="10"/>
      <c r="K305" s="10"/>
      <c r="L305" s="10"/>
      <c r="M305" s="10"/>
      <c r="N305" s="10"/>
      <c r="O305" s="34"/>
    </row>
    <row r="306" ht="15.75" customHeight="1">
      <c r="A306" s="32"/>
      <c r="B306" s="33"/>
      <c r="C306" s="10"/>
      <c r="D306" s="10"/>
      <c r="E306" s="10"/>
      <c r="F306" s="10"/>
      <c r="G306" s="10"/>
      <c r="H306" s="10"/>
      <c r="I306" s="10"/>
      <c r="J306" s="10"/>
      <c r="K306" s="10"/>
      <c r="L306" s="10"/>
      <c r="M306" s="10"/>
      <c r="N306" s="10"/>
      <c r="O306" s="34"/>
    </row>
    <row r="307" ht="15.75" customHeight="1">
      <c r="A307" s="32"/>
      <c r="B307" s="33"/>
      <c r="C307" s="10"/>
      <c r="D307" s="10"/>
      <c r="E307" s="10"/>
      <c r="F307" s="10"/>
      <c r="G307" s="10"/>
      <c r="H307" s="10"/>
      <c r="I307" s="10"/>
      <c r="J307" s="10"/>
      <c r="K307" s="10"/>
      <c r="L307" s="10"/>
      <c r="M307" s="10"/>
      <c r="N307" s="10"/>
      <c r="O307" s="34"/>
    </row>
    <row r="308" ht="15.75" customHeight="1">
      <c r="A308" s="32"/>
      <c r="B308" s="33"/>
      <c r="C308" s="10"/>
      <c r="D308" s="10"/>
      <c r="E308" s="10"/>
      <c r="F308" s="10"/>
      <c r="G308" s="10"/>
      <c r="H308" s="10"/>
      <c r="I308" s="10"/>
      <c r="J308" s="10"/>
      <c r="K308" s="10"/>
      <c r="L308" s="10"/>
      <c r="M308" s="10"/>
      <c r="N308" s="10"/>
      <c r="O308" s="34"/>
    </row>
    <row r="309" ht="15.75" customHeight="1">
      <c r="A309" s="32"/>
      <c r="B309" s="33"/>
      <c r="C309" s="10"/>
      <c r="D309" s="10"/>
      <c r="E309" s="10"/>
      <c r="F309" s="10"/>
      <c r="G309" s="10"/>
      <c r="H309" s="10"/>
      <c r="I309" s="10"/>
      <c r="J309" s="10"/>
      <c r="K309" s="10"/>
      <c r="L309" s="10"/>
      <c r="M309" s="10"/>
      <c r="N309" s="10"/>
      <c r="O309" s="34"/>
    </row>
    <row r="310" ht="15.75" customHeight="1">
      <c r="A310" s="32"/>
      <c r="B310" s="33"/>
      <c r="C310" s="10"/>
      <c r="D310" s="10"/>
      <c r="E310" s="10"/>
      <c r="F310" s="10"/>
      <c r="G310" s="10"/>
      <c r="H310" s="10"/>
      <c r="I310" s="10"/>
      <c r="J310" s="10"/>
      <c r="K310" s="10"/>
      <c r="L310" s="10"/>
      <c r="M310" s="10"/>
      <c r="N310" s="10"/>
      <c r="O310" s="34"/>
    </row>
    <row r="311" ht="15.75" customHeight="1">
      <c r="A311" s="32"/>
      <c r="B311" s="33"/>
      <c r="C311" s="10"/>
      <c r="D311" s="10"/>
      <c r="E311" s="10"/>
      <c r="F311" s="10"/>
      <c r="G311" s="10"/>
      <c r="H311" s="10"/>
      <c r="I311" s="10"/>
      <c r="J311" s="10"/>
      <c r="K311" s="10"/>
      <c r="L311" s="10"/>
      <c r="M311" s="10"/>
      <c r="N311" s="10"/>
      <c r="O311" s="34"/>
    </row>
    <row r="312" ht="15.75" customHeight="1">
      <c r="A312" s="32"/>
      <c r="B312" s="33"/>
      <c r="C312" s="10"/>
      <c r="D312" s="10"/>
      <c r="E312" s="10"/>
      <c r="F312" s="10"/>
      <c r="G312" s="10"/>
      <c r="H312" s="10"/>
      <c r="I312" s="10"/>
      <c r="J312" s="10"/>
      <c r="K312" s="10"/>
      <c r="L312" s="10"/>
      <c r="M312" s="10"/>
      <c r="N312" s="10"/>
      <c r="O312" s="34"/>
    </row>
    <row r="313" ht="15.75" customHeight="1">
      <c r="A313" s="32"/>
      <c r="B313" s="33"/>
      <c r="C313" s="10"/>
      <c r="D313" s="10"/>
      <c r="E313" s="10"/>
      <c r="F313" s="10"/>
      <c r="G313" s="10"/>
      <c r="H313" s="10"/>
      <c r="I313" s="10"/>
      <c r="J313" s="10"/>
      <c r="K313" s="10"/>
      <c r="L313" s="10"/>
      <c r="M313" s="10"/>
      <c r="N313" s="10"/>
      <c r="O313" s="34"/>
    </row>
    <row r="314" ht="15.75" customHeight="1">
      <c r="A314" s="32"/>
      <c r="B314" s="33"/>
      <c r="C314" s="10"/>
      <c r="D314" s="10"/>
      <c r="E314" s="10"/>
      <c r="F314" s="10"/>
      <c r="G314" s="10"/>
      <c r="H314" s="10"/>
      <c r="I314" s="10"/>
      <c r="J314" s="10"/>
      <c r="K314" s="10"/>
      <c r="L314" s="10"/>
      <c r="M314" s="10"/>
      <c r="N314" s="10"/>
      <c r="O314" s="34"/>
    </row>
    <row r="315" ht="15.75" customHeight="1">
      <c r="A315" s="32"/>
      <c r="B315" s="33"/>
      <c r="C315" s="10"/>
      <c r="D315" s="10"/>
      <c r="E315" s="10"/>
      <c r="F315" s="10"/>
      <c r="G315" s="10"/>
      <c r="H315" s="10"/>
      <c r="I315" s="10"/>
      <c r="J315" s="10"/>
      <c r="K315" s="10"/>
      <c r="L315" s="10"/>
      <c r="M315" s="10"/>
      <c r="N315" s="10"/>
      <c r="O315" s="34"/>
    </row>
    <row r="316" ht="15.75" customHeight="1">
      <c r="A316" s="32"/>
      <c r="B316" s="33"/>
      <c r="C316" s="10"/>
      <c r="D316" s="10"/>
      <c r="E316" s="10"/>
      <c r="F316" s="10"/>
      <c r="G316" s="10"/>
      <c r="H316" s="10"/>
      <c r="I316" s="10"/>
      <c r="J316" s="10"/>
      <c r="K316" s="10"/>
      <c r="L316" s="10"/>
      <c r="M316" s="10"/>
      <c r="N316" s="10"/>
      <c r="O316" s="34"/>
    </row>
    <row r="317" ht="15.75" customHeight="1">
      <c r="A317" s="32"/>
      <c r="B317" s="33"/>
      <c r="C317" s="10"/>
      <c r="D317" s="10"/>
      <c r="E317" s="10"/>
      <c r="F317" s="10"/>
      <c r="G317" s="10"/>
      <c r="H317" s="10"/>
      <c r="I317" s="10"/>
      <c r="J317" s="10"/>
      <c r="K317" s="10"/>
      <c r="L317" s="10"/>
      <c r="M317" s="10"/>
      <c r="N317" s="10"/>
      <c r="O317" s="34"/>
    </row>
    <row r="318" ht="15.75" customHeight="1">
      <c r="A318" s="32"/>
      <c r="B318" s="33"/>
      <c r="C318" s="10"/>
      <c r="D318" s="10"/>
      <c r="E318" s="10"/>
      <c r="F318" s="10"/>
      <c r="G318" s="10"/>
      <c r="H318" s="10"/>
      <c r="I318" s="10"/>
      <c r="J318" s="10"/>
      <c r="K318" s="10"/>
      <c r="L318" s="10"/>
      <c r="M318" s="10"/>
      <c r="N318" s="10"/>
      <c r="O318" s="34"/>
    </row>
    <row r="319" ht="15.75" customHeight="1">
      <c r="A319" s="32"/>
      <c r="B319" s="33"/>
      <c r="C319" s="10"/>
      <c r="D319" s="10"/>
      <c r="E319" s="10"/>
      <c r="F319" s="10"/>
      <c r="G319" s="10"/>
      <c r="H319" s="10"/>
      <c r="I319" s="10"/>
      <c r="J319" s="10"/>
      <c r="K319" s="10"/>
      <c r="L319" s="10"/>
      <c r="M319" s="10"/>
      <c r="N319" s="10"/>
      <c r="O319" s="34"/>
    </row>
    <row r="320" ht="15.75" customHeight="1">
      <c r="A320" s="32"/>
      <c r="B320" s="33"/>
      <c r="C320" s="10"/>
      <c r="D320" s="10"/>
      <c r="E320" s="10"/>
      <c r="F320" s="10"/>
      <c r="G320" s="10"/>
      <c r="H320" s="10"/>
      <c r="I320" s="10"/>
      <c r="J320" s="10"/>
      <c r="K320" s="10"/>
      <c r="L320" s="10"/>
      <c r="M320" s="10"/>
      <c r="N320" s="10"/>
      <c r="O320" s="34"/>
    </row>
    <row r="321" ht="15.75" customHeight="1">
      <c r="A321" s="32"/>
      <c r="B321" s="33"/>
      <c r="C321" s="10"/>
      <c r="D321" s="10"/>
      <c r="E321" s="10"/>
      <c r="F321" s="10"/>
      <c r="G321" s="10"/>
      <c r="H321" s="10"/>
      <c r="I321" s="10"/>
      <c r="J321" s="10"/>
      <c r="K321" s="10"/>
      <c r="L321" s="10"/>
      <c r="M321" s="10"/>
      <c r="N321" s="10"/>
      <c r="O321" s="34"/>
    </row>
    <row r="322" ht="15.75" customHeight="1">
      <c r="A322" s="32"/>
      <c r="B322" s="33"/>
      <c r="C322" s="10"/>
      <c r="D322" s="10"/>
      <c r="E322" s="10"/>
      <c r="F322" s="10"/>
      <c r="G322" s="10"/>
      <c r="H322" s="10"/>
      <c r="I322" s="10"/>
      <c r="J322" s="10"/>
      <c r="K322" s="10"/>
      <c r="L322" s="10"/>
      <c r="M322" s="10"/>
      <c r="N322" s="10"/>
      <c r="O322" s="34"/>
    </row>
    <row r="323" ht="15.75" customHeight="1">
      <c r="A323" s="32"/>
      <c r="B323" s="33"/>
      <c r="C323" s="10"/>
      <c r="D323" s="10"/>
      <c r="E323" s="10"/>
      <c r="F323" s="10"/>
      <c r="G323" s="10"/>
      <c r="H323" s="10"/>
      <c r="I323" s="10"/>
      <c r="J323" s="10"/>
      <c r="K323" s="10"/>
      <c r="L323" s="10"/>
      <c r="M323" s="10"/>
      <c r="N323" s="10"/>
      <c r="O323" s="34"/>
    </row>
    <row r="324" ht="15.75" customHeight="1">
      <c r="A324" s="32"/>
      <c r="B324" s="33"/>
      <c r="C324" s="10"/>
      <c r="D324" s="10"/>
      <c r="E324" s="10"/>
      <c r="F324" s="10"/>
      <c r="G324" s="10"/>
      <c r="H324" s="10"/>
      <c r="I324" s="10"/>
      <c r="J324" s="10"/>
      <c r="K324" s="10"/>
      <c r="L324" s="10"/>
      <c r="M324" s="10"/>
      <c r="N324" s="10"/>
      <c r="O324" s="34"/>
    </row>
    <row r="325" ht="15.75" customHeight="1">
      <c r="A325" s="32"/>
      <c r="B325" s="33"/>
      <c r="C325" s="10"/>
      <c r="D325" s="10"/>
      <c r="E325" s="10"/>
      <c r="F325" s="10"/>
      <c r="G325" s="10"/>
      <c r="H325" s="10"/>
      <c r="I325" s="10"/>
      <c r="J325" s="10"/>
      <c r="K325" s="10"/>
      <c r="L325" s="10"/>
      <c r="M325" s="10"/>
      <c r="N325" s="10"/>
      <c r="O325" s="34"/>
    </row>
    <row r="326" ht="15.75" customHeight="1">
      <c r="A326" s="32"/>
      <c r="B326" s="33"/>
      <c r="C326" s="10"/>
      <c r="D326" s="10"/>
      <c r="E326" s="10"/>
      <c r="F326" s="10"/>
      <c r="G326" s="10"/>
      <c r="H326" s="10"/>
      <c r="I326" s="10"/>
      <c r="J326" s="10"/>
      <c r="K326" s="10"/>
      <c r="L326" s="10"/>
      <c r="M326" s="10"/>
      <c r="N326" s="10"/>
      <c r="O326" s="34"/>
    </row>
    <row r="327" ht="15.75" customHeight="1">
      <c r="A327" s="32"/>
      <c r="B327" s="33"/>
      <c r="C327" s="10"/>
      <c r="D327" s="10"/>
      <c r="E327" s="10"/>
      <c r="F327" s="10"/>
      <c r="G327" s="10"/>
      <c r="H327" s="10"/>
      <c r="I327" s="10"/>
      <c r="J327" s="10"/>
      <c r="K327" s="10"/>
      <c r="L327" s="10"/>
      <c r="M327" s="10"/>
      <c r="N327" s="10"/>
      <c r="O327" s="34"/>
    </row>
    <row r="328" ht="15.75" customHeight="1">
      <c r="A328" s="32"/>
      <c r="B328" s="33"/>
      <c r="C328" s="10"/>
      <c r="D328" s="10"/>
      <c r="E328" s="10"/>
      <c r="F328" s="10"/>
      <c r="G328" s="10"/>
      <c r="H328" s="10"/>
      <c r="I328" s="10"/>
      <c r="J328" s="10"/>
      <c r="K328" s="10"/>
      <c r="L328" s="10"/>
      <c r="M328" s="10"/>
      <c r="N328" s="10"/>
      <c r="O328" s="34"/>
    </row>
    <row r="329" ht="15.75" customHeight="1">
      <c r="A329" s="32"/>
      <c r="B329" s="33"/>
      <c r="C329" s="10"/>
      <c r="D329" s="10"/>
      <c r="E329" s="10"/>
      <c r="F329" s="10"/>
      <c r="G329" s="10"/>
      <c r="H329" s="10"/>
      <c r="I329" s="10"/>
      <c r="J329" s="10"/>
      <c r="K329" s="10"/>
      <c r="L329" s="10"/>
      <c r="M329" s="10"/>
      <c r="N329" s="10"/>
      <c r="O329" s="34"/>
    </row>
    <row r="330" ht="15.75" customHeight="1">
      <c r="A330" s="32"/>
      <c r="B330" s="33"/>
      <c r="C330" s="10"/>
      <c r="D330" s="10"/>
      <c r="E330" s="10"/>
      <c r="F330" s="10"/>
      <c r="G330" s="10"/>
      <c r="H330" s="10"/>
      <c r="I330" s="10"/>
      <c r="J330" s="10"/>
      <c r="K330" s="10"/>
      <c r="L330" s="10"/>
      <c r="M330" s="10"/>
      <c r="N330" s="10"/>
      <c r="O330" s="34"/>
    </row>
    <row r="331" ht="15.75" customHeight="1">
      <c r="A331" s="32"/>
      <c r="B331" s="33"/>
      <c r="C331" s="10"/>
      <c r="D331" s="10"/>
      <c r="E331" s="10"/>
      <c r="F331" s="10"/>
      <c r="G331" s="10"/>
      <c r="H331" s="10"/>
      <c r="I331" s="10"/>
      <c r="J331" s="10"/>
      <c r="K331" s="10"/>
      <c r="L331" s="10"/>
      <c r="M331" s="10"/>
      <c r="N331" s="10"/>
      <c r="O331" s="34"/>
    </row>
    <row r="332" ht="15.75" customHeight="1">
      <c r="A332" s="32"/>
      <c r="B332" s="33"/>
      <c r="C332" s="10"/>
      <c r="D332" s="10"/>
      <c r="E332" s="10"/>
      <c r="F332" s="10"/>
      <c r="G332" s="10"/>
      <c r="H332" s="10"/>
      <c r="I332" s="10"/>
      <c r="J332" s="10"/>
      <c r="K332" s="10"/>
      <c r="L332" s="10"/>
      <c r="M332" s="10"/>
      <c r="N332" s="10"/>
      <c r="O332" s="34"/>
    </row>
    <row r="333" ht="15.75" customHeight="1">
      <c r="A333" s="32"/>
      <c r="B333" s="33"/>
      <c r="C333" s="10"/>
      <c r="D333" s="10"/>
      <c r="E333" s="10"/>
      <c r="F333" s="10"/>
      <c r="G333" s="10"/>
      <c r="H333" s="10"/>
      <c r="I333" s="10"/>
      <c r="J333" s="10"/>
      <c r="K333" s="10"/>
      <c r="L333" s="10"/>
      <c r="M333" s="10"/>
      <c r="N333" s="10"/>
      <c r="O333" s="34"/>
    </row>
    <row r="334" ht="15.75" customHeight="1">
      <c r="A334" s="32"/>
      <c r="B334" s="33"/>
      <c r="C334" s="10"/>
      <c r="D334" s="10"/>
      <c r="E334" s="10"/>
      <c r="F334" s="10"/>
      <c r="G334" s="10"/>
      <c r="H334" s="10"/>
      <c r="I334" s="10"/>
      <c r="J334" s="10"/>
      <c r="K334" s="10"/>
      <c r="L334" s="10"/>
      <c r="M334" s="10"/>
      <c r="N334" s="10"/>
      <c r="O334" s="34"/>
    </row>
    <row r="335" ht="15.75" customHeight="1">
      <c r="A335" s="32"/>
      <c r="B335" s="33"/>
      <c r="C335" s="10"/>
      <c r="D335" s="10"/>
      <c r="E335" s="10"/>
      <c r="F335" s="10"/>
      <c r="G335" s="10"/>
      <c r="H335" s="10"/>
      <c r="I335" s="10"/>
      <c r="J335" s="10"/>
      <c r="K335" s="10"/>
      <c r="L335" s="10"/>
      <c r="M335" s="10"/>
      <c r="N335" s="10"/>
      <c r="O335" s="34"/>
    </row>
    <row r="336" ht="15.75" customHeight="1">
      <c r="A336" s="32"/>
      <c r="B336" s="33"/>
      <c r="C336" s="10"/>
      <c r="D336" s="10"/>
      <c r="E336" s="10"/>
      <c r="F336" s="10"/>
      <c r="G336" s="10"/>
      <c r="H336" s="10"/>
      <c r="I336" s="10"/>
      <c r="J336" s="10"/>
      <c r="K336" s="10"/>
      <c r="L336" s="10"/>
      <c r="M336" s="10"/>
      <c r="N336" s="10"/>
      <c r="O336" s="34"/>
    </row>
    <row r="337" ht="15.75" customHeight="1">
      <c r="A337" s="32"/>
      <c r="B337" s="33"/>
      <c r="C337" s="10"/>
      <c r="D337" s="10"/>
      <c r="E337" s="10"/>
      <c r="F337" s="10"/>
      <c r="G337" s="10"/>
      <c r="H337" s="10"/>
      <c r="I337" s="10"/>
      <c r="J337" s="10"/>
      <c r="K337" s="10"/>
      <c r="L337" s="10"/>
      <c r="M337" s="10"/>
      <c r="N337" s="10"/>
      <c r="O337" s="34"/>
    </row>
    <row r="338" ht="15.75" customHeight="1">
      <c r="A338" s="32"/>
      <c r="B338" s="33"/>
      <c r="C338" s="10"/>
      <c r="D338" s="10"/>
      <c r="E338" s="10"/>
      <c r="F338" s="10"/>
      <c r="G338" s="10"/>
      <c r="H338" s="10"/>
      <c r="I338" s="10"/>
      <c r="J338" s="10"/>
      <c r="K338" s="10"/>
      <c r="L338" s="10"/>
      <c r="M338" s="10"/>
      <c r="N338" s="10"/>
      <c r="O338" s="34"/>
    </row>
    <row r="339" ht="15.75" customHeight="1">
      <c r="A339" s="32"/>
      <c r="B339" s="33"/>
      <c r="C339" s="10"/>
      <c r="D339" s="10"/>
      <c r="E339" s="10"/>
      <c r="F339" s="10"/>
      <c r="G339" s="10"/>
      <c r="H339" s="10"/>
      <c r="I339" s="10"/>
      <c r="J339" s="10"/>
      <c r="K339" s="10"/>
      <c r="L339" s="10"/>
      <c r="M339" s="10"/>
      <c r="N339" s="10"/>
      <c r="O339" s="34"/>
    </row>
    <row r="340" ht="15.75" customHeight="1">
      <c r="A340" s="32"/>
      <c r="B340" s="33"/>
      <c r="C340" s="10"/>
      <c r="D340" s="10"/>
      <c r="E340" s="10"/>
      <c r="F340" s="10"/>
      <c r="G340" s="10"/>
      <c r="H340" s="10"/>
      <c r="I340" s="10"/>
      <c r="J340" s="10"/>
      <c r="K340" s="10"/>
      <c r="L340" s="10"/>
      <c r="M340" s="10"/>
      <c r="N340" s="10"/>
      <c r="O340" s="34"/>
    </row>
    <row r="341" ht="15.75" customHeight="1">
      <c r="A341" s="32"/>
      <c r="B341" s="33"/>
      <c r="C341" s="10"/>
      <c r="D341" s="10"/>
      <c r="E341" s="10"/>
      <c r="F341" s="10"/>
      <c r="G341" s="10"/>
      <c r="H341" s="10"/>
      <c r="I341" s="10"/>
      <c r="J341" s="10"/>
      <c r="K341" s="10"/>
      <c r="L341" s="10"/>
      <c r="M341" s="10"/>
      <c r="N341" s="10"/>
      <c r="O341" s="34"/>
    </row>
    <row r="342" ht="15.75" customHeight="1">
      <c r="A342" s="32"/>
      <c r="B342" s="33"/>
      <c r="C342" s="10"/>
      <c r="D342" s="10"/>
      <c r="E342" s="10"/>
      <c r="F342" s="10"/>
      <c r="G342" s="10"/>
      <c r="H342" s="10"/>
      <c r="I342" s="10"/>
      <c r="J342" s="10"/>
      <c r="K342" s="10"/>
      <c r="L342" s="10"/>
      <c r="M342" s="10"/>
      <c r="N342" s="10"/>
      <c r="O342" s="34"/>
    </row>
    <row r="343" ht="15.75" customHeight="1">
      <c r="A343" s="32"/>
      <c r="B343" s="33"/>
      <c r="C343" s="10"/>
      <c r="D343" s="10"/>
      <c r="E343" s="10"/>
      <c r="F343" s="10"/>
      <c r="G343" s="10"/>
      <c r="H343" s="10"/>
      <c r="I343" s="10"/>
      <c r="J343" s="10"/>
      <c r="K343" s="10"/>
      <c r="L343" s="10"/>
      <c r="M343" s="10"/>
      <c r="N343" s="10"/>
      <c r="O343" s="34"/>
    </row>
    <row r="344" ht="15.75" customHeight="1">
      <c r="A344" s="32"/>
      <c r="B344" s="33"/>
      <c r="C344" s="10"/>
      <c r="D344" s="10"/>
      <c r="E344" s="10"/>
      <c r="F344" s="10"/>
      <c r="G344" s="10"/>
      <c r="H344" s="10"/>
      <c r="I344" s="10"/>
      <c r="J344" s="10"/>
      <c r="K344" s="10"/>
      <c r="L344" s="10"/>
      <c r="M344" s="10"/>
      <c r="N344" s="10"/>
      <c r="O344" s="34"/>
    </row>
    <row r="345" ht="15.75" customHeight="1">
      <c r="A345" s="32"/>
      <c r="B345" s="33"/>
      <c r="C345" s="10"/>
      <c r="D345" s="10"/>
      <c r="E345" s="10"/>
      <c r="F345" s="10"/>
      <c r="G345" s="10"/>
      <c r="H345" s="10"/>
      <c r="I345" s="10"/>
      <c r="J345" s="10"/>
      <c r="K345" s="10"/>
      <c r="L345" s="10"/>
      <c r="M345" s="10"/>
      <c r="N345" s="10"/>
      <c r="O345" s="34"/>
    </row>
    <row r="346" ht="15.75" customHeight="1">
      <c r="A346" s="32"/>
      <c r="B346" s="33"/>
      <c r="C346" s="10"/>
      <c r="D346" s="10"/>
      <c r="E346" s="10"/>
      <c r="F346" s="10"/>
      <c r="G346" s="10"/>
      <c r="H346" s="10"/>
      <c r="I346" s="10"/>
      <c r="J346" s="10"/>
      <c r="K346" s="10"/>
      <c r="L346" s="10"/>
      <c r="M346" s="10"/>
      <c r="N346" s="10"/>
      <c r="O346" s="34"/>
    </row>
    <row r="347" ht="15.75" customHeight="1">
      <c r="A347" s="32"/>
      <c r="B347" s="33"/>
      <c r="C347" s="10"/>
      <c r="D347" s="10"/>
      <c r="E347" s="10"/>
      <c r="F347" s="10"/>
      <c r="G347" s="10"/>
      <c r="H347" s="10"/>
      <c r="I347" s="10"/>
      <c r="J347" s="10"/>
      <c r="K347" s="10"/>
      <c r="L347" s="10"/>
      <c r="M347" s="10"/>
      <c r="N347" s="10"/>
      <c r="O347" s="34"/>
    </row>
    <row r="348" ht="15.75" customHeight="1">
      <c r="A348" s="32"/>
      <c r="B348" s="33"/>
      <c r="C348" s="10"/>
      <c r="D348" s="10"/>
      <c r="E348" s="10"/>
      <c r="F348" s="10"/>
      <c r="G348" s="10"/>
      <c r="H348" s="10"/>
      <c r="I348" s="10"/>
      <c r="J348" s="10"/>
      <c r="K348" s="10"/>
      <c r="L348" s="10"/>
      <c r="M348" s="10"/>
      <c r="N348" s="10"/>
      <c r="O348" s="34"/>
    </row>
    <row r="349" ht="15.75" customHeight="1">
      <c r="A349" s="32"/>
      <c r="B349" s="33"/>
      <c r="C349" s="10"/>
      <c r="D349" s="10"/>
      <c r="E349" s="10"/>
      <c r="F349" s="10"/>
      <c r="G349" s="10"/>
      <c r="H349" s="10"/>
      <c r="I349" s="10"/>
      <c r="J349" s="10"/>
      <c r="K349" s="10"/>
      <c r="L349" s="10"/>
      <c r="M349" s="10"/>
      <c r="N349" s="10"/>
      <c r="O349" s="34"/>
    </row>
    <row r="350" ht="15.75" customHeight="1">
      <c r="A350" s="32"/>
      <c r="B350" s="33"/>
      <c r="C350" s="10"/>
      <c r="D350" s="10"/>
      <c r="E350" s="10"/>
      <c r="F350" s="10"/>
      <c r="G350" s="10"/>
      <c r="H350" s="10"/>
      <c r="I350" s="10"/>
      <c r="J350" s="10"/>
      <c r="K350" s="10"/>
      <c r="L350" s="10"/>
      <c r="M350" s="10"/>
      <c r="N350" s="10"/>
      <c r="O350" s="34"/>
    </row>
    <row r="351" ht="15.75" customHeight="1">
      <c r="A351" s="32"/>
      <c r="B351" s="33"/>
      <c r="C351" s="10"/>
      <c r="D351" s="10"/>
      <c r="E351" s="10"/>
      <c r="F351" s="10"/>
      <c r="G351" s="10"/>
      <c r="H351" s="10"/>
      <c r="I351" s="10"/>
      <c r="J351" s="10"/>
      <c r="K351" s="10"/>
      <c r="L351" s="10"/>
      <c r="M351" s="10"/>
      <c r="N351" s="10"/>
      <c r="O351" s="34"/>
    </row>
    <row r="352" ht="15.75" customHeight="1">
      <c r="A352" s="32"/>
      <c r="B352" s="33"/>
      <c r="C352" s="10"/>
      <c r="D352" s="10"/>
      <c r="E352" s="10"/>
      <c r="F352" s="10"/>
      <c r="G352" s="10"/>
      <c r="H352" s="10"/>
      <c r="I352" s="10"/>
      <c r="J352" s="10"/>
      <c r="K352" s="10"/>
      <c r="L352" s="10"/>
      <c r="M352" s="10"/>
      <c r="N352" s="10"/>
      <c r="O352" s="34"/>
    </row>
    <row r="353" ht="15.75" customHeight="1">
      <c r="A353" s="32"/>
      <c r="B353" s="33"/>
      <c r="C353" s="10"/>
      <c r="D353" s="10"/>
      <c r="E353" s="10"/>
      <c r="F353" s="10"/>
      <c r="G353" s="10"/>
      <c r="H353" s="10"/>
      <c r="I353" s="10"/>
      <c r="J353" s="10"/>
      <c r="K353" s="10"/>
      <c r="L353" s="10"/>
      <c r="M353" s="10"/>
      <c r="N353" s="10"/>
      <c r="O353" s="34"/>
    </row>
    <row r="354" ht="15.75" customHeight="1">
      <c r="A354" s="32"/>
      <c r="B354" s="33"/>
      <c r="C354" s="10"/>
      <c r="D354" s="10"/>
      <c r="E354" s="10"/>
      <c r="F354" s="10"/>
      <c r="G354" s="10"/>
      <c r="H354" s="10"/>
      <c r="I354" s="10"/>
      <c r="J354" s="10"/>
      <c r="K354" s="10"/>
      <c r="L354" s="10"/>
      <c r="M354" s="10"/>
      <c r="N354" s="10"/>
      <c r="O354" s="34"/>
    </row>
    <row r="355" ht="15.75" customHeight="1">
      <c r="A355" s="32"/>
      <c r="B355" s="33"/>
      <c r="C355" s="10"/>
      <c r="D355" s="10"/>
      <c r="E355" s="10"/>
      <c r="F355" s="10"/>
      <c r="G355" s="10"/>
      <c r="H355" s="10"/>
      <c r="I355" s="10"/>
      <c r="J355" s="10"/>
      <c r="K355" s="10"/>
      <c r="L355" s="10"/>
      <c r="M355" s="10"/>
      <c r="N355" s="10"/>
      <c r="O355" s="34"/>
    </row>
    <row r="356" ht="15.75" customHeight="1">
      <c r="A356" s="32"/>
      <c r="B356" s="33"/>
      <c r="C356" s="10"/>
      <c r="D356" s="10"/>
      <c r="E356" s="10"/>
      <c r="F356" s="10"/>
      <c r="G356" s="10"/>
      <c r="H356" s="10"/>
      <c r="I356" s="10"/>
      <c r="J356" s="10"/>
      <c r="K356" s="10"/>
      <c r="L356" s="10"/>
      <c r="M356" s="10"/>
      <c r="N356" s="10"/>
      <c r="O356" s="34"/>
    </row>
    <row r="357" ht="15.75" customHeight="1">
      <c r="A357" s="32"/>
      <c r="B357" s="33"/>
      <c r="C357" s="10"/>
      <c r="D357" s="10"/>
      <c r="E357" s="10"/>
      <c r="F357" s="10"/>
      <c r="G357" s="10"/>
      <c r="H357" s="10"/>
      <c r="I357" s="10"/>
      <c r="J357" s="10"/>
      <c r="K357" s="10"/>
      <c r="L357" s="10"/>
      <c r="M357" s="10"/>
      <c r="N357" s="10"/>
      <c r="O357" s="34"/>
    </row>
    <row r="358" ht="15.75" customHeight="1">
      <c r="A358" s="32"/>
      <c r="B358" s="33"/>
      <c r="C358" s="10"/>
      <c r="D358" s="10"/>
      <c r="E358" s="10"/>
      <c r="F358" s="10"/>
      <c r="G358" s="10"/>
      <c r="H358" s="10"/>
      <c r="I358" s="10"/>
      <c r="J358" s="10"/>
      <c r="K358" s="10"/>
      <c r="L358" s="10"/>
      <c r="M358" s="10"/>
      <c r="N358" s="10"/>
      <c r="O358" s="34"/>
    </row>
    <row r="359" ht="15.75" customHeight="1">
      <c r="A359" s="32"/>
      <c r="B359" s="33"/>
      <c r="C359" s="10"/>
      <c r="D359" s="10"/>
      <c r="E359" s="10"/>
      <c r="F359" s="10"/>
      <c r="G359" s="10"/>
      <c r="H359" s="10"/>
      <c r="I359" s="10"/>
      <c r="J359" s="10"/>
      <c r="K359" s="10"/>
      <c r="L359" s="10"/>
      <c r="M359" s="10"/>
      <c r="N359" s="10"/>
      <c r="O359" s="34"/>
    </row>
    <row r="360" ht="15.75" customHeight="1">
      <c r="A360" s="32"/>
      <c r="B360" s="33"/>
      <c r="C360" s="10"/>
      <c r="D360" s="10"/>
      <c r="E360" s="10"/>
      <c r="F360" s="10"/>
      <c r="G360" s="10"/>
      <c r="H360" s="10"/>
      <c r="I360" s="10"/>
      <c r="J360" s="10"/>
      <c r="K360" s="10"/>
      <c r="L360" s="10"/>
      <c r="M360" s="10"/>
      <c r="N360" s="10"/>
      <c r="O360" s="34"/>
    </row>
    <row r="361" ht="15.75" customHeight="1">
      <c r="A361" s="32"/>
      <c r="B361" s="33"/>
      <c r="C361" s="10"/>
      <c r="D361" s="10"/>
      <c r="E361" s="10"/>
      <c r="F361" s="10"/>
      <c r="G361" s="10"/>
      <c r="H361" s="10"/>
      <c r="I361" s="10"/>
      <c r="J361" s="10"/>
      <c r="K361" s="10"/>
      <c r="L361" s="10"/>
      <c r="M361" s="10"/>
      <c r="N361" s="10"/>
      <c r="O361" s="34"/>
    </row>
    <row r="362" ht="15.75" customHeight="1">
      <c r="A362" s="32"/>
      <c r="B362" s="33"/>
      <c r="C362" s="10"/>
      <c r="D362" s="10"/>
      <c r="E362" s="10"/>
      <c r="F362" s="10"/>
      <c r="G362" s="10"/>
      <c r="H362" s="10"/>
      <c r="I362" s="10"/>
      <c r="J362" s="10"/>
      <c r="K362" s="10"/>
      <c r="L362" s="10"/>
      <c r="M362" s="10"/>
      <c r="N362" s="10"/>
      <c r="O362" s="34"/>
    </row>
    <row r="363" ht="15.75" customHeight="1">
      <c r="A363" s="32"/>
      <c r="B363" s="33"/>
      <c r="C363" s="10"/>
      <c r="D363" s="10"/>
      <c r="E363" s="10"/>
      <c r="F363" s="10"/>
      <c r="G363" s="10"/>
      <c r="H363" s="10"/>
      <c r="I363" s="10"/>
      <c r="J363" s="10"/>
      <c r="K363" s="10"/>
      <c r="L363" s="10"/>
      <c r="M363" s="10"/>
      <c r="N363" s="10"/>
      <c r="O363" s="34"/>
    </row>
    <row r="364" ht="15.75" customHeight="1">
      <c r="A364" s="32"/>
      <c r="B364" s="33"/>
      <c r="C364" s="10"/>
      <c r="D364" s="10"/>
      <c r="E364" s="10"/>
      <c r="F364" s="10"/>
      <c r="G364" s="10"/>
      <c r="H364" s="10"/>
      <c r="I364" s="10"/>
      <c r="J364" s="10"/>
      <c r="K364" s="10"/>
      <c r="L364" s="10"/>
      <c r="M364" s="10"/>
      <c r="N364" s="10"/>
      <c r="O364" s="34"/>
    </row>
    <row r="365" ht="15.75" customHeight="1">
      <c r="A365" s="32"/>
      <c r="B365" s="33"/>
      <c r="C365" s="10"/>
      <c r="D365" s="10"/>
      <c r="E365" s="10"/>
      <c r="F365" s="10"/>
      <c r="G365" s="10"/>
      <c r="H365" s="10"/>
      <c r="I365" s="10"/>
      <c r="J365" s="10"/>
      <c r="K365" s="10"/>
      <c r="L365" s="10"/>
      <c r="M365" s="10"/>
      <c r="N365" s="10"/>
      <c r="O365" s="34"/>
    </row>
    <row r="366" ht="15.75" customHeight="1">
      <c r="A366" s="32"/>
      <c r="B366" s="33"/>
      <c r="C366" s="10"/>
      <c r="D366" s="10"/>
      <c r="E366" s="10"/>
      <c r="F366" s="10"/>
      <c r="G366" s="10"/>
      <c r="H366" s="10"/>
      <c r="I366" s="10"/>
      <c r="J366" s="10"/>
      <c r="K366" s="10"/>
      <c r="L366" s="10"/>
      <c r="M366" s="10"/>
      <c r="N366" s="10"/>
      <c r="O366" s="34"/>
    </row>
    <row r="367" ht="15.75" customHeight="1">
      <c r="A367" s="32"/>
      <c r="B367" s="33"/>
      <c r="C367" s="10"/>
      <c r="D367" s="10"/>
      <c r="E367" s="10"/>
      <c r="F367" s="10"/>
      <c r="G367" s="10"/>
      <c r="H367" s="10"/>
      <c r="I367" s="10"/>
      <c r="J367" s="10"/>
      <c r="K367" s="10"/>
      <c r="L367" s="10"/>
      <c r="M367" s="10"/>
      <c r="N367" s="10"/>
      <c r="O367" s="34"/>
    </row>
    <row r="368" ht="15.75" customHeight="1">
      <c r="A368" s="32"/>
      <c r="B368" s="33"/>
      <c r="C368" s="10"/>
      <c r="D368" s="10"/>
      <c r="E368" s="10"/>
      <c r="F368" s="10"/>
      <c r="G368" s="10"/>
      <c r="H368" s="10"/>
      <c r="I368" s="10"/>
      <c r="J368" s="10"/>
      <c r="K368" s="10"/>
      <c r="L368" s="10"/>
      <c r="M368" s="10"/>
      <c r="N368" s="10"/>
      <c r="O368" s="34"/>
    </row>
    <row r="369" ht="15.75" customHeight="1">
      <c r="A369" s="32"/>
      <c r="B369" s="33"/>
      <c r="C369" s="10"/>
      <c r="D369" s="10"/>
      <c r="E369" s="10"/>
      <c r="F369" s="10"/>
      <c r="G369" s="10"/>
      <c r="H369" s="10"/>
      <c r="I369" s="10"/>
      <c r="J369" s="10"/>
      <c r="K369" s="10"/>
      <c r="L369" s="10"/>
      <c r="M369" s="10"/>
      <c r="N369" s="10"/>
      <c r="O369" s="34"/>
    </row>
    <row r="370" ht="15.75" customHeight="1">
      <c r="A370" s="32"/>
      <c r="B370" s="33"/>
      <c r="C370" s="10"/>
      <c r="D370" s="10"/>
      <c r="E370" s="10"/>
      <c r="F370" s="10"/>
      <c r="G370" s="10"/>
      <c r="H370" s="10"/>
      <c r="I370" s="10"/>
      <c r="J370" s="10"/>
      <c r="K370" s="10"/>
      <c r="L370" s="10"/>
      <c r="M370" s="10"/>
      <c r="N370" s="10"/>
      <c r="O370" s="34"/>
    </row>
    <row r="371" ht="15.75" customHeight="1">
      <c r="A371" s="32"/>
      <c r="B371" s="33"/>
      <c r="C371" s="10"/>
      <c r="D371" s="10"/>
      <c r="E371" s="10"/>
      <c r="F371" s="10"/>
      <c r="G371" s="10"/>
      <c r="H371" s="10"/>
      <c r="I371" s="10"/>
      <c r="J371" s="10"/>
      <c r="K371" s="10"/>
      <c r="L371" s="10"/>
      <c r="M371" s="10"/>
      <c r="N371" s="10"/>
      <c r="O371" s="34"/>
    </row>
    <row r="372" ht="15.75" customHeight="1">
      <c r="A372" s="32"/>
      <c r="B372" s="33"/>
      <c r="C372" s="10"/>
      <c r="D372" s="10"/>
      <c r="E372" s="10"/>
      <c r="F372" s="10"/>
      <c r="G372" s="10"/>
      <c r="H372" s="10"/>
      <c r="I372" s="10"/>
      <c r="J372" s="10"/>
      <c r="K372" s="10"/>
      <c r="L372" s="10"/>
      <c r="M372" s="10"/>
      <c r="N372" s="10"/>
      <c r="O372" s="34"/>
    </row>
    <row r="373" ht="15.75" customHeight="1">
      <c r="A373" s="32"/>
      <c r="B373" s="33"/>
      <c r="C373" s="10"/>
      <c r="D373" s="10"/>
      <c r="E373" s="10"/>
      <c r="F373" s="10"/>
      <c r="G373" s="10"/>
      <c r="H373" s="10"/>
      <c r="I373" s="10"/>
      <c r="J373" s="10"/>
      <c r="K373" s="10"/>
      <c r="L373" s="10"/>
      <c r="M373" s="10"/>
      <c r="N373" s="10"/>
      <c r="O373" s="34"/>
    </row>
    <row r="374" ht="15.75" customHeight="1">
      <c r="A374" s="32"/>
      <c r="B374" s="33"/>
      <c r="C374" s="10"/>
      <c r="D374" s="10"/>
      <c r="E374" s="10"/>
      <c r="F374" s="10"/>
      <c r="G374" s="10"/>
      <c r="H374" s="10"/>
      <c r="I374" s="10"/>
      <c r="J374" s="10"/>
      <c r="K374" s="10"/>
      <c r="L374" s="10"/>
      <c r="M374" s="10"/>
      <c r="N374" s="10"/>
      <c r="O374" s="34"/>
    </row>
    <row r="375" ht="15.75" customHeight="1">
      <c r="A375" s="32"/>
      <c r="B375" s="33"/>
      <c r="C375" s="10"/>
      <c r="D375" s="10"/>
      <c r="E375" s="10"/>
      <c r="F375" s="10"/>
      <c r="G375" s="10"/>
      <c r="H375" s="10"/>
      <c r="I375" s="10"/>
      <c r="J375" s="10"/>
      <c r="K375" s="10"/>
      <c r="L375" s="10"/>
      <c r="M375" s="10"/>
      <c r="N375" s="10"/>
      <c r="O375" s="34"/>
    </row>
    <row r="376" ht="15.75" customHeight="1">
      <c r="A376" s="32"/>
      <c r="B376" s="33"/>
      <c r="C376" s="10"/>
      <c r="D376" s="10"/>
      <c r="E376" s="10"/>
      <c r="F376" s="10"/>
      <c r="G376" s="10"/>
      <c r="H376" s="10"/>
      <c r="I376" s="10"/>
      <c r="J376" s="10"/>
      <c r="K376" s="10"/>
      <c r="L376" s="10"/>
      <c r="M376" s="10"/>
      <c r="N376" s="10"/>
      <c r="O376" s="34"/>
    </row>
    <row r="377" ht="15.75" customHeight="1">
      <c r="A377" s="32"/>
      <c r="B377" s="33"/>
      <c r="C377" s="10"/>
      <c r="D377" s="10"/>
      <c r="E377" s="10"/>
      <c r="F377" s="10"/>
      <c r="G377" s="10"/>
      <c r="H377" s="10"/>
      <c r="I377" s="10"/>
      <c r="J377" s="10"/>
      <c r="K377" s="10"/>
      <c r="L377" s="10"/>
      <c r="M377" s="10"/>
      <c r="N377" s="10"/>
      <c r="O377" s="34"/>
    </row>
    <row r="378" ht="15.75" customHeight="1">
      <c r="A378" s="32"/>
      <c r="B378" s="33"/>
      <c r="C378" s="10"/>
      <c r="D378" s="10"/>
      <c r="E378" s="10"/>
      <c r="F378" s="10"/>
      <c r="G378" s="10"/>
      <c r="H378" s="10"/>
      <c r="I378" s="10"/>
      <c r="J378" s="10"/>
      <c r="K378" s="10"/>
      <c r="L378" s="10"/>
      <c r="M378" s="10"/>
      <c r="N378" s="10"/>
      <c r="O378" s="34"/>
    </row>
    <row r="379" ht="15.75" customHeight="1">
      <c r="A379" s="32"/>
      <c r="B379" s="33"/>
      <c r="C379" s="10"/>
      <c r="D379" s="10"/>
      <c r="E379" s="10"/>
      <c r="F379" s="10"/>
      <c r="G379" s="10"/>
      <c r="H379" s="10"/>
      <c r="I379" s="10"/>
      <c r="J379" s="10"/>
      <c r="K379" s="10"/>
      <c r="L379" s="10"/>
      <c r="M379" s="10"/>
      <c r="N379" s="10"/>
      <c r="O379" s="34"/>
    </row>
    <row r="380" ht="15.75" customHeight="1">
      <c r="A380" s="32"/>
      <c r="B380" s="33"/>
      <c r="C380" s="10"/>
      <c r="D380" s="10"/>
      <c r="E380" s="10"/>
      <c r="F380" s="10"/>
      <c r="G380" s="10"/>
      <c r="H380" s="10"/>
      <c r="I380" s="10"/>
      <c r="J380" s="10"/>
      <c r="K380" s="10"/>
      <c r="L380" s="10"/>
      <c r="M380" s="10"/>
      <c r="N380" s="10"/>
      <c r="O380" s="34"/>
    </row>
    <row r="381" ht="15.75" customHeight="1">
      <c r="A381" s="32"/>
      <c r="B381" s="33"/>
      <c r="C381" s="10"/>
      <c r="D381" s="10"/>
      <c r="E381" s="10"/>
      <c r="F381" s="10"/>
      <c r="G381" s="10"/>
      <c r="H381" s="10"/>
      <c r="I381" s="10"/>
      <c r="J381" s="10"/>
      <c r="K381" s="10"/>
      <c r="L381" s="10"/>
      <c r="M381" s="10"/>
      <c r="N381" s="10"/>
      <c r="O381" s="34"/>
    </row>
    <row r="382" ht="15.75" customHeight="1">
      <c r="A382" s="32"/>
      <c r="B382" s="33"/>
      <c r="C382" s="10"/>
      <c r="D382" s="10"/>
      <c r="E382" s="10"/>
      <c r="F382" s="10"/>
      <c r="G382" s="10"/>
      <c r="H382" s="10"/>
      <c r="I382" s="10"/>
      <c r="J382" s="10"/>
      <c r="K382" s="10"/>
      <c r="L382" s="10"/>
      <c r="M382" s="10"/>
      <c r="N382" s="10"/>
      <c r="O382" s="34"/>
    </row>
    <row r="383" ht="15.75" customHeight="1">
      <c r="A383" s="32"/>
      <c r="B383" s="33"/>
      <c r="C383" s="10"/>
      <c r="D383" s="10"/>
      <c r="E383" s="10"/>
      <c r="F383" s="10"/>
      <c r="G383" s="10"/>
      <c r="H383" s="10"/>
      <c r="I383" s="10"/>
      <c r="J383" s="10"/>
      <c r="K383" s="10"/>
      <c r="L383" s="10"/>
      <c r="M383" s="10"/>
      <c r="N383" s="10"/>
      <c r="O383" s="34"/>
    </row>
    <row r="384" ht="15.75" customHeight="1">
      <c r="A384" s="32"/>
      <c r="B384" s="33"/>
      <c r="C384" s="10"/>
      <c r="D384" s="10"/>
      <c r="E384" s="10"/>
      <c r="F384" s="10"/>
      <c r="G384" s="10"/>
      <c r="H384" s="10"/>
      <c r="I384" s="10"/>
      <c r="J384" s="10"/>
      <c r="K384" s="10"/>
      <c r="L384" s="10"/>
      <c r="M384" s="10"/>
      <c r="N384" s="10"/>
      <c r="O384" s="34"/>
    </row>
    <row r="385" ht="15.75" customHeight="1">
      <c r="A385" s="32"/>
      <c r="B385" s="33"/>
      <c r="C385" s="10"/>
      <c r="D385" s="10"/>
      <c r="E385" s="10"/>
      <c r="F385" s="10"/>
      <c r="G385" s="10"/>
      <c r="H385" s="10"/>
      <c r="I385" s="10"/>
      <c r="J385" s="10"/>
      <c r="K385" s="10"/>
      <c r="L385" s="10"/>
      <c r="M385" s="10"/>
      <c r="N385" s="10"/>
      <c r="O385" s="34"/>
    </row>
    <row r="386" ht="15.75" customHeight="1">
      <c r="A386" s="32"/>
      <c r="B386" s="33"/>
      <c r="C386" s="10"/>
      <c r="D386" s="10"/>
      <c r="E386" s="10"/>
      <c r="F386" s="10"/>
      <c r="G386" s="10"/>
      <c r="H386" s="10"/>
      <c r="I386" s="10"/>
      <c r="J386" s="10"/>
      <c r="K386" s="10"/>
      <c r="L386" s="10"/>
      <c r="M386" s="10"/>
      <c r="N386" s="10"/>
      <c r="O386" s="34"/>
    </row>
    <row r="387" ht="15.75" customHeight="1">
      <c r="A387" s="32"/>
      <c r="B387" s="33"/>
      <c r="C387" s="10"/>
      <c r="D387" s="10"/>
      <c r="E387" s="10"/>
      <c r="F387" s="10"/>
      <c r="G387" s="10"/>
      <c r="H387" s="10"/>
      <c r="I387" s="10"/>
      <c r="J387" s="10"/>
      <c r="K387" s="10"/>
      <c r="L387" s="10"/>
      <c r="M387" s="10"/>
      <c r="N387" s="10"/>
      <c r="O387" s="34"/>
    </row>
    <row r="388" ht="15.75" customHeight="1">
      <c r="A388" s="32"/>
      <c r="B388" s="33"/>
      <c r="C388" s="10"/>
      <c r="D388" s="10"/>
      <c r="E388" s="10"/>
      <c r="F388" s="10"/>
      <c r="G388" s="10"/>
      <c r="H388" s="10"/>
      <c r="I388" s="10"/>
      <c r="J388" s="10"/>
      <c r="K388" s="10"/>
      <c r="L388" s="10"/>
      <c r="M388" s="10"/>
      <c r="N388" s="10"/>
      <c r="O388" s="34"/>
    </row>
    <row r="389" ht="15.75" customHeight="1">
      <c r="A389" s="32"/>
      <c r="B389" s="33"/>
      <c r="C389" s="10"/>
      <c r="D389" s="10"/>
      <c r="E389" s="10"/>
      <c r="F389" s="10"/>
      <c r="G389" s="10"/>
      <c r="H389" s="10"/>
      <c r="I389" s="10"/>
      <c r="J389" s="10"/>
      <c r="K389" s="10"/>
      <c r="L389" s="10"/>
      <c r="M389" s="10"/>
      <c r="N389" s="10"/>
      <c r="O389" s="34"/>
    </row>
    <row r="390" ht="15.75" customHeight="1">
      <c r="A390" s="32"/>
      <c r="B390" s="33"/>
      <c r="C390" s="10"/>
      <c r="D390" s="10"/>
      <c r="E390" s="10"/>
      <c r="F390" s="10"/>
      <c r="G390" s="10"/>
      <c r="H390" s="10"/>
      <c r="I390" s="10"/>
      <c r="J390" s="10"/>
      <c r="K390" s="10"/>
      <c r="L390" s="10"/>
      <c r="M390" s="10"/>
      <c r="N390" s="10"/>
      <c r="O390" s="34"/>
    </row>
    <row r="391" ht="15.75" customHeight="1">
      <c r="A391" s="32"/>
      <c r="B391" s="33"/>
      <c r="C391" s="10"/>
      <c r="D391" s="10"/>
      <c r="E391" s="10"/>
      <c r="F391" s="10"/>
      <c r="G391" s="10"/>
      <c r="H391" s="10"/>
      <c r="I391" s="10"/>
      <c r="J391" s="10"/>
      <c r="K391" s="10"/>
      <c r="L391" s="10"/>
      <c r="M391" s="10"/>
      <c r="N391" s="10"/>
      <c r="O391" s="34"/>
    </row>
    <row r="392" ht="15.75" customHeight="1">
      <c r="A392" s="32"/>
      <c r="B392" s="33"/>
      <c r="C392" s="10"/>
      <c r="D392" s="10"/>
      <c r="E392" s="10"/>
      <c r="F392" s="10"/>
      <c r="G392" s="10"/>
      <c r="H392" s="10"/>
      <c r="I392" s="10"/>
      <c r="J392" s="10"/>
      <c r="K392" s="10"/>
      <c r="L392" s="10"/>
      <c r="M392" s="10"/>
      <c r="N392" s="10"/>
      <c r="O392" s="34"/>
    </row>
    <row r="393" ht="15.75" customHeight="1">
      <c r="A393" s="32"/>
      <c r="B393" s="33"/>
      <c r="C393" s="10"/>
      <c r="D393" s="10"/>
      <c r="E393" s="10"/>
      <c r="F393" s="10"/>
      <c r="G393" s="10"/>
      <c r="H393" s="10"/>
      <c r="I393" s="10"/>
      <c r="J393" s="10"/>
      <c r="K393" s="10"/>
      <c r="L393" s="10"/>
      <c r="M393" s="10"/>
      <c r="N393" s="10"/>
      <c r="O393" s="34"/>
    </row>
    <row r="394" ht="15.75" customHeight="1">
      <c r="A394" s="32"/>
      <c r="B394" s="33"/>
      <c r="C394" s="10"/>
      <c r="D394" s="10"/>
      <c r="E394" s="10"/>
      <c r="F394" s="10"/>
      <c r="G394" s="10"/>
      <c r="H394" s="10"/>
      <c r="I394" s="10"/>
      <c r="J394" s="10"/>
      <c r="K394" s="10"/>
      <c r="L394" s="10"/>
      <c r="M394" s="10"/>
      <c r="N394" s="10"/>
      <c r="O394" s="34"/>
    </row>
    <row r="395" ht="15.75" customHeight="1">
      <c r="A395" s="32"/>
      <c r="B395" s="33"/>
      <c r="C395" s="10"/>
      <c r="D395" s="10"/>
      <c r="E395" s="10"/>
      <c r="F395" s="10"/>
      <c r="G395" s="10"/>
      <c r="H395" s="10"/>
      <c r="I395" s="10"/>
      <c r="J395" s="10"/>
      <c r="K395" s="10"/>
      <c r="L395" s="10"/>
      <c r="M395" s="10"/>
      <c r="N395" s="10"/>
      <c r="O395" s="34"/>
    </row>
    <row r="396" ht="15.75" customHeight="1">
      <c r="A396" s="32"/>
      <c r="B396" s="33"/>
      <c r="C396" s="10"/>
      <c r="D396" s="10"/>
      <c r="E396" s="10"/>
      <c r="F396" s="10"/>
      <c r="G396" s="10"/>
      <c r="H396" s="10"/>
      <c r="I396" s="10"/>
      <c r="J396" s="10"/>
      <c r="K396" s="10"/>
      <c r="L396" s="10"/>
      <c r="M396" s="10"/>
      <c r="N396" s="10"/>
      <c r="O396" s="34"/>
    </row>
    <row r="397" ht="15.75" customHeight="1">
      <c r="A397" s="32"/>
      <c r="B397" s="33"/>
      <c r="C397" s="10"/>
      <c r="D397" s="10"/>
      <c r="E397" s="10"/>
      <c r="F397" s="10"/>
      <c r="G397" s="10"/>
      <c r="H397" s="10"/>
      <c r="I397" s="10"/>
      <c r="J397" s="10"/>
      <c r="K397" s="10"/>
      <c r="L397" s="10"/>
      <c r="M397" s="10"/>
      <c r="N397" s="10"/>
      <c r="O397" s="34"/>
    </row>
    <row r="398" ht="15.75" customHeight="1">
      <c r="A398" s="32"/>
      <c r="B398" s="33"/>
      <c r="C398" s="10"/>
      <c r="D398" s="10"/>
      <c r="E398" s="10"/>
      <c r="F398" s="10"/>
      <c r="G398" s="10"/>
      <c r="H398" s="10"/>
      <c r="I398" s="10"/>
      <c r="J398" s="10"/>
      <c r="K398" s="10"/>
      <c r="L398" s="10"/>
      <c r="M398" s="10"/>
      <c r="N398" s="10"/>
      <c r="O398" s="34"/>
    </row>
    <row r="399" ht="15.75" customHeight="1">
      <c r="A399" s="32"/>
      <c r="B399" s="33"/>
      <c r="C399" s="10"/>
      <c r="D399" s="10"/>
      <c r="E399" s="10"/>
      <c r="F399" s="10"/>
      <c r="G399" s="10"/>
      <c r="H399" s="10"/>
      <c r="I399" s="10"/>
      <c r="J399" s="10"/>
      <c r="K399" s="10"/>
      <c r="L399" s="10"/>
      <c r="M399" s="10"/>
      <c r="N399" s="10"/>
      <c r="O399" s="34"/>
    </row>
    <row r="400" ht="15.75" customHeight="1">
      <c r="A400" s="32"/>
      <c r="B400" s="33"/>
      <c r="C400" s="10"/>
      <c r="D400" s="10"/>
      <c r="E400" s="10"/>
      <c r="F400" s="10"/>
      <c r="G400" s="10"/>
      <c r="H400" s="10"/>
      <c r="I400" s="10"/>
      <c r="J400" s="10"/>
      <c r="K400" s="10"/>
      <c r="L400" s="10"/>
      <c r="M400" s="10"/>
      <c r="N400" s="10"/>
      <c r="O400" s="34"/>
    </row>
    <row r="401" ht="15.75" customHeight="1">
      <c r="A401" s="32"/>
      <c r="B401" s="33"/>
      <c r="C401" s="10"/>
      <c r="D401" s="10"/>
      <c r="E401" s="10"/>
      <c r="F401" s="10"/>
      <c r="G401" s="10"/>
      <c r="H401" s="10"/>
      <c r="I401" s="10"/>
      <c r="J401" s="10"/>
      <c r="K401" s="10"/>
      <c r="L401" s="10"/>
      <c r="M401" s="10"/>
      <c r="N401" s="10"/>
      <c r="O401" s="34"/>
    </row>
    <row r="402" ht="15.75" customHeight="1">
      <c r="A402" s="32"/>
      <c r="B402" s="33"/>
      <c r="C402" s="10"/>
      <c r="D402" s="10"/>
      <c r="E402" s="10"/>
      <c r="F402" s="10"/>
      <c r="G402" s="10"/>
      <c r="H402" s="10"/>
      <c r="I402" s="10"/>
      <c r="J402" s="10"/>
      <c r="K402" s="10"/>
      <c r="L402" s="10"/>
      <c r="M402" s="10"/>
      <c r="N402" s="10"/>
      <c r="O402" s="34"/>
    </row>
    <row r="403" ht="15.75" customHeight="1">
      <c r="A403" s="32"/>
      <c r="B403" s="33"/>
      <c r="C403" s="10"/>
      <c r="D403" s="10"/>
      <c r="E403" s="10"/>
      <c r="F403" s="10"/>
      <c r="G403" s="10"/>
      <c r="H403" s="10"/>
      <c r="I403" s="10"/>
      <c r="J403" s="10"/>
      <c r="K403" s="10"/>
      <c r="L403" s="10"/>
      <c r="M403" s="10"/>
      <c r="N403" s="10"/>
      <c r="O403" s="34"/>
    </row>
    <row r="404" ht="15.75" customHeight="1">
      <c r="A404" s="32"/>
      <c r="B404" s="33"/>
      <c r="C404" s="10"/>
      <c r="D404" s="10"/>
      <c r="E404" s="10"/>
      <c r="F404" s="10"/>
      <c r="G404" s="10"/>
      <c r="H404" s="10"/>
      <c r="I404" s="10"/>
      <c r="J404" s="10"/>
      <c r="K404" s="10"/>
      <c r="L404" s="10"/>
      <c r="M404" s="10"/>
      <c r="N404" s="10"/>
      <c r="O404" s="34"/>
    </row>
    <row r="405" ht="15.75" customHeight="1">
      <c r="A405" s="32"/>
      <c r="B405" s="33"/>
      <c r="C405" s="10"/>
      <c r="D405" s="10"/>
      <c r="E405" s="10"/>
      <c r="F405" s="10"/>
      <c r="G405" s="10"/>
      <c r="H405" s="10"/>
      <c r="I405" s="10"/>
      <c r="J405" s="10"/>
      <c r="K405" s="10"/>
      <c r="L405" s="10"/>
      <c r="M405" s="10"/>
      <c r="N405" s="10"/>
      <c r="O405" s="34"/>
    </row>
    <row r="406" ht="15.75" customHeight="1">
      <c r="A406" s="32"/>
      <c r="B406" s="33"/>
      <c r="C406" s="10"/>
      <c r="D406" s="10"/>
      <c r="E406" s="10"/>
      <c r="F406" s="10"/>
      <c r="G406" s="10"/>
      <c r="H406" s="10"/>
      <c r="I406" s="10"/>
      <c r="J406" s="10"/>
      <c r="K406" s="10"/>
      <c r="L406" s="10"/>
      <c r="M406" s="10"/>
      <c r="N406" s="10"/>
      <c r="O406" s="34"/>
    </row>
    <row r="407" ht="15.75" customHeight="1">
      <c r="A407" s="32"/>
      <c r="B407" s="33"/>
      <c r="C407" s="10"/>
      <c r="D407" s="10"/>
      <c r="E407" s="10"/>
      <c r="F407" s="10"/>
      <c r="G407" s="10"/>
      <c r="H407" s="10"/>
      <c r="I407" s="10"/>
      <c r="J407" s="10"/>
      <c r="K407" s="10"/>
      <c r="L407" s="10"/>
      <c r="M407" s="10"/>
      <c r="N407" s="10"/>
      <c r="O407" s="34"/>
    </row>
    <row r="408" ht="15.75" customHeight="1">
      <c r="A408" s="32"/>
      <c r="B408" s="33"/>
      <c r="C408" s="10"/>
      <c r="D408" s="10"/>
      <c r="E408" s="10"/>
      <c r="F408" s="10"/>
      <c r="G408" s="10"/>
      <c r="H408" s="10"/>
      <c r="I408" s="10"/>
      <c r="J408" s="10"/>
      <c r="K408" s="10"/>
      <c r="L408" s="10"/>
      <c r="M408" s="10"/>
      <c r="N408" s="10"/>
      <c r="O408" s="34"/>
    </row>
    <row r="409" ht="15.75" customHeight="1">
      <c r="A409" s="32"/>
      <c r="B409" s="33"/>
      <c r="C409" s="10"/>
      <c r="D409" s="10"/>
      <c r="E409" s="10"/>
      <c r="F409" s="10"/>
      <c r="G409" s="10"/>
      <c r="H409" s="10"/>
      <c r="I409" s="10"/>
      <c r="J409" s="10"/>
      <c r="K409" s="10"/>
      <c r="L409" s="10"/>
      <c r="M409" s="10"/>
      <c r="N409" s="10"/>
      <c r="O409" s="34"/>
    </row>
    <row r="410" ht="15.75" customHeight="1">
      <c r="A410" s="32"/>
      <c r="B410" s="33"/>
      <c r="C410" s="10"/>
      <c r="D410" s="10"/>
      <c r="E410" s="10"/>
      <c r="F410" s="10"/>
      <c r="G410" s="10"/>
      <c r="H410" s="10"/>
      <c r="I410" s="10"/>
      <c r="J410" s="10"/>
      <c r="K410" s="10"/>
      <c r="L410" s="10"/>
      <c r="M410" s="10"/>
      <c r="N410" s="10"/>
      <c r="O410" s="34"/>
    </row>
    <row r="411" ht="15.75" customHeight="1">
      <c r="A411" s="32"/>
      <c r="B411" s="33"/>
      <c r="C411" s="10"/>
      <c r="D411" s="10"/>
      <c r="E411" s="10"/>
      <c r="F411" s="10"/>
      <c r="G411" s="10"/>
      <c r="H411" s="10"/>
      <c r="I411" s="10"/>
      <c r="J411" s="10"/>
      <c r="K411" s="10"/>
      <c r="L411" s="10"/>
      <c r="M411" s="10"/>
      <c r="N411" s="10"/>
      <c r="O411" s="34"/>
    </row>
    <row r="412" ht="15.75" customHeight="1">
      <c r="A412" s="32"/>
      <c r="B412" s="33"/>
      <c r="C412" s="10"/>
      <c r="D412" s="10"/>
      <c r="E412" s="10"/>
      <c r="F412" s="10"/>
      <c r="G412" s="10"/>
      <c r="H412" s="10"/>
      <c r="I412" s="10"/>
      <c r="J412" s="10"/>
      <c r="K412" s="10"/>
      <c r="L412" s="10"/>
      <c r="M412" s="10"/>
      <c r="N412" s="10"/>
      <c r="O412" s="34"/>
    </row>
    <row r="413" ht="15.75" customHeight="1">
      <c r="A413" s="32"/>
      <c r="B413" s="33"/>
      <c r="C413" s="10"/>
      <c r="D413" s="10"/>
      <c r="E413" s="10"/>
      <c r="F413" s="10"/>
      <c r="G413" s="10"/>
      <c r="H413" s="10"/>
      <c r="I413" s="10"/>
      <c r="J413" s="10"/>
      <c r="K413" s="10"/>
      <c r="L413" s="10"/>
      <c r="M413" s="10"/>
      <c r="N413" s="10"/>
      <c r="O413" s="34"/>
    </row>
    <row r="414" ht="15.75" customHeight="1">
      <c r="A414" s="32"/>
      <c r="B414" s="33"/>
      <c r="C414" s="10"/>
      <c r="D414" s="10"/>
      <c r="E414" s="10"/>
      <c r="F414" s="10"/>
      <c r="G414" s="10"/>
      <c r="H414" s="10"/>
      <c r="I414" s="10"/>
      <c r="J414" s="10"/>
      <c r="K414" s="10"/>
      <c r="L414" s="10"/>
      <c r="M414" s="10"/>
      <c r="N414" s="10"/>
      <c r="O414" s="34"/>
    </row>
    <row r="415" ht="15.75" customHeight="1">
      <c r="A415" s="32"/>
      <c r="B415" s="33"/>
      <c r="C415" s="10"/>
      <c r="D415" s="10"/>
      <c r="E415" s="10"/>
      <c r="F415" s="10"/>
      <c r="G415" s="10"/>
      <c r="H415" s="10"/>
      <c r="I415" s="10"/>
      <c r="J415" s="10"/>
      <c r="K415" s="10"/>
      <c r="L415" s="10"/>
      <c r="M415" s="10"/>
      <c r="N415" s="10"/>
      <c r="O415" s="34"/>
    </row>
    <row r="416" ht="15.75" customHeight="1">
      <c r="A416" s="32"/>
      <c r="B416" s="33"/>
      <c r="C416" s="10"/>
      <c r="D416" s="10"/>
      <c r="E416" s="10"/>
      <c r="F416" s="10"/>
      <c r="G416" s="10"/>
      <c r="H416" s="10"/>
      <c r="I416" s="10"/>
      <c r="J416" s="10"/>
      <c r="K416" s="10"/>
      <c r="L416" s="10"/>
      <c r="M416" s="10"/>
      <c r="N416" s="10"/>
      <c r="O416" s="34"/>
    </row>
    <row r="417" ht="15.75" customHeight="1">
      <c r="A417" s="32"/>
      <c r="B417" s="33"/>
      <c r="C417" s="10"/>
      <c r="D417" s="10"/>
      <c r="E417" s="10"/>
      <c r="F417" s="10"/>
      <c r="G417" s="10"/>
      <c r="H417" s="10"/>
      <c r="I417" s="10"/>
      <c r="J417" s="10"/>
      <c r="K417" s="10"/>
      <c r="L417" s="10"/>
      <c r="M417" s="10"/>
      <c r="N417" s="10"/>
      <c r="O417" s="34"/>
    </row>
    <row r="418" ht="15.75" customHeight="1">
      <c r="A418" s="32"/>
      <c r="B418" s="33"/>
      <c r="C418" s="10"/>
      <c r="D418" s="10"/>
      <c r="E418" s="10"/>
      <c r="F418" s="10"/>
      <c r="G418" s="10"/>
      <c r="H418" s="10"/>
      <c r="I418" s="10"/>
      <c r="J418" s="10"/>
      <c r="K418" s="10"/>
      <c r="L418" s="10"/>
      <c r="M418" s="10"/>
      <c r="N418" s="10"/>
      <c r="O418" s="34"/>
    </row>
    <row r="419" ht="15.75" customHeight="1">
      <c r="A419" s="32"/>
      <c r="B419" s="33"/>
      <c r="C419" s="10"/>
      <c r="D419" s="10"/>
      <c r="E419" s="10"/>
      <c r="F419" s="10"/>
      <c r="G419" s="10"/>
      <c r="H419" s="10"/>
      <c r="I419" s="10"/>
      <c r="J419" s="10"/>
      <c r="K419" s="10"/>
      <c r="L419" s="10"/>
      <c r="M419" s="10"/>
      <c r="N419" s="10"/>
      <c r="O419" s="34"/>
    </row>
    <row r="420" ht="15.75" customHeight="1">
      <c r="A420" s="32"/>
      <c r="B420" s="33"/>
      <c r="C420" s="10"/>
      <c r="D420" s="10"/>
      <c r="E420" s="10"/>
      <c r="F420" s="10"/>
      <c r="G420" s="10"/>
      <c r="H420" s="10"/>
      <c r="I420" s="10"/>
      <c r="J420" s="10"/>
      <c r="K420" s="10"/>
      <c r="L420" s="10"/>
      <c r="M420" s="10"/>
      <c r="N420" s="10"/>
      <c r="O420" s="34"/>
    </row>
    <row r="421" ht="15.75" customHeight="1">
      <c r="A421" s="32"/>
      <c r="B421" s="33"/>
      <c r="C421" s="10"/>
      <c r="D421" s="10"/>
      <c r="E421" s="10"/>
      <c r="F421" s="10"/>
      <c r="G421" s="10"/>
      <c r="H421" s="10"/>
      <c r="I421" s="10"/>
      <c r="J421" s="10"/>
      <c r="K421" s="10"/>
      <c r="L421" s="10"/>
      <c r="M421" s="10"/>
      <c r="N421" s="10"/>
      <c r="O421" s="34"/>
    </row>
    <row r="422" ht="15.75" customHeight="1">
      <c r="A422" s="32"/>
      <c r="B422" s="33"/>
      <c r="C422" s="10"/>
      <c r="D422" s="10"/>
      <c r="E422" s="10"/>
      <c r="F422" s="10"/>
      <c r="G422" s="10"/>
      <c r="H422" s="10"/>
      <c r="I422" s="10"/>
      <c r="J422" s="10"/>
      <c r="K422" s="10"/>
      <c r="L422" s="10"/>
      <c r="M422" s="10"/>
      <c r="N422" s="10"/>
      <c r="O422" s="34"/>
    </row>
    <row r="423" ht="15.75" customHeight="1">
      <c r="A423" s="32"/>
      <c r="B423" s="33"/>
      <c r="C423" s="10"/>
      <c r="D423" s="10"/>
      <c r="E423" s="10"/>
      <c r="F423" s="10"/>
      <c r="G423" s="10"/>
      <c r="H423" s="10"/>
      <c r="I423" s="10"/>
      <c r="J423" s="10"/>
      <c r="K423" s="10"/>
      <c r="L423" s="10"/>
      <c r="M423" s="10"/>
      <c r="N423" s="10"/>
      <c r="O423" s="34"/>
    </row>
    <row r="424" ht="15.75" customHeight="1">
      <c r="A424" s="32"/>
      <c r="B424" s="33"/>
      <c r="C424" s="10"/>
      <c r="D424" s="10"/>
      <c r="E424" s="10"/>
      <c r="F424" s="10"/>
      <c r="G424" s="10"/>
      <c r="H424" s="10"/>
      <c r="I424" s="10"/>
      <c r="J424" s="10"/>
      <c r="K424" s="10"/>
      <c r="L424" s="10"/>
      <c r="M424" s="10"/>
      <c r="N424" s="10"/>
      <c r="O424" s="34"/>
    </row>
    <row r="425" ht="15.75" customHeight="1">
      <c r="A425" s="32"/>
      <c r="B425" s="33"/>
      <c r="C425" s="10"/>
      <c r="D425" s="10"/>
      <c r="E425" s="10"/>
      <c r="F425" s="10"/>
      <c r="G425" s="10"/>
      <c r="H425" s="10"/>
      <c r="I425" s="10"/>
      <c r="J425" s="10"/>
      <c r="K425" s="10"/>
      <c r="L425" s="10"/>
      <c r="M425" s="10"/>
      <c r="N425" s="10"/>
      <c r="O425" s="34"/>
    </row>
    <row r="426" ht="15.75" customHeight="1">
      <c r="A426" s="32"/>
      <c r="B426" s="33"/>
      <c r="C426" s="10"/>
      <c r="D426" s="10"/>
      <c r="E426" s="10"/>
      <c r="F426" s="10"/>
      <c r="G426" s="10"/>
      <c r="H426" s="10"/>
      <c r="I426" s="10"/>
      <c r="J426" s="10"/>
      <c r="K426" s="10"/>
      <c r="L426" s="10"/>
      <c r="M426" s="10"/>
      <c r="N426" s="10"/>
      <c r="O426" s="34"/>
    </row>
    <row r="427" ht="15.75" customHeight="1">
      <c r="A427" s="32"/>
      <c r="B427" s="33"/>
      <c r="C427" s="10"/>
      <c r="D427" s="10"/>
      <c r="E427" s="10"/>
      <c r="F427" s="10"/>
      <c r="G427" s="10"/>
      <c r="H427" s="10"/>
      <c r="I427" s="10"/>
      <c r="J427" s="10"/>
      <c r="K427" s="10"/>
      <c r="L427" s="10"/>
      <c r="M427" s="10"/>
      <c r="N427" s="10"/>
      <c r="O427" s="34"/>
    </row>
    <row r="428" ht="15.75" customHeight="1">
      <c r="A428" s="32"/>
      <c r="B428" s="33"/>
      <c r="C428" s="10"/>
      <c r="D428" s="10"/>
      <c r="E428" s="10"/>
      <c r="F428" s="10"/>
      <c r="G428" s="10"/>
      <c r="H428" s="10"/>
      <c r="I428" s="10"/>
      <c r="J428" s="10"/>
      <c r="K428" s="10"/>
      <c r="L428" s="10"/>
      <c r="M428" s="10"/>
      <c r="N428" s="10"/>
      <c r="O428" s="34"/>
    </row>
    <row r="429" ht="15.75" customHeight="1">
      <c r="A429" s="32"/>
      <c r="B429" s="33"/>
      <c r="C429" s="10"/>
      <c r="D429" s="10"/>
      <c r="E429" s="10"/>
      <c r="F429" s="10"/>
      <c r="G429" s="10"/>
      <c r="H429" s="10"/>
      <c r="I429" s="10"/>
      <c r="J429" s="10"/>
      <c r="K429" s="10"/>
      <c r="L429" s="10"/>
      <c r="M429" s="10"/>
      <c r="N429" s="10"/>
      <c r="O429" s="34"/>
    </row>
    <row r="430" ht="15.75" customHeight="1">
      <c r="A430" s="32"/>
      <c r="B430" s="33"/>
      <c r="C430" s="10"/>
      <c r="D430" s="10"/>
      <c r="E430" s="10"/>
      <c r="F430" s="10"/>
      <c r="G430" s="10"/>
      <c r="H430" s="10"/>
      <c r="I430" s="10"/>
      <c r="J430" s="10"/>
      <c r="K430" s="10"/>
      <c r="L430" s="10"/>
      <c r="M430" s="10"/>
      <c r="N430" s="10"/>
      <c r="O430" s="34"/>
    </row>
    <row r="431" ht="15.75" customHeight="1">
      <c r="A431" s="32"/>
      <c r="B431" s="33"/>
      <c r="C431" s="10"/>
      <c r="D431" s="10"/>
      <c r="E431" s="10"/>
      <c r="F431" s="10"/>
      <c r="G431" s="10"/>
      <c r="H431" s="10"/>
      <c r="I431" s="10"/>
      <c r="J431" s="10"/>
      <c r="K431" s="10"/>
      <c r="L431" s="10"/>
      <c r="M431" s="10"/>
      <c r="N431" s="10"/>
      <c r="O431" s="34"/>
    </row>
    <row r="432" ht="15.75" customHeight="1">
      <c r="A432" s="32"/>
      <c r="B432" s="33"/>
      <c r="C432" s="10"/>
      <c r="D432" s="10"/>
      <c r="E432" s="10"/>
      <c r="F432" s="10"/>
      <c r="G432" s="10"/>
      <c r="H432" s="10"/>
      <c r="I432" s="10"/>
      <c r="J432" s="10"/>
      <c r="K432" s="10"/>
      <c r="L432" s="10"/>
      <c r="M432" s="10"/>
      <c r="N432" s="10"/>
      <c r="O432" s="34"/>
    </row>
    <row r="433" ht="15.75" customHeight="1">
      <c r="A433" s="32"/>
      <c r="B433" s="33"/>
      <c r="C433" s="10"/>
      <c r="D433" s="10"/>
      <c r="E433" s="10"/>
      <c r="F433" s="10"/>
      <c r="G433" s="10"/>
      <c r="H433" s="10"/>
      <c r="I433" s="10"/>
      <c r="J433" s="10"/>
      <c r="K433" s="10"/>
      <c r="L433" s="10"/>
      <c r="M433" s="10"/>
      <c r="N433" s="10"/>
      <c r="O433" s="34"/>
    </row>
    <row r="434" ht="15.75" customHeight="1">
      <c r="A434" s="32"/>
      <c r="B434" s="33"/>
      <c r="C434" s="10"/>
      <c r="D434" s="10"/>
      <c r="E434" s="10"/>
      <c r="F434" s="10"/>
      <c r="G434" s="10"/>
      <c r="H434" s="10"/>
      <c r="I434" s="10"/>
      <c r="J434" s="10"/>
      <c r="K434" s="10"/>
      <c r="L434" s="10"/>
      <c r="M434" s="10"/>
      <c r="N434" s="10"/>
      <c r="O434" s="34"/>
    </row>
    <row r="435" ht="15.75" customHeight="1">
      <c r="A435" s="32"/>
      <c r="B435" s="33"/>
      <c r="C435" s="10"/>
      <c r="D435" s="10"/>
      <c r="E435" s="10"/>
      <c r="F435" s="10"/>
      <c r="G435" s="10"/>
      <c r="H435" s="10"/>
      <c r="I435" s="10"/>
      <c r="J435" s="10"/>
      <c r="K435" s="10"/>
      <c r="L435" s="10"/>
      <c r="M435" s="10"/>
      <c r="N435" s="10"/>
      <c r="O435" s="34"/>
    </row>
    <row r="436" ht="15.75" customHeight="1">
      <c r="A436" s="32"/>
      <c r="B436" s="33"/>
      <c r="C436" s="10"/>
      <c r="D436" s="10"/>
      <c r="E436" s="10"/>
      <c r="F436" s="10"/>
      <c r="G436" s="10"/>
      <c r="H436" s="10"/>
      <c r="I436" s="10"/>
      <c r="J436" s="10"/>
      <c r="K436" s="10"/>
      <c r="L436" s="10"/>
      <c r="M436" s="10"/>
      <c r="N436" s="10"/>
      <c r="O436" s="34"/>
    </row>
    <row r="437" ht="15.75" customHeight="1">
      <c r="A437" s="32"/>
      <c r="B437" s="33"/>
      <c r="C437" s="10"/>
      <c r="D437" s="10"/>
      <c r="E437" s="10"/>
      <c r="F437" s="10"/>
      <c r="G437" s="10"/>
      <c r="H437" s="10"/>
      <c r="I437" s="10"/>
      <c r="J437" s="10"/>
      <c r="K437" s="10"/>
      <c r="L437" s="10"/>
      <c r="M437" s="10"/>
      <c r="N437" s="10"/>
      <c r="O437" s="34"/>
    </row>
    <row r="438" ht="15.75" customHeight="1">
      <c r="A438" s="32"/>
      <c r="B438" s="33"/>
      <c r="C438" s="10"/>
      <c r="D438" s="10"/>
      <c r="E438" s="10"/>
      <c r="F438" s="10"/>
      <c r="G438" s="10"/>
      <c r="H438" s="10"/>
      <c r="I438" s="10"/>
      <c r="J438" s="10"/>
      <c r="K438" s="10"/>
      <c r="L438" s="10"/>
      <c r="M438" s="10"/>
      <c r="N438" s="10"/>
      <c r="O438" s="34"/>
    </row>
    <row r="439" ht="15.75" customHeight="1">
      <c r="A439" s="32"/>
      <c r="B439" s="33"/>
      <c r="C439" s="10"/>
      <c r="D439" s="10"/>
      <c r="E439" s="10"/>
      <c r="F439" s="10"/>
      <c r="G439" s="10"/>
      <c r="H439" s="10"/>
      <c r="I439" s="10"/>
      <c r="J439" s="10"/>
      <c r="K439" s="10"/>
      <c r="L439" s="10"/>
      <c r="M439" s="10"/>
      <c r="N439" s="10"/>
      <c r="O439" s="34"/>
    </row>
    <row r="440" ht="15.75" customHeight="1">
      <c r="A440" s="32"/>
      <c r="B440" s="33"/>
      <c r="C440" s="10"/>
      <c r="D440" s="10"/>
      <c r="E440" s="10"/>
      <c r="F440" s="10"/>
      <c r="G440" s="10"/>
      <c r="H440" s="10"/>
      <c r="I440" s="10"/>
      <c r="J440" s="10"/>
      <c r="K440" s="10"/>
      <c r="L440" s="10"/>
      <c r="M440" s="10"/>
      <c r="N440" s="10"/>
      <c r="O440" s="34"/>
    </row>
    <row r="441" ht="15.75" customHeight="1">
      <c r="A441" s="32"/>
      <c r="B441" s="33"/>
      <c r="C441" s="10"/>
      <c r="D441" s="10"/>
      <c r="E441" s="10"/>
      <c r="F441" s="10"/>
      <c r="G441" s="10"/>
      <c r="H441" s="10"/>
      <c r="I441" s="10"/>
      <c r="J441" s="10"/>
      <c r="K441" s="10"/>
      <c r="L441" s="10"/>
      <c r="M441" s="10"/>
      <c r="N441" s="10"/>
      <c r="O441" s="34"/>
    </row>
    <row r="442" ht="15.75" customHeight="1">
      <c r="A442" s="32"/>
      <c r="B442" s="33"/>
      <c r="C442" s="10"/>
      <c r="D442" s="10"/>
      <c r="E442" s="10"/>
      <c r="F442" s="10"/>
      <c r="G442" s="10"/>
      <c r="H442" s="10"/>
      <c r="I442" s="10"/>
      <c r="J442" s="10"/>
      <c r="K442" s="10"/>
      <c r="L442" s="10"/>
      <c r="M442" s="10"/>
      <c r="N442" s="10"/>
      <c r="O442" s="34"/>
    </row>
    <row r="443" ht="15.75" customHeight="1">
      <c r="A443" s="32"/>
      <c r="B443" s="33"/>
      <c r="C443" s="10"/>
      <c r="D443" s="10"/>
      <c r="E443" s="10"/>
      <c r="F443" s="10"/>
      <c r="G443" s="10"/>
      <c r="H443" s="10"/>
      <c r="I443" s="10"/>
      <c r="J443" s="10"/>
      <c r="K443" s="10"/>
      <c r="L443" s="10"/>
      <c r="M443" s="10"/>
      <c r="N443" s="10"/>
      <c r="O443" s="34"/>
    </row>
    <row r="444" ht="15.75" customHeight="1">
      <c r="A444" s="32"/>
      <c r="B444" s="33"/>
      <c r="C444" s="10"/>
      <c r="D444" s="10"/>
      <c r="E444" s="10"/>
      <c r="F444" s="10"/>
      <c r="G444" s="10"/>
      <c r="H444" s="10"/>
      <c r="I444" s="10"/>
      <c r="J444" s="10"/>
      <c r="K444" s="10"/>
      <c r="L444" s="10"/>
      <c r="M444" s="10"/>
      <c r="N444" s="10"/>
      <c r="O444" s="34"/>
    </row>
    <row r="445" ht="15.75" customHeight="1">
      <c r="A445" s="32"/>
      <c r="B445" s="33"/>
      <c r="C445" s="10"/>
      <c r="D445" s="10"/>
      <c r="E445" s="10"/>
      <c r="F445" s="10"/>
      <c r="G445" s="10"/>
      <c r="H445" s="10"/>
      <c r="I445" s="10"/>
      <c r="J445" s="10"/>
      <c r="K445" s="10"/>
      <c r="L445" s="10"/>
      <c r="M445" s="10"/>
      <c r="N445" s="10"/>
      <c r="O445" s="34"/>
    </row>
    <row r="446" ht="15.75" customHeight="1">
      <c r="A446" s="32"/>
      <c r="B446" s="33"/>
      <c r="C446" s="10"/>
      <c r="D446" s="10"/>
      <c r="E446" s="10"/>
      <c r="F446" s="10"/>
      <c r="G446" s="10"/>
      <c r="H446" s="10"/>
      <c r="I446" s="10"/>
      <c r="J446" s="10"/>
      <c r="K446" s="10"/>
      <c r="L446" s="10"/>
      <c r="M446" s="10"/>
      <c r="N446" s="10"/>
      <c r="O446" s="34"/>
    </row>
    <row r="447" ht="15.75" customHeight="1">
      <c r="A447" s="32"/>
      <c r="B447" s="33"/>
      <c r="C447" s="10"/>
      <c r="D447" s="10"/>
      <c r="E447" s="10"/>
      <c r="F447" s="10"/>
      <c r="G447" s="10"/>
      <c r="H447" s="10"/>
      <c r="I447" s="10"/>
      <c r="J447" s="10"/>
      <c r="K447" s="10"/>
      <c r="L447" s="10"/>
      <c r="M447" s="10"/>
      <c r="N447" s="10"/>
      <c r="O447" s="34"/>
    </row>
    <row r="448" ht="15.75" customHeight="1">
      <c r="A448" s="32"/>
      <c r="B448" s="33"/>
      <c r="C448" s="10"/>
      <c r="D448" s="10"/>
      <c r="E448" s="10"/>
      <c r="F448" s="10"/>
      <c r="G448" s="10"/>
      <c r="H448" s="10"/>
      <c r="I448" s="10"/>
      <c r="J448" s="10"/>
      <c r="K448" s="10"/>
      <c r="L448" s="10"/>
      <c r="M448" s="10"/>
      <c r="N448" s="10"/>
      <c r="O448" s="34"/>
    </row>
    <row r="449" ht="15.75" customHeight="1">
      <c r="A449" s="32"/>
      <c r="B449" s="33"/>
      <c r="C449" s="10"/>
      <c r="D449" s="10"/>
      <c r="E449" s="10"/>
      <c r="F449" s="10"/>
      <c r="G449" s="10"/>
      <c r="H449" s="10"/>
      <c r="I449" s="10"/>
      <c r="J449" s="10"/>
      <c r="K449" s="10"/>
      <c r="L449" s="10"/>
      <c r="M449" s="10"/>
      <c r="N449" s="10"/>
      <c r="O449" s="34"/>
    </row>
    <row r="450" ht="15.75" customHeight="1">
      <c r="A450" s="32"/>
      <c r="B450" s="33"/>
      <c r="C450" s="10"/>
      <c r="D450" s="10"/>
      <c r="E450" s="10"/>
      <c r="F450" s="10"/>
      <c r="G450" s="10"/>
      <c r="H450" s="10"/>
      <c r="I450" s="10"/>
      <c r="J450" s="10"/>
      <c r="K450" s="10"/>
      <c r="L450" s="10"/>
      <c r="M450" s="10"/>
      <c r="N450" s="10"/>
      <c r="O450" s="34"/>
    </row>
    <row r="451" ht="15.75" customHeight="1">
      <c r="A451" s="32"/>
      <c r="B451" s="33"/>
      <c r="C451" s="10"/>
      <c r="D451" s="10"/>
      <c r="E451" s="10"/>
      <c r="F451" s="10"/>
      <c r="G451" s="10"/>
      <c r="H451" s="10"/>
      <c r="I451" s="10"/>
      <c r="J451" s="10"/>
      <c r="K451" s="10"/>
      <c r="L451" s="10"/>
      <c r="M451" s="10"/>
      <c r="N451" s="10"/>
      <c r="O451" s="34"/>
    </row>
    <row r="452" ht="15.75" customHeight="1">
      <c r="A452" s="32"/>
      <c r="B452" s="33"/>
      <c r="C452" s="10"/>
      <c r="D452" s="10"/>
      <c r="E452" s="10"/>
      <c r="F452" s="10"/>
      <c r="G452" s="10"/>
      <c r="H452" s="10"/>
      <c r="I452" s="10"/>
      <c r="J452" s="10"/>
      <c r="K452" s="10"/>
      <c r="L452" s="10"/>
      <c r="M452" s="10"/>
      <c r="N452" s="10"/>
      <c r="O452" s="34"/>
    </row>
    <row r="453" ht="15.75" customHeight="1">
      <c r="A453" s="32"/>
      <c r="B453" s="33"/>
      <c r="C453" s="10"/>
      <c r="D453" s="10"/>
      <c r="E453" s="10"/>
      <c r="F453" s="10"/>
      <c r="G453" s="10"/>
      <c r="H453" s="10"/>
      <c r="I453" s="10"/>
      <c r="J453" s="10"/>
      <c r="K453" s="10"/>
      <c r="L453" s="10"/>
      <c r="M453" s="10"/>
      <c r="N453" s="10"/>
      <c r="O453" s="34"/>
    </row>
    <row r="454" ht="15.75" customHeight="1">
      <c r="A454" s="32"/>
      <c r="B454" s="33"/>
      <c r="C454" s="10"/>
      <c r="D454" s="10"/>
      <c r="E454" s="10"/>
      <c r="F454" s="10"/>
      <c r="G454" s="10"/>
      <c r="H454" s="10"/>
      <c r="I454" s="10"/>
      <c r="J454" s="10"/>
      <c r="K454" s="10"/>
      <c r="L454" s="10"/>
      <c r="M454" s="10"/>
      <c r="N454" s="10"/>
      <c r="O454" s="34"/>
    </row>
    <row r="455" ht="15.75" customHeight="1">
      <c r="A455" s="32"/>
      <c r="B455" s="33"/>
      <c r="C455" s="10"/>
      <c r="D455" s="10"/>
      <c r="E455" s="10"/>
      <c r="F455" s="10"/>
      <c r="G455" s="10"/>
      <c r="H455" s="10"/>
      <c r="I455" s="10"/>
      <c r="J455" s="10"/>
      <c r="K455" s="10"/>
      <c r="L455" s="10"/>
      <c r="M455" s="10"/>
      <c r="N455" s="10"/>
      <c r="O455" s="34"/>
    </row>
    <row r="456" ht="15.75" customHeight="1">
      <c r="A456" s="32"/>
      <c r="B456" s="33"/>
      <c r="C456" s="10"/>
      <c r="D456" s="10"/>
      <c r="E456" s="10"/>
      <c r="F456" s="10"/>
      <c r="G456" s="10"/>
      <c r="H456" s="10"/>
      <c r="I456" s="10"/>
      <c r="J456" s="10"/>
      <c r="K456" s="10"/>
      <c r="L456" s="10"/>
      <c r="M456" s="10"/>
      <c r="N456" s="10"/>
      <c r="O456" s="34"/>
    </row>
    <row r="457" ht="15.75" customHeight="1">
      <c r="A457" s="32"/>
      <c r="B457" s="33"/>
      <c r="C457" s="10"/>
      <c r="D457" s="10"/>
      <c r="E457" s="10"/>
      <c r="F457" s="10"/>
      <c r="G457" s="10"/>
      <c r="H457" s="10"/>
      <c r="I457" s="10"/>
      <c r="J457" s="10"/>
      <c r="K457" s="10"/>
      <c r="L457" s="10"/>
      <c r="M457" s="10"/>
      <c r="N457" s="10"/>
      <c r="O457" s="34"/>
    </row>
    <row r="458" ht="15.75" customHeight="1">
      <c r="A458" s="32"/>
      <c r="B458" s="33"/>
      <c r="C458" s="10"/>
      <c r="D458" s="10"/>
      <c r="E458" s="10"/>
      <c r="F458" s="10"/>
      <c r="G458" s="10"/>
      <c r="H458" s="10"/>
      <c r="I458" s="10"/>
      <c r="J458" s="10"/>
      <c r="K458" s="10"/>
      <c r="L458" s="10"/>
      <c r="M458" s="10"/>
      <c r="N458" s="10"/>
      <c r="O458" s="34"/>
    </row>
    <row r="459" ht="15.75" customHeight="1">
      <c r="A459" s="32"/>
      <c r="B459" s="33"/>
      <c r="C459" s="10"/>
      <c r="D459" s="10"/>
      <c r="E459" s="10"/>
      <c r="F459" s="10"/>
      <c r="G459" s="10"/>
      <c r="H459" s="10"/>
      <c r="I459" s="10"/>
      <c r="J459" s="10"/>
      <c r="K459" s="10"/>
      <c r="L459" s="10"/>
      <c r="M459" s="10"/>
      <c r="N459" s="10"/>
      <c r="O459" s="34"/>
    </row>
    <row r="460" ht="15.75" customHeight="1">
      <c r="A460" s="32"/>
      <c r="B460" s="33"/>
      <c r="C460" s="10"/>
      <c r="D460" s="10"/>
      <c r="E460" s="10"/>
      <c r="F460" s="10"/>
      <c r="G460" s="10"/>
      <c r="H460" s="10"/>
      <c r="I460" s="10"/>
      <c r="J460" s="10"/>
      <c r="K460" s="10"/>
      <c r="L460" s="10"/>
      <c r="M460" s="10"/>
      <c r="N460" s="10"/>
      <c r="O460" s="34"/>
    </row>
    <row r="461" ht="15.75" customHeight="1">
      <c r="A461" s="32"/>
      <c r="B461" s="33"/>
      <c r="C461" s="10"/>
      <c r="D461" s="10"/>
      <c r="E461" s="10"/>
      <c r="F461" s="10"/>
      <c r="G461" s="10"/>
      <c r="H461" s="10"/>
      <c r="I461" s="10"/>
      <c r="J461" s="10"/>
      <c r="K461" s="10"/>
      <c r="L461" s="10"/>
      <c r="M461" s="10"/>
      <c r="N461" s="10"/>
      <c r="O461" s="34"/>
    </row>
    <row r="462" ht="15.75" customHeight="1">
      <c r="A462" s="32"/>
      <c r="B462" s="33"/>
      <c r="C462" s="10"/>
      <c r="D462" s="10"/>
      <c r="E462" s="10"/>
      <c r="F462" s="10"/>
      <c r="G462" s="10"/>
      <c r="H462" s="10"/>
      <c r="I462" s="10"/>
      <c r="J462" s="10"/>
      <c r="K462" s="10"/>
      <c r="L462" s="10"/>
      <c r="M462" s="10"/>
      <c r="N462" s="10"/>
      <c r="O462" s="34"/>
    </row>
    <row r="463" ht="15.75" customHeight="1">
      <c r="A463" s="32"/>
      <c r="B463" s="33"/>
      <c r="C463" s="10"/>
      <c r="D463" s="10"/>
      <c r="E463" s="10"/>
      <c r="F463" s="10"/>
      <c r="G463" s="10"/>
      <c r="H463" s="10"/>
      <c r="I463" s="10"/>
      <c r="J463" s="10"/>
      <c r="K463" s="10"/>
      <c r="L463" s="10"/>
      <c r="M463" s="10"/>
      <c r="N463" s="10"/>
      <c r="O463" s="34"/>
    </row>
    <row r="464" ht="15.75" customHeight="1">
      <c r="A464" s="32"/>
      <c r="B464" s="33"/>
      <c r="C464" s="10"/>
      <c r="D464" s="10"/>
      <c r="E464" s="10"/>
      <c r="F464" s="10"/>
      <c r="G464" s="10"/>
      <c r="H464" s="10"/>
      <c r="I464" s="10"/>
      <c r="J464" s="10"/>
      <c r="K464" s="10"/>
      <c r="L464" s="10"/>
      <c r="M464" s="10"/>
      <c r="N464" s="10"/>
      <c r="O464" s="34"/>
    </row>
    <row r="465" ht="15.75" customHeight="1">
      <c r="A465" s="32"/>
      <c r="B465" s="33"/>
      <c r="C465" s="10"/>
      <c r="D465" s="10"/>
      <c r="E465" s="10"/>
      <c r="F465" s="10"/>
      <c r="G465" s="10"/>
      <c r="H465" s="10"/>
      <c r="I465" s="10"/>
      <c r="J465" s="10"/>
      <c r="K465" s="10"/>
      <c r="L465" s="10"/>
      <c r="M465" s="10"/>
      <c r="N465" s="10"/>
      <c r="O465" s="34"/>
    </row>
    <row r="466" ht="15.75" customHeight="1">
      <c r="A466" s="32"/>
      <c r="B466" s="33"/>
      <c r="C466" s="10"/>
      <c r="D466" s="10"/>
      <c r="E466" s="10"/>
      <c r="F466" s="10"/>
      <c r="G466" s="10"/>
      <c r="H466" s="10"/>
      <c r="I466" s="10"/>
      <c r="J466" s="10"/>
      <c r="K466" s="10"/>
      <c r="L466" s="10"/>
      <c r="M466" s="10"/>
      <c r="N466" s="10"/>
      <c r="O466" s="34"/>
    </row>
    <row r="467" ht="15.75" customHeight="1">
      <c r="A467" s="32"/>
      <c r="B467" s="33"/>
      <c r="C467" s="10"/>
      <c r="D467" s="10"/>
      <c r="E467" s="10"/>
      <c r="F467" s="10"/>
      <c r="G467" s="10"/>
      <c r="H467" s="10"/>
      <c r="I467" s="10"/>
      <c r="J467" s="10"/>
      <c r="K467" s="10"/>
      <c r="L467" s="10"/>
      <c r="M467" s="10"/>
      <c r="N467" s="10"/>
      <c r="O467" s="34"/>
    </row>
    <row r="468" ht="15.75" customHeight="1">
      <c r="A468" s="32"/>
      <c r="B468" s="33"/>
      <c r="C468" s="10"/>
      <c r="D468" s="10"/>
      <c r="E468" s="10"/>
      <c r="F468" s="10"/>
      <c r="G468" s="10"/>
      <c r="H468" s="10"/>
      <c r="I468" s="10"/>
      <c r="J468" s="10"/>
      <c r="K468" s="10"/>
      <c r="L468" s="10"/>
      <c r="M468" s="10"/>
      <c r="N468" s="10"/>
      <c r="O468" s="34"/>
    </row>
    <row r="469" ht="15.75" customHeight="1">
      <c r="A469" s="32"/>
      <c r="B469" s="33"/>
      <c r="C469" s="10"/>
      <c r="D469" s="10"/>
      <c r="E469" s="10"/>
      <c r="F469" s="10"/>
      <c r="G469" s="10"/>
      <c r="H469" s="10"/>
      <c r="I469" s="10"/>
      <c r="J469" s="10"/>
      <c r="K469" s="10"/>
      <c r="L469" s="10"/>
      <c r="M469" s="10"/>
      <c r="N469" s="10"/>
      <c r="O469" s="34"/>
    </row>
    <row r="470" ht="15.75" customHeight="1">
      <c r="A470" s="32"/>
      <c r="B470" s="33"/>
      <c r="C470" s="10"/>
      <c r="D470" s="10"/>
      <c r="E470" s="10"/>
      <c r="F470" s="10"/>
      <c r="G470" s="10"/>
      <c r="H470" s="10"/>
      <c r="I470" s="10"/>
      <c r="J470" s="10"/>
      <c r="K470" s="10"/>
      <c r="L470" s="10"/>
      <c r="M470" s="10"/>
      <c r="N470" s="10"/>
      <c r="O470" s="34"/>
    </row>
    <row r="471" ht="15.75" customHeight="1">
      <c r="A471" s="32"/>
      <c r="B471" s="33"/>
      <c r="C471" s="10"/>
      <c r="D471" s="10"/>
      <c r="E471" s="10"/>
      <c r="F471" s="10"/>
      <c r="G471" s="10"/>
      <c r="H471" s="10"/>
      <c r="I471" s="10"/>
      <c r="J471" s="10"/>
      <c r="K471" s="10"/>
      <c r="L471" s="10"/>
      <c r="M471" s="10"/>
      <c r="N471" s="10"/>
      <c r="O471" s="34"/>
    </row>
    <row r="472" ht="15.75" customHeight="1">
      <c r="A472" s="32"/>
      <c r="B472" s="33"/>
      <c r="C472" s="10"/>
      <c r="D472" s="10"/>
      <c r="E472" s="10"/>
      <c r="F472" s="10"/>
      <c r="G472" s="10"/>
      <c r="H472" s="10"/>
      <c r="I472" s="10"/>
      <c r="J472" s="10"/>
      <c r="K472" s="10"/>
      <c r="L472" s="10"/>
      <c r="M472" s="10"/>
      <c r="N472" s="10"/>
      <c r="O472" s="34"/>
    </row>
    <row r="473" ht="15.75" customHeight="1">
      <c r="A473" s="32"/>
      <c r="B473" s="33"/>
      <c r="C473" s="10"/>
      <c r="D473" s="10"/>
      <c r="E473" s="10"/>
      <c r="F473" s="10"/>
      <c r="G473" s="10"/>
      <c r="H473" s="10"/>
      <c r="I473" s="10"/>
      <c r="J473" s="10"/>
      <c r="K473" s="10"/>
      <c r="L473" s="10"/>
      <c r="M473" s="10"/>
      <c r="N473" s="10"/>
      <c r="O473" s="34"/>
    </row>
    <row r="474" ht="15.75" customHeight="1">
      <c r="A474" s="32"/>
      <c r="B474" s="33"/>
      <c r="C474" s="10"/>
      <c r="D474" s="10"/>
      <c r="E474" s="10"/>
      <c r="F474" s="10"/>
      <c r="G474" s="10"/>
      <c r="H474" s="10"/>
      <c r="I474" s="10"/>
      <c r="J474" s="10"/>
      <c r="K474" s="10"/>
      <c r="L474" s="10"/>
      <c r="M474" s="10"/>
      <c r="N474" s="10"/>
      <c r="O474" s="34"/>
    </row>
    <row r="475" ht="15.75" customHeight="1">
      <c r="A475" s="32"/>
      <c r="B475" s="33"/>
      <c r="C475" s="10"/>
      <c r="D475" s="10"/>
      <c r="E475" s="10"/>
      <c r="F475" s="10"/>
      <c r="G475" s="10"/>
      <c r="H475" s="10"/>
      <c r="I475" s="10"/>
      <c r="J475" s="10"/>
      <c r="K475" s="10"/>
      <c r="L475" s="10"/>
      <c r="M475" s="10"/>
      <c r="N475" s="10"/>
      <c r="O475" s="34"/>
    </row>
    <row r="476" ht="15.75" customHeight="1">
      <c r="A476" s="32"/>
      <c r="B476" s="33"/>
      <c r="C476" s="10"/>
      <c r="D476" s="10"/>
      <c r="E476" s="10"/>
      <c r="F476" s="10"/>
      <c r="G476" s="10"/>
      <c r="H476" s="10"/>
      <c r="I476" s="10"/>
      <c r="J476" s="10"/>
      <c r="K476" s="10"/>
      <c r="L476" s="10"/>
      <c r="M476" s="10"/>
      <c r="N476" s="10"/>
      <c r="O476" s="34"/>
    </row>
    <row r="477" ht="15.75" customHeight="1">
      <c r="A477" s="32"/>
      <c r="B477" s="33"/>
      <c r="C477" s="10"/>
      <c r="D477" s="10"/>
      <c r="E477" s="10"/>
      <c r="F477" s="10"/>
      <c r="G477" s="10"/>
      <c r="H477" s="10"/>
      <c r="I477" s="10"/>
      <c r="J477" s="10"/>
      <c r="K477" s="10"/>
      <c r="L477" s="10"/>
      <c r="M477" s="10"/>
      <c r="N477" s="10"/>
      <c r="O477" s="34"/>
    </row>
    <row r="478" ht="15.75" customHeight="1">
      <c r="A478" s="32"/>
      <c r="B478" s="33"/>
      <c r="C478" s="10"/>
      <c r="D478" s="10"/>
      <c r="E478" s="10"/>
      <c r="F478" s="10"/>
      <c r="G478" s="10"/>
      <c r="H478" s="10"/>
      <c r="I478" s="10"/>
      <c r="J478" s="10"/>
      <c r="K478" s="10"/>
      <c r="L478" s="10"/>
      <c r="M478" s="10"/>
      <c r="N478" s="10"/>
      <c r="O478" s="34"/>
    </row>
    <row r="479" ht="15.75" customHeight="1">
      <c r="A479" s="32"/>
      <c r="B479" s="33"/>
      <c r="C479" s="10"/>
      <c r="D479" s="10"/>
      <c r="E479" s="10"/>
      <c r="F479" s="10"/>
      <c r="G479" s="10"/>
      <c r="H479" s="10"/>
      <c r="I479" s="10"/>
      <c r="J479" s="10"/>
      <c r="K479" s="10"/>
      <c r="L479" s="10"/>
      <c r="M479" s="10"/>
      <c r="N479" s="10"/>
      <c r="O479" s="34"/>
    </row>
    <row r="480" ht="15.75" customHeight="1">
      <c r="A480" s="32"/>
      <c r="B480" s="33"/>
      <c r="C480" s="10"/>
      <c r="D480" s="10"/>
      <c r="E480" s="10"/>
      <c r="F480" s="10"/>
      <c r="G480" s="10"/>
      <c r="H480" s="10"/>
      <c r="I480" s="10"/>
      <c r="J480" s="10"/>
      <c r="K480" s="10"/>
      <c r="L480" s="10"/>
      <c r="M480" s="10"/>
      <c r="N480" s="10"/>
      <c r="O480" s="34"/>
    </row>
    <row r="481" ht="15.75" customHeight="1">
      <c r="A481" s="32"/>
      <c r="B481" s="33"/>
      <c r="C481" s="10"/>
      <c r="D481" s="10"/>
      <c r="E481" s="10"/>
      <c r="F481" s="10"/>
      <c r="G481" s="10"/>
      <c r="H481" s="10"/>
      <c r="I481" s="10"/>
      <c r="J481" s="10"/>
      <c r="K481" s="10"/>
      <c r="L481" s="10"/>
      <c r="M481" s="10"/>
      <c r="N481" s="10"/>
      <c r="O481" s="34"/>
    </row>
    <row r="482" ht="15.75" customHeight="1">
      <c r="A482" s="32"/>
      <c r="B482" s="33"/>
      <c r="C482" s="10"/>
      <c r="D482" s="10"/>
      <c r="E482" s="10"/>
      <c r="F482" s="10"/>
      <c r="G482" s="10"/>
      <c r="H482" s="10"/>
      <c r="I482" s="10"/>
      <c r="J482" s="10"/>
      <c r="K482" s="10"/>
      <c r="L482" s="10"/>
      <c r="M482" s="10"/>
      <c r="N482" s="10"/>
      <c r="O482" s="34"/>
    </row>
    <row r="483" ht="15.75" customHeight="1">
      <c r="A483" s="32"/>
      <c r="B483" s="33"/>
      <c r="C483" s="10"/>
      <c r="D483" s="10"/>
      <c r="E483" s="10"/>
      <c r="F483" s="10"/>
      <c r="G483" s="10"/>
      <c r="H483" s="10"/>
      <c r="I483" s="10"/>
      <c r="J483" s="10"/>
      <c r="K483" s="10"/>
      <c r="L483" s="10"/>
      <c r="M483" s="10"/>
      <c r="N483" s="10"/>
      <c r="O483" s="34"/>
    </row>
    <row r="484" ht="15.75" customHeight="1">
      <c r="A484" s="32"/>
      <c r="B484" s="33"/>
      <c r="C484" s="10"/>
      <c r="D484" s="10"/>
      <c r="E484" s="10"/>
      <c r="F484" s="10"/>
      <c r="G484" s="10"/>
      <c r="H484" s="10"/>
      <c r="I484" s="10"/>
      <c r="J484" s="10"/>
      <c r="K484" s="10"/>
      <c r="L484" s="10"/>
      <c r="M484" s="10"/>
      <c r="N484" s="10"/>
      <c r="O484" s="34"/>
    </row>
    <row r="485" ht="15.75" customHeight="1">
      <c r="A485" s="32"/>
      <c r="B485" s="33"/>
      <c r="C485" s="10"/>
      <c r="D485" s="10"/>
      <c r="E485" s="10"/>
      <c r="F485" s="10"/>
      <c r="G485" s="10"/>
      <c r="H485" s="10"/>
      <c r="I485" s="10"/>
      <c r="J485" s="10"/>
      <c r="K485" s="10"/>
      <c r="L485" s="10"/>
      <c r="M485" s="10"/>
      <c r="N485" s="10"/>
      <c r="O485" s="34"/>
    </row>
    <row r="486" ht="15.75" customHeight="1">
      <c r="A486" s="32"/>
      <c r="B486" s="33"/>
      <c r="C486" s="10"/>
      <c r="D486" s="10"/>
      <c r="E486" s="10"/>
      <c r="F486" s="10"/>
      <c r="G486" s="10"/>
      <c r="H486" s="10"/>
      <c r="I486" s="10"/>
      <c r="J486" s="10"/>
      <c r="K486" s="10"/>
      <c r="L486" s="10"/>
      <c r="M486" s="10"/>
      <c r="N486" s="10"/>
      <c r="O486" s="34"/>
    </row>
    <row r="487" ht="15.75" customHeight="1">
      <c r="A487" s="32"/>
      <c r="B487" s="33"/>
      <c r="C487" s="10"/>
      <c r="D487" s="10"/>
      <c r="E487" s="10"/>
      <c r="F487" s="10"/>
      <c r="G487" s="10"/>
      <c r="H487" s="10"/>
      <c r="I487" s="10"/>
      <c r="J487" s="10"/>
      <c r="K487" s="10"/>
      <c r="L487" s="10"/>
      <c r="M487" s="10"/>
      <c r="N487" s="10"/>
      <c r="O487" s="34"/>
    </row>
    <row r="488" ht="15.75" customHeight="1">
      <c r="A488" s="32"/>
      <c r="B488" s="33"/>
      <c r="C488" s="10"/>
      <c r="D488" s="10"/>
      <c r="E488" s="10"/>
      <c r="F488" s="10"/>
      <c r="G488" s="10"/>
      <c r="H488" s="10"/>
      <c r="I488" s="10"/>
      <c r="J488" s="10"/>
      <c r="K488" s="10"/>
      <c r="L488" s="10"/>
      <c r="M488" s="10"/>
      <c r="N488" s="10"/>
      <c r="O488" s="34"/>
    </row>
    <row r="489" ht="15.75" customHeight="1">
      <c r="A489" s="32"/>
      <c r="B489" s="33"/>
      <c r="C489" s="10"/>
      <c r="D489" s="10"/>
      <c r="E489" s="10"/>
      <c r="F489" s="10"/>
      <c r="G489" s="10"/>
      <c r="H489" s="10"/>
      <c r="I489" s="10"/>
      <c r="J489" s="10"/>
      <c r="K489" s="10"/>
      <c r="L489" s="10"/>
      <c r="M489" s="10"/>
      <c r="N489" s="10"/>
      <c r="O489" s="34"/>
    </row>
    <row r="490" ht="15.75" customHeight="1">
      <c r="A490" s="32"/>
      <c r="B490" s="33"/>
      <c r="C490" s="10"/>
      <c r="D490" s="10"/>
      <c r="E490" s="10"/>
      <c r="F490" s="10"/>
      <c r="G490" s="10"/>
      <c r="H490" s="10"/>
      <c r="I490" s="10"/>
      <c r="J490" s="10"/>
      <c r="K490" s="10"/>
      <c r="L490" s="10"/>
      <c r="M490" s="10"/>
      <c r="N490" s="10"/>
      <c r="O490" s="34"/>
    </row>
    <row r="491" ht="15.75" customHeight="1">
      <c r="A491" s="32"/>
      <c r="B491" s="33"/>
      <c r="C491" s="10"/>
      <c r="D491" s="10"/>
      <c r="E491" s="10"/>
      <c r="F491" s="10"/>
      <c r="G491" s="10"/>
      <c r="H491" s="10"/>
      <c r="I491" s="10"/>
      <c r="J491" s="10"/>
      <c r="K491" s="10"/>
      <c r="L491" s="10"/>
      <c r="M491" s="10"/>
      <c r="N491" s="10"/>
      <c r="O491" s="34"/>
    </row>
    <row r="492" ht="15.75" customHeight="1">
      <c r="A492" s="32"/>
      <c r="B492" s="33"/>
      <c r="C492" s="10"/>
      <c r="D492" s="10"/>
      <c r="E492" s="10"/>
      <c r="F492" s="10"/>
      <c r="G492" s="10"/>
      <c r="H492" s="10"/>
      <c r="I492" s="10"/>
      <c r="J492" s="10"/>
      <c r="K492" s="10"/>
      <c r="L492" s="10"/>
      <c r="M492" s="10"/>
      <c r="N492" s="10"/>
      <c r="O492" s="34"/>
    </row>
    <row r="493" ht="15.75" customHeight="1">
      <c r="A493" s="32"/>
      <c r="B493" s="33"/>
      <c r="C493" s="10"/>
      <c r="D493" s="10"/>
      <c r="E493" s="10"/>
      <c r="F493" s="10"/>
      <c r="G493" s="10"/>
      <c r="H493" s="10"/>
      <c r="I493" s="10"/>
      <c r="J493" s="10"/>
      <c r="K493" s="10"/>
      <c r="L493" s="10"/>
      <c r="M493" s="10"/>
      <c r="N493" s="10"/>
      <c r="O493" s="34"/>
    </row>
    <row r="494" ht="15.75" customHeight="1">
      <c r="A494" s="32"/>
      <c r="B494" s="33"/>
      <c r="C494" s="10"/>
      <c r="D494" s="10"/>
      <c r="E494" s="10"/>
      <c r="F494" s="10"/>
      <c r="G494" s="10"/>
      <c r="H494" s="10"/>
      <c r="I494" s="10"/>
      <c r="J494" s="10"/>
      <c r="K494" s="10"/>
      <c r="L494" s="10"/>
      <c r="M494" s="10"/>
      <c r="N494" s="10"/>
      <c r="O494" s="34"/>
    </row>
    <row r="495" ht="15.75" customHeight="1">
      <c r="A495" s="32"/>
      <c r="B495" s="33"/>
      <c r="C495" s="10"/>
      <c r="D495" s="10"/>
      <c r="E495" s="10"/>
      <c r="F495" s="10"/>
      <c r="G495" s="10"/>
      <c r="H495" s="10"/>
      <c r="I495" s="10"/>
      <c r="J495" s="10"/>
      <c r="K495" s="10"/>
      <c r="L495" s="10"/>
      <c r="M495" s="10"/>
      <c r="N495" s="10"/>
      <c r="O495" s="34"/>
    </row>
    <row r="496" ht="15.75" customHeight="1">
      <c r="A496" s="32"/>
      <c r="B496" s="33"/>
      <c r="C496" s="10"/>
      <c r="D496" s="10"/>
      <c r="E496" s="10"/>
      <c r="F496" s="10"/>
      <c r="G496" s="10"/>
      <c r="H496" s="10"/>
      <c r="I496" s="10"/>
      <c r="J496" s="10"/>
      <c r="K496" s="10"/>
      <c r="L496" s="10"/>
      <c r="M496" s="10"/>
      <c r="N496" s="10"/>
      <c r="O496" s="34"/>
    </row>
    <row r="497" ht="15.75" customHeight="1">
      <c r="A497" s="32"/>
      <c r="B497" s="33"/>
      <c r="C497" s="10"/>
      <c r="D497" s="10"/>
      <c r="E497" s="10"/>
      <c r="F497" s="10"/>
      <c r="G497" s="10"/>
      <c r="H497" s="10"/>
      <c r="I497" s="10"/>
      <c r="J497" s="10"/>
      <c r="K497" s="10"/>
      <c r="L497" s="10"/>
      <c r="M497" s="10"/>
      <c r="N497" s="10"/>
      <c r="O497" s="34"/>
    </row>
    <row r="498" ht="15.75" customHeight="1">
      <c r="A498" s="32"/>
      <c r="B498" s="33"/>
      <c r="C498" s="10"/>
      <c r="D498" s="10"/>
      <c r="E498" s="10"/>
      <c r="F498" s="10"/>
      <c r="G498" s="10"/>
      <c r="H498" s="10"/>
      <c r="I498" s="10"/>
      <c r="J498" s="10"/>
      <c r="K498" s="10"/>
      <c r="L498" s="10"/>
      <c r="M498" s="10"/>
      <c r="N498" s="10"/>
      <c r="O498" s="34"/>
    </row>
    <row r="499" ht="15.75" customHeight="1">
      <c r="A499" s="32"/>
      <c r="B499" s="33"/>
      <c r="C499" s="10"/>
      <c r="D499" s="10"/>
      <c r="E499" s="10"/>
      <c r="F499" s="10"/>
      <c r="G499" s="10"/>
      <c r="H499" s="10"/>
      <c r="I499" s="10"/>
      <c r="J499" s="10"/>
      <c r="K499" s="10"/>
      <c r="L499" s="10"/>
      <c r="M499" s="10"/>
      <c r="N499" s="10"/>
      <c r="O499" s="34"/>
    </row>
    <row r="500" ht="15.75" customHeight="1">
      <c r="A500" s="32"/>
      <c r="B500" s="33"/>
      <c r="C500" s="10"/>
      <c r="D500" s="10"/>
      <c r="E500" s="10"/>
      <c r="F500" s="10"/>
      <c r="G500" s="10"/>
      <c r="H500" s="10"/>
      <c r="I500" s="10"/>
      <c r="J500" s="10"/>
      <c r="K500" s="10"/>
      <c r="L500" s="10"/>
      <c r="M500" s="10"/>
      <c r="N500" s="10"/>
      <c r="O500" s="34"/>
    </row>
    <row r="501" ht="15.75" customHeight="1">
      <c r="A501" s="32"/>
      <c r="B501" s="33"/>
      <c r="C501" s="10"/>
      <c r="D501" s="10"/>
      <c r="E501" s="10"/>
      <c r="F501" s="10"/>
      <c r="G501" s="10"/>
      <c r="H501" s="10"/>
      <c r="I501" s="10"/>
      <c r="J501" s="10"/>
      <c r="K501" s="10"/>
      <c r="L501" s="10"/>
      <c r="M501" s="10"/>
      <c r="N501" s="10"/>
      <c r="O501" s="34"/>
    </row>
    <row r="502" ht="15.75" customHeight="1">
      <c r="A502" s="32"/>
      <c r="B502" s="33"/>
      <c r="C502" s="10"/>
      <c r="D502" s="10"/>
      <c r="E502" s="10"/>
      <c r="F502" s="10"/>
      <c r="G502" s="10"/>
      <c r="H502" s="10"/>
      <c r="I502" s="10"/>
      <c r="J502" s="10"/>
      <c r="K502" s="10"/>
      <c r="L502" s="10"/>
      <c r="M502" s="10"/>
      <c r="N502" s="10"/>
      <c r="O502" s="34"/>
    </row>
    <row r="503" ht="15.75" customHeight="1">
      <c r="A503" s="32"/>
      <c r="B503" s="33"/>
      <c r="C503" s="10"/>
      <c r="D503" s="10"/>
      <c r="E503" s="10"/>
      <c r="F503" s="10"/>
      <c r="G503" s="10"/>
      <c r="H503" s="10"/>
      <c r="I503" s="10"/>
      <c r="J503" s="10"/>
      <c r="K503" s="10"/>
      <c r="L503" s="10"/>
      <c r="M503" s="10"/>
      <c r="N503" s="10"/>
      <c r="O503" s="34"/>
    </row>
    <row r="504" ht="15.75" customHeight="1">
      <c r="A504" s="32"/>
      <c r="B504" s="33"/>
      <c r="C504" s="10"/>
      <c r="D504" s="10"/>
      <c r="E504" s="10"/>
      <c r="F504" s="10"/>
      <c r="G504" s="10"/>
      <c r="H504" s="10"/>
      <c r="I504" s="10"/>
      <c r="J504" s="10"/>
      <c r="K504" s="10"/>
      <c r="L504" s="10"/>
      <c r="M504" s="10"/>
      <c r="N504" s="10"/>
      <c r="O504" s="34"/>
    </row>
    <row r="505" ht="15.75" customHeight="1">
      <c r="A505" s="32"/>
      <c r="B505" s="33"/>
      <c r="C505" s="10"/>
      <c r="D505" s="10"/>
      <c r="E505" s="10"/>
      <c r="F505" s="10"/>
      <c r="G505" s="10"/>
      <c r="H505" s="10"/>
      <c r="I505" s="10"/>
      <c r="J505" s="10"/>
      <c r="K505" s="10"/>
      <c r="L505" s="10"/>
      <c r="M505" s="10"/>
      <c r="N505" s="10"/>
      <c r="O505" s="34"/>
    </row>
    <row r="506" ht="15.75" customHeight="1">
      <c r="A506" s="32"/>
      <c r="B506" s="33"/>
      <c r="C506" s="10"/>
      <c r="D506" s="10"/>
      <c r="E506" s="10"/>
      <c r="F506" s="10"/>
      <c r="G506" s="10"/>
      <c r="H506" s="10"/>
      <c r="I506" s="10"/>
      <c r="J506" s="10"/>
      <c r="K506" s="10"/>
      <c r="L506" s="10"/>
      <c r="M506" s="10"/>
      <c r="N506" s="10"/>
      <c r="O506" s="34"/>
    </row>
    <row r="507" ht="15.75" customHeight="1">
      <c r="A507" s="32"/>
      <c r="B507" s="33"/>
      <c r="C507" s="10"/>
      <c r="D507" s="10"/>
      <c r="E507" s="10"/>
      <c r="F507" s="10"/>
      <c r="G507" s="10"/>
      <c r="H507" s="10"/>
      <c r="I507" s="10"/>
      <c r="J507" s="10"/>
      <c r="K507" s="10"/>
      <c r="L507" s="10"/>
      <c r="M507" s="10"/>
      <c r="N507" s="10"/>
      <c r="O507" s="34"/>
    </row>
    <row r="508" ht="15.75" customHeight="1">
      <c r="A508" s="32"/>
      <c r="B508" s="33"/>
      <c r="C508" s="10"/>
      <c r="D508" s="10"/>
      <c r="E508" s="10"/>
      <c r="F508" s="10"/>
      <c r="G508" s="10"/>
      <c r="H508" s="10"/>
      <c r="I508" s="10"/>
      <c r="J508" s="10"/>
      <c r="K508" s="10"/>
      <c r="L508" s="10"/>
      <c r="M508" s="10"/>
      <c r="N508" s="10"/>
      <c r="O508" s="34"/>
    </row>
    <row r="509" ht="15.75" customHeight="1">
      <c r="A509" s="32"/>
      <c r="B509" s="33"/>
      <c r="C509" s="10"/>
      <c r="D509" s="10"/>
      <c r="E509" s="10"/>
      <c r="F509" s="10"/>
      <c r="G509" s="10"/>
      <c r="H509" s="10"/>
      <c r="I509" s="10"/>
      <c r="J509" s="10"/>
      <c r="K509" s="10"/>
      <c r="L509" s="10"/>
      <c r="M509" s="10"/>
      <c r="N509" s="10"/>
      <c r="O509" s="34"/>
    </row>
    <row r="510" ht="15.75" customHeight="1">
      <c r="A510" s="32"/>
      <c r="B510" s="33"/>
      <c r="C510" s="10"/>
      <c r="D510" s="10"/>
      <c r="E510" s="10"/>
      <c r="F510" s="10"/>
      <c r="G510" s="10"/>
      <c r="H510" s="10"/>
      <c r="I510" s="10"/>
      <c r="J510" s="10"/>
      <c r="K510" s="10"/>
      <c r="L510" s="10"/>
      <c r="M510" s="10"/>
      <c r="N510" s="10"/>
      <c r="O510" s="34"/>
    </row>
    <row r="511" ht="15.75" customHeight="1">
      <c r="A511" s="32"/>
      <c r="B511" s="33"/>
      <c r="C511" s="10"/>
      <c r="D511" s="10"/>
      <c r="E511" s="10"/>
      <c r="F511" s="10"/>
      <c r="G511" s="10"/>
      <c r="H511" s="10"/>
      <c r="I511" s="10"/>
      <c r="J511" s="10"/>
      <c r="K511" s="10"/>
      <c r="L511" s="10"/>
      <c r="M511" s="10"/>
      <c r="N511" s="10"/>
      <c r="O511" s="34"/>
    </row>
    <row r="512" ht="15.75" customHeight="1">
      <c r="A512" s="32"/>
      <c r="B512" s="33"/>
      <c r="C512" s="10"/>
      <c r="D512" s="10"/>
      <c r="E512" s="10"/>
      <c r="F512" s="10"/>
      <c r="G512" s="10"/>
      <c r="H512" s="10"/>
      <c r="I512" s="10"/>
      <c r="J512" s="10"/>
      <c r="K512" s="10"/>
      <c r="L512" s="10"/>
      <c r="M512" s="10"/>
      <c r="N512" s="10"/>
      <c r="O512" s="34"/>
    </row>
    <row r="513" ht="15.75" customHeight="1">
      <c r="A513" s="32"/>
      <c r="B513" s="33"/>
      <c r="C513" s="10"/>
      <c r="D513" s="10"/>
      <c r="E513" s="10"/>
      <c r="F513" s="10"/>
      <c r="G513" s="10"/>
      <c r="H513" s="10"/>
      <c r="I513" s="10"/>
      <c r="J513" s="10"/>
      <c r="K513" s="10"/>
      <c r="L513" s="10"/>
      <c r="M513" s="10"/>
      <c r="N513" s="10"/>
      <c r="O513" s="34"/>
    </row>
    <row r="514" ht="15.75" customHeight="1">
      <c r="A514" s="32"/>
      <c r="B514" s="33"/>
      <c r="C514" s="10"/>
      <c r="D514" s="10"/>
      <c r="E514" s="10"/>
      <c r="F514" s="10"/>
      <c r="G514" s="10"/>
      <c r="H514" s="10"/>
      <c r="I514" s="10"/>
      <c r="J514" s="10"/>
      <c r="K514" s="10"/>
      <c r="L514" s="10"/>
      <c r="M514" s="10"/>
      <c r="N514" s="10"/>
      <c r="O514" s="34"/>
    </row>
    <row r="515" ht="15.75" customHeight="1">
      <c r="A515" s="32"/>
      <c r="B515" s="33"/>
      <c r="C515" s="10"/>
      <c r="D515" s="10"/>
      <c r="E515" s="10"/>
      <c r="F515" s="10"/>
      <c r="G515" s="10"/>
      <c r="H515" s="10"/>
      <c r="I515" s="10"/>
      <c r="J515" s="10"/>
      <c r="K515" s="10"/>
      <c r="L515" s="10"/>
      <c r="M515" s="10"/>
      <c r="N515" s="10"/>
      <c r="O515" s="34"/>
    </row>
    <row r="516" ht="15.75" customHeight="1">
      <c r="A516" s="32"/>
      <c r="B516" s="33"/>
      <c r="C516" s="10"/>
      <c r="D516" s="10"/>
      <c r="E516" s="10"/>
      <c r="F516" s="10"/>
      <c r="G516" s="10"/>
      <c r="H516" s="10"/>
      <c r="I516" s="10"/>
      <c r="J516" s="10"/>
      <c r="K516" s="10"/>
      <c r="L516" s="10"/>
      <c r="M516" s="10"/>
      <c r="N516" s="10"/>
      <c r="O516" s="34"/>
    </row>
    <row r="517" ht="15.75" customHeight="1">
      <c r="A517" s="32"/>
      <c r="B517" s="33"/>
      <c r="C517" s="10"/>
      <c r="D517" s="10"/>
      <c r="E517" s="10"/>
      <c r="F517" s="10"/>
      <c r="G517" s="10"/>
      <c r="H517" s="10"/>
      <c r="I517" s="10"/>
      <c r="J517" s="10"/>
      <c r="K517" s="10"/>
      <c r="L517" s="10"/>
      <c r="M517" s="10"/>
      <c r="N517" s="10"/>
      <c r="O517" s="34"/>
    </row>
    <row r="518" ht="15.75" customHeight="1">
      <c r="A518" s="32"/>
      <c r="B518" s="33"/>
      <c r="C518" s="10"/>
      <c r="D518" s="10"/>
      <c r="E518" s="10"/>
      <c r="F518" s="10"/>
      <c r="G518" s="10"/>
      <c r="H518" s="10"/>
      <c r="I518" s="10"/>
      <c r="J518" s="10"/>
      <c r="K518" s="10"/>
      <c r="L518" s="10"/>
      <c r="M518" s="10"/>
      <c r="N518" s="10"/>
      <c r="O518" s="34"/>
    </row>
    <row r="519" ht="15.75" customHeight="1">
      <c r="A519" s="32"/>
      <c r="B519" s="33"/>
      <c r="C519" s="10"/>
      <c r="D519" s="10"/>
      <c r="E519" s="10"/>
      <c r="F519" s="10"/>
      <c r="G519" s="10"/>
      <c r="H519" s="10"/>
      <c r="I519" s="10"/>
      <c r="J519" s="10"/>
      <c r="K519" s="10"/>
      <c r="L519" s="10"/>
      <c r="M519" s="10"/>
      <c r="N519" s="10"/>
      <c r="O519" s="34"/>
    </row>
    <row r="520" ht="15.75" customHeight="1">
      <c r="A520" s="32"/>
      <c r="B520" s="33"/>
      <c r="C520" s="10"/>
      <c r="D520" s="10"/>
      <c r="E520" s="10"/>
      <c r="F520" s="10"/>
      <c r="G520" s="10"/>
      <c r="H520" s="10"/>
      <c r="I520" s="10"/>
      <c r="J520" s="10"/>
      <c r="K520" s="10"/>
      <c r="L520" s="10"/>
      <c r="M520" s="10"/>
      <c r="N520" s="10"/>
      <c r="O520" s="34"/>
    </row>
    <row r="521" ht="15.75" customHeight="1">
      <c r="A521" s="32"/>
      <c r="B521" s="33"/>
      <c r="C521" s="10"/>
      <c r="D521" s="10"/>
      <c r="E521" s="10"/>
      <c r="F521" s="10"/>
      <c r="G521" s="10"/>
      <c r="H521" s="10"/>
      <c r="I521" s="10"/>
      <c r="J521" s="10"/>
      <c r="K521" s="10"/>
      <c r="L521" s="10"/>
      <c r="M521" s="10"/>
      <c r="N521" s="10"/>
      <c r="O521" s="34"/>
    </row>
    <row r="522" ht="15.75" customHeight="1">
      <c r="A522" s="32"/>
      <c r="B522" s="33"/>
      <c r="C522" s="10"/>
      <c r="D522" s="10"/>
      <c r="E522" s="10"/>
      <c r="F522" s="10"/>
      <c r="G522" s="10"/>
      <c r="H522" s="10"/>
      <c r="I522" s="10"/>
      <c r="J522" s="10"/>
      <c r="K522" s="10"/>
      <c r="L522" s="10"/>
      <c r="M522" s="10"/>
      <c r="N522" s="10"/>
      <c r="O522" s="34"/>
    </row>
    <row r="523" ht="15.75" customHeight="1">
      <c r="A523" s="32"/>
      <c r="B523" s="33"/>
      <c r="C523" s="10"/>
      <c r="D523" s="10"/>
      <c r="E523" s="10"/>
      <c r="F523" s="10"/>
      <c r="G523" s="10"/>
      <c r="H523" s="10"/>
      <c r="I523" s="10"/>
      <c r="J523" s="10"/>
      <c r="K523" s="10"/>
      <c r="L523" s="10"/>
      <c r="M523" s="10"/>
      <c r="N523" s="10"/>
      <c r="O523" s="34"/>
    </row>
    <row r="524" ht="15.75" customHeight="1">
      <c r="A524" s="32"/>
      <c r="B524" s="33"/>
      <c r="C524" s="10"/>
      <c r="D524" s="10"/>
      <c r="E524" s="10"/>
      <c r="F524" s="10"/>
      <c r="G524" s="10"/>
      <c r="H524" s="10"/>
      <c r="I524" s="10"/>
      <c r="J524" s="10"/>
      <c r="K524" s="10"/>
      <c r="L524" s="10"/>
      <c r="M524" s="10"/>
      <c r="N524" s="10"/>
      <c r="O524" s="34"/>
    </row>
    <row r="525" ht="15.75" customHeight="1">
      <c r="A525" s="32"/>
      <c r="B525" s="33"/>
      <c r="C525" s="10"/>
      <c r="D525" s="10"/>
      <c r="E525" s="10"/>
      <c r="F525" s="10"/>
      <c r="G525" s="10"/>
      <c r="H525" s="10"/>
      <c r="I525" s="10"/>
      <c r="J525" s="10"/>
      <c r="K525" s="10"/>
      <c r="L525" s="10"/>
      <c r="M525" s="10"/>
      <c r="N525" s="10"/>
      <c r="O525" s="34"/>
    </row>
    <row r="526" ht="15.75" customHeight="1">
      <c r="A526" s="32"/>
      <c r="B526" s="33"/>
      <c r="C526" s="10"/>
      <c r="D526" s="10"/>
      <c r="E526" s="10"/>
      <c r="F526" s="10"/>
      <c r="G526" s="10"/>
      <c r="H526" s="10"/>
      <c r="I526" s="10"/>
      <c r="J526" s="10"/>
      <c r="K526" s="10"/>
      <c r="L526" s="10"/>
      <c r="M526" s="10"/>
      <c r="N526" s="10"/>
      <c r="O526" s="34"/>
    </row>
    <row r="527" ht="15.75" customHeight="1">
      <c r="A527" s="32"/>
      <c r="B527" s="33"/>
      <c r="C527" s="10"/>
      <c r="D527" s="10"/>
      <c r="E527" s="10"/>
      <c r="F527" s="10"/>
      <c r="G527" s="10"/>
      <c r="H527" s="10"/>
      <c r="I527" s="10"/>
      <c r="J527" s="10"/>
      <c r="K527" s="10"/>
      <c r="L527" s="10"/>
      <c r="M527" s="10"/>
      <c r="N527" s="10"/>
      <c r="O527" s="34"/>
    </row>
    <row r="528" ht="15.75" customHeight="1">
      <c r="A528" s="32"/>
      <c r="B528" s="33"/>
      <c r="C528" s="10"/>
      <c r="D528" s="10"/>
      <c r="E528" s="10"/>
      <c r="F528" s="10"/>
      <c r="G528" s="10"/>
      <c r="H528" s="10"/>
      <c r="I528" s="10"/>
      <c r="J528" s="10"/>
      <c r="K528" s="10"/>
      <c r="L528" s="10"/>
      <c r="M528" s="10"/>
      <c r="N528" s="10"/>
      <c r="O528" s="34"/>
    </row>
    <row r="529" ht="15.75" customHeight="1">
      <c r="A529" s="32"/>
      <c r="B529" s="33"/>
      <c r="C529" s="10"/>
      <c r="D529" s="10"/>
      <c r="E529" s="10"/>
      <c r="F529" s="10"/>
      <c r="G529" s="10"/>
      <c r="H529" s="10"/>
      <c r="I529" s="10"/>
      <c r="J529" s="10"/>
      <c r="K529" s="10"/>
      <c r="L529" s="10"/>
      <c r="M529" s="10"/>
      <c r="N529" s="10"/>
      <c r="O529" s="34"/>
    </row>
    <row r="530" ht="15.75" customHeight="1">
      <c r="A530" s="32"/>
      <c r="B530" s="33"/>
      <c r="C530" s="10"/>
      <c r="D530" s="10"/>
      <c r="E530" s="10"/>
      <c r="F530" s="10"/>
      <c r="G530" s="10"/>
      <c r="H530" s="10"/>
      <c r="I530" s="10"/>
      <c r="J530" s="10"/>
      <c r="K530" s="10"/>
      <c r="L530" s="10"/>
      <c r="M530" s="10"/>
      <c r="N530" s="10"/>
      <c r="O530" s="34"/>
    </row>
    <row r="531" ht="15.75" customHeight="1">
      <c r="A531" s="32"/>
      <c r="B531" s="33"/>
      <c r="C531" s="10"/>
      <c r="D531" s="10"/>
      <c r="E531" s="10"/>
      <c r="F531" s="10"/>
      <c r="G531" s="10"/>
      <c r="H531" s="10"/>
      <c r="I531" s="10"/>
      <c r="J531" s="10"/>
      <c r="K531" s="10"/>
      <c r="L531" s="10"/>
      <c r="M531" s="10"/>
      <c r="N531" s="10"/>
      <c r="O531" s="34"/>
    </row>
    <row r="532" ht="15.75" customHeight="1">
      <c r="A532" s="32"/>
      <c r="B532" s="33"/>
      <c r="C532" s="10"/>
      <c r="D532" s="10"/>
      <c r="E532" s="10"/>
      <c r="F532" s="10"/>
      <c r="G532" s="10"/>
      <c r="H532" s="10"/>
      <c r="I532" s="10"/>
      <c r="J532" s="10"/>
      <c r="K532" s="10"/>
      <c r="L532" s="10"/>
      <c r="M532" s="10"/>
      <c r="N532" s="10"/>
      <c r="O532" s="34"/>
    </row>
    <row r="533" ht="15.75" customHeight="1">
      <c r="A533" s="32"/>
      <c r="B533" s="33"/>
      <c r="C533" s="10"/>
      <c r="D533" s="10"/>
      <c r="E533" s="10"/>
      <c r="F533" s="10"/>
      <c r="G533" s="10"/>
      <c r="H533" s="10"/>
      <c r="I533" s="10"/>
      <c r="J533" s="10"/>
      <c r="K533" s="10"/>
      <c r="L533" s="10"/>
      <c r="M533" s="10"/>
      <c r="N533" s="10"/>
      <c r="O533" s="34"/>
    </row>
    <row r="534" ht="15.75" customHeight="1">
      <c r="A534" s="32"/>
      <c r="B534" s="33"/>
      <c r="C534" s="10"/>
      <c r="D534" s="10"/>
      <c r="E534" s="10"/>
      <c r="F534" s="10"/>
      <c r="G534" s="10"/>
      <c r="H534" s="10"/>
      <c r="I534" s="10"/>
      <c r="J534" s="10"/>
      <c r="K534" s="10"/>
      <c r="L534" s="10"/>
      <c r="M534" s="10"/>
      <c r="N534" s="10"/>
      <c r="O534" s="34"/>
    </row>
    <row r="535" ht="15.75" customHeight="1">
      <c r="A535" s="32"/>
      <c r="B535" s="33"/>
      <c r="C535" s="10"/>
      <c r="D535" s="10"/>
      <c r="E535" s="10"/>
      <c r="F535" s="10"/>
      <c r="G535" s="10"/>
      <c r="H535" s="10"/>
      <c r="I535" s="10"/>
      <c r="J535" s="10"/>
      <c r="K535" s="10"/>
      <c r="L535" s="10"/>
      <c r="M535" s="10"/>
      <c r="N535" s="10"/>
      <c r="O535" s="34"/>
    </row>
    <row r="536" ht="15.75" customHeight="1">
      <c r="A536" s="32"/>
      <c r="B536" s="33"/>
      <c r="C536" s="10"/>
      <c r="D536" s="10"/>
      <c r="E536" s="10"/>
      <c r="F536" s="10"/>
      <c r="G536" s="10"/>
      <c r="H536" s="10"/>
      <c r="I536" s="10"/>
      <c r="J536" s="10"/>
      <c r="K536" s="10"/>
      <c r="L536" s="10"/>
      <c r="M536" s="10"/>
      <c r="N536" s="10"/>
      <c r="O536" s="34"/>
    </row>
    <row r="537" ht="15.75" customHeight="1">
      <c r="A537" s="32"/>
      <c r="B537" s="33"/>
      <c r="C537" s="10"/>
      <c r="D537" s="10"/>
      <c r="E537" s="10"/>
      <c r="F537" s="10"/>
      <c r="G537" s="10"/>
      <c r="H537" s="10"/>
      <c r="I537" s="10"/>
      <c r="J537" s="10"/>
      <c r="K537" s="10"/>
      <c r="L537" s="10"/>
      <c r="M537" s="10"/>
      <c r="N537" s="10"/>
      <c r="O537" s="34"/>
    </row>
    <row r="538" ht="15.75" customHeight="1">
      <c r="A538" s="32"/>
      <c r="B538" s="33"/>
      <c r="C538" s="10"/>
      <c r="D538" s="10"/>
      <c r="E538" s="10"/>
      <c r="F538" s="10"/>
      <c r="G538" s="10"/>
      <c r="H538" s="10"/>
      <c r="I538" s="10"/>
      <c r="J538" s="10"/>
      <c r="K538" s="10"/>
      <c r="L538" s="10"/>
      <c r="M538" s="10"/>
      <c r="N538" s="10"/>
      <c r="O538" s="34"/>
    </row>
    <row r="539" ht="15.75" customHeight="1">
      <c r="A539" s="32"/>
      <c r="B539" s="33"/>
      <c r="C539" s="10"/>
      <c r="D539" s="10"/>
      <c r="E539" s="10"/>
      <c r="F539" s="10"/>
      <c r="G539" s="10"/>
      <c r="H539" s="10"/>
      <c r="I539" s="10"/>
      <c r="J539" s="10"/>
      <c r="K539" s="10"/>
      <c r="L539" s="10"/>
      <c r="M539" s="10"/>
      <c r="N539" s="10"/>
      <c r="O539" s="34"/>
    </row>
    <row r="540" ht="15.75" customHeight="1">
      <c r="A540" s="32"/>
      <c r="B540" s="33"/>
      <c r="C540" s="10"/>
      <c r="D540" s="10"/>
      <c r="E540" s="10"/>
      <c r="F540" s="10"/>
      <c r="G540" s="10"/>
      <c r="H540" s="10"/>
      <c r="I540" s="10"/>
      <c r="J540" s="10"/>
      <c r="K540" s="10"/>
      <c r="L540" s="10"/>
      <c r="M540" s="10"/>
      <c r="N540" s="10"/>
      <c r="O540" s="34"/>
    </row>
    <row r="541" ht="15.75" customHeight="1">
      <c r="A541" s="32"/>
      <c r="B541" s="33"/>
      <c r="C541" s="10"/>
      <c r="D541" s="10"/>
      <c r="E541" s="10"/>
      <c r="F541" s="10"/>
      <c r="G541" s="10"/>
      <c r="H541" s="10"/>
      <c r="I541" s="10"/>
      <c r="J541" s="10"/>
      <c r="K541" s="10"/>
      <c r="L541" s="10"/>
      <c r="M541" s="10"/>
      <c r="N541" s="10"/>
      <c r="O541" s="34"/>
    </row>
    <row r="542" ht="15.75" customHeight="1">
      <c r="A542" s="32"/>
      <c r="B542" s="33"/>
      <c r="C542" s="10"/>
      <c r="D542" s="10"/>
      <c r="E542" s="10"/>
      <c r="F542" s="10"/>
      <c r="G542" s="10"/>
      <c r="H542" s="10"/>
      <c r="I542" s="10"/>
      <c r="J542" s="10"/>
      <c r="K542" s="10"/>
      <c r="L542" s="10"/>
      <c r="M542" s="10"/>
      <c r="N542" s="10"/>
      <c r="O542" s="34"/>
    </row>
    <row r="543" ht="15.75" customHeight="1">
      <c r="A543" s="32"/>
      <c r="B543" s="33"/>
      <c r="C543" s="10"/>
      <c r="D543" s="10"/>
      <c r="E543" s="10"/>
      <c r="F543" s="10"/>
      <c r="G543" s="10"/>
      <c r="H543" s="10"/>
      <c r="I543" s="10"/>
      <c r="J543" s="10"/>
      <c r="K543" s="10"/>
      <c r="L543" s="10"/>
      <c r="M543" s="10"/>
      <c r="N543" s="10"/>
      <c r="O543" s="34"/>
    </row>
    <row r="544" ht="15.75" customHeight="1">
      <c r="A544" s="32"/>
      <c r="B544" s="33"/>
      <c r="C544" s="10"/>
      <c r="D544" s="10"/>
      <c r="E544" s="10"/>
      <c r="F544" s="10"/>
      <c r="G544" s="10"/>
      <c r="H544" s="10"/>
      <c r="I544" s="10"/>
      <c r="J544" s="10"/>
      <c r="K544" s="10"/>
      <c r="L544" s="10"/>
      <c r="M544" s="10"/>
      <c r="N544" s="10"/>
      <c r="O544" s="34"/>
    </row>
    <row r="545" ht="15.75" customHeight="1">
      <c r="A545" s="32"/>
      <c r="B545" s="33"/>
      <c r="C545" s="10"/>
      <c r="D545" s="10"/>
      <c r="E545" s="10"/>
      <c r="F545" s="10"/>
      <c r="G545" s="10"/>
      <c r="H545" s="10"/>
      <c r="I545" s="10"/>
      <c r="J545" s="10"/>
      <c r="K545" s="10"/>
      <c r="L545" s="10"/>
      <c r="M545" s="10"/>
      <c r="N545" s="10"/>
      <c r="O545" s="34"/>
    </row>
    <row r="546" ht="15.75" customHeight="1">
      <c r="A546" s="32"/>
      <c r="B546" s="33"/>
      <c r="C546" s="10"/>
      <c r="D546" s="10"/>
      <c r="E546" s="10"/>
      <c r="F546" s="10"/>
      <c r="G546" s="10"/>
      <c r="H546" s="10"/>
      <c r="I546" s="10"/>
      <c r="J546" s="10"/>
      <c r="K546" s="10"/>
      <c r="L546" s="10"/>
      <c r="M546" s="10"/>
      <c r="N546" s="10"/>
      <c r="O546" s="34"/>
    </row>
    <row r="547" ht="15.75" customHeight="1">
      <c r="A547" s="32"/>
      <c r="B547" s="33"/>
      <c r="C547" s="10"/>
      <c r="D547" s="10"/>
      <c r="E547" s="10"/>
      <c r="F547" s="10"/>
      <c r="G547" s="10"/>
      <c r="H547" s="10"/>
      <c r="I547" s="10"/>
      <c r="J547" s="10"/>
      <c r="K547" s="10"/>
      <c r="L547" s="10"/>
      <c r="M547" s="10"/>
      <c r="N547" s="10"/>
      <c r="O547" s="34"/>
    </row>
    <row r="548" ht="15.75" customHeight="1">
      <c r="A548" s="32"/>
      <c r="B548" s="33"/>
      <c r="C548" s="10"/>
      <c r="D548" s="10"/>
      <c r="E548" s="10"/>
      <c r="F548" s="10"/>
      <c r="G548" s="10"/>
      <c r="H548" s="10"/>
      <c r="I548" s="10"/>
      <c r="J548" s="10"/>
      <c r="K548" s="10"/>
      <c r="L548" s="10"/>
      <c r="M548" s="10"/>
      <c r="N548" s="10"/>
      <c r="O548" s="34"/>
    </row>
    <row r="549" ht="15.75" customHeight="1">
      <c r="A549" s="32"/>
      <c r="B549" s="33"/>
      <c r="C549" s="10"/>
      <c r="D549" s="10"/>
      <c r="E549" s="10"/>
      <c r="F549" s="10"/>
      <c r="G549" s="10"/>
      <c r="H549" s="10"/>
      <c r="I549" s="10"/>
      <c r="J549" s="10"/>
      <c r="K549" s="10"/>
      <c r="L549" s="10"/>
      <c r="M549" s="10"/>
      <c r="N549" s="10"/>
      <c r="O549" s="34"/>
    </row>
    <row r="550" ht="15.75" customHeight="1">
      <c r="A550" s="32"/>
      <c r="B550" s="33"/>
      <c r="C550" s="10"/>
      <c r="D550" s="10"/>
      <c r="E550" s="10"/>
      <c r="F550" s="10"/>
      <c r="G550" s="10"/>
      <c r="H550" s="10"/>
      <c r="I550" s="10"/>
      <c r="J550" s="10"/>
      <c r="K550" s="10"/>
      <c r="L550" s="10"/>
      <c r="M550" s="10"/>
      <c r="N550" s="10"/>
      <c r="O550" s="34"/>
    </row>
    <row r="551" ht="15.75" customHeight="1">
      <c r="A551" s="32"/>
      <c r="B551" s="33"/>
      <c r="C551" s="10"/>
      <c r="D551" s="10"/>
      <c r="E551" s="10"/>
      <c r="F551" s="10"/>
      <c r="G551" s="10"/>
      <c r="H551" s="10"/>
      <c r="I551" s="10"/>
      <c r="J551" s="10"/>
      <c r="K551" s="10"/>
      <c r="L551" s="10"/>
      <c r="M551" s="10"/>
      <c r="N551" s="10"/>
      <c r="O551" s="34"/>
    </row>
    <row r="552" ht="15.75" customHeight="1">
      <c r="A552" s="32"/>
      <c r="B552" s="33"/>
      <c r="C552" s="10"/>
      <c r="D552" s="10"/>
      <c r="E552" s="10"/>
      <c r="F552" s="10"/>
      <c r="G552" s="10"/>
      <c r="H552" s="10"/>
      <c r="I552" s="10"/>
      <c r="J552" s="10"/>
      <c r="K552" s="10"/>
      <c r="L552" s="10"/>
      <c r="M552" s="10"/>
      <c r="N552" s="10"/>
      <c r="O552" s="34"/>
    </row>
    <row r="553" ht="15.75" customHeight="1">
      <c r="A553" s="32"/>
      <c r="B553" s="33"/>
      <c r="C553" s="10"/>
      <c r="D553" s="10"/>
      <c r="E553" s="10"/>
      <c r="F553" s="10"/>
      <c r="G553" s="10"/>
      <c r="H553" s="10"/>
      <c r="I553" s="10"/>
      <c r="J553" s="10"/>
      <c r="K553" s="10"/>
      <c r="L553" s="10"/>
      <c r="M553" s="10"/>
      <c r="N553" s="10"/>
      <c r="O553" s="34"/>
    </row>
    <row r="554" ht="15.75" customHeight="1">
      <c r="A554" s="32"/>
      <c r="B554" s="33"/>
      <c r="C554" s="10"/>
      <c r="D554" s="10"/>
      <c r="E554" s="10"/>
      <c r="F554" s="10"/>
      <c r="G554" s="10"/>
      <c r="H554" s="10"/>
      <c r="I554" s="10"/>
      <c r="J554" s="10"/>
      <c r="K554" s="10"/>
      <c r="L554" s="10"/>
      <c r="M554" s="10"/>
      <c r="N554" s="10"/>
      <c r="O554" s="34"/>
    </row>
    <row r="555" ht="15.75" customHeight="1">
      <c r="A555" s="32"/>
      <c r="B555" s="33"/>
      <c r="C555" s="10"/>
      <c r="D555" s="10"/>
      <c r="E555" s="10"/>
      <c r="F555" s="10"/>
      <c r="G555" s="10"/>
      <c r="H555" s="10"/>
      <c r="I555" s="10"/>
      <c r="J555" s="10"/>
      <c r="K555" s="10"/>
      <c r="L555" s="10"/>
      <c r="M555" s="10"/>
      <c r="N555" s="10"/>
      <c r="O555" s="34"/>
    </row>
    <row r="556" ht="15.75" customHeight="1">
      <c r="A556" s="32"/>
      <c r="B556" s="33"/>
      <c r="C556" s="10"/>
      <c r="D556" s="10"/>
      <c r="E556" s="10"/>
      <c r="F556" s="10"/>
      <c r="G556" s="10"/>
      <c r="H556" s="10"/>
      <c r="I556" s="10"/>
      <c r="J556" s="10"/>
      <c r="K556" s="10"/>
      <c r="L556" s="10"/>
      <c r="M556" s="10"/>
      <c r="N556" s="10"/>
      <c r="O556" s="34"/>
    </row>
    <row r="557" ht="15.75" customHeight="1">
      <c r="A557" s="32"/>
      <c r="B557" s="33"/>
      <c r="C557" s="10"/>
      <c r="D557" s="10"/>
      <c r="E557" s="10"/>
      <c r="F557" s="10"/>
      <c r="G557" s="10"/>
      <c r="H557" s="10"/>
      <c r="I557" s="10"/>
      <c r="J557" s="10"/>
      <c r="K557" s="10"/>
      <c r="L557" s="10"/>
      <c r="M557" s="10"/>
      <c r="N557" s="10"/>
      <c r="O557" s="34"/>
    </row>
    <row r="558" ht="15.75" customHeight="1">
      <c r="A558" s="32"/>
      <c r="B558" s="33"/>
      <c r="C558" s="10"/>
      <c r="D558" s="10"/>
      <c r="E558" s="10"/>
      <c r="F558" s="10"/>
      <c r="G558" s="10"/>
      <c r="H558" s="10"/>
      <c r="I558" s="10"/>
      <c r="J558" s="10"/>
      <c r="K558" s="10"/>
      <c r="L558" s="10"/>
      <c r="M558" s="10"/>
      <c r="N558" s="10"/>
      <c r="O558" s="34"/>
    </row>
    <row r="559" ht="15.75" customHeight="1">
      <c r="A559" s="32"/>
      <c r="B559" s="33"/>
      <c r="C559" s="10"/>
      <c r="D559" s="10"/>
      <c r="E559" s="10"/>
      <c r="F559" s="10"/>
      <c r="G559" s="10"/>
      <c r="H559" s="10"/>
      <c r="I559" s="10"/>
      <c r="J559" s="10"/>
      <c r="K559" s="10"/>
      <c r="L559" s="10"/>
      <c r="M559" s="10"/>
      <c r="N559" s="10"/>
      <c r="O559" s="34"/>
    </row>
    <row r="560" ht="15.75" customHeight="1">
      <c r="A560" s="32"/>
      <c r="B560" s="33"/>
      <c r="C560" s="10"/>
      <c r="D560" s="10"/>
      <c r="E560" s="10"/>
      <c r="F560" s="10"/>
      <c r="G560" s="10"/>
      <c r="H560" s="10"/>
      <c r="I560" s="10"/>
      <c r="J560" s="10"/>
      <c r="K560" s="10"/>
      <c r="L560" s="10"/>
      <c r="M560" s="10"/>
      <c r="N560" s="10"/>
      <c r="O560" s="34"/>
    </row>
    <row r="561" ht="15.75" customHeight="1">
      <c r="A561" s="32"/>
      <c r="B561" s="33"/>
      <c r="C561" s="10"/>
      <c r="D561" s="10"/>
      <c r="E561" s="10"/>
      <c r="F561" s="10"/>
      <c r="G561" s="10"/>
      <c r="H561" s="10"/>
      <c r="I561" s="10"/>
      <c r="J561" s="10"/>
      <c r="K561" s="10"/>
      <c r="L561" s="10"/>
      <c r="M561" s="10"/>
      <c r="N561" s="10"/>
      <c r="O561" s="34"/>
    </row>
    <row r="562" ht="15.75" customHeight="1">
      <c r="A562" s="32"/>
      <c r="B562" s="33"/>
      <c r="C562" s="10"/>
      <c r="D562" s="10"/>
      <c r="E562" s="10"/>
      <c r="F562" s="10"/>
      <c r="G562" s="10"/>
      <c r="H562" s="10"/>
      <c r="I562" s="10"/>
      <c r="J562" s="10"/>
      <c r="K562" s="10"/>
      <c r="L562" s="10"/>
      <c r="M562" s="10"/>
      <c r="N562" s="10"/>
      <c r="O562" s="34"/>
    </row>
    <row r="563" ht="15.75" customHeight="1">
      <c r="A563" s="32"/>
      <c r="B563" s="33"/>
      <c r="C563" s="10"/>
      <c r="D563" s="10"/>
      <c r="E563" s="10"/>
      <c r="F563" s="10"/>
      <c r="G563" s="10"/>
      <c r="H563" s="10"/>
      <c r="I563" s="10"/>
      <c r="J563" s="10"/>
      <c r="K563" s="10"/>
      <c r="L563" s="10"/>
      <c r="M563" s="10"/>
      <c r="N563" s="10"/>
      <c r="O563" s="34"/>
    </row>
    <row r="564" ht="15.75" customHeight="1">
      <c r="A564" s="32"/>
      <c r="B564" s="33"/>
      <c r="C564" s="10"/>
      <c r="D564" s="10"/>
      <c r="E564" s="10"/>
      <c r="F564" s="10"/>
      <c r="G564" s="10"/>
      <c r="H564" s="10"/>
      <c r="I564" s="10"/>
      <c r="J564" s="10"/>
      <c r="K564" s="10"/>
      <c r="L564" s="10"/>
      <c r="M564" s="10"/>
      <c r="N564" s="10"/>
      <c r="O564" s="34"/>
    </row>
    <row r="565" ht="15.75" customHeight="1">
      <c r="A565" s="32"/>
      <c r="B565" s="33"/>
      <c r="C565" s="10"/>
      <c r="D565" s="10"/>
      <c r="E565" s="10"/>
      <c r="F565" s="10"/>
      <c r="G565" s="10"/>
      <c r="H565" s="10"/>
      <c r="I565" s="10"/>
      <c r="J565" s="10"/>
      <c r="K565" s="10"/>
      <c r="L565" s="10"/>
      <c r="M565" s="10"/>
      <c r="N565" s="10"/>
      <c r="O565" s="34"/>
    </row>
    <row r="566" ht="15.75" customHeight="1">
      <c r="A566" s="32"/>
      <c r="B566" s="33"/>
      <c r="C566" s="10"/>
      <c r="D566" s="10"/>
      <c r="E566" s="10"/>
      <c r="F566" s="10"/>
      <c r="G566" s="10"/>
      <c r="H566" s="10"/>
      <c r="I566" s="10"/>
      <c r="J566" s="10"/>
      <c r="K566" s="10"/>
      <c r="L566" s="10"/>
      <c r="M566" s="10"/>
      <c r="N566" s="10"/>
      <c r="O566" s="34"/>
    </row>
    <row r="567" ht="15.75" customHeight="1">
      <c r="A567" s="32"/>
      <c r="B567" s="33"/>
      <c r="C567" s="10"/>
      <c r="D567" s="10"/>
      <c r="E567" s="10"/>
      <c r="F567" s="10"/>
      <c r="G567" s="10"/>
      <c r="H567" s="10"/>
      <c r="I567" s="10"/>
      <c r="J567" s="10"/>
      <c r="K567" s="10"/>
      <c r="L567" s="10"/>
      <c r="M567" s="10"/>
      <c r="N567" s="10"/>
      <c r="O567" s="34"/>
    </row>
    <row r="568" ht="15.75" customHeight="1">
      <c r="A568" s="32"/>
      <c r="B568" s="33"/>
      <c r="C568" s="10"/>
      <c r="D568" s="10"/>
      <c r="E568" s="10"/>
      <c r="F568" s="10"/>
      <c r="G568" s="10"/>
      <c r="H568" s="10"/>
      <c r="I568" s="10"/>
      <c r="J568" s="10"/>
      <c r="K568" s="10"/>
      <c r="L568" s="10"/>
      <c r="M568" s="10"/>
      <c r="N568" s="10"/>
      <c r="O568" s="34"/>
    </row>
    <row r="569" ht="15.75" customHeight="1">
      <c r="A569" s="32"/>
      <c r="B569" s="33"/>
      <c r="C569" s="10"/>
      <c r="D569" s="10"/>
      <c r="E569" s="10"/>
      <c r="F569" s="10"/>
      <c r="G569" s="10"/>
      <c r="H569" s="10"/>
      <c r="I569" s="10"/>
      <c r="J569" s="10"/>
      <c r="K569" s="10"/>
      <c r="L569" s="10"/>
      <c r="M569" s="10"/>
      <c r="N569" s="10"/>
      <c r="O569" s="34"/>
    </row>
    <row r="570" ht="15.75" customHeight="1">
      <c r="A570" s="32"/>
      <c r="B570" s="33"/>
      <c r="C570" s="10"/>
      <c r="D570" s="10"/>
      <c r="E570" s="10"/>
      <c r="F570" s="10"/>
      <c r="G570" s="10"/>
      <c r="H570" s="10"/>
      <c r="I570" s="10"/>
      <c r="J570" s="10"/>
      <c r="K570" s="10"/>
      <c r="L570" s="10"/>
      <c r="M570" s="10"/>
      <c r="N570" s="10"/>
      <c r="O570" s="34"/>
    </row>
    <row r="571" ht="15.75" customHeight="1">
      <c r="A571" s="32"/>
      <c r="B571" s="33"/>
      <c r="C571" s="10"/>
      <c r="D571" s="10"/>
      <c r="E571" s="10"/>
      <c r="F571" s="10"/>
      <c r="G571" s="10"/>
      <c r="H571" s="10"/>
      <c r="I571" s="10"/>
      <c r="J571" s="10"/>
      <c r="K571" s="10"/>
      <c r="L571" s="10"/>
      <c r="M571" s="10"/>
      <c r="N571" s="10"/>
      <c r="O571" s="34"/>
    </row>
    <row r="572" ht="15.75" customHeight="1">
      <c r="A572" s="32"/>
      <c r="B572" s="33"/>
      <c r="C572" s="10"/>
      <c r="D572" s="10"/>
      <c r="E572" s="10"/>
      <c r="F572" s="10"/>
      <c r="G572" s="10"/>
      <c r="H572" s="10"/>
      <c r="I572" s="10"/>
      <c r="J572" s="10"/>
      <c r="K572" s="10"/>
      <c r="L572" s="10"/>
      <c r="M572" s="10"/>
      <c r="N572" s="10"/>
      <c r="O572" s="34"/>
    </row>
    <row r="573" ht="15.75" customHeight="1">
      <c r="A573" s="32"/>
      <c r="B573" s="33"/>
      <c r="C573" s="10"/>
      <c r="D573" s="10"/>
      <c r="E573" s="10"/>
      <c r="F573" s="10"/>
      <c r="G573" s="10"/>
      <c r="H573" s="10"/>
      <c r="I573" s="10"/>
      <c r="J573" s="10"/>
      <c r="K573" s="10"/>
      <c r="L573" s="10"/>
      <c r="M573" s="10"/>
      <c r="N573" s="10"/>
      <c r="O573" s="34"/>
    </row>
    <row r="574" ht="15.75" customHeight="1">
      <c r="A574" s="32"/>
      <c r="B574" s="33"/>
      <c r="C574" s="10"/>
      <c r="D574" s="10"/>
      <c r="E574" s="10"/>
      <c r="F574" s="10"/>
      <c r="G574" s="10"/>
      <c r="H574" s="10"/>
      <c r="I574" s="10"/>
      <c r="J574" s="10"/>
      <c r="K574" s="10"/>
      <c r="L574" s="10"/>
      <c r="M574" s="10"/>
      <c r="N574" s="10"/>
      <c r="O574" s="34"/>
    </row>
    <row r="575" ht="15.75" customHeight="1">
      <c r="A575" s="32"/>
      <c r="B575" s="33"/>
      <c r="C575" s="10"/>
      <c r="D575" s="10"/>
      <c r="E575" s="10"/>
      <c r="F575" s="10"/>
      <c r="G575" s="10"/>
      <c r="H575" s="10"/>
      <c r="I575" s="10"/>
      <c r="J575" s="10"/>
      <c r="K575" s="10"/>
      <c r="L575" s="10"/>
      <c r="M575" s="10"/>
      <c r="N575" s="10"/>
      <c r="O575" s="34"/>
    </row>
    <row r="576" ht="15.75" customHeight="1">
      <c r="A576" s="32"/>
      <c r="B576" s="33"/>
      <c r="C576" s="10"/>
      <c r="D576" s="10"/>
      <c r="E576" s="10"/>
      <c r="F576" s="10"/>
      <c r="G576" s="10"/>
      <c r="H576" s="10"/>
      <c r="I576" s="10"/>
      <c r="J576" s="10"/>
      <c r="K576" s="10"/>
      <c r="L576" s="10"/>
      <c r="M576" s="10"/>
      <c r="N576" s="10"/>
      <c r="O576" s="34"/>
    </row>
    <row r="577" ht="15.75" customHeight="1">
      <c r="A577" s="32"/>
      <c r="B577" s="33"/>
      <c r="C577" s="10"/>
      <c r="D577" s="10"/>
      <c r="E577" s="10"/>
      <c r="F577" s="10"/>
      <c r="G577" s="10"/>
      <c r="H577" s="10"/>
      <c r="I577" s="10"/>
      <c r="J577" s="10"/>
      <c r="K577" s="10"/>
      <c r="L577" s="10"/>
      <c r="M577" s="10"/>
      <c r="N577" s="10"/>
      <c r="O577" s="34"/>
    </row>
    <row r="578" ht="15.75" customHeight="1">
      <c r="A578" s="32"/>
      <c r="B578" s="33"/>
      <c r="C578" s="10"/>
      <c r="D578" s="10"/>
      <c r="E578" s="10"/>
      <c r="F578" s="10"/>
      <c r="G578" s="10"/>
      <c r="H578" s="10"/>
      <c r="I578" s="10"/>
      <c r="J578" s="10"/>
      <c r="K578" s="10"/>
      <c r="L578" s="10"/>
      <c r="M578" s="10"/>
      <c r="N578" s="10"/>
      <c r="O578" s="34"/>
    </row>
    <row r="579" ht="15.75" customHeight="1">
      <c r="A579" s="32"/>
      <c r="B579" s="33"/>
      <c r="C579" s="10"/>
      <c r="D579" s="10"/>
      <c r="E579" s="10"/>
      <c r="F579" s="10"/>
      <c r="G579" s="10"/>
      <c r="H579" s="10"/>
      <c r="I579" s="10"/>
      <c r="J579" s="10"/>
      <c r="K579" s="10"/>
      <c r="L579" s="10"/>
      <c r="M579" s="10"/>
      <c r="N579" s="10"/>
      <c r="O579" s="34"/>
    </row>
    <row r="580" ht="15.75" customHeight="1">
      <c r="A580" s="32"/>
      <c r="B580" s="33"/>
      <c r="C580" s="10"/>
      <c r="D580" s="10"/>
      <c r="E580" s="10"/>
      <c r="F580" s="10"/>
      <c r="G580" s="10"/>
      <c r="H580" s="10"/>
      <c r="I580" s="10"/>
      <c r="J580" s="10"/>
      <c r="K580" s="10"/>
      <c r="L580" s="10"/>
      <c r="M580" s="10"/>
      <c r="N580" s="10"/>
      <c r="O580" s="34"/>
    </row>
    <row r="581" ht="15.75" customHeight="1">
      <c r="A581" s="32"/>
      <c r="B581" s="33"/>
      <c r="C581" s="10"/>
      <c r="D581" s="10"/>
      <c r="E581" s="10"/>
      <c r="F581" s="10"/>
      <c r="G581" s="10"/>
      <c r="H581" s="10"/>
      <c r="I581" s="10"/>
      <c r="J581" s="10"/>
      <c r="K581" s="10"/>
      <c r="L581" s="10"/>
      <c r="M581" s="10"/>
      <c r="N581" s="10"/>
      <c r="O581" s="34"/>
    </row>
    <row r="582" ht="15.75" customHeight="1">
      <c r="A582" s="32"/>
      <c r="B582" s="33"/>
      <c r="C582" s="10"/>
      <c r="D582" s="10"/>
      <c r="E582" s="10"/>
      <c r="F582" s="10"/>
      <c r="G582" s="10"/>
      <c r="H582" s="10"/>
      <c r="I582" s="10"/>
      <c r="J582" s="10"/>
      <c r="K582" s="10"/>
      <c r="L582" s="10"/>
      <c r="M582" s="10"/>
      <c r="N582" s="10"/>
      <c r="O582" s="34"/>
    </row>
    <row r="583" ht="15.75" customHeight="1">
      <c r="A583" s="32"/>
      <c r="B583" s="33"/>
      <c r="C583" s="10"/>
      <c r="D583" s="10"/>
      <c r="E583" s="10"/>
      <c r="F583" s="10"/>
      <c r="G583" s="10"/>
      <c r="H583" s="10"/>
      <c r="I583" s="10"/>
      <c r="J583" s="10"/>
      <c r="K583" s="10"/>
      <c r="L583" s="10"/>
      <c r="M583" s="10"/>
      <c r="N583" s="10"/>
      <c r="O583" s="34"/>
    </row>
    <row r="584" ht="15.75" customHeight="1">
      <c r="A584" s="32"/>
      <c r="B584" s="33"/>
      <c r="C584" s="10"/>
      <c r="D584" s="10"/>
      <c r="E584" s="10"/>
      <c r="F584" s="10"/>
      <c r="G584" s="10"/>
      <c r="H584" s="10"/>
      <c r="I584" s="10"/>
      <c r="J584" s="10"/>
      <c r="K584" s="10"/>
      <c r="L584" s="10"/>
      <c r="M584" s="10"/>
      <c r="N584" s="10"/>
      <c r="O584" s="34"/>
    </row>
    <row r="585" ht="15.75" customHeight="1">
      <c r="A585" s="32"/>
      <c r="B585" s="33"/>
      <c r="C585" s="10"/>
      <c r="D585" s="10"/>
      <c r="E585" s="10"/>
      <c r="F585" s="10"/>
      <c r="G585" s="10"/>
      <c r="H585" s="10"/>
      <c r="I585" s="10"/>
      <c r="J585" s="10"/>
      <c r="K585" s="10"/>
      <c r="L585" s="10"/>
      <c r="M585" s="10"/>
      <c r="N585" s="10"/>
      <c r="O585" s="34"/>
    </row>
    <row r="586" ht="15.75" customHeight="1">
      <c r="A586" s="32"/>
      <c r="B586" s="33"/>
      <c r="C586" s="10"/>
      <c r="D586" s="10"/>
      <c r="E586" s="10"/>
      <c r="F586" s="10"/>
      <c r="G586" s="10"/>
      <c r="H586" s="10"/>
      <c r="I586" s="10"/>
      <c r="J586" s="10"/>
      <c r="K586" s="10"/>
      <c r="L586" s="10"/>
      <c r="M586" s="10"/>
      <c r="N586" s="10"/>
      <c r="O586" s="34"/>
    </row>
    <row r="587" ht="15.75" customHeight="1">
      <c r="A587" s="32"/>
      <c r="B587" s="33"/>
      <c r="C587" s="10"/>
      <c r="D587" s="10"/>
      <c r="E587" s="10"/>
      <c r="F587" s="10"/>
      <c r="G587" s="10"/>
      <c r="H587" s="10"/>
      <c r="I587" s="10"/>
      <c r="J587" s="10"/>
      <c r="K587" s="10"/>
      <c r="L587" s="10"/>
      <c r="M587" s="10"/>
      <c r="N587" s="10"/>
      <c r="O587" s="34"/>
    </row>
    <row r="588" ht="15.75" customHeight="1">
      <c r="A588" s="32"/>
      <c r="B588" s="33"/>
      <c r="C588" s="10"/>
      <c r="D588" s="10"/>
      <c r="E588" s="10"/>
      <c r="F588" s="10"/>
      <c r="G588" s="10"/>
      <c r="H588" s="10"/>
      <c r="I588" s="10"/>
      <c r="J588" s="10"/>
      <c r="K588" s="10"/>
      <c r="L588" s="10"/>
      <c r="M588" s="10"/>
      <c r="N588" s="10"/>
      <c r="O588" s="34"/>
    </row>
    <row r="589" ht="15.75" customHeight="1">
      <c r="A589" s="32"/>
      <c r="B589" s="33"/>
      <c r="C589" s="10"/>
      <c r="D589" s="10"/>
      <c r="E589" s="10"/>
      <c r="F589" s="10"/>
      <c r="G589" s="10"/>
      <c r="H589" s="10"/>
      <c r="I589" s="10"/>
      <c r="J589" s="10"/>
      <c r="K589" s="10"/>
      <c r="L589" s="10"/>
      <c r="M589" s="10"/>
      <c r="N589" s="10"/>
      <c r="O589" s="34"/>
    </row>
    <row r="590" ht="15.75" customHeight="1">
      <c r="A590" s="32"/>
      <c r="B590" s="33"/>
      <c r="C590" s="10"/>
      <c r="D590" s="10"/>
      <c r="E590" s="10"/>
      <c r="F590" s="10"/>
      <c r="G590" s="10"/>
      <c r="H590" s="10"/>
      <c r="I590" s="10"/>
      <c r="J590" s="10"/>
      <c r="K590" s="10"/>
      <c r="L590" s="10"/>
      <c r="M590" s="10"/>
      <c r="N590" s="10"/>
      <c r="O590" s="34"/>
    </row>
    <row r="591" ht="15.75" customHeight="1">
      <c r="A591" s="32"/>
      <c r="B591" s="33"/>
      <c r="C591" s="10"/>
      <c r="D591" s="10"/>
      <c r="E591" s="10"/>
      <c r="F591" s="10"/>
      <c r="G591" s="10"/>
      <c r="H591" s="10"/>
      <c r="I591" s="10"/>
      <c r="J591" s="10"/>
      <c r="K591" s="10"/>
      <c r="L591" s="10"/>
      <c r="M591" s="10"/>
      <c r="N591" s="10"/>
      <c r="O591" s="34"/>
    </row>
    <row r="592" ht="15.75" customHeight="1">
      <c r="A592" s="32"/>
      <c r="B592" s="33"/>
      <c r="C592" s="10"/>
      <c r="D592" s="10"/>
      <c r="E592" s="10"/>
      <c r="F592" s="10"/>
      <c r="G592" s="10"/>
      <c r="H592" s="10"/>
      <c r="I592" s="10"/>
      <c r="J592" s="10"/>
      <c r="K592" s="10"/>
      <c r="L592" s="10"/>
      <c r="M592" s="10"/>
      <c r="N592" s="10"/>
      <c r="O592" s="34"/>
    </row>
    <row r="593" ht="15.75" customHeight="1">
      <c r="A593" s="32"/>
      <c r="B593" s="33"/>
      <c r="C593" s="10"/>
      <c r="D593" s="10"/>
      <c r="E593" s="10"/>
      <c r="F593" s="10"/>
      <c r="G593" s="10"/>
      <c r="H593" s="10"/>
      <c r="I593" s="10"/>
      <c r="J593" s="10"/>
      <c r="K593" s="10"/>
      <c r="L593" s="10"/>
      <c r="M593" s="10"/>
      <c r="N593" s="10"/>
      <c r="O593" s="34"/>
    </row>
    <row r="594" ht="15.75" customHeight="1">
      <c r="A594" s="32"/>
      <c r="B594" s="33"/>
      <c r="C594" s="10"/>
      <c r="D594" s="10"/>
      <c r="E594" s="10"/>
      <c r="F594" s="10"/>
      <c r="G594" s="10"/>
      <c r="H594" s="10"/>
      <c r="I594" s="10"/>
      <c r="J594" s="10"/>
      <c r="K594" s="10"/>
      <c r="L594" s="10"/>
      <c r="M594" s="10"/>
      <c r="N594" s="10"/>
      <c r="O594" s="34"/>
    </row>
    <row r="595" ht="15.75" customHeight="1">
      <c r="A595" s="32"/>
      <c r="B595" s="33"/>
      <c r="C595" s="10"/>
      <c r="D595" s="10"/>
      <c r="E595" s="10"/>
      <c r="F595" s="10"/>
      <c r="G595" s="10"/>
      <c r="H595" s="10"/>
      <c r="I595" s="10"/>
      <c r="J595" s="10"/>
      <c r="K595" s="10"/>
      <c r="L595" s="10"/>
      <c r="M595" s="10"/>
      <c r="N595" s="10"/>
      <c r="O595" s="34"/>
    </row>
    <row r="596" ht="15.75" customHeight="1">
      <c r="A596" s="32"/>
      <c r="B596" s="33"/>
      <c r="C596" s="10"/>
      <c r="D596" s="10"/>
      <c r="E596" s="10"/>
      <c r="F596" s="10"/>
      <c r="G596" s="10"/>
      <c r="H596" s="10"/>
      <c r="I596" s="10"/>
      <c r="J596" s="10"/>
      <c r="K596" s="10"/>
      <c r="L596" s="10"/>
      <c r="M596" s="10"/>
      <c r="N596" s="10"/>
      <c r="O596" s="34"/>
    </row>
    <row r="597" ht="15.75" customHeight="1">
      <c r="A597" s="32"/>
      <c r="B597" s="33"/>
      <c r="C597" s="10"/>
      <c r="D597" s="10"/>
      <c r="E597" s="10"/>
      <c r="F597" s="10"/>
      <c r="G597" s="10"/>
      <c r="H597" s="10"/>
      <c r="I597" s="10"/>
      <c r="J597" s="10"/>
      <c r="K597" s="10"/>
      <c r="L597" s="10"/>
      <c r="M597" s="10"/>
      <c r="N597" s="10"/>
      <c r="O597" s="34"/>
    </row>
    <row r="598" ht="15.75" customHeight="1">
      <c r="A598" s="32"/>
      <c r="B598" s="33"/>
      <c r="C598" s="10"/>
      <c r="D598" s="10"/>
      <c r="E598" s="10"/>
      <c r="F598" s="10"/>
      <c r="G598" s="10"/>
      <c r="H598" s="10"/>
      <c r="I598" s="10"/>
      <c r="J598" s="10"/>
      <c r="K598" s="10"/>
      <c r="L598" s="10"/>
      <c r="M598" s="10"/>
      <c r="N598" s="10"/>
      <c r="O598" s="34"/>
    </row>
    <row r="599" ht="15.75" customHeight="1">
      <c r="A599" s="32"/>
      <c r="B599" s="33"/>
      <c r="C599" s="10"/>
      <c r="D599" s="10"/>
      <c r="E599" s="10"/>
      <c r="F599" s="10"/>
      <c r="G599" s="10"/>
      <c r="H599" s="10"/>
      <c r="I599" s="10"/>
      <c r="J599" s="10"/>
      <c r="K599" s="10"/>
      <c r="L599" s="10"/>
      <c r="M599" s="10"/>
      <c r="N599" s="10"/>
      <c r="O599" s="34"/>
    </row>
    <row r="600" ht="15.75" customHeight="1">
      <c r="A600" s="32"/>
      <c r="B600" s="33"/>
      <c r="C600" s="10"/>
      <c r="D600" s="10"/>
      <c r="E600" s="10"/>
      <c r="F600" s="10"/>
      <c r="G600" s="10"/>
      <c r="H600" s="10"/>
      <c r="I600" s="10"/>
      <c r="J600" s="10"/>
      <c r="K600" s="10"/>
      <c r="L600" s="10"/>
      <c r="M600" s="10"/>
      <c r="N600" s="10"/>
      <c r="O600" s="34"/>
    </row>
    <row r="601" ht="15.75" customHeight="1">
      <c r="A601" s="32"/>
      <c r="B601" s="33"/>
      <c r="C601" s="10"/>
      <c r="D601" s="10"/>
      <c r="E601" s="10"/>
      <c r="F601" s="10"/>
      <c r="G601" s="10"/>
      <c r="H601" s="10"/>
      <c r="I601" s="10"/>
      <c r="J601" s="10"/>
      <c r="K601" s="10"/>
      <c r="L601" s="10"/>
      <c r="M601" s="10"/>
      <c r="N601" s="10"/>
      <c r="O601" s="34"/>
    </row>
    <row r="602" ht="15.75" customHeight="1">
      <c r="A602" s="32"/>
      <c r="B602" s="33"/>
      <c r="C602" s="10"/>
      <c r="D602" s="10"/>
      <c r="E602" s="10"/>
      <c r="F602" s="10"/>
      <c r="G602" s="10"/>
      <c r="H602" s="10"/>
      <c r="I602" s="10"/>
      <c r="J602" s="10"/>
      <c r="K602" s="10"/>
      <c r="L602" s="10"/>
      <c r="M602" s="10"/>
      <c r="N602" s="10"/>
      <c r="O602" s="34"/>
    </row>
    <row r="603" ht="15.75" customHeight="1">
      <c r="A603" s="32"/>
      <c r="B603" s="33"/>
      <c r="C603" s="10"/>
      <c r="D603" s="10"/>
      <c r="E603" s="10"/>
      <c r="F603" s="10"/>
      <c r="G603" s="10"/>
      <c r="H603" s="10"/>
      <c r="I603" s="10"/>
      <c r="J603" s="10"/>
      <c r="K603" s="10"/>
      <c r="L603" s="10"/>
      <c r="M603" s="10"/>
      <c r="N603" s="10"/>
      <c r="O603" s="34"/>
    </row>
    <row r="604" ht="15.75" customHeight="1">
      <c r="A604" s="32"/>
      <c r="B604" s="33"/>
      <c r="C604" s="10"/>
      <c r="D604" s="10"/>
      <c r="E604" s="10"/>
      <c r="F604" s="10"/>
      <c r="G604" s="10"/>
      <c r="H604" s="10"/>
      <c r="I604" s="10"/>
      <c r="J604" s="10"/>
      <c r="K604" s="10"/>
      <c r="L604" s="10"/>
      <c r="M604" s="10"/>
      <c r="N604" s="10"/>
      <c r="O604" s="34"/>
    </row>
    <row r="605" ht="15.75" customHeight="1">
      <c r="A605" s="32"/>
      <c r="B605" s="33"/>
      <c r="C605" s="10"/>
      <c r="D605" s="10"/>
      <c r="E605" s="10"/>
      <c r="F605" s="10"/>
      <c r="G605" s="10"/>
      <c r="H605" s="10"/>
      <c r="I605" s="10"/>
      <c r="J605" s="10"/>
      <c r="K605" s="10"/>
      <c r="L605" s="10"/>
      <c r="M605" s="10"/>
      <c r="N605" s="10"/>
      <c r="O605" s="34"/>
    </row>
    <row r="606" ht="15.75" customHeight="1">
      <c r="A606" s="32"/>
      <c r="B606" s="33"/>
      <c r="C606" s="10"/>
      <c r="D606" s="10"/>
      <c r="E606" s="10"/>
      <c r="F606" s="10"/>
      <c r="G606" s="10"/>
      <c r="H606" s="10"/>
      <c r="I606" s="10"/>
      <c r="J606" s="10"/>
      <c r="K606" s="10"/>
      <c r="L606" s="10"/>
      <c r="M606" s="10"/>
      <c r="N606" s="10"/>
      <c r="O606" s="34"/>
    </row>
    <row r="607" ht="15.75" customHeight="1">
      <c r="A607" s="32"/>
      <c r="B607" s="33"/>
      <c r="C607" s="10"/>
      <c r="D607" s="10"/>
      <c r="E607" s="10"/>
      <c r="F607" s="10"/>
      <c r="G607" s="10"/>
      <c r="H607" s="10"/>
      <c r="I607" s="10"/>
      <c r="J607" s="10"/>
      <c r="K607" s="10"/>
      <c r="L607" s="10"/>
      <c r="M607" s="10"/>
      <c r="N607" s="10"/>
      <c r="O607" s="34"/>
    </row>
    <row r="608" ht="15.75" customHeight="1">
      <c r="A608" s="32"/>
      <c r="B608" s="33"/>
      <c r="C608" s="10"/>
      <c r="D608" s="10"/>
      <c r="E608" s="10"/>
      <c r="F608" s="10"/>
      <c r="G608" s="10"/>
      <c r="H608" s="10"/>
      <c r="I608" s="10"/>
      <c r="J608" s="10"/>
      <c r="K608" s="10"/>
      <c r="L608" s="10"/>
      <c r="M608" s="10"/>
      <c r="N608" s="10"/>
      <c r="O608" s="34"/>
    </row>
    <row r="609" ht="15.75" customHeight="1">
      <c r="A609" s="32"/>
      <c r="B609" s="33"/>
      <c r="C609" s="10"/>
      <c r="D609" s="10"/>
      <c r="E609" s="10"/>
      <c r="F609" s="10"/>
      <c r="G609" s="10"/>
      <c r="H609" s="10"/>
      <c r="I609" s="10"/>
      <c r="J609" s="10"/>
      <c r="K609" s="10"/>
      <c r="L609" s="10"/>
      <c r="M609" s="10"/>
      <c r="N609" s="10"/>
      <c r="O609" s="34"/>
    </row>
    <row r="610" ht="15.75" customHeight="1">
      <c r="A610" s="32"/>
      <c r="B610" s="33"/>
      <c r="C610" s="10"/>
      <c r="D610" s="10"/>
      <c r="E610" s="10"/>
      <c r="F610" s="10"/>
      <c r="G610" s="10"/>
      <c r="H610" s="10"/>
      <c r="I610" s="10"/>
      <c r="J610" s="10"/>
      <c r="K610" s="10"/>
      <c r="L610" s="10"/>
      <c r="M610" s="10"/>
      <c r="N610" s="10"/>
      <c r="O610" s="34"/>
    </row>
    <row r="611" ht="15.75" customHeight="1">
      <c r="A611" s="32"/>
      <c r="B611" s="33"/>
      <c r="C611" s="10"/>
      <c r="D611" s="10"/>
      <c r="E611" s="10"/>
      <c r="F611" s="10"/>
      <c r="G611" s="10"/>
      <c r="H611" s="10"/>
      <c r="I611" s="10"/>
      <c r="J611" s="10"/>
      <c r="K611" s="10"/>
      <c r="L611" s="10"/>
      <c r="M611" s="10"/>
      <c r="N611" s="10"/>
      <c r="O611" s="34"/>
    </row>
    <row r="612" ht="15.75" customHeight="1">
      <c r="A612" s="32"/>
      <c r="B612" s="33"/>
      <c r="C612" s="10"/>
      <c r="D612" s="10"/>
      <c r="E612" s="10"/>
      <c r="F612" s="10"/>
      <c r="G612" s="10"/>
      <c r="H612" s="10"/>
      <c r="I612" s="10"/>
      <c r="J612" s="10"/>
      <c r="K612" s="10"/>
      <c r="L612" s="10"/>
      <c r="M612" s="10"/>
      <c r="N612" s="10"/>
      <c r="O612" s="34"/>
    </row>
    <row r="613" ht="15.75" customHeight="1">
      <c r="A613" s="32"/>
      <c r="B613" s="33"/>
      <c r="C613" s="10"/>
      <c r="D613" s="10"/>
      <c r="E613" s="10"/>
      <c r="F613" s="10"/>
      <c r="G613" s="10"/>
      <c r="H613" s="10"/>
      <c r="I613" s="10"/>
      <c r="J613" s="10"/>
      <c r="K613" s="10"/>
      <c r="L613" s="10"/>
      <c r="M613" s="10"/>
      <c r="N613" s="10"/>
      <c r="O613" s="34"/>
    </row>
    <row r="614" ht="15.75" customHeight="1">
      <c r="A614" s="32"/>
      <c r="B614" s="33"/>
      <c r="C614" s="10"/>
      <c r="D614" s="10"/>
      <c r="E614" s="10"/>
      <c r="F614" s="10"/>
      <c r="G614" s="10"/>
      <c r="H614" s="10"/>
      <c r="I614" s="10"/>
      <c r="J614" s="10"/>
      <c r="K614" s="10"/>
      <c r="L614" s="10"/>
      <c r="M614" s="10"/>
      <c r="N614" s="10"/>
      <c r="O614" s="34"/>
    </row>
    <row r="615" ht="15.75" customHeight="1">
      <c r="A615" s="32"/>
      <c r="B615" s="33"/>
      <c r="C615" s="10"/>
      <c r="D615" s="10"/>
      <c r="E615" s="10"/>
      <c r="F615" s="10"/>
      <c r="G615" s="10"/>
      <c r="H615" s="10"/>
      <c r="I615" s="10"/>
      <c r="J615" s="10"/>
      <c r="K615" s="10"/>
      <c r="L615" s="10"/>
      <c r="M615" s="10"/>
      <c r="N615" s="10"/>
      <c r="O615" s="34"/>
    </row>
    <row r="616" ht="15.75" customHeight="1">
      <c r="A616" s="32"/>
      <c r="B616" s="33"/>
      <c r="C616" s="10"/>
      <c r="D616" s="10"/>
      <c r="E616" s="10"/>
      <c r="F616" s="10"/>
      <c r="G616" s="10"/>
      <c r="H616" s="10"/>
      <c r="I616" s="10"/>
      <c r="J616" s="10"/>
      <c r="K616" s="10"/>
      <c r="L616" s="10"/>
      <c r="M616" s="10"/>
      <c r="N616" s="10"/>
      <c r="O616" s="34"/>
    </row>
    <row r="617" ht="15.75" customHeight="1">
      <c r="A617" s="32"/>
      <c r="B617" s="33"/>
      <c r="C617" s="10"/>
      <c r="D617" s="10"/>
      <c r="E617" s="10"/>
      <c r="F617" s="10"/>
      <c r="G617" s="10"/>
      <c r="H617" s="10"/>
      <c r="I617" s="10"/>
      <c r="J617" s="10"/>
      <c r="K617" s="10"/>
      <c r="L617" s="10"/>
      <c r="M617" s="10"/>
      <c r="N617" s="10"/>
      <c r="O617" s="34"/>
    </row>
    <row r="618" ht="15.75" customHeight="1">
      <c r="A618" s="32"/>
      <c r="B618" s="33"/>
      <c r="C618" s="10"/>
      <c r="D618" s="10"/>
      <c r="E618" s="10"/>
      <c r="F618" s="10"/>
      <c r="G618" s="10"/>
      <c r="H618" s="10"/>
      <c r="I618" s="10"/>
      <c r="J618" s="10"/>
      <c r="K618" s="10"/>
      <c r="L618" s="10"/>
      <c r="M618" s="10"/>
      <c r="N618" s="10"/>
      <c r="O618" s="34"/>
    </row>
    <row r="619" ht="15.75" customHeight="1">
      <c r="A619" s="32"/>
      <c r="B619" s="33"/>
      <c r="C619" s="10"/>
      <c r="D619" s="10"/>
      <c r="E619" s="10"/>
      <c r="F619" s="10"/>
      <c r="G619" s="10"/>
      <c r="H619" s="10"/>
      <c r="I619" s="10"/>
      <c r="J619" s="10"/>
      <c r="K619" s="10"/>
      <c r="L619" s="10"/>
      <c r="M619" s="10"/>
      <c r="N619" s="10"/>
      <c r="O619" s="34"/>
    </row>
    <row r="620" ht="15.75" customHeight="1">
      <c r="A620" s="32"/>
      <c r="B620" s="33"/>
      <c r="C620" s="10"/>
      <c r="D620" s="10"/>
      <c r="E620" s="10"/>
      <c r="F620" s="10"/>
      <c r="G620" s="10"/>
      <c r="H620" s="10"/>
      <c r="I620" s="10"/>
      <c r="J620" s="10"/>
      <c r="K620" s="10"/>
      <c r="L620" s="10"/>
      <c r="M620" s="10"/>
      <c r="N620" s="10"/>
      <c r="O620" s="34"/>
    </row>
    <row r="621" ht="15.75" customHeight="1">
      <c r="A621" s="32"/>
      <c r="B621" s="33"/>
      <c r="C621" s="10"/>
      <c r="D621" s="10"/>
      <c r="E621" s="10"/>
      <c r="F621" s="10"/>
      <c r="G621" s="10"/>
      <c r="H621" s="10"/>
      <c r="I621" s="10"/>
      <c r="J621" s="10"/>
      <c r="K621" s="10"/>
      <c r="L621" s="10"/>
      <c r="M621" s="10"/>
      <c r="N621" s="10"/>
      <c r="O621" s="34"/>
    </row>
    <row r="622" ht="15.75" customHeight="1">
      <c r="A622" s="32"/>
      <c r="B622" s="33"/>
      <c r="C622" s="10"/>
      <c r="D622" s="10"/>
      <c r="E622" s="10"/>
      <c r="F622" s="10"/>
      <c r="G622" s="10"/>
      <c r="H622" s="10"/>
      <c r="I622" s="10"/>
      <c r="J622" s="10"/>
      <c r="K622" s="10"/>
      <c r="L622" s="10"/>
      <c r="M622" s="10"/>
      <c r="N622" s="10"/>
      <c r="O622" s="34"/>
    </row>
    <row r="623" ht="15.75" customHeight="1">
      <c r="A623" s="32"/>
      <c r="B623" s="33"/>
      <c r="C623" s="10"/>
      <c r="D623" s="10"/>
      <c r="E623" s="10"/>
      <c r="F623" s="10"/>
      <c r="G623" s="10"/>
      <c r="H623" s="10"/>
      <c r="I623" s="10"/>
      <c r="J623" s="10"/>
      <c r="K623" s="10"/>
      <c r="L623" s="10"/>
      <c r="M623" s="10"/>
      <c r="N623" s="10"/>
      <c r="O623" s="34"/>
    </row>
    <row r="624" ht="15.75" customHeight="1">
      <c r="A624" s="32"/>
      <c r="B624" s="33"/>
      <c r="C624" s="10"/>
      <c r="D624" s="10"/>
      <c r="E624" s="10"/>
      <c r="F624" s="10"/>
      <c r="G624" s="10"/>
      <c r="H624" s="10"/>
      <c r="I624" s="10"/>
      <c r="J624" s="10"/>
      <c r="K624" s="10"/>
      <c r="L624" s="10"/>
      <c r="M624" s="10"/>
      <c r="N624" s="10"/>
      <c r="O624" s="34"/>
    </row>
    <row r="625" ht="15.75" customHeight="1">
      <c r="A625" s="32"/>
      <c r="B625" s="33"/>
      <c r="C625" s="10"/>
      <c r="D625" s="10"/>
      <c r="E625" s="10"/>
      <c r="F625" s="10"/>
      <c r="G625" s="10"/>
      <c r="H625" s="10"/>
      <c r="I625" s="10"/>
      <c r="J625" s="10"/>
      <c r="K625" s="10"/>
      <c r="L625" s="10"/>
      <c r="M625" s="10"/>
      <c r="N625" s="10"/>
      <c r="O625" s="34"/>
    </row>
    <row r="626" ht="15.75" customHeight="1">
      <c r="A626" s="32"/>
      <c r="B626" s="33"/>
      <c r="C626" s="10"/>
      <c r="D626" s="10"/>
      <c r="E626" s="10"/>
      <c r="F626" s="10"/>
      <c r="G626" s="10"/>
      <c r="H626" s="10"/>
      <c r="I626" s="10"/>
      <c r="J626" s="10"/>
      <c r="K626" s="10"/>
      <c r="L626" s="10"/>
      <c r="M626" s="10"/>
      <c r="N626" s="10"/>
      <c r="O626" s="34"/>
    </row>
    <row r="627" ht="15.75" customHeight="1">
      <c r="A627" s="32"/>
      <c r="B627" s="33"/>
      <c r="C627" s="10"/>
      <c r="D627" s="10"/>
      <c r="E627" s="10"/>
      <c r="F627" s="10"/>
      <c r="G627" s="10"/>
      <c r="H627" s="10"/>
      <c r="I627" s="10"/>
      <c r="J627" s="10"/>
      <c r="K627" s="10"/>
      <c r="L627" s="10"/>
      <c r="M627" s="10"/>
      <c r="N627" s="10"/>
      <c r="O627" s="34"/>
    </row>
    <row r="628" ht="15.75" customHeight="1">
      <c r="A628" s="32"/>
      <c r="B628" s="33"/>
      <c r="C628" s="10"/>
      <c r="D628" s="10"/>
      <c r="E628" s="10"/>
      <c r="F628" s="10"/>
      <c r="G628" s="10"/>
      <c r="H628" s="10"/>
      <c r="I628" s="10"/>
      <c r="J628" s="10"/>
      <c r="K628" s="10"/>
      <c r="L628" s="10"/>
      <c r="M628" s="10"/>
      <c r="N628" s="10"/>
      <c r="O628" s="34"/>
    </row>
    <row r="629" ht="15.75" customHeight="1">
      <c r="A629" s="32"/>
      <c r="B629" s="33"/>
      <c r="C629" s="10"/>
      <c r="D629" s="10"/>
      <c r="E629" s="10"/>
      <c r="F629" s="10"/>
      <c r="G629" s="10"/>
      <c r="H629" s="10"/>
      <c r="I629" s="10"/>
      <c r="J629" s="10"/>
      <c r="K629" s="10"/>
      <c r="L629" s="10"/>
      <c r="M629" s="10"/>
      <c r="N629" s="10"/>
      <c r="O629" s="34"/>
    </row>
    <row r="630" ht="15.75" customHeight="1">
      <c r="A630" s="32"/>
      <c r="B630" s="33"/>
      <c r="C630" s="10"/>
      <c r="D630" s="10"/>
      <c r="E630" s="10"/>
      <c r="F630" s="10"/>
      <c r="G630" s="10"/>
      <c r="H630" s="10"/>
      <c r="I630" s="10"/>
      <c r="J630" s="10"/>
      <c r="K630" s="10"/>
      <c r="L630" s="10"/>
      <c r="M630" s="10"/>
      <c r="N630" s="10"/>
      <c r="O630" s="34"/>
    </row>
    <row r="631" ht="15.75" customHeight="1">
      <c r="A631" s="32"/>
      <c r="B631" s="33"/>
      <c r="C631" s="10"/>
      <c r="D631" s="10"/>
      <c r="E631" s="10"/>
      <c r="F631" s="10"/>
      <c r="G631" s="10"/>
      <c r="H631" s="10"/>
      <c r="I631" s="10"/>
      <c r="J631" s="10"/>
      <c r="K631" s="10"/>
      <c r="L631" s="10"/>
      <c r="M631" s="10"/>
      <c r="N631" s="10"/>
      <c r="O631" s="34"/>
    </row>
    <row r="632" ht="15.75" customHeight="1">
      <c r="A632" s="32"/>
      <c r="B632" s="33"/>
      <c r="C632" s="10"/>
      <c r="D632" s="10"/>
      <c r="E632" s="10"/>
      <c r="F632" s="10"/>
      <c r="G632" s="10"/>
      <c r="H632" s="10"/>
      <c r="I632" s="10"/>
      <c r="J632" s="10"/>
      <c r="K632" s="10"/>
      <c r="L632" s="10"/>
      <c r="M632" s="10"/>
      <c r="N632" s="10"/>
      <c r="O632" s="34"/>
    </row>
    <row r="633" ht="15.75" customHeight="1">
      <c r="A633" s="32"/>
      <c r="B633" s="33"/>
      <c r="C633" s="10"/>
      <c r="D633" s="10"/>
      <c r="E633" s="10"/>
      <c r="F633" s="10"/>
      <c r="G633" s="10"/>
      <c r="H633" s="10"/>
      <c r="I633" s="10"/>
      <c r="J633" s="10"/>
      <c r="K633" s="10"/>
      <c r="L633" s="10"/>
      <c r="M633" s="10"/>
      <c r="N633" s="10"/>
      <c r="O633" s="34"/>
    </row>
    <row r="634" ht="15.75" customHeight="1">
      <c r="A634" s="32"/>
      <c r="B634" s="33"/>
      <c r="C634" s="10"/>
      <c r="D634" s="10"/>
      <c r="E634" s="10"/>
      <c r="F634" s="10"/>
      <c r="G634" s="10"/>
      <c r="H634" s="10"/>
      <c r="I634" s="10"/>
      <c r="J634" s="10"/>
      <c r="K634" s="10"/>
      <c r="L634" s="10"/>
      <c r="M634" s="10"/>
      <c r="N634" s="10"/>
      <c r="O634" s="34"/>
    </row>
    <row r="635" ht="15.75" customHeight="1">
      <c r="A635" s="32"/>
      <c r="B635" s="33"/>
      <c r="C635" s="10"/>
      <c r="D635" s="10"/>
      <c r="E635" s="10"/>
      <c r="F635" s="10"/>
      <c r="G635" s="10"/>
      <c r="H635" s="10"/>
      <c r="I635" s="10"/>
      <c r="J635" s="10"/>
      <c r="K635" s="10"/>
      <c r="L635" s="10"/>
      <c r="M635" s="10"/>
      <c r="N635" s="10"/>
      <c r="O635" s="34"/>
    </row>
    <row r="636" ht="15.75" customHeight="1">
      <c r="A636" s="32"/>
      <c r="B636" s="33"/>
      <c r="C636" s="10"/>
      <c r="D636" s="10"/>
      <c r="E636" s="10"/>
      <c r="F636" s="10"/>
      <c r="G636" s="10"/>
      <c r="H636" s="10"/>
      <c r="I636" s="10"/>
      <c r="J636" s="10"/>
      <c r="K636" s="10"/>
      <c r="L636" s="10"/>
      <c r="M636" s="10"/>
      <c r="N636" s="10"/>
      <c r="O636" s="34"/>
    </row>
    <row r="637" ht="15.75" customHeight="1">
      <c r="A637" s="32"/>
      <c r="B637" s="33"/>
      <c r="C637" s="10"/>
      <c r="D637" s="10"/>
      <c r="E637" s="10"/>
      <c r="F637" s="10"/>
      <c r="G637" s="10"/>
      <c r="H637" s="10"/>
      <c r="I637" s="10"/>
      <c r="J637" s="10"/>
      <c r="K637" s="10"/>
      <c r="L637" s="10"/>
      <c r="M637" s="10"/>
      <c r="N637" s="10"/>
      <c r="O637" s="34"/>
    </row>
    <row r="638" ht="15.75" customHeight="1">
      <c r="A638" s="32"/>
      <c r="B638" s="33"/>
      <c r="C638" s="10"/>
      <c r="D638" s="10"/>
      <c r="E638" s="10"/>
      <c r="F638" s="10"/>
      <c r="G638" s="10"/>
      <c r="H638" s="10"/>
      <c r="I638" s="10"/>
      <c r="J638" s="10"/>
      <c r="K638" s="10"/>
      <c r="L638" s="10"/>
      <c r="M638" s="10"/>
      <c r="N638" s="10"/>
      <c r="O638" s="34"/>
    </row>
    <row r="639" ht="15.75" customHeight="1">
      <c r="A639" s="32"/>
      <c r="B639" s="33"/>
      <c r="C639" s="10"/>
      <c r="D639" s="10"/>
      <c r="E639" s="10"/>
      <c r="F639" s="10"/>
      <c r="G639" s="10"/>
      <c r="H639" s="10"/>
      <c r="I639" s="10"/>
      <c r="J639" s="10"/>
      <c r="K639" s="10"/>
      <c r="L639" s="10"/>
      <c r="M639" s="10"/>
      <c r="N639" s="10"/>
      <c r="O639" s="34"/>
    </row>
    <row r="640" ht="15.75" customHeight="1">
      <c r="A640" s="32"/>
      <c r="B640" s="33"/>
      <c r="C640" s="10"/>
      <c r="D640" s="10"/>
      <c r="E640" s="10"/>
      <c r="F640" s="10"/>
      <c r="G640" s="10"/>
      <c r="H640" s="10"/>
      <c r="I640" s="10"/>
      <c r="J640" s="10"/>
      <c r="K640" s="10"/>
      <c r="L640" s="10"/>
      <c r="M640" s="10"/>
      <c r="N640" s="10"/>
      <c r="O640" s="34"/>
    </row>
    <row r="641" ht="15.75" customHeight="1">
      <c r="A641" s="32"/>
      <c r="B641" s="33"/>
      <c r="C641" s="10"/>
      <c r="D641" s="10"/>
      <c r="E641" s="10"/>
      <c r="F641" s="10"/>
      <c r="G641" s="10"/>
      <c r="H641" s="10"/>
      <c r="I641" s="10"/>
      <c r="J641" s="10"/>
      <c r="K641" s="10"/>
      <c r="L641" s="10"/>
      <c r="M641" s="10"/>
      <c r="N641" s="10"/>
      <c r="O641" s="34"/>
    </row>
    <row r="642" ht="15.75" customHeight="1">
      <c r="A642" s="32"/>
      <c r="B642" s="33"/>
      <c r="C642" s="10"/>
      <c r="D642" s="10"/>
      <c r="E642" s="10"/>
      <c r="F642" s="10"/>
      <c r="G642" s="10"/>
      <c r="H642" s="10"/>
      <c r="I642" s="10"/>
      <c r="J642" s="10"/>
      <c r="K642" s="10"/>
      <c r="L642" s="10"/>
      <c r="M642" s="10"/>
      <c r="N642" s="10"/>
      <c r="O642" s="34"/>
    </row>
    <row r="643" ht="15.75" customHeight="1">
      <c r="A643" s="32"/>
      <c r="B643" s="33"/>
      <c r="C643" s="10"/>
      <c r="D643" s="10"/>
      <c r="E643" s="10"/>
      <c r="F643" s="10"/>
      <c r="G643" s="10"/>
      <c r="H643" s="10"/>
      <c r="I643" s="10"/>
      <c r="J643" s="10"/>
      <c r="K643" s="10"/>
      <c r="L643" s="10"/>
      <c r="M643" s="10"/>
      <c r="N643" s="10"/>
      <c r="O643" s="34"/>
    </row>
    <row r="644" ht="15.75" customHeight="1">
      <c r="A644" s="32"/>
      <c r="B644" s="33"/>
      <c r="C644" s="10"/>
      <c r="D644" s="10"/>
      <c r="E644" s="10"/>
      <c r="F644" s="10"/>
      <c r="G644" s="10"/>
      <c r="H644" s="10"/>
      <c r="I644" s="10"/>
      <c r="J644" s="10"/>
      <c r="K644" s="10"/>
      <c r="L644" s="10"/>
      <c r="M644" s="10"/>
      <c r="N644" s="10"/>
      <c r="O644" s="34"/>
    </row>
    <row r="645" ht="15.75" customHeight="1">
      <c r="A645" s="32"/>
      <c r="B645" s="33"/>
      <c r="C645" s="10"/>
      <c r="D645" s="10"/>
      <c r="E645" s="10"/>
      <c r="F645" s="10"/>
      <c r="G645" s="10"/>
      <c r="H645" s="10"/>
      <c r="I645" s="10"/>
      <c r="J645" s="10"/>
      <c r="K645" s="10"/>
      <c r="L645" s="10"/>
      <c r="M645" s="10"/>
      <c r="N645" s="10"/>
      <c r="O645" s="34"/>
    </row>
    <row r="646" ht="15.75" customHeight="1">
      <c r="A646" s="32"/>
      <c r="B646" s="33"/>
      <c r="C646" s="10"/>
      <c r="D646" s="10"/>
      <c r="E646" s="10"/>
      <c r="F646" s="10"/>
      <c r="G646" s="10"/>
      <c r="H646" s="10"/>
      <c r="I646" s="10"/>
      <c r="J646" s="10"/>
      <c r="K646" s="10"/>
      <c r="L646" s="10"/>
      <c r="M646" s="10"/>
      <c r="N646" s="10"/>
      <c r="O646" s="34"/>
    </row>
    <row r="647" ht="15.75" customHeight="1">
      <c r="A647" s="32"/>
      <c r="B647" s="33"/>
      <c r="C647" s="10"/>
      <c r="D647" s="10"/>
      <c r="E647" s="10"/>
      <c r="F647" s="10"/>
      <c r="G647" s="10"/>
      <c r="H647" s="10"/>
      <c r="I647" s="10"/>
      <c r="J647" s="10"/>
      <c r="K647" s="10"/>
      <c r="L647" s="10"/>
      <c r="M647" s="10"/>
      <c r="N647" s="10"/>
      <c r="O647" s="34"/>
    </row>
    <row r="648" ht="15.75" customHeight="1">
      <c r="A648" s="32"/>
      <c r="B648" s="33"/>
      <c r="C648" s="10"/>
      <c r="D648" s="10"/>
      <c r="E648" s="10"/>
      <c r="F648" s="10"/>
      <c r="G648" s="10"/>
      <c r="H648" s="10"/>
      <c r="I648" s="10"/>
      <c r="J648" s="10"/>
      <c r="K648" s="10"/>
      <c r="L648" s="10"/>
      <c r="M648" s="10"/>
      <c r="N648" s="10"/>
      <c r="O648" s="34"/>
    </row>
    <row r="649" ht="15.75" customHeight="1">
      <c r="A649" s="32"/>
      <c r="B649" s="33"/>
      <c r="C649" s="10"/>
      <c r="D649" s="10"/>
      <c r="E649" s="10"/>
      <c r="F649" s="10"/>
      <c r="G649" s="10"/>
      <c r="H649" s="10"/>
      <c r="I649" s="10"/>
      <c r="J649" s="10"/>
      <c r="K649" s="10"/>
      <c r="L649" s="10"/>
      <c r="M649" s="10"/>
      <c r="N649" s="10"/>
      <c r="O649" s="34"/>
    </row>
    <row r="650" ht="15.75" customHeight="1">
      <c r="A650" s="32"/>
      <c r="B650" s="33"/>
      <c r="C650" s="10"/>
      <c r="D650" s="10"/>
      <c r="E650" s="10"/>
      <c r="F650" s="10"/>
      <c r="G650" s="10"/>
      <c r="H650" s="10"/>
      <c r="I650" s="10"/>
      <c r="J650" s="10"/>
      <c r="K650" s="10"/>
      <c r="L650" s="10"/>
      <c r="M650" s="10"/>
      <c r="N650" s="10"/>
      <c r="O650" s="34"/>
    </row>
    <row r="651" ht="15.75" customHeight="1">
      <c r="A651" s="32"/>
      <c r="B651" s="33"/>
      <c r="C651" s="10"/>
      <c r="D651" s="10"/>
      <c r="E651" s="10"/>
      <c r="F651" s="10"/>
      <c r="G651" s="10"/>
      <c r="H651" s="10"/>
      <c r="I651" s="10"/>
      <c r="J651" s="10"/>
      <c r="K651" s="10"/>
      <c r="L651" s="10"/>
      <c r="M651" s="10"/>
      <c r="N651" s="10"/>
      <c r="O651" s="34"/>
    </row>
    <row r="652" ht="15.75" customHeight="1">
      <c r="A652" s="32"/>
      <c r="B652" s="33"/>
      <c r="C652" s="10"/>
      <c r="D652" s="10"/>
      <c r="E652" s="10"/>
      <c r="F652" s="10"/>
      <c r="G652" s="10"/>
      <c r="H652" s="10"/>
      <c r="I652" s="10"/>
      <c r="J652" s="10"/>
      <c r="K652" s="10"/>
      <c r="L652" s="10"/>
      <c r="M652" s="10"/>
      <c r="N652" s="10"/>
      <c r="O652" s="34"/>
    </row>
    <row r="653" ht="15.75" customHeight="1">
      <c r="A653" s="32"/>
      <c r="B653" s="33"/>
      <c r="C653" s="10"/>
      <c r="D653" s="10"/>
      <c r="E653" s="10"/>
      <c r="F653" s="10"/>
      <c r="G653" s="10"/>
      <c r="H653" s="10"/>
      <c r="I653" s="10"/>
      <c r="J653" s="10"/>
      <c r="K653" s="10"/>
      <c r="L653" s="10"/>
      <c r="M653" s="10"/>
      <c r="N653" s="10"/>
      <c r="O653" s="34"/>
    </row>
    <row r="654" ht="15.75" customHeight="1">
      <c r="A654" s="32"/>
      <c r="B654" s="33"/>
      <c r="C654" s="10"/>
      <c r="D654" s="10"/>
      <c r="E654" s="10"/>
      <c r="F654" s="10"/>
      <c r="G654" s="10"/>
      <c r="H654" s="10"/>
      <c r="I654" s="10"/>
      <c r="J654" s="10"/>
      <c r="K654" s="10"/>
      <c r="L654" s="10"/>
      <c r="M654" s="10"/>
      <c r="N654" s="10"/>
      <c r="O654" s="34"/>
    </row>
    <row r="655" ht="15.75" customHeight="1">
      <c r="A655" s="32"/>
      <c r="B655" s="33"/>
      <c r="C655" s="10"/>
      <c r="D655" s="10"/>
      <c r="E655" s="10"/>
      <c r="F655" s="10"/>
      <c r="G655" s="10"/>
      <c r="H655" s="10"/>
      <c r="I655" s="10"/>
      <c r="J655" s="10"/>
      <c r="K655" s="10"/>
      <c r="L655" s="10"/>
      <c r="M655" s="10"/>
      <c r="N655" s="10"/>
      <c r="O655" s="34"/>
    </row>
    <row r="656" ht="15.75" customHeight="1">
      <c r="A656" s="32"/>
      <c r="B656" s="33"/>
      <c r="C656" s="10"/>
      <c r="D656" s="10"/>
      <c r="E656" s="10"/>
      <c r="F656" s="10"/>
      <c r="G656" s="10"/>
      <c r="H656" s="10"/>
      <c r="I656" s="10"/>
      <c r="J656" s="10"/>
      <c r="K656" s="10"/>
      <c r="L656" s="10"/>
      <c r="M656" s="10"/>
      <c r="N656" s="10"/>
      <c r="O656" s="34"/>
    </row>
    <row r="657" ht="15.75" customHeight="1">
      <c r="A657" s="32"/>
      <c r="B657" s="33"/>
      <c r="C657" s="10"/>
      <c r="D657" s="10"/>
      <c r="E657" s="10"/>
      <c r="F657" s="10"/>
      <c r="G657" s="10"/>
      <c r="H657" s="10"/>
      <c r="I657" s="10"/>
      <c r="J657" s="10"/>
      <c r="K657" s="10"/>
      <c r="L657" s="10"/>
      <c r="M657" s="10"/>
      <c r="N657" s="10"/>
      <c r="O657" s="34"/>
    </row>
    <row r="658" ht="15.75" customHeight="1">
      <c r="A658" s="32"/>
      <c r="B658" s="33"/>
      <c r="C658" s="10"/>
      <c r="D658" s="10"/>
      <c r="E658" s="10"/>
      <c r="F658" s="10"/>
      <c r="G658" s="10"/>
      <c r="H658" s="10"/>
      <c r="I658" s="10"/>
      <c r="J658" s="10"/>
      <c r="K658" s="10"/>
      <c r="L658" s="10"/>
      <c r="M658" s="10"/>
      <c r="N658" s="10"/>
      <c r="O658" s="34"/>
    </row>
    <row r="659" ht="15.75" customHeight="1">
      <c r="A659" s="32"/>
      <c r="B659" s="33"/>
      <c r="C659" s="10"/>
      <c r="D659" s="10"/>
      <c r="E659" s="10"/>
      <c r="F659" s="10"/>
      <c r="G659" s="10"/>
      <c r="H659" s="10"/>
      <c r="I659" s="10"/>
      <c r="J659" s="10"/>
      <c r="K659" s="10"/>
      <c r="L659" s="10"/>
      <c r="M659" s="10"/>
      <c r="N659" s="10"/>
      <c r="O659" s="34"/>
    </row>
    <row r="660" ht="15.75" customHeight="1">
      <c r="A660" s="32"/>
      <c r="B660" s="33"/>
      <c r="C660" s="10"/>
      <c r="D660" s="10"/>
      <c r="E660" s="10"/>
      <c r="F660" s="10"/>
      <c r="G660" s="10"/>
      <c r="H660" s="10"/>
      <c r="I660" s="10"/>
      <c r="J660" s="10"/>
      <c r="K660" s="10"/>
      <c r="L660" s="10"/>
      <c r="M660" s="10"/>
      <c r="N660" s="10"/>
      <c r="O660" s="34"/>
    </row>
    <row r="661" ht="15.75" customHeight="1">
      <c r="A661" s="32"/>
      <c r="B661" s="33"/>
      <c r="C661" s="10"/>
      <c r="D661" s="10"/>
      <c r="E661" s="10"/>
      <c r="F661" s="10"/>
      <c r="G661" s="10"/>
      <c r="H661" s="10"/>
      <c r="I661" s="10"/>
      <c r="J661" s="10"/>
      <c r="K661" s="10"/>
      <c r="L661" s="10"/>
      <c r="M661" s="10"/>
      <c r="N661" s="10"/>
      <c r="O661" s="34"/>
    </row>
    <row r="662" ht="15.75" customHeight="1">
      <c r="A662" s="32"/>
      <c r="B662" s="33"/>
      <c r="C662" s="10"/>
      <c r="D662" s="10"/>
      <c r="E662" s="10"/>
      <c r="F662" s="10"/>
      <c r="G662" s="10"/>
      <c r="H662" s="10"/>
      <c r="I662" s="10"/>
      <c r="J662" s="10"/>
      <c r="K662" s="10"/>
      <c r="L662" s="10"/>
      <c r="M662" s="10"/>
      <c r="N662" s="10"/>
      <c r="O662" s="34"/>
    </row>
    <row r="663" ht="15.75" customHeight="1">
      <c r="A663" s="32"/>
      <c r="B663" s="33"/>
      <c r="C663" s="10"/>
      <c r="D663" s="10"/>
      <c r="E663" s="10"/>
      <c r="F663" s="10"/>
      <c r="G663" s="10"/>
      <c r="H663" s="10"/>
      <c r="I663" s="10"/>
      <c r="J663" s="10"/>
      <c r="K663" s="10"/>
      <c r="L663" s="10"/>
      <c r="M663" s="10"/>
      <c r="N663" s="10"/>
      <c r="O663" s="34"/>
    </row>
    <row r="664" ht="15.75" customHeight="1">
      <c r="A664" s="32"/>
      <c r="B664" s="33"/>
      <c r="C664" s="10"/>
      <c r="D664" s="10"/>
      <c r="E664" s="10"/>
      <c r="F664" s="10"/>
      <c r="G664" s="10"/>
      <c r="H664" s="10"/>
      <c r="I664" s="10"/>
      <c r="J664" s="10"/>
      <c r="K664" s="10"/>
      <c r="L664" s="10"/>
      <c r="M664" s="10"/>
      <c r="N664" s="10"/>
      <c r="O664" s="34"/>
    </row>
    <row r="665" ht="15.75" customHeight="1">
      <c r="A665" s="32"/>
      <c r="B665" s="33"/>
      <c r="C665" s="10"/>
      <c r="D665" s="10"/>
      <c r="E665" s="10"/>
      <c r="F665" s="10"/>
      <c r="G665" s="10"/>
      <c r="H665" s="10"/>
      <c r="I665" s="10"/>
      <c r="J665" s="10"/>
      <c r="K665" s="10"/>
      <c r="L665" s="10"/>
      <c r="M665" s="10"/>
      <c r="N665" s="10"/>
      <c r="O665" s="34"/>
    </row>
    <row r="666" ht="15.75" customHeight="1">
      <c r="A666" s="32"/>
      <c r="B666" s="33"/>
      <c r="C666" s="10"/>
      <c r="D666" s="10"/>
      <c r="E666" s="10"/>
      <c r="F666" s="10"/>
      <c r="G666" s="10"/>
      <c r="H666" s="10"/>
      <c r="I666" s="10"/>
      <c r="J666" s="10"/>
      <c r="K666" s="10"/>
      <c r="L666" s="10"/>
      <c r="M666" s="10"/>
      <c r="N666" s="10"/>
      <c r="O666" s="34"/>
    </row>
    <row r="667" ht="15.75" customHeight="1">
      <c r="A667" s="32"/>
      <c r="B667" s="33"/>
      <c r="C667" s="10"/>
      <c r="D667" s="10"/>
      <c r="E667" s="10"/>
      <c r="F667" s="10"/>
      <c r="G667" s="10"/>
      <c r="H667" s="10"/>
      <c r="I667" s="10"/>
      <c r="J667" s="10"/>
      <c r="K667" s="10"/>
      <c r="L667" s="10"/>
      <c r="M667" s="10"/>
      <c r="N667" s="10"/>
      <c r="O667" s="34"/>
    </row>
    <row r="668" ht="15.75" customHeight="1">
      <c r="A668" s="32"/>
      <c r="B668" s="33"/>
      <c r="C668" s="10"/>
      <c r="D668" s="10"/>
      <c r="E668" s="10"/>
      <c r="F668" s="10"/>
      <c r="G668" s="10"/>
      <c r="H668" s="10"/>
      <c r="I668" s="10"/>
      <c r="J668" s="10"/>
      <c r="K668" s="10"/>
      <c r="L668" s="10"/>
      <c r="M668" s="10"/>
      <c r="N668" s="10"/>
      <c r="O668" s="34"/>
    </row>
    <row r="669" ht="15.75" customHeight="1">
      <c r="A669" s="32"/>
      <c r="B669" s="33"/>
      <c r="C669" s="10"/>
      <c r="D669" s="10"/>
      <c r="E669" s="10"/>
      <c r="F669" s="10"/>
      <c r="G669" s="10"/>
      <c r="H669" s="10"/>
      <c r="I669" s="10"/>
      <c r="J669" s="10"/>
      <c r="K669" s="10"/>
      <c r="L669" s="10"/>
      <c r="M669" s="10"/>
      <c r="N669" s="10"/>
      <c r="O669" s="34"/>
    </row>
    <row r="670" ht="15.75" customHeight="1">
      <c r="A670" s="32"/>
      <c r="B670" s="33"/>
      <c r="C670" s="10"/>
      <c r="D670" s="10"/>
      <c r="E670" s="10"/>
      <c r="F670" s="10"/>
      <c r="G670" s="10"/>
      <c r="H670" s="10"/>
      <c r="I670" s="10"/>
      <c r="J670" s="10"/>
      <c r="K670" s="10"/>
      <c r="L670" s="10"/>
      <c r="M670" s="10"/>
      <c r="N670" s="10"/>
      <c r="O670" s="34"/>
    </row>
    <row r="671" ht="15.75" customHeight="1">
      <c r="A671" s="32"/>
      <c r="B671" s="33"/>
      <c r="C671" s="10"/>
      <c r="D671" s="10"/>
      <c r="E671" s="10"/>
      <c r="F671" s="10"/>
      <c r="G671" s="10"/>
      <c r="H671" s="10"/>
      <c r="I671" s="10"/>
      <c r="J671" s="10"/>
      <c r="K671" s="10"/>
      <c r="L671" s="10"/>
      <c r="M671" s="10"/>
      <c r="N671" s="10"/>
      <c r="O671" s="34"/>
    </row>
    <row r="672" ht="15.75" customHeight="1">
      <c r="A672" s="32"/>
      <c r="B672" s="33"/>
      <c r="C672" s="10"/>
      <c r="D672" s="10"/>
      <c r="E672" s="10"/>
      <c r="F672" s="10"/>
      <c r="G672" s="10"/>
      <c r="H672" s="10"/>
      <c r="I672" s="10"/>
      <c r="J672" s="10"/>
      <c r="K672" s="10"/>
      <c r="L672" s="10"/>
      <c r="M672" s="10"/>
      <c r="N672" s="10"/>
      <c r="O672" s="34"/>
    </row>
    <row r="673" ht="15.75" customHeight="1">
      <c r="A673" s="32"/>
      <c r="B673" s="33"/>
      <c r="C673" s="10"/>
      <c r="D673" s="10"/>
      <c r="E673" s="10"/>
      <c r="F673" s="10"/>
      <c r="G673" s="10"/>
      <c r="H673" s="10"/>
      <c r="I673" s="10"/>
      <c r="J673" s="10"/>
      <c r="K673" s="10"/>
      <c r="L673" s="10"/>
      <c r="M673" s="10"/>
      <c r="N673" s="10"/>
      <c r="O673" s="34"/>
    </row>
    <row r="674" ht="15.75" customHeight="1">
      <c r="A674" s="32"/>
      <c r="B674" s="33"/>
      <c r="C674" s="10"/>
      <c r="D674" s="10"/>
      <c r="E674" s="10"/>
      <c r="F674" s="10"/>
      <c r="G674" s="10"/>
      <c r="H674" s="10"/>
      <c r="I674" s="10"/>
      <c r="J674" s="10"/>
      <c r="K674" s="10"/>
      <c r="L674" s="10"/>
      <c r="M674" s="10"/>
      <c r="N674" s="10"/>
      <c r="O674" s="34"/>
    </row>
    <row r="675" ht="15.75" customHeight="1">
      <c r="A675" s="32"/>
      <c r="B675" s="33"/>
      <c r="C675" s="10"/>
      <c r="D675" s="10"/>
      <c r="E675" s="10"/>
      <c r="F675" s="10"/>
      <c r="G675" s="10"/>
      <c r="H675" s="10"/>
      <c r="I675" s="10"/>
      <c r="J675" s="10"/>
      <c r="K675" s="10"/>
      <c r="L675" s="10"/>
      <c r="M675" s="10"/>
      <c r="N675" s="10"/>
      <c r="O675" s="34"/>
    </row>
    <row r="676" ht="15.75" customHeight="1">
      <c r="A676" s="32"/>
      <c r="B676" s="33"/>
      <c r="C676" s="10"/>
      <c r="D676" s="10"/>
      <c r="E676" s="10"/>
      <c r="F676" s="10"/>
      <c r="G676" s="10"/>
      <c r="H676" s="10"/>
      <c r="I676" s="10"/>
      <c r="J676" s="10"/>
      <c r="K676" s="10"/>
      <c r="L676" s="10"/>
      <c r="M676" s="10"/>
      <c r="N676" s="10"/>
      <c r="O676" s="34"/>
    </row>
    <row r="677" ht="15.75" customHeight="1">
      <c r="A677" s="32"/>
      <c r="B677" s="33"/>
      <c r="C677" s="10"/>
      <c r="D677" s="10"/>
      <c r="E677" s="10"/>
      <c r="F677" s="10"/>
      <c r="G677" s="10"/>
      <c r="H677" s="10"/>
      <c r="I677" s="10"/>
      <c r="J677" s="10"/>
      <c r="K677" s="10"/>
      <c r="L677" s="10"/>
      <c r="M677" s="10"/>
      <c r="N677" s="10"/>
      <c r="O677" s="34"/>
    </row>
    <row r="678" ht="15.75" customHeight="1">
      <c r="A678" s="32"/>
      <c r="B678" s="33"/>
      <c r="C678" s="10"/>
      <c r="D678" s="10"/>
      <c r="E678" s="10"/>
      <c r="F678" s="10"/>
      <c r="G678" s="10"/>
      <c r="H678" s="10"/>
      <c r="I678" s="10"/>
      <c r="J678" s="10"/>
      <c r="K678" s="10"/>
      <c r="L678" s="10"/>
      <c r="M678" s="10"/>
      <c r="N678" s="10"/>
      <c r="O678" s="34"/>
    </row>
    <row r="679" ht="15.75" customHeight="1">
      <c r="A679" s="32"/>
      <c r="B679" s="33"/>
      <c r="C679" s="10"/>
      <c r="D679" s="10"/>
      <c r="E679" s="10"/>
      <c r="F679" s="10"/>
      <c r="G679" s="10"/>
      <c r="H679" s="10"/>
      <c r="I679" s="10"/>
      <c r="J679" s="10"/>
      <c r="K679" s="10"/>
      <c r="L679" s="10"/>
      <c r="M679" s="10"/>
      <c r="N679" s="10"/>
      <c r="O679" s="34"/>
    </row>
    <row r="680" ht="15.75" customHeight="1">
      <c r="A680" s="32"/>
      <c r="B680" s="33"/>
      <c r="C680" s="10"/>
      <c r="D680" s="10"/>
      <c r="E680" s="10"/>
      <c r="F680" s="10"/>
      <c r="G680" s="10"/>
      <c r="H680" s="10"/>
      <c r="I680" s="10"/>
      <c r="J680" s="10"/>
      <c r="K680" s="10"/>
      <c r="L680" s="10"/>
      <c r="M680" s="10"/>
      <c r="N680" s="10"/>
      <c r="O680" s="34"/>
    </row>
    <row r="681" ht="15.75" customHeight="1">
      <c r="A681" s="32"/>
      <c r="B681" s="33"/>
      <c r="C681" s="10"/>
      <c r="D681" s="10"/>
      <c r="E681" s="10"/>
      <c r="F681" s="10"/>
      <c r="G681" s="10"/>
      <c r="H681" s="10"/>
      <c r="I681" s="10"/>
      <c r="J681" s="10"/>
      <c r="K681" s="10"/>
      <c r="L681" s="10"/>
      <c r="M681" s="10"/>
      <c r="N681" s="10"/>
      <c r="O681" s="34"/>
    </row>
    <row r="682" ht="15.75" customHeight="1">
      <c r="A682" s="32"/>
      <c r="B682" s="33"/>
      <c r="C682" s="10"/>
      <c r="D682" s="10"/>
      <c r="E682" s="10"/>
      <c r="F682" s="10"/>
      <c r="G682" s="10"/>
      <c r="H682" s="10"/>
      <c r="I682" s="10"/>
      <c r="J682" s="10"/>
      <c r="K682" s="10"/>
      <c r="L682" s="10"/>
      <c r="M682" s="10"/>
      <c r="N682" s="10"/>
      <c r="O682" s="34"/>
    </row>
    <row r="683" ht="15.75" customHeight="1">
      <c r="A683" s="32"/>
      <c r="B683" s="33"/>
      <c r="C683" s="10"/>
      <c r="D683" s="10"/>
      <c r="E683" s="10"/>
      <c r="F683" s="10"/>
      <c r="G683" s="10"/>
      <c r="H683" s="10"/>
      <c r="I683" s="10"/>
      <c r="J683" s="10"/>
      <c r="K683" s="10"/>
      <c r="L683" s="10"/>
      <c r="M683" s="10"/>
      <c r="N683" s="10"/>
      <c r="O683" s="34"/>
    </row>
    <row r="684" ht="15.75" customHeight="1">
      <c r="A684" s="32"/>
      <c r="B684" s="33"/>
      <c r="C684" s="10"/>
      <c r="D684" s="10"/>
      <c r="E684" s="10"/>
      <c r="F684" s="10"/>
      <c r="G684" s="10"/>
      <c r="H684" s="10"/>
      <c r="I684" s="10"/>
      <c r="J684" s="10"/>
      <c r="K684" s="10"/>
      <c r="L684" s="10"/>
      <c r="M684" s="10"/>
      <c r="N684" s="10"/>
      <c r="O684" s="34"/>
    </row>
    <row r="685" ht="15.75" customHeight="1">
      <c r="A685" s="32"/>
      <c r="B685" s="33"/>
      <c r="C685" s="10"/>
      <c r="D685" s="10"/>
      <c r="E685" s="10"/>
      <c r="F685" s="10"/>
      <c r="G685" s="10"/>
      <c r="H685" s="10"/>
      <c r="I685" s="10"/>
      <c r="J685" s="10"/>
      <c r="K685" s="10"/>
      <c r="L685" s="10"/>
      <c r="M685" s="10"/>
      <c r="N685" s="10"/>
      <c r="O685" s="34"/>
    </row>
    <row r="686" ht="15.75" customHeight="1">
      <c r="A686" s="32"/>
      <c r="B686" s="33"/>
      <c r="C686" s="10"/>
      <c r="D686" s="10"/>
      <c r="E686" s="10"/>
      <c r="F686" s="10"/>
      <c r="G686" s="10"/>
      <c r="H686" s="10"/>
      <c r="I686" s="10"/>
      <c r="J686" s="10"/>
      <c r="K686" s="10"/>
      <c r="L686" s="10"/>
      <c r="M686" s="10"/>
      <c r="N686" s="10"/>
      <c r="O686" s="34"/>
    </row>
    <row r="687" ht="15.75" customHeight="1">
      <c r="A687" s="32"/>
      <c r="B687" s="33"/>
      <c r="C687" s="10"/>
      <c r="D687" s="10"/>
      <c r="E687" s="10"/>
      <c r="F687" s="10"/>
      <c r="G687" s="10"/>
      <c r="H687" s="10"/>
      <c r="I687" s="10"/>
      <c r="J687" s="10"/>
      <c r="K687" s="10"/>
      <c r="L687" s="10"/>
      <c r="M687" s="10"/>
      <c r="N687" s="10"/>
      <c r="O687" s="34"/>
    </row>
    <row r="688" ht="15.75" customHeight="1">
      <c r="A688" s="32"/>
      <c r="B688" s="33"/>
      <c r="C688" s="10"/>
      <c r="D688" s="10"/>
      <c r="E688" s="10"/>
      <c r="F688" s="10"/>
      <c r="G688" s="10"/>
      <c r="H688" s="10"/>
      <c r="I688" s="10"/>
      <c r="J688" s="10"/>
      <c r="K688" s="10"/>
      <c r="L688" s="10"/>
      <c r="M688" s="10"/>
      <c r="N688" s="10"/>
      <c r="O688" s="34"/>
    </row>
    <row r="689" ht="15.75" customHeight="1">
      <c r="A689" s="32"/>
      <c r="B689" s="33"/>
      <c r="C689" s="10"/>
      <c r="D689" s="10"/>
      <c r="E689" s="10"/>
      <c r="F689" s="10"/>
      <c r="G689" s="10"/>
      <c r="H689" s="10"/>
      <c r="I689" s="10"/>
      <c r="J689" s="10"/>
      <c r="K689" s="10"/>
      <c r="L689" s="10"/>
      <c r="M689" s="10"/>
      <c r="N689" s="10"/>
      <c r="O689" s="34"/>
    </row>
    <row r="690" ht="15.75" customHeight="1">
      <c r="A690" s="32"/>
      <c r="B690" s="33"/>
      <c r="C690" s="10"/>
      <c r="D690" s="10"/>
      <c r="E690" s="10"/>
      <c r="F690" s="10"/>
      <c r="G690" s="10"/>
      <c r="H690" s="10"/>
      <c r="I690" s="10"/>
      <c r="J690" s="10"/>
      <c r="K690" s="10"/>
      <c r="L690" s="10"/>
      <c r="M690" s="10"/>
      <c r="N690" s="10"/>
      <c r="O690" s="34"/>
    </row>
    <row r="691" ht="15.75" customHeight="1">
      <c r="A691" s="32"/>
      <c r="B691" s="33"/>
      <c r="C691" s="10"/>
      <c r="D691" s="10"/>
      <c r="E691" s="10"/>
      <c r="F691" s="10"/>
      <c r="G691" s="10"/>
      <c r="H691" s="10"/>
      <c r="I691" s="10"/>
      <c r="J691" s="10"/>
      <c r="K691" s="10"/>
      <c r="L691" s="10"/>
      <c r="M691" s="10"/>
      <c r="N691" s="10"/>
      <c r="O691" s="34"/>
    </row>
    <row r="692" ht="15.75" customHeight="1">
      <c r="A692" s="32"/>
      <c r="B692" s="33"/>
      <c r="C692" s="10"/>
      <c r="D692" s="10"/>
      <c r="E692" s="10"/>
      <c r="F692" s="10"/>
      <c r="G692" s="10"/>
      <c r="H692" s="10"/>
      <c r="I692" s="10"/>
      <c r="J692" s="10"/>
      <c r="K692" s="10"/>
      <c r="L692" s="10"/>
      <c r="M692" s="10"/>
      <c r="N692" s="10"/>
      <c r="O692" s="34"/>
    </row>
    <row r="693" ht="15.75" customHeight="1">
      <c r="A693" s="32"/>
      <c r="B693" s="33"/>
      <c r="C693" s="10"/>
      <c r="D693" s="10"/>
      <c r="E693" s="10"/>
      <c r="F693" s="10"/>
      <c r="G693" s="10"/>
      <c r="H693" s="10"/>
      <c r="I693" s="10"/>
      <c r="J693" s="10"/>
      <c r="K693" s="10"/>
      <c r="L693" s="10"/>
      <c r="M693" s="10"/>
      <c r="N693" s="10"/>
      <c r="O693" s="34"/>
    </row>
    <row r="694" ht="15.75" customHeight="1">
      <c r="A694" s="32"/>
      <c r="B694" s="33"/>
      <c r="C694" s="10"/>
      <c r="D694" s="10"/>
      <c r="E694" s="10"/>
      <c r="F694" s="10"/>
      <c r="G694" s="10"/>
      <c r="H694" s="10"/>
      <c r="I694" s="10"/>
      <c r="J694" s="10"/>
      <c r="K694" s="10"/>
      <c r="L694" s="10"/>
      <c r="M694" s="10"/>
      <c r="N694" s="10"/>
      <c r="O694" s="34"/>
    </row>
    <row r="695" ht="15.75" customHeight="1">
      <c r="A695" s="32"/>
      <c r="B695" s="33"/>
      <c r="C695" s="10"/>
      <c r="D695" s="10"/>
      <c r="E695" s="10"/>
      <c r="F695" s="10"/>
      <c r="G695" s="10"/>
      <c r="H695" s="10"/>
      <c r="I695" s="10"/>
      <c r="J695" s="10"/>
      <c r="K695" s="10"/>
      <c r="L695" s="10"/>
      <c r="M695" s="10"/>
      <c r="N695" s="10"/>
      <c r="O695" s="34"/>
    </row>
    <row r="696" ht="15.75" customHeight="1">
      <c r="A696" s="32"/>
      <c r="B696" s="33"/>
      <c r="C696" s="10"/>
      <c r="D696" s="10"/>
      <c r="E696" s="10"/>
      <c r="F696" s="10"/>
      <c r="G696" s="10"/>
      <c r="H696" s="10"/>
      <c r="I696" s="10"/>
      <c r="J696" s="10"/>
      <c r="K696" s="10"/>
      <c r="L696" s="10"/>
      <c r="M696" s="10"/>
      <c r="N696" s="10"/>
      <c r="O696" s="34"/>
    </row>
    <row r="697" ht="15.75" customHeight="1">
      <c r="A697" s="32"/>
      <c r="B697" s="33"/>
      <c r="C697" s="10"/>
      <c r="D697" s="10"/>
      <c r="E697" s="10"/>
      <c r="F697" s="10"/>
      <c r="G697" s="10"/>
      <c r="H697" s="10"/>
      <c r="I697" s="10"/>
      <c r="J697" s="10"/>
      <c r="K697" s="10"/>
      <c r="L697" s="10"/>
      <c r="M697" s="10"/>
      <c r="N697" s="10"/>
      <c r="O697" s="34"/>
    </row>
    <row r="698" ht="15.75" customHeight="1">
      <c r="A698" s="32"/>
      <c r="B698" s="33"/>
      <c r="C698" s="10"/>
      <c r="D698" s="10"/>
      <c r="E698" s="10"/>
      <c r="F698" s="10"/>
      <c r="G698" s="10"/>
      <c r="H698" s="10"/>
      <c r="I698" s="10"/>
      <c r="J698" s="10"/>
      <c r="K698" s="10"/>
      <c r="L698" s="10"/>
      <c r="M698" s="10"/>
      <c r="N698" s="10"/>
      <c r="O698" s="34"/>
    </row>
    <row r="699" ht="15.75" customHeight="1">
      <c r="A699" s="32"/>
      <c r="B699" s="33"/>
      <c r="C699" s="10"/>
      <c r="D699" s="10"/>
      <c r="E699" s="10"/>
      <c r="F699" s="10"/>
      <c r="G699" s="10"/>
      <c r="H699" s="10"/>
      <c r="I699" s="10"/>
      <c r="J699" s="10"/>
      <c r="K699" s="10"/>
      <c r="L699" s="10"/>
      <c r="M699" s="10"/>
      <c r="N699" s="10"/>
      <c r="O699" s="34"/>
    </row>
    <row r="700" ht="15.75" customHeight="1">
      <c r="A700" s="32"/>
      <c r="B700" s="33"/>
      <c r="C700" s="10"/>
      <c r="D700" s="10"/>
      <c r="E700" s="10"/>
      <c r="F700" s="10"/>
      <c r="G700" s="10"/>
      <c r="H700" s="10"/>
      <c r="I700" s="10"/>
      <c r="J700" s="10"/>
      <c r="K700" s="10"/>
      <c r="L700" s="10"/>
      <c r="M700" s="10"/>
      <c r="N700" s="10"/>
      <c r="O700" s="34"/>
    </row>
    <row r="701" ht="15.75" customHeight="1">
      <c r="A701" s="32"/>
      <c r="B701" s="33"/>
      <c r="C701" s="10"/>
      <c r="D701" s="10"/>
      <c r="E701" s="10"/>
      <c r="F701" s="10"/>
      <c r="G701" s="10"/>
      <c r="H701" s="10"/>
      <c r="I701" s="10"/>
      <c r="J701" s="10"/>
      <c r="K701" s="10"/>
      <c r="L701" s="10"/>
      <c r="M701" s="10"/>
      <c r="N701" s="10"/>
      <c r="O701" s="34"/>
    </row>
    <row r="702" ht="15.75" customHeight="1">
      <c r="A702" s="32"/>
      <c r="B702" s="33"/>
      <c r="C702" s="10"/>
      <c r="D702" s="10"/>
      <c r="E702" s="10"/>
      <c r="F702" s="10"/>
      <c r="G702" s="10"/>
      <c r="H702" s="10"/>
      <c r="I702" s="10"/>
      <c r="J702" s="10"/>
      <c r="K702" s="10"/>
      <c r="L702" s="10"/>
      <c r="M702" s="10"/>
      <c r="N702" s="10"/>
      <c r="O702" s="34"/>
    </row>
    <row r="703" ht="15.75" customHeight="1">
      <c r="A703" s="32"/>
      <c r="B703" s="33"/>
      <c r="C703" s="10"/>
      <c r="D703" s="10"/>
      <c r="E703" s="10"/>
      <c r="F703" s="10"/>
      <c r="G703" s="10"/>
      <c r="H703" s="10"/>
      <c r="I703" s="10"/>
      <c r="J703" s="10"/>
      <c r="K703" s="10"/>
      <c r="L703" s="10"/>
      <c r="M703" s="10"/>
      <c r="N703" s="10"/>
      <c r="O703" s="34"/>
    </row>
    <row r="704" ht="15.75" customHeight="1">
      <c r="A704" s="32"/>
      <c r="B704" s="33"/>
      <c r="C704" s="10"/>
      <c r="D704" s="10"/>
      <c r="E704" s="10"/>
      <c r="F704" s="10"/>
      <c r="G704" s="10"/>
      <c r="H704" s="10"/>
      <c r="I704" s="10"/>
      <c r="J704" s="10"/>
      <c r="K704" s="10"/>
      <c r="L704" s="10"/>
      <c r="M704" s="10"/>
      <c r="N704" s="10"/>
      <c r="O704" s="34"/>
    </row>
    <row r="705" ht="15.75" customHeight="1">
      <c r="A705" s="32"/>
      <c r="B705" s="33"/>
      <c r="C705" s="10"/>
      <c r="D705" s="10"/>
      <c r="E705" s="10"/>
      <c r="F705" s="10"/>
      <c r="G705" s="10"/>
      <c r="H705" s="10"/>
      <c r="I705" s="10"/>
      <c r="J705" s="10"/>
      <c r="K705" s="10"/>
      <c r="L705" s="10"/>
      <c r="M705" s="10"/>
      <c r="N705" s="10"/>
      <c r="O705" s="34"/>
    </row>
    <row r="706" ht="15.75" customHeight="1">
      <c r="A706" s="32"/>
      <c r="B706" s="33"/>
      <c r="C706" s="10"/>
      <c r="D706" s="10"/>
      <c r="E706" s="10"/>
      <c r="F706" s="10"/>
      <c r="G706" s="10"/>
      <c r="H706" s="10"/>
      <c r="I706" s="10"/>
      <c r="J706" s="10"/>
      <c r="K706" s="10"/>
      <c r="L706" s="10"/>
      <c r="M706" s="10"/>
      <c r="N706" s="10"/>
      <c r="O706" s="34"/>
    </row>
    <row r="707" ht="15.75" customHeight="1">
      <c r="A707" s="32"/>
      <c r="B707" s="33"/>
      <c r="C707" s="10"/>
      <c r="D707" s="10"/>
      <c r="E707" s="10"/>
      <c r="F707" s="10"/>
      <c r="G707" s="10"/>
      <c r="H707" s="10"/>
      <c r="I707" s="10"/>
      <c r="J707" s="10"/>
      <c r="K707" s="10"/>
      <c r="L707" s="10"/>
      <c r="M707" s="10"/>
      <c r="N707" s="10"/>
      <c r="O707" s="34"/>
    </row>
    <row r="708" ht="15.75" customHeight="1">
      <c r="A708" s="32"/>
      <c r="B708" s="33"/>
      <c r="C708" s="10"/>
      <c r="D708" s="10"/>
      <c r="E708" s="10"/>
      <c r="F708" s="10"/>
      <c r="G708" s="10"/>
      <c r="H708" s="10"/>
      <c r="I708" s="10"/>
      <c r="J708" s="10"/>
      <c r="K708" s="10"/>
      <c r="L708" s="10"/>
      <c r="M708" s="10"/>
      <c r="N708" s="10"/>
      <c r="O708" s="34"/>
    </row>
    <row r="709" ht="15.75" customHeight="1">
      <c r="A709" s="32"/>
      <c r="B709" s="33"/>
      <c r="C709" s="10"/>
      <c r="D709" s="10"/>
      <c r="E709" s="10"/>
      <c r="F709" s="10"/>
      <c r="G709" s="10"/>
      <c r="H709" s="10"/>
      <c r="I709" s="10"/>
      <c r="J709" s="10"/>
      <c r="K709" s="10"/>
      <c r="L709" s="10"/>
      <c r="M709" s="10"/>
      <c r="N709" s="10"/>
      <c r="O709" s="34"/>
    </row>
    <row r="710" ht="15.75" customHeight="1">
      <c r="A710" s="32"/>
      <c r="B710" s="33"/>
      <c r="C710" s="10"/>
      <c r="D710" s="10"/>
      <c r="E710" s="10"/>
      <c r="F710" s="10"/>
      <c r="G710" s="10"/>
      <c r="H710" s="10"/>
      <c r="I710" s="10"/>
      <c r="J710" s="10"/>
      <c r="K710" s="10"/>
      <c r="L710" s="10"/>
      <c r="M710" s="10"/>
      <c r="N710" s="10"/>
      <c r="O710" s="34"/>
    </row>
    <row r="711" ht="15.75" customHeight="1">
      <c r="A711" s="32"/>
      <c r="B711" s="33"/>
      <c r="C711" s="10"/>
      <c r="D711" s="10"/>
      <c r="E711" s="10"/>
      <c r="F711" s="10"/>
      <c r="G711" s="10"/>
      <c r="H711" s="10"/>
      <c r="I711" s="10"/>
      <c r="J711" s="10"/>
      <c r="K711" s="10"/>
      <c r="L711" s="10"/>
      <c r="M711" s="10"/>
      <c r="N711" s="10"/>
      <c r="O711" s="34"/>
    </row>
    <row r="712" ht="15.75" customHeight="1">
      <c r="A712" s="32"/>
      <c r="B712" s="33"/>
      <c r="C712" s="10"/>
      <c r="D712" s="10"/>
      <c r="E712" s="10"/>
      <c r="F712" s="10"/>
      <c r="G712" s="10"/>
      <c r="H712" s="10"/>
      <c r="I712" s="10"/>
      <c r="J712" s="10"/>
      <c r="K712" s="10"/>
      <c r="L712" s="10"/>
      <c r="M712" s="10"/>
      <c r="N712" s="10"/>
      <c r="O712" s="34"/>
    </row>
    <row r="713" ht="15.75" customHeight="1">
      <c r="A713" s="32"/>
      <c r="B713" s="33"/>
      <c r="C713" s="10"/>
      <c r="D713" s="10"/>
      <c r="E713" s="10"/>
      <c r="F713" s="10"/>
      <c r="G713" s="10"/>
      <c r="H713" s="10"/>
      <c r="I713" s="10"/>
      <c r="J713" s="10"/>
      <c r="K713" s="10"/>
      <c r="L713" s="10"/>
      <c r="M713" s="10"/>
      <c r="N713" s="10"/>
      <c r="O713" s="34"/>
    </row>
    <row r="714" ht="15.75" customHeight="1">
      <c r="A714" s="32"/>
      <c r="B714" s="33"/>
      <c r="C714" s="10"/>
      <c r="D714" s="10"/>
      <c r="E714" s="10"/>
      <c r="F714" s="10"/>
      <c r="G714" s="10"/>
      <c r="H714" s="10"/>
      <c r="I714" s="10"/>
      <c r="J714" s="10"/>
      <c r="K714" s="10"/>
      <c r="L714" s="10"/>
      <c r="M714" s="10"/>
      <c r="N714" s="10"/>
      <c r="O714" s="34"/>
    </row>
    <row r="715" ht="15.75" customHeight="1">
      <c r="A715" s="32"/>
      <c r="B715" s="33"/>
      <c r="C715" s="10"/>
      <c r="D715" s="10"/>
      <c r="E715" s="10"/>
      <c r="F715" s="10"/>
      <c r="G715" s="10"/>
      <c r="H715" s="10"/>
      <c r="I715" s="10"/>
      <c r="J715" s="10"/>
      <c r="K715" s="10"/>
      <c r="L715" s="10"/>
      <c r="M715" s="10"/>
      <c r="N715" s="10"/>
      <c r="O715" s="34"/>
    </row>
    <row r="716" ht="15.75" customHeight="1">
      <c r="A716" s="32"/>
      <c r="B716" s="33"/>
      <c r="C716" s="10"/>
      <c r="D716" s="10"/>
      <c r="E716" s="10"/>
      <c r="F716" s="10"/>
      <c r="G716" s="10"/>
      <c r="H716" s="10"/>
      <c r="I716" s="10"/>
      <c r="J716" s="10"/>
      <c r="K716" s="10"/>
      <c r="L716" s="10"/>
      <c r="M716" s="10"/>
      <c r="N716" s="10"/>
      <c r="O716" s="34"/>
    </row>
    <row r="717" ht="15.75" customHeight="1">
      <c r="A717" s="32"/>
      <c r="B717" s="33"/>
      <c r="C717" s="10"/>
      <c r="D717" s="10"/>
      <c r="E717" s="10"/>
      <c r="F717" s="10"/>
      <c r="G717" s="10"/>
      <c r="H717" s="10"/>
      <c r="I717" s="10"/>
      <c r="J717" s="10"/>
      <c r="K717" s="10"/>
      <c r="L717" s="10"/>
      <c r="M717" s="10"/>
      <c r="N717" s="10"/>
      <c r="O717" s="34"/>
    </row>
    <row r="718" ht="15.75" customHeight="1">
      <c r="A718" s="32"/>
      <c r="B718" s="33"/>
      <c r="C718" s="10"/>
      <c r="D718" s="10"/>
      <c r="E718" s="10"/>
      <c r="F718" s="10"/>
      <c r="G718" s="10"/>
      <c r="H718" s="10"/>
      <c r="I718" s="10"/>
      <c r="J718" s="10"/>
      <c r="K718" s="10"/>
      <c r="L718" s="10"/>
      <c r="M718" s="10"/>
      <c r="N718" s="10"/>
      <c r="O718" s="34"/>
    </row>
    <row r="719" ht="15.75" customHeight="1">
      <c r="A719" s="32"/>
      <c r="B719" s="33"/>
      <c r="C719" s="10"/>
      <c r="D719" s="10"/>
      <c r="E719" s="10"/>
      <c r="F719" s="10"/>
      <c r="G719" s="10"/>
      <c r="H719" s="10"/>
      <c r="I719" s="10"/>
      <c r="J719" s="10"/>
      <c r="K719" s="10"/>
      <c r="L719" s="10"/>
      <c r="M719" s="10"/>
      <c r="N719" s="10"/>
      <c r="O719" s="34"/>
    </row>
    <row r="720" ht="15.75" customHeight="1">
      <c r="A720" s="32"/>
      <c r="B720" s="33"/>
      <c r="C720" s="10"/>
      <c r="D720" s="10"/>
      <c r="E720" s="10"/>
      <c r="F720" s="10"/>
      <c r="G720" s="10"/>
      <c r="H720" s="10"/>
      <c r="I720" s="10"/>
      <c r="J720" s="10"/>
      <c r="K720" s="10"/>
      <c r="L720" s="10"/>
      <c r="M720" s="10"/>
      <c r="N720" s="10"/>
      <c r="O720" s="34"/>
    </row>
    <row r="721" ht="15.75" customHeight="1">
      <c r="A721" s="32"/>
      <c r="B721" s="33"/>
      <c r="C721" s="10"/>
      <c r="D721" s="10"/>
      <c r="E721" s="10"/>
      <c r="F721" s="10"/>
      <c r="G721" s="10"/>
      <c r="H721" s="10"/>
      <c r="I721" s="10"/>
      <c r="J721" s="10"/>
      <c r="K721" s="10"/>
      <c r="L721" s="10"/>
      <c r="M721" s="10"/>
      <c r="N721" s="10"/>
      <c r="O721" s="34"/>
    </row>
    <row r="722" ht="15.75" customHeight="1">
      <c r="A722" s="32"/>
      <c r="B722" s="33"/>
      <c r="C722" s="10"/>
      <c r="D722" s="10"/>
      <c r="E722" s="10"/>
      <c r="F722" s="10"/>
      <c r="G722" s="10"/>
      <c r="H722" s="10"/>
      <c r="I722" s="10"/>
      <c r="J722" s="10"/>
      <c r="K722" s="10"/>
      <c r="L722" s="10"/>
      <c r="M722" s="10"/>
      <c r="N722" s="10"/>
      <c r="O722" s="34"/>
    </row>
    <row r="723" ht="15.75" customHeight="1">
      <c r="A723" s="32"/>
      <c r="B723" s="33"/>
      <c r="C723" s="10"/>
      <c r="D723" s="10"/>
      <c r="E723" s="10"/>
      <c r="F723" s="10"/>
      <c r="G723" s="10"/>
      <c r="H723" s="10"/>
      <c r="I723" s="10"/>
      <c r="J723" s="10"/>
      <c r="K723" s="10"/>
      <c r="L723" s="10"/>
      <c r="M723" s="10"/>
      <c r="N723" s="10"/>
      <c r="O723" s="34"/>
    </row>
    <row r="724" ht="15.75" customHeight="1">
      <c r="A724" s="32"/>
      <c r="B724" s="33"/>
      <c r="C724" s="10"/>
      <c r="D724" s="10"/>
      <c r="E724" s="10"/>
      <c r="F724" s="10"/>
      <c r="G724" s="10"/>
      <c r="H724" s="10"/>
      <c r="I724" s="10"/>
      <c r="J724" s="10"/>
      <c r="K724" s="10"/>
      <c r="L724" s="10"/>
      <c r="M724" s="10"/>
      <c r="N724" s="10"/>
      <c r="O724" s="34"/>
    </row>
    <row r="725" ht="15.75" customHeight="1">
      <c r="A725" s="32"/>
      <c r="B725" s="33"/>
      <c r="C725" s="10"/>
      <c r="D725" s="10"/>
      <c r="E725" s="10"/>
      <c r="F725" s="10"/>
      <c r="G725" s="10"/>
      <c r="H725" s="10"/>
      <c r="I725" s="10"/>
      <c r="J725" s="10"/>
      <c r="K725" s="10"/>
      <c r="L725" s="10"/>
      <c r="M725" s="10"/>
      <c r="N725" s="10"/>
      <c r="O725" s="34"/>
    </row>
    <row r="726" ht="15.75" customHeight="1">
      <c r="A726" s="32"/>
      <c r="B726" s="33"/>
      <c r="C726" s="10"/>
      <c r="D726" s="10"/>
      <c r="E726" s="10"/>
      <c r="F726" s="10"/>
      <c r="G726" s="10"/>
      <c r="H726" s="10"/>
      <c r="I726" s="10"/>
      <c r="J726" s="10"/>
      <c r="K726" s="10"/>
      <c r="L726" s="10"/>
      <c r="M726" s="10"/>
      <c r="N726" s="10"/>
      <c r="O726" s="34"/>
    </row>
    <row r="727" ht="15.75" customHeight="1">
      <c r="A727" s="32"/>
      <c r="B727" s="33"/>
      <c r="C727" s="10"/>
      <c r="D727" s="10"/>
      <c r="E727" s="10"/>
      <c r="F727" s="10"/>
      <c r="G727" s="10"/>
      <c r="H727" s="10"/>
      <c r="I727" s="10"/>
      <c r="J727" s="10"/>
      <c r="K727" s="10"/>
      <c r="L727" s="10"/>
      <c r="M727" s="10"/>
      <c r="N727" s="10"/>
      <c r="O727" s="34"/>
    </row>
    <row r="728" ht="15.75" customHeight="1">
      <c r="A728" s="32"/>
      <c r="B728" s="33"/>
      <c r="C728" s="10"/>
      <c r="D728" s="10"/>
      <c r="E728" s="10"/>
      <c r="F728" s="10"/>
      <c r="G728" s="10"/>
      <c r="H728" s="10"/>
      <c r="I728" s="10"/>
      <c r="J728" s="10"/>
      <c r="K728" s="10"/>
      <c r="L728" s="10"/>
      <c r="M728" s="10"/>
      <c r="N728" s="10"/>
      <c r="O728" s="34"/>
    </row>
    <row r="729" ht="15.75" customHeight="1">
      <c r="A729" s="32"/>
      <c r="B729" s="33"/>
      <c r="C729" s="10"/>
      <c r="D729" s="10"/>
      <c r="E729" s="10"/>
      <c r="F729" s="10"/>
      <c r="G729" s="10"/>
      <c r="H729" s="10"/>
      <c r="I729" s="10"/>
      <c r="J729" s="10"/>
      <c r="K729" s="10"/>
      <c r="L729" s="10"/>
      <c r="M729" s="10"/>
      <c r="N729" s="10"/>
      <c r="O729" s="34"/>
    </row>
    <row r="730" ht="15.75" customHeight="1">
      <c r="A730" s="32"/>
      <c r="B730" s="33"/>
      <c r="C730" s="10"/>
      <c r="D730" s="10"/>
      <c r="E730" s="10"/>
      <c r="F730" s="10"/>
      <c r="G730" s="10"/>
      <c r="H730" s="10"/>
      <c r="I730" s="10"/>
      <c r="J730" s="10"/>
      <c r="K730" s="10"/>
      <c r="L730" s="10"/>
      <c r="M730" s="10"/>
      <c r="N730" s="10"/>
      <c r="O730" s="34"/>
    </row>
    <row r="731" ht="15.75" customHeight="1">
      <c r="A731" s="32"/>
      <c r="B731" s="33"/>
      <c r="C731" s="10"/>
      <c r="D731" s="10"/>
      <c r="E731" s="10"/>
      <c r="F731" s="10"/>
      <c r="G731" s="10"/>
      <c r="H731" s="10"/>
      <c r="I731" s="10"/>
      <c r="J731" s="10"/>
      <c r="K731" s="10"/>
      <c r="L731" s="10"/>
      <c r="M731" s="10"/>
      <c r="N731" s="10"/>
      <c r="O731" s="34"/>
    </row>
    <row r="732" ht="15.75" customHeight="1">
      <c r="A732" s="32"/>
      <c r="B732" s="33"/>
      <c r="C732" s="10"/>
      <c r="D732" s="10"/>
      <c r="E732" s="10"/>
      <c r="F732" s="10"/>
      <c r="G732" s="10"/>
      <c r="H732" s="10"/>
      <c r="I732" s="10"/>
      <c r="J732" s="10"/>
      <c r="K732" s="10"/>
      <c r="L732" s="10"/>
      <c r="M732" s="10"/>
      <c r="N732" s="10"/>
      <c r="O732" s="34"/>
    </row>
    <row r="733" ht="15.75" customHeight="1">
      <c r="A733" s="32"/>
      <c r="B733" s="33"/>
      <c r="C733" s="10"/>
      <c r="D733" s="10"/>
      <c r="E733" s="10"/>
      <c r="F733" s="10"/>
      <c r="G733" s="10"/>
      <c r="H733" s="10"/>
      <c r="I733" s="10"/>
      <c r="J733" s="10"/>
      <c r="K733" s="10"/>
      <c r="L733" s="10"/>
      <c r="M733" s="10"/>
      <c r="N733" s="10"/>
      <c r="O733" s="34"/>
    </row>
    <row r="734" ht="15.75" customHeight="1">
      <c r="A734" s="32"/>
      <c r="B734" s="33"/>
      <c r="C734" s="10"/>
      <c r="D734" s="10"/>
      <c r="E734" s="10"/>
      <c r="F734" s="10"/>
      <c r="G734" s="10"/>
      <c r="H734" s="10"/>
      <c r="I734" s="10"/>
      <c r="J734" s="10"/>
      <c r="K734" s="10"/>
      <c r="L734" s="10"/>
      <c r="M734" s="10"/>
      <c r="N734" s="10"/>
      <c r="O734" s="34"/>
    </row>
    <row r="735" ht="15.75" customHeight="1">
      <c r="A735" s="32"/>
      <c r="B735" s="33"/>
      <c r="C735" s="10"/>
      <c r="D735" s="10"/>
      <c r="E735" s="10"/>
      <c r="F735" s="10"/>
      <c r="G735" s="10"/>
      <c r="H735" s="10"/>
      <c r="I735" s="10"/>
      <c r="J735" s="10"/>
      <c r="K735" s="10"/>
      <c r="L735" s="10"/>
      <c r="M735" s="10"/>
      <c r="N735" s="10"/>
      <c r="O735" s="34"/>
    </row>
    <row r="736" ht="15.75" customHeight="1">
      <c r="A736" s="32"/>
      <c r="B736" s="33"/>
      <c r="C736" s="10"/>
      <c r="D736" s="10"/>
      <c r="E736" s="10"/>
      <c r="F736" s="10"/>
      <c r="G736" s="10"/>
      <c r="H736" s="10"/>
      <c r="I736" s="10"/>
      <c r="J736" s="10"/>
      <c r="K736" s="10"/>
      <c r="L736" s="10"/>
      <c r="M736" s="10"/>
      <c r="N736" s="10"/>
      <c r="O736" s="34"/>
    </row>
    <row r="737" ht="15.75" customHeight="1">
      <c r="A737" s="32"/>
      <c r="B737" s="33"/>
      <c r="C737" s="10"/>
      <c r="D737" s="10"/>
      <c r="E737" s="10"/>
      <c r="F737" s="10"/>
      <c r="G737" s="10"/>
      <c r="H737" s="10"/>
      <c r="I737" s="10"/>
      <c r="J737" s="10"/>
      <c r="K737" s="10"/>
      <c r="L737" s="10"/>
      <c r="M737" s="10"/>
      <c r="N737" s="10"/>
      <c r="O737" s="34"/>
    </row>
    <row r="738" ht="15.75" customHeight="1">
      <c r="A738" s="32"/>
      <c r="B738" s="33"/>
      <c r="C738" s="10"/>
      <c r="D738" s="10"/>
      <c r="E738" s="10"/>
      <c r="F738" s="10"/>
      <c r="G738" s="10"/>
      <c r="H738" s="10"/>
      <c r="I738" s="10"/>
      <c r="J738" s="10"/>
      <c r="K738" s="10"/>
      <c r="L738" s="10"/>
      <c r="M738" s="10"/>
      <c r="N738" s="10"/>
      <c r="O738" s="34"/>
    </row>
    <row r="739" ht="15.75" customHeight="1">
      <c r="A739" s="32"/>
      <c r="B739" s="33"/>
      <c r="C739" s="10"/>
      <c r="D739" s="10"/>
      <c r="E739" s="10"/>
      <c r="F739" s="10"/>
      <c r="G739" s="10"/>
      <c r="H739" s="10"/>
      <c r="I739" s="10"/>
      <c r="J739" s="10"/>
      <c r="K739" s="10"/>
      <c r="L739" s="10"/>
      <c r="M739" s="10"/>
      <c r="N739" s="10"/>
      <c r="O739" s="34"/>
    </row>
    <row r="740" ht="15.75" customHeight="1">
      <c r="A740" s="32"/>
      <c r="B740" s="33"/>
      <c r="C740" s="10"/>
      <c r="D740" s="10"/>
      <c r="E740" s="10"/>
      <c r="F740" s="10"/>
      <c r="G740" s="10"/>
      <c r="H740" s="10"/>
      <c r="I740" s="10"/>
      <c r="J740" s="10"/>
      <c r="K740" s="10"/>
      <c r="L740" s="10"/>
      <c r="M740" s="10"/>
      <c r="N740" s="10"/>
      <c r="O740" s="34"/>
    </row>
    <row r="741" ht="15.75" customHeight="1">
      <c r="A741" s="32"/>
      <c r="B741" s="33"/>
      <c r="C741" s="10"/>
      <c r="D741" s="10"/>
      <c r="E741" s="10"/>
      <c r="F741" s="10"/>
      <c r="G741" s="10"/>
      <c r="H741" s="10"/>
      <c r="I741" s="10"/>
      <c r="J741" s="10"/>
      <c r="K741" s="10"/>
      <c r="L741" s="10"/>
      <c r="M741" s="10"/>
      <c r="N741" s="10"/>
      <c r="O741" s="34"/>
    </row>
    <row r="742" ht="15.75" customHeight="1">
      <c r="A742" s="32"/>
      <c r="B742" s="33"/>
      <c r="C742" s="10"/>
      <c r="D742" s="10"/>
      <c r="E742" s="10"/>
      <c r="F742" s="10"/>
      <c r="G742" s="10"/>
      <c r="H742" s="10"/>
      <c r="I742" s="10"/>
      <c r="J742" s="10"/>
      <c r="K742" s="10"/>
      <c r="L742" s="10"/>
      <c r="M742" s="10"/>
      <c r="N742" s="10"/>
      <c r="O742" s="34"/>
    </row>
    <row r="743" ht="15.75" customHeight="1">
      <c r="A743" s="32"/>
      <c r="B743" s="33"/>
      <c r="C743" s="10"/>
      <c r="D743" s="10"/>
      <c r="E743" s="10"/>
      <c r="F743" s="10"/>
      <c r="G743" s="10"/>
      <c r="H743" s="10"/>
      <c r="I743" s="10"/>
      <c r="J743" s="10"/>
      <c r="K743" s="10"/>
      <c r="L743" s="10"/>
      <c r="M743" s="10"/>
      <c r="N743" s="10"/>
      <c r="O743" s="34"/>
    </row>
    <row r="744" ht="15.75" customHeight="1">
      <c r="A744" s="32"/>
      <c r="B744" s="33"/>
      <c r="C744" s="10"/>
      <c r="D744" s="10"/>
      <c r="E744" s="10"/>
      <c r="F744" s="10"/>
      <c r="G744" s="10"/>
      <c r="H744" s="10"/>
      <c r="I744" s="10"/>
      <c r="J744" s="10"/>
      <c r="K744" s="10"/>
      <c r="L744" s="10"/>
      <c r="M744" s="10"/>
      <c r="N744" s="10"/>
      <c r="O744" s="34"/>
    </row>
    <row r="745" ht="15.75" customHeight="1">
      <c r="A745" s="32"/>
      <c r="B745" s="33"/>
      <c r="C745" s="10"/>
      <c r="D745" s="10"/>
      <c r="E745" s="10"/>
      <c r="F745" s="10"/>
      <c r="G745" s="10"/>
      <c r="H745" s="10"/>
      <c r="I745" s="10"/>
      <c r="J745" s="10"/>
      <c r="K745" s="10"/>
      <c r="L745" s="10"/>
      <c r="M745" s="10"/>
      <c r="N745" s="10"/>
      <c r="O745" s="34"/>
    </row>
    <row r="746" ht="15.75" customHeight="1">
      <c r="A746" s="32"/>
      <c r="B746" s="33"/>
      <c r="C746" s="10"/>
      <c r="D746" s="10"/>
      <c r="E746" s="10"/>
      <c r="F746" s="10"/>
      <c r="G746" s="10"/>
      <c r="H746" s="10"/>
      <c r="I746" s="10"/>
      <c r="J746" s="10"/>
      <c r="K746" s="10"/>
      <c r="L746" s="10"/>
      <c r="M746" s="10"/>
      <c r="N746" s="10"/>
      <c r="O746" s="34"/>
    </row>
    <row r="747" ht="15.75" customHeight="1">
      <c r="A747" s="32"/>
      <c r="B747" s="33"/>
      <c r="C747" s="10"/>
      <c r="D747" s="10"/>
      <c r="E747" s="10"/>
      <c r="F747" s="10"/>
      <c r="G747" s="10"/>
      <c r="H747" s="10"/>
      <c r="I747" s="10"/>
      <c r="J747" s="10"/>
      <c r="K747" s="10"/>
      <c r="L747" s="10"/>
      <c r="M747" s="10"/>
      <c r="N747" s="10"/>
      <c r="O747" s="34"/>
    </row>
    <row r="748" ht="15.75" customHeight="1">
      <c r="A748" s="32"/>
      <c r="B748" s="33"/>
      <c r="C748" s="10"/>
      <c r="D748" s="10"/>
      <c r="E748" s="10"/>
      <c r="F748" s="10"/>
      <c r="G748" s="10"/>
      <c r="H748" s="10"/>
      <c r="I748" s="10"/>
      <c r="J748" s="10"/>
      <c r="K748" s="10"/>
      <c r="L748" s="10"/>
      <c r="M748" s="10"/>
      <c r="N748" s="10"/>
      <c r="O748" s="34"/>
    </row>
    <row r="749" ht="15.75" customHeight="1">
      <c r="A749" s="32"/>
      <c r="B749" s="33"/>
      <c r="C749" s="10"/>
      <c r="D749" s="10"/>
      <c r="E749" s="10"/>
      <c r="F749" s="10"/>
      <c r="G749" s="10"/>
      <c r="H749" s="10"/>
      <c r="I749" s="10"/>
      <c r="J749" s="10"/>
      <c r="K749" s="10"/>
      <c r="L749" s="10"/>
      <c r="M749" s="10"/>
      <c r="N749" s="10"/>
      <c r="O749" s="34"/>
    </row>
    <row r="750" ht="15.75" customHeight="1">
      <c r="A750" s="32"/>
      <c r="B750" s="33"/>
      <c r="C750" s="10"/>
      <c r="D750" s="10"/>
      <c r="E750" s="10"/>
      <c r="F750" s="10"/>
      <c r="G750" s="10"/>
      <c r="H750" s="10"/>
      <c r="I750" s="10"/>
      <c r="J750" s="10"/>
      <c r="K750" s="10"/>
      <c r="L750" s="10"/>
      <c r="M750" s="10"/>
      <c r="N750" s="10"/>
      <c r="O750" s="34"/>
    </row>
    <row r="751" ht="15.75" customHeight="1">
      <c r="A751" s="32"/>
      <c r="B751" s="33"/>
      <c r="C751" s="10"/>
      <c r="D751" s="10"/>
      <c r="E751" s="10"/>
      <c r="F751" s="10"/>
      <c r="G751" s="10"/>
      <c r="H751" s="10"/>
      <c r="I751" s="10"/>
      <c r="J751" s="10"/>
      <c r="K751" s="10"/>
      <c r="L751" s="10"/>
      <c r="M751" s="10"/>
      <c r="N751" s="10"/>
      <c r="O751" s="34"/>
    </row>
    <row r="752" ht="15.75" customHeight="1">
      <c r="A752" s="32"/>
      <c r="B752" s="33"/>
      <c r="C752" s="10"/>
      <c r="D752" s="10"/>
      <c r="E752" s="10"/>
      <c r="F752" s="10"/>
      <c r="G752" s="10"/>
      <c r="H752" s="10"/>
      <c r="I752" s="10"/>
      <c r="J752" s="10"/>
      <c r="K752" s="10"/>
      <c r="L752" s="10"/>
      <c r="M752" s="10"/>
      <c r="N752" s="10"/>
      <c r="O752" s="34"/>
    </row>
    <row r="753" ht="15.75" customHeight="1">
      <c r="A753" s="32"/>
      <c r="B753" s="33"/>
      <c r="C753" s="10"/>
      <c r="D753" s="10"/>
      <c r="E753" s="10"/>
      <c r="F753" s="10"/>
      <c r="G753" s="10"/>
      <c r="H753" s="10"/>
      <c r="I753" s="10"/>
      <c r="J753" s="10"/>
      <c r="K753" s="10"/>
      <c r="L753" s="10"/>
      <c r="M753" s="10"/>
      <c r="N753" s="10"/>
      <c r="O753" s="34"/>
    </row>
    <row r="754" ht="15.75" customHeight="1">
      <c r="A754" s="32"/>
      <c r="B754" s="33"/>
      <c r="C754" s="10"/>
      <c r="D754" s="10"/>
      <c r="E754" s="10"/>
      <c r="F754" s="10"/>
      <c r="G754" s="10"/>
      <c r="H754" s="10"/>
      <c r="I754" s="10"/>
      <c r="J754" s="10"/>
      <c r="K754" s="10"/>
      <c r="L754" s="10"/>
      <c r="M754" s="10"/>
      <c r="N754" s="10"/>
      <c r="O754" s="34"/>
    </row>
    <row r="755" ht="15.75" customHeight="1">
      <c r="A755" s="32"/>
      <c r="B755" s="33"/>
      <c r="C755" s="10"/>
      <c r="D755" s="10"/>
      <c r="E755" s="10"/>
      <c r="F755" s="10"/>
      <c r="G755" s="10"/>
      <c r="H755" s="10"/>
      <c r="I755" s="10"/>
      <c r="J755" s="10"/>
      <c r="K755" s="10"/>
      <c r="L755" s="10"/>
      <c r="M755" s="10"/>
      <c r="N755" s="10"/>
      <c r="O755" s="34"/>
    </row>
    <row r="756" ht="15.75" customHeight="1">
      <c r="A756" s="32"/>
      <c r="B756" s="33"/>
      <c r="C756" s="10"/>
      <c r="D756" s="10"/>
      <c r="E756" s="10"/>
      <c r="F756" s="10"/>
      <c r="G756" s="10"/>
      <c r="H756" s="10"/>
      <c r="I756" s="10"/>
      <c r="J756" s="10"/>
      <c r="K756" s="10"/>
      <c r="L756" s="10"/>
      <c r="M756" s="10"/>
      <c r="N756" s="10"/>
      <c r="O756" s="34"/>
    </row>
    <row r="757" ht="15.75" customHeight="1">
      <c r="A757" s="32"/>
      <c r="B757" s="33"/>
      <c r="C757" s="10"/>
      <c r="D757" s="10"/>
      <c r="E757" s="10"/>
      <c r="F757" s="10"/>
      <c r="G757" s="10"/>
      <c r="H757" s="10"/>
      <c r="I757" s="10"/>
      <c r="J757" s="10"/>
      <c r="K757" s="10"/>
      <c r="L757" s="10"/>
      <c r="M757" s="10"/>
      <c r="N757" s="10"/>
      <c r="O757" s="34"/>
    </row>
    <row r="758" ht="15.75" customHeight="1">
      <c r="A758" s="32"/>
      <c r="B758" s="33"/>
      <c r="C758" s="10"/>
      <c r="D758" s="10"/>
      <c r="E758" s="10"/>
      <c r="F758" s="10"/>
      <c r="G758" s="10"/>
      <c r="H758" s="10"/>
      <c r="I758" s="10"/>
      <c r="J758" s="10"/>
      <c r="K758" s="10"/>
      <c r="L758" s="10"/>
      <c r="M758" s="10"/>
      <c r="N758" s="10"/>
      <c r="O758" s="34"/>
    </row>
    <row r="759" ht="15.75" customHeight="1">
      <c r="A759" s="32"/>
      <c r="B759" s="33"/>
      <c r="C759" s="10"/>
      <c r="D759" s="10"/>
      <c r="E759" s="10"/>
      <c r="F759" s="10"/>
      <c r="G759" s="10"/>
      <c r="H759" s="10"/>
      <c r="I759" s="10"/>
      <c r="J759" s="10"/>
      <c r="K759" s="10"/>
      <c r="L759" s="10"/>
      <c r="M759" s="10"/>
      <c r="N759" s="10"/>
      <c r="O759" s="34"/>
    </row>
    <row r="760" ht="15.75" customHeight="1">
      <c r="A760" s="32"/>
      <c r="B760" s="33"/>
      <c r="C760" s="10"/>
      <c r="D760" s="10"/>
      <c r="E760" s="10"/>
      <c r="F760" s="10"/>
      <c r="G760" s="10"/>
      <c r="H760" s="10"/>
      <c r="I760" s="10"/>
      <c r="J760" s="10"/>
      <c r="K760" s="10"/>
      <c r="L760" s="10"/>
      <c r="M760" s="10"/>
      <c r="N760" s="10"/>
      <c r="O760" s="34"/>
    </row>
    <row r="761" ht="15.75" customHeight="1">
      <c r="A761" s="32"/>
      <c r="B761" s="33"/>
      <c r="C761" s="10"/>
      <c r="D761" s="10"/>
      <c r="E761" s="10"/>
      <c r="F761" s="10"/>
      <c r="G761" s="10"/>
      <c r="H761" s="10"/>
      <c r="I761" s="10"/>
      <c r="J761" s="10"/>
      <c r="K761" s="10"/>
      <c r="L761" s="10"/>
      <c r="M761" s="10"/>
      <c r="N761" s="10"/>
      <c r="O761" s="34"/>
    </row>
    <row r="762" ht="15.75" customHeight="1">
      <c r="A762" s="32"/>
      <c r="B762" s="33"/>
      <c r="C762" s="10"/>
      <c r="D762" s="10"/>
      <c r="E762" s="10"/>
      <c r="F762" s="10"/>
      <c r="G762" s="10"/>
      <c r="H762" s="10"/>
      <c r="I762" s="10"/>
      <c r="J762" s="10"/>
      <c r="K762" s="10"/>
      <c r="L762" s="10"/>
      <c r="M762" s="10"/>
      <c r="N762" s="10"/>
      <c r="O762" s="34"/>
    </row>
    <row r="763" ht="15.75" customHeight="1">
      <c r="A763" s="32"/>
      <c r="B763" s="33"/>
      <c r="C763" s="10"/>
      <c r="D763" s="10"/>
      <c r="E763" s="10"/>
      <c r="F763" s="10"/>
      <c r="G763" s="10"/>
      <c r="H763" s="10"/>
      <c r="I763" s="10"/>
      <c r="J763" s="10"/>
      <c r="K763" s="10"/>
      <c r="L763" s="10"/>
      <c r="M763" s="10"/>
      <c r="N763" s="10"/>
      <c r="O763" s="34"/>
    </row>
    <row r="764" ht="15.75" customHeight="1">
      <c r="A764" s="32"/>
      <c r="B764" s="33"/>
      <c r="C764" s="10"/>
      <c r="D764" s="10"/>
      <c r="E764" s="10"/>
      <c r="F764" s="10"/>
      <c r="G764" s="10"/>
      <c r="H764" s="10"/>
      <c r="I764" s="10"/>
      <c r="J764" s="10"/>
      <c r="K764" s="10"/>
      <c r="L764" s="10"/>
      <c r="M764" s="10"/>
      <c r="N764" s="10"/>
      <c r="O764" s="34"/>
    </row>
    <row r="765" ht="15.75" customHeight="1">
      <c r="A765" s="32"/>
      <c r="B765" s="33"/>
      <c r="C765" s="10"/>
      <c r="D765" s="10"/>
      <c r="E765" s="10"/>
      <c r="F765" s="10"/>
      <c r="G765" s="10"/>
      <c r="H765" s="10"/>
      <c r="I765" s="10"/>
      <c r="J765" s="10"/>
      <c r="K765" s="10"/>
      <c r="L765" s="10"/>
      <c r="M765" s="10"/>
      <c r="N765" s="10"/>
      <c r="O765" s="34"/>
    </row>
    <row r="766" ht="15.75" customHeight="1">
      <c r="A766" s="32"/>
      <c r="B766" s="33"/>
      <c r="C766" s="10"/>
      <c r="D766" s="10"/>
      <c r="E766" s="10"/>
      <c r="F766" s="10"/>
      <c r="G766" s="10"/>
      <c r="H766" s="10"/>
      <c r="I766" s="10"/>
      <c r="J766" s="10"/>
      <c r="K766" s="10"/>
      <c r="L766" s="10"/>
      <c r="M766" s="10"/>
      <c r="N766" s="10"/>
      <c r="O766" s="34"/>
    </row>
    <row r="767" ht="15.75" customHeight="1">
      <c r="A767" s="32"/>
      <c r="B767" s="33"/>
      <c r="C767" s="10"/>
      <c r="D767" s="10"/>
      <c r="E767" s="10"/>
      <c r="F767" s="10"/>
      <c r="G767" s="10"/>
      <c r="H767" s="10"/>
      <c r="I767" s="10"/>
      <c r="J767" s="10"/>
      <c r="K767" s="10"/>
      <c r="L767" s="10"/>
      <c r="M767" s="10"/>
      <c r="N767" s="10"/>
      <c r="O767" s="34"/>
    </row>
    <row r="768" ht="15.75" customHeight="1">
      <c r="A768" s="32"/>
      <c r="B768" s="33"/>
      <c r="C768" s="10"/>
      <c r="D768" s="10"/>
      <c r="E768" s="10"/>
      <c r="F768" s="10"/>
      <c r="G768" s="10"/>
      <c r="H768" s="10"/>
      <c r="I768" s="10"/>
      <c r="J768" s="10"/>
      <c r="K768" s="10"/>
      <c r="L768" s="10"/>
      <c r="M768" s="10"/>
      <c r="N768" s="10"/>
      <c r="O768" s="34"/>
    </row>
    <row r="769" ht="15.75" customHeight="1">
      <c r="A769" s="32"/>
      <c r="B769" s="33"/>
      <c r="C769" s="10"/>
      <c r="D769" s="10"/>
      <c r="E769" s="10"/>
      <c r="F769" s="10"/>
      <c r="G769" s="10"/>
      <c r="H769" s="10"/>
      <c r="I769" s="10"/>
      <c r="J769" s="10"/>
      <c r="K769" s="10"/>
      <c r="L769" s="10"/>
      <c r="M769" s="10"/>
      <c r="N769" s="10"/>
      <c r="O769" s="34"/>
    </row>
    <row r="770" ht="15.75" customHeight="1">
      <c r="A770" s="32"/>
      <c r="B770" s="33"/>
      <c r="C770" s="10"/>
      <c r="D770" s="10"/>
      <c r="E770" s="10"/>
      <c r="F770" s="10"/>
      <c r="G770" s="10"/>
      <c r="H770" s="10"/>
      <c r="I770" s="10"/>
      <c r="J770" s="10"/>
      <c r="K770" s="10"/>
      <c r="L770" s="10"/>
      <c r="M770" s="10"/>
      <c r="N770" s="10"/>
      <c r="O770" s="34"/>
    </row>
    <row r="771" ht="15.75" customHeight="1">
      <c r="A771" s="32"/>
      <c r="B771" s="33"/>
      <c r="C771" s="10"/>
      <c r="D771" s="10"/>
      <c r="E771" s="10"/>
      <c r="F771" s="10"/>
      <c r="G771" s="10"/>
      <c r="H771" s="10"/>
      <c r="I771" s="10"/>
      <c r="J771" s="10"/>
      <c r="K771" s="10"/>
      <c r="L771" s="10"/>
      <c r="M771" s="10"/>
      <c r="N771" s="10"/>
      <c r="O771" s="34"/>
    </row>
    <row r="772" ht="15.75" customHeight="1">
      <c r="A772" s="32"/>
      <c r="B772" s="33"/>
      <c r="C772" s="10"/>
      <c r="D772" s="10"/>
      <c r="E772" s="10"/>
      <c r="F772" s="10"/>
      <c r="G772" s="10"/>
      <c r="H772" s="10"/>
      <c r="I772" s="10"/>
      <c r="J772" s="10"/>
      <c r="K772" s="10"/>
      <c r="L772" s="10"/>
      <c r="M772" s="10"/>
      <c r="N772" s="10"/>
      <c r="O772" s="34"/>
    </row>
    <row r="773" ht="15.75" customHeight="1">
      <c r="A773" s="32"/>
      <c r="B773" s="33"/>
      <c r="C773" s="10"/>
      <c r="D773" s="10"/>
      <c r="E773" s="10"/>
      <c r="F773" s="10"/>
      <c r="G773" s="10"/>
      <c r="H773" s="10"/>
      <c r="I773" s="10"/>
      <c r="J773" s="10"/>
      <c r="K773" s="10"/>
      <c r="L773" s="10"/>
      <c r="M773" s="10"/>
      <c r="N773" s="10"/>
      <c r="O773" s="34"/>
    </row>
    <row r="774" ht="15.75" customHeight="1">
      <c r="A774" s="32"/>
      <c r="B774" s="33"/>
      <c r="C774" s="10"/>
      <c r="D774" s="10"/>
      <c r="E774" s="10"/>
      <c r="F774" s="10"/>
      <c r="G774" s="10"/>
      <c r="H774" s="10"/>
      <c r="I774" s="10"/>
      <c r="J774" s="10"/>
      <c r="K774" s="10"/>
      <c r="L774" s="10"/>
      <c r="M774" s="10"/>
      <c r="N774" s="10"/>
      <c r="O774" s="34"/>
    </row>
    <row r="775" ht="15.75" customHeight="1">
      <c r="A775" s="32"/>
      <c r="B775" s="33"/>
      <c r="C775" s="10"/>
      <c r="D775" s="10"/>
      <c r="E775" s="10"/>
      <c r="F775" s="10"/>
      <c r="G775" s="10"/>
      <c r="H775" s="10"/>
      <c r="I775" s="10"/>
      <c r="J775" s="10"/>
      <c r="K775" s="10"/>
      <c r="L775" s="10"/>
      <c r="M775" s="10"/>
      <c r="N775" s="10"/>
      <c r="O775" s="34"/>
    </row>
    <row r="776" ht="15.75" customHeight="1">
      <c r="A776" s="32"/>
      <c r="B776" s="33"/>
      <c r="C776" s="10"/>
      <c r="D776" s="10"/>
      <c r="E776" s="10"/>
      <c r="F776" s="10"/>
      <c r="G776" s="10"/>
      <c r="H776" s="10"/>
      <c r="I776" s="10"/>
      <c r="J776" s="10"/>
      <c r="K776" s="10"/>
      <c r="L776" s="10"/>
      <c r="M776" s="10"/>
      <c r="N776" s="10"/>
      <c r="O776" s="34"/>
    </row>
    <row r="777" ht="15.75" customHeight="1">
      <c r="A777" s="32"/>
      <c r="B777" s="33"/>
      <c r="C777" s="10"/>
      <c r="D777" s="10"/>
      <c r="E777" s="10"/>
      <c r="F777" s="10"/>
      <c r="G777" s="10"/>
      <c r="H777" s="10"/>
      <c r="I777" s="10"/>
      <c r="J777" s="10"/>
      <c r="K777" s="10"/>
      <c r="L777" s="10"/>
      <c r="M777" s="10"/>
      <c r="N777" s="10"/>
      <c r="O777" s="34"/>
    </row>
    <row r="778" ht="15.75" customHeight="1">
      <c r="A778" s="32"/>
      <c r="B778" s="33"/>
      <c r="C778" s="10"/>
      <c r="D778" s="10"/>
      <c r="E778" s="10"/>
      <c r="F778" s="10"/>
      <c r="G778" s="10"/>
      <c r="H778" s="10"/>
      <c r="I778" s="10"/>
      <c r="J778" s="10"/>
      <c r="K778" s="10"/>
      <c r="L778" s="10"/>
      <c r="M778" s="10"/>
      <c r="N778" s="10"/>
      <c r="O778" s="34"/>
    </row>
    <row r="779" ht="15.75" customHeight="1">
      <c r="A779" s="32"/>
      <c r="B779" s="33"/>
      <c r="C779" s="10"/>
      <c r="D779" s="10"/>
      <c r="E779" s="10"/>
      <c r="F779" s="10"/>
      <c r="G779" s="10"/>
      <c r="H779" s="10"/>
      <c r="I779" s="10"/>
      <c r="J779" s="10"/>
      <c r="K779" s="10"/>
      <c r="L779" s="10"/>
      <c r="M779" s="10"/>
      <c r="N779" s="10"/>
      <c r="O779" s="34"/>
    </row>
    <row r="780" ht="15.75" customHeight="1">
      <c r="A780" s="32"/>
      <c r="B780" s="33"/>
      <c r="C780" s="10"/>
      <c r="D780" s="10"/>
      <c r="E780" s="10"/>
      <c r="F780" s="10"/>
      <c r="G780" s="10"/>
      <c r="H780" s="10"/>
      <c r="I780" s="10"/>
      <c r="J780" s="10"/>
      <c r="K780" s="10"/>
      <c r="L780" s="10"/>
      <c r="M780" s="10"/>
      <c r="N780" s="10"/>
      <c r="O780" s="34"/>
    </row>
    <row r="781" ht="15.75" customHeight="1">
      <c r="A781" s="32"/>
      <c r="B781" s="33"/>
      <c r="C781" s="10"/>
      <c r="D781" s="10"/>
      <c r="E781" s="10"/>
      <c r="F781" s="10"/>
      <c r="G781" s="10"/>
      <c r="H781" s="10"/>
      <c r="I781" s="10"/>
      <c r="J781" s="10"/>
      <c r="K781" s="10"/>
      <c r="L781" s="10"/>
      <c r="M781" s="10"/>
      <c r="N781" s="10"/>
      <c r="O781" s="34"/>
    </row>
    <row r="782" ht="15.75" customHeight="1">
      <c r="A782" s="32"/>
      <c r="B782" s="33"/>
      <c r="C782" s="10"/>
      <c r="D782" s="10"/>
      <c r="E782" s="10"/>
      <c r="F782" s="10"/>
      <c r="G782" s="10"/>
      <c r="H782" s="10"/>
      <c r="I782" s="10"/>
      <c r="J782" s="10"/>
      <c r="K782" s="10"/>
      <c r="L782" s="10"/>
      <c r="M782" s="10"/>
      <c r="N782" s="10"/>
      <c r="O782" s="34"/>
    </row>
    <row r="783" ht="15.75" customHeight="1">
      <c r="A783" s="32"/>
      <c r="B783" s="33"/>
      <c r="C783" s="10"/>
      <c r="D783" s="10"/>
      <c r="E783" s="10"/>
      <c r="F783" s="10"/>
      <c r="G783" s="10"/>
      <c r="H783" s="10"/>
      <c r="I783" s="10"/>
      <c r="J783" s="10"/>
      <c r="K783" s="10"/>
      <c r="L783" s="10"/>
      <c r="M783" s="10"/>
      <c r="N783" s="10"/>
      <c r="O783" s="34"/>
    </row>
    <row r="784" ht="15.75" customHeight="1">
      <c r="A784" s="32"/>
      <c r="B784" s="33"/>
      <c r="C784" s="10"/>
      <c r="D784" s="10"/>
      <c r="E784" s="10"/>
      <c r="F784" s="10"/>
      <c r="G784" s="10"/>
      <c r="H784" s="10"/>
      <c r="I784" s="10"/>
      <c r="J784" s="10"/>
      <c r="K784" s="10"/>
      <c r="L784" s="10"/>
      <c r="M784" s="10"/>
      <c r="N784" s="10"/>
      <c r="O784" s="34"/>
    </row>
    <row r="785" ht="15.75" customHeight="1">
      <c r="A785" s="32"/>
      <c r="B785" s="33"/>
      <c r="C785" s="10"/>
      <c r="D785" s="10"/>
      <c r="E785" s="10"/>
      <c r="F785" s="10"/>
      <c r="G785" s="10"/>
      <c r="H785" s="10"/>
      <c r="I785" s="10"/>
      <c r="J785" s="10"/>
      <c r="K785" s="10"/>
      <c r="L785" s="10"/>
      <c r="M785" s="10"/>
      <c r="N785" s="10"/>
      <c r="O785" s="34"/>
    </row>
    <row r="786" ht="15.75" customHeight="1">
      <c r="A786" s="32"/>
      <c r="B786" s="33"/>
      <c r="C786" s="10"/>
      <c r="D786" s="10"/>
      <c r="E786" s="10"/>
      <c r="F786" s="10"/>
      <c r="G786" s="10"/>
      <c r="H786" s="10"/>
      <c r="I786" s="10"/>
      <c r="J786" s="10"/>
      <c r="K786" s="10"/>
      <c r="L786" s="10"/>
      <c r="M786" s="10"/>
      <c r="N786" s="10"/>
      <c r="O786" s="34"/>
    </row>
    <row r="787" ht="15.75" customHeight="1">
      <c r="A787" s="32"/>
      <c r="B787" s="33"/>
      <c r="C787" s="10"/>
      <c r="D787" s="10"/>
      <c r="E787" s="10"/>
      <c r="F787" s="10"/>
      <c r="G787" s="10"/>
      <c r="H787" s="10"/>
      <c r="I787" s="10"/>
      <c r="J787" s="10"/>
      <c r="K787" s="10"/>
      <c r="L787" s="10"/>
      <c r="M787" s="10"/>
      <c r="N787" s="10"/>
      <c r="O787" s="34"/>
    </row>
    <row r="788" ht="15.75" customHeight="1">
      <c r="A788" s="32"/>
      <c r="B788" s="33"/>
      <c r="C788" s="10"/>
      <c r="D788" s="10"/>
      <c r="E788" s="10"/>
      <c r="F788" s="10"/>
      <c r="G788" s="10"/>
      <c r="H788" s="10"/>
      <c r="I788" s="10"/>
      <c r="J788" s="10"/>
      <c r="K788" s="10"/>
      <c r="L788" s="10"/>
      <c r="M788" s="10"/>
      <c r="N788" s="10"/>
      <c r="O788" s="34"/>
    </row>
    <row r="789" ht="15.75" customHeight="1">
      <c r="A789" s="32"/>
      <c r="B789" s="33"/>
      <c r="C789" s="10"/>
      <c r="D789" s="10"/>
      <c r="E789" s="10"/>
      <c r="F789" s="10"/>
      <c r="G789" s="10"/>
      <c r="H789" s="10"/>
      <c r="I789" s="10"/>
      <c r="J789" s="10"/>
      <c r="K789" s="10"/>
      <c r="L789" s="10"/>
      <c r="M789" s="10"/>
      <c r="N789" s="10"/>
      <c r="O789" s="34"/>
    </row>
    <row r="790" ht="15.75" customHeight="1">
      <c r="A790" s="32"/>
      <c r="B790" s="33"/>
      <c r="C790" s="10"/>
      <c r="D790" s="10"/>
      <c r="E790" s="10"/>
      <c r="F790" s="10"/>
      <c r="G790" s="10"/>
      <c r="H790" s="10"/>
      <c r="I790" s="10"/>
      <c r="J790" s="10"/>
      <c r="K790" s="10"/>
      <c r="L790" s="10"/>
      <c r="M790" s="10"/>
      <c r="N790" s="10"/>
      <c r="O790" s="34"/>
    </row>
    <row r="791" ht="15.75" customHeight="1">
      <c r="A791" s="32"/>
      <c r="B791" s="33"/>
      <c r="C791" s="10"/>
      <c r="D791" s="10"/>
      <c r="E791" s="10"/>
      <c r="F791" s="10"/>
      <c r="G791" s="10"/>
      <c r="H791" s="10"/>
      <c r="I791" s="10"/>
      <c r="J791" s="10"/>
      <c r="K791" s="10"/>
      <c r="L791" s="10"/>
      <c r="M791" s="10"/>
      <c r="N791" s="10"/>
      <c r="O791" s="34"/>
    </row>
    <row r="792" ht="15.75" customHeight="1">
      <c r="A792" s="32"/>
      <c r="B792" s="33"/>
      <c r="C792" s="10"/>
      <c r="D792" s="10"/>
      <c r="E792" s="10"/>
      <c r="F792" s="10"/>
      <c r="G792" s="10"/>
      <c r="H792" s="10"/>
      <c r="I792" s="10"/>
      <c r="J792" s="10"/>
      <c r="K792" s="10"/>
      <c r="L792" s="10"/>
      <c r="M792" s="10"/>
      <c r="N792" s="10"/>
      <c r="O792" s="34"/>
    </row>
    <row r="793" ht="15.75" customHeight="1">
      <c r="A793" s="32"/>
      <c r="B793" s="33"/>
      <c r="C793" s="10"/>
      <c r="D793" s="10"/>
      <c r="E793" s="10"/>
      <c r="F793" s="10"/>
      <c r="G793" s="10"/>
      <c r="H793" s="10"/>
      <c r="I793" s="10"/>
      <c r="J793" s="10"/>
      <c r="K793" s="10"/>
      <c r="L793" s="10"/>
      <c r="M793" s="10"/>
      <c r="N793" s="10"/>
      <c r="O793" s="34"/>
    </row>
    <row r="794" ht="15.75" customHeight="1">
      <c r="A794" s="32"/>
      <c r="B794" s="33"/>
      <c r="C794" s="10"/>
      <c r="D794" s="10"/>
      <c r="E794" s="10"/>
      <c r="F794" s="10"/>
      <c r="G794" s="10"/>
      <c r="H794" s="10"/>
      <c r="I794" s="10"/>
      <c r="J794" s="10"/>
      <c r="K794" s="10"/>
      <c r="L794" s="10"/>
      <c r="M794" s="10"/>
      <c r="N794" s="10"/>
      <c r="O794" s="34"/>
    </row>
    <row r="795" ht="15.75" customHeight="1">
      <c r="A795" s="32"/>
      <c r="B795" s="33"/>
      <c r="C795" s="10"/>
      <c r="D795" s="10"/>
      <c r="E795" s="10"/>
      <c r="F795" s="10"/>
      <c r="G795" s="10"/>
      <c r="H795" s="10"/>
      <c r="I795" s="10"/>
      <c r="J795" s="10"/>
      <c r="K795" s="10"/>
      <c r="L795" s="10"/>
      <c r="M795" s="10"/>
      <c r="N795" s="10"/>
      <c r="O795" s="34"/>
    </row>
    <row r="796" ht="15.75" customHeight="1">
      <c r="A796" s="32"/>
      <c r="B796" s="33"/>
      <c r="C796" s="10"/>
      <c r="D796" s="10"/>
      <c r="E796" s="10"/>
      <c r="F796" s="10"/>
      <c r="G796" s="10"/>
      <c r="H796" s="10"/>
      <c r="I796" s="10"/>
      <c r="J796" s="10"/>
      <c r="K796" s="10"/>
      <c r="L796" s="10"/>
      <c r="M796" s="10"/>
      <c r="N796" s="10"/>
      <c r="O796" s="34"/>
    </row>
    <row r="797" ht="15.75" customHeight="1">
      <c r="A797" s="32"/>
      <c r="B797" s="33"/>
      <c r="C797" s="10"/>
      <c r="D797" s="10"/>
      <c r="E797" s="10"/>
      <c r="F797" s="10"/>
      <c r="G797" s="10"/>
      <c r="H797" s="10"/>
      <c r="I797" s="10"/>
      <c r="J797" s="10"/>
      <c r="K797" s="10"/>
      <c r="L797" s="10"/>
      <c r="M797" s="10"/>
      <c r="N797" s="10"/>
      <c r="O797" s="34"/>
    </row>
    <row r="798" ht="15.75" customHeight="1">
      <c r="A798" s="32"/>
      <c r="B798" s="33"/>
      <c r="C798" s="10"/>
      <c r="D798" s="10"/>
      <c r="E798" s="10"/>
      <c r="F798" s="10"/>
      <c r="G798" s="10"/>
      <c r="H798" s="10"/>
      <c r="I798" s="10"/>
      <c r="J798" s="10"/>
      <c r="K798" s="10"/>
      <c r="L798" s="10"/>
      <c r="M798" s="10"/>
      <c r="N798" s="10"/>
      <c r="O798" s="34"/>
    </row>
    <row r="799" ht="15.75" customHeight="1">
      <c r="A799" s="32"/>
      <c r="B799" s="33"/>
      <c r="C799" s="10"/>
      <c r="D799" s="10"/>
      <c r="E799" s="10"/>
      <c r="F799" s="10"/>
      <c r="G799" s="10"/>
      <c r="H799" s="10"/>
      <c r="I799" s="10"/>
      <c r="J799" s="10"/>
      <c r="K799" s="10"/>
      <c r="L799" s="10"/>
      <c r="M799" s="10"/>
      <c r="N799" s="10"/>
      <c r="O799" s="34"/>
    </row>
    <row r="800" ht="15.75" customHeight="1">
      <c r="A800" s="32"/>
      <c r="B800" s="33"/>
      <c r="C800" s="10"/>
      <c r="D800" s="10"/>
      <c r="E800" s="10"/>
      <c r="F800" s="10"/>
      <c r="G800" s="10"/>
      <c r="H800" s="10"/>
      <c r="I800" s="10"/>
      <c r="J800" s="10"/>
      <c r="K800" s="10"/>
      <c r="L800" s="10"/>
      <c r="M800" s="10"/>
      <c r="N800" s="10"/>
      <c r="O800" s="34"/>
    </row>
    <row r="801" ht="15.75" customHeight="1">
      <c r="A801" s="32"/>
      <c r="B801" s="33"/>
      <c r="C801" s="10"/>
      <c r="D801" s="10"/>
      <c r="E801" s="10"/>
      <c r="F801" s="10"/>
      <c r="G801" s="10"/>
      <c r="H801" s="10"/>
      <c r="I801" s="10"/>
      <c r="J801" s="10"/>
      <c r="K801" s="10"/>
      <c r="L801" s="10"/>
      <c r="M801" s="10"/>
      <c r="N801" s="10"/>
      <c r="O801" s="34"/>
    </row>
    <row r="802" ht="15.75" customHeight="1">
      <c r="A802" s="32"/>
      <c r="B802" s="33"/>
      <c r="C802" s="10"/>
      <c r="D802" s="10"/>
      <c r="E802" s="10"/>
      <c r="F802" s="10"/>
      <c r="G802" s="10"/>
      <c r="H802" s="10"/>
      <c r="I802" s="10"/>
      <c r="J802" s="10"/>
      <c r="K802" s="10"/>
      <c r="L802" s="10"/>
      <c r="M802" s="10"/>
      <c r="N802" s="10"/>
      <c r="O802" s="34"/>
    </row>
    <row r="803" ht="15.75" customHeight="1">
      <c r="A803" s="32"/>
      <c r="B803" s="33"/>
      <c r="C803" s="10"/>
      <c r="D803" s="10"/>
      <c r="E803" s="10"/>
      <c r="F803" s="10"/>
      <c r="G803" s="10"/>
      <c r="H803" s="10"/>
      <c r="I803" s="10"/>
      <c r="J803" s="10"/>
      <c r="K803" s="10"/>
      <c r="L803" s="10"/>
      <c r="M803" s="10"/>
      <c r="N803" s="10"/>
      <c r="O803" s="34"/>
    </row>
    <row r="804" ht="15.75" customHeight="1">
      <c r="A804" s="32"/>
      <c r="B804" s="33"/>
      <c r="C804" s="10"/>
      <c r="D804" s="10"/>
      <c r="E804" s="10"/>
      <c r="F804" s="10"/>
      <c r="G804" s="10"/>
      <c r="H804" s="10"/>
      <c r="I804" s="10"/>
      <c r="J804" s="10"/>
      <c r="K804" s="10"/>
      <c r="L804" s="10"/>
      <c r="M804" s="10"/>
      <c r="N804" s="10"/>
      <c r="O804" s="34"/>
    </row>
    <row r="805" ht="15.75" customHeight="1">
      <c r="A805" s="32"/>
      <c r="B805" s="33"/>
      <c r="C805" s="10"/>
      <c r="D805" s="10"/>
      <c r="E805" s="10"/>
      <c r="F805" s="10"/>
      <c r="G805" s="10"/>
      <c r="H805" s="10"/>
      <c r="I805" s="10"/>
      <c r="J805" s="10"/>
      <c r="K805" s="10"/>
      <c r="L805" s="10"/>
      <c r="M805" s="10"/>
      <c r="N805" s="10"/>
      <c r="O805" s="34"/>
    </row>
    <row r="806" ht="15.75" customHeight="1">
      <c r="A806" s="32"/>
      <c r="B806" s="33"/>
      <c r="C806" s="10"/>
      <c r="D806" s="10"/>
      <c r="E806" s="10"/>
      <c r="F806" s="10"/>
      <c r="G806" s="10"/>
      <c r="H806" s="10"/>
      <c r="I806" s="10"/>
      <c r="J806" s="10"/>
      <c r="K806" s="10"/>
      <c r="L806" s="10"/>
      <c r="M806" s="10"/>
      <c r="N806" s="10"/>
      <c r="O806" s="34"/>
    </row>
    <row r="807" ht="15.75" customHeight="1">
      <c r="A807" s="32"/>
      <c r="B807" s="33"/>
      <c r="C807" s="10"/>
      <c r="D807" s="10"/>
      <c r="E807" s="10"/>
      <c r="F807" s="10"/>
      <c r="G807" s="10"/>
      <c r="H807" s="10"/>
      <c r="I807" s="10"/>
      <c r="J807" s="10"/>
      <c r="K807" s="10"/>
      <c r="L807" s="10"/>
      <c r="M807" s="10"/>
      <c r="N807" s="10"/>
      <c r="O807" s="34"/>
    </row>
    <row r="808" ht="15.75" customHeight="1">
      <c r="A808" s="32"/>
      <c r="B808" s="33"/>
      <c r="C808" s="10"/>
      <c r="D808" s="10"/>
      <c r="E808" s="10"/>
      <c r="F808" s="10"/>
      <c r="G808" s="10"/>
      <c r="H808" s="10"/>
      <c r="I808" s="10"/>
      <c r="J808" s="10"/>
      <c r="K808" s="10"/>
      <c r="L808" s="10"/>
      <c r="M808" s="10"/>
      <c r="N808" s="10"/>
      <c r="O808" s="34"/>
    </row>
    <row r="809" ht="15.75" customHeight="1">
      <c r="A809" s="32"/>
      <c r="B809" s="33"/>
      <c r="C809" s="10"/>
      <c r="D809" s="10"/>
      <c r="E809" s="10"/>
      <c r="F809" s="10"/>
      <c r="G809" s="10"/>
      <c r="H809" s="10"/>
      <c r="I809" s="10"/>
      <c r="J809" s="10"/>
      <c r="K809" s="10"/>
      <c r="L809" s="10"/>
      <c r="M809" s="10"/>
      <c r="N809" s="10"/>
      <c r="O809" s="34"/>
    </row>
    <row r="810" ht="15.75" customHeight="1">
      <c r="A810" s="32"/>
      <c r="B810" s="33"/>
      <c r="C810" s="10"/>
      <c r="D810" s="10"/>
      <c r="E810" s="10"/>
      <c r="F810" s="10"/>
      <c r="G810" s="10"/>
      <c r="H810" s="10"/>
      <c r="I810" s="10"/>
      <c r="J810" s="10"/>
      <c r="K810" s="10"/>
      <c r="L810" s="10"/>
      <c r="M810" s="10"/>
      <c r="N810" s="10"/>
      <c r="O810" s="34"/>
    </row>
    <row r="811" ht="15.75" customHeight="1">
      <c r="A811" s="32"/>
      <c r="B811" s="33"/>
      <c r="C811" s="10"/>
      <c r="D811" s="10"/>
      <c r="E811" s="10"/>
      <c r="F811" s="10"/>
      <c r="G811" s="10"/>
      <c r="H811" s="10"/>
      <c r="I811" s="10"/>
      <c r="J811" s="10"/>
      <c r="K811" s="10"/>
      <c r="L811" s="10"/>
      <c r="M811" s="10"/>
      <c r="N811" s="10"/>
      <c r="O811" s="34"/>
    </row>
    <row r="812" ht="15.75" customHeight="1">
      <c r="A812" s="32"/>
      <c r="B812" s="33"/>
      <c r="C812" s="10"/>
      <c r="D812" s="10"/>
      <c r="E812" s="10"/>
      <c r="F812" s="10"/>
      <c r="G812" s="10"/>
      <c r="H812" s="10"/>
      <c r="I812" s="10"/>
      <c r="J812" s="10"/>
      <c r="K812" s="10"/>
      <c r="L812" s="10"/>
      <c r="M812" s="10"/>
      <c r="N812" s="10"/>
      <c r="O812" s="34"/>
    </row>
    <row r="813" ht="15.75" customHeight="1">
      <c r="A813" s="32"/>
      <c r="B813" s="33"/>
      <c r="C813" s="10"/>
      <c r="D813" s="10"/>
      <c r="E813" s="10"/>
      <c r="F813" s="10"/>
      <c r="G813" s="10"/>
      <c r="H813" s="10"/>
      <c r="I813" s="10"/>
      <c r="J813" s="10"/>
      <c r="K813" s="10"/>
      <c r="L813" s="10"/>
      <c r="M813" s="10"/>
      <c r="N813" s="10"/>
      <c r="O813" s="34"/>
    </row>
    <row r="814" ht="15.75" customHeight="1">
      <c r="A814" s="32"/>
      <c r="B814" s="33"/>
      <c r="C814" s="10"/>
      <c r="D814" s="10"/>
      <c r="E814" s="10"/>
      <c r="F814" s="10"/>
      <c r="G814" s="10"/>
      <c r="H814" s="10"/>
      <c r="I814" s="10"/>
      <c r="J814" s="10"/>
      <c r="K814" s="10"/>
      <c r="L814" s="10"/>
      <c r="M814" s="10"/>
      <c r="N814" s="10"/>
      <c r="O814" s="34"/>
    </row>
    <row r="815" ht="15.75" customHeight="1">
      <c r="A815" s="32"/>
      <c r="B815" s="33"/>
      <c r="C815" s="10"/>
      <c r="D815" s="10"/>
      <c r="E815" s="10"/>
      <c r="F815" s="10"/>
      <c r="G815" s="10"/>
      <c r="H815" s="10"/>
      <c r="I815" s="10"/>
      <c r="J815" s="10"/>
      <c r="K815" s="10"/>
      <c r="L815" s="10"/>
      <c r="M815" s="10"/>
      <c r="N815" s="10"/>
      <c r="O815" s="34"/>
    </row>
    <row r="816" ht="15.75" customHeight="1">
      <c r="A816" s="32"/>
      <c r="B816" s="33"/>
      <c r="C816" s="10"/>
      <c r="D816" s="10"/>
      <c r="E816" s="10"/>
      <c r="F816" s="10"/>
      <c r="G816" s="10"/>
      <c r="H816" s="10"/>
      <c r="I816" s="10"/>
      <c r="J816" s="10"/>
      <c r="K816" s="10"/>
      <c r="L816" s="10"/>
      <c r="M816" s="10"/>
      <c r="N816" s="10"/>
      <c r="O816" s="34"/>
    </row>
    <row r="817" ht="15.75" customHeight="1">
      <c r="A817" s="32"/>
      <c r="B817" s="33"/>
      <c r="C817" s="10"/>
      <c r="D817" s="10"/>
      <c r="E817" s="10"/>
      <c r="F817" s="10"/>
      <c r="G817" s="10"/>
      <c r="H817" s="10"/>
      <c r="I817" s="10"/>
      <c r="J817" s="10"/>
      <c r="K817" s="10"/>
      <c r="L817" s="10"/>
      <c r="M817" s="10"/>
      <c r="N817" s="10"/>
      <c r="O817" s="34"/>
    </row>
    <row r="818" ht="15.75" customHeight="1">
      <c r="A818" s="32"/>
      <c r="B818" s="33"/>
      <c r="C818" s="10"/>
      <c r="D818" s="10"/>
      <c r="E818" s="10"/>
      <c r="F818" s="10"/>
      <c r="G818" s="10"/>
      <c r="H818" s="10"/>
      <c r="I818" s="10"/>
      <c r="J818" s="10"/>
      <c r="K818" s="10"/>
      <c r="L818" s="10"/>
      <c r="M818" s="10"/>
      <c r="N818" s="10"/>
      <c r="O818" s="34"/>
    </row>
    <row r="819" ht="15.75" customHeight="1">
      <c r="A819" s="32"/>
      <c r="B819" s="33"/>
      <c r="C819" s="10"/>
      <c r="D819" s="10"/>
      <c r="E819" s="10"/>
      <c r="F819" s="10"/>
      <c r="G819" s="10"/>
      <c r="H819" s="10"/>
      <c r="I819" s="10"/>
      <c r="J819" s="10"/>
      <c r="K819" s="10"/>
      <c r="L819" s="10"/>
      <c r="M819" s="10"/>
      <c r="N819" s="10"/>
      <c r="O819" s="34"/>
    </row>
    <row r="820" ht="15.75" customHeight="1">
      <c r="A820" s="32"/>
      <c r="B820" s="33"/>
      <c r="C820" s="10"/>
      <c r="D820" s="10"/>
      <c r="E820" s="10"/>
      <c r="F820" s="10"/>
      <c r="G820" s="10"/>
      <c r="H820" s="10"/>
      <c r="I820" s="10"/>
      <c r="J820" s="10"/>
      <c r="K820" s="10"/>
      <c r="L820" s="10"/>
      <c r="M820" s="10"/>
      <c r="N820" s="10"/>
      <c r="O820" s="34"/>
    </row>
    <row r="821" ht="15.75" customHeight="1">
      <c r="A821" s="32"/>
      <c r="B821" s="33"/>
      <c r="C821" s="10"/>
      <c r="D821" s="10"/>
      <c r="E821" s="10"/>
      <c r="F821" s="10"/>
      <c r="G821" s="10"/>
      <c r="H821" s="10"/>
      <c r="I821" s="10"/>
      <c r="J821" s="10"/>
      <c r="K821" s="10"/>
      <c r="L821" s="10"/>
      <c r="M821" s="10"/>
      <c r="N821" s="10"/>
      <c r="O821" s="34"/>
    </row>
    <row r="822" ht="15.75" customHeight="1">
      <c r="A822" s="32"/>
      <c r="B822" s="33"/>
      <c r="C822" s="10"/>
      <c r="D822" s="10"/>
      <c r="E822" s="10"/>
      <c r="F822" s="10"/>
      <c r="G822" s="10"/>
      <c r="H822" s="10"/>
      <c r="I822" s="10"/>
      <c r="J822" s="10"/>
      <c r="K822" s="10"/>
      <c r="L822" s="10"/>
      <c r="M822" s="10"/>
      <c r="N822" s="10"/>
      <c r="O822" s="34"/>
    </row>
    <row r="823" ht="15.75" customHeight="1">
      <c r="A823" s="32"/>
      <c r="B823" s="33"/>
      <c r="C823" s="10"/>
      <c r="D823" s="10"/>
      <c r="E823" s="10"/>
      <c r="F823" s="10"/>
      <c r="G823" s="10"/>
      <c r="H823" s="10"/>
      <c r="I823" s="10"/>
      <c r="J823" s="10"/>
      <c r="K823" s="10"/>
      <c r="L823" s="10"/>
      <c r="M823" s="10"/>
      <c r="N823" s="10"/>
      <c r="O823" s="34"/>
    </row>
    <row r="824" ht="15.75" customHeight="1">
      <c r="A824" s="32"/>
      <c r="B824" s="33"/>
      <c r="C824" s="10"/>
      <c r="D824" s="10"/>
      <c r="E824" s="10"/>
      <c r="F824" s="10"/>
      <c r="G824" s="10"/>
      <c r="H824" s="10"/>
      <c r="I824" s="10"/>
      <c r="J824" s="10"/>
      <c r="K824" s="10"/>
      <c r="L824" s="10"/>
      <c r="M824" s="10"/>
      <c r="N824" s="10"/>
      <c r="O824" s="34"/>
    </row>
    <row r="825" ht="15.75" customHeight="1">
      <c r="A825" s="32"/>
      <c r="B825" s="33"/>
      <c r="C825" s="10"/>
      <c r="D825" s="10"/>
      <c r="E825" s="10"/>
      <c r="F825" s="10"/>
      <c r="G825" s="10"/>
      <c r="H825" s="10"/>
      <c r="I825" s="10"/>
      <c r="J825" s="10"/>
      <c r="K825" s="10"/>
      <c r="L825" s="10"/>
      <c r="M825" s="10"/>
      <c r="N825" s="10"/>
      <c r="O825" s="34"/>
    </row>
    <row r="826" ht="15.75" customHeight="1">
      <c r="A826" s="32"/>
      <c r="B826" s="33"/>
      <c r="C826" s="10"/>
      <c r="D826" s="10"/>
      <c r="E826" s="10"/>
      <c r="F826" s="10"/>
      <c r="G826" s="10"/>
      <c r="H826" s="10"/>
      <c r="I826" s="10"/>
      <c r="J826" s="10"/>
      <c r="K826" s="10"/>
      <c r="L826" s="10"/>
      <c r="M826" s="10"/>
      <c r="N826" s="10"/>
      <c r="O826" s="34"/>
    </row>
    <row r="827" ht="15.75" customHeight="1">
      <c r="A827" s="32"/>
      <c r="B827" s="33"/>
      <c r="C827" s="10"/>
      <c r="D827" s="10"/>
      <c r="E827" s="10"/>
      <c r="F827" s="10"/>
      <c r="G827" s="10"/>
      <c r="H827" s="10"/>
      <c r="I827" s="10"/>
      <c r="J827" s="10"/>
      <c r="K827" s="10"/>
      <c r="L827" s="10"/>
      <c r="M827" s="10"/>
      <c r="N827" s="10"/>
      <c r="O827" s="34"/>
    </row>
    <row r="828" ht="15.75" customHeight="1">
      <c r="A828" s="32"/>
      <c r="B828" s="33"/>
      <c r="C828" s="10"/>
      <c r="D828" s="10"/>
      <c r="E828" s="10"/>
      <c r="F828" s="10"/>
      <c r="G828" s="10"/>
      <c r="H828" s="10"/>
      <c r="I828" s="10"/>
      <c r="J828" s="10"/>
      <c r="K828" s="10"/>
      <c r="L828" s="10"/>
      <c r="M828" s="10"/>
      <c r="N828" s="10"/>
      <c r="O828" s="34"/>
    </row>
    <row r="829" ht="15.75" customHeight="1">
      <c r="A829" s="32"/>
      <c r="B829" s="33"/>
      <c r="C829" s="10"/>
      <c r="D829" s="10"/>
      <c r="E829" s="10"/>
      <c r="F829" s="10"/>
      <c r="G829" s="10"/>
      <c r="H829" s="10"/>
      <c r="I829" s="10"/>
      <c r="J829" s="10"/>
      <c r="K829" s="10"/>
      <c r="L829" s="10"/>
      <c r="M829" s="10"/>
      <c r="N829" s="10"/>
      <c r="O829" s="34"/>
    </row>
    <row r="830" ht="15.75" customHeight="1">
      <c r="A830" s="32"/>
      <c r="B830" s="33"/>
      <c r="C830" s="10"/>
      <c r="D830" s="10"/>
      <c r="E830" s="10"/>
      <c r="F830" s="10"/>
      <c r="G830" s="10"/>
      <c r="H830" s="10"/>
      <c r="I830" s="10"/>
      <c r="J830" s="10"/>
      <c r="K830" s="10"/>
      <c r="L830" s="10"/>
      <c r="M830" s="10"/>
      <c r="N830" s="10"/>
      <c r="O830" s="34"/>
    </row>
    <row r="831" ht="15.75" customHeight="1">
      <c r="A831" s="32"/>
      <c r="B831" s="33"/>
      <c r="C831" s="10"/>
      <c r="D831" s="10"/>
      <c r="E831" s="10"/>
      <c r="F831" s="10"/>
      <c r="G831" s="10"/>
      <c r="H831" s="10"/>
      <c r="I831" s="10"/>
      <c r="J831" s="10"/>
      <c r="K831" s="10"/>
      <c r="L831" s="10"/>
      <c r="M831" s="10"/>
      <c r="N831" s="10"/>
      <c r="O831" s="34"/>
    </row>
    <row r="832" ht="15.75" customHeight="1">
      <c r="A832" s="32"/>
      <c r="B832" s="33"/>
      <c r="C832" s="10"/>
      <c r="D832" s="10"/>
      <c r="E832" s="10"/>
      <c r="F832" s="10"/>
      <c r="G832" s="10"/>
      <c r="H832" s="10"/>
      <c r="I832" s="10"/>
      <c r="J832" s="10"/>
      <c r="K832" s="10"/>
      <c r="L832" s="10"/>
      <c r="M832" s="10"/>
      <c r="N832" s="10"/>
      <c r="O832" s="34"/>
    </row>
    <row r="833" ht="15.75" customHeight="1">
      <c r="A833" s="32"/>
      <c r="B833" s="33"/>
      <c r="C833" s="10"/>
      <c r="D833" s="10"/>
      <c r="E833" s="10"/>
      <c r="F833" s="10"/>
      <c r="G833" s="10"/>
      <c r="H833" s="10"/>
      <c r="I833" s="10"/>
      <c r="J833" s="10"/>
      <c r="K833" s="10"/>
      <c r="L833" s="10"/>
      <c r="M833" s="10"/>
      <c r="N833" s="10"/>
      <c r="O833" s="34"/>
    </row>
    <row r="834" ht="15.75" customHeight="1">
      <c r="A834" s="32"/>
      <c r="B834" s="33"/>
      <c r="C834" s="10"/>
      <c r="D834" s="10"/>
      <c r="E834" s="10"/>
      <c r="F834" s="10"/>
      <c r="G834" s="10"/>
      <c r="H834" s="10"/>
      <c r="I834" s="10"/>
      <c r="J834" s="10"/>
      <c r="K834" s="10"/>
      <c r="L834" s="10"/>
      <c r="M834" s="10"/>
      <c r="N834" s="10"/>
      <c r="O834" s="34"/>
    </row>
    <row r="835" ht="15.75" customHeight="1">
      <c r="A835" s="32"/>
      <c r="B835" s="33"/>
      <c r="C835" s="10"/>
      <c r="D835" s="10"/>
      <c r="E835" s="10"/>
      <c r="F835" s="10"/>
      <c r="G835" s="10"/>
      <c r="H835" s="10"/>
      <c r="I835" s="10"/>
      <c r="J835" s="10"/>
      <c r="K835" s="10"/>
      <c r="L835" s="10"/>
      <c r="M835" s="10"/>
      <c r="N835" s="10"/>
      <c r="O835" s="34"/>
    </row>
    <row r="836" ht="15.75" customHeight="1">
      <c r="A836" s="32"/>
      <c r="B836" s="33"/>
      <c r="C836" s="10"/>
      <c r="D836" s="10"/>
      <c r="E836" s="10"/>
      <c r="F836" s="10"/>
      <c r="G836" s="10"/>
      <c r="H836" s="10"/>
      <c r="I836" s="10"/>
      <c r="J836" s="10"/>
      <c r="K836" s="10"/>
      <c r="L836" s="10"/>
      <c r="M836" s="10"/>
      <c r="N836" s="10"/>
      <c r="O836" s="34"/>
    </row>
    <row r="837" ht="15.75" customHeight="1">
      <c r="A837" s="32"/>
      <c r="B837" s="33"/>
      <c r="C837" s="10"/>
      <c r="D837" s="10"/>
      <c r="E837" s="10"/>
      <c r="F837" s="10"/>
      <c r="G837" s="10"/>
      <c r="H837" s="10"/>
      <c r="I837" s="10"/>
      <c r="J837" s="10"/>
      <c r="K837" s="10"/>
      <c r="L837" s="10"/>
      <c r="M837" s="10"/>
      <c r="N837" s="10"/>
      <c r="O837" s="34"/>
    </row>
    <row r="838" ht="15.75" customHeight="1">
      <c r="A838" s="32"/>
      <c r="B838" s="33"/>
      <c r="C838" s="10"/>
      <c r="D838" s="10"/>
      <c r="E838" s="10"/>
      <c r="F838" s="10"/>
      <c r="G838" s="10"/>
      <c r="H838" s="10"/>
      <c r="I838" s="10"/>
      <c r="J838" s="10"/>
      <c r="K838" s="10"/>
      <c r="L838" s="10"/>
      <c r="M838" s="10"/>
      <c r="N838" s="10"/>
      <c r="O838" s="34"/>
    </row>
    <row r="839" ht="15.75" customHeight="1">
      <c r="A839" s="32"/>
      <c r="B839" s="33"/>
      <c r="C839" s="10"/>
      <c r="D839" s="10"/>
      <c r="E839" s="10"/>
      <c r="F839" s="10"/>
      <c r="G839" s="10"/>
      <c r="H839" s="10"/>
      <c r="I839" s="10"/>
      <c r="J839" s="10"/>
      <c r="K839" s="10"/>
      <c r="L839" s="10"/>
      <c r="M839" s="10"/>
      <c r="N839" s="10"/>
      <c r="O839" s="34"/>
    </row>
    <row r="840" ht="15.75" customHeight="1">
      <c r="A840" s="32"/>
      <c r="B840" s="33"/>
      <c r="C840" s="10"/>
      <c r="D840" s="10"/>
      <c r="E840" s="10"/>
      <c r="F840" s="10"/>
      <c r="G840" s="10"/>
      <c r="H840" s="10"/>
      <c r="I840" s="10"/>
      <c r="J840" s="10"/>
      <c r="K840" s="10"/>
      <c r="L840" s="10"/>
      <c r="M840" s="10"/>
      <c r="N840" s="10"/>
      <c r="O840" s="34"/>
    </row>
    <row r="841" ht="15.75" customHeight="1">
      <c r="A841" s="32"/>
      <c r="B841" s="33"/>
      <c r="C841" s="10"/>
      <c r="D841" s="10"/>
      <c r="E841" s="10"/>
      <c r="F841" s="10"/>
      <c r="G841" s="10"/>
      <c r="H841" s="10"/>
      <c r="I841" s="10"/>
      <c r="J841" s="10"/>
      <c r="K841" s="10"/>
      <c r="L841" s="10"/>
      <c r="M841" s="10"/>
      <c r="N841" s="10"/>
      <c r="O841" s="34"/>
    </row>
    <row r="842" ht="15.75" customHeight="1">
      <c r="A842" s="32"/>
      <c r="B842" s="33"/>
      <c r="C842" s="10"/>
      <c r="D842" s="10"/>
      <c r="E842" s="10"/>
      <c r="F842" s="10"/>
      <c r="G842" s="10"/>
      <c r="H842" s="10"/>
      <c r="I842" s="10"/>
      <c r="J842" s="10"/>
      <c r="K842" s="10"/>
      <c r="L842" s="10"/>
      <c r="M842" s="10"/>
      <c r="N842" s="10"/>
      <c r="O842" s="34"/>
    </row>
    <row r="843" ht="15.75" customHeight="1">
      <c r="A843" s="32"/>
      <c r="B843" s="33"/>
      <c r="C843" s="10"/>
      <c r="D843" s="10"/>
      <c r="E843" s="10"/>
      <c r="F843" s="10"/>
      <c r="G843" s="10"/>
      <c r="H843" s="10"/>
      <c r="I843" s="10"/>
      <c r="J843" s="10"/>
      <c r="K843" s="10"/>
      <c r="L843" s="10"/>
      <c r="M843" s="10"/>
      <c r="N843" s="10"/>
      <c r="O843" s="34"/>
    </row>
    <row r="844" ht="15.75" customHeight="1">
      <c r="A844" s="32"/>
      <c r="B844" s="33"/>
      <c r="C844" s="10"/>
      <c r="D844" s="10"/>
      <c r="E844" s="10"/>
      <c r="F844" s="10"/>
      <c r="G844" s="10"/>
      <c r="H844" s="10"/>
      <c r="I844" s="10"/>
      <c r="J844" s="10"/>
      <c r="K844" s="10"/>
      <c r="L844" s="10"/>
      <c r="M844" s="10"/>
      <c r="N844" s="10"/>
      <c r="O844" s="34"/>
    </row>
    <row r="845" ht="15.75" customHeight="1">
      <c r="A845" s="32"/>
      <c r="B845" s="33"/>
      <c r="C845" s="10"/>
      <c r="D845" s="10"/>
      <c r="E845" s="10"/>
      <c r="F845" s="10"/>
      <c r="G845" s="10"/>
      <c r="H845" s="10"/>
      <c r="I845" s="10"/>
      <c r="J845" s="10"/>
      <c r="K845" s="10"/>
      <c r="L845" s="10"/>
      <c r="M845" s="10"/>
      <c r="N845" s="10"/>
      <c r="O845" s="34"/>
    </row>
    <row r="846" ht="15.75" customHeight="1">
      <c r="A846" s="32"/>
      <c r="B846" s="33"/>
      <c r="C846" s="10"/>
      <c r="D846" s="10"/>
      <c r="E846" s="10"/>
      <c r="F846" s="10"/>
      <c r="G846" s="10"/>
      <c r="H846" s="10"/>
      <c r="I846" s="10"/>
      <c r="J846" s="10"/>
      <c r="K846" s="10"/>
      <c r="L846" s="10"/>
      <c r="M846" s="10"/>
      <c r="N846" s="10"/>
      <c r="O846" s="34"/>
    </row>
    <row r="847" ht="15.75" customHeight="1">
      <c r="A847" s="32"/>
      <c r="B847" s="33"/>
      <c r="C847" s="10"/>
      <c r="D847" s="10"/>
      <c r="E847" s="10"/>
      <c r="F847" s="10"/>
      <c r="G847" s="10"/>
      <c r="H847" s="10"/>
      <c r="I847" s="10"/>
      <c r="J847" s="10"/>
      <c r="K847" s="10"/>
      <c r="L847" s="10"/>
      <c r="M847" s="10"/>
      <c r="N847" s="10"/>
      <c r="O847" s="34"/>
    </row>
    <row r="848" ht="15.75" customHeight="1">
      <c r="A848" s="32"/>
      <c r="B848" s="33"/>
      <c r="C848" s="10"/>
      <c r="D848" s="10"/>
      <c r="E848" s="10"/>
      <c r="F848" s="10"/>
      <c r="G848" s="10"/>
      <c r="H848" s="10"/>
      <c r="I848" s="10"/>
      <c r="J848" s="10"/>
      <c r="K848" s="10"/>
      <c r="L848" s="10"/>
      <c r="M848" s="10"/>
      <c r="N848" s="10"/>
      <c r="O848" s="34"/>
    </row>
    <row r="849" ht="15.75" customHeight="1">
      <c r="A849" s="32"/>
      <c r="B849" s="33"/>
      <c r="C849" s="10"/>
      <c r="D849" s="10"/>
      <c r="E849" s="10"/>
      <c r="F849" s="10"/>
      <c r="G849" s="10"/>
      <c r="H849" s="10"/>
      <c r="I849" s="10"/>
      <c r="J849" s="10"/>
      <c r="K849" s="10"/>
      <c r="L849" s="10"/>
      <c r="M849" s="10"/>
      <c r="N849" s="10"/>
      <c r="O849" s="34"/>
    </row>
    <row r="850" ht="15.75" customHeight="1">
      <c r="A850" s="32"/>
      <c r="B850" s="33"/>
      <c r="C850" s="10"/>
      <c r="D850" s="10"/>
      <c r="E850" s="10"/>
      <c r="F850" s="10"/>
      <c r="G850" s="10"/>
      <c r="H850" s="10"/>
      <c r="I850" s="10"/>
      <c r="J850" s="10"/>
      <c r="K850" s="10"/>
      <c r="L850" s="10"/>
      <c r="M850" s="10"/>
      <c r="N850" s="10"/>
      <c r="O850" s="34"/>
    </row>
    <row r="851" ht="15.75" customHeight="1">
      <c r="A851" s="32"/>
      <c r="B851" s="33"/>
      <c r="C851" s="10"/>
      <c r="D851" s="10"/>
      <c r="E851" s="10"/>
      <c r="F851" s="10"/>
      <c r="G851" s="10"/>
      <c r="H851" s="10"/>
      <c r="I851" s="10"/>
      <c r="J851" s="10"/>
      <c r="K851" s="10"/>
      <c r="L851" s="10"/>
      <c r="M851" s="10"/>
      <c r="N851" s="10"/>
      <c r="O851" s="34"/>
    </row>
    <row r="852" ht="15.75" customHeight="1">
      <c r="A852" s="32"/>
      <c r="B852" s="33"/>
      <c r="C852" s="10"/>
      <c r="D852" s="10"/>
      <c r="E852" s="10"/>
      <c r="F852" s="10"/>
      <c r="G852" s="10"/>
      <c r="H852" s="10"/>
      <c r="I852" s="10"/>
      <c r="J852" s="10"/>
      <c r="K852" s="10"/>
      <c r="L852" s="10"/>
      <c r="M852" s="10"/>
      <c r="N852" s="10"/>
      <c r="O852" s="34"/>
    </row>
    <row r="853" ht="15.75" customHeight="1">
      <c r="A853" s="32"/>
      <c r="B853" s="33"/>
      <c r="C853" s="10"/>
      <c r="D853" s="10"/>
      <c r="E853" s="10"/>
      <c r="F853" s="10"/>
      <c r="G853" s="10"/>
      <c r="H853" s="10"/>
      <c r="I853" s="10"/>
      <c r="J853" s="10"/>
      <c r="K853" s="10"/>
      <c r="L853" s="10"/>
      <c r="M853" s="10"/>
      <c r="N853" s="10"/>
      <c r="O853" s="34"/>
    </row>
    <row r="854" ht="15.75" customHeight="1">
      <c r="A854" s="32"/>
      <c r="B854" s="33"/>
      <c r="C854" s="10"/>
      <c r="D854" s="10"/>
      <c r="E854" s="10"/>
      <c r="F854" s="10"/>
      <c r="G854" s="10"/>
      <c r="H854" s="10"/>
      <c r="I854" s="10"/>
      <c r="J854" s="10"/>
      <c r="K854" s="10"/>
      <c r="L854" s="10"/>
      <c r="M854" s="10"/>
      <c r="N854" s="10"/>
      <c r="O854" s="34"/>
    </row>
    <row r="855" ht="15.75" customHeight="1">
      <c r="A855" s="32"/>
      <c r="B855" s="33"/>
      <c r="C855" s="10"/>
      <c r="D855" s="10"/>
      <c r="E855" s="10"/>
      <c r="F855" s="10"/>
      <c r="G855" s="10"/>
      <c r="H855" s="10"/>
      <c r="I855" s="10"/>
      <c r="J855" s="10"/>
      <c r="K855" s="10"/>
      <c r="L855" s="10"/>
      <c r="M855" s="10"/>
      <c r="N855" s="10"/>
      <c r="O855" s="34"/>
    </row>
    <row r="856" ht="15.75" customHeight="1">
      <c r="A856" s="32"/>
      <c r="B856" s="33"/>
      <c r="C856" s="10"/>
      <c r="D856" s="10"/>
      <c r="E856" s="10"/>
      <c r="F856" s="10"/>
      <c r="G856" s="10"/>
      <c r="H856" s="10"/>
      <c r="I856" s="10"/>
      <c r="J856" s="10"/>
      <c r="K856" s="10"/>
      <c r="L856" s="10"/>
      <c r="M856" s="10"/>
      <c r="N856" s="10"/>
      <c r="O856" s="34"/>
    </row>
    <row r="857" ht="15.75" customHeight="1">
      <c r="A857" s="32"/>
      <c r="B857" s="33"/>
      <c r="C857" s="10"/>
      <c r="D857" s="10"/>
      <c r="E857" s="10"/>
      <c r="F857" s="10"/>
      <c r="G857" s="10"/>
      <c r="H857" s="10"/>
      <c r="I857" s="10"/>
      <c r="J857" s="10"/>
      <c r="K857" s="10"/>
      <c r="L857" s="10"/>
      <c r="M857" s="10"/>
      <c r="N857" s="10"/>
      <c r="O857" s="34"/>
    </row>
    <row r="858" ht="15.75" customHeight="1">
      <c r="A858" s="32"/>
      <c r="B858" s="33"/>
      <c r="C858" s="10"/>
      <c r="D858" s="10"/>
      <c r="E858" s="10"/>
      <c r="F858" s="10"/>
      <c r="G858" s="10"/>
      <c r="H858" s="10"/>
      <c r="I858" s="10"/>
      <c r="J858" s="10"/>
      <c r="K858" s="10"/>
      <c r="L858" s="10"/>
      <c r="M858" s="10"/>
      <c r="N858" s="10"/>
      <c r="O858" s="34"/>
    </row>
    <row r="859" ht="15.75" customHeight="1">
      <c r="A859" s="32"/>
      <c r="B859" s="33"/>
      <c r="C859" s="10"/>
      <c r="D859" s="10"/>
      <c r="E859" s="10"/>
      <c r="F859" s="10"/>
      <c r="G859" s="10"/>
      <c r="H859" s="10"/>
      <c r="I859" s="10"/>
      <c r="J859" s="10"/>
      <c r="K859" s="10"/>
      <c r="L859" s="10"/>
      <c r="M859" s="10"/>
      <c r="N859" s="10"/>
      <c r="O859" s="34"/>
    </row>
    <row r="860" ht="15.75" customHeight="1">
      <c r="A860" s="32"/>
      <c r="B860" s="33"/>
      <c r="C860" s="10"/>
      <c r="D860" s="10"/>
      <c r="E860" s="10"/>
      <c r="F860" s="10"/>
      <c r="G860" s="10"/>
      <c r="H860" s="10"/>
      <c r="I860" s="10"/>
      <c r="J860" s="10"/>
      <c r="K860" s="10"/>
      <c r="L860" s="10"/>
      <c r="M860" s="10"/>
      <c r="N860" s="10"/>
      <c r="O860" s="34"/>
    </row>
    <row r="861" ht="15.75" customHeight="1">
      <c r="A861" s="32"/>
      <c r="B861" s="33"/>
      <c r="C861" s="10"/>
      <c r="D861" s="10"/>
      <c r="E861" s="10"/>
      <c r="F861" s="10"/>
      <c r="G861" s="10"/>
      <c r="H861" s="10"/>
      <c r="I861" s="10"/>
      <c r="J861" s="10"/>
      <c r="K861" s="10"/>
      <c r="L861" s="10"/>
      <c r="M861" s="10"/>
      <c r="N861" s="10"/>
      <c r="O861" s="34"/>
    </row>
    <row r="862" ht="15.75" customHeight="1">
      <c r="A862" s="32"/>
      <c r="B862" s="33"/>
      <c r="C862" s="10"/>
      <c r="D862" s="10"/>
      <c r="E862" s="10"/>
      <c r="F862" s="10"/>
      <c r="G862" s="10"/>
      <c r="H862" s="10"/>
      <c r="I862" s="10"/>
      <c r="J862" s="10"/>
      <c r="K862" s="10"/>
      <c r="L862" s="10"/>
      <c r="M862" s="10"/>
      <c r="N862" s="10"/>
      <c r="O862" s="34"/>
    </row>
    <row r="863" ht="15.75" customHeight="1">
      <c r="A863" s="32"/>
      <c r="B863" s="33"/>
      <c r="C863" s="10"/>
      <c r="D863" s="10"/>
      <c r="E863" s="10"/>
      <c r="F863" s="10"/>
      <c r="G863" s="10"/>
      <c r="H863" s="10"/>
      <c r="I863" s="10"/>
      <c r="J863" s="10"/>
      <c r="K863" s="10"/>
      <c r="L863" s="10"/>
      <c r="M863" s="10"/>
      <c r="N863" s="10"/>
      <c r="O863" s="34"/>
    </row>
    <row r="864" ht="15.75" customHeight="1">
      <c r="A864" s="32"/>
      <c r="B864" s="33"/>
      <c r="C864" s="10"/>
      <c r="D864" s="10"/>
      <c r="E864" s="10"/>
      <c r="F864" s="10"/>
      <c r="G864" s="10"/>
      <c r="H864" s="10"/>
      <c r="I864" s="10"/>
      <c r="J864" s="10"/>
      <c r="K864" s="10"/>
      <c r="L864" s="10"/>
      <c r="M864" s="10"/>
      <c r="N864" s="10"/>
      <c r="O864" s="34"/>
    </row>
    <row r="865" ht="15.75" customHeight="1">
      <c r="A865" s="32"/>
      <c r="B865" s="33"/>
      <c r="C865" s="10"/>
      <c r="D865" s="10"/>
      <c r="E865" s="10"/>
      <c r="F865" s="10"/>
      <c r="G865" s="10"/>
      <c r="H865" s="10"/>
      <c r="I865" s="10"/>
      <c r="J865" s="10"/>
      <c r="K865" s="10"/>
      <c r="L865" s="10"/>
      <c r="M865" s="10"/>
      <c r="N865" s="10"/>
      <c r="O865" s="34"/>
    </row>
    <row r="866" ht="15.75" customHeight="1">
      <c r="A866" s="32"/>
      <c r="B866" s="33"/>
      <c r="C866" s="10"/>
      <c r="D866" s="10"/>
      <c r="E866" s="10"/>
      <c r="F866" s="10"/>
      <c r="G866" s="10"/>
      <c r="H866" s="10"/>
      <c r="I866" s="10"/>
      <c r="J866" s="10"/>
      <c r="K866" s="10"/>
      <c r="L866" s="10"/>
      <c r="M866" s="10"/>
      <c r="N866" s="10"/>
      <c r="O866" s="34"/>
    </row>
    <row r="867" ht="15.75" customHeight="1">
      <c r="A867" s="32"/>
      <c r="B867" s="33"/>
      <c r="C867" s="10"/>
      <c r="D867" s="10"/>
      <c r="E867" s="10"/>
      <c r="F867" s="10"/>
      <c r="G867" s="10"/>
      <c r="H867" s="10"/>
      <c r="I867" s="10"/>
      <c r="J867" s="10"/>
      <c r="K867" s="10"/>
      <c r="L867" s="10"/>
      <c r="M867" s="10"/>
      <c r="N867" s="10"/>
      <c r="O867" s="34"/>
    </row>
    <row r="868" ht="15.75" customHeight="1">
      <c r="A868" s="32"/>
      <c r="B868" s="33"/>
      <c r="C868" s="10"/>
      <c r="D868" s="10"/>
      <c r="E868" s="10"/>
      <c r="F868" s="10"/>
      <c r="G868" s="10"/>
      <c r="H868" s="10"/>
      <c r="I868" s="10"/>
      <c r="J868" s="10"/>
      <c r="K868" s="10"/>
      <c r="L868" s="10"/>
      <c r="M868" s="10"/>
      <c r="N868" s="10"/>
      <c r="O868" s="34"/>
    </row>
    <row r="869" ht="15.75" customHeight="1">
      <c r="A869" s="32"/>
      <c r="B869" s="33"/>
      <c r="C869" s="10"/>
      <c r="D869" s="10"/>
      <c r="E869" s="10"/>
      <c r="F869" s="10"/>
      <c r="G869" s="10"/>
      <c r="H869" s="10"/>
      <c r="I869" s="10"/>
      <c r="J869" s="10"/>
      <c r="K869" s="10"/>
      <c r="L869" s="10"/>
      <c r="M869" s="10"/>
      <c r="N869" s="10"/>
      <c r="O869" s="34"/>
    </row>
    <row r="870" ht="15.75" customHeight="1">
      <c r="A870" s="32"/>
      <c r="B870" s="33"/>
      <c r="C870" s="10"/>
      <c r="D870" s="10"/>
      <c r="E870" s="10"/>
      <c r="F870" s="10"/>
      <c r="G870" s="10"/>
      <c r="H870" s="10"/>
      <c r="I870" s="10"/>
      <c r="J870" s="10"/>
      <c r="K870" s="10"/>
      <c r="L870" s="10"/>
      <c r="M870" s="10"/>
      <c r="N870" s="10"/>
      <c r="O870" s="34"/>
    </row>
    <row r="871" ht="15.75" customHeight="1">
      <c r="A871" s="32"/>
      <c r="B871" s="33"/>
      <c r="C871" s="10"/>
      <c r="D871" s="10"/>
      <c r="E871" s="10"/>
      <c r="F871" s="10"/>
      <c r="G871" s="10"/>
      <c r="H871" s="10"/>
      <c r="I871" s="10"/>
      <c r="J871" s="10"/>
      <c r="K871" s="10"/>
      <c r="L871" s="10"/>
      <c r="M871" s="10"/>
      <c r="N871" s="10"/>
      <c r="O871" s="34"/>
    </row>
    <row r="872" ht="15.75" customHeight="1">
      <c r="A872" s="32"/>
      <c r="B872" s="33"/>
      <c r="C872" s="10"/>
      <c r="D872" s="10"/>
      <c r="E872" s="10"/>
      <c r="F872" s="10"/>
      <c r="G872" s="10"/>
      <c r="H872" s="10"/>
      <c r="I872" s="10"/>
      <c r="J872" s="10"/>
      <c r="K872" s="10"/>
      <c r="L872" s="10"/>
      <c r="M872" s="10"/>
      <c r="N872" s="10"/>
      <c r="O872" s="34"/>
    </row>
    <row r="873" ht="15.75" customHeight="1">
      <c r="A873" s="32"/>
      <c r="B873" s="33"/>
      <c r="C873" s="10"/>
      <c r="D873" s="10"/>
      <c r="E873" s="10"/>
      <c r="F873" s="10"/>
      <c r="G873" s="10"/>
      <c r="H873" s="10"/>
      <c r="I873" s="10"/>
      <c r="J873" s="10"/>
      <c r="K873" s="10"/>
      <c r="L873" s="10"/>
      <c r="M873" s="10"/>
      <c r="N873" s="10"/>
      <c r="O873" s="34"/>
    </row>
    <row r="874" ht="15.75" customHeight="1">
      <c r="A874" s="32"/>
      <c r="B874" s="33"/>
      <c r="C874" s="10"/>
      <c r="D874" s="10"/>
      <c r="E874" s="10"/>
      <c r="F874" s="10"/>
      <c r="G874" s="10"/>
      <c r="H874" s="10"/>
      <c r="I874" s="10"/>
      <c r="J874" s="10"/>
      <c r="K874" s="10"/>
      <c r="L874" s="10"/>
      <c r="M874" s="10"/>
      <c r="N874" s="10"/>
      <c r="O874" s="34"/>
    </row>
    <row r="875" ht="15.75" customHeight="1">
      <c r="A875" s="32"/>
      <c r="B875" s="33"/>
      <c r="C875" s="10"/>
      <c r="D875" s="10"/>
      <c r="E875" s="10"/>
      <c r="F875" s="10"/>
      <c r="G875" s="10"/>
      <c r="H875" s="10"/>
      <c r="I875" s="10"/>
      <c r="J875" s="10"/>
      <c r="K875" s="10"/>
      <c r="L875" s="10"/>
      <c r="M875" s="10"/>
      <c r="N875" s="10"/>
      <c r="O875" s="34"/>
    </row>
    <row r="876" ht="15.75" customHeight="1">
      <c r="A876" s="32"/>
      <c r="B876" s="33"/>
      <c r="C876" s="10"/>
      <c r="D876" s="10"/>
      <c r="E876" s="10"/>
      <c r="F876" s="10"/>
      <c r="G876" s="10"/>
      <c r="H876" s="10"/>
      <c r="I876" s="10"/>
      <c r="J876" s="10"/>
      <c r="K876" s="10"/>
      <c r="L876" s="10"/>
      <c r="M876" s="10"/>
      <c r="N876" s="10"/>
      <c r="O876" s="34"/>
    </row>
    <row r="877" ht="15.75" customHeight="1">
      <c r="A877" s="32"/>
      <c r="B877" s="33"/>
      <c r="C877" s="10"/>
      <c r="D877" s="10"/>
      <c r="E877" s="10"/>
      <c r="F877" s="10"/>
      <c r="G877" s="10"/>
      <c r="H877" s="10"/>
      <c r="I877" s="10"/>
      <c r="J877" s="10"/>
      <c r="K877" s="10"/>
      <c r="L877" s="10"/>
      <c r="M877" s="10"/>
      <c r="N877" s="10"/>
      <c r="O877" s="34"/>
    </row>
    <row r="878" ht="15.75" customHeight="1">
      <c r="A878" s="32"/>
      <c r="B878" s="33"/>
      <c r="C878" s="10"/>
      <c r="D878" s="10"/>
      <c r="E878" s="10"/>
      <c r="F878" s="10"/>
      <c r="G878" s="10"/>
      <c r="H878" s="10"/>
      <c r="I878" s="10"/>
      <c r="J878" s="10"/>
      <c r="K878" s="10"/>
      <c r="L878" s="10"/>
      <c r="M878" s="10"/>
      <c r="N878" s="10"/>
      <c r="O878" s="34"/>
    </row>
    <row r="879" ht="15.75" customHeight="1">
      <c r="A879" s="32"/>
      <c r="B879" s="33"/>
      <c r="C879" s="10"/>
      <c r="D879" s="10"/>
      <c r="E879" s="10"/>
      <c r="F879" s="10"/>
      <c r="G879" s="10"/>
      <c r="H879" s="10"/>
      <c r="I879" s="10"/>
      <c r="J879" s="10"/>
      <c r="K879" s="10"/>
      <c r="L879" s="10"/>
      <c r="M879" s="10"/>
      <c r="N879" s="10"/>
      <c r="O879" s="34"/>
    </row>
    <row r="880" ht="15.75" customHeight="1">
      <c r="A880" s="32"/>
      <c r="B880" s="33"/>
      <c r="C880" s="10"/>
      <c r="D880" s="10"/>
      <c r="E880" s="10"/>
      <c r="F880" s="10"/>
      <c r="G880" s="10"/>
      <c r="H880" s="10"/>
      <c r="I880" s="10"/>
      <c r="J880" s="10"/>
      <c r="K880" s="10"/>
      <c r="L880" s="10"/>
      <c r="M880" s="10"/>
      <c r="N880" s="10"/>
      <c r="O880" s="34"/>
    </row>
    <row r="881" ht="15.75" customHeight="1">
      <c r="A881" s="32"/>
      <c r="B881" s="33"/>
      <c r="C881" s="10"/>
      <c r="D881" s="10"/>
      <c r="E881" s="10"/>
      <c r="F881" s="10"/>
      <c r="G881" s="10"/>
      <c r="H881" s="10"/>
      <c r="I881" s="10"/>
      <c r="J881" s="10"/>
      <c r="K881" s="10"/>
      <c r="L881" s="10"/>
      <c r="M881" s="10"/>
      <c r="N881" s="10"/>
      <c r="O881" s="34"/>
    </row>
    <row r="882" ht="15.75" customHeight="1">
      <c r="A882" s="32"/>
      <c r="B882" s="33"/>
      <c r="C882" s="10"/>
      <c r="D882" s="10"/>
      <c r="E882" s="10"/>
      <c r="F882" s="10"/>
      <c r="G882" s="10"/>
      <c r="H882" s="10"/>
      <c r="I882" s="10"/>
      <c r="J882" s="10"/>
      <c r="K882" s="10"/>
      <c r="L882" s="10"/>
      <c r="M882" s="10"/>
      <c r="N882" s="10"/>
      <c r="O882" s="34"/>
    </row>
    <row r="883" ht="15.75" customHeight="1">
      <c r="A883" s="32"/>
      <c r="B883" s="33"/>
      <c r="C883" s="10"/>
      <c r="D883" s="10"/>
      <c r="E883" s="10"/>
      <c r="F883" s="10"/>
      <c r="G883" s="10"/>
      <c r="H883" s="10"/>
      <c r="I883" s="10"/>
      <c r="J883" s="10"/>
      <c r="K883" s="10"/>
      <c r="L883" s="10"/>
      <c r="M883" s="10"/>
      <c r="N883" s="10"/>
      <c r="O883" s="34"/>
    </row>
    <row r="884" ht="15.75" customHeight="1">
      <c r="A884" s="32"/>
      <c r="B884" s="33"/>
      <c r="C884" s="10"/>
      <c r="D884" s="10"/>
      <c r="E884" s="10"/>
      <c r="F884" s="10"/>
      <c r="G884" s="10"/>
      <c r="H884" s="10"/>
      <c r="I884" s="10"/>
      <c r="J884" s="10"/>
      <c r="K884" s="10"/>
      <c r="L884" s="10"/>
      <c r="M884" s="10"/>
      <c r="N884" s="10"/>
      <c r="O884" s="34"/>
    </row>
    <row r="885" ht="15.75" customHeight="1">
      <c r="A885" s="32"/>
      <c r="B885" s="33"/>
      <c r="C885" s="10"/>
      <c r="D885" s="10"/>
      <c r="E885" s="10"/>
      <c r="F885" s="10"/>
      <c r="G885" s="10"/>
      <c r="H885" s="10"/>
      <c r="I885" s="10"/>
      <c r="J885" s="10"/>
      <c r="K885" s="10"/>
      <c r="L885" s="10"/>
      <c r="M885" s="10"/>
      <c r="N885" s="10"/>
      <c r="O885" s="34"/>
    </row>
    <row r="886" ht="15.75" customHeight="1">
      <c r="A886" s="32"/>
      <c r="B886" s="33"/>
      <c r="C886" s="10"/>
      <c r="D886" s="10"/>
      <c r="E886" s="10"/>
      <c r="F886" s="10"/>
      <c r="G886" s="10"/>
      <c r="H886" s="10"/>
      <c r="I886" s="10"/>
      <c r="J886" s="10"/>
      <c r="K886" s="10"/>
      <c r="L886" s="10"/>
      <c r="M886" s="10"/>
      <c r="N886" s="10"/>
      <c r="O886" s="34"/>
    </row>
    <row r="887" ht="15.75" customHeight="1">
      <c r="A887" s="32"/>
      <c r="B887" s="33"/>
      <c r="C887" s="10"/>
      <c r="D887" s="10"/>
      <c r="E887" s="10"/>
      <c r="F887" s="10"/>
      <c r="G887" s="10"/>
      <c r="H887" s="10"/>
      <c r="I887" s="10"/>
      <c r="J887" s="10"/>
      <c r="K887" s="10"/>
      <c r="L887" s="10"/>
      <c r="M887" s="10"/>
      <c r="N887" s="10"/>
      <c r="O887" s="34"/>
    </row>
    <row r="888" ht="15.75" customHeight="1">
      <c r="A888" s="32"/>
      <c r="B888" s="33"/>
      <c r="C888" s="10"/>
      <c r="D888" s="10"/>
      <c r="E888" s="10"/>
      <c r="F888" s="10"/>
      <c r="G888" s="10"/>
      <c r="H888" s="10"/>
      <c r="I888" s="10"/>
      <c r="J888" s="10"/>
      <c r="K888" s="10"/>
      <c r="L888" s="10"/>
      <c r="M888" s="10"/>
      <c r="N888" s="10"/>
      <c r="O888" s="34"/>
    </row>
    <row r="889" ht="15.75" customHeight="1">
      <c r="A889" s="32"/>
      <c r="B889" s="33"/>
      <c r="C889" s="10"/>
      <c r="D889" s="10"/>
      <c r="E889" s="10"/>
      <c r="F889" s="10"/>
      <c r="G889" s="10"/>
      <c r="H889" s="10"/>
      <c r="I889" s="10"/>
      <c r="J889" s="10"/>
      <c r="K889" s="10"/>
      <c r="L889" s="10"/>
      <c r="M889" s="10"/>
      <c r="N889" s="10"/>
      <c r="O889" s="34"/>
    </row>
    <row r="890" ht="15.75" customHeight="1">
      <c r="A890" s="32"/>
      <c r="B890" s="33"/>
      <c r="C890" s="10"/>
      <c r="D890" s="10"/>
      <c r="E890" s="10"/>
      <c r="F890" s="10"/>
      <c r="G890" s="10"/>
      <c r="H890" s="10"/>
      <c r="I890" s="10"/>
      <c r="J890" s="10"/>
      <c r="K890" s="10"/>
      <c r="L890" s="10"/>
      <c r="M890" s="10"/>
      <c r="N890" s="10"/>
      <c r="O890" s="34"/>
    </row>
    <row r="891" ht="15.75" customHeight="1">
      <c r="A891" s="32"/>
      <c r="B891" s="33"/>
      <c r="C891" s="10"/>
      <c r="D891" s="10"/>
      <c r="E891" s="10"/>
      <c r="F891" s="10"/>
      <c r="G891" s="10"/>
      <c r="H891" s="10"/>
      <c r="I891" s="10"/>
      <c r="J891" s="10"/>
      <c r="K891" s="10"/>
      <c r="L891" s="10"/>
      <c r="M891" s="10"/>
      <c r="N891" s="10"/>
      <c r="O891" s="34"/>
    </row>
    <row r="892" ht="15.75" customHeight="1">
      <c r="A892" s="32"/>
      <c r="B892" s="33"/>
      <c r="C892" s="10"/>
      <c r="D892" s="10"/>
      <c r="E892" s="10"/>
      <c r="F892" s="10"/>
      <c r="G892" s="10"/>
      <c r="H892" s="10"/>
      <c r="I892" s="10"/>
      <c r="J892" s="10"/>
      <c r="K892" s="10"/>
      <c r="L892" s="10"/>
      <c r="M892" s="10"/>
      <c r="N892" s="10"/>
      <c r="O892" s="34"/>
    </row>
    <row r="893" ht="15.75" customHeight="1">
      <c r="A893" s="32"/>
      <c r="B893" s="33"/>
      <c r="C893" s="10"/>
      <c r="D893" s="10"/>
      <c r="E893" s="10"/>
      <c r="F893" s="10"/>
      <c r="G893" s="10"/>
      <c r="H893" s="10"/>
      <c r="I893" s="10"/>
      <c r="J893" s="10"/>
      <c r="K893" s="10"/>
      <c r="L893" s="10"/>
      <c r="M893" s="10"/>
      <c r="N893" s="10"/>
      <c r="O893" s="34"/>
    </row>
    <row r="894" ht="15.75" customHeight="1">
      <c r="A894" s="32"/>
      <c r="B894" s="33"/>
      <c r="C894" s="10"/>
      <c r="D894" s="10"/>
      <c r="E894" s="10"/>
      <c r="F894" s="10"/>
      <c r="G894" s="10"/>
      <c r="H894" s="10"/>
      <c r="I894" s="10"/>
      <c r="J894" s="10"/>
      <c r="K894" s="10"/>
      <c r="L894" s="10"/>
      <c r="M894" s="10"/>
      <c r="N894" s="10"/>
      <c r="O894" s="34"/>
    </row>
    <row r="895" ht="15.75" customHeight="1">
      <c r="A895" s="32"/>
      <c r="B895" s="33"/>
      <c r="C895" s="10"/>
      <c r="D895" s="10"/>
      <c r="E895" s="10"/>
      <c r="F895" s="10"/>
      <c r="G895" s="10"/>
      <c r="H895" s="10"/>
      <c r="I895" s="10"/>
      <c r="J895" s="10"/>
      <c r="K895" s="10"/>
      <c r="L895" s="10"/>
      <c r="M895" s="10"/>
      <c r="N895" s="10"/>
      <c r="O895" s="34"/>
    </row>
    <row r="896" ht="15.75" customHeight="1">
      <c r="A896" s="32"/>
      <c r="B896" s="33"/>
      <c r="C896" s="10"/>
      <c r="D896" s="10"/>
      <c r="E896" s="10"/>
      <c r="F896" s="10"/>
      <c r="G896" s="10"/>
      <c r="H896" s="10"/>
      <c r="I896" s="10"/>
      <c r="J896" s="10"/>
      <c r="K896" s="10"/>
      <c r="L896" s="10"/>
      <c r="M896" s="10"/>
      <c r="N896" s="10"/>
      <c r="O896" s="34"/>
    </row>
    <row r="897" ht="15.75" customHeight="1">
      <c r="A897" s="32"/>
      <c r="B897" s="33"/>
      <c r="C897" s="10"/>
      <c r="D897" s="10"/>
      <c r="E897" s="10"/>
      <c r="F897" s="10"/>
      <c r="G897" s="10"/>
      <c r="H897" s="10"/>
      <c r="I897" s="10"/>
      <c r="J897" s="10"/>
      <c r="K897" s="10"/>
      <c r="L897" s="10"/>
      <c r="M897" s="10"/>
      <c r="N897" s="10"/>
      <c r="O897" s="34"/>
    </row>
    <row r="898" ht="15.75" customHeight="1">
      <c r="A898" s="32"/>
      <c r="B898" s="33"/>
      <c r="C898" s="10"/>
      <c r="D898" s="10"/>
      <c r="E898" s="10"/>
      <c r="F898" s="10"/>
      <c r="G898" s="10"/>
      <c r="H898" s="10"/>
      <c r="I898" s="10"/>
      <c r="J898" s="10"/>
      <c r="K898" s="10"/>
      <c r="L898" s="10"/>
      <c r="M898" s="10"/>
      <c r="N898" s="10"/>
      <c r="O898" s="34"/>
    </row>
    <row r="899" ht="15.75" customHeight="1">
      <c r="A899" s="32"/>
      <c r="B899" s="33"/>
      <c r="C899" s="10"/>
      <c r="D899" s="10"/>
      <c r="E899" s="10"/>
      <c r="F899" s="10"/>
      <c r="G899" s="10"/>
      <c r="H899" s="10"/>
      <c r="I899" s="10"/>
      <c r="J899" s="10"/>
      <c r="K899" s="10"/>
      <c r="L899" s="10"/>
      <c r="M899" s="10"/>
      <c r="N899" s="10"/>
      <c r="O899" s="34"/>
    </row>
    <row r="900" ht="15.75" customHeight="1">
      <c r="A900" s="32"/>
      <c r="B900" s="33"/>
      <c r="C900" s="10"/>
      <c r="D900" s="10"/>
      <c r="E900" s="10"/>
      <c r="F900" s="10"/>
      <c r="G900" s="10"/>
      <c r="H900" s="10"/>
      <c r="I900" s="10"/>
      <c r="J900" s="10"/>
      <c r="K900" s="10"/>
      <c r="L900" s="10"/>
      <c r="M900" s="10"/>
      <c r="N900" s="10"/>
      <c r="O900" s="34"/>
    </row>
    <row r="901" ht="15.75" customHeight="1">
      <c r="A901" s="32"/>
      <c r="B901" s="33"/>
      <c r="C901" s="10"/>
      <c r="D901" s="10"/>
      <c r="E901" s="10"/>
      <c r="F901" s="10"/>
      <c r="G901" s="10"/>
      <c r="H901" s="10"/>
      <c r="I901" s="10"/>
      <c r="J901" s="10"/>
      <c r="K901" s="10"/>
      <c r="L901" s="10"/>
      <c r="M901" s="10"/>
      <c r="N901" s="10"/>
      <c r="O901" s="34"/>
    </row>
    <row r="902" ht="15.75" customHeight="1">
      <c r="A902" s="32"/>
      <c r="B902" s="33"/>
      <c r="C902" s="10"/>
      <c r="D902" s="10"/>
      <c r="E902" s="10"/>
      <c r="F902" s="10"/>
      <c r="G902" s="10"/>
      <c r="H902" s="10"/>
      <c r="I902" s="10"/>
      <c r="J902" s="10"/>
      <c r="K902" s="10"/>
      <c r="L902" s="10"/>
      <c r="M902" s="10"/>
      <c r="N902" s="10"/>
      <c r="O902" s="34"/>
    </row>
    <row r="903" ht="15.75" customHeight="1">
      <c r="A903" s="32"/>
      <c r="B903" s="33"/>
      <c r="C903" s="10"/>
      <c r="D903" s="10"/>
      <c r="E903" s="10"/>
      <c r="F903" s="10"/>
      <c r="G903" s="10"/>
      <c r="H903" s="10"/>
      <c r="I903" s="10"/>
      <c r="J903" s="10"/>
      <c r="K903" s="10"/>
      <c r="L903" s="10"/>
      <c r="M903" s="10"/>
      <c r="N903" s="10"/>
      <c r="O903" s="34"/>
    </row>
    <row r="904" ht="15.75" customHeight="1">
      <c r="A904" s="32"/>
      <c r="B904" s="33"/>
      <c r="C904" s="10"/>
      <c r="D904" s="10"/>
      <c r="E904" s="10"/>
      <c r="F904" s="10"/>
      <c r="G904" s="10"/>
      <c r="H904" s="10"/>
      <c r="I904" s="10"/>
      <c r="J904" s="10"/>
      <c r="K904" s="10"/>
      <c r="L904" s="10"/>
      <c r="M904" s="10"/>
      <c r="N904" s="10"/>
      <c r="O904" s="34"/>
    </row>
    <row r="905" ht="15.75" customHeight="1">
      <c r="A905" s="32"/>
      <c r="B905" s="33"/>
      <c r="C905" s="10"/>
      <c r="D905" s="10"/>
      <c r="E905" s="10"/>
      <c r="F905" s="10"/>
      <c r="G905" s="10"/>
      <c r="H905" s="10"/>
      <c r="I905" s="10"/>
      <c r="J905" s="10"/>
      <c r="K905" s="10"/>
      <c r="L905" s="10"/>
      <c r="M905" s="10"/>
      <c r="N905" s="10"/>
      <c r="O905" s="34"/>
    </row>
    <row r="906" ht="15.75" customHeight="1">
      <c r="A906" s="32"/>
      <c r="B906" s="33"/>
      <c r="C906" s="10"/>
      <c r="D906" s="10"/>
      <c r="E906" s="10"/>
      <c r="F906" s="10"/>
      <c r="G906" s="10"/>
      <c r="H906" s="10"/>
      <c r="I906" s="10"/>
      <c r="J906" s="10"/>
      <c r="K906" s="10"/>
      <c r="L906" s="10"/>
      <c r="M906" s="10"/>
      <c r="N906" s="10"/>
      <c r="O906" s="34"/>
    </row>
    <row r="907" ht="15.75" customHeight="1">
      <c r="A907" s="32"/>
      <c r="B907" s="33"/>
      <c r="C907" s="10"/>
      <c r="D907" s="10"/>
      <c r="E907" s="10"/>
      <c r="F907" s="10"/>
      <c r="G907" s="10"/>
      <c r="H907" s="10"/>
      <c r="I907" s="10"/>
      <c r="J907" s="10"/>
      <c r="K907" s="10"/>
      <c r="L907" s="10"/>
      <c r="M907" s="10"/>
      <c r="N907" s="10"/>
      <c r="O907" s="34"/>
    </row>
    <row r="908" ht="15.75" customHeight="1">
      <c r="A908" s="32"/>
      <c r="B908" s="33"/>
      <c r="C908" s="10"/>
      <c r="D908" s="10"/>
      <c r="E908" s="10"/>
      <c r="F908" s="10"/>
      <c r="G908" s="10"/>
      <c r="H908" s="10"/>
      <c r="I908" s="10"/>
      <c r="J908" s="10"/>
      <c r="K908" s="10"/>
      <c r="L908" s="10"/>
      <c r="M908" s="10"/>
      <c r="N908" s="10"/>
      <c r="O908" s="34"/>
    </row>
    <row r="909" ht="15.75" customHeight="1">
      <c r="A909" s="32"/>
      <c r="B909" s="33"/>
      <c r="C909" s="10"/>
      <c r="D909" s="10"/>
      <c r="E909" s="10"/>
      <c r="F909" s="10"/>
      <c r="G909" s="10"/>
      <c r="H909" s="10"/>
      <c r="I909" s="10"/>
      <c r="J909" s="10"/>
      <c r="K909" s="10"/>
      <c r="L909" s="10"/>
      <c r="M909" s="10"/>
      <c r="N909" s="10"/>
      <c r="O909" s="34"/>
    </row>
    <row r="910" ht="15.75" customHeight="1">
      <c r="A910" s="32"/>
      <c r="B910" s="33"/>
      <c r="C910" s="10"/>
      <c r="D910" s="10"/>
      <c r="E910" s="10"/>
      <c r="F910" s="10"/>
      <c r="G910" s="10"/>
      <c r="H910" s="10"/>
      <c r="I910" s="10"/>
      <c r="J910" s="10"/>
      <c r="K910" s="10"/>
      <c r="L910" s="10"/>
      <c r="M910" s="10"/>
      <c r="N910" s="10"/>
      <c r="O910" s="34"/>
    </row>
    <row r="911" ht="15.75" customHeight="1">
      <c r="A911" s="32"/>
      <c r="B911" s="33"/>
      <c r="C911" s="10"/>
      <c r="D911" s="10"/>
      <c r="E911" s="10"/>
      <c r="F911" s="10"/>
      <c r="G911" s="10"/>
      <c r="H911" s="10"/>
      <c r="I911" s="10"/>
      <c r="J911" s="10"/>
      <c r="K911" s="10"/>
      <c r="L911" s="10"/>
      <c r="M911" s="10"/>
      <c r="N911" s="10"/>
      <c r="O911" s="34"/>
    </row>
    <row r="912" ht="15.75" customHeight="1">
      <c r="A912" s="32"/>
      <c r="B912" s="33"/>
      <c r="C912" s="10"/>
      <c r="D912" s="10"/>
      <c r="E912" s="10"/>
      <c r="F912" s="10"/>
      <c r="G912" s="10"/>
      <c r="H912" s="10"/>
      <c r="I912" s="10"/>
      <c r="J912" s="10"/>
      <c r="K912" s="10"/>
      <c r="L912" s="10"/>
      <c r="M912" s="10"/>
      <c r="N912" s="10"/>
      <c r="O912" s="34"/>
    </row>
    <row r="913" ht="15.75" customHeight="1">
      <c r="A913" s="32"/>
      <c r="B913" s="33"/>
      <c r="C913" s="10"/>
      <c r="D913" s="10"/>
      <c r="E913" s="10"/>
      <c r="F913" s="10"/>
      <c r="G913" s="10"/>
      <c r="H913" s="10"/>
      <c r="I913" s="10"/>
      <c r="J913" s="10"/>
      <c r="K913" s="10"/>
      <c r="L913" s="10"/>
      <c r="M913" s="10"/>
      <c r="N913" s="10"/>
      <c r="O913" s="34"/>
    </row>
    <row r="914" ht="15.75" customHeight="1">
      <c r="A914" s="32"/>
      <c r="B914" s="33"/>
      <c r="C914" s="10"/>
      <c r="D914" s="10"/>
      <c r="E914" s="10"/>
      <c r="F914" s="10"/>
      <c r="G914" s="10"/>
      <c r="H914" s="10"/>
      <c r="I914" s="10"/>
      <c r="J914" s="10"/>
      <c r="K914" s="10"/>
      <c r="L914" s="10"/>
      <c r="M914" s="10"/>
      <c r="N914" s="10"/>
      <c r="O914" s="34"/>
    </row>
    <row r="915" ht="15.75" customHeight="1">
      <c r="A915" s="32"/>
      <c r="B915" s="33"/>
      <c r="C915" s="10"/>
      <c r="D915" s="10"/>
      <c r="E915" s="10"/>
      <c r="F915" s="10"/>
      <c r="G915" s="10"/>
      <c r="H915" s="10"/>
      <c r="I915" s="10"/>
      <c r="J915" s="10"/>
      <c r="K915" s="10"/>
      <c r="L915" s="10"/>
      <c r="M915" s="10"/>
      <c r="N915" s="10"/>
      <c r="O915" s="34"/>
    </row>
    <row r="916" ht="15.75" customHeight="1">
      <c r="A916" s="32"/>
      <c r="B916" s="33"/>
      <c r="C916" s="10"/>
      <c r="D916" s="10"/>
      <c r="E916" s="10"/>
      <c r="F916" s="10"/>
      <c r="G916" s="10"/>
      <c r="H916" s="10"/>
      <c r="I916" s="10"/>
      <c r="J916" s="10"/>
      <c r="K916" s="10"/>
      <c r="L916" s="10"/>
      <c r="M916" s="10"/>
      <c r="N916" s="10"/>
      <c r="O916" s="34"/>
    </row>
    <row r="917" ht="15.75" customHeight="1">
      <c r="A917" s="32"/>
      <c r="B917" s="33"/>
      <c r="C917" s="10"/>
      <c r="D917" s="10"/>
      <c r="E917" s="10"/>
      <c r="F917" s="10"/>
      <c r="G917" s="10"/>
      <c r="H917" s="10"/>
      <c r="I917" s="10"/>
      <c r="J917" s="10"/>
      <c r="K917" s="10"/>
      <c r="L917" s="10"/>
      <c r="M917" s="10"/>
      <c r="N917" s="10"/>
      <c r="O917" s="34"/>
    </row>
    <row r="918" ht="15.75" customHeight="1">
      <c r="A918" s="32"/>
      <c r="B918" s="33"/>
      <c r="C918" s="10"/>
      <c r="D918" s="10"/>
      <c r="E918" s="10"/>
      <c r="F918" s="10"/>
      <c r="G918" s="10"/>
      <c r="H918" s="10"/>
      <c r="I918" s="10"/>
      <c r="J918" s="10"/>
      <c r="K918" s="10"/>
      <c r="L918" s="10"/>
      <c r="M918" s="10"/>
      <c r="N918" s="10"/>
      <c r="O918" s="34"/>
    </row>
    <row r="919" ht="15.75" customHeight="1">
      <c r="A919" s="32"/>
      <c r="B919" s="33"/>
      <c r="C919" s="10"/>
      <c r="D919" s="10"/>
      <c r="E919" s="10"/>
      <c r="F919" s="10"/>
      <c r="G919" s="10"/>
      <c r="H919" s="10"/>
      <c r="I919" s="10"/>
      <c r="J919" s="10"/>
      <c r="K919" s="10"/>
      <c r="L919" s="10"/>
      <c r="M919" s="10"/>
      <c r="N919" s="10"/>
      <c r="O919" s="34"/>
    </row>
    <row r="920" ht="15.75" customHeight="1">
      <c r="A920" s="32"/>
      <c r="B920" s="33"/>
      <c r="C920" s="10"/>
      <c r="D920" s="10"/>
      <c r="E920" s="10"/>
      <c r="F920" s="10"/>
      <c r="G920" s="10"/>
      <c r="H920" s="10"/>
      <c r="I920" s="10"/>
      <c r="J920" s="10"/>
      <c r="K920" s="10"/>
      <c r="L920" s="10"/>
      <c r="M920" s="10"/>
      <c r="N920" s="10"/>
      <c r="O920" s="34"/>
    </row>
    <row r="921" ht="15.75" customHeight="1">
      <c r="A921" s="32"/>
      <c r="B921" s="33"/>
      <c r="C921" s="10"/>
      <c r="D921" s="10"/>
      <c r="E921" s="10"/>
      <c r="F921" s="10"/>
      <c r="G921" s="10"/>
      <c r="H921" s="10"/>
      <c r="I921" s="10"/>
      <c r="J921" s="10"/>
      <c r="K921" s="10"/>
      <c r="L921" s="10"/>
      <c r="M921" s="10"/>
      <c r="N921" s="10"/>
      <c r="O921" s="34"/>
    </row>
    <row r="922" ht="15.75" customHeight="1">
      <c r="A922" s="32"/>
      <c r="B922" s="33"/>
      <c r="C922" s="10"/>
      <c r="D922" s="10"/>
      <c r="E922" s="10"/>
      <c r="F922" s="10"/>
      <c r="G922" s="10"/>
      <c r="H922" s="10"/>
      <c r="I922" s="10"/>
      <c r="J922" s="10"/>
      <c r="K922" s="10"/>
      <c r="L922" s="10"/>
      <c r="M922" s="10"/>
      <c r="N922" s="10"/>
      <c r="O922" s="34"/>
    </row>
    <row r="923" ht="15.75" customHeight="1">
      <c r="A923" s="32"/>
      <c r="B923" s="33"/>
      <c r="C923" s="10"/>
      <c r="D923" s="10"/>
      <c r="E923" s="10"/>
      <c r="F923" s="10"/>
      <c r="G923" s="10"/>
      <c r="H923" s="10"/>
      <c r="I923" s="10"/>
      <c r="J923" s="10"/>
      <c r="K923" s="10"/>
      <c r="L923" s="10"/>
      <c r="M923" s="10"/>
      <c r="N923" s="10"/>
      <c r="O923" s="34"/>
    </row>
    <row r="924" ht="15.75" customHeight="1">
      <c r="A924" s="32"/>
      <c r="B924" s="33"/>
      <c r="C924" s="10"/>
      <c r="D924" s="10"/>
      <c r="E924" s="10"/>
      <c r="F924" s="10"/>
      <c r="G924" s="10"/>
      <c r="H924" s="10"/>
      <c r="I924" s="10"/>
      <c r="J924" s="10"/>
      <c r="K924" s="10"/>
      <c r="L924" s="10"/>
      <c r="M924" s="10"/>
      <c r="N924" s="10"/>
      <c r="O924" s="34"/>
    </row>
    <row r="925" ht="15.75" customHeight="1">
      <c r="A925" s="32"/>
      <c r="B925" s="33"/>
      <c r="C925" s="10"/>
      <c r="D925" s="10"/>
      <c r="E925" s="10"/>
      <c r="F925" s="10"/>
      <c r="G925" s="10"/>
      <c r="H925" s="10"/>
      <c r="I925" s="10"/>
      <c r="J925" s="10"/>
      <c r="K925" s="10"/>
      <c r="L925" s="10"/>
      <c r="M925" s="10"/>
      <c r="N925" s="10"/>
      <c r="O925" s="34"/>
    </row>
    <row r="926" ht="15.75" customHeight="1">
      <c r="A926" s="32"/>
      <c r="B926" s="33"/>
      <c r="C926" s="10"/>
      <c r="D926" s="10"/>
      <c r="E926" s="10"/>
      <c r="F926" s="10"/>
      <c r="G926" s="10"/>
      <c r="H926" s="10"/>
      <c r="I926" s="10"/>
      <c r="J926" s="10"/>
      <c r="K926" s="10"/>
      <c r="L926" s="10"/>
      <c r="M926" s="10"/>
      <c r="N926" s="10"/>
      <c r="O926" s="34"/>
    </row>
    <row r="927" ht="15.75" customHeight="1">
      <c r="A927" s="32"/>
      <c r="B927" s="33"/>
      <c r="C927" s="10"/>
      <c r="D927" s="10"/>
      <c r="E927" s="10"/>
      <c r="F927" s="10"/>
      <c r="G927" s="10"/>
      <c r="H927" s="10"/>
      <c r="I927" s="10"/>
      <c r="J927" s="10"/>
      <c r="K927" s="10"/>
      <c r="L927" s="10"/>
      <c r="M927" s="10"/>
      <c r="N927" s="10"/>
      <c r="O927" s="34"/>
    </row>
    <row r="928" ht="15.75" customHeight="1">
      <c r="A928" s="32"/>
      <c r="B928" s="33"/>
      <c r="C928" s="10"/>
      <c r="D928" s="10"/>
      <c r="E928" s="10"/>
      <c r="F928" s="10"/>
      <c r="G928" s="10"/>
      <c r="H928" s="10"/>
      <c r="I928" s="10"/>
      <c r="J928" s="10"/>
      <c r="K928" s="10"/>
      <c r="L928" s="10"/>
      <c r="M928" s="10"/>
      <c r="N928" s="10"/>
      <c r="O928" s="34"/>
    </row>
    <row r="929" ht="15.75" customHeight="1">
      <c r="A929" s="32"/>
      <c r="B929" s="33"/>
      <c r="C929" s="10"/>
      <c r="D929" s="10"/>
      <c r="E929" s="10"/>
      <c r="F929" s="10"/>
      <c r="G929" s="10"/>
      <c r="H929" s="10"/>
      <c r="I929" s="10"/>
      <c r="J929" s="10"/>
      <c r="K929" s="10"/>
      <c r="L929" s="10"/>
      <c r="M929" s="10"/>
      <c r="N929" s="10"/>
      <c r="O929" s="34"/>
    </row>
    <row r="930" ht="15.75" customHeight="1">
      <c r="A930" s="32"/>
      <c r="B930" s="33"/>
      <c r="C930" s="10"/>
      <c r="D930" s="10"/>
      <c r="E930" s="10"/>
      <c r="F930" s="10"/>
      <c r="G930" s="10"/>
      <c r="H930" s="10"/>
      <c r="I930" s="10"/>
      <c r="J930" s="10"/>
      <c r="K930" s="10"/>
      <c r="L930" s="10"/>
      <c r="M930" s="10"/>
      <c r="N930" s="10"/>
      <c r="O930" s="34"/>
    </row>
    <row r="931" ht="15.75" customHeight="1">
      <c r="A931" s="32"/>
      <c r="B931" s="33"/>
      <c r="C931" s="10"/>
      <c r="D931" s="10"/>
      <c r="E931" s="10"/>
      <c r="F931" s="10"/>
      <c r="G931" s="10"/>
      <c r="H931" s="10"/>
      <c r="I931" s="10"/>
      <c r="J931" s="10"/>
      <c r="K931" s="10"/>
      <c r="L931" s="10"/>
      <c r="M931" s="10"/>
      <c r="N931" s="10"/>
      <c r="O931" s="34"/>
    </row>
    <row r="932" ht="15.75" customHeight="1">
      <c r="A932" s="32"/>
      <c r="B932" s="33"/>
      <c r="C932" s="10"/>
      <c r="D932" s="10"/>
      <c r="E932" s="10"/>
      <c r="F932" s="10"/>
      <c r="G932" s="10"/>
      <c r="H932" s="10"/>
      <c r="I932" s="10"/>
      <c r="J932" s="10"/>
      <c r="K932" s="10"/>
      <c r="L932" s="10"/>
      <c r="M932" s="10"/>
      <c r="N932" s="10"/>
      <c r="O932" s="34"/>
    </row>
    <row r="933" ht="15.75" customHeight="1">
      <c r="A933" s="32"/>
      <c r="B933" s="33"/>
      <c r="C933" s="10"/>
      <c r="D933" s="10"/>
      <c r="E933" s="10"/>
      <c r="F933" s="10"/>
      <c r="G933" s="10"/>
      <c r="H933" s="10"/>
      <c r="I933" s="10"/>
      <c r="J933" s="10"/>
      <c r="K933" s="10"/>
      <c r="L933" s="10"/>
      <c r="M933" s="10"/>
      <c r="N933" s="10"/>
      <c r="O933" s="34"/>
    </row>
    <row r="934" ht="15.75" customHeight="1">
      <c r="A934" s="32"/>
      <c r="B934" s="33"/>
      <c r="C934" s="10"/>
      <c r="D934" s="10"/>
      <c r="E934" s="10"/>
      <c r="F934" s="10"/>
      <c r="G934" s="10"/>
      <c r="H934" s="10"/>
      <c r="I934" s="10"/>
      <c r="J934" s="10"/>
      <c r="K934" s="10"/>
      <c r="L934" s="10"/>
      <c r="M934" s="10"/>
      <c r="N934" s="10"/>
      <c r="O934" s="34"/>
    </row>
    <row r="935" ht="15.75" customHeight="1">
      <c r="A935" s="32"/>
      <c r="B935" s="33"/>
      <c r="C935" s="10"/>
      <c r="D935" s="10"/>
      <c r="E935" s="10"/>
      <c r="F935" s="10"/>
      <c r="G935" s="10"/>
      <c r="H935" s="10"/>
      <c r="I935" s="10"/>
      <c r="J935" s="10"/>
      <c r="K935" s="10"/>
      <c r="L935" s="10"/>
      <c r="M935" s="10"/>
      <c r="N935" s="10"/>
      <c r="O935" s="34"/>
    </row>
    <row r="936" ht="15.75" customHeight="1">
      <c r="A936" s="32"/>
      <c r="B936" s="33"/>
      <c r="C936" s="10"/>
      <c r="D936" s="10"/>
      <c r="E936" s="10"/>
      <c r="F936" s="10"/>
      <c r="G936" s="10"/>
      <c r="H936" s="10"/>
      <c r="I936" s="10"/>
      <c r="J936" s="10"/>
      <c r="K936" s="10"/>
      <c r="L936" s="10"/>
      <c r="M936" s="10"/>
      <c r="N936" s="10"/>
      <c r="O936" s="34"/>
    </row>
    <row r="937" ht="15.75" customHeight="1">
      <c r="A937" s="32"/>
      <c r="B937" s="33"/>
      <c r="C937" s="10"/>
      <c r="D937" s="10"/>
      <c r="E937" s="10"/>
      <c r="F937" s="10"/>
      <c r="G937" s="10"/>
      <c r="H937" s="10"/>
      <c r="I937" s="10"/>
      <c r="J937" s="10"/>
      <c r="K937" s="10"/>
      <c r="L937" s="10"/>
      <c r="M937" s="10"/>
      <c r="N937" s="10"/>
      <c r="O937" s="34"/>
    </row>
    <row r="938" ht="15.75" customHeight="1">
      <c r="A938" s="32"/>
      <c r="B938" s="33"/>
      <c r="C938" s="10"/>
      <c r="D938" s="10"/>
      <c r="E938" s="10"/>
      <c r="F938" s="10"/>
      <c r="G938" s="10"/>
      <c r="H938" s="10"/>
      <c r="I938" s="10"/>
      <c r="J938" s="10"/>
      <c r="K938" s="10"/>
      <c r="L938" s="10"/>
      <c r="M938" s="10"/>
      <c r="N938" s="10"/>
      <c r="O938" s="34"/>
    </row>
    <row r="939" ht="15.75" customHeight="1">
      <c r="A939" s="32"/>
      <c r="B939" s="33"/>
      <c r="C939" s="10"/>
      <c r="D939" s="10"/>
      <c r="E939" s="10"/>
      <c r="F939" s="10"/>
      <c r="G939" s="10"/>
      <c r="H939" s="10"/>
      <c r="I939" s="10"/>
      <c r="J939" s="10"/>
      <c r="K939" s="10"/>
      <c r="L939" s="10"/>
      <c r="M939" s="10"/>
      <c r="N939" s="10"/>
      <c r="O939" s="34"/>
    </row>
    <row r="940" ht="15.75" customHeight="1">
      <c r="A940" s="32"/>
      <c r="B940" s="33"/>
      <c r="C940" s="10"/>
      <c r="D940" s="10"/>
      <c r="E940" s="10"/>
      <c r="F940" s="10"/>
      <c r="G940" s="10"/>
      <c r="H940" s="10"/>
      <c r="I940" s="10"/>
      <c r="J940" s="10"/>
      <c r="K940" s="10"/>
      <c r="L940" s="10"/>
      <c r="M940" s="10"/>
      <c r="N940" s="10"/>
      <c r="O940" s="34"/>
    </row>
    <row r="941" ht="15.75" customHeight="1">
      <c r="A941" s="32"/>
      <c r="B941" s="33"/>
      <c r="C941" s="10"/>
      <c r="D941" s="10"/>
      <c r="E941" s="10"/>
      <c r="F941" s="10"/>
      <c r="G941" s="10"/>
      <c r="H941" s="10"/>
      <c r="I941" s="10"/>
      <c r="J941" s="10"/>
      <c r="K941" s="10"/>
      <c r="L941" s="10"/>
      <c r="M941" s="10"/>
      <c r="N941" s="10"/>
      <c r="O941" s="34"/>
    </row>
    <row r="942" ht="15.75" customHeight="1">
      <c r="A942" s="32"/>
      <c r="B942" s="33"/>
      <c r="C942" s="10"/>
      <c r="D942" s="10"/>
      <c r="E942" s="10"/>
      <c r="F942" s="10"/>
      <c r="G942" s="10"/>
      <c r="H942" s="10"/>
      <c r="I942" s="10"/>
      <c r="J942" s="10"/>
      <c r="K942" s="10"/>
      <c r="L942" s="10"/>
      <c r="M942" s="10"/>
      <c r="N942" s="10"/>
      <c r="O942" s="34"/>
    </row>
    <row r="943" ht="15.75" customHeight="1">
      <c r="A943" s="32"/>
      <c r="B943" s="33"/>
      <c r="C943" s="10"/>
      <c r="D943" s="10"/>
      <c r="E943" s="10"/>
      <c r="F943" s="10"/>
      <c r="G943" s="10"/>
      <c r="H943" s="10"/>
      <c r="I943" s="10"/>
      <c r="J943" s="10"/>
      <c r="K943" s="10"/>
      <c r="L943" s="10"/>
      <c r="M943" s="10"/>
      <c r="N943" s="10"/>
      <c r="O943" s="34"/>
    </row>
    <row r="944" ht="15.75" customHeight="1">
      <c r="A944" s="32"/>
      <c r="B944" s="33"/>
      <c r="C944" s="10"/>
      <c r="D944" s="10"/>
      <c r="E944" s="10"/>
      <c r="F944" s="10"/>
      <c r="G944" s="10"/>
      <c r="H944" s="10"/>
      <c r="I944" s="10"/>
      <c r="J944" s="10"/>
      <c r="K944" s="10"/>
      <c r="L944" s="10"/>
      <c r="M944" s="10"/>
      <c r="N944" s="10"/>
      <c r="O944" s="34"/>
    </row>
    <row r="945" ht="15.75" customHeight="1">
      <c r="A945" s="32"/>
      <c r="B945" s="33"/>
      <c r="C945" s="10"/>
      <c r="D945" s="10"/>
      <c r="E945" s="10"/>
      <c r="F945" s="10"/>
      <c r="G945" s="10"/>
      <c r="H945" s="10"/>
      <c r="I945" s="10"/>
      <c r="J945" s="10"/>
      <c r="K945" s="10"/>
      <c r="L945" s="10"/>
      <c r="M945" s="10"/>
      <c r="N945" s="10"/>
      <c r="O945" s="34"/>
    </row>
    <row r="946" ht="15.75" customHeight="1">
      <c r="A946" s="32"/>
      <c r="B946" s="33"/>
      <c r="C946" s="10"/>
      <c r="D946" s="10"/>
      <c r="E946" s="10"/>
      <c r="F946" s="10"/>
      <c r="G946" s="10"/>
      <c r="H946" s="10"/>
      <c r="I946" s="10"/>
      <c r="J946" s="10"/>
      <c r="K946" s="10"/>
      <c r="L946" s="10"/>
      <c r="M946" s="10"/>
      <c r="N946" s="10"/>
      <c r="O946" s="34"/>
    </row>
    <row r="947" ht="15.75" customHeight="1">
      <c r="A947" s="32"/>
      <c r="B947" s="33"/>
      <c r="C947" s="10"/>
      <c r="D947" s="10"/>
      <c r="E947" s="10"/>
      <c r="F947" s="10"/>
      <c r="G947" s="10"/>
      <c r="H947" s="10"/>
      <c r="I947" s="10"/>
      <c r="J947" s="10"/>
      <c r="K947" s="10"/>
      <c r="L947" s="10"/>
      <c r="M947" s="10"/>
      <c r="N947" s="10"/>
      <c r="O947" s="34"/>
    </row>
    <row r="948" ht="15.75" customHeight="1">
      <c r="A948" s="32"/>
      <c r="B948" s="33"/>
      <c r="C948" s="10"/>
      <c r="D948" s="10"/>
      <c r="E948" s="10"/>
      <c r="F948" s="10"/>
      <c r="G948" s="10"/>
      <c r="H948" s="10"/>
      <c r="I948" s="10"/>
      <c r="J948" s="10"/>
      <c r="K948" s="10"/>
      <c r="L948" s="10"/>
      <c r="M948" s="10"/>
      <c r="N948" s="10"/>
      <c r="O948" s="34"/>
    </row>
    <row r="949" ht="15.75" customHeight="1">
      <c r="A949" s="32"/>
      <c r="B949" s="33"/>
      <c r="C949" s="10"/>
      <c r="D949" s="10"/>
      <c r="E949" s="10"/>
      <c r="F949" s="10"/>
      <c r="G949" s="10"/>
      <c r="H949" s="10"/>
      <c r="I949" s="10"/>
      <c r="J949" s="10"/>
      <c r="K949" s="10"/>
      <c r="L949" s="10"/>
      <c r="M949" s="10"/>
      <c r="N949" s="10"/>
      <c r="O949" s="34"/>
    </row>
    <row r="950" ht="15.75" customHeight="1">
      <c r="A950" s="32"/>
      <c r="B950" s="33"/>
      <c r="C950" s="10"/>
      <c r="D950" s="10"/>
      <c r="E950" s="10"/>
      <c r="F950" s="10"/>
      <c r="G950" s="10"/>
      <c r="H950" s="10"/>
      <c r="I950" s="10"/>
      <c r="J950" s="10"/>
      <c r="K950" s="10"/>
      <c r="L950" s="10"/>
      <c r="M950" s="10"/>
      <c r="N950" s="10"/>
      <c r="O950" s="34"/>
    </row>
    <row r="951" ht="15.75" customHeight="1">
      <c r="A951" s="32"/>
      <c r="B951" s="33"/>
      <c r="C951" s="10"/>
      <c r="D951" s="10"/>
      <c r="E951" s="10"/>
      <c r="F951" s="10"/>
      <c r="G951" s="10"/>
      <c r="H951" s="10"/>
      <c r="I951" s="10"/>
      <c r="J951" s="10"/>
      <c r="K951" s="10"/>
      <c r="L951" s="10"/>
      <c r="M951" s="10"/>
      <c r="N951" s="10"/>
      <c r="O951" s="34"/>
    </row>
    <row r="952" ht="15.75" customHeight="1">
      <c r="A952" s="32"/>
      <c r="B952" s="33"/>
      <c r="C952" s="10"/>
      <c r="D952" s="10"/>
      <c r="E952" s="10"/>
      <c r="F952" s="10"/>
      <c r="G952" s="10"/>
      <c r="H952" s="10"/>
      <c r="I952" s="10"/>
      <c r="J952" s="10"/>
      <c r="K952" s="10"/>
      <c r="L952" s="10"/>
      <c r="M952" s="10"/>
      <c r="N952" s="10"/>
      <c r="O952" s="34"/>
    </row>
    <row r="953" ht="15.75" customHeight="1">
      <c r="A953" s="32"/>
      <c r="B953" s="33"/>
      <c r="C953" s="10"/>
      <c r="D953" s="10"/>
      <c r="E953" s="10"/>
      <c r="F953" s="10"/>
      <c r="G953" s="10"/>
      <c r="H953" s="10"/>
      <c r="I953" s="10"/>
      <c r="J953" s="10"/>
      <c r="K953" s="10"/>
      <c r="L953" s="10"/>
      <c r="M953" s="10"/>
      <c r="N953" s="10"/>
      <c r="O953" s="34"/>
    </row>
    <row r="954" ht="15.75" customHeight="1">
      <c r="A954" s="32"/>
      <c r="B954" s="33"/>
      <c r="C954" s="10"/>
      <c r="D954" s="10"/>
      <c r="E954" s="10"/>
      <c r="F954" s="10"/>
      <c r="G954" s="10"/>
      <c r="H954" s="10"/>
      <c r="I954" s="10"/>
      <c r="J954" s="10"/>
      <c r="K954" s="10"/>
      <c r="L954" s="10"/>
      <c r="M954" s="10"/>
      <c r="N954" s="10"/>
      <c r="O954" s="34"/>
    </row>
    <row r="955" ht="15.75" customHeight="1">
      <c r="A955" s="32"/>
      <c r="B955" s="33"/>
      <c r="C955" s="10"/>
      <c r="D955" s="10"/>
      <c r="E955" s="10"/>
      <c r="F955" s="10"/>
      <c r="G955" s="10"/>
      <c r="H955" s="10"/>
      <c r="I955" s="10"/>
      <c r="J955" s="10"/>
      <c r="K955" s="10"/>
      <c r="L955" s="10"/>
      <c r="M955" s="10"/>
      <c r="N955" s="10"/>
      <c r="O955" s="34"/>
    </row>
    <row r="956" ht="15.75" customHeight="1">
      <c r="A956" s="32"/>
      <c r="B956" s="33"/>
      <c r="C956" s="10"/>
      <c r="D956" s="10"/>
      <c r="E956" s="10"/>
      <c r="F956" s="10"/>
      <c r="G956" s="10"/>
      <c r="H956" s="10"/>
      <c r="I956" s="10"/>
      <c r="J956" s="10"/>
      <c r="K956" s="10"/>
      <c r="L956" s="10"/>
      <c r="M956" s="10"/>
      <c r="N956" s="10"/>
      <c r="O956" s="34"/>
    </row>
    <row r="957" ht="15.75" customHeight="1">
      <c r="A957" s="32"/>
      <c r="B957" s="33"/>
      <c r="C957" s="10"/>
      <c r="D957" s="10"/>
      <c r="E957" s="10"/>
      <c r="F957" s="10"/>
      <c r="G957" s="10"/>
      <c r="H957" s="10"/>
      <c r="I957" s="10"/>
      <c r="J957" s="10"/>
      <c r="K957" s="10"/>
      <c r="L957" s="10"/>
      <c r="M957" s="10"/>
      <c r="N957" s="10"/>
      <c r="O957" s="34"/>
    </row>
    <row r="958" ht="15.75" customHeight="1">
      <c r="A958" s="32"/>
      <c r="B958" s="33"/>
      <c r="C958" s="10"/>
      <c r="D958" s="10"/>
      <c r="E958" s="10"/>
      <c r="F958" s="10"/>
      <c r="G958" s="10"/>
      <c r="H958" s="10"/>
      <c r="I958" s="10"/>
      <c r="J958" s="10"/>
      <c r="K958" s="10"/>
      <c r="L958" s="10"/>
      <c r="M958" s="10"/>
      <c r="N958" s="10"/>
      <c r="O958" s="34"/>
    </row>
    <row r="959" ht="15.75" customHeight="1">
      <c r="A959" s="32"/>
      <c r="B959" s="33"/>
      <c r="C959" s="10"/>
      <c r="D959" s="10"/>
      <c r="E959" s="10"/>
      <c r="F959" s="10"/>
      <c r="G959" s="10"/>
      <c r="H959" s="10"/>
      <c r="I959" s="10"/>
      <c r="J959" s="10"/>
      <c r="K959" s="10"/>
      <c r="L959" s="10"/>
      <c r="M959" s="10"/>
      <c r="N959" s="10"/>
      <c r="O959" s="34"/>
    </row>
    <row r="960" ht="15.75" customHeight="1">
      <c r="A960" s="32"/>
      <c r="B960" s="33"/>
      <c r="C960" s="10"/>
      <c r="D960" s="10"/>
      <c r="E960" s="10"/>
      <c r="F960" s="10"/>
      <c r="G960" s="10"/>
      <c r="H960" s="10"/>
      <c r="I960" s="10"/>
      <c r="J960" s="10"/>
      <c r="K960" s="10"/>
      <c r="L960" s="10"/>
      <c r="M960" s="10"/>
      <c r="N960" s="10"/>
      <c r="O960" s="34"/>
    </row>
    <row r="961" ht="15.75" customHeight="1">
      <c r="A961" s="32"/>
      <c r="B961" s="33"/>
      <c r="C961" s="10"/>
      <c r="D961" s="10"/>
      <c r="E961" s="10"/>
      <c r="F961" s="10"/>
      <c r="G961" s="10"/>
      <c r="H961" s="10"/>
      <c r="I961" s="10"/>
      <c r="J961" s="10"/>
      <c r="K961" s="10"/>
      <c r="L961" s="10"/>
      <c r="M961" s="10"/>
      <c r="N961" s="10"/>
      <c r="O961" s="34"/>
    </row>
    <row r="962" ht="15.75" customHeight="1">
      <c r="A962" s="32"/>
      <c r="B962" s="33"/>
      <c r="C962" s="10"/>
      <c r="D962" s="10"/>
      <c r="E962" s="10"/>
      <c r="F962" s="10"/>
      <c r="G962" s="10"/>
      <c r="H962" s="10"/>
      <c r="I962" s="10"/>
      <c r="J962" s="10"/>
      <c r="K962" s="10"/>
      <c r="L962" s="10"/>
      <c r="M962" s="10"/>
      <c r="N962" s="10"/>
      <c r="O962" s="34"/>
    </row>
    <row r="963" ht="15.75" customHeight="1">
      <c r="A963" s="32"/>
      <c r="B963" s="33"/>
      <c r="C963" s="10"/>
      <c r="D963" s="10"/>
      <c r="E963" s="10"/>
      <c r="F963" s="10"/>
      <c r="G963" s="10"/>
      <c r="H963" s="10"/>
      <c r="I963" s="10"/>
      <c r="J963" s="10"/>
      <c r="K963" s="10"/>
      <c r="L963" s="10"/>
      <c r="M963" s="10"/>
      <c r="N963" s="10"/>
      <c r="O963" s="34"/>
    </row>
    <row r="964" ht="15.75" customHeight="1">
      <c r="A964" s="32"/>
      <c r="B964" s="33"/>
      <c r="C964" s="10"/>
      <c r="D964" s="10"/>
      <c r="E964" s="10"/>
      <c r="F964" s="10"/>
      <c r="G964" s="10"/>
      <c r="H964" s="10"/>
      <c r="I964" s="10"/>
      <c r="J964" s="10"/>
      <c r="K964" s="10"/>
      <c r="L964" s="10"/>
      <c r="M964" s="10"/>
      <c r="N964" s="10"/>
      <c r="O964" s="34"/>
    </row>
    <row r="965" ht="15.75" customHeight="1">
      <c r="A965" s="32"/>
      <c r="B965" s="33"/>
      <c r="C965" s="10"/>
      <c r="D965" s="10"/>
      <c r="E965" s="10"/>
      <c r="F965" s="10"/>
      <c r="G965" s="10"/>
      <c r="H965" s="10"/>
      <c r="I965" s="10"/>
      <c r="J965" s="10"/>
      <c r="K965" s="10"/>
      <c r="L965" s="10"/>
      <c r="M965" s="10"/>
      <c r="N965" s="10"/>
      <c r="O965" s="34"/>
    </row>
    <row r="966" ht="15.75" customHeight="1">
      <c r="A966" s="32"/>
      <c r="B966" s="33"/>
      <c r="C966" s="10"/>
      <c r="D966" s="10"/>
      <c r="E966" s="10"/>
      <c r="F966" s="10"/>
      <c r="G966" s="10"/>
      <c r="H966" s="10"/>
      <c r="I966" s="10"/>
      <c r="J966" s="10"/>
      <c r="K966" s="10"/>
      <c r="L966" s="10"/>
      <c r="M966" s="10"/>
      <c r="N966" s="10"/>
      <c r="O966" s="34"/>
    </row>
    <row r="967" ht="15.75" customHeight="1">
      <c r="A967" s="32"/>
      <c r="B967" s="33"/>
      <c r="C967" s="10"/>
      <c r="D967" s="10"/>
      <c r="E967" s="10"/>
      <c r="F967" s="10"/>
      <c r="G967" s="10"/>
      <c r="H967" s="10"/>
      <c r="I967" s="10"/>
      <c r="J967" s="10"/>
      <c r="K967" s="10"/>
      <c r="L967" s="10"/>
      <c r="M967" s="10"/>
      <c r="N967" s="10"/>
      <c r="O967" s="34"/>
    </row>
    <row r="968" ht="15.75" customHeight="1">
      <c r="A968" s="32"/>
      <c r="B968" s="33"/>
      <c r="C968" s="10"/>
      <c r="D968" s="10"/>
      <c r="E968" s="10"/>
      <c r="F968" s="10"/>
      <c r="G968" s="10"/>
      <c r="H968" s="10"/>
      <c r="I968" s="10"/>
      <c r="J968" s="10"/>
      <c r="K968" s="10"/>
      <c r="L968" s="10"/>
      <c r="M968" s="10"/>
      <c r="N968" s="10"/>
      <c r="O968" s="34"/>
    </row>
    <row r="969" ht="15.75" customHeight="1">
      <c r="A969" s="32"/>
      <c r="B969" s="33"/>
      <c r="C969" s="10"/>
      <c r="D969" s="10"/>
      <c r="E969" s="10"/>
      <c r="F969" s="10"/>
      <c r="G969" s="10"/>
      <c r="H969" s="10"/>
      <c r="I969" s="10"/>
      <c r="J969" s="10"/>
      <c r="K969" s="10"/>
      <c r="L969" s="10"/>
      <c r="M969" s="10"/>
      <c r="N969" s="10"/>
      <c r="O969" s="34"/>
    </row>
    <row r="970" ht="15.75" customHeight="1">
      <c r="A970" s="32"/>
      <c r="B970" s="33"/>
      <c r="C970" s="10"/>
      <c r="D970" s="10"/>
      <c r="E970" s="10"/>
      <c r="F970" s="10"/>
      <c r="G970" s="10"/>
      <c r="H970" s="10"/>
      <c r="I970" s="10"/>
      <c r="J970" s="10"/>
      <c r="K970" s="10"/>
      <c r="L970" s="10"/>
      <c r="M970" s="10"/>
      <c r="N970" s="10"/>
      <c r="O970" s="34"/>
    </row>
    <row r="971" ht="15.75" customHeight="1">
      <c r="A971" s="32"/>
      <c r="B971" s="33"/>
      <c r="C971" s="10"/>
      <c r="D971" s="10"/>
      <c r="E971" s="10"/>
      <c r="F971" s="10"/>
      <c r="G971" s="10"/>
      <c r="H971" s="10"/>
      <c r="I971" s="10"/>
      <c r="J971" s="10"/>
      <c r="K971" s="10"/>
      <c r="L971" s="10"/>
      <c r="M971" s="10"/>
      <c r="N971" s="10"/>
      <c r="O971" s="34"/>
    </row>
    <row r="972" ht="15.75" customHeight="1">
      <c r="A972" s="32"/>
      <c r="B972" s="33"/>
      <c r="C972" s="10"/>
      <c r="D972" s="10"/>
      <c r="E972" s="10"/>
      <c r="F972" s="10"/>
      <c r="G972" s="10"/>
      <c r="H972" s="10"/>
      <c r="I972" s="10"/>
      <c r="J972" s="10"/>
      <c r="K972" s="10"/>
      <c r="L972" s="10"/>
      <c r="M972" s="10"/>
      <c r="N972" s="10"/>
      <c r="O972" s="34"/>
    </row>
    <row r="973" ht="15.75" customHeight="1">
      <c r="A973" s="32"/>
      <c r="B973" s="33"/>
      <c r="C973" s="10"/>
      <c r="D973" s="10"/>
      <c r="E973" s="10"/>
      <c r="F973" s="10"/>
      <c r="G973" s="10"/>
      <c r="H973" s="10"/>
      <c r="I973" s="10"/>
      <c r="J973" s="10"/>
      <c r="K973" s="10"/>
      <c r="L973" s="10"/>
      <c r="M973" s="10"/>
      <c r="N973" s="10"/>
      <c r="O973" s="34"/>
    </row>
    <row r="974" ht="15.75" customHeight="1">
      <c r="A974" s="32"/>
      <c r="B974" s="33"/>
      <c r="C974" s="10"/>
      <c r="D974" s="10"/>
      <c r="E974" s="10"/>
      <c r="F974" s="10"/>
      <c r="G974" s="10"/>
      <c r="H974" s="10"/>
      <c r="I974" s="10"/>
      <c r="J974" s="10"/>
      <c r="K974" s="10"/>
      <c r="L974" s="10"/>
      <c r="M974" s="10"/>
      <c r="N974" s="10"/>
      <c r="O974" s="34"/>
    </row>
    <row r="975" ht="15.75" customHeight="1">
      <c r="A975" s="32"/>
      <c r="B975" s="33"/>
      <c r="C975" s="10"/>
      <c r="D975" s="10"/>
      <c r="E975" s="10"/>
      <c r="F975" s="10"/>
      <c r="G975" s="10"/>
      <c r="H975" s="10"/>
      <c r="I975" s="10"/>
      <c r="J975" s="10"/>
      <c r="K975" s="10"/>
      <c r="L975" s="10"/>
      <c r="M975" s="10"/>
      <c r="N975" s="10"/>
      <c r="O975" s="34"/>
    </row>
    <row r="976" ht="15.75" customHeight="1">
      <c r="A976" s="32"/>
      <c r="B976" s="33"/>
      <c r="C976" s="10"/>
      <c r="D976" s="10"/>
      <c r="E976" s="10"/>
      <c r="F976" s="10"/>
      <c r="G976" s="10"/>
      <c r="H976" s="10"/>
      <c r="I976" s="10"/>
      <c r="J976" s="10"/>
      <c r="K976" s="10"/>
      <c r="L976" s="10"/>
      <c r="M976" s="10"/>
      <c r="N976" s="10"/>
      <c r="O976" s="34"/>
    </row>
    <row r="977" ht="15.75" customHeight="1">
      <c r="A977" s="32"/>
      <c r="B977" s="33"/>
      <c r="C977" s="10"/>
      <c r="D977" s="10"/>
      <c r="E977" s="10"/>
      <c r="F977" s="10"/>
      <c r="G977" s="10"/>
      <c r="H977" s="10"/>
      <c r="I977" s="10"/>
      <c r="J977" s="10"/>
      <c r="K977" s="10"/>
      <c r="L977" s="10"/>
      <c r="M977" s="10"/>
      <c r="N977" s="10"/>
      <c r="O977" s="34"/>
    </row>
    <row r="978" ht="15.75" customHeight="1">
      <c r="A978" s="32"/>
      <c r="B978" s="33"/>
      <c r="C978" s="10"/>
      <c r="D978" s="10"/>
      <c r="E978" s="10"/>
      <c r="F978" s="10"/>
      <c r="G978" s="10"/>
      <c r="H978" s="10"/>
      <c r="I978" s="10"/>
      <c r="J978" s="10"/>
      <c r="K978" s="10"/>
      <c r="L978" s="10"/>
      <c r="M978" s="10"/>
      <c r="N978" s="10"/>
      <c r="O978" s="34"/>
    </row>
    <row r="979" ht="15.75" customHeight="1">
      <c r="A979" s="32"/>
      <c r="B979" s="33"/>
      <c r="C979" s="10"/>
      <c r="D979" s="10"/>
      <c r="E979" s="10"/>
      <c r="F979" s="10"/>
      <c r="G979" s="10"/>
      <c r="H979" s="10"/>
      <c r="I979" s="10"/>
      <c r="J979" s="10"/>
      <c r="K979" s="10"/>
      <c r="L979" s="10"/>
      <c r="M979" s="10"/>
      <c r="N979" s="10"/>
      <c r="O979" s="34"/>
    </row>
    <row r="980" ht="15.75" customHeight="1">
      <c r="A980" s="32"/>
      <c r="B980" s="33"/>
      <c r="C980" s="10"/>
      <c r="D980" s="10"/>
      <c r="E980" s="10"/>
      <c r="F980" s="10"/>
      <c r="G980" s="10"/>
      <c r="H980" s="10"/>
      <c r="I980" s="10"/>
      <c r="J980" s="10"/>
      <c r="K980" s="10"/>
      <c r="L980" s="10"/>
      <c r="M980" s="10"/>
      <c r="N980" s="10"/>
      <c r="O980" s="34"/>
    </row>
    <row r="981" ht="15.75" customHeight="1">
      <c r="A981" s="32"/>
      <c r="B981" s="33"/>
      <c r="C981" s="10"/>
      <c r="D981" s="10"/>
      <c r="E981" s="10"/>
      <c r="F981" s="10"/>
      <c r="G981" s="10"/>
      <c r="H981" s="10"/>
      <c r="I981" s="10"/>
      <c r="J981" s="10"/>
      <c r="K981" s="10"/>
      <c r="L981" s="10"/>
      <c r="M981" s="10"/>
      <c r="N981" s="10"/>
      <c r="O981" s="34"/>
    </row>
    <row r="982" ht="15.75" customHeight="1">
      <c r="A982" s="32"/>
      <c r="B982" s="33"/>
      <c r="C982" s="10"/>
      <c r="D982" s="10"/>
      <c r="E982" s="10"/>
      <c r="F982" s="10"/>
      <c r="G982" s="10"/>
      <c r="H982" s="10"/>
      <c r="I982" s="10"/>
      <c r="J982" s="10"/>
      <c r="K982" s="10"/>
      <c r="L982" s="10"/>
      <c r="M982" s="10"/>
      <c r="N982" s="10"/>
      <c r="O982" s="34"/>
    </row>
    <row r="983" ht="15.75" customHeight="1">
      <c r="A983" s="32"/>
      <c r="B983" s="33"/>
      <c r="C983" s="10"/>
      <c r="D983" s="10"/>
      <c r="E983" s="10"/>
      <c r="F983" s="10"/>
      <c r="G983" s="10"/>
      <c r="H983" s="10"/>
      <c r="I983" s="10"/>
      <c r="J983" s="10"/>
      <c r="K983" s="10"/>
      <c r="L983" s="10"/>
      <c r="M983" s="10"/>
      <c r="N983" s="10"/>
      <c r="O983" s="34"/>
    </row>
    <row r="984" ht="15.75" customHeight="1">
      <c r="A984" s="32"/>
      <c r="B984" s="33"/>
      <c r="C984" s="10"/>
      <c r="D984" s="10"/>
      <c r="E984" s="10"/>
      <c r="F984" s="10"/>
      <c r="G984" s="10"/>
      <c r="H984" s="10"/>
      <c r="I984" s="10"/>
      <c r="J984" s="10"/>
      <c r="K984" s="10"/>
      <c r="L984" s="10"/>
      <c r="M984" s="10"/>
      <c r="N984" s="10"/>
      <c r="O984" s="34"/>
    </row>
    <row r="985" ht="15.75" customHeight="1">
      <c r="A985" s="32"/>
      <c r="B985" s="33"/>
      <c r="C985" s="10"/>
      <c r="D985" s="10"/>
      <c r="E985" s="10"/>
      <c r="F985" s="10"/>
      <c r="G985" s="10"/>
      <c r="H985" s="10"/>
      <c r="I985" s="10"/>
      <c r="J985" s="10"/>
      <c r="K985" s="10"/>
      <c r="L985" s="10"/>
      <c r="M985" s="10"/>
      <c r="N985" s="10"/>
      <c r="O985" s="34"/>
    </row>
    <row r="986" ht="15.75" customHeight="1">
      <c r="A986" s="32"/>
      <c r="B986" s="33"/>
      <c r="C986" s="10"/>
      <c r="D986" s="10"/>
      <c r="E986" s="10"/>
      <c r="F986" s="10"/>
      <c r="G986" s="10"/>
      <c r="H986" s="10"/>
      <c r="I986" s="10"/>
      <c r="J986" s="10"/>
      <c r="K986" s="10"/>
      <c r="L986" s="10"/>
      <c r="M986" s="10"/>
      <c r="N986" s="10"/>
      <c r="O986" s="34"/>
    </row>
    <row r="987" ht="15.75" customHeight="1">
      <c r="A987" s="32"/>
      <c r="B987" s="33"/>
      <c r="C987" s="10"/>
      <c r="D987" s="10"/>
      <c r="E987" s="10"/>
      <c r="F987" s="10"/>
      <c r="G987" s="10"/>
      <c r="H987" s="10"/>
      <c r="I987" s="10"/>
      <c r="J987" s="10"/>
      <c r="K987" s="10"/>
      <c r="L987" s="10"/>
      <c r="M987" s="10"/>
      <c r="N987" s="10"/>
      <c r="O987" s="34"/>
    </row>
    <row r="988" ht="15.75" customHeight="1">
      <c r="A988" s="32"/>
      <c r="B988" s="33"/>
      <c r="C988" s="10"/>
      <c r="D988" s="10"/>
      <c r="E988" s="10"/>
      <c r="F988" s="10"/>
      <c r="G988" s="10"/>
      <c r="H988" s="10"/>
      <c r="I988" s="10"/>
      <c r="J988" s="10"/>
      <c r="K988" s="10"/>
      <c r="L988" s="10"/>
      <c r="M988" s="10"/>
      <c r="N988" s="10"/>
      <c r="O988" s="34"/>
    </row>
    <row r="989" ht="15.75" customHeight="1">
      <c r="A989" s="32"/>
      <c r="B989" s="33"/>
      <c r="C989" s="10"/>
      <c r="D989" s="10"/>
      <c r="E989" s="10"/>
      <c r="F989" s="10"/>
      <c r="G989" s="10"/>
      <c r="H989" s="10"/>
      <c r="I989" s="10"/>
      <c r="J989" s="10"/>
      <c r="K989" s="10"/>
      <c r="L989" s="10"/>
      <c r="M989" s="10"/>
      <c r="N989" s="10"/>
      <c r="O989" s="34"/>
    </row>
    <row r="990" ht="15.75" customHeight="1">
      <c r="A990" s="32"/>
      <c r="B990" s="33"/>
      <c r="C990" s="10"/>
      <c r="D990" s="10"/>
      <c r="E990" s="10"/>
      <c r="F990" s="10"/>
      <c r="G990" s="10"/>
      <c r="H990" s="10"/>
      <c r="I990" s="10"/>
      <c r="J990" s="10"/>
      <c r="K990" s="10"/>
      <c r="L990" s="10"/>
      <c r="M990" s="10"/>
      <c r="N990" s="10"/>
      <c r="O990" s="34"/>
    </row>
    <row r="991" ht="15.75" customHeight="1">
      <c r="A991" s="32"/>
      <c r="B991" s="33"/>
      <c r="C991" s="10"/>
      <c r="D991" s="10"/>
      <c r="E991" s="10"/>
      <c r="F991" s="10"/>
      <c r="G991" s="10"/>
      <c r="H991" s="10"/>
      <c r="I991" s="10"/>
      <c r="J991" s="10"/>
      <c r="K991" s="10"/>
      <c r="L991" s="10"/>
      <c r="M991" s="10"/>
      <c r="N991" s="10"/>
      <c r="O991" s="34"/>
    </row>
    <row r="992" ht="15.75" customHeight="1">
      <c r="A992" s="32"/>
      <c r="B992" s="33"/>
      <c r="C992" s="10"/>
      <c r="D992" s="10"/>
      <c r="E992" s="10"/>
      <c r="F992" s="10"/>
      <c r="G992" s="10"/>
      <c r="H992" s="10"/>
      <c r="I992" s="10"/>
      <c r="J992" s="10"/>
      <c r="K992" s="10"/>
      <c r="L992" s="10"/>
      <c r="M992" s="10"/>
      <c r="N992" s="10"/>
      <c r="O992" s="34"/>
    </row>
    <row r="993" ht="15.75" customHeight="1">
      <c r="A993" s="32"/>
      <c r="B993" s="33"/>
      <c r="C993" s="10"/>
      <c r="D993" s="10"/>
      <c r="E993" s="10"/>
      <c r="F993" s="10"/>
      <c r="G993" s="10"/>
      <c r="H993" s="10"/>
      <c r="I993" s="10"/>
      <c r="J993" s="10"/>
      <c r="K993" s="10"/>
      <c r="L993" s="10"/>
      <c r="M993" s="10"/>
      <c r="N993" s="10"/>
      <c r="O993" s="34"/>
    </row>
    <row r="994" ht="15.75" customHeight="1">
      <c r="A994" s="32"/>
      <c r="B994" s="33"/>
      <c r="C994" s="10"/>
      <c r="D994" s="10"/>
      <c r="E994" s="10"/>
      <c r="F994" s="10"/>
      <c r="G994" s="10"/>
      <c r="H994" s="10"/>
      <c r="I994" s="10"/>
      <c r="J994" s="10"/>
      <c r="K994" s="10"/>
      <c r="L994" s="10"/>
      <c r="M994" s="10"/>
      <c r="N994" s="10"/>
      <c r="O994" s="34"/>
    </row>
    <row r="995" ht="15.75" customHeight="1">
      <c r="A995" s="32"/>
      <c r="B995" s="33"/>
      <c r="C995" s="10"/>
      <c r="D995" s="10"/>
      <c r="E995" s="10"/>
      <c r="F995" s="10"/>
      <c r="G995" s="10"/>
      <c r="H995" s="10"/>
      <c r="I995" s="10"/>
      <c r="J995" s="10"/>
      <c r="K995" s="10"/>
      <c r="L995" s="10"/>
      <c r="M995" s="10"/>
      <c r="N995" s="10"/>
      <c r="O995" s="34"/>
    </row>
    <row r="996" ht="15.75" customHeight="1">
      <c r="A996" s="32"/>
      <c r="B996" s="33"/>
      <c r="C996" s="10"/>
      <c r="D996" s="10"/>
      <c r="E996" s="10"/>
      <c r="F996" s="10"/>
      <c r="G996" s="10"/>
      <c r="H996" s="10"/>
      <c r="I996" s="10"/>
      <c r="J996" s="10"/>
      <c r="K996" s="10"/>
      <c r="L996" s="10"/>
      <c r="M996" s="10"/>
      <c r="N996" s="10"/>
      <c r="O996" s="34"/>
    </row>
    <row r="997" ht="15.75" customHeight="1">
      <c r="A997" s="32"/>
      <c r="B997" s="33"/>
      <c r="C997" s="10"/>
      <c r="D997" s="10"/>
      <c r="E997" s="10"/>
      <c r="F997" s="10"/>
      <c r="G997" s="10"/>
      <c r="H997" s="10"/>
      <c r="I997" s="10"/>
      <c r="J997" s="10"/>
      <c r="K997" s="10"/>
      <c r="L997" s="10"/>
      <c r="M997" s="10"/>
      <c r="N997" s="10"/>
      <c r="O997" s="34"/>
    </row>
    <row r="998" ht="15.75" customHeight="1">
      <c r="A998" s="32"/>
      <c r="B998" s="33"/>
      <c r="C998" s="10"/>
      <c r="D998" s="10"/>
      <c r="E998" s="10"/>
      <c r="F998" s="10"/>
      <c r="G998" s="10"/>
      <c r="H998" s="10"/>
      <c r="I998" s="10"/>
      <c r="J998" s="10"/>
      <c r="K998" s="10"/>
      <c r="L998" s="10"/>
      <c r="M998" s="10"/>
      <c r="N998" s="10"/>
      <c r="O998" s="34"/>
    </row>
    <row r="999" ht="15.75" customHeight="1">
      <c r="A999" s="32"/>
      <c r="B999" s="33"/>
      <c r="C999" s="10"/>
      <c r="D999" s="10"/>
      <c r="E999" s="10"/>
      <c r="F999" s="10"/>
      <c r="G999" s="10"/>
      <c r="H999" s="10"/>
      <c r="I999" s="10"/>
      <c r="J999" s="10"/>
      <c r="K999" s="10"/>
      <c r="L999" s="10"/>
      <c r="M999" s="10"/>
      <c r="N999" s="10"/>
      <c r="O999" s="34"/>
    </row>
    <row r="1000" ht="15.75" customHeight="1">
      <c r="A1000" s="32"/>
      <c r="B1000" s="33"/>
      <c r="C1000" s="10"/>
      <c r="D1000" s="10"/>
      <c r="E1000" s="10"/>
      <c r="F1000" s="10"/>
      <c r="G1000" s="10"/>
      <c r="H1000" s="10"/>
      <c r="I1000" s="10"/>
      <c r="J1000" s="10"/>
      <c r="K1000" s="10"/>
      <c r="L1000" s="10"/>
      <c r="M1000" s="10"/>
      <c r="N1000" s="10"/>
      <c r="O1000" s="34"/>
    </row>
    <row r="1001" ht="15.75" customHeight="1">
      <c r="A1001" s="32"/>
      <c r="B1001" s="33"/>
      <c r="C1001" s="10"/>
      <c r="D1001" s="10"/>
      <c r="E1001" s="10"/>
      <c r="F1001" s="10"/>
      <c r="G1001" s="10"/>
      <c r="H1001" s="10"/>
      <c r="I1001" s="10"/>
      <c r="J1001" s="10"/>
      <c r="K1001" s="10"/>
      <c r="L1001" s="10"/>
      <c r="M1001" s="10"/>
      <c r="N1001" s="10"/>
      <c r="O1001" s="34"/>
    </row>
    <row r="1002" ht="15.75" customHeight="1">
      <c r="A1002" s="32"/>
      <c r="B1002" s="33"/>
      <c r="C1002" s="10"/>
      <c r="D1002" s="10"/>
      <c r="E1002" s="10"/>
      <c r="F1002" s="10"/>
      <c r="G1002" s="10"/>
      <c r="H1002" s="10"/>
      <c r="I1002" s="10"/>
      <c r="J1002" s="10"/>
      <c r="K1002" s="10"/>
      <c r="L1002" s="10"/>
      <c r="M1002" s="10"/>
      <c r="N1002" s="10"/>
      <c r="O1002" s="34"/>
    </row>
    <row r="1003" ht="15.75" customHeight="1">
      <c r="A1003" s="32"/>
      <c r="B1003" s="33"/>
      <c r="C1003" s="10"/>
      <c r="D1003" s="10"/>
      <c r="E1003" s="10"/>
      <c r="F1003" s="10"/>
      <c r="G1003" s="10"/>
      <c r="H1003" s="10"/>
      <c r="I1003" s="10"/>
      <c r="J1003" s="10"/>
      <c r="K1003" s="10"/>
      <c r="L1003" s="10"/>
      <c r="M1003" s="10"/>
      <c r="N1003" s="10"/>
      <c r="O1003" s="34"/>
    </row>
    <row r="1004" ht="15.75" customHeight="1">
      <c r="A1004" s="32"/>
      <c r="B1004" s="33"/>
      <c r="C1004" s="10"/>
      <c r="D1004" s="10"/>
      <c r="E1004" s="10"/>
      <c r="F1004" s="10"/>
      <c r="G1004" s="10"/>
      <c r="H1004" s="10"/>
      <c r="I1004" s="10"/>
      <c r="J1004" s="10"/>
      <c r="K1004" s="10"/>
      <c r="L1004" s="10"/>
      <c r="M1004" s="10"/>
      <c r="N1004" s="10"/>
      <c r="O1004" s="34"/>
    </row>
    <row r="1005" ht="15.75" customHeight="1">
      <c r="A1005" s="32"/>
      <c r="B1005" s="33"/>
      <c r="C1005" s="10"/>
      <c r="D1005" s="10"/>
      <c r="E1005" s="10"/>
      <c r="F1005" s="10"/>
      <c r="G1005" s="10"/>
      <c r="H1005" s="10"/>
      <c r="I1005" s="10"/>
      <c r="J1005" s="10"/>
      <c r="K1005" s="10"/>
      <c r="L1005" s="10"/>
      <c r="M1005" s="10"/>
      <c r="N1005" s="10"/>
      <c r="O1005" s="34"/>
    </row>
    <row r="1006" ht="15.75" customHeight="1">
      <c r="A1006" s="32"/>
      <c r="B1006" s="33"/>
      <c r="C1006" s="10"/>
      <c r="D1006" s="10"/>
      <c r="E1006" s="10"/>
      <c r="F1006" s="10"/>
      <c r="G1006" s="10"/>
      <c r="H1006" s="10"/>
      <c r="I1006" s="10"/>
      <c r="J1006" s="10"/>
      <c r="K1006" s="10"/>
      <c r="L1006" s="10"/>
      <c r="M1006" s="10"/>
      <c r="N1006" s="10"/>
      <c r="O1006" s="34"/>
    </row>
    <row r="1007" ht="15.75" customHeight="1">
      <c r="A1007" s="32"/>
      <c r="B1007" s="33"/>
      <c r="C1007" s="10"/>
      <c r="D1007" s="10"/>
      <c r="E1007" s="10"/>
      <c r="F1007" s="10"/>
      <c r="G1007" s="10"/>
      <c r="H1007" s="10"/>
      <c r="I1007" s="10"/>
      <c r="J1007" s="10"/>
      <c r="K1007" s="10"/>
      <c r="L1007" s="10"/>
      <c r="M1007" s="10"/>
      <c r="N1007" s="10"/>
      <c r="O1007" s="34"/>
    </row>
    <row r="1008" ht="15.75" customHeight="1">
      <c r="A1008" s="32"/>
      <c r="B1008" s="33"/>
      <c r="C1008" s="10"/>
      <c r="D1008" s="10"/>
      <c r="E1008" s="10"/>
      <c r="F1008" s="10"/>
      <c r="G1008" s="10"/>
      <c r="H1008" s="10"/>
      <c r="I1008" s="10"/>
      <c r="J1008" s="10"/>
      <c r="K1008" s="10"/>
      <c r="L1008" s="10"/>
      <c r="M1008" s="10"/>
      <c r="N1008" s="10"/>
      <c r="O1008" s="34"/>
    </row>
    <row r="1009" ht="15.75" customHeight="1">
      <c r="A1009" s="32"/>
      <c r="B1009" s="33"/>
      <c r="C1009" s="10"/>
      <c r="D1009" s="10"/>
      <c r="E1009" s="10"/>
      <c r="F1009" s="10"/>
      <c r="G1009" s="10"/>
      <c r="H1009" s="10"/>
      <c r="I1009" s="10"/>
      <c r="J1009" s="10"/>
      <c r="K1009" s="10"/>
      <c r="L1009" s="10"/>
      <c r="M1009" s="10"/>
      <c r="N1009" s="10"/>
      <c r="O1009" s="34"/>
    </row>
    <row r="1010" ht="15.75" customHeight="1">
      <c r="A1010" s="32"/>
      <c r="B1010" s="33"/>
      <c r="C1010" s="10"/>
      <c r="D1010" s="10"/>
      <c r="E1010" s="10"/>
      <c r="F1010" s="10"/>
      <c r="G1010" s="10"/>
      <c r="H1010" s="10"/>
      <c r="I1010" s="10"/>
      <c r="J1010" s="10"/>
      <c r="K1010" s="10"/>
      <c r="L1010" s="10"/>
      <c r="M1010" s="10"/>
      <c r="N1010" s="10"/>
      <c r="O1010" s="34"/>
    </row>
    <row r="1011" ht="15.75" customHeight="1">
      <c r="A1011" s="32"/>
      <c r="B1011" s="33"/>
      <c r="C1011" s="10"/>
      <c r="D1011" s="10"/>
      <c r="E1011" s="10"/>
      <c r="F1011" s="10"/>
      <c r="G1011" s="10"/>
      <c r="H1011" s="10"/>
      <c r="I1011" s="10"/>
      <c r="J1011" s="10"/>
      <c r="K1011" s="10"/>
      <c r="L1011" s="10"/>
      <c r="M1011" s="10"/>
      <c r="N1011" s="10"/>
      <c r="O1011" s="34"/>
    </row>
    <row r="1012" ht="15.75" customHeight="1">
      <c r="A1012" s="32"/>
      <c r="B1012" s="33"/>
      <c r="C1012" s="10"/>
      <c r="D1012" s="10"/>
      <c r="E1012" s="10"/>
      <c r="F1012" s="10"/>
      <c r="G1012" s="10"/>
      <c r="H1012" s="10"/>
      <c r="I1012" s="10"/>
      <c r="J1012" s="10"/>
      <c r="K1012" s="10"/>
      <c r="L1012" s="10"/>
      <c r="M1012" s="10"/>
      <c r="N1012" s="10"/>
      <c r="O1012" s="34"/>
    </row>
    <row r="1013" ht="15.75" customHeight="1">
      <c r="A1013" s="32"/>
      <c r="B1013" s="33"/>
      <c r="C1013" s="10"/>
      <c r="D1013" s="10"/>
      <c r="E1013" s="10"/>
      <c r="F1013" s="10"/>
      <c r="G1013" s="10"/>
      <c r="H1013" s="10"/>
      <c r="I1013" s="10"/>
      <c r="J1013" s="10"/>
      <c r="K1013" s="10"/>
      <c r="L1013" s="10"/>
      <c r="M1013" s="10"/>
      <c r="N1013" s="10"/>
      <c r="O1013" s="34"/>
    </row>
    <row r="1014" ht="15.75" customHeight="1">
      <c r="A1014" s="32"/>
      <c r="B1014" s="33"/>
      <c r="C1014" s="10"/>
      <c r="D1014" s="10"/>
      <c r="E1014" s="10"/>
      <c r="F1014" s="10"/>
      <c r="G1014" s="10"/>
      <c r="H1014" s="10"/>
      <c r="I1014" s="10"/>
      <c r="J1014" s="10"/>
      <c r="K1014" s="10"/>
      <c r="L1014" s="10"/>
      <c r="M1014" s="10"/>
      <c r="N1014" s="10"/>
      <c r="O1014" s="34"/>
    </row>
    <row r="1015" ht="15.75" customHeight="1">
      <c r="A1015" s="32"/>
      <c r="B1015" s="33"/>
      <c r="C1015" s="10"/>
      <c r="D1015" s="10"/>
      <c r="E1015" s="10"/>
      <c r="F1015" s="10"/>
      <c r="G1015" s="10"/>
      <c r="H1015" s="10"/>
      <c r="I1015" s="10"/>
      <c r="J1015" s="10"/>
      <c r="K1015" s="10"/>
      <c r="L1015" s="10"/>
      <c r="M1015" s="10"/>
      <c r="N1015" s="10"/>
      <c r="O1015" s="34"/>
    </row>
    <row r="1016" ht="15.75" customHeight="1">
      <c r="A1016" s="32"/>
      <c r="B1016" s="33"/>
      <c r="C1016" s="10"/>
      <c r="D1016" s="10"/>
      <c r="E1016" s="10"/>
      <c r="F1016" s="10"/>
      <c r="G1016" s="10"/>
      <c r="H1016" s="10"/>
      <c r="I1016" s="10"/>
      <c r="J1016" s="10"/>
      <c r="K1016" s="10"/>
      <c r="L1016" s="10"/>
      <c r="M1016" s="10"/>
      <c r="N1016" s="10"/>
      <c r="O1016" s="34"/>
    </row>
    <row r="1017" ht="15.75" customHeight="1">
      <c r="A1017" s="32"/>
      <c r="B1017" s="33"/>
      <c r="C1017" s="10"/>
      <c r="D1017" s="10"/>
      <c r="E1017" s="10"/>
      <c r="F1017" s="10"/>
      <c r="G1017" s="10"/>
      <c r="H1017" s="10"/>
      <c r="I1017" s="10"/>
      <c r="J1017" s="10"/>
      <c r="K1017" s="10"/>
      <c r="L1017" s="10"/>
      <c r="M1017" s="10"/>
      <c r="N1017" s="10"/>
      <c r="O1017" s="34"/>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9.63"/>
    <col customWidth="1" min="4" max="4" width="0.38"/>
    <col customWidth="1" min="5" max="5" width="15.13"/>
    <col customWidth="1" min="6" max="6" width="21.0"/>
    <col customWidth="1" min="7" max="7" width="0.38"/>
    <col customWidth="1" min="8" max="8" width="15.63"/>
    <col customWidth="1" min="9" max="9" width="13.88"/>
    <col customWidth="1" min="10" max="10" width="0.38"/>
    <col customWidth="1" min="11" max="11" width="16.25"/>
    <col customWidth="1" min="13" max="13" width="0.38"/>
    <col customWidth="1" min="15" max="15" width="16.5"/>
    <col customWidth="1" min="16" max="16" width="0.38"/>
    <col customWidth="1" min="17" max="17" width="13.13"/>
    <col customWidth="1" min="18" max="18" width="13.88"/>
    <col customWidth="1" min="19" max="19" width="19.13"/>
    <col customWidth="1" min="21" max="21" width="23.75"/>
    <col customWidth="1" min="22" max="22" width="0.38"/>
  </cols>
  <sheetData>
    <row r="1">
      <c r="A1" s="34"/>
      <c r="B1" s="35" t="s">
        <v>31</v>
      </c>
      <c r="C1" s="36" t="s">
        <v>32</v>
      </c>
      <c r="D1" s="34"/>
      <c r="E1" s="37" t="s">
        <v>33</v>
      </c>
      <c r="F1" s="38"/>
      <c r="G1" s="34"/>
      <c r="H1" s="39" t="s">
        <v>34</v>
      </c>
      <c r="I1" s="40"/>
      <c r="J1" s="13"/>
      <c r="K1" s="41" t="s">
        <v>35</v>
      </c>
      <c r="L1" s="42"/>
      <c r="M1" s="13"/>
      <c r="N1" s="39" t="s">
        <v>36</v>
      </c>
      <c r="O1" s="43"/>
      <c r="P1" s="34"/>
      <c r="Q1" s="39" t="s">
        <v>37</v>
      </c>
      <c r="R1" s="44"/>
      <c r="S1" s="40"/>
      <c r="T1" s="40"/>
      <c r="U1" s="34" t="s">
        <v>38</v>
      </c>
      <c r="V1" s="34"/>
    </row>
    <row r="2">
      <c r="A2" s="34"/>
      <c r="B2" s="38"/>
      <c r="C2" s="40"/>
      <c r="D2" s="13"/>
      <c r="E2" s="45" t="s">
        <v>26</v>
      </c>
      <c r="F2" s="46">
        <f>IFERROR(COUNTIFS(I13:I287, "Full-Pay"),"")</f>
        <v>0</v>
      </c>
      <c r="G2" s="13"/>
      <c r="H2" s="47" t="s">
        <v>16</v>
      </c>
      <c r="I2" s="48" t="str">
        <f>iferror(I10/I8,"")</f>
        <v/>
      </c>
      <c r="J2" s="12"/>
      <c r="K2" s="49" t="s">
        <v>39</v>
      </c>
      <c r="L2" s="50" t="str">
        <f>iferror(F8/I6,"")</f>
        <v/>
      </c>
      <c r="M2" s="12"/>
      <c r="N2" s="51" t="s">
        <v>40</v>
      </c>
      <c r="O2" s="52">
        <f>IFERROR(COUNTIFS(N13:N286, "think about it"),"")</f>
        <v>0</v>
      </c>
      <c r="P2" s="13"/>
      <c r="Q2" s="53" t="s">
        <v>41</v>
      </c>
      <c r="R2" s="54">
        <f>IFERROR(COUNTIF(H13:H286,Q2),"")</f>
        <v>0</v>
      </c>
      <c r="S2" s="53" t="s">
        <v>42</v>
      </c>
      <c r="T2" s="55">
        <f>IFERROR(COUNTIF(H13:H286,S2),"")</f>
        <v>0</v>
      </c>
      <c r="U2" s="34"/>
      <c r="V2" s="56"/>
    </row>
    <row r="3">
      <c r="A3" s="13"/>
      <c r="B3" s="57" t="s">
        <v>43</v>
      </c>
      <c r="C3" s="58">
        <f>IFERROR(SUM(K13:K284),"")</f>
        <v>0</v>
      </c>
      <c r="D3" s="59"/>
      <c r="E3" s="45" t="s">
        <v>27</v>
      </c>
      <c r="F3" s="46">
        <f>IFERROR(COUNTIFS(I13:I287, "Split-Pay"),"")</f>
        <v>0</v>
      </c>
      <c r="G3" s="13"/>
      <c r="H3" s="47" t="s">
        <v>17</v>
      </c>
      <c r="I3" s="48" t="str">
        <f>IFERROR(I10/I9,"")</f>
        <v/>
      </c>
      <c r="J3" s="12"/>
      <c r="K3" s="49" t="s">
        <v>44</v>
      </c>
      <c r="L3" s="50" t="str">
        <f>iferror(F9/I6,"")</f>
        <v/>
      </c>
      <c r="M3" s="12"/>
      <c r="N3" s="51" t="s">
        <v>45</v>
      </c>
      <c r="O3" s="60">
        <f>IFERROR(COUNTIFS(N13:N286, "money"),"")</f>
        <v>0</v>
      </c>
      <c r="P3" s="13"/>
      <c r="Q3" s="53" t="s">
        <v>46</v>
      </c>
      <c r="R3" s="54">
        <f>IFERROR(COUNTIF(H13:H286,Q3),"")</f>
        <v>0</v>
      </c>
      <c r="S3" s="53" t="s">
        <v>47</v>
      </c>
      <c r="T3" s="55">
        <f>IFERROR(COUNTIF(H13:H286,S3),"")</f>
        <v>0</v>
      </c>
      <c r="U3" s="34"/>
      <c r="V3" s="56"/>
    </row>
    <row r="4">
      <c r="A4" s="13"/>
      <c r="B4" s="61" t="s">
        <v>48</v>
      </c>
      <c r="C4" s="62">
        <f>IFERROR(SUM(L13:L284),"")</f>
        <v>0</v>
      </c>
      <c r="D4" s="59"/>
      <c r="E4" s="45" t="s">
        <v>28</v>
      </c>
      <c r="F4" s="46">
        <f>IFERROR(COUNTIFS(I13:I287, "Deposit"),"")</f>
        <v>0</v>
      </c>
      <c r="G4" s="13"/>
      <c r="H4" s="47" t="s">
        <v>18</v>
      </c>
      <c r="I4" s="48" t="str">
        <f>IFERROR(I9/I8,"")</f>
        <v/>
      </c>
      <c r="J4" s="12"/>
      <c r="K4" s="49" t="s">
        <v>49</v>
      </c>
      <c r="L4" s="50" t="str">
        <f>iferror(F10/I6,"")</f>
        <v/>
      </c>
      <c r="M4" s="12"/>
      <c r="N4" s="51" t="s">
        <v>50</v>
      </c>
      <c r="O4" s="52">
        <f>IFERROR(COUNTIFS(N13:N286, "time"),"")</f>
        <v>0</v>
      </c>
      <c r="P4" s="13"/>
      <c r="Q4" s="53" t="s">
        <v>51</v>
      </c>
      <c r="R4" s="54">
        <f>IFERROR(COUNTIF(H13:H286,Q4),"")</f>
        <v>0</v>
      </c>
      <c r="S4" s="53" t="s">
        <v>52</v>
      </c>
      <c r="T4" s="55">
        <f>IFERROR(COUNTIF(H13:H286,S4),"")</f>
        <v>0</v>
      </c>
      <c r="U4" s="34"/>
      <c r="V4" s="34"/>
    </row>
    <row r="5">
      <c r="A5" s="34"/>
      <c r="B5" s="38"/>
      <c r="C5" s="40"/>
      <c r="D5" s="13"/>
      <c r="E5" s="45" t="s">
        <v>53</v>
      </c>
      <c r="F5" s="46">
        <f>IFERROR(COUNTIFS(I13:I287, "Offer &amp; Didn't Buy"),"")</f>
        <v>0</v>
      </c>
      <c r="G5" s="13"/>
      <c r="H5" s="47" t="s">
        <v>54</v>
      </c>
      <c r="I5" s="48" t="str">
        <f>IFERROR(F7/(C6+F7+F8),"")</f>
        <v/>
      </c>
      <c r="J5" s="13"/>
      <c r="K5" s="49" t="s">
        <v>54</v>
      </c>
      <c r="L5" s="50" t="str">
        <f>iferror(F7/I6,"")</f>
        <v/>
      </c>
      <c r="M5" s="12"/>
      <c r="N5" s="51" t="s">
        <v>55</v>
      </c>
      <c r="O5" s="52">
        <f>IFERROR(COUNTIFS(N13:N286, "partner"),"")</f>
        <v>0</v>
      </c>
      <c r="P5" s="13"/>
      <c r="Q5" s="53" t="s">
        <v>56</v>
      </c>
      <c r="R5" s="54">
        <f>IFERROR(COUNTIF(H13:H286,Q5),"")</f>
        <v>0</v>
      </c>
      <c r="S5" s="53" t="s">
        <v>57</v>
      </c>
      <c r="T5" s="55">
        <f>IFERROR(COUNTIF(H13:H286,S5),"")</f>
        <v>0</v>
      </c>
      <c r="U5" s="34"/>
      <c r="V5" s="56"/>
    </row>
    <row r="6">
      <c r="A6" s="13"/>
      <c r="B6" s="63" t="s">
        <v>58</v>
      </c>
      <c r="C6" s="64">
        <f>IFERROR(SUM(F2:F6),"")</f>
        <v>0</v>
      </c>
      <c r="D6" s="13"/>
      <c r="E6" s="45" t="s">
        <v>59</v>
      </c>
      <c r="F6" s="46">
        <f>IFERROR(COUNTIFS(I13:I287, "Bad Fit &amp; No Offer"),"")</f>
        <v>0</v>
      </c>
      <c r="G6" s="13"/>
      <c r="H6" s="47" t="s">
        <v>21</v>
      </c>
      <c r="I6" s="65">
        <f>IFERROR(SUM(F2:F10),"")</f>
        <v>0</v>
      </c>
      <c r="J6" s="13"/>
      <c r="K6" s="66" t="s">
        <v>29</v>
      </c>
      <c r="L6" s="50" t="str">
        <f>iferror(I7/I6,"")</f>
        <v/>
      </c>
      <c r="M6" s="12"/>
      <c r="N6" s="51" t="s">
        <v>60</v>
      </c>
      <c r="O6" s="52">
        <f>IFERROR(COUNTIFS(N13:N286, "fear"),"")</f>
        <v>0</v>
      </c>
      <c r="P6" s="13"/>
      <c r="Q6" s="53" t="s">
        <v>61</v>
      </c>
      <c r="R6" s="54">
        <f>IFERROR(COUNTIF(H13:H286,Q6),"")</f>
        <v>0</v>
      </c>
      <c r="S6" s="53" t="s">
        <v>62</v>
      </c>
      <c r="T6" s="55">
        <f>IFERROR(COUNTIF(H13:H286,S6),"")</f>
        <v>0</v>
      </c>
      <c r="U6" s="34"/>
      <c r="V6" s="56"/>
    </row>
    <row r="7">
      <c r="A7" s="13"/>
      <c r="B7" s="63" t="s">
        <v>63</v>
      </c>
      <c r="C7" s="67">
        <f>IFERROR(F2+F3,"")</f>
        <v>0</v>
      </c>
      <c r="D7" s="13"/>
      <c r="E7" s="45" t="s">
        <v>64</v>
      </c>
      <c r="F7" s="46">
        <f>IFERROR(COUNTIFS(I13:I287, "Drag Over &amp; Show"),"")</f>
        <v>0</v>
      </c>
      <c r="G7" s="13"/>
      <c r="H7" s="47" t="s">
        <v>22</v>
      </c>
      <c r="I7" s="65">
        <f>IFERROR(SUM(F2:F7),"")</f>
        <v>0</v>
      </c>
      <c r="J7" s="13"/>
      <c r="K7" s="68" t="s">
        <v>30</v>
      </c>
      <c r="L7" s="69" t="str">
        <f>IFERROR(I8/I6,"")</f>
        <v/>
      </c>
      <c r="M7" s="12"/>
      <c r="N7" s="70" t="s">
        <v>65</v>
      </c>
      <c r="O7" s="71">
        <f>IFERROR(COUNTIFS(N14:N287, "value"),"")</f>
        <v>0</v>
      </c>
      <c r="P7" s="13"/>
      <c r="Q7" s="53" t="s">
        <v>66</v>
      </c>
      <c r="R7" s="54">
        <f>IFERROR(COUNTIF(H13:H286,Q7),"")</f>
        <v>0</v>
      </c>
      <c r="S7" s="53" t="s">
        <v>67</v>
      </c>
      <c r="T7" s="55">
        <f>IFERROR(COUNTIF(H13:H286,S7),"")</f>
        <v>0</v>
      </c>
      <c r="U7" s="34"/>
      <c r="V7" s="34"/>
    </row>
    <row r="8">
      <c r="A8" s="13"/>
      <c r="B8" s="63" t="s">
        <v>68</v>
      </c>
      <c r="C8" s="72">
        <f>COUNTIF(I13:I286,"offer &amp; didn't buy")+countif(I13:I286,"deposit")+countif(I13:I286,"bad fit &amp; no offer")</f>
        <v>0</v>
      </c>
      <c r="D8" s="73"/>
      <c r="E8" s="45" t="s">
        <v>69</v>
      </c>
      <c r="F8" s="46">
        <f>IFERROR(COUNTIFS(I13:I287, "Rescheduled"),"")</f>
        <v>0</v>
      </c>
      <c r="G8" s="13"/>
      <c r="H8" s="47" t="s">
        <v>23</v>
      </c>
      <c r="I8" s="65">
        <f>IFERROR(SUM(F2:F6),"")</f>
        <v>0</v>
      </c>
      <c r="J8" s="34"/>
      <c r="K8" s="74"/>
      <c r="L8" s="34"/>
      <c r="M8" s="34"/>
      <c r="N8" s="34"/>
      <c r="O8" s="75"/>
      <c r="P8" s="13"/>
      <c r="Q8" s="76" t="s">
        <v>70</v>
      </c>
      <c r="R8" s="77">
        <f>IFERROR(COUNTIF(H13:H286,Q8),"")</f>
        <v>0</v>
      </c>
      <c r="S8" s="76" t="s">
        <v>71</v>
      </c>
      <c r="T8" s="78">
        <f>IFERROR(COUNTIF(H13:H286,S8),"")</f>
        <v>0</v>
      </c>
      <c r="U8" s="34"/>
      <c r="V8" s="34"/>
    </row>
    <row r="9">
      <c r="A9" s="13"/>
      <c r="B9" s="63" t="s">
        <v>72</v>
      </c>
      <c r="C9" s="79" t="str">
        <f>iferror(SUM(C7/C6),"")</f>
        <v/>
      </c>
      <c r="D9" s="12"/>
      <c r="E9" s="45" t="s">
        <v>73</v>
      </c>
      <c r="F9" s="46">
        <f>IFERROR(COUNTIFS(I13:I287, "Cancelled"),"")</f>
        <v>0</v>
      </c>
      <c r="G9" s="13"/>
      <c r="H9" s="47" t="s">
        <v>24</v>
      </c>
      <c r="I9" s="65">
        <f>IFERROR(sum(F2:F5),"")</f>
        <v>0</v>
      </c>
      <c r="J9" s="34"/>
      <c r="K9" s="74"/>
      <c r="L9" s="34"/>
      <c r="M9" s="34"/>
      <c r="N9" s="34"/>
      <c r="O9" s="75"/>
      <c r="P9" s="34"/>
      <c r="Q9" s="34"/>
      <c r="R9" s="34"/>
      <c r="S9" s="34"/>
      <c r="T9" s="34"/>
      <c r="V9" s="34"/>
    </row>
    <row r="10">
      <c r="A10" s="34"/>
      <c r="B10" s="74"/>
      <c r="C10" s="34"/>
      <c r="D10" s="13"/>
      <c r="E10" s="80" t="s">
        <v>74</v>
      </c>
      <c r="F10" s="81">
        <f>IFERROR(COUNTIFS(I13:I287, "No-Show"),"")</f>
        <v>0</v>
      </c>
      <c r="G10" s="13"/>
      <c r="H10" s="82" t="s">
        <v>75</v>
      </c>
      <c r="I10" s="83">
        <f>F2+F3</f>
        <v>0</v>
      </c>
      <c r="J10" s="34"/>
      <c r="K10" s="74"/>
      <c r="L10" s="34"/>
      <c r="M10" s="34"/>
      <c r="N10" s="34"/>
      <c r="O10" s="75"/>
      <c r="P10" s="34"/>
      <c r="Q10" s="34"/>
      <c r="R10" s="34"/>
      <c r="S10" s="34"/>
      <c r="T10" s="34"/>
      <c r="V10" s="34"/>
    </row>
    <row r="11" ht="6.0" customHeight="1">
      <c r="A11" s="34"/>
      <c r="B11" s="74"/>
      <c r="C11" s="34"/>
      <c r="D11" s="34"/>
      <c r="E11" s="84"/>
      <c r="F11" s="74"/>
      <c r="G11" s="34"/>
      <c r="H11" s="34"/>
      <c r="I11" s="34"/>
      <c r="J11" s="34"/>
      <c r="K11" s="74"/>
      <c r="L11" s="34"/>
      <c r="M11" s="34"/>
      <c r="N11" s="34"/>
      <c r="O11" s="75"/>
      <c r="P11" s="34"/>
      <c r="Q11" s="34"/>
      <c r="R11" s="34"/>
      <c r="S11" s="34"/>
      <c r="T11" s="34"/>
      <c r="V11" s="34"/>
    </row>
    <row r="12">
      <c r="A12" s="34"/>
      <c r="B12" s="85" t="s">
        <v>76</v>
      </c>
      <c r="C12" s="86" t="s">
        <v>77</v>
      </c>
      <c r="D12" s="34"/>
      <c r="E12" s="87" t="s">
        <v>78</v>
      </c>
      <c r="F12" s="88" t="s">
        <v>79</v>
      </c>
      <c r="G12" s="34"/>
      <c r="H12" s="89" t="s">
        <v>37</v>
      </c>
      <c r="I12" s="89" t="s">
        <v>33</v>
      </c>
      <c r="J12" s="34"/>
      <c r="K12" s="35" t="s">
        <v>80</v>
      </c>
      <c r="L12" s="89" t="s">
        <v>48</v>
      </c>
      <c r="M12" s="34"/>
      <c r="N12" s="89" t="s">
        <v>81</v>
      </c>
      <c r="O12" s="90" t="s">
        <v>82</v>
      </c>
      <c r="P12" s="34"/>
      <c r="Q12" s="89" t="s">
        <v>83</v>
      </c>
      <c r="R12" s="89" t="s">
        <v>84</v>
      </c>
      <c r="S12" s="89" t="s">
        <v>85</v>
      </c>
      <c r="T12" s="89" t="s">
        <v>86</v>
      </c>
      <c r="V12" s="56"/>
    </row>
    <row r="13" ht="15.75" customHeight="1">
      <c r="A13" s="91"/>
      <c r="B13" s="92"/>
      <c r="C13" s="93"/>
      <c r="D13" s="94"/>
      <c r="E13" s="95"/>
      <c r="F13" s="96"/>
      <c r="G13" s="97"/>
      <c r="H13" s="98"/>
      <c r="I13" s="99"/>
      <c r="J13" s="97"/>
      <c r="K13" s="100"/>
      <c r="L13" s="101"/>
      <c r="M13" s="102"/>
      <c r="N13" s="103"/>
      <c r="O13" s="104"/>
      <c r="P13" s="97"/>
      <c r="Q13" s="105"/>
      <c r="S13" s="105"/>
      <c r="T13" s="106"/>
      <c r="U13" s="107"/>
      <c r="V13" s="108"/>
    </row>
    <row r="14" ht="15.75" customHeight="1">
      <c r="A14" s="97"/>
      <c r="B14" s="92"/>
      <c r="C14" s="109"/>
      <c r="D14" s="97"/>
      <c r="E14" s="95"/>
      <c r="F14" s="110"/>
      <c r="G14" s="97"/>
      <c r="H14" s="98"/>
      <c r="I14" s="99"/>
      <c r="J14" s="97"/>
      <c r="K14" s="100"/>
      <c r="L14" s="101"/>
      <c r="M14" s="102"/>
      <c r="N14" s="103"/>
      <c r="O14" s="104"/>
      <c r="P14" s="97"/>
      <c r="Q14" s="105"/>
      <c r="S14" s="105"/>
      <c r="T14" s="111"/>
      <c r="U14" s="105"/>
      <c r="V14" s="108"/>
    </row>
    <row r="15" ht="15.75" customHeight="1">
      <c r="A15" s="97"/>
      <c r="B15" s="92"/>
      <c r="C15" s="109"/>
      <c r="D15" s="105"/>
      <c r="E15" s="112"/>
      <c r="F15" s="110"/>
      <c r="G15" s="97"/>
      <c r="H15" s="98"/>
      <c r="I15" s="99"/>
      <c r="J15" s="97"/>
      <c r="K15" s="113"/>
      <c r="L15" s="114"/>
      <c r="M15" s="102"/>
      <c r="N15" s="103"/>
      <c r="O15" s="104"/>
      <c r="P15" s="97"/>
      <c r="Q15" s="115"/>
      <c r="R15" s="116"/>
      <c r="S15" s="105"/>
      <c r="T15" s="117"/>
      <c r="U15" s="105"/>
      <c r="V15" s="108"/>
    </row>
    <row r="16" ht="15.75" customHeight="1">
      <c r="A16" s="97"/>
      <c r="B16" s="92"/>
      <c r="C16" s="118"/>
      <c r="D16" s="97"/>
      <c r="E16" s="95"/>
      <c r="F16" s="110"/>
      <c r="G16" s="97"/>
      <c r="H16" s="98"/>
      <c r="I16" s="99"/>
      <c r="J16" s="97"/>
      <c r="K16" s="100"/>
      <c r="L16" s="101"/>
      <c r="M16" s="102"/>
      <c r="N16" s="103"/>
      <c r="O16" s="104"/>
      <c r="P16" s="97"/>
      <c r="Q16" s="105"/>
      <c r="S16" s="105"/>
      <c r="T16" s="105"/>
      <c r="V16" s="108"/>
    </row>
    <row r="17" ht="15.75" customHeight="1">
      <c r="A17" s="97"/>
      <c r="B17" s="92"/>
      <c r="C17" s="118"/>
      <c r="D17" s="97"/>
      <c r="E17" s="112"/>
      <c r="F17" s="110"/>
      <c r="G17" s="97"/>
      <c r="H17" s="98"/>
      <c r="I17" s="99"/>
      <c r="J17" s="97"/>
      <c r="K17" s="113"/>
      <c r="L17" s="114"/>
      <c r="M17" s="102"/>
      <c r="N17" s="103"/>
      <c r="O17" s="104"/>
      <c r="P17" s="97"/>
      <c r="Q17" s="97"/>
      <c r="S17" s="105"/>
      <c r="T17" s="119"/>
      <c r="U17" s="97"/>
      <c r="V17" s="108"/>
    </row>
    <row r="18" ht="15.75" customHeight="1">
      <c r="A18" s="97"/>
      <c r="B18" s="92"/>
      <c r="C18" s="119"/>
      <c r="D18" s="97"/>
      <c r="E18" s="112"/>
      <c r="F18" s="110"/>
      <c r="G18" s="97"/>
      <c r="H18" s="98"/>
      <c r="I18" s="99"/>
      <c r="J18" s="97"/>
      <c r="K18" s="100"/>
      <c r="L18" s="101"/>
      <c r="M18" s="102"/>
      <c r="N18" s="103"/>
      <c r="O18" s="104"/>
      <c r="P18" s="97"/>
      <c r="Q18" s="97"/>
      <c r="S18" s="105"/>
      <c r="T18" s="119"/>
      <c r="U18" s="97"/>
      <c r="V18" s="108"/>
    </row>
    <row r="19" ht="15.75" customHeight="1">
      <c r="A19" s="97"/>
      <c r="B19" s="120"/>
      <c r="C19" s="119"/>
      <c r="D19" s="97"/>
      <c r="E19" s="112"/>
      <c r="F19" s="110"/>
      <c r="G19" s="97"/>
      <c r="H19" s="98"/>
      <c r="I19" s="99"/>
      <c r="J19" s="97"/>
      <c r="K19" s="105"/>
      <c r="L19" s="101"/>
      <c r="M19" s="102"/>
      <c r="N19" s="103"/>
      <c r="O19" s="104"/>
      <c r="P19" s="97"/>
      <c r="Q19" s="105"/>
      <c r="S19" s="105"/>
      <c r="T19" s="119"/>
      <c r="U19" s="97"/>
      <c r="V19" s="108"/>
    </row>
    <row r="20" ht="15.75" customHeight="1">
      <c r="A20" s="91"/>
      <c r="B20" s="92"/>
      <c r="C20" s="99"/>
      <c r="D20" s="97"/>
      <c r="E20" s="112"/>
      <c r="F20" s="110"/>
      <c r="G20" s="97"/>
      <c r="H20" s="98"/>
      <c r="I20" s="99"/>
      <c r="J20" s="97"/>
      <c r="K20" s="113"/>
      <c r="L20" s="114"/>
      <c r="M20" s="102"/>
      <c r="N20" s="103"/>
      <c r="O20" s="104"/>
      <c r="P20" s="97"/>
      <c r="Q20" s="105"/>
      <c r="S20" s="105"/>
      <c r="T20" s="105"/>
      <c r="V20" s="108"/>
    </row>
    <row r="21" ht="15.75" customHeight="1">
      <c r="A21" s="91"/>
      <c r="B21" s="92"/>
      <c r="C21" s="109"/>
      <c r="D21" s="97"/>
      <c r="E21" s="112"/>
      <c r="F21" s="110"/>
      <c r="G21" s="97"/>
      <c r="H21" s="98"/>
      <c r="I21" s="99"/>
      <c r="J21" s="97"/>
      <c r="K21" s="100"/>
      <c r="L21" s="101"/>
      <c r="M21" s="102"/>
      <c r="N21" s="103"/>
      <c r="O21" s="104"/>
      <c r="P21" s="97"/>
      <c r="Q21" s="115"/>
      <c r="S21" s="105"/>
      <c r="T21" s="105"/>
      <c r="V21" s="108"/>
    </row>
    <row r="22" ht="15.75" customHeight="1">
      <c r="A22" s="91"/>
      <c r="B22" s="92"/>
      <c r="C22" s="99"/>
      <c r="D22" s="97"/>
      <c r="E22" s="112"/>
      <c r="F22" s="121"/>
      <c r="G22" s="97"/>
      <c r="H22" s="98"/>
      <c r="I22" s="105"/>
      <c r="J22" s="97"/>
      <c r="K22" s="100"/>
      <c r="L22" s="101"/>
      <c r="M22" s="102"/>
      <c r="N22" s="103"/>
      <c r="O22" s="104"/>
      <c r="P22" s="97"/>
      <c r="Q22" s="115"/>
      <c r="S22" s="105"/>
      <c r="T22" s="105"/>
      <c r="V22" s="108"/>
    </row>
    <row r="23" ht="15.75" customHeight="1">
      <c r="A23" s="91"/>
      <c r="B23" s="92"/>
      <c r="C23" s="99"/>
      <c r="D23" s="97"/>
      <c r="E23" s="112"/>
      <c r="F23" s="110"/>
      <c r="G23" s="97"/>
      <c r="H23" s="98"/>
      <c r="I23" s="105"/>
      <c r="J23" s="97"/>
      <c r="K23" s="113"/>
      <c r="L23" s="114"/>
      <c r="M23" s="102"/>
      <c r="N23" s="103"/>
      <c r="O23" s="104"/>
      <c r="P23" s="97"/>
      <c r="Q23" s="97"/>
      <c r="S23" s="105"/>
      <c r="T23" s="105"/>
      <c r="V23" s="108"/>
    </row>
    <row r="24" ht="15.0" customHeight="1">
      <c r="A24" s="91"/>
      <c r="B24" s="92"/>
      <c r="C24" s="93"/>
      <c r="D24" s="94"/>
      <c r="E24" s="112"/>
      <c r="F24" s="110"/>
      <c r="G24" s="97"/>
      <c r="H24" s="98"/>
      <c r="I24" s="99"/>
      <c r="J24" s="97"/>
      <c r="K24" s="100"/>
      <c r="L24" s="101"/>
      <c r="M24" s="102"/>
      <c r="N24" s="103"/>
      <c r="O24" s="104"/>
      <c r="P24" s="97"/>
      <c r="Q24" s="105"/>
      <c r="S24" s="105"/>
      <c r="T24" s="106"/>
      <c r="U24" s="107"/>
      <c r="V24" s="108"/>
    </row>
    <row r="25" ht="15.75" customHeight="1">
      <c r="A25" s="91"/>
      <c r="B25" s="92"/>
      <c r="C25" s="99"/>
      <c r="D25" s="97"/>
      <c r="E25" s="112"/>
      <c r="F25" s="110"/>
      <c r="G25" s="97"/>
      <c r="H25" s="98"/>
      <c r="I25" s="105"/>
      <c r="J25" s="97"/>
      <c r="K25" s="100"/>
      <c r="L25" s="101"/>
      <c r="M25" s="102"/>
      <c r="N25" s="103"/>
      <c r="O25" s="104"/>
      <c r="P25" s="97"/>
      <c r="Q25" s="115"/>
      <c r="S25" s="105"/>
      <c r="T25" s="105"/>
      <c r="V25" s="108"/>
    </row>
    <row r="26" ht="15.75" customHeight="1">
      <c r="A26" s="91"/>
      <c r="B26" s="92"/>
      <c r="C26" s="99"/>
      <c r="D26" s="97"/>
      <c r="E26" s="112"/>
      <c r="G26" s="97"/>
      <c r="H26" s="98"/>
      <c r="I26" s="105"/>
      <c r="J26" s="97"/>
      <c r="K26" s="113"/>
      <c r="L26" s="114"/>
      <c r="M26" s="102"/>
      <c r="N26" s="103"/>
      <c r="O26" s="104"/>
      <c r="P26" s="97"/>
      <c r="Q26" s="115"/>
      <c r="S26" s="105"/>
      <c r="T26" s="105"/>
      <c r="V26" s="108"/>
    </row>
    <row r="27" ht="15.75" customHeight="1">
      <c r="A27" s="91"/>
      <c r="B27" s="92"/>
      <c r="C27" s="99"/>
      <c r="D27" s="97"/>
      <c r="E27" s="112"/>
      <c r="F27" s="112"/>
      <c r="G27" s="97"/>
      <c r="H27" s="98"/>
      <c r="I27" s="105"/>
      <c r="J27" s="97"/>
      <c r="K27" s="100"/>
      <c r="L27" s="101"/>
      <c r="M27" s="102"/>
      <c r="N27" s="103"/>
      <c r="O27" s="104"/>
      <c r="P27" s="97"/>
      <c r="Q27" s="97"/>
      <c r="S27" s="105"/>
      <c r="T27" s="105"/>
      <c r="V27" s="108"/>
    </row>
    <row r="28" ht="15.75" customHeight="1">
      <c r="A28" s="91"/>
      <c r="B28" s="92"/>
      <c r="C28" s="105"/>
      <c r="D28" s="97"/>
      <c r="E28" s="122"/>
      <c r="F28" s="123"/>
      <c r="G28" s="97"/>
      <c r="H28" s="98"/>
      <c r="I28" s="105"/>
      <c r="J28" s="97"/>
      <c r="K28" s="100"/>
      <c r="L28" s="101"/>
      <c r="M28" s="102"/>
      <c r="N28" s="124"/>
      <c r="O28" s="125"/>
      <c r="P28" s="97"/>
      <c r="Q28" s="97"/>
      <c r="R28" s="126"/>
      <c r="S28" s="105"/>
      <c r="T28" s="97"/>
      <c r="V28" s="108"/>
    </row>
    <row r="29" ht="15.75" customHeight="1">
      <c r="A29" s="91"/>
      <c r="B29" s="92"/>
      <c r="C29" s="99"/>
      <c r="D29" s="97"/>
      <c r="E29" s="127"/>
      <c r="F29" s="110"/>
      <c r="G29" s="97"/>
      <c r="H29" s="98"/>
      <c r="I29" s="105"/>
      <c r="J29" s="97"/>
      <c r="K29" s="113"/>
      <c r="L29" s="114"/>
      <c r="M29" s="102"/>
      <c r="N29" s="103"/>
      <c r="O29" s="104"/>
      <c r="P29" s="97"/>
      <c r="Q29" s="115"/>
      <c r="R29" s="116"/>
      <c r="S29" s="105"/>
      <c r="T29" s="105"/>
      <c r="V29" s="108"/>
    </row>
    <row r="30" ht="15.75" customHeight="1">
      <c r="A30" s="91"/>
      <c r="B30" s="92"/>
      <c r="C30" s="99"/>
      <c r="D30" s="97"/>
      <c r="E30" s="127"/>
      <c r="F30" s="110"/>
      <c r="G30" s="97"/>
      <c r="H30" s="98"/>
      <c r="I30" s="105"/>
      <c r="J30" s="97"/>
      <c r="K30" s="100"/>
      <c r="L30" s="101"/>
      <c r="M30" s="102"/>
      <c r="N30" s="124"/>
      <c r="O30" s="125"/>
      <c r="P30" s="97"/>
      <c r="Q30" s="105"/>
      <c r="R30" s="107"/>
      <c r="S30" s="105"/>
      <c r="T30" s="105"/>
      <c r="V30" s="108"/>
    </row>
    <row r="31" ht="15.75" customHeight="1">
      <c r="A31" s="91"/>
      <c r="B31" s="92"/>
      <c r="C31" s="127"/>
      <c r="D31" s="97"/>
      <c r="E31" s="127"/>
      <c r="F31" s="110"/>
      <c r="G31" s="97"/>
      <c r="H31" s="98"/>
      <c r="I31" s="105"/>
      <c r="J31" s="97"/>
      <c r="K31" s="100"/>
      <c r="L31" s="101"/>
      <c r="M31" s="102"/>
      <c r="N31" s="103"/>
      <c r="O31" s="104"/>
      <c r="P31" s="97"/>
      <c r="Q31" s="115"/>
      <c r="R31" s="107"/>
      <c r="S31" s="105"/>
      <c r="T31" s="105"/>
      <c r="V31" s="108"/>
    </row>
    <row r="32" ht="15.75" customHeight="1">
      <c r="A32" s="91"/>
      <c r="B32" s="92"/>
      <c r="C32" s="99"/>
      <c r="D32" s="97"/>
      <c r="E32" s="127"/>
      <c r="F32" s="110"/>
      <c r="G32" s="97"/>
      <c r="H32" s="98"/>
      <c r="I32" s="105"/>
      <c r="J32" s="97"/>
      <c r="K32" s="113"/>
      <c r="L32" s="114"/>
      <c r="M32" s="102"/>
      <c r="N32" s="103"/>
      <c r="O32" s="104"/>
      <c r="P32" s="97"/>
      <c r="Q32" s="97"/>
      <c r="R32" s="107"/>
      <c r="S32" s="105"/>
      <c r="T32" s="105"/>
      <c r="V32" s="108"/>
    </row>
    <row r="33" ht="15.75" customHeight="1">
      <c r="A33" s="91"/>
      <c r="B33" s="92"/>
      <c r="C33" s="128"/>
      <c r="D33" s="97"/>
      <c r="E33" s="127"/>
      <c r="F33" s="110"/>
      <c r="G33" s="97"/>
      <c r="H33" s="98"/>
      <c r="I33" s="105"/>
      <c r="J33" s="97"/>
      <c r="K33" s="100"/>
      <c r="L33" s="101"/>
      <c r="M33" s="102"/>
      <c r="N33" s="103"/>
      <c r="O33" s="104"/>
      <c r="P33" s="97"/>
      <c r="Q33" s="105"/>
      <c r="R33" s="107"/>
      <c r="S33" s="105"/>
      <c r="T33" s="105"/>
      <c r="V33" s="108"/>
    </row>
    <row r="34" ht="15.75" customHeight="1">
      <c r="A34" s="91"/>
      <c r="B34" s="92"/>
      <c r="C34" s="99"/>
      <c r="D34" s="97"/>
      <c r="E34" s="127"/>
      <c r="F34" s="110"/>
      <c r="G34" s="97"/>
      <c r="H34" s="98"/>
      <c r="I34" s="105"/>
      <c r="J34" s="97"/>
      <c r="K34" s="113"/>
      <c r="L34" s="114"/>
      <c r="M34" s="102"/>
      <c r="N34" s="124"/>
      <c r="O34" s="125"/>
      <c r="P34" s="97"/>
      <c r="Q34" s="97"/>
      <c r="R34" s="107"/>
      <c r="S34" s="105"/>
      <c r="T34" s="105"/>
      <c r="V34" s="108"/>
    </row>
    <row r="35" ht="15.75" customHeight="1">
      <c r="A35" s="91"/>
      <c r="B35" s="92"/>
      <c r="C35" s="99"/>
      <c r="D35" s="97"/>
      <c r="E35" s="127"/>
      <c r="F35" s="110"/>
      <c r="G35" s="97"/>
      <c r="H35" s="98"/>
      <c r="I35" s="105"/>
      <c r="J35" s="97"/>
      <c r="K35" s="100"/>
      <c r="L35" s="101"/>
      <c r="M35" s="102"/>
      <c r="N35" s="103"/>
      <c r="O35" s="125"/>
      <c r="P35" s="97"/>
      <c r="Q35" s="105"/>
      <c r="R35" s="107"/>
      <c r="S35" s="105"/>
      <c r="T35" s="105"/>
      <c r="V35" s="108"/>
    </row>
    <row r="36" ht="15.75" customHeight="1">
      <c r="A36" s="91"/>
      <c r="B36" s="129"/>
      <c r="C36" s="105"/>
      <c r="D36" s="97"/>
      <c r="E36" s="122"/>
      <c r="F36" s="123"/>
      <c r="G36" s="97"/>
      <c r="H36" s="98"/>
      <c r="I36" s="105"/>
      <c r="J36" s="97"/>
      <c r="K36" s="113"/>
      <c r="L36" s="114"/>
      <c r="M36" s="102"/>
      <c r="N36" s="124"/>
      <c r="O36" s="125"/>
      <c r="P36" s="97"/>
      <c r="Q36" s="97"/>
      <c r="R36" s="126"/>
      <c r="S36" s="97"/>
      <c r="T36" s="105"/>
      <c r="V36" s="108"/>
    </row>
    <row r="37" ht="15.75" customHeight="1">
      <c r="A37" s="91"/>
      <c r="B37" s="129"/>
      <c r="C37" s="99"/>
      <c r="D37" s="97"/>
      <c r="E37" s="122"/>
      <c r="F37" s="121"/>
      <c r="G37" s="97"/>
      <c r="H37" s="98"/>
      <c r="I37" s="105"/>
      <c r="J37" s="97"/>
      <c r="K37" s="100"/>
      <c r="L37" s="101"/>
      <c r="M37" s="102"/>
      <c r="N37" s="103"/>
      <c r="O37" s="104"/>
      <c r="P37" s="97"/>
      <c r="Q37" s="115"/>
      <c r="R37" s="107"/>
      <c r="S37" s="105"/>
      <c r="T37" s="105"/>
      <c r="V37" s="108"/>
    </row>
    <row r="38" ht="15.75" customHeight="1">
      <c r="A38" s="91"/>
      <c r="B38" s="129"/>
      <c r="C38" s="99"/>
      <c r="D38" s="97"/>
      <c r="E38" s="122"/>
      <c r="F38" s="121"/>
      <c r="G38" s="97"/>
      <c r="H38" s="98"/>
      <c r="I38" s="105"/>
      <c r="J38" s="97"/>
      <c r="K38" s="113"/>
      <c r="L38" s="114"/>
      <c r="M38" s="102"/>
      <c r="N38" s="124"/>
      <c r="O38" s="125"/>
      <c r="P38" s="97"/>
      <c r="Q38" s="130"/>
      <c r="R38" s="107"/>
      <c r="S38" s="97"/>
      <c r="V38" s="108"/>
    </row>
    <row r="39" ht="15.75" customHeight="1">
      <c r="A39" s="91"/>
      <c r="B39" s="129"/>
      <c r="C39" s="99"/>
      <c r="D39" s="97"/>
      <c r="E39" s="122"/>
      <c r="F39" s="122"/>
      <c r="G39" s="97"/>
      <c r="H39" s="98"/>
      <c r="I39" s="105"/>
      <c r="J39" s="97"/>
      <c r="K39" s="100"/>
      <c r="L39" s="101"/>
      <c r="M39" s="102"/>
      <c r="N39" s="124"/>
      <c r="O39" s="125"/>
      <c r="P39" s="97"/>
      <c r="Q39" s="115"/>
      <c r="R39" s="107"/>
      <c r="S39" s="97"/>
      <c r="T39" s="105"/>
      <c r="V39" s="108"/>
    </row>
    <row r="40" ht="15.75" customHeight="1">
      <c r="A40" s="91"/>
      <c r="B40" s="129"/>
      <c r="C40" s="99"/>
      <c r="D40" s="97"/>
      <c r="E40" s="122"/>
      <c r="F40" s="121"/>
      <c r="G40" s="97"/>
      <c r="H40" s="98"/>
      <c r="I40" s="105"/>
      <c r="J40" s="97"/>
      <c r="K40" s="113"/>
      <c r="L40" s="114"/>
      <c r="M40" s="102"/>
      <c r="N40" s="103"/>
      <c r="O40" s="104"/>
      <c r="P40" s="97"/>
      <c r="Q40" s="115"/>
      <c r="R40" s="107"/>
      <c r="S40" s="105"/>
      <c r="T40" s="105"/>
      <c r="V40" s="108"/>
    </row>
    <row r="41" ht="15.75" customHeight="1">
      <c r="A41" s="91"/>
      <c r="B41" s="129"/>
      <c r="C41" s="99"/>
      <c r="D41" s="97"/>
      <c r="E41" s="92"/>
      <c r="F41" s="123"/>
      <c r="G41" s="97"/>
      <c r="H41" s="98"/>
      <c r="I41" s="105"/>
      <c r="J41" s="97"/>
      <c r="K41" s="100"/>
      <c r="L41" s="101"/>
      <c r="M41" s="102"/>
      <c r="N41" s="124"/>
      <c r="O41" s="125"/>
      <c r="P41" s="97"/>
      <c r="Q41" s="97"/>
      <c r="R41" s="126"/>
      <c r="S41" s="97"/>
      <c r="T41" s="97"/>
      <c r="V41" s="108"/>
    </row>
    <row r="42" ht="15.75" customHeight="1">
      <c r="A42" s="91"/>
      <c r="B42" s="129"/>
      <c r="C42" s="105"/>
      <c r="D42" s="97"/>
      <c r="E42" s="122"/>
      <c r="F42" s="92"/>
      <c r="G42" s="97"/>
      <c r="H42" s="98"/>
      <c r="I42" s="105"/>
      <c r="J42" s="97"/>
      <c r="K42" s="113"/>
      <c r="L42" s="114"/>
      <c r="M42" s="102"/>
      <c r="N42" s="103"/>
      <c r="O42" s="104"/>
      <c r="P42" s="97"/>
      <c r="Q42" s="115"/>
      <c r="R42" s="107"/>
      <c r="S42" s="105"/>
      <c r="T42" s="105"/>
      <c r="V42" s="108"/>
    </row>
    <row r="43" ht="15.75" customHeight="1">
      <c r="A43" s="91"/>
      <c r="B43" s="129"/>
      <c r="C43" s="105"/>
      <c r="D43" s="97"/>
      <c r="E43" s="122"/>
      <c r="F43" s="121"/>
      <c r="G43" s="97"/>
      <c r="H43" s="98"/>
      <c r="I43" s="105"/>
      <c r="J43" s="97"/>
      <c r="K43" s="100"/>
      <c r="L43" s="101"/>
      <c r="M43" s="102"/>
      <c r="N43" s="124"/>
      <c r="O43" s="125"/>
      <c r="P43" s="97"/>
      <c r="Q43" s="131"/>
      <c r="R43" s="126"/>
      <c r="S43" s="97"/>
      <c r="T43" s="97"/>
      <c r="V43" s="108"/>
    </row>
    <row r="44" ht="15.75" customHeight="1">
      <c r="A44" s="91"/>
      <c r="B44" s="129"/>
      <c r="C44" s="105"/>
      <c r="D44" s="97"/>
      <c r="E44" s="122"/>
      <c r="F44" s="121"/>
      <c r="G44" s="97"/>
      <c r="H44" s="98"/>
      <c r="I44" s="105"/>
      <c r="J44" s="97"/>
      <c r="K44" s="113"/>
      <c r="L44" s="114"/>
      <c r="M44" s="102"/>
      <c r="N44" s="124"/>
      <c r="O44" s="125"/>
      <c r="P44" s="97"/>
      <c r="Q44" s="97"/>
      <c r="R44" s="126"/>
      <c r="S44" s="97"/>
      <c r="T44" s="97"/>
      <c r="V44" s="108"/>
    </row>
    <row r="45" ht="15.75" customHeight="1">
      <c r="A45" s="91"/>
      <c r="B45" s="129"/>
      <c r="C45" s="99"/>
      <c r="D45" s="97"/>
      <c r="E45" s="122"/>
      <c r="F45" s="121"/>
      <c r="G45" s="97"/>
      <c r="H45" s="98"/>
      <c r="I45" s="105"/>
      <c r="J45" s="97"/>
      <c r="K45" s="100"/>
      <c r="L45" s="101"/>
      <c r="M45" s="102"/>
      <c r="N45" s="124"/>
      <c r="O45" s="125"/>
      <c r="P45" s="97"/>
      <c r="Q45" s="97"/>
      <c r="R45" s="126"/>
      <c r="S45" s="97"/>
      <c r="T45" s="97"/>
      <c r="V45" s="108"/>
    </row>
    <row r="46" ht="15.75" customHeight="1">
      <c r="A46" s="91"/>
      <c r="B46" s="129"/>
      <c r="C46" s="99"/>
      <c r="D46" s="97"/>
      <c r="E46" s="122"/>
      <c r="F46" s="121"/>
      <c r="G46" s="97"/>
      <c r="H46" s="98"/>
      <c r="I46" s="105"/>
      <c r="J46" s="97"/>
      <c r="K46" s="113"/>
      <c r="L46" s="114"/>
      <c r="M46" s="102"/>
      <c r="N46" s="124"/>
      <c r="O46" s="125"/>
      <c r="P46" s="97"/>
      <c r="Q46" s="97"/>
      <c r="R46" s="126"/>
      <c r="S46" s="97"/>
      <c r="T46" s="97"/>
      <c r="V46" s="108"/>
    </row>
    <row r="47" ht="15.75" customHeight="1">
      <c r="A47" s="91"/>
      <c r="B47" s="129"/>
      <c r="C47" s="99"/>
      <c r="D47" s="97"/>
      <c r="E47" s="122"/>
      <c r="F47" s="121"/>
      <c r="G47" s="97"/>
      <c r="H47" s="98"/>
      <c r="I47" s="105"/>
      <c r="J47" s="97"/>
      <c r="K47" s="100"/>
      <c r="L47" s="101"/>
      <c r="M47" s="102"/>
      <c r="N47" s="103"/>
      <c r="O47" s="104"/>
      <c r="P47" s="97"/>
      <c r="Q47" s="115"/>
      <c r="R47" s="116"/>
      <c r="S47" s="105"/>
      <c r="T47" s="105"/>
      <c r="V47" s="108"/>
    </row>
    <row r="48" ht="15.75" customHeight="1">
      <c r="A48" s="91"/>
      <c r="B48" s="129"/>
      <c r="C48" s="99"/>
      <c r="D48" s="97"/>
      <c r="E48" s="122"/>
      <c r="F48" s="121"/>
      <c r="G48" s="97"/>
      <c r="H48" s="98"/>
      <c r="I48" s="105"/>
      <c r="J48" s="97"/>
      <c r="K48" s="113"/>
      <c r="L48" s="114"/>
      <c r="M48" s="102"/>
      <c r="N48" s="103"/>
      <c r="O48" s="104"/>
      <c r="P48" s="97"/>
      <c r="Q48" s="130"/>
      <c r="R48" s="107"/>
      <c r="S48" s="105"/>
      <c r="T48" s="105"/>
      <c r="V48" s="108"/>
    </row>
    <row r="49" ht="15.75" customHeight="1">
      <c r="A49" s="91"/>
      <c r="B49" s="129"/>
      <c r="C49" s="99"/>
      <c r="D49" s="97"/>
      <c r="E49" s="122"/>
      <c r="F49" s="121"/>
      <c r="G49" s="97"/>
      <c r="H49" s="98"/>
      <c r="I49" s="105"/>
      <c r="J49" s="97"/>
      <c r="K49" s="100"/>
      <c r="L49" s="101"/>
      <c r="M49" s="102"/>
      <c r="N49" s="103"/>
      <c r="O49" s="104"/>
      <c r="P49" s="97"/>
      <c r="Q49" s="130"/>
      <c r="R49" s="107"/>
      <c r="S49" s="105"/>
      <c r="T49" s="105"/>
      <c r="V49" s="108"/>
    </row>
    <row r="50" ht="15.75" customHeight="1">
      <c r="A50" s="91"/>
      <c r="B50" s="129"/>
      <c r="C50" s="105"/>
      <c r="D50" s="97"/>
      <c r="E50" s="122"/>
      <c r="F50" s="123"/>
      <c r="G50" s="97"/>
      <c r="H50" s="98"/>
      <c r="I50" s="105"/>
      <c r="J50" s="97"/>
      <c r="K50" s="113"/>
      <c r="L50" s="114"/>
      <c r="M50" s="102"/>
      <c r="N50" s="124"/>
      <c r="O50" s="125"/>
      <c r="P50" s="97"/>
      <c r="Q50" s="97"/>
      <c r="R50" s="126"/>
      <c r="S50" s="97"/>
      <c r="T50" s="105"/>
      <c r="V50" s="108"/>
    </row>
    <row r="51" ht="15.75" customHeight="1">
      <c r="A51" s="91"/>
      <c r="B51" s="129"/>
      <c r="C51" s="105"/>
      <c r="D51" s="97"/>
      <c r="E51" s="122"/>
      <c r="F51" s="132"/>
      <c r="G51" s="97"/>
      <c r="H51" s="98"/>
      <c r="I51" s="105"/>
      <c r="J51" s="97"/>
      <c r="K51" s="100"/>
      <c r="L51" s="101"/>
      <c r="M51" s="102"/>
      <c r="N51" s="103"/>
      <c r="O51" s="104"/>
      <c r="P51" s="97"/>
      <c r="Q51" s="131"/>
      <c r="R51" s="126"/>
      <c r="S51" s="105"/>
      <c r="T51" s="105"/>
      <c r="V51" s="108"/>
    </row>
    <row r="52" ht="15.75" customHeight="1">
      <c r="A52" s="91"/>
      <c r="B52" s="129"/>
      <c r="C52" s="105"/>
      <c r="D52" s="97"/>
      <c r="E52" s="122"/>
      <c r="F52" s="121"/>
      <c r="G52" s="97"/>
      <c r="H52" s="98"/>
      <c r="I52" s="105"/>
      <c r="J52" s="97"/>
      <c r="K52" s="113"/>
      <c r="L52" s="114"/>
      <c r="M52" s="102"/>
      <c r="N52" s="124"/>
      <c r="O52" s="125"/>
      <c r="P52" s="97"/>
      <c r="Q52" s="131"/>
      <c r="R52" s="126"/>
      <c r="S52" s="97"/>
      <c r="T52" s="97"/>
      <c r="V52" s="108"/>
    </row>
    <row r="53" ht="15.75" customHeight="1">
      <c r="A53" s="91"/>
      <c r="B53" s="129"/>
      <c r="C53" s="99"/>
      <c r="D53" s="97"/>
      <c r="E53" s="122"/>
      <c r="F53" s="121"/>
      <c r="G53" s="97"/>
      <c r="H53" s="98"/>
      <c r="I53" s="105"/>
      <c r="J53" s="97"/>
      <c r="K53" s="100"/>
      <c r="L53" s="101"/>
      <c r="M53" s="102"/>
      <c r="N53" s="124"/>
      <c r="O53" s="125"/>
      <c r="P53" s="97"/>
      <c r="Q53" s="130"/>
      <c r="R53" s="107"/>
      <c r="S53" s="97"/>
      <c r="T53" s="105"/>
      <c r="V53" s="108"/>
    </row>
    <row r="54" ht="15.75" customHeight="1">
      <c r="A54" s="91"/>
      <c r="B54" s="129"/>
      <c r="C54" s="98"/>
      <c r="D54" s="97"/>
      <c r="E54" s="122"/>
      <c r="F54" s="121"/>
      <c r="G54" s="97"/>
      <c r="H54" s="98"/>
      <c r="I54" s="105"/>
      <c r="J54" s="97"/>
      <c r="K54" s="113"/>
      <c r="L54" s="114"/>
      <c r="M54" s="102"/>
      <c r="N54" s="103"/>
      <c r="O54" s="104"/>
      <c r="P54" s="97"/>
      <c r="Q54" s="130"/>
      <c r="R54" s="133"/>
      <c r="S54" s="105"/>
      <c r="T54" s="105"/>
      <c r="V54" s="108"/>
    </row>
    <row r="55" ht="15.75" customHeight="1">
      <c r="A55" s="91"/>
      <c r="B55" s="129"/>
      <c r="C55" s="98"/>
      <c r="D55" s="97"/>
      <c r="E55" s="122"/>
      <c r="F55" s="123"/>
      <c r="G55" s="97"/>
      <c r="H55" s="98"/>
      <c r="I55" s="105"/>
      <c r="J55" s="97"/>
      <c r="K55" s="100"/>
      <c r="L55" s="101"/>
      <c r="M55" s="102"/>
      <c r="N55" s="103"/>
      <c r="O55" s="104"/>
      <c r="P55" s="97"/>
      <c r="Q55" s="130"/>
      <c r="R55" s="107"/>
      <c r="S55" s="105"/>
      <c r="T55" s="105"/>
      <c r="V55" s="108"/>
    </row>
    <row r="56" ht="15.75" customHeight="1">
      <c r="A56" s="91"/>
      <c r="B56" s="129"/>
      <c r="C56" s="98"/>
      <c r="D56" s="97"/>
      <c r="E56" s="122"/>
      <c r="F56" s="121"/>
      <c r="G56" s="97"/>
      <c r="H56" s="98"/>
      <c r="I56" s="105"/>
      <c r="J56" s="97"/>
      <c r="K56" s="113"/>
      <c r="L56" s="114"/>
      <c r="M56" s="102"/>
      <c r="N56" s="124"/>
      <c r="O56" s="125"/>
      <c r="P56" s="97"/>
      <c r="Q56" s="115"/>
      <c r="R56" s="107"/>
      <c r="S56" s="97"/>
      <c r="T56" s="105"/>
      <c r="V56" s="108"/>
    </row>
    <row r="57" ht="15.75" customHeight="1">
      <c r="A57" s="91"/>
      <c r="B57" s="129"/>
      <c r="C57" s="98"/>
      <c r="D57" s="97"/>
      <c r="E57" s="122"/>
      <c r="F57" s="121"/>
      <c r="G57" s="97"/>
      <c r="H57" s="98"/>
      <c r="I57" s="105"/>
      <c r="J57" s="97"/>
      <c r="K57" s="100"/>
      <c r="L57" s="101"/>
      <c r="M57" s="102"/>
      <c r="N57" s="124"/>
      <c r="O57" s="125"/>
      <c r="P57" s="97"/>
      <c r="Q57" s="131"/>
      <c r="R57" s="126"/>
      <c r="S57" s="97"/>
      <c r="T57" s="105"/>
      <c r="V57" s="108"/>
    </row>
    <row r="58" ht="15.75" customHeight="1">
      <c r="A58" s="91"/>
      <c r="B58" s="129"/>
      <c r="C58" s="107"/>
      <c r="D58" s="97"/>
      <c r="E58" s="122"/>
      <c r="F58" s="121"/>
      <c r="G58" s="97"/>
      <c r="H58" s="98"/>
      <c r="I58" s="105"/>
      <c r="J58" s="97"/>
      <c r="K58" s="113"/>
      <c r="L58" s="114"/>
      <c r="M58" s="102"/>
      <c r="N58" s="103"/>
      <c r="O58" s="104"/>
      <c r="P58" s="97"/>
      <c r="Q58" s="115"/>
      <c r="R58" s="107"/>
      <c r="S58" s="105"/>
      <c r="T58" s="105"/>
      <c r="V58" s="108"/>
    </row>
    <row r="59" ht="15.75" customHeight="1">
      <c r="A59" s="91"/>
      <c r="B59" s="129"/>
      <c r="C59" s="107"/>
      <c r="D59" s="97"/>
      <c r="E59" s="122"/>
      <c r="F59" s="121"/>
      <c r="G59" s="97"/>
      <c r="H59" s="98"/>
      <c r="I59" s="105"/>
      <c r="J59" s="97"/>
      <c r="K59" s="100"/>
      <c r="L59" s="101"/>
      <c r="M59" s="102"/>
      <c r="N59" s="124"/>
      <c r="O59" s="125"/>
      <c r="P59" s="97"/>
      <c r="Q59" s="97"/>
      <c r="R59" s="126"/>
      <c r="S59" s="97"/>
      <c r="T59" s="97"/>
      <c r="V59" s="108"/>
    </row>
    <row r="60" ht="15.75" customHeight="1">
      <c r="A60" s="91"/>
      <c r="B60" s="129"/>
      <c r="C60" s="107"/>
      <c r="D60" s="97"/>
      <c r="E60" s="92"/>
      <c r="F60" s="121"/>
      <c r="G60" s="97"/>
      <c r="H60" s="98"/>
      <c r="I60" s="105"/>
      <c r="J60" s="97"/>
      <c r="K60" s="113"/>
      <c r="L60" s="114"/>
      <c r="M60" s="102"/>
      <c r="N60" s="124"/>
      <c r="O60" s="125"/>
      <c r="P60" s="97"/>
      <c r="Q60" s="115"/>
      <c r="R60" s="107"/>
      <c r="S60" s="97"/>
      <c r="T60" s="105"/>
      <c r="V60" s="108"/>
    </row>
    <row r="61" ht="15.75" customHeight="1">
      <c r="A61" s="91"/>
      <c r="B61" s="129"/>
      <c r="C61" s="98"/>
      <c r="D61" s="97"/>
      <c r="E61" s="122"/>
      <c r="F61" s="123"/>
      <c r="G61" s="97"/>
      <c r="H61" s="98"/>
      <c r="I61" s="105"/>
      <c r="J61" s="97"/>
      <c r="K61" s="100"/>
      <c r="L61" s="101"/>
      <c r="M61" s="102"/>
      <c r="N61" s="124"/>
      <c r="O61" s="125"/>
      <c r="P61" s="97"/>
      <c r="Q61" s="97"/>
      <c r="R61" s="126"/>
      <c r="S61" s="97"/>
      <c r="T61" s="97"/>
      <c r="V61" s="108"/>
    </row>
    <row r="62" ht="15.75" customHeight="1">
      <c r="A62" s="91"/>
      <c r="B62" s="129"/>
      <c r="C62" s="98"/>
      <c r="D62" s="97"/>
      <c r="E62" s="122"/>
      <c r="F62" s="121"/>
      <c r="G62" s="97"/>
      <c r="H62" s="98"/>
      <c r="I62" s="105"/>
      <c r="J62" s="97"/>
      <c r="K62" s="113"/>
      <c r="L62" s="114"/>
      <c r="M62" s="102"/>
      <c r="N62" s="124"/>
      <c r="O62" s="125"/>
      <c r="P62" s="97"/>
      <c r="Q62" s="97"/>
      <c r="R62" s="126"/>
      <c r="S62" s="97"/>
      <c r="T62" s="97"/>
      <c r="V62" s="108"/>
    </row>
    <row r="63" ht="15.75" customHeight="1">
      <c r="A63" s="91"/>
      <c r="B63" s="129"/>
      <c r="C63" s="134"/>
      <c r="D63" s="97"/>
      <c r="E63" s="122"/>
      <c r="F63" s="123"/>
      <c r="G63" s="97"/>
      <c r="H63" s="98"/>
      <c r="I63" s="105"/>
      <c r="J63" s="97"/>
      <c r="K63" s="100"/>
      <c r="L63" s="101"/>
      <c r="M63" s="102"/>
      <c r="N63" s="124"/>
      <c r="O63" s="125"/>
      <c r="P63" s="97"/>
      <c r="Q63" s="97"/>
      <c r="R63" s="126"/>
      <c r="S63" s="97"/>
      <c r="T63" s="97"/>
      <c r="V63" s="108"/>
    </row>
    <row r="64" ht="15.75" customHeight="1">
      <c r="A64" s="91"/>
      <c r="B64" s="129"/>
      <c r="C64" s="135"/>
      <c r="D64" s="97"/>
      <c r="E64" s="122"/>
      <c r="F64" s="121"/>
      <c r="G64" s="97"/>
      <c r="H64" s="98"/>
      <c r="I64" s="105"/>
      <c r="J64" s="97"/>
      <c r="K64" s="113"/>
      <c r="L64" s="114"/>
      <c r="M64" s="102"/>
      <c r="N64" s="103"/>
      <c r="O64" s="104"/>
      <c r="P64" s="97"/>
      <c r="Q64" s="115"/>
      <c r="R64" s="116"/>
      <c r="S64" s="105"/>
      <c r="T64" s="105"/>
      <c r="V64" s="108"/>
    </row>
    <row r="65" ht="15.75" customHeight="1">
      <c r="A65" s="91"/>
      <c r="B65" s="129"/>
      <c r="C65" s="99"/>
      <c r="D65" s="97"/>
      <c r="E65" s="122"/>
      <c r="F65" s="121"/>
      <c r="G65" s="97"/>
      <c r="H65" s="98"/>
      <c r="I65" s="105"/>
      <c r="J65" s="97"/>
      <c r="K65" s="100"/>
      <c r="L65" s="101"/>
      <c r="M65" s="102"/>
      <c r="N65" s="103"/>
      <c r="O65" s="104"/>
      <c r="P65" s="97"/>
      <c r="Q65" s="130"/>
      <c r="R65" s="116"/>
      <c r="S65" s="105"/>
      <c r="T65" s="105"/>
      <c r="V65" s="108"/>
    </row>
    <row r="66" ht="15.75" customHeight="1">
      <c r="A66" s="91"/>
      <c r="B66" s="129"/>
      <c r="C66" s="107"/>
      <c r="D66" s="97"/>
      <c r="E66" s="122"/>
      <c r="F66" s="121"/>
      <c r="G66" s="97"/>
      <c r="H66" s="98"/>
      <c r="I66" s="105"/>
      <c r="J66" s="97"/>
      <c r="K66" s="113"/>
      <c r="L66" s="114"/>
      <c r="M66" s="102"/>
      <c r="N66" s="124"/>
      <c r="O66" s="125"/>
      <c r="P66" s="97"/>
      <c r="Q66" s="97"/>
      <c r="R66" s="126"/>
      <c r="S66" s="97"/>
      <c r="T66" s="97"/>
      <c r="V66" s="108"/>
    </row>
    <row r="67" ht="15.75" customHeight="1">
      <c r="A67" s="91"/>
      <c r="B67" s="129"/>
      <c r="C67" s="107"/>
      <c r="D67" s="97"/>
      <c r="E67" s="92"/>
      <c r="F67" s="121"/>
      <c r="G67" s="97"/>
      <c r="H67" s="98"/>
      <c r="I67" s="105"/>
      <c r="J67" s="97"/>
      <c r="K67" s="100"/>
      <c r="L67" s="101"/>
      <c r="M67" s="102"/>
      <c r="N67" s="124"/>
      <c r="O67" s="125"/>
      <c r="P67" s="97"/>
      <c r="Q67" s="130"/>
      <c r="R67" s="107"/>
      <c r="S67" s="105"/>
      <c r="T67" s="105"/>
      <c r="V67" s="108"/>
    </row>
    <row r="68" ht="15.75" customHeight="1">
      <c r="A68" s="91"/>
      <c r="B68" s="129"/>
      <c r="C68" s="107"/>
      <c r="D68" s="97"/>
      <c r="E68" s="92"/>
      <c r="F68" s="121"/>
      <c r="G68" s="97"/>
      <c r="H68" s="98"/>
      <c r="I68" s="105"/>
      <c r="J68" s="97"/>
      <c r="K68" s="113"/>
      <c r="L68" s="114"/>
      <c r="M68" s="102"/>
      <c r="N68" s="124"/>
      <c r="O68" s="125"/>
      <c r="P68" s="97"/>
      <c r="Q68" s="130"/>
      <c r="R68" s="126"/>
      <c r="S68" s="97"/>
      <c r="T68" s="105"/>
      <c r="V68" s="108"/>
    </row>
    <row r="69" ht="15.75" customHeight="1">
      <c r="A69" s="91"/>
      <c r="B69" s="129"/>
      <c r="C69" s="98"/>
      <c r="D69" s="97"/>
      <c r="E69" s="92"/>
      <c r="F69" s="123"/>
      <c r="G69" s="97"/>
      <c r="H69" s="98"/>
      <c r="I69" s="105"/>
      <c r="J69" s="97"/>
      <c r="K69" s="100"/>
      <c r="L69" s="101"/>
      <c r="M69" s="102"/>
      <c r="N69" s="124"/>
      <c r="O69" s="125"/>
      <c r="P69" s="97"/>
      <c r="Q69" s="115"/>
      <c r="R69" s="107"/>
      <c r="S69" s="105"/>
      <c r="T69" s="105"/>
      <c r="V69" s="108"/>
    </row>
    <row r="70" ht="15.75" customHeight="1">
      <c r="A70" s="91"/>
      <c r="B70" s="129"/>
      <c r="C70" s="98"/>
      <c r="D70" s="97"/>
      <c r="E70" s="92"/>
      <c r="F70" s="121"/>
      <c r="G70" s="97"/>
      <c r="H70" s="98"/>
      <c r="I70" s="105"/>
      <c r="J70" s="97"/>
      <c r="K70" s="113"/>
      <c r="L70" s="114"/>
      <c r="M70" s="102"/>
      <c r="N70" s="124"/>
      <c r="O70" s="125"/>
      <c r="P70" s="97"/>
      <c r="Q70" s="131"/>
      <c r="R70" s="126"/>
      <c r="S70" s="97"/>
      <c r="T70" s="97"/>
      <c r="V70" s="108"/>
    </row>
    <row r="71" ht="15.75" customHeight="1">
      <c r="A71" s="91"/>
      <c r="B71" s="129"/>
      <c r="C71" s="98"/>
      <c r="D71" s="97"/>
      <c r="E71" s="92"/>
      <c r="F71" s="121"/>
      <c r="G71" s="97"/>
      <c r="H71" s="98"/>
      <c r="I71" s="105"/>
      <c r="J71" s="97"/>
      <c r="K71" s="100"/>
      <c r="L71" s="101"/>
      <c r="M71" s="102"/>
      <c r="N71" s="124"/>
      <c r="O71" s="125"/>
      <c r="P71" s="97"/>
      <c r="Q71" s="130"/>
      <c r="R71" s="107"/>
      <c r="S71" s="105"/>
      <c r="T71" s="105"/>
      <c r="V71" s="108"/>
    </row>
    <row r="72" ht="15.75" customHeight="1">
      <c r="A72" s="91"/>
      <c r="B72" s="129"/>
      <c r="C72" s="98"/>
      <c r="D72" s="97"/>
      <c r="E72" s="122"/>
      <c r="F72" s="121"/>
      <c r="G72" s="97"/>
      <c r="H72" s="98"/>
      <c r="I72" s="105"/>
      <c r="J72" s="97"/>
      <c r="K72" s="113"/>
      <c r="L72" s="114"/>
      <c r="M72" s="102"/>
      <c r="N72" s="103"/>
      <c r="O72" s="125"/>
      <c r="P72" s="97"/>
      <c r="Q72" s="130"/>
      <c r="R72" s="107"/>
      <c r="S72" s="105"/>
      <c r="T72" s="105"/>
      <c r="V72" s="108"/>
    </row>
    <row r="73" ht="15.75" customHeight="1">
      <c r="A73" s="91"/>
      <c r="B73" s="129"/>
      <c r="C73" s="98"/>
      <c r="D73" s="97"/>
      <c r="E73" s="122"/>
      <c r="F73" s="123"/>
      <c r="G73" s="97"/>
      <c r="H73" s="98"/>
      <c r="I73" s="105"/>
      <c r="J73" s="97"/>
      <c r="K73" s="100"/>
      <c r="L73" s="101"/>
      <c r="M73" s="102"/>
      <c r="N73" s="103"/>
      <c r="O73" s="125"/>
      <c r="P73" s="97"/>
      <c r="Q73" s="115"/>
      <c r="R73" s="107"/>
      <c r="S73" s="105"/>
      <c r="T73" s="105"/>
      <c r="V73" s="108"/>
    </row>
    <row r="74" ht="15.75" customHeight="1">
      <c r="A74" s="91"/>
      <c r="B74" s="129"/>
      <c r="C74" s="107"/>
      <c r="D74" s="97"/>
      <c r="E74" s="122"/>
      <c r="F74" s="121"/>
      <c r="G74" s="97"/>
      <c r="H74" s="98"/>
      <c r="I74" s="105"/>
      <c r="J74" s="97"/>
      <c r="K74" s="113"/>
      <c r="L74" s="114"/>
      <c r="M74" s="102"/>
      <c r="N74" s="103"/>
      <c r="O74" s="125"/>
      <c r="P74" s="97"/>
      <c r="Q74" s="115"/>
      <c r="R74" s="107"/>
      <c r="S74" s="105"/>
      <c r="T74" s="105"/>
      <c r="V74" s="108"/>
    </row>
    <row r="75" ht="15.75" customHeight="1">
      <c r="A75" s="91"/>
      <c r="B75" s="129"/>
      <c r="C75" s="107"/>
      <c r="D75" s="97"/>
      <c r="E75" s="122"/>
      <c r="F75" s="121"/>
      <c r="G75" s="97"/>
      <c r="H75" s="98"/>
      <c r="I75" s="105"/>
      <c r="J75" s="97"/>
      <c r="K75" s="100"/>
      <c r="L75" s="101"/>
      <c r="M75" s="102"/>
      <c r="N75" s="124"/>
      <c r="O75" s="125"/>
      <c r="P75" s="97"/>
      <c r="Q75" s="131"/>
      <c r="R75" s="126"/>
      <c r="S75" s="97"/>
      <c r="T75" s="97"/>
      <c r="V75" s="108"/>
    </row>
    <row r="76" ht="15.75" customHeight="1">
      <c r="A76" s="91"/>
      <c r="B76" s="129"/>
      <c r="C76" s="98"/>
      <c r="D76" s="97"/>
      <c r="E76" s="122"/>
      <c r="F76" s="121"/>
      <c r="G76" s="97"/>
      <c r="H76" s="98"/>
      <c r="I76" s="105"/>
      <c r="J76" s="97"/>
      <c r="K76" s="113"/>
      <c r="L76" s="114"/>
      <c r="M76" s="102"/>
      <c r="N76" s="103"/>
      <c r="O76" s="125"/>
      <c r="P76" s="97"/>
      <c r="Q76" s="115"/>
      <c r="R76" s="107"/>
      <c r="S76" s="105"/>
      <c r="T76" s="105"/>
      <c r="V76" s="108"/>
    </row>
    <row r="77" ht="15.75" customHeight="1">
      <c r="A77" s="91"/>
      <c r="B77" s="129"/>
      <c r="C77" s="98"/>
      <c r="D77" s="97"/>
      <c r="E77" s="92"/>
      <c r="F77" s="121"/>
      <c r="G77" s="97"/>
      <c r="H77" s="98"/>
      <c r="I77" s="105"/>
      <c r="J77" s="97"/>
      <c r="K77" s="100"/>
      <c r="L77" s="101"/>
      <c r="M77" s="102"/>
      <c r="N77" s="124"/>
      <c r="O77" s="125"/>
      <c r="P77" s="97"/>
      <c r="Q77" s="131"/>
      <c r="R77" s="126"/>
      <c r="S77" s="97"/>
      <c r="T77" s="97"/>
      <c r="V77" s="108"/>
    </row>
    <row r="78" ht="15.75" customHeight="1">
      <c r="A78" s="91"/>
      <c r="B78" s="129"/>
      <c r="C78" s="98"/>
      <c r="D78" s="97"/>
      <c r="E78" s="122"/>
      <c r="F78" s="121"/>
      <c r="G78" s="97"/>
      <c r="H78" s="98"/>
      <c r="I78" s="105"/>
      <c r="J78" s="97"/>
      <c r="K78" s="113"/>
      <c r="L78" s="114"/>
      <c r="M78" s="102"/>
      <c r="N78" s="103"/>
      <c r="O78" s="125"/>
      <c r="P78" s="97"/>
      <c r="Q78" s="115"/>
      <c r="R78" s="107"/>
      <c r="S78" s="105"/>
      <c r="T78" s="105"/>
      <c r="V78" s="108"/>
    </row>
    <row r="79" ht="15.75" customHeight="1">
      <c r="A79" s="91"/>
      <c r="B79" s="129"/>
      <c r="C79" s="98"/>
      <c r="D79" s="97"/>
      <c r="E79" s="122"/>
      <c r="F79" s="121"/>
      <c r="G79" s="97"/>
      <c r="H79" s="98"/>
      <c r="I79" s="105"/>
      <c r="J79" s="97"/>
      <c r="K79" s="100"/>
      <c r="L79" s="101"/>
      <c r="M79" s="102"/>
      <c r="N79" s="124"/>
      <c r="O79" s="125"/>
      <c r="P79" s="97"/>
      <c r="Q79" s="131"/>
      <c r="R79" s="126"/>
      <c r="S79" s="97"/>
      <c r="T79" s="97"/>
      <c r="V79" s="108"/>
    </row>
    <row r="80" ht="15.75" customHeight="1">
      <c r="A80" s="91"/>
      <c r="B80" s="129"/>
      <c r="C80" s="98"/>
      <c r="D80" s="97"/>
      <c r="E80" s="122"/>
      <c r="F80" s="121"/>
      <c r="G80" s="97"/>
      <c r="H80" s="98"/>
      <c r="I80" s="105"/>
      <c r="J80" s="97"/>
      <c r="K80" s="113"/>
      <c r="L80" s="114"/>
      <c r="M80" s="102"/>
      <c r="N80" s="103"/>
      <c r="O80" s="104"/>
      <c r="P80" s="97"/>
      <c r="Q80" s="130"/>
      <c r="R80" s="107"/>
      <c r="S80" s="105"/>
      <c r="T80" s="105"/>
      <c r="V80" s="108"/>
    </row>
    <row r="81" ht="15.75" customHeight="1">
      <c r="A81" s="91"/>
      <c r="B81" s="129"/>
      <c r="C81" s="107"/>
      <c r="D81" s="97"/>
      <c r="E81" s="122"/>
      <c r="F81" s="121"/>
      <c r="G81" s="97"/>
      <c r="H81" s="98"/>
      <c r="I81" s="105"/>
      <c r="J81" s="97"/>
      <c r="K81" s="100"/>
      <c r="L81" s="101"/>
      <c r="M81" s="102"/>
      <c r="N81" s="103"/>
      <c r="O81" s="104"/>
      <c r="P81" s="97"/>
      <c r="Q81" s="115"/>
      <c r="R81" s="136"/>
      <c r="S81" s="105"/>
      <c r="T81" s="105"/>
      <c r="V81" s="108"/>
    </row>
    <row r="82" ht="15.75" customHeight="1">
      <c r="A82" s="91"/>
      <c r="B82" s="129"/>
      <c r="C82" s="107"/>
      <c r="D82" s="97"/>
      <c r="E82" s="122"/>
      <c r="F82" s="121"/>
      <c r="G82" s="97"/>
      <c r="H82" s="98"/>
      <c r="I82" s="105"/>
      <c r="J82" s="97"/>
      <c r="K82" s="113"/>
      <c r="L82" s="114"/>
      <c r="M82" s="102"/>
      <c r="N82" s="103"/>
      <c r="O82" s="104"/>
      <c r="P82" s="97"/>
      <c r="Q82" s="115"/>
      <c r="R82" s="107"/>
      <c r="S82" s="105"/>
      <c r="T82" s="105"/>
      <c r="V82" s="108"/>
    </row>
    <row r="83" ht="15.75" customHeight="1">
      <c r="A83" s="91"/>
      <c r="B83" s="129"/>
      <c r="C83" s="98"/>
      <c r="D83" s="97"/>
      <c r="E83" s="122"/>
      <c r="F83" s="121"/>
      <c r="G83" s="97"/>
      <c r="H83" s="98"/>
      <c r="I83" s="105"/>
      <c r="J83" s="97"/>
      <c r="K83" s="100"/>
      <c r="L83" s="101"/>
      <c r="M83" s="102"/>
      <c r="N83" s="124"/>
      <c r="O83" s="125"/>
      <c r="P83" s="97"/>
      <c r="Q83" s="131"/>
      <c r="R83" s="126"/>
      <c r="S83" s="97"/>
      <c r="T83" s="97"/>
      <c r="V83" s="108"/>
    </row>
    <row r="84" ht="15.75" customHeight="1">
      <c r="A84" s="91"/>
      <c r="B84" s="129"/>
      <c r="C84" s="98"/>
      <c r="D84" s="97"/>
      <c r="E84" s="122"/>
      <c r="F84" s="121"/>
      <c r="G84" s="97"/>
      <c r="H84" s="98"/>
      <c r="I84" s="105"/>
      <c r="J84" s="97"/>
      <c r="K84" s="113"/>
      <c r="L84" s="114"/>
      <c r="M84" s="102"/>
      <c r="N84" s="124"/>
      <c r="O84" s="125"/>
      <c r="P84" s="97"/>
      <c r="Q84" s="97"/>
      <c r="R84" s="126"/>
      <c r="S84" s="97"/>
      <c r="T84" s="97"/>
      <c r="V84" s="108"/>
    </row>
    <row r="85" ht="15.75" customHeight="1">
      <c r="A85" s="91"/>
      <c r="B85" s="129"/>
      <c r="C85" s="137"/>
      <c r="D85" s="97"/>
      <c r="E85" s="122"/>
      <c r="F85" s="121"/>
      <c r="G85" s="97"/>
      <c r="H85" s="98"/>
      <c r="I85" s="105"/>
      <c r="J85" s="97"/>
      <c r="K85" s="100"/>
      <c r="L85" s="101"/>
      <c r="M85" s="102"/>
      <c r="N85" s="124"/>
      <c r="O85" s="125"/>
      <c r="P85" s="97"/>
      <c r="Q85" s="131"/>
      <c r="R85" s="126"/>
      <c r="S85" s="97"/>
      <c r="T85" s="97"/>
      <c r="V85" s="108"/>
    </row>
    <row r="86" ht="15.75" customHeight="1">
      <c r="A86" s="91"/>
      <c r="B86" s="129"/>
      <c r="C86" s="99"/>
      <c r="D86" s="97"/>
      <c r="E86" s="122"/>
      <c r="F86" s="121"/>
      <c r="G86" s="97"/>
      <c r="H86" s="98"/>
      <c r="I86" s="105"/>
      <c r="J86" s="97"/>
      <c r="K86" s="113"/>
      <c r="L86" s="114"/>
      <c r="M86" s="102"/>
      <c r="N86" s="103"/>
      <c r="O86" s="104"/>
      <c r="P86" s="97"/>
      <c r="Q86" s="130"/>
      <c r="R86" s="116"/>
      <c r="S86" s="105"/>
      <c r="T86" s="105"/>
      <c r="V86" s="108"/>
    </row>
    <row r="87" ht="15.75" customHeight="1">
      <c r="A87" s="91"/>
      <c r="B87" s="129"/>
      <c r="C87" s="98"/>
      <c r="D87" s="97"/>
      <c r="E87" s="122"/>
      <c r="F87" s="121"/>
      <c r="G87" s="97"/>
      <c r="H87" s="98"/>
      <c r="I87" s="105"/>
      <c r="J87" s="97"/>
      <c r="K87" s="100"/>
      <c r="L87" s="101"/>
      <c r="M87" s="102"/>
      <c r="N87" s="124"/>
      <c r="O87" s="104"/>
      <c r="P87" s="97"/>
      <c r="Q87" s="131"/>
      <c r="R87" s="107"/>
      <c r="S87" s="105"/>
      <c r="T87" s="105"/>
      <c r="V87" s="108"/>
    </row>
    <row r="88" ht="15.75" customHeight="1">
      <c r="A88" s="91"/>
      <c r="B88" s="129"/>
      <c r="C88" s="98"/>
      <c r="D88" s="97"/>
      <c r="E88" s="122"/>
      <c r="F88" s="121"/>
      <c r="G88" s="97"/>
      <c r="H88" s="98"/>
      <c r="I88" s="105"/>
      <c r="J88" s="97"/>
      <c r="K88" s="113"/>
      <c r="L88" s="114"/>
      <c r="M88" s="102"/>
      <c r="N88" s="103"/>
      <c r="O88" s="104"/>
      <c r="P88" s="97"/>
      <c r="Q88" s="115"/>
      <c r="R88" s="107"/>
      <c r="S88" s="105"/>
      <c r="T88" s="105"/>
      <c r="V88" s="108"/>
    </row>
    <row r="89" ht="15.75" customHeight="1">
      <c r="A89" s="91"/>
      <c r="B89" s="129"/>
      <c r="C89" s="98"/>
      <c r="D89" s="97"/>
      <c r="E89" s="122"/>
      <c r="F89" s="121"/>
      <c r="G89" s="97"/>
      <c r="H89" s="98"/>
      <c r="I89" s="105"/>
      <c r="J89" s="97"/>
      <c r="K89" s="100"/>
      <c r="L89" s="101"/>
      <c r="M89" s="102"/>
      <c r="N89" s="124"/>
      <c r="O89" s="125"/>
      <c r="P89" s="97"/>
      <c r="Q89" s="97"/>
      <c r="R89" s="126"/>
      <c r="S89" s="97"/>
      <c r="T89" s="97"/>
      <c r="V89" s="108"/>
    </row>
    <row r="90" ht="15.75" customHeight="1">
      <c r="A90" s="91"/>
      <c r="B90" s="129"/>
      <c r="C90" s="138"/>
      <c r="D90" s="97"/>
      <c r="E90" s="122"/>
      <c r="F90" s="139"/>
      <c r="G90" s="97"/>
      <c r="H90" s="98"/>
      <c r="I90" s="105"/>
      <c r="J90" s="97"/>
      <c r="K90" s="113"/>
      <c r="L90" s="114"/>
      <c r="M90" s="102"/>
      <c r="N90" s="103"/>
      <c r="O90" s="104"/>
      <c r="P90" s="97"/>
      <c r="Q90" s="105"/>
      <c r="R90" s="107"/>
      <c r="S90" s="105"/>
      <c r="T90" s="105"/>
      <c r="V90" s="108"/>
    </row>
    <row r="91" ht="15.75" customHeight="1">
      <c r="A91" s="91"/>
      <c r="B91" s="129"/>
      <c r="C91" s="140"/>
      <c r="D91" s="97"/>
      <c r="E91" s="122"/>
      <c r="F91" s="121"/>
      <c r="G91" s="97"/>
      <c r="H91" s="98"/>
      <c r="I91" s="105"/>
      <c r="J91" s="97"/>
      <c r="K91" s="100"/>
      <c r="L91" s="101"/>
      <c r="M91" s="102"/>
      <c r="N91" s="124"/>
      <c r="O91" s="125"/>
      <c r="P91" s="97"/>
      <c r="Q91" s="97"/>
      <c r="R91" s="126"/>
      <c r="S91" s="97"/>
      <c r="T91" s="97"/>
      <c r="V91" s="108"/>
    </row>
    <row r="92" ht="15.75" customHeight="1">
      <c r="A92" s="91"/>
      <c r="B92" s="129"/>
      <c r="C92" s="138"/>
      <c r="D92" s="97"/>
      <c r="E92" s="122"/>
      <c r="F92" s="121"/>
      <c r="G92" s="97"/>
      <c r="H92" s="98"/>
      <c r="I92" s="105"/>
      <c r="J92" s="97"/>
      <c r="K92" s="113"/>
      <c r="L92" s="114"/>
      <c r="M92" s="102"/>
      <c r="N92" s="103"/>
      <c r="O92" s="104"/>
      <c r="P92" s="97"/>
      <c r="Q92" s="130"/>
      <c r="R92" s="107"/>
      <c r="S92" s="105"/>
      <c r="T92" s="105"/>
      <c r="V92" s="108"/>
    </row>
    <row r="93" ht="15.75" customHeight="1">
      <c r="A93" s="91"/>
      <c r="B93" s="129"/>
      <c r="C93" s="140"/>
      <c r="D93" s="97"/>
      <c r="E93" s="121"/>
      <c r="F93" s="121"/>
      <c r="G93" s="97"/>
      <c r="H93" s="98"/>
      <c r="I93" s="105"/>
      <c r="J93" s="97"/>
      <c r="K93" s="100"/>
      <c r="L93" s="101"/>
      <c r="M93" s="102"/>
      <c r="N93" s="124"/>
      <c r="O93" s="125"/>
      <c r="P93" s="97"/>
      <c r="Q93" s="131"/>
      <c r="R93" s="126"/>
      <c r="S93" s="97"/>
      <c r="T93" s="97"/>
      <c r="V93" s="108"/>
    </row>
    <row r="94" ht="15.75" customHeight="1">
      <c r="A94" s="91"/>
      <c r="B94" s="129"/>
      <c r="C94" s="98"/>
      <c r="D94" s="97"/>
      <c r="E94" s="122"/>
      <c r="F94" s="121"/>
      <c r="G94" s="97"/>
      <c r="H94" s="98"/>
      <c r="I94" s="105"/>
      <c r="J94" s="97"/>
      <c r="K94" s="113"/>
      <c r="L94" s="114"/>
      <c r="M94" s="102"/>
      <c r="N94" s="124"/>
      <c r="O94" s="125"/>
      <c r="P94" s="97"/>
      <c r="Q94" s="97"/>
      <c r="R94" s="126"/>
      <c r="S94" s="97"/>
      <c r="T94" s="97"/>
      <c r="V94" s="108"/>
    </row>
    <row r="95" ht="15.75" customHeight="1">
      <c r="A95" s="91"/>
      <c r="B95" s="129"/>
      <c r="C95" s="98"/>
      <c r="D95" s="97"/>
      <c r="E95" s="122"/>
      <c r="F95" s="121"/>
      <c r="G95" s="97"/>
      <c r="H95" s="98"/>
      <c r="I95" s="105"/>
      <c r="J95" s="97"/>
      <c r="K95" s="100"/>
      <c r="L95" s="101"/>
      <c r="M95" s="102"/>
      <c r="N95" s="103"/>
      <c r="O95" s="104"/>
      <c r="P95" s="97"/>
      <c r="Q95" s="115"/>
      <c r="R95" s="107"/>
      <c r="S95" s="105"/>
      <c r="T95" s="105"/>
      <c r="V95" s="108"/>
    </row>
    <row r="96" ht="15.75" customHeight="1">
      <c r="A96" s="91"/>
      <c r="B96" s="129"/>
      <c r="C96" s="98"/>
      <c r="D96" s="97"/>
      <c r="E96" s="122"/>
      <c r="F96" s="121"/>
      <c r="G96" s="97"/>
      <c r="H96" s="98"/>
      <c r="I96" s="105"/>
      <c r="J96" s="97"/>
      <c r="K96" s="113"/>
      <c r="L96" s="114"/>
      <c r="M96" s="102"/>
      <c r="N96" s="124"/>
      <c r="O96" s="125"/>
      <c r="P96" s="97"/>
      <c r="Q96" s="97"/>
      <c r="R96" s="126"/>
      <c r="S96" s="97"/>
      <c r="T96" s="97"/>
      <c r="V96" s="108"/>
    </row>
    <row r="97" ht="15.75" customHeight="1">
      <c r="A97" s="91"/>
      <c r="B97" s="129"/>
      <c r="C97" s="98"/>
      <c r="D97" s="97"/>
      <c r="E97" s="141"/>
      <c r="F97" s="121"/>
      <c r="G97" s="97"/>
      <c r="H97" s="98"/>
      <c r="I97" s="105"/>
      <c r="J97" s="97"/>
      <c r="K97" s="100"/>
      <c r="L97" s="101"/>
      <c r="M97" s="102"/>
      <c r="N97" s="124"/>
      <c r="O97" s="125"/>
      <c r="P97" s="97"/>
      <c r="Q97" s="131"/>
      <c r="R97" s="126"/>
      <c r="S97" s="97"/>
      <c r="T97" s="97"/>
      <c r="V97" s="108"/>
    </row>
    <row r="98" ht="15.75" customHeight="1">
      <c r="A98" s="91"/>
      <c r="B98" s="129"/>
      <c r="C98" s="107"/>
      <c r="D98" s="97"/>
      <c r="E98" s="122"/>
      <c r="F98" s="121"/>
      <c r="G98" s="97"/>
      <c r="H98" s="98"/>
      <c r="I98" s="105"/>
      <c r="J98" s="97"/>
      <c r="K98" s="113"/>
      <c r="L98" s="114"/>
      <c r="M98" s="102"/>
      <c r="N98" s="124"/>
      <c r="O98" s="125"/>
      <c r="P98" s="97"/>
      <c r="Q98" s="130"/>
      <c r="R98" s="107"/>
      <c r="S98" s="97"/>
      <c r="T98" s="105"/>
      <c r="V98" s="108"/>
    </row>
    <row r="99" ht="15.75" customHeight="1">
      <c r="A99" s="91"/>
      <c r="B99" s="129"/>
      <c r="C99" s="107"/>
      <c r="D99" s="97"/>
      <c r="E99" s="122"/>
      <c r="F99" s="121"/>
      <c r="G99" s="97"/>
      <c r="H99" s="98"/>
      <c r="I99" s="105"/>
      <c r="J99" s="97"/>
      <c r="K99" s="100"/>
      <c r="L99" s="101"/>
      <c r="M99" s="102"/>
      <c r="N99" s="124"/>
      <c r="O99" s="125"/>
      <c r="P99" s="97"/>
      <c r="Q99" s="130"/>
      <c r="R99" s="107"/>
      <c r="S99" s="97"/>
      <c r="T99" s="105"/>
      <c r="V99" s="108"/>
    </row>
    <row r="100" ht="15.75" customHeight="1">
      <c r="A100" s="91"/>
      <c r="B100" s="129"/>
      <c r="C100" s="98"/>
      <c r="D100" s="97"/>
      <c r="E100" s="92"/>
      <c r="F100" s="123"/>
      <c r="G100" s="97"/>
      <c r="H100" s="98"/>
      <c r="I100" s="105"/>
      <c r="J100" s="97"/>
      <c r="K100" s="113"/>
      <c r="L100" s="114"/>
      <c r="M100" s="102"/>
      <c r="N100" s="124"/>
      <c r="O100" s="125"/>
      <c r="P100" s="97"/>
      <c r="Q100" s="131"/>
      <c r="R100" s="126"/>
      <c r="S100" s="97"/>
      <c r="T100" s="97"/>
      <c r="V100" s="108"/>
    </row>
    <row r="101" ht="15.75" customHeight="1">
      <c r="A101" s="91"/>
      <c r="B101" s="129"/>
      <c r="C101" s="98"/>
      <c r="D101" s="97"/>
      <c r="E101" s="122"/>
      <c r="F101" s="121"/>
      <c r="G101" s="97"/>
      <c r="H101" s="98"/>
      <c r="I101" s="105"/>
      <c r="J101" s="97"/>
      <c r="K101" s="100"/>
      <c r="L101" s="101"/>
      <c r="M101" s="102"/>
      <c r="N101" s="124"/>
      <c r="O101" s="125"/>
      <c r="P101" s="97"/>
      <c r="Q101" s="97"/>
      <c r="R101" s="126"/>
      <c r="S101" s="97"/>
      <c r="T101" s="97"/>
      <c r="V101" s="108"/>
    </row>
    <row r="102" ht="15.75" customHeight="1">
      <c r="A102" s="91"/>
      <c r="B102" s="129"/>
      <c r="C102" s="98"/>
      <c r="D102" s="97"/>
      <c r="E102" s="122"/>
      <c r="F102" s="121"/>
      <c r="G102" s="97"/>
      <c r="H102" s="98"/>
      <c r="I102" s="105"/>
      <c r="J102" s="97"/>
      <c r="K102" s="113"/>
      <c r="L102" s="114"/>
      <c r="M102" s="102"/>
      <c r="N102" s="103"/>
      <c r="O102" s="104"/>
      <c r="P102" s="97"/>
      <c r="Q102" s="115"/>
      <c r="R102" s="116"/>
      <c r="S102" s="105"/>
      <c r="T102" s="105"/>
      <c r="V102" s="108"/>
    </row>
    <row r="103" ht="15.75" customHeight="1">
      <c r="A103" s="91"/>
      <c r="B103" s="142"/>
      <c r="C103" s="143"/>
      <c r="D103" s="97"/>
      <c r="E103" s="144"/>
      <c r="F103" s="139"/>
      <c r="G103" s="97"/>
      <c r="H103" s="98"/>
      <c r="I103" s="105"/>
      <c r="J103" s="97"/>
      <c r="K103" s="100"/>
      <c r="L103" s="101"/>
      <c r="M103" s="102"/>
      <c r="N103" s="103"/>
      <c r="O103" s="125"/>
      <c r="P103" s="97"/>
      <c r="Q103" s="131"/>
      <c r="R103" s="126"/>
      <c r="S103" s="105"/>
      <c r="T103" s="97"/>
      <c r="V103" s="108"/>
    </row>
    <row r="104" ht="15.75" customHeight="1">
      <c r="A104" s="91"/>
      <c r="B104" s="142"/>
      <c r="C104" s="143"/>
      <c r="D104" s="97"/>
      <c r="E104" s="144"/>
      <c r="F104" s="144"/>
      <c r="G104" s="97"/>
      <c r="H104" s="98"/>
      <c r="I104" s="105"/>
      <c r="J104" s="97"/>
      <c r="K104" s="113"/>
      <c r="L104" s="114"/>
      <c r="M104" s="102"/>
      <c r="N104" s="103"/>
      <c r="O104" s="125"/>
      <c r="P104" s="97"/>
      <c r="Q104" s="97"/>
      <c r="R104" s="126"/>
      <c r="S104" s="105"/>
      <c r="T104" s="97"/>
      <c r="V104" s="108"/>
    </row>
    <row r="105" ht="15.75" customHeight="1">
      <c r="A105" s="91"/>
      <c r="B105" s="142"/>
      <c r="C105" s="108"/>
      <c r="D105" s="97"/>
      <c r="E105" s="144"/>
      <c r="F105" s="144"/>
      <c r="G105" s="97"/>
      <c r="H105" s="98"/>
      <c r="I105" s="105"/>
      <c r="J105" s="97"/>
      <c r="K105" s="100"/>
      <c r="L105" s="101"/>
      <c r="M105" s="102"/>
      <c r="N105" s="103"/>
      <c r="O105" s="125"/>
      <c r="P105" s="97"/>
      <c r="Q105" s="131"/>
      <c r="R105" s="126"/>
      <c r="S105" s="105"/>
      <c r="T105" s="97"/>
      <c r="V105" s="108"/>
    </row>
    <row r="106" ht="15.75" customHeight="1">
      <c r="A106" s="91"/>
      <c r="B106" s="142"/>
      <c r="C106" s="108"/>
      <c r="D106" s="97"/>
      <c r="E106" s="144"/>
      <c r="F106" s="144"/>
      <c r="G106" s="97"/>
      <c r="H106" s="98"/>
      <c r="I106" s="105"/>
      <c r="J106" s="97"/>
      <c r="K106" s="113"/>
      <c r="L106" s="114"/>
      <c r="M106" s="102"/>
      <c r="N106" s="103"/>
      <c r="O106" s="125"/>
      <c r="P106" s="97"/>
      <c r="Q106" s="131"/>
      <c r="R106" s="126"/>
      <c r="S106" s="105"/>
      <c r="T106" s="97"/>
      <c r="V106" s="108"/>
    </row>
    <row r="107" ht="15.75" customHeight="1">
      <c r="A107" s="91"/>
      <c r="B107" s="142"/>
      <c r="C107" s="143"/>
      <c r="D107" s="97"/>
      <c r="E107" s="144"/>
      <c r="F107" s="144"/>
      <c r="G107" s="97"/>
      <c r="H107" s="98"/>
      <c r="I107" s="105"/>
      <c r="J107" s="97"/>
      <c r="K107" s="100"/>
      <c r="L107" s="101"/>
      <c r="M107" s="102"/>
      <c r="N107" s="103"/>
      <c r="O107" s="125"/>
      <c r="P107" s="97"/>
      <c r="Q107" s="131"/>
      <c r="R107" s="126"/>
      <c r="S107" s="105"/>
      <c r="T107" s="97"/>
      <c r="V107" s="108"/>
    </row>
    <row r="108" ht="15.75" customHeight="1">
      <c r="A108" s="91"/>
      <c r="B108" s="142"/>
      <c r="C108" s="143"/>
      <c r="D108" s="97"/>
      <c r="E108" s="144"/>
      <c r="F108" s="144"/>
      <c r="G108" s="97"/>
      <c r="H108" s="98"/>
      <c r="I108" s="105"/>
      <c r="J108" s="97"/>
      <c r="K108" s="113"/>
      <c r="L108" s="114"/>
      <c r="M108" s="102"/>
      <c r="N108" s="103"/>
      <c r="O108" s="125"/>
      <c r="P108" s="97"/>
      <c r="Q108" s="97"/>
      <c r="R108" s="126"/>
      <c r="S108" s="105"/>
      <c r="T108" s="97"/>
      <c r="V108" s="108"/>
    </row>
    <row r="109" ht="15.75" customHeight="1">
      <c r="A109" s="91"/>
      <c r="B109" s="142"/>
      <c r="C109" s="143"/>
      <c r="D109" s="97"/>
      <c r="E109" s="144"/>
      <c r="F109" s="144"/>
      <c r="G109" s="97"/>
      <c r="H109" s="98"/>
      <c r="I109" s="105"/>
      <c r="J109" s="97"/>
      <c r="K109" s="100"/>
      <c r="L109" s="101"/>
      <c r="M109" s="102"/>
      <c r="N109" s="103"/>
      <c r="O109" s="125"/>
      <c r="P109" s="97"/>
      <c r="Q109" s="131"/>
      <c r="R109" s="126"/>
      <c r="S109" s="105"/>
      <c r="T109" s="97"/>
      <c r="V109" s="108"/>
    </row>
    <row r="110" ht="15.75" customHeight="1">
      <c r="A110" s="91"/>
      <c r="B110" s="142"/>
      <c r="C110" s="143"/>
      <c r="D110" s="97"/>
      <c r="E110" s="144"/>
      <c r="F110" s="144"/>
      <c r="G110" s="97"/>
      <c r="H110" s="143"/>
      <c r="I110" s="145"/>
      <c r="J110" s="97"/>
      <c r="K110" s="113"/>
      <c r="L110" s="114"/>
      <c r="M110" s="102"/>
      <c r="N110" s="124"/>
      <c r="O110" s="125"/>
      <c r="P110" s="97"/>
      <c r="Q110" s="97"/>
      <c r="R110" s="126"/>
      <c r="S110" s="97"/>
      <c r="T110" s="97"/>
      <c r="V110" s="108"/>
    </row>
    <row r="111" ht="15.75" customHeight="1">
      <c r="A111" s="91"/>
      <c r="B111" s="142"/>
      <c r="C111" s="143"/>
      <c r="D111" s="97"/>
      <c r="E111" s="144"/>
      <c r="F111" s="144"/>
      <c r="G111" s="97"/>
      <c r="H111" s="143"/>
      <c r="I111" s="97"/>
      <c r="J111" s="97"/>
      <c r="K111" s="100"/>
      <c r="L111" s="101"/>
      <c r="M111" s="102"/>
      <c r="N111" s="124"/>
      <c r="O111" s="125"/>
      <c r="P111" s="97"/>
      <c r="Q111" s="131"/>
      <c r="R111" s="126"/>
      <c r="S111" s="97"/>
      <c r="T111" s="97"/>
      <c r="V111" s="108"/>
    </row>
    <row r="112" ht="15.75" customHeight="1">
      <c r="A112" s="91"/>
      <c r="B112" s="142"/>
      <c r="C112" s="108"/>
      <c r="D112" s="97"/>
      <c r="E112" s="144"/>
      <c r="F112" s="144"/>
      <c r="G112" s="97"/>
      <c r="H112" s="143"/>
      <c r="I112" s="97"/>
      <c r="J112" s="97"/>
      <c r="K112" s="113"/>
      <c r="L112" s="114"/>
      <c r="M112" s="102"/>
      <c r="N112" s="124"/>
      <c r="O112" s="125"/>
      <c r="P112" s="97"/>
      <c r="Q112" s="97"/>
      <c r="R112" s="126"/>
      <c r="S112" s="97"/>
      <c r="T112" s="97"/>
      <c r="V112" s="108"/>
    </row>
    <row r="113" ht="15.75" customHeight="1">
      <c r="A113" s="91"/>
      <c r="B113" s="142"/>
      <c r="C113" s="108"/>
      <c r="D113" s="97"/>
      <c r="E113" s="144"/>
      <c r="F113" s="144"/>
      <c r="G113" s="97"/>
      <c r="H113" s="143"/>
      <c r="I113" s="97"/>
      <c r="J113" s="97"/>
      <c r="K113" s="100"/>
      <c r="L113" s="101"/>
      <c r="M113" s="102"/>
      <c r="N113" s="124"/>
      <c r="O113" s="125"/>
      <c r="P113" s="97"/>
      <c r="Q113" s="97"/>
      <c r="R113" s="126"/>
      <c r="S113" s="97"/>
      <c r="T113" s="97"/>
      <c r="V113" s="108"/>
    </row>
    <row r="114" ht="15.75" customHeight="1">
      <c r="A114" s="91"/>
      <c r="B114" s="142"/>
      <c r="C114" s="108"/>
      <c r="D114" s="97"/>
      <c r="E114" s="144"/>
      <c r="F114" s="144"/>
      <c r="G114" s="97"/>
      <c r="H114" s="143"/>
      <c r="I114" s="97"/>
      <c r="J114" s="97"/>
      <c r="K114" s="113"/>
      <c r="L114" s="114"/>
      <c r="M114" s="102"/>
      <c r="N114" s="124"/>
      <c r="O114" s="125"/>
      <c r="P114" s="97"/>
      <c r="Q114" s="97"/>
      <c r="R114" s="126"/>
      <c r="S114" s="97"/>
      <c r="T114" s="97"/>
      <c r="V114" s="108"/>
    </row>
    <row r="115" ht="15.75" customHeight="1">
      <c r="A115" s="91"/>
      <c r="B115" s="142"/>
      <c r="C115" s="143"/>
      <c r="D115" s="97"/>
      <c r="E115" s="144"/>
      <c r="F115" s="144"/>
      <c r="G115" s="97"/>
      <c r="H115" s="143"/>
      <c r="I115" s="97"/>
      <c r="J115" s="97"/>
      <c r="K115" s="100"/>
      <c r="L115" s="101"/>
      <c r="M115" s="102"/>
      <c r="N115" s="124"/>
      <c r="O115" s="125"/>
      <c r="P115" s="97"/>
      <c r="Q115" s="97"/>
      <c r="R115" s="126"/>
      <c r="S115" s="97"/>
      <c r="T115" s="97"/>
      <c r="V115" s="108"/>
    </row>
    <row r="116" ht="15.75" customHeight="1">
      <c r="A116" s="91"/>
      <c r="B116" s="142"/>
      <c r="C116" s="143"/>
      <c r="D116" s="97"/>
      <c r="E116" s="144"/>
      <c r="F116" s="144"/>
      <c r="G116" s="97"/>
      <c r="H116" s="143"/>
      <c r="I116" s="97"/>
      <c r="J116" s="97"/>
      <c r="K116" s="113"/>
      <c r="L116" s="114"/>
      <c r="M116" s="102"/>
      <c r="N116" s="124"/>
      <c r="O116" s="125"/>
      <c r="P116" s="97"/>
      <c r="Q116" s="97"/>
      <c r="R116" s="126"/>
      <c r="S116" s="97"/>
      <c r="T116" s="97"/>
      <c r="V116" s="108"/>
    </row>
    <row r="117" ht="15.75" customHeight="1">
      <c r="A117" s="91"/>
      <c r="B117" s="142"/>
      <c r="C117" s="143"/>
      <c r="D117" s="97"/>
      <c r="E117" s="144"/>
      <c r="F117" s="144"/>
      <c r="G117" s="97"/>
      <c r="H117" s="143"/>
      <c r="I117" s="97"/>
      <c r="J117" s="97"/>
      <c r="K117" s="100"/>
      <c r="L117" s="101"/>
      <c r="M117" s="102"/>
      <c r="N117" s="124"/>
      <c r="O117" s="125"/>
      <c r="P117" s="97"/>
      <c r="Q117" s="97"/>
      <c r="R117" s="126"/>
      <c r="S117" s="97"/>
      <c r="T117" s="97"/>
      <c r="V117" s="108"/>
    </row>
    <row r="118" ht="15.75" customHeight="1">
      <c r="A118" s="91"/>
      <c r="B118" s="142"/>
      <c r="C118" s="143"/>
      <c r="D118" s="97"/>
      <c r="E118" s="144"/>
      <c r="F118" s="144"/>
      <c r="G118" s="97"/>
      <c r="H118" s="143"/>
      <c r="I118" s="97"/>
      <c r="J118" s="97"/>
      <c r="K118" s="113"/>
      <c r="L118" s="114"/>
      <c r="M118" s="102"/>
      <c r="N118" s="124"/>
      <c r="O118" s="125"/>
      <c r="P118" s="97"/>
      <c r="Q118" s="97"/>
      <c r="R118" s="126"/>
      <c r="S118" s="97"/>
      <c r="T118" s="97"/>
      <c r="V118" s="108"/>
    </row>
    <row r="119" ht="15.75" customHeight="1">
      <c r="A119" s="91"/>
      <c r="B119" s="142"/>
      <c r="C119" s="143"/>
      <c r="D119" s="97"/>
      <c r="E119" s="144"/>
      <c r="F119" s="144"/>
      <c r="G119" s="97"/>
      <c r="H119" s="143"/>
      <c r="I119" s="97"/>
      <c r="J119" s="97"/>
      <c r="K119" s="100"/>
      <c r="L119" s="101"/>
      <c r="M119" s="102"/>
      <c r="N119" s="124"/>
      <c r="O119" s="125"/>
      <c r="P119" s="97"/>
      <c r="Q119" s="131"/>
      <c r="R119" s="126"/>
      <c r="S119" s="97"/>
      <c r="T119" s="97"/>
      <c r="V119" s="108"/>
    </row>
    <row r="120" ht="15.75" customHeight="1">
      <c r="A120" s="91"/>
      <c r="B120" s="142"/>
      <c r="C120" s="108"/>
      <c r="D120" s="97"/>
      <c r="E120" s="144"/>
      <c r="F120" s="144"/>
      <c r="G120" s="97"/>
      <c r="H120" s="143"/>
      <c r="I120" s="97"/>
      <c r="J120" s="97"/>
      <c r="K120" s="113"/>
      <c r="L120" s="114"/>
      <c r="M120" s="102"/>
      <c r="N120" s="124"/>
      <c r="O120" s="125"/>
      <c r="P120" s="97"/>
      <c r="Q120" s="97"/>
      <c r="R120" s="126"/>
      <c r="S120" s="97"/>
      <c r="T120" s="97"/>
      <c r="V120" s="108"/>
    </row>
    <row r="121" ht="15.75" customHeight="1">
      <c r="A121" s="91"/>
      <c r="B121" s="142"/>
      <c r="C121" s="108"/>
      <c r="D121" s="97"/>
      <c r="E121" s="144"/>
      <c r="F121" s="144"/>
      <c r="G121" s="97"/>
      <c r="H121" s="143"/>
      <c r="I121" s="97"/>
      <c r="J121" s="97"/>
      <c r="K121" s="100"/>
      <c r="L121" s="101"/>
      <c r="M121" s="102"/>
      <c r="N121" s="124"/>
      <c r="O121" s="125"/>
      <c r="P121" s="97"/>
      <c r="Q121" s="97"/>
      <c r="R121" s="126"/>
      <c r="S121" s="97"/>
      <c r="T121" s="97"/>
      <c r="V121" s="108"/>
    </row>
    <row r="122" ht="15.75" customHeight="1">
      <c r="A122" s="91"/>
      <c r="B122" s="142"/>
      <c r="C122" s="108"/>
      <c r="D122" s="97"/>
      <c r="E122" s="144"/>
      <c r="F122" s="144"/>
      <c r="G122" s="97"/>
      <c r="H122" s="143"/>
      <c r="I122" s="97"/>
      <c r="J122" s="97"/>
      <c r="K122" s="113"/>
      <c r="L122" s="114"/>
      <c r="M122" s="102"/>
      <c r="N122" s="124"/>
      <c r="O122" s="125"/>
      <c r="P122" s="97"/>
      <c r="Q122" s="131"/>
      <c r="R122" s="126"/>
      <c r="S122" s="97"/>
      <c r="T122" s="97"/>
      <c r="V122" s="108"/>
    </row>
    <row r="123" ht="15.75" customHeight="1">
      <c r="A123" s="91"/>
      <c r="B123" s="142"/>
      <c r="C123" s="143"/>
      <c r="D123" s="97"/>
      <c r="E123" s="144"/>
      <c r="F123" s="144"/>
      <c r="G123" s="97"/>
      <c r="H123" s="143"/>
      <c r="I123" s="97"/>
      <c r="J123" s="97"/>
      <c r="K123" s="100"/>
      <c r="L123" s="101"/>
      <c r="M123" s="102"/>
      <c r="N123" s="124"/>
      <c r="O123" s="125"/>
      <c r="P123" s="97"/>
      <c r="Q123" s="131"/>
      <c r="R123" s="126"/>
      <c r="S123" s="97"/>
      <c r="T123" s="97"/>
      <c r="V123" s="108"/>
    </row>
    <row r="124" ht="15.75" customHeight="1">
      <c r="A124" s="91"/>
      <c r="B124" s="142"/>
      <c r="C124" s="143"/>
      <c r="D124" s="97"/>
      <c r="E124" s="144"/>
      <c r="F124" s="144"/>
      <c r="G124" s="97"/>
      <c r="H124" s="143"/>
      <c r="I124" s="97"/>
      <c r="J124" s="97"/>
      <c r="K124" s="113"/>
      <c r="L124" s="114"/>
      <c r="M124" s="102"/>
      <c r="N124" s="124"/>
      <c r="O124" s="125"/>
      <c r="P124" s="97"/>
      <c r="Q124" s="131"/>
      <c r="R124" s="126"/>
      <c r="S124" s="97"/>
      <c r="T124" s="97"/>
      <c r="V124" s="108"/>
    </row>
    <row r="125" ht="15.75" customHeight="1">
      <c r="A125" s="91"/>
      <c r="B125" s="142"/>
      <c r="C125" s="143"/>
      <c r="D125" s="97"/>
      <c r="E125" s="144"/>
      <c r="F125" s="144"/>
      <c r="G125" s="97"/>
      <c r="H125" s="143"/>
      <c r="I125" s="97"/>
      <c r="J125" s="97"/>
      <c r="K125" s="100"/>
      <c r="L125" s="101"/>
      <c r="M125" s="102"/>
      <c r="N125" s="124"/>
      <c r="O125" s="125"/>
      <c r="P125" s="97"/>
      <c r="Q125" s="131"/>
      <c r="R125" s="126"/>
      <c r="S125" s="97"/>
      <c r="T125" s="97"/>
      <c r="V125" s="108"/>
    </row>
    <row r="126" ht="15.75" customHeight="1">
      <c r="A126" s="91"/>
      <c r="B126" s="142"/>
      <c r="C126" s="143"/>
      <c r="D126" s="97"/>
      <c r="E126" s="144"/>
      <c r="F126" s="144"/>
      <c r="G126" s="97"/>
      <c r="H126" s="143"/>
      <c r="I126" s="97"/>
      <c r="J126" s="97"/>
      <c r="K126" s="113"/>
      <c r="L126" s="114"/>
      <c r="M126" s="102"/>
      <c r="N126" s="124"/>
      <c r="O126" s="125"/>
      <c r="P126" s="97"/>
      <c r="Q126" s="131"/>
      <c r="R126" s="126"/>
      <c r="S126" s="97"/>
      <c r="T126" s="97"/>
      <c r="V126" s="108"/>
    </row>
    <row r="127" ht="15.75" customHeight="1">
      <c r="A127" s="91"/>
      <c r="B127" s="142"/>
      <c r="C127" s="143"/>
      <c r="D127" s="97"/>
      <c r="E127" s="144"/>
      <c r="F127" s="144"/>
      <c r="G127" s="97"/>
      <c r="H127" s="143"/>
      <c r="I127" s="97"/>
      <c r="J127" s="97"/>
      <c r="K127" s="100"/>
      <c r="L127" s="101"/>
      <c r="M127" s="102"/>
      <c r="N127" s="124"/>
      <c r="O127" s="125"/>
      <c r="P127" s="97"/>
      <c r="Q127" s="131"/>
      <c r="R127" s="126"/>
      <c r="S127" s="97"/>
      <c r="T127" s="97"/>
      <c r="V127" s="108"/>
    </row>
    <row r="128" ht="15.75" customHeight="1">
      <c r="A128" s="91"/>
      <c r="B128" s="142"/>
      <c r="C128" s="108"/>
      <c r="D128" s="97"/>
      <c r="E128" s="144"/>
      <c r="F128" s="144"/>
      <c r="G128" s="97"/>
      <c r="H128" s="143"/>
      <c r="I128" s="97"/>
      <c r="J128" s="97"/>
      <c r="K128" s="113"/>
      <c r="L128" s="114"/>
      <c r="M128" s="102"/>
      <c r="N128" s="124"/>
      <c r="O128" s="125"/>
      <c r="P128" s="97"/>
      <c r="Q128" s="97"/>
      <c r="R128" s="126"/>
      <c r="S128" s="97"/>
      <c r="T128" s="97"/>
      <c r="V128" s="108"/>
    </row>
    <row r="129" ht="15.75" customHeight="1">
      <c r="A129" s="91"/>
      <c r="B129" s="142"/>
      <c r="C129" s="108"/>
      <c r="D129" s="97"/>
      <c r="E129" s="144"/>
      <c r="F129" s="144"/>
      <c r="G129" s="97"/>
      <c r="H129" s="143"/>
      <c r="I129" s="97"/>
      <c r="J129" s="97"/>
      <c r="K129" s="100"/>
      <c r="L129" s="101"/>
      <c r="M129" s="102"/>
      <c r="N129" s="124"/>
      <c r="O129" s="125"/>
      <c r="P129" s="97"/>
      <c r="Q129" s="131"/>
      <c r="R129" s="126"/>
      <c r="S129" s="97"/>
      <c r="T129" s="97"/>
      <c r="V129" s="108"/>
    </row>
    <row r="130" ht="15.75" customHeight="1">
      <c r="A130" s="91"/>
      <c r="B130" s="142"/>
      <c r="C130" s="108"/>
      <c r="D130" s="97"/>
      <c r="E130" s="144"/>
      <c r="F130" s="144"/>
      <c r="G130" s="97"/>
      <c r="H130" s="143"/>
      <c r="I130" s="97"/>
      <c r="J130" s="97"/>
      <c r="K130" s="113"/>
      <c r="L130" s="114"/>
      <c r="M130" s="102"/>
      <c r="N130" s="124"/>
      <c r="O130" s="125"/>
      <c r="P130" s="97"/>
      <c r="Q130" s="97"/>
      <c r="R130" s="126"/>
      <c r="S130" s="97"/>
      <c r="T130" s="97"/>
      <c r="V130" s="108"/>
    </row>
    <row r="131" ht="15.75" customHeight="1">
      <c r="A131" s="91"/>
      <c r="B131" s="142"/>
      <c r="C131" s="143"/>
      <c r="D131" s="97"/>
      <c r="E131" s="144"/>
      <c r="F131" s="144"/>
      <c r="G131" s="97"/>
      <c r="H131" s="143"/>
      <c r="I131" s="97"/>
      <c r="J131" s="97"/>
      <c r="K131" s="100"/>
      <c r="L131" s="101"/>
      <c r="M131" s="102"/>
      <c r="N131" s="124"/>
      <c r="O131" s="125"/>
      <c r="P131" s="97"/>
      <c r="Q131" s="97"/>
      <c r="R131" s="126"/>
      <c r="S131" s="97"/>
      <c r="T131" s="97"/>
      <c r="V131" s="108"/>
    </row>
    <row r="132" ht="15.75" customHeight="1">
      <c r="A132" s="91"/>
      <c r="B132" s="142"/>
      <c r="C132" s="143"/>
      <c r="D132" s="97"/>
      <c r="E132" s="144"/>
      <c r="F132" s="144"/>
      <c r="G132" s="97"/>
      <c r="H132" s="143"/>
      <c r="I132" s="97"/>
      <c r="J132" s="97"/>
      <c r="K132" s="113"/>
      <c r="L132" s="114"/>
      <c r="M132" s="102"/>
      <c r="N132" s="124"/>
      <c r="O132" s="125"/>
      <c r="P132" s="97"/>
      <c r="Q132" s="131"/>
      <c r="R132" s="126"/>
      <c r="S132" s="97"/>
      <c r="T132" s="97"/>
      <c r="V132" s="108"/>
    </row>
    <row r="133" ht="15.75" customHeight="1">
      <c r="A133" s="91"/>
      <c r="B133" s="142"/>
      <c r="C133" s="143"/>
      <c r="D133" s="97"/>
      <c r="E133" s="144"/>
      <c r="F133" s="144"/>
      <c r="G133" s="97"/>
      <c r="H133" s="143"/>
      <c r="I133" s="97"/>
      <c r="J133" s="97"/>
      <c r="K133" s="100"/>
      <c r="L133" s="101"/>
      <c r="M133" s="102"/>
      <c r="N133" s="124"/>
      <c r="O133" s="125"/>
      <c r="P133" s="97"/>
      <c r="Q133" s="97"/>
      <c r="R133" s="126"/>
      <c r="S133" s="97"/>
      <c r="T133" s="97"/>
      <c r="V133" s="108"/>
    </row>
    <row r="134" ht="15.75" customHeight="1">
      <c r="A134" s="91"/>
      <c r="B134" s="142"/>
      <c r="C134" s="143"/>
      <c r="D134" s="97"/>
      <c r="E134" s="144"/>
      <c r="F134" s="144"/>
      <c r="G134" s="97"/>
      <c r="H134" s="143"/>
      <c r="I134" s="97"/>
      <c r="J134" s="97"/>
      <c r="K134" s="113"/>
      <c r="L134" s="114"/>
      <c r="M134" s="102"/>
      <c r="N134" s="124"/>
      <c r="O134" s="125"/>
      <c r="P134" s="97"/>
      <c r="Q134" s="97"/>
      <c r="R134" s="126"/>
      <c r="S134" s="97"/>
      <c r="T134" s="97"/>
      <c r="V134" s="108"/>
    </row>
    <row r="135" ht="15.75" customHeight="1">
      <c r="A135" s="91"/>
      <c r="B135" s="142"/>
      <c r="C135" s="143"/>
      <c r="D135" s="97"/>
      <c r="E135" s="144"/>
      <c r="F135" s="144"/>
      <c r="G135" s="97"/>
      <c r="H135" s="143"/>
      <c r="I135" s="97"/>
      <c r="J135" s="97"/>
      <c r="K135" s="100"/>
      <c r="L135" s="101"/>
      <c r="M135" s="102"/>
      <c r="N135" s="124"/>
      <c r="O135" s="125"/>
      <c r="P135" s="97"/>
      <c r="Q135" s="131"/>
      <c r="R135" s="126"/>
      <c r="S135" s="97"/>
      <c r="T135" s="97"/>
      <c r="V135" s="108"/>
    </row>
    <row r="136" ht="15.75" customHeight="1">
      <c r="A136" s="91"/>
      <c r="B136" s="142"/>
      <c r="C136" s="108"/>
      <c r="D136" s="97"/>
      <c r="E136" s="144"/>
      <c r="F136" s="144"/>
      <c r="G136" s="97"/>
      <c r="H136" s="143"/>
      <c r="I136" s="97"/>
      <c r="J136" s="97"/>
      <c r="K136" s="113"/>
      <c r="L136" s="114"/>
      <c r="M136" s="102"/>
      <c r="N136" s="124"/>
      <c r="O136" s="125"/>
      <c r="P136" s="97"/>
      <c r="Q136" s="97"/>
      <c r="R136" s="126"/>
      <c r="S136" s="97"/>
      <c r="T136" s="97"/>
      <c r="V136" s="108"/>
    </row>
    <row r="137" ht="15.75" customHeight="1">
      <c r="A137" s="91"/>
      <c r="B137" s="142"/>
      <c r="C137" s="108"/>
      <c r="D137" s="97"/>
      <c r="E137" s="144"/>
      <c r="F137" s="144"/>
      <c r="G137" s="97"/>
      <c r="H137" s="143"/>
      <c r="I137" s="97"/>
      <c r="J137" s="97"/>
      <c r="K137" s="100"/>
      <c r="L137" s="101"/>
      <c r="M137" s="102"/>
      <c r="N137" s="124"/>
      <c r="O137" s="125"/>
      <c r="P137" s="97"/>
      <c r="Q137" s="131"/>
      <c r="R137" s="126"/>
      <c r="S137" s="97"/>
      <c r="T137" s="97"/>
      <c r="V137" s="108"/>
    </row>
    <row r="138" ht="15.75" customHeight="1">
      <c r="A138" s="91"/>
      <c r="B138" s="142"/>
      <c r="C138" s="108"/>
      <c r="D138" s="97"/>
      <c r="E138" s="144"/>
      <c r="F138" s="144"/>
      <c r="G138" s="97"/>
      <c r="H138" s="143"/>
      <c r="I138" s="97"/>
      <c r="J138" s="97"/>
      <c r="K138" s="113"/>
      <c r="L138" s="114"/>
      <c r="M138" s="102"/>
      <c r="N138" s="124"/>
      <c r="O138" s="125"/>
      <c r="P138" s="97"/>
      <c r="Q138" s="131"/>
      <c r="R138" s="126"/>
      <c r="S138" s="97"/>
      <c r="T138" s="97"/>
      <c r="V138" s="108"/>
    </row>
    <row r="139" ht="15.75" customHeight="1">
      <c r="A139" s="91"/>
      <c r="B139" s="142"/>
      <c r="C139" s="143"/>
      <c r="D139" s="97"/>
      <c r="E139" s="144"/>
      <c r="F139" s="144"/>
      <c r="G139" s="97"/>
      <c r="H139" s="143"/>
      <c r="I139" s="97"/>
      <c r="J139" s="97"/>
      <c r="K139" s="100"/>
      <c r="L139" s="101"/>
      <c r="M139" s="102"/>
      <c r="N139" s="124"/>
      <c r="O139" s="125"/>
      <c r="P139" s="97"/>
      <c r="Q139" s="131"/>
      <c r="R139" s="126"/>
      <c r="S139" s="97"/>
      <c r="T139" s="97"/>
      <c r="V139" s="108"/>
    </row>
    <row r="140" ht="15.75" customHeight="1">
      <c r="A140" s="91"/>
      <c r="B140" s="142"/>
      <c r="C140" s="143"/>
      <c r="D140" s="97"/>
      <c r="E140" s="144"/>
      <c r="F140" s="144"/>
      <c r="G140" s="97"/>
      <c r="H140" s="143"/>
      <c r="I140" s="97"/>
      <c r="J140" s="97"/>
      <c r="K140" s="113"/>
      <c r="L140" s="114"/>
      <c r="M140" s="102"/>
      <c r="N140" s="124"/>
      <c r="O140" s="125"/>
      <c r="P140" s="97"/>
      <c r="Q140" s="97"/>
      <c r="R140" s="126"/>
      <c r="S140" s="97"/>
      <c r="T140" s="97"/>
      <c r="V140" s="108"/>
    </row>
    <row r="141" ht="15.75" customHeight="1">
      <c r="A141" s="91"/>
      <c r="B141" s="142"/>
      <c r="C141" s="143"/>
      <c r="D141" s="97"/>
      <c r="E141" s="144"/>
      <c r="F141" s="144"/>
      <c r="G141" s="97"/>
      <c r="H141" s="143"/>
      <c r="I141" s="97"/>
      <c r="J141" s="97"/>
      <c r="K141" s="100"/>
      <c r="L141" s="101"/>
      <c r="M141" s="102"/>
      <c r="N141" s="124"/>
      <c r="O141" s="125"/>
      <c r="P141" s="97"/>
      <c r="Q141" s="131"/>
      <c r="R141" s="126"/>
      <c r="S141" s="97"/>
      <c r="T141" s="97"/>
      <c r="V141" s="108"/>
    </row>
    <row r="142" ht="15.75" customHeight="1">
      <c r="A142" s="91"/>
      <c r="B142" s="142"/>
      <c r="C142" s="143"/>
      <c r="D142" s="97"/>
      <c r="E142" s="144"/>
      <c r="F142" s="144"/>
      <c r="G142" s="97"/>
      <c r="H142" s="143"/>
      <c r="I142" s="97"/>
      <c r="J142" s="97"/>
      <c r="K142" s="113"/>
      <c r="L142" s="114"/>
      <c r="M142" s="102"/>
      <c r="N142" s="124"/>
      <c r="O142" s="125"/>
      <c r="P142" s="97"/>
      <c r="Q142" s="97"/>
      <c r="R142" s="126"/>
      <c r="S142" s="97"/>
      <c r="T142" s="97"/>
      <c r="V142" s="108"/>
    </row>
    <row r="143" ht="15.75" customHeight="1">
      <c r="A143" s="91"/>
      <c r="B143" s="142"/>
      <c r="C143" s="143"/>
      <c r="D143" s="97"/>
      <c r="E143" s="144"/>
      <c r="F143" s="146"/>
      <c r="G143" s="97"/>
      <c r="H143" s="143"/>
      <c r="I143" s="97"/>
      <c r="J143" s="97"/>
      <c r="K143" s="100"/>
      <c r="L143" s="101"/>
      <c r="M143" s="102"/>
      <c r="N143" s="124"/>
      <c r="O143" s="125"/>
      <c r="P143" s="97"/>
      <c r="Q143" s="131"/>
      <c r="R143" s="126"/>
      <c r="S143" s="97"/>
      <c r="T143" s="97"/>
      <c r="V143" s="108"/>
    </row>
    <row r="144" ht="15.75" customHeight="1">
      <c r="A144" s="91"/>
      <c r="B144" s="142"/>
      <c r="C144" s="108"/>
      <c r="D144" s="97"/>
      <c r="E144" s="144"/>
      <c r="F144" s="144"/>
      <c r="G144" s="97"/>
      <c r="H144" s="143"/>
      <c r="I144" s="97"/>
      <c r="J144" s="97"/>
      <c r="K144" s="113"/>
      <c r="L144" s="114"/>
      <c r="M144" s="102"/>
      <c r="N144" s="124"/>
      <c r="O144" s="125"/>
      <c r="P144" s="97"/>
      <c r="Q144" s="97"/>
      <c r="R144" s="126"/>
      <c r="S144" s="97"/>
      <c r="T144" s="97"/>
      <c r="V144" s="108"/>
    </row>
    <row r="145" ht="15.75" customHeight="1">
      <c r="A145" s="91"/>
      <c r="B145" s="142"/>
      <c r="C145" s="108"/>
      <c r="D145" s="97"/>
      <c r="E145" s="144"/>
      <c r="F145" s="144"/>
      <c r="G145" s="97"/>
      <c r="H145" s="143"/>
      <c r="I145" s="97"/>
      <c r="J145" s="97"/>
      <c r="K145" s="100"/>
      <c r="L145" s="101"/>
      <c r="M145" s="102"/>
      <c r="N145" s="124"/>
      <c r="O145" s="125"/>
      <c r="P145" s="97"/>
      <c r="Q145" s="131"/>
      <c r="R145" s="126"/>
      <c r="S145" s="97"/>
      <c r="T145" s="97"/>
      <c r="V145" s="108"/>
    </row>
    <row r="146" ht="15.75" customHeight="1">
      <c r="A146" s="91"/>
      <c r="B146" s="142"/>
      <c r="C146" s="143"/>
      <c r="D146" s="97"/>
      <c r="E146" s="144"/>
      <c r="F146" s="144"/>
      <c r="G146" s="97"/>
      <c r="H146" s="143"/>
      <c r="I146" s="97"/>
      <c r="J146" s="97"/>
      <c r="K146" s="113"/>
      <c r="L146" s="114"/>
      <c r="M146" s="102"/>
      <c r="N146" s="124"/>
      <c r="O146" s="125"/>
      <c r="P146" s="97"/>
      <c r="Q146" s="131"/>
      <c r="R146" s="126"/>
      <c r="S146" s="97"/>
      <c r="T146" s="97"/>
      <c r="V146" s="108"/>
    </row>
    <row r="147" ht="15.75" customHeight="1">
      <c r="A147" s="91"/>
      <c r="B147" s="142"/>
      <c r="C147" s="143"/>
      <c r="D147" s="97"/>
      <c r="E147" s="144"/>
      <c r="F147" s="144"/>
      <c r="G147" s="97"/>
      <c r="H147" s="143"/>
      <c r="I147" s="97"/>
      <c r="J147" s="97"/>
      <c r="K147" s="100"/>
      <c r="L147" s="101"/>
      <c r="M147" s="102"/>
      <c r="N147" s="124"/>
      <c r="O147" s="125"/>
      <c r="P147" s="97"/>
      <c r="Q147" s="131"/>
      <c r="R147" s="126"/>
      <c r="S147" s="97"/>
      <c r="T147" s="97"/>
      <c r="V147" s="108"/>
    </row>
    <row r="148" ht="15.75" customHeight="1">
      <c r="A148" s="91"/>
      <c r="B148" s="142"/>
      <c r="C148" s="143"/>
      <c r="D148" s="97"/>
      <c r="E148" s="144"/>
      <c r="F148" s="144"/>
      <c r="G148" s="97"/>
      <c r="H148" s="143"/>
      <c r="I148" s="97"/>
      <c r="J148" s="97"/>
      <c r="K148" s="113"/>
      <c r="L148" s="114"/>
      <c r="M148" s="102"/>
      <c r="N148" s="124"/>
      <c r="O148" s="125"/>
      <c r="P148" s="97"/>
      <c r="Q148" s="131"/>
      <c r="R148" s="126"/>
      <c r="S148" s="97"/>
      <c r="T148" s="97"/>
      <c r="V148" s="108"/>
    </row>
    <row r="149" ht="15.75" customHeight="1">
      <c r="A149" s="91"/>
      <c r="B149" s="142"/>
      <c r="C149" s="143"/>
      <c r="D149" s="97"/>
      <c r="E149" s="144"/>
      <c r="F149" s="144"/>
      <c r="G149" s="97"/>
      <c r="H149" s="143"/>
      <c r="I149" s="97"/>
      <c r="J149" s="97"/>
      <c r="K149" s="100"/>
      <c r="L149" s="101"/>
      <c r="M149" s="102"/>
      <c r="N149" s="124"/>
      <c r="O149" s="125"/>
      <c r="P149" s="97"/>
      <c r="Q149" s="131"/>
      <c r="R149" s="126"/>
      <c r="S149" s="97"/>
      <c r="T149" s="97"/>
      <c r="V149" s="108"/>
    </row>
    <row r="150" ht="15.75" customHeight="1">
      <c r="A150" s="91"/>
      <c r="B150" s="142"/>
      <c r="C150" s="143"/>
      <c r="D150" s="97"/>
      <c r="E150" s="144"/>
      <c r="F150" s="144"/>
      <c r="G150" s="97"/>
      <c r="H150" s="143"/>
      <c r="I150" s="97"/>
      <c r="J150" s="97"/>
      <c r="K150" s="113"/>
      <c r="L150" s="114"/>
      <c r="M150" s="102"/>
      <c r="N150" s="124"/>
      <c r="O150" s="125"/>
      <c r="P150" s="97"/>
      <c r="Q150" s="131"/>
      <c r="R150" s="126"/>
      <c r="S150" s="97"/>
      <c r="T150" s="97"/>
      <c r="V150" s="108"/>
    </row>
    <row r="151" ht="15.75" customHeight="1">
      <c r="A151" s="91"/>
      <c r="B151" s="142"/>
      <c r="C151" s="108"/>
      <c r="D151" s="97"/>
      <c r="E151" s="144"/>
      <c r="F151" s="144"/>
      <c r="G151" s="97"/>
      <c r="H151" s="143"/>
      <c r="I151" s="97"/>
      <c r="J151" s="97"/>
      <c r="K151" s="100"/>
      <c r="L151" s="101"/>
      <c r="M151" s="102"/>
      <c r="N151" s="124"/>
      <c r="O151" s="125"/>
      <c r="P151" s="97"/>
      <c r="Q151" s="131"/>
      <c r="R151" s="126"/>
      <c r="S151" s="97"/>
      <c r="T151" s="97"/>
      <c r="V151" s="108"/>
    </row>
    <row r="152" ht="15.75" customHeight="1">
      <c r="A152" s="91"/>
      <c r="B152" s="142"/>
      <c r="C152" s="143"/>
      <c r="D152" s="97"/>
      <c r="E152" s="144"/>
      <c r="F152" s="144"/>
      <c r="G152" s="97"/>
      <c r="H152" s="143"/>
      <c r="I152" s="97"/>
      <c r="J152" s="97"/>
      <c r="K152" s="113"/>
      <c r="L152" s="114"/>
      <c r="M152" s="102"/>
      <c r="N152" s="124"/>
      <c r="O152" s="125"/>
      <c r="P152" s="97"/>
      <c r="Q152" s="131"/>
      <c r="R152" s="126"/>
      <c r="S152" s="97"/>
      <c r="T152" s="97"/>
      <c r="V152" s="108"/>
    </row>
    <row r="153" ht="15.75" customHeight="1">
      <c r="A153" s="91"/>
      <c r="B153" s="142"/>
      <c r="C153" s="143"/>
      <c r="D153" s="97"/>
      <c r="E153" s="144"/>
      <c r="F153" s="144"/>
      <c r="G153" s="97"/>
      <c r="H153" s="143"/>
      <c r="I153" s="97"/>
      <c r="J153" s="97"/>
      <c r="K153" s="100"/>
      <c r="L153" s="101"/>
      <c r="M153" s="102"/>
      <c r="N153" s="124"/>
      <c r="O153" s="125"/>
      <c r="P153" s="97"/>
      <c r="Q153" s="131"/>
      <c r="R153" s="126"/>
      <c r="S153" s="97"/>
      <c r="T153" s="97"/>
      <c r="V153" s="108"/>
    </row>
    <row r="154" ht="15.75" customHeight="1">
      <c r="A154" s="91"/>
      <c r="B154" s="142"/>
      <c r="C154" s="143"/>
      <c r="D154" s="97"/>
      <c r="E154" s="144"/>
      <c r="F154" s="144"/>
      <c r="G154" s="97"/>
      <c r="H154" s="143"/>
      <c r="I154" s="97"/>
      <c r="J154" s="97"/>
      <c r="K154" s="113"/>
      <c r="L154" s="114"/>
      <c r="M154" s="102"/>
      <c r="N154" s="124"/>
      <c r="O154" s="125"/>
      <c r="P154" s="97"/>
      <c r="Q154" s="131"/>
      <c r="R154" s="126"/>
      <c r="S154" s="97"/>
      <c r="T154" s="97"/>
      <c r="V154" s="108"/>
    </row>
    <row r="155" ht="15.75" customHeight="1">
      <c r="A155" s="91"/>
      <c r="B155" s="142"/>
      <c r="C155" s="143"/>
      <c r="D155" s="97"/>
      <c r="E155" s="144"/>
      <c r="F155" s="144"/>
      <c r="G155" s="97"/>
      <c r="H155" s="143"/>
      <c r="I155" s="97"/>
      <c r="J155" s="97"/>
      <c r="K155" s="100"/>
      <c r="L155" s="101"/>
      <c r="M155" s="102"/>
      <c r="N155" s="124"/>
      <c r="O155" s="125"/>
      <c r="P155" s="97"/>
      <c r="Q155" s="131"/>
      <c r="R155" s="126"/>
      <c r="S155" s="97"/>
      <c r="T155" s="97"/>
      <c r="V155" s="108"/>
    </row>
    <row r="156" ht="15.75" customHeight="1">
      <c r="A156" s="91"/>
      <c r="B156" s="142"/>
      <c r="C156" s="143"/>
      <c r="D156" s="97"/>
      <c r="E156" s="144"/>
      <c r="F156" s="144"/>
      <c r="G156" s="97"/>
      <c r="H156" s="143"/>
      <c r="I156" s="97"/>
      <c r="J156" s="97"/>
      <c r="K156" s="113"/>
      <c r="L156" s="114"/>
      <c r="M156" s="102"/>
      <c r="N156" s="124"/>
      <c r="O156" s="125"/>
      <c r="P156" s="97"/>
      <c r="Q156" s="131"/>
      <c r="R156" s="126"/>
      <c r="S156" s="97"/>
      <c r="T156" s="97"/>
      <c r="V156" s="108"/>
    </row>
    <row r="157" ht="15.75" customHeight="1">
      <c r="A157" s="91"/>
      <c r="B157" s="142"/>
      <c r="C157" s="108"/>
      <c r="D157" s="97"/>
      <c r="E157" s="144"/>
      <c r="F157" s="144"/>
      <c r="G157" s="97"/>
      <c r="H157" s="143"/>
      <c r="I157" s="97"/>
      <c r="J157" s="97"/>
      <c r="K157" s="100"/>
      <c r="L157" s="101"/>
      <c r="M157" s="102"/>
      <c r="N157" s="124"/>
      <c r="O157" s="125"/>
      <c r="P157" s="97"/>
      <c r="Q157" s="131"/>
      <c r="R157" s="126"/>
      <c r="S157" s="97"/>
      <c r="T157" s="97"/>
      <c r="V157" s="108"/>
    </row>
    <row r="158" ht="15.75" customHeight="1">
      <c r="A158" s="91"/>
      <c r="B158" s="142"/>
      <c r="C158" s="143"/>
      <c r="D158" s="97"/>
      <c r="E158" s="144"/>
      <c r="F158" s="144"/>
      <c r="G158" s="97"/>
      <c r="H158" s="143"/>
      <c r="I158" s="97"/>
      <c r="J158" s="97"/>
      <c r="K158" s="113"/>
      <c r="L158" s="114"/>
      <c r="M158" s="102"/>
      <c r="N158" s="124"/>
      <c r="O158" s="125"/>
      <c r="P158" s="97"/>
      <c r="Q158" s="131"/>
      <c r="R158" s="126"/>
      <c r="S158" s="97"/>
      <c r="T158" s="97"/>
      <c r="V158" s="108"/>
    </row>
    <row r="159" ht="15.75" customHeight="1">
      <c r="A159" s="91"/>
      <c r="B159" s="142"/>
      <c r="C159" s="143"/>
      <c r="D159" s="97"/>
      <c r="E159" s="144"/>
      <c r="F159" s="144"/>
      <c r="G159" s="97"/>
      <c r="H159" s="143"/>
      <c r="I159" s="97"/>
      <c r="J159" s="97"/>
      <c r="K159" s="100"/>
      <c r="L159" s="101"/>
      <c r="M159" s="102"/>
      <c r="N159" s="124"/>
      <c r="O159" s="125"/>
      <c r="P159" s="97"/>
      <c r="Q159" s="131"/>
      <c r="R159" s="126"/>
      <c r="S159" s="97"/>
      <c r="T159" s="97"/>
      <c r="V159" s="108"/>
    </row>
    <row r="160" ht="15.75" customHeight="1">
      <c r="A160" s="91"/>
      <c r="B160" s="142"/>
      <c r="C160" s="143"/>
      <c r="D160" s="97"/>
      <c r="E160" s="144"/>
      <c r="F160" s="144"/>
      <c r="G160" s="97"/>
      <c r="H160" s="143"/>
      <c r="I160" s="97"/>
      <c r="J160" s="97"/>
      <c r="K160" s="113"/>
      <c r="L160" s="114"/>
      <c r="M160" s="102"/>
      <c r="N160" s="124"/>
      <c r="O160" s="125"/>
      <c r="P160" s="97"/>
      <c r="Q160" s="131"/>
      <c r="R160" s="126"/>
      <c r="S160" s="97"/>
      <c r="T160" s="97"/>
      <c r="V160" s="108"/>
    </row>
    <row r="161" ht="15.75" customHeight="1">
      <c r="A161" s="91"/>
      <c r="B161" s="142"/>
      <c r="C161" s="143"/>
      <c r="D161" s="97"/>
      <c r="E161" s="144"/>
      <c r="F161" s="144"/>
      <c r="G161" s="97"/>
      <c r="H161" s="143"/>
      <c r="I161" s="97"/>
      <c r="J161" s="97"/>
      <c r="K161" s="100"/>
      <c r="L161" s="101"/>
      <c r="M161" s="102"/>
      <c r="N161" s="124"/>
      <c r="O161" s="125"/>
      <c r="P161" s="97"/>
      <c r="Q161" s="131"/>
      <c r="R161" s="126"/>
      <c r="S161" s="97"/>
      <c r="T161" s="97"/>
      <c r="V161" s="108"/>
    </row>
    <row r="162" ht="15.75" customHeight="1">
      <c r="A162" s="91"/>
      <c r="B162" s="142"/>
      <c r="C162" s="143"/>
      <c r="D162" s="97"/>
      <c r="E162" s="144"/>
      <c r="F162" s="144"/>
      <c r="G162" s="97"/>
      <c r="H162" s="143"/>
      <c r="I162" s="97"/>
      <c r="J162" s="97"/>
      <c r="K162" s="113"/>
      <c r="L162" s="114"/>
      <c r="M162" s="102"/>
      <c r="N162" s="124"/>
      <c r="O162" s="125"/>
      <c r="P162" s="97"/>
      <c r="Q162" s="131"/>
      <c r="R162" s="126"/>
      <c r="S162" s="97"/>
      <c r="T162" s="97"/>
      <c r="V162" s="108"/>
    </row>
    <row r="163" ht="15.75" customHeight="1">
      <c r="A163" s="91"/>
      <c r="B163" s="142"/>
      <c r="C163" s="108"/>
      <c r="D163" s="97"/>
      <c r="E163" s="144"/>
      <c r="F163" s="144"/>
      <c r="G163" s="97"/>
      <c r="H163" s="143"/>
      <c r="I163" s="97"/>
      <c r="J163" s="97"/>
      <c r="K163" s="100"/>
      <c r="L163" s="101"/>
      <c r="M163" s="102"/>
      <c r="N163" s="124"/>
      <c r="O163" s="125"/>
      <c r="P163" s="97"/>
      <c r="Q163" s="131"/>
      <c r="R163" s="126"/>
      <c r="S163" s="97"/>
      <c r="T163" s="97"/>
      <c r="V163" s="108"/>
    </row>
    <row r="164" ht="15.75" customHeight="1">
      <c r="A164" s="91"/>
      <c r="B164" s="142"/>
      <c r="C164" s="143"/>
      <c r="D164" s="97"/>
      <c r="E164" s="144"/>
      <c r="F164" s="144"/>
      <c r="G164" s="97"/>
      <c r="H164" s="143"/>
      <c r="I164" s="97"/>
      <c r="J164" s="97"/>
      <c r="K164" s="113"/>
      <c r="L164" s="114"/>
      <c r="M164" s="102"/>
      <c r="N164" s="124"/>
      <c r="O164" s="125"/>
      <c r="P164" s="97"/>
      <c r="Q164" s="131"/>
      <c r="R164" s="126"/>
      <c r="S164" s="97"/>
      <c r="T164" s="97"/>
      <c r="V164" s="108"/>
    </row>
    <row r="165" ht="15.75" customHeight="1">
      <c r="A165" s="91"/>
      <c r="B165" s="142"/>
      <c r="C165" s="143"/>
      <c r="D165" s="97"/>
      <c r="E165" s="144"/>
      <c r="F165" s="144"/>
      <c r="G165" s="97"/>
      <c r="H165" s="143"/>
      <c r="I165" s="97"/>
      <c r="J165" s="97"/>
      <c r="K165" s="100"/>
      <c r="L165" s="101"/>
      <c r="M165" s="102"/>
      <c r="N165" s="124"/>
      <c r="O165" s="125"/>
      <c r="P165" s="97"/>
      <c r="Q165" s="131"/>
      <c r="R165" s="126"/>
      <c r="S165" s="97"/>
      <c r="T165" s="97"/>
      <c r="V165" s="108"/>
    </row>
    <row r="166" ht="15.75" customHeight="1">
      <c r="A166" s="91"/>
      <c r="B166" s="142"/>
      <c r="C166" s="143"/>
      <c r="D166" s="97"/>
      <c r="E166" s="144"/>
      <c r="F166" s="144"/>
      <c r="G166" s="97"/>
      <c r="H166" s="143"/>
      <c r="I166" s="97"/>
      <c r="J166" s="97"/>
      <c r="K166" s="113"/>
      <c r="L166" s="114"/>
      <c r="M166" s="102"/>
      <c r="N166" s="124"/>
      <c r="O166" s="125"/>
      <c r="P166" s="97"/>
      <c r="Q166" s="131"/>
      <c r="R166" s="126"/>
      <c r="S166" s="97"/>
      <c r="T166" s="97"/>
      <c r="V166" s="108"/>
    </row>
    <row r="167" ht="15.75" customHeight="1">
      <c r="A167" s="91"/>
      <c r="B167" s="142"/>
      <c r="C167" s="143"/>
      <c r="D167" s="97"/>
      <c r="E167" s="144"/>
      <c r="F167" s="144"/>
      <c r="G167" s="97"/>
      <c r="H167" s="143"/>
      <c r="I167" s="97"/>
      <c r="J167" s="97"/>
      <c r="K167" s="100"/>
      <c r="L167" s="101"/>
      <c r="M167" s="102"/>
      <c r="N167" s="124"/>
      <c r="O167" s="125"/>
      <c r="P167" s="97"/>
      <c r="Q167" s="131"/>
      <c r="R167" s="126"/>
      <c r="S167" s="97"/>
      <c r="T167" s="97"/>
      <c r="V167" s="108"/>
    </row>
    <row r="168" ht="15.75" customHeight="1">
      <c r="A168" s="91"/>
      <c r="B168" s="142"/>
      <c r="C168" s="143"/>
      <c r="D168" s="97"/>
      <c r="E168" s="144"/>
      <c r="F168" s="144"/>
      <c r="G168" s="97"/>
      <c r="H168" s="143"/>
      <c r="I168" s="97"/>
      <c r="J168" s="97"/>
      <c r="K168" s="113"/>
      <c r="L168" s="114"/>
      <c r="M168" s="102"/>
      <c r="N168" s="124"/>
      <c r="O168" s="125"/>
      <c r="P168" s="97"/>
      <c r="Q168" s="131"/>
      <c r="R168" s="126"/>
      <c r="S168" s="97"/>
      <c r="T168" s="97"/>
      <c r="V168" s="108"/>
    </row>
    <row r="169" ht="15.75" customHeight="1">
      <c r="A169" s="91"/>
      <c r="B169" s="142"/>
      <c r="C169" s="108"/>
      <c r="D169" s="97"/>
      <c r="E169" s="144"/>
      <c r="F169" s="144"/>
      <c r="G169" s="97"/>
      <c r="H169" s="143"/>
      <c r="I169" s="97"/>
      <c r="J169" s="97"/>
      <c r="K169" s="100"/>
      <c r="L169" s="101"/>
      <c r="M169" s="102"/>
      <c r="N169" s="124"/>
      <c r="O169" s="125"/>
      <c r="P169" s="97"/>
      <c r="Q169" s="131"/>
      <c r="R169" s="126"/>
      <c r="S169" s="97"/>
      <c r="T169" s="97"/>
      <c r="V169" s="108"/>
    </row>
    <row r="170" ht="15.75" customHeight="1">
      <c r="A170" s="91"/>
      <c r="B170" s="142"/>
      <c r="C170" s="143"/>
      <c r="D170" s="97"/>
      <c r="E170" s="144"/>
      <c r="F170" s="144"/>
      <c r="G170" s="97"/>
      <c r="H170" s="143"/>
      <c r="I170" s="97"/>
      <c r="J170" s="97"/>
      <c r="K170" s="113"/>
      <c r="L170" s="114"/>
      <c r="M170" s="102"/>
      <c r="N170" s="124"/>
      <c r="O170" s="125"/>
      <c r="P170" s="97"/>
      <c r="Q170" s="131"/>
      <c r="R170" s="126"/>
      <c r="S170" s="97"/>
      <c r="T170" s="97"/>
      <c r="V170" s="108"/>
    </row>
    <row r="171" ht="15.75" customHeight="1">
      <c r="A171" s="91"/>
      <c r="B171" s="142"/>
      <c r="C171" s="143"/>
      <c r="D171" s="97"/>
      <c r="E171" s="144"/>
      <c r="F171" s="144"/>
      <c r="G171" s="97"/>
      <c r="H171" s="143"/>
      <c r="I171" s="97"/>
      <c r="J171" s="97"/>
      <c r="K171" s="100"/>
      <c r="L171" s="101"/>
      <c r="M171" s="102"/>
      <c r="N171" s="124"/>
      <c r="O171" s="125"/>
      <c r="P171" s="97"/>
      <c r="Q171" s="131"/>
      <c r="R171" s="126"/>
      <c r="S171" s="97"/>
      <c r="T171" s="97"/>
      <c r="V171" s="108"/>
    </row>
    <row r="172" ht="15.75" customHeight="1">
      <c r="A172" s="91"/>
      <c r="B172" s="142"/>
      <c r="C172" s="143"/>
      <c r="D172" s="97"/>
      <c r="E172" s="144"/>
      <c r="F172" s="144"/>
      <c r="G172" s="97"/>
      <c r="H172" s="143"/>
      <c r="I172" s="97"/>
      <c r="J172" s="97"/>
      <c r="K172" s="113"/>
      <c r="L172" s="114"/>
      <c r="M172" s="102"/>
      <c r="N172" s="124"/>
      <c r="O172" s="125"/>
      <c r="P172" s="97"/>
      <c r="Q172" s="131"/>
      <c r="R172" s="126"/>
      <c r="S172" s="97"/>
      <c r="T172" s="97"/>
      <c r="V172" s="108"/>
    </row>
    <row r="173" ht="15.75" customHeight="1">
      <c r="A173" s="91"/>
      <c r="B173" s="142"/>
      <c r="C173" s="143"/>
      <c r="D173" s="97"/>
      <c r="E173" s="144"/>
      <c r="F173" s="144"/>
      <c r="G173" s="97"/>
      <c r="H173" s="143"/>
      <c r="I173" s="97"/>
      <c r="J173" s="97"/>
      <c r="K173" s="100"/>
      <c r="L173" s="101"/>
      <c r="M173" s="102"/>
      <c r="N173" s="124"/>
      <c r="O173" s="125"/>
      <c r="P173" s="97"/>
      <c r="Q173" s="131"/>
      <c r="R173" s="126"/>
      <c r="S173" s="97"/>
      <c r="T173" s="97"/>
      <c r="V173" s="108"/>
    </row>
    <row r="174" ht="15.75" customHeight="1">
      <c r="A174" s="91"/>
      <c r="B174" s="142"/>
      <c r="C174" s="143"/>
      <c r="D174" s="97"/>
      <c r="E174" s="144"/>
      <c r="F174" s="144"/>
      <c r="G174" s="97"/>
      <c r="H174" s="143"/>
      <c r="I174" s="97"/>
      <c r="J174" s="97"/>
      <c r="K174" s="113"/>
      <c r="L174" s="114"/>
      <c r="M174" s="102"/>
      <c r="N174" s="124"/>
      <c r="O174" s="125"/>
      <c r="P174" s="97"/>
      <c r="Q174" s="131"/>
      <c r="R174" s="126"/>
      <c r="S174" s="97"/>
      <c r="T174" s="97"/>
      <c r="V174" s="108"/>
    </row>
    <row r="175" ht="15.75" customHeight="1">
      <c r="A175" s="91"/>
      <c r="B175" s="142"/>
      <c r="C175" s="108"/>
      <c r="D175" s="97"/>
      <c r="E175" s="144"/>
      <c r="F175" s="144"/>
      <c r="G175" s="97"/>
      <c r="H175" s="143"/>
      <c r="I175" s="97"/>
      <c r="J175" s="97"/>
      <c r="K175" s="100"/>
      <c r="L175" s="101"/>
      <c r="M175" s="102"/>
      <c r="N175" s="124"/>
      <c r="O175" s="125"/>
      <c r="P175" s="97"/>
      <c r="Q175" s="131"/>
      <c r="R175" s="126"/>
      <c r="S175" s="97"/>
      <c r="T175" s="97"/>
      <c r="V175" s="108"/>
    </row>
    <row r="176" ht="15.75" customHeight="1">
      <c r="A176" s="91"/>
      <c r="B176" s="142"/>
      <c r="C176" s="143"/>
      <c r="D176" s="97"/>
      <c r="E176" s="144"/>
      <c r="F176" s="144"/>
      <c r="G176" s="97"/>
      <c r="H176" s="143"/>
      <c r="I176" s="97"/>
      <c r="J176" s="97"/>
      <c r="K176" s="113"/>
      <c r="L176" s="114"/>
      <c r="M176" s="102"/>
      <c r="N176" s="124"/>
      <c r="O176" s="125"/>
      <c r="P176" s="97"/>
      <c r="Q176" s="131"/>
      <c r="R176" s="126"/>
      <c r="S176" s="97"/>
      <c r="T176" s="97"/>
      <c r="V176" s="108"/>
    </row>
    <row r="177" ht="15.75" customHeight="1">
      <c r="A177" s="91"/>
      <c r="B177" s="142"/>
      <c r="C177" s="143"/>
      <c r="D177" s="97"/>
      <c r="E177" s="144"/>
      <c r="F177" s="144"/>
      <c r="G177" s="97"/>
      <c r="H177" s="143"/>
      <c r="I177" s="97"/>
      <c r="J177" s="97"/>
      <c r="K177" s="100"/>
      <c r="L177" s="101"/>
      <c r="M177" s="102"/>
      <c r="N177" s="124"/>
      <c r="O177" s="125"/>
      <c r="P177" s="97"/>
      <c r="Q177" s="131"/>
      <c r="R177" s="126"/>
      <c r="S177" s="97"/>
      <c r="T177" s="97"/>
      <c r="V177" s="108"/>
    </row>
    <row r="178" ht="15.75" customHeight="1">
      <c r="A178" s="91"/>
      <c r="B178" s="142"/>
      <c r="C178" s="143"/>
      <c r="D178" s="97"/>
      <c r="E178" s="144"/>
      <c r="F178" s="144"/>
      <c r="G178" s="97"/>
      <c r="H178" s="143"/>
      <c r="I178" s="97"/>
      <c r="J178" s="97"/>
      <c r="K178" s="113"/>
      <c r="L178" s="114"/>
      <c r="M178" s="102"/>
      <c r="N178" s="124"/>
      <c r="O178" s="125"/>
      <c r="P178" s="97"/>
      <c r="Q178" s="131"/>
      <c r="R178" s="126"/>
      <c r="S178" s="97"/>
      <c r="T178" s="97"/>
      <c r="V178" s="108"/>
    </row>
    <row r="179" ht="15.75" customHeight="1">
      <c r="A179" s="91"/>
      <c r="B179" s="142"/>
      <c r="C179" s="143"/>
      <c r="D179" s="97"/>
      <c r="E179" s="144"/>
      <c r="F179" s="144"/>
      <c r="G179" s="97"/>
      <c r="H179" s="143"/>
      <c r="I179" s="97"/>
      <c r="J179" s="97"/>
      <c r="K179" s="100"/>
      <c r="L179" s="101"/>
      <c r="M179" s="102"/>
      <c r="N179" s="124"/>
      <c r="O179" s="125"/>
      <c r="P179" s="97"/>
      <c r="Q179" s="131"/>
      <c r="R179" s="126"/>
      <c r="S179" s="97"/>
      <c r="T179" s="97"/>
      <c r="V179" s="108"/>
    </row>
    <row r="180" ht="15.75" customHeight="1">
      <c r="A180" s="91"/>
      <c r="B180" s="142"/>
      <c r="C180" s="143"/>
      <c r="D180" s="97"/>
      <c r="E180" s="144"/>
      <c r="F180" s="144"/>
      <c r="G180" s="97"/>
      <c r="H180" s="143"/>
      <c r="I180" s="97"/>
      <c r="J180" s="97"/>
      <c r="K180" s="113"/>
      <c r="L180" s="114"/>
      <c r="M180" s="102"/>
      <c r="N180" s="124"/>
      <c r="O180" s="125"/>
      <c r="P180" s="97"/>
      <c r="Q180" s="131"/>
      <c r="R180" s="126"/>
      <c r="S180" s="97"/>
      <c r="T180" s="97"/>
      <c r="V180" s="108"/>
    </row>
    <row r="181" ht="15.75" customHeight="1">
      <c r="A181" s="91"/>
      <c r="B181" s="142"/>
      <c r="C181" s="108"/>
      <c r="D181" s="97"/>
      <c r="E181" s="144"/>
      <c r="F181" s="144"/>
      <c r="G181" s="97"/>
      <c r="H181" s="143"/>
      <c r="I181" s="97"/>
      <c r="J181" s="97"/>
      <c r="K181" s="100"/>
      <c r="L181" s="101"/>
      <c r="M181" s="102"/>
      <c r="N181" s="124"/>
      <c r="O181" s="125"/>
      <c r="P181" s="97"/>
      <c r="Q181" s="131"/>
      <c r="R181" s="126"/>
      <c r="S181" s="97"/>
      <c r="T181" s="97"/>
      <c r="V181" s="108"/>
    </row>
    <row r="182" ht="15.75" customHeight="1">
      <c r="A182" s="91"/>
      <c r="B182" s="142"/>
      <c r="C182" s="143"/>
      <c r="D182" s="97"/>
      <c r="E182" s="144"/>
      <c r="F182" s="144"/>
      <c r="G182" s="97"/>
      <c r="H182" s="143"/>
      <c r="I182" s="97"/>
      <c r="J182" s="97"/>
      <c r="K182" s="113"/>
      <c r="L182" s="114"/>
      <c r="M182" s="102"/>
      <c r="N182" s="124"/>
      <c r="O182" s="125"/>
      <c r="P182" s="97"/>
      <c r="Q182" s="131"/>
      <c r="R182" s="126"/>
      <c r="S182" s="97"/>
      <c r="T182" s="97"/>
      <c r="V182" s="108"/>
    </row>
    <row r="183" ht="15.75" customHeight="1">
      <c r="A183" s="91"/>
      <c r="B183" s="142"/>
      <c r="C183" s="143"/>
      <c r="D183" s="97"/>
      <c r="E183" s="144"/>
      <c r="F183" s="144"/>
      <c r="G183" s="97"/>
      <c r="H183" s="143"/>
      <c r="I183" s="97"/>
      <c r="J183" s="97"/>
      <c r="K183" s="100"/>
      <c r="L183" s="101"/>
      <c r="M183" s="102"/>
      <c r="N183" s="124"/>
      <c r="O183" s="125"/>
      <c r="P183" s="97"/>
      <c r="Q183" s="131"/>
      <c r="R183" s="126"/>
      <c r="S183" s="97"/>
      <c r="T183" s="97"/>
      <c r="V183" s="108"/>
    </row>
    <row r="184" ht="15.75" customHeight="1">
      <c r="A184" s="91"/>
      <c r="B184" s="142"/>
      <c r="C184" s="143"/>
      <c r="D184" s="97"/>
      <c r="E184" s="144"/>
      <c r="F184" s="144"/>
      <c r="G184" s="97"/>
      <c r="H184" s="143"/>
      <c r="I184" s="97"/>
      <c r="J184" s="97"/>
      <c r="K184" s="113"/>
      <c r="L184" s="114"/>
      <c r="M184" s="102"/>
      <c r="N184" s="124"/>
      <c r="O184" s="125"/>
      <c r="P184" s="97"/>
      <c r="Q184" s="131"/>
      <c r="R184" s="126"/>
      <c r="S184" s="97"/>
      <c r="T184" s="97"/>
      <c r="V184" s="108"/>
    </row>
    <row r="185" ht="15.75" customHeight="1">
      <c r="A185" s="91"/>
      <c r="B185" s="142"/>
      <c r="C185" s="143"/>
      <c r="D185" s="97"/>
      <c r="E185" s="144"/>
      <c r="F185" s="144"/>
      <c r="G185" s="97"/>
      <c r="H185" s="143"/>
      <c r="I185" s="97"/>
      <c r="J185" s="97"/>
      <c r="K185" s="100"/>
      <c r="L185" s="101"/>
      <c r="M185" s="102"/>
      <c r="N185" s="124"/>
      <c r="O185" s="125"/>
      <c r="P185" s="97"/>
      <c r="Q185" s="131"/>
      <c r="R185" s="126"/>
      <c r="S185" s="97"/>
      <c r="T185" s="97"/>
      <c r="V185" s="108"/>
    </row>
    <row r="186" ht="15.75" customHeight="1">
      <c r="A186" s="91"/>
      <c r="B186" s="142"/>
      <c r="C186" s="143"/>
      <c r="D186" s="97"/>
      <c r="E186" s="144"/>
      <c r="F186" s="144"/>
      <c r="G186" s="97"/>
      <c r="H186" s="143"/>
      <c r="I186" s="97"/>
      <c r="J186" s="97"/>
      <c r="K186" s="113"/>
      <c r="L186" s="114"/>
      <c r="M186" s="102"/>
      <c r="N186" s="124"/>
      <c r="O186" s="125"/>
      <c r="P186" s="97"/>
      <c r="Q186" s="131"/>
      <c r="R186" s="126"/>
      <c r="S186" s="97"/>
      <c r="T186" s="97"/>
      <c r="V186" s="108"/>
    </row>
    <row r="187" ht="15.75" customHeight="1">
      <c r="A187" s="91"/>
      <c r="B187" s="142"/>
      <c r="C187" s="108"/>
      <c r="D187" s="97"/>
      <c r="E187" s="144"/>
      <c r="F187" s="144"/>
      <c r="G187" s="97"/>
      <c r="H187" s="143"/>
      <c r="I187" s="97"/>
      <c r="J187" s="97"/>
      <c r="K187" s="100"/>
      <c r="L187" s="101"/>
      <c r="M187" s="102"/>
      <c r="N187" s="124"/>
      <c r="O187" s="125"/>
      <c r="P187" s="97"/>
      <c r="Q187" s="131"/>
      <c r="R187" s="126"/>
      <c r="S187" s="97"/>
      <c r="T187" s="97"/>
      <c r="V187" s="108"/>
    </row>
    <row r="188" ht="15.75" customHeight="1">
      <c r="A188" s="91"/>
      <c r="B188" s="142"/>
      <c r="C188" s="143"/>
      <c r="D188" s="97"/>
      <c r="E188" s="144"/>
      <c r="F188" s="144"/>
      <c r="G188" s="97"/>
      <c r="H188" s="143"/>
      <c r="I188" s="97"/>
      <c r="J188" s="97"/>
      <c r="K188" s="113"/>
      <c r="L188" s="114"/>
      <c r="M188" s="102"/>
      <c r="N188" s="124"/>
      <c r="O188" s="125"/>
      <c r="P188" s="97"/>
      <c r="Q188" s="131"/>
      <c r="R188" s="126"/>
      <c r="S188" s="97"/>
      <c r="T188" s="97"/>
      <c r="V188" s="108"/>
    </row>
    <row r="189" ht="15.75" customHeight="1">
      <c r="A189" s="91"/>
      <c r="B189" s="142"/>
      <c r="C189" s="143"/>
      <c r="D189" s="97"/>
      <c r="E189" s="144"/>
      <c r="F189" s="144"/>
      <c r="G189" s="97"/>
      <c r="H189" s="143"/>
      <c r="I189" s="97"/>
      <c r="J189" s="97"/>
      <c r="K189" s="100"/>
      <c r="L189" s="101"/>
      <c r="M189" s="102"/>
      <c r="N189" s="124"/>
      <c r="O189" s="125"/>
      <c r="P189" s="97"/>
      <c r="Q189" s="131"/>
      <c r="R189" s="126"/>
      <c r="S189" s="97"/>
      <c r="T189" s="97"/>
      <c r="V189" s="108"/>
    </row>
    <row r="190" ht="15.75" customHeight="1">
      <c r="A190" s="91"/>
      <c r="B190" s="142"/>
      <c r="C190" s="143"/>
      <c r="D190" s="97"/>
      <c r="E190" s="144"/>
      <c r="F190" s="144"/>
      <c r="G190" s="97"/>
      <c r="H190" s="143"/>
      <c r="I190" s="97"/>
      <c r="J190" s="97"/>
      <c r="K190" s="113"/>
      <c r="L190" s="114"/>
      <c r="M190" s="102"/>
      <c r="N190" s="124"/>
      <c r="O190" s="125"/>
      <c r="P190" s="97"/>
      <c r="Q190" s="131"/>
      <c r="R190" s="126"/>
      <c r="S190" s="97"/>
      <c r="T190" s="97"/>
      <c r="V190" s="108"/>
    </row>
    <row r="191" ht="15.75" customHeight="1">
      <c r="A191" s="91"/>
      <c r="B191" s="142"/>
      <c r="C191" s="143"/>
      <c r="D191" s="97"/>
      <c r="E191" s="144"/>
      <c r="F191" s="144"/>
      <c r="G191" s="97"/>
      <c r="H191" s="143"/>
      <c r="I191" s="97"/>
      <c r="J191" s="97"/>
      <c r="K191" s="100"/>
      <c r="L191" s="101"/>
      <c r="M191" s="102"/>
      <c r="N191" s="124"/>
      <c r="O191" s="125"/>
      <c r="P191" s="97"/>
      <c r="Q191" s="131"/>
      <c r="R191" s="126"/>
      <c r="S191" s="97"/>
      <c r="T191" s="97"/>
      <c r="V191" s="108"/>
    </row>
    <row r="192" ht="15.75" customHeight="1">
      <c r="A192" s="91"/>
      <c r="B192" s="142"/>
      <c r="C192" s="143"/>
      <c r="D192" s="97"/>
      <c r="E192" s="144"/>
      <c r="F192" s="144"/>
      <c r="G192" s="97"/>
      <c r="H192" s="143"/>
      <c r="I192" s="97"/>
      <c r="J192" s="97"/>
      <c r="K192" s="113"/>
      <c r="L192" s="114"/>
      <c r="M192" s="102"/>
      <c r="N192" s="124"/>
      <c r="O192" s="125"/>
      <c r="P192" s="97"/>
      <c r="Q192" s="131"/>
      <c r="R192" s="126"/>
      <c r="S192" s="97"/>
      <c r="T192" s="97"/>
      <c r="V192" s="108"/>
    </row>
    <row r="193" ht="15.75" customHeight="1">
      <c r="A193" s="91"/>
      <c r="B193" s="142"/>
      <c r="C193" s="108"/>
      <c r="D193" s="97"/>
      <c r="E193" s="144"/>
      <c r="F193" s="144"/>
      <c r="G193" s="97"/>
      <c r="H193" s="143"/>
      <c r="I193" s="97"/>
      <c r="J193" s="97"/>
      <c r="K193" s="100"/>
      <c r="L193" s="101"/>
      <c r="M193" s="102"/>
      <c r="N193" s="124"/>
      <c r="O193" s="125"/>
      <c r="P193" s="97"/>
      <c r="Q193" s="131"/>
      <c r="R193" s="126"/>
      <c r="S193" s="97"/>
      <c r="T193" s="97"/>
      <c r="V193" s="108"/>
    </row>
    <row r="194" ht="15.75" customHeight="1">
      <c r="A194" s="91"/>
      <c r="B194" s="142"/>
      <c r="C194" s="143"/>
      <c r="D194" s="97"/>
      <c r="E194" s="144"/>
      <c r="F194" s="144"/>
      <c r="G194" s="97"/>
      <c r="H194" s="143"/>
      <c r="I194" s="97"/>
      <c r="J194" s="97"/>
      <c r="K194" s="113"/>
      <c r="L194" s="114"/>
      <c r="M194" s="102"/>
      <c r="N194" s="124"/>
      <c r="O194" s="125"/>
      <c r="P194" s="97"/>
      <c r="Q194" s="131"/>
      <c r="R194" s="126"/>
      <c r="S194" s="97"/>
      <c r="T194" s="97"/>
      <c r="V194" s="108"/>
    </row>
    <row r="195" ht="15.75" customHeight="1">
      <c r="A195" s="91"/>
      <c r="B195" s="142"/>
      <c r="C195" s="143"/>
      <c r="D195" s="97"/>
      <c r="E195" s="144"/>
      <c r="F195" s="144"/>
      <c r="G195" s="97"/>
      <c r="H195" s="143"/>
      <c r="I195" s="97"/>
      <c r="J195" s="97"/>
      <c r="K195" s="100"/>
      <c r="L195" s="101"/>
      <c r="M195" s="102"/>
      <c r="N195" s="124"/>
      <c r="O195" s="125"/>
      <c r="P195" s="97"/>
      <c r="Q195" s="131"/>
      <c r="R195" s="126"/>
      <c r="S195" s="97"/>
      <c r="T195" s="97"/>
      <c r="V195" s="108"/>
    </row>
    <row r="196" ht="15.75" customHeight="1">
      <c r="A196" s="91"/>
      <c r="B196" s="142"/>
      <c r="C196" s="143"/>
      <c r="D196" s="97"/>
      <c r="E196" s="144"/>
      <c r="F196" s="144"/>
      <c r="G196" s="97"/>
      <c r="H196" s="143"/>
      <c r="I196" s="97"/>
      <c r="J196" s="97"/>
      <c r="K196" s="113"/>
      <c r="L196" s="114"/>
      <c r="M196" s="102"/>
      <c r="N196" s="124"/>
      <c r="O196" s="125"/>
      <c r="P196" s="97"/>
      <c r="Q196" s="131"/>
      <c r="R196" s="126"/>
      <c r="S196" s="97"/>
      <c r="T196" s="97"/>
      <c r="V196" s="108"/>
    </row>
    <row r="197" ht="15.75" customHeight="1">
      <c r="A197" s="91"/>
      <c r="B197" s="142"/>
      <c r="C197" s="143"/>
      <c r="D197" s="97"/>
      <c r="E197" s="144"/>
      <c r="F197" s="144"/>
      <c r="G197" s="97"/>
      <c r="H197" s="143"/>
      <c r="I197" s="97"/>
      <c r="J197" s="97"/>
      <c r="K197" s="100"/>
      <c r="L197" s="101"/>
      <c r="M197" s="102"/>
      <c r="N197" s="124"/>
      <c r="O197" s="125"/>
      <c r="P197" s="97"/>
      <c r="Q197" s="131"/>
      <c r="R197" s="126"/>
      <c r="S197" s="97"/>
      <c r="T197" s="97"/>
      <c r="V197" s="108"/>
    </row>
    <row r="198" ht="15.75" customHeight="1">
      <c r="A198" s="91"/>
      <c r="B198" s="142"/>
      <c r="C198" s="143"/>
      <c r="D198" s="97"/>
      <c r="E198" s="144"/>
      <c r="F198" s="144"/>
      <c r="G198" s="97"/>
      <c r="H198" s="143"/>
      <c r="I198" s="97"/>
      <c r="J198" s="97"/>
      <c r="K198" s="113"/>
      <c r="L198" s="114"/>
      <c r="M198" s="102"/>
      <c r="N198" s="124"/>
      <c r="O198" s="125"/>
      <c r="P198" s="97"/>
      <c r="Q198" s="131"/>
      <c r="R198" s="126"/>
      <c r="S198" s="97"/>
      <c r="T198" s="97"/>
      <c r="V198" s="108"/>
    </row>
    <row r="199" ht="15.75" customHeight="1">
      <c r="A199" s="91"/>
      <c r="B199" s="142"/>
      <c r="C199" s="108"/>
      <c r="D199" s="97"/>
      <c r="E199" s="144"/>
      <c r="F199" s="144"/>
      <c r="G199" s="97"/>
      <c r="H199" s="143"/>
      <c r="I199" s="97"/>
      <c r="J199" s="97"/>
      <c r="K199" s="100"/>
      <c r="L199" s="101"/>
      <c r="M199" s="102"/>
      <c r="N199" s="124"/>
      <c r="O199" s="125"/>
      <c r="P199" s="97"/>
      <c r="Q199" s="131"/>
      <c r="R199" s="126"/>
      <c r="S199" s="97"/>
      <c r="T199" s="97"/>
      <c r="V199" s="108"/>
    </row>
    <row r="200" ht="15.75" customHeight="1">
      <c r="A200" s="91"/>
      <c r="B200" s="142"/>
      <c r="C200" s="143"/>
      <c r="D200" s="97"/>
      <c r="E200" s="144"/>
      <c r="F200" s="144"/>
      <c r="G200" s="97"/>
      <c r="H200" s="143"/>
      <c r="I200" s="97"/>
      <c r="J200" s="97"/>
      <c r="K200" s="113"/>
      <c r="L200" s="114"/>
      <c r="M200" s="102"/>
      <c r="N200" s="124"/>
      <c r="O200" s="125"/>
      <c r="P200" s="97"/>
      <c r="Q200" s="131"/>
      <c r="R200" s="126"/>
      <c r="S200" s="97"/>
      <c r="T200" s="97"/>
      <c r="V200" s="108"/>
    </row>
    <row r="201" ht="15.75" customHeight="1">
      <c r="A201" s="91"/>
      <c r="B201" s="142"/>
      <c r="C201" s="143"/>
      <c r="D201" s="97"/>
      <c r="E201" s="144"/>
      <c r="F201" s="144"/>
      <c r="G201" s="97"/>
      <c r="H201" s="143"/>
      <c r="I201" s="97"/>
      <c r="J201" s="97"/>
      <c r="K201" s="100"/>
      <c r="L201" s="101"/>
      <c r="M201" s="102"/>
      <c r="N201" s="124"/>
      <c r="O201" s="125"/>
      <c r="P201" s="97"/>
      <c r="Q201" s="131"/>
      <c r="R201" s="126"/>
      <c r="S201" s="97"/>
      <c r="T201" s="97"/>
      <c r="V201" s="108"/>
    </row>
    <row r="202" ht="15.75" customHeight="1">
      <c r="A202" s="91"/>
      <c r="B202" s="142"/>
      <c r="C202" s="143"/>
      <c r="D202" s="97"/>
      <c r="E202" s="144"/>
      <c r="F202" s="144"/>
      <c r="G202" s="97"/>
      <c r="H202" s="143"/>
      <c r="I202" s="97"/>
      <c r="J202" s="97"/>
      <c r="K202" s="113"/>
      <c r="L202" s="114"/>
      <c r="M202" s="102"/>
      <c r="N202" s="124"/>
      <c r="O202" s="125"/>
      <c r="P202" s="97"/>
      <c r="Q202" s="131"/>
      <c r="R202" s="126"/>
      <c r="S202" s="97"/>
      <c r="T202" s="97"/>
      <c r="V202" s="108"/>
    </row>
    <row r="203" ht="15.75" customHeight="1">
      <c r="A203" s="91"/>
      <c r="B203" s="142"/>
      <c r="C203" s="143"/>
      <c r="D203" s="97"/>
      <c r="E203" s="144"/>
      <c r="F203" s="144"/>
      <c r="G203" s="97"/>
      <c r="H203" s="143"/>
      <c r="I203" s="97"/>
      <c r="J203" s="97"/>
      <c r="K203" s="100"/>
      <c r="L203" s="101"/>
      <c r="M203" s="102"/>
      <c r="N203" s="124"/>
      <c r="O203" s="125"/>
      <c r="P203" s="97"/>
      <c r="Q203" s="131"/>
      <c r="R203" s="126"/>
      <c r="S203" s="97"/>
      <c r="T203" s="97"/>
      <c r="V203" s="108"/>
    </row>
    <row r="204" ht="15.75" customHeight="1">
      <c r="A204" s="91"/>
      <c r="B204" s="142"/>
      <c r="C204" s="143"/>
      <c r="D204" s="97"/>
      <c r="E204" s="144"/>
      <c r="F204" s="144"/>
      <c r="G204" s="97"/>
      <c r="H204" s="143"/>
      <c r="I204" s="97"/>
      <c r="J204" s="97"/>
      <c r="K204" s="113"/>
      <c r="L204" s="114"/>
      <c r="M204" s="102"/>
      <c r="N204" s="124"/>
      <c r="O204" s="125"/>
      <c r="P204" s="97"/>
      <c r="Q204" s="131"/>
      <c r="R204" s="126"/>
      <c r="S204" s="97"/>
      <c r="T204" s="97"/>
      <c r="V204" s="108"/>
    </row>
    <row r="205" ht="15.75" customHeight="1">
      <c r="A205" s="91"/>
      <c r="B205" s="142"/>
      <c r="C205" s="108"/>
      <c r="D205" s="97"/>
      <c r="E205" s="144"/>
      <c r="F205" s="144"/>
      <c r="G205" s="97"/>
      <c r="H205" s="143"/>
      <c r="I205" s="97"/>
      <c r="J205" s="97"/>
      <c r="K205" s="100"/>
      <c r="L205" s="101"/>
      <c r="M205" s="102"/>
      <c r="N205" s="124"/>
      <c r="O205" s="125"/>
      <c r="P205" s="97"/>
      <c r="Q205" s="131"/>
      <c r="R205" s="126"/>
      <c r="S205" s="97"/>
      <c r="T205" s="97"/>
      <c r="V205" s="108"/>
    </row>
    <row r="206" ht="15.75" customHeight="1">
      <c r="A206" s="91"/>
      <c r="B206" s="142"/>
      <c r="C206" s="143"/>
      <c r="D206" s="97"/>
      <c r="E206" s="144"/>
      <c r="F206" s="144"/>
      <c r="G206" s="97"/>
      <c r="H206" s="143"/>
      <c r="I206" s="97"/>
      <c r="J206" s="97"/>
      <c r="K206" s="113"/>
      <c r="L206" s="114"/>
      <c r="M206" s="102"/>
      <c r="N206" s="124"/>
      <c r="O206" s="125"/>
      <c r="P206" s="97"/>
      <c r="Q206" s="131"/>
      <c r="R206" s="126"/>
      <c r="S206" s="97"/>
      <c r="T206" s="97"/>
      <c r="V206" s="108"/>
    </row>
    <row r="207" ht="15.75" customHeight="1">
      <c r="A207" s="91"/>
      <c r="B207" s="142"/>
      <c r="C207" s="143"/>
      <c r="D207" s="97"/>
      <c r="E207" s="144"/>
      <c r="F207" s="144"/>
      <c r="G207" s="97"/>
      <c r="H207" s="143"/>
      <c r="I207" s="97"/>
      <c r="J207" s="97"/>
      <c r="K207" s="100"/>
      <c r="L207" s="101"/>
      <c r="M207" s="102"/>
      <c r="N207" s="124"/>
      <c r="O207" s="125"/>
      <c r="P207" s="97"/>
      <c r="Q207" s="131"/>
      <c r="R207" s="126"/>
      <c r="S207" s="97"/>
      <c r="T207" s="97"/>
      <c r="V207" s="108"/>
    </row>
    <row r="208" ht="15.75" customHeight="1">
      <c r="A208" s="91"/>
      <c r="B208" s="142"/>
      <c r="C208" s="143"/>
      <c r="D208" s="97"/>
      <c r="E208" s="144"/>
      <c r="F208" s="144"/>
      <c r="G208" s="97"/>
      <c r="H208" s="143"/>
      <c r="I208" s="97"/>
      <c r="J208" s="97"/>
      <c r="K208" s="113"/>
      <c r="L208" s="114"/>
      <c r="M208" s="102"/>
      <c r="N208" s="124"/>
      <c r="O208" s="125"/>
      <c r="P208" s="97"/>
      <c r="Q208" s="131"/>
      <c r="R208" s="126"/>
      <c r="S208" s="97"/>
      <c r="T208" s="97"/>
      <c r="V208" s="108"/>
    </row>
    <row r="209" ht="15.75" customHeight="1">
      <c r="A209" s="91"/>
      <c r="B209" s="142"/>
      <c r="C209" s="143"/>
      <c r="D209" s="97"/>
      <c r="E209" s="144"/>
      <c r="F209" s="144"/>
      <c r="G209" s="97"/>
      <c r="H209" s="143"/>
      <c r="I209" s="97"/>
      <c r="J209" s="97"/>
      <c r="K209" s="100"/>
      <c r="L209" s="101"/>
      <c r="M209" s="102"/>
      <c r="N209" s="124"/>
      <c r="O209" s="125"/>
      <c r="P209" s="97"/>
      <c r="Q209" s="131"/>
      <c r="R209" s="126"/>
      <c r="S209" s="97"/>
      <c r="T209" s="97"/>
      <c r="V209" s="108"/>
    </row>
    <row r="210" ht="15.75" customHeight="1">
      <c r="A210" s="91"/>
      <c r="B210" s="142"/>
      <c r="C210" s="143"/>
      <c r="D210" s="97"/>
      <c r="E210" s="144"/>
      <c r="F210" s="144"/>
      <c r="G210" s="97"/>
      <c r="H210" s="143"/>
      <c r="I210" s="97"/>
      <c r="J210" s="97"/>
      <c r="K210" s="113"/>
      <c r="L210" s="114"/>
      <c r="M210" s="102"/>
      <c r="N210" s="124"/>
      <c r="O210" s="125"/>
      <c r="P210" s="97"/>
      <c r="Q210" s="131"/>
      <c r="R210" s="126"/>
      <c r="S210" s="97"/>
      <c r="T210" s="97"/>
      <c r="V210" s="108"/>
    </row>
    <row r="211" ht="15.75" customHeight="1">
      <c r="A211" s="91"/>
      <c r="B211" s="142"/>
      <c r="C211" s="108"/>
      <c r="D211" s="97"/>
      <c r="E211" s="144"/>
      <c r="F211" s="144"/>
      <c r="G211" s="97"/>
      <c r="H211" s="143"/>
      <c r="I211" s="97"/>
      <c r="J211" s="97"/>
      <c r="K211" s="100"/>
      <c r="L211" s="101"/>
      <c r="M211" s="102"/>
      <c r="N211" s="124"/>
      <c r="O211" s="125"/>
      <c r="P211" s="97"/>
      <c r="Q211" s="131"/>
      <c r="R211" s="126"/>
      <c r="S211" s="97"/>
      <c r="T211" s="97"/>
      <c r="V211" s="108"/>
    </row>
    <row r="212" ht="15.75" customHeight="1">
      <c r="A212" s="91"/>
      <c r="B212" s="142"/>
      <c r="C212" s="143"/>
      <c r="D212" s="97"/>
      <c r="E212" s="144"/>
      <c r="F212" s="144"/>
      <c r="G212" s="97"/>
      <c r="H212" s="143"/>
      <c r="I212" s="97"/>
      <c r="J212" s="97"/>
      <c r="K212" s="113"/>
      <c r="L212" s="114"/>
      <c r="M212" s="102"/>
      <c r="N212" s="124"/>
      <c r="O212" s="125"/>
      <c r="P212" s="97"/>
      <c r="Q212" s="131"/>
      <c r="R212" s="126"/>
      <c r="S212" s="97"/>
      <c r="T212" s="97"/>
      <c r="V212" s="108"/>
    </row>
    <row r="213" ht="15.75" customHeight="1">
      <c r="A213" s="91"/>
      <c r="B213" s="142"/>
      <c r="C213" s="143"/>
      <c r="D213" s="97"/>
      <c r="E213" s="144"/>
      <c r="F213" s="144"/>
      <c r="G213" s="97"/>
      <c r="H213" s="143"/>
      <c r="I213" s="97"/>
      <c r="J213" s="97"/>
      <c r="K213" s="100"/>
      <c r="L213" s="101"/>
      <c r="M213" s="102"/>
      <c r="N213" s="124"/>
      <c r="O213" s="125"/>
      <c r="P213" s="97"/>
      <c r="Q213" s="131"/>
      <c r="R213" s="126"/>
      <c r="S213" s="97"/>
      <c r="T213" s="97"/>
      <c r="V213" s="108"/>
    </row>
    <row r="214" ht="15.75" customHeight="1">
      <c r="A214" s="91"/>
      <c r="B214" s="142"/>
      <c r="C214" s="143"/>
      <c r="D214" s="97"/>
      <c r="E214" s="144"/>
      <c r="F214" s="144"/>
      <c r="G214" s="97"/>
      <c r="H214" s="143"/>
      <c r="I214" s="97"/>
      <c r="J214" s="97"/>
      <c r="K214" s="113"/>
      <c r="L214" s="114"/>
      <c r="M214" s="102"/>
      <c r="N214" s="124"/>
      <c r="O214" s="125"/>
      <c r="P214" s="97"/>
      <c r="Q214" s="131"/>
      <c r="R214" s="126"/>
      <c r="S214" s="97"/>
      <c r="T214" s="97"/>
      <c r="V214" s="108"/>
    </row>
    <row r="215" ht="15.75" customHeight="1">
      <c r="A215" s="91"/>
      <c r="B215" s="142"/>
      <c r="C215" s="143"/>
      <c r="D215" s="97"/>
      <c r="E215" s="144"/>
      <c r="F215" s="144"/>
      <c r="G215" s="97"/>
      <c r="H215" s="143"/>
      <c r="I215" s="97"/>
      <c r="J215" s="97"/>
      <c r="K215" s="100"/>
      <c r="L215" s="101"/>
      <c r="M215" s="102"/>
      <c r="N215" s="124"/>
      <c r="O215" s="125"/>
      <c r="P215" s="97"/>
      <c r="Q215" s="131"/>
      <c r="R215" s="126"/>
      <c r="S215" s="97"/>
      <c r="T215" s="97"/>
      <c r="V215" s="108"/>
    </row>
    <row r="216" ht="15.75" customHeight="1">
      <c r="A216" s="91"/>
      <c r="B216" s="142"/>
      <c r="C216" s="143"/>
      <c r="D216" s="97"/>
      <c r="E216" s="144"/>
      <c r="F216" s="144"/>
      <c r="G216" s="97"/>
      <c r="H216" s="143"/>
      <c r="I216" s="97"/>
      <c r="J216" s="97"/>
      <c r="K216" s="113"/>
      <c r="L216" s="114"/>
      <c r="M216" s="102"/>
      <c r="N216" s="124"/>
      <c r="O216" s="125"/>
      <c r="P216" s="97"/>
      <c r="Q216" s="131"/>
      <c r="R216" s="126"/>
      <c r="S216" s="97"/>
      <c r="T216" s="97"/>
      <c r="V216" s="108"/>
    </row>
    <row r="217" ht="15.75" customHeight="1">
      <c r="A217" s="91"/>
      <c r="B217" s="142"/>
      <c r="C217" s="108"/>
      <c r="D217" s="97"/>
      <c r="E217" s="144"/>
      <c r="F217" s="144"/>
      <c r="G217" s="97"/>
      <c r="H217" s="143"/>
      <c r="I217" s="97"/>
      <c r="J217" s="97"/>
      <c r="K217" s="100"/>
      <c r="L217" s="101"/>
      <c r="M217" s="102"/>
      <c r="N217" s="124"/>
      <c r="O217" s="125"/>
      <c r="P217" s="97"/>
      <c r="Q217" s="131"/>
      <c r="R217" s="126"/>
      <c r="S217" s="97"/>
      <c r="T217" s="97"/>
      <c r="V217" s="108"/>
    </row>
    <row r="218" ht="15.75" customHeight="1">
      <c r="A218" s="91"/>
      <c r="B218" s="142"/>
      <c r="C218" s="143"/>
      <c r="D218" s="97"/>
      <c r="E218" s="144"/>
      <c r="F218" s="144"/>
      <c r="G218" s="97"/>
      <c r="H218" s="143"/>
      <c r="I218" s="97"/>
      <c r="J218" s="97"/>
      <c r="K218" s="113"/>
      <c r="L218" s="114"/>
      <c r="M218" s="102"/>
      <c r="N218" s="124"/>
      <c r="O218" s="125"/>
      <c r="P218" s="97"/>
      <c r="Q218" s="131"/>
      <c r="R218" s="126"/>
      <c r="S218" s="97"/>
      <c r="T218" s="97"/>
      <c r="V218" s="108"/>
    </row>
    <row r="219" ht="15.75" customHeight="1">
      <c r="A219" s="91"/>
      <c r="B219" s="142"/>
      <c r="C219" s="143"/>
      <c r="D219" s="97"/>
      <c r="E219" s="144"/>
      <c r="F219" s="144"/>
      <c r="G219" s="97"/>
      <c r="H219" s="143"/>
      <c r="I219" s="97"/>
      <c r="J219" s="97"/>
      <c r="K219" s="100"/>
      <c r="L219" s="101"/>
      <c r="M219" s="102"/>
      <c r="N219" s="124"/>
      <c r="O219" s="125"/>
      <c r="P219" s="97"/>
      <c r="Q219" s="131"/>
      <c r="R219" s="126"/>
      <c r="S219" s="97"/>
      <c r="T219" s="97"/>
      <c r="V219" s="108"/>
    </row>
    <row r="220" ht="15.75" customHeight="1">
      <c r="A220" s="91"/>
      <c r="B220" s="142"/>
      <c r="C220" s="143"/>
      <c r="D220" s="97"/>
      <c r="E220" s="144"/>
      <c r="F220" s="144"/>
      <c r="G220" s="97"/>
      <c r="H220" s="143"/>
      <c r="I220" s="97"/>
      <c r="J220" s="97"/>
      <c r="K220" s="113"/>
      <c r="L220" s="114"/>
      <c r="M220" s="102"/>
      <c r="N220" s="124"/>
      <c r="O220" s="125"/>
      <c r="P220" s="97"/>
      <c r="Q220" s="131"/>
      <c r="R220" s="126"/>
      <c r="S220" s="97"/>
      <c r="T220" s="97"/>
      <c r="V220" s="108"/>
    </row>
    <row r="221" ht="15.75" customHeight="1">
      <c r="A221" s="91"/>
      <c r="B221" s="142"/>
      <c r="C221" s="143"/>
      <c r="D221" s="97"/>
      <c r="E221" s="144"/>
      <c r="F221" s="144"/>
      <c r="G221" s="97"/>
      <c r="H221" s="143"/>
      <c r="I221" s="97"/>
      <c r="J221" s="97"/>
      <c r="K221" s="100"/>
      <c r="L221" s="101"/>
      <c r="M221" s="102"/>
      <c r="N221" s="124"/>
      <c r="O221" s="125"/>
      <c r="P221" s="97"/>
      <c r="Q221" s="131"/>
      <c r="R221" s="126"/>
      <c r="S221" s="97"/>
      <c r="T221" s="97"/>
      <c r="V221" s="108"/>
    </row>
    <row r="222" ht="15.75" customHeight="1">
      <c r="A222" s="91"/>
      <c r="B222" s="142"/>
      <c r="C222" s="143"/>
      <c r="D222" s="97"/>
      <c r="E222" s="144"/>
      <c r="F222" s="144"/>
      <c r="G222" s="97"/>
      <c r="H222" s="143"/>
      <c r="I222" s="97"/>
      <c r="J222" s="97"/>
      <c r="K222" s="113"/>
      <c r="L222" s="114"/>
      <c r="M222" s="102"/>
      <c r="N222" s="124"/>
      <c r="O222" s="125"/>
      <c r="P222" s="97"/>
      <c r="Q222" s="131"/>
      <c r="R222" s="126"/>
      <c r="S222" s="97"/>
      <c r="T222" s="97"/>
      <c r="V222" s="108"/>
    </row>
    <row r="223" ht="15.75" customHeight="1">
      <c r="A223" s="91"/>
      <c r="B223" s="142"/>
      <c r="C223" s="108"/>
      <c r="D223" s="97"/>
      <c r="E223" s="144"/>
      <c r="F223" s="144"/>
      <c r="G223" s="97"/>
      <c r="H223" s="143"/>
      <c r="I223" s="97"/>
      <c r="J223" s="97"/>
      <c r="K223" s="100"/>
      <c r="L223" s="101"/>
      <c r="M223" s="102"/>
      <c r="N223" s="124"/>
      <c r="O223" s="125"/>
      <c r="P223" s="97"/>
      <c r="Q223" s="131"/>
      <c r="R223" s="126"/>
      <c r="S223" s="97"/>
      <c r="T223" s="97"/>
      <c r="V223" s="108"/>
    </row>
    <row r="224" ht="15.75" customHeight="1">
      <c r="A224" s="91"/>
      <c r="B224" s="142"/>
      <c r="C224" s="143"/>
      <c r="D224" s="97"/>
      <c r="E224" s="144"/>
      <c r="F224" s="144"/>
      <c r="G224" s="97"/>
      <c r="H224" s="143"/>
      <c r="I224" s="97"/>
      <c r="J224" s="97"/>
      <c r="K224" s="113"/>
      <c r="L224" s="114"/>
      <c r="M224" s="102"/>
      <c r="N224" s="124"/>
      <c r="O224" s="125"/>
      <c r="P224" s="97"/>
      <c r="Q224" s="131"/>
      <c r="R224" s="126"/>
      <c r="S224" s="97"/>
      <c r="T224" s="97"/>
      <c r="V224" s="108"/>
    </row>
    <row r="225" ht="15.75" customHeight="1">
      <c r="A225" s="91"/>
      <c r="B225" s="142"/>
      <c r="C225" s="143"/>
      <c r="D225" s="97"/>
      <c r="E225" s="144"/>
      <c r="F225" s="144"/>
      <c r="G225" s="97"/>
      <c r="H225" s="143"/>
      <c r="I225" s="97"/>
      <c r="J225" s="97"/>
      <c r="K225" s="100"/>
      <c r="L225" s="101"/>
      <c r="M225" s="102"/>
      <c r="N225" s="124"/>
      <c r="O225" s="125"/>
      <c r="P225" s="97"/>
      <c r="Q225" s="131"/>
      <c r="R225" s="126"/>
      <c r="S225" s="97"/>
      <c r="T225" s="97"/>
      <c r="V225" s="108"/>
    </row>
    <row r="226" ht="15.75" customHeight="1">
      <c r="A226" s="91"/>
      <c r="B226" s="142"/>
      <c r="C226" s="143"/>
      <c r="D226" s="97"/>
      <c r="E226" s="144"/>
      <c r="F226" s="144"/>
      <c r="G226" s="97"/>
      <c r="H226" s="143"/>
      <c r="I226" s="97"/>
      <c r="J226" s="97"/>
      <c r="K226" s="113"/>
      <c r="L226" s="114"/>
      <c r="M226" s="102"/>
      <c r="N226" s="124"/>
      <c r="O226" s="125"/>
      <c r="P226" s="97"/>
      <c r="Q226" s="131"/>
      <c r="R226" s="126"/>
      <c r="S226" s="97"/>
      <c r="T226" s="97"/>
      <c r="V226" s="108"/>
    </row>
    <row r="227" ht="15.75" customHeight="1">
      <c r="A227" s="91"/>
      <c r="B227" s="142"/>
      <c r="C227" s="143"/>
      <c r="D227" s="97"/>
      <c r="E227" s="144"/>
      <c r="F227" s="144"/>
      <c r="G227" s="97"/>
      <c r="H227" s="143"/>
      <c r="I227" s="97"/>
      <c r="J227" s="97"/>
      <c r="K227" s="100"/>
      <c r="L227" s="101"/>
      <c r="M227" s="102"/>
      <c r="N227" s="124"/>
      <c r="O227" s="125"/>
      <c r="P227" s="97"/>
      <c r="Q227" s="131"/>
      <c r="R227" s="126"/>
      <c r="S227" s="97"/>
      <c r="T227" s="97"/>
      <c r="V227" s="108"/>
    </row>
    <row r="228" ht="15.75" customHeight="1">
      <c r="A228" s="91"/>
      <c r="B228" s="142"/>
      <c r="C228" s="143"/>
      <c r="D228" s="97"/>
      <c r="E228" s="144"/>
      <c r="F228" s="144"/>
      <c r="G228" s="97"/>
      <c r="H228" s="143"/>
      <c r="I228" s="97"/>
      <c r="J228" s="97"/>
      <c r="K228" s="113"/>
      <c r="L228" s="114"/>
      <c r="M228" s="102"/>
      <c r="N228" s="124"/>
      <c r="O228" s="125"/>
      <c r="P228" s="97"/>
      <c r="Q228" s="131"/>
      <c r="R228" s="126"/>
      <c r="S228" s="97"/>
      <c r="T228" s="97"/>
      <c r="V228" s="108"/>
    </row>
    <row r="229" ht="15.75" customHeight="1">
      <c r="A229" s="91"/>
      <c r="B229" s="142"/>
      <c r="C229" s="108"/>
      <c r="D229" s="97"/>
      <c r="E229" s="144"/>
      <c r="F229" s="144"/>
      <c r="G229" s="97"/>
      <c r="H229" s="143"/>
      <c r="I229" s="97"/>
      <c r="J229" s="97"/>
      <c r="K229" s="100"/>
      <c r="L229" s="101"/>
      <c r="M229" s="102"/>
      <c r="N229" s="124"/>
      <c r="O229" s="125"/>
      <c r="P229" s="97"/>
      <c r="Q229" s="131"/>
      <c r="R229" s="126"/>
      <c r="S229" s="97"/>
      <c r="T229" s="97"/>
      <c r="V229" s="108"/>
    </row>
    <row r="230" ht="15.75" customHeight="1">
      <c r="A230" s="91"/>
      <c r="B230" s="142"/>
      <c r="C230" s="143"/>
      <c r="D230" s="97"/>
      <c r="E230" s="144"/>
      <c r="F230" s="144"/>
      <c r="G230" s="97"/>
      <c r="H230" s="143"/>
      <c r="I230" s="97"/>
      <c r="J230" s="97"/>
      <c r="K230" s="113"/>
      <c r="L230" s="114"/>
      <c r="M230" s="102"/>
      <c r="N230" s="124"/>
      <c r="O230" s="125"/>
      <c r="P230" s="97"/>
      <c r="Q230" s="131"/>
      <c r="R230" s="126"/>
      <c r="S230" s="97"/>
      <c r="T230" s="97"/>
      <c r="V230" s="108"/>
    </row>
    <row r="231" ht="15.75" customHeight="1">
      <c r="A231" s="91"/>
      <c r="B231" s="142"/>
      <c r="C231" s="143"/>
      <c r="D231" s="97"/>
      <c r="E231" s="144"/>
      <c r="F231" s="144"/>
      <c r="G231" s="97"/>
      <c r="H231" s="143"/>
      <c r="I231" s="97"/>
      <c r="J231" s="97"/>
      <c r="K231" s="100"/>
      <c r="L231" s="101"/>
      <c r="M231" s="102"/>
      <c r="N231" s="124"/>
      <c r="O231" s="125"/>
      <c r="P231" s="97"/>
      <c r="Q231" s="131"/>
      <c r="R231" s="126"/>
      <c r="S231" s="97"/>
      <c r="T231" s="97"/>
      <c r="V231" s="108"/>
    </row>
    <row r="232" ht="15.75" customHeight="1">
      <c r="A232" s="91"/>
      <c r="B232" s="142"/>
      <c r="C232" s="143"/>
      <c r="D232" s="97"/>
      <c r="E232" s="144"/>
      <c r="F232" s="144"/>
      <c r="G232" s="97"/>
      <c r="H232" s="143"/>
      <c r="I232" s="97"/>
      <c r="J232" s="97"/>
      <c r="K232" s="113"/>
      <c r="L232" s="114"/>
      <c r="M232" s="102"/>
      <c r="N232" s="124"/>
      <c r="O232" s="125"/>
      <c r="P232" s="97"/>
      <c r="Q232" s="131"/>
      <c r="R232" s="126"/>
      <c r="S232" s="97"/>
      <c r="T232" s="97"/>
      <c r="V232" s="108"/>
    </row>
    <row r="233" ht="15.75" customHeight="1">
      <c r="A233" s="91"/>
      <c r="B233" s="142"/>
      <c r="C233" s="143"/>
      <c r="D233" s="97"/>
      <c r="E233" s="144"/>
      <c r="F233" s="144"/>
      <c r="G233" s="97"/>
      <c r="H233" s="143"/>
      <c r="I233" s="97"/>
      <c r="J233" s="97"/>
      <c r="K233" s="100"/>
      <c r="L233" s="101"/>
      <c r="M233" s="102"/>
      <c r="N233" s="124"/>
      <c r="O233" s="125"/>
      <c r="P233" s="97"/>
      <c r="Q233" s="131"/>
      <c r="R233" s="126"/>
      <c r="S233" s="97"/>
      <c r="T233" s="97"/>
      <c r="V233" s="108"/>
    </row>
    <row r="234" ht="15.75" customHeight="1">
      <c r="A234" s="91"/>
      <c r="B234" s="142"/>
      <c r="C234" s="143"/>
      <c r="D234" s="97"/>
      <c r="E234" s="144"/>
      <c r="F234" s="144"/>
      <c r="G234" s="97"/>
      <c r="H234" s="143"/>
      <c r="I234" s="97"/>
      <c r="J234" s="97"/>
      <c r="K234" s="113"/>
      <c r="L234" s="114"/>
      <c r="M234" s="102"/>
      <c r="N234" s="124"/>
      <c r="O234" s="125"/>
      <c r="P234" s="97"/>
      <c r="Q234" s="131"/>
      <c r="R234" s="126"/>
      <c r="S234" s="97"/>
      <c r="T234" s="97"/>
      <c r="V234" s="108"/>
    </row>
    <row r="235" ht="15.75" customHeight="1">
      <c r="A235" s="91"/>
      <c r="B235" s="142"/>
      <c r="C235" s="108"/>
      <c r="D235" s="97"/>
      <c r="E235" s="144"/>
      <c r="F235" s="144"/>
      <c r="G235" s="97"/>
      <c r="H235" s="143"/>
      <c r="I235" s="97"/>
      <c r="J235" s="97"/>
      <c r="K235" s="100"/>
      <c r="L235" s="101"/>
      <c r="M235" s="102"/>
      <c r="N235" s="124"/>
      <c r="O235" s="125"/>
      <c r="P235" s="97"/>
      <c r="Q235" s="131"/>
      <c r="R235" s="126"/>
      <c r="S235" s="97"/>
      <c r="T235" s="97"/>
      <c r="V235" s="108"/>
    </row>
    <row r="236" ht="15.75" customHeight="1">
      <c r="A236" s="91"/>
      <c r="B236" s="142"/>
      <c r="C236" s="143"/>
      <c r="D236" s="97"/>
      <c r="E236" s="144"/>
      <c r="F236" s="144"/>
      <c r="G236" s="97"/>
      <c r="H236" s="143"/>
      <c r="I236" s="97"/>
      <c r="J236" s="97"/>
      <c r="K236" s="113"/>
      <c r="L236" s="114"/>
      <c r="M236" s="102"/>
      <c r="N236" s="124"/>
      <c r="O236" s="125"/>
      <c r="P236" s="97"/>
      <c r="Q236" s="131"/>
      <c r="R236" s="126"/>
      <c r="S236" s="97"/>
      <c r="T236" s="97"/>
      <c r="V236" s="108"/>
    </row>
    <row r="237" ht="15.75" customHeight="1">
      <c r="A237" s="91"/>
      <c r="B237" s="142"/>
      <c r="C237" s="143"/>
      <c r="D237" s="97"/>
      <c r="E237" s="144"/>
      <c r="F237" s="144"/>
      <c r="G237" s="97"/>
      <c r="H237" s="143"/>
      <c r="I237" s="97"/>
      <c r="J237" s="97"/>
      <c r="K237" s="100"/>
      <c r="L237" s="101"/>
      <c r="M237" s="102"/>
      <c r="N237" s="124"/>
      <c r="O237" s="125"/>
      <c r="P237" s="97"/>
      <c r="Q237" s="131"/>
      <c r="R237" s="126"/>
      <c r="S237" s="97"/>
      <c r="T237" s="97"/>
      <c r="V237" s="108"/>
    </row>
    <row r="238" ht="15.75" customHeight="1">
      <c r="A238" s="91"/>
      <c r="B238" s="142"/>
      <c r="C238" s="143"/>
      <c r="D238" s="97"/>
      <c r="E238" s="144"/>
      <c r="F238" s="144"/>
      <c r="G238" s="97"/>
      <c r="H238" s="143"/>
      <c r="I238" s="97"/>
      <c r="J238" s="97"/>
      <c r="K238" s="113"/>
      <c r="L238" s="114"/>
      <c r="M238" s="102"/>
      <c r="N238" s="124"/>
      <c r="O238" s="125"/>
      <c r="P238" s="97"/>
      <c r="Q238" s="131"/>
      <c r="R238" s="126"/>
      <c r="S238" s="97"/>
      <c r="T238" s="97"/>
      <c r="V238" s="108"/>
    </row>
    <row r="239" ht="15.75" customHeight="1">
      <c r="A239" s="91"/>
      <c r="B239" s="142"/>
      <c r="C239" s="143"/>
      <c r="D239" s="97"/>
      <c r="E239" s="144"/>
      <c r="F239" s="144"/>
      <c r="G239" s="97"/>
      <c r="H239" s="143"/>
      <c r="I239" s="97"/>
      <c r="J239" s="97"/>
      <c r="K239" s="100"/>
      <c r="L239" s="101"/>
      <c r="M239" s="102"/>
      <c r="N239" s="124"/>
      <c r="O239" s="125"/>
      <c r="P239" s="97"/>
      <c r="Q239" s="131"/>
      <c r="R239" s="126"/>
      <c r="S239" s="97"/>
      <c r="T239" s="97"/>
      <c r="V239" s="108"/>
    </row>
    <row r="240" ht="15.75" customHeight="1">
      <c r="A240" s="91"/>
      <c r="B240" s="142"/>
      <c r="C240" s="143"/>
      <c r="D240" s="97"/>
      <c r="E240" s="144"/>
      <c r="F240" s="144"/>
      <c r="G240" s="97"/>
      <c r="H240" s="143"/>
      <c r="I240" s="97"/>
      <c r="J240" s="97"/>
      <c r="K240" s="113"/>
      <c r="L240" s="114"/>
      <c r="M240" s="102"/>
      <c r="N240" s="124"/>
      <c r="O240" s="125"/>
      <c r="P240" s="97"/>
      <c r="Q240" s="131"/>
      <c r="R240" s="126"/>
      <c r="S240" s="97"/>
      <c r="T240" s="97"/>
      <c r="V240" s="108"/>
    </row>
    <row r="241" ht="15.75" customHeight="1">
      <c r="A241" s="91"/>
      <c r="B241" s="142"/>
      <c r="C241" s="108"/>
      <c r="D241" s="97"/>
      <c r="E241" s="144"/>
      <c r="F241" s="144"/>
      <c r="G241" s="97"/>
      <c r="H241" s="143"/>
      <c r="I241" s="97"/>
      <c r="J241" s="97"/>
      <c r="K241" s="100"/>
      <c r="L241" s="101"/>
      <c r="M241" s="102"/>
      <c r="N241" s="124"/>
      <c r="O241" s="125"/>
      <c r="P241" s="97"/>
      <c r="Q241" s="131"/>
      <c r="R241" s="126"/>
      <c r="S241" s="97"/>
      <c r="T241" s="97"/>
      <c r="V241" s="108"/>
    </row>
    <row r="242" ht="15.75" customHeight="1">
      <c r="A242" s="91"/>
      <c r="B242" s="142"/>
      <c r="C242" s="143"/>
      <c r="D242" s="97"/>
      <c r="E242" s="144"/>
      <c r="F242" s="144"/>
      <c r="G242" s="97"/>
      <c r="H242" s="143"/>
      <c r="I242" s="97"/>
      <c r="J242" s="97"/>
      <c r="K242" s="113"/>
      <c r="L242" s="114"/>
      <c r="M242" s="102"/>
      <c r="N242" s="124"/>
      <c r="O242" s="125"/>
      <c r="P242" s="97"/>
      <c r="Q242" s="131"/>
      <c r="R242" s="126"/>
      <c r="S242" s="97"/>
      <c r="T242" s="97"/>
      <c r="V242" s="108"/>
    </row>
    <row r="243" ht="15.75" customHeight="1">
      <c r="A243" s="91"/>
      <c r="B243" s="142"/>
      <c r="C243" s="143"/>
      <c r="D243" s="97"/>
      <c r="E243" s="144"/>
      <c r="F243" s="144"/>
      <c r="G243" s="97"/>
      <c r="H243" s="143"/>
      <c r="I243" s="97"/>
      <c r="J243" s="97"/>
      <c r="K243" s="100"/>
      <c r="L243" s="101"/>
      <c r="M243" s="102"/>
      <c r="N243" s="124"/>
      <c r="O243" s="125"/>
      <c r="P243" s="97"/>
      <c r="Q243" s="131"/>
      <c r="R243" s="126"/>
      <c r="S243" s="97"/>
      <c r="T243" s="97"/>
      <c r="V243" s="108"/>
    </row>
    <row r="244" ht="15.75" customHeight="1">
      <c r="A244" s="91"/>
      <c r="B244" s="142"/>
      <c r="C244" s="143"/>
      <c r="D244" s="97"/>
      <c r="E244" s="144"/>
      <c r="F244" s="144"/>
      <c r="G244" s="97"/>
      <c r="H244" s="143"/>
      <c r="I244" s="97"/>
      <c r="J244" s="97"/>
      <c r="K244" s="147"/>
      <c r="L244" s="148"/>
      <c r="M244" s="102"/>
      <c r="N244" s="124"/>
      <c r="O244" s="125"/>
      <c r="P244" s="97"/>
      <c r="Q244" s="131"/>
      <c r="R244" s="126"/>
      <c r="S244" s="97"/>
      <c r="T244" s="97"/>
      <c r="V244" s="108"/>
    </row>
    <row r="245" ht="15.75" customHeight="1">
      <c r="A245" s="91"/>
      <c r="B245" s="142"/>
      <c r="C245" s="143"/>
      <c r="D245" s="97"/>
      <c r="E245" s="144"/>
      <c r="F245" s="144"/>
      <c r="G245" s="97"/>
      <c r="H245" s="143"/>
      <c r="I245" s="97"/>
      <c r="J245" s="97"/>
      <c r="K245" s="149"/>
      <c r="L245" s="150"/>
      <c r="M245" s="102"/>
      <c r="N245" s="124"/>
      <c r="O245" s="125"/>
      <c r="P245" s="97"/>
      <c r="Q245" s="131"/>
      <c r="R245" s="126"/>
      <c r="S245" s="97"/>
      <c r="T245" s="97"/>
      <c r="V245" s="108"/>
    </row>
    <row r="246" ht="15.75" customHeight="1">
      <c r="A246" s="91"/>
      <c r="B246" s="142"/>
      <c r="C246" s="143"/>
      <c r="D246" s="97"/>
      <c r="E246" s="144"/>
      <c r="F246" s="144"/>
      <c r="G246" s="97"/>
      <c r="H246" s="143"/>
      <c r="I246" s="97"/>
      <c r="J246" s="97"/>
      <c r="K246" s="147"/>
      <c r="L246" s="148"/>
      <c r="M246" s="102"/>
      <c r="N246" s="124"/>
      <c r="O246" s="125"/>
      <c r="P246" s="97"/>
      <c r="Q246" s="131"/>
      <c r="R246" s="126"/>
      <c r="S246" s="97"/>
      <c r="T246" s="97"/>
      <c r="V246" s="108"/>
    </row>
    <row r="247" ht="15.75" customHeight="1">
      <c r="A247" s="91"/>
      <c r="B247" s="142"/>
      <c r="C247" s="108"/>
      <c r="D247" s="97"/>
      <c r="E247" s="144"/>
      <c r="F247" s="144"/>
      <c r="G247" s="97"/>
      <c r="H247" s="143"/>
      <c r="I247" s="97"/>
      <c r="J247" s="97"/>
      <c r="K247" s="149"/>
      <c r="L247" s="150"/>
      <c r="M247" s="102"/>
      <c r="N247" s="124"/>
      <c r="O247" s="125"/>
      <c r="P247" s="97"/>
      <c r="Q247" s="131"/>
      <c r="R247" s="126"/>
      <c r="S247" s="97"/>
      <c r="T247" s="97"/>
      <c r="V247" s="108"/>
    </row>
    <row r="248" ht="15.75" customHeight="1">
      <c r="A248" s="91"/>
      <c r="B248" s="142"/>
      <c r="C248" s="143"/>
      <c r="D248" s="97"/>
      <c r="E248" s="144"/>
      <c r="F248" s="144"/>
      <c r="G248" s="97"/>
      <c r="H248" s="143"/>
      <c r="I248" s="97"/>
      <c r="J248" s="97"/>
      <c r="K248" s="147"/>
      <c r="L248" s="148"/>
      <c r="M248" s="102"/>
      <c r="N248" s="124"/>
      <c r="O248" s="125"/>
      <c r="P248" s="97"/>
      <c r="Q248" s="131"/>
      <c r="R248" s="126"/>
      <c r="S248" s="97"/>
      <c r="T248" s="97"/>
      <c r="V248" s="108"/>
    </row>
    <row r="249" ht="15.75" customHeight="1">
      <c r="A249" s="91"/>
      <c r="B249" s="142"/>
      <c r="C249" s="143"/>
      <c r="D249" s="97"/>
      <c r="E249" s="144"/>
      <c r="F249" s="144"/>
      <c r="G249" s="97"/>
      <c r="H249" s="143"/>
      <c r="I249" s="97"/>
      <c r="J249" s="97"/>
      <c r="K249" s="149"/>
      <c r="L249" s="150"/>
      <c r="M249" s="102"/>
      <c r="N249" s="124"/>
      <c r="O249" s="125"/>
      <c r="P249" s="97"/>
      <c r="Q249" s="131"/>
      <c r="R249" s="126"/>
      <c r="S249" s="97"/>
      <c r="T249" s="97"/>
      <c r="V249" s="108"/>
    </row>
    <row r="250" ht="15.75" customHeight="1">
      <c r="A250" s="91"/>
      <c r="B250" s="142"/>
      <c r="C250" s="143"/>
      <c r="D250" s="97"/>
      <c r="E250" s="144"/>
      <c r="F250" s="144"/>
      <c r="G250" s="97"/>
      <c r="H250" s="143"/>
      <c r="I250" s="97"/>
      <c r="J250" s="97"/>
      <c r="K250" s="147"/>
      <c r="L250" s="148"/>
      <c r="M250" s="102"/>
      <c r="N250" s="124"/>
      <c r="O250" s="125"/>
      <c r="P250" s="97"/>
      <c r="Q250" s="131"/>
      <c r="R250" s="126"/>
      <c r="S250" s="97"/>
      <c r="T250" s="97"/>
      <c r="V250" s="108"/>
    </row>
    <row r="251" ht="15.75" customHeight="1">
      <c r="A251" s="91"/>
      <c r="B251" s="142"/>
      <c r="C251" s="143"/>
      <c r="D251" s="97"/>
      <c r="E251" s="144"/>
      <c r="F251" s="144"/>
      <c r="G251" s="97"/>
      <c r="H251" s="143"/>
      <c r="I251" s="97"/>
      <c r="J251" s="97"/>
      <c r="K251" s="149"/>
      <c r="L251" s="150"/>
      <c r="M251" s="102"/>
      <c r="N251" s="124"/>
      <c r="O251" s="125"/>
      <c r="P251" s="97"/>
      <c r="Q251" s="131"/>
      <c r="R251" s="126"/>
      <c r="S251" s="97"/>
      <c r="T251" s="97"/>
      <c r="V251" s="108"/>
    </row>
    <row r="252" ht="15.75" customHeight="1">
      <c r="A252" s="91"/>
      <c r="B252" s="142"/>
      <c r="C252" s="143"/>
      <c r="D252" s="97"/>
      <c r="E252" s="144"/>
      <c r="F252" s="144"/>
      <c r="G252" s="97"/>
      <c r="H252" s="143"/>
      <c r="I252" s="97"/>
      <c r="J252" s="97"/>
      <c r="K252" s="147"/>
      <c r="L252" s="148"/>
      <c r="M252" s="102"/>
      <c r="N252" s="124"/>
      <c r="O252" s="125"/>
      <c r="P252" s="97"/>
      <c r="Q252" s="131"/>
      <c r="R252" s="126"/>
      <c r="S252" s="97"/>
      <c r="T252" s="97"/>
      <c r="V252" s="108"/>
    </row>
    <row r="253" ht="15.75" customHeight="1">
      <c r="A253" s="91"/>
      <c r="B253" s="142"/>
      <c r="C253" s="108"/>
      <c r="D253" s="97"/>
      <c r="E253" s="144"/>
      <c r="F253" s="144"/>
      <c r="G253" s="97"/>
      <c r="H253" s="143"/>
      <c r="I253" s="97"/>
      <c r="J253" s="97"/>
      <c r="K253" s="149"/>
      <c r="L253" s="150"/>
      <c r="M253" s="102"/>
      <c r="N253" s="124"/>
      <c r="O253" s="125"/>
      <c r="P253" s="97"/>
      <c r="Q253" s="131"/>
      <c r="R253" s="126"/>
      <c r="S253" s="97"/>
      <c r="T253" s="97"/>
      <c r="V253" s="108"/>
    </row>
    <row r="254" ht="15.75" customHeight="1">
      <c r="A254" s="91"/>
      <c r="B254" s="142"/>
      <c r="C254" s="143"/>
      <c r="D254" s="97"/>
      <c r="E254" s="144"/>
      <c r="F254" s="144"/>
      <c r="G254" s="97"/>
      <c r="H254" s="143"/>
      <c r="I254" s="97"/>
      <c r="J254" s="97"/>
      <c r="K254" s="147"/>
      <c r="L254" s="148"/>
      <c r="M254" s="102"/>
      <c r="N254" s="124"/>
      <c r="O254" s="125"/>
      <c r="P254" s="97"/>
      <c r="Q254" s="131"/>
      <c r="R254" s="126"/>
      <c r="S254" s="97"/>
      <c r="T254" s="97"/>
      <c r="V254" s="108"/>
    </row>
    <row r="255" ht="15.75" customHeight="1">
      <c r="A255" s="91"/>
      <c r="B255" s="142"/>
      <c r="C255" s="143"/>
      <c r="D255" s="97"/>
      <c r="E255" s="144"/>
      <c r="F255" s="144"/>
      <c r="G255" s="97"/>
      <c r="H255" s="143"/>
      <c r="I255" s="97"/>
      <c r="J255" s="97"/>
      <c r="K255" s="149"/>
      <c r="L255" s="150"/>
      <c r="M255" s="102"/>
      <c r="N255" s="124"/>
      <c r="O255" s="125"/>
      <c r="P255" s="97"/>
      <c r="Q255" s="131"/>
      <c r="R255" s="126"/>
      <c r="S255" s="97"/>
      <c r="T255" s="97"/>
      <c r="V255" s="108"/>
    </row>
    <row r="256" ht="15.75" customHeight="1">
      <c r="A256" s="91"/>
      <c r="B256" s="142"/>
      <c r="C256" s="143"/>
      <c r="D256" s="97"/>
      <c r="E256" s="144"/>
      <c r="F256" s="144"/>
      <c r="G256" s="97"/>
      <c r="H256" s="143"/>
      <c r="I256" s="97"/>
      <c r="J256" s="97"/>
      <c r="K256" s="147"/>
      <c r="L256" s="148"/>
      <c r="M256" s="102"/>
      <c r="N256" s="124"/>
      <c r="O256" s="125"/>
      <c r="P256" s="97"/>
      <c r="Q256" s="131"/>
      <c r="R256" s="126"/>
      <c r="S256" s="97"/>
      <c r="T256" s="97"/>
      <c r="V256" s="108"/>
    </row>
    <row r="257" ht="15.75" customHeight="1">
      <c r="A257" s="91"/>
      <c r="B257" s="142"/>
      <c r="C257" s="143"/>
      <c r="D257" s="97"/>
      <c r="E257" s="144"/>
      <c r="F257" s="144"/>
      <c r="G257" s="97"/>
      <c r="H257" s="143"/>
      <c r="I257" s="97"/>
      <c r="J257" s="97"/>
      <c r="K257" s="149"/>
      <c r="L257" s="150"/>
      <c r="M257" s="102"/>
      <c r="N257" s="124"/>
      <c r="O257" s="125"/>
      <c r="P257" s="97"/>
      <c r="Q257" s="131"/>
      <c r="R257" s="126"/>
      <c r="S257" s="97"/>
      <c r="T257" s="97"/>
      <c r="V257" s="108"/>
    </row>
    <row r="258" ht="15.75" customHeight="1">
      <c r="A258" s="91"/>
      <c r="B258" s="142"/>
      <c r="C258" s="143"/>
      <c r="D258" s="97"/>
      <c r="E258" s="144"/>
      <c r="F258" s="144"/>
      <c r="G258" s="97"/>
      <c r="H258" s="143"/>
      <c r="I258" s="97"/>
      <c r="J258" s="97"/>
      <c r="K258" s="147"/>
      <c r="L258" s="148"/>
      <c r="M258" s="102"/>
      <c r="N258" s="124"/>
      <c r="O258" s="125"/>
      <c r="P258" s="97"/>
      <c r="Q258" s="131"/>
      <c r="R258" s="126"/>
      <c r="S258" s="97"/>
      <c r="T258" s="97"/>
      <c r="V258" s="108"/>
    </row>
    <row r="259" ht="15.75" customHeight="1">
      <c r="A259" s="91"/>
      <c r="B259" s="142"/>
      <c r="C259" s="108"/>
      <c r="D259" s="97"/>
      <c r="E259" s="144"/>
      <c r="F259" s="144"/>
      <c r="G259" s="97"/>
      <c r="H259" s="143"/>
      <c r="I259" s="97"/>
      <c r="J259" s="97"/>
      <c r="K259" s="149"/>
      <c r="L259" s="150"/>
      <c r="M259" s="102"/>
      <c r="N259" s="124"/>
      <c r="O259" s="125"/>
      <c r="P259" s="97"/>
      <c r="Q259" s="131"/>
      <c r="R259" s="126"/>
      <c r="S259" s="97"/>
      <c r="T259" s="97"/>
      <c r="V259" s="108"/>
    </row>
    <row r="260" ht="15.75" customHeight="1">
      <c r="A260" s="91"/>
      <c r="B260" s="142"/>
      <c r="C260" s="143"/>
      <c r="D260" s="97"/>
      <c r="E260" s="144"/>
      <c r="F260" s="144"/>
      <c r="G260" s="97"/>
      <c r="H260" s="143"/>
      <c r="I260" s="97"/>
      <c r="J260" s="97"/>
      <c r="K260" s="147"/>
      <c r="L260" s="148"/>
      <c r="M260" s="102"/>
      <c r="N260" s="124"/>
      <c r="O260" s="125"/>
      <c r="P260" s="97"/>
      <c r="Q260" s="131"/>
      <c r="R260" s="126"/>
      <c r="S260" s="97"/>
      <c r="T260" s="97"/>
      <c r="V260" s="108"/>
    </row>
    <row r="261" ht="15.75" customHeight="1">
      <c r="A261" s="91"/>
      <c r="B261" s="142"/>
      <c r="C261" s="143"/>
      <c r="D261" s="97"/>
      <c r="E261" s="144"/>
      <c r="F261" s="144"/>
      <c r="G261" s="97"/>
      <c r="H261" s="143"/>
      <c r="I261" s="97"/>
      <c r="J261" s="97"/>
      <c r="K261" s="149"/>
      <c r="L261" s="150"/>
      <c r="M261" s="102"/>
      <c r="N261" s="124"/>
      <c r="O261" s="125"/>
      <c r="P261" s="97"/>
      <c r="Q261" s="131"/>
      <c r="R261" s="126"/>
      <c r="S261" s="97"/>
      <c r="T261" s="97"/>
      <c r="V261" s="108"/>
    </row>
    <row r="262" ht="15.75" customHeight="1">
      <c r="A262" s="91"/>
      <c r="B262" s="142"/>
      <c r="C262" s="143"/>
      <c r="D262" s="97"/>
      <c r="E262" s="144"/>
      <c r="F262" s="144"/>
      <c r="G262" s="97"/>
      <c r="H262" s="143"/>
      <c r="I262" s="97"/>
      <c r="J262" s="97"/>
      <c r="K262" s="147"/>
      <c r="L262" s="148"/>
      <c r="M262" s="102"/>
      <c r="N262" s="124"/>
      <c r="O262" s="125"/>
      <c r="P262" s="97"/>
      <c r="Q262" s="131"/>
      <c r="R262" s="126"/>
      <c r="S262" s="97"/>
      <c r="T262" s="97"/>
      <c r="V262" s="108"/>
    </row>
    <row r="263" ht="15.75" customHeight="1">
      <c r="A263" s="91"/>
      <c r="B263" s="142"/>
      <c r="C263" s="143"/>
      <c r="D263" s="97"/>
      <c r="E263" s="144"/>
      <c r="F263" s="144"/>
      <c r="G263" s="97"/>
      <c r="H263" s="143"/>
      <c r="I263" s="97"/>
      <c r="J263" s="97"/>
      <c r="K263" s="149"/>
      <c r="L263" s="150"/>
      <c r="M263" s="102"/>
      <c r="N263" s="124"/>
      <c r="O263" s="125"/>
      <c r="P263" s="97"/>
      <c r="Q263" s="131"/>
      <c r="R263" s="126"/>
      <c r="S263" s="97"/>
      <c r="T263" s="97"/>
      <c r="V263" s="108"/>
    </row>
    <row r="264" ht="15.75" customHeight="1">
      <c r="A264" s="91"/>
      <c r="B264" s="142"/>
      <c r="C264" s="143"/>
      <c r="D264" s="97"/>
      <c r="E264" s="144"/>
      <c r="F264" s="144"/>
      <c r="G264" s="97"/>
      <c r="H264" s="143"/>
      <c r="I264" s="97"/>
      <c r="J264" s="97"/>
      <c r="K264" s="147"/>
      <c r="L264" s="148"/>
      <c r="M264" s="102"/>
      <c r="N264" s="124"/>
      <c r="O264" s="125"/>
      <c r="P264" s="97"/>
      <c r="Q264" s="131"/>
      <c r="R264" s="126"/>
      <c r="S264" s="97"/>
      <c r="T264" s="97"/>
      <c r="V264" s="108"/>
    </row>
    <row r="265" ht="15.75" customHeight="1">
      <c r="A265" s="91"/>
      <c r="B265" s="142"/>
      <c r="C265" s="108"/>
      <c r="D265" s="97"/>
      <c r="E265" s="144"/>
      <c r="F265" s="144"/>
      <c r="G265" s="97"/>
      <c r="H265" s="143"/>
      <c r="I265" s="97"/>
      <c r="J265" s="97"/>
      <c r="K265" s="149"/>
      <c r="L265" s="150"/>
      <c r="M265" s="102"/>
      <c r="N265" s="124"/>
      <c r="O265" s="125"/>
      <c r="P265" s="97"/>
      <c r="Q265" s="131"/>
      <c r="R265" s="126"/>
      <c r="S265" s="97"/>
      <c r="T265" s="97"/>
      <c r="V265" s="108"/>
    </row>
    <row r="266" ht="15.75" customHeight="1">
      <c r="A266" s="91"/>
      <c r="B266" s="142"/>
      <c r="C266" s="143"/>
      <c r="D266" s="97"/>
      <c r="E266" s="144"/>
      <c r="F266" s="144"/>
      <c r="G266" s="97"/>
      <c r="H266" s="143"/>
      <c r="I266" s="97"/>
      <c r="J266" s="97"/>
      <c r="K266" s="147"/>
      <c r="L266" s="148"/>
      <c r="M266" s="102"/>
      <c r="N266" s="124"/>
      <c r="O266" s="125"/>
      <c r="P266" s="97"/>
      <c r="Q266" s="131"/>
      <c r="R266" s="126"/>
      <c r="S266" s="97"/>
      <c r="T266" s="97"/>
      <c r="V266" s="108"/>
    </row>
    <row r="267" ht="15.75" customHeight="1">
      <c r="A267" s="91"/>
      <c r="B267" s="142"/>
      <c r="C267" s="143"/>
      <c r="D267" s="97"/>
      <c r="E267" s="144"/>
      <c r="F267" s="144"/>
      <c r="G267" s="97"/>
      <c r="H267" s="143"/>
      <c r="I267" s="97"/>
      <c r="J267" s="97"/>
      <c r="K267" s="149"/>
      <c r="L267" s="150"/>
      <c r="M267" s="102"/>
      <c r="N267" s="124"/>
      <c r="O267" s="125"/>
      <c r="P267" s="97"/>
      <c r="Q267" s="131"/>
      <c r="R267" s="126"/>
      <c r="S267" s="97"/>
      <c r="T267" s="97"/>
      <c r="V267" s="108"/>
    </row>
    <row r="268" ht="15.75" customHeight="1">
      <c r="A268" s="91"/>
      <c r="B268" s="142"/>
      <c r="C268" s="143"/>
      <c r="D268" s="97"/>
      <c r="E268" s="144"/>
      <c r="F268" s="144"/>
      <c r="G268" s="97"/>
      <c r="H268" s="143"/>
      <c r="I268" s="97"/>
      <c r="J268" s="97"/>
      <c r="K268" s="147"/>
      <c r="L268" s="148"/>
      <c r="M268" s="102"/>
      <c r="N268" s="124"/>
      <c r="O268" s="125"/>
      <c r="P268" s="97"/>
      <c r="Q268" s="131"/>
      <c r="R268" s="126"/>
      <c r="S268" s="97"/>
      <c r="T268" s="97"/>
      <c r="V268" s="108"/>
    </row>
    <row r="269" ht="15.75" customHeight="1">
      <c r="A269" s="91"/>
      <c r="B269" s="142"/>
      <c r="C269" s="143"/>
      <c r="D269" s="97"/>
      <c r="E269" s="144"/>
      <c r="F269" s="144"/>
      <c r="G269" s="97"/>
      <c r="H269" s="143"/>
      <c r="I269" s="97"/>
      <c r="J269" s="97"/>
      <c r="K269" s="149"/>
      <c r="L269" s="150"/>
      <c r="M269" s="102"/>
      <c r="N269" s="124"/>
      <c r="O269" s="125"/>
      <c r="P269" s="97"/>
      <c r="Q269" s="131"/>
      <c r="R269" s="126"/>
      <c r="S269" s="97"/>
      <c r="T269" s="97"/>
      <c r="V269" s="108"/>
    </row>
    <row r="270" ht="15.75" customHeight="1">
      <c r="A270" s="91"/>
      <c r="B270" s="142"/>
      <c r="C270" s="143"/>
      <c r="D270" s="97"/>
      <c r="E270" s="144"/>
      <c r="F270" s="144"/>
      <c r="G270" s="97"/>
      <c r="H270" s="143"/>
      <c r="I270" s="97"/>
      <c r="J270" s="97"/>
      <c r="K270" s="147"/>
      <c r="L270" s="148"/>
      <c r="M270" s="102"/>
      <c r="N270" s="124"/>
      <c r="O270" s="125"/>
      <c r="P270" s="97"/>
      <c r="Q270" s="131"/>
      <c r="R270" s="126"/>
      <c r="S270" s="97"/>
      <c r="T270" s="97"/>
      <c r="V270" s="108"/>
    </row>
    <row r="271" ht="15.75" customHeight="1">
      <c r="A271" s="91"/>
      <c r="B271" s="142"/>
      <c r="C271" s="108"/>
      <c r="D271" s="97"/>
      <c r="E271" s="144"/>
      <c r="F271" s="144"/>
      <c r="G271" s="97"/>
      <c r="H271" s="143"/>
      <c r="I271" s="97"/>
      <c r="J271" s="97"/>
      <c r="K271" s="149"/>
      <c r="L271" s="150"/>
      <c r="M271" s="102"/>
      <c r="N271" s="124"/>
      <c r="O271" s="125"/>
      <c r="P271" s="97"/>
      <c r="Q271" s="131"/>
      <c r="R271" s="126"/>
      <c r="S271" s="97"/>
      <c r="T271" s="97"/>
      <c r="V271" s="108"/>
    </row>
    <row r="272" ht="15.75" customHeight="1">
      <c r="A272" s="91"/>
      <c r="B272" s="142"/>
      <c r="C272" s="143"/>
      <c r="D272" s="97"/>
      <c r="E272" s="144"/>
      <c r="F272" s="144"/>
      <c r="G272" s="97"/>
      <c r="H272" s="143"/>
      <c r="I272" s="97"/>
      <c r="J272" s="97"/>
      <c r="K272" s="147"/>
      <c r="L272" s="148"/>
      <c r="M272" s="102"/>
      <c r="N272" s="124"/>
      <c r="O272" s="125"/>
      <c r="P272" s="97"/>
      <c r="Q272" s="131"/>
      <c r="R272" s="126"/>
      <c r="S272" s="97"/>
      <c r="T272" s="97"/>
      <c r="V272" s="108"/>
    </row>
    <row r="273" ht="15.75" customHeight="1">
      <c r="A273" s="91"/>
      <c r="B273" s="142"/>
      <c r="C273" s="143"/>
      <c r="D273" s="97"/>
      <c r="E273" s="144"/>
      <c r="F273" s="144"/>
      <c r="G273" s="97"/>
      <c r="H273" s="143"/>
      <c r="I273" s="97"/>
      <c r="J273" s="97"/>
      <c r="K273" s="149"/>
      <c r="L273" s="150"/>
      <c r="M273" s="102"/>
      <c r="N273" s="124"/>
      <c r="O273" s="125"/>
      <c r="P273" s="97"/>
      <c r="Q273" s="131"/>
      <c r="R273" s="126"/>
      <c r="S273" s="97"/>
      <c r="T273" s="97"/>
      <c r="V273" s="108"/>
    </row>
    <row r="274" ht="15.75" customHeight="1">
      <c r="A274" s="91"/>
      <c r="B274" s="142"/>
      <c r="C274" s="143"/>
      <c r="D274" s="97"/>
      <c r="E274" s="144"/>
      <c r="F274" s="144"/>
      <c r="G274" s="97"/>
      <c r="H274" s="143"/>
      <c r="I274" s="97"/>
      <c r="J274" s="97"/>
      <c r="K274" s="147"/>
      <c r="L274" s="148"/>
      <c r="M274" s="102"/>
      <c r="N274" s="124"/>
      <c r="O274" s="125"/>
      <c r="P274" s="97"/>
      <c r="Q274" s="131"/>
      <c r="R274" s="126"/>
      <c r="S274" s="97"/>
      <c r="T274" s="97"/>
      <c r="V274" s="108"/>
    </row>
    <row r="275" ht="15.75" customHeight="1">
      <c r="A275" s="91"/>
      <c r="B275" s="142"/>
      <c r="C275" s="143"/>
      <c r="D275" s="97"/>
      <c r="E275" s="144"/>
      <c r="F275" s="144"/>
      <c r="G275" s="97"/>
      <c r="H275" s="143"/>
      <c r="I275" s="97"/>
      <c r="J275" s="97"/>
      <c r="K275" s="149"/>
      <c r="L275" s="150"/>
      <c r="M275" s="102"/>
      <c r="N275" s="124"/>
      <c r="O275" s="125"/>
      <c r="P275" s="97"/>
      <c r="Q275" s="131"/>
      <c r="R275" s="126"/>
      <c r="S275" s="97"/>
      <c r="T275" s="97"/>
      <c r="V275" s="108"/>
    </row>
    <row r="276" ht="15.75" customHeight="1">
      <c r="A276" s="91"/>
      <c r="B276" s="142"/>
      <c r="C276" s="143"/>
      <c r="D276" s="97"/>
      <c r="E276" s="144"/>
      <c r="F276" s="144"/>
      <c r="G276" s="97"/>
      <c r="H276" s="143"/>
      <c r="I276" s="97"/>
      <c r="J276" s="97"/>
      <c r="K276" s="147"/>
      <c r="L276" s="148"/>
      <c r="M276" s="102"/>
      <c r="N276" s="124"/>
      <c r="O276" s="125"/>
      <c r="P276" s="97"/>
      <c r="Q276" s="131"/>
      <c r="R276" s="126"/>
      <c r="S276" s="97"/>
      <c r="T276" s="97"/>
      <c r="V276" s="108"/>
    </row>
    <row r="277" ht="15.75" customHeight="1">
      <c r="A277" s="91"/>
      <c r="B277" s="142"/>
      <c r="C277" s="108"/>
      <c r="D277" s="97"/>
      <c r="E277" s="144"/>
      <c r="F277" s="144"/>
      <c r="G277" s="97"/>
      <c r="H277" s="143"/>
      <c r="I277" s="97"/>
      <c r="J277" s="97"/>
      <c r="K277" s="149"/>
      <c r="L277" s="150"/>
      <c r="M277" s="102"/>
      <c r="N277" s="124"/>
      <c r="O277" s="125"/>
      <c r="P277" s="97"/>
      <c r="Q277" s="131"/>
      <c r="R277" s="126"/>
      <c r="S277" s="97"/>
      <c r="T277" s="97"/>
      <c r="V277" s="108"/>
    </row>
    <row r="278" ht="15.75" customHeight="1">
      <c r="A278" s="91"/>
      <c r="B278" s="142"/>
      <c r="C278" s="143"/>
      <c r="D278" s="97"/>
      <c r="E278" s="144"/>
      <c r="F278" s="144"/>
      <c r="G278" s="97"/>
      <c r="H278" s="143"/>
      <c r="I278" s="97"/>
      <c r="J278" s="97"/>
      <c r="K278" s="147"/>
      <c r="L278" s="148"/>
      <c r="M278" s="102"/>
      <c r="N278" s="124"/>
      <c r="O278" s="125"/>
      <c r="P278" s="97"/>
      <c r="Q278" s="131"/>
      <c r="R278" s="126"/>
      <c r="S278" s="97"/>
      <c r="T278" s="97"/>
      <c r="V278" s="108"/>
    </row>
    <row r="279" ht="15.75" customHeight="1">
      <c r="A279" s="91"/>
      <c r="B279" s="142"/>
      <c r="C279" s="143"/>
      <c r="D279" s="97"/>
      <c r="E279" s="144"/>
      <c r="F279" s="144"/>
      <c r="G279" s="97"/>
      <c r="H279" s="143"/>
      <c r="I279" s="97"/>
      <c r="J279" s="97"/>
      <c r="K279" s="149"/>
      <c r="L279" s="150"/>
      <c r="M279" s="102"/>
      <c r="N279" s="124"/>
      <c r="O279" s="125"/>
      <c r="P279" s="97"/>
      <c r="Q279" s="131"/>
      <c r="R279" s="126"/>
      <c r="S279" s="97"/>
      <c r="T279" s="97"/>
      <c r="V279" s="108"/>
    </row>
    <row r="280" ht="15.75" customHeight="1">
      <c r="A280" s="91"/>
      <c r="B280" s="142"/>
      <c r="C280" s="143"/>
      <c r="D280" s="97"/>
      <c r="E280" s="144"/>
      <c r="F280" s="144"/>
      <c r="G280" s="97"/>
      <c r="H280" s="143"/>
      <c r="I280" s="97"/>
      <c r="J280" s="97"/>
      <c r="K280" s="147"/>
      <c r="L280" s="148"/>
      <c r="M280" s="102"/>
      <c r="N280" s="124"/>
      <c r="O280" s="125"/>
      <c r="P280" s="97"/>
      <c r="Q280" s="131"/>
      <c r="R280" s="126"/>
      <c r="S280" s="97"/>
      <c r="T280" s="97"/>
      <c r="V280" s="108"/>
    </row>
    <row r="281" ht="15.75" customHeight="1">
      <c r="A281" s="91"/>
      <c r="B281" s="142"/>
      <c r="C281" s="143"/>
      <c r="D281" s="97"/>
      <c r="E281" s="144"/>
      <c r="F281" s="144"/>
      <c r="G281" s="97"/>
      <c r="H281" s="143"/>
      <c r="I281" s="97"/>
      <c r="J281" s="97"/>
      <c r="K281" s="149"/>
      <c r="L281" s="150"/>
      <c r="M281" s="102"/>
      <c r="N281" s="124"/>
      <c r="O281" s="125"/>
      <c r="P281" s="97"/>
      <c r="Q281" s="131"/>
      <c r="R281" s="126"/>
      <c r="S281" s="97"/>
      <c r="T281" s="97"/>
      <c r="V281" s="108"/>
    </row>
    <row r="282" ht="15.75" customHeight="1">
      <c r="A282" s="91"/>
      <c r="B282" s="142"/>
      <c r="C282" s="143"/>
      <c r="D282" s="97"/>
      <c r="E282" s="144"/>
      <c r="F282" s="144"/>
      <c r="G282" s="97"/>
      <c r="H282" s="143"/>
      <c r="I282" s="97"/>
      <c r="J282" s="97"/>
      <c r="K282" s="147"/>
      <c r="L282" s="148"/>
      <c r="M282" s="102"/>
      <c r="N282" s="124"/>
      <c r="O282" s="125"/>
      <c r="P282" s="97"/>
      <c r="Q282" s="131"/>
      <c r="R282" s="126"/>
      <c r="S282" s="97"/>
      <c r="T282" s="97"/>
      <c r="V282" s="108"/>
    </row>
    <row r="283" ht="15.75" customHeight="1">
      <c r="A283" s="91"/>
      <c r="B283" s="142"/>
      <c r="C283" s="108"/>
      <c r="D283" s="97"/>
      <c r="E283" s="144"/>
      <c r="F283" s="144"/>
      <c r="G283" s="97"/>
      <c r="H283" s="143"/>
      <c r="I283" s="97"/>
      <c r="J283" s="97"/>
      <c r="K283" s="149"/>
      <c r="L283" s="150"/>
      <c r="M283" s="102"/>
      <c r="N283" s="124"/>
      <c r="O283" s="125"/>
      <c r="P283" s="97"/>
      <c r="Q283" s="131"/>
      <c r="R283" s="126"/>
      <c r="S283" s="97"/>
      <c r="T283" s="97"/>
      <c r="V283" s="108"/>
    </row>
    <row r="284" ht="15.75" customHeight="1">
      <c r="A284" s="91"/>
      <c r="B284" s="142"/>
      <c r="C284" s="143"/>
      <c r="D284" s="97"/>
      <c r="E284" s="144"/>
      <c r="F284" s="144"/>
      <c r="G284" s="97"/>
      <c r="H284" s="143"/>
      <c r="I284" s="97"/>
      <c r="J284" s="97"/>
      <c r="K284" s="147"/>
      <c r="L284" s="148"/>
      <c r="M284" s="102"/>
      <c r="N284" s="124"/>
      <c r="O284" s="125"/>
      <c r="P284" s="97"/>
      <c r="Q284" s="131"/>
      <c r="R284" s="126"/>
      <c r="S284" s="97"/>
      <c r="T284" s="97"/>
      <c r="V284" s="108"/>
    </row>
    <row r="285" ht="15.75" customHeight="1">
      <c r="A285" s="91"/>
      <c r="B285" s="142"/>
      <c r="C285" s="143"/>
      <c r="D285" s="97"/>
      <c r="E285" s="144"/>
      <c r="F285" s="144"/>
      <c r="G285" s="97"/>
      <c r="H285" s="143"/>
      <c r="I285" s="97"/>
      <c r="J285" s="97"/>
      <c r="K285" s="149"/>
      <c r="L285" s="150"/>
      <c r="M285" s="102"/>
      <c r="N285" s="124"/>
      <c r="O285" s="125"/>
      <c r="P285" s="97"/>
      <c r="Q285" s="131"/>
      <c r="R285" s="126"/>
      <c r="S285" s="97"/>
      <c r="T285" s="97"/>
      <c r="V285" s="108"/>
    </row>
    <row r="286" ht="15.75" customHeight="1">
      <c r="A286" s="91"/>
      <c r="B286" s="142"/>
      <c r="C286" s="143"/>
      <c r="D286" s="97"/>
      <c r="E286" s="144"/>
      <c r="F286" s="144"/>
      <c r="G286" s="97"/>
      <c r="H286" s="143"/>
      <c r="I286" s="97"/>
      <c r="J286" s="97"/>
      <c r="K286" s="147"/>
      <c r="L286" s="148"/>
      <c r="M286" s="102"/>
      <c r="N286" s="124"/>
      <c r="O286" s="125"/>
      <c r="P286" s="97"/>
      <c r="Q286" s="131"/>
      <c r="R286" s="126"/>
      <c r="S286" s="97"/>
      <c r="T286" s="97"/>
      <c r="V286" s="108"/>
    </row>
    <row r="287" ht="15.75" customHeight="1">
      <c r="A287" s="91"/>
      <c r="B287" s="142"/>
      <c r="C287" s="143"/>
      <c r="D287" s="97"/>
      <c r="E287" s="144"/>
      <c r="F287" s="144"/>
      <c r="G287" s="97"/>
      <c r="H287" s="143"/>
      <c r="I287" s="97"/>
      <c r="J287" s="97"/>
      <c r="K287" s="149"/>
      <c r="L287" s="150"/>
      <c r="M287" s="102"/>
      <c r="N287" s="124"/>
      <c r="O287" s="125"/>
      <c r="P287" s="97"/>
      <c r="Q287" s="131"/>
      <c r="R287" s="126"/>
      <c r="S287" s="97"/>
      <c r="T287" s="97"/>
      <c r="V287" s="108"/>
    </row>
    <row r="288" ht="15.75" customHeight="1">
      <c r="A288" s="91"/>
      <c r="B288" s="142"/>
      <c r="C288" s="143"/>
      <c r="D288" s="97"/>
      <c r="E288" s="144"/>
      <c r="F288" s="144"/>
      <c r="G288" s="97"/>
      <c r="H288" s="143"/>
      <c r="I288" s="97"/>
      <c r="J288" s="97"/>
      <c r="K288" s="147"/>
      <c r="L288" s="148"/>
      <c r="M288" s="102"/>
      <c r="N288" s="124"/>
      <c r="O288" s="125"/>
      <c r="P288" s="97"/>
      <c r="Q288" s="131"/>
      <c r="R288" s="126"/>
      <c r="S288" s="97"/>
      <c r="T288" s="97"/>
      <c r="V288" s="108"/>
    </row>
    <row r="289" ht="15.75" customHeight="1">
      <c r="A289" s="91"/>
      <c r="B289" s="142"/>
      <c r="C289" s="108"/>
      <c r="D289" s="97"/>
      <c r="E289" s="144"/>
      <c r="F289" s="144"/>
      <c r="G289" s="97"/>
      <c r="H289" s="143"/>
      <c r="I289" s="97"/>
      <c r="J289" s="97"/>
      <c r="K289" s="149"/>
      <c r="L289" s="150"/>
      <c r="M289" s="102"/>
      <c r="N289" s="124"/>
      <c r="O289" s="125"/>
      <c r="P289" s="97"/>
      <c r="Q289" s="131"/>
      <c r="R289" s="126"/>
      <c r="S289" s="97"/>
      <c r="T289" s="97"/>
      <c r="V289" s="108"/>
    </row>
    <row r="290" ht="15.75" customHeight="1">
      <c r="A290" s="91"/>
      <c r="B290" s="142"/>
      <c r="C290" s="143"/>
      <c r="D290" s="97"/>
      <c r="E290" s="144"/>
      <c r="F290" s="144"/>
      <c r="G290" s="97"/>
      <c r="H290" s="143"/>
      <c r="I290" s="97"/>
      <c r="J290" s="97"/>
      <c r="K290" s="147"/>
      <c r="L290" s="148"/>
      <c r="M290" s="102"/>
      <c r="N290" s="124"/>
      <c r="O290" s="125"/>
      <c r="P290" s="97"/>
      <c r="Q290" s="131"/>
      <c r="R290" s="126"/>
      <c r="S290" s="97"/>
      <c r="T290" s="97"/>
      <c r="V290" s="108"/>
    </row>
    <row r="291" ht="15.75" customHeight="1">
      <c r="A291" s="91"/>
      <c r="B291" s="142"/>
      <c r="C291" s="143"/>
      <c r="D291" s="97"/>
      <c r="E291" s="144"/>
      <c r="F291" s="144"/>
      <c r="G291" s="97"/>
      <c r="H291" s="143"/>
      <c r="I291" s="97"/>
      <c r="J291" s="97"/>
      <c r="K291" s="149"/>
      <c r="L291" s="150"/>
      <c r="M291" s="102"/>
      <c r="N291" s="124"/>
      <c r="O291" s="125"/>
      <c r="P291" s="97"/>
      <c r="Q291" s="131"/>
      <c r="R291" s="126"/>
      <c r="S291" s="97"/>
      <c r="T291" s="97"/>
      <c r="V291" s="108"/>
    </row>
    <row r="292" ht="15.75" customHeight="1">
      <c r="A292" s="91"/>
      <c r="B292" s="142"/>
      <c r="C292" s="143"/>
      <c r="D292" s="97"/>
      <c r="E292" s="144"/>
      <c r="F292" s="144"/>
      <c r="G292" s="97"/>
      <c r="H292" s="143"/>
      <c r="I292" s="97"/>
      <c r="J292" s="97"/>
      <c r="K292" s="147"/>
      <c r="L292" s="148"/>
      <c r="M292" s="102"/>
      <c r="N292" s="124"/>
      <c r="O292" s="125"/>
      <c r="P292" s="97"/>
      <c r="Q292" s="131"/>
      <c r="R292" s="126"/>
      <c r="S292" s="97"/>
      <c r="T292" s="97"/>
      <c r="V292" s="108"/>
    </row>
    <row r="293" ht="15.75" customHeight="1">
      <c r="A293" s="91"/>
      <c r="B293" s="142"/>
      <c r="C293" s="143"/>
      <c r="D293" s="97"/>
      <c r="E293" s="144"/>
      <c r="F293" s="144"/>
      <c r="G293" s="97"/>
      <c r="H293" s="143"/>
      <c r="I293" s="97"/>
      <c r="J293" s="97"/>
      <c r="K293" s="149"/>
      <c r="L293" s="150"/>
      <c r="M293" s="102"/>
      <c r="N293" s="124"/>
      <c r="O293" s="125"/>
      <c r="P293" s="97"/>
      <c r="Q293" s="131"/>
      <c r="R293" s="126"/>
      <c r="S293" s="97"/>
      <c r="T293" s="97"/>
      <c r="V293" s="108"/>
    </row>
    <row r="294" ht="15.75" customHeight="1">
      <c r="A294" s="91"/>
      <c r="B294" s="142"/>
      <c r="C294" s="143"/>
      <c r="D294" s="97"/>
      <c r="E294" s="144"/>
      <c r="F294" s="144"/>
      <c r="G294" s="97"/>
      <c r="H294" s="143"/>
      <c r="I294" s="97"/>
      <c r="J294" s="97"/>
      <c r="K294" s="147"/>
      <c r="L294" s="148"/>
      <c r="M294" s="102"/>
      <c r="N294" s="124"/>
      <c r="O294" s="125"/>
      <c r="P294" s="97"/>
      <c r="Q294" s="131"/>
      <c r="R294" s="126"/>
      <c r="S294" s="97"/>
      <c r="T294" s="97"/>
      <c r="V294" s="108"/>
    </row>
    <row r="295" ht="15.75" customHeight="1">
      <c r="A295" s="91"/>
      <c r="B295" s="142"/>
      <c r="C295" s="108"/>
      <c r="D295" s="97"/>
      <c r="E295" s="144"/>
      <c r="F295" s="144"/>
      <c r="G295" s="97"/>
      <c r="H295" s="143"/>
      <c r="I295" s="97"/>
      <c r="J295" s="97"/>
      <c r="K295" s="149"/>
      <c r="L295" s="150"/>
      <c r="M295" s="102"/>
      <c r="N295" s="124"/>
      <c r="O295" s="125"/>
      <c r="P295" s="97"/>
      <c r="Q295" s="131"/>
      <c r="R295" s="126"/>
      <c r="S295" s="97"/>
      <c r="T295" s="97"/>
      <c r="V295" s="108"/>
    </row>
    <row r="296" ht="15.75" customHeight="1">
      <c r="A296" s="91"/>
      <c r="B296" s="142"/>
      <c r="C296" s="143"/>
      <c r="D296" s="97"/>
      <c r="E296" s="144"/>
      <c r="F296" s="144"/>
      <c r="G296" s="97"/>
      <c r="H296" s="143"/>
      <c r="I296" s="97"/>
      <c r="J296" s="97"/>
      <c r="K296" s="147"/>
      <c r="L296" s="148"/>
      <c r="M296" s="102"/>
      <c r="N296" s="124"/>
      <c r="O296" s="125"/>
      <c r="P296" s="97"/>
      <c r="Q296" s="131"/>
      <c r="R296" s="126"/>
      <c r="S296" s="97"/>
      <c r="T296" s="97"/>
      <c r="V296" s="108"/>
    </row>
    <row r="297" ht="15.75" customHeight="1">
      <c r="A297" s="91"/>
      <c r="B297" s="142"/>
      <c r="C297" s="143"/>
      <c r="D297" s="97"/>
      <c r="E297" s="144"/>
      <c r="F297" s="144"/>
      <c r="G297" s="97"/>
      <c r="H297" s="143"/>
      <c r="I297" s="97"/>
      <c r="J297" s="97"/>
      <c r="K297" s="149"/>
      <c r="L297" s="150"/>
      <c r="M297" s="102"/>
      <c r="N297" s="124"/>
      <c r="O297" s="125"/>
      <c r="P297" s="97"/>
      <c r="Q297" s="131"/>
      <c r="R297" s="126"/>
      <c r="S297" s="97"/>
      <c r="T297" s="97"/>
      <c r="V297" s="108"/>
    </row>
    <row r="298" ht="15.75" customHeight="1">
      <c r="A298" s="91"/>
      <c r="B298" s="142"/>
      <c r="C298" s="143"/>
      <c r="D298" s="97"/>
      <c r="E298" s="144"/>
      <c r="F298" s="144"/>
      <c r="G298" s="97"/>
      <c r="H298" s="143"/>
      <c r="I298" s="97"/>
      <c r="J298" s="97"/>
      <c r="K298" s="147"/>
      <c r="L298" s="148"/>
      <c r="M298" s="102"/>
      <c r="N298" s="124"/>
      <c r="O298" s="125"/>
      <c r="P298" s="97"/>
      <c r="Q298" s="131"/>
      <c r="R298" s="126"/>
      <c r="S298" s="97"/>
      <c r="T298" s="97"/>
      <c r="V298" s="108"/>
    </row>
    <row r="299" ht="15.75" customHeight="1">
      <c r="A299" s="91"/>
      <c r="B299" s="142"/>
      <c r="C299" s="143"/>
      <c r="D299" s="97"/>
      <c r="E299" s="144"/>
      <c r="F299" s="144"/>
      <c r="G299" s="97"/>
      <c r="H299" s="143"/>
      <c r="I299" s="97"/>
      <c r="J299" s="97"/>
      <c r="K299" s="149"/>
      <c r="L299" s="150"/>
      <c r="M299" s="102"/>
      <c r="N299" s="124"/>
      <c r="O299" s="125"/>
      <c r="P299" s="97"/>
      <c r="Q299" s="131"/>
      <c r="R299" s="126"/>
      <c r="S299" s="97"/>
      <c r="T299" s="97"/>
      <c r="V299" s="108"/>
    </row>
    <row r="300" ht="15.75" customHeight="1">
      <c r="A300" s="91"/>
      <c r="B300" s="142"/>
      <c r="C300" s="143"/>
      <c r="D300" s="97"/>
      <c r="E300" s="144"/>
      <c r="F300" s="144"/>
      <c r="G300" s="97"/>
      <c r="H300" s="143"/>
      <c r="I300" s="97"/>
      <c r="J300" s="97"/>
      <c r="K300" s="147"/>
      <c r="L300" s="148"/>
      <c r="M300" s="102"/>
      <c r="N300" s="124"/>
      <c r="O300" s="125"/>
      <c r="P300" s="97"/>
      <c r="Q300" s="131"/>
      <c r="R300" s="126"/>
      <c r="S300" s="97"/>
      <c r="T300" s="97"/>
      <c r="V300" s="108"/>
    </row>
    <row r="301" ht="15.75" customHeight="1">
      <c r="A301" s="91"/>
      <c r="B301" s="142"/>
      <c r="C301" s="108"/>
      <c r="D301" s="97"/>
      <c r="E301" s="144"/>
      <c r="F301" s="144"/>
      <c r="G301" s="97"/>
      <c r="H301" s="143"/>
      <c r="I301" s="97"/>
      <c r="J301" s="97"/>
      <c r="K301" s="149"/>
      <c r="L301" s="150"/>
      <c r="M301" s="102"/>
      <c r="N301" s="124"/>
      <c r="O301" s="125"/>
      <c r="P301" s="97"/>
      <c r="Q301" s="131"/>
      <c r="R301" s="126"/>
      <c r="S301" s="97"/>
      <c r="T301" s="97"/>
      <c r="V301" s="108"/>
    </row>
    <row r="302" ht="15.75" customHeight="1">
      <c r="A302" s="91"/>
      <c r="B302" s="142"/>
      <c r="C302" s="143"/>
      <c r="D302" s="97"/>
      <c r="E302" s="144"/>
      <c r="F302" s="144"/>
      <c r="G302" s="97"/>
      <c r="H302" s="143"/>
      <c r="I302" s="97"/>
      <c r="J302" s="97"/>
      <c r="K302" s="147"/>
      <c r="L302" s="148"/>
      <c r="M302" s="102"/>
      <c r="N302" s="124"/>
      <c r="O302" s="125"/>
      <c r="P302" s="97"/>
      <c r="Q302" s="131"/>
      <c r="R302" s="126"/>
      <c r="S302" s="97"/>
      <c r="T302" s="97"/>
      <c r="V302" s="108"/>
    </row>
    <row r="303" ht="15.75" customHeight="1">
      <c r="A303" s="91"/>
      <c r="B303" s="142"/>
      <c r="C303" s="143"/>
      <c r="D303" s="97"/>
      <c r="E303" s="144"/>
      <c r="F303" s="144"/>
      <c r="G303" s="97"/>
      <c r="H303" s="143"/>
      <c r="I303" s="97"/>
      <c r="J303" s="97"/>
      <c r="K303" s="149"/>
      <c r="L303" s="150"/>
      <c r="M303" s="102"/>
      <c r="N303" s="124"/>
      <c r="O303" s="125"/>
      <c r="P303" s="97"/>
      <c r="Q303" s="131"/>
      <c r="R303" s="126"/>
      <c r="S303" s="97"/>
      <c r="T303" s="97"/>
      <c r="V303" s="108"/>
    </row>
    <row r="304" ht="15.75" customHeight="1">
      <c r="A304" s="91"/>
      <c r="B304" s="142"/>
      <c r="C304" s="143"/>
      <c r="D304" s="97"/>
      <c r="E304" s="144"/>
      <c r="F304" s="144"/>
      <c r="G304" s="97"/>
      <c r="H304" s="143"/>
      <c r="I304" s="97"/>
      <c r="J304" s="97"/>
      <c r="K304" s="147"/>
      <c r="L304" s="148"/>
      <c r="M304" s="102"/>
      <c r="N304" s="124"/>
      <c r="O304" s="125"/>
      <c r="P304" s="97"/>
      <c r="Q304" s="131"/>
      <c r="R304" s="126"/>
      <c r="S304" s="97"/>
      <c r="T304" s="97"/>
      <c r="V304" s="108"/>
    </row>
    <row r="305" ht="15.75" customHeight="1">
      <c r="A305" s="91"/>
      <c r="B305" s="142"/>
      <c r="C305" s="143"/>
      <c r="D305" s="97"/>
      <c r="E305" s="144"/>
      <c r="F305" s="144"/>
      <c r="G305" s="97"/>
      <c r="H305" s="143"/>
      <c r="I305" s="97"/>
      <c r="J305" s="97"/>
      <c r="K305" s="149"/>
      <c r="L305" s="150"/>
      <c r="M305" s="102"/>
      <c r="N305" s="124"/>
      <c r="O305" s="125"/>
      <c r="P305" s="97"/>
      <c r="Q305" s="131"/>
      <c r="R305" s="126"/>
      <c r="S305" s="97"/>
      <c r="T305" s="97"/>
      <c r="V305" s="108"/>
    </row>
    <row r="306" ht="15.75" customHeight="1">
      <c r="A306" s="91"/>
      <c r="B306" s="142"/>
      <c r="C306" s="143"/>
      <c r="D306" s="97"/>
      <c r="E306" s="144"/>
      <c r="F306" s="144"/>
      <c r="G306" s="97"/>
      <c r="H306" s="143"/>
      <c r="I306" s="97"/>
      <c r="J306" s="97"/>
      <c r="K306" s="147"/>
      <c r="L306" s="148"/>
      <c r="M306" s="102"/>
      <c r="N306" s="124"/>
      <c r="O306" s="125"/>
      <c r="P306" s="97"/>
      <c r="Q306" s="131"/>
      <c r="R306" s="126"/>
      <c r="S306" s="97"/>
      <c r="T306" s="97"/>
      <c r="V306" s="108"/>
    </row>
    <row r="307" ht="15.75" customHeight="1">
      <c r="A307" s="91"/>
      <c r="B307" s="142"/>
      <c r="C307" s="108"/>
      <c r="D307" s="97"/>
      <c r="E307" s="144"/>
      <c r="F307" s="144"/>
      <c r="G307" s="97"/>
      <c r="H307" s="143"/>
      <c r="I307" s="97"/>
      <c r="J307" s="97"/>
      <c r="K307" s="149"/>
      <c r="L307" s="150"/>
      <c r="M307" s="102"/>
      <c r="N307" s="124"/>
      <c r="O307" s="125"/>
      <c r="P307" s="97"/>
      <c r="Q307" s="131"/>
      <c r="R307" s="126"/>
      <c r="S307" s="97"/>
      <c r="T307" s="97"/>
      <c r="V307" s="108"/>
    </row>
    <row r="308" ht="15.75" customHeight="1">
      <c r="A308" s="91"/>
      <c r="B308" s="142"/>
      <c r="C308" s="143"/>
      <c r="D308" s="97"/>
      <c r="E308" s="144"/>
      <c r="F308" s="144"/>
      <c r="G308" s="97"/>
      <c r="H308" s="143"/>
      <c r="I308" s="97"/>
      <c r="J308" s="97"/>
      <c r="K308" s="147"/>
      <c r="L308" s="148"/>
      <c r="M308" s="102"/>
      <c r="N308" s="124"/>
      <c r="O308" s="125"/>
      <c r="P308" s="97"/>
      <c r="Q308" s="131"/>
      <c r="R308" s="126"/>
      <c r="S308" s="97"/>
      <c r="T308" s="97"/>
      <c r="V308" s="108"/>
    </row>
    <row r="309" ht="15.75" customHeight="1">
      <c r="A309" s="91"/>
      <c r="B309" s="142"/>
      <c r="C309" s="143"/>
      <c r="D309" s="97"/>
      <c r="E309" s="144"/>
      <c r="F309" s="144"/>
      <c r="G309" s="97"/>
      <c r="H309" s="143"/>
      <c r="I309" s="97"/>
      <c r="J309" s="97"/>
      <c r="K309" s="149"/>
      <c r="L309" s="150"/>
      <c r="M309" s="102"/>
      <c r="N309" s="124"/>
      <c r="O309" s="125"/>
      <c r="P309" s="97"/>
      <c r="Q309" s="131"/>
      <c r="R309" s="126"/>
      <c r="S309" s="97"/>
      <c r="T309" s="97"/>
      <c r="V309" s="108"/>
    </row>
    <row r="310" ht="15.75" customHeight="1">
      <c r="A310" s="91"/>
      <c r="B310" s="142"/>
      <c r="C310" s="143"/>
      <c r="D310" s="97"/>
      <c r="E310" s="144"/>
      <c r="F310" s="144"/>
      <c r="G310" s="97"/>
      <c r="H310" s="143"/>
      <c r="I310" s="97"/>
      <c r="J310" s="97"/>
      <c r="K310" s="147"/>
      <c r="L310" s="148"/>
      <c r="M310" s="102"/>
      <c r="N310" s="124"/>
      <c r="O310" s="125"/>
      <c r="P310" s="97"/>
      <c r="Q310" s="131"/>
      <c r="R310" s="126"/>
      <c r="S310" s="97"/>
      <c r="T310" s="97"/>
      <c r="V310" s="108"/>
    </row>
    <row r="311" ht="15.75" customHeight="1">
      <c r="A311" s="91"/>
      <c r="B311" s="142"/>
      <c r="C311" s="143"/>
      <c r="D311" s="97"/>
      <c r="E311" s="144"/>
      <c r="F311" s="144"/>
      <c r="G311" s="97"/>
      <c r="H311" s="143"/>
      <c r="I311" s="97"/>
      <c r="J311" s="97"/>
      <c r="K311" s="149"/>
      <c r="L311" s="150"/>
      <c r="M311" s="102"/>
      <c r="N311" s="124"/>
      <c r="O311" s="125"/>
      <c r="P311" s="97"/>
      <c r="Q311" s="131"/>
      <c r="R311" s="126"/>
      <c r="S311" s="97"/>
      <c r="T311" s="97"/>
      <c r="V311" s="108"/>
    </row>
    <row r="312" ht="15.75" customHeight="1">
      <c r="A312" s="91"/>
      <c r="B312" s="142"/>
      <c r="C312" s="143"/>
      <c r="D312" s="97"/>
      <c r="E312" s="144"/>
      <c r="F312" s="144"/>
      <c r="G312" s="97"/>
      <c r="H312" s="143"/>
      <c r="I312" s="97"/>
      <c r="J312" s="97"/>
      <c r="K312" s="147"/>
      <c r="L312" s="148"/>
      <c r="M312" s="102"/>
      <c r="N312" s="124"/>
      <c r="O312" s="125"/>
      <c r="P312" s="97"/>
      <c r="Q312" s="131"/>
      <c r="R312" s="126"/>
      <c r="S312" s="97"/>
      <c r="T312" s="97"/>
      <c r="V312" s="108"/>
    </row>
    <row r="313" ht="15.75" customHeight="1">
      <c r="A313" s="91"/>
      <c r="B313" s="142"/>
      <c r="C313" s="108"/>
      <c r="D313" s="97"/>
      <c r="E313" s="144"/>
      <c r="F313" s="144"/>
      <c r="G313" s="97"/>
      <c r="H313" s="143"/>
      <c r="I313" s="97"/>
      <c r="J313" s="97"/>
      <c r="K313" s="149"/>
      <c r="L313" s="150"/>
      <c r="M313" s="102"/>
      <c r="N313" s="124"/>
      <c r="O313" s="125"/>
      <c r="P313" s="97"/>
      <c r="Q313" s="131"/>
      <c r="R313" s="126"/>
      <c r="S313" s="97"/>
      <c r="T313" s="97"/>
      <c r="V313" s="108"/>
    </row>
    <row r="314" ht="15.75" customHeight="1">
      <c r="A314" s="91"/>
      <c r="B314" s="142"/>
      <c r="C314" s="143"/>
      <c r="D314" s="97"/>
      <c r="E314" s="144"/>
      <c r="F314" s="144"/>
      <c r="G314" s="97"/>
      <c r="H314" s="143"/>
      <c r="I314" s="97"/>
      <c r="J314" s="97"/>
      <c r="K314" s="147"/>
      <c r="L314" s="148"/>
      <c r="M314" s="102"/>
      <c r="N314" s="124"/>
      <c r="O314" s="125"/>
      <c r="P314" s="97"/>
      <c r="Q314" s="131"/>
      <c r="R314" s="126"/>
      <c r="S314" s="97"/>
      <c r="T314" s="97"/>
      <c r="V314" s="108"/>
    </row>
    <row r="315" ht="15.75" customHeight="1">
      <c r="A315" s="91"/>
      <c r="B315" s="142"/>
      <c r="C315" s="143"/>
      <c r="D315" s="97"/>
      <c r="E315" s="144"/>
      <c r="F315" s="144"/>
      <c r="G315" s="97"/>
      <c r="H315" s="143"/>
      <c r="I315" s="97"/>
      <c r="J315" s="97"/>
      <c r="K315" s="149"/>
      <c r="L315" s="150"/>
      <c r="M315" s="102"/>
      <c r="N315" s="124"/>
      <c r="O315" s="125"/>
      <c r="P315" s="97"/>
      <c r="Q315" s="131"/>
      <c r="R315" s="126"/>
      <c r="S315" s="97"/>
      <c r="T315" s="97"/>
      <c r="V315" s="108"/>
    </row>
    <row r="316" ht="15.75" customHeight="1">
      <c r="A316" s="91"/>
      <c r="B316" s="142"/>
      <c r="C316" s="143"/>
      <c r="D316" s="97"/>
      <c r="E316" s="144"/>
      <c r="F316" s="144"/>
      <c r="G316" s="97"/>
      <c r="H316" s="143"/>
      <c r="I316" s="97"/>
      <c r="J316" s="97"/>
      <c r="K316" s="147"/>
      <c r="L316" s="148"/>
      <c r="M316" s="102"/>
      <c r="N316" s="124"/>
      <c r="O316" s="125"/>
      <c r="P316" s="97"/>
      <c r="Q316" s="131"/>
      <c r="R316" s="126"/>
      <c r="S316" s="97"/>
      <c r="T316" s="97"/>
      <c r="V316" s="108"/>
    </row>
    <row r="317" ht="15.75" customHeight="1">
      <c r="A317" s="91"/>
      <c r="B317" s="142"/>
      <c r="C317" s="143"/>
      <c r="D317" s="97"/>
      <c r="E317" s="144"/>
      <c r="F317" s="144"/>
      <c r="G317" s="97"/>
      <c r="H317" s="143"/>
      <c r="I317" s="97"/>
      <c r="J317" s="97"/>
      <c r="K317" s="149"/>
      <c r="L317" s="150"/>
      <c r="M317" s="102"/>
      <c r="N317" s="124"/>
      <c r="O317" s="125"/>
      <c r="P317" s="97"/>
      <c r="Q317" s="131"/>
      <c r="R317" s="126"/>
      <c r="S317" s="97"/>
      <c r="T317" s="97"/>
      <c r="V317" s="108"/>
    </row>
    <row r="318" ht="15.75" customHeight="1">
      <c r="A318" s="91"/>
      <c r="B318" s="142"/>
      <c r="C318" s="143"/>
      <c r="D318" s="97"/>
      <c r="E318" s="144"/>
      <c r="F318" s="144"/>
      <c r="G318" s="97"/>
      <c r="H318" s="143"/>
      <c r="I318" s="97"/>
      <c r="J318" s="97"/>
      <c r="K318" s="147"/>
      <c r="L318" s="148"/>
      <c r="M318" s="102"/>
      <c r="N318" s="124"/>
      <c r="O318" s="125"/>
      <c r="P318" s="97"/>
      <c r="Q318" s="131"/>
      <c r="R318" s="126"/>
      <c r="S318" s="97"/>
      <c r="T318" s="97"/>
      <c r="V318" s="108"/>
    </row>
    <row r="319" ht="15.75" customHeight="1">
      <c r="A319" s="91"/>
      <c r="B319" s="142"/>
      <c r="C319" s="108"/>
      <c r="D319" s="97"/>
      <c r="E319" s="144"/>
      <c r="F319" s="144"/>
      <c r="G319" s="97"/>
      <c r="H319" s="143"/>
      <c r="I319" s="97"/>
      <c r="J319" s="97"/>
      <c r="K319" s="149"/>
      <c r="L319" s="150"/>
      <c r="M319" s="102"/>
      <c r="N319" s="124"/>
      <c r="O319" s="125"/>
      <c r="P319" s="97"/>
      <c r="Q319" s="131"/>
      <c r="R319" s="126"/>
      <c r="S319" s="97"/>
      <c r="T319" s="97"/>
      <c r="V319" s="108"/>
    </row>
    <row r="320" ht="15.75" customHeight="1">
      <c r="A320" s="91"/>
      <c r="B320" s="142"/>
      <c r="C320" s="143"/>
      <c r="D320" s="97"/>
      <c r="E320" s="144"/>
      <c r="F320" s="144"/>
      <c r="G320" s="97"/>
      <c r="H320" s="143"/>
      <c r="I320" s="97"/>
      <c r="J320" s="97"/>
      <c r="K320" s="147"/>
      <c r="L320" s="148"/>
      <c r="M320" s="102"/>
      <c r="N320" s="124"/>
      <c r="O320" s="125"/>
      <c r="P320" s="97"/>
      <c r="Q320" s="131"/>
      <c r="R320" s="126"/>
      <c r="S320" s="97"/>
      <c r="T320" s="97"/>
      <c r="V320" s="108"/>
    </row>
    <row r="321" ht="15.75" customHeight="1">
      <c r="A321" s="91"/>
      <c r="B321" s="142"/>
      <c r="C321" s="143"/>
      <c r="D321" s="97"/>
      <c r="E321" s="144"/>
      <c r="F321" s="144"/>
      <c r="G321" s="97"/>
      <c r="H321" s="143"/>
      <c r="I321" s="97"/>
      <c r="J321" s="97"/>
      <c r="K321" s="149"/>
      <c r="L321" s="150"/>
      <c r="M321" s="102"/>
      <c r="N321" s="124"/>
      <c r="O321" s="125"/>
      <c r="P321" s="97"/>
      <c r="Q321" s="131"/>
      <c r="R321" s="126"/>
      <c r="S321" s="97"/>
      <c r="T321" s="97"/>
      <c r="V321" s="108"/>
    </row>
    <row r="322" ht="15.75" customHeight="1">
      <c r="A322" s="91"/>
      <c r="B322" s="142"/>
      <c r="C322" s="143"/>
      <c r="D322" s="97"/>
      <c r="E322" s="144"/>
      <c r="F322" s="144"/>
      <c r="G322" s="97"/>
      <c r="H322" s="143"/>
      <c r="I322" s="97"/>
      <c r="J322" s="97"/>
      <c r="K322" s="147"/>
      <c r="L322" s="148"/>
      <c r="M322" s="102"/>
      <c r="N322" s="124"/>
      <c r="O322" s="125"/>
      <c r="P322" s="97"/>
      <c r="Q322" s="131"/>
      <c r="R322" s="126"/>
      <c r="S322" s="97"/>
      <c r="T322" s="97"/>
      <c r="V322" s="108"/>
    </row>
    <row r="323" ht="15.75" customHeight="1">
      <c r="A323" s="91"/>
      <c r="B323" s="142"/>
      <c r="C323" s="143"/>
      <c r="D323" s="97"/>
      <c r="E323" s="144"/>
      <c r="F323" s="144"/>
      <c r="G323" s="97"/>
      <c r="H323" s="143"/>
      <c r="I323" s="97"/>
      <c r="J323" s="97"/>
      <c r="K323" s="149"/>
      <c r="L323" s="150"/>
      <c r="M323" s="102"/>
      <c r="N323" s="124"/>
      <c r="O323" s="125"/>
      <c r="P323" s="97"/>
      <c r="Q323" s="131"/>
      <c r="R323" s="126"/>
      <c r="S323" s="97"/>
      <c r="T323" s="97"/>
      <c r="V323" s="108"/>
    </row>
    <row r="324" ht="15.75" customHeight="1">
      <c r="A324" s="91"/>
      <c r="B324" s="142"/>
      <c r="C324" s="143"/>
      <c r="D324" s="97"/>
      <c r="E324" s="144"/>
      <c r="F324" s="144"/>
      <c r="G324" s="97"/>
      <c r="H324" s="143"/>
      <c r="I324" s="97"/>
      <c r="J324" s="97"/>
      <c r="K324" s="147"/>
      <c r="L324" s="148"/>
      <c r="M324" s="102"/>
      <c r="N324" s="124"/>
      <c r="O324" s="125"/>
      <c r="P324" s="97"/>
      <c r="Q324" s="131"/>
      <c r="R324" s="126"/>
      <c r="S324" s="97"/>
      <c r="T324" s="97"/>
      <c r="V324" s="108"/>
    </row>
    <row r="325" ht="15.75" customHeight="1">
      <c r="A325" s="91"/>
      <c r="B325" s="142"/>
      <c r="C325" s="108"/>
      <c r="D325" s="97"/>
      <c r="E325" s="144"/>
      <c r="F325" s="144"/>
      <c r="G325" s="97"/>
      <c r="H325" s="143"/>
      <c r="I325" s="97"/>
      <c r="J325" s="97"/>
      <c r="K325" s="149"/>
      <c r="L325" s="150"/>
      <c r="M325" s="102"/>
      <c r="N325" s="124"/>
      <c r="O325" s="125"/>
      <c r="P325" s="97"/>
      <c r="Q325" s="131"/>
      <c r="R325" s="126"/>
      <c r="S325" s="97"/>
      <c r="T325" s="97"/>
      <c r="V325" s="108"/>
    </row>
    <row r="326" ht="15.75" customHeight="1">
      <c r="A326" s="91"/>
      <c r="B326" s="142"/>
      <c r="C326" s="143"/>
      <c r="D326" s="97"/>
      <c r="E326" s="144"/>
      <c r="F326" s="144"/>
      <c r="G326" s="97"/>
      <c r="H326" s="143"/>
      <c r="I326" s="97"/>
      <c r="J326" s="97"/>
      <c r="K326" s="147"/>
      <c r="L326" s="148"/>
      <c r="M326" s="102"/>
      <c r="N326" s="124"/>
      <c r="O326" s="125"/>
      <c r="P326" s="97"/>
      <c r="Q326" s="131"/>
      <c r="R326" s="126"/>
      <c r="S326" s="97"/>
      <c r="T326" s="97"/>
      <c r="V326" s="108"/>
    </row>
    <row r="327" ht="15.75" customHeight="1">
      <c r="A327" s="91"/>
      <c r="B327" s="142"/>
      <c r="C327" s="143"/>
      <c r="D327" s="97"/>
      <c r="E327" s="144"/>
      <c r="F327" s="144"/>
      <c r="G327" s="97"/>
      <c r="H327" s="143"/>
      <c r="I327" s="97"/>
      <c r="J327" s="97"/>
      <c r="K327" s="149"/>
      <c r="L327" s="150"/>
      <c r="M327" s="102"/>
      <c r="N327" s="124"/>
      <c r="O327" s="125"/>
      <c r="P327" s="97"/>
      <c r="Q327" s="131"/>
      <c r="R327" s="126"/>
      <c r="S327" s="97"/>
      <c r="T327" s="97"/>
      <c r="V327" s="108"/>
    </row>
    <row r="328" ht="15.75" customHeight="1">
      <c r="A328" s="91"/>
      <c r="B328" s="142"/>
      <c r="C328" s="143"/>
      <c r="D328" s="97"/>
      <c r="E328" s="144"/>
      <c r="F328" s="144"/>
      <c r="G328" s="97"/>
      <c r="H328" s="143"/>
      <c r="I328" s="97"/>
      <c r="J328" s="97"/>
      <c r="K328" s="151"/>
      <c r="L328" s="152"/>
      <c r="M328" s="102"/>
      <c r="N328" s="124"/>
      <c r="O328" s="125"/>
      <c r="P328" s="97"/>
      <c r="Q328" s="131"/>
      <c r="R328" s="126"/>
      <c r="S328" s="97"/>
      <c r="T328" s="97"/>
      <c r="V328" s="108"/>
    </row>
    <row r="329" ht="15.75" customHeight="1">
      <c r="A329" s="91"/>
      <c r="B329" s="142"/>
      <c r="C329" s="143"/>
      <c r="D329" s="97"/>
      <c r="E329" s="144"/>
      <c r="F329" s="144"/>
      <c r="G329" s="97"/>
      <c r="H329" s="143"/>
      <c r="I329" s="97"/>
      <c r="J329" s="97"/>
      <c r="K329" s="151"/>
      <c r="L329" s="152"/>
      <c r="M329" s="102"/>
      <c r="N329" s="124"/>
      <c r="O329" s="125"/>
      <c r="P329" s="97"/>
      <c r="Q329" s="131"/>
      <c r="R329" s="126"/>
      <c r="S329" s="97"/>
      <c r="T329" s="97"/>
      <c r="V329" s="108"/>
    </row>
    <row r="330" ht="15.75" customHeight="1">
      <c r="A330" s="91"/>
      <c r="B330" s="142"/>
      <c r="C330" s="143"/>
      <c r="D330" s="97"/>
      <c r="E330" s="144"/>
      <c r="F330" s="144"/>
      <c r="G330" s="97"/>
      <c r="H330" s="143"/>
      <c r="I330" s="97"/>
      <c r="J330" s="97"/>
      <c r="K330" s="151"/>
      <c r="L330" s="152"/>
      <c r="M330" s="102"/>
      <c r="N330" s="124"/>
      <c r="O330" s="125"/>
      <c r="P330" s="97"/>
      <c r="Q330" s="131"/>
      <c r="R330" s="126"/>
      <c r="S330" s="97"/>
      <c r="T330" s="97"/>
      <c r="V330" s="108"/>
    </row>
    <row r="331" ht="15.75" customHeight="1">
      <c r="A331" s="91"/>
      <c r="B331" s="142"/>
      <c r="C331" s="108"/>
      <c r="D331" s="97"/>
      <c r="E331" s="144"/>
      <c r="F331" s="144"/>
      <c r="G331" s="97"/>
      <c r="H331" s="143"/>
      <c r="I331" s="97"/>
      <c r="J331" s="97"/>
      <c r="K331" s="151"/>
      <c r="L331" s="152"/>
      <c r="M331" s="102"/>
      <c r="N331" s="124"/>
      <c r="O331" s="125"/>
      <c r="P331" s="97"/>
      <c r="Q331" s="131"/>
      <c r="R331" s="126"/>
      <c r="S331" s="97"/>
      <c r="T331" s="97"/>
      <c r="V331" s="108"/>
    </row>
    <row r="332" ht="15.75" customHeight="1">
      <c r="A332" s="91"/>
      <c r="B332" s="142"/>
      <c r="C332" s="143"/>
      <c r="D332" s="97"/>
      <c r="E332" s="144"/>
      <c r="F332" s="144"/>
      <c r="G332" s="97"/>
      <c r="H332" s="143"/>
      <c r="I332" s="97"/>
      <c r="J332" s="97"/>
      <c r="K332" s="151"/>
      <c r="L332" s="152"/>
      <c r="M332" s="102"/>
      <c r="N332" s="124"/>
      <c r="O332" s="125"/>
      <c r="P332" s="97"/>
      <c r="Q332" s="131"/>
      <c r="R332" s="126"/>
      <c r="S332" s="97"/>
      <c r="T332" s="97"/>
      <c r="V332" s="108"/>
    </row>
    <row r="333" ht="15.75" customHeight="1">
      <c r="A333" s="91"/>
      <c r="B333" s="142"/>
      <c r="C333" s="143"/>
      <c r="D333" s="97"/>
      <c r="E333" s="144"/>
      <c r="F333" s="144"/>
      <c r="G333" s="97"/>
      <c r="H333" s="143"/>
      <c r="I333" s="97"/>
      <c r="J333" s="97"/>
      <c r="K333" s="151"/>
      <c r="L333" s="152"/>
      <c r="M333" s="102"/>
      <c r="N333" s="124"/>
      <c r="O333" s="125"/>
      <c r="P333" s="97"/>
      <c r="Q333" s="131"/>
      <c r="R333" s="126"/>
      <c r="S333" s="97"/>
      <c r="T333" s="97"/>
      <c r="V333" s="108"/>
    </row>
    <row r="334" ht="15.75" customHeight="1">
      <c r="A334" s="91"/>
      <c r="B334" s="142"/>
      <c r="C334" s="143"/>
      <c r="D334" s="97"/>
      <c r="E334" s="144"/>
      <c r="F334" s="144"/>
      <c r="G334" s="97"/>
      <c r="H334" s="143"/>
      <c r="I334" s="97"/>
      <c r="J334" s="97"/>
      <c r="K334" s="151"/>
      <c r="L334" s="152"/>
      <c r="M334" s="102"/>
      <c r="N334" s="124"/>
      <c r="O334" s="125"/>
      <c r="P334" s="97"/>
      <c r="Q334" s="131"/>
      <c r="R334" s="126"/>
      <c r="S334" s="97"/>
      <c r="T334" s="97"/>
      <c r="V334" s="108"/>
    </row>
    <row r="335" ht="15.75" customHeight="1">
      <c r="A335" s="91"/>
      <c r="B335" s="142"/>
      <c r="C335" s="143"/>
      <c r="D335" s="97"/>
      <c r="E335" s="144"/>
      <c r="F335" s="144"/>
      <c r="G335" s="97"/>
      <c r="H335" s="143"/>
      <c r="I335" s="97"/>
      <c r="J335" s="97"/>
      <c r="K335" s="151"/>
      <c r="L335" s="152"/>
      <c r="M335" s="102"/>
      <c r="N335" s="124"/>
      <c r="O335" s="125"/>
      <c r="P335" s="97"/>
      <c r="Q335" s="131"/>
      <c r="R335" s="126"/>
      <c r="S335" s="97"/>
      <c r="T335" s="97"/>
      <c r="V335" s="108"/>
    </row>
    <row r="336" ht="15.75" customHeight="1">
      <c r="A336" s="91"/>
      <c r="B336" s="142"/>
      <c r="C336" s="143"/>
      <c r="D336" s="97"/>
      <c r="E336" s="144"/>
      <c r="F336" s="144"/>
      <c r="G336" s="97"/>
      <c r="H336" s="143"/>
      <c r="I336" s="97"/>
      <c r="J336" s="97"/>
      <c r="K336" s="151"/>
      <c r="L336" s="152"/>
      <c r="M336" s="102"/>
      <c r="N336" s="124"/>
      <c r="O336" s="125"/>
      <c r="P336" s="97"/>
      <c r="Q336" s="131"/>
      <c r="R336" s="126"/>
      <c r="S336" s="97"/>
      <c r="T336" s="97"/>
      <c r="V336" s="108"/>
    </row>
    <row r="337" ht="15.75" customHeight="1">
      <c r="A337" s="91"/>
      <c r="B337" s="142"/>
      <c r="C337" s="108"/>
      <c r="D337" s="97"/>
      <c r="E337" s="144"/>
      <c r="F337" s="144"/>
      <c r="G337" s="97"/>
      <c r="H337" s="143"/>
      <c r="I337" s="97"/>
      <c r="J337" s="97"/>
      <c r="K337" s="151"/>
      <c r="L337" s="152"/>
      <c r="M337" s="102"/>
      <c r="N337" s="124"/>
      <c r="O337" s="125"/>
      <c r="P337" s="97"/>
      <c r="Q337" s="131"/>
      <c r="R337" s="126"/>
      <c r="S337" s="97"/>
      <c r="T337" s="97"/>
      <c r="V337" s="108"/>
    </row>
    <row r="338" ht="15.75" customHeight="1">
      <c r="A338" s="91"/>
      <c r="B338" s="142"/>
      <c r="C338" s="143"/>
      <c r="D338" s="97"/>
      <c r="E338" s="144"/>
      <c r="F338" s="144"/>
      <c r="G338" s="97"/>
      <c r="H338" s="143"/>
      <c r="I338" s="97"/>
      <c r="J338" s="97"/>
      <c r="K338" s="151"/>
      <c r="L338" s="152"/>
      <c r="M338" s="102"/>
      <c r="N338" s="124"/>
      <c r="O338" s="125"/>
      <c r="P338" s="97"/>
      <c r="Q338" s="131"/>
      <c r="R338" s="126"/>
      <c r="S338" s="97"/>
      <c r="T338" s="97"/>
      <c r="V338" s="108"/>
    </row>
    <row r="339" ht="15.75" customHeight="1">
      <c r="A339" s="91"/>
      <c r="B339" s="142"/>
      <c r="C339" s="143"/>
      <c r="D339" s="97"/>
      <c r="E339" s="144"/>
      <c r="F339" s="144"/>
      <c r="G339" s="97"/>
      <c r="H339" s="143"/>
      <c r="I339" s="97"/>
      <c r="J339" s="97"/>
      <c r="K339" s="151"/>
      <c r="L339" s="152"/>
      <c r="M339" s="102"/>
      <c r="N339" s="124"/>
      <c r="O339" s="125"/>
      <c r="P339" s="97"/>
      <c r="Q339" s="131"/>
      <c r="R339" s="126"/>
      <c r="S339" s="97"/>
      <c r="T339" s="97"/>
      <c r="V339" s="108"/>
    </row>
    <row r="340" ht="15.75" customHeight="1">
      <c r="A340" s="91"/>
      <c r="B340" s="142"/>
      <c r="C340" s="143"/>
      <c r="D340" s="97"/>
      <c r="E340" s="144"/>
      <c r="F340" s="144"/>
      <c r="G340" s="97"/>
      <c r="H340" s="143"/>
      <c r="I340" s="97"/>
      <c r="J340" s="97"/>
      <c r="K340" s="151"/>
      <c r="L340" s="152"/>
      <c r="M340" s="102"/>
      <c r="N340" s="124"/>
      <c r="O340" s="125"/>
      <c r="P340" s="97"/>
      <c r="Q340" s="131"/>
      <c r="R340" s="126"/>
      <c r="S340" s="97"/>
      <c r="T340" s="97"/>
      <c r="V340" s="108"/>
    </row>
    <row r="341" ht="15.75" customHeight="1">
      <c r="A341" s="91"/>
      <c r="B341" s="142"/>
      <c r="C341" s="143"/>
      <c r="D341" s="97"/>
      <c r="E341" s="144"/>
      <c r="F341" s="144"/>
      <c r="G341" s="97"/>
      <c r="H341" s="143"/>
      <c r="I341" s="97"/>
      <c r="J341" s="97"/>
      <c r="K341" s="151"/>
      <c r="L341" s="152"/>
      <c r="M341" s="102"/>
      <c r="N341" s="124"/>
      <c r="O341" s="125"/>
      <c r="P341" s="97"/>
      <c r="Q341" s="131"/>
      <c r="R341" s="126"/>
      <c r="S341" s="97"/>
      <c r="T341" s="97"/>
      <c r="V341" s="108"/>
    </row>
    <row r="342" ht="15.75" customHeight="1">
      <c r="A342" s="91"/>
      <c r="B342" s="142"/>
      <c r="C342" s="143"/>
      <c r="D342" s="97"/>
      <c r="E342" s="144"/>
      <c r="F342" s="144"/>
      <c r="G342" s="97"/>
      <c r="H342" s="143"/>
      <c r="I342" s="97"/>
      <c r="J342" s="97"/>
      <c r="K342" s="151"/>
      <c r="L342" s="152"/>
      <c r="M342" s="102"/>
      <c r="N342" s="124"/>
      <c r="O342" s="125"/>
      <c r="P342" s="97"/>
      <c r="Q342" s="131"/>
      <c r="R342" s="126"/>
      <c r="S342" s="97"/>
      <c r="T342" s="97"/>
      <c r="V342" s="108"/>
    </row>
    <row r="343" ht="15.75" customHeight="1">
      <c r="A343" s="91"/>
      <c r="B343" s="142"/>
      <c r="C343" s="108"/>
      <c r="D343" s="97"/>
      <c r="E343" s="144"/>
      <c r="F343" s="144"/>
      <c r="G343" s="97"/>
      <c r="H343" s="143"/>
      <c r="I343" s="97"/>
      <c r="J343" s="97"/>
      <c r="K343" s="151"/>
      <c r="L343" s="152"/>
      <c r="M343" s="102"/>
      <c r="N343" s="124"/>
      <c r="O343" s="125"/>
      <c r="P343" s="97"/>
      <c r="Q343" s="131"/>
      <c r="R343" s="126"/>
      <c r="S343" s="97"/>
      <c r="T343" s="97"/>
      <c r="V343" s="108"/>
    </row>
    <row r="344" ht="15.75" customHeight="1">
      <c r="A344" s="91"/>
      <c r="B344" s="142"/>
      <c r="C344" s="143"/>
      <c r="D344" s="97"/>
      <c r="E344" s="144"/>
      <c r="F344" s="144"/>
      <c r="G344" s="97"/>
      <c r="H344" s="143"/>
      <c r="I344" s="97"/>
      <c r="J344" s="97"/>
      <c r="K344" s="151"/>
      <c r="L344" s="152"/>
      <c r="M344" s="102"/>
      <c r="N344" s="124"/>
      <c r="O344" s="125"/>
      <c r="P344" s="97"/>
      <c r="Q344" s="131"/>
      <c r="R344" s="126"/>
      <c r="S344" s="97"/>
      <c r="T344" s="97"/>
      <c r="V344" s="108"/>
    </row>
    <row r="345" ht="15.75" customHeight="1">
      <c r="A345" s="91"/>
      <c r="B345" s="142"/>
      <c r="C345" s="143"/>
      <c r="D345" s="97"/>
      <c r="E345" s="144"/>
      <c r="F345" s="144"/>
      <c r="G345" s="97"/>
      <c r="H345" s="143"/>
      <c r="I345" s="97"/>
      <c r="J345" s="97"/>
      <c r="K345" s="151"/>
      <c r="L345" s="152"/>
      <c r="M345" s="102"/>
      <c r="N345" s="124"/>
      <c r="O345" s="125"/>
      <c r="P345" s="97"/>
      <c r="Q345" s="131"/>
      <c r="R345" s="126"/>
      <c r="S345" s="97"/>
      <c r="T345" s="97"/>
      <c r="V345" s="108"/>
    </row>
    <row r="346" ht="15.75" customHeight="1">
      <c r="A346" s="91"/>
      <c r="B346" s="142"/>
      <c r="C346" s="143"/>
      <c r="D346" s="97"/>
      <c r="E346" s="144"/>
      <c r="F346" s="144"/>
      <c r="G346" s="97"/>
      <c r="H346" s="143"/>
      <c r="I346" s="97"/>
      <c r="J346" s="97"/>
      <c r="K346" s="151"/>
      <c r="L346" s="152"/>
      <c r="M346" s="102"/>
      <c r="N346" s="124"/>
      <c r="O346" s="125"/>
      <c r="P346" s="97"/>
      <c r="Q346" s="131"/>
      <c r="R346" s="126"/>
      <c r="S346" s="97"/>
      <c r="T346" s="97"/>
      <c r="V346" s="108"/>
    </row>
    <row r="347" ht="15.75" customHeight="1">
      <c r="A347" s="91"/>
      <c r="B347" s="142"/>
      <c r="C347" s="143"/>
      <c r="D347" s="97"/>
      <c r="E347" s="144"/>
      <c r="F347" s="144"/>
      <c r="G347" s="97"/>
      <c r="H347" s="143"/>
      <c r="I347" s="97"/>
      <c r="J347" s="97"/>
      <c r="K347" s="151"/>
      <c r="L347" s="152"/>
      <c r="M347" s="102"/>
      <c r="N347" s="124"/>
      <c r="O347" s="125"/>
      <c r="P347" s="97"/>
      <c r="Q347" s="131"/>
      <c r="R347" s="126"/>
      <c r="S347" s="97"/>
      <c r="T347" s="97"/>
      <c r="V347" s="108"/>
    </row>
    <row r="348" ht="15.75" customHeight="1">
      <c r="A348" s="91"/>
      <c r="B348" s="142"/>
      <c r="C348" s="143"/>
      <c r="D348" s="97"/>
      <c r="E348" s="144"/>
      <c r="F348" s="144"/>
      <c r="G348" s="97"/>
      <c r="H348" s="143"/>
      <c r="I348" s="97"/>
      <c r="J348" s="97"/>
      <c r="K348" s="151"/>
      <c r="L348" s="152"/>
      <c r="M348" s="102"/>
      <c r="N348" s="124"/>
      <c r="O348" s="125"/>
      <c r="P348" s="97"/>
      <c r="Q348" s="131"/>
      <c r="R348" s="126"/>
      <c r="S348" s="97"/>
      <c r="T348" s="97"/>
      <c r="V348" s="108"/>
    </row>
    <row r="349" ht="15.75" customHeight="1">
      <c r="A349" s="91"/>
      <c r="B349" s="142"/>
      <c r="C349" s="108"/>
      <c r="D349" s="97"/>
      <c r="E349" s="144"/>
      <c r="F349" s="144"/>
      <c r="G349" s="97"/>
      <c r="H349" s="143"/>
      <c r="I349" s="97"/>
      <c r="J349" s="97"/>
      <c r="K349" s="151"/>
      <c r="L349" s="152"/>
      <c r="M349" s="102"/>
      <c r="N349" s="124"/>
      <c r="O349" s="125"/>
      <c r="P349" s="97"/>
      <c r="Q349" s="131"/>
      <c r="R349" s="126"/>
      <c r="S349" s="97"/>
      <c r="T349" s="97"/>
      <c r="V349" s="108"/>
    </row>
    <row r="350" ht="15.75" customHeight="1">
      <c r="A350" s="91"/>
      <c r="B350" s="142"/>
      <c r="C350" s="143"/>
      <c r="D350" s="97"/>
      <c r="E350" s="144"/>
      <c r="F350" s="144"/>
      <c r="G350" s="97"/>
      <c r="H350" s="143"/>
      <c r="I350" s="97"/>
      <c r="J350" s="97"/>
      <c r="K350" s="151"/>
      <c r="L350" s="152"/>
      <c r="M350" s="102"/>
      <c r="N350" s="124"/>
      <c r="O350" s="125"/>
      <c r="P350" s="97"/>
      <c r="Q350" s="131"/>
      <c r="R350" s="126"/>
      <c r="S350" s="97"/>
      <c r="T350" s="97"/>
      <c r="V350" s="108"/>
    </row>
    <row r="351" ht="15.75" customHeight="1">
      <c r="A351" s="91"/>
      <c r="B351" s="142"/>
      <c r="C351" s="143"/>
      <c r="D351" s="97"/>
      <c r="E351" s="144"/>
      <c r="F351" s="144"/>
      <c r="G351" s="97"/>
      <c r="H351" s="143"/>
      <c r="I351" s="97"/>
      <c r="J351" s="97"/>
      <c r="K351" s="151"/>
      <c r="L351" s="152"/>
      <c r="M351" s="102"/>
      <c r="N351" s="124"/>
      <c r="O351" s="125"/>
      <c r="P351" s="97"/>
      <c r="Q351" s="131"/>
      <c r="R351" s="126"/>
      <c r="S351" s="97"/>
      <c r="T351" s="97"/>
      <c r="V351" s="108"/>
    </row>
    <row r="352" ht="15.75" customHeight="1">
      <c r="A352" s="91"/>
      <c r="B352" s="142"/>
      <c r="C352" s="143"/>
      <c r="D352" s="97"/>
      <c r="E352" s="144"/>
      <c r="F352" s="144"/>
      <c r="G352" s="97"/>
      <c r="H352" s="143"/>
      <c r="I352" s="97"/>
      <c r="J352" s="97"/>
      <c r="K352" s="151"/>
      <c r="L352" s="152"/>
      <c r="M352" s="102"/>
      <c r="N352" s="124"/>
      <c r="O352" s="125"/>
      <c r="P352" s="97"/>
      <c r="Q352" s="131"/>
      <c r="R352" s="126"/>
      <c r="S352" s="97"/>
      <c r="T352" s="97"/>
      <c r="V352" s="108"/>
    </row>
    <row r="353" ht="15.75" customHeight="1">
      <c r="A353" s="91"/>
      <c r="B353" s="142"/>
      <c r="C353" s="143"/>
      <c r="D353" s="97"/>
      <c r="E353" s="144"/>
      <c r="F353" s="144"/>
      <c r="G353" s="97"/>
      <c r="H353" s="143"/>
      <c r="I353" s="97"/>
      <c r="J353" s="97"/>
      <c r="K353" s="151"/>
      <c r="L353" s="152"/>
      <c r="M353" s="102"/>
      <c r="N353" s="124"/>
      <c r="O353" s="125"/>
      <c r="P353" s="97"/>
      <c r="Q353" s="131"/>
      <c r="R353" s="126"/>
      <c r="S353" s="97"/>
      <c r="T353" s="97"/>
      <c r="V353" s="108"/>
    </row>
    <row r="354" ht="15.75" customHeight="1">
      <c r="A354" s="91"/>
      <c r="B354" s="142"/>
      <c r="C354" s="143"/>
      <c r="D354" s="97"/>
      <c r="E354" s="144"/>
      <c r="F354" s="144"/>
      <c r="G354" s="97"/>
      <c r="H354" s="143"/>
      <c r="I354" s="97"/>
      <c r="J354" s="97"/>
      <c r="K354" s="151"/>
      <c r="L354" s="152"/>
      <c r="M354" s="102"/>
      <c r="N354" s="124"/>
      <c r="O354" s="125"/>
      <c r="P354" s="97"/>
      <c r="Q354" s="131"/>
      <c r="R354" s="126"/>
      <c r="S354" s="97"/>
      <c r="T354" s="97"/>
      <c r="V354" s="108"/>
    </row>
    <row r="355" ht="15.75" customHeight="1">
      <c r="A355" s="91"/>
      <c r="B355" s="142"/>
      <c r="C355" s="108"/>
      <c r="D355" s="97"/>
      <c r="E355" s="144"/>
      <c r="F355" s="144"/>
      <c r="G355" s="97"/>
      <c r="H355" s="143"/>
      <c r="I355" s="97"/>
      <c r="J355" s="97"/>
      <c r="K355" s="151"/>
      <c r="L355" s="152"/>
      <c r="M355" s="102"/>
      <c r="N355" s="124"/>
      <c r="O355" s="125"/>
      <c r="P355" s="97"/>
      <c r="Q355" s="131"/>
      <c r="R355" s="126"/>
      <c r="S355" s="97"/>
      <c r="T355" s="97"/>
      <c r="V355" s="108"/>
    </row>
    <row r="356" ht="15.75" customHeight="1">
      <c r="A356" s="91"/>
      <c r="B356" s="142"/>
      <c r="C356" s="143"/>
      <c r="D356" s="97"/>
      <c r="E356" s="144"/>
      <c r="F356" s="144"/>
      <c r="G356" s="97"/>
      <c r="H356" s="143"/>
      <c r="I356" s="97"/>
      <c r="J356" s="97"/>
      <c r="K356" s="151"/>
      <c r="L356" s="152"/>
      <c r="M356" s="102"/>
      <c r="N356" s="124"/>
      <c r="O356" s="125"/>
      <c r="P356" s="97"/>
      <c r="Q356" s="131"/>
      <c r="R356" s="126"/>
      <c r="S356" s="97"/>
      <c r="T356" s="97"/>
      <c r="V356" s="108"/>
    </row>
    <row r="357" ht="15.75" customHeight="1">
      <c r="A357" s="91"/>
      <c r="B357" s="142"/>
      <c r="C357" s="143"/>
      <c r="D357" s="97"/>
      <c r="E357" s="144"/>
      <c r="F357" s="144"/>
      <c r="G357" s="97"/>
      <c r="H357" s="143"/>
      <c r="I357" s="97"/>
      <c r="J357" s="97"/>
      <c r="K357" s="151"/>
      <c r="L357" s="152"/>
      <c r="M357" s="102"/>
      <c r="N357" s="124"/>
      <c r="O357" s="125"/>
      <c r="P357" s="97"/>
      <c r="Q357" s="131"/>
      <c r="R357" s="126"/>
      <c r="S357" s="97"/>
      <c r="T357" s="97"/>
      <c r="V357" s="108"/>
    </row>
    <row r="358" ht="15.75" customHeight="1">
      <c r="A358" s="91"/>
      <c r="B358" s="142"/>
      <c r="C358" s="143"/>
      <c r="D358" s="97"/>
      <c r="E358" s="144"/>
      <c r="F358" s="144"/>
      <c r="G358" s="97"/>
      <c r="H358" s="143"/>
      <c r="I358" s="97"/>
      <c r="J358" s="97"/>
      <c r="K358" s="151"/>
      <c r="L358" s="152"/>
      <c r="M358" s="102"/>
      <c r="N358" s="124"/>
      <c r="O358" s="125"/>
      <c r="P358" s="97"/>
      <c r="Q358" s="131"/>
      <c r="R358" s="126"/>
      <c r="S358" s="97"/>
      <c r="T358" s="97"/>
      <c r="V358" s="108"/>
    </row>
    <row r="359" ht="15.75" customHeight="1">
      <c r="A359" s="91"/>
      <c r="B359" s="142"/>
      <c r="C359" s="143"/>
      <c r="D359" s="97"/>
      <c r="E359" s="144"/>
      <c r="F359" s="144"/>
      <c r="G359" s="97"/>
      <c r="H359" s="143"/>
      <c r="I359" s="97"/>
      <c r="J359" s="97"/>
      <c r="K359" s="151"/>
      <c r="L359" s="152"/>
      <c r="M359" s="102"/>
      <c r="N359" s="124"/>
      <c r="O359" s="125"/>
      <c r="P359" s="97"/>
      <c r="Q359" s="131"/>
      <c r="R359" s="126"/>
      <c r="S359" s="97"/>
      <c r="T359" s="97"/>
      <c r="V359" s="108"/>
    </row>
    <row r="360" ht="15.75" customHeight="1">
      <c r="A360" s="91"/>
      <c r="B360" s="142"/>
      <c r="C360" s="143"/>
      <c r="D360" s="97"/>
      <c r="E360" s="144"/>
      <c r="F360" s="144"/>
      <c r="G360" s="97"/>
      <c r="H360" s="143"/>
      <c r="I360" s="97"/>
      <c r="J360" s="97"/>
      <c r="K360" s="151"/>
      <c r="L360" s="152"/>
      <c r="M360" s="102"/>
      <c r="N360" s="124"/>
      <c r="O360" s="125"/>
      <c r="P360" s="97"/>
      <c r="Q360" s="131"/>
      <c r="R360" s="126"/>
      <c r="S360" s="97"/>
      <c r="T360" s="97"/>
      <c r="V360" s="108"/>
    </row>
  </sheetData>
  <autoFilter ref="$A$12:$V$109"/>
  <customSheetViews>
    <customSheetView guid="{13FBEE33-5560-4ECB-B707-C73777468090}" filter="1" showAutoFilter="1">
      <autoFilter ref="$R$17:$R$22"/>
    </customSheetView>
  </customSheetViews>
  <mergeCells count="344">
    <mergeCell ref="T9:U9"/>
    <mergeCell ref="T10:U10"/>
    <mergeCell ref="T11:U11"/>
    <mergeCell ref="T12:U12"/>
    <mergeCell ref="T16:U16"/>
    <mergeCell ref="T20:U20"/>
    <mergeCell ref="T21:U21"/>
    <mergeCell ref="T22:U22"/>
    <mergeCell ref="T23:U23"/>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5">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4 I15 I16:J19 I20 I21: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4"/>
      <c r="B1" s="89" t="s">
        <v>31</v>
      </c>
      <c r="C1" s="89" t="s">
        <v>77</v>
      </c>
      <c r="D1" s="34"/>
      <c r="E1" s="39" t="s">
        <v>33</v>
      </c>
      <c r="F1" s="40"/>
      <c r="G1" s="34"/>
      <c r="H1" s="39" t="s">
        <v>34</v>
      </c>
      <c r="I1" s="40"/>
      <c r="J1" s="13"/>
      <c r="K1" s="153" t="s">
        <v>35</v>
      </c>
      <c r="L1" s="42"/>
      <c r="M1" s="13"/>
      <c r="N1" s="39" t="s">
        <v>36</v>
      </c>
      <c r="O1" s="43"/>
      <c r="P1" s="34"/>
      <c r="Q1" s="39" t="s">
        <v>37</v>
      </c>
      <c r="R1" s="44"/>
      <c r="S1" s="40"/>
      <c r="T1" s="40"/>
      <c r="U1" s="34" t="s">
        <v>38</v>
      </c>
      <c r="V1" s="34"/>
    </row>
    <row r="2">
      <c r="A2" s="34"/>
      <c r="B2" s="40"/>
      <c r="C2" s="40"/>
      <c r="D2" s="13"/>
      <c r="E2" s="154" t="s">
        <v>26</v>
      </c>
      <c r="F2" s="155">
        <f>IFERROR(COUNTIFS(I13:I287, "Full-Pay"),"")</f>
        <v>0</v>
      </c>
      <c r="G2" s="13"/>
      <c r="H2" s="47" t="s">
        <v>16</v>
      </c>
      <c r="I2" s="48" t="str">
        <f>iferror(I10/I8,"")</f>
        <v/>
      </c>
      <c r="J2" s="12"/>
      <c r="K2" s="156" t="s">
        <v>39</v>
      </c>
      <c r="L2" s="50" t="str">
        <f>iferror(F8/I6,"")</f>
        <v/>
      </c>
      <c r="M2" s="12"/>
      <c r="N2" s="51" t="s">
        <v>40</v>
      </c>
      <c r="O2" s="52">
        <f>IFERROR(COUNTIFS(N13:N286, "think about it"),"")</f>
        <v>0</v>
      </c>
      <c r="P2" s="13"/>
      <c r="Q2" s="53" t="s">
        <v>41</v>
      </c>
      <c r="R2" s="54">
        <f>IFERROR(COUNTIF(H13:H286,Q2),"")</f>
        <v>0</v>
      </c>
      <c r="S2" s="53" t="s">
        <v>42</v>
      </c>
      <c r="T2" s="55">
        <f>IFERROR(COUNTIF(H13:H286,S2),"")</f>
        <v>0</v>
      </c>
      <c r="U2" s="34"/>
      <c r="V2" s="56"/>
    </row>
    <row r="3">
      <c r="A3" s="13"/>
      <c r="B3" s="157" t="s">
        <v>43</v>
      </c>
      <c r="C3" s="58">
        <f>IFERROR(SUM(K13:K283),"")</f>
        <v>0</v>
      </c>
      <c r="D3" s="59"/>
      <c r="E3" s="154" t="s">
        <v>27</v>
      </c>
      <c r="F3" s="155">
        <f>IFERROR(COUNTIFS(I13:I287, "Split-Pay"),"")</f>
        <v>0</v>
      </c>
      <c r="G3" s="13"/>
      <c r="H3" s="47" t="s">
        <v>17</v>
      </c>
      <c r="I3" s="48" t="str">
        <f>IFERROR(I10/I9,"")</f>
        <v/>
      </c>
      <c r="J3" s="12"/>
      <c r="K3" s="156" t="s">
        <v>44</v>
      </c>
      <c r="L3" s="50" t="str">
        <f>iferror(F9/I6,"")</f>
        <v/>
      </c>
      <c r="M3" s="12"/>
      <c r="N3" s="51" t="s">
        <v>45</v>
      </c>
      <c r="O3" s="60">
        <f>IFERROR(COUNTIFS(N13:N286, "money"),"")</f>
        <v>0</v>
      </c>
      <c r="P3" s="13"/>
      <c r="Q3" s="53" t="s">
        <v>46</v>
      </c>
      <c r="R3" s="54">
        <f>IFERROR(COUNTIF(H13:H286,Q3),"")</f>
        <v>0</v>
      </c>
      <c r="S3" s="53" t="s">
        <v>47</v>
      </c>
      <c r="T3" s="55">
        <f>IFERROR(COUNTIF(H13:H286,S3),"")</f>
        <v>0</v>
      </c>
      <c r="U3" s="34"/>
      <c r="V3" s="56"/>
    </row>
    <row r="4">
      <c r="A4" s="13"/>
      <c r="B4" s="158" t="s">
        <v>48</v>
      </c>
      <c r="C4" s="62">
        <f>IFERROR(SUM(L13:L284),"")</f>
        <v>0</v>
      </c>
      <c r="D4" s="59"/>
      <c r="E4" s="154" t="s">
        <v>28</v>
      </c>
      <c r="F4" s="155">
        <f>IFERROR(COUNTIFS(I13:I287, "Deposit"),"")</f>
        <v>0</v>
      </c>
      <c r="G4" s="13"/>
      <c r="H4" s="47" t="s">
        <v>18</v>
      </c>
      <c r="I4" s="48" t="str">
        <f>IFERROR(I9/I8,"")</f>
        <v/>
      </c>
      <c r="J4" s="12"/>
      <c r="K4" s="156" t="s">
        <v>49</v>
      </c>
      <c r="L4" s="50" t="str">
        <f>iferror(F10/I6,"")</f>
        <v/>
      </c>
      <c r="M4" s="12"/>
      <c r="N4" s="51" t="s">
        <v>50</v>
      </c>
      <c r="O4" s="52">
        <f>IFERROR(COUNTIFS(N13:N286, "time"),"")</f>
        <v>0</v>
      </c>
      <c r="P4" s="13"/>
      <c r="Q4" s="53" t="s">
        <v>51</v>
      </c>
      <c r="R4" s="54">
        <f>IFERROR(COUNTIF(H13:H286,Q4),"")</f>
        <v>0</v>
      </c>
      <c r="S4" s="53" t="s">
        <v>52</v>
      </c>
      <c r="T4" s="55">
        <f>IFERROR(COUNTIF(H13:H286,S4),"")</f>
        <v>0</v>
      </c>
      <c r="U4" s="34"/>
      <c r="V4" s="34"/>
    </row>
    <row r="5">
      <c r="A5" s="34"/>
      <c r="B5" s="40"/>
      <c r="C5" s="40"/>
      <c r="D5" s="13"/>
      <c r="E5" s="154" t="s">
        <v>53</v>
      </c>
      <c r="F5" s="155">
        <f>IFERROR(COUNTIFS(I13:I287, "Offer &amp; Didn't Buy"),"")</f>
        <v>0</v>
      </c>
      <c r="G5" s="13"/>
      <c r="H5" s="47" t="s">
        <v>54</v>
      </c>
      <c r="I5" s="48" t="str">
        <f>IFERROR(F7/(C6+F7+F8),"")</f>
        <v/>
      </c>
      <c r="J5" s="13"/>
      <c r="K5" s="156" t="s">
        <v>54</v>
      </c>
      <c r="L5" s="50" t="str">
        <f>iferror(F7/I6,"")</f>
        <v/>
      </c>
      <c r="M5" s="12"/>
      <c r="N5" s="51" t="s">
        <v>55</v>
      </c>
      <c r="O5" s="52">
        <f>IFERROR(COUNTIFS(N13:N286, "partner"),"")</f>
        <v>0</v>
      </c>
      <c r="P5" s="13"/>
      <c r="Q5" s="53" t="s">
        <v>56</v>
      </c>
      <c r="R5" s="54">
        <f>IFERROR(COUNTIF(H13:H286,Q5),"")</f>
        <v>0</v>
      </c>
      <c r="S5" s="53" t="s">
        <v>57</v>
      </c>
      <c r="T5" s="55">
        <f>IFERROR(COUNTIF(H13:H286,S5),"")</f>
        <v>0</v>
      </c>
      <c r="U5" s="34"/>
      <c r="V5" s="56"/>
    </row>
    <row r="6">
      <c r="A6" s="13"/>
      <c r="B6" s="159" t="s">
        <v>58</v>
      </c>
      <c r="C6" s="64">
        <f>IFERROR(SUM(F2:F6),"")</f>
        <v>0</v>
      </c>
      <c r="D6" s="13"/>
      <c r="E6" s="154" t="s">
        <v>59</v>
      </c>
      <c r="F6" s="155">
        <f>IFERROR(COUNTIFS(I13:I287, "Bad Fit &amp; No Offer"),"")</f>
        <v>0</v>
      </c>
      <c r="G6" s="13"/>
      <c r="H6" s="47" t="s">
        <v>21</v>
      </c>
      <c r="I6" s="65">
        <f>IFERROR(SUM(F2:F10),"")</f>
        <v>0</v>
      </c>
      <c r="J6" s="13"/>
      <c r="K6" s="160" t="s">
        <v>29</v>
      </c>
      <c r="L6" s="50" t="str">
        <f>iferror(I7/I6,"")</f>
        <v/>
      </c>
      <c r="M6" s="12"/>
      <c r="N6" s="51" t="s">
        <v>60</v>
      </c>
      <c r="O6" s="52">
        <f>IFERROR(COUNTIFS(N13:N286, "fear"),"")</f>
        <v>0</v>
      </c>
      <c r="P6" s="13"/>
      <c r="Q6" s="53" t="s">
        <v>61</v>
      </c>
      <c r="R6" s="54">
        <f>IFERROR(COUNTIF(H13:H286,Q6),"")</f>
        <v>0</v>
      </c>
      <c r="S6" s="53" t="s">
        <v>62</v>
      </c>
      <c r="T6" s="55">
        <f>IFERROR(COUNTIF(H13:H286,S6),"")</f>
        <v>0</v>
      </c>
      <c r="U6" s="34"/>
      <c r="V6" s="56"/>
    </row>
    <row r="7">
      <c r="A7" s="13"/>
      <c r="B7" s="159" t="s">
        <v>63</v>
      </c>
      <c r="C7" s="67">
        <f>IFERROR(F2+F3,"")</f>
        <v>0</v>
      </c>
      <c r="D7" s="13"/>
      <c r="E7" s="154" t="s">
        <v>64</v>
      </c>
      <c r="F7" s="155">
        <f>IFERROR(COUNTIFS(I13:I287, "Drag Over &amp; Show"),"")</f>
        <v>0</v>
      </c>
      <c r="G7" s="13"/>
      <c r="H7" s="47" t="s">
        <v>22</v>
      </c>
      <c r="I7" s="65">
        <f>IFERROR(SUM(F2:F7),"")</f>
        <v>0</v>
      </c>
      <c r="J7" s="13"/>
      <c r="K7" s="161" t="s">
        <v>30</v>
      </c>
      <c r="L7" s="69" t="str">
        <f>IFERROR(I8/I6,"")</f>
        <v/>
      </c>
      <c r="M7" s="12"/>
      <c r="N7" s="70" t="s">
        <v>65</v>
      </c>
      <c r="O7" s="71">
        <f>IFERROR(COUNTIFS(N14:N287, "value"),"")</f>
        <v>0</v>
      </c>
      <c r="P7" s="13"/>
      <c r="Q7" s="53" t="s">
        <v>66</v>
      </c>
      <c r="R7" s="54">
        <f>IFERROR(COUNTIF(H13:H286,Q7),"")</f>
        <v>0</v>
      </c>
      <c r="S7" s="53" t="s">
        <v>67</v>
      </c>
      <c r="T7" s="55">
        <f>IFERROR(COUNTIF(H13:H286,S7),"")</f>
        <v>0</v>
      </c>
      <c r="U7" s="34"/>
      <c r="V7" s="34"/>
    </row>
    <row r="8">
      <c r="A8" s="13"/>
      <c r="B8" s="159" t="s">
        <v>68</v>
      </c>
      <c r="C8" s="72">
        <f>COUNTIF(I13:I286,"offer &amp; didn't buy")+countif(I13:I286,"deposit")+countif(I13:I286,"bad fit &amp; no offer")</f>
        <v>0</v>
      </c>
      <c r="D8" s="73"/>
      <c r="E8" s="154" t="s">
        <v>69</v>
      </c>
      <c r="F8" s="155">
        <f>IFERROR(COUNTIFS(I13:I287, "Rescheduled"),"")</f>
        <v>0</v>
      </c>
      <c r="G8" s="13"/>
      <c r="H8" s="47" t="s">
        <v>23</v>
      </c>
      <c r="I8" s="65">
        <f>IFERROR(SUM(F2:F6),"")</f>
        <v>0</v>
      </c>
      <c r="J8" s="34"/>
      <c r="K8" s="34"/>
      <c r="L8" s="34"/>
      <c r="M8" s="34"/>
      <c r="N8" s="34"/>
      <c r="O8" s="75"/>
      <c r="P8" s="13"/>
      <c r="Q8" s="76" t="s">
        <v>70</v>
      </c>
      <c r="R8" s="77">
        <f>IFERROR(COUNTIF(H13:H286,Q8),"")</f>
        <v>0</v>
      </c>
      <c r="S8" s="76" t="s">
        <v>71</v>
      </c>
      <c r="T8" s="78">
        <f>IFERROR(COUNTIF(H13:H286,S8),"")</f>
        <v>0</v>
      </c>
      <c r="U8" s="34"/>
      <c r="V8" s="34"/>
    </row>
    <row r="9">
      <c r="A9" s="13"/>
      <c r="B9" s="159" t="s">
        <v>72</v>
      </c>
      <c r="C9" s="79" t="str">
        <f>iferror(SUM(C7/C6),"")</f>
        <v/>
      </c>
      <c r="D9" s="12"/>
      <c r="E9" s="154" t="s">
        <v>73</v>
      </c>
      <c r="F9" s="155">
        <f>IFERROR(COUNTIFS(I13:I287, "Cancelled"),"")</f>
        <v>0</v>
      </c>
      <c r="G9" s="13"/>
      <c r="H9" s="47" t="s">
        <v>24</v>
      </c>
      <c r="I9" s="65">
        <f>IFERROR(sum(F2:F5),"")</f>
        <v>0</v>
      </c>
      <c r="J9" s="34"/>
      <c r="K9" s="34"/>
      <c r="L9" s="34"/>
      <c r="M9" s="34"/>
      <c r="N9" s="34"/>
      <c r="O9" s="75"/>
      <c r="P9" s="34"/>
      <c r="Q9" s="34"/>
      <c r="R9" s="34"/>
      <c r="S9" s="34"/>
      <c r="T9" s="34"/>
      <c r="V9" s="34"/>
    </row>
    <row r="10">
      <c r="A10" s="34"/>
      <c r="B10" s="34"/>
      <c r="C10" s="34"/>
      <c r="D10" s="13"/>
      <c r="E10" s="162" t="s">
        <v>74</v>
      </c>
      <c r="F10" s="163">
        <f>IFERROR(COUNTIFS(I13:I287, "No-Show"),"")</f>
        <v>0</v>
      </c>
      <c r="G10" s="13"/>
      <c r="H10" s="82" t="s">
        <v>75</v>
      </c>
      <c r="I10" s="83">
        <f>F2+F3</f>
        <v>0</v>
      </c>
      <c r="J10" s="34"/>
      <c r="K10" s="34"/>
      <c r="L10" s="34"/>
      <c r="M10" s="34"/>
      <c r="N10" s="34"/>
      <c r="O10" s="75"/>
      <c r="P10" s="34"/>
      <c r="Q10" s="34"/>
      <c r="R10" s="34"/>
      <c r="S10" s="34"/>
      <c r="T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89" t="s">
        <v>78</v>
      </c>
      <c r="F12" s="89" t="s">
        <v>56</v>
      </c>
      <c r="G12" s="34"/>
      <c r="H12" s="89" t="s">
        <v>37</v>
      </c>
      <c r="I12" s="89" t="s">
        <v>33</v>
      </c>
      <c r="J12" s="34"/>
      <c r="K12" s="89" t="s">
        <v>80</v>
      </c>
      <c r="L12" s="89" t="s">
        <v>48</v>
      </c>
      <c r="M12" s="34"/>
      <c r="N12" s="89" t="s">
        <v>81</v>
      </c>
      <c r="O12" s="90" t="s">
        <v>82</v>
      </c>
      <c r="P12" s="34"/>
      <c r="Q12" s="89" t="s">
        <v>83</v>
      </c>
      <c r="R12" s="89" t="s">
        <v>84</v>
      </c>
      <c r="S12" s="89" t="s">
        <v>85</v>
      </c>
      <c r="T12" s="89" t="s">
        <v>86</v>
      </c>
      <c r="V12" s="56"/>
    </row>
    <row r="13" ht="15.75" customHeight="1">
      <c r="A13" s="91"/>
      <c r="B13" s="92"/>
      <c r="C13" s="99"/>
      <c r="D13" s="97"/>
      <c r="E13" s="127"/>
      <c r="F13" s="110"/>
      <c r="G13" s="97"/>
      <c r="H13" s="98"/>
      <c r="I13" s="105"/>
      <c r="J13" s="97"/>
      <c r="K13" s="100"/>
      <c r="L13" s="101"/>
      <c r="M13" s="102"/>
      <c r="N13" s="103"/>
      <c r="O13" s="104"/>
      <c r="P13" s="97"/>
      <c r="Q13" s="105"/>
      <c r="R13" s="116"/>
      <c r="S13" s="105"/>
      <c r="T13" s="105"/>
      <c r="V13" s="108"/>
    </row>
    <row r="14" ht="15.75" customHeight="1">
      <c r="A14" s="91"/>
      <c r="B14" s="92"/>
      <c r="C14" s="99"/>
      <c r="D14" s="97"/>
      <c r="E14" s="127"/>
      <c r="F14" s="110"/>
      <c r="G14" s="97"/>
      <c r="H14" s="98"/>
      <c r="I14" s="105"/>
      <c r="J14" s="97"/>
      <c r="K14" s="100"/>
      <c r="L14" s="101"/>
      <c r="M14" s="102"/>
      <c r="N14" s="103"/>
      <c r="O14" s="125"/>
      <c r="P14" s="97"/>
      <c r="Q14" s="105"/>
      <c r="R14" s="107"/>
      <c r="S14" s="105"/>
      <c r="T14" s="105"/>
      <c r="V14" s="108"/>
    </row>
    <row r="15" ht="15.75" customHeight="1">
      <c r="A15" s="97"/>
      <c r="B15" s="92"/>
      <c r="C15" s="127"/>
      <c r="D15" s="97"/>
      <c r="E15" s="127"/>
      <c r="F15" s="110"/>
      <c r="G15" s="97"/>
      <c r="H15" s="98"/>
      <c r="I15" s="105"/>
      <c r="J15" s="97"/>
      <c r="K15" s="100"/>
      <c r="L15" s="101"/>
      <c r="M15" s="102"/>
      <c r="N15" s="103"/>
      <c r="O15" s="104"/>
      <c r="P15" s="97"/>
      <c r="Q15" s="115"/>
      <c r="R15" s="107"/>
      <c r="S15" s="105"/>
      <c r="T15" s="105"/>
      <c r="V15" s="108"/>
    </row>
    <row r="16" ht="15.75" customHeight="1">
      <c r="A16" s="97"/>
      <c r="B16" s="92"/>
      <c r="C16" s="99"/>
      <c r="D16" s="97"/>
      <c r="E16" s="127"/>
      <c r="F16" s="110"/>
      <c r="G16" s="97"/>
      <c r="H16" s="98"/>
      <c r="I16" s="105"/>
      <c r="J16" s="97"/>
      <c r="K16" s="113"/>
      <c r="L16" s="114"/>
      <c r="M16" s="102"/>
      <c r="N16" s="103"/>
      <c r="O16" s="104"/>
      <c r="P16" s="97"/>
      <c r="Q16" s="97"/>
      <c r="R16" s="107"/>
      <c r="S16" s="105"/>
      <c r="T16" s="105"/>
      <c r="V16" s="108"/>
    </row>
    <row r="17" ht="15.75" customHeight="1">
      <c r="A17" s="97"/>
      <c r="B17" s="92"/>
      <c r="C17" s="128"/>
      <c r="D17" s="97"/>
      <c r="E17" s="127"/>
      <c r="F17" s="110"/>
      <c r="G17" s="97"/>
      <c r="H17" s="98"/>
      <c r="I17" s="105"/>
      <c r="J17" s="97"/>
      <c r="K17" s="100"/>
      <c r="L17" s="101"/>
      <c r="M17" s="102"/>
      <c r="N17" s="103"/>
      <c r="O17" s="104"/>
      <c r="P17" s="97"/>
      <c r="Q17" s="105"/>
      <c r="R17" s="107"/>
      <c r="S17" s="105"/>
      <c r="T17" s="105"/>
      <c r="V17" s="108"/>
    </row>
    <row r="18" ht="15.75" customHeight="1">
      <c r="A18" s="97"/>
      <c r="B18" s="92"/>
      <c r="C18" s="99"/>
      <c r="D18" s="97"/>
      <c r="E18" s="127"/>
      <c r="F18" s="110"/>
      <c r="G18" s="97"/>
      <c r="H18" s="98"/>
      <c r="I18" s="105"/>
      <c r="J18" s="97"/>
      <c r="K18" s="113"/>
      <c r="L18" s="114"/>
      <c r="M18" s="102"/>
      <c r="N18" s="103"/>
      <c r="O18" s="125"/>
      <c r="P18" s="97"/>
      <c r="Q18" s="97"/>
      <c r="R18" s="107"/>
      <c r="S18" s="105"/>
      <c r="T18" s="105"/>
      <c r="V18" s="108"/>
    </row>
    <row r="19" ht="15.75" customHeight="1">
      <c r="A19" s="97"/>
      <c r="B19" s="92"/>
      <c r="C19" s="99"/>
      <c r="D19" s="97"/>
      <c r="E19" s="127"/>
      <c r="F19" s="110"/>
      <c r="G19" s="97"/>
      <c r="H19" s="98"/>
      <c r="I19" s="105"/>
      <c r="J19" s="97"/>
      <c r="K19" s="100"/>
      <c r="L19" s="101"/>
      <c r="M19" s="102"/>
      <c r="N19" s="103"/>
      <c r="O19" s="125"/>
      <c r="P19" s="97"/>
      <c r="Q19" s="105"/>
      <c r="R19" s="107"/>
      <c r="S19" s="105"/>
      <c r="T19" s="105"/>
      <c r="V19" s="108"/>
    </row>
    <row r="20" ht="15.75" customHeight="1">
      <c r="A20" s="97"/>
      <c r="B20" s="119"/>
      <c r="C20" s="112"/>
      <c r="D20" s="97"/>
      <c r="E20" s="127"/>
      <c r="F20" s="110"/>
      <c r="G20" s="97"/>
      <c r="H20" s="98"/>
      <c r="I20" s="99"/>
      <c r="J20" s="97"/>
      <c r="K20" s="101"/>
      <c r="L20" s="101"/>
      <c r="M20" s="102"/>
      <c r="N20" s="124"/>
      <c r="O20" s="104"/>
      <c r="P20" s="97"/>
      <c r="Q20" s="105"/>
      <c r="R20" s="107"/>
      <c r="S20" s="105"/>
      <c r="T20" s="119"/>
      <c r="U20" s="97"/>
      <c r="V20" s="108"/>
    </row>
    <row r="21" ht="15.75" customHeight="1">
      <c r="A21" s="91"/>
      <c r="B21" s="98"/>
      <c r="C21" s="109"/>
      <c r="D21" s="97"/>
      <c r="E21" s="127"/>
      <c r="F21" s="110"/>
      <c r="G21" s="97"/>
      <c r="H21" s="98"/>
      <c r="I21" s="99"/>
      <c r="J21" s="97"/>
      <c r="K21" s="101"/>
      <c r="L21" s="101"/>
      <c r="M21" s="102"/>
      <c r="N21" s="103"/>
      <c r="O21" s="104"/>
      <c r="P21" s="97"/>
      <c r="Q21" s="115"/>
      <c r="R21" s="164"/>
      <c r="S21" s="105"/>
      <c r="T21" s="105"/>
      <c r="V21" s="108"/>
    </row>
    <row r="22" ht="15.75" customHeight="1">
      <c r="A22" s="91"/>
      <c r="B22" s="98"/>
      <c r="C22" s="99"/>
      <c r="D22" s="97"/>
      <c r="E22" s="127"/>
      <c r="F22" s="110"/>
      <c r="G22" s="97"/>
      <c r="H22" s="98"/>
      <c r="I22" s="99"/>
      <c r="J22" s="97"/>
      <c r="K22" s="101"/>
      <c r="L22" s="101"/>
      <c r="M22" s="102"/>
      <c r="N22" s="103"/>
      <c r="O22" s="104"/>
      <c r="P22" s="97"/>
      <c r="Q22" s="105"/>
      <c r="R22" s="164"/>
      <c r="S22" s="105"/>
      <c r="T22" s="105"/>
      <c r="V22" s="108"/>
    </row>
    <row r="23" ht="15.75" customHeight="1">
      <c r="A23" s="91"/>
      <c r="B23" s="98"/>
      <c r="C23" s="99"/>
      <c r="D23" s="97"/>
      <c r="E23" s="127"/>
      <c r="F23" s="110"/>
      <c r="G23" s="97"/>
      <c r="H23" s="98"/>
      <c r="I23" s="105"/>
      <c r="J23" s="97"/>
      <c r="K23" s="114"/>
      <c r="L23" s="114"/>
      <c r="M23" s="102"/>
      <c r="N23" s="103"/>
      <c r="O23" s="125"/>
      <c r="P23" s="97"/>
      <c r="Q23" s="105"/>
      <c r="R23" s="126"/>
      <c r="S23" s="105"/>
      <c r="T23" s="105"/>
      <c r="V23" s="108"/>
    </row>
    <row r="24" ht="15.75" customHeight="1">
      <c r="A24" s="91"/>
      <c r="B24" s="98"/>
      <c r="C24" s="99"/>
      <c r="D24" s="97"/>
      <c r="E24" s="127"/>
      <c r="F24" s="110"/>
      <c r="G24" s="97"/>
      <c r="H24" s="98"/>
      <c r="I24" s="105"/>
      <c r="J24" s="97"/>
      <c r="K24" s="101"/>
      <c r="L24" s="101"/>
      <c r="M24" s="102"/>
      <c r="N24" s="103"/>
      <c r="O24" s="104"/>
      <c r="P24" s="97"/>
      <c r="Q24" s="115"/>
      <c r="R24" s="107"/>
      <c r="S24" s="105"/>
      <c r="T24" s="105"/>
      <c r="V24" s="108"/>
    </row>
    <row r="25" ht="15.75" customHeight="1">
      <c r="A25" s="91"/>
      <c r="B25" s="98"/>
      <c r="C25" s="99"/>
      <c r="D25" s="97"/>
      <c r="E25" s="127"/>
      <c r="F25" s="110"/>
      <c r="G25" s="97"/>
      <c r="H25" s="98"/>
      <c r="I25" s="105"/>
      <c r="J25" s="97"/>
      <c r="K25" s="101"/>
      <c r="L25" s="101"/>
      <c r="M25" s="102"/>
      <c r="N25" s="103"/>
      <c r="O25" s="104"/>
      <c r="P25" s="97"/>
      <c r="Q25" s="97"/>
      <c r="R25" s="107"/>
      <c r="S25" s="105"/>
      <c r="T25" s="105"/>
      <c r="V25" s="108"/>
    </row>
    <row r="26" ht="15.75" customHeight="1">
      <c r="A26" s="91"/>
      <c r="B26" s="98"/>
      <c r="C26" s="99"/>
      <c r="D26" s="97"/>
      <c r="E26" s="127"/>
      <c r="F26" s="110"/>
      <c r="G26" s="97"/>
      <c r="H26" s="98"/>
      <c r="I26" s="105"/>
      <c r="J26" s="97"/>
      <c r="K26" s="101"/>
      <c r="L26" s="101"/>
      <c r="M26" s="102"/>
      <c r="N26" s="103"/>
      <c r="O26" s="104"/>
      <c r="P26" s="97"/>
      <c r="Q26" s="115"/>
      <c r="R26" s="107"/>
      <c r="S26" s="105"/>
      <c r="T26" s="105"/>
      <c r="V26" s="108"/>
    </row>
    <row r="27" ht="15.75" customHeight="1">
      <c r="A27" s="91"/>
      <c r="B27" s="98"/>
      <c r="C27" s="128"/>
      <c r="D27" s="97"/>
      <c r="E27" s="165"/>
      <c r="F27" s="110"/>
      <c r="G27" s="97"/>
      <c r="H27" s="98"/>
      <c r="I27" s="105"/>
      <c r="J27" s="97"/>
      <c r="K27" s="114"/>
      <c r="L27" s="114"/>
      <c r="M27" s="102"/>
      <c r="N27" s="103"/>
      <c r="O27" s="104"/>
      <c r="P27" s="97"/>
      <c r="Q27" s="115"/>
      <c r="S27" s="105"/>
      <c r="T27" s="105"/>
      <c r="V27" s="108"/>
    </row>
    <row r="28" ht="15.75" customHeight="1">
      <c r="A28" s="91"/>
      <c r="B28" s="98"/>
      <c r="C28" s="99"/>
      <c r="D28" s="97"/>
      <c r="E28" s="127"/>
      <c r="F28" s="110"/>
      <c r="G28" s="97"/>
      <c r="H28" s="98"/>
      <c r="I28" s="105"/>
      <c r="J28" s="97"/>
      <c r="K28" s="101"/>
      <c r="L28" s="101"/>
      <c r="M28" s="102"/>
      <c r="N28" s="103"/>
      <c r="O28" s="104"/>
      <c r="P28" s="97"/>
      <c r="Q28" s="115"/>
      <c r="R28" s="107"/>
      <c r="S28" s="105"/>
      <c r="T28" s="105"/>
      <c r="V28" s="108"/>
    </row>
    <row r="29" ht="15.75" customHeight="1">
      <c r="A29" s="91"/>
      <c r="B29" s="166"/>
      <c r="C29" s="105"/>
      <c r="D29" s="97"/>
      <c r="E29" s="165"/>
      <c r="F29" s="140"/>
      <c r="G29" s="97"/>
      <c r="H29" s="98"/>
      <c r="I29" s="105"/>
      <c r="J29" s="97"/>
      <c r="K29" s="101"/>
      <c r="L29" s="101"/>
      <c r="M29" s="102"/>
      <c r="N29" s="124"/>
      <c r="O29" s="125"/>
      <c r="P29" s="97"/>
      <c r="Q29" s="97"/>
      <c r="R29" s="126"/>
      <c r="S29" s="97"/>
      <c r="T29" s="97"/>
      <c r="V29" s="108"/>
    </row>
    <row r="30" ht="15.75" customHeight="1">
      <c r="A30" s="91"/>
      <c r="B30" s="166"/>
      <c r="C30" s="99"/>
      <c r="D30" s="97"/>
      <c r="E30" s="165"/>
      <c r="F30" s="138"/>
      <c r="G30" s="97"/>
      <c r="H30" s="98"/>
      <c r="I30" s="105"/>
      <c r="J30" s="97"/>
      <c r="K30" s="114"/>
      <c r="L30" s="114"/>
      <c r="M30" s="102"/>
      <c r="N30" s="124"/>
      <c r="O30" s="125"/>
      <c r="P30" s="97"/>
      <c r="Q30" s="97"/>
      <c r="R30" s="126"/>
      <c r="S30" s="97"/>
      <c r="T30" s="97"/>
      <c r="V30" s="108"/>
    </row>
    <row r="31" ht="15.75" customHeight="1">
      <c r="A31" s="91"/>
      <c r="B31" s="166"/>
      <c r="C31" s="99"/>
      <c r="D31" s="97"/>
      <c r="E31" s="165"/>
      <c r="F31" s="138"/>
      <c r="G31" s="97"/>
      <c r="H31" s="98"/>
      <c r="I31" s="105"/>
      <c r="J31" s="97"/>
      <c r="K31" s="101"/>
      <c r="L31" s="101"/>
      <c r="M31" s="102"/>
      <c r="N31" s="103"/>
      <c r="O31" s="104"/>
      <c r="P31" s="97"/>
      <c r="Q31" s="115"/>
      <c r="R31" s="107"/>
      <c r="S31" s="105"/>
      <c r="T31" s="105"/>
      <c r="V31" s="108"/>
    </row>
    <row r="32" ht="15.75" customHeight="1">
      <c r="A32" s="91"/>
      <c r="B32" s="166"/>
      <c r="C32" s="99"/>
      <c r="D32" s="97"/>
      <c r="E32" s="165"/>
      <c r="F32" s="138"/>
      <c r="G32" s="97"/>
      <c r="H32" s="98"/>
      <c r="I32" s="105"/>
      <c r="J32" s="97"/>
      <c r="K32" s="114"/>
      <c r="L32" s="114"/>
      <c r="M32" s="102"/>
      <c r="N32" s="124"/>
      <c r="O32" s="125"/>
      <c r="P32" s="97"/>
      <c r="Q32" s="97"/>
      <c r="R32" s="126"/>
      <c r="S32" s="97"/>
      <c r="T32" s="97"/>
      <c r="V32" s="108"/>
    </row>
    <row r="33" ht="15.75" customHeight="1">
      <c r="A33" s="91"/>
      <c r="B33" s="166"/>
      <c r="C33" s="99"/>
      <c r="D33" s="97"/>
      <c r="E33" s="165"/>
      <c r="F33" s="140"/>
      <c r="G33" s="97"/>
      <c r="H33" s="98"/>
      <c r="I33" s="105"/>
      <c r="J33" s="97"/>
      <c r="K33" s="101"/>
      <c r="L33" s="101"/>
      <c r="M33" s="102"/>
      <c r="N33" s="103"/>
      <c r="O33" s="104"/>
      <c r="P33" s="97"/>
      <c r="Q33" s="115"/>
      <c r="R33" s="107"/>
      <c r="S33" s="105"/>
      <c r="T33" s="105"/>
      <c r="V33" s="108"/>
    </row>
    <row r="34" ht="15.75" customHeight="1">
      <c r="A34" s="91"/>
      <c r="B34" s="166"/>
      <c r="C34" s="99"/>
      <c r="D34" s="97"/>
      <c r="E34" s="165"/>
      <c r="F34" s="138"/>
      <c r="G34" s="97"/>
      <c r="H34" s="98"/>
      <c r="I34" s="105"/>
      <c r="J34" s="97"/>
      <c r="K34" s="114"/>
      <c r="L34" s="114"/>
      <c r="M34" s="102"/>
      <c r="N34" s="124"/>
      <c r="O34" s="125"/>
      <c r="P34" s="97"/>
      <c r="Q34" s="97"/>
      <c r="R34" s="126"/>
      <c r="S34" s="97"/>
      <c r="T34" s="97"/>
      <c r="V34" s="108"/>
    </row>
    <row r="35" ht="15.75" customHeight="1">
      <c r="A35" s="91"/>
      <c r="B35" s="166"/>
      <c r="C35" s="105"/>
      <c r="D35" s="97"/>
      <c r="E35" s="165"/>
      <c r="F35" s="138"/>
      <c r="G35" s="97"/>
      <c r="H35" s="98"/>
      <c r="I35" s="105"/>
      <c r="J35" s="97"/>
      <c r="K35" s="101"/>
      <c r="L35" s="101"/>
      <c r="M35" s="102"/>
      <c r="N35" s="124"/>
      <c r="O35" s="125"/>
      <c r="P35" s="97"/>
      <c r="Q35" s="97"/>
      <c r="R35" s="126"/>
      <c r="S35" s="97"/>
      <c r="T35" s="97"/>
      <c r="V35" s="108"/>
    </row>
    <row r="36" ht="15.75" customHeight="1">
      <c r="A36" s="91"/>
      <c r="B36" s="166"/>
      <c r="C36" s="105"/>
      <c r="D36" s="97"/>
      <c r="E36" s="165"/>
      <c r="F36" s="140"/>
      <c r="G36" s="97"/>
      <c r="H36" s="98"/>
      <c r="I36" s="105"/>
      <c r="J36" s="97"/>
      <c r="K36" s="114"/>
      <c r="L36" s="114"/>
      <c r="M36" s="102"/>
      <c r="N36" s="124"/>
      <c r="O36" s="125"/>
      <c r="P36" s="97"/>
      <c r="Q36" s="97"/>
      <c r="R36" s="126"/>
      <c r="S36" s="97"/>
      <c r="T36" s="105"/>
      <c r="V36" s="108"/>
    </row>
    <row r="37" ht="15.75" customHeight="1">
      <c r="A37" s="91"/>
      <c r="B37" s="166"/>
      <c r="C37" s="99"/>
      <c r="D37" s="97"/>
      <c r="E37" s="165"/>
      <c r="F37" s="138"/>
      <c r="G37" s="97"/>
      <c r="H37" s="98"/>
      <c r="I37" s="105"/>
      <c r="J37" s="97"/>
      <c r="K37" s="101"/>
      <c r="L37" s="101"/>
      <c r="M37" s="102"/>
      <c r="N37" s="103"/>
      <c r="O37" s="104"/>
      <c r="P37" s="97"/>
      <c r="Q37" s="115"/>
      <c r="R37" s="107"/>
      <c r="S37" s="105"/>
      <c r="T37" s="105"/>
      <c r="V37" s="108"/>
    </row>
    <row r="38" ht="15.75" customHeight="1">
      <c r="A38" s="91"/>
      <c r="B38" s="166"/>
      <c r="C38" s="99"/>
      <c r="D38" s="97"/>
      <c r="E38" s="165"/>
      <c r="F38" s="138"/>
      <c r="G38" s="97"/>
      <c r="H38" s="98"/>
      <c r="I38" s="105"/>
      <c r="J38" s="97"/>
      <c r="K38" s="114"/>
      <c r="L38" s="114"/>
      <c r="M38" s="102"/>
      <c r="N38" s="124"/>
      <c r="O38" s="125"/>
      <c r="P38" s="97"/>
      <c r="Q38" s="130"/>
      <c r="R38" s="107"/>
      <c r="S38" s="97"/>
      <c r="V38" s="108"/>
    </row>
    <row r="39" ht="15.75" customHeight="1">
      <c r="A39" s="91"/>
      <c r="B39" s="166"/>
      <c r="C39" s="99"/>
      <c r="D39" s="97"/>
      <c r="E39" s="165"/>
      <c r="F39" s="167"/>
      <c r="G39" s="97"/>
      <c r="H39" s="98"/>
      <c r="I39" s="105"/>
      <c r="J39" s="97"/>
      <c r="K39" s="101"/>
      <c r="L39" s="101"/>
      <c r="M39" s="102"/>
      <c r="N39" s="124"/>
      <c r="O39" s="125"/>
      <c r="P39" s="97"/>
      <c r="Q39" s="115"/>
      <c r="R39" s="107"/>
      <c r="S39" s="97"/>
      <c r="T39" s="105"/>
      <c r="V39" s="108"/>
    </row>
    <row r="40" ht="15.75" customHeight="1">
      <c r="A40" s="91"/>
      <c r="B40" s="166"/>
      <c r="C40" s="99"/>
      <c r="D40" s="97"/>
      <c r="E40" s="165"/>
      <c r="F40" s="138"/>
      <c r="G40" s="97"/>
      <c r="H40" s="98"/>
      <c r="I40" s="105"/>
      <c r="J40" s="97"/>
      <c r="K40" s="114"/>
      <c r="L40" s="114"/>
      <c r="M40" s="102"/>
      <c r="N40" s="103"/>
      <c r="O40" s="104"/>
      <c r="P40" s="97"/>
      <c r="Q40" s="115"/>
      <c r="R40" s="107"/>
      <c r="S40" s="105"/>
      <c r="T40" s="105"/>
      <c r="V40" s="108"/>
    </row>
    <row r="41" ht="15.75" customHeight="1">
      <c r="A41" s="91"/>
      <c r="B41" s="166"/>
      <c r="C41" s="99"/>
      <c r="D41" s="97"/>
      <c r="E41" s="98"/>
      <c r="F41" s="140"/>
      <c r="G41" s="97"/>
      <c r="H41" s="98"/>
      <c r="I41" s="105"/>
      <c r="J41" s="97"/>
      <c r="K41" s="101"/>
      <c r="L41" s="101"/>
      <c r="M41" s="102"/>
      <c r="N41" s="124"/>
      <c r="O41" s="125"/>
      <c r="P41" s="97"/>
      <c r="Q41" s="97"/>
      <c r="R41" s="126"/>
      <c r="S41" s="97"/>
      <c r="T41" s="97"/>
      <c r="V41" s="108"/>
    </row>
    <row r="42" ht="15.75" customHeight="1">
      <c r="A42" s="91"/>
      <c r="B42" s="166"/>
      <c r="C42" s="105"/>
      <c r="D42" s="97"/>
      <c r="E42" s="165"/>
      <c r="F42" s="98"/>
      <c r="G42" s="97"/>
      <c r="H42" s="98"/>
      <c r="I42" s="105"/>
      <c r="J42" s="97"/>
      <c r="K42" s="114"/>
      <c r="L42" s="114"/>
      <c r="M42" s="102"/>
      <c r="N42" s="103"/>
      <c r="O42" s="104"/>
      <c r="P42" s="97"/>
      <c r="Q42" s="115"/>
      <c r="R42" s="107"/>
      <c r="S42" s="105"/>
      <c r="T42" s="105"/>
      <c r="V42" s="108"/>
    </row>
    <row r="43" ht="15.75" customHeight="1">
      <c r="A43" s="91"/>
      <c r="B43" s="166"/>
      <c r="C43" s="105"/>
      <c r="D43" s="97"/>
      <c r="E43" s="165"/>
      <c r="F43" s="138"/>
      <c r="G43" s="97"/>
      <c r="H43" s="98"/>
      <c r="I43" s="105"/>
      <c r="J43" s="97"/>
      <c r="K43" s="101"/>
      <c r="L43" s="101"/>
      <c r="M43" s="102"/>
      <c r="N43" s="124"/>
      <c r="O43" s="125"/>
      <c r="P43" s="97"/>
      <c r="Q43" s="131"/>
      <c r="R43" s="126"/>
      <c r="S43" s="97"/>
      <c r="T43" s="97"/>
      <c r="V43" s="108"/>
    </row>
    <row r="44" ht="15.75" customHeight="1">
      <c r="A44" s="91"/>
      <c r="B44" s="166"/>
      <c r="C44" s="105"/>
      <c r="D44" s="97"/>
      <c r="E44" s="165"/>
      <c r="F44" s="138"/>
      <c r="G44" s="97"/>
      <c r="H44" s="98"/>
      <c r="I44" s="105"/>
      <c r="J44" s="97"/>
      <c r="K44" s="114"/>
      <c r="L44" s="114"/>
      <c r="M44" s="102"/>
      <c r="N44" s="124"/>
      <c r="O44" s="125"/>
      <c r="P44" s="97"/>
      <c r="Q44" s="97"/>
      <c r="R44" s="126"/>
      <c r="S44" s="97"/>
      <c r="T44" s="97"/>
      <c r="V44" s="108"/>
    </row>
    <row r="45" ht="15.75" customHeight="1">
      <c r="A45" s="91"/>
      <c r="B45" s="166"/>
      <c r="C45" s="99"/>
      <c r="D45" s="97"/>
      <c r="E45" s="165"/>
      <c r="F45" s="138"/>
      <c r="G45" s="97"/>
      <c r="H45" s="98"/>
      <c r="I45" s="105"/>
      <c r="J45" s="97"/>
      <c r="K45" s="101"/>
      <c r="L45" s="101"/>
      <c r="M45" s="102"/>
      <c r="N45" s="124"/>
      <c r="O45" s="125"/>
      <c r="P45" s="97"/>
      <c r="Q45" s="97"/>
      <c r="R45" s="126"/>
      <c r="S45" s="97"/>
      <c r="T45" s="97"/>
      <c r="V45" s="108"/>
    </row>
    <row r="46" ht="15.75" customHeight="1">
      <c r="A46" s="91"/>
      <c r="B46" s="166"/>
      <c r="C46" s="99"/>
      <c r="D46" s="97"/>
      <c r="E46" s="165"/>
      <c r="F46" s="138"/>
      <c r="G46" s="97"/>
      <c r="H46" s="98"/>
      <c r="I46" s="105"/>
      <c r="J46" s="97"/>
      <c r="K46" s="114"/>
      <c r="L46" s="114"/>
      <c r="M46" s="102"/>
      <c r="N46" s="124"/>
      <c r="O46" s="125"/>
      <c r="P46" s="97"/>
      <c r="Q46" s="97"/>
      <c r="R46" s="126"/>
      <c r="S46" s="97"/>
      <c r="T46" s="97"/>
      <c r="V46" s="108"/>
    </row>
    <row r="47" ht="15.75" customHeight="1">
      <c r="A47" s="91"/>
      <c r="B47" s="166"/>
      <c r="C47" s="99"/>
      <c r="D47" s="97"/>
      <c r="E47" s="165"/>
      <c r="F47" s="138"/>
      <c r="G47" s="97"/>
      <c r="H47" s="98"/>
      <c r="I47" s="105"/>
      <c r="J47" s="97"/>
      <c r="K47" s="101"/>
      <c r="L47" s="101"/>
      <c r="M47" s="102"/>
      <c r="N47" s="103"/>
      <c r="O47" s="104"/>
      <c r="P47" s="97"/>
      <c r="Q47" s="115"/>
      <c r="R47" s="116"/>
      <c r="S47" s="105"/>
      <c r="T47" s="105"/>
      <c r="V47" s="108"/>
    </row>
    <row r="48" ht="15.75" customHeight="1">
      <c r="A48" s="91"/>
      <c r="B48" s="166"/>
      <c r="C48" s="99"/>
      <c r="D48" s="97"/>
      <c r="E48" s="165"/>
      <c r="F48" s="138"/>
      <c r="G48" s="97"/>
      <c r="H48" s="98"/>
      <c r="I48" s="105"/>
      <c r="J48" s="97"/>
      <c r="K48" s="114"/>
      <c r="L48" s="114"/>
      <c r="M48" s="102"/>
      <c r="N48" s="103"/>
      <c r="O48" s="104"/>
      <c r="P48" s="97"/>
      <c r="Q48" s="130"/>
      <c r="R48" s="107"/>
      <c r="S48" s="105"/>
      <c r="T48" s="105"/>
      <c r="V48" s="108"/>
    </row>
    <row r="49" ht="15.75" customHeight="1">
      <c r="A49" s="91"/>
      <c r="B49" s="166"/>
      <c r="C49" s="99"/>
      <c r="D49" s="97"/>
      <c r="E49" s="165"/>
      <c r="F49" s="138"/>
      <c r="G49" s="97"/>
      <c r="H49" s="98"/>
      <c r="I49" s="105"/>
      <c r="J49" s="97"/>
      <c r="K49" s="101"/>
      <c r="L49" s="101"/>
      <c r="M49" s="102"/>
      <c r="N49" s="103"/>
      <c r="O49" s="104"/>
      <c r="P49" s="97"/>
      <c r="Q49" s="130"/>
      <c r="R49" s="107"/>
      <c r="S49" s="105"/>
      <c r="T49" s="105"/>
      <c r="V49" s="108"/>
    </row>
    <row r="50" ht="15.75" customHeight="1">
      <c r="A50" s="91"/>
      <c r="B50" s="166"/>
      <c r="C50" s="105"/>
      <c r="D50" s="97"/>
      <c r="E50" s="165"/>
      <c r="F50" s="140"/>
      <c r="G50" s="97"/>
      <c r="H50" s="98"/>
      <c r="I50" s="105"/>
      <c r="J50" s="97"/>
      <c r="K50" s="114"/>
      <c r="L50" s="114"/>
      <c r="M50" s="102"/>
      <c r="N50" s="124"/>
      <c r="O50" s="125"/>
      <c r="P50" s="97"/>
      <c r="Q50" s="97"/>
      <c r="R50" s="126"/>
      <c r="S50" s="97"/>
      <c r="T50" s="105"/>
      <c r="V50" s="108"/>
    </row>
    <row r="51" ht="15.75" customHeight="1">
      <c r="A51" s="91"/>
      <c r="B51" s="166"/>
      <c r="C51" s="105"/>
      <c r="D51" s="97"/>
      <c r="E51" s="165"/>
      <c r="F51" s="168"/>
      <c r="G51" s="97"/>
      <c r="H51" s="98"/>
      <c r="I51" s="105"/>
      <c r="J51" s="97"/>
      <c r="K51" s="101"/>
      <c r="L51" s="101"/>
      <c r="M51" s="102"/>
      <c r="N51" s="103"/>
      <c r="O51" s="104"/>
      <c r="P51" s="97"/>
      <c r="Q51" s="131"/>
      <c r="R51" s="126"/>
      <c r="S51" s="105"/>
      <c r="T51" s="105"/>
      <c r="V51" s="108"/>
    </row>
    <row r="52" ht="15.75" customHeight="1">
      <c r="A52" s="91"/>
      <c r="B52" s="166"/>
      <c r="C52" s="105"/>
      <c r="D52" s="97"/>
      <c r="E52" s="165"/>
      <c r="F52" s="138"/>
      <c r="G52" s="97"/>
      <c r="H52" s="98"/>
      <c r="I52" s="105"/>
      <c r="J52" s="97"/>
      <c r="K52" s="114"/>
      <c r="L52" s="114"/>
      <c r="M52" s="102"/>
      <c r="N52" s="124"/>
      <c r="O52" s="125"/>
      <c r="P52" s="97"/>
      <c r="Q52" s="131"/>
      <c r="R52" s="126"/>
      <c r="S52" s="97"/>
      <c r="T52" s="97"/>
      <c r="V52" s="108"/>
    </row>
    <row r="53" ht="15.75" customHeight="1">
      <c r="A53" s="91"/>
      <c r="B53" s="166"/>
      <c r="C53" s="99"/>
      <c r="D53" s="97"/>
      <c r="E53" s="165"/>
      <c r="F53" s="138"/>
      <c r="G53" s="97"/>
      <c r="H53" s="98"/>
      <c r="I53" s="105"/>
      <c r="J53" s="97"/>
      <c r="K53" s="101"/>
      <c r="L53" s="101"/>
      <c r="M53" s="102"/>
      <c r="N53" s="124"/>
      <c r="O53" s="125"/>
      <c r="P53" s="97"/>
      <c r="Q53" s="130"/>
      <c r="R53" s="107"/>
      <c r="S53" s="97"/>
      <c r="T53" s="105"/>
      <c r="V53" s="108"/>
    </row>
    <row r="54" ht="15.75" customHeight="1">
      <c r="A54" s="91"/>
      <c r="B54" s="166"/>
      <c r="C54" s="98"/>
      <c r="D54" s="97"/>
      <c r="E54" s="165"/>
      <c r="F54" s="138"/>
      <c r="G54" s="97"/>
      <c r="H54" s="98"/>
      <c r="I54" s="105"/>
      <c r="J54" s="97"/>
      <c r="K54" s="114"/>
      <c r="L54" s="114"/>
      <c r="M54" s="102"/>
      <c r="N54" s="103"/>
      <c r="O54" s="104"/>
      <c r="P54" s="97"/>
      <c r="Q54" s="130"/>
      <c r="R54" s="133"/>
      <c r="S54" s="105"/>
      <c r="T54" s="105"/>
      <c r="V54" s="108"/>
    </row>
    <row r="55" ht="15.75" customHeight="1">
      <c r="A55" s="91"/>
      <c r="B55" s="166"/>
      <c r="C55" s="98"/>
      <c r="D55" s="97"/>
      <c r="E55" s="165"/>
      <c r="F55" s="140"/>
      <c r="G55" s="97"/>
      <c r="H55" s="98"/>
      <c r="I55" s="105"/>
      <c r="J55" s="97"/>
      <c r="K55" s="101"/>
      <c r="L55" s="101"/>
      <c r="M55" s="102"/>
      <c r="N55" s="103"/>
      <c r="O55" s="104"/>
      <c r="P55" s="97"/>
      <c r="Q55" s="130"/>
      <c r="R55" s="107"/>
      <c r="S55" s="105"/>
      <c r="T55" s="105"/>
      <c r="V55" s="108"/>
    </row>
    <row r="56" ht="15.75" customHeight="1">
      <c r="A56" s="91"/>
      <c r="B56" s="166"/>
      <c r="C56" s="98"/>
      <c r="D56" s="97"/>
      <c r="E56" s="165"/>
      <c r="F56" s="138"/>
      <c r="G56" s="97"/>
      <c r="H56" s="98"/>
      <c r="I56" s="105"/>
      <c r="J56" s="97"/>
      <c r="K56" s="114"/>
      <c r="L56" s="114"/>
      <c r="M56" s="102"/>
      <c r="N56" s="124"/>
      <c r="O56" s="125"/>
      <c r="P56" s="97"/>
      <c r="Q56" s="115"/>
      <c r="R56" s="107"/>
      <c r="S56" s="97"/>
      <c r="T56" s="105"/>
      <c r="V56" s="108"/>
    </row>
    <row r="57" ht="15.75" customHeight="1">
      <c r="A57" s="91"/>
      <c r="B57" s="166"/>
      <c r="C57" s="98"/>
      <c r="D57" s="97"/>
      <c r="E57" s="165"/>
      <c r="F57" s="138"/>
      <c r="G57" s="97"/>
      <c r="H57" s="98"/>
      <c r="I57" s="105"/>
      <c r="J57" s="97"/>
      <c r="K57" s="101"/>
      <c r="L57" s="101"/>
      <c r="M57" s="102"/>
      <c r="N57" s="124"/>
      <c r="O57" s="125"/>
      <c r="P57" s="97"/>
      <c r="Q57" s="131"/>
      <c r="R57" s="126"/>
      <c r="S57" s="97"/>
      <c r="T57" s="105"/>
      <c r="V57" s="108"/>
    </row>
    <row r="58" ht="15.75" customHeight="1">
      <c r="A58" s="91"/>
      <c r="B58" s="166"/>
      <c r="C58" s="107"/>
      <c r="D58" s="97"/>
      <c r="E58" s="165"/>
      <c r="F58" s="138"/>
      <c r="G58" s="97"/>
      <c r="H58" s="98"/>
      <c r="I58" s="105"/>
      <c r="J58" s="97"/>
      <c r="K58" s="114"/>
      <c r="L58" s="114"/>
      <c r="M58" s="102"/>
      <c r="N58" s="103"/>
      <c r="O58" s="104"/>
      <c r="P58" s="97"/>
      <c r="Q58" s="115"/>
      <c r="R58" s="107"/>
      <c r="S58" s="105"/>
      <c r="T58" s="105"/>
      <c r="V58" s="108"/>
    </row>
    <row r="59" ht="15.75" customHeight="1">
      <c r="A59" s="91"/>
      <c r="B59" s="166"/>
      <c r="C59" s="107"/>
      <c r="D59" s="97"/>
      <c r="E59" s="165"/>
      <c r="F59" s="138"/>
      <c r="G59" s="97"/>
      <c r="H59" s="98"/>
      <c r="I59" s="105"/>
      <c r="J59" s="97"/>
      <c r="K59" s="101"/>
      <c r="L59" s="101"/>
      <c r="M59" s="102"/>
      <c r="N59" s="124"/>
      <c r="O59" s="125"/>
      <c r="P59" s="97"/>
      <c r="Q59" s="97"/>
      <c r="R59" s="126"/>
      <c r="S59" s="97"/>
      <c r="T59" s="97"/>
      <c r="V59" s="108"/>
    </row>
    <row r="60" ht="15.75" customHeight="1">
      <c r="A60" s="91"/>
      <c r="B60" s="166"/>
      <c r="C60" s="107"/>
      <c r="D60" s="97"/>
      <c r="E60" s="98"/>
      <c r="F60" s="138"/>
      <c r="G60" s="97"/>
      <c r="H60" s="98"/>
      <c r="I60" s="105"/>
      <c r="J60" s="97"/>
      <c r="K60" s="114"/>
      <c r="L60" s="114"/>
      <c r="M60" s="102"/>
      <c r="N60" s="124"/>
      <c r="O60" s="125"/>
      <c r="P60" s="97"/>
      <c r="Q60" s="115"/>
      <c r="R60" s="107"/>
      <c r="S60" s="97"/>
      <c r="T60" s="105"/>
      <c r="V60" s="108"/>
    </row>
    <row r="61" ht="15.75" customHeight="1">
      <c r="A61" s="91"/>
      <c r="B61" s="166"/>
      <c r="C61" s="98"/>
      <c r="D61" s="97"/>
      <c r="E61" s="165"/>
      <c r="F61" s="140"/>
      <c r="G61" s="97"/>
      <c r="H61" s="98"/>
      <c r="I61" s="105"/>
      <c r="J61" s="97"/>
      <c r="K61" s="101"/>
      <c r="L61" s="101"/>
      <c r="M61" s="102"/>
      <c r="N61" s="124"/>
      <c r="O61" s="125"/>
      <c r="P61" s="97"/>
      <c r="Q61" s="97"/>
      <c r="R61" s="126"/>
      <c r="S61" s="97"/>
      <c r="T61" s="97"/>
      <c r="V61" s="108"/>
    </row>
    <row r="62" ht="15.75" customHeight="1">
      <c r="A62" s="91"/>
      <c r="B62" s="166"/>
      <c r="C62" s="98"/>
      <c r="D62" s="97"/>
      <c r="E62" s="165"/>
      <c r="F62" s="138"/>
      <c r="G62" s="97"/>
      <c r="H62" s="98"/>
      <c r="I62" s="105"/>
      <c r="J62" s="97"/>
      <c r="K62" s="114"/>
      <c r="L62" s="114"/>
      <c r="M62" s="102"/>
      <c r="N62" s="124"/>
      <c r="O62" s="125"/>
      <c r="P62" s="97"/>
      <c r="Q62" s="97"/>
      <c r="R62" s="126"/>
      <c r="S62" s="97"/>
      <c r="T62" s="97"/>
      <c r="V62" s="108"/>
    </row>
    <row r="63" ht="15.75" customHeight="1">
      <c r="A63" s="91"/>
      <c r="B63" s="166"/>
      <c r="C63" s="134"/>
      <c r="D63" s="97"/>
      <c r="E63" s="165"/>
      <c r="F63" s="140"/>
      <c r="G63" s="97"/>
      <c r="H63" s="98"/>
      <c r="I63" s="105"/>
      <c r="J63" s="97"/>
      <c r="K63" s="101"/>
      <c r="L63" s="101"/>
      <c r="M63" s="102"/>
      <c r="N63" s="124"/>
      <c r="O63" s="125"/>
      <c r="P63" s="97"/>
      <c r="Q63" s="97"/>
      <c r="R63" s="126"/>
      <c r="S63" s="97"/>
      <c r="T63" s="97"/>
      <c r="V63" s="108"/>
    </row>
    <row r="64" ht="15.75" customHeight="1">
      <c r="A64" s="91"/>
      <c r="B64" s="166"/>
      <c r="C64" s="135"/>
      <c r="D64" s="97"/>
      <c r="E64" s="165"/>
      <c r="F64" s="138"/>
      <c r="G64" s="97"/>
      <c r="H64" s="98"/>
      <c r="I64" s="105"/>
      <c r="J64" s="97"/>
      <c r="K64" s="114"/>
      <c r="L64" s="114"/>
      <c r="M64" s="102"/>
      <c r="N64" s="103"/>
      <c r="O64" s="104"/>
      <c r="P64" s="97"/>
      <c r="Q64" s="115"/>
      <c r="R64" s="116"/>
      <c r="S64" s="105"/>
      <c r="T64" s="105"/>
      <c r="V64" s="108"/>
    </row>
    <row r="65" ht="15.75" customHeight="1">
      <c r="A65" s="91"/>
      <c r="B65" s="166"/>
      <c r="C65" s="99"/>
      <c r="D65" s="97"/>
      <c r="E65" s="165"/>
      <c r="F65" s="138"/>
      <c r="G65" s="97"/>
      <c r="H65" s="98"/>
      <c r="I65" s="105"/>
      <c r="J65" s="97"/>
      <c r="K65" s="101"/>
      <c r="L65" s="101"/>
      <c r="M65" s="102"/>
      <c r="N65" s="103"/>
      <c r="O65" s="104"/>
      <c r="P65" s="97"/>
      <c r="Q65" s="130"/>
      <c r="R65" s="116"/>
      <c r="S65" s="105"/>
      <c r="T65" s="105"/>
      <c r="V65" s="108"/>
    </row>
    <row r="66" ht="15.75" customHeight="1">
      <c r="A66" s="91"/>
      <c r="B66" s="166"/>
      <c r="C66" s="107"/>
      <c r="D66" s="97"/>
      <c r="E66" s="165"/>
      <c r="F66" s="138"/>
      <c r="G66" s="97"/>
      <c r="H66" s="98"/>
      <c r="I66" s="105"/>
      <c r="J66" s="97"/>
      <c r="K66" s="114"/>
      <c r="L66" s="114"/>
      <c r="M66" s="102"/>
      <c r="N66" s="124"/>
      <c r="O66" s="125"/>
      <c r="P66" s="97"/>
      <c r="Q66" s="97"/>
      <c r="R66" s="126"/>
      <c r="S66" s="97"/>
      <c r="T66" s="97"/>
      <c r="V66" s="108"/>
    </row>
    <row r="67" ht="15.75" customHeight="1">
      <c r="A67" s="91"/>
      <c r="B67" s="166"/>
      <c r="C67" s="107"/>
      <c r="D67" s="97"/>
      <c r="E67" s="98"/>
      <c r="F67" s="138"/>
      <c r="G67" s="97"/>
      <c r="H67" s="98"/>
      <c r="I67" s="105"/>
      <c r="J67" s="97"/>
      <c r="K67" s="101"/>
      <c r="L67" s="101"/>
      <c r="M67" s="102"/>
      <c r="N67" s="124"/>
      <c r="O67" s="125"/>
      <c r="P67" s="97"/>
      <c r="Q67" s="130"/>
      <c r="R67" s="107"/>
      <c r="S67" s="105"/>
      <c r="T67" s="105"/>
      <c r="V67" s="108"/>
    </row>
    <row r="68" ht="15.75" customHeight="1">
      <c r="A68" s="91"/>
      <c r="B68" s="166"/>
      <c r="C68" s="107"/>
      <c r="D68" s="97"/>
      <c r="E68" s="98"/>
      <c r="F68" s="138"/>
      <c r="G68" s="97"/>
      <c r="H68" s="98"/>
      <c r="I68" s="105"/>
      <c r="J68" s="97"/>
      <c r="K68" s="114"/>
      <c r="L68" s="114"/>
      <c r="M68" s="102"/>
      <c r="N68" s="124"/>
      <c r="O68" s="125"/>
      <c r="P68" s="97"/>
      <c r="Q68" s="130"/>
      <c r="R68" s="126"/>
      <c r="S68" s="97"/>
      <c r="T68" s="105"/>
      <c r="V68" s="108"/>
    </row>
    <row r="69" ht="15.75" customHeight="1">
      <c r="A69" s="91"/>
      <c r="B69" s="166"/>
      <c r="C69" s="98"/>
      <c r="D69" s="97"/>
      <c r="E69" s="98"/>
      <c r="F69" s="140"/>
      <c r="G69" s="97"/>
      <c r="H69" s="98"/>
      <c r="I69" s="105"/>
      <c r="J69" s="97"/>
      <c r="K69" s="101"/>
      <c r="L69" s="101"/>
      <c r="M69" s="102"/>
      <c r="N69" s="124"/>
      <c r="O69" s="125"/>
      <c r="P69" s="97"/>
      <c r="Q69" s="115"/>
      <c r="R69" s="107"/>
      <c r="S69" s="105"/>
      <c r="T69" s="105"/>
      <c r="V69" s="108"/>
    </row>
    <row r="70" ht="15.75" customHeight="1">
      <c r="A70" s="91"/>
      <c r="B70" s="166"/>
      <c r="C70" s="98"/>
      <c r="D70" s="97"/>
      <c r="E70" s="98"/>
      <c r="F70" s="138"/>
      <c r="G70" s="97"/>
      <c r="H70" s="98"/>
      <c r="I70" s="105"/>
      <c r="J70" s="97"/>
      <c r="K70" s="114"/>
      <c r="L70" s="114"/>
      <c r="M70" s="102"/>
      <c r="N70" s="124"/>
      <c r="O70" s="125"/>
      <c r="P70" s="97"/>
      <c r="Q70" s="131"/>
      <c r="R70" s="126"/>
      <c r="S70" s="97"/>
      <c r="T70" s="97"/>
      <c r="V70" s="108"/>
    </row>
    <row r="71" ht="15.75" customHeight="1">
      <c r="A71" s="91"/>
      <c r="B71" s="166"/>
      <c r="C71" s="98"/>
      <c r="D71" s="97"/>
      <c r="E71" s="98"/>
      <c r="F71" s="138"/>
      <c r="G71" s="97"/>
      <c r="H71" s="98"/>
      <c r="I71" s="105"/>
      <c r="J71" s="97"/>
      <c r="K71" s="101"/>
      <c r="L71" s="101"/>
      <c r="M71" s="102"/>
      <c r="N71" s="124"/>
      <c r="O71" s="125"/>
      <c r="P71" s="97"/>
      <c r="Q71" s="130"/>
      <c r="R71" s="107"/>
      <c r="S71" s="105"/>
      <c r="T71" s="105"/>
      <c r="V71" s="108"/>
    </row>
    <row r="72" ht="15.75" customHeight="1">
      <c r="A72" s="91"/>
      <c r="B72" s="166"/>
      <c r="C72" s="98"/>
      <c r="D72" s="97"/>
      <c r="E72" s="165"/>
      <c r="F72" s="138"/>
      <c r="G72" s="97"/>
      <c r="H72" s="98"/>
      <c r="I72" s="105"/>
      <c r="J72" s="97"/>
      <c r="K72" s="114"/>
      <c r="L72" s="114"/>
      <c r="M72" s="102"/>
      <c r="N72" s="103"/>
      <c r="O72" s="125"/>
      <c r="P72" s="97"/>
      <c r="Q72" s="130"/>
      <c r="R72" s="107"/>
      <c r="S72" s="105"/>
      <c r="T72" s="105"/>
      <c r="V72" s="108"/>
    </row>
    <row r="73" ht="15.75" customHeight="1">
      <c r="A73" s="91"/>
      <c r="B73" s="166"/>
      <c r="C73" s="98"/>
      <c r="D73" s="97"/>
      <c r="E73" s="165"/>
      <c r="F73" s="140"/>
      <c r="G73" s="97"/>
      <c r="H73" s="98"/>
      <c r="I73" s="105"/>
      <c r="J73" s="97"/>
      <c r="K73" s="101"/>
      <c r="L73" s="101"/>
      <c r="M73" s="102"/>
      <c r="N73" s="103"/>
      <c r="O73" s="125"/>
      <c r="P73" s="97"/>
      <c r="Q73" s="115"/>
      <c r="R73" s="107"/>
      <c r="S73" s="105"/>
      <c r="T73" s="105"/>
      <c r="V73" s="108"/>
    </row>
    <row r="74" ht="15.75" customHeight="1">
      <c r="A74" s="91"/>
      <c r="B74" s="166"/>
      <c r="C74" s="107"/>
      <c r="D74" s="97"/>
      <c r="E74" s="165"/>
      <c r="F74" s="138"/>
      <c r="G74" s="97"/>
      <c r="H74" s="98"/>
      <c r="I74" s="105"/>
      <c r="J74" s="97"/>
      <c r="K74" s="114"/>
      <c r="L74" s="114"/>
      <c r="M74" s="102"/>
      <c r="N74" s="103"/>
      <c r="O74" s="125"/>
      <c r="P74" s="97"/>
      <c r="Q74" s="115"/>
      <c r="R74" s="107"/>
      <c r="S74" s="105"/>
      <c r="T74" s="105"/>
      <c r="V74" s="108"/>
    </row>
    <row r="75" ht="15.75" customHeight="1">
      <c r="A75" s="91"/>
      <c r="B75" s="166"/>
      <c r="C75" s="107"/>
      <c r="D75" s="97"/>
      <c r="E75" s="165"/>
      <c r="F75" s="138"/>
      <c r="G75" s="97"/>
      <c r="H75" s="98"/>
      <c r="I75" s="105"/>
      <c r="J75" s="97"/>
      <c r="K75" s="101"/>
      <c r="L75" s="101"/>
      <c r="M75" s="102"/>
      <c r="N75" s="124"/>
      <c r="O75" s="125"/>
      <c r="P75" s="97"/>
      <c r="Q75" s="131"/>
      <c r="R75" s="126"/>
      <c r="S75" s="97"/>
      <c r="T75" s="97"/>
      <c r="V75" s="108"/>
    </row>
    <row r="76" ht="15.75" customHeight="1">
      <c r="A76" s="91"/>
      <c r="B76" s="166"/>
      <c r="C76" s="98"/>
      <c r="D76" s="97"/>
      <c r="E76" s="165"/>
      <c r="F76" s="138"/>
      <c r="G76" s="97"/>
      <c r="H76" s="98"/>
      <c r="I76" s="105"/>
      <c r="J76" s="97"/>
      <c r="K76" s="114"/>
      <c r="L76" s="114"/>
      <c r="M76" s="102"/>
      <c r="N76" s="103"/>
      <c r="O76" s="125"/>
      <c r="P76" s="97"/>
      <c r="Q76" s="115"/>
      <c r="R76" s="107"/>
      <c r="S76" s="105"/>
      <c r="T76" s="105"/>
      <c r="V76" s="108"/>
    </row>
    <row r="77" ht="15.75" customHeight="1">
      <c r="A77" s="91"/>
      <c r="B77" s="166"/>
      <c r="C77" s="98"/>
      <c r="D77" s="97"/>
      <c r="E77" s="98"/>
      <c r="F77" s="138"/>
      <c r="G77" s="97"/>
      <c r="H77" s="98"/>
      <c r="I77" s="105"/>
      <c r="J77" s="97"/>
      <c r="K77" s="101"/>
      <c r="L77" s="101"/>
      <c r="M77" s="102"/>
      <c r="N77" s="124"/>
      <c r="O77" s="125"/>
      <c r="P77" s="97"/>
      <c r="Q77" s="131"/>
      <c r="R77" s="126"/>
      <c r="S77" s="97"/>
      <c r="T77" s="97"/>
      <c r="V77" s="108"/>
    </row>
    <row r="78" ht="15.75" customHeight="1">
      <c r="A78" s="91"/>
      <c r="B78" s="166"/>
      <c r="C78" s="98"/>
      <c r="D78" s="97"/>
      <c r="E78" s="165"/>
      <c r="F78" s="138"/>
      <c r="G78" s="97"/>
      <c r="H78" s="98"/>
      <c r="I78" s="105"/>
      <c r="J78" s="97"/>
      <c r="K78" s="114"/>
      <c r="L78" s="114"/>
      <c r="M78" s="102"/>
      <c r="N78" s="103"/>
      <c r="O78" s="125"/>
      <c r="P78" s="97"/>
      <c r="Q78" s="115"/>
      <c r="R78" s="107"/>
      <c r="S78" s="105"/>
      <c r="T78" s="105"/>
      <c r="V78" s="108"/>
    </row>
    <row r="79" ht="15.75" customHeight="1">
      <c r="A79" s="91"/>
      <c r="B79" s="166"/>
      <c r="C79" s="98"/>
      <c r="D79" s="97"/>
      <c r="E79" s="165"/>
      <c r="F79" s="138"/>
      <c r="G79" s="97"/>
      <c r="H79" s="98"/>
      <c r="I79" s="105"/>
      <c r="J79" s="97"/>
      <c r="K79" s="101"/>
      <c r="L79" s="101"/>
      <c r="M79" s="102"/>
      <c r="N79" s="124"/>
      <c r="O79" s="125"/>
      <c r="P79" s="97"/>
      <c r="Q79" s="131"/>
      <c r="R79" s="126"/>
      <c r="S79" s="97"/>
      <c r="T79" s="97"/>
      <c r="V79" s="108"/>
    </row>
    <row r="80" ht="15.75" customHeight="1">
      <c r="A80" s="91"/>
      <c r="B80" s="166"/>
      <c r="C80" s="98"/>
      <c r="D80" s="97"/>
      <c r="E80" s="165"/>
      <c r="F80" s="138"/>
      <c r="G80" s="97"/>
      <c r="H80" s="98"/>
      <c r="I80" s="105"/>
      <c r="J80" s="97"/>
      <c r="K80" s="114"/>
      <c r="L80" s="114"/>
      <c r="M80" s="102"/>
      <c r="N80" s="103"/>
      <c r="O80" s="104"/>
      <c r="P80" s="97"/>
      <c r="Q80" s="130"/>
      <c r="R80" s="107"/>
      <c r="S80" s="105"/>
      <c r="T80" s="105"/>
      <c r="V80" s="108"/>
    </row>
    <row r="81" ht="15.75" customHeight="1">
      <c r="A81" s="91"/>
      <c r="B81" s="166"/>
      <c r="C81" s="107"/>
      <c r="D81" s="97"/>
      <c r="E81" s="165"/>
      <c r="F81" s="138"/>
      <c r="G81" s="97"/>
      <c r="H81" s="98"/>
      <c r="I81" s="105"/>
      <c r="J81" s="97"/>
      <c r="K81" s="101"/>
      <c r="L81" s="101"/>
      <c r="M81" s="102"/>
      <c r="N81" s="103"/>
      <c r="O81" s="104"/>
      <c r="P81" s="97"/>
      <c r="Q81" s="115"/>
      <c r="R81" s="136"/>
      <c r="S81" s="105"/>
      <c r="T81" s="105"/>
      <c r="V81" s="108"/>
    </row>
    <row r="82" ht="15.75" customHeight="1">
      <c r="A82" s="91"/>
      <c r="B82" s="166"/>
      <c r="C82" s="107"/>
      <c r="D82" s="97"/>
      <c r="E82" s="165"/>
      <c r="F82" s="138"/>
      <c r="G82" s="97"/>
      <c r="H82" s="98"/>
      <c r="I82" s="105"/>
      <c r="J82" s="97"/>
      <c r="K82" s="114"/>
      <c r="L82" s="114"/>
      <c r="M82" s="102"/>
      <c r="N82" s="103"/>
      <c r="O82" s="104"/>
      <c r="P82" s="97"/>
      <c r="Q82" s="115"/>
      <c r="R82" s="107"/>
      <c r="S82" s="105"/>
      <c r="T82" s="105"/>
      <c r="V82" s="108"/>
    </row>
    <row r="83" ht="15.75" customHeight="1">
      <c r="A83" s="91"/>
      <c r="B83" s="166"/>
      <c r="C83" s="98"/>
      <c r="D83" s="97"/>
      <c r="E83" s="165"/>
      <c r="F83" s="138"/>
      <c r="G83" s="97"/>
      <c r="H83" s="98"/>
      <c r="I83" s="105"/>
      <c r="J83" s="97"/>
      <c r="K83" s="101"/>
      <c r="L83" s="101"/>
      <c r="M83" s="102"/>
      <c r="N83" s="124"/>
      <c r="O83" s="125"/>
      <c r="P83" s="97"/>
      <c r="Q83" s="131"/>
      <c r="R83" s="126"/>
      <c r="S83" s="97"/>
      <c r="T83" s="97"/>
      <c r="V83" s="108"/>
    </row>
    <row r="84" ht="15.75" customHeight="1">
      <c r="A84" s="91"/>
      <c r="B84" s="166"/>
      <c r="C84" s="98"/>
      <c r="D84" s="97"/>
      <c r="E84" s="165"/>
      <c r="F84" s="138"/>
      <c r="G84" s="97"/>
      <c r="H84" s="98"/>
      <c r="I84" s="105"/>
      <c r="J84" s="97"/>
      <c r="K84" s="114"/>
      <c r="L84" s="114"/>
      <c r="M84" s="102"/>
      <c r="N84" s="124"/>
      <c r="O84" s="125"/>
      <c r="P84" s="97"/>
      <c r="Q84" s="97"/>
      <c r="R84" s="126"/>
      <c r="S84" s="97"/>
      <c r="T84" s="97"/>
      <c r="V84" s="108"/>
    </row>
    <row r="85" ht="15.75" customHeight="1">
      <c r="A85" s="91"/>
      <c r="B85" s="166"/>
      <c r="C85" s="137"/>
      <c r="D85" s="97"/>
      <c r="E85" s="165"/>
      <c r="F85" s="138"/>
      <c r="G85" s="97"/>
      <c r="H85" s="98"/>
      <c r="I85" s="105"/>
      <c r="J85" s="97"/>
      <c r="K85" s="101"/>
      <c r="L85" s="101"/>
      <c r="M85" s="102"/>
      <c r="N85" s="124"/>
      <c r="O85" s="125"/>
      <c r="P85" s="97"/>
      <c r="Q85" s="131"/>
      <c r="R85" s="126"/>
      <c r="S85" s="97"/>
      <c r="T85" s="97"/>
      <c r="V85" s="108"/>
    </row>
    <row r="86" ht="15.75" customHeight="1">
      <c r="A86" s="91"/>
      <c r="B86" s="166"/>
      <c r="C86" s="99"/>
      <c r="D86" s="97"/>
      <c r="E86" s="165"/>
      <c r="F86" s="138"/>
      <c r="G86" s="97"/>
      <c r="H86" s="98"/>
      <c r="I86" s="105"/>
      <c r="J86" s="97"/>
      <c r="K86" s="114"/>
      <c r="L86" s="114"/>
      <c r="M86" s="102"/>
      <c r="N86" s="103"/>
      <c r="O86" s="104"/>
      <c r="P86" s="97"/>
      <c r="Q86" s="130"/>
      <c r="R86" s="116"/>
      <c r="S86" s="105"/>
      <c r="T86" s="105"/>
      <c r="V86" s="108"/>
    </row>
    <row r="87" ht="15.75" customHeight="1">
      <c r="A87" s="91"/>
      <c r="B87" s="166"/>
      <c r="C87" s="98"/>
      <c r="D87" s="97"/>
      <c r="E87" s="165"/>
      <c r="F87" s="138"/>
      <c r="G87" s="97"/>
      <c r="H87" s="98"/>
      <c r="I87" s="105"/>
      <c r="J87" s="97"/>
      <c r="K87" s="101"/>
      <c r="L87" s="101"/>
      <c r="M87" s="102"/>
      <c r="N87" s="124"/>
      <c r="O87" s="104"/>
      <c r="P87" s="97"/>
      <c r="Q87" s="131"/>
      <c r="R87" s="107"/>
      <c r="S87" s="105"/>
      <c r="T87" s="105"/>
      <c r="V87" s="108"/>
    </row>
    <row r="88" ht="15.75" customHeight="1">
      <c r="A88" s="91"/>
      <c r="B88" s="166"/>
      <c r="C88" s="98"/>
      <c r="D88" s="97"/>
      <c r="E88" s="165"/>
      <c r="F88" s="138"/>
      <c r="G88" s="97"/>
      <c r="H88" s="98"/>
      <c r="I88" s="105"/>
      <c r="J88" s="97"/>
      <c r="K88" s="114"/>
      <c r="L88" s="114"/>
      <c r="M88" s="102"/>
      <c r="N88" s="103"/>
      <c r="O88" s="104"/>
      <c r="P88" s="97"/>
      <c r="Q88" s="115"/>
      <c r="R88" s="107"/>
      <c r="S88" s="105"/>
      <c r="T88" s="105"/>
      <c r="V88" s="108"/>
    </row>
    <row r="89" ht="15.75" customHeight="1">
      <c r="A89" s="91"/>
      <c r="B89" s="166"/>
      <c r="C89" s="98"/>
      <c r="D89" s="97"/>
      <c r="E89" s="165"/>
      <c r="F89" s="138"/>
      <c r="G89" s="97"/>
      <c r="H89" s="98"/>
      <c r="I89" s="105"/>
      <c r="J89" s="97"/>
      <c r="K89" s="101"/>
      <c r="L89" s="101"/>
      <c r="M89" s="102"/>
      <c r="N89" s="124"/>
      <c r="O89" s="125"/>
      <c r="P89" s="97"/>
      <c r="Q89" s="97"/>
      <c r="R89" s="126"/>
      <c r="S89" s="97"/>
      <c r="T89" s="97"/>
      <c r="V89" s="108"/>
    </row>
    <row r="90" ht="15.75" customHeight="1">
      <c r="A90" s="91"/>
      <c r="B90" s="166"/>
      <c r="C90" s="138"/>
      <c r="D90" s="97"/>
      <c r="E90" s="165"/>
      <c r="F90" s="169"/>
      <c r="G90" s="97"/>
      <c r="H90" s="98"/>
      <c r="I90" s="105"/>
      <c r="J90" s="97"/>
      <c r="K90" s="114"/>
      <c r="L90" s="114"/>
      <c r="M90" s="102"/>
      <c r="N90" s="103"/>
      <c r="O90" s="104"/>
      <c r="P90" s="97"/>
      <c r="Q90" s="105"/>
      <c r="R90" s="107"/>
      <c r="S90" s="105"/>
      <c r="T90" s="105"/>
      <c r="V90" s="108"/>
    </row>
    <row r="91" ht="15.75" customHeight="1">
      <c r="A91" s="91"/>
      <c r="B91" s="166"/>
      <c r="C91" s="140"/>
      <c r="D91" s="97"/>
      <c r="E91" s="165"/>
      <c r="F91" s="138"/>
      <c r="G91" s="97"/>
      <c r="H91" s="98"/>
      <c r="I91" s="105"/>
      <c r="J91" s="97"/>
      <c r="K91" s="101"/>
      <c r="L91" s="101"/>
      <c r="M91" s="102"/>
      <c r="N91" s="124"/>
      <c r="O91" s="125"/>
      <c r="P91" s="97"/>
      <c r="Q91" s="97"/>
      <c r="R91" s="126"/>
      <c r="S91" s="97"/>
      <c r="T91" s="97"/>
      <c r="V91" s="108"/>
    </row>
    <row r="92" ht="15.75" customHeight="1">
      <c r="A92" s="91"/>
      <c r="B92" s="166"/>
      <c r="C92" s="138"/>
      <c r="D92" s="97"/>
      <c r="E92" s="165"/>
      <c r="F92" s="138"/>
      <c r="G92" s="97"/>
      <c r="H92" s="98"/>
      <c r="I92" s="105"/>
      <c r="J92" s="97"/>
      <c r="K92" s="114"/>
      <c r="L92" s="114"/>
      <c r="M92" s="102"/>
      <c r="N92" s="103"/>
      <c r="O92" s="104"/>
      <c r="P92" s="97"/>
      <c r="Q92" s="130"/>
      <c r="R92" s="107"/>
      <c r="S92" s="105"/>
      <c r="T92" s="105"/>
      <c r="V92" s="108"/>
    </row>
    <row r="93" ht="15.75" customHeight="1">
      <c r="A93" s="91"/>
      <c r="B93" s="166"/>
      <c r="C93" s="140"/>
      <c r="D93" s="97"/>
      <c r="E93" s="138"/>
      <c r="F93" s="138"/>
      <c r="G93" s="97"/>
      <c r="H93" s="98"/>
      <c r="I93" s="105"/>
      <c r="J93" s="97"/>
      <c r="K93" s="101"/>
      <c r="L93" s="101"/>
      <c r="M93" s="102"/>
      <c r="N93" s="124"/>
      <c r="O93" s="125"/>
      <c r="P93" s="97"/>
      <c r="Q93" s="131"/>
      <c r="R93" s="126"/>
      <c r="S93" s="97"/>
      <c r="T93" s="97"/>
      <c r="V93" s="108"/>
    </row>
    <row r="94" ht="15.75" customHeight="1">
      <c r="A94" s="91"/>
      <c r="B94" s="166"/>
      <c r="C94" s="98"/>
      <c r="D94" s="97"/>
      <c r="E94" s="165"/>
      <c r="F94" s="138"/>
      <c r="G94" s="97"/>
      <c r="H94" s="98"/>
      <c r="I94" s="105"/>
      <c r="J94" s="97"/>
      <c r="K94" s="114"/>
      <c r="L94" s="114"/>
      <c r="M94" s="102"/>
      <c r="N94" s="124"/>
      <c r="O94" s="125"/>
      <c r="P94" s="97"/>
      <c r="Q94" s="97"/>
      <c r="R94" s="126"/>
      <c r="S94" s="97"/>
      <c r="T94" s="97"/>
      <c r="V94" s="108"/>
    </row>
    <row r="95" ht="15.75" customHeight="1">
      <c r="A95" s="91"/>
      <c r="B95" s="166"/>
      <c r="C95" s="98"/>
      <c r="D95" s="97"/>
      <c r="E95" s="165"/>
      <c r="F95" s="138"/>
      <c r="G95" s="97"/>
      <c r="H95" s="98"/>
      <c r="I95" s="105"/>
      <c r="J95" s="97"/>
      <c r="K95" s="101"/>
      <c r="L95" s="101"/>
      <c r="M95" s="102"/>
      <c r="N95" s="103"/>
      <c r="O95" s="104"/>
      <c r="P95" s="97"/>
      <c r="Q95" s="115"/>
      <c r="R95" s="107"/>
      <c r="S95" s="105"/>
      <c r="T95" s="105"/>
      <c r="V95" s="108"/>
    </row>
    <row r="96" ht="15.75" customHeight="1">
      <c r="A96" s="91"/>
      <c r="B96" s="166"/>
      <c r="C96" s="98"/>
      <c r="D96" s="97"/>
      <c r="E96" s="165"/>
      <c r="F96" s="138"/>
      <c r="G96" s="97"/>
      <c r="H96" s="98"/>
      <c r="I96" s="105"/>
      <c r="J96" s="97"/>
      <c r="K96" s="114"/>
      <c r="L96" s="114"/>
      <c r="M96" s="102"/>
      <c r="N96" s="124"/>
      <c r="O96" s="125"/>
      <c r="P96" s="97"/>
      <c r="Q96" s="97"/>
      <c r="R96" s="126"/>
      <c r="S96" s="97"/>
      <c r="T96" s="97"/>
      <c r="V96" s="108"/>
    </row>
    <row r="97" ht="15.75" customHeight="1">
      <c r="A97" s="91"/>
      <c r="B97" s="166"/>
      <c r="C97" s="98"/>
      <c r="D97" s="97"/>
      <c r="E97" s="170"/>
      <c r="F97" s="138"/>
      <c r="G97" s="97"/>
      <c r="H97" s="98"/>
      <c r="I97" s="105"/>
      <c r="J97" s="97"/>
      <c r="K97" s="101"/>
      <c r="L97" s="101"/>
      <c r="M97" s="102"/>
      <c r="N97" s="124"/>
      <c r="O97" s="125"/>
      <c r="P97" s="97"/>
      <c r="Q97" s="131"/>
      <c r="R97" s="126"/>
      <c r="S97" s="97"/>
      <c r="T97" s="97"/>
      <c r="V97" s="108"/>
    </row>
    <row r="98" ht="15.75" customHeight="1">
      <c r="A98" s="91"/>
      <c r="B98" s="166"/>
      <c r="C98" s="107"/>
      <c r="D98" s="97"/>
      <c r="E98" s="165"/>
      <c r="F98" s="138"/>
      <c r="G98" s="97"/>
      <c r="H98" s="98"/>
      <c r="I98" s="105"/>
      <c r="J98" s="97"/>
      <c r="K98" s="114"/>
      <c r="L98" s="114"/>
      <c r="M98" s="102"/>
      <c r="N98" s="124"/>
      <c r="O98" s="125"/>
      <c r="P98" s="97"/>
      <c r="Q98" s="130"/>
      <c r="R98" s="107"/>
      <c r="S98" s="97"/>
      <c r="T98" s="105"/>
      <c r="V98" s="108"/>
    </row>
    <row r="99" ht="15.75" customHeight="1">
      <c r="A99" s="91"/>
      <c r="B99" s="166"/>
      <c r="C99" s="107"/>
      <c r="D99" s="97"/>
      <c r="E99" s="165"/>
      <c r="F99" s="138"/>
      <c r="G99" s="97"/>
      <c r="H99" s="98"/>
      <c r="I99" s="105"/>
      <c r="J99" s="97"/>
      <c r="K99" s="101"/>
      <c r="L99" s="101"/>
      <c r="M99" s="102"/>
      <c r="N99" s="124"/>
      <c r="O99" s="125"/>
      <c r="P99" s="97"/>
      <c r="Q99" s="130"/>
      <c r="R99" s="107"/>
      <c r="S99" s="97"/>
      <c r="T99" s="105"/>
      <c r="V99" s="108"/>
    </row>
    <row r="100" ht="15.75" customHeight="1">
      <c r="A100" s="91"/>
      <c r="B100" s="166"/>
      <c r="C100" s="98"/>
      <c r="D100" s="97"/>
      <c r="E100" s="98"/>
      <c r="F100" s="140"/>
      <c r="G100" s="97"/>
      <c r="H100" s="98"/>
      <c r="I100" s="105"/>
      <c r="J100" s="97"/>
      <c r="K100" s="114"/>
      <c r="L100" s="114"/>
      <c r="M100" s="102"/>
      <c r="N100" s="124"/>
      <c r="O100" s="125"/>
      <c r="P100" s="97"/>
      <c r="Q100" s="131"/>
      <c r="R100" s="126"/>
      <c r="S100" s="97"/>
      <c r="T100" s="97"/>
      <c r="V100" s="108"/>
    </row>
    <row r="101" ht="15.75" customHeight="1">
      <c r="A101" s="91"/>
      <c r="B101" s="166"/>
      <c r="C101" s="98"/>
      <c r="D101" s="97"/>
      <c r="E101" s="165"/>
      <c r="F101" s="138"/>
      <c r="G101" s="97"/>
      <c r="H101" s="98"/>
      <c r="I101" s="105"/>
      <c r="J101" s="97"/>
      <c r="K101" s="101"/>
      <c r="L101" s="101"/>
      <c r="M101" s="102"/>
      <c r="N101" s="124"/>
      <c r="O101" s="125"/>
      <c r="P101" s="97"/>
      <c r="Q101" s="97"/>
      <c r="R101" s="126"/>
      <c r="S101" s="97"/>
      <c r="T101" s="97"/>
      <c r="V101" s="108"/>
    </row>
    <row r="102" ht="15.75" customHeight="1">
      <c r="A102" s="91"/>
      <c r="B102" s="166"/>
      <c r="C102" s="98"/>
      <c r="D102" s="97"/>
      <c r="E102" s="165"/>
      <c r="F102" s="138"/>
      <c r="G102" s="97"/>
      <c r="H102" s="98"/>
      <c r="I102" s="105"/>
      <c r="J102" s="97"/>
      <c r="K102" s="114"/>
      <c r="L102" s="114"/>
      <c r="M102" s="102"/>
      <c r="N102" s="103"/>
      <c r="O102" s="104"/>
      <c r="P102" s="97"/>
      <c r="Q102" s="115"/>
      <c r="R102" s="116"/>
      <c r="S102" s="105"/>
      <c r="T102" s="105"/>
      <c r="V102" s="108"/>
    </row>
    <row r="103" ht="15.75" customHeight="1">
      <c r="A103" s="91"/>
      <c r="B103" s="171"/>
      <c r="C103" s="143"/>
      <c r="D103" s="97"/>
      <c r="E103" s="143"/>
      <c r="F103" s="169"/>
      <c r="G103" s="97"/>
      <c r="H103" s="98"/>
      <c r="I103" s="105"/>
      <c r="J103" s="97"/>
      <c r="K103" s="101"/>
      <c r="L103" s="101"/>
      <c r="M103" s="102"/>
      <c r="N103" s="103"/>
      <c r="O103" s="125"/>
      <c r="P103" s="97"/>
      <c r="Q103" s="131"/>
      <c r="R103" s="126"/>
      <c r="S103" s="105"/>
      <c r="T103" s="97"/>
      <c r="V103" s="108"/>
    </row>
    <row r="104" ht="15.75" customHeight="1">
      <c r="A104" s="91"/>
      <c r="B104" s="171"/>
      <c r="C104" s="143"/>
      <c r="D104" s="97"/>
      <c r="E104" s="143"/>
      <c r="F104" s="143"/>
      <c r="G104" s="97"/>
      <c r="H104" s="98"/>
      <c r="I104" s="105"/>
      <c r="J104" s="97"/>
      <c r="K104" s="114"/>
      <c r="L104" s="114"/>
      <c r="M104" s="102"/>
      <c r="N104" s="103"/>
      <c r="O104" s="125"/>
      <c r="P104" s="97"/>
      <c r="Q104" s="97"/>
      <c r="R104" s="126"/>
      <c r="S104" s="105"/>
      <c r="T104" s="97"/>
      <c r="V104" s="108"/>
    </row>
    <row r="105" ht="15.75" customHeight="1">
      <c r="A105" s="91"/>
      <c r="B105" s="171"/>
      <c r="C105" s="108"/>
      <c r="D105" s="97"/>
      <c r="E105" s="143"/>
      <c r="F105" s="143"/>
      <c r="G105" s="97"/>
      <c r="H105" s="98"/>
      <c r="I105" s="105"/>
      <c r="J105" s="97"/>
      <c r="K105" s="101"/>
      <c r="L105" s="101"/>
      <c r="M105" s="102"/>
      <c r="N105" s="103"/>
      <c r="O105" s="125"/>
      <c r="P105" s="97"/>
      <c r="Q105" s="131"/>
      <c r="R105" s="126"/>
      <c r="S105" s="105"/>
      <c r="T105" s="97"/>
      <c r="V105" s="108"/>
    </row>
    <row r="106" ht="15.75" customHeight="1">
      <c r="A106" s="91"/>
      <c r="B106" s="171"/>
      <c r="C106" s="108"/>
      <c r="D106" s="97"/>
      <c r="E106" s="143"/>
      <c r="F106" s="143"/>
      <c r="G106" s="97"/>
      <c r="H106" s="98"/>
      <c r="I106" s="105"/>
      <c r="J106" s="97"/>
      <c r="K106" s="114"/>
      <c r="L106" s="114"/>
      <c r="M106" s="102"/>
      <c r="N106" s="103"/>
      <c r="O106" s="125"/>
      <c r="P106" s="97"/>
      <c r="Q106" s="131"/>
      <c r="R106" s="126"/>
      <c r="S106" s="105"/>
      <c r="T106" s="97"/>
      <c r="V106" s="108"/>
    </row>
    <row r="107" ht="15.75" customHeight="1">
      <c r="A107" s="91"/>
      <c r="B107" s="171"/>
      <c r="C107" s="143"/>
      <c r="D107" s="97"/>
      <c r="E107" s="143"/>
      <c r="F107" s="143"/>
      <c r="G107" s="97"/>
      <c r="H107" s="98"/>
      <c r="I107" s="105"/>
      <c r="J107" s="97"/>
      <c r="K107" s="101"/>
      <c r="L107" s="101"/>
      <c r="M107" s="102"/>
      <c r="N107" s="103"/>
      <c r="O107" s="125"/>
      <c r="P107" s="97"/>
      <c r="Q107" s="131"/>
      <c r="R107" s="126"/>
      <c r="S107" s="105"/>
      <c r="T107" s="97"/>
      <c r="V107" s="108"/>
    </row>
    <row r="108" ht="15.75" customHeight="1">
      <c r="A108" s="91"/>
      <c r="B108" s="171"/>
      <c r="C108" s="143"/>
      <c r="D108" s="97"/>
      <c r="E108" s="143"/>
      <c r="F108" s="143"/>
      <c r="G108" s="97"/>
      <c r="H108" s="98"/>
      <c r="I108" s="105"/>
      <c r="J108" s="97"/>
      <c r="K108" s="114"/>
      <c r="L108" s="114"/>
      <c r="M108" s="102"/>
      <c r="N108" s="103"/>
      <c r="O108" s="125"/>
      <c r="P108" s="97"/>
      <c r="Q108" s="97"/>
      <c r="R108" s="126"/>
      <c r="S108" s="105"/>
      <c r="T108" s="97"/>
      <c r="V108" s="108"/>
    </row>
    <row r="109" ht="15.75" customHeight="1">
      <c r="A109" s="91"/>
      <c r="B109" s="171"/>
      <c r="C109" s="143"/>
      <c r="D109" s="97"/>
      <c r="E109" s="143"/>
      <c r="F109" s="143"/>
      <c r="G109" s="97"/>
      <c r="H109" s="98"/>
      <c r="I109" s="105"/>
      <c r="J109" s="97"/>
      <c r="K109" s="101"/>
      <c r="L109" s="101"/>
      <c r="M109" s="102"/>
      <c r="N109" s="103"/>
      <c r="O109" s="125"/>
      <c r="P109" s="97"/>
      <c r="Q109" s="131"/>
      <c r="R109" s="126"/>
      <c r="S109" s="105"/>
      <c r="T109" s="97"/>
      <c r="V109" s="108"/>
    </row>
    <row r="110" ht="15.75" customHeight="1">
      <c r="A110" s="91"/>
      <c r="B110" s="171"/>
      <c r="C110" s="143"/>
      <c r="D110" s="97"/>
      <c r="E110" s="143"/>
      <c r="F110" s="143"/>
      <c r="G110" s="97"/>
      <c r="H110" s="143"/>
      <c r="I110" s="145"/>
      <c r="J110" s="97"/>
      <c r="K110" s="114"/>
      <c r="L110" s="114"/>
      <c r="M110" s="102"/>
      <c r="N110" s="124"/>
      <c r="O110" s="125"/>
      <c r="P110" s="97"/>
      <c r="Q110" s="97"/>
      <c r="R110" s="126"/>
      <c r="S110" s="97"/>
      <c r="T110" s="97"/>
      <c r="V110" s="108"/>
    </row>
    <row r="111" ht="15.75" customHeight="1">
      <c r="A111" s="91"/>
      <c r="B111" s="171"/>
      <c r="C111" s="143"/>
      <c r="D111" s="97"/>
      <c r="E111" s="143"/>
      <c r="F111" s="143"/>
      <c r="G111" s="97"/>
      <c r="H111" s="143"/>
      <c r="I111" s="97"/>
      <c r="J111" s="97"/>
      <c r="K111" s="101"/>
      <c r="L111" s="101"/>
      <c r="M111" s="102"/>
      <c r="N111" s="124"/>
      <c r="O111" s="125"/>
      <c r="P111" s="97"/>
      <c r="Q111" s="131"/>
      <c r="R111" s="126"/>
      <c r="S111" s="97"/>
      <c r="T111" s="97"/>
      <c r="V111" s="108"/>
    </row>
    <row r="112" ht="15.75" customHeight="1">
      <c r="A112" s="91"/>
      <c r="B112" s="171"/>
      <c r="C112" s="108"/>
      <c r="D112" s="97"/>
      <c r="E112" s="143"/>
      <c r="F112" s="143"/>
      <c r="G112" s="97"/>
      <c r="H112" s="143"/>
      <c r="I112" s="97"/>
      <c r="J112" s="97"/>
      <c r="K112" s="114"/>
      <c r="L112" s="114"/>
      <c r="M112" s="102"/>
      <c r="N112" s="124"/>
      <c r="O112" s="125"/>
      <c r="P112" s="97"/>
      <c r="Q112" s="97"/>
      <c r="R112" s="126"/>
      <c r="S112" s="97"/>
      <c r="T112" s="97"/>
      <c r="V112" s="108"/>
    </row>
    <row r="113" ht="15.75" customHeight="1">
      <c r="A113" s="91"/>
      <c r="B113" s="171"/>
      <c r="C113" s="108"/>
      <c r="D113" s="97"/>
      <c r="E113" s="143"/>
      <c r="F113" s="143"/>
      <c r="G113" s="97"/>
      <c r="H113" s="143"/>
      <c r="I113" s="97"/>
      <c r="J113" s="97"/>
      <c r="K113" s="101"/>
      <c r="L113" s="101"/>
      <c r="M113" s="102"/>
      <c r="N113" s="124"/>
      <c r="O113" s="125"/>
      <c r="P113" s="97"/>
      <c r="Q113" s="97"/>
      <c r="R113" s="126"/>
      <c r="S113" s="97"/>
      <c r="T113" s="97"/>
      <c r="V113" s="108"/>
    </row>
    <row r="114" ht="15.75" customHeight="1">
      <c r="A114" s="91"/>
      <c r="B114" s="171"/>
      <c r="C114" s="108"/>
      <c r="D114" s="97"/>
      <c r="E114" s="143"/>
      <c r="F114" s="143"/>
      <c r="G114" s="97"/>
      <c r="H114" s="143"/>
      <c r="I114" s="97"/>
      <c r="J114" s="97"/>
      <c r="K114" s="114"/>
      <c r="L114" s="114"/>
      <c r="M114" s="102"/>
      <c r="N114" s="124"/>
      <c r="O114" s="125"/>
      <c r="P114" s="97"/>
      <c r="Q114" s="97"/>
      <c r="R114" s="126"/>
      <c r="S114" s="97"/>
      <c r="T114" s="97"/>
      <c r="V114" s="108"/>
    </row>
    <row r="115" ht="15.75" customHeight="1">
      <c r="A115" s="91"/>
      <c r="B115" s="171"/>
      <c r="C115" s="143"/>
      <c r="D115" s="97"/>
      <c r="E115" s="143"/>
      <c r="F115" s="143"/>
      <c r="G115" s="97"/>
      <c r="H115" s="143"/>
      <c r="I115" s="97"/>
      <c r="J115" s="97"/>
      <c r="K115" s="101"/>
      <c r="L115" s="101"/>
      <c r="M115" s="102"/>
      <c r="N115" s="124"/>
      <c r="O115" s="125"/>
      <c r="P115" s="97"/>
      <c r="Q115" s="97"/>
      <c r="R115" s="126"/>
      <c r="S115" s="97"/>
      <c r="T115" s="97"/>
      <c r="V115" s="108"/>
    </row>
    <row r="116" ht="15.75" customHeight="1">
      <c r="A116" s="91"/>
      <c r="B116" s="171"/>
      <c r="C116" s="143"/>
      <c r="D116" s="97"/>
      <c r="E116" s="143"/>
      <c r="F116" s="143"/>
      <c r="G116" s="97"/>
      <c r="H116" s="143"/>
      <c r="I116" s="97"/>
      <c r="J116" s="97"/>
      <c r="K116" s="114"/>
      <c r="L116" s="114"/>
      <c r="M116" s="102"/>
      <c r="N116" s="124"/>
      <c r="O116" s="125"/>
      <c r="P116" s="97"/>
      <c r="Q116" s="97"/>
      <c r="R116" s="126"/>
      <c r="S116" s="97"/>
      <c r="T116" s="97"/>
      <c r="V116" s="108"/>
    </row>
    <row r="117" ht="15.75" customHeight="1">
      <c r="A117" s="91"/>
      <c r="B117" s="171"/>
      <c r="C117" s="143"/>
      <c r="D117" s="97"/>
      <c r="E117" s="143"/>
      <c r="F117" s="143"/>
      <c r="G117" s="97"/>
      <c r="H117" s="143"/>
      <c r="I117" s="97"/>
      <c r="J117" s="97"/>
      <c r="K117" s="101"/>
      <c r="L117" s="101"/>
      <c r="M117" s="102"/>
      <c r="N117" s="124"/>
      <c r="O117" s="125"/>
      <c r="P117" s="97"/>
      <c r="Q117" s="97"/>
      <c r="R117" s="126"/>
      <c r="S117" s="97"/>
      <c r="T117" s="97"/>
      <c r="V117" s="108"/>
    </row>
    <row r="118" ht="15.75" customHeight="1">
      <c r="A118" s="91"/>
      <c r="B118" s="171"/>
      <c r="C118" s="143"/>
      <c r="D118" s="97"/>
      <c r="E118" s="143"/>
      <c r="F118" s="143"/>
      <c r="G118" s="97"/>
      <c r="H118" s="143"/>
      <c r="I118" s="97"/>
      <c r="J118" s="97"/>
      <c r="K118" s="114"/>
      <c r="L118" s="114"/>
      <c r="M118" s="102"/>
      <c r="N118" s="124"/>
      <c r="O118" s="125"/>
      <c r="P118" s="97"/>
      <c r="Q118" s="97"/>
      <c r="R118" s="126"/>
      <c r="S118" s="97"/>
      <c r="T118" s="97"/>
      <c r="V118" s="108"/>
    </row>
    <row r="119" ht="15.75" customHeight="1">
      <c r="A119" s="91"/>
      <c r="B119" s="171"/>
      <c r="C119" s="143"/>
      <c r="D119" s="97"/>
      <c r="E119" s="143"/>
      <c r="F119" s="143"/>
      <c r="G119" s="97"/>
      <c r="H119" s="143"/>
      <c r="I119" s="97"/>
      <c r="J119" s="97"/>
      <c r="K119" s="101"/>
      <c r="L119" s="101"/>
      <c r="M119" s="102"/>
      <c r="N119" s="124"/>
      <c r="O119" s="125"/>
      <c r="P119" s="97"/>
      <c r="Q119" s="131"/>
      <c r="R119" s="126"/>
      <c r="S119" s="97"/>
      <c r="T119" s="97"/>
      <c r="V119" s="108"/>
    </row>
    <row r="120" ht="15.75" customHeight="1">
      <c r="A120" s="91"/>
      <c r="B120" s="171"/>
      <c r="C120" s="108"/>
      <c r="D120" s="97"/>
      <c r="E120" s="143"/>
      <c r="F120" s="143"/>
      <c r="G120" s="97"/>
      <c r="H120" s="143"/>
      <c r="I120" s="97"/>
      <c r="J120" s="97"/>
      <c r="K120" s="114"/>
      <c r="L120" s="114"/>
      <c r="M120" s="102"/>
      <c r="N120" s="124"/>
      <c r="O120" s="125"/>
      <c r="P120" s="97"/>
      <c r="Q120" s="97"/>
      <c r="R120" s="126"/>
      <c r="S120" s="97"/>
      <c r="T120" s="97"/>
      <c r="V120" s="108"/>
    </row>
    <row r="121" ht="15.75" customHeight="1">
      <c r="A121" s="91"/>
      <c r="B121" s="171"/>
      <c r="C121" s="108"/>
      <c r="D121" s="97"/>
      <c r="E121" s="143"/>
      <c r="F121" s="143"/>
      <c r="G121" s="97"/>
      <c r="H121" s="143"/>
      <c r="I121" s="97"/>
      <c r="J121" s="97"/>
      <c r="K121" s="101"/>
      <c r="L121" s="101"/>
      <c r="M121" s="102"/>
      <c r="N121" s="124"/>
      <c r="O121" s="125"/>
      <c r="P121" s="97"/>
      <c r="Q121" s="97"/>
      <c r="R121" s="126"/>
      <c r="S121" s="97"/>
      <c r="T121" s="97"/>
      <c r="V121" s="108"/>
    </row>
    <row r="122" ht="15.75" customHeight="1">
      <c r="A122" s="91"/>
      <c r="B122" s="171"/>
      <c r="C122" s="108"/>
      <c r="D122" s="97"/>
      <c r="E122" s="143"/>
      <c r="F122" s="143"/>
      <c r="G122" s="97"/>
      <c r="H122" s="143"/>
      <c r="I122" s="97"/>
      <c r="J122" s="97"/>
      <c r="K122" s="114"/>
      <c r="L122" s="114"/>
      <c r="M122" s="102"/>
      <c r="N122" s="124"/>
      <c r="O122" s="125"/>
      <c r="P122" s="97"/>
      <c r="Q122" s="131"/>
      <c r="R122" s="126"/>
      <c r="S122" s="97"/>
      <c r="T122" s="97"/>
      <c r="V122" s="108"/>
    </row>
    <row r="123" ht="15.75" customHeight="1">
      <c r="A123" s="91"/>
      <c r="B123" s="171"/>
      <c r="C123" s="143"/>
      <c r="D123" s="97"/>
      <c r="E123" s="143"/>
      <c r="F123" s="143"/>
      <c r="G123" s="97"/>
      <c r="H123" s="143"/>
      <c r="I123" s="97"/>
      <c r="J123" s="97"/>
      <c r="K123" s="101"/>
      <c r="L123" s="101"/>
      <c r="M123" s="102"/>
      <c r="N123" s="124"/>
      <c r="O123" s="125"/>
      <c r="P123" s="97"/>
      <c r="Q123" s="131"/>
      <c r="R123" s="126"/>
      <c r="S123" s="97"/>
      <c r="T123" s="97"/>
      <c r="V123" s="108"/>
    </row>
    <row r="124" ht="15.75" customHeight="1">
      <c r="A124" s="91"/>
      <c r="B124" s="171"/>
      <c r="C124" s="143"/>
      <c r="D124" s="97"/>
      <c r="E124" s="143"/>
      <c r="F124" s="143"/>
      <c r="G124" s="97"/>
      <c r="H124" s="143"/>
      <c r="I124" s="97"/>
      <c r="J124" s="97"/>
      <c r="K124" s="114"/>
      <c r="L124" s="114"/>
      <c r="M124" s="102"/>
      <c r="N124" s="124"/>
      <c r="O124" s="125"/>
      <c r="P124" s="97"/>
      <c r="Q124" s="131"/>
      <c r="R124" s="126"/>
      <c r="S124" s="97"/>
      <c r="T124" s="97"/>
      <c r="V124" s="108"/>
    </row>
    <row r="125" ht="15.75" customHeight="1">
      <c r="A125" s="91"/>
      <c r="B125" s="171"/>
      <c r="C125" s="143"/>
      <c r="D125" s="97"/>
      <c r="E125" s="143"/>
      <c r="F125" s="143"/>
      <c r="G125" s="97"/>
      <c r="H125" s="143"/>
      <c r="I125" s="97"/>
      <c r="J125" s="97"/>
      <c r="K125" s="101"/>
      <c r="L125" s="101"/>
      <c r="M125" s="102"/>
      <c r="N125" s="124"/>
      <c r="O125" s="125"/>
      <c r="P125" s="97"/>
      <c r="Q125" s="131"/>
      <c r="R125" s="126"/>
      <c r="S125" s="97"/>
      <c r="T125" s="97"/>
      <c r="V125" s="108"/>
    </row>
    <row r="126" ht="15.75" customHeight="1">
      <c r="A126" s="91"/>
      <c r="B126" s="171"/>
      <c r="C126" s="143"/>
      <c r="D126" s="97"/>
      <c r="E126" s="143"/>
      <c r="F126" s="143"/>
      <c r="G126" s="97"/>
      <c r="H126" s="143"/>
      <c r="I126" s="97"/>
      <c r="J126" s="97"/>
      <c r="K126" s="114"/>
      <c r="L126" s="114"/>
      <c r="M126" s="102"/>
      <c r="N126" s="124"/>
      <c r="O126" s="125"/>
      <c r="P126" s="97"/>
      <c r="Q126" s="131"/>
      <c r="R126" s="126"/>
      <c r="S126" s="97"/>
      <c r="T126" s="97"/>
      <c r="V126" s="108"/>
    </row>
    <row r="127" ht="15.75" customHeight="1">
      <c r="A127" s="91"/>
      <c r="B127" s="171"/>
      <c r="C127" s="143"/>
      <c r="D127" s="97"/>
      <c r="E127" s="143"/>
      <c r="F127" s="143"/>
      <c r="G127" s="97"/>
      <c r="H127" s="143"/>
      <c r="I127" s="97"/>
      <c r="J127" s="97"/>
      <c r="K127" s="101"/>
      <c r="L127" s="101"/>
      <c r="M127" s="102"/>
      <c r="N127" s="124"/>
      <c r="O127" s="125"/>
      <c r="P127" s="97"/>
      <c r="Q127" s="131"/>
      <c r="R127" s="126"/>
      <c r="S127" s="97"/>
      <c r="T127" s="97"/>
      <c r="V127" s="108"/>
    </row>
    <row r="128" ht="15.75" customHeight="1">
      <c r="A128" s="91"/>
      <c r="B128" s="171"/>
      <c r="C128" s="108"/>
      <c r="D128" s="97"/>
      <c r="E128" s="143"/>
      <c r="F128" s="143"/>
      <c r="G128" s="97"/>
      <c r="H128" s="143"/>
      <c r="I128" s="97"/>
      <c r="J128" s="97"/>
      <c r="K128" s="114"/>
      <c r="L128" s="114"/>
      <c r="M128" s="102"/>
      <c r="N128" s="124"/>
      <c r="O128" s="125"/>
      <c r="P128" s="97"/>
      <c r="Q128" s="97"/>
      <c r="R128" s="126"/>
      <c r="S128" s="97"/>
      <c r="T128" s="97"/>
      <c r="V128" s="108"/>
    </row>
    <row r="129" ht="15.75" customHeight="1">
      <c r="A129" s="91"/>
      <c r="B129" s="171"/>
      <c r="C129" s="108"/>
      <c r="D129" s="97"/>
      <c r="E129" s="143"/>
      <c r="F129" s="143"/>
      <c r="G129" s="97"/>
      <c r="H129" s="143"/>
      <c r="I129" s="97"/>
      <c r="J129" s="97"/>
      <c r="K129" s="101"/>
      <c r="L129" s="101"/>
      <c r="M129" s="102"/>
      <c r="N129" s="124"/>
      <c r="O129" s="125"/>
      <c r="P129" s="97"/>
      <c r="Q129" s="131"/>
      <c r="R129" s="126"/>
      <c r="S129" s="97"/>
      <c r="T129" s="97"/>
      <c r="V129" s="108"/>
    </row>
    <row r="130" ht="15.75" customHeight="1">
      <c r="A130" s="91"/>
      <c r="B130" s="171"/>
      <c r="C130" s="108"/>
      <c r="D130" s="97"/>
      <c r="E130" s="143"/>
      <c r="F130" s="143"/>
      <c r="G130" s="97"/>
      <c r="H130" s="143"/>
      <c r="I130" s="97"/>
      <c r="J130" s="97"/>
      <c r="K130" s="114"/>
      <c r="L130" s="114"/>
      <c r="M130" s="102"/>
      <c r="N130" s="124"/>
      <c r="O130" s="125"/>
      <c r="P130" s="97"/>
      <c r="Q130" s="97"/>
      <c r="R130" s="126"/>
      <c r="S130" s="97"/>
      <c r="T130" s="97"/>
      <c r="V130" s="108"/>
    </row>
    <row r="131" ht="15.75" customHeight="1">
      <c r="A131" s="91"/>
      <c r="B131" s="171"/>
      <c r="C131" s="143"/>
      <c r="D131" s="97"/>
      <c r="E131" s="143"/>
      <c r="F131" s="143"/>
      <c r="G131" s="97"/>
      <c r="H131" s="143"/>
      <c r="I131" s="97"/>
      <c r="J131" s="97"/>
      <c r="K131" s="101"/>
      <c r="L131" s="101"/>
      <c r="M131" s="102"/>
      <c r="N131" s="124"/>
      <c r="O131" s="125"/>
      <c r="P131" s="97"/>
      <c r="Q131" s="97"/>
      <c r="R131" s="126"/>
      <c r="S131" s="97"/>
      <c r="T131" s="97"/>
      <c r="V131" s="108"/>
    </row>
    <row r="132" ht="15.75" customHeight="1">
      <c r="A132" s="91"/>
      <c r="B132" s="171"/>
      <c r="C132" s="143"/>
      <c r="D132" s="97"/>
      <c r="E132" s="143"/>
      <c r="F132" s="143"/>
      <c r="G132" s="97"/>
      <c r="H132" s="143"/>
      <c r="I132" s="97"/>
      <c r="J132" s="97"/>
      <c r="K132" s="114"/>
      <c r="L132" s="114"/>
      <c r="M132" s="102"/>
      <c r="N132" s="124"/>
      <c r="O132" s="125"/>
      <c r="P132" s="97"/>
      <c r="Q132" s="131"/>
      <c r="R132" s="126"/>
      <c r="S132" s="97"/>
      <c r="T132" s="97"/>
      <c r="V132" s="108"/>
    </row>
    <row r="133" ht="15.75" customHeight="1">
      <c r="A133" s="91"/>
      <c r="B133" s="171"/>
      <c r="C133" s="143"/>
      <c r="D133" s="97"/>
      <c r="E133" s="143"/>
      <c r="F133" s="143"/>
      <c r="G133" s="97"/>
      <c r="H133" s="143"/>
      <c r="I133" s="97"/>
      <c r="J133" s="97"/>
      <c r="K133" s="101"/>
      <c r="L133" s="101"/>
      <c r="M133" s="102"/>
      <c r="N133" s="124"/>
      <c r="O133" s="125"/>
      <c r="P133" s="97"/>
      <c r="Q133" s="97"/>
      <c r="R133" s="126"/>
      <c r="S133" s="97"/>
      <c r="T133" s="97"/>
      <c r="V133" s="108"/>
    </row>
    <row r="134" ht="15.75" customHeight="1">
      <c r="A134" s="91"/>
      <c r="B134" s="171"/>
      <c r="C134" s="143"/>
      <c r="D134" s="97"/>
      <c r="E134" s="143"/>
      <c r="F134" s="143"/>
      <c r="G134" s="97"/>
      <c r="H134" s="143"/>
      <c r="I134" s="97"/>
      <c r="J134" s="97"/>
      <c r="K134" s="114"/>
      <c r="L134" s="114"/>
      <c r="M134" s="102"/>
      <c r="N134" s="124"/>
      <c r="O134" s="125"/>
      <c r="P134" s="97"/>
      <c r="Q134" s="97"/>
      <c r="R134" s="126"/>
      <c r="S134" s="97"/>
      <c r="T134" s="97"/>
      <c r="V134" s="108"/>
    </row>
    <row r="135" ht="15.75" customHeight="1">
      <c r="A135" s="91"/>
      <c r="B135" s="171"/>
      <c r="C135" s="143"/>
      <c r="D135" s="97"/>
      <c r="E135" s="143"/>
      <c r="F135" s="143"/>
      <c r="G135" s="97"/>
      <c r="H135" s="143"/>
      <c r="I135" s="97"/>
      <c r="J135" s="97"/>
      <c r="K135" s="101"/>
      <c r="L135" s="101"/>
      <c r="M135" s="102"/>
      <c r="N135" s="124"/>
      <c r="O135" s="125"/>
      <c r="P135" s="97"/>
      <c r="Q135" s="131"/>
      <c r="R135" s="126"/>
      <c r="S135" s="97"/>
      <c r="T135" s="97"/>
      <c r="V135" s="108"/>
    </row>
    <row r="136" ht="15.75" customHeight="1">
      <c r="A136" s="91"/>
      <c r="B136" s="171"/>
      <c r="C136" s="108"/>
      <c r="D136" s="97"/>
      <c r="E136" s="143"/>
      <c r="F136" s="143"/>
      <c r="G136" s="97"/>
      <c r="H136" s="143"/>
      <c r="I136" s="97"/>
      <c r="J136" s="97"/>
      <c r="K136" s="114"/>
      <c r="L136" s="114"/>
      <c r="M136" s="102"/>
      <c r="N136" s="124"/>
      <c r="O136" s="125"/>
      <c r="P136" s="97"/>
      <c r="Q136" s="97"/>
      <c r="R136" s="126"/>
      <c r="S136" s="97"/>
      <c r="T136" s="97"/>
      <c r="V136" s="108"/>
    </row>
    <row r="137" ht="15.75" customHeight="1">
      <c r="A137" s="91"/>
      <c r="B137" s="171"/>
      <c r="C137" s="108"/>
      <c r="D137" s="97"/>
      <c r="E137" s="143"/>
      <c r="F137" s="143"/>
      <c r="G137" s="97"/>
      <c r="H137" s="143"/>
      <c r="I137" s="97"/>
      <c r="J137" s="97"/>
      <c r="K137" s="101"/>
      <c r="L137" s="101"/>
      <c r="M137" s="102"/>
      <c r="N137" s="124"/>
      <c r="O137" s="125"/>
      <c r="P137" s="97"/>
      <c r="Q137" s="131"/>
      <c r="R137" s="126"/>
      <c r="S137" s="97"/>
      <c r="T137" s="97"/>
      <c r="V137" s="108"/>
    </row>
    <row r="138" ht="15.75" customHeight="1">
      <c r="A138" s="91"/>
      <c r="B138" s="171"/>
      <c r="C138" s="108"/>
      <c r="D138" s="97"/>
      <c r="E138" s="143"/>
      <c r="F138" s="143"/>
      <c r="G138" s="97"/>
      <c r="H138" s="143"/>
      <c r="I138" s="97"/>
      <c r="J138" s="97"/>
      <c r="K138" s="114"/>
      <c r="L138" s="114"/>
      <c r="M138" s="102"/>
      <c r="N138" s="124"/>
      <c r="O138" s="125"/>
      <c r="P138" s="97"/>
      <c r="Q138" s="131"/>
      <c r="R138" s="126"/>
      <c r="S138" s="97"/>
      <c r="T138" s="97"/>
      <c r="V138" s="108"/>
    </row>
    <row r="139" ht="15.75" customHeight="1">
      <c r="A139" s="91"/>
      <c r="B139" s="171"/>
      <c r="C139" s="143"/>
      <c r="D139" s="97"/>
      <c r="E139" s="143"/>
      <c r="F139" s="143"/>
      <c r="G139" s="97"/>
      <c r="H139" s="143"/>
      <c r="I139" s="97"/>
      <c r="J139" s="97"/>
      <c r="K139" s="101"/>
      <c r="L139" s="101"/>
      <c r="M139" s="102"/>
      <c r="N139" s="124"/>
      <c r="O139" s="125"/>
      <c r="P139" s="97"/>
      <c r="Q139" s="131"/>
      <c r="R139" s="126"/>
      <c r="S139" s="97"/>
      <c r="T139" s="97"/>
      <c r="V139" s="108"/>
    </row>
    <row r="140" ht="15.75" customHeight="1">
      <c r="A140" s="91"/>
      <c r="B140" s="171"/>
      <c r="C140" s="143"/>
      <c r="D140" s="97"/>
      <c r="E140" s="143"/>
      <c r="F140" s="143"/>
      <c r="G140" s="97"/>
      <c r="H140" s="143"/>
      <c r="I140" s="97"/>
      <c r="J140" s="97"/>
      <c r="K140" s="114"/>
      <c r="L140" s="114"/>
      <c r="M140" s="102"/>
      <c r="N140" s="124"/>
      <c r="O140" s="125"/>
      <c r="P140" s="97"/>
      <c r="Q140" s="97"/>
      <c r="R140" s="126"/>
      <c r="S140" s="97"/>
      <c r="T140" s="97"/>
      <c r="V140" s="108"/>
    </row>
    <row r="141" ht="15.75" customHeight="1">
      <c r="A141" s="91"/>
      <c r="B141" s="171"/>
      <c r="C141" s="143"/>
      <c r="D141" s="97"/>
      <c r="E141" s="143"/>
      <c r="F141" s="143"/>
      <c r="G141" s="97"/>
      <c r="H141" s="143"/>
      <c r="I141" s="97"/>
      <c r="J141" s="97"/>
      <c r="K141" s="101"/>
      <c r="L141" s="101"/>
      <c r="M141" s="102"/>
      <c r="N141" s="124"/>
      <c r="O141" s="125"/>
      <c r="P141" s="97"/>
      <c r="Q141" s="131"/>
      <c r="R141" s="126"/>
      <c r="S141" s="97"/>
      <c r="T141" s="97"/>
      <c r="V141" s="108"/>
    </row>
    <row r="142" ht="15.75" customHeight="1">
      <c r="A142" s="91"/>
      <c r="B142" s="171"/>
      <c r="C142" s="143"/>
      <c r="D142" s="97"/>
      <c r="E142" s="143"/>
      <c r="F142" s="143"/>
      <c r="G142" s="97"/>
      <c r="H142" s="143"/>
      <c r="I142" s="97"/>
      <c r="J142" s="97"/>
      <c r="K142" s="114"/>
      <c r="L142" s="114"/>
      <c r="M142" s="102"/>
      <c r="N142" s="124"/>
      <c r="O142" s="125"/>
      <c r="P142" s="97"/>
      <c r="Q142" s="97"/>
      <c r="R142" s="126"/>
      <c r="S142" s="97"/>
      <c r="T142" s="97"/>
      <c r="V142" s="108"/>
    </row>
    <row r="143" ht="15.75" customHeight="1">
      <c r="A143" s="91"/>
      <c r="B143" s="171"/>
      <c r="C143" s="143"/>
      <c r="D143" s="97"/>
      <c r="E143" s="143"/>
      <c r="F143" s="172"/>
      <c r="G143" s="97"/>
      <c r="H143" s="143"/>
      <c r="I143" s="97"/>
      <c r="J143" s="97"/>
      <c r="K143" s="101"/>
      <c r="L143" s="101"/>
      <c r="M143" s="102"/>
      <c r="N143" s="124"/>
      <c r="O143" s="125"/>
      <c r="P143" s="97"/>
      <c r="Q143" s="131"/>
      <c r="R143" s="126"/>
      <c r="S143" s="97"/>
      <c r="T143" s="97"/>
      <c r="V143" s="108"/>
    </row>
    <row r="144" ht="15.75" customHeight="1">
      <c r="A144" s="91"/>
      <c r="B144" s="171"/>
      <c r="C144" s="108"/>
      <c r="D144" s="97"/>
      <c r="E144" s="143"/>
      <c r="F144" s="143"/>
      <c r="G144" s="97"/>
      <c r="H144" s="143"/>
      <c r="I144" s="97"/>
      <c r="J144" s="97"/>
      <c r="K144" s="114"/>
      <c r="L144" s="114"/>
      <c r="M144" s="102"/>
      <c r="N144" s="124"/>
      <c r="O144" s="125"/>
      <c r="P144" s="97"/>
      <c r="Q144" s="97"/>
      <c r="R144" s="126"/>
      <c r="S144" s="97"/>
      <c r="T144" s="97"/>
      <c r="V144" s="108"/>
    </row>
    <row r="145" ht="15.75" customHeight="1">
      <c r="A145" s="91"/>
      <c r="B145" s="171"/>
      <c r="C145" s="108"/>
      <c r="D145" s="97"/>
      <c r="E145" s="143"/>
      <c r="F145" s="143"/>
      <c r="G145" s="97"/>
      <c r="H145" s="143"/>
      <c r="I145" s="97"/>
      <c r="J145" s="97"/>
      <c r="K145" s="101"/>
      <c r="L145" s="101"/>
      <c r="M145" s="102"/>
      <c r="N145" s="124"/>
      <c r="O145" s="125"/>
      <c r="P145" s="97"/>
      <c r="Q145" s="131"/>
      <c r="R145" s="126"/>
      <c r="S145" s="97"/>
      <c r="T145" s="97"/>
      <c r="V145" s="108"/>
    </row>
    <row r="146" ht="15.75" customHeight="1">
      <c r="A146" s="91"/>
      <c r="B146" s="171"/>
      <c r="C146" s="143"/>
      <c r="D146" s="97"/>
      <c r="E146" s="143"/>
      <c r="F146" s="143"/>
      <c r="G146" s="97"/>
      <c r="H146" s="143"/>
      <c r="I146" s="97"/>
      <c r="J146" s="97"/>
      <c r="K146" s="114"/>
      <c r="L146" s="114"/>
      <c r="M146" s="102"/>
      <c r="N146" s="124"/>
      <c r="O146" s="125"/>
      <c r="P146" s="97"/>
      <c r="Q146" s="131"/>
      <c r="R146" s="126"/>
      <c r="S146" s="97"/>
      <c r="T146" s="97"/>
      <c r="V146" s="108"/>
    </row>
    <row r="147" ht="15.75" customHeight="1">
      <c r="A147" s="91"/>
      <c r="B147" s="171"/>
      <c r="C147" s="143"/>
      <c r="D147" s="97"/>
      <c r="E147" s="143"/>
      <c r="F147" s="143"/>
      <c r="G147" s="97"/>
      <c r="H147" s="143"/>
      <c r="I147" s="97"/>
      <c r="J147" s="97"/>
      <c r="K147" s="101"/>
      <c r="L147" s="101"/>
      <c r="M147" s="102"/>
      <c r="N147" s="124"/>
      <c r="O147" s="125"/>
      <c r="P147" s="97"/>
      <c r="Q147" s="131"/>
      <c r="R147" s="126"/>
      <c r="S147" s="97"/>
      <c r="T147" s="97"/>
      <c r="V147" s="108"/>
    </row>
    <row r="148" ht="15.75" customHeight="1">
      <c r="A148" s="91"/>
      <c r="B148" s="171"/>
      <c r="C148" s="143"/>
      <c r="D148" s="97"/>
      <c r="E148" s="143"/>
      <c r="F148" s="143"/>
      <c r="G148" s="97"/>
      <c r="H148" s="143"/>
      <c r="I148" s="97"/>
      <c r="J148" s="97"/>
      <c r="K148" s="114"/>
      <c r="L148" s="114"/>
      <c r="M148" s="102"/>
      <c r="N148" s="124"/>
      <c r="O148" s="125"/>
      <c r="P148" s="97"/>
      <c r="Q148" s="131"/>
      <c r="R148" s="126"/>
      <c r="S148" s="97"/>
      <c r="T148" s="97"/>
      <c r="V148" s="108"/>
    </row>
    <row r="149" ht="15.75" customHeight="1">
      <c r="A149" s="91"/>
      <c r="B149" s="171"/>
      <c r="C149" s="143"/>
      <c r="D149" s="97"/>
      <c r="E149" s="143"/>
      <c r="F149" s="143"/>
      <c r="G149" s="97"/>
      <c r="H149" s="143"/>
      <c r="I149" s="97"/>
      <c r="J149" s="97"/>
      <c r="K149" s="101"/>
      <c r="L149" s="101"/>
      <c r="M149" s="102"/>
      <c r="N149" s="124"/>
      <c r="O149" s="125"/>
      <c r="P149" s="97"/>
      <c r="Q149" s="131"/>
      <c r="R149" s="126"/>
      <c r="S149" s="97"/>
      <c r="T149" s="97"/>
      <c r="V149" s="108"/>
    </row>
    <row r="150" ht="15.75" customHeight="1">
      <c r="A150" s="91"/>
      <c r="B150" s="171"/>
      <c r="C150" s="143"/>
      <c r="D150" s="97"/>
      <c r="E150" s="143"/>
      <c r="F150" s="143"/>
      <c r="G150" s="97"/>
      <c r="H150" s="143"/>
      <c r="I150" s="97"/>
      <c r="J150" s="97"/>
      <c r="K150" s="114"/>
      <c r="L150" s="114"/>
      <c r="M150" s="102"/>
      <c r="N150" s="124"/>
      <c r="O150" s="125"/>
      <c r="P150" s="97"/>
      <c r="Q150" s="131"/>
      <c r="R150" s="126"/>
      <c r="S150" s="97"/>
      <c r="T150" s="97"/>
      <c r="V150" s="108"/>
    </row>
    <row r="151" ht="15.75" customHeight="1">
      <c r="A151" s="91"/>
      <c r="B151" s="171"/>
      <c r="C151" s="108"/>
      <c r="D151" s="97"/>
      <c r="E151" s="143"/>
      <c r="F151" s="143"/>
      <c r="G151" s="97"/>
      <c r="H151" s="143"/>
      <c r="I151" s="97"/>
      <c r="J151" s="97"/>
      <c r="K151" s="101"/>
      <c r="L151" s="101"/>
      <c r="M151" s="102"/>
      <c r="N151" s="124"/>
      <c r="O151" s="125"/>
      <c r="P151" s="97"/>
      <c r="Q151" s="131"/>
      <c r="R151" s="126"/>
      <c r="S151" s="97"/>
      <c r="T151" s="97"/>
      <c r="V151" s="108"/>
    </row>
    <row r="152" ht="15.75" customHeight="1">
      <c r="A152" s="91"/>
      <c r="B152" s="171"/>
      <c r="C152" s="143"/>
      <c r="D152" s="97"/>
      <c r="E152" s="143"/>
      <c r="F152" s="143"/>
      <c r="G152" s="97"/>
      <c r="H152" s="143"/>
      <c r="I152" s="97"/>
      <c r="J152" s="97"/>
      <c r="K152" s="114"/>
      <c r="L152" s="114"/>
      <c r="M152" s="102"/>
      <c r="N152" s="124"/>
      <c r="O152" s="125"/>
      <c r="P152" s="97"/>
      <c r="Q152" s="131"/>
      <c r="R152" s="126"/>
      <c r="S152" s="97"/>
      <c r="T152" s="97"/>
      <c r="V152" s="108"/>
    </row>
    <row r="153" ht="15.75" customHeight="1">
      <c r="A153" s="91"/>
      <c r="B153" s="171"/>
      <c r="C153" s="143"/>
      <c r="D153" s="97"/>
      <c r="E153" s="143"/>
      <c r="F153" s="143"/>
      <c r="G153" s="97"/>
      <c r="H153" s="143"/>
      <c r="I153" s="97"/>
      <c r="J153" s="97"/>
      <c r="K153" s="101"/>
      <c r="L153" s="101"/>
      <c r="M153" s="102"/>
      <c r="N153" s="124"/>
      <c r="O153" s="125"/>
      <c r="P153" s="97"/>
      <c r="Q153" s="131"/>
      <c r="R153" s="126"/>
      <c r="S153" s="97"/>
      <c r="T153" s="97"/>
      <c r="V153" s="108"/>
    </row>
    <row r="154" ht="15.75" customHeight="1">
      <c r="A154" s="91"/>
      <c r="B154" s="171"/>
      <c r="C154" s="143"/>
      <c r="D154" s="97"/>
      <c r="E154" s="143"/>
      <c r="F154" s="143"/>
      <c r="G154" s="97"/>
      <c r="H154" s="143"/>
      <c r="I154" s="97"/>
      <c r="J154" s="97"/>
      <c r="K154" s="114"/>
      <c r="L154" s="114"/>
      <c r="M154" s="102"/>
      <c r="N154" s="124"/>
      <c r="O154" s="125"/>
      <c r="P154" s="97"/>
      <c r="Q154" s="131"/>
      <c r="R154" s="126"/>
      <c r="S154" s="97"/>
      <c r="T154" s="97"/>
      <c r="V154" s="108"/>
    </row>
    <row r="155" ht="15.75" customHeight="1">
      <c r="A155" s="91"/>
      <c r="B155" s="171"/>
      <c r="C155" s="143"/>
      <c r="D155" s="97"/>
      <c r="E155" s="143"/>
      <c r="F155" s="143"/>
      <c r="G155" s="97"/>
      <c r="H155" s="143"/>
      <c r="I155" s="97"/>
      <c r="J155" s="97"/>
      <c r="K155" s="101"/>
      <c r="L155" s="101"/>
      <c r="M155" s="102"/>
      <c r="N155" s="124"/>
      <c r="O155" s="125"/>
      <c r="P155" s="97"/>
      <c r="Q155" s="131"/>
      <c r="R155" s="126"/>
      <c r="S155" s="97"/>
      <c r="T155" s="97"/>
      <c r="V155" s="108"/>
    </row>
    <row r="156" ht="15.75" customHeight="1">
      <c r="A156" s="91"/>
      <c r="B156" s="171"/>
      <c r="C156" s="143"/>
      <c r="D156" s="97"/>
      <c r="E156" s="143"/>
      <c r="F156" s="143"/>
      <c r="G156" s="97"/>
      <c r="H156" s="143"/>
      <c r="I156" s="97"/>
      <c r="J156" s="97"/>
      <c r="K156" s="114"/>
      <c r="L156" s="114"/>
      <c r="M156" s="102"/>
      <c r="N156" s="124"/>
      <c r="O156" s="125"/>
      <c r="P156" s="97"/>
      <c r="Q156" s="131"/>
      <c r="R156" s="126"/>
      <c r="S156" s="97"/>
      <c r="T156" s="97"/>
      <c r="V156" s="108"/>
    </row>
    <row r="157" ht="15.75" customHeight="1">
      <c r="A157" s="91"/>
      <c r="B157" s="171"/>
      <c r="C157" s="108"/>
      <c r="D157" s="97"/>
      <c r="E157" s="143"/>
      <c r="F157" s="143"/>
      <c r="G157" s="97"/>
      <c r="H157" s="143"/>
      <c r="I157" s="97"/>
      <c r="J157" s="97"/>
      <c r="K157" s="101"/>
      <c r="L157" s="101"/>
      <c r="M157" s="102"/>
      <c r="N157" s="124"/>
      <c r="O157" s="125"/>
      <c r="P157" s="97"/>
      <c r="Q157" s="131"/>
      <c r="R157" s="126"/>
      <c r="S157" s="97"/>
      <c r="T157" s="97"/>
      <c r="V157" s="108"/>
    </row>
    <row r="158" ht="15.75" customHeight="1">
      <c r="A158" s="91"/>
      <c r="B158" s="171"/>
      <c r="C158" s="143"/>
      <c r="D158" s="97"/>
      <c r="E158" s="143"/>
      <c r="F158" s="143"/>
      <c r="G158" s="97"/>
      <c r="H158" s="143"/>
      <c r="I158" s="97"/>
      <c r="J158" s="97"/>
      <c r="K158" s="114"/>
      <c r="L158" s="114"/>
      <c r="M158" s="102"/>
      <c r="N158" s="124"/>
      <c r="O158" s="125"/>
      <c r="P158" s="97"/>
      <c r="Q158" s="131"/>
      <c r="R158" s="126"/>
      <c r="S158" s="97"/>
      <c r="T158" s="97"/>
      <c r="V158" s="108"/>
    </row>
    <row r="159" ht="15.75" customHeight="1">
      <c r="A159" s="91"/>
      <c r="B159" s="171"/>
      <c r="C159" s="143"/>
      <c r="D159" s="97"/>
      <c r="E159" s="143"/>
      <c r="F159" s="143"/>
      <c r="G159" s="97"/>
      <c r="H159" s="143"/>
      <c r="I159" s="97"/>
      <c r="J159" s="97"/>
      <c r="K159" s="101"/>
      <c r="L159" s="101"/>
      <c r="M159" s="102"/>
      <c r="N159" s="124"/>
      <c r="O159" s="125"/>
      <c r="P159" s="97"/>
      <c r="Q159" s="131"/>
      <c r="R159" s="126"/>
      <c r="S159" s="97"/>
      <c r="T159" s="97"/>
      <c r="V159" s="108"/>
    </row>
    <row r="160" ht="15.75" customHeight="1">
      <c r="A160" s="91"/>
      <c r="B160" s="171"/>
      <c r="C160" s="143"/>
      <c r="D160" s="97"/>
      <c r="E160" s="143"/>
      <c r="F160" s="143"/>
      <c r="G160" s="97"/>
      <c r="H160" s="143"/>
      <c r="I160" s="97"/>
      <c r="J160" s="97"/>
      <c r="K160" s="114"/>
      <c r="L160" s="114"/>
      <c r="M160" s="102"/>
      <c r="N160" s="124"/>
      <c r="O160" s="125"/>
      <c r="P160" s="97"/>
      <c r="Q160" s="131"/>
      <c r="R160" s="126"/>
      <c r="S160" s="97"/>
      <c r="T160" s="97"/>
      <c r="V160" s="108"/>
    </row>
    <row r="161" ht="15.75" customHeight="1">
      <c r="A161" s="91"/>
      <c r="B161" s="171"/>
      <c r="C161" s="143"/>
      <c r="D161" s="97"/>
      <c r="E161" s="143"/>
      <c r="F161" s="143"/>
      <c r="G161" s="97"/>
      <c r="H161" s="143"/>
      <c r="I161" s="97"/>
      <c r="J161" s="97"/>
      <c r="K161" s="101"/>
      <c r="L161" s="101"/>
      <c r="M161" s="102"/>
      <c r="N161" s="124"/>
      <c r="O161" s="125"/>
      <c r="P161" s="97"/>
      <c r="Q161" s="131"/>
      <c r="R161" s="126"/>
      <c r="S161" s="97"/>
      <c r="T161" s="97"/>
      <c r="V161" s="108"/>
    </row>
    <row r="162" ht="15.75" customHeight="1">
      <c r="A162" s="91"/>
      <c r="B162" s="171"/>
      <c r="C162" s="143"/>
      <c r="D162" s="97"/>
      <c r="E162" s="143"/>
      <c r="F162" s="143"/>
      <c r="G162" s="97"/>
      <c r="H162" s="143"/>
      <c r="I162" s="97"/>
      <c r="J162" s="97"/>
      <c r="K162" s="114"/>
      <c r="L162" s="114"/>
      <c r="M162" s="102"/>
      <c r="N162" s="124"/>
      <c r="O162" s="125"/>
      <c r="P162" s="97"/>
      <c r="Q162" s="131"/>
      <c r="R162" s="126"/>
      <c r="S162" s="97"/>
      <c r="T162" s="97"/>
      <c r="V162" s="108"/>
    </row>
    <row r="163" ht="15.75" customHeight="1">
      <c r="A163" s="91"/>
      <c r="B163" s="171"/>
      <c r="C163" s="108"/>
      <c r="D163" s="97"/>
      <c r="E163" s="143"/>
      <c r="F163" s="143"/>
      <c r="G163" s="97"/>
      <c r="H163" s="143"/>
      <c r="I163" s="97"/>
      <c r="J163" s="97"/>
      <c r="K163" s="101"/>
      <c r="L163" s="101"/>
      <c r="M163" s="102"/>
      <c r="N163" s="124"/>
      <c r="O163" s="125"/>
      <c r="P163" s="97"/>
      <c r="Q163" s="131"/>
      <c r="R163" s="126"/>
      <c r="S163" s="97"/>
      <c r="T163" s="97"/>
      <c r="V163" s="108"/>
    </row>
    <row r="164" ht="15.75" customHeight="1">
      <c r="A164" s="91"/>
      <c r="B164" s="171"/>
      <c r="C164" s="143"/>
      <c r="D164" s="97"/>
      <c r="E164" s="143"/>
      <c r="F164" s="143"/>
      <c r="G164" s="97"/>
      <c r="H164" s="143"/>
      <c r="I164" s="97"/>
      <c r="J164" s="97"/>
      <c r="K164" s="114"/>
      <c r="L164" s="114"/>
      <c r="M164" s="102"/>
      <c r="N164" s="124"/>
      <c r="O164" s="125"/>
      <c r="P164" s="97"/>
      <c r="Q164" s="131"/>
      <c r="R164" s="126"/>
      <c r="S164" s="97"/>
      <c r="T164" s="97"/>
      <c r="V164" s="108"/>
    </row>
    <row r="165" ht="15.75" customHeight="1">
      <c r="A165" s="91"/>
      <c r="B165" s="171"/>
      <c r="C165" s="143"/>
      <c r="D165" s="97"/>
      <c r="E165" s="143"/>
      <c r="F165" s="143"/>
      <c r="G165" s="97"/>
      <c r="H165" s="143"/>
      <c r="I165" s="97"/>
      <c r="J165" s="97"/>
      <c r="K165" s="101"/>
      <c r="L165" s="101"/>
      <c r="M165" s="102"/>
      <c r="N165" s="124"/>
      <c r="O165" s="125"/>
      <c r="P165" s="97"/>
      <c r="Q165" s="131"/>
      <c r="R165" s="126"/>
      <c r="S165" s="97"/>
      <c r="T165" s="97"/>
      <c r="V165" s="108"/>
    </row>
    <row r="166" ht="15.75" customHeight="1">
      <c r="A166" s="91"/>
      <c r="B166" s="171"/>
      <c r="C166" s="143"/>
      <c r="D166" s="97"/>
      <c r="E166" s="143"/>
      <c r="F166" s="143"/>
      <c r="G166" s="97"/>
      <c r="H166" s="143"/>
      <c r="I166" s="97"/>
      <c r="J166" s="97"/>
      <c r="K166" s="114"/>
      <c r="L166" s="114"/>
      <c r="M166" s="102"/>
      <c r="N166" s="124"/>
      <c r="O166" s="125"/>
      <c r="P166" s="97"/>
      <c r="Q166" s="131"/>
      <c r="R166" s="126"/>
      <c r="S166" s="97"/>
      <c r="T166" s="97"/>
      <c r="V166" s="108"/>
    </row>
    <row r="167" ht="15.75" customHeight="1">
      <c r="A167" s="91"/>
      <c r="B167" s="171"/>
      <c r="C167" s="143"/>
      <c r="D167" s="97"/>
      <c r="E167" s="143"/>
      <c r="F167" s="143"/>
      <c r="G167" s="97"/>
      <c r="H167" s="143"/>
      <c r="I167" s="97"/>
      <c r="J167" s="97"/>
      <c r="K167" s="101"/>
      <c r="L167" s="101"/>
      <c r="M167" s="102"/>
      <c r="N167" s="124"/>
      <c r="O167" s="125"/>
      <c r="P167" s="97"/>
      <c r="Q167" s="131"/>
      <c r="R167" s="126"/>
      <c r="S167" s="97"/>
      <c r="T167" s="97"/>
      <c r="V167" s="108"/>
    </row>
    <row r="168" ht="15.75" customHeight="1">
      <c r="A168" s="91"/>
      <c r="B168" s="171"/>
      <c r="C168" s="143"/>
      <c r="D168" s="97"/>
      <c r="E168" s="143"/>
      <c r="F168" s="143"/>
      <c r="G168" s="97"/>
      <c r="H168" s="143"/>
      <c r="I168" s="97"/>
      <c r="J168" s="97"/>
      <c r="K168" s="114"/>
      <c r="L168" s="114"/>
      <c r="M168" s="102"/>
      <c r="N168" s="124"/>
      <c r="O168" s="125"/>
      <c r="P168" s="97"/>
      <c r="Q168" s="131"/>
      <c r="R168" s="126"/>
      <c r="S168" s="97"/>
      <c r="T168" s="97"/>
      <c r="V168" s="108"/>
    </row>
    <row r="169" ht="15.75" customHeight="1">
      <c r="A169" s="91"/>
      <c r="B169" s="171"/>
      <c r="C169" s="108"/>
      <c r="D169" s="97"/>
      <c r="E169" s="143"/>
      <c r="F169" s="143"/>
      <c r="G169" s="97"/>
      <c r="H169" s="143"/>
      <c r="I169" s="97"/>
      <c r="J169" s="97"/>
      <c r="K169" s="101"/>
      <c r="L169" s="101"/>
      <c r="M169" s="102"/>
      <c r="N169" s="124"/>
      <c r="O169" s="125"/>
      <c r="P169" s="97"/>
      <c r="Q169" s="131"/>
      <c r="R169" s="126"/>
      <c r="S169" s="97"/>
      <c r="T169" s="97"/>
      <c r="V169" s="108"/>
    </row>
    <row r="170" ht="15.75" customHeight="1">
      <c r="A170" s="91"/>
      <c r="B170" s="171"/>
      <c r="C170" s="143"/>
      <c r="D170" s="97"/>
      <c r="E170" s="143"/>
      <c r="F170" s="143"/>
      <c r="G170" s="97"/>
      <c r="H170" s="143"/>
      <c r="I170" s="97"/>
      <c r="J170" s="97"/>
      <c r="K170" s="114"/>
      <c r="L170" s="114"/>
      <c r="M170" s="102"/>
      <c r="N170" s="124"/>
      <c r="O170" s="125"/>
      <c r="P170" s="97"/>
      <c r="Q170" s="131"/>
      <c r="R170" s="126"/>
      <c r="S170" s="97"/>
      <c r="T170" s="97"/>
      <c r="V170" s="108"/>
    </row>
    <row r="171" ht="15.75" customHeight="1">
      <c r="A171" s="91"/>
      <c r="B171" s="171"/>
      <c r="C171" s="143"/>
      <c r="D171" s="97"/>
      <c r="E171" s="143"/>
      <c r="F171" s="143"/>
      <c r="G171" s="97"/>
      <c r="H171" s="143"/>
      <c r="I171" s="97"/>
      <c r="J171" s="97"/>
      <c r="K171" s="101"/>
      <c r="L171" s="101"/>
      <c r="M171" s="102"/>
      <c r="N171" s="124"/>
      <c r="O171" s="125"/>
      <c r="P171" s="97"/>
      <c r="Q171" s="131"/>
      <c r="R171" s="126"/>
      <c r="S171" s="97"/>
      <c r="T171" s="97"/>
      <c r="V171" s="108"/>
    </row>
    <row r="172" ht="15.75" customHeight="1">
      <c r="A172" s="91"/>
      <c r="B172" s="171"/>
      <c r="C172" s="143"/>
      <c r="D172" s="97"/>
      <c r="E172" s="143"/>
      <c r="F172" s="143"/>
      <c r="G172" s="97"/>
      <c r="H172" s="143"/>
      <c r="I172" s="97"/>
      <c r="J172" s="97"/>
      <c r="K172" s="114"/>
      <c r="L172" s="114"/>
      <c r="M172" s="102"/>
      <c r="N172" s="124"/>
      <c r="O172" s="125"/>
      <c r="P172" s="97"/>
      <c r="Q172" s="131"/>
      <c r="R172" s="126"/>
      <c r="S172" s="97"/>
      <c r="T172" s="97"/>
      <c r="V172" s="108"/>
    </row>
    <row r="173" ht="15.75" customHeight="1">
      <c r="A173" s="91"/>
      <c r="B173" s="171"/>
      <c r="C173" s="143"/>
      <c r="D173" s="97"/>
      <c r="E173" s="143"/>
      <c r="F173" s="143"/>
      <c r="G173" s="97"/>
      <c r="H173" s="143"/>
      <c r="I173" s="97"/>
      <c r="J173" s="97"/>
      <c r="K173" s="101"/>
      <c r="L173" s="101"/>
      <c r="M173" s="102"/>
      <c r="N173" s="124"/>
      <c r="O173" s="125"/>
      <c r="P173" s="97"/>
      <c r="Q173" s="131"/>
      <c r="R173" s="126"/>
      <c r="S173" s="97"/>
      <c r="T173" s="97"/>
      <c r="V173" s="108"/>
    </row>
    <row r="174" ht="15.75" customHeight="1">
      <c r="A174" s="91"/>
      <c r="B174" s="171"/>
      <c r="C174" s="143"/>
      <c r="D174" s="97"/>
      <c r="E174" s="143"/>
      <c r="F174" s="143"/>
      <c r="G174" s="97"/>
      <c r="H174" s="143"/>
      <c r="I174" s="97"/>
      <c r="J174" s="97"/>
      <c r="K174" s="114"/>
      <c r="L174" s="114"/>
      <c r="M174" s="102"/>
      <c r="N174" s="124"/>
      <c r="O174" s="125"/>
      <c r="P174" s="97"/>
      <c r="Q174" s="131"/>
      <c r="R174" s="126"/>
      <c r="S174" s="97"/>
      <c r="T174" s="97"/>
      <c r="V174" s="108"/>
    </row>
    <row r="175" ht="15.75" customHeight="1">
      <c r="A175" s="91"/>
      <c r="B175" s="171"/>
      <c r="C175" s="108"/>
      <c r="D175" s="97"/>
      <c r="E175" s="143"/>
      <c r="F175" s="143"/>
      <c r="G175" s="97"/>
      <c r="H175" s="143"/>
      <c r="I175" s="97"/>
      <c r="J175" s="97"/>
      <c r="K175" s="101"/>
      <c r="L175" s="101"/>
      <c r="M175" s="102"/>
      <c r="N175" s="124"/>
      <c r="O175" s="125"/>
      <c r="P175" s="97"/>
      <c r="Q175" s="131"/>
      <c r="R175" s="126"/>
      <c r="S175" s="97"/>
      <c r="T175" s="97"/>
      <c r="V175" s="108"/>
    </row>
    <row r="176" ht="15.75" customHeight="1">
      <c r="A176" s="91"/>
      <c r="B176" s="171"/>
      <c r="C176" s="143"/>
      <c r="D176" s="97"/>
      <c r="E176" s="143"/>
      <c r="F176" s="143"/>
      <c r="G176" s="97"/>
      <c r="H176" s="143"/>
      <c r="I176" s="97"/>
      <c r="J176" s="97"/>
      <c r="K176" s="114"/>
      <c r="L176" s="114"/>
      <c r="M176" s="102"/>
      <c r="N176" s="124"/>
      <c r="O176" s="125"/>
      <c r="P176" s="97"/>
      <c r="Q176" s="131"/>
      <c r="R176" s="126"/>
      <c r="S176" s="97"/>
      <c r="T176" s="97"/>
      <c r="V176" s="108"/>
    </row>
    <row r="177" ht="15.75" customHeight="1">
      <c r="A177" s="91"/>
      <c r="B177" s="171"/>
      <c r="C177" s="143"/>
      <c r="D177" s="97"/>
      <c r="E177" s="143"/>
      <c r="F177" s="143"/>
      <c r="G177" s="97"/>
      <c r="H177" s="143"/>
      <c r="I177" s="97"/>
      <c r="J177" s="97"/>
      <c r="K177" s="101"/>
      <c r="L177" s="101"/>
      <c r="M177" s="102"/>
      <c r="N177" s="124"/>
      <c r="O177" s="125"/>
      <c r="P177" s="97"/>
      <c r="Q177" s="131"/>
      <c r="R177" s="126"/>
      <c r="S177" s="97"/>
      <c r="T177" s="97"/>
      <c r="V177" s="108"/>
    </row>
    <row r="178" ht="15.75" customHeight="1">
      <c r="A178" s="91"/>
      <c r="B178" s="171"/>
      <c r="C178" s="143"/>
      <c r="D178" s="97"/>
      <c r="E178" s="143"/>
      <c r="F178" s="143"/>
      <c r="G178" s="97"/>
      <c r="H178" s="143"/>
      <c r="I178" s="97"/>
      <c r="J178" s="97"/>
      <c r="K178" s="114"/>
      <c r="L178" s="114"/>
      <c r="M178" s="102"/>
      <c r="N178" s="124"/>
      <c r="O178" s="125"/>
      <c r="P178" s="97"/>
      <c r="Q178" s="131"/>
      <c r="R178" s="126"/>
      <c r="S178" s="97"/>
      <c r="T178" s="97"/>
      <c r="V178" s="108"/>
    </row>
    <row r="179" ht="15.75" customHeight="1">
      <c r="A179" s="91"/>
      <c r="B179" s="171"/>
      <c r="C179" s="143"/>
      <c r="D179" s="97"/>
      <c r="E179" s="143"/>
      <c r="F179" s="143"/>
      <c r="G179" s="97"/>
      <c r="H179" s="143"/>
      <c r="I179" s="97"/>
      <c r="J179" s="97"/>
      <c r="K179" s="101"/>
      <c r="L179" s="101"/>
      <c r="M179" s="102"/>
      <c r="N179" s="124"/>
      <c r="O179" s="125"/>
      <c r="P179" s="97"/>
      <c r="Q179" s="131"/>
      <c r="R179" s="126"/>
      <c r="S179" s="97"/>
      <c r="T179" s="97"/>
      <c r="V179" s="108"/>
    </row>
    <row r="180" ht="15.75" customHeight="1">
      <c r="A180" s="91"/>
      <c r="B180" s="171"/>
      <c r="C180" s="143"/>
      <c r="D180" s="97"/>
      <c r="E180" s="143"/>
      <c r="F180" s="143"/>
      <c r="G180" s="97"/>
      <c r="H180" s="143"/>
      <c r="I180" s="97"/>
      <c r="J180" s="97"/>
      <c r="K180" s="114"/>
      <c r="L180" s="114"/>
      <c r="M180" s="102"/>
      <c r="N180" s="124"/>
      <c r="O180" s="125"/>
      <c r="P180" s="97"/>
      <c r="Q180" s="131"/>
      <c r="R180" s="126"/>
      <c r="S180" s="97"/>
      <c r="T180" s="97"/>
      <c r="V180" s="108"/>
    </row>
    <row r="181" ht="15.75" customHeight="1">
      <c r="A181" s="91"/>
      <c r="B181" s="171"/>
      <c r="C181" s="108"/>
      <c r="D181" s="97"/>
      <c r="E181" s="143"/>
      <c r="F181" s="143"/>
      <c r="G181" s="97"/>
      <c r="H181" s="143"/>
      <c r="I181" s="97"/>
      <c r="J181" s="97"/>
      <c r="K181" s="101"/>
      <c r="L181" s="101"/>
      <c r="M181" s="102"/>
      <c r="N181" s="124"/>
      <c r="O181" s="125"/>
      <c r="P181" s="97"/>
      <c r="Q181" s="131"/>
      <c r="R181" s="126"/>
      <c r="S181" s="97"/>
      <c r="T181" s="97"/>
      <c r="V181" s="108"/>
    </row>
    <row r="182" ht="15.75" customHeight="1">
      <c r="A182" s="91"/>
      <c r="B182" s="171"/>
      <c r="C182" s="143"/>
      <c r="D182" s="97"/>
      <c r="E182" s="143"/>
      <c r="F182" s="143"/>
      <c r="G182" s="97"/>
      <c r="H182" s="143"/>
      <c r="I182" s="97"/>
      <c r="J182" s="97"/>
      <c r="K182" s="114"/>
      <c r="L182" s="114"/>
      <c r="M182" s="102"/>
      <c r="N182" s="124"/>
      <c r="O182" s="125"/>
      <c r="P182" s="97"/>
      <c r="Q182" s="131"/>
      <c r="R182" s="126"/>
      <c r="S182" s="97"/>
      <c r="T182" s="97"/>
      <c r="V182" s="108"/>
    </row>
    <row r="183" ht="15.75" customHeight="1">
      <c r="A183" s="91"/>
      <c r="B183" s="171"/>
      <c r="C183" s="143"/>
      <c r="D183" s="97"/>
      <c r="E183" s="143"/>
      <c r="F183" s="143"/>
      <c r="G183" s="97"/>
      <c r="H183" s="143"/>
      <c r="I183" s="97"/>
      <c r="J183" s="97"/>
      <c r="K183" s="101"/>
      <c r="L183" s="101"/>
      <c r="M183" s="102"/>
      <c r="N183" s="124"/>
      <c r="O183" s="125"/>
      <c r="P183" s="97"/>
      <c r="Q183" s="131"/>
      <c r="R183" s="126"/>
      <c r="S183" s="97"/>
      <c r="T183" s="97"/>
      <c r="V183" s="108"/>
    </row>
    <row r="184" ht="15.75" customHeight="1">
      <c r="A184" s="91"/>
      <c r="B184" s="171"/>
      <c r="C184" s="143"/>
      <c r="D184" s="97"/>
      <c r="E184" s="143"/>
      <c r="F184" s="143"/>
      <c r="G184" s="97"/>
      <c r="H184" s="143"/>
      <c r="I184" s="97"/>
      <c r="J184" s="97"/>
      <c r="K184" s="114"/>
      <c r="L184" s="114"/>
      <c r="M184" s="102"/>
      <c r="N184" s="124"/>
      <c r="O184" s="125"/>
      <c r="P184" s="97"/>
      <c r="Q184" s="131"/>
      <c r="R184" s="126"/>
      <c r="S184" s="97"/>
      <c r="T184" s="97"/>
      <c r="V184" s="108"/>
    </row>
    <row r="185" ht="15.75" customHeight="1">
      <c r="A185" s="91"/>
      <c r="B185" s="171"/>
      <c r="C185" s="143"/>
      <c r="D185" s="97"/>
      <c r="E185" s="143"/>
      <c r="F185" s="143"/>
      <c r="G185" s="97"/>
      <c r="H185" s="143"/>
      <c r="I185" s="97"/>
      <c r="J185" s="97"/>
      <c r="K185" s="101"/>
      <c r="L185" s="101"/>
      <c r="M185" s="102"/>
      <c r="N185" s="124"/>
      <c r="O185" s="125"/>
      <c r="P185" s="97"/>
      <c r="Q185" s="131"/>
      <c r="R185" s="126"/>
      <c r="S185" s="97"/>
      <c r="T185" s="97"/>
      <c r="V185" s="108"/>
    </row>
    <row r="186" ht="15.75" customHeight="1">
      <c r="A186" s="91"/>
      <c r="B186" s="171"/>
      <c r="C186" s="143"/>
      <c r="D186" s="97"/>
      <c r="E186" s="143"/>
      <c r="F186" s="143"/>
      <c r="G186" s="97"/>
      <c r="H186" s="143"/>
      <c r="I186" s="97"/>
      <c r="J186" s="97"/>
      <c r="K186" s="114"/>
      <c r="L186" s="114"/>
      <c r="M186" s="102"/>
      <c r="N186" s="124"/>
      <c r="O186" s="125"/>
      <c r="P186" s="97"/>
      <c r="Q186" s="131"/>
      <c r="R186" s="126"/>
      <c r="S186" s="97"/>
      <c r="T186" s="97"/>
      <c r="V186" s="108"/>
    </row>
    <row r="187" ht="15.75" customHeight="1">
      <c r="A187" s="91"/>
      <c r="B187" s="171"/>
      <c r="C187" s="108"/>
      <c r="D187" s="97"/>
      <c r="E187" s="143"/>
      <c r="F187" s="143"/>
      <c r="G187" s="97"/>
      <c r="H187" s="143"/>
      <c r="I187" s="97"/>
      <c r="J187" s="97"/>
      <c r="K187" s="101"/>
      <c r="L187" s="101"/>
      <c r="M187" s="102"/>
      <c r="N187" s="124"/>
      <c r="O187" s="125"/>
      <c r="P187" s="97"/>
      <c r="Q187" s="131"/>
      <c r="R187" s="126"/>
      <c r="S187" s="97"/>
      <c r="T187" s="97"/>
      <c r="V187" s="108"/>
    </row>
    <row r="188" ht="15.75" customHeight="1">
      <c r="A188" s="91"/>
      <c r="B188" s="171"/>
      <c r="C188" s="143"/>
      <c r="D188" s="97"/>
      <c r="E188" s="143"/>
      <c r="F188" s="143"/>
      <c r="G188" s="97"/>
      <c r="H188" s="143"/>
      <c r="I188" s="97"/>
      <c r="J188" s="97"/>
      <c r="K188" s="114"/>
      <c r="L188" s="114"/>
      <c r="M188" s="102"/>
      <c r="N188" s="124"/>
      <c r="O188" s="125"/>
      <c r="P188" s="97"/>
      <c r="Q188" s="131"/>
      <c r="R188" s="126"/>
      <c r="S188" s="97"/>
      <c r="T188" s="97"/>
      <c r="V188" s="108"/>
    </row>
    <row r="189" ht="15.75" customHeight="1">
      <c r="A189" s="91"/>
      <c r="B189" s="171"/>
      <c r="C189" s="143"/>
      <c r="D189" s="97"/>
      <c r="E189" s="143"/>
      <c r="F189" s="143"/>
      <c r="G189" s="97"/>
      <c r="H189" s="143"/>
      <c r="I189" s="97"/>
      <c r="J189" s="97"/>
      <c r="K189" s="101"/>
      <c r="L189" s="101"/>
      <c r="M189" s="102"/>
      <c r="N189" s="124"/>
      <c r="O189" s="125"/>
      <c r="P189" s="97"/>
      <c r="Q189" s="131"/>
      <c r="R189" s="126"/>
      <c r="S189" s="97"/>
      <c r="T189" s="97"/>
      <c r="V189" s="108"/>
    </row>
    <row r="190" ht="15.75" customHeight="1">
      <c r="A190" s="91"/>
      <c r="B190" s="171"/>
      <c r="C190" s="143"/>
      <c r="D190" s="97"/>
      <c r="E190" s="143"/>
      <c r="F190" s="143"/>
      <c r="G190" s="97"/>
      <c r="H190" s="143"/>
      <c r="I190" s="97"/>
      <c r="J190" s="97"/>
      <c r="K190" s="114"/>
      <c r="L190" s="114"/>
      <c r="M190" s="102"/>
      <c r="N190" s="124"/>
      <c r="O190" s="125"/>
      <c r="P190" s="97"/>
      <c r="Q190" s="131"/>
      <c r="R190" s="126"/>
      <c r="S190" s="97"/>
      <c r="T190" s="97"/>
      <c r="V190" s="108"/>
    </row>
    <row r="191" ht="15.75" customHeight="1">
      <c r="A191" s="91"/>
      <c r="B191" s="171"/>
      <c r="C191" s="143"/>
      <c r="D191" s="97"/>
      <c r="E191" s="143"/>
      <c r="F191" s="143"/>
      <c r="G191" s="97"/>
      <c r="H191" s="143"/>
      <c r="I191" s="97"/>
      <c r="J191" s="97"/>
      <c r="K191" s="101"/>
      <c r="L191" s="101"/>
      <c r="M191" s="102"/>
      <c r="N191" s="124"/>
      <c r="O191" s="125"/>
      <c r="P191" s="97"/>
      <c r="Q191" s="131"/>
      <c r="R191" s="126"/>
      <c r="S191" s="97"/>
      <c r="T191" s="97"/>
      <c r="V191" s="108"/>
    </row>
    <row r="192" ht="15.75" customHeight="1">
      <c r="A192" s="91"/>
      <c r="B192" s="171"/>
      <c r="C192" s="143"/>
      <c r="D192" s="97"/>
      <c r="E192" s="143"/>
      <c r="F192" s="143"/>
      <c r="G192" s="97"/>
      <c r="H192" s="143"/>
      <c r="I192" s="97"/>
      <c r="J192" s="97"/>
      <c r="K192" s="114"/>
      <c r="L192" s="114"/>
      <c r="M192" s="102"/>
      <c r="N192" s="124"/>
      <c r="O192" s="125"/>
      <c r="P192" s="97"/>
      <c r="Q192" s="131"/>
      <c r="R192" s="126"/>
      <c r="S192" s="97"/>
      <c r="T192" s="97"/>
      <c r="V192" s="108"/>
    </row>
    <row r="193" ht="15.75" customHeight="1">
      <c r="A193" s="91"/>
      <c r="B193" s="171"/>
      <c r="C193" s="108"/>
      <c r="D193" s="97"/>
      <c r="E193" s="143"/>
      <c r="F193" s="143"/>
      <c r="G193" s="97"/>
      <c r="H193" s="143"/>
      <c r="I193" s="97"/>
      <c r="J193" s="97"/>
      <c r="K193" s="101"/>
      <c r="L193" s="101"/>
      <c r="M193" s="102"/>
      <c r="N193" s="124"/>
      <c r="O193" s="125"/>
      <c r="P193" s="97"/>
      <c r="Q193" s="131"/>
      <c r="R193" s="126"/>
      <c r="S193" s="97"/>
      <c r="T193" s="97"/>
      <c r="V193" s="108"/>
    </row>
    <row r="194" ht="15.75" customHeight="1">
      <c r="A194" s="91"/>
      <c r="B194" s="171"/>
      <c r="C194" s="143"/>
      <c r="D194" s="97"/>
      <c r="E194" s="143"/>
      <c r="F194" s="143"/>
      <c r="G194" s="97"/>
      <c r="H194" s="143"/>
      <c r="I194" s="97"/>
      <c r="J194" s="97"/>
      <c r="K194" s="114"/>
      <c r="L194" s="114"/>
      <c r="M194" s="102"/>
      <c r="N194" s="124"/>
      <c r="O194" s="125"/>
      <c r="P194" s="97"/>
      <c r="Q194" s="131"/>
      <c r="R194" s="126"/>
      <c r="S194" s="97"/>
      <c r="T194" s="97"/>
      <c r="V194" s="108"/>
    </row>
    <row r="195" ht="15.75" customHeight="1">
      <c r="A195" s="91"/>
      <c r="B195" s="171"/>
      <c r="C195" s="143"/>
      <c r="D195" s="97"/>
      <c r="E195" s="143"/>
      <c r="F195" s="143"/>
      <c r="G195" s="97"/>
      <c r="H195" s="143"/>
      <c r="I195" s="97"/>
      <c r="J195" s="97"/>
      <c r="K195" s="101"/>
      <c r="L195" s="101"/>
      <c r="M195" s="102"/>
      <c r="N195" s="124"/>
      <c r="O195" s="125"/>
      <c r="P195" s="97"/>
      <c r="Q195" s="131"/>
      <c r="R195" s="126"/>
      <c r="S195" s="97"/>
      <c r="T195" s="97"/>
      <c r="V195" s="108"/>
    </row>
    <row r="196" ht="15.75" customHeight="1">
      <c r="A196" s="91"/>
      <c r="B196" s="171"/>
      <c r="C196" s="143"/>
      <c r="D196" s="97"/>
      <c r="E196" s="143"/>
      <c r="F196" s="143"/>
      <c r="G196" s="97"/>
      <c r="H196" s="143"/>
      <c r="I196" s="97"/>
      <c r="J196" s="97"/>
      <c r="K196" s="114"/>
      <c r="L196" s="114"/>
      <c r="M196" s="102"/>
      <c r="N196" s="124"/>
      <c r="O196" s="125"/>
      <c r="P196" s="97"/>
      <c r="Q196" s="131"/>
      <c r="R196" s="126"/>
      <c r="S196" s="97"/>
      <c r="T196" s="97"/>
      <c r="V196" s="108"/>
    </row>
    <row r="197" ht="15.75" customHeight="1">
      <c r="A197" s="91"/>
      <c r="B197" s="171"/>
      <c r="C197" s="143"/>
      <c r="D197" s="97"/>
      <c r="E197" s="143"/>
      <c r="F197" s="143"/>
      <c r="G197" s="97"/>
      <c r="H197" s="143"/>
      <c r="I197" s="97"/>
      <c r="J197" s="97"/>
      <c r="K197" s="101"/>
      <c r="L197" s="101"/>
      <c r="M197" s="102"/>
      <c r="N197" s="124"/>
      <c r="O197" s="125"/>
      <c r="P197" s="97"/>
      <c r="Q197" s="131"/>
      <c r="R197" s="126"/>
      <c r="S197" s="97"/>
      <c r="T197" s="97"/>
      <c r="V197" s="108"/>
    </row>
    <row r="198" ht="15.75" customHeight="1">
      <c r="A198" s="91"/>
      <c r="B198" s="171"/>
      <c r="C198" s="143"/>
      <c r="D198" s="97"/>
      <c r="E198" s="143"/>
      <c r="F198" s="143"/>
      <c r="G198" s="97"/>
      <c r="H198" s="143"/>
      <c r="I198" s="97"/>
      <c r="J198" s="97"/>
      <c r="K198" s="114"/>
      <c r="L198" s="114"/>
      <c r="M198" s="102"/>
      <c r="N198" s="124"/>
      <c r="O198" s="125"/>
      <c r="P198" s="97"/>
      <c r="Q198" s="131"/>
      <c r="R198" s="126"/>
      <c r="S198" s="97"/>
      <c r="T198" s="97"/>
      <c r="V198" s="108"/>
    </row>
    <row r="199" ht="15.75" customHeight="1">
      <c r="A199" s="91"/>
      <c r="B199" s="171"/>
      <c r="C199" s="108"/>
      <c r="D199" s="97"/>
      <c r="E199" s="143"/>
      <c r="F199" s="143"/>
      <c r="G199" s="97"/>
      <c r="H199" s="143"/>
      <c r="I199" s="97"/>
      <c r="J199" s="97"/>
      <c r="K199" s="101"/>
      <c r="L199" s="101"/>
      <c r="M199" s="102"/>
      <c r="N199" s="124"/>
      <c r="O199" s="125"/>
      <c r="P199" s="97"/>
      <c r="Q199" s="131"/>
      <c r="R199" s="126"/>
      <c r="S199" s="97"/>
      <c r="T199" s="97"/>
      <c r="V199" s="108"/>
    </row>
    <row r="200" ht="15.75" customHeight="1">
      <c r="A200" s="91"/>
      <c r="B200" s="171"/>
      <c r="C200" s="143"/>
      <c r="D200" s="97"/>
      <c r="E200" s="143"/>
      <c r="F200" s="143"/>
      <c r="G200" s="97"/>
      <c r="H200" s="143"/>
      <c r="I200" s="97"/>
      <c r="J200" s="97"/>
      <c r="K200" s="114"/>
      <c r="L200" s="114"/>
      <c r="M200" s="102"/>
      <c r="N200" s="124"/>
      <c r="O200" s="125"/>
      <c r="P200" s="97"/>
      <c r="Q200" s="131"/>
      <c r="R200" s="126"/>
      <c r="S200" s="97"/>
      <c r="T200" s="97"/>
      <c r="V200" s="108"/>
    </row>
    <row r="201" ht="15.75" customHeight="1">
      <c r="A201" s="91"/>
      <c r="B201" s="171"/>
      <c r="C201" s="143"/>
      <c r="D201" s="97"/>
      <c r="E201" s="143"/>
      <c r="F201" s="143"/>
      <c r="G201" s="97"/>
      <c r="H201" s="143"/>
      <c r="I201" s="97"/>
      <c r="J201" s="97"/>
      <c r="K201" s="101"/>
      <c r="L201" s="101"/>
      <c r="M201" s="102"/>
      <c r="N201" s="124"/>
      <c r="O201" s="125"/>
      <c r="P201" s="97"/>
      <c r="Q201" s="131"/>
      <c r="R201" s="126"/>
      <c r="S201" s="97"/>
      <c r="T201" s="97"/>
      <c r="V201" s="108"/>
    </row>
    <row r="202" ht="15.75" customHeight="1">
      <c r="A202" s="91"/>
      <c r="B202" s="171"/>
      <c r="C202" s="143"/>
      <c r="D202" s="97"/>
      <c r="E202" s="143"/>
      <c r="F202" s="143"/>
      <c r="G202" s="97"/>
      <c r="H202" s="143"/>
      <c r="I202" s="97"/>
      <c r="J202" s="97"/>
      <c r="K202" s="114"/>
      <c r="L202" s="114"/>
      <c r="M202" s="102"/>
      <c r="N202" s="124"/>
      <c r="O202" s="125"/>
      <c r="P202" s="97"/>
      <c r="Q202" s="131"/>
      <c r="R202" s="126"/>
      <c r="S202" s="97"/>
      <c r="T202" s="97"/>
      <c r="V202" s="108"/>
    </row>
    <row r="203" ht="15.75" customHeight="1">
      <c r="A203" s="91"/>
      <c r="B203" s="171"/>
      <c r="C203" s="143"/>
      <c r="D203" s="97"/>
      <c r="E203" s="143"/>
      <c r="F203" s="143"/>
      <c r="G203" s="97"/>
      <c r="H203" s="143"/>
      <c r="I203" s="97"/>
      <c r="J203" s="97"/>
      <c r="K203" s="101"/>
      <c r="L203" s="101"/>
      <c r="M203" s="102"/>
      <c r="N203" s="124"/>
      <c r="O203" s="125"/>
      <c r="P203" s="97"/>
      <c r="Q203" s="131"/>
      <c r="R203" s="126"/>
      <c r="S203" s="97"/>
      <c r="T203" s="97"/>
      <c r="V203" s="108"/>
    </row>
    <row r="204" ht="15.75" customHeight="1">
      <c r="A204" s="91"/>
      <c r="B204" s="171"/>
      <c r="C204" s="143"/>
      <c r="D204" s="97"/>
      <c r="E204" s="143"/>
      <c r="F204" s="143"/>
      <c r="G204" s="97"/>
      <c r="H204" s="143"/>
      <c r="I204" s="97"/>
      <c r="J204" s="97"/>
      <c r="K204" s="114"/>
      <c r="L204" s="114"/>
      <c r="M204" s="102"/>
      <c r="N204" s="124"/>
      <c r="O204" s="125"/>
      <c r="P204" s="97"/>
      <c r="Q204" s="131"/>
      <c r="R204" s="126"/>
      <c r="S204" s="97"/>
      <c r="T204" s="97"/>
      <c r="V204" s="108"/>
    </row>
    <row r="205" ht="15.75" customHeight="1">
      <c r="A205" s="91"/>
      <c r="B205" s="171"/>
      <c r="C205" s="108"/>
      <c r="D205" s="97"/>
      <c r="E205" s="143"/>
      <c r="F205" s="143"/>
      <c r="G205" s="97"/>
      <c r="H205" s="143"/>
      <c r="I205" s="97"/>
      <c r="J205" s="97"/>
      <c r="K205" s="101"/>
      <c r="L205" s="101"/>
      <c r="M205" s="102"/>
      <c r="N205" s="124"/>
      <c r="O205" s="125"/>
      <c r="P205" s="97"/>
      <c r="Q205" s="131"/>
      <c r="R205" s="126"/>
      <c r="S205" s="97"/>
      <c r="T205" s="97"/>
      <c r="V205" s="108"/>
    </row>
    <row r="206" ht="15.75" customHeight="1">
      <c r="A206" s="91"/>
      <c r="B206" s="171"/>
      <c r="C206" s="143"/>
      <c r="D206" s="97"/>
      <c r="E206" s="143"/>
      <c r="F206" s="143"/>
      <c r="G206" s="97"/>
      <c r="H206" s="143"/>
      <c r="I206" s="97"/>
      <c r="J206" s="97"/>
      <c r="K206" s="114"/>
      <c r="L206" s="114"/>
      <c r="M206" s="102"/>
      <c r="N206" s="124"/>
      <c r="O206" s="125"/>
      <c r="P206" s="97"/>
      <c r="Q206" s="131"/>
      <c r="R206" s="126"/>
      <c r="S206" s="97"/>
      <c r="T206" s="97"/>
      <c r="V206" s="108"/>
    </row>
    <row r="207" ht="15.75" customHeight="1">
      <c r="A207" s="91"/>
      <c r="B207" s="171"/>
      <c r="C207" s="143"/>
      <c r="D207" s="97"/>
      <c r="E207" s="143"/>
      <c r="F207" s="143"/>
      <c r="G207" s="97"/>
      <c r="H207" s="143"/>
      <c r="I207" s="97"/>
      <c r="J207" s="97"/>
      <c r="K207" s="101"/>
      <c r="L207" s="101"/>
      <c r="M207" s="102"/>
      <c r="N207" s="124"/>
      <c r="O207" s="125"/>
      <c r="P207" s="97"/>
      <c r="Q207" s="131"/>
      <c r="R207" s="126"/>
      <c r="S207" s="97"/>
      <c r="T207" s="97"/>
      <c r="V207" s="108"/>
    </row>
    <row r="208" ht="15.75" customHeight="1">
      <c r="A208" s="91"/>
      <c r="B208" s="171"/>
      <c r="C208" s="143"/>
      <c r="D208" s="97"/>
      <c r="E208" s="143"/>
      <c r="F208" s="143"/>
      <c r="G208" s="97"/>
      <c r="H208" s="143"/>
      <c r="I208" s="97"/>
      <c r="J208" s="97"/>
      <c r="K208" s="114"/>
      <c r="L208" s="114"/>
      <c r="M208" s="102"/>
      <c r="N208" s="124"/>
      <c r="O208" s="125"/>
      <c r="P208" s="97"/>
      <c r="Q208" s="131"/>
      <c r="R208" s="126"/>
      <c r="S208" s="97"/>
      <c r="T208" s="97"/>
      <c r="V208" s="108"/>
    </row>
    <row r="209" ht="15.75" customHeight="1">
      <c r="A209" s="91"/>
      <c r="B209" s="171"/>
      <c r="C209" s="143"/>
      <c r="D209" s="97"/>
      <c r="E209" s="143"/>
      <c r="F209" s="143"/>
      <c r="G209" s="97"/>
      <c r="H209" s="143"/>
      <c r="I209" s="97"/>
      <c r="J209" s="97"/>
      <c r="K209" s="101"/>
      <c r="L209" s="101"/>
      <c r="M209" s="102"/>
      <c r="N209" s="124"/>
      <c r="O209" s="125"/>
      <c r="P209" s="97"/>
      <c r="Q209" s="131"/>
      <c r="R209" s="126"/>
      <c r="S209" s="97"/>
      <c r="T209" s="97"/>
      <c r="V209" s="108"/>
    </row>
    <row r="210" ht="15.75" customHeight="1">
      <c r="A210" s="91"/>
      <c r="B210" s="171"/>
      <c r="C210" s="143"/>
      <c r="D210" s="97"/>
      <c r="E210" s="143"/>
      <c r="F210" s="143"/>
      <c r="G210" s="97"/>
      <c r="H210" s="143"/>
      <c r="I210" s="97"/>
      <c r="J210" s="97"/>
      <c r="K210" s="114"/>
      <c r="L210" s="114"/>
      <c r="M210" s="102"/>
      <c r="N210" s="124"/>
      <c r="O210" s="125"/>
      <c r="P210" s="97"/>
      <c r="Q210" s="131"/>
      <c r="R210" s="126"/>
      <c r="S210" s="97"/>
      <c r="T210" s="97"/>
      <c r="V210" s="108"/>
    </row>
    <row r="211" ht="15.75" customHeight="1">
      <c r="A211" s="91"/>
      <c r="B211" s="171"/>
      <c r="C211" s="108"/>
      <c r="D211" s="97"/>
      <c r="E211" s="143"/>
      <c r="F211" s="143"/>
      <c r="G211" s="97"/>
      <c r="H211" s="143"/>
      <c r="I211" s="97"/>
      <c r="J211" s="97"/>
      <c r="K211" s="101"/>
      <c r="L211" s="101"/>
      <c r="M211" s="102"/>
      <c r="N211" s="124"/>
      <c r="O211" s="125"/>
      <c r="P211" s="97"/>
      <c r="Q211" s="131"/>
      <c r="R211" s="126"/>
      <c r="S211" s="97"/>
      <c r="T211" s="97"/>
      <c r="V211" s="108"/>
    </row>
    <row r="212" ht="15.75" customHeight="1">
      <c r="A212" s="91"/>
      <c r="B212" s="171"/>
      <c r="C212" s="143"/>
      <c r="D212" s="97"/>
      <c r="E212" s="143"/>
      <c r="F212" s="143"/>
      <c r="G212" s="97"/>
      <c r="H212" s="143"/>
      <c r="I212" s="97"/>
      <c r="J212" s="97"/>
      <c r="K212" s="114"/>
      <c r="L212" s="114"/>
      <c r="M212" s="102"/>
      <c r="N212" s="124"/>
      <c r="O212" s="125"/>
      <c r="P212" s="97"/>
      <c r="Q212" s="131"/>
      <c r="R212" s="126"/>
      <c r="S212" s="97"/>
      <c r="T212" s="97"/>
      <c r="V212" s="108"/>
    </row>
    <row r="213" ht="15.75" customHeight="1">
      <c r="A213" s="91"/>
      <c r="B213" s="171"/>
      <c r="C213" s="143"/>
      <c r="D213" s="97"/>
      <c r="E213" s="143"/>
      <c r="F213" s="143"/>
      <c r="G213" s="97"/>
      <c r="H213" s="143"/>
      <c r="I213" s="97"/>
      <c r="J213" s="97"/>
      <c r="K213" s="101"/>
      <c r="L213" s="101"/>
      <c r="M213" s="102"/>
      <c r="N213" s="124"/>
      <c r="O213" s="125"/>
      <c r="P213" s="97"/>
      <c r="Q213" s="131"/>
      <c r="R213" s="126"/>
      <c r="S213" s="97"/>
      <c r="T213" s="97"/>
      <c r="V213" s="108"/>
    </row>
    <row r="214" ht="15.75" customHeight="1">
      <c r="A214" s="91"/>
      <c r="B214" s="171"/>
      <c r="C214" s="143"/>
      <c r="D214" s="97"/>
      <c r="E214" s="143"/>
      <c r="F214" s="143"/>
      <c r="G214" s="97"/>
      <c r="H214" s="143"/>
      <c r="I214" s="97"/>
      <c r="J214" s="97"/>
      <c r="K214" s="114"/>
      <c r="L214" s="114"/>
      <c r="M214" s="102"/>
      <c r="N214" s="124"/>
      <c r="O214" s="125"/>
      <c r="P214" s="97"/>
      <c r="Q214" s="131"/>
      <c r="R214" s="126"/>
      <c r="S214" s="97"/>
      <c r="T214" s="97"/>
      <c r="V214" s="108"/>
    </row>
    <row r="215" ht="15.75" customHeight="1">
      <c r="A215" s="91"/>
      <c r="B215" s="171"/>
      <c r="C215" s="143"/>
      <c r="D215" s="97"/>
      <c r="E215" s="143"/>
      <c r="F215" s="143"/>
      <c r="G215" s="97"/>
      <c r="H215" s="143"/>
      <c r="I215" s="97"/>
      <c r="J215" s="97"/>
      <c r="K215" s="101"/>
      <c r="L215" s="101"/>
      <c r="M215" s="102"/>
      <c r="N215" s="124"/>
      <c r="O215" s="125"/>
      <c r="P215" s="97"/>
      <c r="Q215" s="131"/>
      <c r="R215" s="126"/>
      <c r="S215" s="97"/>
      <c r="T215" s="97"/>
      <c r="V215" s="108"/>
    </row>
    <row r="216" ht="15.75" customHeight="1">
      <c r="A216" s="91"/>
      <c r="B216" s="171"/>
      <c r="C216" s="143"/>
      <c r="D216" s="97"/>
      <c r="E216" s="143"/>
      <c r="F216" s="143"/>
      <c r="G216" s="97"/>
      <c r="H216" s="143"/>
      <c r="I216" s="97"/>
      <c r="J216" s="97"/>
      <c r="K216" s="114"/>
      <c r="L216" s="114"/>
      <c r="M216" s="102"/>
      <c r="N216" s="124"/>
      <c r="O216" s="125"/>
      <c r="P216" s="97"/>
      <c r="Q216" s="131"/>
      <c r="R216" s="126"/>
      <c r="S216" s="97"/>
      <c r="T216" s="97"/>
      <c r="V216" s="108"/>
    </row>
    <row r="217" ht="15.75" customHeight="1">
      <c r="A217" s="91"/>
      <c r="B217" s="171"/>
      <c r="C217" s="108"/>
      <c r="D217" s="97"/>
      <c r="E217" s="143"/>
      <c r="F217" s="143"/>
      <c r="G217" s="97"/>
      <c r="H217" s="143"/>
      <c r="I217" s="97"/>
      <c r="J217" s="97"/>
      <c r="K217" s="101"/>
      <c r="L217" s="101"/>
      <c r="M217" s="102"/>
      <c r="N217" s="124"/>
      <c r="O217" s="125"/>
      <c r="P217" s="97"/>
      <c r="Q217" s="131"/>
      <c r="R217" s="126"/>
      <c r="S217" s="97"/>
      <c r="T217" s="97"/>
      <c r="V217" s="108"/>
    </row>
    <row r="218" ht="15.75" customHeight="1">
      <c r="A218" s="91"/>
      <c r="B218" s="171"/>
      <c r="C218" s="143"/>
      <c r="D218" s="97"/>
      <c r="E218" s="143"/>
      <c r="F218" s="143"/>
      <c r="G218" s="97"/>
      <c r="H218" s="143"/>
      <c r="I218" s="97"/>
      <c r="J218" s="97"/>
      <c r="K218" s="114"/>
      <c r="L218" s="114"/>
      <c r="M218" s="102"/>
      <c r="N218" s="124"/>
      <c r="O218" s="125"/>
      <c r="P218" s="97"/>
      <c r="Q218" s="131"/>
      <c r="R218" s="126"/>
      <c r="S218" s="97"/>
      <c r="T218" s="97"/>
      <c r="V218" s="108"/>
    </row>
    <row r="219" ht="15.75" customHeight="1">
      <c r="A219" s="91"/>
      <c r="B219" s="171"/>
      <c r="C219" s="143"/>
      <c r="D219" s="97"/>
      <c r="E219" s="143"/>
      <c r="F219" s="143"/>
      <c r="G219" s="97"/>
      <c r="H219" s="143"/>
      <c r="I219" s="97"/>
      <c r="J219" s="97"/>
      <c r="K219" s="101"/>
      <c r="L219" s="101"/>
      <c r="M219" s="102"/>
      <c r="N219" s="124"/>
      <c r="O219" s="125"/>
      <c r="P219" s="97"/>
      <c r="Q219" s="131"/>
      <c r="R219" s="126"/>
      <c r="S219" s="97"/>
      <c r="T219" s="97"/>
      <c r="V219" s="108"/>
    </row>
    <row r="220" ht="15.75" customHeight="1">
      <c r="A220" s="91"/>
      <c r="B220" s="171"/>
      <c r="C220" s="143"/>
      <c r="D220" s="97"/>
      <c r="E220" s="143"/>
      <c r="F220" s="143"/>
      <c r="G220" s="97"/>
      <c r="H220" s="143"/>
      <c r="I220" s="97"/>
      <c r="J220" s="97"/>
      <c r="K220" s="114"/>
      <c r="L220" s="114"/>
      <c r="M220" s="102"/>
      <c r="N220" s="124"/>
      <c r="O220" s="125"/>
      <c r="P220" s="97"/>
      <c r="Q220" s="131"/>
      <c r="R220" s="126"/>
      <c r="S220" s="97"/>
      <c r="T220" s="97"/>
      <c r="V220" s="108"/>
    </row>
    <row r="221" ht="15.75" customHeight="1">
      <c r="A221" s="91"/>
      <c r="B221" s="171"/>
      <c r="C221" s="143"/>
      <c r="D221" s="97"/>
      <c r="E221" s="143"/>
      <c r="F221" s="143"/>
      <c r="G221" s="97"/>
      <c r="H221" s="143"/>
      <c r="I221" s="97"/>
      <c r="J221" s="97"/>
      <c r="K221" s="101"/>
      <c r="L221" s="101"/>
      <c r="M221" s="102"/>
      <c r="N221" s="124"/>
      <c r="O221" s="125"/>
      <c r="P221" s="97"/>
      <c r="Q221" s="131"/>
      <c r="R221" s="126"/>
      <c r="S221" s="97"/>
      <c r="T221" s="97"/>
      <c r="V221" s="108"/>
    </row>
    <row r="222" ht="15.75" customHeight="1">
      <c r="A222" s="91"/>
      <c r="B222" s="171"/>
      <c r="C222" s="143"/>
      <c r="D222" s="97"/>
      <c r="E222" s="143"/>
      <c r="F222" s="143"/>
      <c r="G222" s="97"/>
      <c r="H222" s="143"/>
      <c r="I222" s="97"/>
      <c r="J222" s="97"/>
      <c r="K222" s="114"/>
      <c r="L222" s="114"/>
      <c r="M222" s="102"/>
      <c r="N222" s="124"/>
      <c r="O222" s="125"/>
      <c r="P222" s="97"/>
      <c r="Q222" s="131"/>
      <c r="R222" s="126"/>
      <c r="S222" s="97"/>
      <c r="T222" s="97"/>
      <c r="V222" s="108"/>
    </row>
    <row r="223" ht="15.75" customHeight="1">
      <c r="A223" s="91"/>
      <c r="B223" s="171"/>
      <c r="C223" s="108"/>
      <c r="D223" s="97"/>
      <c r="E223" s="143"/>
      <c r="F223" s="143"/>
      <c r="G223" s="97"/>
      <c r="H223" s="143"/>
      <c r="I223" s="97"/>
      <c r="J223" s="97"/>
      <c r="K223" s="101"/>
      <c r="L223" s="101"/>
      <c r="M223" s="102"/>
      <c r="N223" s="124"/>
      <c r="O223" s="125"/>
      <c r="P223" s="97"/>
      <c r="Q223" s="131"/>
      <c r="R223" s="126"/>
      <c r="S223" s="97"/>
      <c r="T223" s="97"/>
      <c r="V223" s="108"/>
    </row>
    <row r="224" ht="15.75" customHeight="1">
      <c r="A224" s="91"/>
      <c r="B224" s="171"/>
      <c r="C224" s="143"/>
      <c r="D224" s="97"/>
      <c r="E224" s="143"/>
      <c r="F224" s="143"/>
      <c r="G224" s="97"/>
      <c r="H224" s="143"/>
      <c r="I224" s="97"/>
      <c r="J224" s="97"/>
      <c r="K224" s="114"/>
      <c r="L224" s="114"/>
      <c r="M224" s="102"/>
      <c r="N224" s="124"/>
      <c r="O224" s="125"/>
      <c r="P224" s="97"/>
      <c r="Q224" s="131"/>
      <c r="R224" s="126"/>
      <c r="S224" s="97"/>
      <c r="T224" s="97"/>
      <c r="V224" s="108"/>
    </row>
    <row r="225" ht="15.75" customHeight="1">
      <c r="A225" s="91"/>
      <c r="B225" s="171"/>
      <c r="C225" s="143"/>
      <c r="D225" s="97"/>
      <c r="E225" s="143"/>
      <c r="F225" s="143"/>
      <c r="G225" s="97"/>
      <c r="H225" s="143"/>
      <c r="I225" s="97"/>
      <c r="J225" s="97"/>
      <c r="K225" s="101"/>
      <c r="L225" s="101"/>
      <c r="M225" s="102"/>
      <c r="N225" s="124"/>
      <c r="O225" s="125"/>
      <c r="P225" s="97"/>
      <c r="Q225" s="131"/>
      <c r="R225" s="126"/>
      <c r="S225" s="97"/>
      <c r="T225" s="97"/>
      <c r="V225" s="108"/>
    </row>
    <row r="226" ht="15.75" customHeight="1">
      <c r="A226" s="91"/>
      <c r="B226" s="171"/>
      <c r="C226" s="143"/>
      <c r="D226" s="97"/>
      <c r="E226" s="143"/>
      <c r="F226" s="143"/>
      <c r="G226" s="97"/>
      <c r="H226" s="143"/>
      <c r="I226" s="97"/>
      <c r="J226" s="97"/>
      <c r="K226" s="114"/>
      <c r="L226" s="114"/>
      <c r="M226" s="102"/>
      <c r="N226" s="124"/>
      <c r="O226" s="125"/>
      <c r="P226" s="97"/>
      <c r="Q226" s="131"/>
      <c r="R226" s="126"/>
      <c r="S226" s="97"/>
      <c r="T226" s="97"/>
      <c r="V226" s="108"/>
    </row>
    <row r="227" ht="15.75" customHeight="1">
      <c r="A227" s="91"/>
      <c r="B227" s="171"/>
      <c r="C227" s="143"/>
      <c r="D227" s="97"/>
      <c r="E227" s="143"/>
      <c r="F227" s="143"/>
      <c r="G227" s="97"/>
      <c r="H227" s="143"/>
      <c r="I227" s="97"/>
      <c r="J227" s="97"/>
      <c r="K227" s="101"/>
      <c r="L227" s="101"/>
      <c r="M227" s="102"/>
      <c r="N227" s="124"/>
      <c r="O227" s="125"/>
      <c r="P227" s="97"/>
      <c r="Q227" s="131"/>
      <c r="R227" s="126"/>
      <c r="S227" s="97"/>
      <c r="T227" s="97"/>
      <c r="V227" s="108"/>
    </row>
    <row r="228" ht="15.75" customHeight="1">
      <c r="A228" s="91"/>
      <c r="B228" s="171"/>
      <c r="C228" s="143"/>
      <c r="D228" s="97"/>
      <c r="E228" s="143"/>
      <c r="F228" s="143"/>
      <c r="G228" s="97"/>
      <c r="H228" s="143"/>
      <c r="I228" s="97"/>
      <c r="J228" s="97"/>
      <c r="K228" s="114"/>
      <c r="L228" s="114"/>
      <c r="M228" s="102"/>
      <c r="N228" s="124"/>
      <c r="O228" s="125"/>
      <c r="P228" s="97"/>
      <c r="Q228" s="131"/>
      <c r="R228" s="126"/>
      <c r="S228" s="97"/>
      <c r="T228" s="97"/>
      <c r="V228" s="108"/>
    </row>
    <row r="229" ht="15.75" customHeight="1">
      <c r="A229" s="91"/>
      <c r="B229" s="171"/>
      <c r="C229" s="108"/>
      <c r="D229" s="97"/>
      <c r="E229" s="143"/>
      <c r="F229" s="143"/>
      <c r="G229" s="97"/>
      <c r="H229" s="143"/>
      <c r="I229" s="97"/>
      <c r="J229" s="97"/>
      <c r="K229" s="101"/>
      <c r="L229" s="101"/>
      <c r="M229" s="102"/>
      <c r="N229" s="124"/>
      <c r="O229" s="125"/>
      <c r="P229" s="97"/>
      <c r="Q229" s="131"/>
      <c r="R229" s="126"/>
      <c r="S229" s="97"/>
      <c r="T229" s="97"/>
      <c r="V229" s="108"/>
    </row>
    <row r="230" ht="15.75" customHeight="1">
      <c r="A230" s="91"/>
      <c r="B230" s="171"/>
      <c r="C230" s="143"/>
      <c r="D230" s="97"/>
      <c r="E230" s="143"/>
      <c r="F230" s="143"/>
      <c r="G230" s="97"/>
      <c r="H230" s="143"/>
      <c r="I230" s="97"/>
      <c r="J230" s="97"/>
      <c r="K230" s="114"/>
      <c r="L230" s="114"/>
      <c r="M230" s="102"/>
      <c r="N230" s="124"/>
      <c r="O230" s="125"/>
      <c r="P230" s="97"/>
      <c r="Q230" s="131"/>
      <c r="R230" s="126"/>
      <c r="S230" s="97"/>
      <c r="T230" s="97"/>
      <c r="V230" s="108"/>
    </row>
    <row r="231" ht="15.75" customHeight="1">
      <c r="A231" s="91"/>
      <c r="B231" s="171"/>
      <c r="C231" s="143"/>
      <c r="D231" s="97"/>
      <c r="E231" s="143"/>
      <c r="F231" s="143"/>
      <c r="G231" s="97"/>
      <c r="H231" s="143"/>
      <c r="I231" s="97"/>
      <c r="J231" s="97"/>
      <c r="K231" s="101"/>
      <c r="L231" s="101"/>
      <c r="M231" s="102"/>
      <c r="N231" s="124"/>
      <c r="O231" s="125"/>
      <c r="P231" s="97"/>
      <c r="Q231" s="131"/>
      <c r="R231" s="126"/>
      <c r="S231" s="97"/>
      <c r="T231" s="97"/>
      <c r="V231" s="108"/>
    </row>
    <row r="232" ht="15.75" customHeight="1">
      <c r="A232" s="91"/>
      <c r="B232" s="171"/>
      <c r="C232" s="143"/>
      <c r="D232" s="97"/>
      <c r="E232" s="143"/>
      <c r="F232" s="143"/>
      <c r="G232" s="97"/>
      <c r="H232" s="143"/>
      <c r="I232" s="97"/>
      <c r="J232" s="97"/>
      <c r="K232" s="114"/>
      <c r="L232" s="114"/>
      <c r="M232" s="102"/>
      <c r="N232" s="124"/>
      <c r="O232" s="125"/>
      <c r="P232" s="97"/>
      <c r="Q232" s="131"/>
      <c r="R232" s="126"/>
      <c r="S232" s="97"/>
      <c r="T232" s="97"/>
      <c r="V232" s="108"/>
    </row>
    <row r="233" ht="15.75" customHeight="1">
      <c r="A233" s="91"/>
      <c r="B233" s="171"/>
      <c r="C233" s="143"/>
      <c r="D233" s="97"/>
      <c r="E233" s="143"/>
      <c r="F233" s="143"/>
      <c r="G233" s="97"/>
      <c r="H233" s="143"/>
      <c r="I233" s="97"/>
      <c r="J233" s="97"/>
      <c r="K233" s="101"/>
      <c r="L233" s="101"/>
      <c r="M233" s="102"/>
      <c r="N233" s="124"/>
      <c r="O233" s="125"/>
      <c r="P233" s="97"/>
      <c r="Q233" s="131"/>
      <c r="R233" s="126"/>
      <c r="S233" s="97"/>
      <c r="T233" s="97"/>
      <c r="V233" s="108"/>
    </row>
    <row r="234" ht="15.75" customHeight="1">
      <c r="A234" s="91"/>
      <c r="B234" s="171"/>
      <c r="C234" s="143"/>
      <c r="D234" s="97"/>
      <c r="E234" s="143"/>
      <c r="F234" s="143"/>
      <c r="G234" s="97"/>
      <c r="H234" s="143"/>
      <c r="I234" s="97"/>
      <c r="J234" s="97"/>
      <c r="K234" s="114"/>
      <c r="L234" s="114"/>
      <c r="M234" s="102"/>
      <c r="N234" s="124"/>
      <c r="O234" s="125"/>
      <c r="P234" s="97"/>
      <c r="Q234" s="131"/>
      <c r="R234" s="126"/>
      <c r="S234" s="97"/>
      <c r="T234" s="97"/>
      <c r="V234" s="108"/>
    </row>
    <row r="235" ht="15.75" customHeight="1">
      <c r="A235" s="91"/>
      <c r="B235" s="171"/>
      <c r="C235" s="108"/>
      <c r="D235" s="97"/>
      <c r="E235" s="143"/>
      <c r="F235" s="143"/>
      <c r="G235" s="97"/>
      <c r="H235" s="143"/>
      <c r="I235" s="97"/>
      <c r="J235" s="97"/>
      <c r="K235" s="101"/>
      <c r="L235" s="101"/>
      <c r="M235" s="102"/>
      <c r="N235" s="124"/>
      <c r="O235" s="125"/>
      <c r="P235" s="97"/>
      <c r="Q235" s="131"/>
      <c r="R235" s="126"/>
      <c r="S235" s="97"/>
      <c r="T235" s="97"/>
      <c r="V235" s="108"/>
    </row>
    <row r="236" ht="15.75" customHeight="1">
      <c r="A236" s="91"/>
      <c r="B236" s="171"/>
      <c r="C236" s="143"/>
      <c r="D236" s="97"/>
      <c r="E236" s="143"/>
      <c r="F236" s="143"/>
      <c r="G236" s="97"/>
      <c r="H236" s="143"/>
      <c r="I236" s="97"/>
      <c r="J236" s="97"/>
      <c r="K236" s="114"/>
      <c r="L236" s="114"/>
      <c r="M236" s="102"/>
      <c r="N236" s="124"/>
      <c r="O236" s="125"/>
      <c r="P236" s="97"/>
      <c r="Q236" s="131"/>
      <c r="R236" s="126"/>
      <c r="S236" s="97"/>
      <c r="T236" s="97"/>
      <c r="V236" s="108"/>
    </row>
    <row r="237" ht="15.75" customHeight="1">
      <c r="A237" s="91"/>
      <c r="B237" s="171"/>
      <c r="C237" s="143"/>
      <c r="D237" s="97"/>
      <c r="E237" s="143"/>
      <c r="F237" s="143"/>
      <c r="G237" s="97"/>
      <c r="H237" s="143"/>
      <c r="I237" s="97"/>
      <c r="J237" s="97"/>
      <c r="K237" s="101"/>
      <c r="L237" s="101"/>
      <c r="M237" s="102"/>
      <c r="N237" s="124"/>
      <c r="O237" s="125"/>
      <c r="P237" s="97"/>
      <c r="Q237" s="131"/>
      <c r="R237" s="126"/>
      <c r="S237" s="97"/>
      <c r="T237" s="97"/>
      <c r="V237" s="108"/>
    </row>
    <row r="238" ht="15.75" customHeight="1">
      <c r="A238" s="91"/>
      <c r="B238" s="171"/>
      <c r="C238" s="143"/>
      <c r="D238" s="97"/>
      <c r="E238" s="143"/>
      <c r="F238" s="143"/>
      <c r="G238" s="97"/>
      <c r="H238" s="143"/>
      <c r="I238" s="97"/>
      <c r="J238" s="97"/>
      <c r="K238" s="114"/>
      <c r="L238" s="114"/>
      <c r="M238" s="102"/>
      <c r="N238" s="124"/>
      <c r="O238" s="125"/>
      <c r="P238" s="97"/>
      <c r="Q238" s="131"/>
      <c r="R238" s="126"/>
      <c r="S238" s="97"/>
      <c r="T238" s="97"/>
      <c r="V238" s="108"/>
    </row>
    <row r="239" ht="15.75" customHeight="1">
      <c r="A239" s="91"/>
      <c r="B239" s="171"/>
      <c r="C239" s="143"/>
      <c r="D239" s="97"/>
      <c r="E239" s="143"/>
      <c r="F239" s="143"/>
      <c r="G239" s="97"/>
      <c r="H239" s="143"/>
      <c r="I239" s="97"/>
      <c r="J239" s="97"/>
      <c r="K239" s="101"/>
      <c r="L239" s="101"/>
      <c r="M239" s="102"/>
      <c r="N239" s="124"/>
      <c r="O239" s="125"/>
      <c r="P239" s="97"/>
      <c r="Q239" s="131"/>
      <c r="R239" s="126"/>
      <c r="S239" s="97"/>
      <c r="T239" s="97"/>
      <c r="V239" s="108"/>
    </row>
    <row r="240" ht="15.75" customHeight="1">
      <c r="A240" s="91"/>
      <c r="B240" s="171"/>
      <c r="C240" s="143"/>
      <c r="D240" s="97"/>
      <c r="E240" s="143"/>
      <c r="F240" s="143"/>
      <c r="G240" s="97"/>
      <c r="H240" s="143"/>
      <c r="I240" s="97"/>
      <c r="J240" s="97"/>
      <c r="K240" s="114"/>
      <c r="L240" s="114"/>
      <c r="M240" s="102"/>
      <c r="N240" s="124"/>
      <c r="O240" s="125"/>
      <c r="P240" s="97"/>
      <c r="Q240" s="131"/>
      <c r="R240" s="126"/>
      <c r="S240" s="97"/>
      <c r="T240" s="97"/>
      <c r="V240" s="108"/>
    </row>
    <row r="241" ht="15.75" customHeight="1">
      <c r="A241" s="91"/>
      <c r="B241" s="171"/>
      <c r="C241" s="108"/>
      <c r="D241" s="97"/>
      <c r="E241" s="143"/>
      <c r="F241" s="143"/>
      <c r="G241" s="97"/>
      <c r="H241" s="143"/>
      <c r="I241" s="97"/>
      <c r="J241" s="97"/>
      <c r="K241" s="101"/>
      <c r="L241" s="101"/>
      <c r="M241" s="102"/>
      <c r="N241" s="124"/>
      <c r="O241" s="125"/>
      <c r="P241" s="97"/>
      <c r="Q241" s="131"/>
      <c r="R241" s="126"/>
      <c r="S241" s="97"/>
      <c r="T241" s="97"/>
      <c r="V241" s="108"/>
    </row>
    <row r="242" ht="15.75" customHeight="1">
      <c r="A242" s="91"/>
      <c r="B242" s="171"/>
      <c r="C242" s="143"/>
      <c r="D242" s="97"/>
      <c r="E242" s="143"/>
      <c r="F242" s="143"/>
      <c r="G242" s="97"/>
      <c r="H242" s="143"/>
      <c r="I242" s="97"/>
      <c r="J242" s="97"/>
      <c r="K242" s="114"/>
      <c r="L242" s="114"/>
      <c r="M242" s="102"/>
      <c r="N242" s="124"/>
      <c r="O242" s="125"/>
      <c r="P242" s="97"/>
      <c r="Q242" s="131"/>
      <c r="R242" s="126"/>
      <c r="S242" s="97"/>
      <c r="T242" s="97"/>
      <c r="V242" s="108"/>
    </row>
    <row r="243" ht="15.75" customHeight="1">
      <c r="A243" s="91"/>
      <c r="B243" s="171"/>
      <c r="C243" s="143"/>
      <c r="D243" s="97"/>
      <c r="E243" s="143"/>
      <c r="F243" s="143"/>
      <c r="G243" s="97"/>
      <c r="H243" s="143"/>
      <c r="I243" s="97"/>
      <c r="J243" s="97"/>
      <c r="K243" s="101"/>
      <c r="L243" s="101"/>
      <c r="M243" s="102"/>
      <c r="N243" s="124"/>
      <c r="O243" s="125"/>
      <c r="P243" s="97"/>
      <c r="Q243" s="131"/>
      <c r="R243" s="126"/>
      <c r="S243" s="97"/>
      <c r="T243" s="97"/>
      <c r="V243" s="108"/>
    </row>
    <row r="244" ht="15.75" customHeight="1">
      <c r="A244" s="91"/>
      <c r="B244" s="171"/>
      <c r="C244" s="143"/>
      <c r="D244" s="97"/>
      <c r="E244" s="143"/>
      <c r="F244" s="143"/>
      <c r="G244" s="97"/>
      <c r="H244" s="143"/>
      <c r="I244" s="97"/>
      <c r="J244" s="97"/>
      <c r="K244" s="148"/>
      <c r="L244" s="148"/>
      <c r="M244" s="102"/>
      <c r="N244" s="124"/>
      <c r="O244" s="125"/>
      <c r="P244" s="97"/>
      <c r="Q244" s="131"/>
      <c r="R244" s="126"/>
      <c r="S244" s="97"/>
      <c r="T244" s="97"/>
      <c r="V244" s="108"/>
    </row>
    <row r="245" ht="15.75" customHeight="1">
      <c r="A245" s="91"/>
      <c r="B245" s="171"/>
      <c r="C245" s="143"/>
      <c r="D245" s="97"/>
      <c r="E245" s="143"/>
      <c r="F245" s="143"/>
      <c r="G245" s="97"/>
      <c r="H245" s="143"/>
      <c r="I245" s="97"/>
      <c r="J245" s="97"/>
      <c r="K245" s="150"/>
      <c r="L245" s="150"/>
      <c r="M245" s="102"/>
      <c r="N245" s="124"/>
      <c r="O245" s="125"/>
      <c r="P245" s="97"/>
      <c r="Q245" s="131"/>
      <c r="R245" s="126"/>
      <c r="S245" s="97"/>
      <c r="T245" s="97"/>
      <c r="V245" s="108"/>
    </row>
    <row r="246" ht="15.75" customHeight="1">
      <c r="A246" s="91"/>
      <c r="B246" s="171"/>
      <c r="C246" s="143"/>
      <c r="D246" s="97"/>
      <c r="E246" s="143"/>
      <c r="F246" s="143"/>
      <c r="G246" s="97"/>
      <c r="H246" s="143"/>
      <c r="I246" s="97"/>
      <c r="J246" s="97"/>
      <c r="K246" s="148"/>
      <c r="L246" s="148"/>
      <c r="M246" s="102"/>
      <c r="N246" s="124"/>
      <c r="O246" s="125"/>
      <c r="P246" s="97"/>
      <c r="Q246" s="131"/>
      <c r="R246" s="126"/>
      <c r="S246" s="97"/>
      <c r="T246" s="97"/>
      <c r="V246" s="108"/>
    </row>
    <row r="247" ht="15.75" customHeight="1">
      <c r="A247" s="91"/>
      <c r="B247" s="171"/>
      <c r="C247" s="108"/>
      <c r="D247" s="97"/>
      <c r="E247" s="143"/>
      <c r="F247" s="143"/>
      <c r="G247" s="97"/>
      <c r="H247" s="143"/>
      <c r="I247" s="97"/>
      <c r="J247" s="97"/>
      <c r="K247" s="150"/>
      <c r="L247" s="150"/>
      <c r="M247" s="102"/>
      <c r="N247" s="124"/>
      <c r="O247" s="125"/>
      <c r="P247" s="97"/>
      <c r="Q247" s="131"/>
      <c r="R247" s="126"/>
      <c r="S247" s="97"/>
      <c r="T247" s="97"/>
      <c r="V247" s="108"/>
    </row>
    <row r="248" ht="15.75" customHeight="1">
      <c r="A248" s="91"/>
      <c r="B248" s="171"/>
      <c r="C248" s="143"/>
      <c r="D248" s="97"/>
      <c r="E248" s="143"/>
      <c r="F248" s="143"/>
      <c r="G248" s="97"/>
      <c r="H248" s="143"/>
      <c r="I248" s="97"/>
      <c r="J248" s="97"/>
      <c r="K248" s="148"/>
      <c r="L248" s="148"/>
      <c r="M248" s="102"/>
      <c r="N248" s="124"/>
      <c r="O248" s="125"/>
      <c r="P248" s="97"/>
      <c r="Q248" s="131"/>
      <c r="R248" s="126"/>
      <c r="S248" s="97"/>
      <c r="T248" s="97"/>
      <c r="V248" s="108"/>
    </row>
    <row r="249" ht="15.75" customHeight="1">
      <c r="A249" s="91"/>
      <c r="B249" s="171"/>
      <c r="C249" s="143"/>
      <c r="D249" s="97"/>
      <c r="E249" s="143"/>
      <c r="F249" s="143"/>
      <c r="G249" s="97"/>
      <c r="H249" s="143"/>
      <c r="I249" s="97"/>
      <c r="J249" s="97"/>
      <c r="K249" s="150"/>
      <c r="L249" s="150"/>
      <c r="M249" s="102"/>
      <c r="N249" s="124"/>
      <c r="O249" s="125"/>
      <c r="P249" s="97"/>
      <c r="Q249" s="131"/>
      <c r="R249" s="126"/>
      <c r="S249" s="97"/>
      <c r="T249" s="97"/>
      <c r="V249" s="108"/>
    </row>
    <row r="250" ht="15.75" customHeight="1">
      <c r="A250" s="91"/>
      <c r="B250" s="171"/>
      <c r="C250" s="143"/>
      <c r="D250" s="97"/>
      <c r="E250" s="143"/>
      <c r="F250" s="143"/>
      <c r="G250" s="97"/>
      <c r="H250" s="143"/>
      <c r="I250" s="97"/>
      <c r="J250" s="97"/>
      <c r="K250" s="148"/>
      <c r="L250" s="148"/>
      <c r="M250" s="102"/>
      <c r="N250" s="124"/>
      <c r="O250" s="125"/>
      <c r="P250" s="97"/>
      <c r="Q250" s="131"/>
      <c r="R250" s="126"/>
      <c r="S250" s="97"/>
      <c r="T250" s="97"/>
      <c r="V250" s="108"/>
    </row>
    <row r="251" ht="15.75" customHeight="1">
      <c r="A251" s="91"/>
      <c r="B251" s="171"/>
      <c r="C251" s="143"/>
      <c r="D251" s="97"/>
      <c r="E251" s="143"/>
      <c r="F251" s="143"/>
      <c r="G251" s="97"/>
      <c r="H251" s="143"/>
      <c r="I251" s="97"/>
      <c r="J251" s="97"/>
      <c r="K251" s="150"/>
      <c r="L251" s="150"/>
      <c r="M251" s="102"/>
      <c r="N251" s="124"/>
      <c r="O251" s="125"/>
      <c r="P251" s="97"/>
      <c r="Q251" s="131"/>
      <c r="R251" s="126"/>
      <c r="S251" s="97"/>
      <c r="T251" s="97"/>
      <c r="V251" s="108"/>
    </row>
    <row r="252" ht="15.75" customHeight="1">
      <c r="A252" s="91"/>
      <c r="B252" s="171"/>
      <c r="C252" s="143"/>
      <c r="D252" s="97"/>
      <c r="E252" s="143"/>
      <c r="F252" s="143"/>
      <c r="G252" s="97"/>
      <c r="H252" s="143"/>
      <c r="I252" s="97"/>
      <c r="J252" s="97"/>
      <c r="K252" s="148"/>
      <c r="L252" s="148"/>
      <c r="M252" s="102"/>
      <c r="N252" s="124"/>
      <c r="O252" s="125"/>
      <c r="P252" s="97"/>
      <c r="Q252" s="131"/>
      <c r="R252" s="126"/>
      <c r="S252" s="97"/>
      <c r="T252" s="97"/>
      <c r="V252" s="108"/>
    </row>
    <row r="253" ht="15.75" customHeight="1">
      <c r="A253" s="91"/>
      <c r="B253" s="171"/>
      <c r="C253" s="108"/>
      <c r="D253" s="97"/>
      <c r="E253" s="143"/>
      <c r="F253" s="143"/>
      <c r="G253" s="97"/>
      <c r="H253" s="143"/>
      <c r="I253" s="97"/>
      <c r="J253" s="97"/>
      <c r="K253" s="150"/>
      <c r="L253" s="150"/>
      <c r="M253" s="102"/>
      <c r="N253" s="124"/>
      <c r="O253" s="125"/>
      <c r="P253" s="97"/>
      <c r="Q253" s="131"/>
      <c r="R253" s="126"/>
      <c r="S253" s="97"/>
      <c r="T253" s="97"/>
      <c r="V253" s="108"/>
    </row>
    <row r="254" ht="15.75" customHeight="1">
      <c r="A254" s="91"/>
      <c r="B254" s="171"/>
      <c r="C254" s="143"/>
      <c r="D254" s="97"/>
      <c r="E254" s="143"/>
      <c r="F254" s="143"/>
      <c r="G254" s="97"/>
      <c r="H254" s="143"/>
      <c r="I254" s="97"/>
      <c r="J254" s="97"/>
      <c r="K254" s="148"/>
      <c r="L254" s="148"/>
      <c r="M254" s="102"/>
      <c r="N254" s="124"/>
      <c r="O254" s="125"/>
      <c r="P254" s="97"/>
      <c r="Q254" s="131"/>
      <c r="R254" s="126"/>
      <c r="S254" s="97"/>
      <c r="T254" s="97"/>
      <c r="V254" s="108"/>
    </row>
    <row r="255" ht="15.75" customHeight="1">
      <c r="A255" s="91"/>
      <c r="B255" s="171"/>
      <c r="C255" s="143"/>
      <c r="D255" s="97"/>
      <c r="E255" s="143"/>
      <c r="F255" s="143"/>
      <c r="G255" s="97"/>
      <c r="H255" s="143"/>
      <c r="I255" s="97"/>
      <c r="J255" s="97"/>
      <c r="K255" s="150"/>
      <c r="L255" s="150"/>
      <c r="M255" s="102"/>
      <c r="N255" s="124"/>
      <c r="O255" s="125"/>
      <c r="P255" s="97"/>
      <c r="Q255" s="131"/>
      <c r="R255" s="126"/>
      <c r="S255" s="97"/>
      <c r="T255" s="97"/>
      <c r="V255" s="108"/>
    </row>
    <row r="256" ht="15.75" customHeight="1">
      <c r="A256" s="91"/>
      <c r="B256" s="171"/>
      <c r="C256" s="143"/>
      <c r="D256" s="97"/>
      <c r="E256" s="143"/>
      <c r="F256" s="143"/>
      <c r="G256" s="97"/>
      <c r="H256" s="143"/>
      <c r="I256" s="97"/>
      <c r="J256" s="97"/>
      <c r="K256" s="148"/>
      <c r="L256" s="148"/>
      <c r="M256" s="102"/>
      <c r="N256" s="124"/>
      <c r="O256" s="125"/>
      <c r="P256" s="97"/>
      <c r="Q256" s="131"/>
      <c r="R256" s="126"/>
      <c r="S256" s="97"/>
      <c r="T256" s="97"/>
      <c r="V256" s="108"/>
    </row>
    <row r="257" ht="15.75" customHeight="1">
      <c r="A257" s="91"/>
      <c r="B257" s="171"/>
      <c r="C257" s="143"/>
      <c r="D257" s="97"/>
      <c r="E257" s="143"/>
      <c r="F257" s="143"/>
      <c r="G257" s="97"/>
      <c r="H257" s="143"/>
      <c r="I257" s="97"/>
      <c r="J257" s="97"/>
      <c r="K257" s="150"/>
      <c r="L257" s="150"/>
      <c r="M257" s="102"/>
      <c r="N257" s="124"/>
      <c r="O257" s="125"/>
      <c r="P257" s="97"/>
      <c r="Q257" s="131"/>
      <c r="R257" s="126"/>
      <c r="S257" s="97"/>
      <c r="T257" s="97"/>
      <c r="V257" s="108"/>
    </row>
    <row r="258" ht="15.75" customHeight="1">
      <c r="A258" s="91"/>
      <c r="B258" s="171"/>
      <c r="C258" s="143"/>
      <c r="D258" s="97"/>
      <c r="E258" s="143"/>
      <c r="F258" s="143"/>
      <c r="G258" s="97"/>
      <c r="H258" s="143"/>
      <c r="I258" s="97"/>
      <c r="J258" s="97"/>
      <c r="K258" s="148"/>
      <c r="L258" s="148"/>
      <c r="M258" s="102"/>
      <c r="N258" s="124"/>
      <c r="O258" s="125"/>
      <c r="P258" s="97"/>
      <c r="Q258" s="131"/>
      <c r="R258" s="126"/>
      <c r="S258" s="97"/>
      <c r="T258" s="97"/>
      <c r="V258" s="108"/>
    </row>
    <row r="259" ht="15.75" customHeight="1">
      <c r="A259" s="91"/>
      <c r="B259" s="171"/>
      <c r="C259" s="108"/>
      <c r="D259" s="97"/>
      <c r="E259" s="143"/>
      <c r="F259" s="143"/>
      <c r="G259" s="97"/>
      <c r="H259" s="143"/>
      <c r="I259" s="97"/>
      <c r="J259" s="97"/>
      <c r="K259" s="150"/>
      <c r="L259" s="150"/>
      <c r="M259" s="102"/>
      <c r="N259" s="124"/>
      <c r="O259" s="125"/>
      <c r="P259" s="97"/>
      <c r="Q259" s="131"/>
      <c r="R259" s="126"/>
      <c r="S259" s="97"/>
      <c r="T259" s="97"/>
      <c r="V259" s="108"/>
    </row>
    <row r="260" ht="15.75" customHeight="1">
      <c r="A260" s="91"/>
      <c r="B260" s="171"/>
      <c r="C260" s="143"/>
      <c r="D260" s="97"/>
      <c r="E260" s="143"/>
      <c r="F260" s="143"/>
      <c r="G260" s="97"/>
      <c r="H260" s="143"/>
      <c r="I260" s="97"/>
      <c r="J260" s="97"/>
      <c r="K260" s="148"/>
      <c r="L260" s="148"/>
      <c r="M260" s="102"/>
      <c r="N260" s="124"/>
      <c r="O260" s="125"/>
      <c r="P260" s="97"/>
      <c r="Q260" s="131"/>
      <c r="R260" s="126"/>
      <c r="S260" s="97"/>
      <c r="T260" s="97"/>
      <c r="V260" s="108"/>
    </row>
    <row r="261" ht="15.75" customHeight="1">
      <c r="A261" s="91"/>
      <c r="B261" s="171"/>
      <c r="C261" s="143"/>
      <c r="D261" s="97"/>
      <c r="E261" s="143"/>
      <c r="F261" s="143"/>
      <c r="G261" s="97"/>
      <c r="H261" s="143"/>
      <c r="I261" s="97"/>
      <c r="J261" s="97"/>
      <c r="K261" s="150"/>
      <c r="L261" s="150"/>
      <c r="M261" s="102"/>
      <c r="N261" s="124"/>
      <c r="O261" s="125"/>
      <c r="P261" s="97"/>
      <c r="Q261" s="131"/>
      <c r="R261" s="126"/>
      <c r="S261" s="97"/>
      <c r="T261" s="97"/>
      <c r="V261" s="108"/>
    </row>
    <row r="262" ht="15.75" customHeight="1">
      <c r="A262" s="91"/>
      <c r="B262" s="171"/>
      <c r="C262" s="143"/>
      <c r="D262" s="97"/>
      <c r="E262" s="143"/>
      <c r="F262" s="143"/>
      <c r="G262" s="97"/>
      <c r="H262" s="143"/>
      <c r="I262" s="97"/>
      <c r="J262" s="97"/>
      <c r="K262" s="148"/>
      <c r="L262" s="148"/>
      <c r="M262" s="102"/>
      <c r="N262" s="124"/>
      <c r="O262" s="125"/>
      <c r="P262" s="97"/>
      <c r="Q262" s="131"/>
      <c r="R262" s="126"/>
      <c r="S262" s="97"/>
      <c r="T262" s="97"/>
      <c r="V262" s="108"/>
    </row>
    <row r="263" ht="15.75" customHeight="1">
      <c r="A263" s="91"/>
      <c r="B263" s="171"/>
      <c r="C263" s="143"/>
      <c r="D263" s="97"/>
      <c r="E263" s="143"/>
      <c r="F263" s="143"/>
      <c r="G263" s="97"/>
      <c r="H263" s="143"/>
      <c r="I263" s="97"/>
      <c r="J263" s="97"/>
      <c r="K263" s="150"/>
      <c r="L263" s="150"/>
      <c r="M263" s="102"/>
      <c r="N263" s="124"/>
      <c r="O263" s="125"/>
      <c r="P263" s="97"/>
      <c r="Q263" s="131"/>
      <c r="R263" s="126"/>
      <c r="S263" s="97"/>
      <c r="T263" s="97"/>
      <c r="V263" s="108"/>
    </row>
    <row r="264" ht="15.75" customHeight="1">
      <c r="A264" s="91"/>
      <c r="B264" s="171"/>
      <c r="C264" s="143"/>
      <c r="D264" s="97"/>
      <c r="E264" s="143"/>
      <c r="F264" s="143"/>
      <c r="G264" s="97"/>
      <c r="H264" s="143"/>
      <c r="I264" s="97"/>
      <c r="J264" s="97"/>
      <c r="K264" s="148"/>
      <c r="L264" s="148"/>
      <c r="M264" s="102"/>
      <c r="N264" s="124"/>
      <c r="O264" s="125"/>
      <c r="P264" s="97"/>
      <c r="Q264" s="131"/>
      <c r="R264" s="126"/>
      <c r="S264" s="97"/>
      <c r="T264" s="97"/>
      <c r="V264" s="108"/>
    </row>
    <row r="265" ht="15.75" customHeight="1">
      <c r="A265" s="91"/>
      <c r="B265" s="171"/>
      <c r="C265" s="108"/>
      <c r="D265" s="97"/>
      <c r="E265" s="143"/>
      <c r="F265" s="143"/>
      <c r="G265" s="97"/>
      <c r="H265" s="143"/>
      <c r="I265" s="97"/>
      <c r="J265" s="97"/>
      <c r="K265" s="150"/>
      <c r="L265" s="150"/>
      <c r="M265" s="102"/>
      <c r="N265" s="124"/>
      <c r="O265" s="125"/>
      <c r="P265" s="97"/>
      <c r="Q265" s="131"/>
      <c r="R265" s="126"/>
      <c r="S265" s="97"/>
      <c r="T265" s="97"/>
      <c r="V265" s="108"/>
    </row>
    <row r="266" ht="15.75" customHeight="1">
      <c r="A266" s="91"/>
      <c r="B266" s="171"/>
      <c r="C266" s="143"/>
      <c r="D266" s="97"/>
      <c r="E266" s="143"/>
      <c r="F266" s="143"/>
      <c r="G266" s="97"/>
      <c r="H266" s="143"/>
      <c r="I266" s="97"/>
      <c r="J266" s="97"/>
      <c r="K266" s="148"/>
      <c r="L266" s="148"/>
      <c r="M266" s="102"/>
      <c r="N266" s="124"/>
      <c r="O266" s="125"/>
      <c r="P266" s="97"/>
      <c r="Q266" s="131"/>
      <c r="R266" s="126"/>
      <c r="S266" s="97"/>
      <c r="T266" s="97"/>
      <c r="V266" s="108"/>
    </row>
    <row r="267" ht="15.75" customHeight="1">
      <c r="A267" s="91"/>
      <c r="B267" s="171"/>
      <c r="C267" s="143"/>
      <c r="D267" s="97"/>
      <c r="E267" s="143"/>
      <c r="F267" s="143"/>
      <c r="G267" s="97"/>
      <c r="H267" s="143"/>
      <c r="I267" s="97"/>
      <c r="J267" s="97"/>
      <c r="K267" s="150"/>
      <c r="L267" s="150"/>
      <c r="M267" s="102"/>
      <c r="N267" s="124"/>
      <c r="O267" s="125"/>
      <c r="P267" s="97"/>
      <c r="Q267" s="131"/>
      <c r="R267" s="126"/>
      <c r="S267" s="97"/>
      <c r="T267" s="97"/>
      <c r="V267" s="108"/>
    </row>
    <row r="268" ht="15.75" customHeight="1">
      <c r="A268" s="91"/>
      <c r="B268" s="171"/>
      <c r="C268" s="143"/>
      <c r="D268" s="97"/>
      <c r="E268" s="143"/>
      <c r="F268" s="143"/>
      <c r="G268" s="97"/>
      <c r="H268" s="143"/>
      <c r="I268" s="97"/>
      <c r="J268" s="97"/>
      <c r="K268" s="148"/>
      <c r="L268" s="148"/>
      <c r="M268" s="102"/>
      <c r="N268" s="124"/>
      <c r="O268" s="125"/>
      <c r="P268" s="97"/>
      <c r="Q268" s="131"/>
      <c r="R268" s="126"/>
      <c r="S268" s="97"/>
      <c r="T268" s="97"/>
      <c r="V268" s="108"/>
    </row>
    <row r="269" ht="15.75" customHeight="1">
      <c r="A269" s="91"/>
      <c r="B269" s="171"/>
      <c r="C269" s="143"/>
      <c r="D269" s="97"/>
      <c r="E269" s="143"/>
      <c r="F269" s="143"/>
      <c r="G269" s="97"/>
      <c r="H269" s="143"/>
      <c r="I269" s="97"/>
      <c r="J269" s="97"/>
      <c r="K269" s="150"/>
      <c r="L269" s="150"/>
      <c r="M269" s="102"/>
      <c r="N269" s="124"/>
      <c r="O269" s="125"/>
      <c r="P269" s="97"/>
      <c r="Q269" s="131"/>
      <c r="R269" s="126"/>
      <c r="S269" s="97"/>
      <c r="T269" s="97"/>
      <c r="V269" s="108"/>
    </row>
    <row r="270" ht="15.75" customHeight="1">
      <c r="A270" s="91"/>
      <c r="B270" s="171"/>
      <c r="C270" s="143"/>
      <c r="D270" s="97"/>
      <c r="E270" s="143"/>
      <c r="F270" s="143"/>
      <c r="G270" s="97"/>
      <c r="H270" s="143"/>
      <c r="I270" s="97"/>
      <c r="J270" s="97"/>
      <c r="K270" s="148"/>
      <c r="L270" s="148"/>
      <c r="M270" s="102"/>
      <c r="N270" s="124"/>
      <c r="O270" s="125"/>
      <c r="P270" s="97"/>
      <c r="Q270" s="131"/>
      <c r="R270" s="126"/>
      <c r="S270" s="97"/>
      <c r="T270" s="97"/>
      <c r="V270" s="108"/>
    </row>
    <row r="271" ht="15.75" customHeight="1">
      <c r="A271" s="91"/>
      <c r="B271" s="171"/>
      <c r="C271" s="108"/>
      <c r="D271" s="97"/>
      <c r="E271" s="143"/>
      <c r="F271" s="143"/>
      <c r="G271" s="97"/>
      <c r="H271" s="143"/>
      <c r="I271" s="97"/>
      <c r="J271" s="97"/>
      <c r="K271" s="150"/>
      <c r="L271" s="150"/>
      <c r="M271" s="102"/>
      <c r="N271" s="124"/>
      <c r="O271" s="125"/>
      <c r="P271" s="97"/>
      <c r="Q271" s="131"/>
      <c r="R271" s="126"/>
      <c r="S271" s="97"/>
      <c r="T271" s="97"/>
      <c r="V271" s="108"/>
    </row>
    <row r="272" ht="15.75" customHeight="1">
      <c r="A272" s="91"/>
      <c r="B272" s="171"/>
      <c r="C272" s="143"/>
      <c r="D272" s="97"/>
      <c r="E272" s="143"/>
      <c r="F272" s="143"/>
      <c r="G272" s="97"/>
      <c r="H272" s="143"/>
      <c r="I272" s="97"/>
      <c r="J272" s="97"/>
      <c r="K272" s="148"/>
      <c r="L272" s="148"/>
      <c r="M272" s="102"/>
      <c r="N272" s="124"/>
      <c r="O272" s="125"/>
      <c r="P272" s="97"/>
      <c r="Q272" s="131"/>
      <c r="R272" s="126"/>
      <c r="S272" s="97"/>
      <c r="T272" s="97"/>
      <c r="V272" s="108"/>
    </row>
    <row r="273" ht="15.75" customHeight="1">
      <c r="A273" s="91"/>
      <c r="B273" s="171"/>
      <c r="C273" s="143"/>
      <c r="D273" s="97"/>
      <c r="E273" s="143"/>
      <c r="F273" s="143"/>
      <c r="G273" s="97"/>
      <c r="H273" s="143"/>
      <c r="I273" s="97"/>
      <c r="J273" s="97"/>
      <c r="K273" s="150"/>
      <c r="L273" s="150"/>
      <c r="M273" s="102"/>
      <c r="N273" s="124"/>
      <c r="O273" s="125"/>
      <c r="P273" s="97"/>
      <c r="Q273" s="131"/>
      <c r="R273" s="126"/>
      <c r="S273" s="97"/>
      <c r="T273" s="97"/>
      <c r="V273" s="108"/>
    </row>
    <row r="274" ht="15.75" customHeight="1">
      <c r="A274" s="91"/>
      <c r="B274" s="171"/>
      <c r="C274" s="143"/>
      <c r="D274" s="97"/>
      <c r="E274" s="143"/>
      <c r="F274" s="143"/>
      <c r="G274" s="97"/>
      <c r="H274" s="143"/>
      <c r="I274" s="97"/>
      <c r="J274" s="97"/>
      <c r="K274" s="148"/>
      <c r="L274" s="148"/>
      <c r="M274" s="102"/>
      <c r="N274" s="124"/>
      <c r="O274" s="125"/>
      <c r="P274" s="97"/>
      <c r="Q274" s="131"/>
      <c r="R274" s="126"/>
      <c r="S274" s="97"/>
      <c r="T274" s="97"/>
      <c r="V274" s="108"/>
    </row>
    <row r="275" ht="15.75" customHeight="1">
      <c r="A275" s="91"/>
      <c r="B275" s="171"/>
      <c r="C275" s="143"/>
      <c r="D275" s="97"/>
      <c r="E275" s="143"/>
      <c r="F275" s="143"/>
      <c r="G275" s="97"/>
      <c r="H275" s="143"/>
      <c r="I275" s="97"/>
      <c r="J275" s="97"/>
      <c r="K275" s="150"/>
      <c r="L275" s="150"/>
      <c r="M275" s="102"/>
      <c r="N275" s="124"/>
      <c r="O275" s="125"/>
      <c r="P275" s="97"/>
      <c r="Q275" s="131"/>
      <c r="R275" s="126"/>
      <c r="S275" s="97"/>
      <c r="T275" s="97"/>
      <c r="V275" s="108"/>
    </row>
    <row r="276" ht="15.75" customHeight="1">
      <c r="A276" s="91"/>
      <c r="B276" s="171"/>
      <c r="C276" s="143"/>
      <c r="D276" s="97"/>
      <c r="E276" s="143"/>
      <c r="F276" s="143"/>
      <c r="G276" s="97"/>
      <c r="H276" s="143"/>
      <c r="I276" s="97"/>
      <c r="J276" s="97"/>
      <c r="K276" s="148"/>
      <c r="L276" s="148"/>
      <c r="M276" s="102"/>
      <c r="N276" s="124"/>
      <c r="O276" s="125"/>
      <c r="P276" s="97"/>
      <c r="Q276" s="131"/>
      <c r="R276" s="126"/>
      <c r="S276" s="97"/>
      <c r="T276" s="97"/>
      <c r="V276" s="108"/>
    </row>
    <row r="277" ht="15.75" customHeight="1">
      <c r="A277" s="91"/>
      <c r="B277" s="171"/>
      <c r="C277" s="108"/>
      <c r="D277" s="97"/>
      <c r="E277" s="143"/>
      <c r="F277" s="143"/>
      <c r="G277" s="97"/>
      <c r="H277" s="143"/>
      <c r="I277" s="97"/>
      <c r="J277" s="97"/>
      <c r="K277" s="150"/>
      <c r="L277" s="150"/>
      <c r="M277" s="102"/>
      <c r="N277" s="124"/>
      <c r="O277" s="125"/>
      <c r="P277" s="97"/>
      <c r="Q277" s="131"/>
      <c r="R277" s="126"/>
      <c r="S277" s="97"/>
      <c r="T277" s="97"/>
      <c r="V277" s="108"/>
    </row>
    <row r="278" ht="15.75" customHeight="1">
      <c r="A278" s="91"/>
      <c r="B278" s="171"/>
      <c r="C278" s="143"/>
      <c r="D278" s="97"/>
      <c r="E278" s="143"/>
      <c r="F278" s="143"/>
      <c r="G278" s="97"/>
      <c r="H278" s="143"/>
      <c r="I278" s="97"/>
      <c r="J278" s="97"/>
      <c r="K278" s="148"/>
      <c r="L278" s="148"/>
      <c r="M278" s="102"/>
      <c r="N278" s="124"/>
      <c r="O278" s="125"/>
      <c r="P278" s="97"/>
      <c r="Q278" s="131"/>
      <c r="R278" s="126"/>
      <c r="S278" s="97"/>
      <c r="T278" s="97"/>
      <c r="V278" s="108"/>
    </row>
    <row r="279" ht="15.75" customHeight="1">
      <c r="A279" s="91"/>
      <c r="B279" s="171"/>
      <c r="C279" s="143"/>
      <c r="D279" s="97"/>
      <c r="E279" s="143"/>
      <c r="F279" s="143"/>
      <c r="G279" s="97"/>
      <c r="H279" s="143"/>
      <c r="I279" s="97"/>
      <c r="J279" s="97"/>
      <c r="K279" s="150"/>
      <c r="L279" s="150"/>
      <c r="M279" s="102"/>
      <c r="N279" s="124"/>
      <c r="O279" s="125"/>
      <c r="P279" s="97"/>
      <c r="Q279" s="131"/>
      <c r="R279" s="126"/>
      <c r="S279" s="97"/>
      <c r="T279" s="97"/>
      <c r="V279" s="108"/>
    </row>
    <row r="280" ht="15.75" customHeight="1">
      <c r="A280" s="91"/>
      <c r="B280" s="171"/>
      <c r="C280" s="143"/>
      <c r="D280" s="97"/>
      <c r="E280" s="143"/>
      <c r="F280" s="143"/>
      <c r="G280" s="97"/>
      <c r="H280" s="143"/>
      <c r="I280" s="97"/>
      <c r="J280" s="97"/>
      <c r="K280" s="148"/>
      <c r="L280" s="148"/>
      <c r="M280" s="102"/>
      <c r="N280" s="124"/>
      <c r="O280" s="125"/>
      <c r="P280" s="97"/>
      <c r="Q280" s="131"/>
      <c r="R280" s="126"/>
      <c r="S280" s="97"/>
      <c r="T280" s="97"/>
      <c r="V280" s="108"/>
    </row>
    <row r="281" ht="15.75" customHeight="1">
      <c r="A281" s="91"/>
      <c r="B281" s="171"/>
      <c r="C281" s="143"/>
      <c r="D281" s="97"/>
      <c r="E281" s="143"/>
      <c r="F281" s="143"/>
      <c r="G281" s="97"/>
      <c r="H281" s="143"/>
      <c r="I281" s="97"/>
      <c r="J281" s="97"/>
      <c r="K281" s="150"/>
      <c r="L281" s="150"/>
      <c r="M281" s="102"/>
      <c r="N281" s="124"/>
      <c r="O281" s="125"/>
      <c r="P281" s="97"/>
      <c r="Q281" s="131"/>
      <c r="R281" s="126"/>
      <c r="S281" s="97"/>
      <c r="T281" s="97"/>
      <c r="V281" s="108"/>
    </row>
    <row r="282" ht="15.75" customHeight="1">
      <c r="A282" s="91"/>
      <c r="B282" s="171"/>
      <c r="C282" s="143"/>
      <c r="D282" s="97"/>
      <c r="E282" s="143"/>
      <c r="F282" s="143"/>
      <c r="G282" s="97"/>
      <c r="H282" s="143"/>
      <c r="I282" s="97"/>
      <c r="J282" s="97"/>
      <c r="K282" s="148"/>
      <c r="L282" s="148"/>
      <c r="M282" s="102"/>
      <c r="N282" s="124"/>
      <c r="O282" s="125"/>
      <c r="P282" s="97"/>
      <c r="Q282" s="131"/>
      <c r="R282" s="126"/>
      <c r="S282" s="97"/>
      <c r="T282" s="97"/>
      <c r="V282" s="108"/>
    </row>
    <row r="283" ht="15.75" customHeight="1">
      <c r="A283" s="91"/>
      <c r="B283" s="171"/>
      <c r="C283" s="108"/>
      <c r="D283" s="97"/>
      <c r="E283" s="143"/>
      <c r="F283" s="143"/>
      <c r="G283" s="97"/>
      <c r="H283" s="143"/>
      <c r="I283" s="97"/>
      <c r="J283" s="97"/>
      <c r="K283" s="150"/>
      <c r="L283" s="150"/>
      <c r="M283" s="102"/>
      <c r="N283" s="124"/>
      <c r="O283" s="125"/>
      <c r="P283" s="97"/>
      <c r="Q283" s="131"/>
      <c r="R283" s="126"/>
      <c r="S283" s="97"/>
      <c r="T283" s="97"/>
      <c r="V283" s="108"/>
    </row>
    <row r="284" ht="15.75" customHeight="1">
      <c r="A284" s="91"/>
      <c r="B284" s="171"/>
      <c r="C284" s="143"/>
      <c r="D284" s="97"/>
      <c r="E284" s="143"/>
      <c r="F284" s="143"/>
      <c r="G284" s="97"/>
      <c r="H284" s="143"/>
      <c r="I284" s="97"/>
      <c r="J284" s="97"/>
      <c r="K284" s="148"/>
      <c r="L284" s="148"/>
      <c r="M284" s="102"/>
      <c r="N284" s="124"/>
      <c r="O284" s="125"/>
      <c r="P284" s="97"/>
      <c r="Q284" s="131"/>
      <c r="R284" s="126"/>
      <c r="S284" s="97"/>
      <c r="T284" s="97"/>
      <c r="V284" s="108"/>
    </row>
    <row r="285" ht="15.75" customHeight="1">
      <c r="A285" s="91"/>
      <c r="B285" s="171"/>
      <c r="C285" s="143"/>
      <c r="D285" s="97"/>
      <c r="E285" s="143"/>
      <c r="F285" s="143"/>
      <c r="G285" s="97"/>
      <c r="H285" s="143"/>
      <c r="I285" s="97"/>
      <c r="J285" s="97"/>
      <c r="K285" s="150"/>
      <c r="L285" s="150"/>
      <c r="M285" s="102"/>
      <c r="N285" s="124"/>
      <c r="O285" s="125"/>
      <c r="P285" s="97"/>
      <c r="Q285" s="131"/>
      <c r="R285" s="126"/>
      <c r="S285" s="97"/>
      <c r="T285" s="97"/>
      <c r="V285" s="108"/>
    </row>
    <row r="286" ht="15.75" customHeight="1">
      <c r="A286" s="91"/>
      <c r="B286" s="171"/>
      <c r="C286" s="143"/>
      <c r="D286" s="97"/>
      <c r="E286" s="143"/>
      <c r="F286" s="143"/>
      <c r="G286" s="97"/>
      <c r="H286" s="143"/>
      <c r="I286" s="97"/>
      <c r="J286" s="97"/>
      <c r="K286" s="148"/>
      <c r="L286" s="148"/>
      <c r="M286" s="102"/>
      <c r="N286" s="124"/>
      <c r="O286" s="125"/>
      <c r="P286" s="97"/>
      <c r="Q286" s="131"/>
      <c r="R286" s="126"/>
      <c r="S286" s="97"/>
      <c r="T286" s="97"/>
      <c r="V286" s="108"/>
    </row>
    <row r="287" ht="15.75" customHeight="1">
      <c r="A287" s="91"/>
      <c r="B287" s="171"/>
      <c r="C287" s="143"/>
      <c r="D287" s="97"/>
      <c r="E287" s="143"/>
      <c r="F287" s="143"/>
      <c r="G287" s="97"/>
      <c r="H287" s="143"/>
      <c r="I287" s="97"/>
      <c r="J287" s="97"/>
      <c r="K287" s="150"/>
      <c r="L287" s="150"/>
      <c r="M287" s="102"/>
      <c r="N287" s="124"/>
      <c r="O287" s="125"/>
      <c r="P287" s="97"/>
      <c r="Q287" s="131"/>
      <c r="R287" s="126"/>
      <c r="S287" s="97"/>
      <c r="T287" s="97"/>
      <c r="V287" s="108"/>
    </row>
    <row r="288" ht="15.75" customHeight="1">
      <c r="A288" s="91"/>
      <c r="B288" s="171"/>
      <c r="C288" s="143"/>
      <c r="D288" s="97"/>
      <c r="E288" s="143"/>
      <c r="F288" s="143"/>
      <c r="G288" s="97"/>
      <c r="H288" s="143"/>
      <c r="I288" s="97"/>
      <c r="J288" s="97"/>
      <c r="K288" s="148"/>
      <c r="L288" s="148"/>
      <c r="M288" s="102"/>
      <c r="N288" s="124"/>
      <c r="O288" s="125"/>
      <c r="P288" s="97"/>
      <c r="Q288" s="131"/>
      <c r="R288" s="126"/>
      <c r="S288" s="97"/>
      <c r="T288" s="97"/>
      <c r="V288" s="108"/>
    </row>
    <row r="289" ht="15.75" customHeight="1">
      <c r="A289" s="91"/>
      <c r="B289" s="171"/>
      <c r="C289" s="108"/>
      <c r="D289" s="97"/>
      <c r="E289" s="143"/>
      <c r="F289" s="143"/>
      <c r="G289" s="97"/>
      <c r="H289" s="143"/>
      <c r="I289" s="97"/>
      <c r="J289" s="97"/>
      <c r="K289" s="150"/>
      <c r="L289" s="150"/>
      <c r="M289" s="102"/>
      <c r="N289" s="124"/>
      <c r="O289" s="125"/>
      <c r="P289" s="97"/>
      <c r="Q289" s="131"/>
      <c r="R289" s="126"/>
      <c r="S289" s="97"/>
      <c r="T289" s="97"/>
      <c r="V289" s="108"/>
    </row>
    <row r="290" ht="15.75" customHeight="1">
      <c r="A290" s="91"/>
      <c r="B290" s="171"/>
      <c r="C290" s="143"/>
      <c r="D290" s="97"/>
      <c r="E290" s="143"/>
      <c r="F290" s="143"/>
      <c r="G290" s="97"/>
      <c r="H290" s="143"/>
      <c r="I290" s="97"/>
      <c r="J290" s="97"/>
      <c r="K290" s="148"/>
      <c r="L290" s="148"/>
      <c r="M290" s="102"/>
      <c r="N290" s="124"/>
      <c r="O290" s="125"/>
      <c r="P290" s="97"/>
      <c r="Q290" s="131"/>
      <c r="R290" s="126"/>
      <c r="S290" s="97"/>
      <c r="T290" s="97"/>
      <c r="V290" s="108"/>
    </row>
    <row r="291" ht="15.75" customHeight="1">
      <c r="A291" s="91"/>
      <c r="B291" s="171"/>
      <c r="C291" s="143"/>
      <c r="D291" s="97"/>
      <c r="E291" s="143"/>
      <c r="F291" s="143"/>
      <c r="G291" s="97"/>
      <c r="H291" s="143"/>
      <c r="I291" s="97"/>
      <c r="J291" s="97"/>
      <c r="K291" s="150"/>
      <c r="L291" s="150"/>
      <c r="M291" s="102"/>
      <c r="N291" s="124"/>
      <c r="O291" s="125"/>
      <c r="P291" s="97"/>
      <c r="Q291" s="131"/>
      <c r="R291" s="126"/>
      <c r="S291" s="97"/>
      <c r="T291" s="97"/>
      <c r="V291" s="108"/>
    </row>
    <row r="292" ht="15.75" customHeight="1">
      <c r="A292" s="91"/>
      <c r="B292" s="171"/>
      <c r="C292" s="143"/>
      <c r="D292" s="97"/>
      <c r="E292" s="143"/>
      <c r="F292" s="143"/>
      <c r="G292" s="97"/>
      <c r="H292" s="143"/>
      <c r="I292" s="97"/>
      <c r="J292" s="97"/>
      <c r="K292" s="148"/>
      <c r="L292" s="148"/>
      <c r="M292" s="102"/>
      <c r="N292" s="124"/>
      <c r="O292" s="125"/>
      <c r="P292" s="97"/>
      <c r="Q292" s="131"/>
      <c r="R292" s="126"/>
      <c r="S292" s="97"/>
      <c r="T292" s="97"/>
      <c r="V292" s="108"/>
    </row>
    <row r="293" ht="15.75" customHeight="1">
      <c r="A293" s="91"/>
      <c r="B293" s="171"/>
      <c r="C293" s="143"/>
      <c r="D293" s="97"/>
      <c r="E293" s="143"/>
      <c r="F293" s="143"/>
      <c r="G293" s="97"/>
      <c r="H293" s="143"/>
      <c r="I293" s="97"/>
      <c r="J293" s="97"/>
      <c r="K293" s="150"/>
      <c r="L293" s="150"/>
      <c r="M293" s="102"/>
      <c r="N293" s="124"/>
      <c r="O293" s="125"/>
      <c r="P293" s="97"/>
      <c r="Q293" s="131"/>
      <c r="R293" s="126"/>
      <c r="S293" s="97"/>
      <c r="T293" s="97"/>
      <c r="V293" s="108"/>
    </row>
    <row r="294" ht="15.75" customHeight="1">
      <c r="A294" s="91"/>
      <c r="B294" s="171"/>
      <c r="C294" s="143"/>
      <c r="D294" s="97"/>
      <c r="E294" s="143"/>
      <c r="F294" s="143"/>
      <c r="G294" s="97"/>
      <c r="H294" s="143"/>
      <c r="I294" s="97"/>
      <c r="J294" s="97"/>
      <c r="K294" s="148"/>
      <c r="L294" s="148"/>
      <c r="M294" s="102"/>
      <c r="N294" s="124"/>
      <c r="O294" s="125"/>
      <c r="P294" s="97"/>
      <c r="Q294" s="131"/>
      <c r="R294" s="126"/>
      <c r="S294" s="97"/>
      <c r="T294" s="97"/>
      <c r="V294" s="108"/>
    </row>
    <row r="295" ht="15.75" customHeight="1">
      <c r="A295" s="91"/>
      <c r="B295" s="171"/>
      <c r="C295" s="108"/>
      <c r="D295" s="97"/>
      <c r="E295" s="143"/>
      <c r="F295" s="143"/>
      <c r="G295" s="97"/>
      <c r="H295" s="143"/>
      <c r="I295" s="97"/>
      <c r="J295" s="97"/>
      <c r="K295" s="150"/>
      <c r="L295" s="150"/>
      <c r="M295" s="102"/>
      <c r="N295" s="124"/>
      <c r="O295" s="125"/>
      <c r="P295" s="97"/>
      <c r="Q295" s="131"/>
      <c r="R295" s="126"/>
      <c r="S295" s="97"/>
      <c r="T295" s="97"/>
      <c r="V295" s="108"/>
    </row>
    <row r="296" ht="15.75" customHeight="1">
      <c r="A296" s="91"/>
      <c r="B296" s="171"/>
      <c r="C296" s="143"/>
      <c r="D296" s="97"/>
      <c r="E296" s="143"/>
      <c r="F296" s="143"/>
      <c r="G296" s="97"/>
      <c r="H296" s="143"/>
      <c r="I296" s="97"/>
      <c r="J296" s="97"/>
      <c r="K296" s="148"/>
      <c r="L296" s="148"/>
      <c r="M296" s="102"/>
      <c r="N296" s="124"/>
      <c r="O296" s="125"/>
      <c r="P296" s="97"/>
      <c r="Q296" s="131"/>
      <c r="R296" s="126"/>
      <c r="S296" s="97"/>
      <c r="T296" s="97"/>
      <c r="V296" s="108"/>
    </row>
    <row r="297" ht="15.75" customHeight="1">
      <c r="A297" s="91"/>
      <c r="B297" s="171"/>
      <c r="C297" s="143"/>
      <c r="D297" s="97"/>
      <c r="E297" s="143"/>
      <c r="F297" s="143"/>
      <c r="G297" s="97"/>
      <c r="H297" s="143"/>
      <c r="I297" s="97"/>
      <c r="J297" s="97"/>
      <c r="K297" s="150"/>
      <c r="L297" s="150"/>
      <c r="M297" s="102"/>
      <c r="N297" s="124"/>
      <c r="O297" s="125"/>
      <c r="P297" s="97"/>
      <c r="Q297" s="131"/>
      <c r="R297" s="126"/>
      <c r="S297" s="97"/>
      <c r="T297" s="97"/>
      <c r="V297" s="108"/>
    </row>
    <row r="298" ht="15.75" customHeight="1">
      <c r="A298" s="91"/>
      <c r="B298" s="171"/>
      <c r="C298" s="143"/>
      <c r="D298" s="97"/>
      <c r="E298" s="143"/>
      <c r="F298" s="143"/>
      <c r="G298" s="97"/>
      <c r="H298" s="143"/>
      <c r="I298" s="97"/>
      <c r="J298" s="97"/>
      <c r="K298" s="148"/>
      <c r="L298" s="148"/>
      <c r="M298" s="102"/>
      <c r="N298" s="124"/>
      <c r="O298" s="125"/>
      <c r="P298" s="97"/>
      <c r="Q298" s="131"/>
      <c r="R298" s="126"/>
      <c r="S298" s="97"/>
      <c r="T298" s="97"/>
      <c r="V298" s="108"/>
    </row>
    <row r="299" ht="15.75" customHeight="1">
      <c r="A299" s="91"/>
      <c r="B299" s="171"/>
      <c r="C299" s="143"/>
      <c r="D299" s="97"/>
      <c r="E299" s="143"/>
      <c r="F299" s="143"/>
      <c r="G299" s="97"/>
      <c r="H299" s="143"/>
      <c r="I299" s="97"/>
      <c r="J299" s="97"/>
      <c r="K299" s="150"/>
      <c r="L299" s="150"/>
      <c r="M299" s="102"/>
      <c r="N299" s="124"/>
      <c r="O299" s="125"/>
      <c r="P299" s="97"/>
      <c r="Q299" s="131"/>
      <c r="R299" s="126"/>
      <c r="S299" s="97"/>
      <c r="T299" s="97"/>
      <c r="V299" s="108"/>
    </row>
    <row r="300" ht="15.75" customHeight="1">
      <c r="A300" s="91"/>
      <c r="B300" s="171"/>
      <c r="C300" s="143"/>
      <c r="D300" s="97"/>
      <c r="E300" s="143"/>
      <c r="F300" s="143"/>
      <c r="G300" s="97"/>
      <c r="H300" s="143"/>
      <c r="I300" s="97"/>
      <c r="J300" s="97"/>
      <c r="K300" s="148"/>
      <c r="L300" s="148"/>
      <c r="M300" s="102"/>
      <c r="N300" s="124"/>
      <c r="O300" s="125"/>
      <c r="P300" s="97"/>
      <c r="Q300" s="131"/>
      <c r="R300" s="126"/>
      <c r="S300" s="97"/>
      <c r="T300" s="97"/>
      <c r="V300" s="108"/>
    </row>
    <row r="301" ht="15.75" customHeight="1">
      <c r="A301" s="91"/>
      <c r="B301" s="171"/>
      <c r="C301" s="108"/>
      <c r="D301" s="97"/>
      <c r="E301" s="143"/>
      <c r="F301" s="143"/>
      <c r="G301" s="97"/>
      <c r="H301" s="143"/>
      <c r="I301" s="97"/>
      <c r="J301" s="97"/>
      <c r="K301" s="150"/>
      <c r="L301" s="150"/>
      <c r="M301" s="102"/>
      <c r="N301" s="124"/>
      <c r="O301" s="125"/>
      <c r="P301" s="97"/>
      <c r="Q301" s="131"/>
      <c r="R301" s="126"/>
      <c r="S301" s="97"/>
      <c r="T301" s="97"/>
      <c r="V301" s="108"/>
    </row>
    <row r="302" ht="15.75" customHeight="1">
      <c r="A302" s="91"/>
      <c r="B302" s="171"/>
      <c r="C302" s="143"/>
      <c r="D302" s="97"/>
      <c r="E302" s="143"/>
      <c r="F302" s="143"/>
      <c r="G302" s="97"/>
      <c r="H302" s="143"/>
      <c r="I302" s="97"/>
      <c r="J302" s="97"/>
      <c r="K302" s="148"/>
      <c r="L302" s="148"/>
      <c r="M302" s="102"/>
      <c r="N302" s="124"/>
      <c r="O302" s="125"/>
      <c r="P302" s="97"/>
      <c r="Q302" s="131"/>
      <c r="R302" s="126"/>
      <c r="S302" s="97"/>
      <c r="T302" s="97"/>
      <c r="V302" s="108"/>
    </row>
    <row r="303" ht="15.75" customHeight="1">
      <c r="A303" s="91"/>
      <c r="B303" s="171"/>
      <c r="C303" s="143"/>
      <c r="D303" s="97"/>
      <c r="E303" s="143"/>
      <c r="F303" s="143"/>
      <c r="G303" s="97"/>
      <c r="H303" s="143"/>
      <c r="I303" s="97"/>
      <c r="J303" s="97"/>
      <c r="K303" s="150"/>
      <c r="L303" s="150"/>
      <c r="M303" s="102"/>
      <c r="N303" s="124"/>
      <c r="O303" s="125"/>
      <c r="P303" s="97"/>
      <c r="Q303" s="131"/>
      <c r="R303" s="126"/>
      <c r="S303" s="97"/>
      <c r="T303" s="97"/>
      <c r="V303" s="108"/>
    </row>
    <row r="304" ht="15.75" customHeight="1">
      <c r="A304" s="91"/>
      <c r="B304" s="171"/>
      <c r="C304" s="143"/>
      <c r="D304" s="97"/>
      <c r="E304" s="143"/>
      <c r="F304" s="143"/>
      <c r="G304" s="97"/>
      <c r="H304" s="143"/>
      <c r="I304" s="97"/>
      <c r="J304" s="97"/>
      <c r="K304" s="148"/>
      <c r="L304" s="148"/>
      <c r="M304" s="102"/>
      <c r="N304" s="124"/>
      <c r="O304" s="125"/>
      <c r="P304" s="97"/>
      <c r="Q304" s="131"/>
      <c r="R304" s="126"/>
      <c r="S304" s="97"/>
      <c r="T304" s="97"/>
      <c r="V304" s="108"/>
    </row>
    <row r="305" ht="15.75" customHeight="1">
      <c r="A305" s="91"/>
      <c r="B305" s="171"/>
      <c r="C305" s="143"/>
      <c r="D305" s="97"/>
      <c r="E305" s="143"/>
      <c r="F305" s="143"/>
      <c r="G305" s="97"/>
      <c r="H305" s="143"/>
      <c r="I305" s="97"/>
      <c r="J305" s="97"/>
      <c r="K305" s="150"/>
      <c r="L305" s="150"/>
      <c r="M305" s="102"/>
      <c r="N305" s="124"/>
      <c r="O305" s="125"/>
      <c r="P305" s="97"/>
      <c r="Q305" s="131"/>
      <c r="R305" s="126"/>
      <c r="S305" s="97"/>
      <c r="T305" s="97"/>
      <c r="V305" s="108"/>
    </row>
    <row r="306" ht="15.75" customHeight="1">
      <c r="A306" s="91"/>
      <c r="B306" s="171"/>
      <c r="C306" s="143"/>
      <c r="D306" s="97"/>
      <c r="E306" s="143"/>
      <c r="F306" s="143"/>
      <c r="G306" s="97"/>
      <c r="H306" s="143"/>
      <c r="I306" s="97"/>
      <c r="J306" s="97"/>
      <c r="K306" s="148"/>
      <c r="L306" s="148"/>
      <c r="M306" s="102"/>
      <c r="N306" s="124"/>
      <c r="O306" s="125"/>
      <c r="P306" s="97"/>
      <c r="Q306" s="131"/>
      <c r="R306" s="126"/>
      <c r="S306" s="97"/>
      <c r="T306" s="97"/>
      <c r="V306" s="108"/>
    </row>
    <row r="307" ht="15.75" customHeight="1">
      <c r="A307" s="91"/>
      <c r="B307" s="171"/>
      <c r="C307" s="108"/>
      <c r="D307" s="97"/>
      <c r="E307" s="143"/>
      <c r="F307" s="143"/>
      <c r="G307" s="97"/>
      <c r="H307" s="143"/>
      <c r="I307" s="97"/>
      <c r="J307" s="97"/>
      <c r="K307" s="150"/>
      <c r="L307" s="150"/>
      <c r="M307" s="102"/>
      <c r="N307" s="124"/>
      <c r="O307" s="125"/>
      <c r="P307" s="97"/>
      <c r="Q307" s="131"/>
      <c r="R307" s="126"/>
      <c r="S307" s="97"/>
      <c r="T307" s="97"/>
      <c r="V307" s="108"/>
    </row>
    <row r="308" ht="15.75" customHeight="1">
      <c r="A308" s="91"/>
      <c r="B308" s="171"/>
      <c r="C308" s="143"/>
      <c r="D308" s="97"/>
      <c r="E308" s="143"/>
      <c r="F308" s="143"/>
      <c r="G308" s="97"/>
      <c r="H308" s="143"/>
      <c r="I308" s="97"/>
      <c r="J308" s="97"/>
      <c r="K308" s="148"/>
      <c r="L308" s="148"/>
      <c r="M308" s="102"/>
      <c r="N308" s="124"/>
      <c r="O308" s="125"/>
      <c r="P308" s="97"/>
      <c r="Q308" s="131"/>
      <c r="R308" s="126"/>
      <c r="S308" s="97"/>
      <c r="T308" s="97"/>
      <c r="V308" s="108"/>
    </row>
    <row r="309" ht="15.75" customHeight="1">
      <c r="A309" s="91"/>
      <c r="B309" s="171"/>
      <c r="C309" s="143"/>
      <c r="D309" s="97"/>
      <c r="E309" s="143"/>
      <c r="F309" s="143"/>
      <c r="G309" s="97"/>
      <c r="H309" s="143"/>
      <c r="I309" s="97"/>
      <c r="J309" s="97"/>
      <c r="K309" s="150"/>
      <c r="L309" s="150"/>
      <c r="M309" s="102"/>
      <c r="N309" s="124"/>
      <c r="O309" s="125"/>
      <c r="P309" s="97"/>
      <c r="Q309" s="131"/>
      <c r="R309" s="126"/>
      <c r="S309" s="97"/>
      <c r="T309" s="97"/>
      <c r="V309" s="108"/>
    </row>
    <row r="310" ht="15.75" customHeight="1">
      <c r="A310" s="91"/>
      <c r="B310" s="171"/>
      <c r="C310" s="143"/>
      <c r="D310" s="97"/>
      <c r="E310" s="143"/>
      <c r="F310" s="143"/>
      <c r="G310" s="97"/>
      <c r="H310" s="143"/>
      <c r="I310" s="97"/>
      <c r="J310" s="97"/>
      <c r="K310" s="148"/>
      <c r="L310" s="148"/>
      <c r="M310" s="102"/>
      <c r="N310" s="124"/>
      <c r="O310" s="125"/>
      <c r="P310" s="97"/>
      <c r="Q310" s="131"/>
      <c r="R310" s="126"/>
      <c r="S310" s="97"/>
      <c r="T310" s="97"/>
      <c r="V310" s="108"/>
    </row>
    <row r="311" ht="15.75" customHeight="1">
      <c r="A311" s="91"/>
      <c r="B311" s="171"/>
      <c r="C311" s="143"/>
      <c r="D311" s="97"/>
      <c r="E311" s="143"/>
      <c r="F311" s="143"/>
      <c r="G311" s="97"/>
      <c r="H311" s="143"/>
      <c r="I311" s="97"/>
      <c r="J311" s="97"/>
      <c r="K311" s="150"/>
      <c r="L311" s="150"/>
      <c r="M311" s="102"/>
      <c r="N311" s="124"/>
      <c r="O311" s="125"/>
      <c r="P311" s="97"/>
      <c r="Q311" s="131"/>
      <c r="R311" s="126"/>
      <c r="S311" s="97"/>
      <c r="T311" s="97"/>
      <c r="V311" s="108"/>
    </row>
    <row r="312" ht="15.75" customHeight="1">
      <c r="A312" s="91"/>
      <c r="B312" s="171"/>
      <c r="C312" s="143"/>
      <c r="D312" s="97"/>
      <c r="E312" s="143"/>
      <c r="F312" s="143"/>
      <c r="G312" s="97"/>
      <c r="H312" s="143"/>
      <c r="I312" s="97"/>
      <c r="J312" s="97"/>
      <c r="K312" s="148"/>
      <c r="L312" s="148"/>
      <c r="M312" s="102"/>
      <c r="N312" s="124"/>
      <c r="O312" s="125"/>
      <c r="P312" s="97"/>
      <c r="Q312" s="131"/>
      <c r="R312" s="126"/>
      <c r="S312" s="97"/>
      <c r="T312" s="97"/>
      <c r="V312" s="108"/>
    </row>
    <row r="313" ht="15.75" customHeight="1">
      <c r="A313" s="91"/>
      <c r="B313" s="171"/>
      <c r="C313" s="108"/>
      <c r="D313" s="97"/>
      <c r="E313" s="143"/>
      <c r="F313" s="143"/>
      <c r="G313" s="97"/>
      <c r="H313" s="143"/>
      <c r="I313" s="97"/>
      <c r="J313" s="97"/>
      <c r="K313" s="150"/>
      <c r="L313" s="150"/>
      <c r="M313" s="102"/>
      <c r="N313" s="124"/>
      <c r="O313" s="125"/>
      <c r="P313" s="97"/>
      <c r="Q313" s="131"/>
      <c r="R313" s="126"/>
      <c r="S313" s="97"/>
      <c r="T313" s="97"/>
      <c r="V313" s="108"/>
    </row>
    <row r="314" ht="15.75" customHeight="1">
      <c r="A314" s="91"/>
      <c r="B314" s="171"/>
      <c r="C314" s="143"/>
      <c r="D314" s="97"/>
      <c r="E314" s="143"/>
      <c r="F314" s="143"/>
      <c r="G314" s="97"/>
      <c r="H314" s="143"/>
      <c r="I314" s="97"/>
      <c r="J314" s="97"/>
      <c r="K314" s="148"/>
      <c r="L314" s="148"/>
      <c r="M314" s="102"/>
      <c r="N314" s="124"/>
      <c r="O314" s="125"/>
      <c r="P314" s="97"/>
      <c r="Q314" s="131"/>
      <c r="R314" s="126"/>
      <c r="S314" s="97"/>
      <c r="T314" s="97"/>
      <c r="V314" s="108"/>
    </row>
    <row r="315" ht="15.75" customHeight="1">
      <c r="A315" s="91"/>
      <c r="B315" s="171"/>
      <c r="C315" s="143"/>
      <c r="D315" s="97"/>
      <c r="E315" s="143"/>
      <c r="F315" s="143"/>
      <c r="G315" s="97"/>
      <c r="H315" s="143"/>
      <c r="I315" s="97"/>
      <c r="J315" s="97"/>
      <c r="K315" s="150"/>
      <c r="L315" s="150"/>
      <c r="M315" s="102"/>
      <c r="N315" s="124"/>
      <c r="O315" s="125"/>
      <c r="P315" s="97"/>
      <c r="Q315" s="131"/>
      <c r="R315" s="126"/>
      <c r="S315" s="97"/>
      <c r="T315" s="97"/>
      <c r="V315" s="108"/>
    </row>
    <row r="316" ht="15.75" customHeight="1">
      <c r="A316" s="91"/>
      <c r="B316" s="171"/>
      <c r="C316" s="143"/>
      <c r="D316" s="97"/>
      <c r="E316" s="143"/>
      <c r="F316" s="143"/>
      <c r="G316" s="97"/>
      <c r="H316" s="143"/>
      <c r="I316" s="97"/>
      <c r="J316" s="97"/>
      <c r="K316" s="148"/>
      <c r="L316" s="148"/>
      <c r="M316" s="102"/>
      <c r="N316" s="124"/>
      <c r="O316" s="125"/>
      <c r="P316" s="97"/>
      <c r="Q316" s="131"/>
      <c r="R316" s="126"/>
      <c r="S316" s="97"/>
      <c r="T316" s="97"/>
      <c r="V316" s="108"/>
    </row>
    <row r="317" ht="15.75" customHeight="1">
      <c r="A317" s="91"/>
      <c r="B317" s="171"/>
      <c r="C317" s="143"/>
      <c r="D317" s="97"/>
      <c r="E317" s="143"/>
      <c r="F317" s="143"/>
      <c r="G317" s="97"/>
      <c r="H317" s="143"/>
      <c r="I317" s="97"/>
      <c r="J317" s="97"/>
      <c r="K317" s="150"/>
      <c r="L317" s="150"/>
      <c r="M317" s="102"/>
      <c r="N317" s="124"/>
      <c r="O317" s="125"/>
      <c r="P317" s="97"/>
      <c r="Q317" s="131"/>
      <c r="R317" s="126"/>
      <c r="S317" s="97"/>
      <c r="T317" s="97"/>
      <c r="V317" s="108"/>
    </row>
    <row r="318" ht="15.75" customHeight="1">
      <c r="A318" s="91"/>
      <c r="B318" s="171"/>
      <c r="C318" s="143"/>
      <c r="D318" s="97"/>
      <c r="E318" s="143"/>
      <c r="F318" s="143"/>
      <c r="G318" s="97"/>
      <c r="H318" s="143"/>
      <c r="I318" s="97"/>
      <c r="J318" s="97"/>
      <c r="K318" s="148"/>
      <c r="L318" s="148"/>
      <c r="M318" s="102"/>
      <c r="N318" s="124"/>
      <c r="O318" s="125"/>
      <c r="P318" s="97"/>
      <c r="Q318" s="131"/>
      <c r="R318" s="126"/>
      <c r="S318" s="97"/>
      <c r="T318" s="97"/>
      <c r="V318" s="108"/>
    </row>
    <row r="319" ht="15.75" customHeight="1">
      <c r="A319" s="91"/>
      <c r="B319" s="171"/>
      <c r="C319" s="108"/>
      <c r="D319" s="97"/>
      <c r="E319" s="143"/>
      <c r="F319" s="143"/>
      <c r="G319" s="97"/>
      <c r="H319" s="143"/>
      <c r="I319" s="97"/>
      <c r="J319" s="97"/>
      <c r="K319" s="150"/>
      <c r="L319" s="150"/>
      <c r="M319" s="102"/>
      <c r="N319" s="124"/>
      <c r="O319" s="125"/>
      <c r="P319" s="97"/>
      <c r="Q319" s="131"/>
      <c r="R319" s="126"/>
      <c r="S319" s="97"/>
      <c r="T319" s="97"/>
      <c r="V319" s="108"/>
    </row>
    <row r="320" ht="15.75" customHeight="1">
      <c r="A320" s="91"/>
      <c r="B320" s="171"/>
      <c r="C320" s="143"/>
      <c r="D320" s="97"/>
      <c r="E320" s="143"/>
      <c r="F320" s="143"/>
      <c r="G320" s="97"/>
      <c r="H320" s="143"/>
      <c r="I320" s="97"/>
      <c r="J320" s="97"/>
      <c r="K320" s="148"/>
      <c r="L320" s="148"/>
      <c r="M320" s="102"/>
      <c r="N320" s="124"/>
      <c r="O320" s="125"/>
      <c r="P320" s="97"/>
      <c r="Q320" s="131"/>
      <c r="R320" s="126"/>
      <c r="S320" s="97"/>
      <c r="T320" s="97"/>
      <c r="V320" s="108"/>
    </row>
    <row r="321" ht="15.75" customHeight="1">
      <c r="A321" s="91"/>
      <c r="B321" s="171"/>
      <c r="C321" s="143"/>
      <c r="D321" s="97"/>
      <c r="E321" s="143"/>
      <c r="F321" s="143"/>
      <c r="G321" s="97"/>
      <c r="H321" s="143"/>
      <c r="I321" s="97"/>
      <c r="J321" s="97"/>
      <c r="K321" s="150"/>
      <c r="L321" s="150"/>
      <c r="M321" s="102"/>
      <c r="N321" s="124"/>
      <c r="O321" s="125"/>
      <c r="P321" s="97"/>
      <c r="Q321" s="131"/>
      <c r="R321" s="126"/>
      <c r="S321" s="97"/>
      <c r="T321" s="97"/>
      <c r="V321" s="108"/>
    </row>
    <row r="322" ht="15.75" customHeight="1">
      <c r="A322" s="91"/>
      <c r="B322" s="171"/>
      <c r="C322" s="143"/>
      <c r="D322" s="97"/>
      <c r="E322" s="143"/>
      <c r="F322" s="143"/>
      <c r="G322" s="97"/>
      <c r="H322" s="143"/>
      <c r="I322" s="97"/>
      <c r="J322" s="97"/>
      <c r="K322" s="148"/>
      <c r="L322" s="148"/>
      <c r="M322" s="102"/>
      <c r="N322" s="124"/>
      <c r="O322" s="125"/>
      <c r="P322" s="97"/>
      <c r="Q322" s="131"/>
      <c r="R322" s="126"/>
      <c r="S322" s="97"/>
      <c r="T322" s="97"/>
      <c r="V322" s="108"/>
    </row>
    <row r="323" ht="15.75" customHeight="1">
      <c r="A323" s="91"/>
      <c r="B323" s="171"/>
      <c r="C323" s="143"/>
      <c r="D323" s="97"/>
      <c r="E323" s="143"/>
      <c r="F323" s="143"/>
      <c r="G323" s="97"/>
      <c r="H323" s="143"/>
      <c r="I323" s="97"/>
      <c r="J323" s="97"/>
      <c r="K323" s="150"/>
      <c r="L323" s="150"/>
      <c r="M323" s="102"/>
      <c r="N323" s="124"/>
      <c r="O323" s="125"/>
      <c r="P323" s="97"/>
      <c r="Q323" s="131"/>
      <c r="R323" s="126"/>
      <c r="S323" s="97"/>
      <c r="T323" s="97"/>
      <c r="V323" s="108"/>
    </row>
    <row r="324" ht="15.75" customHeight="1">
      <c r="A324" s="91"/>
      <c r="B324" s="171"/>
      <c r="C324" s="143"/>
      <c r="D324" s="97"/>
      <c r="E324" s="143"/>
      <c r="F324" s="143"/>
      <c r="G324" s="97"/>
      <c r="H324" s="143"/>
      <c r="I324" s="97"/>
      <c r="J324" s="97"/>
      <c r="K324" s="148"/>
      <c r="L324" s="148"/>
      <c r="M324" s="102"/>
      <c r="N324" s="124"/>
      <c r="O324" s="125"/>
      <c r="P324" s="97"/>
      <c r="Q324" s="131"/>
      <c r="R324" s="126"/>
      <c r="S324" s="97"/>
      <c r="T324" s="97"/>
      <c r="V324" s="108"/>
    </row>
    <row r="325" ht="15.75" customHeight="1">
      <c r="A325" s="91"/>
      <c r="B325" s="171"/>
      <c r="C325" s="108"/>
      <c r="D325" s="97"/>
      <c r="E325" s="143"/>
      <c r="F325" s="143"/>
      <c r="G325" s="97"/>
      <c r="H325" s="143"/>
      <c r="I325" s="97"/>
      <c r="J325" s="97"/>
      <c r="K325" s="150"/>
      <c r="L325" s="150"/>
      <c r="M325" s="102"/>
      <c r="N325" s="124"/>
      <c r="O325" s="125"/>
      <c r="P325" s="97"/>
      <c r="Q325" s="131"/>
      <c r="R325" s="126"/>
      <c r="S325" s="97"/>
      <c r="T325" s="97"/>
      <c r="V325" s="108"/>
    </row>
    <row r="326" ht="15.75" customHeight="1">
      <c r="A326" s="91"/>
      <c r="B326" s="171"/>
      <c r="C326" s="143"/>
      <c r="D326" s="97"/>
      <c r="E326" s="143"/>
      <c r="F326" s="143"/>
      <c r="G326" s="97"/>
      <c r="H326" s="143"/>
      <c r="I326" s="97"/>
      <c r="J326" s="97"/>
      <c r="K326" s="148"/>
      <c r="L326" s="148"/>
      <c r="M326" s="102"/>
      <c r="N326" s="124"/>
      <c r="O326" s="125"/>
      <c r="P326" s="97"/>
      <c r="Q326" s="131"/>
      <c r="R326" s="126"/>
      <c r="S326" s="97"/>
      <c r="T326" s="97"/>
      <c r="V326" s="108"/>
    </row>
    <row r="327" ht="15.75" customHeight="1">
      <c r="A327" s="91"/>
      <c r="B327" s="171"/>
      <c r="C327" s="143"/>
      <c r="D327" s="97"/>
      <c r="E327" s="143"/>
      <c r="F327" s="143"/>
      <c r="G327" s="97"/>
      <c r="H327" s="143"/>
      <c r="I327" s="97"/>
      <c r="J327" s="97"/>
      <c r="K327" s="150"/>
      <c r="L327" s="150"/>
      <c r="M327" s="102"/>
      <c r="N327" s="124"/>
      <c r="O327" s="125"/>
      <c r="P327" s="97"/>
      <c r="Q327" s="131"/>
      <c r="R327" s="126"/>
      <c r="S327" s="97"/>
      <c r="T327" s="97"/>
      <c r="V327" s="108"/>
    </row>
    <row r="328" ht="15.75" customHeight="1">
      <c r="A328" s="91"/>
      <c r="B328" s="171"/>
      <c r="C328" s="143"/>
      <c r="D328" s="97"/>
      <c r="E328" s="143"/>
      <c r="F328" s="143"/>
      <c r="G328" s="97"/>
      <c r="H328" s="143"/>
      <c r="I328" s="97"/>
      <c r="J328" s="97"/>
      <c r="K328" s="152"/>
      <c r="L328" s="152"/>
      <c r="M328" s="102"/>
      <c r="N328" s="124"/>
      <c r="O328" s="125"/>
      <c r="P328" s="97"/>
      <c r="Q328" s="131"/>
      <c r="R328" s="126"/>
      <c r="S328" s="97"/>
      <c r="T328" s="97"/>
      <c r="V328" s="108"/>
    </row>
    <row r="329" ht="15.75" customHeight="1">
      <c r="A329" s="91"/>
      <c r="B329" s="171"/>
      <c r="C329" s="143"/>
      <c r="D329" s="97"/>
      <c r="E329" s="143"/>
      <c r="F329" s="143"/>
      <c r="G329" s="97"/>
      <c r="H329" s="143"/>
      <c r="I329" s="97"/>
      <c r="J329" s="97"/>
      <c r="K329" s="152"/>
      <c r="L329" s="152"/>
      <c r="M329" s="102"/>
      <c r="N329" s="124"/>
      <c r="O329" s="125"/>
      <c r="P329" s="97"/>
      <c r="Q329" s="131"/>
      <c r="R329" s="126"/>
      <c r="S329" s="97"/>
      <c r="T329" s="97"/>
      <c r="V329" s="108"/>
    </row>
    <row r="330" ht="15.75" customHeight="1">
      <c r="A330" s="91"/>
      <c r="B330" s="171"/>
      <c r="C330" s="143"/>
      <c r="D330" s="97"/>
      <c r="E330" s="143"/>
      <c r="F330" s="143"/>
      <c r="G330" s="97"/>
      <c r="H330" s="143"/>
      <c r="I330" s="97"/>
      <c r="J330" s="97"/>
      <c r="K330" s="152"/>
      <c r="L330" s="152"/>
      <c r="M330" s="102"/>
      <c r="N330" s="124"/>
      <c r="O330" s="125"/>
      <c r="P330" s="97"/>
      <c r="Q330" s="131"/>
      <c r="R330" s="126"/>
      <c r="S330" s="97"/>
      <c r="T330" s="97"/>
      <c r="V330" s="108"/>
    </row>
    <row r="331" ht="15.75" customHeight="1">
      <c r="A331" s="91"/>
      <c r="B331" s="171"/>
      <c r="C331" s="108"/>
      <c r="D331" s="97"/>
      <c r="E331" s="143"/>
      <c r="F331" s="143"/>
      <c r="G331" s="97"/>
      <c r="H331" s="143"/>
      <c r="I331" s="97"/>
      <c r="J331" s="97"/>
      <c r="K331" s="152"/>
      <c r="L331" s="152"/>
      <c r="M331" s="102"/>
      <c r="N331" s="124"/>
      <c r="O331" s="125"/>
      <c r="P331" s="97"/>
      <c r="Q331" s="131"/>
      <c r="R331" s="126"/>
      <c r="S331" s="97"/>
      <c r="T331" s="97"/>
      <c r="V331" s="108"/>
    </row>
    <row r="332" ht="15.75" customHeight="1">
      <c r="A332" s="91"/>
      <c r="B332" s="171"/>
      <c r="C332" s="143"/>
      <c r="D332" s="97"/>
      <c r="E332" s="143"/>
      <c r="F332" s="143"/>
      <c r="G332" s="97"/>
      <c r="H332" s="143"/>
      <c r="I332" s="97"/>
      <c r="J332" s="97"/>
      <c r="K332" s="152"/>
      <c r="L332" s="152"/>
      <c r="M332" s="102"/>
      <c r="N332" s="124"/>
      <c r="O332" s="125"/>
      <c r="P332" s="97"/>
      <c r="Q332" s="131"/>
      <c r="R332" s="126"/>
      <c r="S332" s="97"/>
      <c r="T332" s="97"/>
      <c r="V332" s="108"/>
    </row>
    <row r="333" ht="15.75" customHeight="1">
      <c r="A333" s="91"/>
      <c r="B333" s="171"/>
      <c r="C333" s="143"/>
      <c r="D333" s="97"/>
      <c r="E333" s="143"/>
      <c r="F333" s="143"/>
      <c r="G333" s="97"/>
      <c r="H333" s="143"/>
      <c r="I333" s="97"/>
      <c r="J333" s="97"/>
      <c r="K333" s="152"/>
      <c r="L333" s="152"/>
      <c r="M333" s="102"/>
      <c r="N333" s="124"/>
      <c r="O333" s="125"/>
      <c r="P333" s="97"/>
      <c r="Q333" s="131"/>
      <c r="R333" s="126"/>
      <c r="S333" s="97"/>
      <c r="T333" s="97"/>
      <c r="V333" s="108"/>
    </row>
    <row r="334" ht="15.75" customHeight="1">
      <c r="A334" s="91"/>
      <c r="B334" s="171"/>
      <c r="C334" s="143"/>
      <c r="D334" s="97"/>
      <c r="E334" s="143"/>
      <c r="F334" s="143"/>
      <c r="G334" s="97"/>
      <c r="H334" s="143"/>
      <c r="I334" s="97"/>
      <c r="J334" s="97"/>
      <c r="K334" s="152"/>
      <c r="L334" s="152"/>
      <c r="M334" s="102"/>
      <c r="N334" s="124"/>
      <c r="O334" s="125"/>
      <c r="P334" s="97"/>
      <c r="Q334" s="131"/>
      <c r="R334" s="126"/>
      <c r="S334" s="97"/>
      <c r="T334" s="97"/>
      <c r="V334" s="108"/>
    </row>
    <row r="335" ht="15.75" customHeight="1">
      <c r="A335" s="91"/>
      <c r="B335" s="171"/>
      <c r="C335" s="143"/>
      <c r="D335" s="97"/>
      <c r="E335" s="143"/>
      <c r="F335" s="143"/>
      <c r="G335" s="97"/>
      <c r="H335" s="143"/>
      <c r="I335" s="97"/>
      <c r="J335" s="97"/>
      <c r="K335" s="152"/>
      <c r="L335" s="152"/>
      <c r="M335" s="102"/>
      <c r="N335" s="124"/>
      <c r="O335" s="125"/>
      <c r="P335" s="97"/>
      <c r="Q335" s="131"/>
      <c r="R335" s="126"/>
      <c r="S335" s="97"/>
      <c r="T335" s="97"/>
      <c r="V335" s="108"/>
    </row>
    <row r="336" ht="15.75" customHeight="1">
      <c r="A336" s="91"/>
      <c r="B336" s="171"/>
      <c r="C336" s="143"/>
      <c r="D336" s="97"/>
      <c r="E336" s="143"/>
      <c r="F336" s="143"/>
      <c r="G336" s="97"/>
      <c r="H336" s="143"/>
      <c r="I336" s="97"/>
      <c r="J336" s="97"/>
      <c r="K336" s="152"/>
      <c r="L336" s="152"/>
      <c r="M336" s="102"/>
      <c r="N336" s="124"/>
      <c r="O336" s="125"/>
      <c r="P336" s="97"/>
      <c r="Q336" s="131"/>
      <c r="R336" s="126"/>
      <c r="S336" s="97"/>
      <c r="T336" s="97"/>
      <c r="V336" s="108"/>
    </row>
    <row r="337" ht="15.75" customHeight="1">
      <c r="A337" s="91"/>
      <c r="B337" s="171"/>
      <c r="C337" s="108"/>
      <c r="D337" s="97"/>
      <c r="E337" s="143"/>
      <c r="F337" s="143"/>
      <c r="G337" s="97"/>
      <c r="H337" s="143"/>
      <c r="I337" s="97"/>
      <c r="J337" s="97"/>
      <c r="K337" s="152"/>
      <c r="L337" s="152"/>
      <c r="M337" s="102"/>
      <c r="N337" s="124"/>
      <c r="O337" s="125"/>
      <c r="P337" s="97"/>
      <c r="Q337" s="131"/>
      <c r="R337" s="126"/>
      <c r="S337" s="97"/>
      <c r="T337" s="97"/>
      <c r="V337" s="108"/>
    </row>
    <row r="338" ht="15.75" customHeight="1">
      <c r="A338" s="91"/>
      <c r="B338" s="171"/>
      <c r="C338" s="143"/>
      <c r="D338" s="97"/>
      <c r="E338" s="143"/>
      <c r="F338" s="143"/>
      <c r="G338" s="97"/>
      <c r="H338" s="143"/>
      <c r="I338" s="97"/>
      <c r="J338" s="97"/>
      <c r="K338" s="152"/>
      <c r="L338" s="152"/>
      <c r="M338" s="102"/>
      <c r="N338" s="124"/>
      <c r="O338" s="125"/>
      <c r="P338" s="97"/>
      <c r="Q338" s="131"/>
      <c r="R338" s="126"/>
      <c r="S338" s="97"/>
      <c r="T338" s="97"/>
      <c r="V338" s="108"/>
    </row>
    <row r="339" ht="15.75" customHeight="1">
      <c r="A339" s="91"/>
      <c r="B339" s="171"/>
      <c r="C339" s="143"/>
      <c r="D339" s="97"/>
      <c r="E339" s="143"/>
      <c r="F339" s="143"/>
      <c r="G339" s="97"/>
      <c r="H339" s="143"/>
      <c r="I339" s="97"/>
      <c r="J339" s="97"/>
      <c r="K339" s="152"/>
      <c r="L339" s="152"/>
      <c r="M339" s="102"/>
      <c r="N339" s="124"/>
      <c r="O339" s="125"/>
      <c r="P339" s="97"/>
      <c r="Q339" s="131"/>
      <c r="R339" s="126"/>
      <c r="S339" s="97"/>
      <c r="T339" s="97"/>
      <c r="V339" s="108"/>
    </row>
    <row r="340" ht="15.75" customHeight="1">
      <c r="A340" s="91"/>
      <c r="B340" s="171"/>
      <c r="C340" s="143"/>
      <c r="D340" s="97"/>
      <c r="E340" s="143"/>
      <c r="F340" s="143"/>
      <c r="G340" s="97"/>
      <c r="H340" s="143"/>
      <c r="I340" s="97"/>
      <c r="J340" s="97"/>
      <c r="K340" s="152"/>
      <c r="L340" s="152"/>
      <c r="M340" s="102"/>
      <c r="N340" s="124"/>
      <c r="O340" s="125"/>
      <c r="P340" s="97"/>
      <c r="Q340" s="131"/>
      <c r="R340" s="126"/>
      <c r="S340" s="97"/>
      <c r="T340" s="97"/>
      <c r="V340" s="108"/>
    </row>
    <row r="341" ht="15.75" customHeight="1">
      <c r="A341" s="91"/>
      <c r="B341" s="171"/>
      <c r="C341" s="143"/>
      <c r="D341" s="97"/>
      <c r="E341" s="143"/>
      <c r="F341" s="143"/>
      <c r="G341" s="97"/>
      <c r="H341" s="143"/>
      <c r="I341" s="97"/>
      <c r="J341" s="97"/>
      <c r="K341" s="152"/>
      <c r="L341" s="152"/>
      <c r="M341" s="102"/>
      <c r="N341" s="124"/>
      <c r="O341" s="125"/>
      <c r="P341" s="97"/>
      <c r="Q341" s="131"/>
      <c r="R341" s="126"/>
      <c r="S341" s="97"/>
      <c r="T341" s="97"/>
      <c r="V341" s="108"/>
    </row>
    <row r="342" ht="15.75" customHeight="1">
      <c r="A342" s="91"/>
      <c r="B342" s="171"/>
      <c r="C342" s="143"/>
      <c r="D342" s="97"/>
      <c r="E342" s="143"/>
      <c r="F342" s="143"/>
      <c r="G342" s="97"/>
      <c r="H342" s="143"/>
      <c r="I342" s="97"/>
      <c r="J342" s="97"/>
      <c r="K342" s="152"/>
      <c r="L342" s="152"/>
      <c r="M342" s="102"/>
      <c r="N342" s="124"/>
      <c r="O342" s="125"/>
      <c r="P342" s="97"/>
      <c r="Q342" s="131"/>
      <c r="R342" s="126"/>
      <c r="S342" s="97"/>
      <c r="T342" s="97"/>
      <c r="V342" s="108"/>
    </row>
    <row r="343" ht="15.75" customHeight="1">
      <c r="A343" s="91"/>
      <c r="B343" s="171"/>
      <c r="C343" s="108"/>
      <c r="D343" s="97"/>
      <c r="E343" s="143"/>
      <c r="F343" s="143"/>
      <c r="G343" s="97"/>
      <c r="H343" s="143"/>
      <c r="I343" s="97"/>
      <c r="J343" s="97"/>
      <c r="K343" s="152"/>
      <c r="L343" s="152"/>
      <c r="M343" s="102"/>
      <c r="N343" s="124"/>
      <c r="O343" s="125"/>
      <c r="P343" s="97"/>
      <c r="Q343" s="131"/>
      <c r="R343" s="126"/>
      <c r="S343" s="97"/>
      <c r="T343" s="97"/>
      <c r="V343" s="108"/>
    </row>
    <row r="344" ht="15.75" customHeight="1">
      <c r="A344" s="91"/>
      <c r="B344" s="171"/>
      <c r="C344" s="143"/>
      <c r="D344" s="97"/>
      <c r="E344" s="143"/>
      <c r="F344" s="143"/>
      <c r="G344" s="97"/>
      <c r="H344" s="143"/>
      <c r="I344" s="97"/>
      <c r="J344" s="97"/>
      <c r="K344" s="152"/>
      <c r="L344" s="152"/>
      <c r="M344" s="102"/>
      <c r="N344" s="124"/>
      <c r="O344" s="125"/>
      <c r="P344" s="97"/>
      <c r="Q344" s="131"/>
      <c r="R344" s="126"/>
      <c r="S344" s="97"/>
      <c r="T344" s="97"/>
      <c r="V344" s="108"/>
    </row>
    <row r="345" ht="15.75" customHeight="1">
      <c r="A345" s="91"/>
      <c r="B345" s="171"/>
      <c r="C345" s="143"/>
      <c r="D345" s="97"/>
      <c r="E345" s="143"/>
      <c r="F345" s="143"/>
      <c r="G345" s="97"/>
      <c r="H345" s="143"/>
      <c r="I345" s="97"/>
      <c r="J345" s="97"/>
      <c r="K345" s="152"/>
      <c r="L345" s="152"/>
      <c r="M345" s="102"/>
      <c r="N345" s="124"/>
      <c r="O345" s="125"/>
      <c r="P345" s="97"/>
      <c r="Q345" s="131"/>
      <c r="R345" s="126"/>
      <c r="S345" s="97"/>
      <c r="T345" s="97"/>
      <c r="V345" s="108"/>
    </row>
    <row r="346" ht="15.75" customHeight="1">
      <c r="A346" s="91"/>
      <c r="B346" s="171"/>
      <c r="C346" s="143"/>
      <c r="D346" s="97"/>
      <c r="E346" s="143"/>
      <c r="F346" s="143"/>
      <c r="G346" s="97"/>
      <c r="H346" s="143"/>
      <c r="I346" s="97"/>
      <c r="J346" s="97"/>
      <c r="K346" s="152"/>
      <c r="L346" s="152"/>
      <c r="M346" s="102"/>
      <c r="N346" s="124"/>
      <c r="O346" s="125"/>
      <c r="P346" s="97"/>
      <c r="Q346" s="131"/>
      <c r="R346" s="126"/>
      <c r="S346" s="97"/>
      <c r="T346" s="97"/>
      <c r="V346" s="108"/>
    </row>
    <row r="347" ht="15.75" customHeight="1">
      <c r="A347" s="91"/>
      <c r="B347" s="171"/>
      <c r="C347" s="143"/>
      <c r="D347" s="97"/>
      <c r="E347" s="143"/>
      <c r="F347" s="143"/>
      <c r="G347" s="97"/>
      <c r="H347" s="143"/>
      <c r="I347" s="97"/>
      <c r="J347" s="97"/>
      <c r="K347" s="152"/>
      <c r="L347" s="152"/>
      <c r="M347" s="102"/>
      <c r="N347" s="124"/>
      <c r="O347" s="125"/>
      <c r="P347" s="97"/>
      <c r="Q347" s="131"/>
      <c r="R347" s="126"/>
      <c r="S347" s="97"/>
      <c r="T347" s="97"/>
      <c r="V347" s="108"/>
    </row>
    <row r="348" ht="15.75" customHeight="1">
      <c r="A348" s="91"/>
      <c r="B348" s="171"/>
      <c r="C348" s="143"/>
      <c r="D348" s="97"/>
      <c r="E348" s="143"/>
      <c r="F348" s="143"/>
      <c r="G348" s="97"/>
      <c r="H348" s="143"/>
      <c r="I348" s="97"/>
      <c r="J348" s="97"/>
      <c r="K348" s="152"/>
      <c r="L348" s="152"/>
      <c r="M348" s="102"/>
      <c r="N348" s="124"/>
      <c r="O348" s="125"/>
      <c r="P348" s="97"/>
      <c r="Q348" s="131"/>
      <c r="R348" s="126"/>
      <c r="S348" s="97"/>
      <c r="T348" s="97"/>
      <c r="V348" s="108"/>
    </row>
    <row r="349" ht="15.75" customHeight="1">
      <c r="A349" s="91"/>
      <c r="B349" s="171"/>
      <c r="C349" s="108"/>
      <c r="D349" s="97"/>
      <c r="E349" s="143"/>
      <c r="F349" s="143"/>
      <c r="G349" s="97"/>
      <c r="H349" s="143"/>
      <c r="I349" s="97"/>
      <c r="J349" s="97"/>
      <c r="K349" s="152"/>
      <c r="L349" s="152"/>
      <c r="M349" s="102"/>
      <c r="N349" s="124"/>
      <c r="O349" s="125"/>
      <c r="P349" s="97"/>
      <c r="Q349" s="131"/>
      <c r="R349" s="126"/>
      <c r="S349" s="97"/>
      <c r="T349" s="97"/>
      <c r="V349" s="108"/>
    </row>
    <row r="350" ht="15.75" customHeight="1">
      <c r="A350" s="91"/>
      <c r="B350" s="171"/>
      <c r="C350" s="143"/>
      <c r="D350" s="97"/>
      <c r="E350" s="143"/>
      <c r="F350" s="143"/>
      <c r="G350" s="97"/>
      <c r="H350" s="143"/>
      <c r="I350" s="97"/>
      <c r="J350" s="97"/>
      <c r="K350" s="152"/>
      <c r="L350" s="152"/>
      <c r="M350" s="102"/>
      <c r="N350" s="124"/>
      <c r="O350" s="125"/>
      <c r="P350" s="97"/>
      <c r="Q350" s="131"/>
      <c r="R350" s="126"/>
      <c r="S350" s="97"/>
      <c r="T350" s="97"/>
      <c r="V350" s="108"/>
    </row>
    <row r="351" ht="15.75" customHeight="1">
      <c r="A351" s="91"/>
      <c r="B351" s="171"/>
      <c r="C351" s="143"/>
      <c r="D351" s="97"/>
      <c r="E351" s="143"/>
      <c r="F351" s="143"/>
      <c r="G351" s="97"/>
      <c r="H351" s="143"/>
      <c r="I351" s="97"/>
      <c r="J351" s="97"/>
      <c r="K351" s="152"/>
      <c r="L351" s="152"/>
      <c r="M351" s="102"/>
      <c r="N351" s="124"/>
      <c r="O351" s="125"/>
      <c r="P351" s="97"/>
      <c r="Q351" s="131"/>
      <c r="R351" s="126"/>
      <c r="S351" s="97"/>
      <c r="T351" s="97"/>
      <c r="V351" s="108"/>
    </row>
    <row r="352" ht="15.75" customHeight="1">
      <c r="A352" s="91"/>
      <c r="B352" s="171"/>
      <c r="C352" s="143"/>
      <c r="D352" s="97"/>
      <c r="E352" s="143"/>
      <c r="F352" s="143"/>
      <c r="G352" s="97"/>
      <c r="H352" s="143"/>
      <c r="I352" s="97"/>
      <c r="J352" s="97"/>
      <c r="K352" s="152"/>
      <c r="L352" s="152"/>
      <c r="M352" s="102"/>
      <c r="N352" s="124"/>
      <c r="O352" s="125"/>
      <c r="P352" s="97"/>
      <c r="Q352" s="131"/>
      <c r="R352" s="126"/>
      <c r="S352" s="97"/>
      <c r="T352" s="97"/>
      <c r="V352" s="108"/>
    </row>
    <row r="353" ht="15.75" customHeight="1">
      <c r="A353" s="91"/>
      <c r="B353" s="171"/>
      <c r="C353" s="143"/>
      <c r="D353" s="97"/>
      <c r="E353" s="143"/>
      <c r="F353" s="143"/>
      <c r="G353" s="97"/>
      <c r="H353" s="143"/>
      <c r="I353" s="97"/>
      <c r="J353" s="97"/>
      <c r="K353" s="152"/>
      <c r="L353" s="152"/>
      <c r="M353" s="102"/>
      <c r="N353" s="124"/>
      <c r="O353" s="125"/>
      <c r="P353" s="97"/>
      <c r="Q353" s="131"/>
      <c r="R353" s="126"/>
      <c r="S353" s="97"/>
      <c r="T353" s="97"/>
      <c r="V353" s="108"/>
    </row>
    <row r="354" ht="15.75" customHeight="1">
      <c r="A354" s="91"/>
      <c r="B354" s="171"/>
      <c r="C354" s="143"/>
      <c r="D354" s="97"/>
      <c r="E354" s="143"/>
      <c r="F354" s="143"/>
      <c r="G354" s="97"/>
      <c r="H354" s="143"/>
      <c r="I354" s="97"/>
      <c r="J354" s="97"/>
      <c r="K354" s="152"/>
      <c r="L354" s="152"/>
      <c r="M354" s="102"/>
      <c r="N354" s="124"/>
      <c r="O354" s="125"/>
      <c r="P354" s="97"/>
      <c r="Q354" s="131"/>
      <c r="R354" s="126"/>
      <c r="S354" s="97"/>
      <c r="T354" s="97"/>
      <c r="V354" s="108"/>
    </row>
    <row r="355" ht="15.75" customHeight="1">
      <c r="A355" s="91"/>
      <c r="B355" s="171"/>
      <c r="C355" s="108"/>
      <c r="D355" s="97"/>
      <c r="E355" s="143"/>
      <c r="F355" s="143"/>
      <c r="G355" s="97"/>
      <c r="H355" s="143"/>
      <c r="I355" s="97"/>
      <c r="J355" s="97"/>
      <c r="K355" s="152"/>
      <c r="L355" s="152"/>
      <c r="M355" s="102"/>
      <c r="N355" s="124"/>
      <c r="O355" s="125"/>
      <c r="P355" s="97"/>
      <c r="Q355" s="131"/>
      <c r="R355" s="126"/>
      <c r="S355" s="97"/>
      <c r="T355" s="97"/>
      <c r="V355" s="108"/>
    </row>
    <row r="356" ht="15.75" customHeight="1">
      <c r="A356" s="91"/>
      <c r="B356" s="171"/>
      <c r="C356" s="143"/>
      <c r="D356" s="97"/>
      <c r="E356" s="143"/>
      <c r="F356" s="143"/>
      <c r="G356" s="97"/>
      <c r="H356" s="143"/>
      <c r="I356" s="97"/>
      <c r="J356" s="97"/>
      <c r="K356" s="152"/>
      <c r="L356" s="152"/>
      <c r="M356" s="102"/>
      <c r="N356" s="124"/>
      <c r="O356" s="125"/>
      <c r="P356" s="97"/>
      <c r="Q356" s="131"/>
      <c r="R356" s="126"/>
      <c r="S356" s="97"/>
      <c r="T356" s="97"/>
      <c r="V356" s="108"/>
    </row>
    <row r="357" ht="15.75" customHeight="1">
      <c r="A357" s="91"/>
      <c r="B357" s="171"/>
      <c r="C357" s="143"/>
      <c r="D357" s="97"/>
      <c r="E357" s="143"/>
      <c r="F357" s="143"/>
      <c r="G357" s="97"/>
      <c r="H357" s="143"/>
      <c r="I357" s="97"/>
      <c r="J357" s="97"/>
      <c r="K357" s="152"/>
      <c r="L357" s="152"/>
      <c r="M357" s="102"/>
      <c r="N357" s="124"/>
      <c r="O357" s="125"/>
      <c r="P357" s="97"/>
      <c r="Q357" s="131"/>
      <c r="R357" s="126"/>
      <c r="S357" s="97"/>
      <c r="T357" s="97"/>
      <c r="V357" s="108"/>
    </row>
    <row r="358" ht="15.75" customHeight="1">
      <c r="A358" s="91"/>
      <c r="B358" s="171"/>
      <c r="C358" s="143"/>
      <c r="D358" s="97"/>
      <c r="E358" s="143"/>
      <c r="F358" s="143"/>
      <c r="G358" s="97"/>
      <c r="H358" s="143"/>
      <c r="I358" s="97"/>
      <c r="J358" s="97"/>
      <c r="K358" s="152"/>
      <c r="L358" s="152"/>
      <c r="M358" s="102"/>
      <c r="N358" s="124"/>
      <c r="O358" s="125"/>
      <c r="P358" s="97"/>
      <c r="Q358" s="131"/>
      <c r="R358" s="126"/>
      <c r="S358" s="97"/>
      <c r="T358" s="97"/>
      <c r="V358" s="108"/>
    </row>
    <row r="359" ht="15.75" customHeight="1">
      <c r="A359" s="91"/>
      <c r="B359" s="171"/>
      <c r="C359" s="143"/>
      <c r="D359" s="97"/>
      <c r="E359" s="143"/>
      <c r="F359" s="143"/>
      <c r="G359" s="97"/>
      <c r="H359" s="143"/>
      <c r="I359" s="97"/>
      <c r="J359" s="97"/>
      <c r="K359" s="152"/>
      <c r="L359" s="152"/>
      <c r="M359" s="102"/>
      <c r="N359" s="124"/>
      <c r="O359" s="125"/>
      <c r="P359" s="97"/>
      <c r="Q359" s="131"/>
      <c r="R359" s="126"/>
      <c r="S359" s="97"/>
      <c r="T359" s="97"/>
      <c r="V359" s="108"/>
    </row>
    <row r="360" ht="15.75" customHeight="1">
      <c r="A360" s="91"/>
      <c r="B360" s="171"/>
      <c r="C360" s="143"/>
      <c r="D360" s="97"/>
      <c r="E360" s="143"/>
      <c r="F360" s="143"/>
      <c r="G360" s="97"/>
      <c r="H360" s="143"/>
      <c r="I360" s="97"/>
      <c r="J360" s="97"/>
      <c r="K360" s="152"/>
      <c r="L360" s="152"/>
      <c r="M360" s="102"/>
      <c r="N360" s="124"/>
      <c r="O360" s="125"/>
      <c r="P360" s="97"/>
      <c r="Q360" s="131"/>
      <c r="R360" s="126"/>
      <c r="S360" s="97"/>
      <c r="T360" s="97"/>
      <c r="V360" s="108"/>
    </row>
  </sheetData>
  <autoFilter ref="$A$12:$V$109"/>
  <customSheetViews>
    <customSheetView guid="{13FBEE33-5560-4ECB-B707-C73777468090}" filter="1" showAutoFilter="1">
      <autoFilter ref="$R$18"/>
    </customSheetView>
  </customSheetViews>
  <mergeCells count="350">
    <mergeCell ref="T9:U9"/>
    <mergeCell ref="T10:U10"/>
    <mergeCell ref="T11:U11"/>
    <mergeCell ref="T12:U12"/>
    <mergeCell ref="T13:U13"/>
    <mergeCell ref="T14:U14"/>
    <mergeCell ref="T15:U15"/>
    <mergeCell ref="T16:U16"/>
    <mergeCell ref="T17:U17"/>
    <mergeCell ref="T18:U18"/>
    <mergeCell ref="T19:U19"/>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60">
      <formula1>"Think About It,Money,Partner,Time,Fear,Value"</formula1>
    </dataValidation>
    <dataValidation type="list" allowBlank="1" showErrorMessage="1" sqref="I13: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3.5"/>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4"/>
      <c r="B1" s="89" t="s">
        <v>31</v>
      </c>
      <c r="C1" s="89" t="s">
        <v>77</v>
      </c>
      <c r="D1" s="34"/>
      <c r="E1" s="39" t="s">
        <v>33</v>
      </c>
      <c r="F1" s="40"/>
      <c r="G1" s="34"/>
      <c r="H1" s="39" t="s">
        <v>34</v>
      </c>
      <c r="I1" s="40"/>
      <c r="J1" s="13"/>
      <c r="K1" s="153" t="s">
        <v>35</v>
      </c>
      <c r="L1" s="42"/>
      <c r="M1" s="13"/>
      <c r="N1" s="39" t="s">
        <v>36</v>
      </c>
      <c r="O1" s="43"/>
      <c r="P1" s="34"/>
      <c r="Q1" s="39" t="s">
        <v>37</v>
      </c>
      <c r="R1" s="44"/>
      <c r="S1" s="40"/>
      <c r="T1" s="40"/>
      <c r="U1" s="34" t="s">
        <v>38</v>
      </c>
      <c r="V1" s="34"/>
    </row>
    <row r="2">
      <c r="A2" s="34"/>
      <c r="B2" s="40"/>
      <c r="C2" s="40"/>
      <c r="D2" s="13"/>
      <c r="E2" s="154" t="s">
        <v>26</v>
      </c>
      <c r="F2" s="155">
        <f>IFERROR(COUNTIFS(I13:I287, "Full-Pay"),"")</f>
        <v>1</v>
      </c>
      <c r="G2" s="13"/>
      <c r="H2" s="47" t="s">
        <v>16</v>
      </c>
      <c r="I2" s="48">
        <f>iferror(I10/I8,"")</f>
        <v>0.32</v>
      </c>
      <c r="J2" s="12"/>
      <c r="K2" s="156" t="s">
        <v>39</v>
      </c>
      <c r="L2" s="50">
        <f>iferror(F8/I6,"")</f>
        <v>0.06451612903</v>
      </c>
      <c r="M2" s="12"/>
      <c r="N2" s="51" t="s">
        <v>40</v>
      </c>
      <c r="O2" s="52">
        <f>IFERROR(COUNTIFS(N13:N286, "think about it"),"")</f>
        <v>1</v>
      </c>
      <c r="P2" s="13"/>
      <c r="Q2" s="53" t="s">
        <v>41</v>
      </c>
      <c r="R2" s="54">
        <f>IFERROR(COUNTIF(H13:H286,Q2),"")</f>
        <v>0</v>
      </c>
      <c r="S2" s="53" t="s">
        <v>42</v>
      </c>
      <c r="T2" s="55">
        <f>IFERROR(COUNTIF(H13:H286,S2),"")</f>
        <v>0</v>
      </c>
      <c r="U2" s="34"/>
      <c r="V2" s="56"/>
    </row>
    <row r="3">
      <c r="A3" s="13"/>
      <c r="B3" s="157" t="s">
        <v>43</v>
      </c>
      <c r="C3" s="58">
        <f>IFERROR(SUM(K13:K283),"")</f>
        <v>69500</v>
      </c>
      <c r="D3" s="59"/>
      <c r="E3" s="154" t="s">
        <v>27</v>
      </c>
      <c r="F3" s="155">
        <f>IFERROR(COUNTIFS(I13:I287, "Split-Pay"),"")</f>
        <v>7</v>
      </c>
      <c r="G3" s="13"/>
      <c r="H3" s="47" t="s">
        <v>17</v>
      </c>
      <c r="I3" s="48">
        <f>IFERROR(I10/I9,"")</f>
        <v>0.347826087</v>
      </c>
      <c r="J3" s="12"/>
      <c r="K3" s="156" t="s">
        <v>44</v>
      </c>
      <c r="L3" s="50">
        <f>iferror(F9/I6,"")</f>
        <v>0.03225806452</v>
      </c>
      <c r="M3" s="12"/>
      <c r="N3" s="51" t="s">
        <v>45</v>
      </c>
      <c r="O3" s="60">
        <f>IFERROR(COUNTIFS(N13:N286, "money"),"")</f>
        <v>10</v>
      </c>
      <c r="P3" s="13"/>
      <c r="Q3" s="53" t="s">
        <v>46</v>
      </c>
      <c r="R3" s="54">
        <f>IFERROR(COUNTIF(H13:H286,Q3),"")</f>
        <v>0</v>
      </c>
      <c r="S3" s="53" t="s">
        <v>47</v>
      </c>
      <c r="T3" s="55">
        <f>IFERROR(COUNTIF(H13:H286,S3),"")</f>
        <v>0</v>
      </c>
      <c r="U3" s="34"/>
      <c r="V3" s="56"/>
    </row>
    <row r="4">
      <c r="A4" s="13"/>
      <c r="B4" s="158" t="s">
        <v>48</v>
      </c>
      <c r="C4" s="62">
        <f>IFERROR(SUM(L13:L284),"")</f>
        <v>22100</v>
      </c>
      <c r="D4" s="59"/>
      <c r="E4" s="154" t="s">
        <v>28</v>
      </c>
      <c r="F4" s="155">
        <f>IFERROR(COUNTIFS(I13:I287, "Deposit"),"")</f>
        <v>0</v>
      </c>
      <c r="G4" s="13"/>
      <c r="H4" s="47" t="s">
        <v>18</v>
      </c>
      <c r="I4" s="48">
        <f>IFERROR(I9/I8,"")</f>
        <v>0.92</v>
      </c>
      <c r="J4" s="12"/>
      <c r="K4" s="156" t="s">
        <v>49</v>
      </c>
      <c r="L4" s="50">
        <f>iferror(F10/I6,"")</f>
        <v>0.09677419355</v>
      </c>
      <c r="M4" s="12"/>
      <c r="N4" s="51" t="s">
        <v>50</v>
      </c>
      <c r="O4" s="52">
        <f>IFERROR(COUNTIFS(N13:N286, "time"),"")</f>
        <v>2</v>
      </c>
      <c r="P4" s="13"/>
      <c r="Q4" s="53" t="s">
        <v>51</v>
      </c>
      <c r="R4" s="54">
        <f>IFERROR(COUNTIF(H13:H286,Q4),"")</f>
        <v>0</v>
      </c>
      <c r="S4" s="53" t="s">
        <v>52</v>
      </c>
      <c r="T4" s="55">
        <f>IFERROR(COUNTIF(H13:H286,S4),"")</f>
        <v>0</v>
      </c>
      <c r="U4" s="34"/>
      <c r="V4" s="34"/>
    </row>
    <row r="5">
      <c r="A5" s="34"/>
      <c r="B5" s="40"/>
      <c r="C5" s="40"/>
      <c r="D5" s="13"/>
      <c r="E5" s="154" t="s">
        <v>53</v>
      </c>
      <c r="F5" s="155">
        <f>IFERROR(COUNTIFS(I13:I287, "Offer &amp; Didn't Buy"),"")</f>
        <v>15</v>
      </c>
      <c r="G5" s="13"/>
      <c r="H5" s="47" t="s">
        <v>54</v>
      </c>
      <c r="I5" s="48">
        <f>IFERROR(F7/(C6+F7+F8),"")</f>
        <v>0</v>
      </c>
      <c r="J5" s="13"/>
      <c r="K5" s="156" t="s">
        <v>54</v>
      </c>
      <c r="L5" s="50">
        <f>iferror(F7/I6,"")</f>
        <v>0</v>
      </c>
      <c r="M5" s="12"/>
      <c r="N5" s="51" t="s">
        <v>55</v>
      </c>
      <c r="O5" s="52">
        <f>IFERROR(COUNTIFS(N13:N286, "partner"),"")</f>
        <v>1</v>
      </c>
      <c r="P5" s="13"/>
      <c r="Q5" s="53" t="s">
        <v>56</v>
      </c>
      <c r="R5" s="54">
        <f>IFERROR(COUNTIF(H13:H286,Q5),"")</f>
        <v>0</v>
      </c>
      <c r="S5" s="53" t="s">
        <v>57</v>
      </c>
      <c r="T5" s="55">
        <f>IFERROR(COUNTIF(H13:H286,S5),"")</f>
        <v>0</v>
      </c>
      <c r="U5" s="34"/>
      <c r="V5" s="56"/>
    </row>
    <row r="6">
      <c r="A6" s="13"/>
      <c r="B6" s="159" t="s">
        <v>58</v>
      </c>
      <c r="C6" s="64">
        <f>IFERROR(SUM(F2:F6),"")</f>
        <v>25</v>
      </c>
      <c r="D6" s="13"/>
      <c r="E6" s="154" t="s">
        <v>59</v>
      </c>
      <c r="F6" s="155">
        <f>IFERROR(COUNTIFS(I13:I287, "Bad Fit &amp; No Offer"),"")</f>
        <v>2</v>
      </c>
      <c r="G6" s="13"/>
      <c r="H6" s="47" t="s">
        <v>21</v>
      </c>
      <c r="I6" s="65">
        <f>IFERROR(SUM(F2:F10),"")</f>
        <v>31</v>
      </c>
      <c r="J6" s="13"/>
      <c r="K6" s="160" t="s">
        <v>29</v>
      </c>
      <c r="L6" s="50">
        <f>iferror(I7/I6,"")</f>
        <v>0.8064516129</v>
      </c>
      <c r="M6" s="12"/>
      <c r="N6" s="51" t="s">
        <v>60</v>
      </c>
      <c r="O6" s="52">
        <f>IFERROR(COUNTIFS(N13:N286, "fear"),"")</f>
        <v>3</v>
      </c>
      <c r="P6" s="13"/>
      <c r="Q6" s="53" t="s">
        <v>61</v>
      </c>
      <c r="R6" s="54">
        <f>IFERROR(COUNTIF(H13:H286,Q6),"")</f>
        <v>0</v>
      </c>
      <c r="S6" s="53" t="s">
        <v>62</v>
      </c>
      <c r="T6" s="55">
        <f>IFERROR(COUNTIF(H13:H286,S6),"")</f>
        <v>0</v>
      </c>
      <c r="U6" s="34"/>
      <c r="V6" s="56"/>
    </row>
    <row r="7">
      <c r="A7" s="13"/>
      <c r="B7" s="159" t="s">
        <v>63</v>
      </c>
      <c r="C7" s="67">
        <f>IFERROR(F2+F3,"")</f>
        <v>8</v>
      </c>
      <c r="D7" s="13"/>
      <c r="E7" s="154" t="s">
        <v>64</v>
      </c>
      <c r="F7" s="155">
        <f>IFERROR(COUNTIFS(I13:I287, "Drag Over &amp; Show"),"")</f>
        <v>0</v>
      </c>
      <c r="G7" s="13"/>
      <c r="H7" s="47" t="s">
        <v>22</v>
      </c>
      <c r="I7" s="65">
        <f>IFERROR(SUM(F2:F7),"")</f>
        <v>25</v>
      </c>
      <c r="J7" s="13"/>
      <c r="K7" s="161" t="s">
        <v>30</v>
      </c>
      <c r="L7" s="69">
        <f>IFERROR(I8/I6,"")</f>
        <v>0.8064516129</v>
      </c>
      <c r="M7" s="12"/>
      <c r="N7" s="70" t="s">
        <v>65</v>
      </c>
      <c r="O7" s="71">
        <f>IFERROR(COUNTIFS(N14:N287, "value"),"")</f>
        <v>0</v>
      </c>
      <c r="P7" s="13"/>
      <c r="Q7" s="53" t="s">
        <v>66</v>
      </c>
      <c r="R7" s="54">
        <f>IFERROR(COUNTIF(H13:H286,Q7),"")</f>
        <v>7</v>
      </c>
      <c r="S7" s="53" t="s">
        <v>67</v>
      </c>
      <c r="T7" s="55">
        <f>IFERROR(COUNTIF(H13:H286,S7),"")</f>
        <v>0</v>
      </c>
      <c r="U7" s="34"/>
      <c r="V7" s="34"/>
    </row>
    <row r="8">
      <c r="A8" s="13"/>
      <c r="B8" s="159" t="s">
        <v>68</v>
      </c>
      <c r="C8" s="72">
        <f>COUNTIF(I13:I286,"offer &amp; didn't buy")+countif(I13:I286,"deposit")+countif(I13:I286,"bad fit &amp; no offer")</f>
        <v>17</v>
      </c>
      <c r="D8" s="73"/>
      <c r="E8" s="154" t="s">
        <v>69</v>
      </c>
      <c r="F8" s="155">
        <f>IFERROR(COUNTIFS(I13:I287, "Rescheduled"),"")</f>
        <v>2</v>
      </c>
      <c r="G8" s="13"/>
      <c r="H8" s="47" t="s">
        <v>23</v>
      </c>
      <c r="I8" s="65">
        <f>IFERROR(SUM(F2:F6),"")</f>
        <v>25</v>
      </c>
      <c r="J8" s="34"/>
      <c r="K8" s="34"/>
      <c r="L8" s="34"/>
      <c r="M8" s="34"/>
      <c r="N8" s="34"/>
      <c r="O8" s="75"/>
      <c r="P8" s="13"/>
      <c r="Q8" s="76" t="s">
        <v>70</v>
      </c>
      <c r="R8" s="77">
        <f>IFERROR(COUNTIF(H13:H286,Q8),"")</f>
        <v>0</v>
      </c>
      <c r="S8" s="76" t="s">
        <v>71</v>
      </c>
      <c r="T8" s="78">
        <f>IFERROR(COUNTIF(H13:H286,S8),"")</f>
        <v>0</v>
      </c>
      <c r="U8" s="34"/>
      <c r="V8" s="34"/>
    </row>
    <row r="9">
      <c r="A9" s="13"/>
      <c r="B9" s="159" t="s">
        <v>72</v>
      </c>
      <c r="C9" s="79">
        <f>iferror(SUM(C7/C6),"")</f>
        <v>0.32</v>
      </c>
      <c r="D9" s="12"/>
      <c r="E9" s="154" t="s">
        <v>73</v>
      </c>
      <c r="F9" s="155">
        <f>IFERROR(COUNTIFS(I13:I287, "Cancelled"),"")</f>
        <v>1</v>
      </c>
      <c r="G9" s="13"/>
      <c r="H9" s="47" t="s">
        <v>24</v>
      </c>
      <c r="I9" s="65">
        <f>IFERROR(sum(F2:F5),"")</f>
        <v>23</v>
      </c>
      <c r="J9" s="34"/>
      <c r="K9" s="34"/>
      <c r="L9" s="34"/>
      <c r="M9" s="34"/>
      <c r="N9" s="34"/>
      <c r="O9" s="75"/>
      <c r="P9" s="34"/>
      <c r="Q9" s="34"/>
      <c r="R9" s="34"/>
      <c r="S9" s="34"/>
      <c r="T9" s="34"/>
      <c r="V9" s="34"/>
    </row>
    <row r="10">
      <c r="A10" s="34"/>
      <c r="B10" s="34"/>
      <c r="C10" s="34"/>
      <c r="D10" s="13"/>
      <c r="E10" s="162" t="s">
        <v>74</v>
      </c>
      <c r="F10" s="163">
        <f>IFERROR(COUNTIFS(I13:I287, "No-Show"),"")</f>
        <v>3</v>
      </c>
      <c r="G10" s="13"/>
      <c r="H10" s="82" t="s">
        <v>75</v>
      </c>
      <c r="I10" s="83">
        <f>F2+F3</f>
        <v>8</v>
      </c>
      <c r="J10" s="34"/>
      <c r="K10" s="34"/>
      <c r="L10" s="34"/>
      <c r="M10" s="34"/>
      <c r="N10" s="34"/>
      <c r="O10" s="75"/>
      <c r="P10" s="34"/>
      <c r="Q10" s="34"/>
      <c r="R10" s="34"/>
      <c r="S10" s="34"/>
      <c r="T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89" t="s">
        <v>78</v>
      </c>
      <c r="F12" s="89" t="s">
        <v>56</v>
      </c>
      <c r="G12" s="34"/>
      <c r="H12" s="89" t="s">
        <v>37</v>
      </c>
      <c r="I12" s="89" t="s">
        <v>33</v>
      </c>
      <c r="J12" s="34"/>
      <c r="K12" s="89" t="s">
        <v>80</v>
      </c>
      <c r="L12" s="89" t="s">
        <v>48</v>
      </c>
      <c r="M12" s="34"/>
      <c r="N12" s="89" t="s">
        <v>81</v>
      </c>
      <c r="O12" s="90" t="s">
        <v>82</v>
      </c>
      <c r="P12" s="34"/>
      <c r="Q12" s="89" t="s">
        <v>83</v>
      </c>
      <c r="R12" s="89" t="s">
        <v>84</v>
      </c>
      <c r="S12" s="89" t="s">
        <v>85</v>
      </c>
      <c r="T12" s="89" t="s">
        <v>86</v>
      </c>
      <c r="V12" s="56"/>
    </row>
    <row r="13" ht="15.75" customHeight="1">
      <c r="A13" s="91"/>
      <c r="B13" s="98" t="s">
        <v>87</v>
      </c>
      <c r="C13" s="93" t="s">
        <v>88</v>
      </c>
      <c r="D13" s="94"/>
      <c r="E13" s="93">
        <v>2.07426E7</v>
      </c>
      <c r="F13" s="93" t="s">
        <v>89</v>
      </c>
      <c r="G13" s="97"/>
      <c r="H13" s="98" t="s">
        <v>90</v>
      </c>
      <c r="I13" s="99" t="s">
        <v>91</v>
      </c>
      <c r="J13" s="97"/>
      <c r="K13" s="101"/>
      <c r="L13" s="101"/>
      <c r="M13" s="102"/>
      <c r="N13" s="103" t="s">
        <v>45</v>
      </c>
      <c r="O13" s="104" t="s">
        <v>92</v>
      </c>
      <c r="P13" s="97"/>
      <c r="Q13" s="105"/>
      <c r="R13" s="107"/>
      <c r="S13" s="105" t="s">
        <v>93</v>
      </c>
      <c r="T13" s="106" t="s">
        <v>94</v>
      </c>
      <c r="U13" s="107"/>
      <c r="V13" s="108"/>
    </row>
    <row r="14" ht="15.75" customHeight="1">
      <c r="A14" s="91"/>
      <c r="B14" s="98" t="s">
        <v>87</v>
      </c>
      <c r="C14" s="173" t="s">
        <v>95</v>
      </c>
      <c r="D14" s="94"/>
      <c r="E14" s="112">
        <v>3.020907E7</v>
      </c>
      <c r="F14" s="112" t="s">
        <v>96</v>
      </c>
      <c r="G14" s="97"/>
      <c r="H14" s="98" t="s">
        <v>97</v>
      </c>
      <c r="I14" s="99" t="s">
        <v>98</v>
      </c>
      <c r="J14" s="97"/>
      <c r="K14" s="101"/>
      <c r="L14" s="101"/>
      <c r="M14" s="102"/>
      <c r="N14" s="103"/>
      <c r="O14" s="104"/>
      <c r="P14" s="97"/>
      <c r="Q14" s="105"/>
      <c r="R14" s="116"/>
      <c r="S14" s="105" t="s">
        <v>99</v>
      </c>
      <c r="T14" s="106"/>
      <c r="U14" s="107"/>
      <c r="V14" s="108"/>
    </row>
    <row r="15" ht="15.75" customHeight="1">
      <c r="A15" s="97"/>
      <c r="B15" s="98" t="s">
        <v>100</v>
      </c>
      <c r="C15" s="174" t="s">
        <v>101</v>
      </c>
      <c r="D15" s="97"/>
      <c r="E15" s="175">
        <v>2.2584551E7</v>
      </c>
      <c r="F15" s="110" t="s">
        <v>102</v>
      </c>
      <c r="G15" s="97"/>
      <c r="H15" s="98" t="s">
        <v>97</v>
      </c>
      <c r="I15" s="99" t="s">
        <v>91</v>
      </c>
      <c r="J15" s="97"/>
      <c r="K15" s="101"/>
      <c r="L15" s="101"/>
      <c r="M15" s="102"/>
      <c r="N15" s="103" t="s">
        <v>45</v>
      </c>
      <c r="O15" s="104" t="s">
        <v>103</v>
      </c>
      <c r="P15" s="97"/>
      <c r="Q15" s="105"/>
      <c r="R15" s="116"/>
      <c r="S15" s="105" t="s">
        <v>93</v>
      </c>
      <c r="T15" s="111" t="s">
        <v>104</v>
      </c>
      <c r="U15" s="105"/>
      <c r="V15" s="108"/>
    </row>
    <row r="16" ht="15.75" customHeight="1">
      <c r="A16" s="97"/>
      <c r="B16" s="98" t="s">
        <v>100</v>
      </c>
      <c r="C16" s="176" t="s">
        <v>105</v>
      </c>
      <c r="D16" s="105"/>
      <c r="E16" s="109">
        <v>2.6361821E7</v>
      </c>
      <c r="F16" s="110" t="s">
        <v>106</v>
      </c>
      <c r="G16" s="97"/>
      <c r="H16" s="98" t="s">
        <v>90</v>
      </c>
      <c r="I16" s="99" t="s">
        <v>107</v>
      </c>
      <c r="J16" s="97"/>
      <c r="K16" s="101">
        <v>6500.0</v>
      </c>
      <c r="L16" s="101">
        <v>500.0</v>
      </c>
      <c r="M16" s="102"/>
      <c r="N16" s="103" t="s">
        <v>45</v>
      </c>
      <c r="O16" s="104" t="s">
        <v>108</v>
      </c>
      <c r="P16" s="97"/>
      <c r="Q16" s="105" t="s">
        <v>109</v>
      </c>
      <c r="R16" s="116"/>
      <c r="S16" s="105" t="s">
        <v>110</v>
      </c>
      <c r="T16" s="117" t="s">
        <v>111</v>
      </c>
      <c r="U16" s="105"/>
      <c r="V16" s="108"/>
    </row>
    <row r="17" ht="15.75" customHeight="1">
      <c r="A17" s="97"/>
      <c r="B17" s="98" t="s">
        <v>112</v>
      </c>
      <c r="C17" s="177" t="s">
        <v>113</v>
      </c>
      <c r="D17" s="97"/>
      <c r="E17" s="175">
        <v>6.0549433E7</v>
      </c>
      <c r="F17" s="110" t="s">
        <v>114</v>
      </c>
      <c r="G17" s="97"/>
      <c r="H17" s="98" t="s">
        <v>90</v>
      </c>
      <c r="I17" s="99" t="s">
        <v>91</v>
      </c>
      <c r="J17" s="97"/>
      <c r="K17" s="101"/>
      <c r="L17" s="101"/>
      <c r="M17" s="102"/>
      <c r="N17" s="103" t="s">
        <v>55</v>
      </c>
      <c r="O17" s="104" t="s">
        <v>115</v>
      </c>
      <c r="P17" s="97"/>
      <c r="Q17" s="105"/>
      <c r="R17" s="116"/>
      <c r="S17" s="105" t="s">
        <v>116</v>
      </c>
      <c r="T17" s="105" t="s">
        <v>117</v>
      </c>
      <c r="V17" s="108"/>
    </row>
    <row r="18" ht="15.75" customHeight="1">
      <c r="A18" s="97"/>
      <c r="B18" s="98" t="s">
        <v>118</v>
      </c>
      <c r="C18" s="178" t="s">
        <v>119</v>
      </c>
      <c r="D18" s="97"/>
      <c r="E18" s="119">
        <v>2.0872787E7</v>
      </c>
      <c r="F18" s="140" t="s">
        <v>120</v>
      </c>
      <c r="G18" s="97"/>
      <c r="H18" s="98" t="s">
        <v>90</v>
      </c>
      <c r="I18" s="99" t="s">
        <v>107</v>
      </c>
      <c r="J18" s="97"/>
      <c r="K18" s="101">
        <v>9000.0</v>
      </c>
      <c r="L18" s="101">
        <v>3000.0</v>
      </c>
      <c r="M18" s="102"/>
      <c r="N18" s="124"/>
      <c r="O18" s="104"/>
      <c r="P18" s="97"/>
      <c r="Q18" s="105" t="s">
        <v>121</v>
      </c>
      <c r="R18" s="126"/>
      <c r="S18" s="105" t="s">
        <v>110</v>
      </c>
      <c r="T18" s="119" t="s">
        <v>104</v>
      </c>
      <c r="U18" s="97"/>
      <c r="V18" s="108"/>
    </row>
    <row r="19" ht="15.75" customHeight="1">
      <c r="A19" s="97"/>
      <c r="B19" s="98" t="s">
        <v>122</v>
      </c>
      <c r="C19" s="179" t="s">
        <v>123</v>
      </c>
      <c r="D19" s="97"/>
      <c r="E19" s="119">
        <v>4.0195943E7</v>
      </c>
      <c r="F19" s="138" t="s">
        <v>124</v>
      </c>
      <c r="G19" s="97"/>
      <c r="H19" s="98" t="s">
        <v>66</v>
      </c>
      <c r="I19" s="99" t="s">
        <v>125</v>
      </c>
      <c r="J19" s="97"/>
      <c r="K19" s="101"/>
      <c r="L19" s="101"/>
      <c r="M19" s="102"/>
      <c r="N19" s="103"/>
      <c r="O19" s="125"/>
      <c r="P19" s="97"/>
      <c r="Q19" s="97"/>
      <c r="R19" s="126"/>
      <c r="S19" s="105"/>
      <c r="T19" s="119"/>
      <c r="U19" s="97"/>
      <c r="V19" s="108"/>
    </row>
    <row r="20" ht="15.75" customHeight="1">
      <c r="A20" s="97"/>
      <c r="B20" s="119" t="s">
        <v>122</v>
      </c>
      <c r="C20" s="179" t="s">
        <v>126</v>
      </c>
      <c r="D20" s="97"/>
      <c r="E20" s="119">
        <v>5.3607017E7</v>
      </c>
      <c r="F20" s="138" t="s">
        <v>127</v>
      </c>
      <c r="G20" s="97"/>
      <c r="H20" s="98" t="s">
        <v>66</v>
      </c>
      <c r="I20" s="99" t="s">
        <v>91</v>
      </c>
      <c r="J20" s="97"/>
      <c r="K20" s="114"/>
      <c r="L20" s="114"/>
      <c r="M20" s="102"/>
      <c r="N20" s="103" t="s">
        <v>60</v>
      </c>
      <c r="O20" s="104" t="s">
        <v>128</v>
      </c>
      <c r="P20" s="97"/>
      <c r="Q20" s="97"/>
      <c r="R20" s="126"/>
      <c r="S20" s="105" t="s">
        <v>93</v>
      </c>
      <c r="T20" s="119" t="s">
        <v>129</v>
      </c>
      <c r="U20" s="97"/>
      <c r="V20" s="108"/>
    </row>
    <row r="21" ht="15.75" customHeight="1">
      <c r="A21" s="91"/>
      <c r="B21" s="98" t="s">
        <v>122</v>
      </c>
      <c r="C21" s="180" t="s">
        <v>130</v>
      </c>
      <c r="D21" s="97"/>
      <c r="E21" s="181">
        <v>5.116098E7</v>
      </c>
      <c r="F21" s="165" t="s">
        <v>131</v>
      </c>
      <c r="G21" s="97"/>
      <c r="H21" s="98" t="s">
        <v>90</v>
      </c>
      <c r="I21" s="99" t="s">
        <v>107</v>
      </c>
      <c r="J21" s="97"/>
      <c r="K21" s="101">
        <v>9000.0</v>
      </c>
      <c r="L21" s="101">
        <v>1800.0</v>
      </c>
      <c r="M21" s="102"/>
      <c r="N21" s="124"/>
      <c r="O21" s="104"/>
      <c r="P21" s="97"/>
      <c r="Q21" s="105" t="s">
        <v>121</v>
      </c>
      <c r="R21" s="165"/>
      <c r="S21" s="105" t="s">
        <v>110</v>
      </c>
      <c r="T21" s="105" t="s">
        <v>132</v>
      </c>
      <c r="V21" s="108"/>
    </row>
    <row r="22" ht="15.75" customHeight="1">
      <c r="A22" s="91"/>
      <c r="B22" s="98" t="s">
        <v>133</v>
      </c>
      <c r="C22" s="182" t="s">
        <v>134</v>
      </c>
      <c r="D22" s="97"/>
      <c r="E22" s="165">
        <v>6.1418828E7</v>
      </c>
      <c r="F22" s="138" t="s">
        <v>135</v>
      </c>
      <c r="G22" s="97"/>
      <c r="H22" s="98" t="s">
        <v>90</v>
      </c>
      <c r="I22" s="99" t="s">
        <v>91</v>
      </c>
      <c r="J22" s="97"/>
      <c r="K22" s="114"/>
      <c r="L22" s="114"/>
      <c r="M22" s="102"/>
      <c r="N22" s="103" t="s">
        <v>50</v>
      </c>
      <c r="O22" s="104" t="s">
        <v>136</v>
      </c>
      <c r="P22" s="97"/>
      <c r="Q22" s="105"/>
      <c r="R22" s="126"/>
      <c r="S22" s="105" t="s">
        <v>116</v>
      </c>
      <c r="T22" s="105" t="s">
        <v>137</v>
      </c>
      <c r="V22" s="108"/>
    </row>
    <row r="23" ht="15.75" customHeight="1">
      <c r="A23" s="91"/>
      <c r="B23" s="98" t="s">
        <v>133</v>
      </c>
      <c r="C23" s="183" t="s">
        <v>138</v>
      </c>
      <c r="D23" s="97"/>
      <c r="E23" s="165">
        <v>2.4228199E7</v>
      </c>
      <c r="F23" s="138" t="s">
        <v>139</v>
      </c>
      <c r="G23" s="97"/>
      <c r="H23" s="98" t="s">
        <v>97</v>
      </c>
      <c r="I23" s="105" t="s">
        <v>107</v>
      </c>
      <c r="J23" s="97"/>
      <c r="K23" s="101">
        <v>9000.0</v>
      </c>
      <c r="L23" s="101">
        <v>3000.0</v>
      </c>
      <c r="M23" s="102"/>
      <c r="N23" s="103"/>
      <c r="O23" s="104"/>
      <c r="P23" s="97"/>
      <c r="Q23" s="105" t="s">
        <v>121</v>
      </c>
      <c r="R23" s="107"/>
      <c r="S23" s="105"/>
      <c r="T23" s="105"/>
      <c r="V23" s="108"/>
    </row>
    <row r="24" ht="15.75" customHeight="1">
      <c r="A24" s="91"/>
      <c r="B24" s="98" t="s">
        <v>140</v>
      </c>
      <c r="C24" s="184" t="s">
        <v>95</v>
      </c>
      <c r="D24" s="97"/>
      <c r="E24" s="165">
        <v>3.020907E7</v>
      </c>
      <c r="F24" s="112" t="s">
        <v>96</v>
      </c>
      <c r="G24" s="97"/>
      <c r="H24" s="98" t="s">
        <v>97</v>
      </c>
      <c r="I24" s="105" t="s">
        <v>125</v>
      </c>
      <c r="J24" s="97"/>
      <c r="K24" s="114"/>
      <c r="L24" s="114"/>
      <c r="M24" s="102"/>
      <c r="N24" s="124"/>
      <c r="O24" s="125"/>
      <c r="P24" s="97"/>
      <c r="Q24" s="97"/>
      <c r="R24" s="126"/>
      <c r="S24" s="97"/>
      <c r="T24" s="97"/>
      <c r="V24" s="108"/>
    </row>
    <row r="25" ht="15.75" customHeight="1">
      <c r="A25" s="91"/>
      <c r="B25" s="98" t="s">
        <v>140</v>
      </c>
      <c r="C25" s="184" t="s">
        <v>141</v>
      </c>
      <c r="D25" s="97"/>
      <c r="E25" s="165">
        <v>2.0829235E7</v>
      </c>
      <c r="F25" s="138" t="s">
        <v>142</v>
      </c>
      <c r="G25" s="97"/>
      <c r="H25" s="98" t="s">
        <v>90</v>
      </c>
      <c r="I25" s="105" t="s">
        <v>91</v>
      </c>
      <c r="J25" s="97"/>
      <c r="K25" s="101"/>
      <c r="L25" s="101"/>
      <c r="M25" s="102"/>
      <c r="N25" s="103" t="s">
        <v>143</v>
      </c>
      <c r="O25" s="104" t="s">
        <v>144</v>
      </c>
      <c r="P25" s="97"/>
      <c r="Q25" s="115"/>
      <c r="R25" s="107"/>
      <c r="S25" s="105" t="s">
        <v>93</v>
      </c>
      <c r="T25" s="105" t="s">
        <v>145</v>
      </c>
      <c r="V25" s="108"/>
    </row>
    <row r="26" ht="15.75" customHeight="1">
      <c r="A26" s="91"/>
      <c r="B26" s="98" t="s">
        <v>146</v>
      </c>
      <c r="C26" s="184" t="s">
        <v>147</v>
      </c>
      <c r="D26" s="97"/>
      <c r="E26" s="165">
        <v>2.391906E7</v>
      </c>
      <c r="F26" s="138" t="s">
        <v>148</v>
      </c>
      <c r="G26" s="97"/>
      <c r="H26" s="98" t="s">
        <v>90</v>
      </c>
      <c r="I26" s="105" t="s">
        <v>149</v>
      </c>
      <c r="J26" s="97"/>
      <c r="K26" s="101"/>
      <c r="L26" s="114"/>
      <c r="M26" s="102"/>
      <c r="N26" s="103"/>
      <c r="O26" s="104"/>
      <c r="P26" s="97"/>
      <c r="Q26" s="115"/>
      <c r="R26" s="107"/>
      <c r="S26" s="105" t="s">
        <v>93</v>
      </c>
      <c r="T26" s="105" t="s">
        <v>150</v>
      </c>
      <c r="V26" s="108"/>
    </row>
    <row r="27" ht="15.75" customHeight="1">
      <c r="A27" s="91"/>
      <c r="B27" s="98" t="s">
        <v>151</v>
      </c>
      <c r="C27" s="185" t="s">
        <v>152</v>
      </c>
      <c r="D27" s="97"/>
      <c r="E27" s="165">
        <v>2.2662912E7</v>
      </c>
      <c r="F27" s="138" t="s">
        <v>153</v>
      </c>
      <c r="G27" s="97"/>
      <c r="H27" s="98" t="s">
        <v>90</v>
      </c>
      <c r="I27" s="105" t="s">
        <v>91</v>
      </c>
      <c r="J27" s="97"/>
      <c r="K27" s="101"/>
      <c r="L27" s="101"/>
      <c r="M27" s="102"/>
      <c r="N27" s="103" t="s">
        <v>45</v>
      </c>
      <c r="O27" s="104" t="s">
        <v>154</v>
      </c>
      <c r="P27" s="97"/>
      <c r="Q27" s="97"/>
      <c r="R27" s="126"/>
      <c r="S27" s="105" t="s">
        <v>93</v>
      </c>
      <c r="T27" s="105" t="s">
        <v>155</v>
      </c>
      <c r="V27" s="108"/>
    </row>
    <row r="28" ht="15.75" customHeight="1">
      <c r="A28" s="91"/>
      <c r="B28" s="98" t="s">
        <v>151</v>
      </c>
      <c r="C28" s="184" t="s">
        <v>156</v>
      </c>
      <c r="D28" s="97"/>
      <c r="E28" s="165">
        <v>3.0747351E7</v>
      </c>
      <c r="F28" s="138" t="s">
        <v>157</v>
      </c>
      <c r="G28" s="97"/>
      <c r="H28" s="98" t="s">
        <v>90</v>
      </c>
      <c r="I28" s="105" t="s">
        <v>107</v>
      </c>
      <c r="J28" s="97"/>
      <c r="K28" s="101">
        <v>9000.0</v>
      </c>
      <c r="L28" s="101">
        <v>1000.0</v>
      </c>
      <c r="M28" s="102"/>
      <c r="N28" s="103"/>
      <c r="O28" s="104"/>
      <c r="P28" s="97"/>
      <c r="Q28" s="105" t="s">
        <v>121</v>
      </c>
      <c r="R28" s="116"/>
      <c r="S28" s="105" t="s">
        <v>110</v>
      </c>
      <c r="T28" s="105" t="s">
        <v>158</v>
      </c>
      <c r="V28" s="108"/>
    </row>
    <row r="29" ht="15.75" customHeight="1">
      <c r="A29" s="91"/>
      <c r="B29" s="98" t="s">
        <v>159</v>
      </c>
      <c r="C29" s="186" t="s">
        <v>160</v>
      </c>
      <c r="D29" s="97"/>
      <c r="E29" s="165">
        <v>2.6643009E7</v>
      </c>
      <c r="F29" s="140" t="s">
        <v>161</v>
      </c>
      <c r="G29" s="97"/>
      <c r="H29" s="98" t="s">
        <v>66</v>
      </c>
      <c r="I29" s="105" t="s">
        <v>91</v>
      </c>
      <c r="J29" s="97"/>
      <c r="K29" s="101"/>
      <c r="L29" s="101"/>
      <c r="M29" s="102"/>
      <c r="N29" s="103" t="s">
        <v>45</v>
      </c>
      <c r="O29" s="104" t="s">
        <v>162</v>
      </c>
      <c r="P29" s="97"/>
      <c r="Q29" s="97"/>
      <c r="R29" s="126"/>
      <c r="S29" s="105" t="s">
        <v>116</v>
      </c>
      <c r="T29" s="105" t="s">
        <v>163</v>
      </c>
      <c r="V29" s="108"/>
    </row>
    <row r="30" ht="15.75" customHeight="1">
      <c r="A30" s="91"/>
      <c r="B30" s="98" t="s">
        <v>164</v>
      </c>
      <c r="C30" s="185" t="s">
        <v>165</v>
      </c>
      <c r="D30" s="97"/>
      <c r="E30" s="165">
        <v>6.1319741E7</v>
      </c>
      <c r="F30" s="138" t="s">
        <v>166</v>
      </c>
      <c r="G30" s="97"/>
      <c r="H30" s="98" t="s">
        <v>66</v>
      </c>
      <c r="I30" s="105" t="s">
        <v>91</v>
      </c>
      <c r="J30" s="97"/>
      <c r="K30" s="114"/>
      <c r="L30" s="114"/>
      <c r="M30" s="102"/>
      <c r="N30" s="103" t="s">
        <v>45</v>
      </c>
      <c r="O30" s="104" t="s">
        <v>167</v>
      </c>
      <c r="P30" s="97"/>
      <c r="Q30" s="97"/>
      <c r="R30" s="126"/>
      <c r="S30" s="105" t="s">
        <v>93</v>
      </c>
      <c r="T30" s="105" t="s">
        <v>168</v>
      </c>
      <c r="V30" s="108"/>
    </row>
    <row r="31" ht="15.75" customHeight="1">
      <c r="A31" s="91"/>
      <c r="B31" s="98" t="s">
        <v>159</v>
      </c>
      <c r="C31" s="183" t="s">
        <v>169</v>
      </c>
      <c r="D31" s="97"/>
      <c r="E31" s="165">
        <v>2.0866807E7</v>
      </c>
      <c r="F31" s="138" t="s">
        <v>170</v>
      </c>
      <c r="G31" s="97"/>
      <c r="H31" s="98" t="s">
        <v>97</v>
      </c>
      <c r="I31" s="105" t="s">
        <v>98</v>
      </c>
      <c r="J31" s="97"/>
      <c r="K31" s="101"/>
      <c r="L31" s="101"/>
      <c r="M31" s="102"/>
      <c r="N31" s="103"/>
      <c r="O31" s="104"/>
      <c r="P31" s="97"/>
      <c r="Q31" s="115"/>
      <c r="R31" s="107"/>
      <c r="S31" s="105"/>
      <c r="T31" s="105" t="s">
        <v>171</v>
      </c>
      <c r="V31" s="108"/>
    </row>
    <row r="32" ht="15.75" customHeight="1">
      <c r="A32" s="91"/>
      <c r="B32" s="98" t="s">
        <v>172</v>
      </c>
      <c r="C32" s="185" t="s">
        <v>173</v>
      </c>
      <c r="D32" s="97"/>
      <c r="E32" s="165">
        <v>5.2232168E7</v>
      </c>
      <c r="F32" s="138" t="s">
        <v>174</v>
      </c>
      <c r="G32" s="97"/>
      <c r="H32" s="98" t="s">
        <v>90</v>
      </c>
      <c r="I32" s="105" t="s">
        <v>175</v>
      </c>
      <c r="J32" s="97"/>
      <c r="K32" s="114"/>
      <c r="L32" s="114"/>
      <c r="M32" s="102"/>
      <c r="N32" s="124"/>
      <c r="O32" s="125"/>
      <c r="P32" s="97"/>
      <c r="Q32" s="97"/>
      <c r="R32" s="126"/>
      <c r="S32" s="97"/>
      <c r="T32" s="97"/>
      <c r="V32" s="108"/>
    </row>
    <row r="33" ht="15.75" customHeight="1">
      <c r="A33" s="91"/>
      <c r="B33" s="98" t="s">
        <v>172</v>
      </c>
      <c r="C33" s="183" t="s">
        <v>176</v>
      </c>
      <c r="D33" s="97"/>
      <c r="E33" s="165">
        <v>2.065289E7</v>
      </c>
      <c r="F33" s="140" t="s">
        <v>177</v>
      </c>
      <c r="G33" s="97"/>
      <c r="H33" s="98" t="s">
        <v>66</v>
      </c>
      <c r="I33" s="105" t="s">
        <v>178</v>
      </c>
      <c r="J33" s="97"/>
      <c r="K33" s="101">
        <v>9000.0</v>
      </c>
      <c r="L33" s="101">
        <v>9000.0</v>
      </c>
      <c r="M33" s="102"/>
      <c r="N33" s="103"/>
      <c r="O33" s="104"/>
      <c r="P33" s="97"/>
      <c r="Q33" s="105" t="s">
        <v>179</v>
      </c>
      <c r="R33" s="107"/>
      <c r="S33" s="105" t="s">
        <v>110</v>
      </c>
      <c r="T33" s="105" t="s">
        <v>180</v>
      </c>
      <c r="V33" s="108"/>
    </row>
    <row r="34" ht="15.75" customHeight="1">
      <c r="A34" s="91"/>
      <c r="B34" s="98" t="s">
        <v>181</v>
      </c>
      <c r="C34" s="185" t="s">
        <v>182</v>
      </c>
      <c r="D34" s="97"/>
      <c r="E34" s="165">
        <v>4.2154443E7</v>
      </c>
      <c r="F34" s="138" t="s">
        <v>183</v>
      </c>
      <c r="G34" s="97"/>
      <c r="H34" s="98" t="s">
        <v>90</v>
      </c>
      <c r="I34" s="105" t="s">
        <v>91</v>
      </c>
      <c r="J34" s="97"/>
      <c r="K34" s="114"/>
      <c r="L34" s="114"/>
      <c r="M34" s="102"/>
      <c r="N34" s="103" t="s">
        <v>45</v>
      </c>
      <c r="O34" s="104" t="s">
        <v>184</v>
      </c>
      <c r="P34" s="97"/>
      <c r="Q34" s="97"/>
      <c r="R34" s="126"/>
      <c r="S34" s="105" t="s">
        <v>116</v>
      </c>
      <c r="T34" s="105" t="s">
        <v>185</v>
      </c>
      <c r="V34" s="108"/>
    </row>
    <row r="35" ht="15.75" customHeight="1">
      <c r="A35" s="91"/>
      <c r="B35" s="98" t="s">
        <v>181</v>
      </c>
      <c r="C35" s="186" t="s">
        <v>186</v>
      </c>
      <c r="D35" s="97"/>
      <c r="E35" s="165">
        <v>2.0473963E7</v>
      </c>
      <c r="F35" s="138" t="s">
        <v>187</v>
      </c>
      <c r="G35" s="97"/>
      <c r="H35" s="98" t="s">
        <v>66</v>
      </c>
      <c r="I35" s="105" t="s">
        <v>91</v>
      </c>
      <c r="J35" s="97"/>
      <c r="K35" s="101"/>
      <c r="L35" s="101"/>
      <c r="M35" s="102"/>
      <c r="N35" s="103" t="s">
        <v>45</v>
      </c>
      <c r="O35" s="104" t="s">
        <v>188</v>
      </c>
      <c r="P35" s="97"/>
      <c r="Q35" s="97"/>
      <c r="R35" s="126"/>
      <c r="S35" s="97"/>
      <c r="T35" s="105" t="s">
        <v>189</v>
      </c>
      <c r="V35" s="108"/>
    </row>
    <row r="36" ht="15.75" customHeight="1">
      <c r="A36" s="91"/>
      <c r="B36" s="98" t="s">
        <v>190</v>
      </c>
      <c r="C36" s="186" t="s">
        <v>191</v>
      </c>
      <c r="D36" s="97"/>
      <c r="E36" s="165">
        <v>2.649612E7</v>
      </c>
      <c r="F36" s="140" t="s">
        <v>192</v>
      </c>
      <c r="G36" s="97"/>
      <c r="H36" s="98" t="s">
        <v>90</v>
      </c>
      <c r="I36" s="105" t="s">
        <v>91</v>
      </c>
      <c r="J36" s="97"/>
      <c r="K36" s="114"/>
      <c r="L36" s="114"/>
      <c r="M36" s="102"/>
      <c r="N36" s="103" t="s">
        <v>60</v>
      </c>
      <c r="O36" s="104" t="s">
        <v>193</v>
      </c>
      <c r="P36" s="97"/>
      <c r="Q36" s="97"/>
      <c r="R36" s="126"/>
      <c r="S36" s="105" t="s">
        <v>116</v>
      </c>
      <c r="T36" s="105" t="s">
        <v>194</v>
      </c>
      <c r="V36" s="108"/>
    </row>
    <row r="37" ht="15.75" customHeight="1">
      <c r="A37" s="91"/>
      <c r="B37" s="98" t="s">
        <v>195</v>
      </c>
      <c r="C37" s="185" t="s">
        <v>196</v>
      </c>
      <c r="D37" s="97"/>
      <c r="E37" s="165">
        <v>5.3382706E7</v>
      </c>
      <c r="F37" s="138" t="s">
        <v>197</v>
      </c>
      <c r="G37" s="97"/>
      <c r="H37" s="98" t="s">
        <v>66</v>
      </c>
      <c r="I37" s="105" t="s">
        <v>149</v>
      </c>
      <c r="J37" s="97"/>
      <c r="K37" s="101"/>
      <c r="L37" s="101"/>
      <c r="M37" s="102"/>
      <c r="N37" s="103"/>
      <c r="O37" s="104"/>
      <c r="P37" s="97"/>
      <c r="Q37" s="115"/>
      <c r="R37" s="107"/>
      <c r="S37" s="105"/>
      <c r="T37" s="105" t="s">
        <v>198</v>
      </c>
      <c r="V37" s="108"/>
    </row>
    <row r="38" ht="15.75" customHeight="1">
      <c r="A38" s="91"/>
      <c r="B38" s="98" t="s">
        <v>199</v>
      </c>
      <c r="C38" s="185" t="s">
        <v>200</v>
      </c>
      <c r="D38" s="97"/>
      <c r="E38" s="187">
        <v>2.5781914E7</v>
      </c>
      <c r="F38" s="138"/>
      <c r="G38" s="97"/>
      <c r="H38" s="98" t="s">
        <v>90</v>
      </c>
      <c r="I38" s="105" t="s">
        <v>91</v>
      </c>
      <c r="J38" s="97"/>
      <c r="K38" s="114"/>
      <c r="L38" s="114"/>
      <c r="M38" s="102"/>
      <c r="N38" s="103" t="s">
        <v>45</v>
      </c>
      <c r="O38" s="104" t="s">
        <v>201</v>
      </c>
      <c r="P38" s="97"/>
      <c r="Q38" s="130"/>
      <c r="R38" s="107"/>
      <c r="S38" s="105" t="s">
        <v>99</v>
      </c>
      <c r="T38" s="188" t="s">
        <v>202</v>
      </c>
      <c r="V38" s="108"/>
    </row>
    <row r="39" ht="15.75" customHeight="1">
      <c r="A39" s="91"/>
      <c r="B39" s="98" t="s">
        <v>199</v>
      </c>
      <c r="C39" s="185" t="s">
        <v>203</v>
      </c>
      <c r="D39" s="97"/>
      <c r="E39" s="165">
        <v>2.3238865E7</v>
      </c>
      <c r="F39" s="167" t="s">
        <v>204</v>
      </c>
      <c r="G39" s="97"/>
      <c r="H39" s="98" t="s">
        <v>90</v>
      </c>
      <c r="I39" s="105" t="s">
        <v>91</v>
      </c>
      <c r="J39" s="97"/>
      <c r="K39" s="101"/>
      <c r="L39" s="101"/>
      <c r="M39" s="102"/>
      <c r="N39" s="103" t="s">
        <v>60</v>
      </c>
      <c r="O39" s="104" t="s">
        <v>205</v>
      </c>
      <c r="P39" s="97"/>
      <c r="Q39" s="115"/>
      <c r="R39" s="107"/>
      <c r="S39" s="105" t="s">
        <v>93</v>
      </c>
      <c r="T39" s="105" t="s">
        <v>206</v>
      </c>
      <c r="V39" s="108"/>
    </row>
    <row r="40" ht="15.75" customHeight="1">
      <c r="A40" s="91"/>
      <c r="B40" s="98" t="s">
        <v>207</v>
      </c>
      <c r="C40" s="189" t="s">
        <v>208</v>
      </c>
      <c r="D40" s="97"/>
      <c r="E40" s="165">
        <v>6.1519344E7</v>
      </c>
      <c r="F40" s="138" t="s">
        <v>209</v>
      </c>
      <c r="G40" s="97"/>
      <c r="H40" s="98" t="s">
        <v>97</v>
      </c>
      <c r="I40" s="105" t="s">
        <v>107</v>
      </c>
      <c r="J40" s="97"/>
      <c r="K40" s="101">
        <v>9000.0</v>
      </c>
      <c r="L40" s="101">
        <v>1800.0</v>
      </c>
      <c r="M40" s="102"/>
      <c r="N40" s="103"/>
      <c r="O40" s="104"/>
      <c r="P40" s="97"/>
      <c r="Q40" s="105" t="s">
        <v>179</v>
      </c>
      <c r="R40" s="107"/>
      <c r="S40" s="105" t="s">
        <v>110</v>
      </c>
      <c r="T40" s="105" t="s">
        <v>210</v>
      </c>
      <c r="V40" s="108"/>
    </row>
    <row r="41" ht="15.75" customHeight="1">
      <c r="A41" s="91"/>
      <c r="B41" s="98" t="s">
        <v>211</v>
      </c>
      <c r="C41" s="183" t="s">
        <v>212</v>
      </c>
      <c r="D41" s="97"/>
      <c r="E41" s="190">
        <v>5.0184073E7</v>
      </c>
      <c r="F41" s="191" t="s">
        <v>213</v>
      </c>
      <c r="G41" s="97"/>
      <c r="H41" s="98" t="s">
        <v>90</v>
      </c>
      <c r="I41" s="105" t="s">
        <v>107</v>
      </c>
      <c r="J41" s="97"/>
      <c r="K41" s="101">
        <v>9000.0</v>
      </c>
      <c r="L41" s="101">
        <v>2000.0</v>
      </c>
      <c r="M41" s="102"/>
      <c r="N41" s="103" t="s">
        <v>50</v>
      </c>
      <c r="O41" s="104" t="s">
        <v>214</v>
      </c>
      <c r="P41" s="97"/>
      <c r="Q41" s="97"/>
      <c r="R41" s="126"/>
      <c r="S41" s="105" t="s">
        <v>110</v>
      </c>
      <c r="T41" s="105" t="s">
        <v>215</v>
      </c>
      <c r="V41" s="108"/>
    </row>
    <row r="42" ht="15.75" customHeight="1">
      <c r="A42" s="91"/>
      <c r="B42" s="98" t="s">
        <v>216</v>
      </c>
      <c r="C42" s="192" t="s">
        <v>217</v>
      </c>
      <c r="D42" s="97"/>
      <c r="E42" s="165">
        <v>2.5717014E7</v>
      </c>
      <c r="F42" s="193" t="s">
        <v>218</v>
      </c>
      <c r="G42" s="97"/>
      <c r="H42" s="98" t="s">
        <v>90</v>
      </c>
      <c r="I42" s="105" t="s">
        <v>91</v>
      </c>
      <c r="J42" s="97"/>
      <c r="K42" s="114"/>
      <c r="L42" s="114"/>
      <c r="M42" s="102"/>
      <c r="N42" s="103" t="s">
        <v>45</v>
      </c>
      <c r="O42" s="104" t="s">
        <v>219</v>
      </c>
      <c r="P42" s="97"/>
      <c r="Q42" s="115"/>
      <c r="R42" s="107"/>
      <c r="S42" s="105" t="s">
        <v>93</v>
      </c>
      <c r="T42" s="105" t="s">
        <v>220</v>
      </c>
      <c r="V42" s="108"/>
    </row>
    <row r="43" ht="15.75" customHeight="1">
      <c r="A43" s="91"/>
      <c r="B43" s="98" t="s">
        <v>216</v>
      </c>
      <c r="C43" s="105" t="s">
        <v>221</v>
      </c>
      <c r="D43" s="97"/>
      <c r="E43" s="165">
        <v>9.1803464E7</v>
      </c>
      <c r="F43" s="138" t="s">
        <v>222</v>
      </c>
      <c r="G43" s="97"/>
      <c r="H43" s="98" t="s">
        <v>79</v>
      </c>
      <c r="I43" s="105" t="s">
        <v>125</v>
      </c>
      <c r="J43" s="97"/>
      <c r="K43" s="101"/>
      <c r="L43" s="101"/>
      <c r="M43" s="102"/>
      <c r="N43" s="124"/>
      <c r="O43" s="125"/>
      <c r="P43" s="97"/>
      <c r="Q43" s="131"/>
      <c r="R43" s="126"/>
      <c r="S43" s="97"/>
      <c r="T43" s="97"/>
      <c r="V43" s="108"/>
    </row>
    <row r="44" ht="15.75" customHeight="1">
      <c r="A44" s="91"/>
      <c r="B44" s="166"/>
      <c r="C44" s="105"/>
      <c r="D44" s="97"/>
      <c r="E44" s="165"/>
      <c r="F44" s="138"/>
      <c r="G44" s="97"/>
      <c r="H44" s="98"/>
      <c r="I44" s="105"/>
      <c r="J44" s="97"/>
      <c r="K44" s="114"/>
      <c r="L44" s="114"/>
      <c r="M44" s="102"/>
      <c r="N44" s="124"/>
      <c r="O44" s="125"/>
      <c r="P44" s="97"/>
      <c r="Q44" s="97"/>
      <c r="R44" s="126"/>
      <c r="S44" s="97"/>
      <c r="T44" s="97"/>
      <c r="V44" s="108"/>
    </row>
    <row r="45" ht="15.75" customHeight="1">
      <c r="A45" s="91"/>
      <c r="B45" s="166"/>
      <c r="C45" s="99"/>
      <c r="D45" s="97"/>
      <c r="E45" s="165"/>
      <c r="F45" s="138"/>
      <c r="G45" s="97"/>
      <c r="H45" s="98"/>
      <c r="I45" s="105"/>
      <c r="J45" s="97"/>
      <c r="K45" s="101"/>
      <c r="L45" s="101"/>
      <c r="M45" s="102"/>
      <c r="N45" s="124"/>
      <c r="O45" s="125"/>
      <c r="P45" s="97"/>
      <c r="Q45" s="97"/>
      <c r="R45" s="126"/>
      <c r="S45" s="97"/>
      <c r="T45" s="97"/>
      <c r="V45" s="108"/>
    </row>
    <row r="46" ht="15.75" customHeight="1">
      <c r="A46" s="91"/>
      <c r="B46" s="166"/>
      <c r="C46" s="99"/>
      <c r="D46" s="97"/>
      <c r="E46" s="165"/>
      <c r="F46" s="138"/>
      <c r="G46" s="97"/>
      <c r="H46" s="98"/>
      <c r="I46" s="105"/>
      <c r="J46" s="97"/>
      <c r="K46" s="114"/>
      <c r="L46" s="114"/>
      <c r="M46" s="102"/>
      <c r="N46" s="124"/>
      <c r="O46" s="125"/>
      <c r="P46" s="97"/>
      <c r="Q46" s="97"/>
      <c r="R46" s="126"/>
      <c r="S46" s="97"/>
      <c r="T46" s="97"/>
      <c r="V46" s="108"/>
    </row>
    <row r="47" ht="15.75" customHeight="1">
      <c r="A47" s="91"/>
      <c r="B47" s="166"/>
      <c r="C47" s="99"/>
      <c r="D47" s="97"/>
      <c r="E47" s="165"/>
      <c r="F47" s="138"/>
      <c r="G47" s="97"/>
      <c r="H47" s="98"/>
      <c r="I47" s="105"/>
      <c r="J47" s="97"/>
      <c r="K47" s="101"/>
      <c r="L47" s="101"/>
      <c r="M47" s="102"/>
      <c r="N47" s="103"/>
      <c r="O47" s="104"/>
      <c r="P47" s="97"/>
      <c r="Q47" s="115"/>
      <c r="R47" s="116"/>
      <c r="S47" s="105"/>
      <c r="T47" s="105"/>
      <c r="V47" s="108"/>
    </row>
    <row r="48" ht="15.75" customHeight="1">
      <c r="A48" s="91"/>
      <c r="B48" s="166"/>
      <c r="C48" s="99"/>
      <c r="D48" s="97"/>
      <c r="E48" s="165"/>
      <c r="F48" s="138"/>
      <c r="G48" s="97"/>
      <c r="H48" s="98"/>
      <c r="I48" s="105"/>
      <c r="J48" s="97"/>
      <c r="K48" s="114"/>
      <c r="L48" s="114"/>
      <c r="M48" s="102"/>
      <c r="N48" s="103"/>
      <c r="O48" s="104"/>
      <c r="P48" s="97"/>
      <c r="Q48" s="130"/>
      <c r="R48" s="107"/>
      <c r="S48" s="105"/>
      <c r="T48" s="105"/>
      <c r="V48" s="108"/>
    </row>
    <row r="49" ht="15.75" customHeight="1">
      <c r="A49" s="91"/>
      <c r="B49" s="166"/>
      <c r="C49" s="99"/>
      <c r="D49" s="97"/>
      <c r="E49" s="165"/>
      <c r="F49" s="138"/>
      <c r="G49" s="97"/>
      <c r="H49" s="98"/>
      <c r="I49" s="105"/>
      <c r="J49" s="97"/>
      <c r="K49" s="101"/>
      <c r="L49" s="101"/>
      <c r="M49" s="102"/>
      <c r="N49" s="103"/>
      <c r="O49" s="104"/>
      <c r="P49" s="97"/>
      <c r="Q49" s="130"/>
      <c r="R49" s="107"/>
      <c r="S49" s="105"/>
      <c r="T49" s="105"/>
      <c r="V49" s="108"/>
    </row>
    <row r="50" ht="15.75" customHeight="1">
      <c r="A50" s="91"/>
      <c r="B50" s="166"/>
      <c r="C50" s="105"/>
      <c r="D50" s="97"/>
      <c r="E50" s="165"/>
      <c r="F50" s="140"/>
      <c r="G50" s="97"/>
      <c r="H50" s="98"/>
      <c r="I50" s="105"/>
      <c r="J50" s="97"/>
      <c r="K50" s="114"/>
      <c r="L50" s="114"/>
      <c r="M50" s="102"/>
      <c r="N50" s="124"/>
      <c r="O50" s="125"/>
      <c r="P50" s="97"/>
      <c r="Q50" s="97"/>
      <c r="R50" s="126"/>
      <c r="S50" s="97"/>
      <c r="T50" s="105"/>
      <c r="V50" s="108"/>
    </row>
    <row r="51" ht="15.75" customHeight="1">
      <c r="A51" s="91"/>
      <c r="B51" s="166"/>
      <c r="C51" s="105"/>
      <c r="D51" s="97"/>
      <c r="E51" s="165"/>
      <c r="F51" s="168"/>
      <c r="G51" s="97"/>
      <c r="H51" s="98"/>
      <c r="I51" s="105"/>
      <c r="J51" s="97"/>
      <c r="K51" s="101"/>
      <c r="L51" s="101"/>
      <c r="M51" s="102"/>
      <c r="N51" s="103"/>
      <c r="O51" s="104"/>
      <c r="P51" s="97"/>
      <c r="Q51" s="131"/>
      <c r="R51" s="126"/>
      <c r="S51" s="105"/>
      <c r="T51" s="105"/>
      <c r="V51" s="108"/>
    </row>
    <row r="52" ht="15.75" customHeight="1">
      <c r="A52" s="91"/>
      <c r="B52" s="166"/>
      <c r="C52" s="105"/>
      <c r="D52" s="97"/>
      <c r="E52" s="165"/>
      <c r="F52" s="138"/>
      <c r="G52" s="97"/>
      <c r="H52" s="98"/>
      <c r="I52" s="105"/>
      <c r="J52" s="97"/>
      <c r="K52" s="114"/>
      <c r="L52" s="114"/>
      <c r="M52" s="102"/>
      <c r="N52" s="124"/>
      <c r="O52" s="125"/>
      <c r="P52" s="97"/>
      <c r="Q52" s="131"/>
      <c r="R52" s="126"/>
      <c r="S52" s="97"/>
      <c r="T52" s="97"/>
      <c r="V52" s="108"/>
    </row>
    <row r="53" ht="15.75" customHeight="1">
      <c r="A53" s="91"/>
      <c r="B53" s="166"/>
      <c r="C53" s="99"/>
      <c r="D53" s="97"/>
      <c r="E53" s="165"/>
      <c r="F53" s="138"/>
      <c r="G53" s="97"/>
      <c r="H53" s="98"/>
      <c r="I53" s="105"/>
      <c r="J53" s="97"/>
      <c r="K53" s="101"/>
      <c r="L53" s="101"/>
      <c r="M53" s="102"/>
      <c r="N53" s="124"/>
      <c r="O53" s="125"/>
      <c r="P53" s="97"/>
      <c r="Q53" s="130"/>
      <c r="R53" s="107"/>
      <c r="S53" s="97"/>
      <c r="T53" s="105"/>
      <c r="V53" s="108"/>
    </row>
    <row r="54" ht="15.75" customHeight="1">
      <c r="A54" s="91"/>
      <c r="B54" s="166"/>
      <c r="C54" s="98"/>
      <c r="D54" s="97"/>
      <c r="E54" s="165"/>
      <c r="F54" s="138"/>
      <c r="G54" s="97"/>
      <c r="H54" s="98"/>
      <c r="I54" s="105"/>
      <c r="J54" s="97"/>
      <c r="K54" s="114"/>
      <c r="L54" s="114"/>
      <c r="M54" s="102"/>
      <c r="N54" s="103"/>
      <c r="O54" s="104"/>
      <c r="P54" s="97"/>
      <c r="Q54" s="130"/>
      <c r="R54" s="133"/>
      <c r="S54" s="105"/>
      <c r="T54" s="105"/>
      <c r="V54" s="108"/>
    </row>
    <row r="55" ht="15.75" customHeight="1">
      <c r="A55" s="91"/>
      <c r="B55" s="166"/>
      <c r="C55" s="98"/>
      <c r="D55" s="97"/>
      <c r="E55" s="165"/>
      <c r="F55" s="140"/>
      <c r="G55" s="97"/>
      <c r="H55" s="98"/>
      <c r="I55" s="105"/>
      <c r="J55" s="97"/>
      <c r="K55" s="101"/>
      <c r="L55" s="101"/>
      <c r="M55" s="102"/>
      <c r="N55" s="103"/>
      <c r="O55" s="104"/>
      <c r="P55" s="97"/>
      <c r="Q55" s="130"/>
      <c r="R55" s="107"/>
      <c r="S55" s="105"/>
      <c r="T55" s="105"/>
      <c r="V55" s="108"/>
    </row>
    <row r="56" ht="15.75" customHeight="1">
      <c r="A56" s="91"/>
      <c r="B56" s="166"/>
      <c r="C56" s="98"/>
      <c r="D56" s="97"/>
      <c r="E56" s="165"/>
      <c r="F56" s="138"/>
      <c r="G56" s="97"/>
      <c r="H56" s="98"/>
      <c r="I56" s="105"/>
      <c r="J56" s="97"/>
      <c r="K56" s="114"/>
      <c r="L56" s="114"/>
      <c r="M56" s="102"/>
      <c r="N56" s="124"/>
      <c r="O56" s="125"/>
      <c r="P56" s="97"/>
      <c r="Q56" s="115"/>
      <c r="R56" s="107"/>
      <c r="S56" s="97"/>
      <c r="T56" s="105"/>
      <c r="V56" s="108"/>
    </row>
    <row r="57" ht="15.75" customHeight="1">
      <c r="A57" s="91"/>
      <c r="B57" s="166"/>
      <c r="C57" s="98"/>
      <c r="D57" s="97"/>
      <c r="E57" s="165"/>
      <c r="F57" s="138"/>
      <c r="G57" s="97"/>
      <c r="H57" s="98"/>
      <c r="I57" s="105"/>
      <c r="J57" s="97"/>
      <c r="K57" s="101"/>
      <c r="L57" s="101"/>
      <c r="M57" s="102"/>
      <c r="N57" s="124"/>
      <c r="O57" s="125"/>
      <c r="P57" s="97"/>
      <c r="Q57" s="131"/>
      <c r="R57" s="126"/>
      <c r="S57" s="97"/>
      <c r="T57" s="105"/>
      <c r="V57" s="108"/>
    </row>
    <row r="58" ht="15.75" customHeight="1">
      <c r="A58" s="91"/>
      <c r="B58" s="166"/>
      <c r="C58" s="107"/>
      <c r="D58" s="97"/>
      <c r="E58" s="165"/>
      <c r="F58" s="138"/>
      <c r="G58" s="97"/>
      <c r="H58" s="98"/>
      <c r="I58" s="105"/>
      <c r="J58" s="97"/>
      <c r="K58" s="114"/>
      <c r="L58" s="114"/>
      <c r="M58" s="102"/>
      <c r="N58" s="103"/>
      <c r="O58" s="104"/>
      <c r="P58" s="97"/>
      <c r="Q58" s="115"/>
      <c r="R58" s="107"/>
      <c r="S58" s="105"/>
      <c r="T58" s="105"/>
      <c r="V58" s="108"/>
    </row>
    <row r="59" ht="15.75" customHeight="1">
      <c r="A59" s="91"/>
      <c r="B59" s="166"/>
      <c r="C59" s="107"/>
      <c r="D59" s="97"/>
      <c r="E59" s="165"/>
      <c r="F59" s="138"/>
      <c r="G59" s="97"/>
      <c r="H59" s="98"/>
      <c r="I59" s="105"/>
      <c r="J59" s="97"/>
      <c r="K59" s="101"/>
      <c r="L59" s="101"/>
      <c r="M59" s="102"/>
      <c r="N59" s="124"/>
      <c r="O59" s="125"/>
      <c r="P59" s="97"/>
      <c r="Q59" s="97"/>
      <c r="R59" s="126"/>
      <c r="S59" s="97"/>
      <c r="T59" s="97"/>
      <c r="V59" s="108"/>
    </row>
    <row r="60" ht="15.75" customHeight="1">
      <c r="A60" s="91"/>
      <c r="B60" s="166"/>
      <c r="C60" s="107"/>
      <c r="D60" s="97"/>
      <c r="E60" s="98"/>
      <c r="F60" s="138"/>
      <c r="G60" s="97"/>
      <c r="H60" s="98"/>
      <c r="I60" s="105"/>
      <c r="J60" s="97"/>
      <c r="K60" s="114"/>
      <c r="L60" s="114"/>
      <c r="M60" s="102"/>
      <c r="N60" s="124"/>
      <c r="O60" s="125"/>
      <c r="P60" s="97"/>
      <c r="Q60" s="115"/>
      <c r="R60" s="107"/>
      <c r="S60" s="97"/>
      <c r="T60" s="105"/>
      <c r="V60" s="108"/>
    </row>
    <row r="61" ht="15.75" customHeight="1">
      <c r="A61" s="91"/>
      <c r="B61" s="166"/>
      <c r="C61" s="98"/>
      <c r="D61" s="97"/>
      <c r="E61" s="165"/>
      <c r="F61" s="140"/>
      <c r="G61" s="97"/>
      <c r="H61" s="98"/>
      <c r="I61" s="105"/>
      <c r="J61" s="97"/>
      <c r="K61" s="101"/>
      <c r="L61" s="101"/>
      <c r="M61" s="102"/>
      <c r="N61" s="124"/>
      <c r="O61" s="125"/>
      <c r="P61" s="97"/>
      <c r="Q61" s="97"/>
      <c r="R61" s="126"/>
      <c r="S61" s="97"/>
      <c r="T61" s="97"/>
      <c r="V61" s="108"/>
    </row>
    <row r="62" ht="15.75" customHeight="1">
      <c r="A62" s="91"/>
      <c r="B62" s="166"/>
      <c r="C62" s="98"/>
      <c r="D62" s="97"/>
      <c r="E62" s="165"/>
      <c r="F62" s="138"/>
      <c r="G62" s="97"/>
      <c r="H62" s="98"/>
      <c r="I62" s="105"/>
      <c r="J62" s="97"/>
      <c r="K62" s="114"/>
      <c r="L62" s="114"/>
      <c r="M62" s="102"/>
      <c r="N62" s="124"/>
      <c r="O62" s="125"/>
      <c r="P62" s="97"/>
      <c r="Q62" s="97"/>
      <c r="R62" s="126"/>
      <c r="S62" s="97"/>
      <c r="T62" s="97"/>
      <c r="V62" s="108"/>
    </row>
    <row r="63" ht="15.75" customHeight="1">
      <c r="A63" s="91"/>
      <c r="B63" s="166"/>
      <c r="C63" s="134"/>
      <c r="D63" s="97"/>
      <c r="E63" s="165"/>
      <c r="F63" s="140"/>
      <c r="G63" s="97"/>
      <c r="H63" s="98"/>
      <c r="I63" s="105"/>
      <c r="J63" s="97"/>
      <c r="K63" s="101"/>
      <c r="L63" s="101"/>
      <c r="M63" s="102"/>
      <c r="N63" s="124"/>
      <c r="O63" s="125"/>
      <c r="P63" s="97"/>
      <c r="Q63" s="97"/>
      <c r="R63" s="126"/>
      <c r="S63" s="97"/>
      <c r="T63" s="97"/>
      <c r="V63" s="108"/>
    </row>
    <row r="64" ht="15.75" customHeight="1">
      <c r="A64" s="91"/>
      <c r="B64" s="166"/>
      <c r="C64" s="135"/>
      <c r="D64" s="97"/>
      <c r="E64" s="165"/>
      <c r="F64" s="138"/>
      <c r="G64" s="97"/>
      <c r="H64" s="98"/>
      <c r="I64" s="105"/>
      <c r="J64" s="97"/>
      <c r="K64" s="114"/>
      <c r="L64" s="114"/>
      <c r="M64" s="102"/>
      <c r="N64" s="103"/>
      <c r="O64" s="104"/>
      <c r="P64" s="97"/>
      <c r="Q64" s="115"/>
      <c r="R64" s="116"/>
      <c r="S64" s="105"/>
      <c r="T64" s="105"/>
      <c r="V64" s="108"/>
    </row>
    <row r="65" ht="15.75" customHeight="1">
      <c r="A65" s="91"/>
      <c r="B65" s="166"/>
      <c r="C65" s="99"/>
      <c r="D65" s="97"/>
      <c r="E65" s="165"/>
      <c r="F65" s="138"/>
      <c r="G65" s="97"/>
      <c r="H65" s="98"/>
      <c r="I65" s="105"/>
      <c r="J65" s="97"/>
      <c r="K65" s="101"/>
      <c r="L65" s="101"/>
      <c r="M65" s="102"/>
      <c r="N65" s="103"/>
      <c r="O65" s="104"/>
      <c r="P65" s="97"/>
      <c r="Q65" s="130"/>
      <c r="R65" s="116"/>
      <c r="S65" s="105"/>
      <c r="T65" s="105"/>
      <c r="V65" s="108"/>
    </row>
    <row r="66" ht="15.75" customHeight="1">
      <c r="A66" s="91"/>
      <c r="B66" s="166"/>
      <c r="C66" s="107"/>
      <c r="D66" s="97"/>
      <c r="E66" s="165"/>
      <c r="F66" s="138"/>
      <c r="G66" s="97"/>
      <c r="H66" s="98"/>
      <c r="I66" s="105"/>
      <c r="J66" s="97"/>
      <c r="K66" s="114"/>
      <c r="L66" s="114"/>
      <c r="M66" s="102"/>
      <c r="N66" s="124"/>
      <c r="O66" s="125"/>
      <c r="P66" s="97"/>
      <c r="Q66" s="97"/>
      <c r="R66" s="126"/>
      <c r="S66" s="97"/>
      <c r="T66" s="97"/>
      <c r="V66" s="108"/>
    </row>
    <row r="67" ht="15.75" customHeight="1">
      <c r="A67" s="91"/>
      <c r="B67" s="166"/>
      <c r="C67" s="107"/>
      <c r="D67" s="97"/>
      <c r="E67" s="98"/>
      <c r="F67" s="138"/>
      <c r="G67" s="97"/>
      <c r="H67" s="98"/>
      <c r="I67" s="105"/>
      <c r="J67" s="97"/>
      <c r="K67" s="101"/>
      <c r="L67" s="101"/>
      <c r="M67" s="102"/>
      <c r="N67" s="124"/>
      <c r="O67" s="125"/>
      <c r="P67" s="97"/>
      <c r="Q67" s="130"/>
      <c r="R67" s="107"/>
      <c r="S67" s="105"/>
      <c r="T67" s="105"/>
      <c r="V67" s="108"/>
    </row>
    <row r="68" ht="15.75" customHeight="1">
      <c r="A68" s="91"/>
      <c r="B68" s="166"/>
      <c r="C68" s="107"/>
      <c r="D68" s="97"/>
      <c r="E68" s="98"/>
      <c r="F68" s="138"/>
      <c r="G68" s="97"/>
      <c r="H68" s="98"/>
      <c r="I68" s="105"/>
      <c r="J68" s="97"/>
      <c r="K68" s="114"/>
      <c r="L68" s="114"/>
      <c r="M68" s="102"/>
      <c r="N68" s="124"/>
      <c r="O68" s="125"/>
      <c r="P68" s="97"/>
      <c r="Q68" s="130"/>
      <c r="R68" s="126"/>
      <c r="S68" s="97"/>
      <c r="T68" s="105"/>
      <c r="V68" s="108"/>
    </row>
    <row r="69" ht="15.75" customHeight="1">
      <c r="A69" s="91"/>
      <c r="B69" s="166"/>
      <c r="C69" s="98"/>
      <c r="D69" s="97"/>
      <c r="E69" s="98"/>
      <c r="F69" s="140"/>
      <c r="G69" s="97"/>
      <c r="H69" s="98"/>
      <c r="I69" s="105"/>
      <c r="J69" s="97"/>
      <c r="K69" s="101"/>
      <c r="L69" s="101"/>
      <c r="M69" s="102"/>
      <c r="N69" s="124"/>
      <c r="O69" s="125"/>
      <c r="P69" s="97"/>
      <c r="Q69" s="115"/>
      <c r="R69" s="107"/>
      <c r="S69" s="105"/>
      <c r="T69" s="105"/>
      <c r="V69" s="108"/>
    </row>
    <row r="70" ht="15.75" customHeight="1">
      <c r="A70" s="91"/>
      <c r="B70" s="166"/>
      <c r="C70" s="98"/>
      <c r="D70" s="97"/>
      <c r="E70" s="98"/>
      <c r="F70" s="138"/>
      <c r="G70" s="97"/>
      <c r="H70" s="98"/>
      <c r="I70" s="105"/>
      <c r="J70" s="97"/>
      <c r="K70" s="114"/>
      <c r="L70" s="114"/>
      <c r="M70" s="102"/>
      <c r="N70" s="124"/>
      <c r="O70" s="125"/>
      <c r="P70" s="97"/>
      <c r="Q70" s="131"/>
      <c r="R70" s="126"/>
      <c r="S70" s="97"/>
      <c r="T70" s="97"/>
      <c r="V70" s="108"/>
    </row>
    <row r="71" ht="15.75" customHeight="1">
      <c r="A71" s="91"/>
      <c r="B71" s="166"/>
      <c r="C71" s="98"/>
      <c r="D71" s="97"/>
      <c r="E71" s="98"/>
      <c r="F71" s="138"/>
      <c r="G71" s="97"/>
      <c r="H71" s="98"/>
      <c r="I71" s="105"/>
      <c r="J71" s="97"/>
      <c r="K71" s="101"/>
      <c r="L71" s="101"/>
      <c r="M71" s="102"/>
      <c r="N71" s="124"/>
      <c r="O71" s="125"/>
      <c r="P71" s="97"/>
      <c r="Q71" s="130"/>
      <c r="R71" s="107"/>
      <c r="S71" s="105"/>
      <c r="T71" s="105"/>
      <c r="V71" s="108"/>
    </row>
    <row r="72" ht="15.75" customHeight="1">
      <c r="A72" s="91"/>
      <c r="B72" s="166"/>
      <c r="C72" s="98"/>
      <c r="D72" s="97"/>
      <c r="E72" s="165"/>
      <c r="F72" s="138"/>
      <c r="G72" s="97"/>
      <c r="H72" s="98"/>
      <c r="I72" s="105"/>
      <c r="J72" s="97"/>
      <c r="K72" s="114"/>
      <c r="L72" s="114"/>
      <c r="M72" s="102"/>
      <c r="N72" s="103"/>
      <c r="O72" s="125"/>
      <c r="P72" s="97"/>
      <c r="Q72" s="130"/>
      <c r="R72" s="107"/>
      <c r="S72" s="105"/>
      <c r="T72" s="105"/>
      <c r="V72" s="108"/>
    </row>
    <row r="73" ht="15.75" customHeight="1">
      <c r="A73" s="91"/>
      <c r="B73" s="166"/>
      <c r="C73" s="98"/>
      <c r="D73" s="97"/>
      <c r="E73" s="165"/>
      <c r="F73" s="140"/>
      <c r="G73" s="97"/>
      <c r="H73" s="98"/>
      <c r="I73" s="105"/>
      <c r="J73" s="97"/>
      <c r="K73" s="101"/>
      <c r="L73" s="101"/>
      <c r="M73" s="102"/>
      <c r="N73" s="103"/>
      <c r="O73" s="125"/>
      <c r="P73" s="97"/>
      <c r="Q73" s="115"/>
      <c r="R73" s="107"/>
      <c r="S73" s="105"/>
      <c r="T73" s="105"/>
      <c r="V73" s="108"/>
    </row>
    <row r="74" ht="15.75" customHeight="1">
      <c r="A74" s="91"/>
      <c r="B74" s="166"/>
      <c r="C74" s="107"/>
      <c r="D74" s="97"/>
      <c r="E74" s="165"/>
      <c r="F74" s="138"/>
      <c r="G74" s="97"/>
      <c r="H74" s="98"/>
      <c r="I74" s="105"/>
      <c r="J74" s="97"/>
      <c r="K74" s="114"/>
      <c r="L74" s="114"/>
      <c r="M74" s="102"/>
      <c r="N74" s="103"/>
      <c r="O74" s="125"/>
      <c r="P74" s="97"/>
      <c r="Q74" s="115"/>
      <c r="R74" s="107"/>
      <c r="S74" s="105"/>
      <c r="T74" s="105"/>
      <c r="V74" s="108"/>
    </row>
    <row r="75" ht="15.75" customHeight="1">
      <c r="A75" s="91"/>
      <c r="B75" s="166"/>
      <c r="C75" s="107"/>
      <c r="D75" s="97"/>
      <c r="E75" s="165"/>
      <c r="F75" s="138"/>
      <c r="G75" s="97"/>
      <c r="H75" s="98"/>
      <c r="I75" s="105"/>
      <c r="J75" s="97"/>
      <c r="K75" s="101"/>
      <c r="L75" s="101"/>
      <c r="M75" s="102"/>
      <c r="N75" s="124"/>
      <c r="O75" s="125"/>
      <c r="P75" s="97"/>
      <c r="Q75" s="131"/>
      <c r="R75" s="126"/>
      <c r="S75" s="97"/>
      <c r="T75" s="97"/>
      <c r="V75" s="108"/>
    </row>
    <row r="76" ht="15.75" customHeight="1">
      <c r="A76" s="91"/>
      <c r="B76" s="166"/>
      <c r="C76" s="98"/>
      <c r="D76" s="97"/>
      <c r="E76" s="165"/>
      <c r="F76" s="138"/>
      <c r="G76" s="97"/>
      <c r="H76" s="98"/>
      <c r="I76" s="105"/>
      <c r="J76" s="97"/>
      <c r="K76" s="114"/>
      <c r="L76" s="114"/>
      <c r="M76" s="102"/>
      <c r="N76" s="103"/>
      <c r="O76" s="125"/>
      <c r="P76" s="97"/>
      <c r="Q76" s="115"/>
      <c r="R76" s="107"/>
      <c r="S76" s="105"/>
      <c r="T76" s="105"/>
      <c r="V76" s="108"/>
    </row>
    <row r="77" ht="15.75" customHeight="1">
      <c r="A77" s="91"/>
      <c r="B77" s="166"/>
      <c r="C77" s="98"/>
      <c r="D77" s="97"/>
      <c r="E77" s="98"/>
      <c r="F77" s="138"/>
      <c r="G77" s="97"/>
      <c r="H77" s="98"/>
      <c r="I77" s="105"/>
      <c r="J77" s="97"/>
      <c r="K77" s="101"/>
      <c r="L77" s="101"/>
      <c r="M77" s="102"/>
      <c r="N77" s="124"/>
      <c r="O77" s="125"/>
      <c r="P77" s="97"/>
      <c r="Q77" s="131"/>
      <c r="R77" s="126"/>
      <c r="S77" s="97"/>
      <c r="T77" s="97"/>
      <c r="V77" s="108"/>
    </row>
    <row r="78" ht="15.75" customHeight="1">
      <c r="A78" s="91"/>
      <c r="B78" s="166"/>
      <c r="C78" s="98"/>
      <c r="D78" s="97"/>
      <c r="E78" s="165"/>
      <c r="F78" s="138"/>
      <c r="G78" s="97"/>
      <c r="H78" s="98"/>
      <c r="I78" s="105"/>
      <c r="J78" s="97"/>
      <c r="K78" s="114"/>
      <c r="L78" s="114"/>
      <c r="M78" s="102"/>
      <c r="N78" s="103"/>
      <c r="O78" s="125"/>
      <c r="P78" s="97"/>
      <c r="Q78" s="115"/>
      <c r="R78" s="107"/>
      <c r="S78" s="105"/>
      <c r="T78" s="105"/>
      <c r="V78" s="108"/>
    </row>
    <row r="79" ht="15.75" customHeight="1">
      <c r="A79" s="91"/>
      <c r="B79" s="166"/>
      <c r="C79" s="98"/>
      <c r="D79" s="97"/>
      <c r="E79" s="165"/>
      <c r="F79" s="138"/>
      <c r="G79" s="97"/>
      <c r="H79" s="98"/>
      <c r="I79" s="105"/>
      <c r="J79" s="97"/>
      <c r="K79" s="101"/>
      <c r="L79" s="101"/>
      <c r="M79" s="102"/>
      <c r="N79" s="124"/>
      <c r="O79" s="125"/>
      <c r="P79" s="97"/>
      <c r="Q79" s="131"/>
      <c r="R79" s="126"/>
      <c r="S79" s="97"/>
      <c r="T79" s="97"/>
      <c r="V79" s="108"/>
    </row>
    <row r="80" ht="15.75" customHeight="1">
      <c r="A80" s="91"/>
      <c r="B80" s="166"/>
      <c r="C80" s="98"/>
      <c r="D80" s="97"/>
      <c r="E80" s="165"/>
      <c r="F80" s="138"/>
      <c r="G80" s="97"/>
      <c r="H80" s="98"/>
      <c r="I80" s="105"/>
      <c r="J80" s="97"/>
      <c r="K80" s="114"/>
      <c r="L80" s="114"/>
      <c r="M80" s="102"/>
      <c r="N80" s="103"/>
      <c r="O80" s="104"/>
      <c r="P80" s="97"/>
      <c r="Q80" s="130"/>
      <c r="R80" s="107"/>
      <c r="S80" s="105"/>
      <c r="T80" s="105"/>
      <c r="V80" s="108"/>
    </row>
    <row r="81" ht="15.75" customHeight="1">
      <c r="A81" s="91"/>
      <c r="B81" s="166"/>
      <c r="C81" s="107"/>
      <c r="D81" s="97"/>
      <c r="E81" s="165"/>
      <c r="F81" s="138"/>
      <c r="G81" s="97"/>
      <c r="H81" s="98"/>
      <c r="I81" s="105"/>
      <c r="J81" s="97"/>
      <c r="K81" s="101"/>
      <c r="L81" s="101"/>
      <c r="M81" s="102"/>
      <c r="N81" s="103"/>
      <c r="O81" s="104"/>
      <c r="P81" s="97"/>
      <c r="Q81" s="115"/>
      <c r="R81" s="136"/>
      <c r="S81" s="105"/>
      <c r="T81" s="105"/>
      <c r="V81" s="108"/>
    </row>
    <row r="82" ht="15.75" customHeight="1">
      <c r="A82" s="91"/>
      <c r="B82" s="166"/>
      <c r="C82" s="107"/>
      <c r="D82" s="97"/>
      <c r="E82" s="165"/>
      <c r="F82" s="138"/>
      <c r="G82" s="97"/>
      <c r="H82" s="98"/>
      <c r="I82" s="105"/>
      <c r="J82" s="97"/>
      <c r="K82" s="114"/>
      <c r="L82" s="114"/>
      <c r="M82" s="102"/>
      <c r="N82" s="103"/>
      <c r="O82" s="104"/>
      <c r="P82" s="97"/>
      <c r="Q82" s="115"/>
      <c r="R82" s="107"/>
      <c r="S82" s="105"/>
      <c r="T82" s="105"/>
      <c r="V82" s="108"/>
    </row>
    <row r="83" ht="15.75" customHeight="1">
      <c r="A83" s="91"/>
      <c r="B83" s="166"/>
      <c r="C83" s="98"/>
      <c r="D83" s="97"/>
      <c r="E83" s="165"/>
      <c r="F83" s="138"/>
      <c r="G83" s="97"/>
      <c r="H83" s="98"/>
      <c r="I83" s="105"/>
      <c r="J83" s="97"/>
      <c r="K83" s="101"/>
      <c r="L83" s="101"/>
      <c r="M83" s="102"/>
      <c r="N83" s="124"/>
      <c r="O83" s="125"/>
      <c r="P83" s="97"/>
      <c r="Q83" s="131"/>
      <c r="R83" s="126"/>
      <c r="S83" s="97"/>
      <c r="T83" s="97"/>
      <c r="V83" s="108"/>
    </row>
    <row r="84" ht="15.75" customHeight="1">
      <c r="A84" s="91"/>
      <c r="B84" s="166"/>
      <c r="C84" s="98"/>
      <c r="D84" s="97"/>
      <c r="E84" s="165"/>
      <c r="F84" s="138"/>
      <c r="G84" s="97"/>
      <c r="H84" s="98"/>
      <c r="I84" s="105"/>
      <c r="J84" s="97"/>
      <c r="K84" s="114"/>
      <c r="L84" s="114"/>
      <c r="M84" s="102"/>
      <c r="N84" s="124"/>
      <c r="O84" s="125"/>
      <c r="P84" s="97"/>
      <c r="Q84" s="97"/>
      <c r="R84" s="126"/>
      <c r="S84" s="97"/>
      <c r="T84" s="97"/>
      <c r="V84" s="108"/>
    </row>
    <row r="85" ht="15.75" customHeight="1">
      <c r="A85" s="91"/>
      <c r="B85" s="166"/>
      <c r="C85" s="137"/>
      <c r="D85" s="97"/>
      <c r="E85" s="165"/>
      <c r="F85" s="138"/>
      <c r="G85" s="97"/>
      <c r="H85" s="98"/>
      <c r="I85" s="105"/>
      <c r="J85" s="97"/>
      <c r="K85" s="101"/>
      <c r="L85" s="101"/>
      <c r="M85" s="102"/>
      <c r="N85" s="124"/>
      <c r="O85" s="125"/>
      <c r="P85" s="97"/>
      <c r="Q85" s="131"/>
      <c r="R85" s="126"/>
      <c r="S85" s="97"/>
      <c r="T85" s="97"/>
      <c r="V85" s="108"/>
    </row>
    <row r="86" ht="15.75" customHeight="1">
      <c r="A86" s="91"/>
      <c r="B86" s="166"/>
      <c r="C86" s="99"/>
      <c r="D86" s="97"/>
      <c r="E86" s="165"/>
      <c r="F86" s="138"/>
      <c r="G86" s="97"/>
      <c r="H86" s="98"/>
      <c r="I86" s="105"/>
      <c r="J86" s="97"/>
      <c r="K86" s="114"/>
      <c r="L86" s="114"/>
      <c r="M86" s="102"/>
      <c r="N86" s="103"/>
      <c r="O86" s="104"/>
      <c r="P86" s="97"/>
      <c r="Q86" s="130"/>
      <c r="R86" s="116"/>
      <c r="S86" s="105"/>
      <c r="T86" s="105"/>
      <c r="V86" s="108"/>
    </row>
    <row r="87" ht="15.75" customHeight="1">
      <c r="A87" s="91"/>
      <c r="B87" s="166"/>
      <c r="C87" s="98"/>
      <c r="D87" s="97"/>
      <c r="E87" s="165"/>
      <c r="F87" s="138"/>
      <c r="G87" s="97"/>
      <c r="H87" s="98"/>
      <c r="I87" s="105"/>
      <c r="J87" s="97"/>
      <c r="K87" s="101"/>
      <c r="L87" s="101"/>
      <c r="M87" s="102"/>
      <c r="N87" s="124"/>
      <c r="O87" s="104"/>
      <c r="P87" s="97"/>
      <c r="Q87" s="131"/>
      <c r="R87" s="107"/>
      <c r="S87" s="105"/>
      <c r="T87" s="105"/>
      <c r="V87" s="108"/>
    </row>
    <row r="88" ht="15.75" customHeight="1">
      <c r="A88" s="91"/>
      <c r="B88" s="166"/>
      <c r="C88" s="98"/>
      <c r="D88" s="97"/>
      <c r="E88" s="165"/>
      <c r="F88" s="138"/>
      <c r="G88" s="97"/>
      <c r="H88" s="98"/>
      <c r="I88" s="105"/>
      <c r="J88" s="97"/>
      <c r="K88" s="114"/>
      <c r="L88" s="114"/>
      <c r="M88" s="102"/>
      <c r="N88" s="103"/>
      <c r="O88" s="104"/>
      <c r="P88" s="97"/>
      <c r="Q88" s="115"/>
      <c r="R88" s="107"/>
      <c r="S88" s="105"/>
      <c r="T88" s="105"/>
      <c r="V88" s="108"/>
    </row>
    <row r="89" ht="15.75" customHeight="1">
      <c r="A89" s="91"/>
      <c r="B89" s="166"/>
      <c r="C89" s="98"/>
      <c r="D89" s="97"/>
      <c r="E89" s="165"/>
      <c r="F89" s="138"/>
      <c r="G89" s="97"/>
      <c r="H89" s="98"/>
      <c r="I89" s="105"/>
      <c r="J89" s="97"/>
      <c r="K89" s="101"/>
      <c r="L89" s="101"/>
      <c r="M89" s="102"/>
      <c r="N89" s="124"/>
      <c r="O89" s="125"/>
      <c r="P89" s="97"/>
      <c r="Q89" s="97"/>
      <c r="R89" s="126"/>
      <c r="S89" s="97"/>
      <c r="T89" s="97"/>
      <c r="V89" s="108"/>
    </row>
    <row r="90" ht="15.75" customHeight="1">
      <c r="A90" s="91"/>
      <c r="B90" s="166"/>
      <c r="C90" s="138"/>
      <c r="D90" s="97"/>
      <c r="E90" s="165"/>
      <c r="F90" s="169"/>
      <c r="G90" s="97"/>
      <c r="H90" s="98"/>
      <c r="I90" s="105"/>
      <c r="J90" s="97"/>
      <c r="K90" s="114"/>
      <c r="L90" s="114"/>
      <c r="M90" s="102"/>
      <c r="N90" s="103"/>
      <c r="O90" s="104"/>
      <c r="P90" s="97"/>
      <c r="Q90" s="105"/>
      <c r="R90" s="107"/>
      <c r="S90" s="105"/>
      <c r="T90" s="105"/>
      <c r="V90" s="108"/>
    </row>
    <row r="91" ht="15.75" customHeight="1">
      <c r="A91" s="91"/>
      <c r="B91" s="166"/>
      <c r="C91" s="140"/>
      <c r="D91" s="97"/>
      <c r="E91" s="165"/>
      <c r="F91" s="138"/>
      <c r="G91" s="97"/>
      <c r="H91" s="98"/>
      <c r="I91" s="105"/>
      <c r="J91" s="97"/>
      <c r="K91" s="101"/>
      <c r="L91" s="101"/>
      <c r="M91" s="102"/>
      <c r="N91" s="124"/>
      <c r="O91" s="125"/>
      <c r="P91" s="97"/>
      <c r="Q91" s="97"/>
      <c r="R91" s="126"/>
      <c r="S91" s="97"/>
      <c r="T91" s="97"/>
      <c r="V91" s="108"/>
    </row>
    <row r="92" ht="15.75" customHeight="1">
      <c r="A92" s="91"/>
      <c r="B92" s="166"/>
      <c r="C92" s="138"/>
      <c r="D92" s="97"/>
      <c r="E92" s="165"/>
      <c r="F92" s="138"/>
      <c r="G92" s="97"/>
      <c r="H92" s="98"/>
      <c r="I92" s="105"/>
      <c r="J92" s="97"/>
      <c r="K92" s="114"/>
      <c r="L92" s="114"/>
      <c r="M92" s="102"/>
      <c r="N92" s="103"/>
      <c r="O92" s="104"/>
      <c r="P92" s="97"/>
      <c r="Q92" s="130"/>
      <c r="R92" s="107"/>
      <c r="S92" s="105"/>
      <c r="T92" s="105"/>
      <c r="V92" s="108"/>
    </row>
    <row r="93" ht="15.75" customHeight="1">
      <c r="A93" s="91"/>
      <c r="B93" s="166"/>
      <c r="C93" s="140"/>
      <c r="D93" s="97"/>
      <c r="E93" s="138"/>
      <c r="F93" s="138"/>
      <c r="G93" s="97"/>
      <c r="H93" s="98"/>
      <c r="I93" s="105"/>
      <c r="J93" s="97"/>
      <c r="K93" s="101"/>
      <c r="L93" s="101"/>
      <c r="M93" s="102"/>
      <c r="N93" s="124"/>
      <c r="O93" s="125"/>
      <c r="P93" s="97"/>
      <c r="Q93" s="131"/>
      <c r="R93" s="126"/>
      <c r="S93" s="97"/>
      <c r="T93" s="97"/>
      <c r="V93" s="108"/>
    </row>
    <row r="94" ht="15.75" customHeight="1">
      <c r="A94" s="91"/>
      <c r="B94" s="166"/>
      <c r="C94" s="98"/>
      <c r="D94" s="97"/>
      <c r="E94" s="165"/>
      <c r="F94" s="138"/>
      <c r="G94" s="97"/>
      <c r="H94" s="98"/>
      <c r="I94" s="105"/>
      <c r="J94" s="97"/>
      <c r="K94" s="114"/>
      <c r="L94" s="114"/>
      <c r="M94" s="102"/>
      <c r="N94" s="124"/>
      <c r="O94" s="125"/>
      <c r="P94" s="97"/>
      <c r="Q94" s="97"/>
      <c r="R94" s="126"/>
      <c r="S94" s="97"/>
      <c r="T94" s="97"/>
      <c r="V94" s="108"/>
    </row>
    <row r="95" ht="15.75" customHeight="1">
      <c r="A95" s="91"/>
      <c r="B95" s="166"/>
      <c r="C95" s="98"/>
      <c r="D95" s="97"/>
      <c r="E95" s="165"/>
      <c r="F95" s="138"/>
      <c r="G95" s="97"/>
      <c r="H95" s="98"/>
      <c r="I95" s="105"/>
      <c r="J95" s="97"/>
      <c r="K95" s="101"/>
      <c r="L95" s="101"/>
      <c r="M95" s="102"/>
      <c r="N95" s="103"/>
      <c r="O95" s="104"/>
      <c r="P95" s="97"/>
      <c r="Q95" s="115"/>
      <c r="R95" s="107"/>
      <c r="S95" s="105"/>
      <c r="T95" s="105"/>
      <c r="V95" s="108"/>
    </row>
    <row r="96" ht="15.75" customHeight="1">
      <c r="A96" s="91"/>
      <c r="B96" s="166"/>
      <c r="C96" s="98"/>
      <c r="D96" s="97"/>
      <c r="E96" s="165"/>
      <c r="F96" s="138"/>
      <c r="G96" s="97"/>
      <c r="H96" s="98"/>
      <c r="I96" s="105"/>
      <c r="J96" s="97"/>
      <c r="K96" s="114"/>
      <c r="L96" s="114"/>
      <c r="M96" s="102"/>
      <c r="N96" s="124"/>
      <c r="O96" s="125"/>
      <c r="P96" s="97"/>
      <c r="Q96" s="97"/>
      <c r="R96" s="126"/>
      <c r="S96" s="97"/>
      <c r="T96" s="97"/>
      <c r="V96" s="108"/>
    </row>
    <row r="97" ht="15.75" customHeight="1">
      <c r="A97" s="91"/>
      <c r="B97" s="166"/>
      <c r="C97" s="98"/>
      <c r="D97" s="97"/>
      <c r="E97" s="170"/>
      <c r="F97" s="138"/>
      <c r="G97" s="97"/>
      <c r="H97" s="98"/>
      <c r="I97" s="105"/>
      <c r="J97" s="97"/>
      <c r="K97" s="101"/>
      <c r="L97" s="101"/>
      <c r="M97" s="102"/>
      <c r="N97" s="124"/>
      <c r="O97" s="125"/>
      <c r="P97" s="97"/>
      <c r="Q97" s="131"/>
      <c r="R97" s="126"/>
      <c r="S97" s="97"/>
      <c r="T97" s="97"/>
      <c r="V97" s="108"/>
    </row>
    <row r="98" ht="15.75" customHeight="1">
      <c r="A98" s="91"/>
      <c r="B98" s="166"/>
      <c r="C98" s="107"/>
      <c r="D98" s="97"/>
      <c r="E98" s="165"/>
      <c r="F98" s="138"/>
      <c r="G98" s="97"/>
      <c r="H98" s="98"/>
      <c r="I98" s="105"/>
      <c r="J98" s="97"/>
      <c r="K98" s="114"/>
      <c r="L98" s="114"/>
      <c r="M98" s="102"/>
      <c r="N98" s="124"/>
      <c r="O98" s="125"/>
      <c r="P98" s="97"/>
      <c r="Q98" s="130"/>
      <c r="R98" s="107"/>
      <c r="S98" s="97"/>
      <c r="T98" s="105"/>
      <c r="V98" s="108"/>
    </row>
    <row r="99" ht="15.75" customHeight="1">
      <c r="A99" s="91"/>
      <c r="B99" s="166"/>
      <c r="C99" s="107"/>
      <c r="D99" s="97"/>
      <c r="E99" s="165"/>
      <c r="F99" s="138"/>
      <c r="G99" s="97"/>
      <c r="H99" s="98"/>
      <c r="I99" s="105"/>
      <c r="J99" s="97"/>
      <c r="K99" s="101"/>
      <c r="L99" s="101"/>
      <c r="M99" s="102"/>
      <c r="N99" s="124"/>
      <c r="O99" s="125"/>
      <c r="P99" s="97"/>
      <c r="Q99" s="130"/>
      <c r="R99" s="107"/>
      <c r="S99" s="97"/>
      <c r="T99" s="105"/>
      <c r="V99" s="108"/>
    </row>
    <row r="100" ht="15.75" customHeight="1">
      <c r="A100" s="91"/>
      <c r="B100" s="166"/>
      <c r="C100" s="98"/>
      <c r="D100" s="97"/>
      <c r="E100" s="98"/>
      <c r="F100" s="140"/>
      <c r="G100" s="97"/>
      <c r="H100" s="98"/>
      <c r="I100" s="105"/>
      <c r="J100" s="97"/>
      <c r="K100" s="114"/>
      <c r="L100" s="114"/>
      <c r="M100" s="102"/>
      <c r="N100" s="124"/>
      <c r="O100" s="125"/>
      <c r="P100" s="97"/>
      <c r="Q100" s="131"/>
      <c r="R100" s="126"/>
      <c r="S100" s="97"/>
      <c r="T100" s="97"/>
      <c r="V100" s="108"/>
    </row>
    <row r="101" ht="15.75" customHeight="1">
      <c r="A101" s="91"/>
      <c r="B101" s="166"/>
      <c r="C101" s="98"/>
      <c r="D101" s="97"/>
      <c r="E101" s="165"/>
      <c r="F101" s="138"/>
      <c r="G101" s="97"/>
      <c r="H101" s="98"/>
      <c r="I101" s="105"/>
      <c r="J101" s="97"/>
      <c r="K101" s="101"/>
      <c r="L101" s="101"/>
      <c r="M101" s="102"/>
      <c r="N101" s="124"/>
      <c r="O101" s="125"/>
      <c r="P101" s="97"/>
      <c r="Q101" s="97"/>
      <c r="R101" s="126"/>
      <c r="S101" s="97"/>
      <c r="T101" s="97"/>
      <c r="V101" s="108"/>
    </row>
    <row r="102" ht="15.75" customHeight="1">
      <c r="A102" s="91"/>
      <c r="B102" s="166"/>
      <c r="C102" s="98"/>
      <c r="D102" s="97"/>
      <c r="E102" s="165"/>
      <c r="F102" s="138"/>
      <c r="G102" s="97"/>
      <c r="H102" s="98"/>
      <c r="I102" s="105"/>
      <c r="J102" s="97"/>
      <c r="K102" s="114"/>
      <c r="L102" s="114"/>
      <c r="M102" s="102"/>
      <c r="N102" s="103"/>
      <c r="O102" s="104"/>
      <c r="P102" s="97"/>
      <c r="Q102" s="115"/>
      <c r="R102" s="116"/>
      <c r="S102" s="105"/>
      <c r="T102" s="105"/>
      <c r="V102" s="108"/>
    </row>
    <row r="103" ht="15.75" customHeight="1">
      <c r="A103" s="91"/>
      <c r="B103" s="171"/>
      <c r="C103" s="143"/>
      <c r="D103" s="97"/>
      <c r="E103" s="143"/>
      <c r="F103" s="169"/>
      <c r="G103" s="97"/>
      <c r="H103" s="98"/>
      <c r="I103" s="105"/>
      <c r="J103" s="97"/>
      <c r="K103" s="101"/>
      <c r="L103" s="101"/>
      <c r="M103" s="102"/>
      <c r="N103" s="103"/>
      <c r="O103" s="125"/>
      <c r="P103" s="97"/>
      <c r="Q103" s="131"/>
      <c r="R103" s="126"/>
      <c r="S103" s="105"/>
      <c r="T103" s="97"/>
      <c r="V103" s="108"/>
    </row>
    <row r="104" ht="15.75" customHeight="1">
      <c r="A104" s="91"/>
      <c r="B104" s="171"/>
      <c r="C104" s="143"/>
      <c r="D104" s="97"/>
      <c r="E104" s="143"/>
      <c r="F104" s="143"/>
      <c r="G104" s="97"/>
      <c r="H104" s="98"/>
      <c r="I104" s="105"/>
      <c r="J104" s="97"/>
      <c r="K104" s="114"/>
      <c r="L104" s="114"/>
      <c r="M104" s="102"/>
      <c r="N104" s="103"/>
      <c r="O104" s="125"/>
      <c r="P104" s="97"/>
      <c r="Q104" s="97"/>
      <c r="R104" s="126"/>
      <c r="S104" s="105"/>
      <c r="T104" s="97"/>
      <c r="V104" s="108"/>
    </row>
    <row r="105" ht="15.75" customHeight="1">
      <c r="A105" s="91"/>
      <c r="B105" s="171"/>
      <c r="C105" s="108"/>
      <c r="D105" s="97"/>
      <c r="E105" s="143"/>
      <c r="F105" s="143"/>
      <c r="G105" s="97"/>
      <c r="H105" s="98"/>
      <c r="I105" s="105"/>
      <c r="J105" s="97"/>
      <c r="K105" s="101"/>
      <c r="L105" s="101"/>
      <c r="M105" s="102"/>
      <c r="N105" s="103"/>
      <c r="O105" s="125"/>
      <c r="P105" s="97"/>
      <c r="Q105" s="131"/>
      <c r="R105" s="126"/>
      <c r="S105" s="105"/>
      <c r="T105" s="97"/>
      <c r="V105" s="108"/>
    </row>
    <row r="106" ht="15.75" customHeight="1">
      <c r="A106" s="91"/>
      <c r="B106" s="171"/>
      <c r="C106" s="108"/>
      <c r="D106" s="97"/>
      <c r="E106" s="143"/>
      <c r="F106" s="143"/>
      <c r="G106" s="97"/>
      <c r="H106" s="98"/>
      <c r="I106" s="105"/>
      <c r="J106" s="97"/>
      <c r="K106" s="114"/>
      <c r="L106" s="114"/>
      <c r="M106" s="102"/>
      <c r="N106" s="103"/>
      <c r="O106" s="125"/>
      <c r="P106" s="97"/>
      <c r="Q106" s="131"/>
      <c r="R106" s="126"/>
      <c r="S106" s="105"/>
      <c r="T106" s="97"/>
      <c r="V106" s="108"/>
    </row>
    <row r="107" ht="15.75" customHeight="1">
      <c r="A107" s="91"/>
      <c r="B107" s="171"/>
      <c r="C107" s="143"/>
      <c r="D107" s="97"/>
      <c r="E107" s="143"/>
      <c r="F107" s="143"/>
      <c r="G107" s="97"/>
      <c r="H107" s="98"/>
      <c r="I107" s="105"/>
      <c r="J107" s="97"/>
      <c r="K107" s="101"/>
      <c r="L107" s="101"/>
      <c r="M107" s="102"/>
      <c r="N107" s="103"/>
      <c r="O107" s="125"/>
      <c r="P107" s="97"/>
      <c r="Q107" s="131"/>
      <c r="R107" s="126"/>
      <c r="S107" s="105"/>
      <c r="T107" s="97"/>
      <c r="V107" s="108"/>
    </row>
    <row r="108" ht="15.75" customHeight="1">
      <c r="A108" s="91"/>
      <c r="B108" s="171"/>
      <c r="C108" s="143"/>
      <c r="D108" s="97"/>
      <c r="E108" s="143"/>
      <c r="F108" s="143"/>
      <c r="G108" s="97"/>
      <c r="H108" s="98"/>
      <c r="I108" s="105"/>
      <c r="J108" s="97"/>
      <c r="K108" s="114"/>
      <c r="L108" s="114"/>
      <c r="M108" s="102"/>
      <c r="N108" s="103"/>
      <c r="O108" s="125"/>
      <c r="P108" s="97"/>
      <c r="Q108" s="97"/>
      <c r="R108" s="126"/>
      <c r="S108" s="105"/>
      <c r="T108" s="97"/>
      <c r="V108" s="108"/>
    </row>
    <row r="109" ht="15.75" customHeight="1">
      <c r="A109" s="91"/>
      <c r="B109" s="171"/>
      <c r="C109" s="143"/>
      <c r="D109" s="97"/>
      <c r="E109" s="143"/>
      <c r="F109" s="143"/>
      <c r="G109" s="97"/>
      <c r="H109" s="98"/>
      <c r="I109" s="105"/>
      <c r="J109" s="97"/>
      <c r="K109" s="101"/>
      <c r="L109" s="101"/>
      <c r="M109" s="102"/>
      <c r="N109" s="103"/>
      <c r="O109" s="125"/>
      <c r="P109" s="97"/>
      <c r="Q109" s="131"/>
      <c r="R109" s="126"/>
      <c r="S109" s="105"/>
      <c r="T109" s="97"/>
      <c r="V109" s="108"/>
    </row>
    <row r="110" ht="15.75" customHeight="1">
      <c r="A110" s="91"/>
      <c r="B110" s="171"/>
      <c r="C110" s="143"/>
      <c r="D110" s="97"/>
      <c r="E110" s="143"/>
      <c r="F110" s="143"/>
      <c r="G110" s="97"/>
      <c r="H110" s="143"/>
      <c r="I110" s="145"/>
      <c r="J110" s="97"/>
      <c r="K110" s="114"/>
      <c r="L110" s="114"/>
      <c r="M110" s="102"/>
      <c r="N110" s="124"/>
      <c r="O110" s="125"/>
      <c r="P110" s="97"/>
      <c r="Q110" s="97"/>
      <c r="R110" s="126"/>
      <c r="S110" s="97"/>
      <c r="T110" s="97"/>
      <c r="V110" s="108"/>
    </row>
    <row r="111" ht="15.75" customHeight="1">
      <c r="A111" s="91"/>
      <c r="B111" s="171"/>
      <c r="C111" s="143"/>
      <c r="D111" s="97"/>
      <c r="E111" s="143"/>
      <c r="F111" s="143"/>
      <c r="G111" s="97"/>
      <c r="H111" s="143"/>
      <c r="I111" s="97"/>
      <c r="J111" s="97"/>
      <c r="K111" s="101"/>
      <c r="L111" s="101"/>
      <c r="M111" s="102"/>
      <c r="N111" s="124"/>
      <c r="O111" s="125"/>
      <c r="P111" s="97"/>
      <c r="Q111" s="131"/>
      <c r="R111" s="126"/>
      <c r="S111" s="97"/>
      <c r="T111" s="97"/>
      <c r="V111" s="108"/>
    </row>
    <row r="112" ht="15.75" customHeight="1">
      <c r="A112" s="91"/>
      <c r="B112" s="171"/>
      <c r="C112" s="108"/>
      <c r="D112" s="97"/>
      <c r="E112" s="143"/>
      <c r="F112" s="143"/>
      <c r="G112" s="97"/>
      <c r="H112" s="143"/>
      <c r="I112" s="97"/>
      <c r="J112" s="97"/>
      <c r="K112" s="114"/>
      <c r="L112" s="114"/>
      <c r="M112" s="102"/>
      <c r="N112" s="124"/>
      <c r="O112" s="125"/>
      <c r="P112" s="97"/>
      <c r="Q112" s="97"/>
      <c r="R112" s="126"/>
      <c r="S112" s="97"/>
      <c r="T112" s="97"/>
      <c r="V112" s="108"/>
    </row>
    <row r="113" ht="15.75" customHeight="1">
      <c r="A113" s="91"/>
      <c r="B113" s="171"/>
      <c r="C113" s="108"/>
      <c r="D113" s="97"/>
      <c r="E113" s="143"/>
      <c r="F113" s="143"/>
      <c r="G113" s="97"/>
      <c r="H113" s="143"/>
      <c r="I113" s="97"/>
      <c r="J113" s="97"/>
      <c r="K113" s="101"/>
      <c r="L113" s="101"/>
      <c r="M113" s="102"/>
      <c r="N113" s="124"/>
      <c r="O113" s="125"/>
      <c r="P113" s="97"/>
      <c r="Q113" s="97"/>
      <c r="R113" s="126"/>
      <c r="S113" s="97"/>
      <c r="T113" s="97"/>
      <c r="V113" s="108"/>
    </row>
    <row r="114" ht="15.75" customHeight="1">
      <c r="A114" s="91"/>
      <c r="B114" s="171"/>
      <c r="C114" s="108"/>
      <c r="D114" s="97"/>
      <c r="E114" s="143"/>
      <c r="F114" s="143"/>
      <c r="G114" s="97"/>
      <c r="H114" s="143"/>
      <c r="I114" s="97"/>
      <c r="J114" s="97"/>
      <c r="K114" s="114"/>
      <c r="L114" s="114"/>
      <c r="M114" s="102"/>
      <c r="N114" s="124"/>
      <c r="O114" s="125"/>
      <c r="P114" s="97"/>
      <c r="Q114" s="97"/>
      <c r="R114" s="126"/>
      <c r="S114" s="97"/>
      <c r="T114" s="97"/>
      <c r="V114" s="108"/>
    </row>
    <row r="115" ht="15.75" customHeight="1">
      <c r="A115" s="91"/>
      <c r="B115" s="171"/>
      <c r="C115" s="143"/>
      <c r="D115" s="97"/>
      <c r="E115" s="143"/>
      <c r="F115" s="143"/>
      <c r="G115" s="97"/>
      <c r="H115" s="143"/>
      <c r="I115" s="97"/>
      <c r="J115" s="97"/>
      <c r="K115" s="101"/>
      <c r="L115" s="101"/>
      <c r="M115" s="102"/>
      <c r="N115" s="124"/>
      <c r="O115" s="125"/>
      <c r="P115" s="97"/>
      <c r="Q115" s="97"/>
      <c r="R115" s="126"/>
      <c r="S115" s="97"/>
      <c r="T115" s="97"/>
      <c r="V115" s="108"/>
    </row>
    <row r="116" ht="15.75" customHeight="1">
      <c r="A116" s="91"/>
      <c r="B116" s="171"/>
      <c r="C116" s="143"/>
      <c r="D116" s="97"/>
      <c r="E116" s="143"/>
      <c r="F116" s="143"/>
      <c r="G116" s="97"/>
      <c r="H116" s="143"/>
      <c r="I116" s="97"/>
      <c r="J116" s="97"/>
      <c r="K116" s="114"/>
      <c r="L116" s="114"/>
      <c r="M116" s="102"/>
      <c r="N116" s="124"/>
      <c r="O116" s="125"/>
      <c r="P116" s="97"/>
      <c r="Q116" s="97"/>
      <c r="R116" s="126"/>
      <c r="S116" s="97"/>
      <c r="T116" s="97"/>
      <c r="V116" s="108"/>
    </row>
    <row r="117" ht="15.75" customHeight="1">
      <c r="A117" s="91"/>
      <c r="B117" s="171"/>
      <c r="C117" s="143"/>
      <c r="D117" s="97"/>
      <c r="E117" s="143"/>
      <c r="F117" s="143"/>
      <c r="G117" s="97"/>
      <c r="H117" s="143"/>
      <c r="I117" s="97"/>
      <c r="J117" s="97"/>
      <c r="K117" s="101"/>
      <c r="L117" s="101"/>
      <c r="M117" s="102"/>
      <c r="N117" s="124"/>
      <c r="O117" s="125"/>
      <c r="P117" s="97"/>
      <c r="Q117" s="97"/>
      <c r="R117" s="126"/>
      <c r="S117" s="97"/>
      <c r="T117" s="97"/>
      <c r="V117" s="108"/>
    </row>
    <row r="118" ht="15.75" customHeight="1">
      <c r="A118" s="91"/>
      <c r="B118" s="171"/>
      <c r="C118" s="143"/>
      <c r="D118" s="97"/>
      <c r="E118" s="143"/>
      <c r="F118" s="143"/>
      <c r="G118" s="97"/>
      <c r="H118" s="143"/>
      <c r="I118" s="97"/>
      <c r="J118" s="97"/>
      <c r="K118" s="114"/>
      <c r="L118" s="114"/>
      <c r="M118" s="102"/>
      <c r="N118" s="124"/>
      <c r="O118" s="125"/>
      <c r="P118" s="97"/>
      <c r="Q118" s="97"/>
      <c r="R118" s="126"/>
      <c r="S118" s="97"/>
      <c r="T118" s="97"/>
      <c r="V118" s="108"/>
    </row>
    <row r="119" ht="15.75" customHeight="1">
      <c r="A119" s="91"/>
      <c r="B119" s="171"/>
      <c r="C119" s="143"/>
      <c r="D119" s="97"/>
      <c r="E119" s="143"/>
      <c r="F119" s="143"/>
      <c r="G119" s="97"/>
      <c r="H119" s="143"/>
      <c r="I119" s="97"/>
      <c r="J119" s="97"/>
      <c r="K119" s="101"/>
      <c r="L119" s="101"/>
      <c r="M119" s="102"/>
      <c r="N119" s="124"/>
      <c r="O119" s="125"/>
      <c r="P119" s="97"/>
      <c r="Q119" s="131"/>
      <c r="R119" s="126"/>
      <c r="S119" s="97"/>
      <c r="T119" s="97"/>
      <c r="V119" s="108"/>
    </row>
    <row r="120" ht="15.75" customHeight="1">
      <c r="A120" s="91"/>
      <c r="B120" s="171"/>
      <c r="C120" s="108"/>
      <c r="D120" s="97"/>
      <c r="E120" s="143"/>
      <c r="F120" s="143"/>
      <c r="G120" s="97"/>
      <c r="H120" s="143"/>
      <c r="I120" s="97"/>
      <c r="J120" s="97"/>
      <c r="K120" s="114"/>
      <c r="L120" s="114"/>
      <c r="M120" s="102"/>
      <c r="N120" s="124"/>
      <c r="O120" s="125"/>
      <c r="P120" s="97"/>
      <c r="Q120" s="97"/>
      <c r="R120" s="126"/>
      <c r="S120" s="97"/>
      <c r="T120" s="97"/>
      <c r="V120" s="108"/>
    </row>
    <row r="121" ht="15.75" customHeight="1">
      <c r="A121" s="91"/>
      <c r="B121" s="171"/>
      <c r="C121" s="108"/>
      <c r="D121" s="97"/>
      <c r="E121" s="143"/>
      <c r="F121" s="143"/>
      <c r="G121" s="97"/>
      <c r="H121" s="143"/>
      <c r="I121" s="97"/>
      <c r="J121" s="97"/>
      <c r="K121" s="101"/>
      <c r="L121" s="101"/>
      <c r="M121" s="102"/>
      <c r="N121" s="124"/>
      <c r="O121" s="125"/>
      <c r="P121" s="97"/>
      <c r="Q121" s="97"/>
      <c r="R121" s="126"/>
      <c r="S121" s="97"/>
      <c r="T121" s="97"/>
      <c r="V121" s="108"/>
    </row>
    <row r="122" ht="15.75" customHeight="1">
      <c r="A122" s="91"/>
      <c r="B122" s="171"/>
      <c r="C122" s="108"/>
      <c r="D122" s="97"/>
      <c r="E122" s="143"/>
      <c r="F122" s="143"/>
      <c r="G122" s="97"/>
      <c r="H122" s="143"/>
      <c r="I122" s="97"/>
      <c r="J122" s="97"/>
      <c r="K122" s="114"/>
      <c r="L122" s="114"/>
      <c r="M122" s="102"/>
      <c r="N122" s="124"/>
      <c r="O122" s="125"/>
      <c r="P122" s="97"/>
      <c r="Q122" s="131"/>
      <c r="R122" s="126"/>
      <c r="S122" s="97"/>
      <c r="T122" s="97"/>
      <c r="V122" s="108"/>
    </row>
    <row r="123" ht="15.75" customHeight="1">
      <c r="A123" s="91"/>
      <c r="B123" s="171"/>
      <c r="C123" s="143"/>
      <c r="D123" s="97"/>
      <c r="E123" s="143"/>
      <c r="F123" s="143"/>
      <c r="G123" s="97"/>
      <c r="H123" s="143"/>
      <c r="I123" s="97"/>
      <c r="J123" s="97"/>
      <c r="K123" s="101"/>
      <c r="L123" s="101"/>
      <c r="M123" s="102"/>
      <c r="N123" s="124"/>
      <c r="O123" s="125"/>
      <c r="P123" s="97"/>
      <c r="Q123" s="131"/>
      <c r="R123" s="126"/>
      <c r="S123" s="97"/>
      <c r="T123" s="97"/>
      <c r="V123" s="108"/>
    </row>
    <row r="124" ht="15.75" customHeight="1">
      <c r="A124" s="91"/>
      <c r="B124" s="171"/>
      <c r="C124" s="143"/>
      <c r="D124" s="97"/>
      <c r="E124" s="143"/>
      <c r="F124" s="143"/>
      <c r="G124" s="97"/>
      <c r="H124" s="143"/>
      <c r="I124" s="97"/>
      <c r="J124" s="97"/>
      <c r="K124" s="114"/>
      <c r="L124" s="114"/>
      <c r="M124" s="102"/>
      <c r="N124" s="124"/>
      <c r="O124" s="125"/>
      <c r="P124" s="97"/>
      <c r="Q124" s="131"/>
      <c r="R124" s="126"/>
      <c r="S124" s="97"/>
      <c r="T124" s="97"/>
      <c r="V124" s="108"/>
    </row>
    <row r="125" ht="15.75" customHeight="1">
      <c r="A125" s="91"/>
      <c r="B125" s="171"/>
      <c r="C125" s="143"/>
      <c r="D125" s="97"/>
      <c r="E125" s="143"/>
      <c r="F125" s="143"/>
      <c r="G125" s="97"/>
      <c r="H125" s="143"/>
      <c r="I125" s="97"/>
      <c r="J125" s="97"/>
      <c r="K125" s="101"/>
      <c r="L125" s="101"/>
      <c r="M125" s="102"/>
      <c r="N125" s="124"/>
      <c r="O125" s="125"/>
      <c r="P125" s="97"/>
      <c r="Q125" s="131"/>
      <c r="R125" s="126"/>
      <c r="S125" s="97"/>
      <c r="T125" s="97"/>
      <c r="V125" s="108"/>
    </row>
    <row r="126" ht="15.75" customHeight="1">
      <c r="A126" s="91"/>
      <c r="B126" s="171"/>
      <c r="C126" s="143"/>
      <c r="D126" s="97"/>
      <c r="E126" s="143"/>
      <c r="F126" s="143"/>
      <c r="G126" s="97"/>
      <c r="H126" s="143"/>
      <c r="I126" s="97"/>
      <c r="J126" s="97"/>
      <c r="K126" s="114"/>
      <c r="L126" s="114"/>
      <c r="M126" s="102"/>
      <c r="N126" s="124"/>
      <c r="O126" s="125"/>
      <c r="P126" s="97"/>
      <c r="Q126" s="131"/>
      <c r="R126" s="126"/>
      <c r="S126" s="97"/>
      <c r="T126" s="97"/>
      <c r="V126" s="108"/>
    </row>
    <row r="127" ht="15.75" customHeight="1">
      <c r="A127" s="91"/>
      <c r="B127" s="171"/>
      <c r="C127" s="143"/>
      <c r="D127" s="97"/>
      <c r="E127" s="143"/>
      <c r="F127" s="143"/>
      <c r="G127" s="97"/>
      <c r="H127" s="143"/>
      <c r="I127" s="97"/>
      <c r="J127" s="97"/>
      <c r="K127" s="101"/>
      <c r="L127" s="101"/>
      <c r="M127" s="102"/>
      <c r="N127" s="124"/>
      <c r="O127" s="125"/>
      <c r="P127" s="97"/>
      <c r="Q127" s="131"/>
      <c r="R127" s="126"/>
      <c r="S127" s="97"/>
      <c r="T127" s="97"/>
      <c r="V127" s="108"/>
    </row>
    <row r="128" ht="15.75" customHeight="1">
      <c r="A128" s="91"/>
      <c r="B128" s="171"/>
      <c r="C128" s="108"/>
      <c r="D128" s="97"/>
      <c r="E128" s="143"/>
      <c r="F128" s="143"/>
      <c r="G128" s="97"/>
      <c r="H128" s="143"/>
      <c r="I128" s="97"/>
      <c r="J128" s="97"/>
      <c r="K128" s="114"/>
      <c r="L128" s="114"/>
      <c r="M128" s="102"/>
      <c r="N128" s="124"/>
      <c r="O128" s="125"/>
      <c r="P128" s="97"/>
      <c r="Q128" s="97"/>
      <c r="R128" s="126"/>
      <c r="S128" s="97"/>
      <c r="T128" s="97"/>
      <c r="V128" s="108"/>
    </row>
    <row r="129" ht="15.75" customHeight="1">
      <c r="A129" s="91"/>
      <c r="B129" s="171"/>
      <c r="C129" s="108"/>
      <c r="D129" s="97"/>
      <c r="E129" s="143"/>
      <c r="F129" s="143"/>
      <c r="G129" s="97"/>
      <c r="H129" s="143"/>
      <c r="I129" s="97"/>
      <c r="J129" s="97"/>
      <c r="K129" s="101"/>
      <c r="L129" s="101"/>
      <c r="M129" s="102"/>
      <c r="N129" s="124"/>
      <c r="O129" s="125"/>
      <c r="P129" s="97"/>
      <c r="Q129" s="131"/>
      <c r="R129" s="126"/>
      <c r="S129" s="97"/>
      <c r="T129" s="97"/>
      <c r="V129" s="108"/>
    </row>
    <row r="130" ht="15.75" customHeight="1">
      <c r="A130" s="91"/>
      <c r="B130" s="171"/>
      <c r="C130" s="108"/>
      <c r="D130" s="97"/>
      <c r="E130" s="143"/>
      <c r="F130" s="143"/>
      <c r="G130" s="97"/>
      <c r="H130" s="143"/>
      <c r="I130" s="97"/>
      <c r="J130" s="97"/>
      <c r="K130" s="114"/>
      <c r="L130" s="114"/>
      <c r="M130" s="102"/>
      <c r="N130" s="124"/>
      <c r="O130" s="125"/>
      <c r="P130" s="97"/>
      <c r="Q130" s="97"/>
      <c r="R130" s="126"/>
      <c r="S130" s="97"/>
      <c r="T130" s="97"/>
      <c r="V130" s="108"/>
    </row>
    <row r="131" ht="15.75" customHeight="1">
      <c r="A131" s="91"/>
      <c r="B131" s="171"/>
      <c r="C131" s="143"/>
      <c r="D131" s="97"/>
      <c r="E131" s="143"/>
      <c r="F131" s="143"/>
      <c r="G131" s="97"/>
      <c r="H131" s="143"/>
      <c r="I131" s="97"/>
      <c r="J131" s="97"/>
      <c r="K131" s="101"/>
      <c r="L131" s="101"/>
      <c r="M131" s="102"/>
      <c r="N131" s="124"/>
      <c r="O131" s="125"/>
      <c r="P131" s="97"/>
      <c r="Q131" s="97"/>
      <c r="R131" s="126"/>
      <c r="S131" s="97"/>
      <c r="T131" s="97"/>
      <c r="V131" s="108"/>
    </row>
    <row r="132" ht="15.75" customHeight="1">
      <c r="A132" s="91"/>
      <c r="B132" s="171"/>
      <c r="C132" s="143"/>
      <c r="D132" s="97"/>
      <c r="E132" s="143"/>
      <c r="F132" s="143"/>
      <c r="G132" s="97"/>
      <c r="H132" s="143"/>
      <c r="I132" s="97"/>
      <c r="J132" s="97"/>
      <c r="K132" s="114"/>
      <c r="L132" s="114"/>
      <c r="M132" s="102"/>
      <c r="N132" s="124"/>
      <c r="O132" s="125"/>
      <c r="P132" s="97"/>
      <c r="Q132" s="131"/>
      <c r="R132" s="126"/>
      <c r="S132" s="97"/>
      <c r="T132" s="97"/>
      <c r="V132" s="108"/>
    </row>
    <row r="133" ht="15.75" customHeight="1">
      <c r="A133" s="91"/>
      <c r="B133" s="171"/>
      <c r="C133" s="143"/>
      <c r="D133" s="97"/>
      <c r="E133" s="143"/>
      <c r="F133" s="143"/>
      <c r="G133" s="97"/>
      <c r="H133" s="143"/>
      <c r="I133" s="97"/>
      <c r="J133" s="97"/>
      <c r="K133" s="101"/>
      <c r="L133" s="101"/>
      <c r="M133" s="102"/>
      <c r="N133" s="124"/>
      <c r="O133" s="125"/>
      <c r="P133" s="97"/>
      <c r="Q133" s="97"/>
      <c r="R133" s="126"/>
      <c r="S133" s="97"/>
      <c r="T133" s="97"/>
      <c r="V133" s="108"/>
    </row>
    <row r="134" ht="15.75" customHeight="1">
      <c r="A134" s="91"/>
      <c r="B134" s="171"/>
      <c r="C134" s="143"/>
      <c r="D134" s="97"/>
      <c r="E134" s="143"/>
      <c r="F134" s="143"/>
      <c r="G134" s="97"/>
      <c r="H134" s="143"/>
      <c r="I134" s="97"/>
      <c r="J134" s="97"/>
      <c r="K134" s="114"/>
      <c r="L134" s="114"/>
      <c r="M134" s="102"/>
      <c r="N134" s="124"/>
      <c r="O134" s="125"/>
      <c r="P134" s="97"/>
      <c r="Q134" s="97"/>
      <c r="R134" s="126"/>
      <c r="S134" s="97"/>
      <c r="T134" s="97"/>
      <c r="V134" s="108"/>
    </row>
    <row r="135" ht="15.75" customHeight="1">
      <c r="A135" s="91"/>
      <c r="B135" s="171"/>
      <c r="C135" s="143"/>
      <c r="D135" s="97"/>
      <c r="E135" s="143"/>
      <c r="F135" s="143"/>
      <c r="G135" s="97"/>
      <c r="H135" s="143"/>
      <c r="I135" s="97"/>
      <c r="J135" s="97"/>
      <c r="K135" s="101"/>
      <c r="L135" s="101"/>
      <c r="M135" s="102"/>
      <c r="N135" s="124"/>
      <c r="O135" s="125"/>
      <c r="P135" s="97"/>
      <c r="Q135" s="131"/>
      <c r="R135" s="126"/>
      <c r="S135" s="97"/>
      <c r="T135" s="97"/>
      <c r="V135" s="108"/>
    </row>
    <row r="136" ht="15.75" customHeight="1">
      <c r="A136" s="91"/>
      <c r="B136" s="171"/>
      <c r="C136" s="108"/>
      <c r="D136" s="97"/>
      <c r="E136" s="143"/>
      <c r="F136" s="143"/>
      <c r="G136" s="97"/>
      <c r="H136" s="143"/>
      <c r="I136" s="97"/>
      <c r="J136" s="97"/>
      <c r="K136" s="114"/>
      <c r="L136" s="114"/>
      <c r="M136" s="102"/>
      <c r="N136" s="124"/>
      <c r="O136" s="125"/>
      <c r="P136" s="97"/>
      <c r="Q136" s="97"/>
      <c r="R136" s="126"/>
      <c r="S136" s="97"/>
      <c r="T136" s="97"/>
      <c r="V136" s="108"/>
    </row>
    <row r="137" ht="15.75" customHeight="1">
      <c r="A137" s="91"/>
      <c r="B137" s="171"/>
      <c r="C137" s="108"/>
      <c r="D137" s="97"/>
      <c r="E137" s="143"/>
      <c r="F137" s="143"/>
      <c r="G137" s="97"/>
      <c r="H137" s="143"/>
      <c r="I137" s="97"/>
      <c r="J137" s="97"/>
      <c r="K137" s="101"/>
      <c r="L137" s="101"/>
      <c r="M137" s="102"/>
      <c r="N137" s="124"/>
      <c r="O137" s="125"/>
      <c r="P137" s="97"/>
      <c r="Q137" s="131"/>
      <c r="R137" s="126"/>
      <c r="S137" s="97"/>
      <c r="T137" s="97"/>
      <c r="V137" s="108"/>
    </row>
    <row r="138" ht="15.75" customHeight="1">
      <c r="A138" s="91"/>
      <c r="B138" s="171"/>
      <c r="C138" s="108"/>
      <c r="D138" s="97"/>
      <c r="E138" s="143"/>
      <c r="F138" s="143"/>
      <c r="G138" s="97"/>
      <c r="H138" s="143"/>
      <c r="I138" s="97"/>
      <c r="J138" s="97"/>
      <c r="K138" s="114"/>
      <c r="L138" s="114"/>
      <c r="M138" s="102"/>
      <c r="N138" s="124"/>
      <c r="O138" s="125"/>
      <c r="P138" s="97"/>
      <c r="Q138" s="131"/>
      <c r="R138" s="126"/>
      <c r="S138" s="97"/>
      <c r="T138" s="97"/>
      <c r="V138" s="108"/>
    </row>
    <row r="139" ht="15.75" customHeight="1">
      <c r="A139" s="91"/>
      <c r="B139" s="171"/>
      <c r="C139" s="143"/>
      <c r="D139" s="97"/>
      <c r="E139" s="143"/>
      <c r="F139" s="143"/>
      <c r="G139" s="97"/>
      <c r="H139" s="143"/>
      <c r="I139" s="97"/>
      <c r="J139" s="97"/>
      <c r="K139" s="101"/>
      <c r="L139" s="101"/>
      <c r="M139" s="102"/>
      <c r="N139" s="124"/>
      <c r="O139" s="125"/>
      <c r="P139" s="97"/>
      <c r="Q139" s="131"/>
      <c r="R139" s="126"/>
      <c r="S139" s="97"/>
      <c r="T139" s="97"/>
      <c r="V139" s="108"/>
    </row>
    <row r="140" ht="15.75" customHeight="1">
      <c r="A140" s="91"/>
      <c r="B140" s="171"/>
      <c r="C140" s="143"/>
      <c r="D140" s="97"/>
      <c r="E140" s="143"/>
      <c r="F140" s="143"/>
      <c r="G140" s="97"/>
      <c r="H140" s="143"/>
      <c r="I140" s="97"/>
      <c r="J140" s="97"/>
      <c r="K140" s="114"/>
      <c r="L140" s="114"/>
      <c r="M140" s="102"/>
      <c r="N140" s="124"/>
      <c r="O140" s="125"/>
      <c r="P140" s="97"/>
      <c r="Q140" s="97"/>
      <c r="R140" s="126"/>
      <c r="S140" s="97"/>
      <c r="T140" s="97"/>
      <c r="V140" s="108"/>
    </row>
    <row r="141" ht="15.75" customHeight="1">
      <c r="A141" s="91"/>
      <c r="B141" s="171"/>
      <c r="C141" s="143"/>
      <c r="D141" s="97"/>
      <c r="E141" s="143"/>
      <c r="F141" s="143"/>
      <c r="G141" s="97"/>
      <c r="H141" s="143"/>
      <c r="I141" s="97"/>
      <c r="J141" s="97"/>
      <c r="K141" s="101"/>
      <c r="L141" s="101"/>
      <c r="M141" s="102"/>
      <c r="N141" s="124"/>
      <c r="O141" s="125"/>
      <c r="P141" s="97"/>
      <c r="Q141" s="131"/>
      <c r="R141" s="126"/>
      <c r="S141" s="97"/>
      <c r="T141" s="97"/>
      <c r="V141" s="108"/>
    </row>
    <row r="142" ht="15.75" customHeight="1">
      <c r="A142" s="91"/>
      <c r="B142" s="171"/>
      <c r="C142" s="143"/>
      <c r="D142" s="97"/>
      <c r="E142" s="143"/>
      <c r="F142" s="143"/>
      <c r="G142" s="97"/>
      <c r="H142" s="143"/>
      <c r="I142" s="97"/>
      <c r="J142" s="97"/>
      <c r="K142" s="114"/>
      <c r="L142" s="114"/>
      <c r="M142" s="102"/>
      <c r="N142" s="124"/>
      <c r="O142" s="125"/>
      <c r="P142" s="97"/>
      <c r="Q142" s="97"/>
      <c r="R142" s="126"/>
      <c r="S142" s="97"/>
      <c r="T142" s="97"/>
      <c r="V142" s="108"/>
    </row>
    <row r="143" ht="15.75" customHeight="1">
      <c r="A143" s="91"/>
      <c r="B143" s="171"/>
      <c r="C143" s="143"/>
      <c r="D143" s="97"/>
      <c r="E143" s="143"/>
      <c r="F143" s="172"/>
      <c r="G143" s="97"/>
      <c r="H143" s="143"/>
      <c r="I143" s="97"/>
      <c r="J143" s="97"/>
      <c r="K143" s="101"/>
      <c r="L143" s="101"/>
      <c r="M143" s="102"/>
      <c r="N143" s="124"/>
      <c r="O143" s="125"/>
      <c r="P143" s="97"/>
      <c r="Q143" s="131"/>
      <c r="R143" s="126"/>
      <c r="S143" s="97"/>
      <c r="T143" s="97"/>
      <c r="V143" s="108"/>
    </row>
    <row r="144" ht="15.75" customHeight="1">
      <c r="A144" s="91"/>
      <c r="B144" s="171"/>
      <c r="C144" s="108"/>
      <c r="D144" s="97"/>
      <c r="E144" s="143"/>
      <c r="F144" s="143"/>
      <c r="G144" s="97"/>
      <c r="H144" s="143"/>
      <c r="I144" s="97"/>
      <c r="J144" s="97"/>
      <c r="K144" s="114"/>
      <c r="L144" s="114"/>
      <c r="M144" s="102"/>
      <c r="N144" s="124"/>
      <c r="O144" s="125"/>
      <c r="P144" s="97"/>
      <c r="Q144" s="97"/>
      <c r="R144" s="126"/>
      <c r="S144" s="97"/>
      <c r="T144" s="97"/>
      <c r="V144" s="108"/>
    </row>
    <row r="145" ht="15.75" customHeight="1">
      <c r="A145" s="91"/>
      <c r="B145" s="171"/>
      <c r="C145" s="108"/>
      <c r="D145" s="97"/>
      <c r="E145" s="143"/>
      <c r="F145" s="143"/>
      <c r="G145" s="97"/>
      <c r="H145" s="143"/>
      <c r="I145" s="97"/>
      <c r="J145" s="97"/>
      <c r="K145" s="101"/>
      <c r="L145" s="101"/>
      <c r="M145" s="102"/>
      <c r="N145" s="124"/>
      <c r="O145" s="125"/>
      <c r="P145" s="97"/>
      <c r="Q145" s="131"/>
      <c r="R145" s="126"/>
      <c r="S145" s="97"/>
      <c r="T145" s="97"/>
      <c r="V145" s="108"/>
    </row>
    <row r="146" ht="15.75" customHeight="1">
      <c r="A146" s="91"/>
      <c r="B146" s="171"/>
      <c r="C146" s="143"/>
      <c r="D146" s="97"/>
      <c r="E146" s="143"/>
      <c r="F146" s="143"/>
      <c r="G146" s="97"/>
      <c r="H146" s="143"/>
      <c r="I146" s="97"/>
      <c r="J146" s="97"/>
      <c r="K146" s="114"/>
      <c r="L146" s="114"/>
      <c r="M146" s="102"/>
      <c r="N146" s="124"/>
      <c r="O146" s="125"/>
      <c r="P146" s="97"/>
      <c r="Q146" s="131"/>
      <c r="R146" s="126"/>
      <c r="S146" s="97"/>
      <c r="T146" s="97"/>
      <c r="V146" s="108"/>
    </row>
    <row r="147" ht="15.75" customHeight="1">
      <c r="A147" s="91"/>
      <c r="B147" s="171"/>
      <c r="C147" s="143"/>
      <c r="D147" s="97"/>
      <c r="E147" s="143"/>
      <c r="F147" s="143"/>
      <c r="G147" s="97"/>
      <c r="H147" s="143"/>
      <c r="I147" s="97"/>
      <c r="J147" s="97"/>
      <c r="K147" s="101"/>
      <c r="L147" s="101"/>
      <c r="M147" s="102"/>
      <c r="N147" s="124"/>
      <c r="O147" s="125"/>
      <c r="P147" s="97"/>
      <c r="Q147" s="131"/>
      <c r="R147" s="126"/>
      <c r="S147" s="97"/>
      <c r="T147" s="97"/>
      <c r="V147" s="108"/>
    </row>
    <row r="148" ht="15.75" customHeight="1">
      <c r="A148" s="91"/>
      <c r="B148" s="171"/>
      <c r="C148" s="143"/>
      <c r="D148" s="97"/>
      <c r="E148" s="143"/>
      <c r="F148" s="143"/>
      <c r="G148" s="97"/>
      <c r="H148" s="143"/>
      <c r="I148" s="97"/>
      <c r="J148" s="97"/>
      <c r="K148" s="114"/>
      <c r="L148" s="114"/>
      <c r="M148" s="102"/>
      <c r="N148" s="124"/>
      <c r="O148" s="125"/>
      <c r="P148" s="97"/>
      <c r="Q148" s="131"/>
      <c r="R148" s="126"/>
      <c r="S148" s="97"/>
      <c r="T148" s="97"/>
      <c r="V148" s="108"/>
    </row>
    <row r="149" ht="15.75" customHeight="1">
      <c r="A149" s="91"/>
      <c r="B149" s="171"/>
      <c r="C149" s="143"/>
      <c r="D149" s="97"/>
      <c r="E149" s="143"/>
      <c r="F149" s="143"/>
      <c r="G149" s="97"/>
      <c r="H149" s="143"/>
      <c r="I149" s="97"/>
      <c r="J149" s="97"/>
      <c r="K149" s="101"/>
      <c r="L149" s="101"/>
      <c r="M149" s="102"/>
      <c r="N149" s="124"/>
      <c r="O149" s="125"/>
      <c r="P149" s="97"/>
      <c r="Q149" s="131"/>
      <c r="R149" s="126"/>
      <c r="S149" s="97"/>
      <c r="T149" s="97"/>
      <c r="V149" s="108"/>
    </row>
    <row r="150" ht="15.75" customHeight="1">
      <c r="A150" s="91"/>
      <c r="B150" s="171"/>
      <c r="C150" s="143"/>
      <c r="D150" s="97"/>
      <c r="E150" s="143"/>
      <c r="F150" s="143"/>
      <c r="G150" s="97"/>
      <c r="H150" s="143"/>
      <c r="I150" s="97"/>
      <c r="J150" s="97"/>
      <c r="K150" s="114"/>
      <c r="L150" s="114"/>
      <c r="M150" s="102"/>
      <c r="N150" s="124"/>
      <c r="O150" s="125"/>
      <c r="P150" s="97"/>
      <c r="Q150" s="131"/>
      <c r="R150" s="126"/>
      <c r="S150" s="97"/>
      <c r="T150" s="97"/>
      <c r="V150" s="108"/>
    </row>
    <row r="151" ht="15.75" customHeight="1">
      <c r="A151" s="91"/>
      <c r="B151" s="171"/>
      <c r="C151" s="108"/>
      <c r="D151" s="97"/>
      <c r="E151" s="143"/>
      <c r="F151" s="143"/>
      <c r="G151" s="97"/>
      <c r="H151" s="143"/>
      <c r="I151" s="97"/>
      <c r="J151" s="97"/>
      <c r="K151" s="101"/>
      <c r="L151" s="101"/>
      <c r="M151" s="102"/>
      <c r="N151" s="124"/>
      <c r="O151" s="125"/>
      <c r="P151" s="97"/>
      <c r="Q151" s="131"/>
      <c r="R151" s="126"/>
      <c r="S151" s="97"/>
      <c r="T151" s="97"/>
      <c r="V151" s="108"/>
    </row>
    <row r="152" ht="15.75" customHeight="1">
      <c r="A152" s="91"/>
      <c r="B152" s="171"/>
      <c r="C152" s="143"/>
      <c r="D152" s="97"/>
      <c r="E152" s="143"/>
      <c r="F152" s="143"/>
      <c r="G152" s="97"/>
      <c r="H152" s="143"/>
      <c r="I152" s="97"/>
      <c r="J152" s="97"/>
      <c r="K152" s="114"/>
      <c r="L152" s="114"/>
      <c r="M152" s="102"/>
      <c r="N152" s="124"/>
      <c r="O152" s="125"/>
      <c r="P152" s="97"/>
      <c r="Q152" s="131"/>
      <c r="R152" s="126"/>
      <c r="S152" s="97"/>
      <c r="T152" s="97"/>
      <c r="V152" s="108"/>
    </row>
    <row r="153" ht="15.75" customHeight="1">
      <c r="A153" s="91"/>
      <c r="B153" s="171"/>
      <c r="C153" s="143"/>
      <c r="D153" s="97"/>
      <c r="E153" s="143"/>
      <c r="F153" s="143"/>
      <c r="G153" s="97"/>
      <c r="H153" s="143"/>
      <c r="I153" s="97"/>
      <c r="J153" s="97"/>
      <c r="K153" s="101"/>
      <c r="L153" s="101"/>
      <c r="M153" s="102"/>
      <c r="N153" s="124"/>
      <c r="O153" s="125"/>
      <c r="P153" s="97"/>
      <c r="Q153" s="131"/>
      <c r="R153" s="126"/>
      <c r="S153" s="97"/>
      <c r="T153" s="97"/>
      <c r="V153" s="108"/>
    </row>
    <row r="154" ht="15.75" customHeight="1">
      <c r="A154" s="91"/>
      <c r="B154" s="171"/>
      <c r="C154" s="143"/>
      <c r="D154" s="97"/>
      <c r="E154" s="143"/>
      <c r="F154" s="143"/>
      <c r="G154" s="97"/>
      <c r="H154" s="143"/>
      <c r="I154" s="97"/>
      <c r="J154" s="97"/>
      <c r="K154" s="114"/>
      <c r="L154" s="114"/>
      <c r="M154" s="102"/>
      <c r="N154" s="124"/>
      <c r="O154" s="125"/>
      <c r="P154" s="97"/>
      <c r="Q154" s="131"/>
      <c r="R154" s="126"/>
      <c r="S154" s="97"/>
      <c r="T154" s="97"/>
      <c r="V154" s="108"/>
    </row>
    <row r="155" ht="15.75" customHeight="1">
      <c r="A155" s="91"/>
      <c r="B155" s="171"/>
      <c r="C155" s="143"/>
      <c r="D155" s="97"/>
      <c r="E155" s="143"/>
      <c r="F155" s="143"/>
      <c r="G155" s="97"/>
      <c r="H155" s="143"/>
      <c r="I155" s="97"/>
      <c r="J155" s="97"/>
      <c r="K155" s="101"/>
      <c r="L155" s="101"/>
      <c r="M155" s="102"/>
      <c r="N155" s="124"/>
      <c r="O155" s="125"/>
      <c r="P155" s="97"/>
      <c r="Q155" s="131"/>
      <c r="R155" s="126"/>
      <c r="S155" s="97"/>
      <c r="T155" s="97"/>
      <c r="V155" s="108"/>
    </row>
    <row r="156" ht="15.75" customHeight="1">
      <c r="A156" s="91"/>
      <c r="B156" s="171"/>
      <c r="C156" s="143"/>
      <c r="D156" s="97"/>
      <c r="E156" s="143"/>
      <c r="F156" s="143"/>
      <c r="G156" s="97"/>
      <c r="H156" s="143"/>
      <c r="I156" s="97"/>
      <c r="J156" s="97"/>
      <c r="K156" s="114"/>
      <c r="L156" s="114"/>
      <c r="M156" s="102"/>
      <c r="N156" s="124"/>
      <c r="O156" s="125"/>
      <c r="P156" s="97"/>
      <c r="Q156" s="131"/>
      <c r="R156" s="126"/>
      <c r="S156" s="97"/>
      <c r="T156" s="97"/>
      <c r="V156" s="108"/>
    </row>
    <row r="157" ht="15.75" customHeight="1">
      <c r="A157" s="91"/>
      <c r="B157" s="171"/>
      <c r="C157" s="108"/>
      <c r="D157" s="97"/>
      <c r="E157" s="143"/>
      <c r="F157" s="143"/>
      <c r="G157" s="97"/>
      <c r="H157" s="143"/>
      <c r="I157" s="97"/>
      <c r="J157" s="97"/>
      <c r="K157" s="101"/>
      <c r="L157" s="101"/>
      <c r="M157" s="102"/>
      <c r="N157" s="124"/>
      <c r="O157" s="125"/>
      <c r="P157" s="97"/>
      <c r="Q157" s="131"/>
      <c r="R157" s="126"/>
      <c r="S157" s="97"/>
      <c r="T157" s="97"/>
      <c r="V157" s="108"/>
    </row>
    <row r="158" ht="15.75" customHeight="1">
      <c r="A158" s="91"/>
      <c r="B158" s="171"/>
      <c r="C158" s="143"/>
      <c r="D158" s="97"/>
      <c r="E158" s="143"/>
      <c r="F158" s="143"/>
      <c r="G158" s="97"/>
      <c r="H158" s="143"/>
      <c r="I158" s="97"/>
      <c r="J158" s="97"/>
      <c r="K158" s="114"/>
      <c r="L158" s="114"/>
      <c r="M158" s="102"/>
      <c r="N158" s="124"/>
      <c r="O158" s="125"/>
      <c r="P158" s="97"/>
      <c r="Q158" s="131"/>
      <c r="R158" s="126"/>
      <c r="S158" s="97"/>
      <c r="T158" s="97"/>
      <c r="V158" s="108"/>
    </row>
    <row r="159" ht="15.75" customHeight="1">
      <c r="A159" s="91"/>
      <c r="B159" s="171"/>
      <c r="C159" s="143"/>
      <c r="D159" s="97"/>
      <c r="E159" s="143"/>
      <c r="F159" s="143"/>
      <c r="G159" s="97"/>
      <c r="H159" s="143"/>
      <c r="I159" s="97"/>
      <c r="J159" s="97"/>
      <c r="K159" s="101"/>
      <c r="L159" s="101"/>
      <c r="M159" s="102"/>
      <c r="N159" s="124"/>
      <c r="O159" s="125"/>
      <c r="P159" s="97"/>
      <c r="Q159" s="131"/>
      <c r="R159" s="126"/>
      <c r="S159" s="97"/>
      <c r="T159" s="97"/>
      <c r="V159" s="108"/>
    </row>
    <row r="160" ht="15.75" customHeight="1">
      <c r="A160" s="91"/>
      <c r="B160" s="171"/>
      <c r="C160" s="143"/>
      <c r="D160" s="97"/>
      <c r="E160" s="143"/>
      <c r="F160" s="143"/>
      <c r="G160" s="97"/>
      <c r="H160" s="143"/>
      <c r="I160" s="97"/>
      <c r="J160" s="97"/>
      <c r="K160" s="114"/>
      <c r="L160" s="114"/>
      <c r="M160" s="102"/>
      <c r="N160" s="124"/>
      <c r="O160" s="125"/>
      <c r="P160" s="97"/>
      <c r="Q160" s="131"/>
      <c r="R160" s="126"/>
      <c r="S160" s="97"/>
      <c r="T160" s="97"/>
      <c r="V160" s="108"/>
    </row>
    <row r="161" ht="15.75" customHeight="1">
      <c r="A161" s="91"/>
      <c r="B161" s="171"/>
      <c r="C161" s="143"/>
      <c r="D161" s="97"/>
      <c r="E161" s="143"/>
      <c r="F161" s="143"/>
      <c r="G161" s="97"/>
      <c r="H161" s="143"/>
      <c r="I161" s="97"/>
      <c r="J161" s="97"/>
      <c r="K161" s="101"/>
      <c r="L161" s="101"/>
      <c r="M161" s="102"/>
      <c r="N161" s="124"/>
      <c r="O161" s="125"/>
      <c r="P161" s="97"/>
      <c r="Q161" s="131"/>
      <c r="R161" s="126"/>
      <c r="S161" s="97"/>
      <c r="T161" s="97"/>
      <c r="V161" s="108"/>
    </row>
    <row r="162" ht="15.75" customHeight="1">
      <c r="A162" s="91"/>
      <c r="B162" s="171"/>
      <c r="C162" s="143"/>
      <c r="D162" s="97"/>
      <c r="E162" s="143"/>
      <c r="F162" s="143"/>
      <c r="G162" s="97"/>
      <c r="H162" s="143"/>
      <c r="I162" s="97"/>
      <c r="J162" s="97"/>
      <c r="K162" s="114"/>
      <c r="L162" s="114"/>
      <c r="M162" s="102"/>
      <c r="N162" s="124"/>
      <c r="O162" s="125"/>
      <c r="P162" s="97"/>
      <c r="Q162" s="131"/>
      <c r="R162" s="126"/>
      <c r="S162" s="97"/>
      <c r="T162" s="97"/>
      <c r="V162" s="108"/>
    </row>
    <row r="163" ht="15.75" customHeight="1">
      <c r="A163" s="91"/>
      <c r="B163" s="171"/>
      <c r="C163" s="108"/>
      <c r="D163" s="97"/>
      <c r="E163" s="143"/>
      <c r="F163" s="143"/>
      <c r="G163" s="97"/>
      <c r="H163" s="143"/>
      <c r="I163" s="97"/>
      <c r="J163" s="97"/>
      <c r="K163" s="101"/>
      <c r="L163" s="101"/>
      <c r="M163" s="102"/>
      <c r="N163" s="124"/>
      <c r="O163" s="125"/>
      <c r="P163" s="97"/>
      <c r="Q163" s="131"/>
      <c r="R163" s="126"/>
      <c r="S163" s="97"/>
      <c r="T163" s="97"/>
      <c r="V163" s="108"/>
    </row>
    <row r="164" ht="15.75" customHeight="1">
      <c r="A164" s="91"/>
      <c r="B164" s="171"/>
      <c r="C164" s="143"/>
      <c r="D164" s="97"/>
      <c r="E164" s="143"/>
      <c r="F164" s="143"/>
      <c r="G164" s="97"/>
      <c r="H164" s="143"/>
      <c r="I164" s="97"/>
      <c r="J164" s="97"/>
      <c r="K164" s="114"/>
      <c r="L164" s="114"/>
      <c r="M164" s="102"/>
      <c r="N164" s="124"/>
      <c r="O164" s="125"/>
      <c r="P164" s="97"/>
      <c r="Q164" s="131"/>
      <c r="R164" s="126"/>
      <c r="S164" s="97"/>
      <c r="T164" s="97"/>
      <c r="V164" s="108"/>
    </row>
    <row r="165" ht="15.75" customHeight="1">
      <c r="A165" s="91"/>
      <c r="B165" s="171"/>
      <c r="C165" s="143"/>
      <c r="D165" s="97"/>
      <c r="E165" s="143"/>
      <c r="F165" s="143"/>
      <c r="G165" s="97"/>
      <c r="H165" s="143"/>
      <c r="I165" s="97"/>
      <c r="J165" s="97"/>
      <c r="K165" s="101"/>
      <c r="L165" s="101"/>
      <c r="M165" s="102"/>
      <c r="N165" s="124"/>
      <c r="O165" s="125"/>
      <c r="P165" s="97"/>
      <c r="Q165" s="131"/>
      <c r="R165" s="126"/>
      <c r="S165" s="97"/>
      <c r="T165" s="97"/>
      <c r="V165" s="108"/>
    </row>
    <row r="166" ht="15.75" customHeight="1">
      <c r="A166" s="91"/>
      <c r="B166" s="171"/>
      <c r="C166" s="143"/>
      <c r="D166" s="97"/>
      <c r="E166" s="143"/>
      <c r="F166" s="143"/>
      <c r="G166" s="97"/>
      <c r="H166" s="143"/>
      <c r="I166" s="97"/>
      <c r="J166" s="97"/>
      <c r="K166" s="114"/>
      <c r="L166" s="114"/>
      <c r="M166" s="102"/>
      <c r="N166" s="124"/>
      <c r="O166" s="125"/>
      <c r="P166" s="97"/>
      <c r="Q166" s="131"/>
      <c r="R166" s="126"/>
      <c r="S166" s="97"/>
      <c r="T166" s="97"/>
      <c r="V166" s="108"/>
    </row>
    <row r="167" ht="15.75" customHeight="1">
      <c r="A167" s="91"/>
      <c r="B167" s="171"/>
      <c r="C167" s="143"/>
      <c r="D167" s="97"/>
      <c r="E167" s="143"/>
      <c r="F167" s="143"/>
      <c r="G167" s="97"/>
      <c r="H167" s="143"/>
      <c r="I167" s="97"/>
      <c r="J167" s="97"/>
      <c r="K167" s="101"/>
      <c r="L167" s="101"/>
      <c r="M167" s="102"/>
      <c r="N167" s="124"/>
      <c r="O167" s="125"/>
      <c r="P167" s="97"/>
      <c r="Q167" s="131"/>
      <c r="R167" s="126"/>
      <c r="S167" s="97"/>
      <c r="T167" s="97"/>
      <c r="V167" s="108"/>
    </row>
    <row r="168" ht="15.75" customHeight="1">
      <c r="A168" s="91"/>
      <c r="B168" s="171"/>
      <c r="C168" s="143"/>
      <c r="D168" s="97"/>
      <c r="E168" s="143"/>
      <c r="F168" s="143"/>
      <c r="G168" s="97"/>
      <c r="H168" s="143"/>
      <c r="I168" s="97"/>
      <c r="J168" s="97"/>
      <c r="K168" s="114"/>
      <c r="L168" s="114"/>
      <c r="M168" s="102"/>
      <c r="N168" s="124"/>
      <c r="O168" s="125"/>
      <c r="P168" s="97"/>
      <c r="Q168" s="131"/>
      <c r="R168" s="126"/>
      <c r="S168" s="97"/>
      <c r="T168" s="97"/>
      <c r="V168" s="108"/>
    </row>
    <row r="169" ht="15.75" customHeight="1">
      <c r="A169" s="91"/>
      <c r="B169" s="171"/>
      <c r="C169" s="108"/>
      <c r="D169" s="97"/>
      <c r="E169" s="143"/>
      <c r="F169" s="143"/>
      <c r="G169" s="97"/>
      <c r="H169" s="143"/>
      <c r="I169" s="97"/>
      <c r="J169" s="97"/>
      <c r="K169" s="101"/>
      <c r="L169" s="101"/>
      <c r="M169" s="102"/>
      <c r="N169" s="124"/>
      <c r="O169" s="125"/>
      <c r="P169" s="97"/>
      <c r="Q169" s="131"/>
      <c r="R169" s="126"/>
      <c r="S169" s="97"/>
      <c r="T169" s="97"/>
      <c r="V169" s="108"/>
    </row>
    <row r="170" ht="15.75" customHeight="1">
      <c r="A170" s="91"/>
      <c r="B170" s="171"/>
      <c r="C170" s="143"/>
      <c r="D170" s="97"/>
      <c r="E170" s="143"/>
      <c r="F170" s="143"/>
      <c r="G170" s="97"/>
      <c r="H170" s="143"/>
      <c r="I170" s="97"/>
      <c r="J170" s="97"/>
      <c r="K170" s="114"/>
      <c r="L170" s="114"/>
      <c r="M170" s="102"/>
      <c r="N170" s="124"/>
      <c r="O170" s="125"/>
      <c r="P170" s="97"/>
      <c r="Q170" s="131"/>
      <c r="R170" s="126"/>
      <c r="S170" s="97"/>
      <c r="T170" s="97"/>
      <c r="V170" s="108"/>
    </row>
    <row r="171" ht="15.75" customHeight="1">
      <c r="A171" s="91"/>
      <c r="B171" s="171"/>
      <c r="C171" s="143"/>
      <c r="D171" s="97"/>
      <c r="E171" s="143"/>
      <c r="F171" s="143"/>
      <c r="G171" s="97"/>
      <c r="H171" s="143"/>
      <c r="I171" s="97"/>
      <c r="J171" s="97"/>
      <c r="K171" s="101"/>
      <c r="L171" s="101"/>
      <c r="M171" s="102"/>
      <c r="N171" s="124"/>
      <c r="O171" s="125"/>
      <c r="P171" s="97"/>
      <c r="Q171" s="131"/>
      <c r="R171" s="126"/>
      <c r="S171" s="97"/>
      <c r="T171" s="97"/>
      <c r="V171" s="108"/>
    </row>
    <row r="172" ht="15.75" customHeight="1">
      <c r="A172" s="91"/>
      <c r="B172" s="171"/>
      <c r="C172" s="143"/>
      <c r="D172" s="97"/>
      <c r="E172" s="143"/>
      <c r="F172" s="143"/>
      <c r="G172" s="97"/>
      <c r="H172" s="143"/>
      <c r="I172" s="97"/>
      <c r="J172" s="97"/>
      <c r="K172" s="114"/>
      <c r="L172" s="114"/>
      <c r="M172" s="102"/>
      <c r="N172" s="124"/>
      <c r="O172" s="125"/>
      <c r="P172" s="97"/>
      <c r="Q172" s="131"/>
      <c r="R172" s="126"/>
      <c r="S172" s="97"/>
      <c r="T172" s="97"/>
      <c r="V172" s="108"/>
    </row>
    <row r="173" ht="15.75" customHeight="1">
      <c r="A173" s="91"/>
      <c r="B173" s="171"/>
      <c r="C173" s="143"/>
      <c r="D173" s="97"/>
      <c r="E173" s="143"/>
      <c r="F173" s="143"/>
      <c r="G173" s="97"/>
      <c r="H173" s="143"/>
      <c r="I173" s="97"/>
      <c r="J173" s="97"/>
      <c r="K173" s="101"/>
      <c r="L173" s="101"/>
      <c r="M173" s="102"/>
      <c r="N173" s="124"/>
      <c r="O173" s="125"/>
      <c r="P173" s="97"/>
      <c r="Q173" s="131"/>
      <c r="R173" s="126"/>
      <c r="S173" s="97"/>
      <c r="T173" s="97"/>
      <c r="V173" s="108"/>
    </row>
    <row r="174" ht="15.75" customHeight="1">
      <c r="A174" s="91"/>
      <c r="B174" s="171"/>
      <c r="C174" s="143"/>
      <c r="D174" s="97"/>
      <c r="E174" s="143"/>
      <c r="F174" s="143"/>
      <c r="G174" s="97"/>
      <c r="H174" s="143"/>
      <c r="I174" s="97"/>
      <c r="J174" s="97"/>
      <c r="K174" s="114"/>
      <c r="L174" s="114"/>
      <c r="M174" s="102"/>
      <c r="N174" s="124"/>
      <c r="O174" s="125"/>
      <c r="P174" s="97"/>
      <c r="Q174" s="131"/>
      <c r="R174" s="126"/>
      <c r="S174" s="97"/>
      <c r="T174" s="97"/>
      <c r="V174" s="108"/>
    </row>
    <row r="175" ht="15.75" customHeight="1">
      <c r="A175" s="91"/>
      <c r="B175" s="171"/>
      <c r="C175" s="108"/>
      <c r="D175" s="97"/>
      <c r="E175" s="143"/>
      <c r="F175" s="143"/>
      <c r="G175" s="97"/>
      <c r="H175" s="143"/>
      <c r="I175" s="97"/>
      <c r="J175" s="97"/>
      <c r="K175" s="101"/>
      <c r="L175" s="101"/>
      <c r="M175" s="102"/>
      <c r="N175" s="124"/>
      <c r="O175" s="125"/>
      <c r="P175" s="97"/>
      <c r="Q175" s="131"/>
      <c r="R175" s="126"/>
      <c r="S175" s="97"/>
      <c r="T175" s="97"/>
      <c r="V175" s="108"/>
    </row>
    <row r="176" ht="15.75" customHeight="1">
      <c r="A176" s="91"/>
      <c r="B176" s="171"/>
      <c r="C176" s="143"/>
      <c r="D176" s="97"/>
      <c r="E176" s="143"/>
      <c r="F176" s="143"/>
      <c r="G176" s="97"/>
      <c r="H176" s="143"/>
      <c r="I176" s="97"/>
      <c r="J176" s="97"/>
      <c r="K176" s="114"/>
      <c r="L176" s="114"/>
      <c r="M176" s="102"/>
      <c r="N176" s="124"/>
      <c r="O176" s="125"/>
      <c r="P176" s="97"/>
      <c r="Q176" s="131"/>
      <c r="R176" s="126"/>
      <c r="S176" s="97"/>
      <c r="T176" s="97"/>
      <c r="V176" s="108"/>
    </row>
    <row r="177" ht="15.75" customHeight="1">
      <c r="A177" s="91"/>
      <c r="B177" s="171"/>
      <c r="C177" s="143"/>
      <c r="D177" s="97"/>
      <c r="E177" s="143"/>
      <c r="F177" s="143"/>
      <c r="G177" s="97"/>
      <c r="H177" s="143"/>
      <c r="I177" s="97"/>
      <c r="J177" s="97"/>
      <c r="K177" s="101"/>
      <c r="L177" s="101"/>
      <c r="M177" s="102"/>
      <c r="N177" s="124"/>
      <c r="O177" s="125"/>
      <c r="P177" s="97"/>
      <c r="Q177" s="131"/>
      <c r="R177" s="126"/>
      <c r="S177" s="97"/>
      <c r="T177" s="97"/>
      <c r="V177" s="108"/>
    </row>
    <row r="178" ht="15.75" customHeight="1">
      <c r="A178" s="91"/>
      <c r="B178" s="171"/>
      <c r="C178" s="143"/>
      <c r="D178" s="97"/>
      <c r="E178" s="143"/>
      <c r="F178" s="143"/>
      <c r="G178" s="97"/>
      <c r="H178" s="143"/>
      <c r="I178" s="97"/>
      <c r="J178" s="97"/>
      <c r="K178" s="114"/>
      <c r="L178" s="114"/>
      <c r="M178" s="102"/>
      <c r="N178" s="124"/>
      <c r="O178" s="125"/>
      <c r="P178" s="97"/>
      <c r="Q178" s="131"/>
      <c r="R178" s="126"/>
      <c r="S178" s="97"/>
      <c r="T178" s="97"/>
      <c r="V178" s="108"/>
    </row>
    <row r="179" ht="15.75" customHeight="1">
      <c r="A179" s="91"/>
      <c r="B179" s="171"/>
      <c r="C179" s="143"/>
      <c r="D179" s="97"/>
      <c r="E179" s="143"/>
      <c r="F179" s="143"/>
      <c r="G179" s="97"/>
      <c r="H179" s="143"/>
      <c r="I179" s="97"/>
      <c r="J179" s="97"/>
      <c r="K179" s="101"/>
      <c r="L179" s="101"/>
      <c r="M179" s="102"/>
      <c r="N179" s="124"/>
      <c r="O179" s="125"/>
      <c r="P179" s="97"/>
      <c r="Q179" s="131"/>
      <c r="R179" s="126"/>
      <c r="S179" s="97"/>
      <c r="T179" s="97"/>
      <c r="V179" s="108"/>
    </row>
    <row r="180" ht="15.75" customHeight="1">
      <c r="A180" s="91"/>
      <c r="B180" s="171"/>
      <c r="C180" s="143"/>
      <c r="D180" s="97"/>
      <c r="E180" s="143"/>
      <c r="F180" s="143"/>
      <c r="G180" s="97"/>
      <c r="H180" s="143"/>
      <c r="I180" s="97"/>
      <c r="J180" s="97"/>
      <c r="K180" s="114"/>
      <c r="L180" s="114"/>
      <c r="M180" s="102"/>
      <c r="N180" s="124"/>
      <c r="O180" s="125"/>
      <c r="P180" s="97"/>
      <c r="Q180" s="131"/>
      <c r="R180" s="126"/>
      <c r="S180" s="97"/>
      <c r="T180" s="97"/>
      <c r="V180" s="108"/>
    </row>
    <row r="181" ht="15.75" customHeight="1">
      <c r="A181" s="91"/>
      <c r="B181" s="171"/>
      <c r="C181" s="108"/>
      <c r="D181" s="97"/>
      <c r="E181" s="143"/>
      <c r="F181" s="143"/>
      <c r="G181" s="97"/>
      <c r="H181" s="143"/>
      <c r="I181" s="97"/>
      <c r="J181" s="97"/>
      <c r="K181" s="101"/>
      <c r="L181" s="101"/>
      <c r="M181" s="102"/>
      <c r="N181" s="124"/>
      <c r="O181" s="125"/>
      <c r="P181" s="97"/>
      <c r="Q181" s="131"/>
      <c r="R181" s="126"/>
      <c r="S181" s="97"/>
      <c r="T181" s="97"/>
      <c r="V181" s="108"/>
    </row>
    <row r="182" ht="15.75" customHeight="1">
      <c r="A182" s="91"/>
      <c r="B182" s="171"/>
      <c r="C182" s="143"/>
      <c r="D182" s="97"/>
      <c r="E182" s="143"/>
      <c r="F182" s="143"/>
      <c r="G182" s="97"/>
      <c r="H182" s="143"/>
      <c r="I182" s="97"/>
      <c r="J182" s="97"/>
      <c r="K182" s="114"/>
      <c r="L182" s="114"/>
      <c r="M182" s="102"/>
      <c r="N182" s="124"/>
      <c r="O182" s="125"/>
      <c r="P182" s="97"/>
      <c r="Q182" s="131"/>
      <c r="R182" s="126"/>
      <c r="S182" s="97"/>
      <c r="T182" s="97"/>
      <c r="V182" s="108"/>
    </row>
    <row r="183" ht="15.75" customHeight="1">
      <c r="A183" s="91"/>
      <c r="B183" s="171"/>
      <c r="C183" s="143"/>
      <c r="D183" s="97"/>
      <c r="E183" s="143"/>
      <c r="F183" s="143"/>
      <c r="G183" s="97"/>
      <c r="H183" s="143"/>
      <c r="I183" s="97"/>
      <c r="J183" s="97"/>
      <c r="K183" s="101"/>
      <c r="L183" s="101"/>
      <c r="M183" s="102"/>
      <c r="N183" s="124"/>
      <c r="O183" s="125"/>
      <c r="P183" s="97"/>
      <c r="Q183" s="131"/>
      <c r="R183" s="126"/>
      <c r="S183" s="97"/>
      <c r="T183" s="97"/>
      <c r="V183" s="108"/>
    </row>
    <row r="184" ht="15.75" customHeight="1">
      <c r="A184" s="91"/>
      <c r="B184" s="171"/>
      <c r="C184" s="143"/>
      <c r="D184" s="97"/>
      <c r="E184" s="143"/>
      <c r="F184" s="143"/>
      <c r="G184" s="97"/>
      <c r="H184" s="143"/>
      <c r="I184" s="97"/>
      <c r="J184" s="97"/>
      <c r="K184" s="114"/>
      <c r="L184" s="114"/>
      <c r="M184" s="102"/>
      <c r="N184" s="124"/>
      <c r="O184" s="125"/>
      <c r="P184" s="97"/>
      <c r="Q184" s="131"/>
      <c r="R184" s="126"/>
      <c r="S184" s="97"/>
      <c r="T184" s="97"/>
      <c r="V184" s="108"/>
    </row>
    <row r="185" ht="15.75" customHeight="1">
      <c r="A185" s="91"/>
      <c r="B185" s="171"/>
      <c r="C185" s="143"/>
      <c r="D185" s="97"/>
      <c r="E185" s="143"/>
      <c r="F185" s="143"/>
      <c r="G185" s="97"/>
      <c r="H185" s="143"/>
      <c r="I185" s="97"/>
      <c r="J185" s="97"/>
      <c r="K185" s="101"/>
      <c r="L185" s="101"/>
      <c r="M185" s="102"/>
      <c r="N185" s="124"/>
      <c r="O185" s="125"/>
      <c r="P185" s="97"/>
      <c r="Q185" s="131"/>
      <c r="R185" s="126"/>
      <c r="S185" s="97"/>
      <c r="T185" s="97"/>
      <c r="V185" s="108"/>
    </row>
    <row r="186" ht="15.75" customHeight="1">
      <c r="A186" s="91"/>
      <c r="B186" s="171"/>
      <c r="C186" s="143"/>
      <c r="D186" s="97"/>
      <c r="E186" s="143"/>
      <c r="F186" s="143"/>
      <c r="G186" s="97"/>
      <c r="H186" s="143"/>
      <c r="I186" s="97"/>
      <c r="J186" s="97"/>
      <c r="K186" s="114"/>
      <c r="L186" s="114"/>
      <c r="M186" s="102"/>
      <c r="N186" s="124"/>
      <c r="O186" s="125"/>
      <c r="P186" s="97"/>
      <c r="Q186" s="131"/>
      <c r="R186" s="126"/>
      <c r="S186" s="97"/>
      <c r="T186" s="97"/>
      <c r="V186" s="108"/>
    </row>
    <row r="187" ht="15.75" customHeight="1">
      <c r="A187" s="91"/>
      <c r="B187" s="171"/>
      <c r="C187" s="108"/>
      <c r="D187" s="97"/>
      <c r="E187" s="143"/>
      <c r="F187" s="143"/>
      <c r="G187" s="97"/>
      <c r="H187" s="143"/>
      <c r="I187" s="97"/>
      <c r="J187" s="97"/>
      <c r="K187" s="101"/>
      <c r="L187" s="101"/>
      <c r="M187" s="102"/>
      <c r="N187" s="124"/>
      <c r="O187" s="125"/>
      <c r="P187" s="97"/>
      <c r="Q187" s="131"/>
      <c r="R187" s="126"/>
      <c r="S187" s="97"/>
      <c r="T187" s="97"/>
      <c r="V187" s="108"/>
    </row>
    <row r="188" ht="15.75" customHeight="1">
      <c r="A188" s="91"/>
      <c r="B188" s="171"/>
      <c r="C188" s="143"/>
      <c r="D188" s="97"/>
      <c r="E188" s="143"/>
      <c r="F188" s="143"/>
      <c r="G188" s="97"/>
      <c r="H188" s="143"/>
      <c r="I188" s="97"/>
      <c r="J188" s="97"/>
      <c r="K188" s="114"/>
      <c r="L188" s="114"/>
      <c r="M188" s="102"/>
      <c r="N188" s="124"/>
      <c r="O188" s="125"/>
      <c r="P188" s="97"/>
      <c r="Q188" s="131"/>
      <c r="R188" s="126"/>
      <c r="S188" s="97"/>
      <c r="T188" s="97"/>
      <c r="V188" s="108"/>
    </row>
    <row r="189" ht="15.75" customHeight="1">
      <c r="A189" s="91"/>
      <c r="B189" s="171"/>
      <c r="C189" s="143"/>
      <c r="D189" s="97"/>
      <c r="E189" s="143"/>
      <c r="F189" s="143"/>
      <c r="G189" s="97"/>
      <c r="H189" s="143"/>
      <c r="I189" s="97"/>
      <c r="J189" s="97"/>
      <c r="K189" s="101"/>
      <c r="L189" s="101"/>
      <c r="M189" s="102"/>
      <c r="N189" s="124"/>
      <c r="O189" s="125"/>
      <c r="P189" s="97"/>
      <c r="Q189" s="131"/>
      <c r="R189" s="126"/>
      <c r="S189" s="97"/>
      <c r="T189" s="97"/>
      <c r="V189" s="108"/>
    </row>
    <row r="190" ht="15.75" customHeight="1">
      <c r="A190" s="91"/>
      <c r="B190" s="171"/>
      <c r="C190" s="143"/>
      <c r="D190" s="97"/>
      <c r="E190" s="143"/>
      <c r="F190" s="143"/>
      <c r="G190" s="97"/>
      <c r="H190" s="143"/>
      <c r="I190" s="97"/>
      <c r="J190" s="97"/>
      <c r="K190" s="114"/>
      <c r="L190" s="114"/>
      <c r="M190" s="102"/>
      <c r="N190" s="124"/>
      <c r="O190" s="125"/>
      <c r="P190" s="97"/>
      <c r="Q190" s="131"/>
      <c r="R190" s="126"/>
      <c r="S190" s="97"/>
      <c r="T190" s="97"/>
      <c r="V190" s="108"/>
    </row>
    <row r="191" ht="15.75" customHeight="1">
      <c r="A191" s="91"/>
      <c r="B191" s="171"/>
      <c r="C191" s="143"/>
      <c r="D191" s="97"/>
      <c r="E191" s="143"/>
      <c r="F191" s="143"/>
      <c r="G191" s="97"/>
      <c r="H191" s="143"/>
      <c r="I191" s="97"/>
      <c r="J191" s="97"/>
      <c r="K191" s="101"/>
      <c r="L191" s="101"/>
      <c r="M191" s="102"/>
      <c r="N191" s="124"/>
      <c r="O191" s="125"/>
      <c r="P191" s="97"/>
      <c r="Q191" s="131"/>
      <c r="R191" s="126"/>
      <c r="S191" s="97"/>
      <c r="T191" s="97"/>
      <c r="V191" s="108"/>
    </row>
    <row r="192" ht="15.75" customHeight="1">
      <c r="A192" s="91"/>
      <c r="B192" s="171"/>
      <c r="C192" s="143"/>
      <c r="D192" s="97"/>
      <c r="E192" s="143"/>
      <c r="F192" s="143"/>
      <c r="G192" s="97"/>
      <c r="H192" s="143"/>
      <c r="I192" s="97"/>
      <c r="J192" s="97"/>
      <c r="K192" s="114"/>
      <c r="L192" s="114"/>
      <c r="M192" s="102"/>
      <c r="N192" s="124"/>
      <c r="O192" s="125"/>
      <c r="P192" s="97"/>
      <c r="Q192" s="131"/>
      <c r="R192" s="126"/>
      <c r="S192" s="97"/>
      <c r="T192" s="97"/>
      <c r="V192" s="108"/>
    </row>
    <row r="193" ht="15.75" customHeight="1">
      <c r="A193" s="91"/>
      <c r="B193" s="171"/>
      <c r="C193" s="108"/>
      <c r="D193" s="97"/>
      <c r="E193" s="143"/>
      <c r="F193" s="143"/>
      <c r="G193" s="97"/>
      <c r="H193" s="143"/>
      <c r="I193" s="97"/>
      <c r="J193" s="97"/>
      <c r="K193" s="101"/>
      <c r="L193" s="101"/>
      <c r="M193" s="102"/>
      <c r="N193" s="124"/>
      <c r="O193" s="125"/>
      <c r="P193" s="97"/>
      <c r="Q193" s="131"/>
      <c r="R193" s="126"/>
      <c r="S193" s="97"/>
      <c r="T193" s="97"/>
      <c r="V193" s="108"/>
    </row>
    <row r="194" ht="15.75" customHeight="1">
      <c r="A194" s="91"/>
      <c r="B194" s="171"/>
      <c r="C194" s="143"/>
      <c r="D194" s="97"/>
      <c r="E194" s="143"/>
      <c r="F194" s="143"/>
      <c r="G194" s="97"/>
      <c r="H194" s="143"/>
      <c r="I194" s="97"/>
      <c r="J194" s="97"/>
      <c r="K194" s="114"/>
      <c r="L194" s="114"/>
      <c r="M194" s="102"/>
      <c r="N194" s="124"/>
      <c r="O194" s="125"/>
      <c r="P194" s="97"/>
      <c r="Q194" s="131"/>
      <c r="R194" s="126"/>
      <c r="S194" s="97"/>
      <c r="T194" s="97"/>
      <c r="V194" s="108"/>
    </row>
    <row r="195" ht="15.75" customHeight="1">
      <c r="A195" s="91"/>
      <c r="B195" s="171"/>
      <c r="C195" s="143"/>
      <c r="D195" s="97"/>
      <c r="E195" s="143"/>
      <c r="F195" s="143"/>
      <c r="G195" s="97"/>
      <c r="H195" s="143"/>
      <c r="I195" s="97"/>
      <c r="J195" s="97"/>
      <c r="K195" s="101"/>
      <c r="L195" s="101"/>
      <c r="M195" s="102"/>
      <c r="N195" s="124"/>
      <c r="O195" s="125"/>
      <c r="P195" s="97"/>
      <c r="Q195" s="131"/>
      <c r="R195" s="126"/>
      <c r="S195" s="97"/>
      <c r="T195" s="97"/>
      <c r="V195" s="108"/>
    </row>
    <row r="196" ht="15.75" customHeight="1">
      <c r="A196" s="91"/>
      <c r="B196" s="171"/>
      <c r="C196" s="143"/>
      <c r="D196" s="97"/>
      <c r="E196" s="143"/>
      <c r="F196" s="143"/>
      <c r="G196" s="97"/>
      <c r="H196" s="143"/>
      <c r="I196" s="97"/>
      <c r="J196" s="97"/>
      <c r="K196" s="114"/>
      <c r="L196" s="114"/>
      <c r="M196" s="102"/>
      <c r="N196" s="124"/>
      <c r="O196" s="125"/>
      <c r="P196" s="97"/>
      <c r="Q196" s="131"/>
      <c r="R196" s="126"/>
      <c r="S196" s="97"/>
      <c r="T196" s="97"/>
      <c r="V196" s="108"/>
    </row>
    <row r="197" ht="15.75" customHeight="1">
      <c r="A197" s="91"/>
      <c r="B197" s="171"/>
      <c r="C197" s="143"/>
      <c r="D197" s="97"/>
      <c r="E197" s="143"/>
      <c r="F197" s="143"/>
      <c r="G197" s="97"/>
      <c r="H197" s="143"/>
      <c r="I197" s="97"/>
      <c r="J197" s="97"/>
      <c r="K197" s="101"/>
      <c r="L197" s="101"/>
      <c r="M197" s="102"/>
      <c r="N197" s="124"/>
      <c r="O197" s="125"/>
      <c r="P197" s="97"/>
      <c r="Q197" s="131"/>
      <c r="R197" s="126"/>
      <c r="S197" s="97"/>
      <c r="T197" s="97"/>
      <c r="V197" s="108"/>
    </row>
    <row r="198" ht="15.75" customHeight="1">
      <c r="A198" s="91"/>
      <c r="B198" s="171"/>
      <c r="C198" s="143"/>
      <c r="D198" s="97"/>
      <c r="E198" s="143"/>
      <c r="F198" s="143"/>
      <c r="G198" s="97"/>
      <c r="H198" s="143"/>
      <c r="I198" s="97"/>
      <c r="J198" s="97"/>
      <c r="K198" s="114"/>
      <c r="L198" s="114"/>
      <c r="M198" s="102"/>
      <c r="N198" s="124"/>
      <c r="O198" s="125"/>
      <c r="P198" s="97"/>
      <c r="Q198" s="131"/>
      <c r="R198" s="126"/>
      <c r="S198" s="97"/>
      <c r="T198" s="97"/>
      <c r="V198" s="108"/>
    </row>
    <row r="199" ht="15.75" customHeight="1">
      <c r="A199" s="91"/>
      <c r="B199" s="171"/>
      <c r="C199" s="108"/>
      <c r="D199" s="97"/>
      <c r="E199" s="143"/>
      <c r="F199" s="143"/>
      <c r="G199" s="97"/>
      <c r="H199" s="143"/>
      <c r="I199" s="97"/>
      <c r="J199" s="97"/>
      <c r="K199" s="101"/>
      <c r="L199" s="101"/>
      <c r="M199" s="102"/>
      <c r="N199" s="124"/>
      <c r="O199" s="125"/>
      <c r="P199" s="97"/>
      <c r="Q199" s="131"/>
      <c r="R199" s="126"/>
      <c r="S199" s="97"/>
      <c r="T199" s="97"/>
      <c r="V199" s="108"/>
    </row>
    <row r="200" ht="15.75" customHeight="1">
      <c r="A200" s="91"/>
      <c r="B200" s="171"/>
      <c r="C200" s="143"/>
      <c r="D200" s="97"/>
      <c r="E200" s="143"/>
      <c r="F200" s="143"/>
      <c r="G200" s="97"/>
      <c r="H200" s="143"/>
      <c r="I200" s="97"/>
      <c r="J200" s="97"/>
      <c r="K200" s="114"/>
      <c r="L200" s="114"/>
      <c r="M200" s="102"/>
      <c r="N200" s="124"/>
      <c r="O200" s="125"/>
      <c r="P200" s="97"/>
      <c r="Q200" s="131"/>
      <c r="R200" s="126"/>
      <c r="S200" s="97"/>
      <c r="T200" s="97"/>
      <c r="V200" s="108"/>
    </row>
    <row r="201" ht="15.75" customHeight="1">
      <c r="A201" s="91"/>
      <c r="B201" s="171"/>
      <c r="C201" s="143"/>
      <c r="D201" s="97"/>
      <c r="E201" s="143"/>
      <c r="F201" s="143"/>
      <c r="G201" s="97"/>
      <c r="H201" s="143"/>
      <c r="I201" s="97"/>
      <c r="J201" s="97"/>
      <c r="K201" s="101"/>
      <c r="L201" s="101"/>
      <c r="M201" s="102"/>
      <c r="N201" s="124"/>
      <c r="O201" s="125"/>
      <c r="P201" s="97"/>
      <c r="Q201" s="131"/>
      <c r="R201" s="126"/>
      <c r="S201" s="97"/>
      <c r="T201" s="97"/>
      <c r="V201" s="108"/>
    </row>
    <row r="202" ht="15.75" customHeight="1">
      <c r="A202" s="91"/>
      <c r="B202" s="171"/>
      <c r="C202" s="143"/>
      <c r="D202" s="97"/>
      <c r="E202" s="143"/>
      <c r="F202" s="143"/>
      <c r="G202" s="97"/>
      <c r="H202" s="143"/>
      <c r="I202" s="97"/>
      <c r="J202" s="97"/>
      <c r="K202" s="114"/>
      <c r="L202" s="114"/>
      <c r="M202" s="102"/>
      <c r="N202" s="124"/>
      <c r="O202" s="125"/>
      <c r="P202" s="97"/>
      <c r="Q202" s="131"/>
      <c r="R202" s="126"/>
      <c r="S202" s="97"/>
      <c r="T202" s="97"/>
      <c r="V202" s="108"/>
    </row>
    <row r="203" ht="15.75" customHeight="1">
      <c r="A203" s="91"/>
      <c r="B203" s="171"/>
      <c r="C203" s="143"/>
      <c r="D203" s="97"/>
      <c r="E203" s="143"/>
      <c r="F203" s="143"/>
      <c r="G203" s="97"/>
      <c r="H203" s="143"/>
      <c r="I203" s="97"/>
      <c r="J203" s="97"/>
      <c r="K203" s="101"/>
      <c r="L203" s="101"/>
      <c r="M203" s="102"/>
      <c r="N203" s="124"/>
      <c r="O203" s="125"/>
      <c r="P203" s="97"/>
      <c r="Q203" s="131"/>
      <c r="R203" s="126"/>
      <c r="S203" s="97"/>
      <c r="T203" s="97"/>
      <c r="V203" s="108"/>
    </row>
    <row r="204" ht="15.75" customHeight="1">
      <c r="A204" s="91"/>
      <c r="B204" s="171"/>
      <c r="C204" s="143"/>
      <c r="D204" s="97"/>
      <c r="E204" s="143"/>
      <c r="F204" s="143"/>
      <c r="G204" s="97"/>
      <c r="H204" s="143"/>
      <c r="I204" s="97"/>
      <c r="J204" s="97"/>
      <c r="K204" s="114"/>
      <c r="L204" s="114"/>
      <c r="M204" s="102"/>
      <c r="N204" s="124"/>
      <c r="O204" s="125"/>
      <c r="P204" s="97"/>
      <c r="Q204" s="131"/>
      <c r="R204" s="126"/>
      <c r="S204" s="97"/>
      <c r="T204" s="97"/>
      <c r="V204" s="108"/>
    </row>
    <row r="205" ht="15.75" customHeight="1">
      <c r="A205" s="91"/>
      <c r="B205" s="171"/>
      <c r="C205" s="108"/>
      <c r="D205" s="97"/>
      <c r="E205" s="143"/>
      <c r="F205" s="143"/>
      <c r="G205" s="97"/>
      <c r="H205" s="143"/>
      <c r="I205" s="97"/>
      <c r="J205" s="97"/>
      <c r="K205" s="101"/>
      <c r="L205" s="101"/>
      <c r="M205" s="102"/>
      <c r="N205" s="124"/>
      <c r="O205" s="125"/>
      <c r="P205" s="97"/>
      <c r="Q205" s="131"/>
      <c r="R205" s="126"/>
      <c r="S205" s="97"/>
      <c r="T205" s="97"/>
      <c r="V205" s="108"/>
    </row>
    <row r="206" ht="15.75" customHeight="1">
      <c r="A206" s="91"/>
      <c r="B206" s="171"/>
      <c r="C206" s="143"/>
      <c r="D206" s="97"/>
      <c r="E206" s="143"/>
      <c r="F206" s="143"/>
      <c r="G206" s="97"/>
      <c r="H206" s="143"/>
      <c r="I206" s="97"/>
      <c r="J206" s="97"/>
      <c r="K206" s="114"/>
      <c r="L206" s="114"/>
      <c r="M206" s="102"/>
      <c r="N206" s="124"/>
      <c r="O206" s="125"/>
      <c r="P206" s="97"/>
      <c r="Q206" s="131"/>
      <c r="R206" s="126"/>
      <c r="S206" s="97"/>
      <c r="T206" s="97"/>
      <c r="V206" s="108"/>
    </row>
    <row r="207" ht="15.75" customHeight="1">
      <c r="A207" s="91"/>
      <c r="B207" s="171"/>
      <c r="C207" s="143"/>
      <c r="D207" s="97"/>
      <c r="E207" s="143"/>
      <c r="F207" s="143"/>
      <c r="G207" s="97"/>
      <c r="H207" s="143"/>
      <c r="I207" s="97"/>
      <c r="J207" s="97"/>
      <c r="K207" s="101"/>
      <c r="L207" s="101"/>
      <c r="M207" s="102"/>
      <c r="N207" s="124"/>
      <c r="O207" s="125"/>
      <c r="P207" s="97"/>
      <c r="Q207" s="131"/>
      <c r="R207" s="126"/>
      <c r="S207" s="97"/>
      <c r="T207" s="97"/>
      <c r="V207" s="108"/>
    </row>
    <row r="208" ht="15.75" customHeight="1">
      <c r="A208" s="91"/>
      <c r="B208" s="171"/>
      <c r="C208" s="143"/>
      <c r="D208" s="97"/>
      <c r="E208" s="143"/>
      <c r="F208" s="143"/>
      <c r="G208" s="97"/>
      <c r="H208" s="143"/>
      <c r="I208" s="97"/>
      <c r="J208" s="97"/>
      <c r="K208" s="114"/>
      <c r="L208" s="114"/>
      <c r="M208" s="102"/>
      <c r="N208" s="124"/>
      <c r="O208" s="125"/>
      <c r="P208" s="97"/>
      <c r="Q208" s="131"/>
      <c r="R208" s="126"/>
      <c r="S208" s="97"/>
      <c r="T208" s="97"/>
      <c r="V208" s="108"/>
    </row>
    <row r="209" ht="15.75" customHeight="1">
      <c r="A209" s="91"/>
      <c r="B209" s="171"/>
      <c r="C209" s="143"/>
      <c r="D209" s="97"/>
      <c r="E209" s="143"/>
      <c r="F209" s="143"/>
      <c r="G209" s="97"/>
      <c r="H209" s="143"/>
      <c r="I209" s="97"/>
      <c r="J209" s="97"/>
      <c r="K209" s="101"/>
      <c r="L209" s="101"/>
      <c r="M209" s="102"/>
      <c r="N209" s="124"/>
      <c r="O209" s="125"/>
      <c r="P209" s="97"/>
      <c r="Q209" s="131"/>
      <c r="R209" s="126"/>
      <c r="S209" s="97"/>
      <c r="T209" s="97"/>
      <c r="V209" s="108"/>
    </row>
    <row r="210" ht="15.75" customHeight="1">
      <c r="A210" s="91"/>
      <c r="B210" s="171"/>
      <c r="C210" s="143"/>
      <c r="D210" s="97"/>
      <c r="E210" s="143"/>
      <c r="F210" s="143"/>
      <c r="G210" s="97"/>
      <c r="H210" s="143"/>
      <c r="I210" s="97"/>
      <c r="J210" s="97"/>
      <c r="K210" s="114"/>
      <c r="L210" s="114"/>
      <c r="M210" s="102"/>
      <c r="N210" s="124"/>
      <c r="O210" s="125"/>
      <c r="P210" s="97"/>
      <c r="Q210" s="131"/>
      <c r="R210" s="126"/>
      <c r="S210" s="97"/>
      <c r="T210" s="97"/>
      <c r="V210" s="108"/>
    </row>
    <row r="211" ht="15.75" customHeight="1">
      <c r="A211" s="91"/>
      <c r="B211" s="171"/>
      <c r="C211" s="108"/>
      <c r="D211" s="97"/>
      <c r="E211" s="143"/>
      <c r="F211" s="143"/>
      <c r="G211" s="97"/>
      <c r="H211" s="143"/>
      <c r="I211" s="97"/>
      <c r="J211" s="97"/>
      <c r="K211" s="101"/>
      <c r="L211" s="101"/>
      <c r="M211" s="102"/>
      <c r="N211" s="124"/>
      <c r="O211" s="125"/>
      <c r="P211" s="97"/>
      <c r="Q211" s="131"/>
      <c r="R211" s="126"/>
      <c r="S211" s="97"/>
      <c r="T211" s="97"/>
      <c r="V211" s="108"/>
    </row>
    <row r="212" ht="15.75" customHeight="1">
      <c r="A212" s="91"/>
      <c r="B212" s="171"/>
      <c r="C212" s="143"/>
      <c r="D212" s="97"/>
      <c r="E212" s="143"/>
      <c r="F212" s="143"/>
      <c r="G212" s="97"/>
      <c r="H212" s="143"/>
      <c r="I212" s="97"/>
      <c r="J212" s="97"/>
      <c r="K212" s="114"/>
      <c r="L212" s="114"/>
      <c r="M212" s="102"/>
      <c r="N212" s="124"/>
      <c r="O212" s="125"/>
      <c r="P212" s="97"/>
      <c r="Q212" s="131"/>
      <c r="R212" s="126"/>
      <c r="S212" s="97"/>
      <c r="T212" s="97"/>
      <c r="V212" s="108"/>
    </row>
    <row r="213" ht="15.75" customHeight="1">
      <c r="A213" s="91"/>
      <c r="B213" s="171"/>
      <c r="C213" s="143"/>
      <c r="D213" s="97"/>
      <c r="E213" s="143"/>
      <c r="F213" s="143"/>
      <c r="G213" s="97"/>
      <c r="H213" s="143"/>
      <c r="I213" s="97"/>
      <c r="J213" s="97"/>
      <c r="K213" s="101"/>
      <c r="L213" s="101"/>
      <c r="M213" s="102"/>
      <c r="N213" s="124"/>
      <c r="O213" s="125"/>
      <c r="P213" s="97"/>
      <c r="Q213" s="131"/>
      <c r="R213" s="126"/>
      <c r="S213" s="97"/>
      <c r="T213" s="97"/>
      <c r="V213" s="108"/>
    </row>
    <row r="214" ht="15.75" customHeight="1">
      <c r="A214" s="91"/>
      <c r="B214" s="171"/>
      <c r="C214" s="143"/>
      <c r="D214" s="97"/>
      <c r="E214" s="143"/>
      <c r="F214" s="143"/>
      <c r="G214" s="97"/>
      <c r="H214" s="143"/>
      <c r="I214" s="97"/>
      <c r="J214" s="97"/>
      <c r="K214" s="114"/>
      <c r="L214" s="114"/>
      <c r="M214" s="102"/>
      <c r="N214" s="124"/>
      <c r="O214" s="125"/>
      <c r="P214" s="97"/>
      <c r="Q214" s="131"/>
      <c r="R214" s="126"/>
      <c r="S214" s="97"/>
      <c r="T214" s="97"/>
      <c r="V214" s="108"/>
    </row>
    <row r="215" ht="15.75" customHeight="1">
      <c r="A215" s="91"/>
      <c r="B215" s="171"/>
      <c r="C215" s="143"/>
      <c r="D215" s="97"/>
      <c r="E215" s="143"/>
      <c r="F215" s="143"/>
      <c r="G215" s="97"/>
      <c r="H215" s="143"/>
      <c r="I215" s="97"/>
      <c r="J215" s="97"/>
      <c r="K215" s="101"/>
      <c r="L215" s="101"/>
      <c r="M215" s="102"/>
      <c r="N215" s="124"/>
      <c r="O215" s="125"/>
      <c r="P215" s="97"/>
      <c r="Q215" s="131"/>
      <c r="R215" s="126"/>
      <c r="S215" s="97"/>
      <c r="T215" s="97"/>
      <c r="V215" s="108"/>
    </row>
    <row r="216" ht="15.75" customHeight="1">
      <c r="A216" s="91"/>
      <c r="B216" s="171"/>
      <c r="C216" s="143"/>
      <c r="D216" s="97"/>
      <c r="E216" s="143"/>
      <c r="F216" s="143"/>
      <c r="G216" s="97"/>
      <c r="H216" s="143"/>
      <c r="I216" s="97"/>
      <c r="J216" s="97"/>
      <c r="K216" s="114"/>
      <c r="L216" s="114"/>
      <c r="M216" s="102"/>
      <c r="N216" s="124"/>
      <c r="O216" s="125"/>
      <c r="P216" s="97"/>
      <c r="Q216" s="131"/>
      <c r="R216" s="126"/>
      <c r="S216" s="97"/>
      <c r="T216" s="97"/>
      <c r="V216" s="108"/>
    </row>
    <row r="217" ht="15.75" customHeight="1">
      <c r="A217" s="91"/>
      <c r="B217" s="171"/>
      <c r="C217" s="108"/>
      <c r="D217" s="97"/>
      <c r="E217" s="143"/>
      <c r="F217" s="143"/>
      <c r="G217" s="97"/>
      <c r="H217" s="143"/>
      <c r="I217" s="97"/>
      <c r="J217" s="97"/>
      <c r="K217" s="101"/>
      <c r="L217" s="101"/>
      <c r="M217" s="102"/>
      <c r="N217" s="124"/>
      <c r="O217" s="125"/>
      <c r="P217" s="97"/>
      <c r="Q217" s="131"/>
      <c r="R217" s="126"/>
      <c r="S217" s="97"/>
      <c r="T217" s="97"/>
      <c r="V217" s="108"/>
    </row>
    <row r="218" ht="15.75" customHeight="1">
      <c r="A218" s="91"/>
      <c r="B218" s="171"/>
      <c r="C218" s="143"/>
      <c r="D218" s="97"/>
      <c r="E218" s="143"/>
      <c r="F218" s="143"/>
      <c r="G218" s="97"/>
      <c r="H218" s="143"/>
      <c r="I218" s="97"/>
      <c r="J218" s="97"/>
      <c r="K218" s="114"/>
      <c r="L218" s="114"/>
      <c r="M218" s="102"/>
      <c r="N218" s="124"/>
      <c r="O218" s="125"/>
      <c r="P218" s="97"/>
      <c r="Q218" s="131"/>
      <c r="R218" s="126"/>
      <c r="S218" s="97"/>
      <c r="T218" s="97"/>
      <c r="V218" s="108"/>
    </row>
    <row r="219" ht="15.75" customHeight="1">
      <c r="A219" s="91"/>
      <c r="B219" s="171"/>
      <c r="C219" s="143"/>
      <c r="D219" s="97"/>
      <c r="E219" s="143"/>
      <c r="F219" s="143"/>
      <c r="G219" s="97"/>
      <c r="H219" s="143"/>
      <c r="I219" s="97"/>
      <c r="J219" s="97"/>
      <c r="K219" s="101"/>
      <c r="L219" s="101"/>
      <c r="M219" s="102"/>
      <c r="N219" s="124"/>
      <c r="O219" s="125"/>
      <c r="P219" s="97"/>
      <c r="Q219" s="131"/>
      <c r="R219" s="126"/>
      <c r="S219" s="97"/>
      <c r="T219" s="97"/>
      <c r="V219" s="108"/>
    </row>
    <row r="220" ht="15.75" customHeight="1">
      <c r="A220" s="91"/>
      <c r="B220" s="171"/>
      <c r="C220" s="143"/>
      <c r="D220" s="97"/>
      <c r="E220" s="143"/>
      <c r="F220" s="143"/>
      <c r="G220" s="97"/>
      <c r="H220" s="143"/>
      <c r="I220" s="97"/>
      <c r="J220" s="97"/>
      <c r="K220" s="114"/>
      <c r="L220" s="114"/>
      <c r="M220" s="102"/>
      <c r="N220" s="124"/>
      <c r="O220" s="125"/>
      <c r="P220" s="97"/>
      <c r="Q220" s="131"/>
      <c r="R220" s="126"/>
      <c r="S220" s="97"/>
      <c r="T220" s="97"/>
      <c r="V220" s="108"/>
    </row>
    <row r="221" ht="15.75" customHeight="1">
      <c r="A221" s="91"/>
      <c r="B221" s="171"/>
      <c r="C221" s="143"/>
      <c r="D221" s="97"/>
      <c r="E221" s="143"/>
      <c r="F221" s="143"/>
      <c r="G221" s="97"/>
      <c r="H221" s="143"/>
      <c r="I221" s="97"/>
      <c r="J221" s="97"/>
      <c r="K221" s="101"/>
      <c r="L221" s="101"/>
      <c r="M221" s="102"/>
      <c r="N221" s="124"/>
      <c r="O221" s="125"/>
      <c r="P221" s="97"/>
      <c r="Q221" s="131"/>
      <c r="R221" s="126"/>
      <c r="S221" s="97"/>
      <c r="T221" s="97"/>
      <c r="V221" s="108"/>
    </row>
    <row r="222" ht="15.75" customHeight="1">
      <c r="A222" s="91"/>
      <c r="B222" s="171"/>
      <c r="C222" s="143"/>
      <c r="D222" s="97"/>
      <c r="E222" s="143"/>
      <c r="F222" s="143"/>
      <c r="G222" s="97"/>
      <c r="H222" s="143"/>
      <c r="I222" s="97"/>
      <c r="J222" s="97"/>
      <c r="K222" s="114"/>
      <c r="L222" s="114"/>
      <c r="M222" s="102"/>
      <c r="N222" s="124"/>
      <c r="O222" s="125"/>
      <c r="P222" s="97"/>
      <c r="Q222" s="131"/>
      <c r="R222" s="126"/>
      <c r="S222" s="97"/>
      <c r="T222" s="97"/>
      <c r="V222" s="108"/>
    </row>
    <row r="223" ht="15.75" customHeight="1">
      <c r="A223" s="91"/>
      <c r="B223" s="171"/>
      <c r="C223" s="108"/>
      <c r="D223" s="97"/>
      <c r="E223" s="143"/>
      <c r="F223" s="143"/>
      <c r="G223" s="97"/>
      <c r="H223" s="143"/>
      <c r="I223" s="97"/>
      <c r="J223" s="97"/>
      <c r="K223" s="101"/>
      <c r="L223" s="101"/>
      <c r="M223" s="102"/>
      <c r="N223" s="124"/>
      <c r="O223" s="125"/>
      <c r="P223" s="97"/>
      <c r="Q223" s="131"/>
      <c r="R223" s="126"/>
      <c r="S223" s="97"/>
      <c r="T223" s="97"/>
      <c r="V223" s="108"/>
    </row>
    <row r="224" ht="15.75" customHeight="1">
      <c r="A224" s="91"/>
      <c r="B224" s="171"/>
      <c r="C224" s="143"/>
      <c r="D224" s="97"/>
      <c r="E224" s="143"/>
      <c r="F224" s="143"/>
      <c r="G224" s="97"/>
      <c r="H224" s="143"/>
      <c r="I224" s="97"/>
      <c r="J224" s="97"/>
      <c r="K224" s="114"/>
      <c r="L224" s="114"/>
      <c r="M224" s="102"/>
      <c r="N224" s="124"/>
      <c r="O224" s="125"/>
      <c r="P224" s="97"/>
      <c r="Q224" s="131"/>
      <c r="R224" s="126"/>
      <c r="S224" s="97"/>
      <c r="T224" s="97"/>
      <c r="V224" s="108"/>
    </row>
    <row r="225" ht="15.75" customHeight="1">
      <c r="A225" s="91"/>
      <c r="B225" s="171"/>
      <c r="C225" s="143"/>
      <c r="D225" s="97"/>
      <c r="E225" s="143"/>
      <c r="F225" s="143"/>
      <c r="G225" s="97"/>
      <c r="H225" s="143"/>
      <c r="I225" s="97"/>
      <c r="J225" s="97"/>
      <c r="K225" s="101"/>
      <c r="L225" s="101"/>
      <c r="M225" s="102"/>
      <c r="N225" s="124"/>
      <c r="O225" s="125"/>
      <c r="P225" s="97"/>
      <c r="Q225" s="131"/>
      <c r="R225" s="126"/>
      <c r="S225" s="97"/>
      <c r="T225" s="97"/>
      <c r="V225" s="108"/>
    </row>
    <row r="226" ht="15.75" customHeight="1">
      <c r="A226" s="91"/>
      <c r="B226" s="171"/>
      <c r="C226" s="143"/>
      <c r="D226" s="97"/>
      <c r="E226" s="143"/>
      <c r="F226" s="143"/>
      <c r="G226" s="97"/>
      <c r="H226" s="143"/>
      <c r="I226" s="97"/>
      <c r="J226" s="97"/>
      <c r="K226" s="114"/>
      <c r="L226" s="114"/>
      <c r="M226" s="102"/>
      <c r="N226" s="124"/>
      <c r="O226" s="125"/>
      <c r="P226" s="97"/>
      <c r="Q226" s="131"/>
      <c r="R226" s="126"/>
      <c r="S226" s="97"/>
      <c r="T226" s="97"/>
      <c r="V226" s="108"/>
    </row>
    <row r="227" ht="15.75" customHeight="1">
      <c r="A227" s="91"/>
      <c r="B227" s="171"/>
      <c r="C227" s="143"/>
      <c r="D227" s="97"/>
      <c r="E227" s="143"/>
      <c r="F227" s="143"/>
      <c r="G227" s="97"/>
      <c r="H227" s="143"/>
      <c r="I227" s="97"/>
      <c r="J227" s="97"/>
      <c r="K227" s="101"/>
      <c r="L227" s="101"/>
      <c r="M227" s="102"/>
      <c r="N227" s="124"/>
      <c r="O227" s="125"/>
      <c r="P227" s="97"/>
      <c r="Q227" s="131"/>
      <c r="R227" s="126"/>
      <c r="S227" s="97"/>
      <c r="T227" s="97"/>
      <c r="V227" s="108"/>
    </row>
    <row r="228" ht="15.75" customHeight="1">
      <c r="A228" s="91"/>
      <c r="B228" s="171"/>
      <c r="C228" s="143"/>
      <c r="D228" s="97"/>
      <c r="E228" s="143"/>
      <c r="F228" s="143"/>
      <c r="G228" s="97"/>
      <c r="H228" s="143"/>
      <c r="I228" s="97"/>
      <c r="J228" s="97"/>
      <c r="K228" s="114"/>
      <c r="L228" s="114"/>
      <c r="M228" s="102"/>
      <c r="N228" s="124"/>
      <c r="O228" s="125"/>
      <c r="P228" s="97"/>
      <c r="Q228" s="131"/>
      <c r="R228" s="126"/>
      <c r="S228" s="97"/>
      <c r="T228" s="97"/>
      <c r="V228" s="108"/>
    </row>
    <row r="229" ht="15.75" customHeight="1">
      <c r="A229" s="91"/>
      <c r="B229" s="171"/>
      <c r="C229" s="108"/>
      <c r="D229" s="97"/>
      <c r="E229" s="143"/>
      <c r="F229" s="143"/>
      <c r="G229" s="97"/>
      <c r="H229" s="143"/>
      <c r="I229" s="97"/>
      <c r="J229" s="97"/>
      <c r="K229" s="101"/>
      <c r="L229" s="101"/>
      <c r="M229" s="102"/>
      <c r="N229" s="124"/>
      <c r="O229" s="125"/>
      <c r="P229" s="97"/>
      <c r="Q229" s="131"/>
      <c r="R229" s="126"/>
      <c r="S229" s="97"/>
      <c r="T229" s="97"/>
      <c r="V229" s="108"/>
    </row>
    <row r="230" ht="15.75" customHeight="1">
      <c r="A230" s="91"/>
      <c r="B230" s="171"/>
      <c r="C230" s="143"/>
      <c r="D230" s="97"/>
      <c r="E230" s="143"/>
      <c r="F230" s="143"/>
      <c r="G230" s="97"/>
      <c r="H230" s="143"/>
      <c r="I230" s="97"/>
      <c r="J230" s="97"/>
      <c r="K230" s="114"/>
      <c r="L230" s="114"/>
      <c r="M230" s="102"/>
      <c r="N230" s="124"/>
      <c r="O230" s="125"/>
      <c r="P230" s="97"/>
      <c r="Q230" s="131"/>
      <c r="R230" s="126"/>
      <c r="S230" s="97"/>
      <c r="T230" s="97"/>
      <c r="V230" s="108"/>
    </row>
    <row r="231" ht="15.75" customHeight="1">
      <c r="A231" s="91"/>
      <c r="B231" s="171"/>
      <c r="C231" s="143"/>
      <c r="D231" s="97"/>
      <c r="E231" s="143"/>
      <c r="F231" s="143"/>
      <c r="G231" s="97"/>
      <c r="H231" s="143"/>
      <c r="I231" s="97"/>
      <c r="J231" s="97"/>
      <c r="K231" s="101"/>
      <c r="L231" s="101"/>
      <c r="M231" s="102"/>
      <c r="N231" s="124"/>
      <c r="O231" s="125"/>
      <c r="P231" s="97"/>
      <c r="Q231" s="131"/>
      <c r="R231" s="126"/>
      <c r="S231" s="97"/>
      <c r="T231" s="97"/>
      <c r="V231" s="108"/>
    </row>
    <row r="232" ht="15.75" customHeight="1">
      <c r="A232" s="91"/>
      <c r="B232" s="171"/>
      <c r="C232" s="143"/>
      <c r="D232" s="97"/>
      <c r="E232" s="143"/>
      <c r="F232" s="143"/>
      <c r="G232" s="97"/>
      <c r="H232" s="143"/>
      <c r="I232" s="97"/>
      <c r="J232" s="97"/>
      <c r="K232" s="114"/>
      <c r="L232" s="114"/>
      <c r="M232" s="102"/>
      <c r="N232" s="124"/>
      <c r="O232" s="125"/>
      <c r="P232" s="97"/>
      <c r="Q232" s="131"/>
      <c r="R232" s="126"/>
      <c r="S232" s="97"/>
      <c r="T232" s="97"/>
      <c r="V232" s="108"/>
    </row>
    <row r="233" ht="15.75" customHeight="1">
      <c r="A233" s="91"/>
      <c r="B233" s="171"/>
      <c r="C233" s="143"/>
      <c r="D233" s="97"/>
      <c r="E233" s="143"/>
      <c r="F233" s="143"/>
      <c r="G233" s="97"/>
      <c r="H233" s="143"/>
      <c r="I233" s="97"/>
      <c r="J233" s="97"/>
      <c r="K233" s="101"/>
      <c r="L233" s="101"/>
      <c r="M233" s="102"/>
      <c r="N233" s="124"/>
      <c r="O233" s="125"/>
      <c r="P233" s="97"/>
      <c r="Q233" s="131"/>
      <c r="R233" s="126"/>
      <c r="S233" s="97"/>
      <c r="T233" s="97"/>
      <c r="V233" s="108"/>
    </row>
    <row r="234" ht="15.75" customHeight="1">
      <c r="A234" s="91"/>
      <c r="B234" s="171"/>
      <c r="C234" s="143"/>
      <c r="D234" s="97"/>
      <c r="E234" s="143"/>
      <c r="F234" s="143"/>
      <c r="G234" s="97"/>
      <c r="H234" s="143"/>
      <c r="I234" s="97"/>
      <c r="J234" s="97"/>
      <c r="K234" s="114"/>
      <c r="L234" s="114"/>
      <c r="M234" s="102"/>
      <c r="N234" s="124"/>
      <c r="O234" s="125"/>
      <c r="P234" s="97"/>
      <c r="Q234" s="131"/>
      <c r="R234" s="126"/>
      <c r="S234" s="97"/>
      <c r="T234" s="97"/>
      <c r="V234" s="108"/>
    </row>
    <row r="235" ht="15.75" customHeight="1">
      <c r="A235" s="91"/>
      <c r="B235" s="171"/>
      <c r="C235" s="108"/>
      <c r="D235" s="97"/>
      <c r="E235" s="143"/>
      <c r="F235" s="143"/>
      <c r="G235" s="97"/>
      <c r="H235" s="143"/>
      <c r="I235" s="97"/>
      <c r="J235" s="97"/>
      <c r="K235" s="101"/>
      <c r="L235" s="101"/>
      <c r="M235" s="102"/>
      <c r="N235" s="124"/>
      <c r="O235" s="125"/>
      <c r="P235" s="97"/>
      <c r="Q235" s="131"/>
      <c r="R235" s="126"/>
      <c r="S235" s="97"/>
      <c r="T235" s="97"/>
      <c r="V235" s="108"/>
    </row>
    <row r="236" ht="15.75" customHeight="1">
      <c r="A236" s="91"/>
      <c r="B236" s="171"/>
      <c r="C236" s="143"/>
      <c r="D236" s="97"/>
      <c r="E236" s="143"/>
      <c r="F236" s="143"/>
      <c r="G236" s="97"/>
      <c r="H236" s="143"/>
      <c r="I236" s="97"/>
      <c r="J236" s="97"/>
      <c r="K236" s="114"/>
      <c r="L236" s="114"/>
      <c r="M236" s="102"/>
      <c r="N236" s="124"/>
      <c r="O236" s="125"/>
      <c r="P236" s="97"/>
      <c r="Q236" s="131"/>
      <c r="R236" s="126"/>
      <c r="S236" s="97"/>
      <c r="T236" s="97"/>
      <c r="V236" s="108"/>
    </row>
    <row r="237" ht="15.75" customHeight="1">
      <c r="A237" s="91"/>
      <c r="B237" s="171"/>
      <c r="C237" s="143"/>
      <c r="D237" s="97"/>
      <c r="E237" s="143"/>
      <c r="F237" s="143"/>
      <c r="G237" s="97"/>
      <c r="H237" s="143"/>
      <c r="I237" s="97"/>
      <c r="J237" s="97"/>
      <c r="K237" s="101"/>
      <c r="L237" s="101"/>
      <c r="M237" s="102"/>
      <c r="N237" s="124"/>
      <c r="O237" s="125"/>
      <c r="P237" s="97"/>
      <c r="Q237" s="131"/>
      <c r="R237" s="126"/>
      <c r="S237" s="97"/>
      <c r="T237" s="97"/>
      <c r="V237" s="108"/>
    </row>
    <row r="238" ht="15.75" customHeight="1">
      <c r="A238" s="91"/>
      <c r="B238" s="171"/>
      <c r="C238" s="143"/>
      <c r="D238" s="97"/>
      <c r="E238" s="143"/>
      <c r="F238" s="143"/>
      <c r="G238" s="97"/>
      <c r="H238" s="143"/>
      <c r="I238" s="97"/>
      <c r="J238" s="97"/>
      <c r="K238" s="114"/>
      <c r="L238" s="114"/>
      <c r="M238" s="102"/>
      <c r="N238" s="124"/>
      <c r="O238" s="125"/>
      <c r="P238" s="97"/>
      <c r="Q238" s="131"/>
      <c r="R238" s="126"/>
      <c r="S238" s="97"/>
      <c r="T238" s="97"/>
      <c r="V238" s="108"/>
    </row>
    <row r="239" ht="15.75" customHeight="1">
      <c r="A239" s="91"/>
      <c r="B239" s="171"/>
      <c r="C239" s="143"/>
      <c r="D239" s="97"/>
      <c r="E239" s="143"/>
      <c r="F239" s="143"/>
      <c r="G239" s="97"/>
      <c r="H239" s="143"/>
      <c r="I239" s="97"/>
      <c r="J239" s="97"/>
      <c r="K239" s="101"/>
      <c r="L239" s="101"/>
      <c r="M239" s="102"/>
      <c r="N239" s="124"/>
      <c r="O239" s="125"/>
      <c r="P239" s="97"/>
      <c r="Q239" s="131"/>
      <c r="R239" s="126"/>
      <c r="S239" s="97"/>
      <c r="T239" s="97"/>
      <c r="V239" s="108"/>
    </row>
    <row r="240" ht="15.75" customHeight="1">
      <c r="A240" s="91"/>
      <c r="B240" s="171"/>
      <c r="C240" s="143"/>
      <c r="D240" s="97"/>
      <c r="E240" s="143"/>
      <c r="F240" s="143"/>
      <c r="G240" s="97"/>
      <c r="H240" s="143"/>
      <c r="I240" s="97"/>
      <c r="J240" s="97"/>
      <c r="K240" s="114"/>
      <c r="L240" s="114"/>
      <c r="M240" s="102"/>
      <c r="N240" s="124"/>
      <c r="O240" s="125"/>
      <c r="P240" s="97"/>
      <c r="Q240" s="131"/>
      <c r="R240" s="126"/>
      <c r="S240" s="97"/>
      <c r="T240" s="97"/>
      <c r="V240" s="108"/>
    </row>
    <row r="241" ht="15.75" customHeight="1">
      <c r="A241" s="91"/>
      <c r="B241" s="171"/>
      <c r="C241" s="108"/>
      <c r="D241" s="97"/>
      <c r="E241" s="143"/>
      <c r="F241" s="143"/>
      <c r="G241" s="97"/>
      <c r="H241" s="143"/>
      <c r="I241" s="97"/>
      <c r="J241" s="97"/>
      <c r="K241" s="101"/>
      <c r="L241" s="101"/>
      <c r="M241" s="102"/>
      <c r="N241" s="124"/>
      <c r="O241" s="125"/>
      <c r="P241" s="97"/>
      <c r="Q241" s="131"/>
      <c r="R241" s="126"/>
      <c r="S241" s="97"/>
      <c r="T241" s="97"/>
      <c r="V241" s="108"/>
    </row>
    <row r="242" ht="15.75" customHeight="1">
      <c r="A242" s="91"/>
      <c r="B242" s="171"/>
      <c r="C242" s="143"/>
      <c r="D242" s="97"/>
      <c r="E242" s="143"/>
      <c r="F242" s="143"/>
      <c r="G242" s="97"/>
      <c r="H242" s="143"/>
      <c r="I242" s="97"/>
      <c r="J242" s="97"/>
      <c r="K242" s="114"/>
      <c r="L242" s="114"/>
      <c r="M242" s="102"/>
      <c r="N242" s="124"/>
      <c r="O242" s="125"/>
      <c r="P242" s="97"/>
      <c r="Q242" s="131"/>
      <c r="R242" s="126"/>
      <c r="S242" s="97"/>
      <c r="T242" s="97"/>
      <c r="V242" s="108"/>
    </row>
    <row r="243" ht="15.75" customHeight="1">
      <c r="A243" s="91"/>
      <c r="B243" s="171"/>
      <c r="C243" s="143"/>
      <c r="D243" s="97"/>
      <c r="E243" s="143"/>
      <c r="F243" s="143"/>
      <c r="G243" s="97"/>
      <c r="H243" s="143"/>
      <c r="I243" s="97"/>
      <c r="J243" s="97"/>
      <c r="K243" s="101"/>
      <c r="L243" s="101"/>
      <c r="M243" s="102"/>
      <c r="N243" s="124"/>
      <c r="O243" s="125"/>
      <c r="P243" s="97"/>
      <c r="Q243" s="131"/>
      <c r="R243" s="126"/>
      <c r="S243" s="97"/>
      <c r="T243" s="97"/>
      <c r="V243" s="108"/>
    </row>
    <row r="244" ht="15.75" customHeight="1">
      <c r="A244" s="91"/>
      <c r="B244" s="171"/>
      <c r="C244" s="143"/>
      <c r="D244" s="97"/>
      <c r="E244" s="143"/>
      <c r="F244" s="143"/>
      <c r="G244" s="97"/>
      <c r="H244" s="143"/>
      <c r="I244" s="97"/>
      <c r="J244" s="97"/>
      <c r="K244" s="148"/>
      <c r="L244" s="148"/>
      <c r="M244" s="102"/>
      <c r="N244" s="124"/>
      <c r="O244" s="125"/>
      <c r="P244" s="97"/>
      <c r="Q244" s="131"/>
      <c r="R244" s="126"/>
      <c r="S244" s="97"/>
      <c r="T244" s="97"/>
      <c r="V244" s="108"/>
    </row>
    <row r="245" ht="15.75" customHeight="1">
      <c r="A245" s="91"/>
      <c r="B245" s="171"/>
      <c r="C245" s="143"/>
      <c r="D245" s="97"/>
      <c r="E245" s="143"/>
      <c r="F245" s="143"/>
      <c r="G245" s="97"/>
      <c r="H245" s="143"/>
      <c r="I245" s="97"/>
      <c r="J245" s="97"/>
      <c r="K245" s="150"/>
      <c r="L245" s="150"/>
      <c r="M245" s="102"/>
      <c r="N245" s="124"/>
      <c r="O245" s="125"/>
      <c r="P245" s="97"/>
      <c r="Q245" s="131"/>
      <c r="R245" s="126"/>
      <c r="S245" s="97"/>
      <c r="T245" s="97"/>
      <c r="V245" s="108"/>
    </row>
    <row r="246" ht="15.75" customHeight="1">
      <c r="A246" s="91"/>
      <c r="B246" s="171"/>
      <c r="C246" s="143"/>
      <c r="D246" s="97"/>
      <c r="E246" s="143"/>
      <c r="F246" s="143"/>
      <c r="G246" s="97"/>
      <c r="H246" s="143"/>
      <c r="I246" s="97"/>
      <c r="J246" s="97"/>
      <c r="K246" s="148"/>
      <c r="L246" s="148"/>
      <c r="M246" s="102"/>
      <c r="N246" s="124"/>
      <c r="O246" s="125"/>
      <c r="P246" s="97"/>
      <c r="Q246" s="131"/>
      <c r="R246" s="126"/>
      <c r="S246" s="97"/>
      <c r="T246" s="97"/>
      <c r="V246" s="108"/>
    </row>
    <row r="247" ht="15.75" customHeight="1">
      <c r="A247" s="91"/>
      <c r="B247" s="171"/>
      <c r="C247" s="108"/>
      <c r="D247" s="97"/>
      <c r="E247" s="143"/>
      <c r="F247" s="143"/>
      <c r="G247" s="97"/>
      <c r="H247" s="143"/>
      <c r="I247" s="97"/>
      <c r="J247" s="97"/>
      <c r="K247" s="150"/>
      <c r="L247" s="150"/>
      <c r="M247" s="102"/>
      <c r="N247" s="124"/>
      <c r="O247" s="125"/>
      <c r="P247" s="97"/>
      <c r="Q247" s="131"/>
      <c r="R247" s="126"/>
      <c r="S247" s="97"/>
      <c r="T247" s="97"/>
      <c r="V247" s="108"/>
    </row>
    <row r="248" ht="15.75" customHeight="1">
      <c r="A248" s="91"/>
      <c r="B248" s="171"/>
      <c r="C248" s="143"/>
      <c r="D248" s="97"/>
      <c r="E248" s="143"/>
      <c r="F248" s="143"/>
      <c r="G248" s="97"/>
      <c r="H248" s="143"/>
      <c r="I248" s="97"/>
      <c r="J248" s="97"/>
      <c r="K248" s="148"/>
      <c r="L248" s="148"/>
      <c r="M248" s="102"/>
      <c r="N248" s="124"/>
      <c r="O248" s="125"/>
      <c r="P248" s="97"/>
      <c r="Q248" s="131"/>
      <c r="R248" s="126"/>
      <c r="S248" s="97"/>
      <c r="T248" s="97"/>
      <c r="V248" s="108"/>
    </row>
    <row r="249" ht="15.75" customHeight="1">
      <c r="A249" s="91"/>
      <c r="B249" s="171"/>
      <c r="C249" s="143"/>
      <c r="D249" s="97"/>
      <c r="E249" s="143"/>
      <c r="F249" s="143"/>
      <c r="G249" s="97"/>
      <c r="H249" s="143"/>
      <c r="I249" s="97"/>
      <c r="J249" s="97"/>
      <c r="K249" s="150"/>
      <c r="L249" s="150"/>
      <c r="M249" s="102"/>
      <c r="N249" s="124"/>
      <c r="O249" s="125"/>
      <c r="P249" s="97"/>
      <c r="Q249" s="131"/>
      <c r="R249" s="126"/>
      <c r="S249" s="97"/>
      <c r="T249" s="97"/>
      <c r="V249" s="108"/>
    </row>
    <row r="250" ht="15.75" customHeight="1">
      <c r="A250" s="91"/>
      <c r="B250" s="171"/>
      <c r="C250" s="143"/>
      <c r="D250" s="97"/>
      <c r="E250" s="143"/>
      <c r="F250" s="143"/>
      <c r="G250" s="97"/>
      <c r="H250" s="143"/>
      <c r="I250" s="97"/>
      <c r="J250" s="97"/>
      <c r="K250" s="148"/>
      <c r="L250" s="148"/>
      <c r="M250" s="102"/>
      <c r="N250" s="124"/>
      <c r="O250" s="125"/>
      <c r="P250" s="97"/>
      <c r="Q250" s="131"/>
      <c r="R250" s="126"/>
      <c r="S250" s="97"/>
      <c r="T250" s="97"/>
      <c r="V250" s="108"/>
    </row>
    <row r="251" ht="15.75" customHeight="1">
      <c r="A251" s="91"/>
      <c r="B251" s="171"/>
      <c r="C251" s="143"/>
      <c r="D251" s="97"/>
      <c r="E251" s="143"/>
      <c r="F251" s="143"/>
      <c r="G251" s="97"/>
      <c r="H251" s="143"/>
      <c r="I251" s="97"/>
      <c r="J251" s="97"/>
      <c r="K251" s="150"/>
      <c r="L251" s="150"/>
      <c r="M251" s="102"/>
      <c r="N251" s="124"/>
      <c r="O251" s="125"/>
      <c r="P251" s="97"/>
      <c r="Q251" s="131"/>
      <c r="R251" s="126"/>
      <c r="S251" s="97"/>
      <c r="T251" s="97"/>
      <c r="V251" s="108"/>
    </row>
    <row r="252" ht="15.75" customHeight="1">
      <c r="A252" s="91"/>
      <c r="B252" s="171"/>
      <c r="C252" s="143"/>
      <c r="D252" s="97"/>
      <c r="E252" s="143"/>
      <c r="F252" s="143"/>
      <c r="G252" s="97"/>
      <c r="H252" s="143"/>
      <c r="I252" s="97"/>
      <c r="J252" s="97"/>
      <c r="K252" s="148"/>
      <c r="L252" s="148"/>
      <c r="M252" s="102"/>
      <c r="N252" s="124"/>
      <c r="O252" s="125"/>
      <c r="P252" s="97"/>
      <c r="Q252" s="131"/>
      <c r="R252" s="126"/>
      <c r="S252" s="97"/>
      <c r="T252" s="97"/>
      <c r="V252" s="108"/>
    </row>
    <row r="253" ht="15.75" customHeight="1">
      <c r="A253" s="91"/>
      <c r="B253" s="171"/>
      <c r="C253" s="108"/>
      <c r="D253" s="97"/>
      <c r="E253" s="143"/>
      <c r="F253" s="143"/>
      <c r="G253" s="97"/>
      <c r="H253" s="143"/>
      <c r="I253" s="97"/>
      <c r="J253" s="97"/>
      <c r="K253" s="150"/>
      <c r="L253" s="150"/>
      <c r="M253" s="102"/>
      <c r="N253" s="124"/>
      <c r="O253" s="125"/>
      <c r="P253" s="97"/>
      <c r="Q253" s="131"/>
      <c r="R253" s="126"/>
      <c r="S253" s="97"/>
      <c r="T253" s="97"/>
      <c r="V253" s="108"/>
    </row>
    <row r="254" ht="15.75" customHeight="1">
      <c r="A254" s="91"/>
      <c r="B254" s="171"/>
      <c r="C254" s="143"/>
      <c r="D254" s="97"/>
      <c r="E254" s="143"/>
      <c r="F254" s="143"/>
      <c r="G254" s="97"/>
      <c r="H254" s="143"/>
      <c r="I254" s="97"/>
      <c r="J254" s="97"/>
      <c r="K254" s="148"/>
      <c r="L254" s="148"/>
      <c r="M254" s="102"/>
      <c r="N254" s="124"/>
      <c r="O254" s="125"/>
      <c r="P254" s="97"/>
      <c r="Q254" s="131"/>
      <c r="R254" s="126"/>
      <c r="S254" s="97"/>
      <c r="T254" s="97"/>
      <c r="V254" s="108"/>
    </row>
    <row r="255" ht="15.75" customHeight="1">
      <c r="A255" s="91"/>
      <c r="B255" s="171"/>
      <c r="C255" s="143"/>
      <c r="D255" s="97"/>
      <c r="E255" s="143"/>
      <c r="F255" s="143"/>
      <c r="G255" s="97"/>
      <c r="H255" s="143"/>
      <c r="I255" s="97"/>
      <c r="J255" s="97"/>
      <c r="K255" s="150"/>
      <c r="L255" s="150"/>
      <c r="M255" s="102"/>
      <c r="N255" s="124"/>
      <c r="O255" s="125"/>
      <c r="P255" s="97"/>
      <c r="Q255" s="131"/>
      <c r="R255" s="126"/>
      <c r="S255" s="97"/>
      <c r="T255" s="97"/>
      <c r="V255" s="108"/>
    </row>
    <row r="256" ht="15.75" customHeight="1">
      <c r="A256" s="91"/>
      <c r="B256" s="171"/>
      <c r="C256" s="143"/>
      <c r="D256" s="97"/>
      <c r="E256" s="143"/>
      <c r="F256" s="143"/>
      <c r="G256" s="97"/>
      <c r="H256" s="143"/>
      <c r="I256" s="97"/>
      <c r="J256" s="97"/>
      <c r="K256" s="148"/>
      <c r="L256" s="148"/>
      <c r="M256" s="102"/>
      <c r="N256" s="124"/>
      <c r="O256" s="125"/>
      <c r="P256" s="97"/>
      <c r="Q256" s="131"/>
      <c r="R256" s="126"/>
      <c r="S256" s="97"/>
      <c r="T256" s="97"/>
      <c r="V256" s="108"/>
    </row>
    <row r="257" ht="15.75" customHeight="1">
      <c r="A257" s="91"/>
      <c r="B257" s="171"/>
      <c r="C257" s="143"/>
      <c r="D257" s="97"/>
      <c r="E257" s="143"/>
      <c r="F257" s="143"/>
      <c r="G257" s="97"/>
      <c r="H257" s="143"/>
      <c r="I257" s="97"/>
      <c r="J257" s="97"/>
      <c r="K257" s="150"/>
      <c r="L257" s="150"/>
      <c r="M257" s="102"/>
      <c r="N257" s="124"/>
      <c r="O257" s="125"/>
      <c r="P257" s="97"/>
      <c r="Q257" s="131"/>
      <c r="R257" s="126"/>
      <c r="S257" s="97"/>
      <c r="T257" s="97"/>
      <c r="V257" s="108"/>
    </row>
    <row r="258" ht="15.75" customHeight="1">
      <c r="A258" s="91"/>
      <c r="B258" s="171"/>
      <c r="C258" s="143"/>
      <c r="D258" s="97"/>
      <c r="E258" s="143"/>
      <c r="F258" s="143"/>
      <c r="G258" s="97"/>
      <c r="H258" s="143"/>
      <c r="I258" s="97"/>
      <c r="J258" s="97"/>
      <c r="K258" s="148"/>
      <c r="L258" s="148"/>
      <c r="M258" s="102"/>
      <c r="N258" s="124"/>
      <c r="O258" s="125"/>
      <c r="P258" s="97"/>
      <c r="Q258" s="131"/>
      <c r="R258" s="126"/>
      <c r="S258" s="97"/>
      <c r="T258" s="97"/>
      <c r="V258" s="108"/>
    </row>
    <row r="259" ht="15.75" customHeight="1">
      <c r="A259" s="91"/>
      <c r="B259" s="171"/>
      <c r="C259" s="108"/>
      <c r="D259" s="97"/>
      <c r="E259" s="143"/>
      <c r="F259" s="143"/>
      <c r="G259" s="97"/>
      <c r="H259" s="143"/>
      <c r="I259" s="97"/>
      <c r="J259" s="97"/>
      <c r="K259" s="150"/>
      <c r="L259" s="150"/>
      <c r="M259" s="102"/>
      <c r="N259" s="124"/>
      <c r="O259" s="125"/>
      <c r="P259" s="97"/>
      <c r="Q259" s="131"/>
      <c r="R259" s="126"/>
      <c r="S259" s="97"/>
      <c r="T259" s="97"/>
      <c r="V259" s="108"/>
    </row>
    <row r="260" ht="15.75" customHeight="1">
      <c r="A260" s="91"/>
      <c r="B260" s="171"/>
      <c r="C260" s="143"/>
      <c r="D260" s="97"/>
      <c r="E260" s="143"/>
      <c r="F260" s="143"/>
      <c r="G260" s="97"/>
      <c r="H260" s="143"/>
      <c r="I260" s="97"/>
      <c r="J260" s="97"/>
      <c r="K260" s="148"/>
      <c r="L260" s="148"/>
      <c r="M260" s="102"/>
      <c r="N260" s="124"/>
      <c r="O260" s="125"/>
      <c r="P260" s="97"/>
      <c r="Q260" s="131"/>
      <c r="R260" s="126"/>
      <c r="S260" s="97"/>
      <c r="T260" s="97"/>
      <c r="V260" s="108"/>
    </row>
    <row r="261" ht="15.75" customHeight="1">
      <c r="A261" s="91"/>
      <c r="B261" s="171"/>
      <c r="C261" s="143"/>
      <c r="D261" s="97"/>
      <c r="E261" s="143"/>
      <c r="F261" s="143"/>
      <c r="G261" s="97"/>
      <c r="H261" s="143"/>
      <c r="I261" s="97"/>
      <c r="J261" s="97"/>
      <c r="K261" s="150"/>
      <c r="L261" s="150"/>
      <c r="M261" s="102"/>
      <c r="N261" s="124"/>
      <c r="O261" s="125"/>
      <c r="P261" s="97"/>
      <c r="Q261" s="131"/>
      <c r="R261" s="126"/>
      <c r="S261" s="97"/>
      <c r="T261" s="97"/>
      <c r="V261" s="108"/>
    </row>
    <row r="262" ht="15.75" customHeight="1">
      <c r="A262" s="91"/>
      <c r="B262" s="171"/>
      <c r="C262" s="143"/>
      <c r="D262" s="97"/>
      <c r="E262" s="143"/>
      <c r="F262" s="143"/>
      <c r="G262" s="97"/>
      <c r="H262" s="143"/>
      <c r="I262" s="97"/>
      <c r="J262" s="97"/>
      <c r="K262" s="148"/>
      <c r="L262" s="148"/>
      <c r="M262" s="102"/>
      <c r="N262" s="124"/>
      <c r="O262" s="125"/>
      <c r="P262" s="97"/>
      <c r="Q262" s="131"/>
      <c r="R262" s="126"/>
      <c r="S262" s="97"/>
      <c r="T262" s="97"/>
      <c r="V262" s="108"/>
    </row>
    <row r="263" ht="15.75" customHeight="1">
      <c r="A263" s="91"/>
      <c r="B263" s="171"/>
      <c r="C263" s="143"/>
      <c r="D263" s="97"/>
      <c r="E263" s="143"/>
      <c r="F263" s="143"/>
      <c r="G263" s="97"/>
      <c r="H263" s="143"/>
      <c r="I263" s="97"/>
      <c r="J263" s="97"/>
      <c r="K263" s="150"/>
      <c r="L263" s="150"/>
      <c r="M263" s="102"/>
      <c r="N263" s="124"/>
      <c r="O263" s="125"/>
      <c r="P263" s="97"/>
      <c r="Q263" s="131"/>
      <c r="R263" s="126"/>
      <c r="S263" s="97"/>
      <c r="T263" s="97"/>
      <c r="V263" s="108"/>
    </row>
    <row r="264" ht="15.75" customHeight="1">
      <c r="A264" s="91"/>
      <c r="B264" s="171"/>
      <c r="C264" s="143"/>
      <c r="D264" s="97"/>
      <c r="E264" s="143"/>
      <c r="F264" s="143"/>
      <c r="G264" s="97"/>
      <c r="H264" s="143"/>
      <c r="I264" s="97"/>
      <c r="J264" s="97"/>
      <c r="K264" s="148"/>
      <c r="L264" s="148"/>
      <c r="M264" s="102"/>
      <c r="N264" s="124"/>
      <c r="O264" s="125"/>
      <c r="P264" s="97"/>
      <c r="Q264" s="131"/>
      <c r="R264" s="126"/>
      <c r="S264" s="97"/>
      <c r="T264" s="97"/>
      <c r="V264" s="108"/>
    </row>
    <row r="265" ht="15.75" customHeight="1">
      <c r="A265" s="91"/>
      <c r="B265" s="171"/>
      <c r="C265" s="108"/>
      <c r="D265" s="97"/>
      <c r="E265" s="143"/>
      <c r="F265" s="143"/>
      <c r="G265" s="97"/>
      <c r="H265" s="143"/>
      <c r="I265" s="97"/>
      <c r="J265" s="97"/>
      <c r="K265" s="150"/>
      <c r="L265" s="150"/>
      <c r="M265" s="102"/>
      <c r="N265" s="124"/>
      <c r="O265" s="125"/>
      <c r="P265" s="97"/>
      <c r="Q265" s="131"/>
      <c r="R265" s="126"/>
      <c r="S265" s="97"/>
      <c r="T265" s="97"/>
      <c r="V265" s="108"/>
    </row>
    <row r="266" ht="15.75" customHeight="1">
      <c r="A266" s="91"/>
      <c r="B266" s="171"/>
      <c r="C266" s="143"/>
      <c r="D266" s="97"/>
      <c r="E266" s="143"/>
      <c r="F266" s="143"/>
      <c r="G266" s="97"/>
      <c r="H266" s="143"/>
      <c r="I266" s="97"/>
      <c r="J266" s="97"/>
      <c r="K266" s="148"/>
      <c r="L266" s="148"/>
      <c r="M266" s="102"/>
      <c r="N266" s="124"/>
      <c r="O266" s="125"/>
      <c r="P266" s="97"/>
      <c r="Q266" s="131"/>
      <c r="R266" s="126"/>
      <c r="S266" s="97"/>
      <c r="T266" s="97"/>
      <c r="V266" s="108"/>
    </row>
    <row r="267" ht="15.75" customHeight="1">
      <c r="A267" s="91"/>
      <c r="B267" s="171"/>
      <c r="C267" s="143"/>
      <c r="D267" s="97"/>
      <c r="E267" s="143"/>
      <c r="F267" s="143"/>
      <c r="G267" s="97"/>
      <c r="H267" s="143"/>
      <c r="I267" s="97"/>
      <c r="J267" s="97"/>
      <c r="K267" s="150"/>
      <c r="L267" s="150"/>
      <c r="M267" s="102"/>
      <c r="N267" s="124"/>
      <c r="O267" s="125"/>
      <c r="P267" s="97"/>
      <c r="Q267" s="131"/>
      <c r="R267" s="126"/>
      <c r="S267" s="97"/>
      <c r="T267" s="97"/>
      <c r="V267" s="108"/>
    </row>
    <row r="268" ht="15.75" customHeight="1">
      <c r="A268" s="91"/>
      <c r="B268" s="171"/>
      <c r="C268" s="143"/>
      <c r="D268" s="97"/>
      <c r="E268" s="143"/>
      <c r="F268" s="143"/>
      <c r="G268" s="97"/>
      <c r="H268" s="143"/>
      <c r="I268" s="97"/>
      <c r="J268" s="97"/>
      <c r="K268" s="148"/>
      <c r="L268" s="148"/>
      <c r="M268" s="102"/>
      <c r="N268" s="124"/>
      <c r="O268" s="125"/>
      <c r="P268" s="97"/>
      <c r="Q268" s="131"/>
      <c r="R268" s="126"/>
      <c r="S268" s="97"/>
      <c r="T268" s="97"/>
      <c r="V268" s="108"/>
    </row>
    <row r="269" ht="15.75" customHeight="1">
      <c r="A269" s="91"/>
      <c r="B269" s="171"/>
      <c r="C269" s="143"/>
      <c r="D269" s="97"/>
      <c r="E269" s="143"/>
      <c r="F269" s="143"/>
      <c r="G269" s="97"/>
      <c r="H269" s="143"/>
      <c r="I269" s="97"/>
      <c r="J269" s="97"/>
      <c r="K269" s="150"/>
      <c r="L269" s="150"/>
      <c r="M269" s="102"/>
      <c r="N269" s="124"/>
      <c r="O269" s="125"/>
      <c r="P269" s="97"/>
      <c r="Q269" s="131"/>
      <c r="R269" s="126"/>
      <c r="S269" s="97"/>
      <c r="T269" s="97"/>
      <c r="V269" s="108"/>
    </row>
    <row r="270" ht="15.75" customHeight="1">
      <c r="A270" s="91"/>
      <c r="B270" s="171"/>
      <c r="C270" s="143"/>
      <c r="D270" s="97"/>
      <c r="E270" s="143"/>
      <c r="F270" s="143"/>
      <c r="G270" s="97"/>
      <c r="H270" s="143"/>
      <c r="I270" s="97"/>
      <c r="J270" s="97"/>
      <c r="K270" s="148"/>
      <c r="L270" s="148"/>
      <c r="M270" s="102"/>
      <c r="N270" s="124"/>
      <c r="O270" s="125"/>
      <c r="P270" s="97"/>
      <c r="Q270" s="131"/>
      <c r="R270" s="126"/>
      <c r="S270" s="97"/>
      <c r="T270" s="97"/>
      <c r="V270" s="108"/>
    </row>
    <row r="271" ht="15.75" customHeight="1">
      <c r="A271" s="91"/>
      <c r="B271" s="171"/>
      <c r="C271" s="108"/>
      <c r="D271" s="97"/>
      <c r="E271" s="143"/>
      <c r="F271" s="143"/>
      <c r="G271" s="97"/>
      <c r="H271" s="143"/>
      <c r="I271" s="97"/>
      <c r="J271" s="97"/>
      <c r="K271" s="150"/>
      <c r="L271" s="150"/>
      <c r="M271" s="102"/>
      <c r="N271" s="124"/>
      <c r="O271" s="125"/>
      <c r="P271" s="97"/>
      <c r="Q271" s="131"/>
      <c r="R271" s="126"/>
      <c r="S271" s="97"/>
      <c r="T271" s="97"/>
      <c r="V271" s="108"/>
    </row>
    <row r="272" ht="15.75" customHeight="1">
      <c r="A272" s="91"/>
      <c r="B272" s="171"/>
      <c r="C272" s="143"/>
      <c r="D272" s="97"/>
      <c r="E272" s="143"/>
      <c r="F272" s="143"/>
      <c r="G272" s="97"/>
      <c r="H272" s="143"/>
      <c r="I272" s="97"/>
      <c r="J272" s="97"/>
      <c r="K272" s="148"/>
      <c r="L272" s="148"/>
      <c r="M272" s="102"/>
      <c r="N272" s="124"/>
      <c r="O272" s="125"/>
      <c r="P272" s="97"/>
      <c r="Q272" s="131"/>
      <c r="R272" s="126"/>
      <c r="S272" s="97"/>
      <c r="T272" s="97"/>
      <c r="V272" s="108"/>
    </row>
    <row r="273" ht="15.75" customHeight="1">
      <c r="A273" s="91"/>
      <c r="B273" s="171"/>
      <c r="C273" s="143"/>
      <c r="D273" s="97"/>
      <c r="E273" s="143"/>
      <c r="F273" s="143"/>
      <c r="G273" s="97"/>
      <c r="H273" s="143"/>
      <c r="I273" s="97"/>
      <c r="J273" s="97"/>
      <c r="K273" s="150"/>
      <c r="L273" s="150"/>
      <c r="M273" s="102"/>
      <c r="N273" s="124"/>
      <c r="O273" s="125"/>
      <c r="P273" s="97"/>
      <c r="Q273" s="131"/>
      <c r="R273" s="126"/>
      <c r="S273" s="97"/>
      <c r="T273" s="97"/>
      <c r="V273" s="108"/>
    </row>
    <row r="274" ht="15.75" customHeight="1">
      <c r="A274" s="91"/>
      <c r="B274" s="171"/>
      <c r="C274" s="143"/>
      <c r="D274" s="97"/>
      <c r="E274" s="143"/>
      <c r="F274" s="143"/>
      <c r="G274" s="97"/>
      <c r="H274" s="143"/>
      <c r="I274" s="97"/>
      <c r="J274" s="97"/>
      <c r="K274" s="148"/>
      <c r="L274" s="148"/>
      <c r="M274" s="102"/>
      <c r="N274" s="124"/>
      <c r="O274" s="125"/>
      <c r="P274" s="97"/>
      <c r="Q274" s="131"/>
      <c r="R274" s="126"/>
      <c r="S274" s="97"/>
      <c r="T274" s="97"/>
      <c r="V274" s="108"/>
    </row>
    <row r="275" ht="15.75" customHeight="1">
      <c r="A275" s="91"/>
      <c r="B275" s="171"/>
      <c r="C275" s="143"/>
      <c r="D275" s="97"/>
      <c r="E275" s="143"/>
      <c r="F275" s="143"/>
      <c r="G275" s="97"/>
      <c r="H275" s="143"/>
      <c r="I275" s="97"/>
      <c r="J275" s="97"/>
      <c r="K275" s="150"/>
      <c r="L275" s="150"/>
      <c r="M275" s="102"/>
      <c r="N275" s="124"/>
      <c r="O275" s="125"/>
      <c r="P275" s="97"/>
      <c r="Q275" s="131"/>
      <c r="R275" s="126"/>
      <c r="S275" s="97"/>
      <c r="T275" s="97"/>
      <c r="V275" s="108"/>
    </row>
    <row r="276" ht="15.75" customHeight="1">
      <c r="A276" s="91"/>
      <c r="B276" s="171"/>
      <c r="C276" s="143"/>
      <c r="D276" s="97"/>
      <c r="E276" s="143"/>
      <c r="F276" s="143"/>
      <c r="G276" s="97"/>
      <c r="H276" s="143"/>
      <c r="I276" s="97"/>
      <c r="J276" s="97"/>
      <c r="K276" s="148"/>
      <c r="L276" s="148"/>
      <c r="M276" s="102"/>
      <c r="N276" s="124"/>
      <c r="O276" s="125"/>
      <c r="P276" s="97"/>
      <c r="Q276" s="131"/>
      <c r="R276" s="126"/>
      <c r="S276" s="97"/>
      <c r="T276" s="97"/>
      <c r="V276" s="108"/>
    </row>
    <row r="277" ht="15.75" customHeight="1">
      <c r="A277" s="91"/>
      <c r="B277" s="171"/>
      <c r="C277" s="108"/>
      <c r="D277" s="97"/>
      <c r="E277" s="143"/>
      <c r="F277" s="143"/>
      <c r="G277" s="97"/>
      <c r="H277" s="143"/>
      <c r="I277" s="97"/>
      <c r="J277" s="97"/>
      <c r="K277" s="150"/>
      <c r="L277" s="150"/>
      <c r="M277" s="102"/>
      <c r="N277" s="124"/>
      <c r="O277" s="125"/>
      <c r="P277" s="97"/>
      <c r="Q277" s="131"/>
      <c r="R277" s="126"/>
      <c r="S277" s="97"/>
      <c r="T277" s="97"/>
      <c r="V277" s="108"/>
    </row>
    <row r="278" ht="15.75" customHeight="1">
      <c r="A278" s="91"/>
      <c r="B278" s="171"/>
      <c r="C278" s="143"/>
      <c r="D278" s="97"/>
      <c r="E278" s="143"/>
      <c r="F278" s="143"/>
      <c r="G278" s="97"/>
      <c r="H278" s="143"/>
      <c r="I278" s="97"/>
      <c r="J278" s="97"/>
      <c r="K278" s="148"/>
      <c r="L278" s="148"/>
      <c r="M278" s="102"/>
      <c r="N278" s="124"/>
      <c r="O278" s="125"/>
      <c r="P278" s="97"/>
      <c r="Q278" s="131"/>
      <c r="R278" s="126"/>
      <c r="S278" s="97"/>
      <c r="T278" s="97"/>
      <c r="V278" s="108"/>
    </row>
    <row r="279" ht="15.75" customHeight="1">
      <c r="A279" s="91"/>
      <c r="B279" s="171"/>
      <c r="C279" s="143"/>
      <c r="D279" s="97"/>
      <c r="E279" s="143"/>
      <c r="F279" s="143"/>
      <c r="G279" s="97"/>
      <c r="H279" s="143"/>
      <c r="I279" s="97"/>
      <c r="J279" s="97"/>
      <c r="K279" s="150"/>
      <c r="L279" s="150"/>
      <c r="M279" s="102"/>
      <c r="N279" s="124"/>
      <c r="O279" s="125"/>
      <c r="P279" s="97"/>
      <c r="Q279" s="131"/>
      <c r="R279" s="126"/>
      <c r="S279" s="97"/>
      <c r="T279" s="97"/>
      <c r="V279" s="108"/>
    </row>
    <row r="280" ht="15.75" customHeight="1">
      <c r="A280" s="91"/>
      <c r="B280" s="171"/>
      <c r="C280" s="143"/>
      <c r="D280" s="97"/>
      <c r="E280" s="143"/>
      <c r="F280" s="143"/>
      <c r="G280" s="97"/>
      <c r="H280" s="143"/>
      <c r="I280" s="97"/>
      <c r="J280" s="97"/>
      <c r="K280" s="148"/>
      <c r="L280" s="148"/>
      <c r="M280" s="102"/>
      <c r="N280" s="124"/>
      <c r="O280" s="125"/>
      <c r="P280" s="97"/>
      <c r="Q280" s="131"/>
      <c r="R280" s="126"/>
      <c r="S280" s="97"/>
      <c r="T280" s="97"/>
      <c r="V280" s="108"/>
    </row>
    <row r="281" ht="15.75" customHeight="1">
      <c r="A281" s="91"/>
      <c r="B281" s="171"/>
      <c r="C281" s="143"/>
      <c r="D281" s="97"/>
      <c r="E281" s="143"/>
      <c r="F281" s="143"/>
      <c r="G281" s="97"/>
      <c r="H281" s="143"/>
      <c r="I281" s="97"/>
      <c r="J281" s="97"/>
      <c r="K281" s="150"/>
      <c r="L281" s="150"/>
      <c r="M281" s="102"/>
      <c r="N281" s="124"/>
      <c r="O281" s="125"/>
      <c r="P281" s="97"/>
      <c r="Q281" s="131"/>
      <c r="R281" s="126"/>
      <c r="S281" s="97"/>
      <c r="T281" s="97"/>
      <c r="V281" s="108"/>
    </row>
    <row r="282" ht="15.75" customHeight="1">
      <c r="A282" s="91"/>
      <c r="B282" s="171"/>
      <c r="C282" s="143"/>
      <c r="D282" s="97"/>
      <c r="E282" s="143"/>
      <c r="F282" s="143"/>
      <c r="G282" s="97"/>
      <c r="H282" s="143"/>
      <c r="I282" s="97"/>
      <c r="J282" s="97"/>
      <c r="K282" s="148"/>
      <c r="L282" s="148"/>
      <c r="M282" s="102"/>
      <c r="N282" s="124"/>
      <c r="O282" s="125"/>
      <c r="P282" s="97"/>
      <c r="Q282" s="131"/>
      <c r="R282" s="126"/>
      <c r="S282" s="97"/>
      <c r="T282" s="97"/>
      <c r="V282" s="108"/>
    </row>
    <row r="283" ht="15.75" customHeight="1">
      <c r="A283" s="91"/>
      <c r="B283" s="171"/>
      <c r="C283" s="108"/>
      <c r="D283" s="97"/>
      <c r="E283" s="143"/>
      <c r="F283" s="143"/>
      <c r="G283" s="97"/>
      <c r="H283" s="143"/>
      <c r="I283" s="97"/>
      <c r="J283" s="97"/>
      <c r="K283" s="150"/>
      <c r="L283" s="150"/>
      <c r="M283" s="102"/>
      <c r="N283" s="124"/>
      <c r="O283" s="125"/>
      <c r="P283" s="97"/>
      <c r="Q283" s="131"/>
      <c r="R283" s="126"/>
      <c r="S283" s="97"/>
      <c r="T283" s="97"/>
      <c r="V283" s="108"/>
    </row>
    <row r="284" ht="15.75" customHeight="1">
      <c r="A284" s="91"/>
      <c r="B284" s="171"/>
      <c r="C284" s="143"/>
      <c r="D284" s="97"/>
      <c r="E284" s="143"/>
      <c r="F284" s="143"/>
      <c r="G284" s="97"/>
      <c r="H284" s="143"/>
      <c r="I284" s="97"/>
      <c r="J284" s="97"/>
      <c r="K284" s="148"/>
      <c r="L284" s="148"/>
      <c r="M284" s="102"/>
      <c r="N284" s="124"/>
      <c r="O284" s="125"/>
      <c r="P284" s="97"/>
      <c r="Q284" s="131"/>
      <c r="R284" s="126"/>
      <c r="S284" s="97"/>
      <c r="T284" s="97"/>
      <c r="V284" s="108"/>
    </row>
    <row r="285" ht="15.75" customHeight="1">
      <c r="A285" s="91"/>
      <c r="B285" s="171"/>
      <c r="C285" s="143"/>
      <c r="D285" s="97"/>
      <c r="E285" s="143"/>
      <c r="F285" s="143"/>
      <c r="G285" s="97"/>
      <c r="H285" s="143"/>
      <c r="I285" s="97"/>
      <c r="J285" s="97"/>
      <c r="K285" s="150"/>
      <c r="L285" s="150"/>
      <c r="M285" s="102"/>
      <c r="N285" s="124"/>
      <c r="O285" s="125"/>
      <c r="P285" s="97"/>
      <c r="Q285" s="131"/>
      <c r="R285" s="126"/>
      <c r="S285" s="97"/>
      <c r="T285" s="97"/>
      <c r="V285" s="108"/>
    </row>
    <row r="286" ht="15.75" customHeight="1">
      <c r="A286" s="91"/>
      <c r="B286" s="171"/>
      <c r="C286" s="143"/>
      <c r="D286" s="97"/>
      <c r="E286" s="143"/>
      <c r="F286" s="143"/>
      <c r="G286" s="97"/>
      <c r="H286" s="143"/>
      <c r="I286" s="97"/>
      <c r="J286" s="97"/>
      <c r="K286" s="148"/>
      <c r="L286" s="148"/>
      <c r="M286" s="102"/>
      <c r="N286" s="124"/>
      <c r="O286" s="125"/>
      <c r="P286" s="97"/>
      <c r="Q286" s="131"/>
      <c r="R286" s="126"/>
      <c r="S286" s="97"/>
      <c r="T286" s="97"/>
      <c r="V286" s="108"/>
    </row>
    <row r="287" ht="15.75" customHeight="1">
      <c r="A287" s="91"/>
      <c r="B287" s="171"/>
      <c r="C287" s="143"/>
      <c r="D287" s="97"/>
      <c r="E287" s="143"/>
      <c r="F287" s="143"/>
      <c r="G287" s="97"/>
      <c r="H287" s="143"/>
      <c r="I287" s="97"/>
      <c r="J287" s="97"/>
      <c r="K287" s="150"/>
      <c r="L287" s="150"/>
      <c r="M287" s="102"/>
      <c r="N287" s="124"/>
      <c r="O287" s="125"/>
      <c r="P287" s="97"/>
      <c r="Q287" s="131"/>
      <c r="R287" s="126"/>
      <c r="S287" s="97"/>
      <c r="T287" s="97"/>
      <c r="V287" s="108"/>
    </row>
    <row r="288" ht="15.75" customHeight="1">
      <c r="A288" s="91"/>
      <c r="B288" s="171"/>
      <c r="C288" s="143"/>
      <c r="D288" s="97"/>
      <c r="E288" s="143"/>
      <c r="F288" s="143"/>
      <c r="G288" s="97"/>
      <c r="H288" s="143"/>
      <c r="I288" s="97"/>
      <c r="J288" s="97"/>
      <c r="K288" s="148"/>
      <c r="L288" s="148"/>
      <c r="M288" s="102"/>
      <c r="N288" s="124"/>
      <c r="O288" s="125"/>
      <c r="P288" s="97"/>
      <c r="Q288" s="131"/>
      <c r="R288" s="126"/>
      <c r="S288" s="97"/>
      <c r="T288" s="97"/>
      <c r="V288" s="108"/>
    </row>
    <row r="289" ht="15.75" customHeight="1">
      <c r="A289" s="91"/>
      <c r="B289" s="171"/>
      <c r="C289" s="108"/>
      <c r="D289" s="97"/>
      <c r="E289" s="143"/>
      <c r="F289" s="143"/>
      <c r="G289" s="97"/>
      <c r="H289" s="143"/>
      <c r="I289" s="97"/>
      <c r="J289" s="97"/>
      <c r="K289" s="150"/>
      <c r="L289" s="150"/>
      <c r="M289" s="102"/>
      <c r="N289" s="124"/>
      <c r="O289" s="125"/>
      <c r="P289" s="97"/>
      <c r="Q289" s="131"/>
      <c r="R289" s="126"/>
      <c r="S289" s="97"/>
      <c r="T289" s="97"/>
      <c r="V289" s="108"/>
    </row>
    <row r="290" ht="15.75" customHeight="1">
      <c r="A290" s="91"/>
      <c r="B290" s="171"/>
      <c r="C290" s="143"/>
      <c r="D290" s="97"/>
      <c r="E290" s="143"/>
      <c r="F290" s="143"/>
      <c r="G290" s="97"/>
      <c r="H290" s="143"/>
      <c r="I290" s="97"/>
      <c r="J290" s="97"/>
      <c r="K290" s="148"/>
      <c r="L290" s="148"/>
      <c r="M290" s="102"/>
      <c r="N290" s="124"/>
      <c r="O290" s="125"/>
      <c r="P290" s="97"/>
      <c r="Q290" s="131"/>
      <c r="R290" s="126"/>
      <c r="S290" s="97"/>
      <c r="T290" s="97"/>
      <c r="V290" s="108"/>
    </row>
    <row r="291" ht="15.75" customHeight="1">
      <c r="A291" s="91"/>
      <c r="B291" s="171"/>
      <c r="C291" s="143"/>
      <c r="D291" s="97"/>
      <c r="E291" s="143"/>
      <c r="F291" s="143"/>
      <c r="G291" s="97"/>
      <c r="H291" s="143"/>
      <c r="I291" s="97"/>
      <c r="J291" s="97"/>
      <c r="K291" s="150"/>
      <c r="L291" s="150"/>
      <c r="M291" s="102"/>
      <c r="N291" s="124"/>
      <c r="O291" s="125"/>
      <c r="P291" s="97"/>
      <c r="Q291" s="131"/>
      <c r="R291" s="126"/>
      <c r="S291" s="97"/>
      <c r="T291" s="97"/>
      <c r="V291" s="108"/>
    </row>
    <row r="292" ht="15.75" customHeight="1">
      <c r="A292" s="91"/>
      <c r="B292" s="171"/>
      <c r="C292" s="143"/>
      <c r="D292" s="97"/>
      <c r="E292" s="143"/>
      <c r="F292" s="143"/>
      <c r="G292" s="97"/>
      <c r="H292" s="143"/>
      <c r="I292" s="97"/>
      <c r="J292" s="97"/>
      <c r="K292" s="148"/>
      <c r="L292" s="148"/>
      <c r="M292" s="102"/>
      <c r="N292" s="124"/>
      <c r="O292" s="125"/>
      <c r="P292" s="97"/>
      <c r="Q292" s="131"/>
      <c r="R292" s="126"/>
      <c r="S292" s="97"/>
      <c r="T292" s="97"/>
      <c r="V292" s="108"/>
    </row>
    <row r="293" ht="15.75" customHeight="1">
      <c r="A293" s="91"/>
      <c r="B293" s="171"/>
      <c r="C293" s="143"/>
      <c r="D293" s="97"/>
      <c r="E293" s="143"/>
      <c r="F293" s="143"/>
      <c r="G293" s="97"/>
      <c r="H293" s="143"/>
      <c r="I293" s="97"/>
      <c r="J293" s="97"/>
      <c r="K293" s="150"/>
      <c r="L293" s="150"/>
      <c r="M293" s="102"/>
      <c r="N293" s="124"/>
      <c r="O293" s="125"/>
      <c r="P293" s="97"/>
      <c r="Q293" s="131"/>
      <c r="R293" s="126"/>
      <c r="S293" s="97"/>
      <c r="T293" s="97"/>
      <c r="V293" s="108"/>
    </row>
    <row r="294" ht="15.75" customHeight="1">
      <c r="A294" s="91"/>
      <c r="B294" s="171"/>
      <c r="C294" s="143"/>
      <c r="D294" s="97"/>
      <c r="E294" s="143"/>
      <c r="F294" s="143"/>
      <c r="G294" s="97"/>
      <c r="H294" s="143"/>
      <c r="I294" s="97"/>
      <c r="J294" s="97"/>
      <c r="K294" s="148"/>
      <c r="L294" s="148"/>
      <c r="M294" s="102"/>
      <c r="N294" s="124"/>
      <c r="O294" s="125"/>
      <c r="P294" s="97"/>
      <c r="Q294" s="131"/>
      <c r="R294" s="126"/>
      <c r="S294" s="97"/>
      <c r="T294" s="97"/>
      <c r="V294" s="108"/>
    </row>
    <row r="295" ht="15.75" customHeight="1">
      <c r="A295" s="91"/>
      <c r="B295" s="171"/>
      <c r="C295" s="108"/>
      <c r="D295" s="97"/>
      <c r="E295" s="143"/>
      <c r="F295" s="143"/>
      <c r="G295" s="97"/>
      <c r="H295" s="143"/>
      <c r="I295" s="97"/>
      <c r="J295" s="97"/>
      <c r="K295" s="150"/>
      <c r="L295" s="150"/>
      <c r="M295" s="102"/>
      <c r="N295" s="124"/>
      <c r="O295" s="125"/>
      <c r="P295" s="97"/>
      <c r="Q295" s="131"/>
      <c r="R295" s="126"/>
      <c r="S295" s="97"/>
      <c r="T295" s="97"/>
      <c r="V295" s="108"/>
    </row>
    <row r="296" ht="15.75" customHeight="1">
      <c r="A296" s="91"/>
      <c r="B296" s="171"/>
      <c r="C296" s="143"/>
      <c r="D296" s="97"/>
      <c r="E296" s="143"/>
      <c r="F296" s="143"/>
      <c r="G296" s="97"/>
      <c r="H296" s="143"/>
      <c r="I296" s="97"/>
      <c r="J296" s="97"/>
      <c r="K296" s="148"/>
      <c r="L296" s="148"/>
      <c r="M296" s="102"/>
      <c r="N296" s="124"/>
      <c r="O296" s="125"/>
      <c r="P296" s="97"/>
      <c r="Q296" s="131"/>
      <c r="R296" s="126"/>
      <c r="S296" s="97"/>
      <c r="T296" s="97"/>
      <c r="V296" s="108"/>
    </row>
    <row r="297" ht="15.75" customHeight="1">
      <c r="A297" s="91"/>
      <c r="B297" s="171"/>
      <c r="C297" s="143"/>
      <c r="D297" s="97"/>
      <c r="E297" s="143"/>
      <c r="F297" s="143"/>
      <c r="G297" s="97"/>
      <c r="H297" s="143"/>
      <c r="I297" s="97"/>
      <c r="J297" s="97"/>
      <c r="K297" s="150"/>
      <c r="L297" s="150"/>
      <c r="M297" s="102"/>
      <c r="N297" s="124"/>
      <c r="O297" s="125"/>
      <c r="P297" s="97"/>
      <c r="Q297" s="131"/>
      <c r="R297" s="126"/>
      <c r="S297" s="97"/>
      <c r="T297" s="97"/>
      <c r="V297" s="108"/>
    </row>
    <row r="298" ht="15.75" customHeight="1">
      <c r="A298" s="91"/>
      <c r="B298" s="171"/>
      <c r="C298" s="143"/>
      <c r="D298" s="97"/>
      <c r="E298" s="143"/>
      <c r="F298" s="143"/>
      <c r="G298" s="97"/>
      <c r="H298" s="143"/>
      <c r="I298" s="97"/>
      <c r="J298" s="97"/>
      <c r="K298" s="148"/>
      <c r="L298" s="148"/>
      <c r="M298" s="102"/>
      <c r="N298" s="124"/>
      <c r="O298" s="125"/>
      <c r="P298" s="97"/>
      <c r="Q298" s="131"/>
      <c r="R298" s="126"/>
      <c r="S298" s="97"/>
      <c r="T298" s="97"/>
      <c r="V298" s="108"/>
    </row>
    <row r="299" ht="15.75" customHeight="1">
      <c r="A299" s="91"/>
      <c r="B299" s="171"/>
      <c r="C299" s="143"/>
      <c r="D299" s="97"/>
      <c r="E299" s="143"/>
      <c r="F299" s="143"/>
      <c r="G299" s="97"/>
      <c r="H299" s="143"/>
      <c r="I299" s="97"/>
      <c r="J299" s="97"/>
      <c r="K299" s="150"/>
      <c r="L299" s="150"/>
      <c r="M299" s="102"/>
      <c r="N299" s="124"/>
      <c r="O299" s="125"/>
      <c r="P299" s="97"/>
      <c r="Q299" s="131"/>
      <c r="R299" s="126"/>
      <c r="S299" s="97"/>
      <c r="T299" s="97"/>
      <c r="V299" s="108"/>
    </row>
    <row r="300" ht="15.75" customHeight="1">
      <c r="A300" s="91"/>
      <c r="B300" s="171"/>
      <c r="C300" s="143"/>
      <c r="D300" s="97"/>
      <c r="E300" s="143"/>
      <c r="F300" s="143"/>
      <c r="G300" s="97"/>
      <c r="H300" s="143"/>
      <c r="I300" s="97"/>
      <c r="J300" s="97"/>
      <c r="K300" s="148"/>
      <c r="L300" s="148"/>
      <c r="M300" s="102"/>
      <c r="N300" s="124"/>
      <c r="O300" s="125"/>
      <c r="P300" s="97"/>
      <c r="Q300" s="131"/>
      <c r="R300" s="126"/>
      <c r="S300" s="97"/>
      <c r="T300" s="97"/>
      <c r="V300" s="108"/>
    </row>
    <row r="301" ht="15.75" customHeight="1">
      <c r="A301" s="91"/>
      <c r="B301" s="171"/>
      <c r="C301" s="108"/>
      <c r="D301" s="97"/>
      <c r="E301" s="143"/>
      <c r="F301" s="143"/>
      <c r="G301" s="97"/>
      <c r="H301" s="143"/>
      <c r="I301" s="97"/>
      <c r="J301" s="97"/>
      <c r="K301" s="150"/>
      <c r="L301" s="150"/>
      <c r="M301" s="102"/>
      <c r="N301" s="124"/>
      <c r="O301" s="125"/>
      <c r="P301" s="97"/>
      <c r="Q301" s="131"/>
      <c r="R301" s="126"/>
      <c r="S301" s="97"/>
      <c r="T301" s="97"/>
      <c r="V301" s="108"/>
    </row>
    <row r="302" ht="15.75" customHeight="1">
      <c r="A302" s="91"/>
      <c r="B302" s="171"/>
      <c r="C302" s="143"/>
      <c r="D302" s="97"/>
      <c r="E302" s="143"/>
      <c r="F302" s="143"/>
      <c r="G302" s="97"/>
      <c r="H302" s="143"/>
      <c r="I302" s="97"/>
      <c r="J302" s="97"/>
      <c r="K302" s="148"/>
      <c r="L302" s="148"/>
      <c r="M302" s="102"/>
      <c r="N302" s="124"/>
      <c r="O302" s="125"/>
      <c r="P302" s="97"/>
      <c r="Q302" s="131"/>
      <c r="R302" s="126"/>
      <c r="S302" s="97"/>
      <c r="T302" s="97"/>
      <c r="V302" s="108"/>
    </row>
    <row r="303" ht="15.75" customHeight="1">
      <c r="A303" s="91"/>
      <c r="B303" s="171"/>
      <c r="C303" s="143"/>
      <c r="D303" s="97"/>
      <c r="E303" s="143"/>
      <c r="F303" s="143"/>
      <c r="G303" s="97"/>
      <c r="H303" s="143"/>
      <c r="I303" s="97"/>
      <c r="J303" s="97"/>
      <c r="K303" s="150"/>
      <c r="L303" s="150"/>
      <c r="M303" s="102"/>
      <c r="N303" s="124"/>
      <c r="O303" s="125"/>
      <c r="P303" s="97"/>
      <c r="Q303" s="131"/>
      <c r="R303" s="126"/>
      <c r="S303" s="97"/>
      <c r="T303" s="97"/>
      <c r="V303" s="108"/>
    </row>
    <row r="304" ht="15.75" customHeight="1">
      <c r="A304" s="91"/>
      <c r="B304" s="171"/>
      <c r="C304" s="143"/>
      <c r="D304" s="97"/>
      <c r="E304" s="143"/>
      <c r="F304" s="143"/>
      <c r="G304" s="97"/>
      <c r="H304" s="143"/>
      <c r="I304" s="97"/>
      <c r="J304" s="97"/>
      <c r="K304" s="148"/>
      <c r="L304" s="148"/>
      <c r="M304" s="102"/>
      <c r="N304" s="124"/>
      <c r="O304" s="125"/>
      <c r="P304" s="97"/>
      <c r="Q304" s="131"/>
      <c r="R304" s="126"/>
      <c r="S304" s="97"/>
      <c r="T304" s="97"/>
      <c r="V304" s="108"/>
    </row>
    <row r="305" ht="15.75" customHeight="1">
      <c r="A305" s="91"/>
      <c r="B305" s="171"/>
      <c r="C305" s="143"/>
      <c r="D305" s="97"/>
      <c r="E305" s="143"/>
      <c r="F305" s="143"/>
      <c r="G305" s="97"/>
      <c r="H305" s="143"/>
      <c r="I305" s="97"/>
      <c r="J305" s="97"/>
      <c r="K305" s="150"/>
      <c r="L305" s="150"/>
      <c r="M305" s="102"/>
      <c r="N305" s="124"/>
      <c r="O305" s="125"/>
      <c r="P305" s="97"/>
      <c r="Q305" s="131"/>
      <c r="R305" s="126"/>
      <c r="S305" s="97"/>
      <c r="T305" s="97"/>
      <c r="V305" s="108"/>
    </row>
    <row r="306" ht="15.75" customHeight="1">
      <c r="A306" s="91"/>
      <c r="B306" s="171"/>
      <c r="C306" s="143"/>
      <c r="D306" s="97"/>
      <c r="E306" s="143"/>
      <c r="F306" s="143"/>
      <c r="G306" s="97"/>
      <c r="H306" s="143"/>
      <c r="I306" s="97"/>
      <c r="J306" s="97"/>
      <c r="K306" s="148"/>
      <c r="L306" s="148"/>
      <c r="M306" s="102"/>
      <c r="N306" s="124"/>
      <c r="O306" s="125"/>
      <c r="P306" s="97"/>
      <c r="Q306" s="131"/>
      <c r="R306" s="126"/>
      <c r="S306" s="97"/>
      <c r="T306" s="97"/>
      <c r="V306" s="108"/>
    </row>
    <row r="307" ht="15.75" customHeight="1">
      <c r="A307" s="91"/>
      <c r="B307" s="171"/>
      <c r="C307" s="108"/>
      <c r="D307" s="97"/>
      <c r="E307" s="143"/>
      <c r="F307" s="143"/>
      <c r="G307" s="97"/>
      <c r="H307" s="143"/>
      <c r="I307" s="97"/>
      <c r="J307" s="97"/>
      <c r="K307" s="150"/>
      <c r="L307" s="150"/>
      <c r="M307" s="102"/>
      <c r="N307" s="124"/>
      <c r="O307" s="125"/>
      <c r="P307" s="97"/>
      <c r="Q307" s="131"/>
      <c r="R307" s="126"/>
      <c r="S307" s="97"/>
      <c r="T307" s="97"/>
      <c r="V307" s="108"/>
    </row>
    <row r="308" ht="15.75" customHeight="1">
      <c r="A308" s="91"/>
      <c r="B308" s="171"/>
      <c r="C308" s="143"/>
      <c r="D308" s="97"/>
      <c r="E308" s="143"/>
      <c r="F308" s="143"/>
      <c r="G308" s="97"/>
      <c r="H308" s="143"/>
      <c r="I308" s="97"/>
      <c r="J308" s="97"/>
      <c r="K308" s="148"/>
      <c r="L308" s="148"/>
      <c r="M308" s="102"/>
      <c r="N308" s="124"/>
      <c r="O308" s="125"/>
      <c r="P308" s="97"/>
      <c r="Q308" s="131"/>
      <c r="R308" s="126"/>
      <c r="S308" s="97"/>
      <c r="T308" s="97"/>
      <c r="V308" s="108"/>
    </row>
    <row r="309" ht="15.75" customHeight="1">
      <c r="A309" s="91"/>
      <c r="B309" s="171"/>
      <c r="C309" s="143"/>
      <c r="D309" s="97"/>
      <c r="E309" s="143"/>
      <c r="F309" s="143"/>
      <c r="G309" s="97"/>
      <c r="H309" s="143"/>
      <c r="I309" s="97"/>
      <c r="J309" s="97"/>
      <c r="K309" s="150"/>
      <c r="L309" s="150"/>
      <c r="M309" s="102"/>
      <c r="N309" s="124"/>
      <c r="O309" s="125"/>
      <c r="P309" s="97"/>
      <c r="Q309" s="131"/>
      <c r="R309" s="126"/>
      <c r="S309" s="97"/>
      <c r="T309" s="97"/>
      <c r="V309" s="108"/>
    </row>
    <row r="310" ht="15.75" customHeight="1">
      <c r="A310" s="91"/>
      <c r="B310" s="171"/>
      <c r="C310" s="143"/>
      <c r="D310" s="97"/>
      <c r="E310" s="143"/>
      <c r="F310" s="143"/>
      <c r="G310" s="97"/>
      <c r="H310" s="143"/>
      <c r="I310" s="97"/>
      <c r="J310" s="97"/>
      <c r="K310" s="148"/>
      <c r="L310" s="148"/>
      <c r="M310" s="102"/>
      <c r="N310" s="124"/>
      <c r="O310" s="125"/>
      <c r="P310" s="97"/>
      <c r="Q310" s="131"/>
      <c r="R310" s="126"/>
      <c r="S310" s="97"/>
      <c r="T310" s="97"/>
      <c r="V310" s="108"/>
    </row>
    <row r="311" ht="15.75" customHeight="1">
      <c r="A311" s="91"/>
      <c r="B311" s="171"/>
      <c r="C311" s="143"/>
      <c r="D311" s="97"/>
      <c r="E311" s="143"/>
      <c r="F311" s="143"/>
      <c r="G311" s="97"/>
      <c r="H311" s="143"/>
      <c r="I311" s="97"/>
      <c r="J311" s="97"/>
      <c r="K311" s="150"/>
      <c r="L311" s="150"/>
      <c r="M311" s="102"/>
      <c r="N311" s="124"/>
      <c r="O311" s="125"/>
      <c r="P311" s="97"/>
      <c r="Q311" s="131"/>
      <c r="R311" s="126"/>
      <c r="S311" s="97"/>
      <c r="T311" s="97"/>
      <c r="V311" s="108"/>
    </row>
    <row r="312" ht="15.75" customHeight="1">
      <c r="A312" s="91"/>
      <c r="B312" s="171"/>
      <c r="C312" s="143"/>
      <c r="D312" s="97"/>
      <c r="E312" s="143"/>
      <c r="F312" s="143"/>
      <c r="G312" s="97"/>
      <c r="H312" s="143"/>
      <c r="I312" s="97"/>
      <c r="J312" s="97"/>
      <c r="K312" s="148"/>
      <c r="L312" s="148"/>
      <c r="M312" s="102"/>
      <c r="N312" s="124"/>
      <c r="O312" s="125"/>
      <c r="P312" s="97"/>
      <c r="Q312" s="131"/>
      <c r="R312" s="126"/>
      <c r="S312" s="97"/>
      <c r="T312" s="97"/>
      <c r="V312" s="108"/>
    </row>
    <row r="313" ht="15.75" customHeight="1">
      <c r="A313" s="91"/>
      <c r="B313" s="171"/>
      <c r="C313" s="108"/>
      <c r="D313" s="97"/>
      <c r="E313" s="143"/>
      <c r="F313" s="143"/>
      <c r="G313" s="97"/>
      <c r="H313" s="143"/>
      <c r="I313" s="97"/>
      <c r="J313" s="97"/>
      <c r="K313" s="150"/>
      <c r="L313" s="150"/>
      <c r="M313" s="102"/>
      <c r="N313" s="124"/>
      <c r="O313" s="125"/>
      <c r="P313" s="97"/>
      <c r="Q313" s="131"/>
      <c r="R313" s="126"/>
      <c r="S313" s="97"/>
      <c r="T313" s="97"/>
      <c r="V313" s="108"/>
    </row>
    <row r="314" ht="15.75" customHeight="1">
      <c r="A314" s="91"/>
      <c r="B314" s="171"/>
      <c r="C314" s="143"/>
      <c r="D314" s="97"/>
      <c r="E314" s="143"/>
      <c r="F314" s="143"/>
      <c r="G314" s="97"/>
      <c r="H314" s="143"/>
      <c r="I314" s="97"/>
      <c r="J314" s="97"/>
      <c r="K314" s="148"/>
      <c r="L314" s="148"/>
      <c r="M314" s="102"/>
      <c r="N314" s="124"/>
      <c r="O314" s="125"/>
      <c r="P314" s="97"/>
      <c r="Q314" s="131"/>
      <c r="R314" s="126"/>
      <c r="S314" s="97"/>
      <c r="T314" s="97"/>
      <c r="V314" s="108"/>
    </row>
    <row r="315" ht="15.75" customHeight="1">
      <c r="A315" s="91"/>
      <c r="B315" s="171"/>
      <c r="C315" s="143"/>
      <c r="D315" s="97"/>
      <c r="E315" s="143"/>
      <c r="F315" s="143"/>
      <c r="G315" s="97"/>
      <c r="H315" s="143"/>
      <c r="I315" s="97"/>
      <c r="J315" s="97"/>
      <c r="K315" s="150"/>
      <c r="L315" s="150"/>
      <c r="M315" s="102"/>
      <c r="N315" s="124"/>
      <c r="O315" s="125"/>
      <c r="P315" s="97"/>
      <c r="Q315" s="131"/>
      <c r="R315" s="126"/>
      <c r="S315" s="97"/>
      <c r="T315" s="97"/>
      <c r="V315" s="108"/>
    </row>
    <row r="316" ht="15.75" customHeight="1">
      <c r="A316" s="91"/>
      <c r="B316" s="171"/>
      <c r="C316" s="143"/>
      <c r="D316" s="97"/>
      <c r="E316" s="143"/>
      <c r="F316" s="143"/>
      <c r="G316" s="97"/>
      <c r="H316" s="143"/>
      <c r="I316" s="97"/>
      <c r="J316" s="97"/>
      <c r="K316" s="148"/>
      <c r="L316" s="148"/>
      <c r="M316" s="102"/>
      <c r="N316" s="124"/>
      <c r="O316" s="125"/>
      <c r="P316" s="97"/>
      <c r="Q316" s="131"/>
      <c r="R316" s="126"/>
      <c r="S316" s="97"/>
      <c r="T316" s="97"/>
      <c r="V316" s="108"/>
    </row>
    <row r="317" ht="15.75" customHeight="1">
      <c r="A317" s="91"/>
      <c r="B317" s="171"/>
      <c r="C317" s="143"/>
      <c r="D317" s="97"/>
      <c r="E317" s="143"/>
      <c r="F317" s="143"/>
      <c r="G317" s="97"/>
      <c r="H317" s="143"/>
      <c r="I317" s="97"/>
      <c r="J317" s="97"/>
      <c r="K317" s="150"/>
      <c r="L317" s="150"/>
      <c r="M317" s="102"/>
      <c r="N317" s="124"/>
      <c r="O317" s="125"/>
      <c r="P317" s="97"/>
      <c r="Q317" s="131"/>
      <c r="R317" s="126"/>
      <c r="S317" s="97"/>
      <c r="T317" s="97"/>
      <c r="V317" s="108"/>
    </row>
    <row r="318" ht="15.75" customHeight="1">
      <c r="A318" s="91"/>
      <c r="B318" s="171"/>
      <c r="C318" s="143"/>
      <c r="D318" s="97"/>
      <c r="E318" s="143"/>
      <c r="F318" s="143"/>
      <c r="G318" s="97"/>
      <c r="H318" s="143"/>
      <c r="I318" s="97"/>
      <c r="J318" s="97"/>
      <c r="K318" s="148"/>
      <c r="L318" s="148"/>
      <c r="M318" s="102"/>
      <c r="N318" s="124"/>
      <c r="O318" s="125"/>
      <c r="P318" s="97"/>
      <c r="Q318" s="131"/>
      <c r="R318" s="126"/>
      <c r="S318" s="97"/>
      <c r="T318" s="97"/>
      <c r="V318" s="108"/>
    </row>
    <row r="319" ht="15.75" customHeight="1">
      <c r="A319" s="91"/>
      <c r="B319" s="171"/>
      <c r="C319" s="108"/>
      <c r="D319" s="97"/>
      <c r="E319" s="143"/>
      <c r="F319" s="143"/>
      <c r="G319" s="97"/>
      <c r="H319" s="143"/>
      <c r="I319" s="97"/>
      <c r="J319" s="97"/>
      <c r="K319" s="150"/>
      <c r="L319" s="150"/>
      <c r="M319" s="102"/>
      <c r="N319" s="124"/>
      <c r="O319" s="125"/>
      <c r="P319" s="97"/>
      <c r="Q319" s="131"/>
      <c r="R319" s="126"/>
      <c r="S319" s="97"/>
      <c r="T319" s="97"/>
      <c r="V319" s="108"/>
    </row>
    <row r="320" ht="15.75" customHeight="1">
      <c r="A320" s="91"/>
      <c r="B320" s="171"/>
      <c r="C320" s="143"/>
      <c r="D320" s="97"/>
      <c r="E320" s="143"/>
      <c r="F320" s="143"/>
      <c r="G320" s="97"/>
      <c r="H320" s="143"/>
      <c r="I320" s="97"/>
      <c r="J320" s="97"/>
      <c r="K320" s="148"/>
      <c r="L320" s="148"/>
      <c r="M320" s="102"/>
      <c r="N320" s="124"/>
      <c r="O320" s="125"/>
      <c r="P320" s="97"/>
      <c r="Q320" s="131"/>
      <c r="R320" s="126"/>
      <c r="S320" s="97"/>
      <c r="T320" s="97"/>
      <c r="V320" s="108"/>
    </row>
    <row r="321" ht="15.75" customHeight="1">
      <c r="A321" s="91"/>
      <c r="B321" s="171"/>
      <c r="C321" s="143"/>
      <c r="D321" s="97"/>
      <c r="E321" s="143"/>
      <c r="F321" s="143"/>
      <c r="G321" s="97"/>
      <c r="H321" s="143"/>
      <c r="I321" s="97"/>
      <c r="J321" s="97"/>
      <c r="K321" s="150"/>
      <c r="L321" s="150"/>
      <c r="M321" s="102"/>
      <c r="N321" s="124"/>
      <c r="O321" s="125"/>
      <c r="P321" s="97"/>
      <c r="Q321" s="131"/>
      <c r="R321" s="126"/>
      <c r="S321" s="97"/>
      <c r="T321" s="97"/>
      <c r="V321" s="108"/>
    </row>
    <row r="322" ht="15.75" customHeight="1">
      <c r="A322" s="91"/>
      <c r="B322" s="171"/>
      <c r="C322" s="143"/>
      <c r="D322" s="97"/>
      <c r="E322" s="143"/>
      <c r="F322" s="143"/>
      <c r="G322" s="97"/>
      <c r="H322" s="143"/>
      <c r="I322" s="97"/>
      <c r="J322" s="97"/>
      <c r="K322" s="148"/>
      <c r="L322" s="148"/>
      <c r="M322" s="102"/>
      <c r="N322" s="124"/>
      <c r="O322" s="125"/>
      <c r="P322" s="97"/>
      <c r="Q322" s="131"/>
      <c r="R322" s="126"/>
      <c r="S322" s="97"/>
      <c r="T322" s="97"/>
      <c r="V322" s="108"/>
    </row>
    <row r="323" ht="15.75" customHeight="1">
      <c r="A323" s="91"/>
      <c r="B323" s="171"/>
      <c r="C323" s="143"/>
      <c r="D323" s="97"/>
      <c r="E323" s="143"/>
      <c r="F323" s="143"/>
      <c r="G323" s="97"/>
      <c r="H323" s="143"/>
      <c r="I323" s="97"/>
      <c r="J323" s="97"/>
      <c r="K323" s="150"/>
      <c r="L323" s="150"/>
      <c r="M323" s="102"/>
      <c r="N323" s="124"/>
      <c r="O323" s="125"/>
      <c r="P323" s="97"/>
      <c r="Q323" s="131"/>
      <c r="R323" s="126"/>
      <c r="S323" s="97"/>
      <c r="T323" s="97"/>
      <c r="V323" s="108"/>
    </row>
    <row r="324" ht="15.75" customHeight="1">
      <c r="A324" s="91"/>
      <c r="B324" s="171"/>
      <c r="C324" s="143"/>
      <c r="D324" s="97"/>
      <c r="E324" s="143"/>
      <c r="F324" s="143"/>
      <c r="G324" s="97"/>
      <c r="H324" s="143"/>
      <c r="I324" s="97"/>
      <c r="J324" s="97"/>
      <c r="K324" s="148"/>
      <c r="L324" s="148"/>
      <c r="M324" s="102"/>
      <c r="N324" s="124"/>
      <c r="O324" s="125"/>
      <c r="P324" s="97"/>
      <c r="Q324" s="131"/>
      <c r="R324" s="126"/>
      <c r="S324" s="97"/>
      <c r="T324" s="97"/>
      <c r="V324" s="108"/>
    </row>
    <row r="325" ht="15.75" customHeight="1">
      <c r="A325" s="91"/>
      <c r="B325" s="171"/>
      <c r="C325" s="108"/>
      <c r="D325" s="97"/>
      <c r="E325" s="143"/>
      <c r="F325" s="143"/>
      <c r="G325" s="97"/>
      <c r="H325" s="143"/>
      <c r="I325" s="97"/>
      <c r="J325" s="97"/>
      <c r="K325" s="150"/>
      <c r="L325" s="150"/>
      <c r="M325" s="102"/>
      <c r="N325" s="124"/>
      <c r="O325" s="125"/>
      <c r="P325" s="97"/>
      <c r="Q325" s="131"/>
      <c r="R325" s="126"/>
      <c r="S325" s="97"/>
      <c r="T325" s="97"/>
      <c r="V325" s="108"/>
    </row>
    <row r="326" ht="15.75" customHeight="1">
      <c r="A326" s="91"/>
      <c r="B326" s="171"/>
      <c r="C326" s="143"/>
      <c r="D326" s="97"/>
      <c r="E326" s="143"/>
      <c r="F326" s="143"/>
      <c r="G326" s="97"/>
      <c r="H326" s="143"/>
      <c r="I326" s="97"/>
      <c r="J326" s="97"/>
      <c r="K326" s="148"/>
      <c r="L326" s="148"/>
      <c r="M326" s="102"/>
      <c r="N326" s="124"/>
      <c r="O326" s="125"/>
      <c r="P326" s="97"/>
      <c r="Q326" s="131"/>
      <c r="R326" s="126"/>
      <c r="S326" s="97"/>
      <c r="T326" s="97"/>
      <c r="V326" s="108"/>
    </row>
    <row r="327" ht="15.75" customHeight="1">
      <c r="A327" s="91"/>
      <c r="B327" s="171"/>
      <c r="C327" s="143"/>
      <c r="D327" s="97"/>
      <c r="E327" s="143"/>
      <c r="F327" s="143"/>
      <c r="G327" s="97"/>
      <c r="H327" s="143"/>
      <c r="I327" s="97"/>
      <c r="J327" s="97"/>
      <c r="K327" s="150"/>
      <c r="L327" s="150"/>
      <c r="M327" s="102"/>
      <c r="N327" s="124"/>
      <c r="O327" s="125"/>
      <c r="P327" s="97"/>
      <c r="Q327" s="131"/>
      <c r="R327" s="126"/>
      <c r="S327" s="97"/>
      <c r="T327" s="97"/>
      <c r="V327" s="108"/>
    </row>
    <row r="328" ht="15.75" customHeight="1">
      <c r="A328" s="91"/>
      <c r="B328" s="171"/>
      <c r="C328" s="143"/>
      <c r="D328" s="97"/>
      <c r="E328" s="143"/>
      <c r="F328" s="143"/>
      <c r="G328" s="97"/>
      <c r="H328" s="143"/>
      <c r="I328" s="97"/>
      <c r="J328" s="97"/>
      <c r="K328" s="152"/>
      <c r="L328" s="152"/>
      <c r="M328" s="102"/>
      <c r="N328" s="124"/>
      <c r="O328" s="125"/>
      <c r="P328" s="97"/>
      <c r="Q328" s="131"/>
      <c r="R328" s="126"/>
      <c r="S328" s="97"/>
      <c r="T328" s="97"/>
      <c r="V328" s="108"/>
    </row>
    <row r="329" ht="15.75" customHeight="1">
      <c r="A329" s="91"/>
      <c r="B329" s="171"/>
      <c r="C329" s="143"/>
      <c r="D329" s="97"/>
      <c r="E329" s="143"/>
      <c r="F329" s="143"/>
      <c r="G329" s="97"/>
      <c r="H329" s="143"/>
      <c r="I329" s="97"/>
      <c r="J329" s="97"/>
      <c r="K329" s="152"/>
      <c r="L329" s="152"/>
      <c r="M329" s="102"/>
      <c r="N329" s="124"/>
      <c r="O329" s="125"/>
      <c r="P329" s="97"/>
      <c r="Q329" s="131"/>
      <c r="R329" s="126"/>
      <c r="S329" s="97"/>
      <c r="T329" s="97"/>
      <c r="V329" s="108"/>
    </row>
    <row r="330" ht="15.75" customHeight="1">
      <c r="A330" s="91"/>
      <c r="B330" s="171"/>
      <c r="C330" s="143"/>
      <c r="D330" s="97"/>
      <c r="E330" s="143"/>
      <c r="F330" s="143"/>
      <c r="G330" s="97"/>
      <c r="H330" s="143"/>
      <c r="I330" s="97"/>
      <c r="J330" s="97"/>
      <c r="K330" s="152"/>
      <c r="L330" s="152"/>
      <c r="M330" s="102"/>
      <c r="N330" s="124"/>
      <c r="O330" s="125"/>
      <c r="P330" s="97"/>
      <c r="Q330" s="131"/>
      <c r="R330" s="126"/>
      <c r="S330" s="97"/>
      <c r="T330" s="97"/>
      <c r="V330" s="108"/>
    </row>
    <row r="331" ht="15.75" customHeight="1">
      <c r="A331" s="91"/>
      <c r="B331" s="171"/>
      <c r="C331" s="108"/>
      <c r="D331" s="97"/>
      <c r="E331" s="143"/>
      <c r="F331" s="143"/>
      <c r="G331" s="97"/>
      <c r="H331" s="143"/>
      <c r="I331" s="97"/>
      <c r="J331" s="97"/>
      <c r="K331" s="152"/>
      <c r="L331" s="152"/>
      <c r="M331" s="102"/>
      <c r="N331" s="124"/>
      <c r="O331" s="125"/>
      <c r="P331" s="97"/>
      <c r="Q331" s="131"/>
      <c r="R331" s="126"/>
      <c r="S331" s="97"/>
      <c r="T331" s="97"/>
      <c r="V331" s="108"/>
    </row>
    <row r="332" ht="15.75" customHeight="1">
      <c r="A332" s="91"/>
      <c r="B332" s="171"/>
      <c r="C332" s="143"/>
      <c r="D332" s="97"/>
      <c r="E332" s="143"/>
      <c r="F332" s="143"/>
      <c r="G332" s="97"/>
      <c r="H332" s="143"/>
      <c r="I332" s="97"/>
      <c r="J332" s="97"/>
      <c r="K332" s="152"/>
      <c r="L332" s="152"/>
      <c r="M332" s="102"/>
      <c r="N332" s="124"/>
      <c r="O332" s="125"/>
      <c r="P332" s="97"/>
      <c r="Q332" s="131"/>
      <c r="R332" s="126"/>
      <c r="S332" s="97"/>
      <c r="T332" s="97"/>
      <c r="V332" s="108"/>
    </row>
    <row r="333" ht="15.75" customHeight="1">
      <c r="A333" s="91"/>
      <c r="B333" s="171"/>
      <c r="C333" s="143"/>
      <c r="D333" s="97"/>
      <c r="E333" s="143"/>
      <c r="F333" s="143"/>
      <c r="G333" s="97"/>
      <c r="H333" s="143"/>
      <c r="I333" s="97"/>
      <c r="J333" s="97"/>
      <c r="K333" s="152"/>
      <c r="L333" s="152"/>
      <c r="M333" s="102"/>
      <c r="N333" s="124"/>
      <c r="O333" s="125"/>
      <c r="P333" s="97"/>
      <c r="Q333" s="131"/>
      <c r="R333" s="126"/>
      <c r="S333" s="97"/>
      <c r="T333" s="97"/>
      <c r="V333" s="108"/>
    </row>
    <row r="334" ht="15.75" customHeight="1">
      <c r="A334" s="91"/>
      <c r="B334" s="171"/>
      <c r="C334" s="143"/>
      <c r="D334" s="97"/>
      <c r="E334" s="143"/>
      <c r="F334" s="143"/>
      <c r="G334" s="97"/>
      <c r="H334" s="143"/>
      <c r="I334" s="97"/>
      <c r="J334" s="97"/>
      <c r="K334" s="152"/>
      <c r="L334" s="152"/>
      <c r="M334" s="102"/>
      <c r="N334" s="124"/>
      <c r="O334" s="125"/>
      <c r="P334" s="97"/>
      <c r="Q334" s="131"/>
      <c r="R334" s="126"/>
      <c r="S334" s="97"/>
      <c r="T334" s="97"/>
      <c r="V334" s="108"/>
    </row>
    <row r="335" ht="15.75" customHeight="1">
      <c r="A335" s="91"/>
      <c r="B335" s="171"/>
      <c r="C335" s="143"/>
      <c r="D335" s="97"/>
      <c r="E335" s="143"/>
      <c r="F335" s="143"/>
      <c r="G335" s="97"/>
      <c r="H335" s="143"/>
      <c r="I335" s="97"/>
      <c r="J335" s="97"/>
      <c r="K335" s="152"/>
      <c r="L335" s="152"/>
      <c r="M335" s="102"/>
      <c r="N335" s="124"/>
      <c r="O335" s="125"/>
      <c r="P335" s="97"/>
      <c r="Q335" s="131"/>
      <c r="R335" s="126"/>
      <c r="S335" s="97"/>
      <c r="T335" s="97"/>
      <c r="V335" s="108"/>
    </row>
    <row r="336" ht="15.75" customHeight="1">
      <c r="A336" s="91"/>
      <c r="B336" s="171"/>
      <c r="C336" s="143"/>
      <c r="D336" s="97"/>
      <c r="E336" s="143"/>
      <c r="F336" s="143"/>
      <c r="G336" s="97"/>
      <c r="H336" s="143"/>
      <c r="I336" s="97"/>
      <c r="J336" s="97"/>
      <c r="K336" s="152"/>
      <c r="L336" s="152"/>
      <c r="M336" s="102"/>
      <c r="N336" s="124"/>
      <c r="O336" s="125"/>
      <c r="P336" s="97"/>
      <c r="Q336" s="131"/>
      <c r="R336" s="126"/>
      <c r="S336" s="97"/>
      <c r="T336" s="97"/>
      <c r="V336" s="108"/>
    </row>
    <row r="337" ht="15.75" customHeight="1">
      <c r="A337" s="91"/>
      <c r="B337" s="171"/>
      <c r="C337" s="108"/>
      <c r="D337" s="97"/>
      <c r="E337" s="143"/>
      <c r="F337" s="143"/>
      <c r="G337" s="97"/>
      <c r="H337" s="143"/>
      <c r="I337" s="97"/>
      <c r="J337" s="97"/>
      <c r="K337" s="152"/>
      <c r="L337" s="152"/>
      <c r="M337" s="102"/>
      <c r="N337" s="124"/>
      <c r="O337" s="125"/>
      <c r="P337" s="97"/>
      <c r="Q337" s="131"/>
      <c r="R337" s="126"/>
      <c r="S337" s="97"/>
      <c r="T337" s="97"/>
      <c r="V337" s="108"/>
    </row>
    <row r="338" ht="15.75" customHeight="1">
      <c r="A338" s="91"/>
      <c r="B338" s="171"/>
      <c r="C338" s="143"/>
      <c r="D338" s="97"/>
      <c r="E338" s="143"/>
      <c r="F338" s="143"/>
      <c r="G338" s="97"/>
      <c r="H338" s="143"/>
      <c r="I338" s="97"/>
      <c r="J338" s="97"/>
      <c r="K338" s="152"/>
      <c r="L338" s="152"/>
      <c r="M338" s="102"/>
      <c r="N338" s="124"/>
      <c r="O338" s="125"/>
      <c r="P338" s="97"/>
      <c r="Q338" s="131"/>
      <c r="R338" s="126"/>
      <c r="S338" s="97"/>
      <c r="T338" s="97"/>
      <c r="V338" s="108"/>
    </row>
    <row r="339" ht="15.75" customHeight="1">
      <c r="A339" s="91"/>
      <c r="B339" s="171"/>
      <c r="C339" s="143"/>
      <c r="D339" s="97"/>
      <c r="E339" s="143"/>
      <c r="F339" s="143"/>
      <c r="G339" s="97"/>
      <c r="H339" s="143"/>
      <c r="I339" s="97"/>
      <c r="J339" s="97"/>
      <c r="K339" s="152"/>
      <c r="L339" s="152"/>
      <c r="M339" s="102"/>
      <c r="N339" s="124"/>
      <c r="O339" s="125"/>
      <c r="P339" s="97"/>
      <c r="Q339" s="131"/>
      <c r="R339" s="126"/>
      <c r="S339" s="97"/>
      <c r="T339" s="97"/>
      <c r="V339" s="108"/>
    </row>
    <row r="340" ht="15.75" customHeight="1">
      <c r="A340" s="91"/>
      <c r="B340" s="171"/>
      <c r="C340" s="143"/>
      <c r="D340" s="97"/>
      <c r="E340" s="143"/>
      <c r="F340" s="143"/>
      <c r="G340" s="97"/>
      <c r="H340" s="143"/>
      <c r="I340" s="97"/>
      <c r="J340" s="97"/>
      <c r="K340" s="152"/>
      <c r="L340" s="152"/>
      <c r="M340" s="102"/>
      <c r="N340" s="124"/>
      <c r="O340" s="125"/>
      <c r="P340" s="97"/>
      <c r="Q340" s="131"/>
      <c r="R340" s="126"/>
      <c r="S340" s="97"/>
      <c r="T340" s="97"/>
      <c r="V340" s="108"/>
    </row>
    <row r="341" ht="15.75" customHeight="1">
      <c r="A341" s="91"/>
      <c r="B341" s="171"/>
      <c r="C341" s="143"/>
      <c r="D341" s="97"/>
      <c r="E341" s="143"/>
      <c r="F341" s="143"/>
      <c r="G341" s="97"/>
      <c r="H341" s="143"/>
      <c r="I341" s="97"/>
      <c r="J341" s="97"/>
      <c r="K341" s="152"/>
      <c r="L341" s="152"/>
      <c r="M341" s="102"/>
      <c r="N341" s="124"/>
      <c r="O341" s="125"/>
      <c r="P341" s="97"/>
      <c r="Q341" s="131"/>
      <c r="R341" s="126"/>
      <c r="S341" s="97"/>
      <c r="T341" s="97"/>
      <c r="V341" s="108"/>
    </row>
    <row r="342" ht="15.75" customHeight="1">
      <c r="A342" s="91"/>
      <c r="B342" s="171"/>
      <c r="C342" s="143"/>
      <c r="D342" s="97"/>
      <c r="E342" s="143"/>
      <c r="F342" s="143"/>
      <c r="G342" s="97"/>
      <c r="H342" s="143"/>
      <c r="I342" s="97"/>
      <c r="J342" s="97"/>
      <c r="K342" s="152"/>
      <c r="L342" s="152"/>
      <c r="M342" s="102"/>
      <c r="N342" s="124"/>
      <c r="O342" s="125"/>
      <c r="P342" s="97"/>
      <c r="Q342" s="131"/>
      <c r="R342" s="126"/>
      <c r="S342" s="97"/>
      <c r="T342" s="97"/>
      <c r="V342" s="108"/>
    </row>
    <row r="343" ht="15.75" customHeight="1">
      <c r="A343" s="91"/>
      <c r="B343" s="171"/>
      <c r="C343" s="108"/>
      <c r="D343" s="97"/>
      <c r="E343" s="143"/>
      <c r="F343" s="143"/>
      <c r="G343" s="97"/>
      <c r="H343" s="143"/>
      <c r="I343" s="97"/>
      <c r="J343" s="97"/>
      <c r="K343" s="152"/>
      <c r="L343" s="152"/>
      <c r="M343" s="102"/>
      <c r="N343" s="124"/>
      <c r="O343" s="125"/>
      <c r="P343" s="97"/>
      <c r="Q343" s="131"/>
      <c r="R343" s="126"/>
      <c r="S343" s="97"/>
      <c r="T343" s="97"/>
      <c r="V343" s="108"/>
    </row>
    <row r="344" ht="15.75" customHeight="1">
      <c r="A344" s="91"/>
      <c r="B344" s="171"/>
      <c r="C344" s="143"/>
      <c r="D344" s="97"/>
      <c r="E344" s="143"/>
      <c r="F344" s="143"/>
      <c r="G344" s="97"/>
      <c r="H344" s="143"/>
      <c r="I344" s="97"/>
      <c r="J344" s="97"/>
      <c r="K344" s="152"/>
      <c r="L344" s="152"/>
      <c r="M344" s="102"/>
      <c r="N344" s="124"/>
      <c r="O344" s="125"/>
      <c r="P344" s="97"/>
      <c r="Q344" s="131"/>
      <c r="R344" s="126"/>
      <c r="S344" s="97"/>
      <c r="T344" s="97"/>
      <c r="V344" s="108"/>
    </row>
    <row r="345" ht="15.75" customHeight="1">
      <c r="A345" s="91"/>
      <c r="B345" s="171"/>
      <c r="C345" s="143"/>
      <c r="D345" s="97"/>
      <c r="E345" s="143"/>
      <c r="F345" s="143"/>
      <c r="G345" s="97"/>
      <c r="H345" s="143"/>
      <c r="I345" s="97"/>
      <c r="J345" s="97"/>
      <c r="K345" s="152"/>
      <c r="L345" s="152"/>
      <c r="M345" s="102"/>
      <c r="N345" s="124"/>
      <c r="O345" s="125"/>
      <c r="P345" s="97"/>
      <c r="Q345" s="131"/>
      <c r="R345" s="126"/>
      <c r="S345" s="97"/>
      <c r="T345" s="97"/>
      <c r="V345" s="108"/>
    </row>
    <row r="346" ht="15.75" customHeight="1">
      <c r="A346" s="91"/>
      <c r="B346" s="171"/>
      <c r="C346" s="143"/>
      <c r="D346" s="97"/>
      <c r="E346" s="143"/>
      <c r="F346" s="143"/>
      <c r="G346" s="97"/>
      <c r="H346" s="143"/>
      <c r="I346" s="97"/>
      <c r="J346" s="97"/>
      <c r="K346" s="152"/>
      <c r="L346" s="152"/>
      <c r="M346" s="102"/>
      <c r="N346" s="124"/>
      <c r="O346" s="125"/>
      <c r="P346" s="97"/>
      <c r="Q346" s="131"/>
      <c r="R346" s="126"/>
      <c r="S346" s="97"/>
      <c r="T346" s="97"/>
      <c r="V346" s="108"/>
    </row>
    <row r="347" ht="15.75" customHeight="1">
      <c r="A347" s="91"/>
      <c r="B347" s="171"/>
      <c r="C347" s="143"/>
      <c r="D347" s="97"/>
      <c r="E347" s="143"/>
      <c r="F347" s="143"/>
      <c r="G347" s="97"/>
      <c r="H347" s="143"/>
      <c r="I347" s="97"/>
      <c r="J347" s="97"/>
      <c r="K347" s="152"/>
      <c r="L347" s="152"/>
      <c r="M347" s="102"/>
      <c r="N347" s="124"/>
      <c r="O347" s="125"/>
      <c r="P347" s="97"/>
      <c r="Q347" s="131"/>
      <c r="R347" s="126"/>
      <c r="S347" s="97"/>
      <c r="T347" s="97"/>
      <c r="V347" s="108"/>
    </row>
    <row r="348" ht="15.75" customHeight="1">
      <c r="A348" s="91"/>
      <c r="B348" s="171"/>
      <c r="C348" s="143"/>
      <c r="D348" s="97"/>
      <c r="E348" s="143"/>
      <c r="F348" s="143"/>
      <c r="G348" s="97"/>
      <c r="H348" s="143"/>
      <c r="I348" s="97"/>
      <c r="J348" s="97"/>
      <c r="K348" s="152"/>
      <c r="L348" s="152"/>
      <c r="M348" s="102"/>
      <c r="N348" s="124"/>
      <c r="O348" s="125"/>
      <c r="P348" s="97"/>
      <c r="Q348" s="131"/>
      <c r="R348" s="126"/>
      <c r="S348" s="97"/>
      <c r="T348" s="97"/>
      <c r="V348" s="108"/>
    </row>
    <row r="349" ht="15.75" customHeight="1">
      <c r="A349" s="91"/>
      <c r="B349" s="171"/>
      <c r="C349" s="108"/>
      <c r="D349" s="97"/>
      <c r="E349" s="143"/>
      <c r="F349" s="143"/>
      <c r="G349" s="97"/>
      <c r="H349" s="143"/>
      <c r="I349" s="97"/>
      <c r="J349" s="97"/>
      <c r="K349" s="152"/>
      <c r="L349" s="152"/>
      <c r="M349" s="102"/>
      <c r="N349" s="124"/>
      <c r="O349" s="125"/>
      <c r="P349" s="97"/>
      <c r="Q349" s="131"/>
      <c r="R349" s="126"/>
      <c r="S349" s="97"/>
      <c r="T349" s="97"/>
      <c r="V349" s="108"/>
    </row>
    <row r="350" ht="15.75" customHeight="1">
      <c r="A350" s="91"/>
      <c r="B350" s="171"/>
      <c r="C350" s="143"/>
      <c r="D350" s="97"/>
      <c r="E350" s="143"/>
      <c r="F350" s="143"/>
      <c r="G350" s="97"/>
      <c r="H350" s="143"/>
      <c r="I350" s="97"/>
      <c r="J350" s="97"/>
      <c r="K350" s="152"/>
      <c r="L350" s="152"/>
      <c r="M350" s="102"/>
      <c r="N350" s="124"/>
      <c r="O350" s="125"/>
      <c r="P350" s="97"/>
      <c r="Q350" s="131"/>
      <c r="R350" s="126"/>
      <c r="S350" s="97"/>
      <c r="T350" s="97"/>
      <c r="V350" s="108"/>
    </row>
    <row r="351" ht="15.75" customHeight="1">
      <c r="A351" s="91"/>
      <c r="B351" s="171"/>
      <c r="C351" s="143"/>
      <c r="D351" s="97"/>
      <c r="E351" s="143"/>
      <c r="F351" s="143"/>
      <c r="G351" s="97"/>
      <c r="H351" s="143"/>
      <c r="I351" s="97"/>
      <c r="J351" s="97"/>
      <c r="K351" s="152"/>
      <c r="L351" s="152"/>
      <c r="M351" s="102"/>
      <c r="N351" s="124"/>
      <c r="O351" s="125"/>
      <c r="P351" s="97"/>
      <c r="Q351" s="131"/>
      <c r="R351" s="126"/>
      <c r="S351" s="97"/>
      <c r="T351" s="97"/>
      <c r="V351" s="108"/>
    </row>
    <row r="352" ht="15.75" customHeight="1">
      <c r="A352" s="91"/>
      <c r="B352" s="171"/>
      <c r="C352" s="143"/>
      <c r="D352" s="97"/>
      <c r="E352" s="143"/>
      <c r="F352" s="143"/>
      <c r="G352" s="97"/>
      <c r="H352" s="143"/>
      <c r="I352" s="97"/>
      <c r="J352" s="97"/>
      <c r="K352" s="152"/>
      <c r="L352" s="152"/>
      <c r="M352" s="102"/>
      <c r="N352" s="124"/>
      <c r="O352" s="125"/>
      <c r="P352" s="97"/>
      <c r="Q352" s="131"/>
      <c r="R352" s="126"/>
      <c r="S352" s="97"/>
      <c r="T352" s="97"/>
      <c r="V352" s="108"/>
    </row>
    <row r="353" ht="15.75" customHeight="1">
      <c r="A353" s="91"/>
      <c r="B353" s="171"/>
      <c r="C353" s="143"/>
      <c r="D353" s="97"/>
      <c r="E353" s="143"/>
      <c r="F353" s="143"/>
      <c r="G353" s="97"/>
      <c r="H353" s="143"/>
      <c r="I353" s="97"/>
      <c r="J353" s="97"/>
      <c r="K353" s="152"/>
      <c r="L353" s="152"/>
      <c r="M353" s="102"/>
      <c r="N353" s="124"/>
      <c r="O353" s="125"/>
      <c r="P353" s="97"/>
      <c r="Q353" s="131"/>
      <c r="R353" s="126"/>
      <c r="S353" s="97"/>
      <c r="T353" s="97"/>
      <c r="V353" s="108"/>
    </row>
    <row r="354" ht="15.75" customHeight="1">
      <c r="A354" s="91"/>
      <c r="B354" s="171"/>
      <c r="C354" s="143"/>
      <c r="D354" s="97"/>
      <c r="E354" s="143"/>
      <c r="F354" s="143"/>
      <c r="G354" s="97"/>
      <c r="H354" s="143"/>
      <c r="I354" s="97"/>
      <c r="J354" s="97"/>
      <c r="K354" s="152"/>
      <c r="L354" s="152"/>
      <c r="M354" s="102"/>
      <c r="N354" s="124"/>
      <c r="O354" s="125"/>
      <c r="P354" s="97"/>
      <c r="Q354" s="131"/>
      <c r="R354" s="126"/>
      <c r="S354" s="97"/>
      <c r="T354" s="97"/>
      <c r="V354" s="108"/>
    </row>
    <row r="355" ht="15.75" customHeight="1">
      <c r="A355" s="91"/>
      <c r="B355" s="171"/>
      <c r="C355" s="108"/>
      <c r="D355" s="97"/>
      <c r="E355" s="143"/>
      <c r="F355" s="143"/>
      <c r="G355" s="97"/>
      <c r="H355" s="143"/>
      <c r="I355" s="97"/>
      <c r="J355" s="97"/>
      <c r="K355" s="152"/>
      <c r="L355" s="152"/>
      <c r="M355" s="102"/>
      <c r="N355" s="124"/>
      <c r="O355" s="125"/>
      <c r="P355" s="97"/>
      <c r="Q355" s="131"/>
      <c r="R355" s="126"/>
      <c r="S355" s="97"/>
      <c r="T355" s="97"/>
      <c r="V355" s="108"/>
    </row>
    <row r="356" ht="15.75" customHeight="1">
      <c r="A356" s="91"/>
      <c r="B356" s="171"/>
      <c r="C356" s="143"/>
      <c r="D356" s="97"/>
      <c r="E356" s="143"/>
      <c r="F356" s="143"/>
      <c r="G356" s="97"/>
      <c r="H356" s="143"/>
      <c r="I356" s="97"/>
      <c r="J356" s="97"/>
      <c r="K356" s="152"/>
      <c r="L356" s="152"/>
      <c r="M356" s="102"/>
      <c r="N356" s="124"/>
      <c r="O356" s="125"/>
      <c r="P356" s="97"/>
      <c r="Q356" s="131"/>
      <c r="R356" s="126"/>
      <c r="S356" s="97"/>
      <c r="T356" s="97"/>
      <c r="V356" s="108"/>
    </row>
    <row r="357" ht="15.75" customHeight="1">
      <c r="A357" s="91"/>
      <c r="B357" s="171"/>
      <c r="C357" s="143"/>
      <c r="D357" s="97"/>
      <c r="E357" s="143"/>
      <c r="F357" s="143"/>
      <c r="G357" s="97"/>
      <c r="H357" s="143"/>
      <c r="I357" s="97"/>
      <c r="J357" s="97"/>
      <c r="K357" s="152"/>
      <c r="L357" s="152"/>
      <c r="M357" s="102"/>
      <c r="N357" s="124"/>
      <c r="O357" s="125"/>
      <c r="P357" s="97"/>
      <c r="Q357" s="131"/>
      <c r="R357" s="126"/>
      <c r="S357" s="97"/>
      <c r="T357" s="97"/>
      <c r="V357" s="108"/>
    </row>
    <row r="358" ht="15.75" customHeight="1">
      <c r="A358" s="91"/>
      <c r="B358" s="171"/>
      <c r="C358" s="143"/>
      <c r="D358" s="97"/>
      <c r="E358" s="143"/>
      <c r="F358" s="143"/>
      <c r="G358" s="97"/>
      <c r="H358" s="143"/>
      <c r="I358" s="97"/>
      <c r="J358" s="97"/>
      <c r="K358" s="152"/>
      <c r="L358" s="152"/>
      <c r="M358" s="102"/>
      <c r="N358" s="124"/>
      <c r="O358" s="125"/>
      <c r="P358" s="97"/>
      <c r="Q358" s="131"/>
      <c r="R358" s="126"/>
      <c r="S358" s="97"/>
      <c r="T358" s="97"/>
      <c r="V358" s="108"/>
    </row>
    <row r="359" ht="15.75" customHeight="1">
      <c r="A359" s="91"/>
      <c r="B359" s="171"/>
      <c r="C359" s="143"/>
      <c r="D359" s="97"/>
      <c r="E359" s="143"/>
      <c r="F359" s="143"/>
      <c r="G359" s="97"/>
      <c r="H359" s="143"/>
      <c r="I359" s="97"/>
      <c r="J359" s="97"/>
      <c r="K359" s="152"/>
      <c r="L359" s="152"/>
      <c r="M359" s="102"/>
      <c r="N359" s="124"/>
      <c r="O359" s="125"/>
      <c r="P359" s="97"/>
      <c r="Q359" s="131"/>
      <c r="R359" s="126"/>
      <c r="S359" s="97"/>
      <c r="T359" s="97"/>
      <c r="V359" s="108"/>
    </row>
    <row r="360" ht="15.75" customHeight="1">
      <c r="A360" s="91"/>
      <c r="B360" s="171"/>
      <c r="C360" s="143"/>
      <c r="D360" s="97"/>
      <c r="E360" s="143"/>
      <c r="F360" s="143"/>
      <c r="G360" s="97"/>
      <c r="H360" s="143"/>
      <c r="I360" s="97"/>
      <c r="J360" s="97"/>
      <c r="K360" s="152"/>
      <c r="L360" s="152"/>
      <c r="M360" s="102"/>
      <c r="N360" s="124"/>
      <c r="O360" s="125"/>
      <c r="P360" s="97"/>
      <c r="Q360" s="131"/>
      <c r="R360" s="126"/>
      <c r="S360" s="97"/>
      <c r="T360" s="97"/>
      <c r="V360" s="108"/>
    </row>
  </sheetData>
  <autoFilter ref="$A$12:$V$109"/>
  <customSheetViews>
    <customSheetView guid="{13FBEE33-5560-4ECB-B707-C73777468090}"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4"/>
      <c r="B1" s="89" t="s">
        <v>31</v>
      </c>
      <c r="C1" s="89" t="s">
        <v>77</v>
      </c>
      <c r="D1" s="34"/>
      <c r="E1" s="39" t="s">
        <v>33</v>
      </c>
      <c r="F1" s="40"/>
      <c r="G1" s="34"/>
      <c r="H1" s="39" t="s">
        <v>34</v>
      </c>
      <c r="I1" s="40"/>
      <c r="J1" s="13"/>
      <c r="K1" s="153" t="s">
        <v>35</v>
      </c>
      <c r="L1" s="42"/>
      <c r="M1" s="13"/>
      <c r="N1" s="39" t="s">
        <v>36</v>
      </c>
      <c r="O1" s="43"/>
      <c r="P1" s="34"/>
      <c r="Q1" s="39" t="s">
        <v>37</v>
      </c>
      <c r="R1" s="44"/>
      <c r="S1" s="40"/>
      <c r="T1" s="40"/>
      <c r="U1" s="34" t="s">
        <v>38</v>
      </c>
      <c r="V1" s="34"/>
    </row>
    <row r="2">
      <c r="A2" s="34"/>
      <c r="B2" s="40"/>
      <c r="C2" s="40"/>
      <c r="D2" s="13"/>
      <c r="E2" s="154" t="s">
        <v>26</v>
      </c>
      <c r="F2" s="155">
        <f>IFERROR(COUNTIFS(I13:I287, "Full-Pay"),"")</f>
        <v>7</v>
      </c>
      <c r="G2" s="13"/>
      <c r="H2" s="47" t="s">
        <v>16</v>
      </c>
      <c r="I2" s="48">
        <f>iferror(I10/I8,"")</f>
        <v>0.5294117647</v>
      </c>
      <c r="J2" s="12"/>
      <c r="K2" s="156" t="s">
        <v>39</v>
      </c>
      <c r="L2" s="50">
        <f>iferror(F8/I6,"")</f>
        <v>0.04761904762</v>
      </c>
      <c r="M2" s="12"/>
      <c r="N2" s="51" t="s">
        <v>40</v>
      </c>
      <c r="O2" s="52">
        <f>IFERROR(COUNTIFS(N13:N286, "think about it"),"")</f>
        <v>0</v>
      </c>
      <c r="P2" s="13"/>
      <c r="Q2" s="53" t="s">
        <v>41</v>
      </c>
      <c r="R2" s="54">
        <f>IFERROR(COUNTIF(H13:H286,Q2),"")</f>
        <v>0</v>
      </c>
      <c r="S2" s="53" t="s">
        <v>42</v>
      </c>
      <c r="T2" s="55">
        <f>IFERROR(COUNTIF(H13:H286,S2),"")</f>
        <v>0</v>
      </c>
      <c r="U2" s="34"/>
      <c r="V2" s="56"/>
    </row>
    <row r="3">
      <c r="A3" s="13"/>
      <c r="B3" s="157" t="s">
        <v>43</v>
      </c>
      <c r="C3" s="58">
        <f>IFERROR(SUM(K13:K283),"")</f>
        <v>162000</v>
      </c>
      <c r="D3" s="59"/>
      <c r="E3" s="154" t="s">
        <v>27</v>
      </c>
      <c r="F3" s="155">
        <f>IFERROR(COUNTIFS(I13:I287, "Split-Pay"),"")</f>
        <v>11</v>
      </c>
      <c r="G3" s="13"/>
      <c r="H3" s="47" t="s">
        <v>17</v>
      </c>
      <c r="I3" s="48">
        <f>IFERROR(I10/I9,"")</f>
        <v>0.5294117647</v>
      </c>
      <c r="J3" s="12"/>
      <c r="K3" s="156" t="s">
        <v>44</v>
      </c>
      <c r="L3" s="50">
        <f>iferror(F9/I6,"")</f>
        <v>0.07142857143</v>
      </c>
      <c r="M3" s="12"/>
      <c r="N3" s="51" t="s">
        <v>45</v>
      </c>
      <c r="O3" s="60">
        <f>IFERROR(COUNTIFS(N13:N286, "money"),"")</f>
        <v>12</v>
      </c>
      <c r="P3" s="13"/>
      <c r="Q3" s="53" t="s">
        <v>46</v>
      </c>
      <c r="R3" s="54">
        <f>IFERROR(COUNTIF(H13:H286,Q3),"")</f>
        <v>0</v>
      </c>
      <c r="S3" s="53" t="s">
        <v>47</v>
      </c>
      <c r="T3" s="55">
        <f>IFERROR(COUNTIF(H13:H286,S3),"")</f>
        <v>0</v>
      </c>
      <c r="U3" s="34"/>
      <c r="V3" s="56"/>
    </row>
    <row r="4">
      <c r="A4" s="13"/>
      <c r="B4" s="158" t="s">
        <v>48</v>
      </c>
      <c r="C4" s="62">
        <f>IFERROR(SUM(L13:L284),"")</f>
        <v>88550</v>
      </c>
      <c r="D4" s="59"/>
      <c r="E4" s="154" t="s">
        <v>28</v>
      </c>
      <c r="F4" s="155">
        <f>IFERROR(COUNTIFS(I13:I287, "Deposit"),"")</f>
        <v>1</v>
      </c>
      <c r="G4" s="13"/>
      <c r="H4" s="47" t="s">
        <v>18</v>
      </c>
      <c r="I4" s="48">
        <f>IFERROR(I9/I8,"")</f>
        <v>1</v>
      </c>
      <c r="J4" s="12"/>
      <c r="K4" s="156" t="s">
        <v>49</v>
      </c>
      <c r="L4" s="50">
        <f>iferror(F10/I6,"")</f>
        <v>0.07142857143</v>
      </c>
      <c r="M4" s="12"/>
      <c r="N4" s="51" t="s">
        <v>50</v>
      </c>
      <c r="O4" s="52">
        <f>IFERROR(COUNTIFS(N13:N286, "time"),"")</f>
        <v>1</v>
      </c>
      <c r="P4" s="13"/>
      <c r="Q4" s="53" t="s">
        <v>51</v>
      </c>
      <c r="R4" s="54">
        <f>IFERROR(COUNTIF(H13:H286,Q4),"")</f>
        <v>0</v>
      </c>
      <c r="S4" s="53" t="s">
        <v>52</v>
      </c>
      <c r="T4" s="55">
        <f>IFERROR(COUNTIF(H13:H286,S4),"")</f>
        <v>0</v>
      </c>
      <c r="U4" s="34"/>
      <c r="V4" s="34"/>
    </row>
    <row r="5">
      <c r="A5" s="34"/>
      <c r="B5" s="40"/>
      <c r="C5" s="40"/>
      <c r="D5" s="13"/>
      <c r="E5" s="154" t="s">
        <v>53</v>
      </c>
      <c r="F5" s="155">
        <f>IFERROR(COUNTIFS(I13:I287, "Offer &amp; Didn't Buy"),"")</f>
        <v>15</v>
      </c>
      <c r="G5" s="13"/>
      <c r="H5" s="47" t="s">
        <v>54</v>
      </c>
      <c r="I5" s="48">
        <f>IFERROR(F7/(C6+F7+F8),"")</f>
        <v>0</v>
      </c>
      <c r="J5" s="13"/>
      <c r="K5" s="156" t="s">
        <v>54</v>
      </c>
      <c r="L5" s="50">
        <f>iferror(F7/I6,"")</f>
        <v>0</v>
      </c>
      <c r="M5" s="12"/>
      <c r="N5" s="51" t="s">
        <v>55</v>
      </c>
      <c r="O5" s="52">
        <f>IFERROR(COUNTIFS(N13:N286, "partner"),"")</f>
        <v>3</v>
      </c>
      <c r="P5" s="13"/>
      <c r="Q5" s="53" t="s">
        <v>56</v>
      </c>
      <c r="R5" s="54">
        <f>IFERROR(COUNTIF(H13:H286,Q5),"")</f>
        <v>0</v>
      </c>
      <c r="S5" s="53" t="s">
        <v>57</v>
      </c>
      <c r="T5" s="55">
        <f>IFERROR(COUNTIF(H13:H286,S5),"")</f>
        <v>0</v>
      </c>
      <c r="U5" s="34"/>
      <c r="V5" s="56"/>
    </row>
    <row r="6">
      <c r="A6" s="13"/>
      <c r="B6" s="159" t="s">
        <v>58</v>
      </c>
      <c r="C6" s="64">
        <f>IFERROR(SUM(F2:F6),"")</f>
        <v>34</v>
      </c>
      <c r="D6" s="13"/>
      <c r="E6" s="154" t="s">
        <v>59</v>
      </c>
      <c r="F6" s="155">
        <f>IFERROR(COUNTIFS(I13:I287, "Bad Fit &amp; No Offer"),"")</f>
        <v>0</v>
      </c>
      <c r="G6" s="13"/>
      <c r="H6" s="47" t="s">
        <v>21</v>
      </c>
      <c r="I6" s="65">
        <f>IFERROR(SUM(F2:F10),"")</f>
        <v>42</v>
      </c>
      <c r="J6" s="13"/>
      <c r="K6" s="160" t="s">
        <v>29</v>
      </c>
      <c r="L6" s="50">
        <f>iferror(I7/I6,"")</f>
        <v>0.8095238095</v>
      </c>
      <c r="M6" s="12"/>
      <c r="N6" s="51" t="s">
        <v>60</v>
      </c>
      <c r="O6" s="52">
        <f>IFERROR(COUNTIFS(N13:N286, "fear"),"")</f>
        <v>1</v>
      </c>
      <c r="P6" s="13"/>
      <c r="Q6" s="53" t="s">
        <v>61</v>
      </c>
      <c r="R6" s="54">
        <f>IFERROR(COUNTIF(H13:H286,Q6),"")</f>
        <v>0</v>
      </c>
      <c r="S6" s="53" t="s">
        <v>62</v>
      </c>
      <c r="T6" s="55">
        <f>IFERROR(COUNTIF(H13:H286,S6),"")</f>
        <v>0</v>
      </c>
      <c r="U6" s="34"/>
      <c r="V6" s="56"/>
    </row>
    <row r="7">
      <c r="A7" s="13"/>
      <c r="B7" s="159" t="s">
        <v>63</v>
      </c>
      <c r="C7" s="67">
        <f>IFERROR(F2+F3,"")</f>
        <v>18</v>
      </c>
      <c r="D7" s="13"/>
      <c r="E7" s="154" t="s">
        <v>64</v>
      </c>
      <c r="F7" s="155">
        <f>IFERROR(COUNTIFS(I13:I287, "Drag Over &amp; Show"),"")</f>
        <v>0</v>
      </c>
      <c r="G7" s="13"/>
      <c r="H7" s="47" t="s">
        <v>22</v>
      </c>
      <c r="I7" s="65">
        <f>IFERROR(SUM(F2:F7),"")</f>
        <v>34</v>
      </c>
      <c r="J7" s="13"/>
      <c r="K7" s="161" t="s">
        <v>30</v>
      </c>
      <c r="L7" s="69">
        <f>IFERROR(I8/I6,"")</f>
        <v>0.8095238095</v>
      </c>
      <c r="M7" s="12"/>
      <c r="N7" s="70" t="s">
        <v>65</v>
      </c>
      <c r="O7" s="71">
        <f>IFERROR(COUNTIFS(N14:N287, "value"),"")</f>
        <v>0</v>
      </c>
      <c r="P7" s="13"/>
      <c r="Q7" s="53" t="s">
        <v>66</v>
      </c>
      <c r="R7" s="54">
        <f>IFERROR(COUNTIF(H13:H286,Q7),"")</f>
        <v>0</v>
      </c>
      <c r="S7" s="53" t="s">
        <v>67</v>
      </c>
      <c r="T7" s="55">
        <f>IFERROR(COUNTIF(H13:H286,S7),"")</f>
        <v>0</v>
      </c>
      <c r="U7" s="34"/>
      <c r="V7" s="34"/>
    </row>
    <row r="8">
      <c r="A8" s="13"/>
      <c r="B8" s="159" t="s">
        <v>68</v>
      </c>
      <c r="C8" s="72">
        <f>COUNTIF(I13:I286,"offer &amp; didn't buy")+countif(I13:I286,"deposit")+countif(I13:I286,"bad fit &amp; no offer")</f>
        <v>16</v>
      </c>
      <c r="D8" s="73"/>
      <c r="E8" s="154" t="s">
        <v>69</v>
      </c>
      <c r="F8" s="155">
        <f>IFERROR(COUNTIFS(I13:I287, "Rescheduled"),"")</f>
        <v>2</v>
      </c>
      <c r="G8" s="13"/>
      <c r="H8" s="47" t="s">
        <v>23</v>
      </c>
      <c r="I8" s="65">
        <f>IFERROR(SUM(F2:F6),"")</f>
        <v>34</v>
      </c>
      <c r="J8" s="34"/>
      <c r="K8" s="34"/>
      <c r="L8" s="34"/>
      <c r="M8" s="34"/>
      <c r="N8" s="34"/>
      <c r="O8" s="75"/>
      <c r="P8" s="13"/>
      <c r="Q8" s="76" t="s">
        <v>70</v>
      </c>
      <c r="R8" s="77">
        <f>IFERROR(COUNTIF(H13:H286,Q8),"")</f>
        <v>0</v>
      </c>
      <c r="S8" s="76" t="s">
        <v>71</v>
      </c>
      <c r="T8" s="78">
        <f>IFERROR(COUNTIF(H13:H286,S8),"")</f>
        <v>0</v>
      </c>
      <c r="U8" s="34"/>
      <c r="V8" s="34"/>
    </row>
    <row r="9">
      <c r="A9" s="13"/>
      <c r="B9" s="159" t="s">
        <v>72</v>
      </c>
      <c r="C9" s="79">
        <f>iferror(SUM(C7/C6),"")</f>
        <v>0.5294117647</v>
      </c>
      <c r="D9" s="12"/>
      <c r="E9" s="154" t="s">
        <v>73</v>
      </c>
      <c r="F9" s="155">
        <f>IFERROR(COUNTIFS(I13:I287, "Cancelled"),"")</f>
        <v>3</v>
      </c>
      <c r="G9" s="13"/>
      <c r="H9" s="47" t="s">
        <v>24</v>
      </c>
      <c r="I9" s="65">
        <f>IFERROR(sum(F2:F5),"")</f>
        <v>34</v>
      </c>
      <c r="J9" s="34"/>
      <c r="K9" s="34"/>
      <c r="L9" s="34"/>
      <c r="M9" s="34"/>
      <c r="N9" s="34"/>
      <c r="O9" s="75"/>
      <c r="P9" s="34"/>
      <c r="Q9" s="34"/>
      <c r="R9" s="34"/>
      <c r="S9" s="34"/>
      <c r="T9" s="34"/>
      <c r="V9" s="34"/>
    </row>
    <row r="10">
      <c r="A10" s="34"/>
      <c r="B10" s="34"/>
      <c r="C10" s="194">
        <f>C3/C6</f>
        <v>4764.705882</v>
      </c>
      <c r="D10" s="13"/>
      <c r="E10" s="162" t="s">
        <v>74</v>
      </c>
      <c r="F10" s="163">
        <f>IFERROR(COUNTIFS(I13:I287, "No-Show"),"")</f>
        <v>3</v>
      </c>
      <c r="G10" s="13"/>
      <c r="H10" s="82" t="s">
        <v>75</v>
      </c>
      <c r="I10" s="83">
        <f>F2+F3</f>
        <v>18</v>
      </c>
      <c r="J10" s="34"/>
      <c r="K10" s="34"/>
      <c r="L10" s="34"/>
      <c r="M10" s="34"/>
      <c r="N10" s="34"/>
      <c r="O10" s="75"/>
      <c r="P10" s="34"/>
      <c r="Q10" s="34"/>
      <c r="R10" s="34"/>
      <c r="S10" s="34"/>
      <c r="T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89" t="s">
        <v>78</v>
      </c>
      <c r="F12" s="36" t="s">
        <v>223</v>
      </c>
      <c r="G12" s="34"/>
      <c r="H12" s="89" t="s">
        <v>37</v>
      </c>
      <c r="I12" s="89" t="s">
        <v>33</v>
      </c>
      <c r="J12" s="34"/>
      <c r="K12" s="89" t="s">
        <v>80</v>
      </c>
      <c r="L12" s="89" t="s">
        <v>48</v>
      </c>
      <c r="M12" s="34"/>
      <c r="N12" s="89" t="s">
        <v>81</v>
      </c>
      <c r="O12" s="90" t="s">
        <v>82</v>
      </c>
      <c r="P12" s="34"/>
      <c r="Q12" s="89" t="s">
        <v>83</v>
      </c>
      <c r="R12" s="89" t="s">
        <v>84</v>
      </c>
      <c r="S12" s="89" t="s">
        <v>85</v>
      </c>
      <c r="T12" s="89" t="s">
        <v>86</v>
      </c>
      <c r="V12" s="56"/>
    </row>
    <row r="13" ht="15.75" customHeight="1">
      <c r="A13" s="91"/>
      <c r="B13" s="98" t="s">
        <v>224</v>
      </c>
      <c r="C13" s="195" t="s">
        <v>225</v>
      </c>
      <c r="D13" s="94"/>
      <c r="E13" s="188">
        <v>2.8964056E7</v>
      </c>
      <c r="F13" s="196" t="s">
        <v>226</v>
      </c>
      <c r="G13" s="97"/>
      <c r="H13" s="98" t="s">
        <v>90</v>
      </c>
      <c r="I13" s="99" t="s">
        <v>107</v>
      </c>
      <c r="J13" s="97"/>
      <c r="K13" s="101">
        <v>9000.0</v>
      </c>
      <c r="L13" s="101">
        <v>3000.0</v>
      </c>
      <c r="M13" s="102"/>
      <c r="N13" s="103" t="s">
        <v>45</v>
      </c>
      <c r="O13" s="104" t="s">
        <v>227</v>
      </c>
      <c r="P13" s="97"/>
      <c r="Q13" s="105" t="s">
        <v>179</v>
      </c>
      <c r="R13" s="107"/>
      <c r="S13" s="105" t="s">
        <v>110</v>
      </c>
      <c r="T13" s="106" t="s">
        <v>228</v>
      </c>
      <c r="U13" s="107"/>
      <c r="V13" s="108"/>
    </row>
    <row r="14" ht="15.75" customHeight="1">
      <c r="A14" s="91"/>
      <c r="B14" s="98" t="s">
        <v>229</v>
      </c>
      <c r="C14" s="197" t="s">
        <v>230</v>
      </c>
      <c r="D14" s="94"/>
      <c r="E14" s="198">
        <v>5.4320193E7</v>
      </c>
      <c r="F14" s="199" t="s">
        <v>231</v>
      </c>
      <c r="G14" s="97"/>
      <c r="H14" s="98" t="s">
        <v>90</v>
      </c>
      <c r="I14" s="99" t="s">
        <v>107</v>
      </c>
      <c r="J14" s="97"/>
      <c r="K14" s="101">
        <v>9000.0</v>
      </c>
      <c r="L14" s="101">
        <v>3000.0</v>
      </c>
      <c r="M14" s="102"/>
      <c r="N14" s="103"/>
      <c r="O14" s="104"/>
      <c r="P14" s="97"/>
      <c r="Q14" s="105" t="s">
        <v>179</v>
      </c>
      <c r="R14" s="116"/>
      <c r="S14" s="105" t="s">
        <v>110</v>
      </c>
      <c r="T14" s="106" t="s">
        <v>232</v>
      </c>
      <c r="U14" s="107"/>
      <c r="V14" s="108"/>
    </row>
    <row r="15" ht="15.75" customHeight="1">
      <c r="A15" s="97"/>
      <c r="B15" s="98" t="s">
        <v>233</v>
      </c>
      <c r="C15" s="200" t="s">
        <v>234</v>
      </c>
      <c r="D15" s="97"/>
      <c r="E15" s="109">
        <v>4.2910033E7</v>
      </c>
      <c r="F15" s="201" t="s">
        <v>235</v>
      </c>
      <c r="G15" s="97"/>
      <c r="H15" s="98" t="s">
        <v>90</v>
      </c>
      <c r="I15" s="99" t="s">
        <v>107</v>
      </c>
      <c r="J15" s="97"/>
      <c r="K15" s="101">
        <v>9000.0</v>
      </c>
      <c r="L15" s="101">
        <v>2800.0</v>
      </c>
      <c r="M15" s="102"/>
      <c r="N15" s="103"/>
      <c r="O15" s="104"/>
      <c r="P15" s="97"/>
      <c r="Q15" s="105" t="s">
        <v>179</v>
      </c>
      <c r="R15" s="116"/>
      <c r="S15" s="105" t="s">
        <v>110</v>
      </c>
      <c r="T15" s="111" t="s">
        <v>236</v>
      </c>
      <c r="U15" s="105"/>
      <c r="V15" s="108"/>
    </row>
    <row r="16" ht="15.75" customHeight="1">
      <c r="A16" s="97"/>
      <c r="B16" s="188" t="s">
        <v>237</v>
      </c>
      <c r="C16" s="202" t="s">
        <v>238</v>
      </c>
      <c r="E16" s="109">
        <v>2.9275838E7</v>
      </c>
      <c r="F16" s="117" t="s">
        <v>239</v>
      </c>
      <c r="G16" s="97"/>
      <c r="H16" s="98" t="s">
        <v>90</v>
      </c>
      <c r="I16" s="99" t="s">
        <v>91</v>
      </c>
      <c r="J16" s="97"/>
      <c r="K16" s="101"/>
      <c r="L16" s="101"/>
      <c r="M16" s="102"/>
      <c r="N16" s="103" t="s">
        <v>55</v>
      </c>
      <c r="O16" s="104" t="s">
        <v>240</v>
      </c>
      <c r="P16" s="97"/>
      <c r="Q16" s="115"/>
      <c r="R16" s="116"/>
      <c r="S16" s="105" t="s">
        <v>93</v>
      </c>
      <c r="T16" s="117" t="s">
        <v>241</v>
      </c>
      <c r="U16" s="105"/>
      <c r="V16" s="108"/>
    </row>
    <row r="17" ht="15.75" customHeight="1">
      <c r="A17" s="97"/>
      <c r="B17" s="98" t="s">
        <v>242</v>
      </c>
      <c r="C17" s="174" t="s">
        <v>243</v>
      </c>
      <c r="D17" s="105"/>
      <c r="E17" s="181">
        <v>2.0949289E7</v>
      </c>
      <c r="F17" s="203" t="s">
        <v>244</v>
      </c>
      <c r="G17" s="97"/>
      <c r="H17" s="98" t="s">
        <v>90</v>
      </c>
      <c r="I17" s="99" t="s">
        <v>91</v>
      </c>
      <c r="J17" s="97"/>
      <c r="L17" s="101"/>
      <c r="M17" s="102"/>
      <c r="N17" s="103" t="s">
        <v>50</v>
      </c>
      <c r="O17" s="104" t="s">
        <v>245</v>
      </c>
      <c r="P17" s="97"/>
      <c r="Q17" s="105"/>
      <c r="R17" s="116"/>
      <c r="S17" s="105" t="s">
        <v>93</v>
      </c>
      <c r="T17" s="105" t="s">
        <v>246</v>
      </c>
      <c r="V17" s="108"/>
    </row>
    <row r="18" ht="15.75" customHeight="1">
      <c r="A18" s="97"/>
      <c r="B18" s="98" t="s">
        <v>242</v>
      </c>
      <c r="C18" s="178" t="s">
        <v>247</v>
      </c>
      <c r="D18" s="97"/>
      <c r="E18" s="127">
        <v>2.5734947E7</v>
      </c>
      <c r="F18" s="196" t="s">
        <v>248</v>
      </c>
      <c r="G18" s="97"/>
      <c r="H18" s="98" t="s">
        <v>90</v>
      </c>
      <c r="I18" s="99" t="s">
        <v>91</v>
      </c>
      <c r="J18" s="97"/>
      <c r="K18" s="114"/>
      <c r="L18" s="114"/>
      <c r="M18" s="102"/>
      <c r="N18" s="103" t="s">
        <v>45</v>
      </c>
      <c r="O18" s="104" t="s">
        <v>249</v>
      </c>
      <c r="P18" s="97"/>
      <c r="Q18" s="97"/>
      <c r="R18" s="126"/>
      <c r="S18" s="105" t="s">
        <v>93</v>
      </c>
      <c r="T18" s="119" t="s">
        <v>250</v>
      </c>
      <c r="U18" s="97"/>
      <c r="V18" s="108"/>
    </row>
    <row r="19" ht="15.75" customHeight="1">
      <c r="A19" s="97"/>
      <c r="B19" s="98" t="s">
        <v>251</v>
      </c>
      <c r="C19" s="204" t="s">
        <v>252</v>
      </c>
      <c r="D19" s="97"/>
      <c r="E19" s="109">
        <v>5.36201E7</v>
      </c>
      <c r="F19" s="205" t="s">
        <v>253</v>
      </c>
      <c r="G19" s="97"/>
      <c r="H19" s="98" t="s">
        <v>90</v>
      </c>
      <c r="I19" s="99" t="s">
        <v>178</v>
      </c>
      <c r="J19" s="97"/>
      <c r="K19" s="101">
        <v>9000.0</v>
      </c>
      <c r="L19" s="101">
        <v>9000.0</v>
      </c>
      <c r="M19" s="102"/>
      <c r="N19" s="103"/>
      <c r="O19" s="125"/>
      <c r="P19" s="97"/>
      <c r="Q19" s="105" t="s">
        <v>179</v>
      </c>
      <c r="R19" s="126"/>
      <c r="S19" s="105" t="s">
        <v>110</v>
      </c>
      <c r="T19" s="119" t="s">
        <v>254</v>
      </c>
      <c r="U19" s="97"/>
      <c r="V19" s="108"/>
    </row>
    <row r="20" ht="15.75" customHeight="1">
      <c r="A20" s="97"/>
      <c r="B20" s="119" t="s">
        <v>255</v>
      </c>
      <c r="C20" s="206" t="s">
        <v>256</v>
      </c>
      <c r="D20" s="97"/>
      <c r="E20" s="109">
        <v>2.9888407E7</v>
      </c>
      <c r="F20" s="205" t="s">
        <v>257</v>
      </c>
      <c r="G20" s="97"/>
      <c r="H20" s="98" t="s">
        <v>90</v>
      </c>
      <c r="I20" s="99" t="s">
        <v>178</v>
      </c>
      <c r="J20" s="97"/>
      <c r="K20" s="101">
        <v>9000.0</v>
      </c>
      <c r="L20" s="101">
        <v>9000.0</v>
      </c>
      <c r="M20" s="102"/>
      <c r="N20" s="124"/>
      <c r="O20" s="104"/>
      <c r="P20" s="97"/>
      <c r="Q20" s="105" t="s">
        <v>179</v>
      </c>
      <c r="R20" s="126"/>
      <c r="S20" s="105" t="s">
        <v>110</v>
      </c>
      <c r="T20" s="119" t="s">
        <v>258</v>
      </c>
      <c r="U20" s="97"/>
      <c r="V20" s="108"/>
    </row>
    <row r="21" ht="15.75" customHeight="1">
      <c r="A21" s="91"/>
      <c r="B21" s="98" t="s">
        <v>259</v>
      </c>
      <c r="C21" s="174" t="s">
        <v>260</v>
      </c>
      <c r="D21" s="97"/>
      <c r="E21" s="109">
        <v>2.2877779E7</v>
      </c>
      <c r="F21" s="207" t="s">
        <v>261</v>
      </c>
      <c r="G21" s="97"/>
      <c r="H21" s="98" t="s">
        <v>90</v>
      </c>
      <c r="I21" s="99" t="s">
        <v>91</v>
      </c>
      <c r="J21" s="97"/>
      <c r="K21" s="101"/>
      <c r="L21" s="101">
        <v>1500.0</v>
      </c>
      <c r="M21" s="102"/>
      <c r="N21" s="103" t="s">
        <v>60</v>
      </c>
      <c r="O21" s="104"/>
      <c r="P21" s="97"/>
      <c r="Q21" s="115"/>
      <c r="R21" s="165"/>
      <c r="S21" s="105" t="s">
        <v>93</v>
      </c>
      <c r="T21" s="105" t="s">
        <v>262</v>
      </c>
      <c r="V21" s="108"/>
    </row>
    <row r="22" ht="15.75" customHeight="1">
      <c r="A22" s="91"/>
      <c r="B22" s="98" t="s">
        <v>263</v>
      </c>
      <c r="C22" s="185" t="s">
        <v>264</v>
      </c>
      <c r="D22" s="97"/>
      <c r="E22" s="109">
        <v>2.5696521E7</v>
      </c>
      <c r="F22" s="208" t="s">
        <v>265</v>
      </c>
      <c r="G22" s="97"/>
      <c r="H22" s="98" t="s">
        <v>90</v>
      </c>
      <c r="I22" s="99" t="s">
        <v>125</v>
      </c>
      <c r="J22" s="97"/>
      <c r="K22" s="114"/>
      <c r="L22" s="114"/>
      <c r="M22" s="102"/>
      <c r="N22" s="124"/>
      <c r="O22" s="104"/>
      <c r="P22" s="97"/>
      <c r="Q22" s="105"/>
      <c r="R22" s="126"/>
      <c r="S22" s="105"/>
      <c r="T22" s="105"/>
      <c r="V22" s="108"/>
    </row>
    <row r="23" ht="15.75" customHeight="1">
      <c r="A23" s="91"/>
      <c r="B23" s="98" t="s">
        <v>266</v>
      </c>
      <c r="C23" s="183" t="s">
        <v>267</v>
      </c>
      <c r="D23" s="97"/>
      <c r="E23" s="109">
        <v>2.1578559E7</v>
      </c>
      <c r="F23" s="209" t="s">
        <v>268</v>
      </c>
      <c r="G23" s="97"/>
      <c r="H23" s="98" t="s">
        <v>90</v>
      </c>
      <c r="I23" s="105" t="s">
        <v>98</v>
      </c>
      <c r="J23" s="97"/>
      <c r="K23" s="101"/>
      <c r="L23" s="101"/>
      <c r="M23" s="102"/>
      <c r="N23" s="103"/>
      <c r="O23" s="104"/>
      <c r="P23" s="97"/>
      <c r="Q23" s="115"/>
      <c r="R23" s="107"/>
      <c r="S23" s="105"/>
      <c r="T23" s="105"/>
      <c r="V23" s="108"/>
    </row>
    <row r="24" ht="15.75" customHeight="1">
      <c r="A24" s="91"/>
      <c r="B24" s="98" t="s">
        <v>269</v>
      </c>
      <c r="C24" s="185" t="s">
        <v>270</v>
      </c>
      <c r="D24" s="97"/>
      <c r="E24" s="127">
        <v>2.712931E7</v>
      </c>
      <c r="F24" s="207" t="s">
        <v>271</v>
      </c>
      <c r="G24" s="97"/>
      <c r="H24" s="98" t="s">
        <v>90</v>
      </c>
      <c r="I24" s="105" t="s">
        <v>175</v>
      </c>
      <c r="J24" s="97"/>
      <c r="K24" s="114"/>
      <c r="L24" s="114"/>
      <c r="M24" s="102"/>
      <c r="N24" s="124"/>
      <c r="O24" s="125"/>
      <c r="P24" s="97"/>
      <c r="Q24" s="97"/>
      <c r="R24" s="126"/>
      <c r="S24" s="97"/>
      <c r="T24" s="97"/>
      <c r="V24" s="108"/>
    </row>
    <row r="25" ht="15.75" customHeight="1">
      <c r="A25" s="91"/>
      <c r="B25" s="98" t="s">
        <v>269</v>
      </c>
      <c r="C25" s="183" t="s">
        <v>272</v>
      </c>
      <c r="D25" s="97"/>
      <c r="E25" s="127">
        <v>6.1462357E7</v>
      </c>
      <c r="F25" s="210" t="s">
        <v>273</v>
      </c>
      <c r="G25" s="97"/>
      <c r="H25" s="98" t="s">
        <v>90</v>
      </c>
      <c r="I25" s="105" t="s">
        <v>175</v>
      </c>
      <c r="J25" s="97"/>
      <c r="K25" s="101"/>
      <c r="L25" s="101"/>
      <c r="M25" s="102"/>
      <c r="N25" s="103"/>
      <c r="O25" s="104"/>
      <c r="P25" s="97"/>
      <c r="Q25" s="115"/>
      <c r="R25" s="107"/>
      <c r="S25" s="105"/>
      <c r="T25" s="105"/>
      <c r="V25" s="108"/>
    </row>
    <row r="26" ht="15.75" customHeight="1">
      <c r="A26" s="91"/>
      <c r="B26" s="98" t="s">
        <v>269</v>
      </c>
      <c r="C26" s="185" t="s">
        <v>274</v>
      </c>
      <c r="D26" s="97"/>
      <c r="E26" s="127">
        <v>3.0499574E7</v>
      </c>
      <c r="F26" s="211" t="s">
        <v>275</v>
      </c>
      <c r="G26" s="97"/>
      <c r="H26" s="98" t="s">
        <v>90</v>
      </c>
      <c r="I26" s="105" t="s">
        <v>91</v>
      </c>
      <c r="J26" s="97"/>
      <c r="K26" s="114"/>
      <c r="L26" s="114"/>
      <c r="M26" s="102"/>
      <c r="N26" s="103" t="s">
        <v>45</v>
      </c>
      <c r="O26" s="104" t="s">
        <v>276</v>
      </c>
      <c r="P26" s="97"/>
      <c r="Q26" s="115"/>
      <c r="R26" s="107"/>
      <c r="S26" s="105" t="s">
        <v>116</v>
      </c>
      <c r="T26" s="105" t="s">
        <v>277</v>
      </c>
      <c r="V26" s="108"/>
    </row>
    <row r="27" ht="15.75" customHeight="1">
      <c r="A27" s="91"/>
      <c r="B27" s="98" t="s">
        <v>269</v>
      </c>
      <c r="C27" s="185" t="s">
        <v>278</v>
      </c>
      <c r="D27" s="97"/>
      <c r="E27" s="127">
        <v>3.0560719E7</v>
      </c>
      <c r="F27" s="210" t="s">
        <v>279</v>
      </c>
      <c r="G27" s="97"/>
      <c r="H27" s="98" t="s">
        <v>90</v>
      </c>
      <c r="I27" s="105" t="s">
        <v>91</v>
      </c>
      <c r="J27" s="97"/>
      <c r="K27" s="101"/>
      <c r="L27" s="101"/>
      <c r="M27" s="102"/>
      <c r="N27" s="103" t="s">
        <v>45</v>
      </c>
      <c r="O27" s="104" t="s">
        <v>280</v>
      </c>
      <c r="P27" s="97"/>
      <c r="Q27" s="97"/>
      <c r="R27" s="126"/>
      <c r="S27" s="105" t="s">
        <v>116</v>
      </c>
      <c r="T27" s="105" t="s">
        <v>281</v>
      </c>
      <c r="V27" s="108"/>
    </row>
    <row r="28" ht="15.75" customHeight="1">
      <c r="A28" s="91"/>
      <c r="B28" s="98" t="s">
        <v>282</v>
      </c>
      <c r="C28" s="183" t="s">
        <v>283</v>
      </c>
      <c r="D28" s="97"/>
      <c r="E28" s="127">
        <v>2.577805E7</v>
      </c>
      <c r="F28" s="210" t="s">
        <v>284</v>
      </c>
      <c r="G28" s="97"/>
      <c r="H28" s="98" t="s">
        <v>90</v>
      </c>
      <c r="I28" s="105" t="s">
        <v>107</v>
      </c>
      <c r="J28" s="97"/>
      <c r="K28" s="101">
        <v>9000.0</v>
      </c>
      <c r="L28" s="101">
        <v>1500.0</v>
      </c>
      <c r="M28" s="102"/>
      <c r="N28" s="103"/>
      <c r="O28" s="104"/>
      <c r="P28" s="97"/>
      <c r="Q28" s="105" t="s">
        <v>179</v>
      </c>
      <c r="R28" s="116"/>
      <c r="S28" s="105" t="s">
        <v>110</v>
      </c>
      <c r="T28" s="105" t="s">
        <v>285</v>
      </c>
      <c r="V28" s="108"/>
    </row>
    <row r="29" ht="15.75" customHeight="1">
      <c r="A29" s="91"/>
      <c r="B29" s="98" t="s">
        <v>286</v>
      </c>
      <c r="C29" s="212" t="s">
        <v>287</v>
      </c>
      <c r="D29" s="97"/>
      <c r="E29" s="109">
        <v>5.1896148E7</v>
      </c>
      <c r="F29" s="213" t="s">
        <v>288</v>
      </c>
      <c r="G29" s="97"/>
      <c r="H29" s="98" t="s">
        <v>90</v>
      </c>
      <c r="I29" s="105" t="s">
        <v>91</v>
      </c>
      <c r="J29" s="97"/>
      <c r="K29" s="101"/>
      <c r="L29" s="101"/>
      <c r="M29" s="102"/>
      <c r="N29" s="103" t="s">
        <v>45</v>
      </c>
      <c r="O29" s="104" t="s">
        <v>289</v>
      </c>
      <c r="P29" s="97"/>
      <c r="Q29" s="97"/>
      <c r="R29" s="126"/>
      <c r="S29" s="105" t="s">
        <v>116</v>
      </c>
      <c r="T29" s="105" t="s">
        <v>290</v>
      </c>
      <c r="V29" s="108"/>
    </row>
    <row r="30" ht="15.75" customHeight="1">
      <c r="A30" s="91"/>
      <c r="B30" s="98" t="s">
        <v>286</v>
      </c>
      <c r="C30" s="185" t="s">
        <v>291</v>
      </c>
      <c r="D30" s="97"/>
      <c r="E30" s="109">
        <v>6.0156529E7</v>
      </c>
      <c r="F30" s="208" t="s">
        <v>292</v>
      </c>
      <c r="G30" s="97"/>
      <c r="H30" s="98" t="s">
        <v>90</v>
      </c>
      <c r="I30" s="105" t="s">
        <v>98</v>
      </c>
      <c r="J30" s="97"/>
      <c r="K30" s="114"/>
      <c r="L30" s="114"/>
      <c r="M30" s="102"/>
      <c r="N30" s="124"/>
      <c r="O30" s="125"/>
      <c r="P30" s="97"/>
      <c r="Q30" s="97"/>
      <c r="R30" s="126"/>
      <c r="S30" s="105" t="s">
        <v>99</v>
      </c>
      <c r="T30" s="97"/>
      <c r="V30" s="108"/>
    </row>
    <row r="31" ht="15.75" customHeight="1">
      <c r="A31" s="91"/>
      <c r="B31" s="98" t="s">
        <v>286</v>
      </c>
      <c r="C31" s="185" t="s">
        <v>293</v>
      </c>
      <c r="D31" s="97"/>
      <c r="E31" s="127">
        <v>6.1683219E7</v>
      </c>
      <c r="F31" s="207" t="s">
        <v>294</v>
      </c>
      <c r="G31" s="97"/>
      <c r="H31" s="98" t="s">
        <v>90</v>
      </c>
      <c r="I31" s="105" t="s">
        <v>91</v>
      </c>
      <c r="J31" s="97"/>
      <c r="K31" s="101"/>
      <c r="L31" s="101"/>
      <c r="M31" s="102"/>
      <c r="N31" s="103" t="s">
        <v>45</v>
      </c>
      <c r="O31" s="104" t="s">
        <v>295</v>
      </c>
      <c r="P31" s="97"/>
      <c r="Q31" s="115"/>
      <c r="R31" s="107"/>
      <c r="S31" s="105" t="s">
        <v>93</v>
      </c>
      <c r="T31" s="105" t="s">
        <v>296</v>
      </c>
      <c r="V31" s="108"/>
    </row>
    <row r="32" ht="15.75" customHeight="1">
      <c r="A32" s="91"/>
      <c r="B32" s="98" t="s">
        <v>297</v>
      </c>
      <c r="C32" s="185" t="s">
        <v>298</v>
      </c>
      <c r="D32" s="97"/>
      <c r="E32" s="109">
        <v>5.3614922E7</v>
      </c>
      <c r="F32" s="117" t="s">
        <v>299</v>
      </c>
      <c r="G32" s="97"/>
      <c r="H32" s="98" t="s">
        <v>90</v>
      </c>
      <c r="I32" s="105" t="s">
        <v>91</v>
      </c>
      <c r="J32" s="97"/>
      <c r="K32" s="114"/>
      <c r="L32" s="114"/>
      <c r="M32" s="102"/>
      <c r="N32" s="103" t="s">
        <v>45</v>
      </c>
      <c r="O32" s="104" t="s">
        <v>295</v>
      </c>
      <c r="P32" s="97"/>
      <c r="Q32" s="97"/>
      <c r="R32" s="126"/>
      <c r="S32" s="105" t="s">
        <v>116</v>
      </c>
      <c r="T32" s="214" t="s">
        <v>300</v>
      </c>
      <c r="U32" s="97"/>
      <c r="V32" s="108"/>
    </row>
    <row r="33" ht="15.75" customHeight="1">
      <c r="A33" s="91"/>
      <c r="B33" s="188" t="s">
        <v>301</v>
      </c>
      <c r="C33" s="215" t="s">
        <v>302</v>
      </c>
      <c r="E33" s="127">
        <v>4.2607807E7</v>
      </c>
      <c r="F33" s="127" t="s">
        <v>303</v>
      </c>
      <c r="G33" s="97"/>
      <c r="H33" s="98" t="s">
        <v>90</v>
      </c>
      <c r="I33" s="105" t="s">
        <v>107</v>
      </c>
      <c r="J33" s="97"/>
      <c r="K33" s="101">
        <v>9000.0</v>
      </c>
      <c r="L33" s="101">
        <v>1500.0</v>
      </c>
      <c r="M33" s="102"/>
      <c r="N33" s="103"/>
      <c r="O33" s="104"/>
      <c r="P33" s="97"/>
      <c r="Q33" s="105" t="s">
        <v>179</v>
      </c>
      <c r="R33" s="107"/>
      <c r="S33" s="105" t="s">
        <v>110</v>
      </c>
      <c r="T33" s="105"/>
      <c r="V33" s="108"/>
    </row>
    <row r="34" ht="15.75" customHeight="1">
      <c r="A34" s="91"/>
      <c r="B34" s="98" t="s">
        <v>304</v>
      </c>
      <c r="C34" s="183" t="s">
        <v>305</v>
      </c>
      <c r="D34" s="97"/>
      <c r="E34" s="198">
        <v>5.1863021E7</v>
      </c>
      <c r="F34" s="109" t="s">
        <v>306</v>
      </c>
      <c r="G34" s="97"/>
      <c r="H34" s="98" t="s">
        <v>97</v>
      </c>
      <c r="I34" s="105" t="s">
        <v>178</v>
      </c>
      <c r="J34" s="97"/>
      <c r="K34" s="101">
        <v>9000.0</v>
      </c>
      <c r="L34" s="101">
        <v>9000.0</v>
      </c>
      <c r="M34" s="102"/>
      <c r="N34" s="124"/>
      <c r="O34" s="125"/>
      <c r="P34" s="97"/>
      <c r="Q34" s="105" t="s">
        <v>179</v>
      </c>
      <c r="R34" s="126"/>
      <c r="S34" s="105" t="s">
        <v>110</v>
      </c>
      <c r="T34" s="97"/>
      <c r="V34" s="108"/>
    </row>
    <row r="35" ht="15.75" customHeight="1">
      <c r="A35" s="91"/>
      <c r="B35" s="98" t="s">
        <v>307</v>
      </c>
      <c r="C35" s="212" t="s">
        <v>308</v>
      </c>
      <c r="D35" s="97"/>
      <c r="E35" s="109">
        <v>7.170323E7</v>
      </c>
      <c r="F35" s="127" t="s">
        <v>309</v>
      </c>
      <c r="G35" s="97"/>
      <c r="H35" s="98" t="s">
        <v>90</v>
      </c>
      <c r="I35" s="105" t="s">
        <v>178</v>
      </c>
      <c r="J35" s="97"/>
      <c r="K35" s="101">
        <v>9000.0</v>
      </c>
      <c r="L35" s="101">
        <v>9000.0</v>
      </c>
      <c r="M35" s="102"/>
      <c r="N35" s="124"/>
      <c r="O35" s="125"/>
      <c r="P35" s="97"/>
      <c r="Q35" s="105" t="s">
        <v>179</v>
      </c>
      <c r="R35" s="126"/>
      <c r="S35" s="105" t="s">
        <v>110</v>
      </c>
      <c r="T35" s="97"/>
      <c r="V35" s="108"/>
    </row>
    <row r="36" ht="15.75" customHeight="1">
      <c r="A36" s="91"/>
      <c r="B36" s="98" t="s">
        <v>307</v>
      </c>
      <c r="C36" s="212" t="s">
        <v>267</v>
      </c>
      <c r="D36" s="97"/>
      <c r="E36" s="109">
        <v>2.1578559E7</v>
      </c>
      <c r="F36" s="216" t="s">
        <v>268</v>
      </c>
      <c r="G36" s="97"/>
      <c r="H36" s="98" t="s">
        <v>90</v>
      </c>
      <c r="I36" s="105" t="s">
        <v>125</v>
      </c>
      <c r="J36" s="97"/>
      <c r="K36" s="114"/>
      <c r="L36" s="114"/>
      <c r="M36" s="102"/>
      <c r="N36" s="124"/>
      <c r="O36" s="125"/>
      <c r="P36" s="97"/>
      <c r="Q36" s="97"/>
      <c r="R36" s="126"/>
      <c r="S36" s="97"/>
      <c r="T36" s="105"/>
      <c r="V36" s="108"/>
    </row>
    <row r="37" ht="15.75" customHeight="1">
      <c r="A37" s="91"/>
      <c r="B37" s="98" t="s">
        <v>307</v>
      </c>
      <c r="C37" s="185" t="s">
        <v>310</v>
      </c>
      <c r="D37" s="97"/>
      <c r="E37" s="127">
        <v>2.693777E7</v>
      </c>
      <c r="F37" s="127" t="s">
        <v>311</v>
      </c>
      <c r="G37" s="97"/>
      <c r="H37" s="98" t="s">
        <v>90</v>
      </c>
      <c r="I37" s="105" t="s">
        <v>175</v>
      </c>
      <c r="J37" s="97"/>
      <c r="K37" s="101"/>
      <c r="L37" s="101"/>
      <c r="M37" s="102"/>
      <c r="N37" s="103"/>
      <c r="O37" s="104"/>
      <c r="P37" s="97"/>
      <c r="Q37" s="115"/>
      <c r="R37" s="107"/>
      <c r="S37" s="105"/>
      <c r="T37" s="105"/>
      <c r="V37" s="108"/>
    </row>
    <row r="38" ht="15.75" customHeight="1">
      <c r="A38" s="91"/>
      <c r="B38" s="98" t="s">
        <v>312</v>
      </c>
      <c r="C38" s="183" t="s">
        <v>313</v>
      </c>
      <c r="D38" s="97"/>
      <c r="E38" s="165">
        <v>2.8629575E7</v>
      </c>
      <c r="F38" s="138" t="s">
        <v>314</v>
      </c>
      <c r="G38" s="97"/>
      <c r="H38" s="98" t="s">
        <v>97</v>
      </c>
      <c r="I38" s="105" t="s">
        <v>178</v>
      </c>
      <c r="J38" s="97"/>
      <c r="K38" s="101">
        <v>9000.0</v>
      </c>
      <c r="L38" s="101">
        <v>9000.0</v>
      </c>
      <c r="M38" s="102"/>
      <c r="N38" s="124"/>
      <c r="O38" s="125"/>
      <c r="P38" s="97"/>
      <c r="Q38" s="105" t="s">
        <v>179</v>
      </c>
      <c r="R38" s="107"/>
      <c r="S38" s="97"/>
      <c r="V38" s="108"/>
    </row>
    <row r="39" ht="15.75" customHeight="1">
      <c r="A39" s="91"/>
      <c r="B39" s="98" t="s">
        <v>312</v>
      </c>
      <c r="C39" s="183" t="s">
        <v>315</v>
      </c>
      <c r="D39" s="97"/>
      <c r="E39" s="109">
        <v>2.0778306E7</v>
      </c>
      <c r="F39" s="205" t="s">
        <v>316</v>
      </c>
      <c r="G39" s="97"/>
      <c r="H39" s="98" t="s">
        <v>90</v>
      </c>
      <c r="I39" s="105" t="s">
        <v>91</v>
      </c>
      <c r="J39" s="97"/>
      <c r="K39" s="101"/>
      <c r="L39" s="101"/>
      <c r="M39" s="102"/>
      <c r="N39" s="103" t="s">
        <v>45</v>
      </c>
      <c r="O39" s="104" t="s">
        <v>317</v>
      </c>
      <c r="P39" s="97"/>
      <c r="Q39" s="115"/>
      <c r="R39" s="107"/>
      <c r="S39" s="105" t="s">
        <v>116</v>
      </c>
      <c r="T39" s="105" t="s">
        <v>318</v>
      </c>
      <c r="V39" s="108"/>
    </row>
    <row r="40" ht="15.75" customHeight="1">
      <c r="A40" s="91"/>
      <c r="B40" s="98" t="s">
        <v>319</v>
      </c>
      <c r="C40" s="185" t="s">
        <v>320</v>
      </c>
      <c r="D40" s="97"/>
      <c r="E40" s="109">
        <v>4.191404E7</v>
      </c>
      <c r="F40" s="205" t="s">
        <v>321</v>
      </c>
      <c r="G40" s="97"/>
      <c r="H40" s="98" t="s">
        <v>90</v>
      </c>
      <c r="I40" s="105" t="s">
        <v>91</v>
      </c>
      <c r="J40" s="97"/>
      <c r="K40" s="114"/>
      <c r="L40" s="114"/>
      <c r="M40" s="102"/>
      <c r="N40" s="103" t="s">
        <v>45</v>
      </c>
      <c r="O40" s="104" t="s">
        <v>322</v>
      </c>
      <c r="P40" s="97"/>
      <c r="Q40" s="115"/>
      <c r="R40" s="107"/>
      <c r="S40" s="105" t="s">
        <v>93</v>
      </c>
      <c r="T40" s="105" t="s">
        <v>323</v>
      </c>
      <c r="V40" s="108"/>
    </row>
    <row r="41" ht="15.75" customHeight="1">
      <c r="A41" s="91"/>
      <c r="B41" s="98" t="s">
        <v>324</v>
      </c>
      <c r="C41" s="185" t="s">
        <v>325</v>
      </c>
      <c r="D41" s="97"/>
      <c r="E41" s="217" t="s">
        <v>326</v>
      </c>
      <c r="F41" s="211" t="s">
        <v>327</v>
      </c>
      <c r="G41" s="97"/>
      <c r="H41" s="98" t="s">
        <v>90</v>
      </c>
      <c r="I41" s="105" t="s">
        <v>91</v>
      </c>
      <c r="J41" s="97"/>
      <c r="K41" s="101"/>
      <c r="L41" s="101"/>
      <c r="M41" s="102"/>
      <c r="N41" s="103" t="s">
        <v>45</v>
      </c>
      <c r="O41" s="104" t="s">
        <v>328</v>
      </c>
      <c r="P41" s="97"/>
      <c r="Q41" s="97"/>
      <c r="R41" s="126"/>
      <c r="S41" s="105" t="s">
        <v>116</v>
      </c>
      <c r="T41" s="105" t="s">
        <v>329</v>
      </c>
      <c r="V41" s="108"/>
    </row>
    <row r="42" ht="15.75" customHeight="1">
      <c r="A42" s="91"/>
      <c r="B42" s="98" t="s">
        <v>330</v>
      </c>
      <c r="C42" s="186" t="s">
        <v>331</v>
      </c>
      <c r="D42" s="97"/>
      <c r="E42" s="165">
        <v>6.0197359E7</v>
      </c>
      <c r="F42" s="98" t="s">
        <v>332</v>
      </c>
      <c r="G42" s="97"/>
      <c r="H42" s="98" t="s">
        <v>97</v>
      </c>
      <c r="I42" s="105" t="s">
        <v>333</v>
      </c>
      <c r="J42" s="97"/>
      <c r="K42" s="114"/>
      <c r="L42" s="101">
        <v>250.0</v>
      </c>
      <c r="M42" s="102"/>
      <c r="N42" s="103" t="s">
        <v>45</v>
      </c>
      <c r="O42" s="104" t="s">
        <v>334</v>
      </c>
      <c r="P42" s="97"/>
      <c r="Q42" s="115"/>
      <c r="R42" s="107"/>
      <c r="S42" s="105" t="s">
        <v>335</v>
      </c>
      <c r="T42" s="105" t="s">
        <v>336</v>
      </c>
      <c r="V42" s="108"/>
    </row>
    <row r="43" ht="15.75" customHeight="1">
      <c r="A43" s="91"/>
      <c r="B43" s="98" t="s">
        <v>324</v>
      </c>
      <c r="C43" s="186" t="s">
        <v>337</v>
      </c>
      <c r="D43" s="97"/>
      <c r="E43" s="217" t="s">
        <v>338</v>
      </c>
      <c r="F43" s="127" t="s">
        <v>339</v>
      </c>
      <c r="G43" s="97"/>
      <c r="H43" s="98" t="s">
        <v>90</v>
      </c>
      <c r="I43" s="105" t="s">
        <v>125</v>
      </c>
      <c r="J43" s="97"/>
      <c r="K43" s="101"/>
      <c r="L43" s="101"/>
      <c r="M43" s="102"/>
      <c r="N43" s="124"/>
      <c r="O43" s="125"/>
      <c r="P43" s="97"/>
      <c r="Q43" s="131"/>
      <c r="R43" s="126"/>
      <c r="S43" s="97"/>
      <c r="T43" s="97"/>
      <c r="V43" s="108"/>
    </row>
    <row r="44" ht="15.75" customHeight="1">
      <c r="A44" s="91"/>
      <c r="B44" s="98" t="s">
        <v>340</v>
      </c>
      <c r="C44" s="192" t="s">
        <v>341</v>
      </c>
      <c r="D44" s="97"/>
      <c r="E44" s="217" t="s">
        <v>342</v>
      </c>
      <c r="F44" s="218" t="s">
        <v>343</v>
      </c>
      <c r="G44" s="97"/>
      <c r="H44" s="98" t="s">
        <v>90</v>
      </c>
      <c r="I44" s="105" t="s">
        <v>107</v>
      </c>
      <c r="J44" s="97"/>
      <c r="K44" s="101">
        <v>9000.0</v>
      </c>
      <c r="L44" s="101">
        <v>1500.0</v>
      </c>
      <c r="M44" s="102"/>
      <c r="N44" s="124"/>
      <c r="O44" s="125"/>
      <c r="P44" s="97"/>
      <c r="Q44" s="105" t="s">
        <v>179</v>
      </c>
      <c r="R44" s="126"/>
      <c r="S44" s="105" t="s">
        <v>110</v>
      </c>
      <c r="T44" s="97"/>
      <c r="V44" s="108"/>
    </row>
    <row r="45" ht="15.75" customHeight="1">
      <c r="A45" s="91"/>
      <c r="B45" s="98" t="s">
        <v>344</v>
      </c>
      <c r="C45" s="184" t="s">
        <v>345</v>
      </c>
      <c r="D45" s="97"/>
      <c r="E45" s="217" t="s">
        <v>346</v>
      </c>
      <c r="F45" s="216" t="s">
        <v>347</v>
      </c>
      <c r="G45" s="97"/>
      <c r="H45" s="98" t="s">
        <v>90</v>
      </c>
      <c r="I45" s="105" t="s">
        <v>107</v>
      </c>
      <c r="J45" s="97"/>
      <c r="K45" s="101">
        <v>9000.0</v>
      </c>
      <c r="L45" s="101">
        <v>1500.0</v>
      </c>
      <c r="M45" s="102"/>
      <c r="N45" s="124"/>
      <c r="O45" s="125"/>
      <c r="P45" s="97"/>
      <c r="Q45" s="105" t="s">
        <v>179</v>
      </c>
      <c r="R45" s="126"/>
      <c r="S45" s="105" t="s">
        <v>110</v>
      </c>
      <c r="T45" s="97"/>
      <c r="V45" s="108"/>
    </row>
    <row r="46" ht="15.75" customHeight="1">
      <c r="A46" s="91"/>
      <c r="B46" s="98" t="s">
        <v>344</v>
      </c>
      <c r="C46" s="185" t="s">
        <v>348</v>
      </c>
      <c r="D46" s="97"/>
      <c r="E46" s="217" t="s">
        <v>349</v>
      </c>
      <c r="F46" s="211" t="s">
        <v>350</v>
      </c>
      <c r="G46" s="97"/>
      <c r="H46" s="98" t="s">
        <v>90</v>
      </c>
      <c r="I46" s="105" t="s">
        <v>107</v>
      </c>
      <c r="J46" s="97"/>
      <c r="K46" s="101">
        <v>9000.0</v>
      </c>
      <c r="L46" s="101">
        <v>1500.0</v>
      </c>
      <c r="M46" s="102"/>
      <c r="N46" s="124"/>
      <c r="O46" s="125"/>
      <c r="P46" s="97"/>
      <c r="Q46" s="105" t="s">
        <v>179</v>
      </c>
      <c r="R46" s="126"/>
      <c r="S46" s="105" t="s">
        <v>110</v>
      </c>
      <c r="T46" s="97"/>
      <c r="V46" s="108"/>
    </row>
    <row r="47" ht="15.75" customHeight="1">
      <c r="A47" s="91"/>
      <c r="B47" s="98" t="s">
        <v>351</v>
      </c>
      <c r="C47" s="185" t="s">
        <v>352</v>
      </c>
      <c r="D47" s="97"/>
      <c r="E47" s="217" t="s">
        <v>353</v>
      </c>
      <c r="F47" s="211" t="s">
        <v>354</v>
      </c>
      <c r="G47" s="97"/>
      <c r="H47" s="98" t="s">
        <v>90</v>
      </c>
      <c r="I47" s="105" t="s">
        <v>178</v>
      </c>
      <c r="J47" s="97"/>
      <c r="K47" s="101">
        <v>9000.0</v>
      </c>
      <c r="L47" s="101">
        <v>9000.0</v>
      </c>
      <c r="M47" s="102"/>
      <c r="N47" s="103"/>
      <c r="O47" s="104"/>
      <c r="P47" s="97"/>
      <c r="Q47" s="105" t="s">
        <v>179</v>
      </c>
      <c r="R47" s="116"/>
      <c r="S47" s="105"/>
      <c r="T47" s="105"/>
      <c r="V47" s="108"/>
    </row>
    <row r="48" ht="15.75" customHeight="1">
      <c r="A48" s="91"/>
      <c r="B48" s="98" t="s">
        <v>351</v>
      </c>
      <c r="C48" s="183" t="s">
        <v>355</v>
      </c>
      <c r="D48" s="97"/>
      <c r="E48" s="217" t="s">
        <v>356</v>
      </c>
      <c r="F48" s="211" t="s">
        <v>357</v>
      </c>
      <c r="G48" s="97"/>
      <c r="H48" s="98" t="s">
        <v>90</v>
      </c>
      <c r="I48" s="105" t="s">
        <v>107</v>
      </c>
      <c r="J48" s="97"/>
      <c r="K48" s="101">
        <v>9000.0</v>
      </c>
      <c r="L48" s="101">
        <v>1500.0</v>
      </c>
      <c r="M48" s="102"/>
      <c r="N48" s="103"/>
      <c r="O48" s="104"/>
      <c r="P48" s="97"/>
      <c r="Q48" s="105" t="s">
        <v>179</v>
      </c>
      <c r="R48" s="107"/>
      <c r="S48" s="105" t="s">
        <v>110</v>
      </c>
      <c r="T48" s="105"/>
      <c r="V48" s="108"/>
    </row>
    <row r="49" ht="15.75" customHeight="1">
      <c r="A49" s="91"/>
      <c r="B49" s="98" t="s">
        <v>358</v>
      </c>
      <c r="C49" s="185" t="s">
        <v>359</v>
      </c>
      <c r="D49" s="97"/>
      <c r="E49" s="217" t="s">
        <v>360</v>
      </c>
      <c r="F49" s="219"/>
      <c r="G49" s="97"/>
      <c r="H49" s="98" t="s">
        <v>97</v>
      </c>
      <c r="I49" s="105" t="s">
        <v>91</v>
      </c>
      <c r="J49" s="97"/>
      <c r="K49" s="101"/>
      <c r="L49" s="101"/>
      <c r="M49" s="102"/>
      <c r="N49" s="103" t="s">
        <v>55</v>
      </c>
      <c r="O49" s="104" t="s">
        <v>361</v>
      </c>
      <c r="P49" s="97"/>
      <c r="Q49" s="130"/>
      <c r="R49" s="107"/>
      <c r="S49" s="105" t="s">
        <v>93</v>
      </c>
      <c r="T49" s="105" t="s">
        <v>362</v>
      </c>
      <c r="V49" s="108"/>
    </row>
    <row r="50" ht="15.75" customHeight="1">
      <c r="A50" s="91"/>
      <c r="B50" s="98" t="s">
        <v>358</v>
      </c>
      <c r="C50" s="212" t="s">
        <v>363</v>
      </c>
      <c r="D50" s="97"/>
      <c r="E50" s="217" t="s">
        <v>364</v>
      </c>
      <c r="F50" s="216" t="s">
        <v>365</v>
      </c>
      <c r="G50" s="97"/>
      <c r="H50" s="98" t="s">
        <v>90</v>
      </c>
      <c r="I50" s="105" t="s">
        <v>107</v>
      </c>
      <c r="J50" s="97"/>
      <c r="K50" s="101">
        <v>9000.0</v>
      </c>
      <c r="L50" s="101">
        <v>3000.0</v>
      </c>
      <c r="M50" s="102"/>
      <c r="N50" s="124"/>
      <c r="O50" s="125"/>
      <c r="P50" s="97"/>
      <c r="Q50" s="105" t="s">
        <v>179</v>
      </c>
      <c r="R50" s="126"/>
      <c r="S50" s="105" t="s">
        <v>110</v>
      </c>
      <c r="T50" s="105"/>
      <c r="V50" s="108"/>
    </row>
    <row r="51" ht="15.75" customHeight="1">
      <c r="A51" s="91"/>
      <c r="B51" s="98" t="s">
        <v>358</v>
      </c>
      <c r="C51" s="186" t="s">
        <v>366</v>
      </c>
      <c r="D51" s="97"/>
      <c r="E51" s="217" t="s">
        <v>367</v>
      </c>
      <c r="F51" s="216" t="s">
        <v>368</v>
      </c>
      <c r="G51" s="97"/>
      <c r="H51" s="98" t="s">
        <v>90</v>
      </c>
      <c r="I51" s="105" t="s">
        <v>91</v>
      </c>
      <c r="J51" s="97"/>
      <c r="K51" s="101"/>
      <c r="L51" s="101"/>
      <c r="M51" s="102"/>
      <c r="N51" s="103" t="s">
        <v>45</v>
      </c>
      <c r="O51" s="104" t="s">
        <v>369</v>
      </c>
      <c r="P51" s="97"/>
      <c r="Q51" s="131"/>
      <c r="R51" s="126"/>
      <c r="S51" s="105" t="s">
        <v>116</v>
      </c>
      <c r="T51" s="105" t="s">
        <v>370</v>
      </c>
      <c r="V51" s="108"/>
    </row>
    <row r="52" ht="15.75" customHeight="1">
      <c r="A52" s="91"/>
      <c r="B52" s="98" t="s">
        <v>371</v>
      </c>
      <c r="C52" s="186" t="s">
        <v>372</v>
      </c>
      <c r="D52" s="97"/>
      <c r="E52" s="217" t="s">
        <v>373</v>
      </c>
      <c r="F52" s="216" t="s">
        <v>374</v>
      </c>
      <c r="G52" s="97"/>
      <c r="H52" s="98" t="s">
        <v>90</v>
      </c>
      <c r="I52" s="105" t="s">
        <v>91</v>
      </c>
      <c r="J52" s="97"/>
      <c r="K52" s="114"/>
      <c r="L52" s="114"/>
      <c r="M52" s="102"/>
      <c r="N52" s="103" t="s">
        <v>55</v>
      </c>
      <c r="O52" s="104" t="s">
        <v>375</v>
      </c>
      <c r="P52" s="97"/>
      <c r="Q52" s="131"/>
      <c r="R52" s="126"/>
      <c r="S52" s="105" t="s">
        <v>116</v>
      </c>
      <c r="T52" s="105" t="s">
        <v>376</v>
      </c>
      <c r="V52" s="108"/>
    </row>
    <row r="53" ht="15.75" customHeight="1">
      <c r="A53" s="91"/>
      <c r="B53" s="98" t="s">
        <v>371</v>
      </c>
      <c r="C53" s="185" t="s">
        <v>377</v>
      </c>
      <c r="D53" s="97"/>
      <c r="E53" s="217" t="s">
        <v>378</v>
      </c>
      <c r="F53" s="211" t="s">
        <v>379</v>
      </c>
      <c r="G53" s="97"/>
      <c r="H53" s="98" t="s">
        <v>90</v>
      </c>
      <c r="I53" s="105" t="s">
        <v>178</v>
      </c>
      <c r="J53" s="97"/>
      <c r="K53" s="101">
        <v>9000.0</v>
      </c>
      <c r="L53" s="101">
        <v>9000.0</v>
      </c>
      <c r="M53" s="102"/>
      <c r="N53" s="124"/>
      <c r="O53" s="125"/>
      <c r="P53" s="97"/>
      <c r="Q53" s="130"/>
      <c r="R53" s="107"/>
      <c r="S53" s="105" t="s">
        <v>110</v>
      </c>
      <c r="T53" s="105"/>
      <c r="V53" s="108"/>
    </row>
    <row r="54" ht="15.75" customHeight="1">
      <c r="A54" s="91"/>
      <c r="B54" s="98" t="s">
        <v>371</v>
      </c>
      <c r="C54" s="183" t="s">
        <v>380</v>
      </c>
      <c r="D54" s="97"/>
      <c r="E54" s="217" t="s">
        <v>381</v>
      </c>
      <c r="F54" s="211" t="s">
        <v>382</v>
      </c>
      <c r="G54" s="97"/>
      <c r="H54" s="98" t="s">
        <v>90</v>
      </c>
      <c r="I54" s="105" t="s">
        <v>107</v>
      </c>
      <c r="J54" s="97"/>
      <c r="K54" s="101">
        <v>9000.0</v>
      </c>
      <c r="L54" s="101">
        <v>3000.0</v>
      </c>
      <c r="M54" s="102"/>
      <c r="N54" s="103"/>
      <c r="O54" s="104"/>
      <c r="P54" s="97"/>
      <c r="Q54" s="130"/>
      <c r="R54" s="133"/>
      <c r="S54" s="105" t="s">
        <v>110</v>
      </c>
      <c r="T54" s="105"/>
      <c r="V54" s="108"/>
    </row>
    <row r="55" ht="15.75" customHeight="1">
      <c r="A55" s="91"/>
      <c r="B55" s="166"/>
      <c r="C55" s="98"/>
      <c r="D55" s="97"/>
      <c r="E55" s="165"/>
      <c r="F55" s="219"/>
      <c r="G55" s="97"/>
      <c r="H55" s="98"/>
      <c r="I55" s="105"/>
      <c r="J55" s="97"/>
      <c r="K55" s="101"/>
      <c r="L55" s="101"/>
      <c r="M55" s="102"/>
      <c r="N55" s="103"/>
      <c r="O55" s="104"/>
      <c r="P55" s="97"/>
      <c r="Q55" s="130"/>
      <c r="R55" s="107"/>
      <c r="S55" s="105"/>
      <c r="T55" s="105"/>
      <c r="V55" s="108"/>
    </row>
    <row r="56" ht="15.75" customHeight="1">
      <c r="A56" s="91"/>
      <c r="B56" s="166"/>
      <c r="C56" s="98"/>
      <c r="D56" s="97"/>
      <c r="E56" s="165"/>
      <c r="F56" s="138"/>
      <c r="G56" s="97"/>
      <c r="H56" s="98"/>
      <c r="I56" s="105"/>
      <c r="J56" s="97"/>
      <c r="K56" s="114"/>
      <c r="L56" s="114"/>
      <c r="M56" s="102"/>
      <c r="N56" s="124"/>
      <c r="O56" s="125"/>
      <c r="P56" s="97"/>
      <c r="Q56" s="115"/>
      <c r="R56" s="107"/>
      <c r="S56" s="97"/>
      <c r="T56" s="105"/>
      <c r="V56" s="108"/>
    </row>
    <row r="57" ht="15.75" customHeight="1">
      <c r="A57" s="91"/>
      <c r="B57" s="166"/>
      <c r="C57" s="98"/>
      <c r="D57" s="97"/>
      <c r="E57" s="165"/>
      <c r="F57" s="138"/>
      <c r="G57" s="97"/>
      <c r="H57" s="98"/>
      <c r="I57" s="105"/>
      <c r="J57" s="97"/>
      <c r="K57" s="101"/>
      <c r="L57" s="101"/>
      <c r="M57" s="102"/>
      <c r="N57" s="124"/>
      <c r="O57" s="125"/>
      <c r="P57" s="97"/>
      <c r="Q57" s="131"/>
      <c r="R57" s="126"/>
      <c r="S57" s="97"/>
      <c r="T57" s="105"/>
      <c r="V57" s="108"/>
    </row>
    <row r="58" ht="15.75" customHeight="1">
      <c r="A58" s="91"/>
      <c r="B58" s="166"/>
      <c r="C58" s="107"/>
      <c r="D58" s="97"/>
      <c r="E58" s="165"/>
      <c r="F58" s="138"/>
      <c r="G58" s="97"/>
      <c r="H58" s="98"/>
      <c r="I58" s="105"/>
      <c r="J58" s="97"/>
      <c r="K58" s="114"/>
      <c r="L58" s="114"/>
      <c r="M58" s="102"/>
      <c r="N58" s="103"/>
      <c r="O58" s="104"/>
      <c r="P58" s="97"/>
      <c r="Q58" s="115"/>
      <c r="R58" s="107"/>
      <c r="S58" s="105"/>
      <c r="T58" s="105"/>
      <c r="V58" s="108"/>
    </row>
    <row r="59" ht="15.75" customHeight="1">
      <c r="A59" s="91"/>
      <c r="B59" s="166"/>
      <c r="C59" s="107"/>
      <c r="D59" s="97"/>
      <c r="E59" s="165"/>
      <c r="F59" s="138"/>
      <c r="G59" s="97"/>
      <c r="H59" s="98"/>
      <c r="I59" s="105"/>
      <c r="J59" s="97"/>
      <c r="K59" s="101"/>
      <c r="L59" s="101"/>
      <c r="M59" s="102"/>
      <c r="N59" s="124"/>
      <c r="O59" s="125"/>
      <c r="P59" s="97"/>
      <c r="Q59" s="97"/>
      <c r="R59" s="126"/>
      <c r="S59" s="97"/>
      <c r="T59" s="97"/>
      <c r="V59" s="108"/>
    </row>
    <row r="60" ht="15.75" customHeight="1">
      <c r="A60" s="91"/>
      <c r="B60" s="166"/>
      <c r="C60" s="107"/>
      <c r="D60" s="97"/>
      <c r="E60" s="98"/>
      <c r="F60" s="138"/>
      <c r="G60" s="97"/>
      <c r="H60" s="98"/>
      <c r="I60" s="105"/>
      <c r="J60" s="97"/>
      <c r="K60" s="114"/>
      <c r="L60" s="114"/>
      <c r="M60" s="102"/>
      <c r="N60" s="124"/>
      <c r="O60" s="125"/>
      <c r="P60" s="97"/>
      <c r="Q60" s="115"/>
      <c r="R60" s="107"/>
      <c r="S60" s="97"/>
      <c r="T60" s="105"/>
      <c r="V60" s="108"/>
    </row>
    <row r="61" ht="15.75" customHeight="1">
      <c r="A61" s="91"/>
      <c r="B61" s="166"/>
      <c r="C61" s="98"/>
      <c r="D61" s="97"/>
      <c r="E61" s="165"/>
      <c r="F61" s="140"/>
      <c r="G61" s="97"/>
      <c r="H61" s="98"/>
      <c r="I61" s="105"/>
      <c r="J61" s="97"/>
      <c r="K61" s="101"/>
      <c r="L61" s="101"/>
      <c r="M61" s="102"/>
      <c r="N61" s="124"/>
      <c r="O61" s="125"/>
      <c r="P61" s="97"/>
      <c r="Q61" s="97"/>
      <c r="R61" s="126"/>
      <c r="S61" s="97"/>
      <c r="T61" s="97"/>
      <c r="V61" s="108"/>
    </row>
    <row r="62" ht="15.75" customHeight="1">
      <c r="A62" s="91"/>
      <c r="B62" s="166"/>
      <c r="C62" s="98"/>
      <c r="D62" s="97"/>
      <c r="E62" s="165"/>
      <c r="F62" s="138"/>
      <c r="G62" s="97"/>
      <c r="H62" s="98"/>
      <c r="I62" s="105"/>
      <c r="J62" s="97"/>
      <c r="K62" s="114"/>
      <c r="L62" s="114"/>
      <c r="M62" s="102"/>
      <c r="N62" s="124"/>
      <c r="O62" s="125"/>
      <c r="P62" s="97"/>
      <c r="Q62" s="97"/>
      <c r="R62" s="126"/>
      <c r="S62" s="97"/>
      <c r="T62" s="97"/>
      <c r="V62" s="108"/>
    </row>
    <row r="63" ht="15.75" customHeight="1">
      <c r="A63" s="91"/>
      <c r="B63" s="166"/>
      <c r="C63" s="134"/>
      <c r="D63" s="97"/>
      <c r="E63" s="165"/>
      <c r="F63" s="140"/>
      <c r="G63" s="97"/>
      <c r="H63" s="98"/>
      <c r="I63" s="105"/>
      <c r="J63" s="97"/>
      <c r="K63" s="101"/>
      <c r="L63" s="101"/>
      <c r="M63" s="102"/>
      <c r="N63" s="124"/>
      <c r="O63" s="125"/>
      <c r="P63" s="97"/>
      <c r="Q63" s="97"/>
      <c r="R63" s="126"/>
      <c r="S63" s="97"/>
      <c r="T63" s="97"/>
      <c r="V63" s="108"/>
    </row>
    <row r="64" ht="15.75" customHeight="1">
      <c r="A64" s="91"/>
      <c r="B64" s="166"/>
      <c r="C64" s="135"/>
      <c r="D64" s="97"/>
      <c r="E64" s="165"/>
      <c r="F64" s="138"/>
      <c r="G64" s="97"/>
      <c r="H64" s="98"/>
      <c r="I64" s="105"/>
      <c r="J64" s="97"/>
      <c r="K64" s="114"/>
      <c r="L64" s="114"/>
      <c r="M64" s="102"/>
      <c r="N64" s="103"/>
      <c r="O64" s="104"/>
      <c r="P64" s="97"/>
      <c r="Q64" s="115"/>
      <c r="R64" s="116"/>
      <c r="S64" s="105"/>
      <c r="T64" s="105"/>
      <c r="V64" s="108"/>
    </row>
    <row r="65" ht="15.75" customHeight="1">
      <c r="A65" s="91"/>
      <c r="B65" s="166"/>
      <c r="C65" s="99"/>
      <c r="D65" s="97"/>
      <c r="E65" s="165"/>
      <c r="F65" s="138"/>
      <c r="G65" s="97"/>
      <c r="H65" s="98"/>
      <c r="I65" s="105"/>
      <c r="J65" s="97"/>
      <c r="K65" s="101"/>
      <c r="L65" s="101"/>
      <c r="M65" s="102"/>
      <c r="N65" s="103"/>
      <c r="O65" s="104"/>
      <c r="P65" s="97"/>
      <c r="Q65" s="130"/>
      <c r="R65" s="116"/>
      <c r="S65" s="105"/>
      <c r="T65" s="105"/>
      <c r="V65" s="108"/>
    </row>
    <row r="66" ht="15.75" customHeight="1">
      <c r="A66" s="91"/>
      <c r="B66" s="166"/>
      <c r="C66" s="107"/>
      <c r="D66" s="97"/>
      <c r="E66" s="165"/>
      <c r="F66" s="138"/>
      <c r="G66" s="97"/>
      <c r="H66" s="98"/>
      <c r="I66" s="105"/>
      <c r="J66" s="97"/>
      <c r="K66" s="114"/>
      <c r="L66" s="114"/>
      <c r="M66" s="102"/>
      <c r="N66" s="124"/>
      <c r="O66" s="125"/>
      <c r="P66" s="97"/>
      <c r="Q66" s="97"/>
      <c r="R66" s="126"/>
      <c r="S66" s="97"/>
      <c r="T66" s="97"/>
      <c r="V66" s="108"/>
    </row>
    <row r="67" ht="15.75" customHeight="1">
      <c r="A67" s="91"/>
      <c r="B67" s="166"/>
      <c r="C67" s="107"/>
      <c r="D67" s="97"/>
      <c r="E67" s="98"/>
      <c r="F67" s="138"/>
      <c r="G67" s="97"/>
      <c r="H67" s="98"/>
      <c r="I67" s="105"/>
      <c r="J67" s="97"/>
      <c r="K67" s="101"/>
      <c r="L67" s="101"/>
      <c r="M67" s="102"/>
      <c r="N67" s="124"/>
      <c r="O67" s="125"/>
      <c r="P67" s="97"/>
      <c r="Q67" s="130"/>
      <c r="R67" s="107"/>
      <c r="S67" s="105"/>
      <c r="T67" s="105"/>
      <c r="V67" s="108"/>
    </row>
    <row r="68" ht="15.75" customHeight="1">
      <c r="A68" s="91"/>
      <c r="B68" s="166"/>
      <c r="C68" s="107"/>
      <c r="D68" s="97"/>
      <c r="E68" s="98"/>
      <c r="F68" s="138"/>
      <c r="G68" s="97"/>
      <c r="H68" s="98"/>
      <c r="I68" s="105"/>
      <c r="J68" s="97"/>
      <c r="K68" s="114"/>
      <c r="L68" s="114"/>
      <c r="M68" s="102"/>
      <c r="N68" s="124"/>
      <c r="O68" s="125"/>
      <c r="P68" s="97"/>
      <c r="Q68" s="130"/>
      <c r="R68" s="126"/>
      <c r="S68" s="97"/>
      <c r="T68" s="105"/>
      <c r="V68" s="108"/>
    </row>
    <row r="69" ht="15.75" customHeight="1">
      <c r="A69" s="91"/>
      <c r="B69" s="166"/>
      <c r="C69" s="98"/>
      <c r="D69" s="97"/>
      <c r="E69" s="98"/>
      <c r="F69" s="140"/>
      <c r="G69" s="97"/>
      <c r="H69" s="98"/>
      <c r="I69" s="105"/>
      <c r="J69" s="97"/>
      <c r="K69" s="101"/>
      <c r="L69" s="101"/>
      <c r="M69" s="102"/>
      <c r="N69" s="124"/>
      <c r="O69" s="125"/>
      <c r="P69" s="97"/>
      <c r="Q69" s="115"/>
      <c r="R69" s="107"/>
      <c r="S69" s="105"/>
      <c r="T69" s="105"/>
      <c r="V69" s="108"/>
    </row>
    <row r="70" ht="15.75" customHeight="1">
      <c r="A70" s="91"/>
      <c r="B70" s="166"/>
      <c r="C70" s="98"/>
      <c r="D70" s="97"/>
      <c r="E70" s="98"/>
      <c r="F70" s="138"/>
      <c r="G70" s="97"/>
      <c r="H70" s="98"/>
      <c r="I70" s="105"/>
      <c r="J70" s="97"/>
      <c r="K70" s="114"/>
      <c r="L70" s="114"/>
      <c r="M70" s="102"/>
      <c r="N70" s="124"/>
      <c r="O70" s="125"/>
      <c r="P70" s="97"/>
      <c r="Q70" s="131"/>
      <c r="R70" s="126"/>
      <c r="S70" s="97"/>
      <c r="T70" s="97"/>
      <c r="V70" s="108"/>
    </row>
    <row r="71" ht="15.75" customHeight="1">
      <c r="A71" s="91"/>
      <c r="B71" s="166"/>
      <c r="C71" s="98"/>
      <c r="D71" s="97"/>
      <c r="E71" s="98"/>
      <c r="F71" s="138"/>
      <c r="G71" s="97"/>
      <c r="H71" s="98"/>
      <c r="I71" s="105"/>
      <c r="J71" s="97"/>
      <c r="K71" s="101"/>
      <c r="L71" s="101"/>
      <c r="M71" s="102"/>
      <c r="N71" s="124"/>
      <c r="O71" s="125"/>
      <c r="P71" s="97"/>
      <c r="Q71" s="130"/>
      <c r="R71" s="107"/>
      <c r="S71" s="105"/>
      <c r="T71" s="105"/>
      <c r="V71" s="108"/>
    </row>
    <row r="72" ht="15.75" customHeight="1">
      <c r="A72" s="91"/>
      <c r="B72" s="166"/>
      <c r="C72" s="98"/>
      <c r="D72" s="97"/>
      <c r="E72" s="165"/>
      <c r="F72" s="138"/>
      <c r="G72" s="97"/>
      <c r="H72" s="98"/>
      <c r="I72" s="105"/>
      <c r="J72" s="97"/>
      <c r="K72" s="114"/>
      <c r="L72" s="114"/>
      <c r="M72" s="102"/>
      <c r="N72" s="103"/>
      <c r="O72" s="125"/>
      <c r="P72" s="97"/>
      <c r="Q72" s="130"/>
      <c r="R72" s="107"/>
      <c r="S72" s="105"/>
      <c r="T72" s="105"/>
      <c r="V72" s="108"/>
    </row>
    <row r="73" ht="15.75" customHeight="1">
      <c r="A73" s="91"/>
      <c r="B73" s="166"/>
      <c r="C73" s="98"/>
      <c r="D73" s="97"/>
      <c r="E73" s="165"/>
      <c r="F73" s="140"/>
      <c r="G73" s="97"/>
      <c r="H73" s="98"/>
      <c r="I73" s="105"/>
      <c r="J73" s="97"/>
      <c r="K73" s="101"/>
      <c r="L73" s="101"/>
      <c r="M73" s="102"/>
      <c r="N73" s="103"/>
      <c r="O73" s="125"/>
      <c r="P73" s="97"/>
      <c r="Q73" s="115"/>
      <c r="R73" s="107"/>
      <c r="S73" s="105"/>
      <c r="T73" s="105"/>
      <c r="V73" s="108"/>
    </row>
    <row r="74" ht="15.75" customHeight="1">
      <c r="A74" s="91"/>
      <c r="B74" s="166"/>
      <c r="C74" s="107"/>
      <c r="D74" s="97"/>
      <c r="E74" s="165"/>
      <c r="F74" s="138"/>
      <c r="G74" s="97"/>
      <c r="H74" s="98"/>
      <c r="I74" s="105"/>
      <c r="J74" s="97"/>
      <c r="K74" s="114"/>
      <c r="L74" s="114"/>
      <c r="M74" s="102"/>
      <c r="N74" s="103"/>
      <c r="O74" s="125"/>
      <c r="P74" s="97"/>
      <c r="Q74" s="115"/>
      <c r="R74" s="107"/>
      <c r="S74" s="105"/>
      <c r="T74" s="105"/>
      <c r="V74" s="108"/>
    </row>
    <row r="75" ht="15.75" customHeight="1">
      <c r="A75" s="91"/>
      <c r="B75" s="166"/>
      <c r="C75" s="107"/>
      <c r="D75" s="97"/>
      <c r="E75" s="165"/>
      <c r="F75" s="138"/>
      <c r="G75" s="97"/>
      <c r="H75" s="98"/>
      <c r="I75" s="105"/>
      <c r="J75" s="97"/>
      <c r="K75" s="101"/>
      <c r="L75" s="101"/>
      <c r="M75" s="102"/>
      <c r="N75" s="124"/>
      <c r="O75" s="125"/>
      <c r="P75" s="97"/>
      <c r="Q75" s="131"/>
      <c r="R75" s="126"/>
      <c r="S75" s="97"/>
      <c r="T75" s="97"/>
      <c r="V75" s="108"/>
    </row>
    <row r="76" ht="15.75" customHeight="1">
      <c r="A76" s="91"/>
      <c r="B76" s="166"/>
      <c r="C76" s="98"/>
      <c r="D76" s="97"/>
      <c r="E76" s="165"/>
      <c r="F76" s="138"/>
      <c r="G76" s="97"/>
      <c r="H76" s="98"/>
      <c r="I76" s="105"/>
      <c r="J76" s="97"/>
      <c r="K76" s="114"/>
      <c r="L76" s="114"/>
      <c r="M76" s="102"/>
      <c r="N76" s="103"/>
      <c r="O76" s="125"/>
      <c r="P76" s="97"/>
      <c r="Q76" s="115"/>
      <c r="R76" s="107"/>
      <c r="S76" s="105"/>
      <c r="T76" s="105"/>
      <c r="V76" s="108"/>
    </row>
    <row r="77" ht="15.75" customHeight="1">
      <c r="A77" s="91"/>
      <c r="B77" s="166"/>
      <c r="C77" s="98"/>
      <c r="D77" s="97"/>
      <c r="E77" s="98"/>
      <c r="F77" s="138"/>
      <c r="G77" s="97"/>
      <c r="H77" s="98"/>
      <c r="I77" s="105"/>
      <c r="J77" s="97"/>
      <c r="K77" s="101"/>
      <c r="L77" s="101"/>
      <c r="M77" s="102"/>
      <c r="N77" s="124"/>
      <c r="O77" s="125"/>
      <c r="P77" s="97"/>
      <c r="Q77" s="131"/>
      <c r="R77" s="126"/>
      <c r="S77" s="97"/>
      <c r="T77" s="97"/>
      <c r="V77" s="108"/>
    </row>
    <row r="78" ht="15.75" customHeight="1">
      <c r="A78" s="91"/>
      <c r="B78" s="166"/>
      <c r="C78" s="98"/>
      <c r="D78" s="97"/>
      <c r="E78" s="165"/>
      <c r="F78" s="138"/>
      <c r="G78" s="97"/>
      <c r="H78" s="98"/>
      <c r="I78" s="105"/>
      <c r="J78" s="97"/>
      <c r="K78" s="114"/>
      <c r="L78" s="114"/>
      <c r="M78" s="102"/>
      <c r="N78" s="103"/>
      <c r="O78" s="125"/>
      <c r="P78" s="97"/>
      <c r="Q78" s="115"/>
      <c r="R78" s="107"/>
      <c r="S78" s="105"/>
      <c r="T78" s="105"/>
      <c r="V78" s="108"/>
    </row>
    <row r="79" ht="15.75" customHeight="1">
      <c r="A79" s="91"/>
      <c r="B79" s="166"/>
      <c r="C79" s="98"/>
      <c r="D79" s="97"/>
      <c r="E79" s="165"/>
      <c r="F79" s="138"/>
      <c r="G79" s="97"/>
      <c r="H79" s="98"/>
      <c r="I79" s="105"/>
      <c r="J79" s="97"/>
      <c r="K79" s="101"/>
      <c r="L79" s="101"/>
      <c r="M79" s="102"/>
      <c r="N79" s="124"/>
      <c r="O79" s="125"/>
      <c r="P79" s="97"/>
      <c r="Q79" s="131"/>
      <c r="R79" s="126"/>
      <c r="S79" s="97"/>
      <c r="T79" s="97"/>
      <c r="V79" s="108"/>
    </row>
    <row r="80" ht="15.75" customHeight="1">
      <c r="A80" s="91"/>
      <c r="B80" s="166"/>
      <c r="C80" s="98"/>
      <c r="D80" s="97"/>
      <c r="E80" s="165"/>
      <c r="F80" s="138"/>
      <c r="G80" s="97"/>
      <c r="H80" s="98"/>
      <c r="I80" s="105"/>
      <c r="J80" s="97"/>
      <c r="K80" s="114"/>
      <c r="L80" s="114"/>
      <c r="M80" s="102"/>
      <c r="N80" s="103"/>
      <c r="O80" s="104"/>
      <c r="P80" s="97"/>
      <c r="Q80" s="130"/>
      <c r="R80" s="107"/>
      <c r="S80" s="105"/>
      <c r="T80" s="105"/>
      <c r="V80" s="108"/>
    </row>
    <row r="81" ht="15.75" customHeight="1">
      <c r="A81" s="91"/>
      <c r="B81" s="166"/>
      <c r="C81" s="107"/>
      <c r="D81" s="97"/>
      <c r="E81" s="165"/>
      <c r="F81" s="138"/>
      <c r="G81" s="97"/>
      <c r="H81" s="98"/>
      <c r="I81" s="105"/>
      <c r="J81" s="97"/>
      <c r="K81" s="101"/>
      <c r="L81" s="101"/>
      <c r="M81" s="102"/>
      <c r="N81" s="103"/>
      <c r="O81" s="104"/>
      <c r="P81" s="97"/>
      <c r="Q81" s="115"/>
      <c r="R81" s="136"/>
      <c r="S81" s="105"/>
      <c r="T81" s="105"/>
      <c r="V81" s="108"/>
    </row>
    <row r="82" ht="15.75" customHeight="1">
      <c r="A82" s="91"/>
      <c r="B82" s="166"/>
      <c r="C82" s="107"/>
      <c r="D82" s="97"/>
      <c r="E82" s="165"/>
      <c r="F82" s="138"/>
      <c r="G82" s="97"/>
      <c r="H82" s="98"/>
      <c r="I82" s="105"/>
      <c r="J82" s="97"/>
      <c r="K82" s="114"/>
      <c r="L82" s="114"/>
      <c r="M82" s="102"/>
      <c r="N82" s="103"/>
      <c r="O82" s="104"/>
      <c r="P82" s="97"/>
      <c r="Q82" s="115"/>
      <c r="R82" s="107"/>
      <c r="S82" s="105"/>
      <c r="T82" s="105"/>
      <c r="V82" s="108"/>
    </row>
    <row r="83" ht="15.75" customHeight="1">
      <c r="A83" s="91"/>
      <c r="B83" s="166"/>
      <c r="C83" s="98"/>
      <c r="D83" s="97"/>
      <c r="E83" s="165"/>
      <c r="F83" s="138"/>
      <c r="G83" s="97"/>
      <c r="H83" s="98"/>
      <c r="I83" s="105"/>
      <c r="J83" s="97"/>
      <c r="K83" s="101"/>
      <c r="L83" s="101"/>
      <c r="M83" s="102"/>
      <c r="N83" s="124"/>
      <c r="O83" s="125"/>
      <c r="P83" s="97"/>
      <c r="Q83" s="131"/>
      <c r="R83" s="126"/>
      <c r="S83" s="97"/>
      <c r="T83" s="97"/>
      <c r="V83" s="108"/>
    </row>
    <row r="84" ht="15.75" customHeight="1">
      <c r="A84" s="91"/>
      <c r="B84" s="166"/>
      <c r="C84" s="98"/>
      <c r="D84" s="97"/>
      <c r="E84" s="165"/>
      <c r="F84" s="138"/>
      <c r="G84" s="97"/>
      <c r="H84" s="98"/>
      <c r="I84" s="105"/>
      <c r="J84" s="97"/>
      <c r="K84" s="114"/>
      <c r="L84" s="114"/>
      <c r="M84" s="102"/>
      <c r="N84" s="124"/>
      <c r="O84" s="125"/>
      <c r="P84" s="97"/>
      <c r="Q84" s="97"/>
      <c r="R84" s="126"/>
      <c r="S84" s="97"/>
      <c r="T84" s="97"/>
      <c r="V84" s="108"/>
    </row>
    <row r="85" ht="15.75" customHeight="1">
      <c r="A85" s="91"/>
      <c r="B85" s="166"/>
      <c r="C85" s="137"/>
      <c r="D85" s="97"/>
      <c r="E85" s="165"/>
      <c r="F85" s="138"/>
      <c r="G85" s="97"/>
      <c r="H85" s="98"/>
      <c r="I85" s="105"/>
      <c r="J85" s="97"/>
      <c r="K85" s="101"/>
      <c r="L85" s="101"/>
      <c r="M85" s="102"/>
      <c r="N85" s="124"/>
      <c r="O85" s="125"/>
      <c r="P85" s="97"/>
      <c r="Q85" s="131"/>
      <c r="R85" s="126"/>
      <c r="S85" s="97"/>
      <c r="T85" s="97"/>
      <c r="V85" s="108"/>
    </row>
    <row r="86" ht="15.75" customHeight="1">
      <c r="A86" s="91"/>
      <c r="B86" s="166"/>
      <c r="C86" s="99"/>
      <c r="D86" s="97"/>
      <c r="E86" s="165"/>
      <c r="F86" s="138"/>
      <c r="G86" s="97"/>
      <c r="H86" s="98"/>
      <c r="I86" s="105"/>
      <c r="J86" s="97"/>
      <c r="K86" s="114"/>
      <c r="L86" s="114"/>
      <c r="M86" s="102"/>
      <c r="N86" s="103"/>
      <c r="O86" s="104"/>
      <c r="P86" s="97"/>
      <c r="Q86" s="130"/>
      <c r="R86" s="116"/>
      <c r="S86" s="105"/>
      <c r="T86" s="105"/>
      <c r="V86" s="108"/>
    </row>
    <row r="87" ht="15.75" customHeight="1">
      <c r="A87" s="91"/>
      <c r="B87" s="166"/>
      <c r="C87" s="98"/>
      <c r="D87" s="97"/>
      <c r="E87" s="165"/>
      <c r="F87" s="138"/>
      <c r="G87" s="97"/>
      <c r="H87" s="98"/>
      <c r="I87" s="105"/>
      <c r="J87" s="97"/>
      <c r="K87" s="101"/>
      <c r="L87" s="101"/>
      <c r="M87" s="102"/>
      <c r="N87" s="124"/>
      <c r="O87" s="104"/>
      <c r="P87" s="97"/>
      <c r="Q87" s="131"/>
      <c r="R87" s="107"/>
      <c r="S87" s="105"/>
      <c r="T87" s="105"/>
      <c r="V87" s="108"/>
    </row>
    <row r="88" ht="15.75" customHeight="1">
      <c r="A88" s="91"/>
      <c r="B88" s="166"/>
      <c r="C88" s="98"/>
      <c r="D88" s="97"/>
      <c r="E88" s="165"/>
      <c r="F88" s="138"/>
      <c r="G88" s="97"/>
      <c r="H88" s="98"/>
      <c r="I88" s="105"/>
      <c r="J88" s="97"/>
      <c r="K88" s="114"/>
      <c r="L88" s="114"/>
      <c r="M88" s="102"/>
      <c r="N88" s="103"/>
      <c r="O88" s="104"/>
      <c r="P88" s="97"/>
      <c r="Q88" s="115"/>
      <c r="R88" s="107"/>
      <c r="S88" s="105"/>
      <c r="T88" s="105"/>
      <c r="V88" s="108"/>
    </row>
    <row r="89" ht="15.75" customHeight="1">
      <c r="A89" s="91"/>
      <c r="B89" s="166"/>
      <c r="C89" s="98"/>
      <c r="D89" s="97"/>
      <c r="E89" s="165"/>
      <c r="F89" s="138"/>
      <c r="G89" s="97"/>
      <c r="H89" s="98"/>
      <c r="I89" s="105"/>
      <c r="J89" s="97"/>
      <c r="K89" s="101"/>
      <c r="L89" s="101"/>
      <c r="M89" s="102"/>
      <c r="N89" s="124"/>
      <c r="O89" s="125"/>
      <c r="P89" s="97"/>
      <c r="Q89" s="97"/>
      <c r="R89" s="126"/>
      <c r="S89" s="97"/>
      <c r="T89" s="97"/>
      <c r="V89" s="108"/>
    </row>
    <row r="90" ht="15.75" customHeight="1">
      <c r="A90" s="91"/>
      <c r="B90" s="166"/>
      <c r="C90" s="138"/>
      <c r="D90" s="97"/>
      <c r="E90" s="165"/>
      <c r="F90" s="169"/>
      <c r="G90" s="97"/>
      <c r="H90" s="98"/>
      <c r="I90" s="105"/>
      <c r="J90" s="97"/>
      <c r="K90" s="114"/>
      <c r="L90" s="114"/>
      <c r="M90" s="102"/>
      <c r="N90" s="103"/>
      <c r="O90" s="104"/>
      <c r="P90" s="97"/>
      <c r="Q90" s="105"/>
      <c r="R90" s="107"/>
      <c r="S90" s="105"/>
      <c r="T90" s="105"/>
      <c r="V90" s="108"/>
    </row>
    <row r="91" ht="15.75" customHeight="1">
      <c r="A91" s="91"/>
      <c r="B91" s="166"/>
      <c r="C91" s="140"/>
      <c r="D91" s="97"/>
      <c r="E91" s="165"/>
      <c r="F91" s="138"/>
      <c r="G91" s="97"/>
      <c r="H91" s="98"/>
      <c r="I91" s="105"/>
      <c r="J91" s="97"/>
      <c r="K91" s="101"/>
      <c r="L91" s="101"/>
      <c r="M91" s="102"/>
      <c r="N91" s="124"/>
      <c r="O91" s="125"/>
      <c r="P91" s="97"/>
      <c r="Q91" s="97"/>
      <c r="R91" s="126"/>
      <c r="S91" s="97"/>
      <c r="T91" s="97"/>
      <c r="V91" s="108"/>
    </row>
    <row r="92" ht="15.75" customHeight="1">
      <c r="A92" s="91"/>
      <c r="B92" s="166"/>
      <c r="C92" s="138"/>
      <c r="D92" s="97"/>
      <c r="E92" s="165"/>
      <c r="F92" s="138"/>
      <c r="G92" s="97"/>
      <c r="H92" s="98"/>
      <c r="I92" s="105"/>
      <c r="J92" s="97"/>
      <c r="K92" s="114"/>
      <c r="L92" s="114"/>
      <c r="M92" s="102"/>
      <c r="N92" s="103"/>
      <c r="O92" s="104"/>
      <c r="P92" s="97"/>
      <c r="Q92" s="130"/>
      <c r="R92" s="107"/>
      <c r="S92" s="105"/>
      <c r="T92" s="105"/>
      <c r="V92" s="108"/>
    </row>
    <row r="93" ht="15.75" customHeight="1">
      <c r="A93" s="91"/>
      <c r="B93" s="166"/>
      <c r="C93" s="140"/>
      <c r="D93" s="97"/>
      <c r="E93" s="138"/>
      <c r="F93" s="138"/>
      <c r="G93" s="97"/>
      <c r="H93" s="98"/>
      <c r="I93" s="105"/>
      <c r="J93" s="97"/>
      <c r="K93" s="101"/>
      <c r="L93" s="101"/>
      <c r="M93" s="102"/>
      <c r="N93" s="124"/>
      <c r="O93" s="125"/>
      <c r="P93" s="97"/>
      <c r="Q93" s="131"/>
      <c r="R93" s="126"/>
      <c r="S93" s="97"/>
      <c r="T93" s="97"/>
      <c r="V93" s="108"/>
    </row>
    <row r="94" ht="15.75" customHeight="1">
      <c r="A94" s="91"/>
      <c r="B94" s="166"/>
      <c r="C94" s="98"/>
      <c r="D94" s="97"/>
      <c r="E94" s="165"/>
      <c r="F94" s="138"/>
      <c r="G94" s="97"/>
      <c r="H94" s="98"/>
      <c r="I94" s="105"/>
      <c r="J94" s="97"/>
      <c r="K94" s="114"/>
      <c r="L94" s="114"/>
      <c r="M94" s="102"/>
      <c r="N94" s="124"/>
      <c r="O94" s="125"/>
      <c r="P94" s="97"/>
      <c r="Q94" s="97"/>
      <c r="R94" s="126"/>
      <c r="S94" s="97"/>
      <c r="T94" s="97"/>
      <c r="V94" s="108"/>
    </row>
    <row r="95" ht="15.75" customHeight="1">
      <c r="A95" s="91"/>
      <c r="B95" s="166"/>
      <c r="C95" s="98"/>
      <c r="D95" s="97"/>
      <c r="E95" s="165"/>
      <c r="F95" s="138"/>
      <c r="G95" s="97"/>
      <c r="H95" s="98"/>
      <c r="I95" s="105"/>
      <c r="J95" s="97"/>
      <c r="K95" s="101"/>
      <c r="L95" s="101"/>
      <c r="M95" s="102"/>
      <c r="N95" s="103"/>
      <c r="O95" s="104"/>
      <c r="P95" s="97"/>
      <c r="Q95" s="115"/>
      <c r="R95" s="107"/>
      <c r="S95" s="105"/>
      <c r="T95" s="105"/>
      <c r="V95" s="108"/>
    </row>
    <row r="96" ht="15.75" customHeight="1">
      <c r="A96" s="91"/>
      <c r="B96" s="166"/>
      <c r="C96" s="98"/>
      <c r="D96" s="97"/>
      <c r="E96" s="165"/>
      <c r="F96" s="138"/>
      <c r="G96" s="97"/>
      <c r="H96" s="98"/>
      <c r="I96" s="105"/>
      <c r="J96" s="97"/>
      <c r="K96" s="114"/>
      <c r="L96" s="114"/>
      <c r="M96" s="102"/>
      <c r="N96" s="124"/>
      <c r="O96" s="125"/>
      <c r="P96" s="97"/>
      <c r="Q96" s="97"/>
      <c r="R96" s="126"/>
      <c r="S96" s="97"/>
      <c r="T96" s="97"/>
      <c r="V96" s="108"/>
    </row>
    <row r="97" ht="15.75" customHeight="1">
      <c r="A97" s="91"/>
      <c r="B97" s="166"/>
      <c r="C97" s="98"/>
      <c r="D97" s="97"/>
      <c r="E97" s="170"/>
      <c r="F97" s="138"/>
      <c r="G97" s="97"/>
      <c r="H97" s="98"/>
      <c r="I97" s="105"/>
      <c r="J97" s="97"/>
      <c r="K97" s="101"/>
      <c r="L97" s="101"/>
      <c r="M97" s="102"/>
      <c r="N97" s="124"/>
      <c r="O97" s="125"/>
      <c r="P97" s="97"/>
      <c r="Q97" s="131"/>
      <c r="R97" s="126"/>
      <c r="S97" s="97"/>
      <c r="T97" s="97"/>
      <c r="V97" s="108"/>
    </row>
    <row r="98" ht="15.75" customHeight="1">
      <c r="A98" s="91"/>
      <c r="B98" s="166"/>
      <c r="C98" s="107"/>
      <c r="D98" s="97"/>
      <c r="E98" s="165"/>
      <c r="F98" s="138"/>
      <c r="G98" s="97"/>
      <c r="H98" s="98"/>
      <c r="I98" s="105"/>
      <c r="J98" s="97"/>
      <c r="K98" s="114"/>
      <c r="L98" s="114"/>
      <c r="M98" s="102"/>
      <c r="N98" s="124"/>
      <c r="O98" s="125"/>
      <c r="P98" s="97"/>
      <c r="Q98" s="130"/>
      <c r="R98" s="107"/>
      <c r="S98" s="97"/>
      <c r="T98" s="105"/>
      <c r="V98" s="108"/>
    </row>
    <row r="99" ht="15.75" customHeight="1">
      <c r="A99" s="91"/>
      <c r="B99" s="166"/>
      <c r="C99" s="107"/>
      <c r="D99" s="97"/>
      <c r="E99" s="165"/>
      <c r="F99" s="138"/>
      <c r="G99" s="97"/>
      <c r="H99" s="98"/>
      <c r="I99" s="105"/>
      <c r="J99" s="97"/>
      <c r="K99" s="101"/>
      <c r="L99" s="101"/>
      <c r="M99" s="102"/>
      <c r="N99" s="124"/>
      <c r="O99" s="125"/>
      <c r="P99" s="97"/>
      <c r="Q99" s="130"/>
      <c r="R99" s="107"/>
      <c r="S99" s="97"/>
      <c r="T99" s="105"/>
      <c r="V99" s="108"/>
    </row>
    <row r="100" ht="15.75" customHeight="1">
      <c r="A100" s="91"/>
      <c r="B100" s="166"/>
      <c r="C100" s="98"/>
      <c r="D100" s="97"/>
      <c r="E100" s="98"/>
      <c r="F100" s="140"/>
      <c r="G100" s="97"/>
      <c r="H100" s="98"/>
      <c r="I100" s="105"/>
      <c r="J100" s="97"/>
      <c r="K100" s="114"/>
      <c r="L100" s="114"/>
      <c r="M100" s="102"/>
      <c r="N100" s="124"/>
      <c r="O100" s="125"/>
      <c r="P100" s="97"/>
      <c r="Q100" s="131"/>
      <c r="R100" s="126"/>
      <c r="S100" s="97"/>
      <c r="T100" s="97"/>
      <c r="V100" s="108"/>
    </row>
    <row r="101" ht="15.75" customHeight="1">
      <c r="A101" s="91"/>
      <c r="B101" s="166"/>
      <c r="C101" s="98"/>
      <c r="D101" s="97"/>
      <c r="E101" s="165"/>
      <c r="F101" s="138"/>
      <c r="G101" s="97"/>
      <c r="H101" s="98"/>
      <c r="I101" s="105"/>
      <c r="J101" s="97"/>
      <c r="K101" s="101"/>
      <c r="L101" s="101"/>
      <c r="M101" s="102"/>
      <c r="N101" s="124"/>
      <c r="O101" s="125"/>
      <c r="P101" s="97"/>
      <c r="Q101" s="97"/>
      <c r="R101" s="126"/>
      <c r="S101" s="97"/>
      <c r="T101" s="97"/>
      <c r="V101" s="108"/>
    </row>
    <row r="102" ht="15.75" customHeight="1">
      <c r="A102" s="91"/>
      <c r="B102" s="166"/>
      <c r="C102" s="98"/>
      <c r="D102" s="97"/>
      <c r="E102" s="165"/>
      <c r="F102" s="138"/>
      <c r="G102" s="97"/>
      <c r="H102" s="98"/>
      <c r="I102" s="105"/>
      <c r="J102" s="97"/>
      <c r="K102" s="114"/>
      <c r="L102" s="114"/>
      <c r="M102" s="102"/>
      <c r="N102" s="103"/>
      <c r="O102" s="104"/>
      <c r="P102" s="97"/>
      <c r="Q102" s="115"/>
      <c r="R102" s="116"/>
      <c r="S102" s="105"/>
      <c r="T102" s="105"/>
      <c r="V102" s="108"/>
    </row>
    <row r="103" ht="15.75" customHeight="1">
      <c r="A103" s="91"/>
      <c r="B103" s="171"/>
      <c r="C103" s="143"/>
      <c r="D103" s="97"/>
      <c r="E103" s="143"/>
      <c r="F103" s="169"/>
      <c r="G103" s="97"/>
      <c r="H103" s="98"/>
      <c r="I103" s="105"/>
      <c r="J103" s="97"/>
      <c r="K103" s="101"/>
      <c r="L103" s="101"/>
      <c r="M103" s="102"/>
      <c r="N103" s="103"/>
      <c r="O103" s="125"/>
      <c r="P103" s="97"/>
      <c r="Q103" s="131"/>
      <c r="R103" s="126"/>
      <c r="S103" s="105"/>
      <c r="T103" s="97"/>
      <c r="V103" s="108"/>
    </row>
    <row r="104" ht="15.75" customHeight="1">
      <c r="A104" s="91"/>
      <c r="B104" s="171"/>
      <c r="C104" s="143"/>
      <c r="D104" s="97"/>
      <c r="E104" s="143"/>
      <c r="F104" s="143"/>
      <c r="G104" s="97"/>
      <c r="H104" s="98"/>
      <c r="I104" s="105"/>
      <c r="J104" s="97"/>
      <c r="K104" s="114"/>
      <c r="L104" s="114"/>
      <c r="M104" s="102"/>
      <c r="N104" s="103"/>
      <c r="O104" s="125"/>
      <c r="P104" s="97"/>
      <c r="Q104" s="97"/>
      <c r="R104" s="126"/>
      <c r="S104" s="105"/>
      <c r="T104" s="97"/>
      <c r="V104" s="108"/>
    </row>
    <row r="105" ht="15.75" customHeight="1">
      <c r="A105" s="91"/>
      <c r="B105" s="171"/>
      <c r="C105" s="108"/>
      <c r="D105" s="97"/>
      <c r="E105" s="143"/>
      <c r="F105" s="143"/>
      <c r="G105" s="97"/>
      <c r="H105" s="98"/>
      <c r="I105" s="105"/>
      <c r="J105" s="97"/>
      <c r="K105" s="101"/>
      <c r="L105" s="101"/>
      <c r="M105" s="102"/>
      <c r="N105" s="103"/>
      <c r="O105" s="125"/>
      <c r="P105" s="97"/>
      <c r="Q105" s="131"/>
      <c r="R105" s="126"/>
      <c r="S105" s="105"/>
      <c r="T105" s="97"/>
      <c r="V105" s="108"/>
    </row>
    <row r="106" ht="15.75" customHeight="1">
      <c r="A106" s="91"/>
      <c r="B106" s="171"/>
      <c r="C106" s="108"/>
      <c r="D106" s="97"/>
      <c r="E106" s="143"/>
      <c r="F106" s="143"/>
      <c r="G106" s="97"/>
      <c r="H106" s="98"/>
      <c r="I106" s="105"/>
      <c r="J106" s="97"/>
      <c r="K106" s="114"/>
      <c r="L106" s="114"/>
      <c r="M106" s="102"/>
      <c r="N106" s="103"/>
      <c r="O106" s="125"/>
      <c r="P106" s="97"/>
      <c r="Q106" s="131"/>
      <c r="R106" s="126"/>
      <c r="S106" s="105"/>
      <c r="T106" s="97"/>
      <c r="V106" s="108"/>
    </row>
    <row r="107" ht="15.75" customHeight="1">
      <c r="A107" s="91"/>
      <c r="B107" s="171"/>
      <c r="C107" s="143"/>
      <c r="D107" s="97"/>
      <c r="E107" s="143"/>
      <c r="F107" s="143"/>
      <c r="G107" s="97"/>
      <c r="H107" s="98"/>
      <c r="I107" s="105"/>
      <c r="J107" s="97"/>
      <c r="K107" s="101"/>
      <c r="L107" s="101"/>
      <c r="M107" s="102"/>
      <c r="N107" s="103"/>
      <c r="O107" s="125"/>
      <c r="P107" s="97"/>
      <c r="Q107" s="131"/>
      <c r="R107" s="126"/>
      <c r="S107" s="105"/>
      <c r="T107" s="97"/>
      <c r="V107" s="108"/>
    </row>
    <row r="108" ht="15.75" customHeight="1">
      <c r="A108" s="91"/>
      <c r="B108" s="171"/>
      <c r="C108" s="143"/>
      <c r="D108" s="97"/>
      <c r="E108" s="143"/>
      <c r="F108" s="143"/>
      <c r="G108" s="97"/>
      <c r="H108" s="98"/>
      <c r="I108" s="105"/>
      <c r="J108" s="97"/>
      <c r="K108" s="114"/>
      <c r="L108" s="114"/>
      <c r="M108" s="102"/>
      <c r="N108" s="103"/>
      <c r="O108" s="125"/>
      <c r="P108" s="97"/>
      <c r="Q108" s="97"/>
      <c r="R108" s="126"/>
      <c r="S108" s="105"/>
      <c r="T108" s="97"/>
      <c r="V108" s="108"/>
    </row>
    <row r="109" ht="15.75" customHeight="1">
      <c r="A109" s="91"/>
      <c r="B109" s="171"/>
      <c r="C109" s="143"/>
      <c r="D109" s="97"/>
      <c r="E109" s="143"/>
      <c r="F109" s="143"/>
      <c r="G109" s="97"/>
      <c r="H109" s="98"/>
      <c r="I109" s="105"/>
      <c r="J109" s="97"/>
      <c r="K109" s="101"/>
      <c r="L109" s="101"/>
      <c r="M109" s="102"/>
      <c r="N109" s="103"/>
      <c r="O109" s="125"/>
      <c r="P109" s="97"/>
      <c r="Q109" s="131"/>
      <c r="R109" s="126"/>
      <c r="S109" s="105"/>
      <c r="T109" s="97"/>
      <c r="V109" s="108"/>
    </row>
    <row r="110" ht="15.75" customHeight="1">
      <c r="A110" s="91"/>
      <c r="B110" s="171"/>
      <c r="C110" s="143"/>
      <c r="D110" s="97"/>
      <c r="E110" s="143"/>
      <c r="F110" s="143"/>
      <c r="G110" s="97"/>
      <c r="H110" s="143"/>
      <c r="I110" s="145"/>
      <c r="J110" s="97"/>
      <c r="K110" s="114"/>
      <c r="L110" s="114"/>
      <c r="M110" s="102"/>
      <c r="N110" s="124"/>
      <c r="O110" s="125"/>
      <c r="P110" s="97"/>
      <c r="Q110" s="97"/>
      <c r="R110" s="126"/>
      <c r="S110" s="97"/>
      <c r="T110" s="97"/>
      <c r="V110" s="108"/>
    </row>
    <row r="111" ht="15.75" customHeight="1">
      <c r="A111" s="91"/>
      <c r="B111" s="171"/>
      <c r="C111" s="143"/>
      <c r="D111" s="97"/>
      <c r="E111" s="143"/>
      <c r="F111" s="143"/>
      <c r="G111" s="97"/>
      <c r="H111" s="143"/>
      <c r="I111" s="97"/>
      <c r="J111" s="97"/>
      <c r="K111" s="101"/>
      <c r="L111" s="101"/>
      <c r="M111" s="102"/>
      <c r="N111" s="124"/>
      <c r="O111" s="125"/>
      <c r="P111" s="97"/>
      <c r="Q111" s="131"/>
      <c r="R111" s="126"/>
      <c r="S111" s="97"/>
      <c r="T111" s="97"/>
      <c r="V111" s="108"/>
    </row>
    <row r="112" ht="15.75" customHeight="1">
      <c r="A112" s="91"/>
      <c r="B112" s="171"/>
      <c r="C112" s="108"/>
      <c r="D112" s="97"/>
      <c r="E112" s="143"/>
      <c r="F112" s="143"/>
      <c r="G112" s="97"/>
      <c r="H112" s="143"/>
      <c r="I112" s="97"/>
      <c r="J112" s="97"/>
      <c r="K112" s="114"/>
      <c r="L112" s="114"/>
      <c r="M112" s="102"/>
      <c r="N112" s="124"/>
      <c r="O112" s="125"/>
      <c r="P112" s="97"/>
      <c r="Q112" s="97"/>
      <c r="R112" s="126"/>
      <c r="S112" s="97"/>
      <c r="T112" s="97"/>
      <c r="V112" s="108"/>
    </row>
    <row r="113" ht="15.75" customHeight="1">
      <c r="A113" s="91"/>
      <c r="B113" s="171"/>
      <c r="C113" s="108"/>
      <c r="D113" s="97"/>
      <c r="E113" s="143"/>
      <c r="F113" s="143"/>
      <c r="G113" s="97"/>
      <c r="H113" s="143"/>
      <c r="I113" s="97"/>
      <c r="J113" s="97"/>
      <c r="K113" s="101"/>
      <c r="L113" s="101"/>
      <c r="M113" s="102"/>
      <c r="N113" s="124"/>
      <c r="O113" s="125"/>
      <c r="P113" s="97"/>
      <c r="Q113" s="97"/>
      <c r="R113" s="126"/>
      <c r="S113" s="97"/>
      <c r="T113" s="97"/>
      <c r="V113" s="108"/>
    </row>
    <row r="114" ht="15.75" customHeight="1">
      <c r="A114" s="91"/>
      <c r="B114" s="171"/>
      <c r="C114" s="108"/>
      <c r="D114" s="97"/>
      <c r="E114" s="143"/>
      <c r="F114" s="143"/>
      <c r="G114" s="97"/>
      <c r="H114" s="143"/>
      <c r="I114" s="97"/>
      <c r="J114" s="97"/>
      <c r="K114" s="114"/>
      <c r="L114" s="114"/>
      <c r="M114" s="102"/>
      <c r="N114" s="124"/>
      <c r="O114" s="125"/>
      <c r="P114" s="97"/>
      <c r="Q114" s="97"/>
      <c r="R114" s="126"/>
      <c r="S114" s="97"/>
      <c r="T114" s="97"/>
      <c r="V114" s="108"/>
    </row>
    <row r="115" ht="15.75" customHeight="1">
      <c r="A115" s="91"/>
      <c r="B115" s="171"/>
      <c r="C115" s="143"/>
      <c r="D115" s="97"/>
      <c r="E115" s="143"/>
      <c r="F115" s="143"/>
      <c r="G115" s="97"/>
      <c r="H115" s="143"/>
      <c r="I115" s="97"/>
      <c r="J115" s="97"/>
      <c r="K115" s="101"/>
      <c r="L115" s="101"/>
      <c r="M115" s="102"/>
      <c r="N115" s="124"/>
      <c r="O115" s="125"/>
      <c r="P115" s="97"/>
      <c r="Q115" s="97"/>
      <c r="R115" s="126"/>
      <c r="S115" s="97"/>
      <c r="T115" s="97"/>
      <c r="V115" s="108"/>
    </row>
    <row r="116" ht="15.75" customHeight="1">
      <c r="A116" s="91"/>
      <c r="B116" s="171"/>
      <c r="C116" s="143"/>
      <c r="D116" s="97"/>
      <c r="E116" s="143"/>
      <c r="F116" s="143"/>
      <c r="G116" s="97"/>
      <c r="H116" s="143"/>
      <c r="I116" s="97"/>
      <c r="J116" s="97"/>
      <c r="K116" s="114"/>
      <c r="L116" s="114"/>
      <c r="M116" s="102"/>
      <c r="N116" s="124"/>
      <c r="O116" s="125"/>
      <c r="P116" s="97"/>
      <c r="Q116" s="97"/>
      <c r="R116" s="126"/>
      <c r="S116" s="97"/>
      <c r="T116" s="97"/>
      <c r="V116" s="108"/>
    </row>
    <row r="117" ht="15.75" customHeight="1">
      <c r="A117" s="91"/>
      <c r="B117" s="171"/>
      <c r="C117" s="143"/>
      <c r="D117" s="97"/>
      <c r="E117" s="143"/>
      <c r="F117" s="143"/>
      <c r="G117" s="97"/>
      <c r="H117" s="143"/>
      <c r="I117" s="97"/>
      <c r="J117" s="97"/>
      <c r="K117" s="101"/>
      <c r="L117" s="101"/>
      <c r="M117" s="102"/>
      <c r="N117" s="124"/>
      <c r="O117" s="125"/>
      <c r="P117" s="97"/>
      <c r="Q117" s="97"/>
      <c r="R117" s="126"/>
      <c r="S117" s="97"/>
      <c r="T117" s="97"/>
      <c r="V117" s="108"/>
    </row>
    <row r="118" ht="15.75" customHeight="1">
      <c r="A118" s="91"/>
      <c r="B118" s="171"/>
      <c r="C118" s="143"/>
      <c r="D118" s="97"/>
      <c r="E118" s="143"/>
      <c r="F118" s="143"/>
      <c r="G118" s="97"/>
      <c r="H118" s="143"/>
      <c r="I118" s="97"/>
      <c r="J118" s="97"/>
      <c r="K118" s="114"/>
      <c r="L118" s="114"/>
      <c r="M118" s="102"/>
      <c r="N118" s="124"/>
      <c r="O118" s="125"/>
      <c r="P118" s="97"/>
      <c r="Q118" s="97"/>
      <c r="R118" s="126"/>
      <c r="S118" s="97"/>
      <c r="T118" s="97"/>
      <c r="V118" s="108"/>
    </row>
    <row r="119" ht="15.75" customHeight="1">
      <c r="A119" s="91"/>
      <c r="B119" s="171"/>
      <c r="C119" s="143"/>
      <c r="D119" s="97"/>
      <c r="E119" s="143"/>
      <c r="F119" s="143"/>
      <c r="G119" s="97"/>
      <c r="H119" s="143"/>
      <c r="I119" s="97"/>
      <c r="J119" s="97"/>
      <c r="K119" s="101"/>
      <c r="L119" s="101"/>
      <c r="M119" s="102"/>
      <c r="N119" s="124"/>
      <c r="O119" s="125"/>
      <c r="P119" s="97"/>
      <c r="Q119" s="131"/>
      <c r="R119" s="126"/>
      <c r="S119" s="97"/>
      <c r="T119" s="97"/>
      <c r="V119" s="108"/>
    </row>
    <row r="120" ht="15.75" customHeight="1">
      <c r="A120" s="91"/>
      <c r="B120" s="171"/>
      <c r="C120" s="108"/>
      <c r="D120" s="97"/>
      <c r="E120" s="143"/>
      <c r="F120" s="143"/>
      <c r="G120" s="97"/>
      <c r="H120" s="143"/>
      <c r="I120" s="97"/>
      <c r="J120" s="97"/>
      <c r="K120" s="114"/>
      <c r="L120" s="114"/>
      <c r="M120" s="102"/>
      <c r="N120" s="124"/>
      <c r="O120" s="125"/>
      <c r="P120" s="97"/>
      <c r="Q120" s="97"/>
      <c r="R120" s="126"/>
      <c r="S120" s="97"/>
      <c r="T120" s="97"/>
      <c r="V120" s="108"/>
    </row>
    <row r="121" ht="15.75" customHeight="1">
      <c r="A121" s="91"/>
      <c r="B121" s="171"/>
      <c r="C121" s="108"/>
      <c r="D121" s="97"/>
      <c r="E121" s="143"/>
      <c r="F121" s="143"/>
      <c r="G121" s="97"/>
      <c r="H121" s="143"/>
      <c r="I121" s="97"/>
      <c r="J121" s="97"/>
      <c r="K121" s="101"/>
      <c r="L121" s="101"/>
      <c r="M121" s="102"/>
      <c r="N121" s="124"/>
      <c r="O121" s="125"/>
      <c r="P121" s="97"/>
      <c r="Q121" s="97"/>
      <c r="R121" s="126"/>
      <c r="S121" s="97"/>
      <c r="T121" s="97"/>
      <c r="V121" s="108"/>
    </row>
    <row r="122" ht="15.75" customHeight="1">
      <c r="A122" s="91"/>
      <c r="B122" s="171"/>
      <c r="C122" s="108"/>
      <c r="D122" s="97"/>
      <c r="E122" s="143"/>
      <c r="F122" s="143"/>
      <c r="G122" s="97"/>
      <c r="H122" s="143"/>
      <c r="I122" s="97"/>
      <c r="J122" s="97"/>
      <c r="K122" s="114"/>
      <c r="L122" s="114"/>
      <c r="M122" s="102"/>
      <c r="N122" s="124"/>
      <c r="O122" s="125"/>
      <c r="P122" s="97"/>
      <c r="Q122" s="131"/>
      <c r="R122" s="126"/>
      <c r="S122" s="97"/>
      <c r="T122" s="97"/>
      <c r="V122" s="108"/>
    </row>
    <row r="123" ht="15.75" customHeight="1">
      <c r="A123" s="91"/>
      <c r="B123" s="171"/>
      <c r="C123" s="143"/>
      <c r="D123" s="97"/>
      <c r="E123" s="143"/>
      <c r="F123" s="143"/>
      <c r="G123" s="97"/>
      <c r="H123" s="143"/>
      <c r="I123" s="97"/>
      <c r="J123" s="97"/>
      <c r="K123" s="101"/>
      <c r="L123" s="101"/>
      <c r="M123" s="102"/>
      <c r="N123" s="124"/>
      <c r="O123" s="125"/>
      <c r="P123" s="97"/>
      <c r="Q123" s="131"/>
      <c r="R123" s="126"/>
      <c r="S123" s="97"/>
      <c r="T123" s="97"/>
      <c r="V123" s="108"/>
    </row>
    <row r="124" ht="15.75" customHeight="1">
      <c r="A124" s="91"/>
      <c r="B124" s="171"/>
      <c r="C124" s="143"/>
      <c r="D124" s="97"/>
      <c r="E124" s="143"/>
      <c r="F124" s="143"/>
      <c r="G124" s="97"/>
      <c r="H124" s="143"/>
      <c r="I124" s="97"/>
      <c r="J124" s="97"/>
      <c r="K124" s="114"/>
      <c r="L124" s="114"/>
      <c r="M124" s="102"/>
      <c r="N124" s="124"/>
      <c r="O124" s="125"/>
      <c r="P124" s="97"/>
      <c r="Q124" s="131"/>
      <c r="R124" s="126"/>
      <c r="S124" s="97"/>
      <c r="T124" s="97"/>
      <c r="V124" s="108"/>
    </row>
    <row r="125" ht="15.75" customHeight="1">
      <c r="A125" s="91"/>
      <c r="B125" s="171"/>
      <c r="C125" s="143"/>
      <c r="D125" s="97"/>
      <c r="E125" s="143"/>
      <c r="F125" s="143"/>
      <c r="G125" s="97"/>
      <c r="H125" s="143"/>
      <c r="I125" s="97"/>
      <c r="J125" s="97"/>
      <c r="K125" s="101"/>
      <c r="L125" s="101"/>
      <c r="M125" s="102"/>
      <c r="N125" s="124"/>
      <c r="O125" s="125"/>
      <c r="P125" s="97"/>
      <c r="Q125" s="131"/>
      <c r="R125" s="126"/>
      <c r="S125" s="97"/>
      <c r="T125" s="97"/>
      <c r="V125" s="108"/>
    </row>
    <row r="126" ht="15.75" customHeight="1">
      <c r="A126" s="91"/>
      <c r="B126" s="171"/>
      <c r="C126" s="143"/>
      <c r="D126" s="97"/>
      <c r="E126" s="143"/>
      <c r="F126" s="143"/>
      <c r="G126" s="97"/>
      <c r="H126" s="143"/>
      <c r="I126" s="97"/>
      <c r="J126" s="97"/>
      <c r="K126" s="114"/>
      <c r="L126" s="114"/>
      <c r="M126" s="102"/>
      <c r="N126" s="124"/>
      <c r="O126" s="125"/>
      <c r="P126" s="97"/>
      <c r="Q126" s="131"/>
      <c r="R126" s="126"/>
      <c r="S126" s="97"/>
      <c r="T126" s="97"/>
      <c r="V126" s="108"/>
    </row>
    <row r="127" ht="15.75" customHeight="1">
      <c r="A127" s="91"/>
      <c r="B127" s="171"/>
      <c r="C127" s="143"/>
      <c r="D127" s="97"/>
      <c r="E127" s="143"/>
      <c r="F127" s="143"/>
      <c r="G127" s="97"/>
      <c r="H127" s="143"/>
      <c r="I127" s="97"/>
      <c r="J127" s="97"/>
      <c r="K127" s="101"/>
      <c r="L127" s="101"/>
      <c r="M127" s="102"/>
      <c r="N127" s="124"/>
      <c r="O127" s="125"/>
      <c r="P127" s="97"/>
      <c r="Q127" s="131"/>
      <c r="R127" s="126"/>
      <c r="S127" s="97"/>
      <c r="T127" s="97"/>
      <c r="V127" s="108"/>
    </row>
    <row r="128" ht="15.75" customHeight="1">
      <c r="A128" s="91"/>
      <c r="B128" s="171"/>
      <c r="C128" s="108"/>
      <c r="D128" s="97"/>
      <c r="E128" s="143"/>
      <c r="F128" s="143"/>
      <c r="G128" s="97"/>
      <c r="H128" s="143"/>
      <c r="I128" s="97"/>
      <c r="J128" s="97"/>
      <c r="K128" s="114"/>
      <c r="L128" s="114"/>
      <c r="M128" s="102"/>
      <c r="N128" s="124"/>
      <c r="O128" s="125"/>
      <c r="P128" s="97"/>
      <c r="Q128" s="97"/>
      <c r="R128" s="126"/>
      <c r="S128" s="97"/>
      <c r="T128" s="97"/>
      <c r="V128" s="108"/>
    </row>
    <row r="129" ht="15.75" customHeight="1">
      <c r="A129" s="91"/>
      <c r="B129" s="171"/>
      <c r="C129" s="108"/>
      <c r="D129" s="97"/>
      <c r="E129" s="143"/>
      <c r="F129" s="143"/>
      <c r="G129" s="97"/>
      <c r="H129" s="143"/>
      <c r="I129" s="97"/>
      <c r="J129" s="97"/>
      <c r="K129" s="101"/>
      <c r="L129" s="101"/>
      <c r="M129" s="102"/>
      <c r="N129" s="124"/>
      <c r="O129" s="125"/>
      <c r="P129" s="97"/>
      <c r="Q129" s="131"/>
      <c r="R129" s="126"/>
      <c r="S129" s="97"/>
      <c r="T129" s="97"/>
      <c r="V129" s="108"/>
    </row>
    <row r="130" ht="15.75" customHeight="1">
      <c r="A130" s="91"/>
      <c r="B130" s="171"/>
      <c r="C130" s="108"/>
      <c r="D130" s="97"/>
      <c r="E130" s="143"/>
      <c r="F130" s="143"/>
      <c r="G130" s="97"/>
      <c r="H130" s="143"/>
      <c r="I130" s="97"/>
      <c r="J130" s="97"/>
      <c r="K130" s="114"/>
      <c r="L130" s="114"/>
      <c r="M130" s="102"/>
      <c r="N130" s="124"/>
      <c r="O130" s="125"/>
      <c r="P130" s="97"/>
      <c r="Q130" s="97"/>
      <c r="R130" s="126"/>
      <c r="S130" s="97"/>
      <c r="T130" s="97"/>
      <c r="V130" s="108"/>
    </row>
    <row r="131" ht="15.75" customHeight="1">
      <c r="A131" s="91"/>
      <c r="B131" s="171"/>
      <c r="C131" s="143"/>
      <c r="D131" s="97"/>
      <c r="E131" s="143"/>
      <c r="F131" s="143"/>
      <c r="G131" s="97"/>
      <c r="H131" s="143"/>
      <c r="I131" s="97"/>
      <c r="J131" s="97"/>
      <c r="K131" s="101"/>
      <c r="L131" s="101"/>
      <c r="M131" s="102"/>
      <c r="N131" s="124"/>
      <c r="O131" s="125"/>
      <c r="P131" s="97"/>
      <c r="Q131" s="97"/>
      <c r="R131" s="126"/>
      <c r="S131" s="97"/>
      <c r="T131" s="97"/>
      <c r="V131" s="108"/>
    </row>
    <row r="132" ht="15.75" customHeight="1">
      <c r="A132" s="91"/>
      <c r="B132" s="171"/>
      <c r="C132" s="143"/>
      <c r="D132" s="97"/>
      <c r="E132" s="143"/>
      <c r="F132" s="143"/>
      <c r="G132" s="97"/>
      <c r="H132" s="143"/>
      <c r="I132" s="97"/>
      <c r="J132" s="97"/>
      <c r="K132" s="114"/>
      <c r="L132" s="114"/>
      <c r="M132" s="102"/>
      <c r="N132" s="124"/>
      <c r="O132" s="125"/>
      <c r="P132" s="97"/>
      <c r="Q132" s="131"/>
      <c r="R132" s="126"/>
      <c r="S132" s="97"/>
      <c r="T132" s="97"/>
      <c r="V132" s="108"/>
    </row>
    <row r="133" ht="15.75" customHeight="1">
      <c r="A133" s="91"/>
      <c r="B133" s="171"/>
      <c r="C133" s="143"/>
      <c r="D133" s="97"/>
      <c r="E133" s="143"/>
      <c r="F133" s="143"/>
      <c r="G133" s="97"/>
      <c r="H133" s="143"/>
      <c r="I133" s="97"/>
      <c r="J133" s="97"/>
      <c r="K133" s="101"/>
      <c r="L133" s="101"/>
      <c r="M133" s="102"/>
      <c r="N133" s="124"/>
      <c r="O133" s="125"/>
      <c r="P133" s="97"/>
      <c r="Q133" s="97"/>
      <c r="R133" s="126"/>
      <c r="S133" s="97"/>
      <c r="T133" s="97"/>
      <c r="V133" s="108"/>
    </row>
    <row r="134" ht="15.75" customHeight="1">
      <c r="A134" s="91"/>
      <c r="B134" s="171"/>
      <c r="C134" s="143"/>
      <c r="D134" s="97"/>
      <c r="E134" s="143"/>
      <c r="F134" s="143"/>
      <c r="G134" s="97"/>
      <c r="H134" s="143"/>
      <c r="I134" s="97"/>
      <c r="J134" s="97"/>
      <c r="K134" s="114"/>
      <c r="L134" s="114"/>
      <c r="M134" s="102"/>
      <c r="N134" s="124"/>
      <c r="O134" s="125"/>
      <c r="P134" s="97"/>
      <c r="Q134" s="97"/>
      <c r="R134" s="126"/>
      <c r="S134" s="97"/>
      <c r="T134" s="97"/>
      <c r="V134" s="108"/>
    </row>
    <row r="135" ht="15.75" customHeight="1">
      <c r="A135" s="91"/>
      <c r="B135" s="171"/>
      <c r="C135" s="143"/>
      <c r="D135" s="97"/>
      <c r="E135" s="143"/>
      <c r="F135" s="143"/>
      <c r="G135" s="97"/>
      <c r="H135" s="143"/>
      <c r="I135" s="97"/>
      <c r="J135" s="97"/>
      <c r="K135" s="101"/>
      <c r="L135" s="101"/>
      <c r="M135" s="102"/>
      <c r="N135" s="124"/>
      <c r="O135" s="125"/>
      <c r="P135" s="97"/>
      <c r="Q135" s="131"/>
      <c r="R135" s="126"/>
      <c r="S135" s="97"/>
      <c r="T135" s="97"/>
      <c r="V135" s="108"/>
    </row>
    <row r="136" ht="15.75" customHeight="1">
      <c r="A136" s="91"/>
      <c r="B136" s="171"/>
      <c r="C136" s="108"/>
      <c r="D136" s="97"/>
      <c r="E136" s="143"/>
      <c r="F136" s="143"/>
      <c r="G136" s="97"/>
      <c r="H136" s="143"/>
      <c r="I136" s="97"/>
      <c r="J136" s="97"/>
      <c r="K136" s="114"/>
      <c r="L136" s="114"/>
      <c r="M136" s="102"/>
      <c r="N136" s="124"/>
      <c r="O136" s="125"/>
      <c r="P136" s="97"/>
      <c r="Q136" s="97"/>
      <c r="R136" s="126"/>
      <c r="S136" s="97"/>
      <c r="T136" s="97"/>
      <c r="V136" s="108"/>
    </row>
    <row r="137" ht="15.75" customHeight="1">
      <c r="A137" s="91"/>
      <c r="B137" s="171"/>
      <c r="C137" s="108"/>
      <c r="D137" s="97"/>
      <c r="E137" s="143"/>
      <c r="F137" s="143"/>
      <c r="G137" s="97"/>
      <c r="H137" s="143"/>
      <c r="I137" s="97"/>
      <c r="J137" s="97"/>
      <c r="K137" s="101"/>
      <c r="L137" s="101"/>
      <c r="M137" s="102"/>
      <c r="N137" s="124"/>
      <c r="O137" s="125"/>
      <c r="P137" s="97"/>
      <c r="Q137" s="131"/>
      <c r="R137" s="126"/>
      <c r="S137" s="97"/>
      <c r="T137" s="97"/>
      <c r="V137" s="108"/>
    </row>
    <row r="138" ht="15.75" customHeight="1">
      <c r="A138" s="91"/>
      <c r="B138" s="171"/>
      <c r="C138" s="108"/>
      <c r="D138" s="97"/>
      <c r="E138" s="143"/>
      <c r="F138" s="143"/>
      <c r="G138" s="97"/>
      <c r="H138" s="143"/>
      <c r="I138" s="97"/>
      <c r="J138" s="97"/>
      <c r="K138" s="114"/>
      <c r="L138" s="114"/>
      <c r="M138" s="102"/>
      <c r="N138" s="124"/>
      <c r="O138" s="125"/>
      <c r="P138" s="97"/>
      <c r="Q138" s="131"/>
      <c r="R138" s="126"/>
      <c r="S138" s="97"/>
      <c r="T138" s="97"/>
      <c r="V138" s="108"/>
    </row>
    <row r="139" ht="15.75" customHeight="1">
      <c r="A139" s="91"/>
      <c r="B139" s="171"/>
      <c r="C139" s="143"/>
      <c r="D139" s="97"/>
      <c r="E139" s="143"/>
      <c r="F139" s="143"/>
      <c r="G139" s="97"/>
      <c r="H139" s="143"/>
      <c r="I139" s="97"/>
      <c r="J139" s="97"/>
      <c r="K139" s="101"/>
      <c r="L139" s="101"/>
      <c r="M139" s="102"/>
      <c r="N139" s="124"/>
      <c r="O139" s="125"/>
      <c r="P139" s="97"/>
      <c r="Q139" s="131"/>
      <c r="R139" s="126"/>
      <c r="S139" s="97"/>
      <c r="T139" s="97"/>
      <c r="V139" s="108"/>
    </row>
    <row r="140" ht="15.75" customHeight="1">
      <c r="A140" s="91"/>
      <c r="B140" s="171"/>
      <c r="C140" s="143"/>
      <c r="D140" s="97"/>
      <c r="E140" s="143"/>
      <c r="F140" s="143"/>
      <c r="G140" s="97"/>
      <c r="H140" s="143"/>
      <c r="I140" s="97"/>
      <c r="J140" s="97"/>
      <c r="K140" s="114"/>
      <c r="L140" s="114"/>
      <c r="M140" s="102"/>
      <c r="N140" s="124"/>
      <c r="O140" s="125"/>
      <c r="P140" s="97"/>
      <c r="Q140" s="97"/>
      <c r="R140" s="126"/>
      <c r="S140" s="97"/>
      <c r="T140" s="97"/>
      <c r="V140" s="108"/>
    </row>
    <row r="141" ht="15.75" customHeight="1">
      <c r="A141" s="91"/>
      <c r="B141" s="171"/>
      <c r="C141" s="143"/>
      <c r="D141" s="97"/>
      <c r="E141" s="143"/>
      <c r="F141" s="143"/>
      <c r="G141" s="97"/>
      <c r="H141" s="143"/>
      <c r="I141" s="97"/>
      <c r="J141" s="97"/>
      <c r="K141" s="101"/>
      <c r="L141" s="101"/>
      <c r="M141" s="102"/>
      <c r="N141" s="124"/>
      <c r="O141" s="125"/>
      <c r="P141" s="97"/>
      <c r="Q141" s="131"/>
      <c r="R141" s="126"/>
      <c r="S141" s="97"/>
      <c r="T141" s="97"/>
      <c r="V141" s="108"/>
    </row>
    <row r="142" ht="15.75" customHeight="1">
      <c r="A142" s="91"/>
      <c r="B142" s="171"/>
      <c r="C142" s="143"/>
      <c r="D142" s="97"/>
      <c r="E142" s="143"/>
      <c r="F142" s="143"/>
      <c r="G142" s="97"/>
      <c r="H142" s="143"/>
      <c r="I142" s="97"/>
      <c r="J142" s="97"/>
      <c r="K142" s="114"/>
      <c r="L142" s="114"/>
      <c r="M142" s="102"/>
      <c r="N142" s="124"/>
      <c r="O142" s="125"/>
      <c r="P142" s="97"/>
      <c r="Q142" s="97"/>
      <c r="R142" s="126"/>
      <c r="S142" s="97"/>
      <c r="T142" s="97"/>
      <c r="V142" s="108"/>
    </row>
    <row r="143" ht="15.75" customHeight="1">
      <c r="A143" s="91"/>
      <c r="B143" s="171"/>
      <c r="C143" s="143"/>
      <c r="D143" s="97"/>
      <c r="E143" s="143"/>
      <c r="F143" s="172"/>
      <c r="G143" s="97"/>
      <c r="H143" s="143"/>
      <c r="I143" s="97"/>
      <c r="J143" s="97"/>
      <c r="K143" s="101"/>
      <c r="L143" s="101"/>
      <c r="M143" s="102"/>
      <c r="N143" s="124"/>
      <c r="O143" s="125"/>
      <c r="P143" s="97"/>
      <c r="Q143" s="131"/>
      <c r="R143" s="126"/>
      <c r="S143" s="97"/>
      <c r="T143" s="97"/>
      <c r="V143" s="108"/>
    </row>
    <row r="144" ht="15.75" customHeight="1">
      <c r="A144" s="91"/>
      <c r="B144" s="171"/>
      <c r="C144" s="108"/>
      <c r="D144" s="97"/>
      <c r="E144" s="143"/>
      <c r="F144" s="143"/>
      <c r="G144" s="97"/>
      <c r="H144" s="143"/>
      <c r="I144" s="97"/>
      <c r="J144" s="97"/>
      <c r="K144" s="114"/>
      <c r="L144" s="114"/>
      <c r="M144" s="102"/>
      <c r="N144" s="124"/>
      <c r="O144" s="125"/>
      <c r="P144" s="97"/>
      <c r="Q144" s="97"/>
      <c r="R144" s="126"/>
      <c r="S144" s="97"/>
      <c r="T144" s="97"/>
      <c r="V144" s="108"/>
    </row>
    <row r="145" ht="15.75" customHeight="1">
      <c r="A145" s="91"/>
      <c r="B145" s="171"/>
      <c r="C145" s="108"/>
      <c r="D145" s="97"/>
      <c r="E145" s="143"/>
      <c r="F145" s="143"/>
      <c r="G145" s="97"/>
      <c r="H145" s="143"/>
      <c r="I145" s="97"/>
      <c r="J145" s="97"/>
      <c r="K145" s="101"/>
      <c r="L145" s="101"/>
      <c r="M145" s="102"/>
      <c r="N145" s="124"/>
      <c r="O145" s="125"/>
      <c r="P145" s="97"/>
      <c r="Q145" s="131"/>
      <c r="R145" s="126"/>
      <c r="S145" s="97"/>
      <c r="T145" s="97"/>
      <c r="V145" s="108"/>
    </row>
    <row r="146" ht="15.75" customHeight="1">
      <c r="A146" s="91"/>
      <c r="B146" s="171"/>
      <c r="C146" s="143"/>
      <c r="D146" s="97"/>
      <c r="E146" s="143"/>
      <c r="F146" s="143"/>
      <c r="G146" s="97"/>
      <c r="H146" s="143"/>
      <c r="I146" s="97"/>
      <c r="J146" s="97"/>
      <c r="K146" s="114"/>
      <c r="L146" s="114"/>
      <c r="M146" s="102"/>
      <c r="N146" s="124"/>
      <c r="O146" s="125"/>
      <c r="P146" s="97"/>
      <c r="Q146" s="131"/>
      <c r="R146" s="126"/>
      <c r="S146" s="97"/>
      <c r="T146" s="97"/>
      <c r="V146" s="108"/>
    </row>
    <row r="147" ht="15.75" customHeight="1">
      <c r="A147" s="91"/>
      <c r="B147" s="171"/>
      <c r="C147" s="143"/>
      <c r="D147" s="97"/>
      <c r="E147" s="143"/>
      <c r="F147" s="143"/>
      <c r="G147" s="97"/>
      <c r="H147" s="143"/>
      <c r="I147" s="97"/>
      <c r="J147" s="97"/>
      <c r="K147" s="101"/>
      <c r="L147" s="101"/>
      <c r="M147" s="102"/>
      <c r="N147" s="124"/>
      <c r="O147" s="125"/>
      <c r="P147" s="97"/>
      <c r="Q147" s="131"/>
      <c r="R147" s="126"/>
      <c r="S147" s="97"/>
      <c r="T147" s="97"/>
      <c r="V147" s="108"/>
    </row>
    <row r="148" ht="15.75" customHeight="1">
      <c r="A148" s="91"/>
      <c r="B148" s="171"/>
      <c r="C148" s="143"/>
      <c r="D148" s="97"/>
      <c r="E148" s="143"/>
      <c r="F148" s="143"/>
      <c r="G148" s="97"/>
      <c r="H148" s="143"/>
      <c r="I148" s="97"/>
      <c r="J148" s="97"/>
      <c r="K148" s="114"/>
      <c r="L148" s="114"/>
      <c r="M148" s="102"/>
      <c r="N148" s="124"/>
      <c r="O148" s="125"/>
      <c r="P148" s="97"/>
      <c r="Q148" s="131"/>
      <c r="R148" s="126"/>
      <c r="S148" s="97"/>
      <c r="T148" s="97"/>
      <c r="V148" s="108"/>
    </row>
    <row r="149" ht="15.75" customHeight="1">
      <c r="A149" s="91"/>
      <c r="B149" s="171"/>
      <c r="C149" s="143"/>
      <c r="D149" s="97"/>
      <c r="E149" s="143"/>
      <c r="F149" s="143"/>
      <c r="G149" s="97"/>
      <c r="H149" s="143"/>
      <c r="I149" s="97"/>
      <c r="J149" s="97"/>
      <c r="K149" s="101"/>
      <c r="L149" s="101"/>
      <c r="M149" s="102"/>
      <c r="N149" s="124"/>
      <c r="O149" s="125"/>
      <c r="P149" s="97"/>
      <c r="Q149" s="131"/>
      <c r="R149" s="126"/>
      <c r="S149" s="97"/>
      <c r="T149" s="97"/>
      <c r="V149" s="108"/>
    </row>
    <row r="150" ht="15.75" customHeight="1">
      <c r="A150" s="91"/>
      <c r="B150" s="171"/>
      <c r="C150" s="143"/>
      <c r="D150" s="97"/>
      <c r="E150" s="143"/>
      <c r="F150" s="143"/>
      <c r="G150" s="97"/>
      <c r="H150" s="143"/>
      <c r="I150" s="97"/>
      <c r="J150" s="97"/>
      <c r="K150" s="114"/>
      <c r="L150" s="114"/>
      <c r="M150" s="102"/>
      <c r="N150" s="124"/>
      <c r="O150" s="125"/>
      <c r="P150" s="97"/>
      <c r="Q150" s="131"/>
      <c r="R150" s="126"/>
      <c r="S150" s="97"/>
      <c r="T150" s="97"/>
      <c r="V150" s="108"/>
    </row>
    <row r="151" ht="15.75" customHeight="1">
      <c r="A151" s="91"/>
      <c r="B151" s="171"/>
      <c r="C151" s="108"/>
      <c r="D151" s="97"/>
      <c r="E151" s="143"/>
      <c r="F151" s="143"/>
      <c r="G151" s="97"/>
      <c r="H151" s="143"/>
      <c r="I151" s="97"/>
      <c r="J151" s="97"/>
      <c r="K151" s="101"/>
      <c r="L151" s="101"/>
      <c r="M151" s="102"/>
      <c r="N151" s="124"/>
      <c r="O151" s="125"/>
      <c r="P151" s="97"/>
      <c r="Q151" s="131"/>
      <c r="R151" s="126"/>
      <c r="S151" s="97"/>
      <c r="T151" s="97"/>
      <c r="V151" s="108"/>
    </row>
    <row r="152" ht="15.75" customHeight="1">
      <c r="A152" s="91"/>
      <c r="B152" s="171"/>
      <c r="C152" s="143"/>
      <c r="D152" s="97"/>
      <c r="E152" s="143"/>
      <c r="F152" s="143"/>
      <c r="G152" s="97"/>
      <c r="H152" s="143"/>
      <c r="I152" s="97"/>
      <c r="J152" s="97"/>
      <c r="K152" s="114"/>
      <c r="L152" s="114"/>
      <c r="M152" s="102"/>
      <c r="N152" s="124"/>
      <c r="O152" s="125"/>
      <c r="P152" s="97"/>
      <c r="Q152" s="131"/>
      <c r="R152" s="126"/>
      <c r="S152" s="97"/>
      <c r="T152" s="97"/>
      <c r="V152" s="108"/>
    </row>
    <row r="153" ht="15.75" customHeight="1">
      <c r="A153" s="91"/>
      <c r="B153" s="171"/>
      <c r="C153" s="143"/>
      <c r="D153" s="97"/>
      <c r="E153" s="143"/>
      <c r="F153" s="143"/>
      <c r="G153" s="97"/>
      <c r="H153" s="143"/>
      <c r="I153" s="97"/>
      <c r="J153" s="97"/>
      <c r="K153" s="101"/>
      <c r="L153" s="101"/>
      <c r="M153" s="102"/>
      <c r="N153" s="124"/>
      <c r="O153" s="125"/>
      <c r="P153" s="97"/>
      <c r="Q153" s="131"/>
      <c r="R153" s="126"/>
      <c r="S153" s="97"/>
      <c r="T153" s="97"/>
      <c r="V153" s="108"/>
    </row>
    <row r="154" ht="15.75" customHeight="1">
      <c r="A154" s="91"/>
      <c r="B154" s="171"/>
      <c r="C154" s="143"/>
      <c r="D154" s="97"/>
      <c r="E154" s="143"/>
      <c r="F154" s="143"/>
      <c r="G154" s="97"/>
      <c r="H154" s="143"/>
      <c r="I154" s="97"/>
      <c r="J154" s="97"/>
      <c r="K154" s="114"/>
      <c r="L154" s="114"/>
      <c r="M154" s="102"/>
      <c r="N154" s="124"/>
      <c r="O154" s="125"/>
      <c r="P154" s="97"/>
      <c r="Q154" s="131"/>
      <c r="R154" s="126"/>
      <c r="S154" s="97"/>
      <c r="T154" s="97"/>
      <c r="V154" s="108"/>
    </row>
    <row r="155" ht="15.75" customHeight="1">
      <c r="A155" s="91"/>
      <c r="B155" s="171"/>
      <c r="C155" s="143"/>
      <c r="D155" s="97"/>
      <c r="E155" s="143"/>
      <c r="F155" s="143"/>
      <c r="G155" s="97"/>
      <c r="H155" s="143"/>
      <c r="I155" s="97"/>
      <c r="J155" s="97"/>
      <c r="K155" s="101"/>
      <c r="L155" s="101"/>
      <c r="M155" s="102"/>
      <c r="N155" s="124"/>
      <c r="O155" s="125"/>
      <c r="P155" s="97"/>
      <c r="Q155" s="131"/>
      <c r="R155" s="126"/>
      <c r="S155" s="97"/>
      <c r="T155" s="97"/>
      <c r="V155" s="108"/>
    </row>
    <row r="156" ht="15.75" customHeight="1">
      <c r="A156" s="91"/>
      <c r="B156" s="171"/>
      <c r="C156" s="143"/>
      <c r="D156" s="97"/>
      <c r="E156" s="143"/>
      <c r="F156" s="143"/>
      <c r="G156" s="97"/>
      <c r="H156" s="143"/>
      <c r="I156" s="97"/>
      <c r="J156" s="97"/>
      <c r="K156" s="114"/>
      <c r="L156" s="114"/>
      <c r="M156" s="102"/>
      <c r="N156" s="124"/>
      <c r="O156" s="125"/>
      <c r="P156" s="97"/>
      <c r="Q156" s="131"/>
      <c r="R156" s="126"/>
      <c r="S156" s="97"/>
      <c r="T156" s="97"/>
      <c r="V156" s="108"/>
    </row>
    <row r="157" ht="15.75" customHeight="1">
      <c r="A157" s="91"/>
      <c r="B157" s="171"/>
      <c r="C157" s="108"/>
      <c r="D157" s="97"/>
      <c r="E157" s="143"/>
      <c r="F157" s="143"/>
      <c r="G157" s="97"/>
      <c r="H157" s="143"/>
      <c r="I157" s="97"/>
      <c r="J157" s="97"/>
      <c r="K157" s="101"/>
      <c r="L157" s="101"/>
      <c r="M157" s="102"/>
      <c r="N157" s="124"/>
      <c r="O157" s="125"/>
      <c r="P157" s="97"/>
      <c r="Q157" s="131"/>
      <c r="R157" s="126"/>
      <c r="S157" s="97"/>
      <c r="T157" s="97"/>
      <c r="V157" s="108"/>
    </row>
    <row r="158" ht="15.75" customHeight="1">
      <c r="A158" s="91"/>
      <c r="B158" s="171"/>
      <c r="C158" s="143"/>
      <c r="D158" s="97"/>
      <c r="E158" s="143"/>
      <c r="F158" s="143"/>
      <c r="G158" s="97"/>
      <c r="H158" s="143"/>
      <c r="I158" s="97"/>
      <c r="J158" s="97"/>
      <c r="K158" s="114"/>
      <c r="L158" s="114"/>
      <c r="M158" s="102"/>
      <c r="N158" s="124"/>
      <c r="O158" s="125"/>
      <c r="P158" s="97"/>
      <c r="Q158" s="131"/>
      <c r="R158" s="126"/>
      <c r="S158" s="97"/>
      <c r="T158" s="97"/>
      <c r="V158" s="108"/>
    </row>
    <row r="159" ht="15.75" customHeight="1">
      <c r="A159" s="91"/>
      <c r="B159" s="171"/>
      <c r="C159" s="143"/>
      <c r="D159" s="97"/>
      <c r="E159" s="143"/>
      <c r="F159" s="143"/>
      <c r="G159" s="97"/>
      <c r="H159" s="143"/>
      <c r="I159" s="97"/>
      <c r="J159" s="97"/>
      <c r="K159" s="101"/>
      <c r="L159" s="101"/>
      <c r="M159" s="102"/>
      <c r="N159" s="124"/>
      <c r="O159" s="125"/>
      <c r="P159" s="97"/>
      <c r="Q159" s="131"/>
      <c r="R159" s="126"/>
      <c r="S159" s="97"/>
      <c r="T159" s="97"/>
      <c r="V159" s="108"/>
    </row>
    <row r="160" ht="15.75" customHeight="1">
      <c r="A160" s="91"/>
      <c r="B160" s="171"/>
      <c r="C160" s="143"/>
      <c r="D160" s="97"/>
      <c r="E160" s="143"/>
      <c r="F160" s="143"/>
      <c r="G160" s="97"/>
      <c r="H160" s="143"/>
      <c r="I160" s="97"/>
      <c r="J160" s="97"/>
      <c r="K160" s="114"/>
      <c r="L160" s="114"/>
      <c r="M160" s="102"/>
      <c r="N160" s="124"/>
      <c r="O160" s="125"/>
      <c r="P160" s="97"/>
      <c r="Q160" s="131"/>
      <c r="R160" s="126"/>
      <c r="S160" s="97"/>
      <c r="T160" s="97"/>
      <c r="V160" s="108"/>
    </row>
    <row r="161" ht="15.75" customHeight="1">
      <c r="A161" s="91"/>
      <c r="B161" s="171"/>
      <c r="C161" s="143"/>
      <c r="D161" s="97"/>
      <c r="E161" s="143"/>
      <c r="F161" s="143"/>
      <c r="G161" s="97"/>
      <c r="H161" s="143"/>
      <c r="I161" s="97"/>
      <c r="J161" s="97"/>
      <c r="K161" s="101"/>
      <c r="L161" s="101"/>
      <c r="M161" s="102"/>
      <c r="N161" s="124"/>
      <c r="O161" s="125"/>
      <c r="P161" s="97"/>
      <c r="Q161" s="131"/>
      <c r="R161" s="126"/>
      <c r="S161" s="97"/>
      <c r="T161" s="97"/>
      <c r="V161" s="108"/>
    </row>
    <row r="162" ht="15.75" customHeight="1">
      <c r="A162" s="91"/>
      <c r="B162" s="171"/>
      <c r="C162" s="143"/>
      <c r="D162" s="97"/>
      <c r="E162" s="143"/>
      <c r="F162" s="143"/>
      <c r="G162" s="97"/>
      <c r="H162" s="143"/>
      <c r="I162" s="97"/>
      <c r="J162" s="97"/>
      <c r="K162" s="114"/>
      <c r="L162" s="114"/>
      <c r="M162" s="102"/>
      <c r="N162" s="124"/>
      <c r="O162" s="125"/>
      <c r="P162" s="97"/>
      <c r="Q162" s="131"/>
      <c r="R162" s="126"/>
      <c r="S162" s="97"/>
      <c r="T162" s="97"/>
      <c r="V162" s="108"/>
    </row>
    <row r="163" ht="15.75" customHeight="1">
      <c r="A163" s="91"/>
      <c r="B163" s="171"/>
      <c r="C163" s="108"/>
      <c r="D163" s="97"/>
      <c r="E163" s="143"/>
      <c r="F163" s="143"/>
      <c r="G163" s="97"/>
      <c r="H163" s="143"/>
      <c r="I163" s="97"/>
      <c r="J163" s="97"/>
      <c r="K163" s="101"/>
      <c r="L163" s="101"/>
      <c r="M163" s="102"/>
      <c r="N163" s="124"/>
      <c r="O163" s="125"/>
      <c r="P163" s="97"/>
      <c r="Q163" s="131"/>
      <c r="R163" s="126"/>
      <c r="S163" s="97"/>
      <c r="T163" s="97"/>
      <c r="V163" s="108"/>
    </row>
    <row r="164" ht="15.75" customHeight="1">
      <c r="A164" s="91"/>
      <c r="B164" s="171"/>
      <c r="C164" s="143"/>
      <c r="D164" s="97"/>
      <c r="E164" s="143"/>
      <c r="F164" s="143"/>
      <c r="G164" s="97"/>
      <c r="H164" s="143"/>
      <c r="I164" s="97"/>
      <c r="J164" s="97"/>
      <c r="K164" s="114"/>
      <c r="L164" s="114"/>
      <c r="M164" s="102"/>
      <c r="N164" s="124"/>
      <c r="O164" s="125"/>
      <c r="P164" s="97"/>
      <c r="Q164" s="131"/>
      <c r="R164" s="126"/>
      <c r="S164" s="97"/>
      <c r="T164" s="97"/>
      <c r="V164" s="108"/>
    </row>
    <row r="165" ht="15.75" customHeight="1">
      <c r="A165" s="91"/>
      <c r="B165" s="171"/>
      <c r="C165" s="143"/>
      <c r="D165" s="97"/>
      <c r="E165" s="143"/>
      <c r="F165" s="143"/>
      <c r="G165" s="97"/>
      <c r="H165" s="143"/>
      <c r="I165" s="97"/>
      <c r="J165" s="97"/>
      <c r="K165" s="101"/>
      <c r="L165" s="101"/>
      <c r="M165" s="102"/>
      <c r="N165" s="124"/>
      <c r="O165" s="125"/>
      <c r="P165" s="97"/>
      <c r="Q165" s="131"/>
      <c r="R165" s="126"/>
      <c r="S165" s="97"/>
      <c r="T165" s="97"/>
      <c r="V165" s="108"/>
    </row>
    <row r="166" ht="15.75" customHeight="1">
      <c r="A166" s="91"/>
      <c r="B166" s="171"/>
      <c r="C166" s="143"/>
      <c r="D166" s="97"/>
      <c r="E166" s="143"/>
      <c r="F166" s="143"/>
      <c r="G166" s="97"/>
      <c r="H166" s="143"/>
      <c r="I166" s="97"/>
      <c r="J166" s="97"/>
      <c r="K166" s="114"/>
      <c r="L166" s="114"/>
      <c r="M166" s="102"/>
      <c r="N166" s="124"/>
      <c r="O166" s="125"/>
      <c r="P166" s="97"/>
      <c r="Q166" s="131"/>
      <c r="R166" s="126"/>
      <c r="S166" s="97"/>
      <c r="T166" s="97"/>
      <c r="V166" s="108"/>
    </row>
    <row r="167" ht="15.75" customHeight="1">
      <c r="A167" s="91"/>
      <c r="B167" s="171"/>
      <c r="C167" s="143"/>
      <c r="D167" s="97"/>
      <c r="E167" s="143"/>
      <c r="F167" s="143"/>
      <c r="G167" s="97"/>
      <c r="H167" s="143"/>
      <c r="I167" s="97"/>
      <c r="J167" s="97"/>
      <c r="K167" s="101"/>
      <c r="L167" s="101"/>
      <c r="M167" s="102"/>
      <c r="N167" s="124"/>
      <c r="O167" s="125"/>
      <c r="P167" s="97"/>
      <c r="Q167" s="131"/>
      <c r="R167" s="126"/>
      <c r="S167" s="97"/>
      <c r="T167" s="97"/>
      <c r="V167" s="108"/>
    </row>
    <row r="168" ht="15.75" customHeight="1">
      <c r="A168" s="91"/>
      <c r="B168" s="171"/>
      <c r="C168" s="143"/>
      <c r="D168" s="97"/>
      <c r="E168" s="143"/>
      <c r="F168" s="143"/>
      <c r="G168" s="97"/>
      <c r="H168" s="143"/>
      <c r="I168" s="97"/>
      <c r="J168" s="97"/>
      <c r="K168" s="114"/>
      <c r="L168" s="114"/>
      <c r="M168" s="102"/>
      <c r="N168" s="124"/>
      <c r="O168" s="125"/>
      <c r="P168" s="97"/>
      <c r="Q168" s="131"/>
      <c r="R168" s="126"/>
      <c r="S168" s="97"/>
      <c r="T168" s="97"/>
      <c r="V168" s="108"/>
    </row>
    <row r="169" ht="15.75" customHeight="1">
      <c r="A169" s="91"/>
      <c r="B169" s="171"/>
      <c r="C169" s="108"/>
      <c r="D169" s="97"/>
      <c r="E169" s="143"/>
      <c r="F169" s="143"/>
      <c r="G169" s="97"/>
      <c r="H169" s="143"/>
      <c r="I169" s="97"/>
      <c r="J169" s="97"/>
      <c r="K169" s="101"/>
      <c r="L169" s="101"/>
      <c r="M169" s="102"/>
      <c r="N169" s="124"/>
      <c r="O169" s="125"/>
      <c r="P169" s="97"/>
      <c r="Q169" s="131"/>
      <c r="R169" s="126"/>
      <c r="S169" s="97"/>
      <c r="T169" s="97"/>
      <c r="V169" s="108"/>
    </row>
    <row r="170" ht="15.75" customHeight="1">
      <c r="A170" s="91"/>
      <c r="B170" s="171"/>
      <c r="C170" s="143"/>
      <c r="D170" s="97"/>
      <c r="E170" s="143"/>
      <c r="F170" s="143"/>
      <c r="G170" s="97"/>
      <c r="H170" s="143"/>
      <c r="I170" s="97"/>
      <c r="J170" s="97"/>
      <c r="K170" s="114"/>
      <c r="L170" s="114"/>
      <c r="M170" s="102"/>
      <c r="N170" s="124"/>
      <c r="O170" s="125"/>
      <c r="P170" s="97"/>
      <c r="Q170" s="131"/>
      <c r="R170" s="126"/>
      <c r="S170" s="97"/>
      <c r="T170" s="97"/>
      <c r="V170" s="108"/>
    </row>
    <row r="171" ht="15.75" customHeight="1">
      <c r="A171" s="91"/>
      <c r="B171" s="171"/>
      <c r="C171" s="143"/>
      <c r="D171" s="97"/>
      <c r="E171" s="143"/>
      <c r="F171" s="143"/>
      <c r="G171" s="97"/>
      <c r="H171" s="143"/>
      <c r="I171" s="97"/>
      <c r="J171" s="97"/>
      <c r="K171" s="101"/>
      <c r="L171" s="101"/>
      <c r="M171" s="102"/>
      <c r="N171" s="124"/>
      <c r="O171" s="125"/>
      <c r="P171" s="97"/>
      <c r="Q171" s="131"/>
      <c r="R171" s="126"/>
      <c r="S171" s="97"/>
      <c r="T171" s="97"/>
      <c r="V171" s="108"/>
    </row>
    <row r="172" ht="15.75" customHeight="1">
      <c r="A172" s="91"/>
      <c r="B172" s="171"/>
      <c r="C172" s="143"/>
      <c r="D172" s="97"/>
      <c r="E172" s="143"/>
      <c r="F172" s="143"/>
      <c r="G172" s="97"/>
      <c r="H172" s="143"/>
      <c r="I172" s="97"/>
      <c r="J172" s="97"/>
      <c r="K172" s="114"/>
      <c r="L172" s="114"/>
      <c r="M172" s="102"/>
      <c r="N172" s="124"/>
      <c r="O172" s="125"/>
      <c r="P172" s="97"/>
      <c r="Q172" s="131"/>
      <c r="R172" s="126"/>
      <c r="S172" s="97"/>
      <c r="T172" s="97"/>
      <c r="V172" s="108"/>
    </row>
    <row r="173" ht="15.75" customHeight="1">
      <c r="A173" s="91"/>
      <c r="B173" s="171"/>
      <c r="C173" s="143"/>
      <c r="D173" s="97"/>
      <c r="E173" s="143"/>
      <c r="F173" s="143"/>
      <c r="G173" s="97"/>
      <c r="H173" s="143"/>
      <c r="I173" s="97"/>
      <c r="J173" s="97"/>
      <c r="K173" s="101"/>
      <c r="L173" s="101"/>
      <c r="M173" s="102"/>
      <c r="N173" s="124"/>
      <c r="O173" s="125"/>
      <c r="P173" s="97"/>
      <c r="Q173" s="131"/>
      <c r="R173" s="126"/>
      <c r="S173" s="97"/>
      <c r="T173" s="97"/>
      <c r="V173" s="108"/>
    </row>
    <row r="174" ht="15.75" customHeight="1">
      <c r="A174" s="91"/>
      <c r="B174" s="171"/>
      <c r="C174" s="143"/>
      <c r="D174" s="97"/>
      <c r="E174" s="143"/>
      <c r="F174" s="143"/>
      <c r="G174" s="97"/>
      <c r="H174" s="143"/>
      <c r="I174" s="97"/>
      <c r="J174" s="97"/>
      <c r="K174" s="114"/>
      <c r="L174" s="114"/>
      <c r="M174" s="102"/>
      <c r="N174" s="124"/>
      <c r="O174" s="125"/>
      <c r="P174" s="97"/>
      <c r="Q174" s="131"/>
      <c r="R174" s="126"/>
      <c r="S174" s="97"/>
      <c r="T174" s="97"/>
      <c r="V174" s="108"/>
    </row>
    <row r="175" ht="15.75" customHeight="1">
      <c r="A175" s="91"/>
      <c r="B175" s="171"/>
      <c r="C175" s="108"/>
      <c r="D175" s="97"/>
      <c r="E175" s="143"/>
      <c r="F175" s="143"/>
      <c r="G175" s="97"/>
      <c r="H175" s="143"/>
      <c r="I175" s="97"/>
      <c r="J175" s="97"/>
      <c r="K175" s="101"/>
      <c r="L175" s="101"/>
      <c r="M175" s="102"/>
      <c r="N175" s="124"/>
      <c r="O175" s="125"/>
      <c r="P175" s="97"/>
      <c r="Q175" s="131"/>
      <c r="R175" s="126"/>
      <c r="S175" s="97"/>
      <c r="T175" s="97"/>
      <c r="V175" s="108"/>
    </row>
    <row r="176" ht="15.75" customHeight="1">
      <c r="A176" s="91"/>
      <c r="B176" s="171"/>
      <c r="C176" s="143"/>
      <c r="D176" s="97"/>
      <c r="E176" s="143"/>
      <c r="F176" s="143"/>
      <c r="G176" s="97"/>
      <c r="H176" s="143"/>
      <c r="I176" s="97"/>
      <c r="J176" s="97"/>
      <c r="K176" s="114"/>
      <c r="L176" s="114"/>
      <c r="M176" s="102"/>
      <c r="N176" s="124"/>
      <c r="O176" s="125"/>
      <c r="P176" s="97"/>
      <c r="Q176" s="131"/>
      <c r="R176" s="126"/>
      <c r="S176" s="97"/>
      <c r="T176" s="97"/>
      <c r="V176" s="108"/>
    </row>
    <row r="177" ht="15.75" customHeight="1">
      <c r="A177" s="91"/>
      <c r="B177" s="171"/>
      <c r="C177" s="143"/>
      <c r="D177" s="97"/>
      <c r="E177" s="143"/>
      <c r="F177" s="143"/>
      <c r="G177" s="97"/>
      <c r="H177" s="143"/>
      <c r="I177" s="97"/>
      <c r="J177" s="97"/>
      <c r="K177" s="101"/>
      <c r="L177" s="101"/>
      <c r="M177" s="102"/>
      <c r="N177" s="124"/>
      <c r="O177" s="125"/>
      <c r="P177" s="97"/>
      <c r="Q177" s="131"/>
      <c r="R177" s="126"/>
      <c r="S177" s="97"/>
      <c r="T177" s="97"/>
      <c r="V177" s="108"/>
    </row>
    <row r="178" ht="15.75" customHeight="1">
      <c r="A178" s="91"/>
      <c r="B178" s="171"/>
      <c r="C178" s="143"/>
      <c r="D178" s="97"/>
      <c r="E178" s="143"/>
      <c r="F178" s="143"/>
      <c r="G178" s="97"/>
      <c r="H178" s="143"/>
      <c r="I178" s="97"/>
      <c r="J178" s="97"/>
      <c r="K178" s="114"/>
      <c r="L178" s="114"/>
      <c r="M178" s="102"/>
      <c r="N178" s="124"/>
      <c r="O178" s="125"/>
      <c r="P178" s="97"/>
      <c r="Q178" s="131"/>
      <c r="R178" s="126"/>
      <c r="S178" s="97"/>
      <c r="T178" s="97"/>
      <c r="V178" s="108"/>
    </row>
    <row r="179" ht="15.75" customHeight="1">
      <c r="A179" s="91"/>
      <c r="B179" s="171"/>
      <c r="C179" s="143"/>
      <c r="D179" s="97"/>
      <c r="E179" s="143"/>
      <c r="F179" s="143"/>
      <c r="G179" s="97"/>
      <c r="H179" s="143"/>
      <c r="I179" s="97"/>
      <c r="J179" s="97"/>
      <c r="K179" s="101"/>
      <c r="L179" s="101"/>
      <c r="M179" s="102"/>
      <c r="N179" s="124"/>
      <c r="O179" s="125"/>
      <c r="P179" s="97"/>
      <c r="Q179" s="131"/>
      <c r="R179" s="126"/>
      <c r="S179" s="97"/>
      <c r="T179" s="97"/>
      <c r="V179" s="108"/>
    </row>
    <row r="180" ht="15.75" customHeight="1">
      <c r="A180" s="91"/>
      <c r="B180" s="171"/>
      <c r="C180" s="143"/>
      <c r="D180" s="97"/>
      <c r="E180" s="143"/>
      <c r="F180" s="143"/>
      <c r="G180" s="97"/>
      <c r="H180" s="143"/>
      <c r="I180" s="97"/>
      <c r="J180" s="97"/>
      <c r="K180" s="114"/>
      <c r="L180" s="114"/>
      <c r="M180" s="102"/>
      <c r="N180" s="124"/>
      <c r="O180" s="125"/>
      <c r="P180" s="97"/>
      <c r="Q180" s="131"/>
      <c r="R180" s="126"/>
      <c r="S180" s="97"/>
      <c r="T180" s="97"/>
      <c r="V180" s="108"/>
    </row>
    <row r="181" ht="15.75" customHeight="1">
      <c r="A181" s="91"/>
      <c r="B181" s="171"/>
      <c r="C181" s="108"/>
      <c r="D181" s="97"/>
      <c r="E181" s="143"/>
      <c r="F181" s="143"/>
      <c r="G181" s="97"/>
      <c r="H181" s="143"/>
      <c r="I181" s="97"/>
      <c r="J181" s="97"/>
      <c r="K181" s="101"/>
      <c r="L181" s="101"/>
      <c r="M181" s="102"/>
      <c r="N181" s="124"/>
      <c r="O181" s="125"/>
      <c r="P181" s="97"/>
      <c r="Q181" s="131"/>
      <c r="R181" s="126"/>
      <c r="S181" s="97"/>
      <c r="T181" s="97"/>
      <c r="V181" s="108"/>
    </row>
    <row r="182" ht="15.75" customHeight="1">
      <c r="A182" s="91"/>
      <c r="B182" s="171"/>
      <c r="C182" s="143"/>
      <c r="D182" s="97"/>
      <c r="E182" s="143"/>
      <c r="F182" s="143"/>
      <c r="G182" s="97"/>
      <c r="H182" s="143"/>
      <c r="I182" s="97"/>
      <c r="J182" s="97"/>
      <c r="K182" s="114"/>
      <c r="L182" s="114"/>
      <c r="M182" s="102"/>
      <c r="N182" s="124"/>
      <c r="O182" s="125"/>
      <c r="P182" s="97"/>
      <c r="Q182" s="131"/>
      <c r="R182" s="126"/>
      <c r="S182" s="97"/>
      <c r="T182" s="97"/>
      <c r="V182" s="108"/>
    </row>
    <row r="183" ht="15.75" customHeight="1">
      <c r="A183" s="91"/>
      <c r="B183" s="171"/>
      <c r="C183" s="143"/>
      <c r="D183" s="97"/>
      <c r="E183" s="143"/>
      <c r="F183" s="143"/>
      <c r="G183" s="97"/>
      <c r="H183" s="143"/>
      <c r="I183" s="97"/>
      <c r="J183" s="97"/>
      <c r="K183" s="101"/>
      <c r="L183" s="101"/>
      <c r="M183" s="102"/>
      <c r="N183" s="124"/>
      <c r="O183" s="125"/>
      <c r="P183" s="97"/>
      <c r="Q183" s="131"/>
      <c r="R183" s="126"/>
      <c r="S183" s="97"/>
      <c r="T183" s="97"/>
      <c r="V183" s="108"/>
    </row>
    <row r="184" ht="15.75" customHeight="1">
      <c r="A184" s="91"/>
      <c r="B184" s="171"/>
      <c r="C184" s="143"/>
      <c r="D184" s="97"/>
      <c r="E184" s="143"/>
      <c r="F184" s="143"/>
      <c r="G184" s="97"/>
      <c r="H184" s="143"/>
      <c r="I184" s="97"/>
      <c r="J184" s="97"/>
      <c r="K184" s="114"/>
      <c r="L184" s="114"/>
      <c r="M184" s="102"/>
      <c r="N184" s="124"/>
      <c r="O184" s="125"/>
      <c r="P184" s="97"/>
      <c r="Q184" s="131"/>
      <c r="R184" s="126"/>
      <c r="S184" s="97"/>
      <c r="T184" s="97"/>
      <c r="V184" s="108"/>
    </row>
    <row r="185" ht="15.75" customHeight="1">
      <c r="A185" s="91"/>
      <c r="B185" s="171"/>
      <c r="C185" s="143"/>
      <c r="D185" s="97"/>
      <c r="E185" s="143"/>
      <c r="F185" s="143"/>
      <c r="G185" s="97"/>
      <c r="H185" s="143"/>
      <c r="I185" s="97"/>
      <c r="J185" s="97"/>
      <c r="K185" s="101"/>
      <c r="L185" s="101"/>
      <c r="M185" s="102"/>
      <c r="N185" s="124"/>
      <c r="O185" s="125"/>
      <c r="P185" s="97"/>
      <c r="Q185" s="131"/>
      <c r="R185" s="126"/>
      <c r="S185" s="97"/>
      <c r="T185" s="97"/>
      <c r="V185" s="108"/>
    </row>
    <row r="186" ht="15.75" customHeight="1">
      <c r="A186" s="91"/>
      <c r="B186" s="171"/>
      <c r="C186" s="143"/>
      <c r="D186" s="97"/>
      <c r="E186" s="143"/>
      <c r="F186" s="143"/>
      <c r="G186" s="97"/>
      <c r="H186" s="143"/>
      <c r="I186" s="97"/>
      <c r="J186" s="97"/>
      <c r="K186" s="114"/>
      <c r="L186" s="114"/>
      <c r="M186" s="102"/>
      <c r="N186" s="124"/>
      <c r="O186" s="125"/>
      <c r="P186" s="97"/>
      <c r="Q186" s="131"/>
      <c r="R186" s="126"/>
      <c r="S186" s="97"/>
      <c r="T186" s="97"/>
      <c r="V186" s="108"/>
    </row>
    <row r="187" ht="15.75" customHeight="1">
      <c r="A187" s="91"/>
      <c r="B187" s="171"/>
      <c r="C187" s="108"/>
      <c r="D187" s="97"/>
      <c r="E187" s="143"/>
      <c r="F187" s="143"/>
      <c r="G187" s="97"/>
      <c r="H187" s="143"/>
      <c r="I187" s="97"/>
      <c r="J187" s="97"/>
      <c r="K187" s="101"/>
      <c r="L187" s="101"/>
      <c r="M187" s="102"/>
      <c r="N187" s="124"/>
      <c r="O187" s="125"/>
      <c r="P187" s="97"/>
      <c r="Q187" s="131"/>
      <c r="R187" s="126"/>
      <c r="S187" s="97"/>
      <c r="T187" s="97"/>
      <c r="V187" s="108"/>
    </row>
    <row r="188" ht="15.75" customHeight="1">
      <c r="A188" s="91"/>
      <c r="B188" s="171"/>
      <c r="C188" s="143"/>
      <c r="D188" s="97"/>
      <c r="E188" s="143"/>
      <c r="F188" s="143"/>
      <c r="G188" s="97"/>
      <c r="H188" s="143"/>
      <c r="I188" s="97"/>
      <c r="J188" s="97"/>
      <c r="K188" s="114"/>
      <c r="L188" s="114"/>
      <c r="M188" s="102"/>
      <c r="N188" s="124"/>
      <c r="O188" s="125"/>
      <c r="P188" s="97"/>
      <c r="Q188" s="131"/>
      <c r="R188" s="126"/>
      <c r="S188" s="97"/>
      <c r="T188" s="97"/>
      <c r="V188" s="108"/>
    </row>
    <row r="189" ht="15.75" customHeight="1">
      <c r="A189" s="91"/>
      <c r="B189" s="171"/>
      <c r="C189" s="143"/>
      <c r="D189" s="97"/>
      <c r="E189" s="143"/>
      <c r="F189" s="143"/>
      <c r="G189" s="97"/>
      <c r="H189" s="143"/>
      <c r="I189" s="97"/>
      <c r="J189" s="97"/>
      <c r="K189" s="101"/>
      <c r="L189" s="101"/>
      <c r="M189" s="102"/>
      <c r="N189" s="124"/>
      <c r="O189" s="125"/>
      <c r="P189" s="97"/>
      <c r="Q189" s="131"/>
      <c r="R189" s="126"/>
      <c r="S189" s="97"/>
      <c r="T189" s="97"/>
      <c r="V189" s="108"/>
    </row>
    <row r="190" ht="15.75" customHeight="1">
      <c r="A190" s="91"/>
      <c r="B190" s="171"/>
      <c r="C190" s="143"/>
      <c r="D190" s="97"/>
      <c r="E190" s="143"/>
      <c r="F190" s="143"/>
      <c r="G190" s="97"/>
      <c r="H190" s="143"/>
      <c r="I190" s="97"/>
      <c r="J190" s="97"/>
      <c r="K190" s="114"/>
      <c r="L190" s="114"/>
      <c r="M190" s="102"/>
      <c r="N190" s="124"/>
      <c r="O190" s="125"/>
      <c r="P190" s="97"/>
      <c r="Q190" s="131"/>
      <c r="R190" s="126"/>
      <c r="S190" s="97"/>
      <c r="T190" s="97"/>
      <c r="V190" s="108"/>
    </row>
    <row r="191" ht="15.75" customHeight="1">
      <c r="A191" s="91"/>
      <c r="B191" s="171"/>
      <c r="C191" s="143"/>
      <c r="D191" s="97"/>
      <c r="E191" s="143"/>
      <c r="F191" s="143"/>
      <c r="G191" s="97"/>
      <c r="H191" s="143"/>
      <c r="I191" s="97"/>
      <c r="J191" s="97"/>
      <c r="K191" s="101"/>
      <c r="L191" s="101"/>
      <c r="M191" s="102"/>
      <c r="N191" s="124"/>
      <c r="O191" s="125"/>
      <c r="P191" s="97"/>
      <c r="Q191" s="131"/>
      <c r="R191" s="126"/>
      <c r="S191" s="97"/>
      <c r="T191" s="97"/>
      <c r="V191" s="108"/>
    </row>
    <row r="192" ht="15.75" customHeight="1">
      <c r="A192" s="91"/>
      <c r="B192" s="171"/>
      <c r="C192" s="143"/>
      <c r="D192" s="97"/>
      <c r="E192" s="143"/>
      <c r="F192" s="143"/>
      <c r="G192" s="97"/>
      <c r="H192" s="143"/>
      <c r="I192" s="97"/>
      <c r="J192" s="97"/>
      <c r="K192" s="114"/>
      <c r="L192" s="114"/>
      <c r="M192" s="102"/>
      <c r="N192" s="124"/>
      <c r="O192" s="125"/>
      <c r="P192" s="97"/>
      <c r="Q192" s="131"/>
      <c r="R192" s="126"/>
      <c r="S192" s="97"/>
      <c r="T192" s="97"/>
      <c r="V192" s="108"/>
    </row>
    <row r="193" ht="15.75" customHeight="1">
      <c r="A193" s="91"/>
      <c r="B193" s="171"/>
      <c r="C193" s="108"/>
      <c r="D193" s="97"/>
      <c r="E193" s="143"/>
      <c r="F193" s="143"/>
      <c r="G193" s="97"/>
      <c r="H193" s="143"/>
      <c r="I193" s="97"/>
      <c r="J193" s="97"/>
      <c r="K193" s="101"/>
      <c r="L193" s="101"/>
      <c r="M193" s="102"/>
      <c r="N193" s="124"/>
      <c r="O193" s="125"/>
      <c r="P193" s="97"/>
      <c r="Q193" s="131"/>
      <c r="R193" s="126"/>
      <c r="S193" s="97"/>
      <c r="T193" s="97"/>
      <c r="V193" s="108"/>
    </row>
    <row r="194" ht="15.75" customHeight="1">
      <c r="A194" s="91"/>
      <c r="B194" s="171"/>
      <c r="C194" s="143"/>
      <c r="D194" s="97"/>
      <c r="E194" s="143"/>
      <c r="F194" s="143"/>
      <c r="G194" s="97"/>
      <c r="H194" s="143"/>
      <c r="I194" s="97"/>
      <c r="J194" s="97"/>
      <c r="K194" s="114"/>
      <c r="L194" s="114"/>
      <c r="M194" s="102"/>
      <c r="N194" s="124"/>
      <c r="O194" s="125"/>
      <c r="P194" s="97"/>
      <c r="Q194" s="131"/>
      <c r="R194" s="126"/>
      <c r="S194" s="97"/>
      <c r="T194" s="97"/>
      <c r="V194" s="108"/>
    </row>
    <row r="195" ht="15.75" customHeight="1">
      <c r="A195" s="91"/>
      <c r="B195" s="171"/>
      <c r="C195" s="143"/>
      <c r="D195" s="97"/>
      <c r="E195" s="143"/>
      <c r="F195" s="143"/>
      <c r="G195" s="97"/>
      <c r="H195" s="143"/>
      <c r="I195" s="97"/>
      <c r="J195" s="97"/>
      <c r="K195" s="101"/>
      <c r="L195" s="101"/>
      <c r="M195" s="102"/>
      <c r="N195" s="124"/>
      <c r="O195" s="125"/>
      <c r="P195" s="97"/>
      <c r="Q195" s="131"/>
      <c r="R195" s="126"/>
      <c r="S195" s="97"/>
      <c r="T195" s="97"/>
      <c r="V195" s="108"/>
    </row>
    <row r="196" ht="15.75" customHeight="1">
      <c r="A196" s="91"/>
      <c r="B196" s="171"/>
      <c r="C196" s="143"/>
      <c r="D196" s="97"/>
      <c r="E196" s="143"/>
      <c r="F196" s="143"/>
      <c r="G196" s="97"/>
      <c r="H196" s="143"/>
      <c r="I196" s="97"/>
      <c r="J196" s="97"/>
      <c r="K196" s="114"/>
      <c r="L196" s="114"/>
      <c r="M196" s="102"/>
      <c r="N196" s="124"/>
      <c r="O196" s="125"/>
      <c r="P196" s="97"/>
      <c r="Q196" s="131"/>
      <c r="R196" s="126"/>
      <c r="S196" s="97"/>
      <c r="T196" s="97"/>
      <c r="V196" s="108"/>
    </row>
    <row r="197" ht="15.75" customHeight="1">
      <c r="A197" s="91"/>
      <c r="B197" s="171"/>
      <c r="C197" s="143"/>
      <c r="D197" s="97"/>
      <c r="E197" s="143"/>
      <c r="F197" s="143"/>
      <c r="G197" s="97"/>
      <c r="H197" s="143"/>
      <c r="I197" s="97"/>
      <c r="J197" s="97"/>
      <c r="K197" s="101"/>
      <c r="L197" s="101"/>
      <c r="M197" s="102"/>
      <c r="N197" s="124"/>
      <c r="O197" s="125"/>
      <c r="P197" s="97"/>
      <c r="Q197" s="131"/>
      <c r="R197" s="126"/>
      <c r="S197" s="97"/>
      <c r="T197" s="97"/>
      <c r="V197" s="108"/>
    </row>
    <row r="198" ht="15.75" customHeight="1">
      <c r="A198" s="91"/>
      <c r="B198" s="171"/>
      <c r="C198" s="143"/>
      <c r="D198" s="97"/>
      <c r="E198" s="143"/>
      <c r="F198" s="143"/>
      <c r="G198" s="97"/>
      <c r="H198" s="143"/>
      <c r="I198" s="97"/>
      <c r="J198" s="97"/>
      <c r="K198" s="114"/>
      <c r="L198" s="114"/>
      <c r="M198" s="102"/>
      <c r="N198" s="124"/>
      <c r="O198" s="125"/>
      <c r="P198" s="97"/>
      <c r="Q198" s="131"/>
      <c r="R198" s="126"/>
      <c r="S198" s="97"/>
      <c r="T198" s="97"/>
      <c r="V198" s="108"/>
    </row>
    <row r="199" ht="15.75" customHeight="1">
      <c r="A199" s="91"/>
      <c r="B199" s="171"/>
      <c r="C199" s="108"/>
      <c r="D199" s="97"/>
      <c r="E199" s="143"/>
      <c r="F199" s="143"/>
      <c r="G199" s="97"/>
      <c r="H199" s="143"/>
      <c r="I199" s="97"/>
      <c r="J199" s="97"/>
      <c r="K199" s="101"/>
      <c r="L199" s="101"/>
      <c r="M199" s="102"/>
      <c r="N199" s="124"/>
      <c r="O199" s="125"/>
      <c r="P199" s="97"/>
      <c r="Q199" s="131"/>
      <c r="R199" s="126"/>
      <c r="S199" s="97"/>
      <c r="T199" s="97"/>
      <c r="V199" s="108"/>
    </row>
    <row r="200" ht="15.75" customHeight="1">
      <c r="A200" s="91"/>
      <c r="B200" s="171"/>
      <c r="C200" s="143"/>
      <c r="D200" s="97"/>
      <c r="E200" s="143"/>
      <c r="F200" s="143"/>
      <c r="G200" s="97"/>
      <c r="H200" s="143"/>
      <c r="I200" s="97"/>
      <c r="J200" s="97"/>
      <c r="K200" s="114"/>
      <c r="L200" s="114"/>
      <c r="M200" s="102"/>
      <c r="N200" s="124"/>
      <c r="O200" s="125"/>
      <c r="P200" s="97"/>
      <c r="Q200" s="131"/>
      <c r="R200" s="126"/>
      <c r="S200" s="97"/>
      <c r="T200" s="97"/>
      <c r="V200" s="108"/>
    </row>
    <row r="201" ht="15.75" customHeight="1">
      <c r="A201" s="91"/>
      <c r="B201" s="171"/>
      <c r="C201" s="143"/>
      <c r="D201" s="97"/>
      <c r="E201" s="143"/>
      <c r="F201" s="143"/>
      <c r="G201" s="97"/>
      <c r="H201" s="143"/>
      <c r="I201" s="97"/>
      <c r="J201" s="97"/>
      <c r="K201" s="101"/>
      <c r="L201" s="101"/>
      <c r="M201" s="102"/>
      <c r="N201" s="124"/>
      <c r="O201" s="125"/>
      <c r="P201" s="97"/>
      <c r="Q201" s="131"/>
      <c r="R201" s="126"/>
      <c r="S201" s="97"/>
      <c r="T201" s="97"/>
      <c r="V201" s="108"/>
    </row>
    <row r="202" ht="15.75" customHeight="1">
      <c r="A202" s="91"/>
      <c r="B202" s="171"/>
      <c r="C202" s="143"/>
      <c r="D202" s="97"/>
      <c r="E202" s="143"/>
      <c r="F202" s="143"/>
      <c r="G202" s="97"/>
      <c r="H202" s="143"/>
      <c r="I202" s="97"/>
      <c r="J202" s="97"/>
      <c r="K202" s="114"/>
      <c r="L202" s="114"/>
      <c r="M202" s="102"/>
      <c r="N202" s="124"/>
      <c r="O202" s="125"/>
      <c r="P202" s="97"/>
      <c r="Q202" s="131"/>
      <c r="R202" s="126"/>
      <c r="S202" s="97"/>
      <c r="T202" s="97"/>
      <c r="V202" s="108"/>
    </row>
    <row r="203" ht="15.75" customHeight="1">
      <c r="A203" s="91"/>
      <c r="B203" s="171"/>
      <c r="C203" s="143"/>
      <c r="D203" s="97"/>
      <c r="E203" s="143"/>
      <c r="F203" s="143"/>
      <c r="G203" s="97"/>
      <c r="H203" s="143"/>
      <c r="I203" s="97"/>
      <c r="J203" s="97"/>
      <c r="K203" s="101"/>
      <c r="L203" s="101"/>
      <c r="M203" s="102"/>
      <c r="N203" s="124"/>
      <c r="O203" s="125"/>
      <c r="P203" s="97"/>
      <c r="Q203" s="131"/>
      <c r="R203" s="126"/>
      <c r="S203" s="97"/>
      <c r="T203" s="97"/>
      <c r="V203" s="108"/>
    </row>
    <row r="204" ht="15.75" customHeight="1">
      <c r="A204" s="91"/>
      <c r="B204" s="171"/>
      <c r="C204" s="143"/>
      <c r="D204" s="97"/>
      <c r="E204" s="143"/>
      <c r="F204" s="143"/>
      <c r="G204" s="97"/>
      <c r="H204" s="143"/>
      <c r="I204" s="97"/>
      <c r="J204" s="97"/>
      <c r="K204" s="114"/>
      <c r="L204" s="114"/>
      <c r="M204" s="102"/>
      <c r="N204" s="124"/>
      <c r="O204" s="125"/>
      <c r="P204" s="97"/>
      <c r="Q204" s="131"/>
      <c r="R204" s="126"/>
      <c r="S204" s="97"/>
      <c r="T204" s="97"/>
      <c r="V204" s="108"/>
    </row>
    <row r="205" ht="15.75" customHeight="1">
      <c r="A205" s="91"/>
      <c r="B205" s="171"/>
      <c r="C205" s="108"/>
      <c r="D205" s="97"/>
      <c r="E205" s="143"/>
      <c r="F205" s="143"/>
      <c r="G205" s="97"/>
      <c r="H205" s="143"/>
      <c r="I205" s="97"/>
      <c r="J205" s="97"/>
      <c r="K205" s="101"/>
      <c r="L205" s="101"/>
      <c r="M205" s="102"/>
      <c r="N205" s="124"/>
      <c r="O205" s="125"/>
      <c r="P205" s="97"/>
      <c r="Q205" s="131"/>
      <c r="R205" s="126"/>
      <c r="S205" s="97"/>
      <c r="T205" s="97"/>
      <c r="V205" s="108"/>
    </row>
    <row r="206" ht="15.75" customHeight="1">
      <c r="A206" s="91"/>
      <c r="B206" s="171"/>
      <c r="C206" s="143"/>
      <c r="D206" s="97"/>
      <c r="E206" s="143"/>
      <c r="F206" s="143"/>
      <c r="G206" s="97"/>
      <c r="H206" s="143"/>
      <c r="I206" s="97"/>
      <c r="J206" s="97"/>
      <c r="K206" s="114"/>
      <c r="L206" s="114"/>
      <c r="M206" s="102"/>
      <c r="N206" s="124"/>
      <c r="O206" s="125"/>
      <c r="P206" s="97"/>
      <c r="Q206" s="131"/>
      <c r="R206" s="126"/>
      <c r="S206" s="97"/>
      <c r="T206" s="97"/>
      <c r="V206" s="108"/>
    </row>
    <row r="207" ht="15.75" customHeight="1">
      <c r="A207" s="91"/>
      <c r="B207" s="171"/>
      <c r="C207" s="143"/>
      <c r="D207" s="97"/>
      <c r="E207" s="143"/>
      <c r="F207" s="143"/>
      <c r="G207" s="97"/>
      <c r="H207" s="143"/>
      <c r="I207" s="97"/>
      <c r="J207" s="97"/>
      <c r="K207" s="101"/>
      <c r="L207" s="101"/>
      <c r="M207" s="102"/>
      <c r="N207" s="124"/>
      <c r="O207" s="125"/>
      <c r="P207" s="97"/>
      <c r="Q207" s="131"/>
      <c r="R207" s="126"/>
      <c r="S207" s="97"/>
      <c r="T207" s="97"/>
      <c r="V207" s="108"/>
    </row>
    <row r="208" ht="15.75" customHeight="1">
      <c r="A208" s="91"/>
      <c r="B208" s="171"/>
      <c r="C208" s="143"/>
      <c r="D208" s="97"/>
      <c r="E208" s="143"/>
      <c r="F208" s="143"/>
      <c r="G208" s="97"/>
      <c r="H208" s="143"/>
      <c r="I208" s="97"/>
      <c r="J208" s="97"/>
      <c r="K208" s="114"/>
      <c r="L208" s="114"/>
      <c r="M208" s="102"/>
      <c r="N208" s="124"/>
      <c r="O208" s="125"/>
      <c r="P208" s="97"/>
      <c r="Q208" s="131"/>
      <c r="R208" s="126"/>
      <c r="S208" s="97"/>
      <c r="T208" s="97"/>
      <c r="V208" s="108"/>
    </row>
    <row r="209" ht="15.75" customHeight="1">
      <c r="A209" s="91"/>
      <c r="B209" s="171"/>
      <c r="C209" s="143"/>
      <c r="D209" s="97"/>
      <c r="E209" s="143"/>
      <c r="F209" s="143"/>
      <c r="G209" s="97"/>
      <c r="H209" s="143"/>
      <c r="I209" s="97"/>
      <c r="J209" s="97"/>
      <c r="K209" s="101"/>
      <c r="L209" s="101"/>
      <c r="M209" s="102"/>
      <c r="N209" s="124"/>
      <c r="O209" s="125"/>
      <c r="P209" s="97"/>
      <c r="Q209" s="131"/>
      <c r="R209" s="126"/>
      <c r="S209" s="97"/>
      <c r="T209" s="97"/>
      <c r="V209" s="108"/>
    </row>
    <row r="210" ht="15.75" customHeight="1">
      <c r="A210" s="91"/>
      <c r="B210" s="171"/>
      <c r="C210" s="143"/>
      <c r="D210" s="97"/>
      <c r="E210" s="143"/>
      <c r="F210" s="143"/>
      <c r="G210" s="97"/>
      <c r="H210" s="143"/>
      <c r="I210" s="97"/>
      <c r="J210" s="97"/>
      <c r="K210" s="114"/>
      <c r="L210" s="114"/>
      <c r="M210" s="102"/>
      <c r="N210" s="124"/>
      <c r="O210" s="125"/>
      <c r="P210" s="97"/>
      <c r="Q210" s="131"/>
      <c r="R210" s="126"/>
      <c r="S210" s="97"/>
      <c r="T210" s="97"/>
      <c r="V210" s="108"/>
    </row>
    <row r="211" ht="15.75" customHeight="1">
      <c r="A211" s="91"/>
      <c r="B211" s="171"/>
      <c r="C211" s="108"/>
      <c r="D211" s="97"/>
      <c r="E211" s="143"/>
      <c r="F211" s="143"/>
      <c r="G211" s="97"/>
      <c r="H211" s="143"/>
      <c r="I211" s="97"/>
      <c r="J211" s="97"/>
      <c r="K211" s="101"/>
      <c r="L211" s="101"/>
      <c r="M211" s="102"/>
      <c r="N211" s="124"/>
      <c r="O211" s="125"/>
      <c r="P211" s="97"/>
      <c r="Q211" s="131"/>
      <c r="R211" s="126"/>
      <c r="S211" s="97"/>
      <c r="T211" s="97"/>
      <c r="V211" s="108"/>
    </row>
    <row r="212" ht="15.75" customHeight="1">
      <c r="A212" s="91"/>
      <c r="B212" s="171"/>
      <c r="C212" s="143"/>
      <c r="D212" s="97"/>
      <c r="E212" s="143"/>
      <c r="F212" s="143"/>
      <c r="G212" s="97"/>
      <c r="H212" s="143"/>
      <c r="I212" s="97"/>
      <c r="J212" s="97"/>
      <c r="K212" s="114"/>
      <c r="L212" s="114"/>
      <c r="M212" s="102"/>
      <c r="N212" s="124"/>
      <c r="O212" s="125"/>
      <c r="P212" s="97"/>
      <c r="Q212" s="131"/>
      <c r="R212" s="126"/>
      <c r="S212" s="97"/>
      <c r="T212" s="97"/>
      <c r="V212" s="108"/>
    </row>
    <row r="213" ht="15.75" customHeight="1">
      <c r="A213" s="91"/>
      <c r="B213" s="171"/>
      <c r="C213" s="143"/>
      <c r="D213" s="97"/>
      <c r="E213" s="143"/>
      <c r="F213" s="143"/>
      <c r="G213" s="97"/>
      <c r="H213" s="143"/>
      <c r="I213" s="97"/>
      <c r="J213" s="97"/>
      <c r="K213" s="101"/>
      <c r="L213" s="101"/>
      <c r="M213" s="102"/>
      <c r="N213" s="124"/>
      <c r="O213" s="125"/>
      <c r="P213" s="97"/>
      <c r="Q213" s="131"/>
      <c r="R213" s="126"/>
      <c r="S213" s="97"/>
      <c r="T213" s="97"/>
      <c r="V213" s="108"/>
    </row>
    <row r="214" ht="15.75" customHeight="1">
      <c r="A214" s="91"/>
      <c r="B214" s="171"/>
      <c r="C214" s="143"/>
      <c r="D214" s="97"/>
      <c r="E214" s="143"/>
      <c r="F214" s="143"/>
      <c r="G214" s="97"/>
      <c r="H214" s="143"/>
      <c r="I214" s="97"/>
      <c r="J214" s="97"/>
      <c r="K214" s="114"/>
      <c r="L214" s="114"/>
      <c r="M214" s="102"/>
      <c r="N214" s="124"/>
      <c r="O214" s="125"/>
      <c r="P214" s="97"/>
      <c r="Q214" s="131"/>
      <c r="R214" s="126"/>
      <c r="S214" s="97"/>
      <c r="T214" s="97"/>
      <c r="V214" s="108"/>
    </row>
    <row r="215" ht="15.75" customHeight="1">
      <c r="A215" s="91"/>
      <c r="B215" s="171"/>
      <c r="C215" s="143"/>
      <c r="D215" s="97"/>
      <c r="E215" s="143"/>
      <c r="F215" s="143"/>
      <c r="G215" s="97"/>
      <c r="H215" s="143"/>
      <c r="I215" s="97"/>
      <c r="J215" s="97"/>
      <c r="K215" s="101"/>
      <c r="L215" s="101"/>
      <c r="M215" s="102"/>
      <c r="N215" s="124"/>
      <c r="O215" s="125"/>
      <c r="P215" s="97"/>
      <c r="Q215" s="131"/>
      <c r="R215" s="126"/>
      <c r="S215" s="97"/>
      <c r="T215" s="97"/>
      <c r="V215" s="108"/>
    </row>
    <row r="216" ht="15.75" customHeight="1">
      <c r="A216" s="91"/>
      <c r="B216" s="171"/>
      <c r="C216" s="143"/>
      <c r="D216" s="97"/>
      <c r="E216" s="143"/>
      <c r="F216" s="143"/>
      <c r="G216" s="97"/>
      <c r="H216" s="143"/>
      <c r="I216" s="97"/>
      <c r="J216" s="97"/>
      <c r="K216" s="114"/>
      <c r="L216" s="114"/>
      <c r="M216" s="102"/>
      <c r="N216" s="124"/>
      <c r="O216" s="125"/>
      <c r="P216" s="97"/>
      <c r="Q216" s="131"/>
      <c r="R216" s="126"/>
      <c r="S216" s="97"/>
      <c r="T216" s="97"/>
      <c r="V216" s="108"/>
    </row>
    <row r="217" ht="15.75" customHeight="1">
      <c r="A217" s="91"/>
      <c r="B217" s="171"/>
      <c r="C217" s="108"/>
      <c r="D217" s="97"/>
      <c r="E217" s="143"/>
      <c r="F217" s="143"/>
      <c r="G217" s="97"/>
      <c r="H217" s="143"/>
      <c r="I217" s="97"/>
      <c r="J217" s="97"/>
      <c r="K217" s="101"/>
      <c r="L217" s="101"/>
      <c r="M217" s="102"/>
      <c r="N217" s="124"/>
      <c r="O217" s="125"/>
      <c r="P217" s="97"/>
      <c r="Q217" s="131"/>
      <c r="R217" s="126"/>
      <c r="S217" s="97"/>
      <c r="T217" s="97"/>
      <c r="V217" s="108"/>
    </row>
    <row r="218" ht="15.75" customHeight="1">
      <c r="A218" s="91"/>
      <c r="B218" s="171"/>
      <c r="C218" s="143"/>
      <c r="D218" s="97"/>
      <c r="E218" s="143"/>
      <c r="F218" s="143"/>
      <c r="G218" s="97"/>
      <c r="H218" s="143"/>
      <c r="I218" s="97"/>
      <c r="J218" s="97"/>
      <c r="K218" s="114"/>
      <c r="L218" s="114"/>
      <c r="M218" s="102"/>
      <c r="N218" s="124"/>
      <c r="O218" s="125"/>
      <c r="P218" s="97"/>
      <c r="Q218" s="131"/>
      <c r="R218" s="126"/>
      <c r="S218" s="97"/>
      <c r="T218" s="97"/>
      <c r="V218" s="108"/>
    </row>
    <row r="219" ht="15.75" customHeight="1">
      <c r="A219" s="91"/>
      <c r="B219" s="171"/>
      <c r="C219" s="143"/>
      <c r="D219" s="97"/>
      <c r="E219" s="143"/>
      <c r="F219" s="143"/>
      <c r="G219" s="97"/>
      <c r="H219" s="143"/>
      <c r="I219" s="97"/>
      <c r="J219" s="97"/>
      <c r="K219" s="101"/>
      <c r="L219" s="101"/>
      <c r="M219" s="102"/>
      <c r="N219" s="124"/>
      <c r="O219" s="125"/>
      <c r="P219" s="97"/>
      <c r="Q219" s="131"/>
      <c r="R219" s="126"/>
      <c r="S219" s="97"/>
      <c r="T219" s="97"/>
      <c r="V219" s="108"/>
    </row>
    <row r="220" ht="15.75" customHeight="1">
      <c r="A220" s="91"/>
      <c r="B220" s="171"/>
      <c r="C220" s="143"/>
      <c r="D220" s="97"/>
      <c r="E220" s="143"/>
      <c r="F220" s="143"/>
      <c r="G220" s="97"/>
      <c r="H220" s="143"/>
      <c r="I220" s="97"/>
      <c r="J220" s="97"/>
      <c r="K220" s="114"/>
      <c r="L220" s="114"/>
      <c r="M220" s="102"/>
      <c r="N220" s="124"/>
      <c r="O220" s="125"/>
      <c r="P220" s="97"/>
      <c r="Q220" s="131"/>
      <c r="R220" s="126"/>
      <c r="S220" s="97"/>
      <c r="T220" s="97"/>
      <c r="V220" s="108"/>
    </row>
    <row r="221" ht="15.75" customHeight="1">
      <c r="A221" s="91"/>
      <c r="B221" s="171"/>
      <c r="C221" s="143"/>
      <c r="D221" s="97"/>
      <c r="E221" s="143"/>
      <c r="F221" s="143"/>
      <c r="G221" s="97"/>
      <c r="H221" s="143"/>
      <c r="I221" s="97"/>
      <c r="J221" s="97"/>
      <c r="K221" s="101"/>
      <c r="L221" s="101"/>
      <c r="M221" s="102"/>
      <c r="N221" s="124"/>
      <c r="O221" s="125"/>
      <c r="P221" s="97"/>
      <c r="Q221" s="131"/>
      <c r="R221" s="126"/>
      <c r="S221" s="97"/>
      <c r="T221" s="97"/>
      <c r="V221" s="108"/>
    </row>
    <row r="222" ht="15.75" customHeight="1">
      <c r="A222" s="91"/>
      <c r="B222" s="171"/>
      <c r="C222" s="143"/>
      <c r="D222" s="97"/>
      <c r="E222" s="143"/>
      <c r="F222" s="143"/>
      <c r="G222" s="97"/>
      <c r="H222" s="143"/>
      <c r="I222" s="97"/>
      <c r="J222" s="97"/>
      <c r="K222" s="114"/>
      <c r="L222" s="114"/>
      <c r="M222" s="102"/>
      <c r="N222" s="124"/>
      <c r="O222" s="125"/>
      <c r="P222" s="97"/>
      <c r="Q222" s="131"/>
      <c r="R222" s="126"/>
      <c r="S222" s="97"/>
      <c r="T222" s="97"/>
      <c r="V222" s="108"/>
    </row>
    <row r="223" ht="15.75" customHeight="1">
      <c r="A223" s="91"/>
      <c r="B223" s="171"/>
      <c r="C223" s="108"/>
      <c r="D223" s="97"/>
      <c r="E223" s="143"/>
      <c r="F223" s="143"/>
      <c r="G223" s="97"/>
      <c r="H223" s="143"/>
      <c r="I223" s="97"/>
      <c r="J223" s="97"/>
      <c r="K223" s="101"/>
      <c r="L223" s="101"/>
      <c r="M223" s="102"/>
      <c r="N223" s="124"/>
      <c r="O223" s="125"/>
      <c r="P223" s="97"/>
      <c r="Q223" s="131"/>
      <c r="R223" s="126"/>
      <c r="S223" s="97"/>
      <c r="T223" s="97"/>
      <c r="V223" s="108"/>
    </row>
    <row r="224" ht="15.75" customHeight="1">
      <c r="A224" s="91"/>
      <c r="B224" s="171"/>
      <c r="C224" s="143"/>
      <c r="D224" s="97"/>
      <c r="E224" s="143"/>
      <c r="F224" s="143"/>
      <c r="G224" s="97"/>
      <c r="H224" s="143"/>
      <c r="I224" s="97"/>
      <c r="J224" s="97"/>
      <c r="K224" s="114"/>
      <c r="L224" s="114"/>
      <c r="M224" s="102"/>
      <c r="N224" s="124"/>
      <c r="O224" s="125"/>
      <c r="P224" s="97"/>
      <c r="Q224" s="131"/>
      <c r="R224" s="126"/>
      <c r="S224" s="97"/>
      <c r="T224" s="97"/>
      <c r="V224" s="108"/>
    </row>
    <row r="225" ht="15.75" customHeight="1">
      <c r="A225" s="91"/>
      <c r="B225" s="171"/>
      <c r="C225" s="143"/>
      <c r="D225" s="97"/>
      <c r="E225" s="143"/>
      <c r="F225" s="143"/>
      <c r="G225" s="97"/>
      <c r="H225" s="143"/>
      <c r="I225" s="97"/>
      <c r="J225" s="97"/>
      <c r="K225" s="101"/>
      <c r="L225" s="101"/>
      <c r="M225" s="102"/>
      <c r="N225" s="124"/>
      <c r="O225" s="125"/>
      <c r="P225" s="97"/>
      <c r="Q225" s="131"/>
      <c r="R225" s="126"/>
      <c r="S225" s="97"/>
      <c r="T225" s="97"/>
      <c r="V225" s="108"/>
    </row>
    <row r="226" ht="15.75" customHeight="1">
      <c r="A226" s="91"/>
      <c r="B226" s="171"/>
      <c r="C226" s="143"/>
      <c r="D226" s="97"/>
      <c r="E226" s="143"/>
      <c r="F226" s="143"/>
      <c r="G226" s="97"/>
      <c r="H226" s="143"/>
      <c r="I226" s="97"/>
      <c r="J226" s="97"/>
      <c r="K226" s="114"/>
      <c r="L226" s="114"/>
      <c r="M226" s="102"/>
      <c r="N226" s="124"/>
      <c r="O226" s="125"/>
      <c r="P226" s="97"/>
      <c r="Q226" s="131"/>
      <c r="R226" s="126"/>
      <c r="S226" s="97"/>
      <c r="T226" s="97"/>
      <c r="V226" s="108"/>
    </row>
    <row r="227" ht="15.75" customHeight="1">
      <c r="A227" s="91"/>
      <c r="B227" s="171"/>
      <c r="C227" s="143"/>
      <c r="D227" s="97"/>
      <c r="E227" s="143"/>
      <c r="F227" s="143"/>
      <c r="G227" s="97"/>
      <c r="H227" s="143"/>
      <c r="I227" s="97"/>
      <c r="J227" s="97"/>
      <c r="K227" s="101"/>
      <c r="L227" s="101"/>
      <c r="M227" s="102"/>
      <c r="N227" s="124"/>
      <c r="O227" s="125"/>
      <c r="P227" s="97"/>
      <c r="Q227" s="131"/>
      <c r="R227" s="126"/>
      <c r="S227" s="97"/>
      <c r="T227" s="97"/>
      <c r="V227" s="108"/>
    </row>
    <row r="228" ht="15.75" customHeight="1">
      <c r="A228" s="91"/>
      <c r="B228" s="171"/>
      <c r="C228" s="143"/>
      <c r="D228" s="97"/>
      <c r="E228" s="143"/>
      <c r="F228" s="143"/>
      <c r="G228" s="97"/>
      <c r="H228" s="143"/>
      <c r="I228" s="97"/>
      <c r="J228" s="97"/>
      <c r="K228" s="114"/>
      <c r="L228" s="114"/>
      <c r="M228" s="102"/>
      <c r="N228" s="124"/>
      <c r="O228" s="125"/>
      <c r="P228" s="97"/>
      <c r="Q228" s="131"/>
      <c r="R228" s="126"/>
      <c r="S228" s="97"/>
      <c r="T228" s="97"/>
      <c r="V228" s="108"/>
    </row>
    <row r="229" ht="15.75" customHeight="1">
      <c r="A229" s="91"/>
      <c r="B229" s="171"/>
      <c r="C229" s="108"/>
      <c r="D229" s="97"/>
      <c r="E229" s="143"/>
      <c r="F229" s="143"/>
      <c r="G229" s="97"/>
      <c r="H229" s="143"/>
      <c r="I229" s="97"/>
      <c r="J229" s="97"/>
      <c r="K229" s="101"/>
      <c r="L229" s="101"/>
      <c r="M229" s="102"/>
      <c r="N229" s="124"/>
      <c r="O229" s="125"/>
      <c r="P229" s="97"/>
      <c r="Q229" s="131"/>
      <c r="R229" s="126"/>
      <c r="S229" s="97"/>
      <c r="T229" s="97"/>
      <c r="V229" s="108"/>
    </row>
    <row r="230" ht="15.75" customHeight="1">
      <c r="A230" s="91"/>
      <c r="B230" s="171"/>
      <c r="C230" s="143"/>
      <c r="D230" s="97"/>
      <c r="E230" s="143"/>
      <c r="F230" s="143"/>
      <c r="G230" s="97"/>
      <c r="H230" s="143"/>
      <c r="I230" s="97"/>
      <c r="J230" s="97"/>
      <c r="K230" s="114"/>
      <c r="L230" s="114"/>
      <c r="M230" s="102"/>
      <c r="N230" s="124"/>
      <c r="O230" s="125"/>
      <c r="P230" s="97"/>
      <c r="Q230" s="131"/>
      <c r="R230" s="126"/>
      <c r="S230" s="97"/>
      <c r="T230" s="97"/>
      <c r="V230" s="108"/>
    </row>
    <row r="231" ht="15.75" customHeight="1">
      <c r="A231" s="91"/>
      <c r="B231" s="171"/>
      <c r="C231" s="143"/>
      <c r="D231" s="97"/>
      <c r="E231" s="143"/>
      <c r="F231" s="143"/>
      <c r="G231" s="97"/>
      <c r="H231" s="143"/>
      <c r="I231" s="97"/>
      <c r="J231" s="97"/>
      <c r="K231" s="101"/>
      <c r="L231" s="101"/>
      <c r="M231" s="102"/>
      <c r="N231" s="124"/>
      <c r="O231" s="125"/>
      <c r="P231" s="97"/>
      <c r="Q231" s="131"/>
      <c r="R231" s="126"/>
      <c r="S231" s="97"/>
      <c r="T231" s="97"/>
      <c r="V231" s="108"/>
    </row>
    <row r="232" ht="15.75" customHeight="1">
      <c r="A232" s="91"/>
      <c r="B232" s="171"/>
      <c r="C232" s="143"/>
      <c r="D232" s="97"/>
      <c r="E232" s="143"/>
      <c r="F232" s="143"/>
      <c r="G232" s="97"/>
      <c r="H232" s="143"/>
      <c r="I232" s="97"/>
      <c r="J232" s="97"/>
      <c r="K232" s="114"/>
      <c r="L232" s="114"/>
      <c r="M232" s="102"/>
      <c r="N232" s="124"/>
      <c r="O232" s="125"/>
      <c r="P232" s="97"/>
      <c r="Q232" s="131"/>
      <c r="R232" s="126"/>
      <c r="S232" s="97"/>
      <c r="T232" s="97"/>
      <c r="V232" s="108"/>
    </row>
    <row r="233" ht="15.75" customHeight="1">
      <c r="A233" s="91"/>
      <c r="B233" s="171"/>
      <c r="C233" s="143"/>
      <c r="D233" s="97"/>
      <c r="E233" s="143"/>
      <c r="F233" s="143"/>
      <c r="G233" s="97"/>
      <c r="H233" s="143"/>
      <c r="I233" s="97"/>
      <c r="J233" s="97"/>
      <c r="K233" s="101"/>
      <c r="L233" s="101"/>
      <c r="M233" s="102"/>
      <c r="N233" s="124"/>
      <c r="O233" s="125"/>
      <c r="P233" s="97"/>
      <c r="Q233" s="131"/>
      <c r="R233" s="126"/>
      <c r="S233" s="97"/>
      <c r="T233" s="97"/>
      <c r="V233" s="108"/>
    </row>
    <row r="234" ht="15.75" customHeight="1">
      <c r="A234" s="91"/>
      <c r="B234" s="171"/>
      <c r="C234" s="143"/>
      <c r="D234" s="97"/>
      <c r="E234" s="143"/>
      <c r="F234" s="143"/>
      <c r="G234" s="97"/>
      <c r="H234" s="143"/>
      <c r="I234" s="97"/>
      <c r="J234" s="97"/>
      <c r="K234" s="114"/>
      <c r="L234" s="114"/>
      <c r="M234" s="102"/>
      <c r="N234" s="124"/>
      <c r="O234" s="125"/>
      <c r="P234" s="97"/>
      <c r="Q234" s="131"/>
      <c r="R234" s="126"/>
      <c r="S234" s="97"/>
      <c r="T234" s="97"/>
      <c r="V234" s="108"/>
    </row>
    <row r="235" ht="15.75" customHeight="1">
      <c r="A235" s="91"/>
      <c r="B235" s="171"/>
      <c r="C235" s="108"/>
      <c r="D235" s="97"/>
      <c r="E235" s="143"/>
      <c r="F235" s="143"/>
      <c r="G235" s="97"/>
      <c r="H235" s="143"/>
      <c r="I235" s="97"/>
      <c r="J235" s="97"/>
      <c r="K235" s="101"/>
      <c r="L235" s="101"/>
      <c r="M235" s="102"/>
      <c r="N235" s="124"/>
      <c r="O235" s="125"/>
      <c r="P235" s="97"/>
      <c r="Q235" s="131"/>
      <c r="R235" s="126"/>
      <c r="S235" s="97"/>
      <c r="T235" s="97"/>
      <c r="V235" s="108"/>
    </row>
    <row r="236" ht="15.75" customHeight="1">
      <c r="A236" s="91"/>
      <c r="B236" s="171"/>
      <c r="C236" s="143"/>
      <c r="D236" s="97"/>
      <c r="E236" s="143"/>
      <c r="F236" s="143"/>
      <c r="G236" s="97"/>
      <c r="H236" s="143"/>
      <c r="I236" s="97"/>
      <c r="J236" s="97"/>
      <c r="K236" s="114"/>
      <c r="L236" s="114"/>
      <c r="M236" s="102"/>
      <c r="N236" s="124"/>
      <c r="O236" s="125"/>
      <c r="P236" s="97"/>
      <c r="Q236" s="131"/>
      <c r="R236" s="126"/>
      <c r="S236" s="97"/>
      <c r="T236" s="97"/>
      <c r="V236" s="108"/>
    </row>
    <row r="237" ht="15.75" customHeight="1">
      <c r="A237" s="91"/>
      <c r="B237" s="171"/>
      <c r="C237" s="143"/>
      <c r="D237" s="97"/>
      <c r="E237" s="143"/>
      <c r="F237" s="143"/>
      <c r="G237" s="97"/>
      <c r="H237" s="143"/>
      <c r="I237" s="97"/>
      <c r="J237" s="97"/>
      <c r="K237" s="101"/>
      <c r="L237" s="101"/>
      <c r="M237" s="102"/>
      <c r="N237" s="124"/>
      <c r="O237" s="125"/>
      <c r="P237" s="97"/>
      <c r="Q237" s="131"/>
      <c r="R237" s="126"/>
      <c r="S237" s="97"/>
      <c r="T237" s="97"/>
      <c r="V237" s="108"/>
    </row>
    <row r="238" ht="15.75" customHeight="1">
      <c r="A238" s="91"/>
      <c r="B238" s="171"/>
      <c r="C238" s="143"/>
      <c r="D238" s="97"/>
      <c r="E238" s="143"/>
      <c r="F238" s="143"/>
      <c r="G238" s="97"/>
      <c r="H238" s="143"/>
      <c r="I238" s="97"/>
      <c r="J238" s="97"/>
      <c r="K238" s="114"/>
      <c r="L238" s="114"/>
      <c r="M238" s="102"/>
      <c r="N238" s="124"/>
      <c r="O238" s="125"/>
      <c r="P238" s="97"/>
      <c r="Q238" s="131"/>
      <c r="R238" s="126"/>
      <c r="S238" s="97"/>
      <c r="T238" s="97"/>
      <c r="V238" s="108"/>
    </row>
    <row r="239" ht="15.75" customHeight="1">
      <c r="A239" s="91"/>
      <c r="B239" s="171"/>
      <c r="C239" s="143"/>
      <c r="D239" s="97"/>
      <c r="E239" s="143"/>
      <c r="F239" s="143"/>
      <c r="G239" s="97"/>
      <c r="H239" s="143"/>
      <c r="I239" s="97"/>
      <c r="J239" s="97"/>
      <c r="K239" s="101"/>
      <c r="L239" s="101"/>
      <c r="M239" s="102"/>
      <c r="N239" s="124"/>
      <c r="O239" s="125"/>
      <c r="P239" s="97"/>
      <c r="Q239" s="131"/>
      <c r="R239" s="126"/>
      <c r="S239" s="97"/>
      <c r="T239" s="97"/>
      <c r="V239" s="108"/>
    </row>
    <row r="240" ht="15.75" customHeight="1">
      <c r="A240" s="91"/>
      <c r="B240" s="171"/>
      <c r="C240" s="143"/>
      <c r="D240" s="97"/>
      <c r="E240" s="143"/>
      <c r="F240" s="143"/>
      <c r="G240" s="97"/>
      <c r="H240" s="143"/>
      <c r="I240" s="97"/>
      <c r="J240" s="97"/>
      <c r="K240" s="114"/>
      <c r="L240" s="114"/>
      <c r="M240" s="102"/>
      <c r="N240" s="124"/>
      <c r="O240" s="125"/>
      <c r="P240" s="97"/>
      <c r="Q240" s="131"/>
      <c r="R240" s="126"/>
      <c r="S240" s="97"/>
      <c r="T240" s="97"/>
      <c r="V240" s="108"/>
    </row>
    <row r="241" ht="15.75" customHeight="1">
      <c r="A241" s="91"/>
      <c r="B241" s="171"/>
      <c r="C241" s="108"/>
      <c r="D241" s="97"/>
      <c r="E241" s="143"/>
      <c r="F241" s="143"/>
      <c r="G241" s="97"/>
      <c r="H241" s="143"/>
      <c r="I241" s="97"/>
      <c r="J241" s="97"/>
      <c r="K241" s="101"/>
      <c r="L241" s="101"/>
      <c r="M241" s="102"/>
      <c r="N241" s="124"/>
      <c r="O241" s="125"/>
      <c r="P241" s="97"/>
      <c r="Q241" s="131"/>
      <c r="R241" s="126"/>
      <c r="S241" s="97"/>
      <c r="T241" s="97"/>
      <c r="V241" s="108"/>
    </row>
    <row r="242" ht="15.75" customHeight="1">
      <c r="A242" s="91"/>
      <c r="B242" s="171"/>
      <c r="C242" s="143"/>
      <c r="D242" s="97"/>
      <c r="E242" s="143"/>
      <c r="F242" s="143"/>
      <c r="G242" s="97"/>
      <c r="H242" s="143"/>
      <c r="I242" s="97"/>
      <c r="J242" s="97"/>
      <c r="K242" s="114"/>
      <c r="L242" s="114"/>
      <c r="M242" s="102"/>
      <c r="N242" s="124"/>
      <c r="O242" s="125"/>
      <c r="P242" s="97"/>
      <c r="Q242" s="131"/>
      <c r="R242" s="126"/>
      <c r="S242" s="97"/>
      <c r="T242" s="97"/>
      <c r="V242" s="108"/>
    </row>
    <row r="243" ht="15.75" customHeight="1">
      <c r="A243" s="91"/>
      <c r="B243" s="171"/>
      <c r="C243" s="143"/>
      <c r="D243" s="97"/>
      <c r="E243" s="143"/>
      <c r="F243" s="143"/>
      <c r="G243" s="97"/>
      <c r="H243" s="143"/>
      <c r="I243" s="97"/>
      <c r="J243" s="97"/>
      <c r="K243" s="101"/>
      <c r="L243" s="101"/>
      <c r="M243" s="102"/>
      <c r="N243" s="124"/>
      <c r="O243" s="125"/>
      <c r="P243" s="97"/>
      <c r="Q243" s="131"/>
      <c r="R243" s="126"/>
      <c r="S243" s="97"/>
      <c r="T243" s="97"/>
      <c r="V243" s="108"/>
    </row>
    <row r="244" ht="15.75" customHeight="1">
      <c r="A244" s="91"/>
      <c r="B244" s="171"/>
      <c r="C244" s="143"/>
      <c r="D244" s="97"/>
      <c r="E244" s="143"/>
      <c r="F244" s="143"/>
      <c r="G244" s="97"/>
      <c r="H244" s="143"/>
      <c r="I244" s="97"/>
      <c r="J244" s="97"/>
      <c r="K244" s="148"/>
      <c r="L244" s="148"/>
      <c r="M244" s="102"/>
      <c r="N244" s="124"/>
      <c r="O244" s="125"/>
      <c r="P244" s="97"/>
      <c r="Q244" s="131"/>
      <c r="R244" s="126"/>
      <c r="S244" s="97"/>
      <c r="T244" s="97"/>
      <c r="V244" s="108"/>
    </row>
    <row r="245" ht="15.75" customHeight="1">
      <c r="A245" s="91"/>
      <c r="B245" s="171"/>
      <c r="C245" s="143"/>
      <c r="D245" s="97"/>
      <c r="E245" s="143"/>
      <c r="F245" s="143"/>
      <c r="G245" s="97"/>
      <c r="H245" s="143"/>
      <c r="I245" s="97"/>
      <c r="J245" s="97"/>
      <c r="K245" s="150"/>
      <c r="L245" s="150"/>
      <c r="M245" s="102"/>
      <c r="N245" s="124"/>
      <c r="O245" s="125"/>
      <c r="P245" s="97"/>
      <c r="Q245" s="131"/>
      <c r="R245" s="126"/>
      <c r="S245" s="97"/>
      <c r="T245" s="97"/>
      <c r="V245" s="108"/>
    </row>
    <row r="246" ht="15.75" customHeight="1">
      <c r="A246" s="91"/>
      <c r="B246" s="171"/>
      <c r="C246" s="143"/>
      <c r="D246" s="97"/>
      <c r="E246" s="143"/>
      <c r="F246" s="143"/>
      <c r="G246" s="97"/>
      <c r="H246" s="143"/>
      <c r="I246" s="97"/>
      <c r="J246" s="97"/>
      <c r="K246" s="148"/>
      <c r="L246" s="148"/>
      <c r="M246" s="102"/>
      <c r="N246" s="124"/>
      <c r="O246" s="125"/>
      <c r="P246" s="97"/>
      <c r="Q246" s="131"/>
      <c r="R246" s="126"/>
      <c r="S246" s="97"/>
      <c r="T246" s="97"/>
      <c r="V246" s="108"/>
    </row>
    <row r="247" ht="15.75" customHeight="1">
      <c r="A247" s="91"/>
      <c r="B247" s="171"/>
      <c r="C247" s="108"/>
      <c r="D247" s="97"/>
      <c r="E247" s="143"/>
      <c r="F247" s="143"/>
      <c r="G247" s="97"/>
      <c r="H247" s="143"/>
      <c r="I247" s="97"/>
      <c r="J247" s="97"/>
      <c r="K247" s="150"/>
      <c r="L247" s="150"/>
      <c r="M247" s="102"/>
      <c r="N247" s="124"/>
      <c r="O247" s="125"/>
      <c r="P247" s="97"/>
      <c r="Q247" s="131"/>
      <c r="R247" s="126"/>
      <c r="S247" s="97"/>
      <c r="T247" s="97"/>
      <c r="V247" s="108"/>
    </row>
    <row r="248" ht="15.75" customHeight="1">
      <c r="A248" s="91"/>
      <c r="B248" s="171"/>
      <c r="C248" s="143"/>
      <c r="D248" s="97"/>
      <c r="E248" s="143"/>
      <c r="F248" s="143"/>
      <c r="G248" s="97"/>
      <c r="H248" s="143"/>
      <c r="I248" s="97"/>
      <c r="J248" s="97"/>
      <c r="K248" s="148"/>
      <c r="L248" s="148"/>
      <c r="M248" s="102"/>
      <c r="N248" s="124"/>
      <c r="O248" s="125"/>
      <c r="P248" s="97"/>
      <c r="Q248" s="131"/>
      <c r="R248" s="126"/>
      <c r="S248" s="97"/>
      <c r="T248" s="97"/>
      <c r="V248" s="108"/>
    </row>
    <row r="249" ht="15.75" customHeight="1">
      <c r="A249" s="91"/>
      <c r="B249" s="171"/>
      <c r="C249" s="143"/>
      <c r="D249" s="97"/>
      <c r="E249" s="143"/>
      <c r="F249" s="143"/>
      <c r="G249" s="97"/>
      <c r="H249" s="143"/>
      <c r="I249" s="97"/>
      <c r="J249" s="97"/>
      <c r="K249" s="150"/>
      <c r="L249" s="150"/>
      <c r="M249" s="102"/>
      <c r="N249" s="124"/>
      <c r="O249" s="125"/>
      <c r="P249" s="97"/>
      <c r="Q249" s="131"/>
      <c r="R249" s="126"/>
      <c r="S249" s="97"/>
      <c r="T249" s="97"/>
      <c r="V249" s="108"/>
    </row>
    <row r="250" ht="15.75" customHeight="1">
      <c r="A250" s="91"/>
      <c r="B250" s="171"/>
      <c r="C250" s="143"/>
      <c r="D250" s="97"/>
      <c r="E250" s="143"/>
      <c r="F250" s="143"/>
      <c r="G250" s="97"/>
      <c r="H250" s="143"/>
      <c r="I250" s="97"/>
      <c r="J250" s="97"/>
      <c r="K250" s="148"/>
      <c r="L250" s="148"/>
      <c r="M250" s="102"/>
      <c r="N250" s="124"/>
      <c r="O250" s="125"/>
      <c r="P250" s="97"/>
      <c r="Q250" s="131"/>
      <c r="R250" s="126"/>
      <c r="S250" s="97"/>
      <c r="T250" s="97"/>
      <c r="V250" s="108"/>
    </row>
    <row r="251" ht="15.75" customHeight="1">
      <c r="A251" s="91"/>
      <c r="B251" s="171"/>
      <c r="C251" s="143"/>
      <c r="D251" s="97"/>
      <c r="E251" s="143"/>
      <c r="F251" s="143"/>
      <c r="G251" s="97"/>
      <c r="H251" s="143"/>
      <c r="I251" s="97"/>
      <c r="J251" s="97"/>
      <c r="K251" s="150"/>
      <c r="L251" s="150"/>
      <c r="M251" s="102"/>
      <c r="N251" s="124"/>
      <c r="O251" s="125"/>
      <c r="P251" s="97"/>
      <c r="Q251" s="131"/>
      <c r="R251" s="126"/>
      <c r="S251" s="97"/>
      <c r="T251" s="97"/>
      <c r="V251" s="108"/>
    </row>
    <row r="252" ht="15.75" customHeight="1">
      <c r="A252" s="91"/>
      <c r="B252" s="171"/>
      <c r="C252" s="143"/>
      <c r="D252" s="97"/>
      <c r="E252" s="143"/>
      <c r="F252" s="143"/>
      <c r="G252" s="97"/>
      <c r="H252" s="143"/>
      <c r="I252" s="97"/>
      <c r="J252" s="97"/>
      <c r="K252" s="148"/>
      <c r="L252" s="148"/>
      <c r="M252" s="102"/>
      <c r="N252" s="124"/>
      <c r="O252" s="125"/>
      <c r="P252" s="97"/>
      <c r="Q252" s="131"/>
      <c r="R252" s="126"/>
      <c r="S252" s="97"/>
      <c r="T252" s="97"/>
      <c r="V252" s="108"/>
    </row>
    <row r="253" ht="15.75" customHeight="1">
      <c r="A253" s="91"/>
      <c r="B253" s="171"/>
      <c r="C253" s="108"/>
      <c r="D253" s="97"/>
      <c r="E253" s="143"/>
      <c r="F253" s="143"/>
      <c r="G253" s="97"/>
      <c r="H253" s="143"/>
      <c r="I253" s="97"/>
      <c r="J253" s="97"/>
      <c r="K253" s="150"/>
      <c r="L253" s="150"/>
      <c r="M253" s="102"/>
      <c r="N253" s="124"/>
      <c r="O253" s="125"/>
      <c r="P253" s="97"/>
      <c r="Q253" s="131"/>
      <c r="R253" s="126"/>
      <c r="S253" s="97"/>
      <c r="T253" s="97"/>
      <c r="V253" s="108"/>
    </row>
    <row r="254" ht="15.75" customHeight="1">
      <c r="A254" s="91"/>
      <c r="B254" s="171"/>
      <c r="C254" s="143"/>
      <c r="D254" s="97"/>
      <c r="E254" s="143"/>
      <c r="F254" s="143"/>
      <c r="G254" s="97"/>
      <c r="H254" s="143"/>
      <c r="I254" s="97"/>
      <c r="J254" s="97"/>
      <c r="K254" s="148"/>
      <c r="L254" s="148"/>
      <c r="M254" s="102"/>
      <c r="N254" s="124"/>
      <c r="O254" s="125"/>
      <c r="P254" s="97"/>
      <c r="Q254" s="131"/>
      <c r="R254" s="126"/>
      <c r="S254" s="97"/>
      <c r="T254" s="97"/>
      <c r="V254" s="108"/>
    </row>
    <row r="255" ht="15.75" customHeight="1">
      <c r="A255" s="91"/>
      <c r="B255" s="171"/>
      <c r="C255" s="143"/>
      <c r="D255" s="97"/>
      <c r="E255" s="143"/>
      <c r="F255" s="143"/>
      <c r="G255" s="97"/>
      <c r="H255" s="143"/>
      <c r="I255" s="97"/>
      <c r="J255" s="97"/>
      <c r="K255" s="150"/>
      <c r="L255" s="150"/>
      <c r="M255" s="102"/>
      <c r="N255" s="124"/>
      <c r="O255" s="125"/>
      <c r="P255" s="97"/>
      <c r="Q255" s="131"/>
      <c r="R255" s="126"/>
      <c r="S255" s="97"/>
      <c r="T255" s="97"/>
      <c r="V255" s="108"/>
    </row>
    <row r="256" ht="15.75" customHeight="1">
      <c r="A256" s="91"/>
      <c r="B256" s="171"/>
      <c r="C256" s="143"/>
      <c r="D256" s="97"/>
      <c r="E256" s="143"/>
      <c r="F256" s="143"/>
      <c r="G256" s="97"/>
      <c r="H256" s="143"/>
      <c r="I256" s="97"/>
      <c r="J256" s="97"/>
      <c r="K256" s="148"/>
      <c r="L256" s="148"/>
      <c r="M256" s="102"/>
      <c r="N256" s="124"/>
      <c r="O256" s="125"/>
      <c r="P256" s="97"/>
      <c r="Q256" s="131"/>
      <c r="R256" s="126"/>
      <c r="S256" s="97"/>
      <c r="T256" s="97"/>
      <c r="V256" s="108"/>
    </row>
    <row r="257" ht="15.75" customHeight="1">
      <c r="A257" s="91"/>
      <c r="B257" s="171"/>
      <c r="C257" s="143"/>
      <c r="D257" s="97"/>
      <c r="E257" s="143"/>
      <c r="F257" s="143"/>
      <c r="G257" s="97"/>
      <c r="H257" s="143"/>
      <c r="I257" s="97"/>
      <c r="J257" s="97"/>
      <c r="K257" s="150"/>
      <c r="L257" s="150"/>
      <c r="M257" s="102"/>
      <c r="N257" s="124"/>
      <c r="O257" s="125"/>
      <c r="P257" s="97"/>
      <c r="Q257" s="131"/>
      <c r="R257" s="126"/>
      <c r="S257" s="97"/>
      <c r="T257" s="97"/>
      <c r="V257" s="108"/>
    </row>
    <row r="258" ht="15.75" customHeight="1">
      <c r="A258" s="91"/>
      <c r="B258" s="171"/>
      <c r="C258" s="143"/>
      <c r="D258" s="97"/>
      <c r="E258" s="143"/>
      <c r="F258" s="143"/>
      <c r="G258" s="97"/>
      <c r="H258" s="143"/>
      <c r="I258" s="97"/>
      <c r="J258" s="97"/>
      <c r="K258" s="148"/>
      <c r="L258" s="148"/>
      <c r="M258" s="102"/>
      <c r="N258" s="124"/>
      <c r="O258" s="125"/>
      <c r="P258" s="97"/>
      <c r="Q258" s="131"/>
      <c r="R258" s="126"/>
      <c r="S258" s="97"/>
      <c r="T258" s="97"/>
      <c r="V258" s="108"/>
    </row>
    <row r="259" ht="15.75" customHeight="1">
      <c r="A259" s="91"/>
      <c r="B259" s="171"/>
      <c r="C259" s="108"/>
      <c r="D259" s="97"/>
      <c r="E259" s="143"/>
      <c r="F259" s="143"/>
      <c r="G259" s="97"/>
      <c r="H259" s="143"/>
      <c r="I259" s="97"/>
      <c r="J259" s="97"/>
      <c r="K259" s="150"/>
      <c r="L259" s="150"/>
      <c r="M259" s="102"/>
      <c r="N259" s="124"/>
      <c r="O259" s="125"/>
      <c r="P259" s="97"/>
      <c r="Q259" s="131"/>
      <c r="R259" s="126"/>
      <c r="S259" s="97"/>
      <c r="T259" s="97"/>
      <c r="V259" s="108"/>
    </row>
    <row r="260" ht="15.75" customHeight="1">
      <c r="A260" s="91"/>
      <c r="B260" s="171"/>
      <c r="C260" s="143"/>
      <c r="D260" s="97"/>
      <c r="E260" s="143"/>
      <c r="F260" s="143"/>
      <c r="G260" s="97"/>
      <c r="H260" s="143"/>
      <c r="I260" s="97"/>
      <c r="J260" s="97"/>
      <c r="K260" s="148"/>
      <c r="L260" s="148"/>
      <c r="M260" s="102"/>
      <c r="N260" s="124"/>
      <c r="O260" s="125"/>
      <c r="P260" s="97"/>
      <c r="Q260" s="131"/>
      <c r="R260" s="126"/>
      <c r="S260" s="97"/>
      <c r="T260" s="97"/>
      <c r="V260" s="108"/>
    </row>
    <row r="261" ht="15.75" customHeight="1">
      <c r="A261" s="91"/>
      <c r="B261" s="171"/>
      <c r="C261" s="143"/>
      <c r="D261" s="97"/>
      <c r="E261" s="143"/>
      <c r="F261" s="143"/>
      <c r="G261" s="97"/>
      <c r="H261" s="143"/>
      <c r="I261" s="97"/>
      <c r="J261" s="97"/>
      <c r="K261" s="150"/>
      <c r="L261" s="150"/>
      <c r="M261" s="102"/>
      <c r="N261" s="124"/>
      <c r="O261" s="125"/>
      <c r="P261" s="97"/>
      <c r="Q261" s="131"/>
      <c r="R261" s="126"/>
      <c r="S261" s="97"/>
      <c r="T261" s="97"/>
      <c r="V261" s="108"/>
    </row>
    <row r="262" ht="15.75" customHeight="1">
      <c r="A262" s="91"/>
      <c r="B262" s="171"/>
      <c r="C262" s="143"/>
      <c r="D262" s="97"/>
      <c r="E262" s="143"/>
      <c r="F262" s="143"/>
      <c r="G262" s="97"/>
      <c r="H262" s="143"/>
      <c r="I262" s="97"/>
      <c r="J262" s="97"/>
      <c r="K262" s="148"/>
      <c r="L262" s="148"/>
      <c r="M262" s="102"/>
      <c r="N262" s="124"/>
      <c r="O262" s="125"/>
      <c r="P262" s="97"/>
      <c r="Q262" s="131"/>
      <c r="R262" s="126"/>
      <c r="S262" s="97"/>
      <c r="T262" s="97"/>
      <c r="V262" s="108"/>
    </row>
    <row r="263" ht="15.75" customHeight="1">
      <c r="A263" s="91"/>
      <c r="B263" s="171"/>
      <c r="C263" s="143"/>
      <c r="D263" s="97"/>
      <c r="E263" s="143"/>
      <c r="F263" s="143"/>
      <c r="G263" s="97"/>
      <c r="H263" s="143"/>
      <c r="I263" s="97"/>
      <c r="J263" s="97"/>
      <c r="K263" s="150"/>
      <c r="L263" s="150"/>
      <c r="M263" s="102"/>
      <c r="N263" s="124"/>
      <c r="O263" s="125"/>
      <c r="P263" s="97"/>
      <c r="Q263" s="131"/>
      <c r="R263" s="126"/>
      <c r="S263" s="97"/>
      <c r="T263" s="97"/>
      <c r="V263" s="108"/>
    </row>
    <row r="264" ht="15.75" customHeight="1">
      <c r="A264" s="91"/>
      <c r="B264" s="171"/>
      <c r="C264" s="143"/>
      <c r="D264" s="97"/>
      <c r="E264" s="143"/>
      <c r="F264" s="143"/>
      <c r="G264" s="97"/>
      <c r="H264" s="143"/>
      <c r="I264" s="97"/>
      <c r="J264" s="97"/>
      <c r="K264" s="148"/>
      <c r="L264" s="148"/>
      <c r="M264" s="102"/>
      <c r="N264" s="124"/>
      <c r="O264" s="125"/>
      <c r="P264" s="97"/>
      <c r="Q264" s="131"/>
      <c r="R264" s="126"/>
      <c r="S264" s="97"/>
      <c r="T264" s="97"/>
      <c r="V264" s="108"/>
    </row>
    <row r="265" ht="15.75" customHeight="1">
      <c r="A265" s="91"/>
      <c r="B265" s="171"/>
      <c r="C265" s="108"/>
      <c r="D265" s="97"/>
      <c r="E265" s="143"/>
      <c r="F265" s="143"/>
      <c r="G265" s="97"/>
      <c r="H265" s="143"/>
      <c r="I265" s="97"/>
      <c r="J265" s="97"/>
      <c r="K265" s="150"/>
      <c r="L265" s="150"/>
      <c r="M265" s="102"/>
      <c r="N265" s="124"/>
      <c r="O265" s="125"/>
      <c r="P265" s="97"/>
      <c r="Q265" s="131"/>
      <c r="R265" s="126"/>
      <c r="S265" s="97"/>
      <c r="T265" s="97"/>
      <c r="V265" s="108"/>
    </row>
    <row r="266" ht="15.75" customHeight="1">
      <c r="A266" s="91"/>
      <c r="B266" s="171"/>
      <c r="C266" s="143"/>
      <c r="D266" s="97"/>
      <c r="E266" s="143"/>
      <c r="F266" s="143"/>
      <c r="G266" s="97"/>
      <c r="H266" s="143"/>
      <c r="I266" s="97"/>
      <c r="J266" s="97"/>
      <c r="K266" s="148"/>
      <c r="L266" s="148"/>
      <c r="M266" s="102"/>
      <c r="N266" s="124"/>
      <c r="O266" s="125"/>
      <c r="P266" s="97"/>
      <c r="Q266" s="131"/>
      <c r="R266" s="126"/>
      <c r="S266" s="97"/>
      <c r="T266" s="97"/>
      <c r="V266" s="108"/>
    </row>
    <row r="267" ht="15.75" customHeight="1">
      <c r="A267" s="91"/>
      <c r="B267" s="171"/>
      <c r="C267" s="143"/>
      <c r="D267" s="97"/>
      <c r="E267" s="143"/>
      <c r="F267" s="143"/>
      <c r="G267" s="97"/>
      <c r="H267" s="143"/>
      <c r="I267" s="97"/>
      <c r="J267" s="97"/>
      <c r="K267" s="150"/>
      <c r="L267" s="150"/>
      <c r="M267" s="102"/>
      <c r="N267" s="124"/>
      <c r="O267" s="125"/>
      <c r="P267" s="97"/>
      <c r="Q267" s="131"/>
      <c r="R267" s="126"/>
      <c r="S267" s="97"/>
      <c r="T267" s="97"/>
      <c r="V267" s="108"/>
    </row>
    <row r="268" ht="15.75" customHeight="1">
      <c r="A268" s="91"/>
      <c r="B268" s="171"/>
      <c r="C268" s="143"/>
      <c r="D268" s="97"/>
      <c r="E268" s="143"/>
      <c r="F268" s="143"/>
      <c r="G268" s="97"/>
      <c r="H268" s="143"/>
      <c r="I268" s="97"/>
      <c r="J268" s="97"/>
      <c r="K268" s="148"/>
      <c r="L268" s="148"/>
      <c r="M268" s="102"/>
      <c r="N268" s="124"/>
      <c r="O268" s="125"/>
      <c r="P268" s="97"/>
      <c r="Q268" s="131"/>
      <c r="R268" s="126"/>
      <c r="S268" s="97"/>
      <c r="T268" s="97"/>
      <c r="V268" s="108"/>
    </row>
    <row r="269" ht="15.75" customHeight="1">
      <c r="A269" s="91"/>
      <c r="B269" s="171"/>
      <c r="C269" s="143"/>
      <c r="D269" s="97"/>
      <c r="E269" s="143"/>
      <c r="F269" s="143"/>
      <c r="G269" s="97"/>
      <c r="H269" s="143"/>
      <c r="I269" s="97"/>
      <c r="J269" s="97"/>
      <c r="K269" s="150"/>
      <c r="L269" s="150"/>
      <c r="M269" s="102"/>
      <c r="N269" s="124"/>
      <c r="O269" s="125"/>
      <c r="P269" s="97"/>
      <c r="Q269" s="131"/>
      <c r="R269" s="126"/>
      <c r="S269" s="97"/>
      <c r="T269" s="97"/>
      <c r="V269" s="108"/>
    </row>
    <row r="270" ht="15.75" customHeight="1">
      <c r="A270" s="91"/>
      <c r="B270" s="171"/>
      <c r="C270" s="143"/>
      <c r="D270" s="97"/>
      <c r="E270" s="143"/>
      <c r="F270" s="143"/>
      <c r="G270" s="97"/>
      <c r="H270" s="143"/>
      <c r="I270" s="97"/>
      <c r="J270" s="97"/>
      <c r="K270" s="148"/>
      <c r="L270" s="148"/>
      <c r="M270" s="102"/>
      <c r="N270" s="124"/>
      <c r="O270" s="125"/>
      <c r="P270" s="97"/>
      <c r="Q270" s="131"/>
      <c r="R270" s="126"/>
      <c r="S270" s="97"/>
      <c r="T270" s="97"/>
      <c r="V270" s="108"/>
    </row>
    <row r="271" ht="15.75" customHeight="1">
      <c r="A271" s="91"/>
      <c r="B271" s="171"/>
      <c r="C271" s="108"/>
      <c r="D271" s="97"/>
      <c r="E271" s="143"/>
      <c r="F271" s="143"/>
      <c r="G271" s="97"/>
      <c r="H271" s="143"/>
      <c r="I271" s="97"/>
      <c r="J271" s="97"/>
      <c r="K271" s="150"/>
      <c r="L271" s="150"/>
      <c r="M271" s="102"/>
      <c r="N271" s="124"/>
      <c r="O271" s="125"/>
      <c r="P271" s="97"/>
      <c r="Q271" s="131"/>
      <c r="R271" s="126"/>
      <c r="S271" s="97"/>
      <c r="T271" s="97"/>
      <c r="V271" s="108"/>
    </row>
    <row r="272" ht="15.75" customHeight="1">
      <c r="A272" s="91"/>
      <c r="B272" s="171"/>
      <c r="C272" s="143"/>
      <c r="D272" s="97"/>
      <c r="E272" s="143"/>
      <c r="F272" s="143"/>
      <c r="G272" s="97"/>
      <c r="H272" s="143"/>
      <c r="I272" s="97"/>
      <c r="J272" s="97"/>
      <c r="K272" s="148"/>
      <c r="L272" s="148"/>
      <c r="M272" s="102"/>
      <c r="N272" s="124"/>
      <c r="O272" s="125"/>
      <c r="P272" s="97"/>
      <c r="Q272" s="131"/>
      <c r="R272" s="126"/>
      <c r="S272" s="97"/>
      <c r="T272" s="97"/>
      <c r="V272" s="108"/>
    </row>
    <row r="273" ht="15.75" customHeight="1">
      <c r="A273" s="91"/>
      <c r="B273" s="171"/>
      <c r="C273" s="143"/>
      <c r="D273" s="97"/>
      <c r="E273" s="143"/>
      <c r="F273" s="143"/>
      <c r="G273" s="97"/>
      <c r="H273" s="143"/>
      <c r="I273" s="97"/>
      <c r="J273" s="97"/>
      <c r="K273" s="150"/>
      <c r="L273" s="150"/>
      <c r="M273" s="102"/>
      <c r="N273" s="124"/>
      <c r="O273" s="125"/>
      <c r="P273" s="97"/>
      <c r="Q273" s="131"/>
      <c r="R273" s="126"/>
      <c r="S273" s="97"/>
      <c r="T273" s="97"/>
      <c r="V273" s="108"/>
    </row>
    <row r="274" ht="15.75" customHeight="1">
      <c r="A274" s="91"/>
      <c r="B274" s="171"/>
      <c r="C274" s="143"/>
      <c r="D274" s="97"/>
      <c r="E274" s="143"/>
      <c r="F274" s="143"/>
      <c r="G274" s="97"/>
      <c r="H274" s="143"/>
      <c r="I274" s="97"/>
      <c r="J274" s="97"/>
      <c r="K274" s="148"/>
      <c r="L274" s="148"/>
      <c r="M274" s="102"/>
      <c r="N274" s="124"/>
      <c r="O274" s="125"/>
      <c r="P274" s="97"/>
      <c r="Q274" s="131"/>
      <c r="R274" s="126"/>
      <c r="S274" s="97"/>
      <c r="T274" s="97"/>
      <c r="V274" s="108"/>
    </row>
    <row r="275" ht="15.75" customHeight="1">
      <c r="A275" s="91"/>
      <c r="B275" s="171"/>
      <c r="C275" s="143"/>
      <c r="D275" s="97"/>
      <c r="E275" s="143"/>
      <c r="F275" s="143"/>
      <c r="G275" s="97"/>
      <c r="H275" s="143"/>
      <c r="I275" s="97"/>
      <c r="J275" s="97"/>
      <c r="K275" s="150"/>
      <c r="L275" s="150"/>
      <c r="M275" s="102"/>
      <c r="N275" s="124"/>
      <c r="O275" s="125"/>
      <c r="P275" s="97"/>
      <c r="Q275" s="131"/>
      <c r="R275" s="126"/>
      <c r="S275" s="97"/>
      <c r="T275" s="97"/>
      <c r="V275" s="108"/>
    </row>
    <row r="276" ht="15.75" customHeight="1">
      <c r="A276" s="91"/>
      <c r="B276" s="171"/>
      <c r="C276" s="143"/>
      <c r="D276" s="97"/>
      <c r="E276" s="143"/>
      <c r="F276" s="143"/>
      <c r="G276" s="97"/>
      <c r="H276" s="143"/>
      <c r="I276" s="97"/>
      <c r="J276" s="97"/>
      <c r="K276" s="148"/>
      <c r="L276" s="148"/>
      <c r="M276" s="102"/>
      <c r="N276" s="124"/>
      <c r="O276" s="125"/>
      <c r="P276" s="97"/>
      <c r="Q276" s="131"/>
      <c r="R276" s="126"/>
      <c r="S276" s="97"/>
      <c r="T276" s="97"/>
      <c r="V276" s="108"/>
    </row>
    <row r="277" ht="15.75" customHeight="1">
      <c r="A277" s="91"/>
      <c r="B277" s="171"/>
      <c r="C277" s="108"/>
      <c r="D277" s="97"/>
      <c r="E277" s="143"/>
      <c r="F277" s="143"/>
      <c r="G277" s="97"/>
      <c r="H277" s="143"/>
      <c r="I277" s="97"/>
      <c r="J277" s="97"/>
      <c r="K277" s="150"/>
      <c r="L277" s="150"/>
      <c r="M277" s="102"/>
      <c r="N277" s="124"/>
      <c r="O277" s="125"/>
      <c r="P277" s="97"/>
      <c r="Q277" s="131"/>
      <c r="R277" s="126"/>
      <c r="S277" s="97"/>
      <c r="T277" s="97"/>
      <c r="V277" s="108"/>
    </row>
    <row r="278" ht="15.75" customHeight="1">
      <c r="A278" s="91"/>
      <c r="B278" s="171"/>
      <c r="C278" s="143"/>
      <c r="D278" s="97"/>
      <c r="E278" s="143"/>
      <c r="F278" s="143"/>
      <c r="G278" s="97"/>
      <c r="H278" s="143"/>
      <c r="I278" s="97"/>
      <c r="J278" s="97"/>
      <c r="K278" s="148"/>
      <c r="L278" s="148"/>
      <c r="M278" s="102"/>
      <c r="N278" s="124"/>
      <c r="O278" s="125"/>
      <c r="P278" s="97"/>
      <c r="Q278" s="131"/>
      <c r="R278" s="126"/>
      <c r="S278" s="97"/>
      <c r="T278" s="97"/>
      <c r="V278" s="108"/>
    </row>
    <row r="279" ht="15.75" customHeight="1">
      <c r="A279" s="91"/>
      <c r="B279" s="171"/>
      <c r="C279" s="143"/>
      <c r="D279" s="97"/>
      <c r="E279" s="143"/>
      <c r="F279" s="143"/>
      <c r="G279" s="97"/>
      <c r="H279" s="143"/>
      <c r="I279" s="97"/>
      <c r="J279" s="97"/>
      <c r="K279" s="150"/>
      <c r="L279" s="150"/>
      <c r="M279" s="102"/>
      <c r="N279" s="124"/>
      <c r="O279" s="125"/>
      <c r="P279" s="97"/>
      <c r="Q279" s="131"/>
      <c r="R279" s="126"/>
      <c r="S279" s="97"/>
      <c r="T279" s="97"/>
      <c r="V279" s="108"/>
    </row>
    <row r="280" ht="15.75" customHeight="1">
      <c r="A280" s="91"/>
      <c r="B280" s="171"/>
      <c r="C280" s="143"/>
      <c r="D280" s="97"/>
      <c r="E280" s="143"/>
      <c r="F280" s="143"/>
      <c r="G280" s="97"/>
      <c r="H280" s="143"/>
      <c r="I280" s="97"/>
      <c r="J280" s="97"/>
      <c r="K280" s="148"/>
      <c r="L280" s="148"/>
      <c r="M280" s="102"/>
      <c r="N280" s="124"/>
      <c r="O280" s="125"/>
      <c r="P280" s="97"/>
      <c r="Q280" s="131"/>
      <c r="R280" s="126"/>
      <c r="S280" s="97"/>
      <c r="T280" s="97"/>
      <c r="V280" s="108"/>
    </row>
    <row r="281" ht="15.75" customHeight="1">
      <c r="A281" s="91"/>
      <c r="B281" s="171"/>
      <c r="C281" s="143"/>
      <c r="D281" s="97"/>
      <c r="E281" s="143"/>
      <c r="F281" s="143"/>
      <c r="G281" s="97"/>
      <c r="H281" s="143"/>
      <c r="I281" s="97"/>
      <c r="J281" s="97"/>
      <c r="K281" s="150"/>
      <c r="L281" s="150"/>
      <c r="M281" s="102"/>
      <c r="N281" s="124"/>
      <c r="O281" s="125"/>
      <c r="P281" s="97"/>
      <c r="Q281" s="131"/>
      <c r="R281" s="126"/>
      <c r="S281" s="97"/>
      <c r="T281" s="97"/>
      <c r="V281" s="108"/>
    </row>
    <row r="282" ht="15.75" customHeight="1">
      <c r="A282" s="91"/>
      <c r="B282" s="171"/>
      <c r="C282" s="143"/>
      <c r="D282" s="97"/>
      <c r="E282" s="143"/>
      <c r="F282" s="143"/>
      <c r="G282" s="97"/>
      <c r="H282" s="143"/>
      <c r="I282" s="97"/>
      <c r="J282" s="97"/>
      <c r="K282" s="148"/>
      <c r="L282" s="148"/>
      <c r="M282" s="102"/>
      <c r="N282" s="124"/>
      <c r="O282" s="125"/>
      <c r="P282" s="97"/>
      <c r="Q282" s="131"/>
      <c r="R282" s="126"/>
      <c r="S282" s="97"/>
      <c r="T282" s="97"/>
      <c r="V282" s="108"/>
    </row>
    <row r="283" ht="15.75" customHeight="1">
      <c r="A283" s="91"/>
      <c r="B283" s="171"/>
      <c r="C283" s="108"/>
      <c r="D283" s="97"/>
      <c r="E283" s="143"/>
      <c r="F283" s="143"/>
      <c r="G283" s="97"/>
      <c r="H283" s="143"/>
      <c r="I283" s="97"/>
      <c r="J283" s="97"/>
      <c r="K283" s="150"/>
      <c r="L283" s="150"/>
      <c r="M283" s="102"/>
      <c r="N283" s="124"/>
      <c r="O283" s="125"/>
      <c r="P283" s="97"/>
      <c r="Q283" s="131"/>
      <c r="R283" s="126"/>
      <c r="S283" s="97"/>
      <c r="T283" s="97"/>
      <c r="V283" s="108"/>
    </row>
    <row r="284" ht="15.75" customHeight="1">
      <c r="A284" s="91"/>
      <c r="B284" s="171"/>
      <c r="C284" s="143"/>
      <c r="D284" s="97"/>
      <c r="E284" s="143"/>
      <c r="F284" s="143"/>
      <c r="G284" s="97"/>
      <c r="H284" s="143"/>
      <c r="I284" s="97"/>
      <c r="J284" s="97"/>
      <c r="K284" s="148"/>
      <c r="L284" s="148"/>
      <c r="M284" s="102"/>
      <c r="N284" s="124"/>
      <c r="O284" s="125"/>
      <c r="P284" s="97"/>
      <c r="Q284" s="131"/>
      <c r="R284" s="126"/>
      <c r="S284" s="97"/>
      <c r="T284" s="97"/>
      <c r="V284" s="108"/>
    </row>
    <row r="285" ht="15.75" customHeight="1">
      <c r="A285" s="91"/>
      <c r="B285" s="171"/>
      <c r="C285" s="143"/>
      <c r="D285" s="97"/>
      <c r="E285" s="143"/>
      <c r="F285" s="143"/>
      <c r="G285" s="97"/>
      <c r="H285" s="143"/>
      <c r="I285" s="97"/>
      <c r="J285" s="97"/>
      <c r="K285" s="150"/>
      <c r="L285" s="150"/>
      <c r="M285" s="102"/>
      <c r="N285" s="124"/>
      <c r="O285" s="125"/>
      <c r="P285" s="97"/>
      <c r="Q285" s="131"/>
      <c r="R285" s="126"/>
      <c r="S285" s="97"/>
      <c r="T285" s="97"/>
      <c r="V285" s="108"/>
    </row>
    <row r="286" ht="15.75" customHeight="1">
      <c r="A286" s="91"/>
      <c r="B286" s="171"/>
      <c r="C286" s="143"/>
      <c r="D286" s="97"/>
      <c r="E286" s="143"/>
      <c r="F286" s="143"/>
      <c r="G286" s="97"/>
      <c r="H286" s="143"/>
      <c r="I286" s="97"/>
      <c r="J286" s="97"/>
      <c r="K286" s="148"/>
      <c r="L286" s="148"/>
      <c r="M286" s="102"/>
      <c r="N286" s="124"/>
      <c r="O286" s="125"/>
      <c r="P286" s="97"/>
      <c r="Q286" s="131"/>
      <c r="R286" s="126"/>
      <c r="S286" s="97"/>
      <c r="T286" s="97"/>
      <c r="V286" s="108"/>
    </row>
    <row r="287" ht="15.75" customHeight="1">
      <c r="A287" s="91"/>
      <c r="B287" s="171"/>
      <c r="C287" s="143"/>
      <c r="D287" s="97"/>
      <c r="E287" s="143"/>
      <c r="F287" s="143"/>
      <c r="G287" s="97"/>
      <c r="H287" s="143"/>
      <c r="I287" s="97"/>
      <c r="J287" s="97"/>
      <c r="K287" s="150"/>
      <c r="L287" s="150"/>
      <c r="M287" s="102"/>
      <c r="N287" s="124"/>
      <c r="O287" s="125"/>
      <c r="P287" s="97"/>
      <c r="Q287" s="131"/>
      <c r="R287" s="126"/>
      <c r="S287" s="97"/>
      <c r="T287" s="97"/>
      <c r="V287" s="108"/>
    </row>
    <row r="288" ht="15.75" customHeight="1">
      <c r="A288" s="91"/>
      <c r="B288" s="171"/>
      <c r="C288" s="143"/>
      <c r="D288" s="97"/>
      <c r="E288" s="143"/>
      <c r="F288" s="143"/>
      <c r="G288" s="97"/>
      <c r="H288" s="143"/>
      <c r="I288" s="97"/>
      <c r="J288" s="97"/>
      <c r="K288" s="148"/>
      <c r="L288" s="148"/>
      <c r="M288" s="102"/>
      <c r="N288" s="124"/>
      <c r="O288" s="125"/>
      <c r="P288" s="97"/>
      <c r="Q288" s="131"/>
      <c r="R288" s="126"/>
      <c r="S288" s="97"/>
      <c r="T288" s="97"/>
      <c r="V288" s="108"/>
    </row>
    <row r="289" ht="15.75" customHeight="1">
      <c r="A289" s="91"/>
      <c r="B289" s="171"/>
      <c r="C289" s="108"/>
      <c r="D289" s="97"/>
      <c r="E289" s="143"/>
      <c r="F289" s="143"/>
      <c r="G289" s="97"/>
      <c r="H289" s="143"/>
      <c r="I289" s="97"/>
      <c r="J289" s="97"/>
      <c r="K289" s="150"/>
      <c r="L289" s="150"/>
      <c r="M289" s="102"/>
      <c r="N289" s="124"/>
      <c r="O289" s="125"/>
      <c r="P289" s="97"/>
      <c r="Q289" s="131"/>
      <c r="R289" s="126"/>
      <c r="S289" s="97"/>
      <c r="T289" s="97"/>
      <c r="V289" s="108"/>
    </row>
    <row r="290" ht="15.75" customHeight="1">
      <c r="A290" s="91"/>
      <c r="B290" s="171"/>
      <c r="C290" s="143"/>
      <c r="D290" s="97"/>
      <c r="E290" s="143"/>
      <c r="F290" s="143"/>
      <c r="G290" s="97"/>
      <c r="H290" s="143"/>
      <c r="I290" s="97"/>
      <c r="J290" s="97"/>
      <c r="K290" s="148"/>
      <c r="L290" s="148"/>
      <c r="M290" s="102"/>
      <c r="N290" s="124"/>
      <c r="O290" s="125"/>
      <c r="P290" s="97"/>
      <c r="Q290" s="131"/>
      <c r="R290" s="126"/>
      <c r="S290" s="97"/>
      <c r="T290" s="97"/>
      <c r="V290" s="108"/>
    </row>
    <row r="291" ht="15.75" customHeight="1">
      <c r="A291" s="91"/>
      <c r="B291" s="171"/>
      <c r="C291" s="143"/>
      <c r="D291" s="97"/>
      <c r="E291" s="143"/>
      <c r="F291" s="143"/>
      <c r="G291" s="97"/>
      <c r="H291" s="143"/>
      <c r="I291" s="97"/>
      <c r="J291" s="97"/>
      <c r="K291" s="150"/>
      <c r="L291" s="150"/>
      <c r="M291" s="102"/>
      <c r="N291" s="124"/>
      <c r="O291" s="125"/>
      <c r="P291" s="97"/>
      <c r="Q291" s="131"/>
      <c r="R291" s="126"/>
      <c r="S291" s="97"/>
      <c r="T291" s="97"/>
      <c r="V291" s="108"/>
    </row>
    <row r="292" ht="15.75" customHeight="1">
      <c r="A292" s="91"/>
      <c r="B292" s="171"/>
      <c r="C292" s="143"/>
      <c r="D292" s="97"/>
      <c r="E292" s="143"/>
      <c r="F292" s="143"/>
      <c r="G292" s="97"/>
      <c r="H292" s="143"/>
      <c r="I292" s="97"/>
      <c r="J292" s="97"/>
      <c r="K292" s="148"/>
      <c r="L292" s="148"/>
      <c r="M292" s="102"/>
      <c r="N292" s="124"/>
      <c r="O292" s="125"/>
      <c r="P292" s="97"/>
      <c r="Q292" s="131"/>
      <c r="R292" s="126"/>
      <c r="S292" s="97"/>
      <c r="T292" s="97"/>
      <c r="V292" s="108"/>
    </row>
    <row r="293" ht="15.75" customHeight="1">
      <c r="A293" s="91"/>
      <c r="B293" s="171"/>
      <c r="C293" s="143"/>
      <c r="D293" s="97"/>
      <c r="E293" s="143"/>
      <c r="F293" s="143"/>
      <c r="G293" s="97"/>
      <c r="H293" s="143"/>
      <c r="I293" s="97"/>
      <c r="J293" s="97"/>
      <c r="K293" s="150"/>
      <c r="L293" s="150"/>
      <c r="M293" s="102"/>
      <c r="N293" s="124"/>
      <c r="O293" s="125"/>
      <c r="P293" s="97"/>
      <c r="Q293" s="131"/>
      <c r="R293" s="126"/>
      <c r="S293" s="97"/>
      <c r="T293" s="97"/>
      <c r="V293" s="108"/>
    </row>
    <row r="294" ht="15.75" customHeight="1">
      <c r="A294" s="91"/>
      <c r="B294" s="171"/>
      <c r="C294" s="143"/>
      <c r="D294" s="97"/>
      <c r="E294" s="143"/>
      <c r="F294" s="143"/>
      <c r="G294" s="97"/>
      <c r="H294" s="143"/>
      <c r="I294" s="97"/>
      <c r="J294" s="97"/>
      <c r="K294" s="148"/>
      <c r="L294" s="148"/>
      <c r="M294" s="102"/>
      <c r="N294" s="124"/>
      <c r="O294" s="125"/>
      <c r="P294" s="97"/>
      <c r="Q294" s="131"/>
      <c r="R294" s="126"/>
      <c r="S294" s="97"/>
      <c r="T294" s="97"/>
      <c r="V294" s="108"/>
    </row>
    <row r="295" ht="15.75" customHeight="1">
      <c r="A295" s="91"/>
      <c r="B295" s="171"/>
      <c r="C295" s="108"/>
      <c r="D295" s="97"/>
      <c r="E295" s="143"/>
      <c r="F295" s="143"/>
      <c r="G295" s="97"/>
      <c r="H295" s="143"/>
      <c r="I295" s="97"/>
      <c r="J295" s="97"/>
      <c r="K295" s="150"/>
      <c r="L295" s="150"/>
      <c r="M295" s="102"/>
      <c r="N295" s="124"/>
      <c r="O295" s="125"/>
      <c r="P295" s="97"/>
      <c r="Q295" s="131"/>
      <c r="R295" s="126"/>
      <c r="S295" s="97"/>
      <c r="T295" s="97"/>
      <c r="V295" s="108"/>
    </row>
    <row r="296" ht="15.75" customHeight="1">
      <c r="A296" s="91"/>
      <c r="B296" s="171"/>
      <c r="C296" s="143"/>
      <c r="D296" s="97"/>
      <c r="E296" s="143"/>
      <c r="F296" s="143"/>
      <c r="G296" s="97"/>
      <c r="H296" s="143"/>
      <c r="I296" s="97"/>
      <c r="J296" s="97"/>
      <c r="K296" s="148"/>
      <c r="L296" s="148"/>
      <c r="M296" s="102"/>
      <c r="N296" s="124"/>
      <c r="O296" s="125"/>
      <c r="P296" s="97"/>
      <c r="Q296" s="131"/>
      <c r="R296" s="126"/>
      <c r="S296" s="97"/>
      <c r="T296" s="97"/>
      <c r="V296" s="108"/>
    </row>
    <row r="297" ht="15.75" customHeight="1">
      <c r="A297" s="91"/>
      <c r="B297" s="171"/>
      <c r="C297" s="143"/>
      <c r="D297" s="97"/>
      <c r="E297" s="143"/>
      <c r="F297" s="143"/>
      <c r="G297" s="97"/>
      <c r="H297" s="143"/>
      <c r="I297" s="97"/>
      <c r="J297" s="97"/>
      <c r="K297" s="150"/>
      <c r="L297" s="150"/>
      <c r="M297" s="102"/>
      <c r="N297" s="124"/>
      <c r="O297" s="125"/>
      <c r="P297" s="97"/>
      <c r="Q297" s="131"/>
      <c r="R297" s="126"/>
      <c r="S297" s="97"/>
      <c r="T297" s="97"/>
      <c r="V297" s="108"/>
    </row>
    <row r="298" ht="15.75" customHeight="1">
      <c r="A298" s="91"/>
      <c r="B298" s="171"/>
      <c r="C298" s="143"/>
      <c r="D298" s="97"/>
      <c r="E298" s="143"/>
      <c r="F298" s="143"/>
      <c r="G298" s="97"/>
      <c r="H298" s="143"/>
      <c r="I298" s="97"/>
      <c r="J298" s="97"/>
      <c r="K298" s="148"/>
      <c r="L298" s="148"/>
      <c r="M298" s="102"/>
      <c r="N298" s="124"/>
      <c r="O298" s="125"/>
      <c r="P298" s="97"/>
      <c r="Q298" s="131"/>
      <c r="R298" s="126"/>
      <c r="S298" s="97"/>
      <c r="T298" s="97"/>
      <c r="V298" s="108"/>
    </row>
    <row r="299" ht="15.75" customHeight="1">
      <c r="A299" s="91"/>
      <c r="B299" s="171"/>
      <c r="C299" s="143"/>
      <c r="D299" s="97"/>
      <c r="E299" s="143"/>
      <c r="F299" s="143"/>
      <c r="G299" s="97"/>
      <c r="H299" s="143"/>
      <c r="I299" s="97"/>
      <c r="J299" s="97"/>
      <c r="K299" s="150"/>
      <c r="L299" s="150"/>
      <c r="M299" s="102"/>
      <c r="N299" s="124"/>
      <c r="O299" s="125"/>
      <c r="P299" s="97"/>
      <c r="Q299" s="131"/>
      <c r="R299" s="126"/>
      <c r="S299" s="97"/>
      <c r="T299" s="97"/>
      <c r="V299" s="108"/>
    </row>
    <row r="300" ht="15.75" customHeight="1">
      <c r="A300" s="91"/>
      <c r="B300" s="171"/>
      <c r="C300" s="143"/>
      <c r="D300" s="97"/>
      <c r="E300" s="143"/>
      <c r="F300" s="143"/>
      <c r="G300" s="97"/>
      <c r="H300" s="143"/>
      <c r="I300" s="97"/>
      <c r="J300" s="97"/>
      <c r="K300" s="148"/>
      <c r="L300" s="148"/>
      <c r="M300" s="102"/>
      <c r="N300" s="124"/>
      <c r="O300" s="125"/>
      <c r="P300" s="97"/>
      <c r="Q300" s="131"/>
      <c r="R300" s="126"/>
      <c r="S300" s="97"/>
      <c r="T300" s="97"/>
      <c r="V300" s="108"/>
    </row>
    <row r="301" ht="15.75" customHeight="1">
      <c r="A301" s="91"/>
      <c r="B301" s="171"/>
      <c r="C301" s="108"/>
      <c r="D301" s="97"/>
      <c r="E301" s="143"/>
      <c r="F301" s="143"/>
      <c r="G301" s="97"/>
      <c r="H301" s="143"/>
      <c r="I301" s="97"/>
      <c r="J301" s="97"/>
      <c r="K301" s="150"/>
      <c r="L301" s="150"/>
      <c r="M301" s="102"/>
      <c r="N301" s="124"/>
      <c r="O301" s="125"/>
      <c r="P301" s="97"/>
      <c r="Q301" s="131"/>
      <c r="R301" s="126"/>
      <c r="S301" s="97"/>
      <c r="T301" s="97"/>
      <c r="V301" s="108"/>
    </row>
    <row r="302" ht="15.75" customHeight="1">
      <c r="A302" s="91"/>
      <c r="B302" s="171"/>
      <c r="C302" s="143"/>
      <c r="D302" s="97"/>
      <c r="E302" s="143"/>
      <c r="F302" s="143"/>
      <c r="G302" s="97"/>
      <c r="H302" s="143"/>
      <c r="I302" s="97"/>
      <c r="J302" s="97"/>
      <c r="K302" s="148"/>
      <c r="L302" s="148"/>
      <c r="M302" s="102"/>
      <c r="N302" s="124"/>
      <c r="O302" s="125"/>
      <c r="P302" s="97"/>
      <c r="Q302" s="131"/>
      <c r="R302" s="126"/>
      <c r="S302" s="97"/>
      <c r="T302" s="97"/>
      <c r="V302" s="108"/>
    </row>
    <row r="303" ht="15.75" customHeight="1">
      <c r="A303" s="91"/>
      <c r="B303" s="171"/>
      <c r="C303" s="143"/>
      <c r="D303" s="97"/>
      <c r="E303" s="143"/>
      <c r="F303" s="143"/>
      <c r="G303" s="97"/>
      <c r="H303" s="143"/>
      <c r="I303" s="97"/>
      <c r="J303" s="97"/>
      <c r="K303" s="150"/>
      <c r="L303" s="150"/>
      <c r="M303" s="102"/>
      <c r="N303" s="124"/>
      <c r="O303" s="125"/>
      <c r="P303" s="97"/>
      <c r="Q303" s="131"/>
      <c r="R303" s="126"/>
      <c r="S303" s="97"/>
      <c r="T303" s="97"/>
      <c r="V303" s="108"/>
    </row>
    <row r="304" ht="15.75" customHeight="1">
      <c r="A304" s="91"/>
      <c r="B304" s="171"/>
      <c r="C304" s="143"/>
      <c r="D304" s="97"/>
      <c r="E304" s="143"/>
      <c r="F304" s="143"/>
      <c r="G304" s="97"/>
      <c r="H304" s="143"/>
      <c r="I304" s="97"/>
      <c r="J304" s="97"/>
      <c r="K304" s="148"/>
      <c r="L304" s="148"/>
      <c r="M304" s="102"/>
      <c r="N304" s="124"/>
      <c r="O304" s="125"/>
      <c r="P304" s="97"/>
      <c r="Q304" s="131"/>
      <c r="R304" s="126"/>
      <c r="S304" s="97"/>
      <c r="T304" s="97"/>
      <c r="V304" s="108"/>
    </row>
    <row r="305" ht="15.75" customHeight="1">
      <c r="A305" s="91"/>
      <c r="B305" s="171"/>
      <c r="C305" s="143"/>
      <c r="D305" s="97"/>
      <c r="E305" s="143"/>
      <c r="F305" s="143"/>
      <c r="G305" s="97"/>
      <c r="H305" s="143"/>
      <c r="I305" s="97"/>
      <c r="J305" s="97"/>
      <c r="K305" s="150"/>
      <c r="L305" s="150"/>
      <c r="M305" s="102"/>
      <c r="N305" s="124"/>
      <c r="O305" s="125"/>
      <c r="P305" s="97"/>
      <c r="Q305" s="131"/>
      <c r="R305" s="126"/>
      <c r="S305" s="97"/>
      <c r="T305" s="97"/>
      <c r="V305" s="108"/>
    </row>
    <row r="306" ht="15.75" customHeight="1">
      <c r="A306" s="91"/>
      <c r="B306" s="171"/>
      <c r="C306" s="143"/>
      <c r="D306" s="97"/>
      <c r="E306" s="143"/>
      <c r="F306" s="143"/>
      <c r="G306" s="97"/>
      <c r="H306" s="143"/>
      <c r="I306" s="97"/>
      <c r="J306" s="97"/>
      <c r="K306" s="148"/>
      <c r="L306" s="148"/>
      <c r="M306" s="102"/>
      <c r="N306" s="124"/>
      <c r="O306" s="125"/>
      <c r="P306" s="97"/>
      <c r="Q306" s="131"/>
      <c r="R306" s="126"/>
      <c r="S306" s="97"/>
      <c r="T306" s="97"/>
      <c r="V306" s="108"/>
    </row>
    <row r="307" ht="15.75" customHeight="1">
      <c r="A307" s="91"/>
      <c r="B307" s="171"/>
      <c r="C307" s="108"/>
      <c r="D307" s="97"/>
      <c r="E307" s="143"/>
      <c r="F307" s="143"/>
      <c r="G307" s="97"/>
      <c r="H307" s="143"/>
      <c r="I307" s="97"/>
      <c r="J307" s="97"/>
      <c r="K307" s="150"/>
      <c r="L307" s="150"/>
      <c r="M307" s="102"/>
      <c r="N307" s="124"/>
      <c r="O307" s="125"/>
      <c r="P307" s="97"/>
      <c r="Q307" s="131"/>
      <c r="R307" s="126"/>
      <c r="S307" s="97"/>
      <c r="T307" s="97"/>
      <c r="V307" s="108"/>
    </row>
    <row r="308" ht="15.75" customHeight="1">
      <c r="A308" s="91"/>
      <c r="B308" s="171"/>
      <c r="C308" s="143"/>
      <c r="D308" s="97"/>
      <c r="E308" s="143"/>
      <c r="F308" s="143"/>
      <c r="G308" s="97"/>
      <c r="H308" s="143"/>
      <c r="I308" s="97"/>
      <c r="J308" s="97"/>
      <c r="K308" s="148"/>
      <c r="L308" s="148"/>
      <c r="M308" s="102"/>
      <c r="N308" s="124"/>
      <c r="O308" s="125"/>
      <c r="P308" s="97"/>
      <c r="Q308" s="131"/>
      <c r="R308" s="126"/>
      <c r="S308" s="97"/>
      <c r="T308" s="97"/>
      <c r="V308" s="108"/>
    </row>
    <row r="309" ht="15.75" customHeight="1">
      <c r="A309" s="91"/>
      <c r="B309" s="171"/>
      <c r="C309" s="143"/>
      <c r="D309" s="97"/>
      <c r="E309" s="143"/>
      <c r="F309" s="143"/>
      <c r="G309" s="97"/>
      <c r="H309" s="143"/>
      <c r="I309" s="97"/>
      <c r="J309" s="97"/>
      <c r="K309" s="150"/>
      <c r="L309" s="150"/>
      <c r="M309" s="102"/>
      <c r="N309" s="124"/>
      <c r="O309" s="125"/>
      <c r="P309" s="97"/>
      <c r="Q309" s="131"/>
      <c r="R309" s="126"/>
      <c r="S309" s="97"/>
      <c r="T309" s="97"/>
      <c r="V309" s="108"/>
    </row>
    <row r="310" ht="15.75" customHeight="1">
      <c r="A310" s="91"/>
      <c r="B310" s="171"/>
      <c r="C310" s="143"/>
      <c r="D310" s="97"/>
      <c r="E310" s="143"/>
      <c r="F310" s="143"/>
      <c r="G310" s="97"/>
      <c r="H310" s="143"/>
      <c r="I310" s="97"/>
      <c r="J310" s="97"/>
      <c r="K310" s="148"/>
      <c r="L310" s="148"/>
      <c r="M310" s="102"/>
      <c r="N310" s="124"/>
      <c r="O310" s="125"/>
      <c r="P310" s="97"/>
      <c r="Q310" s="131"/>
      <c r="R310" s="126"/>
      <c r="S310" s="97"/>
      <c r="T310" s="97"/>
      <c r="V310" s="108"/>
    </row>
    <row r="311" ht="15.75" customHeight="1">
      <c r="A311" s="91"/>
      <c r="B311" s="171"/>
      <c r="C311" s="143"/>
      <c r="D311" s="97"/>
      <c r="E311" s="143"/>
      <c r="F311" s="143"/>
      <c r="G311" s="97"/>
      <c r="H311" s="143"/>
      <c r="I311" s="97"/>
      <c r="J311" s="97"/>
      <c r="K311" s="150"/>
      <c r="L311" s="150"/>
      <c r="M311" s="102"/>
      <c r="N311" s="124"/>
      <c r="O311" s="125"/>
      <c r="P311" s="97"/>
      <c r="Q311" s="131"/>
      <c r="R311" s="126"/>
      <c r="S311" s="97"/>
      <c r="T311" s="97"/>
      <c r="V311" s="108"/>
    </row>
    <row r="312" ht="15.75" customHeight="1">
      <c r="A312" s="91"/>
      <c r="B312" s="171"/>
      <c r="C312" s="143"/>
      <c r="D312" s="97"/>
      <c r="E312" s="143"/>
      <c r="F312" s="143"/>
      <c r="G312" s="97"/>
      <c r="H312" s="143"/>
      <c r="I312" s="97"/>
      <c r="J312" s="97"/>
      <c r="K312" s="148"/>
      <c r="L312" s="148"/>
      <c r="M312" s="102"/>
      <c r="N312" s="124"/>
      <c r="O312" s="125"/>
      <c r="P312" s="97"/>
      <c r="Q312" s="131"/>
      <c r="R312" s="126"/>
      <c r="S312" s="97"/>
      <c r="T312" s="97"/>
      <c r="V312" s="108"/>
    </row>
    <row r="313" ht="15.75" customHeight="1">
      <c r="A313" s="91"/>
      <c r="B313" s="171"/>
      <c r="C313" s="108"/>
      <c r="D313" s="97"/>
      <c r="E313" s="143"/>
      <c r="F313" s="143"/>
      <c r="G313" s="97"/>
      <c r="H313" s="143"/>
      <c r="I313" s="97"/>
      <c r="J313" s="97"/>
      <c r="K313" s="150"/>
      <c r="L313" s="150"/>
      <c r="M313" s="102"/>
      <c r="N313" s="124"/>
      <c r="O313" s="125"/>
      <c r="P313" s="97"/>
      <c r="Q313" s="131"/>
      <c r="R313" s="126"/>
      <c r="S313" s="97"/>
      <c r="T313" s="97"/>
      <c r="V313" s="108"/>
    </row>
    <row r="314" ht="15.75" customHeight="1">
      <c r="A314" s="91"/>
      <c r="B314" s="171"/>
      <c r="C314" s="143"/>
      <c r="D314" s="97"/>
      <c r="E314" s="143"/>
      <c r="F314" s="143"/>
      <c r="G314" s="97"/>
      <c r="H314" s="143"/>
      <c r="I314" s="97"/>
      <c r="J314" s="97"/>
      <c r="K314" s="148"/>
      <c r="L314" s="148"/>
      <c r="M314" s="102"/>
      <c r="N314" s="124"/>
      <c r="O314" s="125"/>
      <c r="P314" s="97"/>
      <c r="Q314" s="131"/>
      <c r="R314" s="126"/>
      <c r="S314" s="97"/>
      <c r="T314" s="97"/>
      <c r="V314" s="108"/>
    </row>
    <row r="315" ht="15.75" customHeight="1">
      <c r="A315" s="91"/>
      <c r="B315" s="171"/>
      <c r="C315" s="143"/>
      <c r="D315" s="97"/>
      <c r="E315" s="143"/>
      <c r="F315" s="143"/>
      <c r="G315" s="97"/>
      <c r="H315" s="143"/>
      <c r="I315" s="97"/>
      <c r="J315" s="97"/>
      <c r="K315" s="150"/>
      <c r="L315" s="150"/>
      <c r="M315" s="102"/>
      <c r="N315" s="124"/>
      <c r="O315" s="125"/>
      <c r="P315" s="97"/>
      <c r="Q315" s="131"/>
      <c r="R315" s="126"/>
      <c r="S315" s="97"/>
      <c r="T315" s="97"/>
      <c r="V315" s="108"/>
    </row>
    <row r="316" ht="15.75" customHeight="1">
      <c r="A316" s="91"/>
      <c r="B316" s="171"/>
      <c r="C316" s="143"/>
      <c r="D316" s="97"/>
      <c r="E316" s="143"/>
      <c r="F316" s="143"/>
      <c r="G316" s="97"/>
      <c r="H316" s="143"/>
      <c r="I316" s="97"/>
      <c r="J316" s="97"/>
      <c r="K316" s="148"/>
      <c r="L316" s="148"/>
      <c r="M316" s="102"/>
      <c r="N316" s="124"/>
      <c r="O316" s="125"/>
      <c r="P316" s="97"/>
      <c r="Q316" s="131"/>
      <c r="R316" s="126"/>
      <c r="S316" s="97"/>
      <c r="T316" s="97"/>
      <c r="V316" s="108"/>
    </row>
    <row r="317" ht="15.75" customHeight="1">
      <c r="A317" s="91"/>
      <c r="B317" s="171"/>
      <c r="C317" s="143"/>
      <c r="D317" s="97"/>
      <c r="E317" s="143"/>
      <c r="F317" s="143"/>
      <c r="G317" s="97"/>
      <c r="H317" s="143"/>
      <c r="I317" s="97"/>
      <c r="J317" s="97"/>
      <c r="K317" s="150"/>
      <c r="L317" s="150"/>
      <c r="M317" s="102"/>
      <c r="N317" s="124"/>
      <c r="O317" s="125"/>
      <c r="P317" s="97"/>
      <c r="Q317" s="131"/>
      <c r="R317" s="126"/>
      <c r="S317" s="97"/>
      <c r="T317" s="97"/>
      <c r="V317" s="108"/>
    </row>
    <row r="318" ht="15.75" customHeight="1">
      <c r="A318" s="91"/>
      <c r="B318" s="171"/>
      <c r="C318" s="143"/>
      <c r="D318" s="97"/>
      <c r="E318" s="143"/>
      <c r="F318" s="143"/>
      <c r="G318" s="97"/>
      <c r="H318" s="143"/>
      <c r="I318" s="97"/>
      <c r="J318" s="97"/>
      <c r="K318" s="148"/>
      <c r="L318" s="148"/>
      <c r="M318" s="102"/>
      <c r="N318" s="124"/>
      <c r="O318" s="125"/>
      <c r="P318" s="97"/>
      <c r="Q318" s="131"/>
      <c r="R318" s="126"/>
      <c r="S318" s="97"/>
      <c r="T318" s="97"/>
      <c r="V318" s="108"/>
    </row>
    <row r="319" ht="15.75" customHeight="1">
      <c r="A319" s="91"/>
      <c r="B319" s="171"/>
      <c r="C319" s="108"/>
      <c r="D319" s="97"/>
      <c r="E319" s="143"/>
      <c r="F319" s="143"/>
      <c r="G319" s="97"/>
      <c r="H319" s="143"/>
      <c r="I319" s="97"/>
      <c r="J319" s="97"/>
      <c r="K319" s="150"/>
      <c r="L319" s="150"/>
      <c r="M319" s="102"/>
      <c r="N319" s="124"/>
      <c r="O319" s="125"/>
      <c r="P319" s="97"/>
      <c r="Q319" s="131"/>
      <c r="R319" s="126"/>
      <c r="S319" s="97"/>
      <c r="T319" s="97"/>
      <c r="V319" s="108"/>
    </row>
    <row r="320" ht="15.75" customHeight="1">
      <c r="A320" s="91"/>
      <c r="B320" s="171"/>
      <c r="C320" s="143"/>
      <c r="D320" s="97"/>
      <c r="E320" s="143"/>
      <c r="F320" s="143"/>
      <c r="G320" s="97"/>
      <c r="H320" s="143"/>
      <c r="I320" s="97"/>
      <c r="J320" s="97"/>
      <c r="K320" s="148"/>
      <c r="L320" s="148"/>
      <c r="M320" s="102"/>
      <c r="N320" s="124"/>
      <c r="O320" s="125"/>
      <c r="P320" s="97"/>
      <c r="Q320" s="131"/>
      <c r="R320" s="126"/>
      <c r="S320" s="97"/>
      <c r="T320" s="97"/>
      <c r="V320" s="108"/>
    </row>
    <row r="321" ht="15.75" customHeight="1">
      <c r="A321" s="91"/>
      <c r="B321" s="171"/>
      <c r="C321" s="143"/>
      <c r="D321" s="97"/>
      <c r="E321" s="143"/>
      <c r="F321" s="143"/>
      <c r="G321" s="97"/>
      <c r="H321" s="143"/>
      <c r="I321" s="97"/>
      <c r="J321" s="97"/>
      <c r="K321" s="150"/>
      <c r="L321" s="150"/>
      <c r="M321" s="102"/>
      <c r="N321" s="124"/>
      <c r="O321" s="125"/>
      <c r="P321" s="97"/>
      <c r="Q321" s="131"/>
      <c r="R321" s="126"/>
      <c r="S321" s="97"/>
      <c r="T321" s="97"/>
      <c r="V321" s="108"/>
    </row>
    <row r="322" ht="15.75" customHeight="1">
      <c r="A322" s="91"/>
      <c r="B322" s="171"/>
      <c r="C322" s="143"/>
      <c r="D322" s="97"/>
      <c r="E322" s="143"/>
      <c r="F322" s="143"/>
      <c r="G322" s="97"/>
      <c r="H322" s="143"/>
      <c r="I322" s="97"/>
      <c r="J322" s="97"/>
      <c r="K322" s="148"/>
      <c r="L322" s="148"/>
      <c r="M322" s="102"/>
      <c r="N322" s="124"/>
      <c r="O322" s="125"/>
      <c r="P322" s="97"/>
      <c r="Q322" s="131"/>
      <c r="R322" s="126"/>
      <c r="S322" s="97"/>
      <c r="T322" s="97"/>
      <c r="V322" s="108"/>
    </row>
    <row r="323" ht="15.75" customHeight="1">
      <c r="A323" s="91"/>
      <c r="B323" s="171"/>
      <c r="C323" s="143"/>
      <c r="D323" s="97"/>
      <c r="E323" s="143"/>
      <c r="F323" s="143"/>
      <c r="G323" s="97"/>
      <c r="H323" s="143"/>
      <c r="I323" s="97"/>
      <c r="J323" s="97"/>
      <c r="K323" s="150"/>
      <c r="L323" s="150"/>
      <c r="M323" s="102"/>
      <c r="N323" s="124"/>
      <c r="O323" s="125"/>
      <c r="P323" s="97"/>
      <c r="Q323" s="131"/>
      <c r="R323" s="126"/>
      <c r="S323" s="97"/>
      <c r="T323" s="97"/>
      <c r="V323" s="108"/>
    </row>
    <row r="324" ht="15.75" customHeight="1">
      <c r="A324" s="91"/>
      <c r="B324" s="171"/>
      <c r="C324" s="143"/>
      <c r="D324" s="97"/>
      <c r="E324" s="143"/>
      <c r="F324" s="143"/>
      <c r="G324" s="97"/>
      <c r="H324" s="143"/>
      <c r="I324" s="97"/>
      <c r="J324" s="97"/>
      <c r="K324" s="148"/>
      <c r="L324" s="148"/>
      <c r="M324" s="102"/>
      <c r="N324" s="124"/>
      <c r="O324" s="125"/>
      <c r="P324" s="97"/>
      <c r="Q324" s="131"/>
      <c r="R324" s="126"/>
      <c r="S324" s="97"/>
      <c r="T324" s="97"/>
      <c r="V324" s="108"/>
    </row>
    <row r="325" ht="15.75" customHeight="1">
      <c r="A325" s="91"/>
      <c r="B325" s="171"/>
      <c r="C325" s="108"/>
      <c r="D325" s="97"/>
      <c r="E325" s="143"/>
      <c r="F325" s="143"/>
      <c r="G325" s="97"/>
      <c r="H325" s="143"/>
      <c r="I325" s="97"/>
      <c r="J325" s="97"/>
      <c r="K325" s="150"/>
      <c r="L325" s="150"/>
      <c r="M325" s="102"/>
      <c r="N325" s="124"/>
      <c r="O325" s="125"/>
      <c r="P325" s="97"/>
      <c r="Q325" s="131"/>
      <c r="R325" s="126"/>
      <c r="S325" s="97"/>
      <c r="T325" s="97"/>
      <c r="V325" s="108"/>
    </row>
    <row r="326" ht="15.75" customHeight="1">
      <c r="A326" s="91"/>
      <c r="B326" s="171"/>
      <c r="C326" s="143"/>
      <c r="D326" s="97"/>
      <c r="E326" s="143"/>
      <c r="F326" s="143"/>
      <c r="G326" s="97"/>
      <c r="H326" s="143"/>
      <c r="I326" s="97"/>
      <c r="J326" s="97"/>
      <c r="K326" s="148"/>
      <c r="L326" s="148"/>
      <c r="M326" s="102"/>
      <c r="N326" s="124"/>
      <c r="O326" s="125"/>
      <c r="P326" s="97"/>
      <c r="Q326" s="131"/>
      <c r="R326" s="126"/>
      <c r="S326" s="97"/>
      <c r="T326" s="97"/>
      <c r="V326" s="108"/>
    </row>
    <row r="327" ht="15.75" customHeight="1">
      <c r="A327" s="91"/>
      <c r="B327" s="171"/>
      <c r="C327" s="143"/>
      <c r="D327" s="97"/>
      <c r="E327" s="143"/>
      <c r="F327" s="143"/>
      <c r="G327" s="97"/>
      <c r="H327" s="143"/>
      <c r="I327" s="97"/>
      <c r="J327" s="97"/>
      <c r="K327" s="150"/>
      <c r="L327" s="150"/>
      <c r="M327" s="102"/>
      <c r="N327" s="124"/>
      <c r="O327" s="125"/>
      <c r="P327" s="97"/>
      <c r="Q327" s="131"/>
      <c r="R327" s="126"/>
      <c r="S327" s="97"/>
      <c r="T327" s="97"/>
      <c r="V327" s="108"/>
    </row>
    <row r="328" ht="15.75" customHeight="1">
      <c r="A328" s="91"/>
      <c r="B328" s="171"/>
      <c r="C328" s="143"/>
      <c r="D328" s="97"/>
      <c r="E328" s="143"/>
      <c r="F328" s="143"/>
      <c r="G328" s="97"/>
      <c r="H328" s="143"/>
      <c r="I328" s="97"/>
      <c r="J328" s="97"/>
      <c r="K328" s="152"/>
      <c r="L328" s="152"/>
      <c r="M328" s="102"/>
      <c r="N328" s="124"/>
      <c r="O328" s="125"/>
      <c r="P328" s="97"/>
      <c r="Q328" s="131"/>
      <c r="R328" s="126"/>
      <c r="S328" s="97"/>
      <c r="T328" s="97"/>
      <c r="V328" s="108"/>
    </row>
    <row r="329" ht="15.75" customHeight="1">
      <c r="A329" s="91"/>
      <c r="B329" s="171"/>
      <c r="C329" s="143"/>
      <c r="D329" s="97"/>
      <c r="E329" s="143"/>
      <c r="F329" s="143"/>
      <c r="G329" s="97"/>
      <c r="H329" s="143"/>
      <c r="I329" s="97"/>
      <c r="J329" s="97"/>
      <c r="K329" s="152"/>
      <c r="L329" s="152"/>
      <c r="M329" s="102"/>
      <c r="N329" s="124"/>
      <c r="O329" s="125"/>
      <c r="P329" s="97"/>
      <c r="Q329" s="131"/>
      <c r="R329" s="126"/>
      <c r="S329" s="97"/>
      <c r="T329" s="97"/>
      <c r="V329" s="108"/>
    </row>
    <row r="330" ht="15.75" customHeight="1">
      <c r="A330" s="91"/>
      <c r="B330" s="171"/>
      <c r="C330" s="143"/>
      <c r="D330" s="97"/>
      <c r="E330" s="143"/>
      <c r="F330" s="143"/>
      <c r="G330" s="97"/>
      <c r="H330" s="143"/>
      <c r="I330" s="97"/>
      <c r="J330" s="97"/>
      <c r="K330" s="152"/>
      <c r="L330" s="152"/>
      <c r="M330" s="102"/>
      <c r="N330" s="124"/>
      <c r="O330" s="125"/>
      <c r="P330" s="97"/>
      <c r="Q330" s="131"/>
      <c r="R330" s="126"/>
      <c r="S330" s="97"/>
      <c r="T330" s="97"/>
      <c r="V330" s="108"/>
    </row>
    <row r="331" ht="15.75" customHeight="1">
      <c r="A331" s="91"/>
      <c r="B331" s="171"/>
      <c r="C331" s="108"/>
      <c r="D331" s="97"/>
      <c r="E331" s="143"/>
      <c r="F331" s="143"/>
      <c r="G331" s="97"/>
      <c r="H331" s="143"/>
      <c r="I331" s="97"/>
      <c r="J331" s="97"/>
      <c r="K331" s="152"/>
      <c r="L331" s="152"/>
      <c r="M331" s="102"/>
      <c r="N331" s="124"/>
      <c r="O331" s="125"/>
      <c r="P331" s="97"/>
      <c r="Q331" s="131"/>
      <c r="R331" s="126"/>
      <c r="S331" s="97"/>
      <c r="T331" s="97"/>
      <c r="V331" s="108"/>
    </row>
    <row r="332" ht="15.75" customHeight="1">
      <c r="A332" s="91"/>
      <c r="B332" s="171"/>
      <c r="C332" s="143"/>
      <c r="D332" s="97"/>
      <c r="E332" s="143"/>
      <c r="F332" s="143"/>
      <c r="G332" s="97"/>
      <c r="H332" s="143"/>
      <c r="I332" s="97"/>
      <c r="J332" s="97"/>
      <c r="K332" s="152"/>
      <c r="L332" s="152"/>
      <c r="M332" s="102"/>
      <c r="N332" s="124"/>
      <c r="O332" s="125"/>
      <c r="P332" s="97"/>
      <c r="Q332" s="131"/>
      <c r="R332" s="126"/>
      <c r="S332" s="97"/>
      <c r="T332" s="97"/>
      <c r="V332" s="108"/>
    </row>
    <row r="333" ht="15.75" customHeight="1">
      <c r="A333" s="91"/>
      <c r="B333" s="171"/>
      <c r="C333" s="143"/>
      <c r="D333" s="97"/>
      <c r="E333" s="143"/>
      <c r="F333" s="143"/>
      <c r="G333" s="97"/>
      <c r="H333" s="143"/>
      <c r="I333" s="97"/>
      <c r="J333" s="97"/>
      <c r="K333" s="152"/>
      <c r="L333" s="152"/>
      <c r="M333" s="102"/>
      <c r="N333" s="124"/>
      <c r="O333" s="125"/>
      <c r="P333" s="97"/>
      <c r="Q333" s="131"/>
      <c r="R333" s="126"/>
      <c r="S333" s="97"/>
      <c r="T333" s="97"/>
      <c r="V333" s="108"/>
    </row>
    <row r="334" ht="15.75" customHeight="1">
      <c r="A334" s="91"/>
      <c r="B334" s="171"/>
      <c r="C334" s="143"/>
      <c r="D334" s="97"/>
      <c r="E334" s="143"/>
      <c r="F334" s="143"/>
      <c r="G334" s="97"/>
      <c r="H334" s="143"/>
      <c r="I334" s="97"/>
      <c r="J334" s="97"/>
      <c r="K334" s="152"/>
      <c r="L334" s="152"/>
      <c r="M334" s="102"/>
      <c r="N334" s="124"/>
      <c r="O334" s="125"/>
      <c r="P334" s="97"/>
      <c r="Q334" s="131"/>
      <c r="R334" s="126"/>
      <c r="S334" s="97"/>
      <c r="T334" s="97"/>
      <c r="V334" s="108"/>
    </row>
    <row r="335" ht="15.75" customHeight="1">
      <c r="A335" s="91"/>
      <c r="B335" s="171"/>
      <c r="C335" s="143"/>
      <c r="D335" s="97"/>
      <c r="E335" s="143"/>
      <c r="F335" s="143"/>
      <c r="G335" s="97"/>
      <c r="H335" s="143"/>
      <c r="I335" s="97"/>
      <c r="J335" s="97"/>
      <c r="K335" s="152"/>
      <c r="L335" s="152"/>
      <c r="M335" s="102"/>
      <c r="N335" s="124"/>
      <c r="O335" s="125"/>
      <c r="P335" s="97"/>
      <c r="Q335" s="131"/>
      <c r="R335" s="126"/>
      <c r="S335" s="97"/>
      <c r="T335" s="97"/>
      <c r="V335" s="108"/>
    </row>
    <row r="336" ht="15.75" customHeight="1">
      <c r="A336" s="91"/>
      <c r="B336" s="171"/>
      <c r="C336" s="143"/>
      <c r="D336" s="97"/>
      <c r="E336" s="143"/>
      <c r="F336" s="143"/>
      <c r="G336" s="97"/>
      <c r="H336" s="143"/>
      <c r="I336" s="97"/>
      <c r="J336" s="97"/>
      <c r="K336" s="152"/>
      <c r="L336" s="152"/>
      <c r="M336" s="102"/>
      <c r="N336" s="124"/>
      <c r="O336" s="125"/>
      <c r="P336" s="97"/>
      <c r="Q336" s="131"/>
      <c r="R336" s="126"/>
      <c r="S336" s="97"/>
      <c r="T336" s="97"/>
      <c r="V336" s="108"/>
    </row>
    <row r="337" ht="15.75" customHeight="1">
      <c r="A337" s="91"/>
      <c r="B337" s="171"/>
      <c r="C337" s="108"/>
      <c r="D337" s="97"/>
      <c r="E337" s="143"/>
      <c r="F337" s="143"/>
      <c r="G337" s="97"/>
      <c r="H337" s="143"/>
      <c r="I337" s="97"/>
      <c r="J337" s="97"/>
      <c r="K337" s="152"/>
      <c r="L337" s="152"/>
      <c r="M337" s="102"/>
      <c r="N337" s="124"/>
      <c r="O337" s="125"/>
      <c r="P337" s="97"/>
      <c r="Q337" s="131"/>
      <c r="R337" s="126"/>
      <c r="S337" s="97"/>
      <c r="T337" s="97"/>
      <c r="V337" s="108"/>
    </row>
    <row r="338" ht="15.75" customHeight="1">
      <c r="A338" s="91"/>
      <c r="B338" s="171"/>
      <c r="C338" s="143"/>
      <c r="D338" s="97"/>
      <c r="E338" s="143"/>
      <c r="F338" s="143"/>
      <c r="G338" s="97"/>
      <c r="H338" s="143"/>
      <c r="I338" s="97"/>
      <c r="J338" s="97"/>
      <c r="K338" s="152"/>
      <c r="L338" s="152"/>
      <c r="M338" s="102"/>
      <c r="N338" s="124"/>
      <c r="O338" s="125"/>
      <c r="P338" s="97"/>
      <c r="Q338" s="131"/>
      <c r="R338" s="126"/>
      <c r="S338" s="97"/>
      <c r="T338" s="97"/>
      <c r="V338" s="108"/>
    </row>
    <row r="339" ht="15.75" customHeight="1">
      <c r="A339" s="91"/>
      <c r="B339" s="171"/>
      <c r="C339" s="143"/>
      <c r="D339" s="97"/>
      <c r="E339" s="143"/>
      <c r="F339" s="143"/>
      <c r="G339" s="97"/>
      <c r="H339" s="143"/>
      <c r="I339" s="97"/>
      <c r="J339" s="97"/>
      <c r="K339" s="152"/>
      <c r="L339" s="152"/>
      <c r="M339" s="102"/>
      <c r="N339" s="124"/>
      <c r="O339" s="125"/>
      <c r="P339" s="97"/>
      <c r="Q339" s="131"/>
      <c r="R339" s="126"/>
      <c r="S339" s="97"/>
      <c r="T339" s="97"/>
      <c r="V339" s="108"/>
    </row>
    <row r="340" ht="15.75" customHeight="1">
      <c r="A340" s="91"/>
      <c r="B340" s="171"/>
      <c r="C340" s="143"/>
      <c r="D340" s="97"/>
      <c r="E340" s="143"/>
      <c r="F340" s="143"/>
      <c r="G340" s="97"/>
      <c r="H340" s="143"/>
      <c r="I340" s="97"/>
      <c r="J340" s="97"/>
      <c r="K340" s="152"/>
      <c r="L340" s="152"/>
      <c r="M340" s="102"/>
      <c r="N340" s="124"/>
      <c r="O340" s="125"/>
      <c r="P340" s="97"/>
      <c r="Q340" s="131"/>
      <c r="R340" s="126"/>
      <c r="S340" s="97"/>
      <c r="T340" s="97"/>
      <c r="V340" s="108"/>
    </row>
    <row r="341" ht="15.75" customHeight="1">
      <c r="A341" s="91"/>
      <c r="B341" s="171"/>
      <c r="C341" s="143"/>
      <c r="D341" s="97"/>
      <c r="E341" s="143"/>
      <c r="F341" s="143"/>
      <c r="G341" s="97"/>
      <c r="H341" s="143"/>
      <c r="I341" s="97"/>
      <c r="J341" s="97"/>
      <c r="K341" s="152"/>
      <c r="L341" s="152"/>
      <c r="M341" s="102"/>
      <c r="N341" s="124"/>
      <c r="O341" s="125"/>
      <c r="P341" s="97"/>
      <c r="Q341" s="131"/>
      <c r="R341" s="126"/>
      <c r="S341" s="97"/>
      <c r="T341" s="97"/>
      <c r="V341" s="108"/>
    </row>
    <row r="342" ht="15.75" customHeight="1">
      <c r="A342" s="91"/>
      <c r="B342" s="171"/>
      <c r="C342" s="143"/>
      <c r="D342" s="97"/>
      <c r="E342" s="143"/>
      <c r="F342" s="143"/>
      <c r="G342" s="97"/>
      <c r="H342" s="143"/>
      <c r="I342" s="97"/>
      <c r="J342" s="97"/>
      <c r="K342" s="152"/>
      <c r="L342" s="152"/>
      <c r="M342" s="102"/>
      <c r="N342" s="124"/>
      <c r="O342" s="125"/>
      <c r="P342" s="97"/>
      <c r="Q342" s="131"/>
      <c r="R342" s="126"/>
      <c r="S342" s="97"/>
      <c r="T342" s="97"/>
      <c r="V342" s="108"/>
    </row>
    <row r="343" ht="15.75" customHeight="1">
      <c r="A343" s="91"/>
      <c r="B343" s="171"/>
      <c r="C343" s="108"/>
      <c r="D343" s="97"/>
      <c r="E343" s="143"/>
      <c r="F343" s="143"/>
      <c r="G343" s="97"/>
      <c r="H343" s="143"/>
      <c r="I343" s="97"/>
      <c r="J343" s="97"/>
      <c r="K343" s="152"/>
      <c r="L343" s="152"/>
      <c r="M343" s="102"/>
      <c r="N343" s="124"/>
      <c r="O343" s="125"/>
      <c r="P343" s="97"/>
      <c r="Q343" s="131"/>
      <c r="R343" s="126"/>
      <c r="S343" s="97"/>
      <c r="T343" s="97"/>
      <c r="V343" s="108"/>
    </row>
    <row r="344" ht="15.75" customHeight="1">
      <c r="A344" s="91"/>
      <c r="B344" s="171"/>
      <c r="C344" s="143"/>
      <c r="D344" s="97"/>
      <c r="E344" s="143"/>
      <c r="F344" s="143"/>
      <c r="G344" s="97"/>
      <c r="H344" s="143"/>
      <c r="I344" s="97"/>
      <c r="J344" s="97"/>
      <c r="K344" s="152"/>
      <c r="L344" s="152"/>
      <c r="M344" s="102"/>
      <c r="N344" s="124"/>
      <c r="O344" s="125"/>
      <c r="P344" s="97"/>
      <c r="Q344" s="131"/>
      <c r="R344" s="126"/>
      <c r="S344" s="97"/>
      <c r="T344" s="97"/>
      <c r="V344" s="108"/>
    </row>
    <row r="345" ht="15.75" customHeight="1">
      <c r="A345" s="91"/>
      <c r="B345" s="171"/>
      <c r="C345" s="143"/>
      <c r="D345" s="97"/>
      <c r="E345" s="143"/>
      <c r="F345" s="143"/>
      <c r="G345" s="97"/>
      <c r="H345" s="143"/>
      <c r="I345" s="97"/>
      <c r="J345" s="97"/>
      <c r="K345" s="152"/>
      <c r="L345" s="152"/>
      <c r="M345" s="102"/>
      <c r="N345" s="124"/>
      <c r="O345" s="125"/>
      <c r="P345" s="97"/>
      <c r="Q345" s="131"/>
      <c r="R345" s="126"/>
      <c r="S345" s="97"/>
      <c r="T345" s="97"/>
      <c r="V345" s="108"/>
    </row>
    <row r="346" ht="15.75" customHeight="1">
      <c r="A346" s="91"/>
      <c r="B346" s="171"/>
      <c r="C346" s="143"/>
      <c r="D346" s="97"/>
      <c r="E346" s="143"/>
      <c r="F346" s="143"/>
      <c r="G346" s="97"/>
      <c r="H346" s="143"/>
      <c r="I346" s="97"/>
      <c r="J346" s="97"/>
      <c r="K346" s="152"/>
      <c r="L346" s="152"/>
      <c r="M346" s="102"/>
      <c r="N346" s="124"/>
      <c r="O346" s="125"/>
      <c r="P346" s="97"/>
      <c r="Q346" s="131"/>
      <c r="R346" s="126"/>
      <c r="S346" s="97"/>
      <c r="T346" s="97"/>
      <c r="V346" s="108"/>
    </row>
    <row r="347" ht="15.75" customHeight="1">
      <c r="A347" s="91"/>
      <c r="B347" s="171"/>
      <c r="C347" s="143"/>
      <c r="D347" s="97"/>
      <c r="E347" s="143"/>
      <c r="F347" s="143"/>
      <c r="G347" s="97"/>
      <c r="H347" s="143"/>
      <c r="I347" s="97"/>
      <c r="J347" s="97"/>
      <c r="K347" s="152"/>
      <c r="L347" s="152"/>
      <c r="M347" s="102"/>
      <c r="N347" s="124"/>
      <c r="O347" s="125"/>
      <c r="P347" s="97"/>
      <c r="Q347" s="131"/>
      <c r="R347" s="126"/>
      <c r="S347" s="97"/>
      <c r="T347" s="97"/>
      <c r="V347" s="108"/>
    </row>
    <row r="348" ht="15.75" customHeight="1">
      <c r="A348" s="91"/>
      <c r="B348" s="171"/>
      <c r="C348" s="143"/>
      <c r="D348" s="97"/>
      <c r="E348" s="143"/>
      <c r="F348" s="143"/>
      <c r="G348" s="97"/>
      <c r="H348" s="143"/>
      <c r="I348" s="97"/>
      <c r="J348" s="97"/>
      <c r="K348" s="152"/>
      <c r="L348" s="152"/>
      <c r="M348" s="102"/>
      <c r="N348" s="124"/>
      <c r="O348" s="125"/>
      <c r="P348" s="97"/>
      <c r="Q348" s="131"/>
      <c r="R348" s="126"/>
      <c r="S348" s="97"/>
      <c r="T348" s="97"/>
      <c r="V348" s="108"/>
    </row>
    <row r="349" ht="15.75" customHeight="1">
      <c r="A349" s="91"/>
      <c r="B349" s="171"/>
      <c r="C349" s="108"/>
      <c r="D349" s="97"/>
      <c r="E349" s="143"/>
      <c r="F349" s="143"/>
      <c r="G349" s="97"/>
      <c r="H349" s="143"/>
      <c r="I349" s="97"/>
      <c r="J349" s="97"/>
      <c r="K349" s="152"/>
      <c r="L349" s="152"/>
      <c r="M349" s="102"/>
      <c r="N349" s="124"/>
      <c r="O349" s="125"/>
      <c r="P349" s="97"/>
      <c r="Q349" s="131"/>
      <c r="R349" s="126"/>
      <c r="S349" s="97"/>
      <c r="T349" s="97"/>
      <c r="V349" s="108"/>
    </row>
    <row r="350" ht="15.75" customHeight="1">
      <c r="A350" s="91"/>
      <c r="B350" s="171"/>
      <c r="C350" s="143"/>
      <c r="D350" s="97"/>
      <c r="E350" s="143"/>
      <c r="F350" s="143"/>
      <c r="G350" s="97"/>
      <c r="H350" s="143"/>
      <c r="I350" s="97"/>
      <c r="J350" s="97"/>
      <c r="K350" s="152"/>
      <c r="L350" s="152"/>
      <c r="M350" s="102"/>
      <c r="N350" s="124"/>
      <c r="O350" s="125"/>
      <c r="P350" s="97"/>
      <c r="Q350" s="131"/>
      <c r="R350" s="126"/>
      <c r="S350" s="97"/>
      <c r="T350" s="97"/>
      <c r="V350" s="108"/>
    </row>
    <row r="351" ht="15.75" customHeight="1">
      <c r="A351" s="91"/>
      <c r="B351" s="171"/>
      <c r="C351" s="143"/>
      <c r="D351" s="97"/>
      <c r="E351" s="143"/>
      <c r="F351" s="143"/>
      <c r="G351" s="97"/>
      <c r="H351" s="143"/>
      <c r="I351" s="97"/>
      <c r="J351" s="97"/>
      <c r="K351" s="152"/>
      <c r="L351" s="152"/>
      <c r="M351" s="102"/>
      <c r="N351" s="124"/>
      <c r="O351" s="125"/>
      <c r="P351" s="97"/>
      <c r="Q351" s="131"/>
      <c r="R351" s="126"/>
      <c r="S351" s="97"/>
      <c r="T351" s="97"/>
      <c r="V351" s="108"/>
    </row>
    <row r="352" ht="15.75" customHeight="1">
      <c r="A352" s="91"/>
      <c r="B352" s="171"/>
      <c r="C352" s="143"/>
      <c r="D352" s="97"/>
      <c r="E352" s="143"/>
      <c r="F352" s="143"/>
      <c r="G352" s="97"/>
      <c r="H352" s="143"/>
      <c r="I352" s="97"/>
      <c r="J352" s="97"/>
      <c r="K352" s="152"/>
      <c r="L352" s="152"/>
      <c r="M352" s="102"/>
      <c r="N352" s="124"/>
      <c r="O352" s="125"/>
      <c r="P352" s="97"/>
      <c r="Q352" s="131"/>
      <c r="R352" s="126"/>
      <c r="S352" s="97"/>
      <c r="T352" s="97"/>
      <c r="V352" s="108"/>
    </row>
    <row r="353" ht="15.75" customHeight="1">
      <c r="A353" s="91"/>
      <c r="B353" s="171"/>
      <c r="C353" s="143"/>
      <c r="D353" s="97"/>
      <c r="E353" s="143"/>
      <c r="F353" s="143"/>
      <c r="G353" s="97"/>
      <c r="H353" s="143"/>
      <c r="I353" s="97"/>
      <c r="J353" s="97"/>
      <c r="K353" s="152"/>
      <c r="L353" s="152"/>
      <c r="M353" s="102"/>
      <c r="N353" s="124"/>
      <c r="O353" s="125"/>
      <c r="P353" s="97"/>
      <c r="Q353" s="131"/>
      <c r="R353" s="126"/>
      <c r="S353" s="97"/>
      <c r="T353" s="97"/>
      <c r="V353" s="108"/>
    </row>
    <row r="354" ht="15.75" customHeight="1">
      <c r="A354" s="91"/>
      <c r="B354" s="171"/>
      <c r="C354" s="143"/>
      <c r="D354" s="97"/>
      <c r="E354" s="143"/>
      <c r="F354" s="143"/>
      <c r="G354" s="97"/>
      <c r="H354" s="143"/>
      <c r="I354" s="97"/>
      <c r="J354" s="97"/>
      <c r="K354" s="152"/>
      <c r="L354" s="152"/>
      <c r="M354" s="102"/>
      <c r="N354" s="124"/>
      <c r="O354" s="125"/>
      <c r="P354" s="97"/>
      <c r="Q354" s="131"/>
      <c r="R354" s="126"/>
      <c r="S354" s="97"/>
      <c r="T354" s="97"/>
      <c r="V354" s="108"/>
    </row>
    <row r="355" ht="15.75" customHeight="1">
      <c r="A355" s="91"/>
      <c r="B355" s="171"/>
      <c r="C355" s="108"/>
      <c r="D355" s="97"/>
      <c r="E355" s="143"/>
      <c r="F355" s="143"/>
      <c r="G355" s="97"/>
      <c r="H355" s="143"/>
      <c r="I355" s="97"/>
      <c r="J355" s="97"/>
      <c r="K355" s="152"/>
      <c r="L355" s="152"/>
      <c r="M355" s="102"/>
      <c r="N355" s="124"/>
      <c r="O355" s="125"/>
      <c r="P355" s="97"/>
      <c r="Q355" s="131"/>
      <c r="R355" s="126"/>
      <c r="S355" s="97"/>
      <c r="T355" s="97"/>
      <c r="V355" s="108"/>
    </row>
    <row r="356" ht="15.75" customHeight="1">
      <c r="A356" s="91"/>
      <c r="B356" s="171"/>
      <c r="C356" s="143"/>
      <c r="D356" s="97"/>
      <c r="E356" s="143"/>
      <c r="F356" s="143"/>
      <c r="G356" s="97"/>
      <c r="H356" s="143"/>
      <c r="I356" s="97"/>
      <c r="J356" s="97"/>
      <c r="K356" s="152"/>
      <c r="L356" s="152"/>
      <c r="M356" s="102"/>
      <c r="N356" s="124"/>
      <c r="O356" s="125"/>
      <c r="P356" s="97"/>
      <c r="Q356" s="131"/>
      <c r="R356" s="126"/>
      <c r="S356" s="97"/>
      <c r="T356" s="97"/>
      <c r="V356" s="108"/>
    </row>
    <row r="357" ht="15.75" customHeight="1">
      <c r="A357" s="91"/>
      <c r="B357" s="171"/>
      <c r="C357" s="143"/>
      <c r="D357" s="97"/>
      <c r="E357" s="143"/>
      <c r="F357" s="143"/>
      <c r="G357" s="97"/>
      <c r="H357" s="143"/>
      <c r="I357" s="97"/>
      <c r="J357" s="97"/>
      <c r="K357" s="152"/>
      <c r="L357" s="152"/>
      <c r="M357" s="102"/>
      <c r="N357" s="124"/>
      <c r="O357" s="125"/>
      <c r="P357" s="97"/>
      <c r="Q357" s="131"/>
      <c r="R357" s="126"/>
      <c r="S357" s="97"/>
      <c r="T357" s="97"/>
      <c r="V357" s="108"/>
    </row>
    <row r="358" ht="15.75" customHeight="1">
      <c r="A358" s="91"/>
      <c r="B358" s="171"/>
      <c r="C358" s="143"/>
      <c r="D358" s="97"/>
      <c r="E358" s="143"/>
      <c r="F358" s="143"/>
      <c r="G358" s="97"/>
      <c r="H358" s="143"/>
      <c r="I358" s="97"/>
      <c r="J358" s="97"/>
      <c r="K358" s="152"/>
      <c r="L358" s="152"/>
      <c r="M358" s="102"/>
      <c r="N358" s="124"/>
      <c r="O358" s="125"/>
      <c r="P358" s="97"/>
      <c r="Q358" s="131"/>
      <c r="R358" s="126"/>
      <c r="S358" s="97"/>
      <c r="T358" s="97"/>
      <c r="V358" s="108"/>
    </row>
    <row r="359" ht="15.75" customHeight="1">
      <c r="A359" s="91"/>
      <c r="B359" s="171"/>
      <c r="C359" s="143"/>
      <c r="D359" s="97"/>
      <c r="E359" s="143"/>
      <c r="F359" s="143"/>
      <c r="G359" s="97"/>
      <c r="H359" s="143"/>
      <c r="I359" s="97"/>
      <c r="J359" s="97"/>
      <c r="K359" s="152"/>
      <c r="L359" s="152"/>
      <c r="M359" s="102"/>
      <c r="N359" s="124"/>
      <c r="O359" s="125"/>
      <c r="P359" s="97"/>
      <c r="Q359" s="131"/>
      <c r="R359" s="126"/>
      <c r="S359" s="97"/>
      <c r="T359" s="97"/>
      <c r="V359" s="108"/>
    </row>
    <row r="360" ht="15.75" customHeight="1">
      <c r="A360" s="91"/>
      <c r="B360" s="171"/>
      <c r="C360" s="143"/>
      <c r="D360" s="97"/>
      <c r="E360" s="143"/>
      <c r="F360" s="143"/>
      <c r="G360" s="97"/>
      <c r="H360" s="143"/>
      <c r="I360" s="97"/>
      <c r="J360" s="97"/>
      <c r="K360" s="152"/>
      <c r="L360" s="152"/>
      <c r="M360" s="102"/>
      <c r="N360" s="124"/>
      <c r="O360" s="125"/>
      <c r="P360" s="97"/>
      <c r="Q360" s="131"/>
      <c r="R360" s="126"/>
      <c r="S360" s="97"/>
      <c r="T360" s="97"/>
      <c r="V360" s="108"/>
    </row>
  </sheetData>
  <autoFilter ref="$A$12:$V$109"/>
  <customSheetViews>
    <customSheetView guid="{13FBEE33-5560-4ECB-B707-C73777468090}" filter="1" showAutoFilter="1">
      <autoFilter ref="$R$18"/>
    </customSheetView>
  </customSheetViews>
  <mergeCells count="343">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F13"/>
    <hyperlink r:id="rId3" ref="F14"/>
    <hyperlink r:id="rId4" ref="F15"/>
    <hyperlink r:id="rId5" ref="F17"/>
    <hyperlink r:id="rId6" ref="F18"/>
    <hyperlink r:id="rId7" ref="F21"/>
    <hyperlink r:id="rId8" ref="F22"/>
    <hyperlink r:id="rId9" ref="F23"/>
    <hyperlink r:id="rId10" ref="F24"/>
    <hyperlink r:id="rId11" ref="F25"/>
    <hyperlink r:id="rId12" ref="F26"/>
    <hyperlink r:id="rId13" ref="F27"/>
    <hyperlink r:id="rId14" ref="F28"/>
    <hyperlink r:id="rId15" ref="F29"/>
    <hyperlink r:id="rId16" ref="F30"/>
    <hyperlink r:id="rId17" ref="F31"/>
    <hyperlink r:id="rId18" ref="F36"/>
    <hyperlink r:id="rId19" ref="F41"/>
    <hyperlink r:id="rId20" ref="F44"/>
    <hyperlink r:id="rId21" ref="F45"/>
    <hyperlink r:id="rId22" ref="F46"/>
    <hyperlink r:id="rId23" ref="F47"/>
    <hyperlink r:id="rId24" ref="F48"/>
    <hyperlink r:id="rId25" ref="F50"/>
    <hyperlink r:id="rId26" ref="F51"/>
    <hyperlink r:id="rId27" ref="F52"/>
    <hyperlink r:id="rId28" ref="F53"/>
    <hyperlink r:id="rId29" ref="F54"/>
  </hyperlinks>
  <drawing r:id="rId30"/>
  <legacyDrawing r:id="rId3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4"/>
      <c r="B1" s="89" t="s">
        <v>31</v>
      </c>
      <c r="C1" s="89" t="s">
        <v>77</v>
      </c>
      <c r="D1" s="34"/>
      <c r="E1" s="39" t="s">
        <v>33</v>
      </c>
      <c r="F1" s="40"/>
      <c r="G1" s="34"/>
      <c r="H1" s="39" t="s">
        <v>34</v>
      </c>
      <c r="I1" s="40"/>
      <c r="J1" s="13"/>
      <c r="K1" s="153" t="s">
        <v>35</v>
      </c>
      <c r="L1" s="42"/>
      <c r="M1" s="13"/>
      <c r="N1" s="39" t="s">
        <v>36</v>
      </c>
      <c r="O1" s="43"/>
      <c r="P1" s="34"/>
      <c r="Q1" s="39" t="s">
        <v>37</v>
      </c>
      <c r="R1" s="44"/>
      <c r="S1" s="40"/>
      <c r="T1" s="40"/>
      <c r="U1" s="34" t="s">
        <v>38</v>
      </c>
      <c r="V1" s="34"/>
    </row>
    <row r="2">
      <c r="A2" s="34"/>
      <c r="B2" s="40"/>
      <c r="C2" s="40"/>
      <c r="D2" s="13"/>
      <c r="E2" s="154" t="s">
        <v>26</v>
      </c>
      <c r="F2" s="155">
        <f>IFERROR(COUNTIFS(I13:I287, "Full-Pay"),"")</f>
        <v>3</v>
      </c>
      <c r="G2" s="13"/>
      <c r="H2" s="47" t="s">
        <v>16</v>
      </c>
      <c r="I2" s="48">
        <f>iferror(I10/I8,"")</f>
        <v>0.4137931034</v>
      </c>
      <c r="J2" s="12"/>
      <c r="K2" s="156" t="s">
        <v>39</v>
      </c>
      <c r="L2" s="50">
        <f>iferror(F8/I6,"")</f>
        <v>0.03125</v>
      </c>
      <c r="M2" s="12"/>
      <c r="N2" s="51" t="s">
        <v>40</v>
      </c>
      <c r="O2" s="52">
        <f>IFERROR(COUNTIFS(N13:N286, "think about it"),"")</f>
        <v>2</v>
      </c>
      <c r="P2" s="13"/>
      <c r="Q2" s="53" t="s">
        <v>41</v>
      </c>
      <c r="R2" s="54">
        <f>IFERROR(COUNTIF(H13:H286,Q2),"")</f>
        <v>0</v>
      </c>
      <c r="S2" s="53" t="s">
        <v>42</v>
      </c>
      <c r="T2" s="55">
        <f>IFERROR(COUNTIF(H13:H286,S2),"")</f>
        <v>0</v>
      </c>
      <c r="U2" s="34"/>
      <c r="V2" s="56"/>
    </row>
    <row r="3">
      <c r="A3" s="13"/>
      <c r="B3" s="157" t="s">
        <v>43</v>
      </c>
      <c r="C3" s="58">
        <f>IFERROR(SUM(K13:K283),"")</f>
        <v>111000</v>
      </c>
      <c r="D3" s="59"/>
      <c r="E3" s="154" t="s">
        <v>27</v>
      </c>
      <c r="F3" s="155">
        <f>IFERROR(COUNTIFS(I13:I287, "Split-Pay"),"")</f>
        <v>9</v>
      </c>
      <c r="G3" s="13"/>
      <c r="H3" s="47" t="s">
        <v>17</v>
      </c>
      <c r="I3" s="48">
        <f>IFERROR(I10/I9,"")</f>
        <v>0.4137931034</v>
      </c>
      <c r="J3" s="12"/>
      <c r="K3" s="156" t="s">
        <v>44</v>
      </c>
      <c r="L3" s="50">
        <f>iferror(F9/I6,"")</f>
        <v>0</v>
      </c>
      <c r="M3" s="12"/>
      <c r="N3" s="51" t="s">
        <v>45</v>
      </c>
      <c r="O3" s="60">
        <f>IFERROR(COUNTIFS(N13:N286, "money"),"")</f>
        <v>9</v>
      </c>
      <c r="P3" s="13"/>
      <c r="Q3" s="53" t="s">
        <v>46</v>
      </c>
      <c r="R3" s="54">
        <f>IFERROR(COUNTIF(H13:H286,Q3),"")</f>
        <v>0</v>
      </c>
      <c r="S3" s="53" t="s">
        <v>47</v>
      </c>
      <c r="T3" s="55">
        <f>IFERROR(COUNTIF(H13:H286,S3),"")</f>
        <v>0</v>
      </c>
      <c r="U3" s="34"/>
      <c r="V3" s="56"/>
    </row>
    <row r="4">
      <c r="A4" s="13"/>
      <c r="B4" s="158" t="s">
        <v>48</v>
      </c>
      <c r="C4" s="62">
        <f>IFERROR(SUM(L13:L284),"")</f>
        <v>43875</v>
      </c>
      <c r="D4" s="59"/>
      <c r="E4" s="154" t="s">
        <v>28</v>
      </c>
      <c r="F4" s="155">
        <f>IFERROR(COUNTIFS(I13:I287, "Deposit"),"")</f>
        <v>1</v>
      </c>
      <c r="G4" s="13"/>
      <c r="H4" s="47" t="s">
        <v>18</v>
      </c>
      <c r="I4" s="48">
        <f>IFERROR(I9/I8,"")</f>
        <v>1</v>
      </c>
      <c r="J4" s="12"/>
      <c r="K4" s="156" t="s">
        <v>49</v>
      </c>
      <c r="L4" s="50">
        <f>iferror(F10/I6,"")</f>
        <v>0.0625</v>
      </c>
      <c r="M4" s="12"/>
      <c r="N4" s="51" t="s">
        <v>50</v>
      </c>
      <c r="O4" s="52">
        <f>IFERROR(COUNTIFS(N13:N286, "time"),"")</f>
        <v>1</v>
      </c>
      <c r="P4" s="13"/>
      <c r="Q4" s="53" t="s">
        <v>51</v>
      </c>
      <c r="R4" s="54">
        <f>IFERROR(COUNTIF(H13:H286,Q4),"")</f>
        <v>0</v>
      </c>
      <c r="S4" s="53" t="s">
        <v>52</v>
      </c>
      <c r="T4" s="55">
        <f>IFERROR(COUNTIF(H13:H286,S4),"")</f>
        <v>0</v>
      </c>
      <c r="U4" s="34"/>
      <c r="V4" s="34"/>
    </row>
    <row r="5">
      <c r="A5" s="34"/>
      <c r="B5" s="40"/>
      <c r="C5" s="40"/>
      <c r="D5" s="13"/>
      <c r="E5" s="154" t="s">
        <v>53</v>
      </c>
      <c r="F5" s="155">
        <f>IFERROR(COUNTIFS(I13:I287, "Offer &amp; Didn't Buy"),"")</f>
        <v>16</v>
      </c>
      <c r="G5" s="13"/>
      <c r="H5" s="47" t="s">
        <v>54</v>
      </c>
      <c r="I5" s="48">
        <f>IFERROR(F7/(C6+F7+F8),"")</f>
        <v>0</v>
      </c>
      <c r="J5" s="13"/>
      <c r="K5" s="156" t="s">
        <v>54</v>
      </c>
      <c r="L5" s="50">
        <f>iferror(F7/I6,"")</f>
        <v>0</v>
      </c>
      <c r="M5" s="12"/>
      <c r="N5" s="51" t="s">
        <v>55</v>
      </c>
      <c r="O5" s="52">
        <f>IFERROR(COUNTIFS(N13:N286, "partner"),"")</f>
        <v>0</v>
      </c>
      <c r="P5" s="13"/>
      <c r="Q5" s="53" t="s">
        <v>56</v>
      </c>
      <c r="R5" s="54">
        <f>IFERROR(COUNTIF(H13:H286,Q5),"")</f>
        <v>0</v>
      </c>
      <c r="S5" s="53" t="s">
        <v>57</v>
      </c>
      <c r="T5" s="55">
        <f>IFERROR(COUNTIF(H13:H286,S5),"")</f>
        <v>0</v>
      </c>
      <c r="U5" s="34"/>
      <c r="V5" s="56"/>
    </row>
    <row r="6">
      <c r="A6" s="13"/>
      <c r="B6" s="159" t="s">
        <v>58</v>
      </c>
      <c r="C6" s="64">
        <f>IFERROR(SUM(F2:F6),"")</f>
        <v>29</v>
      </c>
      <c r="D6" s="13"/>
      <c r="E6" s="154" t="s">
        <v>59</v>
      </c>
      <c r="F6" s="155">
        <f>IFERROR(COUNTIFS(I13:I287, "Bad Fit &amp; No Offer"),"")</f>
        <v>0</v>
      </c>
      <c r="G6" s="13"/>
      <c r="H6" s="47" t="s">
        <v>21</v>
      </c>
      <c r="I6" s="65">
        <f>IFERROR(SUM(F2:F10),"")</f>
        <v>32</v>
      </c>
      <c r="J6" s="13"/>
      <c r="K6" s="160" t="s">
        <v>29</v>
      </c>
      <c r="L6" s="50">
        <f>iferror(I7/I6,"")</f>
        <v>0.90625</v>
      </c>
      <c r="M6" s="12"/>
      <c r="N6" s="51" t="s">
        <v>60</v>
      </c>
      <c r="O6" s="52">
        <f>IFERROR(COUNTIFS(N13:N286, "fear"),"")</f>
        <v>2</v>
      </c>
      <c r="P6" s="13"/>
      <c r="Q6" s="53" t="s">
        <v>61</v>
      </c>
      <c r="R6" s="54">
        <f>IFERROR(COUNTIF(H13:H286,Q6),"")</f>
        <v>0</v>
      </c>
      <c r="S6" s="53" t="s">
        <v>62</v>
      </c>
      <c r="T6" s="55">
        <f>IFERROR(COUNTIF(H13:H286,S6),"")</f>
        <v>0</v>
      </c>
      <c r="U6" s="34"/>
      <c r="V6" s="56"/>
    </row>
    <row r="7">
      <c r="A7" s="13"/>
      <c r="B7" s="159" t="s">
        <v>63</v>
      </c>
      <c r="C7" s="67">
        <f>IFERROR(F2+F3,"")</f>
        <v>12</v>
      </c>
      <c r="D7" s="13"/>
      <c r="E7" s="154" t="s">
        <v>64</v>
      </c>
      <c r="F7" s="155">
        <f>IFERROR(COUNTIFS(I13:I287, "Drag Over &amp; Show"),"")</f>
        <v>0</v>
      </c>
      <c r="G7" s="13"/>
      <c r="H7" s="47" t="s">
        <v>22</v>
      </c>
      <c r="I7" s="65">
        <f>IFERROR(SUM(F2:F7),"")</f>
        <v>29</v>
      </c>
      <c r="J7" s="13"/>
      <c r="K7" s="161" t="s">
        <v>30</v>
      </c>
      <c r="L7" s="69">
        <f>IFERROR(I8/I6,"")</f>
        <v>0.90625</v>
      </c>
      <c r="M7" s="12"/>
      <c r="N7" s="70" t="s">
        <v>65</v>
      </c>
      <c r="O7" s="71">
        <f>IFERROR(COUNTIFS(N14:N287, "value"),"")</f>
        <v>3</v>
      </c>
      <c r="P7" s="13"/>
      <c r="Q7" s="53" t="s">
        <v>66</v>
      </c>
      <c r="R7" s="54">
        <f>IFERROR(COUNTIF(H13:H286,Q7),"")</f>
        <v>0</v>
      </c>
      <c r="S7" s="53" t="s">
        <v>67</v>
      </c>
      <c r="T7" s="55">
        <f>IFERROR(COUNTIF(H13:H286,S7),"")</f>
        <v>0</v>
      </c>
      <c r="U7" s="34"/>
      <c r="V7" s="34"/>
    </row>
    <row r="8">
      <c r="A8" s="13"/>
      <c r="B8" s="159" t="s">
        <v>68</v>
      </c>
      <c r="C8" s="72">
        <f>COUNTIF(I13:I286,"offer &amp; didn't buy")+countif(I13:I286,"deposit")+countif(I13:I286,"bad fit &amp; no offer")</f>
        <v>17</v>
      </c>
      <c r="D8" s="73"/>
      <c r="E8" s="154" t="s">
        <v>69</v>
      </c>
      <c r="F8" s="155">
        <f>IFERROR(COUNTIFS(I13:I287, "Rescheduled"),"")</f>
        <v>1</v>
      </c>
      <c r="G8" s="13"/>
      <c r="H8" s="47" t="s">
        <v>23</v>
      </c>
      <c r="I8" s="65">
        <f>IFERROR(SUM(F2:F6),"")</f>
        <v>29</v>
      </c>
      <c r="J8" s="34"/>
      <c r="K8" s="34"/>
      <c r="L8" s="34"/>
      <c r="M8" s="34"/>
      <c r="N8" s="34"/>
      <c r="O8" s="75"/>
      <c r="P8" s="13"/>
      <c r="Q8" s="76" t="s">
        <v>70</v>
      </c>
      <c r="R8" s="77">
        <f>IFERROR(COUNTIF(H13:H286,Q8),"")</f>
        <v>0</v>
      </c>
      <c r="S8" s="76" t="s">
        <v>71</v>
      </c>
      <c r="T8" s="78">
        <f>IFERROR(COUNTIF(H13:H286,S8),"")</f>
        <v>0</v>
      </c>
      <c r="U8" s="34"/>
      <c r="V8" s="34"/>
    </row>
    <row r="9">
      <c r="A9" s="13"/>
      <c r="B9" s="159" t="s">
        <v>72</v>
      </c>
      <c r="C9" s="79">
        <f>iferror(SUM(C7/C6),"")</f>
        <v>0.4137931034</v>
      </c>
      <c r="D9" s="12"/>
      <c r="E9" s="154" t="s">
        <v>73</v>
      </c>
      <c r="F9" s="155">
        <f>IFERROR(COUNTIFS(I13:I287, "Cancelled"),"")</f>
        <v>0</v>
      </c>
      <c r="G9" s="13"/>
      <c r="H9" s="47" t="s">
        <v>24</v>
      </c>
      <c r="I9" s="65">
        <f>IFERROR(sum(F2:F5),"")</f>
        <v>29</v>
      </c>
      <c r="J9" s="34"/>
      <c r="K9" s="34"/>
      <c r="L9" s="34"/>
      <c r="M9" s="34"/>
      <c r="N9" s="34"/>
      <c r="O9" s="75"/>
      <c r="P9" s="34"/>
      <c r="Q9" s="34"/>
      <c r="R9" s="34"/>
      <c r="S9" s="34"/>
      <c r="T9" s="34"/>
      <c r="V9" s="34"/>
    </row>
    <row r="10">
      <c r="A10" s="34"/>
      <c r="B10" s="220" t="s">
        <v>383</v>
      </c>
      <c r="C10" s="194">
        <f>C3/C6</f>
        <v>3827.586207</v>
      </c>
      <c r="D10" s="13"/>
      <c r="E10" s="162" t="s">
        <v>74</v>
      </c>
      <c r="F10" s="163">
        <f>IFERROR(COUNTIFS(I13:I287, "No-Show"),"")</f>
        <v>2</v>
      </c>
      <c r="G10" s="13"/>
      <c r="H10" s="82" t="s">
        <v>75</v>
      </c>
      <c r="I10" s="83">
        <f>F2+F3</f>
        <v>12</v>
      </c>
      <c r="J10" s="34"/>
      <c r="K10" s="34"/>
      <c r="L10" s="34"/>
      <c r="M10" s="34"/>
      <c r="N10" s="34"/>
      <c r="O10" s="75"/>
      <c r="P10" s="34"/>
      <c r="Q10" s="34"/>
      <c r="R10" s="34"/>
      <c r="S10" s="34"/>
      <c r="T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89" t="s">
        <v>78</v>
      </c>
      <c r="F12" s="36" t="s">
        <v>79</v>
      </c>
      <c r="G12" s="34"/>
      <c r="H12" s="89" t="s">
        <v>37</v>
      </c>
      <c r="I12" s="89" t="s">
        <v>33</v>
      </c>
      <c r="J12" s="34"/>
      <c r="K12" s="89" t="s">
        <v>80</v>
      </c>
      <c r="L12" s="89" t="s">
        <v>48</v>
      </c>
      <c r="M12" s="34"/>
      <c r="N12" s="89" t="s">
        <v>81</v>
      </c>
      <c r="O12" s="90" t="s">
        <v>82</v>
      </c>
      <c r="P12" s="34"/>
      <c r="Q12" s="89" t="s">
        <v>83</v>
      </c>
      <c r="R12" s="89" t="s">
        <v>84</v>
      </c>
      <c r="S12" s="89" t="s">
        <v>85</v>
      </c>
      <c r="T12" s="89" t="s">
        <v>86</v>
      </c>
      <c r="V12" s="56"/>
    </row>
    <row r="13" ht="15.75" customHeight="1">
      <c r="A13" s="91"/>
      <c r="B13" s="166">
        <v>45870.0</v>
      </c>
      <c r="C13" s="221" t="s">
        <v>384</v>
      </c>
      <c r="D13" s="94"/>
      <c r="E13" s="127" t="s">
        <v>385</v>
      </c>
      <c r="F13" s="216" t="s">
        <v>386</v>
      </c>
      <c r="G13" s="97"/>
      <c r="H13" s="98" t="s">
        <v>90</v>
      </c>
      <c r="I13" s="99" t="s">
        <v>91</v>
      </c>
      <c r="J13" s="97"/>
      <c r="K13" s="101"/>
      <c r="L13" s="101"/>
      <c r="M13" s="102"/>
      <c r="N13" s="103" t="s">
        <v>60</v>
      </c>
      <c r="O13" s="104" t="s">
        <v>387</v>
      </c>
      <c r="P13" s="97"/>
      <c r="Q13" s="105"/>
      <c r="R13" s="107"/>
      <c r="S13" s="105" t="s">
        <v>93</v>
      </c>
      <c r="T13" s="222"/>
      <c r="U13" s="107"/>
      <c r="V13" s="108"/>
    </row>
    <row r="14" ht="15.75" customHeight="1">
      <c r="A14" s="91"/>
      <c r="B14" s="223">
        <v>45880.0</v>
      </c>
      <c r="C14" s="224" t="s">
        <v>388</v>
      </c>
      <c r="D14" s="94"/>
      <c r="E14" s="127" t="s">
        <v>389</v>
      </c>
      <c r="F14" s="211" t="s">
        <v>390</v>
      </c>
      <c r="G14" s="97"/>
      <c r="H14" s="98" t="s">
        <v>90</v>
      </c>
      <c r="I14" s="99" t="s">
        <v>107</v>
      </c>
      <c r="J14" s="97"/>
      <c r="K14" s="101">
        <v>13500.0</v>
      </c>
      <c r="L14" s="101">
        <v>3375.0</v>
      </c>
      <c r="M14" s="102"/>
      <c r="N14" s="103"/>
      <c r="O14" s="104"/>
      <c r="P14" s="97"/>
      <c r="Q14" s="105" t="s">
        <v>391</v>
      </c>
      <c r="R14" s="116"/>
      <c r="S14" s="105" t="s">
        <v>110</v>
      </c>
      <c r="T14" s="222"/>
      <c r="U14" s="107"/>
      <c r="V14" s="108"/>
    </row>
    <row r="15" ht="15.75" customHeight="1">
      <c r="A15" s="97"/>
      <c r="B15" s="223">
        <v>45880.0</v>
      </c>
      <c r="C15" s="225" t="s">
        <v>392</v>
      </c>
      <c r="D15" s="97"/>
      <c r="E15" s="127" t="s">
        <v>393</v>
      </c>
      <c r="F15" s="216" t="s">
        <v>394</v>
      </c>
      <c r="G15" s="97"/>
      <c r="H15" s="98" t="s">
        <v>90</v>
      </c>
      <c r="I15" s="99" t="s">
        <v>91</v>
      </c>
      <c r="J15" s="97"/>
      <c r="K15" s="101"/>
      <c r="L15" s="101">
        <v>500.0</v>
      </c>
      <c r="M15" s="102"/>
      <c r="N15" s="103" t="s">
        <v>45</v>
      </c>
      <c r="O15" s="104" t="s">
        <v>395</v>
      </c>
      <c r="P15" s="97"/>
      <c r="Q15" s="105"/>
      <c r="R15" s="116"/>
      <c r="S15" s="105" t="s">
        <v>93</v>
      </c>
      <c r="T15" s="111" t="s">
        <v>396</v>
      </c>
      <c r="U15" s="105"/>
      <c r="V15" s="108"/>
    </row>
    <row r="16" ht="15.75" customHeight="1">
      <c r="A16" s="97"/>
      <c r="B16" s="223">
        <v>45880.0</v>
      </c>
      <c r="C16" s="225" t="s">
        <v>397</v>
      </c>
      <c r="D16" s="105"/>
      <c r="E16" s="127" t="s">
        <v>398</v>
      </c>
      <c r="F16" s="216" t="s">
        <v>399</v>
      </c>
      <c r="G16" s="97"/>
      <c r="H16" s="98" t="s">
        <v>90</v>
      </c>
      <c r="I16" s="99" t="s">
        <v>125</v>
      </c>
      <c r="J16" s="97"/>
      <c r="K16" s="114"/>
      <c r="L16" s="114"/>
      <c r="M16" s="102"/>
      <c r="N16" s="103"/>
      <c r="O16" s="104"/>
      <c r="P16" s="97"/>
      <c r="Q16" s="115"/>
      <c r="R16" s="116"/>
      <c r="S16" s="105" t="s">
        <v>93</v>
      </c>
      <c r="T16" s="117"/>
      <c r="U16" s="105"/>
      <c r="V16" s="108"/>
    </row>
    <row r="17" ht="15.75" customHeight="1">
      <c r="A17" s="97"/>
      <c r="B17" s="223">
        <v>45880.0</v>
      </c>
      <c r="C17" s="226" t="s">
        <v>400</v>
      </c>
      <c r="D17" s="97"/>
      <c r="E17" s="127" t="s">
        <v>401</v>
      </c>
      <c r="F17" s="211" t="s">
        <v>402</v>
      </c>
      <c r="G17" s="97"/>
      <c r="H17" s="98" t="s">
        <v>90</v>
      </c>
      <c r="I17" s="99" t="s">
        <v>178</v>
      </c>
      <c r="J17" s="97"/>
      <c r="K17" s="101">
        <v>9000.0</v>
      </c>
      <c r="L17" s="101">
        <v>3000.0</v>
      </c>
      <c r="M17" s="102"/>
      <c r="N17" s="103"/>
      <c r="O17" s="104"/>
      <c r="P17" s="97"/>
      <c r="Q17" s="105" t="s">
        <v>179</v>
      </c>
      <c r="R17" s="116"/>
      <c r="S17" s="105" t="s">
        <v>110</v>
      </c>
      <c r="T17" s="105"/>
      <c r="V17" s="108"/>
    </row>
    <row r="18" ht="15.75" customHeight="1">
      <c r="A18" s="97"/>
      <c r="B18" s="223">
        <v>45880.0</v>
      </c>
      <c r="C18" s="227" t="s">
        <v>403</v>
      </c>
      <c r="D18" s="97"/>
      <c r="E18" s="127" t="s">
        <v>404</v>
      </c>
      <c r="F18" s="211" t="s">
        <v>405</v>
      </c>
      <c r="G18" s="97"/>
      <c r="H18" s="98" t="s">
        <v>90</v>
      </c>
      <c r="I18" s="99" t="s">
        <v>98</v>
      </c>
      <c r="J18" s="97"/>
      <c r="K18" s="114"/>
      <c r="L18" s="114"/>
      <c r="M18" s="102"/>
      <c r="N18" s="124"/>
      <c r="O18" s="104"/>
      <c r="P18" s="97"/>
      <c r="Q18" s="97"/>
      <c r="R18" s="126"/>
      <c r="S18" s="105" t="s">
        <v>93</v>
      </c>
      <c r="T18" s="119"/>
      <c r="U18" s="97"/>
      <c r="V18" s="108"/>
    </row>
    <row r="19" ht="15.75" customHeight="1">
      <c r="A19" s="97"/>
      <c r="B19" s="166">
        <v>45881.0</v>
      </c>
      <c r="C19" s="179" t="s">
        <v>406</v>
      </c>
      <c r="D19" s="97"/>
      <c r="E19" s="127" t="s">
        <v>407</v>
      </c>
      <c r="F19" s="216" t="s">
        <v>408</v>
      </c>
      <c r="G19" s="97"/>
      <c r="H19" s="98" t="s">
        <v>90</v>
      </c>
      <c r="I19" s="99" t="s">
        <v>91</v>
      </c>
      <c r="J19" s="97"/>
      <c r="K19" s="101"/>
      <c r="L19" s="101"/>
      <c r="M19" s="102"/>
      <c r="N19" s="103" t="s">
        <v>45</v>
      </c>
      <c r="O19" s="104" t="s">
        <v>409</v>
      </c>
      <c r="P19" s="97"/>
      <c r="Q19" s="105"/>
      <c r="R19" s="126"/>
      <c r="S19" s="105" t="s">
        <v>93</v>
      </c>
      <c r="T19" s="119" t="s">
        <v>410</v>
      </c>
      <c r="U19" s="97"/>
      <c r="V19" s="108"/>
    </row>
    <row r="20" ht="15.75" customHeight="1">
      <c r="A20" s="97"/>
      <c r="B20" s="228">
        <v>45882.0</v>
      </c>
      <c r="C20" s="229" t="s">
        <v>411</v>
      </c>
      <c r="D20" s="97"/>
      <c r="E20" s="127" t="s">
        <v>412</v>
      </c>
      <c r="F20" s="211" t="s">
        <v>413</v>
      </c>
      <c r="G20" s="97"/>
      <c r="H20" s="98" t="s">
        <v>90</v>
      </c>
      <c r="I20" s="99" t="s">
        <v>178</v>
      </c>
      <c r="J20" s="97"/>
      <c r="K20" s="101">
        <v>9000.0</v>
      </c>
      <c r="L20" s="101">
        <v>9000.0</v>
      </c>
      <c r="M20" s="102"/>
      <c r="N20" s="124"/>
      <c r="O20" s="104"/>
      <c r="P20" s="97"/>
      <c r="Q20" s="105" t="s">
        <v>179</v>
      </c>
      <c r="R20" s="126"/>
      <c r="S20" s="105" t="s">
        <v>110</v>
      </c>
      <c r="T20" s="119"/>
      <c r="U20" s="97"/>
      <c r="V20" s="108"/>
    </row>
    <row r="21" ht="15.75" customHeight="1">
      <c r="A21" s="91"/>
      <c r="B21" s="166">
        <v>45883.0</v>
      </c>
      <c r="C21" s="174" t="s">
        <v>414</v>
      </c>
      <c r="D21" s="97"/>
      <c r="E21" s="127" t="s">
        <v>415</v>
      </c>
      <c r="F21" s="216" t="s">
        <v>416</v>
      </c>
      <c r="G21" s="97"/>
      <c r="H21" s="98" t="s">
        <v>90</v>
      </c>
      <c r="I21" s="99" t="s">
        <v>91</v>
      </c>
      <c r="J21" s="97"/>
      <c r="K21" s="101"/>
      <c r="L21" s="101"/>
      <c r="M21" s="102"/>
      <c r="N21" s="124"/>
      <c r="O21" s="104"/>
      <c r="P21" s="97"/>
      <c r="Q21" s="115"/>
      <c r="R21" s="165"/>
      <c r="S21" s="105" t="s">
        <v>93</v>
      </c>
      <c r="T21" s="105"/>
      <c r="V21" s="108"/>
    </row>
    <row r="22" ht="15.75" customHeight="1">
      <c r="A22" s="91"/>
      <c r="B22" s="166">
        <v>45883.0</v>
      </c>
      <c r="C22" s="230" t="s">
        <v>417</v>
      </c>
      <c r="D22" s="97"/>
      <c r="E22" s="167">
        <v>2.2302167E7</v>
      </c>
      <c r="F22" s="127"/>
      <c r="G22" s="97"/>
      <c r="H22" s="98" t="s">
        <v>97</v>
      </c>
      <c r="I22" s="99" t="s">
        <v>107</v>
      </c>
      <c r="J22" s="97"/>
      <c r="K22" s="101">
        <v>9000.0</v>
      </c>
      <c r="L22" s="101">
        <v>3000.0</v>
      </c>
      <c r="M22" s="102"/>
      <c r="N22" s="124"/>
      <c r="O22" s="104"/>
      <c r="P22" s="97"/>
      <c r="Q22" s="105" t="s">
        <v>179</v>
      </c>
      <c r="R22" s="126"/>
      <c r="S22" s="105" t="s">
        <v>110</v>
      </c>
      <c r="T22" s="105"/>
      <c r="V22" s="108"/>
    </row>
    <row r="23" ht="15.75" customHeight="1">
      <c r="A23" s="91"/>
      <c r="B23" s="166">
        <v>45885.0</v>
      </c>
      <c r="C23" s="231" t="s">
        <v>418</v>
      </c>
      <c r="D23" s="97"/>
      <c r="E23" s="127" t="s">
        <v>419</v>
      </c>
      <c r="F23" s="216" t="s">
        <v>420</v>
      </c>
      <c r="G23" s="97"/>
      <c r="H23" s="98" t="s">
        <v>90</v>
      </c>
      <c r="I23" s="105" t="s">
        <v>107</v>
      </c>
      <c r="J23" s="97"/>
      <c r="K23" s="101">
        <v>9000.0</v>
      </c>
      <c r="L23" s="101">
        <v>3000.0</v>
      </c>
      <c r="M23" s="102"/>
      <c r="N23" s="103"/>
      <c r="O23" s="104"/>
      <c r="P23" s="97"/>
      <c r="Q23" s="105" t="s">
        <v>179</v>
      </c>
      <c r="R23" s="107"/>
      <c r="S23" s="105" t="s">
        <v>110</v>
      </c>
      <c r="T23" s="105"/>
      <c r="V23" s="108"/>
    </row>
    <row r="24" ht="15.75" customHeight="1">
      <c r="A24" s="91"/>
      <c r="B24" s="166">
        <v>45886.0</v>
      </c>
      <c r="C24" s="232" t="s">
        <v>421</v>
      </c>
      <c r="D24" s="97"/>
      <c r="E24" s="127" t="s">
        <v>422</v>
      </c>
      <c r="F24" s="216" t="s">
        <v>423</v>
      </c>
      <c r="G24" s="97"/>
      <c r="H24" s="98" t="s">
        <v>90</v>
      </c>
      <c r="I24" s="105" t="s">
        <v>107</v>
      </c>
      <c r="J24" s="97"/>
      <c r="K24" s="101">
        <v>9000.0</v>
      </c>
      <c r="L24" s="101">
        <v>3000.0</v>
      </c>
      <c r="M24" s="102"/>
      <c r="N24" s="124"/>
      <c r="O24" s="125"/>
      <c r="P24" s="97"/>
      <c r="Q24" s="105" t="s">
        <v>179</v>
      </c>
      <c r="R24" s="126"/>
      <c r="S24" s="105" t="s">
        <v>110</v>
      </c>
      <c r="T24" s="97"/>
      <c r="V24" s="108"/>
    </row>
    <row r="25" ht="15.75" customHeight="1">
      <c r="A25" s="91"/>
      <c r="B25" s="166">
        <v>45887.0</v>
      </c>
      <c r="C25" s="185" t="s">
        <v>424</v>
      </c>
      <c r="D25" s="97"/>
      <c r="E25" s="127" t="s">
        <v>425</v>
      </c>
      <c r="F25" s="216" t="s">
        <v>426</v>
      </c>
      <c r="G25" s="97"/>
      <c r="H25" s="98" t="s">
        <v>90</v>
      </c>
      <c r="I25" s="105" t="s">
        <v>91</v>
      </c>
      <c r="J25" s="97"/>
      <c r="K25" s="101"/>
      <c r="L25" s="101"/>
      <c r="M25" s="102"/>
      <c r="N25" s="103" t="s">
        <v>45</v>
      </c>
      <c r="O25" s="104" t="s">
        <v>427</v>
      </c>
      <c r="P25" s="97"/>
      <c r="Q25" s="115"/>
      <c r="R25" s="107"/>
      <c r="S25" s="105" t="s">
        <v>93</v>
      </c>
      <c r="T25" s="105" t="s">
        <v>428</v>
      </c>
      <c r="V25" s="108"/>
    </row>
    <row r="26" ht="15.75" customHeight="1">
      <c r="A26" s="91"/>
      <c r="B26" s="166">
        <v>45887.0</v>
      </c>
      <c r="C26" s="185" t="s">
        <v>429</v>
      </c>
      <c r="D26" s="97"/>
      <c r="E26" s="127" t="s">
        <v>430</v>
      </c>
      <c r="F26" s="216" t="s">
        <v>431</v>
      </c>
      <c r="G26" s="97"/>
      <c r="H26" s="98" t="s">
        <v>90</v>
      </c>
      <c r="I26" s="105" t="s">
        <v>125</v>
      </c>
      <c r="J26" s="97"/>
      <c r="K26" s="114"/>
      <c r="L26" s="114"/>
      <c r="M26" s="102"/>
      <c r="N26" s="103"/>
      <c r="O26" s="104"/>
      <c r="P26" s="97"/>
      <c r="Q26" s="115"/>
      <c r="R26" s="107"/>
      <c r="S26" s="105" t="s">
        <v>99</v>
      </c>
      <c r="T26" s="105"/>
      <c r="V26" s="108"/>
    </row>
    <row r="27" ht="15.75" customHeight="1">
      <c r="A27" s="91"/>
      <c r="B27" s="166">
        <v>45888.0</v>
      </c>
      <c r="C27" s="185" t="s">
        <v>432</v>
      </c>
      <c r="D27" s="97"/>
      <c r="E27" s="127" t="s">
        <v>433</v>
      </c>
      <c r="F27" s="211" t="s">
        <v>434</v>
      </c>
      <c r="G27" s="97"/>
      <c r="H27" s="98" t="s">
        <v>90</v>
      </c>
      <c r="I27" s="105" t="s">
        <v>91</v>
      </c>
      <c r="J27" s="97"/>
      <c r="K27" s="101"/>
      <c r="L27" s="101"/>
      <c r="M27" s="102"/>
      <c r="N27" s="103" t="s">
        <v>143</v>
      </c>
      <c r="O27" s="125"/>
      <c r="P27" s="97"/>
      <c r="Q27" s="97"/>
      <c r="R27" s="126"/>
      <c r="S27" s="105" t="s">
        <v>93</v>
      </c>
      <c r="T27" s="105" t="s">
        <v>435</v>
      </c>
      <c r="V27" s="108"/>
    </row>
    <row r="28" ht="15.75" customHeight="1">
      <c r="A28" s="91"/>
      <c r="B28" s="166">
        <v>45888.0</v>
      </c>
      <c r="C28" s="183" t="s">
        <v>436</v>
      </c>
      <c r="D28" s="97"/>
      <c r="E28" s="127" t="s">
        <v>437</v>
      </c>
      <c r="F28" s="211" t="s">
        <v>438</v>
      </c>
      <c r="G28" s="97"/>
      <c r="H28" s="98" t="s">
        <v>90</v>
      </c>
      <c r="I28" s="105" t="s">
        <v>91</v>
      </c>
      <c r="J28" s="97"/>
      <c r="K28" s="114"/>
      <c r="L28" s="114"/>
      <c r="M28" s="102"/>
      <c r="N28" s="103" t="s">
        <v>50</v>
      </c>
      <c r="O28" s="104" t="s">
        <v>439</v>
      </c>
      <c r="P28" s="97"/>
      <c r="Q28" s="115"/>
      <c r="R28" s="116"/>
      <c r="S28" s="105" t="s">
        <v>93</v>
      </c>
      <c r="T28" s="105" t="s">
        <v>440</v>
      </c>
      <c r="V28" s="108"/>
    </row>
    <row r="29" ht="15.75" customHeight="1">
      <c r="A29" s="91"/>
      <c r="B29" s="166">
        <v>45889.0</v>
      </c>
      <c r="C29" s="186" t="s">
        <v>441</v>
      </c>
      <c r="D29" s="97"/>
      <c r="E29" s="127" t="s">
        <v>442</v>
      </c>
      <c r="F29" s="216" t="s">
        <v>443</v>
      </c>
      <c r="G29" s="97"/>
      <c r="H29" s="98" t="s">
        <v>90</v>
      </c>
      <c r="I29" s="105" t="s">
        <v>91</v>
      </c>
      <c r="J29" s="97"/>
      <c r="K29" s="101"/>
      <c r="L29" s="101"/>
      <c r="M29" s="102"/>
      <c r="N29" s="103" t="s">
        <v>45</v>
      </c>
      <c r="O29" s="104" t="s">
        <v>444</v>
      </c>
      <c r="P29" s="97"/>
      <c r="Q29" s="97"/>
      <c r="R29" s="126"/>
      <c r="S29" s="105" t="s">
        <v>116</v>
      </c>
      <c r="T29" s="105" t="s">
        <v>445</v>
      </c>
      <c r="V29" s="108"/>
    </row>
    <row r="30" ht="15.75" customHeight="1">
      <c r="A30" s="91"/>
      <c r="B30" s="166">
        <v>45889.0</v>
      </c>
      <c r="C30" s="233" t="s">
        <v>446</v>
      </c>
      <c r="D30" s="97"/>
      <c r="E30" s="127" t="s">
        <v>447</v>
      </c>
      <c r="F30" s="211" t="s">
        <v>448</v>
      </c>
      <c r="G30" s="97"/>
      <c r="H30" s="98" t="s">
        <v>90</v>
      </c>
      <c r="I30" s="105" t="s">
        <v>91</v>
      </c>
      <c r="J30" s="97"/>
      <c r="K30" s="114"/>
      <c r="L30" s="114"/>
      <c r="M30" s="102"/>
      <c r="N30" s="103" t="s">
        <v>65</v>
      </c>
      <c r="O30" s="104" t="s">
        <v>449</v>
      </c>
      <c r="P30" s="97"/>
      <c r="Q30" s="97"/>
      <c r="R30" s="126"/>
      <c r="S30" s="105" t="s">
        <v>93</v>
      </c>
      <c r="T30" s="105" t="s">
        <v>450</v>
      </c>
      <c r="V30" s="108"/>
    </row>
    <row r="31" ht="15.75" customHeight="1">
      <c r="A31" s="91"/>
      <c r="B31" s="166">
        <v>45891.0</v>
      </c>
      <c r="C31" s="234" t="s">
        <v>451</v>
      </c>
      <c r="D31" s="97"/>
      <c r="E31" s="127" t="s">
        <v>452</v>
      </c>
      <c r="F31" s="216" t="s">
        <v>453</v>
      </c>
      <c r="G31" s="97"/>
      <c r="H31" s="98" t="s">
        <v>90</v>
      </c>
      <c r="I31" s="105" t="s">
        <v>107</v>
      </c>
      <c r="J31" s="97"/>
      <c r="K31" s="101">
        <v>7500.0</v>
      </c>
      <c r="L31" s="101">
        <v>3000.0</v>
      </c>
      <c r="M31" s="102"/>
      <c r="N31" s="103" t="s">
        <v>45</v>
      </c>
      <c r="O31" s="104" t="s">
        <v>454</v>
      </c>
      <c r="P31" s="97"/>
      <c r="Q31" s="105" t="s">
        <v>455</v>
      </c>
      <c r="R31" s="107"/>
      <c r="S31" s="105" t="s">
        <v>110</v>
      </c>
      <c r="T31" s="105" t="s">
        <v>456</v>
      </c>
      <c r="V31" s="108"/>
    </row>
    <row r="32" ht="15.75" customHeight="1">
      <c r="A32" s="91"/>
      <c r="B32" s="166">
        <v>45891.0</v>
      </c>
      <c r="C32" s="235" t="s">
        <v>457</v>
      </c>
      <c r="D32" s="97"/>
      <c r="E32" s="127" t="s">
        <v>458</v>
      </c>
      <c r="F32" s="216" t="s">
        <v>459</v>
      </c>
      <c r="G32" s="97"/>
      <c r="H32" s="98" t="s">
        <v>90</v>
      </c>
      <c r="I32" s="105" t="s">
        <v>91</v>
      </c>
      <c r="J32" s="97"/>
      <c r="K32" s="114"/>
      <c r="L32" s="114"/>
      <c r="M32" s="102"/>
      <c r="N32" s="103" t="s">
        <v>45</v>
      </c>
      <c r="O32" s="104" t="s">
        <v>460</v>
      </c>
      <c r="P32" s="97"/>
      <c r="Q32" s="97"/>
      <c r="R32" s="126"/>
      <c r="S32" s="105" t="s">
        <v>93</v>
      </c>
      <c r="T32" s="105" t="s">
        <v>461</v>
      </c>
      <c r="V32" s="108"/>
    </row>
    <row r="33" ht="15.75" customHeight="1">
      <c r="A33" s="91"/>
      <c r="B33" s="166">
        <v>45892.0</v>
      </c>
      <c r="C33" s="235" t="s">
        <v>462</v>
      </c>
      <c r="D33" s="97"/>
      <c r="E33" s="127" t="s">
        <v>463</v>
      </c>
      <c r="F33" s="216" t="s">
        <v>464</v>
      </c>
      <c r="G33" s="97"/>
      <c r="H33" s="98" t="s">
        <v>90</v>
      </c>
      <c r="I33" s="105" t="s">
        <v>107</v>
      </c>
      <c r="J33" s="97"/>
      <c r="K33" s="101">
        <v>9000.0</v>
      </c>
      <c r="L33" s="101">
        <v>3000.0</v>
      </c>
      <c r="M33" s="102"/>
      <c r="N33" s="103" t="s">
        <v>65</v>
      </c>
      <c r="O33" s="104" t="s">
        <v>465</v>
      </c>
      <c r="P33" s="97"/>
      <c r="Q33" s="105" t="s">
        <v>179</v>
      </c>
      <c r="R33" s="107"/>
      <c r="S33" s="105" t="s">
        <v>110</v>
      </c>
      <c r="T33" s="105" t="s">
        <v>466</v>
      </c>
      <c r="V33" s="108"/>
    </row>
    <row r="34" ht="15.75" customHeight="1">
      <c r="A34" s="91"/>
      <c r="B34" s="166">
        <v>45892.0</v>
      </c>
      <c r="C34" s="234" t="s">
        <v>467</v>
      </c>
      <c r="D34" s="97"/>
      <c r="E34" s="127" t="s">
        <v>468</v>
      </c>
      <c r="F34" s="216" t="s">
        <v>469</v>
      </c>
      <c r="G34" s="97"/>
      <c r="H34" s="98" t="s">
        <v>90</v>
      </c>
      <c r="I34" s="105" t="s">
        <v>107</v>
      </c>
      <c r="J34" s="97"/>
      <c r="K34" s="101">
        <v>9000.0</v>
      </c>
      <c r="L34" s="101">
        <v>3000.0</v>
      </c>
      <c r="M34" s="102"/>
      <c r="N34" s="124"/>
      <c r="O34" s="125"/>
      <c r="P34" s="97"/>
      <c r="Q34" s="105" t="s">
        <v>179</v>
      </c>
      <c r="R34" s="126"/>
      <c r="S34" s="105" t="s">
        <v>110</v>
      </c>
      <c r="T34" s="105" t="s">
        <v>470</v>
      </c>
      <c r="V34" s="108"/>
    </row>
    <row r="35" ht="15.75" customHeight="1">
      <c r="A35" s="91"/>
      <c r="B35" s="166">
        <v>45892.0</v>
      </c>
      <c r="C35" s="235" t="s">
        <v>471</v>
      </c>
      <c r="D35" s="97"/>
      <c r="E35" s="127" t="s">
        <v>472</v>
      </c>
      <c r="F35" s="216" t="s">
        <v>473</v>
      </c>
      <c r="G35" s="97"/>
      <c r="H35" s="98" t="s">
        <v>90</v>
      </c>
      <c r="I35" s="105" t="s">
        <v>91</v>
      </c>
      <c r="J35" s="97"/>
      <c r="K35" s="101"/>
      <c r="L35" s="101"/>
      <c r="M35" s="102"/>
      <c r="N35" s="103" t="s">
        <v>60</v>
      </c>
      <c r="O35" s="104" t="s">
        <v>474</v>
      </c>
      <c r="P35" s="97"/>
      <c r="Q35" s="97"/>
      <c r="R35" s="126"/>
      <c r="S35" s="105" t="s">
        <v>93</v>
      </c>
      <c r="T35" s="105" t="s">
        <v>475</v>
      </c>
      <c r="V35" s="108"/>
    </row>
    <row r="36" ht="15.75" customHeight="1">
      <c r="A36" s="91"/>
      <c r="B36" s="166">
        <v>45894.0</v>
      </c>
      <c r="C36" s="234" t="s">
        <v>476</v>
      </c>
      <c r="D36" s="97"/>
      <c r="E36" s="127" t="s">
        <v>477</v>
      </c>
      <c r="F36" s="216" t="s">
        <v>478</v>
      </c>
      <c r="G36" s="97"/>
      <c r="H36" s="98" t="s">
        <v>90</v>
      </c>
      <c r="I36" s="105" t="s">
        <v>333</v>
      </c>
      <c r="J36" s="97"/>
      <c r="K36" s="114"/>
      <c r="L36" s="114"/>
      <c r="M36" s="102"/>
      <c r="N36" s="124"/>
      <c r="O36" s="125"/>
      <c r="P36" s="97"/>
      <c r="Q36" s="97"/>
      <c r="R36" s="126"/>
      <c r="S36" s="97"/>
      <c r="T36" s="105"/>
      <c r="V36" s="108"/>
    </row>
    <row r="37" ht="15.75" customHeight="1">
      <c r="A37" s="91"/>
      <c r="B37" s="166">
        <v>45894.0</v>
      </c>
      <c r="C37" s="236" t="s">
        <v>479</v>
      </c>
      <c r="D37" s="97"/>
      <c r="E37" s="167" t="s">
        <v>480</v>
      </c>
      <c r="F37" s="216" t="s">
        <v>481</v>
      </c>
      <c r="G37" s="97"/>
      <c r="H37" s="98" t="s">
        <v>97</v>
      </c>
      <c r="I37" s="105" t="s">
        <v>91</v>
      </c>
      <c r="J37" s="97"/>
      <c r="K37" s="101"/>
      <c r="L37" s="101"/>
      <c r="M37" s="102"/>
      <c r="N37" s="103" t="s">
        <v>143</v>
      </c>
      <c r="O37" s="104" t="s">
        <v>482</v>
      </c>
      <c r="P37" s="97"/>
      <c r="Q37" s="115"/>
      <c r="R37" s="107"/>
      <c r="S37" s="105" t="s">
        <v>93</v>
      </c>
      <c r="T37" s="105" t="s">
        <v>483</v>
      </c>
      <c r="V37" s="108"/>
    </row>
    <row r="38" ht="15.75" customHeight="1">
      <c r="A38" s="91"/>
      <c r="B38" s="166">
        <v>45895.0</v>
      </c>
      <c r="C38" s="235" t="s">
        <v>484</v>
      </c>
      <c r="D38" s="97"/>
      <c r="E38" s="127" t="s">
        <v>485</v>
      </c>
      <c r="F38" s="216" t="s">
        <v>486</v>
      </c>
      <c r="G38" s="97"/>
      <c r="H38" s="98" t="s">
        <v>90</v>
      </c>
      <c r="I38" s="105" t="s">
        <v>91</v>
      </c>
      <c r="J38" s="97"/>
      <c r="K38" s="114"/>
      <c r="L38" s="114"/>
      <c r="M38" s="102"/>
      <c r="N38" s="103" t="s">
        <v>45</v>
      </c>
      <c r="O38" s="104" t="s">
        <v>487</v>
      </c>
      <c r="P38" s="97"/>
      <c r="Q38" s="130"/>
      <c r="R38" s="107"/>
      <c r="S38" s="105" t="s">
        <v>116</v>
      </c>
      <c r="T38" s="188" t="s">
        <v>488</v>
      </c>
      <c r="V38" s="108"/>
    </row>
    <row r="39" ht="15.75" customHeight="1">
      <c r="A39" s="91"/>
      <c r="B39" s="166">
        <v>45897.0</v>
      </c>
      <c r="C39" s="235" t="s">
        <v>489</v>
      </c>
      <c r="D39" s="97"/>
      <c r="E39" s="127" t="s">
        <v>490</v>
      </c>
      <c r="F39" s="216" t="s">
        <v>491</v>
      </c>
      <c r="G39" s="97"/>
      <c r="H39" s="98" t="s">
        <v>90</v>
      </c>
      <c r="I39" s="105" t="s">
        <v>91</v>
      </c>
      <c r="J39" s="97"/>
      <c r="K39" s="101"/>
      <c r="L39" s="101"/>
      <c r="M39" s="102"/>
      <c r="N39" s="103" t="s">
        <v>65</v>
      </c>
      <c r="O39" s="104" t="s">
        <v>492</v>
      </c>
      <c r="P39" s="97"/>
      <c r="Q39" s="115"/>
      <c r="R39" s="107"/>
      <c r="S39" s="105" t="s">
        <v>116</v>
      </c>
      <c r="T39" s="105" t="s">
        <v>493</v>
      </c>
      <c r="V39" s="108"/>
    </row>
    <row r="40" ht="15.75" customHeight="1">
      <c r="A40" s="91"/>
      <c r="B40" s="166">
        <v>45897.0</v>
      </c>
      <c r="C40" s="234" t="s">
        <v>494</v>
      </c>
      <c r="D40" s="97"/>
      <c r="E40" s="127" t="s">
        <v>495</v>
      </c>
      <c r="F40" s="216" t="s">
        <v>496</v>
      </c>
      <c r="G40" s="97"/>
      <c r="H40" s="98" t="s">
        <v>90</v>
      </c>
      <c r="I40" s="105" t="s">
        <v>107</v>
      </c>
      <c r="J40" s="97"/>
      <c r="K40" s="101">
        <v>9000.0</v>
      </c>
      <c r="L40" s="101">
        <v>500.0</v>
      </c>
      <c r="M40" s="102"/>
      <c r="N40" s="103"/>
      <c r="O40" s="104"/>
      <c r="P40" s="97"/>
      <c r="Q40" s="105" t="s">
        <v>179</v>
      </c>
      <c r="R40" s="107"/>
      <c r="S40" s="105" t="s">
        <v>110</v>
      </c>
      <c r="T40" s="105" t="s">
        <v>497</v>
      </c>
      <c r="V40" s="108"/>
    </row>
    <row r="41" ht="15.75" customHeight="1">
      <c r="A41" s="91"/>
      <c r="B41" s="166">
        <v>45897.0</v>
      </c>
      <c r="C41" s="235" t="s">
        <v>498</v>
      </c>
      <c r="D41" s="97"/>
      <c r="E41" s="127" t="s">
        <v>499</v>
      </c>
      <c r="F41" s="216" t="s">
        <v>500</v>
      </c>
      <c r="G41" s="97"/>
      <c r="H41" s="98" t="s">
        <v>90</v>
      </c>
      <c r="I41" s="105" t="s">
        <v>91</v>
      </c>
      <c r="J41" s="97"/>
      <c r="K41" s="101"/>
      <c r="L41" s="101"/>
      <c r="M41" s="102"/>
      <c r="N41" s="103" t="s">
        <v>45</v>
      </c>
      <c r="O41" s="104" t="s">
        <v>501</v>
      </c>
      <c r="P41" s="97"/>
      <c r="Q41" s="97"/>
      <c r="R41" s="126"/>
      <c r="S41" s="105" t="s">
        <v>93</v>
      </c>
      <c r="T41" s="105" t="s">
        <v>502</v>
      </c>
      <c r="V41" s="108"/>
    </row>
    <row r="42" ht="15.75" customHeight="1">
      <c r="A42" s="91"/>
      <c r="B42" s="166">
        <v>45897.0</v>
      </c>
      <c r="C42" s="186" t="s">
        <v>503</v>
      </c>
      <c r="D42" s="97"/>
      <c r="E42" s="167" t="s">
        <v>504</v>
      </c>
      <c r="F42" s="219"/>
      <c r="G42" s="97"/>
      <c r="H42" s="98" t="s">
        <v>90</v>
      </c>
      <c r="I42" s="105" t="s">
        <v>107</v>
      </c>
      <c r="J42" s="97"/>
      <c r="K42" s="101">
        <v>9000.0</v>
      </c>
      <c r="L42" s="101">
        <v>500.0</v>
      </c>
      <c r="M42" s="102"/>
      <c r="N42" s="103"/>
      <c r="O42" s="104"/>
      <c r="P42" s="97"/>
      <c r="Q42" s="105" t="s">
        <v>179</v>
      </c>
      <c r="R42" s="107"/>
      <c r="S42" s="105" t="s">
        <v>110</v>
      </c>
      <c r="T42" s="105" t="s">
        <v>505</v>
      </c>
      <c r="V42" s="108"/>
    </row>
    <row r="43" ht="15.75" customHeight="1">
      <c r="A43" s="91"/>
      <c r="B43" s="166">
        <v>45900.0</v>
      </c>
      <c r="C43" s="234" t="s">
        <v>506</v>
      </c>
      <c r="D43" s="97"/>
      <c r="E43" s="127" t="s">
        <v>507</v>
      </c>
      <c r="F43" s="216" t="s">
        <v>508</v>
      </c>
      <c r="G43" s="97"/>
      <c r="H43" s="98" t="s">
        <v>90</v>
      </c>
      <c r="I43" s="105" t="s">
        <v>178</v>
      </c>
      <c r="J43" s="97"/>
      <c r="K43" s="101">
        <v>9000.0</v>
      </c>
      <c r="L43" s="101">
        <v>9000.0</v>
      </c>
      <c r="M43" s="102"/>
      <c r="N43" s="124"/>
      <c r="O43" s="125"/>
      <c r="P43" s="97"/>
      <c r="Q43" s="105" t="s">
        <v>179</v>
      </c>
      <c r="R43" s="126"/>
      <c r="S43" s="105" t="s">
        <v>110</v>
      </c>
      <c r="T43" s="105" t="s">
        <v>509</v>
      </c>
      <c r="V43" s="108"/>
    </row>
    <row r="44" ht="15.75" customHeight="1">
      <c r="A44" s="91"/>
      <c r="B44" s="166">
        <v>45900.0</v>
      </c>
      <c r="C44" s="237" t="s">
        <v>510</v>
      </c>
      <c r="D44" s="97"/>
      <c r="E44" s="127" t="s">
        <v>511</v>
      </c>
      <c r="F44" s="216" t="s">
        <v>512</v>
      </c>
      <c r="G44" s="97"/>
      <c r="H44" s="98" t="s">
        <v>90</v>
      </c>
      <c r="I44" s="105" t="s">
        <v>91</v>
      </c>
      <c r="J44" s="97"/>
      <c r="K44" s="114"/>
      <c r="L44" s="114"/>
      <c r="M44" s="102"/>
      <c r="N44" s="103" t="s">
        <v>45</v>
      </c>
      <c r="O44" s="104" t="s">
        <v>513</v>
      </c>
      <c r="P44" s="97"/>
      <c r="Q44" s="97"/>
      <c r="R44" s="126"/>
      <c r="S44" s="105" t="s">
        <v>116</v>
      </c>
      <c r="T44" s="105" t="s">
        <v>514</v>
      </c>
      <c r="V44" s="108"/>
    </row>
    <row r="45" ht="15.75" customHeight="1">
      <c r="A45" s="91"/>
      <c r="B45" s="166"/>
      <c r="C45" s="238"/>
      <c r="D45" s="97"/>
      <c r="E45" s="165"/>
      <c r="F45" s="138"/>
      <c r="G45" s="97"/>
      <c r="H45" s="98"/>
      <c r="I45" s="105"/>
      <c r="J45" s="97"/>
      <c r="K45" s="101"/>
      <c r="L45" s="101"/>
      <c r="M45" s="102"/>
      <c r="N45" s="124"/>
      <c r="O45" s="125"/>
      <c r="P45" s="97"/>
      <c r="Q45" s="97"/>
      <c r="R45" s="126"/>
      <c r="S45" s="97"/>
      <c r="T45" s="97"/>
      <c r="V45" s="108"/>
    </row>
    <row r="46" ht="15.75" customHeight="1">
      <c r="A46" s="91"/>
      <c r="B46" s="166"/>
      <c r="C46" s="99"/>
      <c r="D46" s="97"/>
      <c r="E46" s="165"/>
      <c r="F46" s="138"/>
      <c r="G46" s="97"/>
      <c r="H46" s="98"/>
      <c r="I46" s="105"/>
      <c r="J46" s="97"/>
      <c r="K46" s="114"/>
      <c r="L46" s="114"/>
      <c r="M46" s="102"/>
      <c r="N46" s="124"/>
      <c r="O46" s="125"/>
      <c r="P46" s="97"/>
      <c r="Q46" s="97"/>
      <c r="R46" s="126"/>
      <c r="S46" s="97"/>
      <c r="T46" s="97"/>
      <c r="V46" s="108"/>
    </row>
    <row r="47" ht="15.75" customHeight="1">
      <c r="A47" s="91"/>
      <c r="B47" s="166"/>
      <c r="C47" s="99"/>
      <c r="D47" s="97"/>
      <c r="E47" s="165"/>
      <c r="F47" s="138"/>
      <c r="G47" s="97"/>
      <c r="H47" s="98"/>
      <c r="I47" s="105"/>
      <c r="J47" s="97"/>
      <c r="K47" s="101"/>
      <c r="L47" s="101"/>
      <c r="M47" s="102"/>
      <c r="N47" s="103"/>
      <c r="O47" s="104"/>
      <c r="P47" s="97"/>
      <c r="Q47" s="115"/>
      <c r="R47" s="116"/>
      <c r="S47" s="105"/>
      <c r="T47" s="105"/>
      <c r="V47" s="108"/>
    </row>
    <row r="48" ht="15.75" customHeight="1">
      <c r="A48" s="91"/>
      <c r="B48" s="166"/>
      <c r="C48" s="99"/>
      <c r="D48" s="97"/>
      <c r="E48" s="165"/>
      <c r="F48" s="138"/>
      <c r="G48" s="97"/>
      <c r="H48" s="98"/>
      <c r="I48" s="105"/>
      <c r="J48" s="97"/>
      <c r="K48" s="114"/>
      <c r="L48" s="114"/>
      <c r="M48" s="102"/>
      <c r="N48" s="103"/>
      <c r="O48" s="104"/>
      <c r="P48" s="97"/>
      <c r="Q48" s="130"/>
      <c r="R48" s="107"/>
      <c r="S48" s="105"/>
      <c r="T48" s="105"/>
      <c r="V48" s="108"/>
    </row>
    <row r="49" ht="15.75" customHeight="1">
      <c r="A49" s="91"/>
      <c r="B49" s="166"/>
      <c r="C49" s="99"/>
      <c r="D49" s="97"/>
      <c r="E49" s="165"/>
      <c r="F49" s="138"/>
      <c r="G49" s="97"/>
      <c r="H49" s="98"/>
      <c r="I49" s="105"/>
      <c r="J49" s="97"/>
      <c r="K49" s="101"/>
      <c r="L49" s="101"/>
      <c r="M49" s="102"/>
      <c r="N49" s="103"/>
      <c r="O49" s="104"/>
      <c r="P49" s="97"/>
      <c r="Q49" s="130"/>
      <c r="R49" s="107"/>
      <c r="S49" s="105"/>
      <c r="T49" s="105"/>
      <c r="V49" s="108"/>
    </row>
    <row r="50" ht="15.75" customHeight="1">
      <c r="A50" s="91"/>
      <c r="B50" s="166"/>
      <c r="C50" s="105"/>
      <c r="D50" s="97"/>
      <c r="E50" s="165"/>
      <c r="F50" s="140"/>
      <c r="G50" s="97"/>
      <c r="H50" s="98"/>
      <c r="I50" s="105"/>
      <c r="J50" s="97"/>
      <c r="K50" s="114"/>
      <c r="L50" s="114"/>
      <c r="M50" s="102"/>
      <c r="N50" s="124"/>
      <c r="O50" s="125"/>
      <c r="P50" s="97"/>
      <c r="Q50" s="97"/>
      <c r="R50" s="126"/>
      <c r="S50" s="97"/>
      <c r="T50" s="105"/>
      <c r="V50" s="108"/>
    </row>
    <row r="51" ht="15.75" customHeight="1">
      <c r="A51" s="91"/>
      <c r="B51" s="166"/>
      <c r="C51" s="105"/>
      <c r="D51" s="97"/>
      <c r="E51" s="165"/>
      <c r="F51" s="168"/>
      <c r="G51" s="97"/>
      <c r="H51" s="98"/>
      <c r="I51" s="105"/>
      <c r="J51" s="97"/>
      <c r="K51" s="101"/>
      <c r="L51" s="101"/>
      <c r="M51" s="102"/>
      <c r="N51" s="103"/>
      <c r="O51" s="104"/>
      <c r="P51" s="97"/>
      <c r="Q51" s="131"/>
      <c r="R51" s="126"/>
      <c r="S51" s="105"/>
      <c r="T51" s="105"/>
      <c r="V51" s="108"/>
    </row>
    <row r="52" ht="15.75" customHeight="1">
      <c r="A52" s="91"/>
      <c r="B52" s="166"/>
      <c r="C52" s="105"/>
      <c r="D52" s="97"/>
      <c r="E52" s="165"/>
      <c r="F52" s="138"/>
      <c r="G52" s="97"/>
      <c r="H52" s="98"/>
      <c r="I52" s="105"/>
      <c r="J52" s="97"/>
      <c r="K52" s="114"/>
      <c r="L52" s="114"/>
      <c r="M52" s="102"/>
      <c r="N52" s="124"/>
      <c r="O52" s="125"/>
      <c r="P52" s="97"/>
      <c r="Q52" s="131"/>
      <c r="R52" s="126"/>
      <c r="S52" s="97"/>
      <c r="T52" s="97"/>
      <c r="V52" s="108"/>
    </row>
    <row r="53" ht="15.75" customHeight="1">
      <c r="A53" s="91"/>
      <c r="B53" s="166"/>
      <c r="C53" s="99"/>
      <c r="D53" s="97"/>
      <c r="E53" s="165"/>
      <c r="F53" s="138"/>
      <c r="G53" s="97"/>
      <c r="H53" s="98"/>
      <c r="I53" s="105"/>
      <c r="J53" s="97"/>
      <c r="K53" s="101"/>
      <c r="L53" s="101"/>
      <c r="M53" s="102"/>
      <c r="N53" s="124"/>
      <c r="O53" s="125"/>
      <c r="P53" s="97"/>
      <c r="Q53" s="130"/>
      <c r="R53" s="107"/>
      <c r="S53" s="97"/>
      <c r="T53" s="105"/>
      <c r="V53" s="108"/>
    </row>
    <row r="54" ht="15.75" customHeight="1">
      <c r="A54" s="91"/>
      <c r="B54" s="166"/>
      <c r="C54" s="98"/>
      <c r="D54" s="97"/>
      <c r="E54" s="165"/>
      <c r="F54" s="138"/>
      <c r="G54" s="97"/>
      <c r="H54" s="98"/>
      <c r="I54" s="105"/>
      <c r="J54" s="97"/>
      <c r="K54" s="114"/>
      <c r="L54" s="114"/>
      <c r="M54" s="102"/>
      <c r="N54" s="103"/>
      <c r="O54" s="104"/>
      <c r="P54" s="97"/>
      <c r="Q54" s="130"/>
      <c r="R54" s="133"/>
      <c r="S54" s="105"/>
      <c r="T54" s="105"/>
      <c r="V54" s="108"/>
    </row>
    <row r="55" ht="15.75" customHeight="1">
      <c r="A55" s="91"/>
      <c r="B55" s="166"/>
      <c r="C55" s="98"/>
      <c r="D55" s="97"/>
      <c r="E55" s="165"/>
      <c r="F55" s="140"/>
      <c r="G55" s="97"/>
      <c r="H55" s="98"/>
      <c r="I55" s="105"/>
      <c r="J55" s="97"/>
      <c r="K55" s="101"/>
      <c r="L55" s="101"/>
      <c r="M55" s="102"/>
      <c r="N55" s="103"/>
      <c r="O55" s="104"/>
      <c r="P55" s="97"/>
      <c r="Q55" s="130"/>
      <c r="R55" s="107"/>
      <c r="S55" s="105"/>
      <c r="T55" s="105"/>
      <c r="V55" s="108"/>
    </row>
    <row r="56" ht="15.75" customHeight="1">
      <c r="A56" s="91"/>
      <c r="B56" s="166"/>
      <c r="C56" s="98"/>
      <c r="D56" s="97"/>
      <c r="E56" s="165"/>
      <c r="F56" s="138"/>
      <c r="G56" s="97"/>
      <c r="H56" s="98"/>
      <c r="I56" s="105"/>
      <c r="J56" s="97"/>
      <c r="K56" s="114"/>
      <c r="L56" s="114"/>
      <c r="M56" s="102"/>
      <c r="N56" s="124"/>
      <c r="O56" s="125"/>
      <c r="P56" s="97"/>
      <c r="Q56" s="115"/>
      <c r="R56" s="107"/>
      <c r="S56" s="97"/>
      <c r="T56" s="105"/>
      <c r="V56" s="108"/>
    </row>
    <row r="57" ht="15.75" customHeight="1">
      <c r="A57" s="91"/>
      <c r="B57" s="166"/>
      <c r="C57" s="98"/>
      <c r="D57" s="97"/>
      <c r="E57" s="165"/>
      <c r="F57" s="138"/>
      <c r="G57" s="97"/>
      <c r="H57" s="98"/>
      <c r="I57" s="105"/>
      <c r="J57" s="97"/>
      <c r="K57" s="101"/>
      <c r="L57" s="101"/>
      <c r="M57" s="102"/>
      <c r="N57" s="124"/>
      <c r="O57" s="125"/>
      <c r="P57" s="97"/>
      <c r="Q57" s="131"/>
      <c r="R57" s="126"/>
      <c r="S57" s="97"/>
      <c r="T57" s="105"/>
      <c r="V57" s="108"/>
    </row>
    <row r="58" ht="15.75" customHeight="1">
      <c r="A58" s="91"/>
      <c r="B58" s="166"/>
      <c r="C58" s="107"/>
      <c r="D58" s="97"/>
      <c r="E58" s="165"/>
      <c r="F58" s="138"/>
      <c r="G58" s="97"/>
      <c r="H58" s="98"/>
      <c r="I58" s="105"/>
      <c r="J58" s="97"/>
      <c r="K58" s="114"/>
      <c r="L58" s="114"/>
      <c r="M58" s="102"/>
      <c r="N58" s="103"/>
      <c r="O58" s="104"/>
      <c r="P58" s="97"/>
      <c r="Q58" s="115"/>
      <c r="R58" s="107"/>
      <c r="S58" s="105"/>
      <c r="T58" s="105"/>
      <c r="V58" s="108"/>
    </row>
    <row r="59" ht="15.75" customHeight="1">
      <c r="A59" s="91"/>
      <c r="B59" s="166"/>
      <c r="C59" s="107"/>
      <c r="D59" s="97"/>
      <c r="E59" s="165"/>
      <c r="F59" s="138"/>
      <c r="G59" s="97"/>
      <c r="H59" s="98"/>
      <c r="I59" s="105"/>
      <c r="J59" s="97"/>
      <c r="K59" s="101"/>
      <c r="L59" s="101"/>
      <c r="M59" s="102"/>
      <c r="N59" s="124"/>
      <c r="O59" s="125"/>
      <c r="P59" s="97"/>
      <c r="Q59" s="97"/>
      <c r="R59" s="126"/>
      <c r="S59" s="97"/>
      <c r="T59" s="97"/>
      <c r="V59" s="108"/>
    </row>
    <row r="60" ht="15.75" customHeight="1">
      <c r="A60" s="91"/>
      <c r="B60" s="166"/>
      <c r="C60" s="107"/>
      <c r="D60" s="97"/>
      <c r="E60" s="98"/>
      <c r="F60" s="138"/>
      <c r="G60" s="97"/>
      <c r="H60" s="98"/>
      <c r="I60" s="105"/>
      <c r="J60" s="97"/>
      <c r="K60" s="114"/>
      <c r="L60" s="114"/>
      <c r="M60" s="102"/>
      <c r="N60" s="124"/>
      <c r="O60" s="125"/>
      <c r="P60" s="97"/>
      <c r="Q60" s="115"/>
      <c r="R60" s="107"/>
      <c r="S60" s="97"/>
      <c r="T60" s="105"/>
      <c r="V60" s="108"/>
    </row>
    <row r="61" ht="15.75" customHeight="1">
      <c r="A61" s="91"/>
      <c r="B61" s="166"/>
      <c r="C61" s="98"/>
      <c r="D61" s="97"/>
      <c r="E61" s="165"/>
      <c r="F61" s="140"/>
      <c r="G61" s="97"/>
      <c r="H61" s="98"/>
      <c r="I61" s="105"/>
      <c r="J61" s="97"/>
      <c r="K61" s="101"/>
      <c r="L61" s="101"/>
      <c r="M61" s="102"/>
      <c r="N61" s="124"/>
      <c r="O61" s="125"/>
      <c r="P61" s="97"/>
      <c r="Q61" s="97"/>
      <c r="R61" s="126"/>
      <c r="S61" s="97"/>
      <c r="T61" s="97"/>
      <c r="V61" s="108"/>
    </row>
    <row r="62" ht="15.75" customHeight="1">
      <c r="A62" s="91"/>
      <c r="B62" s="166"/>
      <c r="C62" s="98"/>
      <c r="D62" s="97"/>
      <c r="E62" s="165"/>
      <c r="F62" s="138"/>
      <c r="G62" s="97"/>
      <c r="H62" s="98"/>
      <c r="I62" s="105"/>
      <c r="J62" s="97"/>
      <c r="K62" s="114"/>
      <c r="L62" s="114"/>
      <c r="M62" s="102"/>
      <c r="N62" s="124"/>
      <c r="O62" s="125"/>
      <c r="P62" s="97"/>
      <c r="Q62" s="97"/>
      <c r="R62" s="126"/>
      <c r="S62" s="97"/>
      <c r="T62" s="97"/>
      <c r="V62" s="108"/>
    </row>
    <row r="63" ht="15.75" customHeight="1">
      <c r="A63" s="91"/>
      <c r="B63" s="166"/>
      <c r="C63" s="134"/>
      <c r="D63" s="97"/>
      <c r="E63" s="165"/>
      <c r="F63" s="140"/>
      <c r="G63" s="97"/>
      <c r="H63" s="98"/>
      <c r="I63" s="105"/>
      <c r="J63" s="97"/>
      <c r="K63" s="101"/>
      <c r="L63" s="101"/>
      <c r="M63" s="102"/>
      <c r="N63" s="124"/>
      <c r="O63" s="125"/>
      <c r="P63" s="97"/>
      <c r="Q63" s="97"/>
      <c r="R63" s="126"/>
      <c r="S63" s="97"/>
      <c r="T63" s="97"/>
      <c r="V63" s="108"/>
    </row>
    <row r="64" ht="15.75" customHeight="1">
      <c r="A64" s="91"/>
      <c r="B64" s="166"/>
      <c r="C64" s="135"/>
      <c r="D64" s="97"/>
      <c r="E64" s="165"/>
      <c r="F64" s="138"/>
      <c r="G64" s="97"/>
      <c r="H64" s="98"/>
      <c r="I64" s="105"/>
      <c r="J64" s="97"/>
      <c r="K64" s="114"/>
      <c r="L64" s="114"/>
      <c r="M64" s="102"/>
      <c r="N64" s="103"/>
      <c r="O64" s="104"/>
      <c r="P64" s="97"/>
      <c r="Q64" s="115"/>
      <c r="R64" s="116"/>
      <c r="S64" s="105"/>
      <c r="T64" s="105"/>
      <c r="V64" s="108"/>
    </row>
    <row r="65" ht="15.75" customHeight="1">
      <c r="A65" s="91"/>
      <c r="B65" s="166"/>
      <c r="C65" s="99"/>
      <c r="D65" s="97"/>
      <c r="E65" s="165"/>
      <c r="F65" s="138"/>
      <c r="G65" s="97"/>
      <c r="H65" s="98"/>
      <c r="I65" s="105"/>
      <c r="J65" s="97"/>
      <c r="K65" s="101"/>
      <c r="L65" s="101"/>
      <c r="M65" s="102"/>
      <c r="N65" s="103"/>
      <c r="O65" s="104"/>
      <c r="P65" s="97"/>
      <c r="Q65" s="130"/>
      <c r="R65" s="116"/>
      <c r="S65" s="105"/>
      <c r="T65" s="105"/>
      <c r="V65" s="108"/>
    </row>
    <row r="66" ht="15.75" customHeight="1">
      <c r="A66" s="91"/>
      <c r="B66" s="166"/>
      <c r="C66" s="107"/>
      <c r="D66" s="97"/>
      <c r="E66" s="165"/>
      <c r="F66" s="138"/>
      <c r="G66" s="97"/>
      <c r="H66" s="98"/>
      <c r="I66" s="105"/>
      <c r="J66" s="97"/>
      <c r="K66" s="114"/>
      <c r="L66" s="114"/>
      <c r="M66" s="102"/>
      <c r="N66" s="124"/>
      <c r="O66" s="125"/>
      <c r="P66" s="97"/>
      <c r="Q66" s="97"/>
      <c r="R66" s="126"/>
      <c r="S66" s="97"/>
      <c r="T66" s="97"/>
      <c r="V66" s="108"/>
    </row>
    <row r="67" ht="15.75" customHeight="1">
      <c r="A67" s="91"/>
      <c r="B67" s="166"/>
      <c r="C67" s="107"/>
      <c r="D67" s="97"/>
      <c r="E67" s="98"/>
      <c r="F67" s="138"/>
      <c r="G67" s="97"/>
      <c r="H67" s="98"/>
      <c r="I67" s="105"/>
      <c r="J67" s="97"/>
      <c r="K67" s="101"/>
      <c r="L67" s="101"/>
      <c r="M67" s="102"/>
      <c r="N67" s="124"/>
      <c r="O67" s="125"/>
      <c r="P67" s="97"/>
      <c r="Q67" s="130"/>
      <c r="R67" s="107"/>
      <c r="S67" s="105"/>
      <c r="T67" s="105"/>
      <c r="V67" s="108"/>
    </row>
    <row r="68" ht="15.75" customHeight="1">
      <c r="A68" s="91"/>
      <c r="B68" s="166"/>
      <c r="C68" s="107"/>
      <c r="D68" s="97"/>
      <c r="E68" s="98"/>
      <c r="F68" s="138"/>
      <c r="G68" s="97"/>
      <c r="H68" s="98"/>
      <c r="I68" s="105"/>
      <c r="J68" s="97"/>
      <c r="K68" s="114"/>
      <c r="L68" s="114"/>
      <c r="M68" s="102"/>
      <c r="N68" s="124"/>
      <c r="O68" s="125"/>
      <c r="P68" s="97"/>
      <c r="Q68" s="130"/>
      <c r="R68" s="126"/>
      <c r="S68" s="97"/>
      <c r="T68" s="105"/>
      <c r="V68" s="108"/>
    </row>
    <row r="69" ht="15.75" customHeight="1">
      <c r="A69" s="91"/>
      <c r="B69" s="166"/>
      <c r="C69" s="98"/>
      <c r="D69" s="97"/>
      <c r="E69" s="98"/>
      <c r="F69" s="140"/>
      <c r="G69" s="97"/>
      <c r="H69" s="98"/>
      <c r="I69" s="105"/>
      <c r="J69" s="97"/>
      <c r="K69" s="101"/>
      <c r="L69" s="101"/>
      <c r="M69" s="102"/>
      <c r="N69" s="124"/>
      <c r="O69" s="125"/>
      <c r="P69" s="97"/>
      <c r="Q69" s="115"/>
      <c r="R69" s="107"/>
      <c r="S69" s="105"/>
      <c r="T69" s="105"/>
      <c r="V69" s="108"/>
    </row>
    <row r="70" ht="15.75" customHeight="1">
      <c r="A70" s="91"/>
      <c r="B70" s="166"/>
      <c r="C70" s="98"/>
      <c r="D70" s="97"/>
      <c r="E70" s="98"/>
      <c r="F70" s="138"/>
      <c r="G70" s="97"/>
      <c r="H70" s="98"/>
      <c r="I70" s="105"/>
      <c r="J70" s="97"/>
      <c r="K70" s="114"/>
      <c r="L70" s="114"/>
      <c r="M70" s="102"/>
      <c r="N70" s="124"/>
      <c r="O70" s="125"/>
      <c r="P70" s="97"/>
      <c r="Q70" s="131"/>
      <c r="R70" s="126"/>
      <c r="S70" s="97"/>
      <c r="T70" s="97"/>
      <c r="V70" s="108"/>
    </row>
    <row r="71" ht="15.75" customHeight="1">
      <c r="A71" s="91"/>
      <c r="B71" s="166"/>
      <c r="C71" s="98"/>
      <c r="D71" s="97"/>
      <c r="E71" s="98"/>
      <c r="F71" s="138"/>
      <c r="G71" s="97"/>
      <c r="H71" s="98"/>
      <c r="I71" s="105"/>
      <c r="J71" s="97"/>
      <c r="K71" s="101"/>
      <c r="L71" s="101"/>
      <c r="M71" s="102"/>
      <c r="N71" s="124"/>
      <c r="O71" s="125"/>
      <c r="P71" s="97"/>
      <c r="Q71" s="130"/>
      <c r="R71" s="107"/>
      <c r="S71" s="105"/>
      <c r="T71" s="105"/>
      <c r="V71" s="108"/>
    </row>
    <row r="72" ht="15.75" customHeight="1">
      <c r="A72" s="91"/>
      <c r="B72" s="166"/>
      <c r="C72" s="98"/>
      <c r="D72" s="97"/>
      <c r="E72" s="165"/>
      <c r="F72" s="138"/>
      <c r="G72" s="97"/>
      <c r="H72" s="98"/>
      <c r="I72" s="105"/>
      <c r="J72" s="97"/>
      <c r="K72" s="114"/>
      <c r="L72" s="114"/>
      <c r="M72" s="102"/>
      <c r="N72" s="103"/>
      <c r="O72" s="125"/>
      <c r="P72" s="97"/>
      <c r="Q72" s="130"/>
      <c r="R72" s="107"/>
      <c r="S72" s="105"/>
      <c r="T72" s="105"/>
      <c r="V72" s="108"/>
    </row>
    <row r="73" ht="15.75" customHeight="1">
      <c r="A73" s="91"/>
      <c r="B73" s="166"/>
      <c r="C73" s="98"/>
      <c r="D73" s="97"/>
      <c r="E73" s="165"/>
      <c r="F73" s="140"/>
      <c r="G73" s="97"/>
      <c r="H73" s="98"/>
      <c r="I73" s="105"/>
      <c r="J73" s="97"/>
      <c r="K73" s="101"/>
      <c r="L73" s="101"/>
      <c r="M73" s="102"/>
      <c r="N73" s="103"/>
      <c r="O73" s="125"/>
      <c r="P73" s="97"/>
      <c r="Q73" s="115"/>
      <c r="R73" s="107"/>
      <c r="S73" s="105"/>
      <c r="T73" s="105"/>
      <c r="V73" s="108"/>
    </row>
    <row r="74" ht="15.75" customHeight="1">
      <c r="A74" s="91"/>
      <c r="B74" s="166"/>
      <c r="C74" s="107"/>
      <c r="D74" s="97"/>
      <c r="E74" s="165"/>
      <c r="F74" s="138"/>
      <c r="G74" s="97"/>
      <c r="H74" s="98"/>
      <c r="I74" s="105"/>
      <c r="J74" s="97"/>
      <c r="K74" s="114"/>
      <c r="L74" s="114"/>
      <c r="M74" s="102"/>
      <c r="N74" s="103"/>
      <c r="O74" s="125"/>
      <c r="P74" s="97"/>
      <c r="Q74" s="115"/>
      <c r="R74" s="107"/>
      <c r="S74" s="105"/>
      <c r="T74" s="105"/>
      <c r="V74" s="108"/>
    </row>
    <row r="75" ht="15.75" customHeight="1">
      <c r="A75" s="91"/>
      <c r="B75" s="166"/>
      <c r="C75" s="107"/>
      <c r="D75" s="97"/>
      <c r="E75" s="165"/>
      <c r="F75" s="138"/>
      <c r="G75" s="97"/>
      <c r="H75" s="98"/>
      <c r="I75" s="105"/>
      <c r="J75" s="97"/>
      <c r="K75" s="101"/>
      <c r="L75" s="101"/>
      <c r="M75" s="102"/>
      <c r="N75" s="124"/>
      <c r="O75" s="125"/>
      <c r="P75" s="97"/>
      <c r="Q75" s="131"/>
      <c r="R75" s="126"/>
      <c r="S75" s="97"/>
      <c r="T75" s="97"/>
      <c r="V75" s="108"/>
    </row>
    <row r="76" ht="15.75" customHeight="1">
      <c r="A76" s="91"/>
      <c r="B76" s="166"/>
      <c r="C76" s="98"/>
      <c r="D76" s="97"/>
      <c r="E76" s="165"/>
      <c r="F76" s="138"/>
      <c r="G76" s="97"/>
      <c r="H76" s="98"/>
      <c r="I76" s="105"/>
      <c r="J76" s="97"/>
      <c r="K76" s="114"/>
      <c r="L76" s="114"/>
      <c r="M76" s="102"/>
      <c r="N76" s="103"/>
      <c r="O76" s="125"/>
      <c r="P76" s="97"/>
      <c r="Q76" s="115"/>
      <c r="R76" s="107"/>
      <c r="S76" s="105"/>
      <c r="T76" s="105"/>
      <c r="V76" s="108"/>
    </row>
    <row r="77" ht="15.75" customHeight="1">
      <c r="A77" s="91"/>
      <c r="B77" s="166"/>
      <c r="C77" s="98"/>
      <c r="D77" s="97"/>
      <c r="E77" s="98"/>
      <c r="F77" s="138"/>
      <c r="G77" s="97"/>
      <c r="H77" s="98"/>
      <c r="I77" s="105"/>
      <c r="J77" s="97"/>
      <c r="K77" s="101"/>
      <c r="L77" s="101"/>
      <c r="M77" s="102"/>
      <c r="N77" s="124"/>
      <c r="O77" s="125"/>
      <c r="P77" s="97"/>
      <c r="Q77" s="131"/>
      <c r="R77" s="126"/>
      <c r="S77" s="97"/>
      <c r="T77" s="97"/>
      <c r="V77" s="108"/>
    </row>
    <row r="78" ht="15.75" customHeight="1">
      <c r="A78" s="91"/>
      <c r="B78" s="166"/>
      <c r="C78" s="98"/>
      <c r="D78" s="97"/>
      <c r="E78" s="165"/>
      <c r="F78" s="138"/>
      <c r="G78" s="97"/>
      <c r="H78" s="98"/>
      <c r="I78" s="105"/>
      <c r="J78" s="97"/>
      <c r="K78" s="114"/>
      <c r="L78" s="114"/>
      <c r="M78" s="102"/>
      <c r="N78" s="103"/>
      <c r="O78" s="125"/>
      <c r="P78" s="97"/>
      <c r="Q78" s="115"/>
      <c r="R78" s="107"/>
      <c r="S78" s="105"/>
      <c r="T78" s="105"/>
      <c r="V78" s="108"/>
    </row>
    <row r="79" ht="15.75" customHeight="1">
      <c r="A79" s="91"/>
      <c r="B79" s="166"/>
      <c r="C79" s="98"/>
      <c r="D79" s="97"/>
      <c r="E79" s="165"/>
      <c r="F79" s="138"/>
      <c r="G79" s="97"/>
      <c r="H79" s="98"/>
      <c r="I79" s="105"/>
      <c r="J79" s="97"/>
      <c r="K79" s="101"/>
      <c r="L79" s="101"/>
      <c r="M79" s="102"/>
      <c r="N79" s="124"/>
      <c r="O79" s="125"/>
      <c r="P79" s="97"/>
      <c r="Q79" s="131"/>
      <c r="R79" s="126"/>
      <c r="S79" s="97"/>
      <c r="T79" s="97"/>
      <c r="V79" s="108"/>
    </row>
    <row r="80" ht="15.75" customHeight="1">
      <c r="A80" s="91"/>
      <c r="B80" s="166"/>
      <c r="C80" s="98"/>
      <c r="D80" s="97"/>
      <c r="E80" s="165"/>
      <c r="F80" s="138"/>
      <c r="G80" s="97"/>
      <c r="H80" s="98"/>
      <c r="I80" s="105"/>
      <c r="J80" s="97"/>
      <c r="K80" s="114"/>
      <c r="L80" s="114"/>
      <c r="M80" s="102"/>
      <c r="N80" s="103"/>
      <c r="O80" s="104"/>
      <c r="P80" s="97"/>
      <c r="Q80" s="130"/>
      <c r="R80" s="107"/>
      <c r="S80" s="105"/>
      <c r="T80" s="105"/>
      <c r="V80" s="108"/>
    </row>
    <row r="81" ht="15.75" customHeight="1">
      <c r="A81" s="91"/>
      <c r="B81" s="166"/>
      <c r="C81" s="107"/>
      <c r="D81" s="97"/>
      <c r="E81" s="165"/>
      <c r="F81" s="138"/>
      <c r="G81" s="97"/>
      <c r="H81" s="98"/>
      <c r="I81" s="105"/>
      <c r="J81" s="97"/>
      <c r="K81" s="101"/>
      <c r="L81" s="101"/>
      <c r="M81" s="102"/>
      <c r="N81" s="103"/>
      <c r="O81" s="104"/>
      <c r="P81" s="97"/>
      <c r="Q81" s="115"/>
      <c r="R81" s="136"/>
      <c r="S81" s="105"/>
      <c r="T81" s="105"/>
      <c r="V81" s="108"/>
    </row>
    <row r="82" ht="15.75" customHeight="1">
      <c r="A82" s="91"/>
      <c r="B82" s="166"/>
      <c r="C82" s="107"/>
      <c r="D82" s="97"/>
      <c r="E82" s="165"/>
      <c r="F82" s="138"/>
      <c r="G82" s="97"/>
      <c r="H82" s="98"/>
      <c r="I82" s="105"/>
      <c r="J82" s="97"/>
      <c r="K82" s="114"/>
      <c r="L82" s="114"/>
      <c r="M82" s="102"/>
      <c r="N82" s="103"/>
      <c r="O82" s="104"/>
      <c r="P82" s="97"/>
      <c r="Q82" s="115"/>
      <c r="R82" s="107"/>
      <c r="S82" s="105"/>
      <c r="T82" s="105"/>
      <c r="V82" s="108"/>
    </row>
    <row r="83" ht="15.75" customHeight="1">
      <c r="A83" s="91"/>
      <c r="B83" s="166"/>
      <c r="C83" s="98"/>
      <c r="D83" s="97"/>
      <c r="E83" s="165"/>
      <c r="F83" s="138"/>
      <c r="G83" s="97"/>
      <c r="H83" s="98"/>
      <c r="I83" s="105"/>
      <c r="J83" s="97"/>
      <c r="K83" s="101"/>
      <c r="L83" s="101"/>
      <c r="M83" s="102"/>
      <c r="N83" s="124"/>
      <c r="O83" s="125"/>
      <c r="P83" s="97"/>
      <c r="Q83" s="131"/>
      <c r="R83" s="126"/>
      <c r="S83" s="97"/>
      <c r="T83" s="97"/>
      <c r="V83" s="108"/>
    </row>
    <row r="84" ht="15.75" customHeight="1">
      <c r="A84" s="91"/>
      <c r="B84" s="166"/>
      <c r="C84" s="98"/>
      <c r="D84" s="97"/>
      <c r="E84" s="165"/>
      <c r="F84" s="138"/>
      <c r="G84" s="97"/>
      <c r="H84" s="98"/>
      <c r="I84" s="105"/>
      <c r="J84" s="97"/>
      <c r="K84" s="114"/>
      <c r="L84" s="114"/>
      <c r="M84" s="102"/>
      <c r="N84" s="124"/>
      <c r="O84" s="125"/>
      <c r="P84" s="97"/>
      <c r="Q84" s="97"/>
      <c r="R84" s="126"/>
      <c r="S84" s="97"/>
      <c r="T84" s="97"/>
      <c r="V84" s="108"/>
    </row>
    <row r="85" ht="15.75" customHeight="1">
      <c r="A85" s="91"/>
      <c r="B85" s="166"/>
      <c r="C85" s="137"/>
      <c r="D85" s="97"/>
      <c r="E85" s="165"/>
      <c r="F85" s="138"/>
      <c r="G85" s="97"/>
      <c r="H85" s="98"/>
      <c r="I85" s="105"/>
      <c r="J85" s="97"/>
      <c r="K85" s="101"/>
      <c r="L85" s="101"/>
      <c r="M85" s="102"/>
      <c r="N85" s="124"/>
      <c r="O85" s="125"/>
      <c r="P85" s="97"/>
      <c r="Q85" s="131"/>
      <c r="R85" s="126"/>
      <c r="S85" s="97"/>
      <c r="T85" s="97"/>
      <c r="V85" s="108"/>
    </row>
    <row r="86" ht="15.75" customHeight="1">
      <c r="A86" s="91"/>
      <c r="B86" s="166"/>
      <c r="C86" s="99"/>
      <c r="D86" s="97"/>
      <c r="E86" s="165"/>
      <c r="F86" s="138"/>
      <c r="G86" s="97"/>
      <c r="H86" s="98"/>
      <c r="I86" s="105"/>
      <c r="J86" s="97"/>
      <c r="K86" s="114"/>
      <c r="L86" s="114"/>
      <c r="M86" s="102"/>
      <c r="N86" s="103"/>
      <c r="O86" s="104"/>
      <c r="P86" s="97"/>
      <c r="Q86" s="130"/>
      <c r="R86" s="116"/>
      <c r="S86" s="105"/>
      <c r="T86" s="105"/>
      <c r="V86" s="108"/>
    </row>
    <row r="87" ht="15.75" customHeight="1">
      <c r="A87" s="91"/>
      <c r="B87" s="166"/>
      <c r="C87" s="98"/>
      <c r="D87" s="97"/>
      <c r="E87" s="165"/>
      <c r="F87" s="138"/>
      <c r="G87" s="97"/>
      <c r="H87" s="98"/>
      <c r="I87" s="105"/>
      <c r="J87" s="97"/>
      <c r="K87" s="101"/>
      <c r="L87" s="101"/>
      <c r="M87" s="102"/>
      <c r="N87" s="124"/>
      <c r="O87" s="104"/>
      <c r="P87" s="97"/>
      <c r="Q87" s="131"/>
      <c r="R87" s="107"/>
      <c r="S87" s="105"/>
      <c r="T87" s="105"/>
      <c r="V87" s="108"/>
    </row>
    <row r="88" ht="15.75" customHeight="1">
      <c r="A88" s="91"/>
      <c r="B88" s="166"/>
      <c r="C88" s="98"/>
      <c r="D88" s="97"/>
      <c r="E88" s="165"/>
      <c r="F88" s="138"/>
      <c r="G88" s="97"/>
      <c r="H88" s="98"/>
      <c r="I88" s="105"/>
      <c r="J88" s="97"/>
      <c r="K88" s="114"/>
      <c r="L88" s="114"/>
      <c r="M88" s="102"/>
      <c r="N88" s="103"/>
      <c r="O88" s="104"/>
      <c r="P88" s="97"/>
      <c r="Q88" s="115"/>
      <c r="R88" s="107"/>
      <c r="S88" s="105"/>
      <c r="T88" s="105"/>
      <c r="V88" s="108"/>
    </row>
    <row r="89" ht="15.75" customHeight="1">
      <c r="A89" s="91"/>
      <c r="B89" s="166"/>
      <c r="C89" s="98"/>
      <c r="D89" s="97"/>
      <c r="E89" s="165"/>
      <c r="F89" s="138"/>
      <c r="G89" s="97"/>
      <c r="H89" s="98"/>
      <c r="I89" s="105"/>
      <c r="J89" s="97"/>
      <c r="K89" s="101"/>
      <c r="L89" s="101"/>
      <c r="M89" s="102"/>
      <c r="N89" s="124"/>
      <c r="O89" s="125"/>
      <c r="P89" s="97"/>
      <c r="Q89" s="97"/>
      <c r="R89" s="126"/>
      <c r="S89" s="97"/>
      <c r="T89" s="97"/>
      <c r="V89" s="108"/>
    </row>
    <row r="90" ht="15.75" customHeight="1">
      <c r="A90" s="91"/>
      <c r="B90" s="166"/>
      <c r="C90" s="138"/>
      <c r="D90" s="97"/>
      <c r="E90" s="165"/>
      <c r="F90" s="169"/>
      <c r="G90" s="97"/>
      <c r="H90" s="98"/>
      <c r="I90" s="105"/>
      <c r="J90" s="97"/>
      <c r="K90" s="114"/>
      <c r="L90" s="114"/>
      <c r="M90" s="102"/>
      <c r="N90" s="103"/>
      <c r="O90" s="104"/>
      <c r="P90" s="97"/>
      <c r="Q90" s="105"/>
      <c r="R90" s="107"/>
      <c r="S90" s="105"/>
      <c r="T90" s="105"/>
      <c r="V90" s="108"/>
    </row>
    <row r="91" ht="15.75" customHeight="1">
      <c r="A91" s="91"/>
      <c r="B91" s="166"/>
      <c r="C91" s="140"/>
      <c r="D91" s="97"/>
      <c r="E91" s="165"/>
      <c r="F91" s="138"/>
      <c r="G91" s="97"/>
      <c r="H91" s="98"/>
      <c r="I91" s="105"/>
      <c r="J91" s="97"/>
      <c r="K91" s="101"/>
      <c r="L91" s="101"/>
      <c r="M91" s="102"/>
      <c r="N91" s="124"/>
      <c r="O91" s="125"/>
      <c r="P91" s="97"/>
      <c r="Q91" s="97"/>
      <c r="R91" s="126"/>
      <c r="S91" s="97"/>
      <c r="T91" s="97"/>
      <c r="V91" s="108"/>
    </row>
    <row r="92" ht="15.75" customHeight="1">
      <c r="A92" s="91"/>
      <c r="B92" s="166"/>
      <c r="C92" s="138"/>
      <c r="D92" s="97"/>
      <c r="E92" s="165"/>
      <c r="F92" s="138"/>
      <c r="G92" s="97"/>
      <c r="H92" s="98"/>
      <c r="I92" s="105"/>
      <c r="J92" s="97"/>
      <c r="K92" s="114"/>
      <c r="L92" s="114"/>
      <c r="M92" s="102"/>
      <c r="N92" s="103"/>
      <c r="O92" s="104"/>
      <c r="P92" s="97"/>
      <c r="Q92" s="130"/>
      <c r="R92" s="107"/>
      <c r="S92" s="105"/>
      <c r="T92" s="105"/>
      <c r="V92" s="108"/>
    </row>
    <row r="93" ht="15.75" customHeight="1">
      <c r="A93" s="91"/>
      <c r="B93" s="166"/>
      <c r="C93" s="140"/>
      <c r="D93" s="97"/>
      <c r="E93" s="138"/>
      <c r="F93" s="138"/>
      <c r="G93" s="97"/>
      <c r="H93" s="98"/>
      <c r="I93" s="105"/>
      <c r="J93" s="97"/>
      <c r="K93" s="101"/>
      <c r="L93" s="101"/>
      <c r="M93" s="102"/>
      <c r="N93" s="124"/>
      <c r="O93" s="125"/>
      <c r="P93" s="97"/>
      <c r="Q93" s="131"/>
      <c r="R93" s="126"/>
      <c r="S93" s="97"/>
      <c r="T93" s="97"/>
      <c r="V93" s="108"/>
    </row>
    <row r="94" ht="15.75" customHeight="1">
      <c r="A94" s="91"/>
      <c r="B94" s="166"/>
      <c r="C94" s="98"/>
      <c r="D94" s="97"/>
      <c r="E94" s="165"/>
      <c r="F94" s="138"/>
      <c r="G94" s="97"/>
      <c r="H94" s="98"/>
      <c r="I94" s="105"/>
      <c r="J94" s="97"/>
      <c r="K94" s="114"/>
      <c r="L94" s="114"/>
      <c r="M94" s="102"/>
      <c r="N94" s="124"/>
      <c r="O94" s="125"/>
      <c r="P94" s="97"/>
      <c r="Q94" s="97"/>
      <c r="R94" s="126"/>
      <c r="S94" s="97"/>
      <c r="T94" s="97"/>
      <c r="V94" s="108"/>
    </row>
    <row r="95" ht="15.75" customHeight="1">
      <c r="A95" s="91"/>
      <c r="B95" s="166"/>
      <c r="C95" s="98"/>
      <c r="D95" s="97"/>
      <c r="E95" s="165"/>
      <c r="F95" s="138"/>
      <c r="G95" s="97"/>
      <c r="H95" s="98"/>
      <c r="I95" s="105"/>
      <c r="J95" s="97"/>
      <c r="K95" s="101"/>
      <c r="L95" s="101"/>
      <c r="M95" s="102"/>
      <c r="N95" s="103"/>
      <c r="O95" s="104"/>
      <c r="P95" s="97"/>
      <c r="Q95" s="115"/>
      <c r="R95" s="107"/>
      <c r="S95" s="105"/>
      <c r="T95" s="105"/>
      <c r="V95" s="108"/>
    </row>
    <row r="96" ht="15.75" customHeight="1">
      <c r="A96" s="91"/>
      <c r="B96" s="166"/>
      <c r="C96" s="98"/>
      <c r="D96" s="97"/>
      <c r="E96" s="165"/>
      <c r="F96" s="138"/>
      <c r="G96" s="97"/>
      <c r="H96" s="98"/>
      <c r="I96" s="105"/>
      <c r="J96" s="97"/>
      <c r="K96" s="114"/>
      <c r="L96" s="114"/>
      <c r="M96" s="102"/>
      <c r="N96" s="124"/>
      <c r="O96" s="125"/>
      <c r="P96" s="97"/>
      <c r="Q96" s="97"/>
      <c r="R96" s="126"/>
      <c r="S96" s="97"/>
      <c r="T96" s="97"/>
      <c r="V96" s="108"/>
    </row>
    <row r="97" ht="15.75" customHeight="1">
      <c r="A97" s="91"/>
      <c r="B97" s="166"/>
      <c r="C97" s="98"/>
      <c r="D97" s="97"/>
      <c r="E97" s="170"/>
      <c r="F97" s="138"/>
      <c r="G97" s="97"/>
      <c r="H97" s="98"/>
      <c r="I97" s="105"/>
      <c r="J97" s="97"/>
      <c r="K97" s="101"/>
      <c r="L97" s="101"/>
      <c r="M97" s="102"/>
      <c r="N97" s="124"/>
      <c r="O97" s="125"/>
      <c r="P97" s="97"/>
      <c r="Q97" s="131"/>
      <c r="R97" s="126"/>
      <c r="S97" s="97"/>
      <c r="T97" s="97"/>
      <c r="V97" s="108"/>
    </row>
    <row r="98" ht="15.75" customHeight="1">
      <c r="A98" s="91"/>
      <c r="B98" s="166"/>
      <c r="C98" s="107"/>
      <c r="D98" s="97"/>
      <c r="E98" s="165"/>
      <c r="F98" s="138"/>
      <c r="G98" s="97"/>
      <c r="H98" s="98"/>
      <c r="I98" s="105"/>
      <c r="J98" s="97"/>
      <c r="K98" s="114"/>
      <c r="L98" s="114"/>
      <c r="M98" s="102"/>
      <c r="N98" s="124"/>
      <c r="O98" s="125"/>
      <c r="P98" s="97"/>
      <c r="Q98" s="130"/>
      <c r="R98" s="107"/>
      <c r="S98" s="97"/>
      <c r="T98" s="105"/>
      <c r="V98" s="108"/>
    </row>
    <row r="99" ht="15.75" customHeight="1">
      <c r="A99" s="91"/>
      <c r="B99" s="166"/>
      <c r="C99" s="107"/>
      <c r="D99" s="97"/>
      <c r="E99" s="165"/>
      <c r="F99" s="138"/>
      <c r="G99" s="97"/>
      <c r="H99" s="98"/>
      <c r="I99" s="105"/>
      <c r="J99" s="97"/>
      <c r="K99" s="101"/>
      <c r="L99" s="101"/>
      <c r="M99" s="102"/>
      <c r="N99" s="124"/>
      <c r="O99" s="125"/>
      <c r="P99" s="97"/>
      <c r="Q99" s="130"/>
      <c r="R99" s="107"/>
      <c r="S99" s="97"/>
      <c r="T99" s="105"/>
      <c r="V99" s="108"/>
    </row>
    <row r="100" ht="15.75" customHeight="1">
      <c r="A100" s="91"/>
      <c r="B100" s="166"/>
      <c r="C100" s="98"/>
      <c r="D100" s="97"/>
      <c r="E100" s="98"/>
      <c r="F100" s="140"/>
      <c r="G100" s="97"/>
      <c r="H100" s="98"/>
      <c r="I100" s="105"/>
      <c r="J100" s="97"/>
      <c r="K100" s="114"/>
      <c r="L100" s="114"/>
      <c r="M100" s="102"/>
      <c r="N100" s="124"/>
      <c r="O100" s="125"/>
      <c r="P100" s="97"/>
      <c r="Q100" s="131"/>
      <c r="R100" s="126"/>
      <c r="S100" s="97"/>
      <c r="T100" s="97"/>
      <c r="V100" s="108"/>
    </row>
    <row r="101" ht="15.75" customHeight="1">
      <c r="A101" s="91"/>
      <c r="B101" s="166"/>
      <c r="C101" s="98"/>
      <c r="D101" s="97"/>
      <c r="E101" s="165"/>
      <c r="F101" s="138"/>
      <c r="G101" s="97"/>
      <c r="H101" s="98"/>
      <c r="I101" s="105"/>
      <c r="J101" s="97"/>
      <c r="K101" s="101"/>
      <c r="L101" s="101"/>
      <c r="M101" s="102"/>
      <c r="N101" s="124"/>
      <c r="O101" s="125"/>
      <c r="P101" s="97"/>
      <c r="Q101" s="97"/>
      <c r="R101" s="126"/>
      <c r="S101" s="97"/>
      <c r="T101" s="97"/>
      <c r="V101" s="108"/>
    </row>
    <row r="102" ht="15.75" customHeight="1">
      <c r="A102" s="91"/>
      <c r="B102" s="166"/>
      <c r="C102" s="98"/>
      <c r="D102" s="97"/>
      <c r="E102" s="165"/>
      <c r="F102" s="138"/>
      <c r="G102" s="97"/>
      <c r="H102" s="98"/>
      <c r="I102" s="105"/>
      <c r="J102" s="97"/>
      <c r="K102" s="114"/>
      <c r="L102" s="114"/>
      <c r="M102" s="102"/>
      <c r="N102" s="103"/>
      <c r="O102" s="104"/>
      <c r="P102" s="97"/>
      <c r="Q102" s="115"/>
      <c r="R102" s="116"/>
      <c r="S102" s="105"/>
      <c r="T102" s="105"/>
      <c r="V102" s="108"/>
    </row>
    <row r="103" ht="15.75" customHeight="1">
      <c r="A103" s="91"/>
      <c r="B103" s="171"/>
      <c r="C103" s="143"/>
      <c r="D103" s="97"/>
      <c r="E103" s="143"/>
      <c r="F103" s="169"/>
      <c r="G103" s="97"/>
      <c r="H103" s="98"/>
      <c r="I103" s="105"/>
      <c r="J103" s="97"/>
      <c r="K103" s="101"/>
      <c r="L103" s="101"/>
      <c r="M103" s="102"/>
      <c r="N103" s="103"/>
      <c r="O103" s="125"/>
      <c r="P103" s="97"/>
      <c r="Q103" s="131"/>
      <c r="R103" s="126"/>
      <c r="S103" s="105"/>
      <c r="T103" s="97"/>
      <c r="V103" s="108"/>
    </row>
    <row r="104" ht="15.75" customHeight="1">
      <c r="A104" s="91"/>
      <c r="B104" s="171"/>
      <c r="C104" s="143"/>
      <c r="D104" s="97"/>
      <c r="E104" s="143"/>
      <c r="F104" s="143"/>
      <c r="G104" s="97"/>
      <c r="H104" s="98"/>
      <c r="I104" s="105"/>
      <c r="J104" s="97"/>
      <c r="K104" s="114"/>
      <c r="L104" s="114"/>
      <c r="M104" s="102"/>
      <c r="N104" s="103"/>
      <c r="O104" s="125"/>
      <c r="P104" s="97"/>
      <c r="Q104" s="97"/>
      <c r="R104" s="126"/>
      <c r="S104" s="105"/>
      <c r="T104" s="97"/>
      <c r="V104" s="108"/>
    </row>
    <row r="105" ht="15.75" customHeight="1">
      <c r="A105" s="91"/>
      <c r="B105" s="171"/>
      <c r="C105" s="108"/>
      <c r="D105" s="97"/>
      <c r="E105" s="143"/>
      <c r="F105" s="143"/>
      <c r="G105" s="97"/>
      <c r="H105" s="98"/>
      <c r="I105" s="105"/>
      <c r="J105" s="97"/>
      <c r="K105" s="101"/>
      <c r="L105" s="101"/>
      <c r="M105" s="102"/>
      <c r="N105" s="103"/>
      <c r="O105" s="125"/>
      <c r="P105" s="97"/>
      <c r="Q105" s="131"/>
      <c r="R105" s="126"/>
      <c r="S105" s="105"/>
      <c r="T105" s="97"/>
      <c r="V105" s="108"/>
    </row>
    <row r="106" ht="15.75" customHeight="1">
      <c r="A106" s="91"/>
      <c r="B106" s="171"/>
      <c r="C106" s="108"/>
      <c r="D106" s="97"/>
      <c r="E106" s="143"/>
      <c r="F106" s="143"/>
      <c r="G106" s="97"/>
      <c r="H106" s="98"/>
      <c r="I106" s="105"/>
      <c r="J106" s="97"/>
      <c r="K106" s="114"/>
      <c r="L106" s="114"/>
      <c r="M106" s="102"/>
      <c r="N106" s="103"/>
      <c r="O106" s="125"/>
      <c r="P106" s="97"/>
      <c r="Q106" s="131"/>
      <c r="R106" s="126"/>
      <c r="S106" s="105"/>
      <c r="T106" s="97"/>
      <c r="V106" s="108"/>
    </row>
    <row r="107" ht="15.75" customHeight="1">
      <c r="A107" s="91"/>
      <c r="B107" s="171"/>
      <c r="C107" s="143"/>
      <c r="D107" s="97"/>
      <c r="E107" s="143"/>
      <c r="F107" s="143"/>
      <c r="G107" s="97"/>
      <c r="H107" s="98"/>
      <c r="I107" s="105"/>
      <c r="J107" s="97"/>
      <c r="K107" s="101"/>
      <c r="L107" s="101"/>
      <c r="M107" s="102"/>
      <c r="N107" s="103"/>
      <c r="O107" s="125"/>
      <c r="P107" s="97"/>
      <c r="Q107" s="131"/>
      <c r="R107" s="126"/>
      <c r="S107" s="105"/>
      <c r="T107" s="97"/>
      <c r="V107" s="108"/>
    </row>
    <row r="108" ht="15.75" customHeight="1">
      <c r="A108" s="91"/>
      <c r="B108" s="171"/>
      <c r="C108" s="143"/>
      <c r="D108" s="97"/>
      <c r="E108" s="143"/>
      <c r="F108" s="143"/>
      <c r="G108" s="97"/>
      <c r="H108" s="98"/>
      <c r="I108" s="105"/>
      <c r="J108" s="97"/>
      <c r="K108" s="114"/>
      <c r="L108" s="114"/>
      <c r="M108" s="102"/>
      <c r="N108" s="103"/>
      <c r="O108" s="125"/>
      <c r="P108" s="97"/>
      <c r="Q108" s="97"/>
      <c r="R108" s="126"/>
      <c r="S108" s="105"/>
      <c r="T108" s="97"/>
      <c r="V108" s="108"/>
    </row>
    <row r="109" ht="15.75" customHeight="1">
      <c r="A109" s="91"/>
      <c r="B109" s="171"/>
      <c r="C109" s="143"/>
      <c r="D109" s="97"/>
      <c r="E109" s="143"/>
      <c r="F109" s="143"/>
      <c r="G109" s="97"/>
      <c r="H109" s="98"/>
      <c r="I109" s="105"/>
      <c r="J109" s="97"/>
      <c r="K109" s="101"/>
      <c r="L109" s="101"/>
      <c r="M109" s="102"/>
      <c r="N109" s="103"/>
      <c r="O109" s="125"/>
      <c r="P109" s="97"/>
      <c r="Q109" s="131"/>
      <c r="R109" s="126"/>
      <c r="S109" s="105"/>
      <c r="T109" s="97"/>
      <c r="V109" s="108"/>
    </row>
    <row r="110" ht="15.75" customHeight="1">
      <c r="A110" s="91"/>
      <c r="B110" s="171"/>
      <c r="C110" s="143"/>
      <c r="D110" s="97"/>
      <c r="E110" s="143"/>
      <c r="F110" s="143"/>
      <c r="G110" s="97"/>
      <c r="H110" s="143"/>
      <c r="I110" s="145"/>
      <c r="J110" s="97"/>
      <c r="K110" s="114"/>
      <c r="L110" s="114"/>
      <c r="M110" s="102"/>
      <c r="N110" s="124"/>
      <c r="O110" s="125"/>
      <c r="P110" s="97"/>
      <c r="Q110" s="97"/>
      <c r="R110" s="126"/>
      <c r="S110" s="97"/>
      <c r="T110" s="97"/>
      <c r="V110" s="108"/>
    </row>
    <row r="111" ht="15.75" customHeight="1">
      <c r="A111" s="91"/>
      <c r="B111" s="171"/>
      <c r="C111" s="143"/>
      <c r="D111" s="97"/>
      <c r="E111" s="143"/>
      <c r="F111" s="143"/>
      <c r="G111" s="97"/>
      <c r="H111" s="143"/>
      <c r="I111" s="97"/>
      <c r="J111" s="97"/>
      <c r="K111" s="101"/>
      <c r="L111" s="101"/>
      <c r="M111" s="102"/>
      <c r="N111" s="124"/>
      <c r="O111" s="125"/>
      <c r="P111" s="97"/>
      <c r="Q111" s="131"/>
      <c r="R111" s="126"/>
      <c r="S111" s="97"/>
      <c r="T111" s="97"/>
      <c r="V111" s="108"/>
    </row>
    <row r="112" ht="15.75" customHeight="1">
      <c r="A112" s="91"/>
      <c r="B112" s="171"/>
      <c r="C112" s="108"/>
      <c r="D112" s="97"/>
      <c r="E112" s="143"/>
      <c r="F112" s="143"/>
      <c r="G112" s="97"/>
      <c r="H112" s="143"/>
      <c r="I112" s="97"/>
      <c r="J112" s="97"/>
      <c r="K112" s="114"/>
      <c r="L112" s="114"/>
      <c r="M112" s="102"/>
      <c r="N112" s="124"/>
      <c r="O112" s="125"/>
      <c r="P112" s="97"/>
      <c r="Q112" s="97"/>
      <c r="R112" s="126"/>
      <c r="S112" s="97"/>
      <c r="T112" s="97"/>
      <c r="V112" s="108"/>
    </row>
    <row r="113" ht="15.75" customHeight="1">
      <c r="A113" s="91"/>
      <c r="B113" s="171"/>
      <c r="C113" s="108"/>
      <c r="D113" s="97"/>
      <c r="E113" s="143"/>
      <c r="F113" s="143"/>
      <c r="G113" s="97"/>
      <c r="H113" s="143"/>
      <c r="I113" s="97"/>
      <c r="J113" s="97"/>
      <c r="K113" s="101"/>
      <c r="L113" s="101"/>
      <c r="M113" s="102"/>
      <c r="N113" s="124"/>
      <c r="O113" s="125"/>
      <c r="P113" s="97"/>
      <c r="Q113" s="97"/>
      <c r="R113" s="126"/>
      <c r="S113" s="97"/>
      <c r="T113" s="97"/>
      <c r="V113" s="108"/>
    </row>
    <row r="114" ht="15.75" customHeight="1">
      <c r="A114" s="91"/>
      <c r="B114" s="171"/>
      <c r="C114" s="108"/>
      <c r="D114" s="97"/>
      <c r="E114" s="143"/>
      <c r="F114" s="143"/>
      <c r="G114" s="97"/>
      <c r="H114" s="143"/>
      <c r="I114" s="97"/>
      <c r="J114" s="97"/>
      <c r="K114" s="114"/>
      <c r="L114" s="114"/>
      <c r="M114" s="102"/>
      <c r="N114" s="124"/>
      <c r="O114" s="125"/>
      <c r="P114" s="97"/>
      <c r="Q114" s="97"/>
      <c r="R114" s="126"/>
      <c r="S114" s="97"/>
      <c r="T114" s="97"/>
      <c r="V114" s="108"/>
    </row>
    <row r="115" ht="15.75" customHeight="1">
      <c r="A115" s="91"/>
      <c r="B115" s="171"/>
      <c r="C115" s="143"/>
      <c r="D115" s="97"/>
      <c r="E115" s="143"/>
      <c r="F115" s="143"/>
      <c r="G115" s="97"/>
      <c r="H115" s="143"/>
      <c r="I115" s="97"/>
      <c r="J115" s="97"/>
      <c r="K115" s="101"/>
      <c r="L115" s="101"/>
      <c r="M115" s="102"/>
      <c r="N115" s="124"/>
      <c r="O115" s="125"/>
      <c r="P115" s="97"/>
      <c r="Q115" s="97"/>
      <c r="R115" s="126"/>
      <c r="S115" s="97"/>
      <c r="T115" s="97"/>
      <c r="V115" s="108"/>
    </row>
    <row r="116" ht="15.75" customHeight="1">
      <c r="A116" s="91"/>
      <c r="B116" s="171"/>
      <c r="C116" s="143"/>
      <c r="D116" s="97"/>
      <c r="E116" s="143"/>
      <c r="F116" s="143"/>
      <c r="G116" s="97"/>
      <c r="H116" s="143"/>
      <c r="I116" s="97"/>
      <c r="J116" s="97"/>
      <c r="K116" s="114"/>
      <c r="L116" s="114"/>
      <c r="M116" s="102"/>
      <c r="N116" s="124"/>
      <c r="O116" s="125"/>
      <c r="P116" s="97"/>
      <c r="Q116" s="97"/>
      <c r="R116" s="126"/>
      <c r="S116" s="97"/>
      <c r="T116" s="97"/>
      <c r="V116" s="108"/>
    </row>
    <row r="117" ht="15.75" customHeight="1">
      <c r="A117" s="91"/>
      <c r="B117" s="171"/>
      <c r="C117" s="143"/>
      <c r="D117" s="97"/>
      <c r="E117" s="143"/>
      <c r="F117" s="143"/>
      <c r="G117" s="97"/>
      <c r="H117" s="143"/>
      <c r="I117" s="97"/>
      <c r="J117" s="97"/>
      <c r="K117" s="101"/>
      <c r="L117" s="101"/>
      <c r="M117" s="102"/>
      <c r="N117" s="124"/>
      <c r="O117" s="125"/>
      <c r="P117" s="97"/>
      <c r="Q117" s="97"/>
      <c r="R117" s="126"/>
      <c r="S117" s="97"/>
      <c r="T117" s="97"/>
      <c r="V117" s="108"/>
    </row>
    <row r="118" ht="15.75" customHeight="1">
      <c r="A118" s="91"/>
      <c r="B118" s="171"/>
      <c r="C118" s="143"/>
      <c r="D118" s="97"/>
      <c r="E118" s="143"/>
      <c r="F118" s="143"/>
      <c r="G118" s="97"/>
      <c r="H118" s="143"/>
      <c r="I118" s="97"/>
      <c r="J118" s="97"/>
      <c r="K118" s="114"/>
      <c r="L118" s="114"/>
      <c r="M118" s="102"/>
      <c r="N118" s="124"/>
      <c r="O118" s="125"/>
      <c r="P118" s="97"/>
      <c r="Q118" s="97"/>
      <c r="R118" s="126"/>
      <c r="S118" s="97"/>
      <c r="T118" s="97"/>
      <c r="V118" s="108"/>
    </row>
    <row r="119" ht="15.75" customHeight="1">
      <c r="A119" s="91"/>
      <c r="B119" s="171"/>
      <c r="C119" s="143"/>
      <c r="D119" s="97"/>
      <c r="E119" s="143"/>
      <c r="F119" s="143"/>
      <c r="G119" s="97"/>
      <c r="H119" s="143"/>
      <c r="I119" s="97"/>
      <c r="J119" s="97"/>
      <c r="K119" s="101"/>
      <c r="L119" s="101"/>
      <c r="M119" s="102"/>
      <c r="N119" s="124"/>
      <c r="O119" s="125"/>
      <c r="P119" s="97"/>
      <c r="Q119" s="131"/>
      <c r="R119" s="126"/>
      <c r="S119" s="97"/>
      <c r="T119" s="97"/>
      <c r="V119" s="108"/>
    </row>
    <row r="120" ht="15.75" customHeight="1">
      <c r="A120" s="91"/>
      <c r="B120" s="171"/>
      <c r="C120" s="108"/>
      <c r="D120" s="97"/>
      <c r="E120" s="143"/>
      <c r="F120" s="143"/>
      <c r="G120" s="97"/>
      <c r="H120" s="143"/>
      <c r="I120" s="97"/>
      <c r="J120" s="97"/>
      <c r="K120" s="114"/>
      <c r="L120" s="114"/>
      <c r="M120" s="102"/>
      <c r="N120" s="124"/>
      <c r="O120" s="125"/>
      <c r="P120" s="97"/>
      <c r="Q120" s="97"/>
      <c r="R120" s="126"/>
      <c r="S120" s="97"/>
      <c r="T120" s="97"/>
      <c r="V120" s="108"/>
    </row>
    <row r="121" ht="15.75" customHeight="1">
      <c r="A121" s="91"/>
      <c r="B121" s="171"/>
      <c r="C121" s="108"/>
      <c r="D121" s="97"/>
      <c r="E121" s="143"/>
      <c r="F121" s="143"/>
      <c r="G121" s="97"/>
      <c r="H121" s="143"/>
      <c r="I121" s="97"/>
      <c r="J121" s="97"/>
      <c r="K121" s="101"/>
      <c r="L121" s="101"/>
      <c r="M121" s="102"/>
      <c r="N121" s="124"/>
      <c r="O121" s="125"/>
      <c r="P121" s="97"/>
      <c r="Q121" s="97"/>
      <c r="R121" s="126"/>
      <c r="S121" s="97"/>
      <c r="T121" s="97"/>
      <c r="V121" s="108"/>
    </row>
    <row r="122" ht="15.75" customHeight="1">
      <c r="A122" s="91"/>
      <c r="B122" s="171"/>
      <c r="C122" s="108"/>
      <c r="D122" s="97"/>
      <c r="E122" s="143"/>
      <c r="F122" s="143"/>
      <c r="G122" s="97"/>
      <c r="H122" s="143"/>
      <c r="I122" s="97"/>
      <c r="J122" s="97"/>
      <c r="K122" s="114"/>
      <c r="L122" s="114"/>
      <c r="M122" s="102"/>
      <c r="N122" s="124"/>
      <c r="O122" s="125"/>
      <c r="P122" s="97"/>
      <c r="Q122" s="131"/>
      <c r="R122" s="126"/>
      <c r="S122" s="97"/>
      <c r="T122" s="97"/>
      <c r="V122" s="108"/>
    </row>
    <row r="123" ht="15.75" customHeight="1">
      <c r="A123" s="91"/>
      <c r="B123" s="171"/>
      <c r="C123" s="143"/>
      <c r="D123" s="97"/>
      <c r="E123" s="143"/>
      <c r="F123" s="143"/>
      <c r="G123" s="97"/>
      <c r="H123" s="143"/>
      <c r="I123" s="97"/>
      <c r="J123" s="97"/>
      <c r="K123" s="101"/>
      <c r="L123" s="101"/>
      <c r="M123" s="102"/>
      <c r="N123" s="124"/>
      <c r="O123" s="125"/>
      <c r="P123" s="97"/>
      <c r="Q123" s="131"/>
      <c r="R123" s="126"/>
      <c r="S123" s="97"/>
      <c r="T123" s="97"/>
      <c r="V123" s="108"/>
    </row>
    <row r="124" ht="15.75" customHeight="1">
      <c r="A124" s="91"/>
      <c r="B124" s="171"/>
      <c r="C124" s="143"/>
      <c r="D124" s="97"/>
      <c r="E124" s="143"/>
      <c r="F124" s="143"/>
      <c r="G124" s="97"/>
      <c r="H124" s="143"/>
      <c r="I124" s="97"/>
      <c r="J124" s="97"/>
      <c r="K124" s="114"/>
      <c r="L124" s="114"/>
      <c r="M124" s="102"/>
      <c r="N124" s="124"/>
      <c r="O124" s="125"/>
      <c r="P124" s="97"/>
      <c r="Q124" s="131"/>
      <c r="R124" s="126"/>
      <c r="S124" s="97"/>
      <c r="T124" s="97"/>
      <c r="V124" s="108"/>
    </row>
    <row r="125" ht="15.75" customHeight="1">
      <c r="A125" s="91"/>
      <c r="B125" s="171"/>
      <c r="C125" s="143"/>
      <c r="D125" s="97"/>
      <c r="E125" s="143"/>
      <c r="F125" s="143"/>
      <c r="G125" s="97"/>
      <c r="H125" s="143"/>
      <c r="I125" s="97"/>
      <c r="J125" s="97"/>
      <c r="K125" s="101"/>
      <c r="L125" s="101"/>
      <c r="M125" s="102"/>
      <c r="N125" s="124"/>
      <c r="O125" s="125"/>
      <c r="P125" s="97"/>
      <c r="Q125" s="131"/>
      <c r="R125" s="126"/>
      <c r="S125" s="97"/>
      <c r="T125" s="97"/>
      <c r="V125" s="108"/>
    </row>
    <row r="126" ht="15.75" customHeight="1">
      <c r="A126" s="91"/>
      <c r="B126" s="171"/>
      <c r="C126" s="143"/>
      <c r="D126" s="97"/>
      <c r="E126" s="143"/>
      <c r="F126" s="143"/>
      <c r="G126" s="97"/>
      <c r="H126" s="143"/>
      <c r="I126" s="97"/>
      <c r="J126" s="97"/>
      <c r="K126" s="114"/>
      <c r="L126" s="114"/>
      <c r="M126" s="102"/>
      <c r="N126" s="124"/>
      <c r="O126" s="125"/>
      <c r="P126" s="97"/>
      <c r="Q126" s="131"/>
      <c r="R126" s="126"/>
      <c r="S126" s="97"/>
      <c r="T126" s="97"/>
      <c r="V126" s="108"/>
    </row>
    <row r="127" ht="15.75" customHeight="1">
      <c r="A127" s="91"/>
      <c r="B127" s="171"/>
      <c r="C127" s="143"/>
      <c r="D127" s="97"/>
      <c r="E127" s="143"/>
      <c r="F127" s="143"/>
      <c r="G127" s="97"/>
      <c r="H127" s="143"/>
      <c r="I127" s="97"/>
      <c r="J127" s="97"/>
      <c r="K127" s="101"/>
      <c r="L127" s="101"/>
      <c r="M127" s="102"/>
      <c r="N127" s="124"/>
      <c r="O127" s="125"/>
      <c r="P127" s="97"/>
      <c r="Q127" s="131"/>
      <c r="R127" s="126"/>
      <c r="S127" s="97"/>
      <c r="T127" s="97"/>
      <c r="V127" s="108"/>
    </row>
    <row r="128" ht="15.75" customHeight="1">
      <c r="A128" s="91"/>
      <c r="B128" s="171"/>
      <c r="C128" s="108"/>
      <c r="D128" s="97"/>
      <c r="E128" s="143"/>
      <c r="F128" s="143"/>
      <c r="G128" s="97"/>
      <c r="H128" s="143"/>
      <c r="I128" s="97"/>
      <c r="J128" s="97"/>
      <c r="K128" s="114"/>
      <c r="L128" s="114"/>
      <c r="M128" s="102"/>
      <c r="N128" s="124"/>
      <c r="O128" s="125"/>
      <c r="P128" s="97"/>
      <c r="Q128" s="97"/>
      <c r="R128" s="126"/>
      <c r="S128" s="97"/>
      <c r="T128" s="97"/>
      <c r="V128" s="108"/>
    </row>
    <row r="129" ht="15.75" customHeight="1">
      <c r="A129" s="91"/>
      <c r="B129" s="171"/>
      <c r="C129" s="108"/>
      <c r="D129" s="97"/>
      <c r="E129" s="143"/>
      <c r="F129" s="143"/>
      <c r="G129" s="97"/>
      <c r="H129" s="143"/>
      <c r="I129" s="97"/>
      <c r="J129" s="97"/>
      <c r="K129" s="101"/>
      <c r="L129" s="101"/>
      <c r="M129" s="102"/>
      <c r="N129" s="124"/>
      <c r="O129" s="125"/>
      <c r="P129" s="97"/>
      <c r="Q129" s="131"/>
      <c r="R129" s="126"/>
      <c r="S129" s="97"/>
      <c r="T129" s="97"/>
      <c r="V129" s="108"/>
    </row>
    <row r="130" ht="15.75" customHeight="1">
      <c r="A130" s="91"/>
      <c r="B130" s="171"/>
      <c r="C130" s="108"/>
      <c r="D130" s="97"/>
      <c r="E130" s="143"/>
      <c r="F130" s="143"/>
      <c r="G130" s="97"/>
      <c r="H130" s="143"/>
      <c r="I130" s="97"/>
      <c r="J130" s="97"/>
      <c r="K130" s="114"/>
      <c r="L130" s="114"/>
      <c r="M130" s="102"/>
      <c r="N130" s="124"/>
      <c r="O130" s="125"/>
      <c r="P130" s="97"/>
      <c r="Q130" s="97"/>
      <c r="R130" s="126"/>
      <c r="S130" s="97"/>
      <c r="T130" s="97"/>
      <c r="V130" s="108"/>
    </row>
    <row r="131" ht="15.75" customHeight="1">
      <c r="A131" s="91"/>
      <c r="B131" s="171"/>
      <c r="C131" s="143"/>
      <c r="D131" s="97"/>
      <c r="E131" s="143"/>
      <c r="F131" s="143"/>
      <c r="G131" s="97"/>
      <c r="H131" s="143"/>
      <c r="I131" s="97"/>
      <c r="J131" s="97"/>
      <c r="K131" s="101"/>
      <c r="L131" s="101"/>
      <c r="M131" s="102"/>
      <c r="N131" s="124"/>
      <c r="O131" s="125"/>
      <c r="P131" s="97"/>
      <c r="Q131" s="97"/>
      <c r="R131" s="126"/>
      <c r="S131" s="97"/>
      <c r="T131" s="97"/>
      <c r="V131" s="108"/>
    </row>
    <row r="132" ht="15.75" customHeight="1">
      <c r="A132" s="91"/>
      <c r="B132" s="171"/>
      <c r="C132" s="143"/>
      <c r="D132" s="97"/>
      <c r="E132" s="143"/>
      <c r="F132" s="143"/>
      <c r="G132" s="97"/>
      <c r="H132" s="143"/>
      <c r="I132" s="97"/>
      <c r="J132" s="97"/>
      <c r="K132" s="114"/>
      <c r="L132" s="114"/>
      <c r="M132" s="102"/>
      <c r="N132" s="124"/>
      <c r="O132" s="125"/>
      <c r="P132" s="97"/>
      <c r="Q132" s="131"/>
      <c r="R132" s="126"/>
      <c r="S132" s="97"/>
      <c r="T132" s="97"/>
      <c r="V132" s="108"/>
    </row>
    <row r="133" ht="15.75" customHeight="1">
      <c r="A133" s="91"/>
      <c r="B133" s="171"/>
      <c r="C133" s="143"/>
      <c r="D133" s="97"/>
      <c r="E133" s="143"/>
      <c r="F133" s="143"/>
      <c r="G133" s="97"/>
      <c r="H133" s="143"/>
      <c r="I133" s="97"/>
      <c r="J133" s="97"/>
      <c r="K133" s="101"/>
      <c r="L133" s="101"/>
      <c r="M133" s="102"/>
      <c r="N133" s="124"/>
      <c r="O133" s="125"/>
      <c r="P133" s="97"/>
      <c r="Q133" s="97"/>
      <c r="R133" s="126"/>
      <c r="S133" s="97"/>
      <c r="T133" s="97"/>
      <c r="V133" s="108"/>
    </row>
    <row r="134" ht="15.75" customHeight="1">
      <c r="A134" s="91"/>
      <c r="B134" s="171"/>
      <c r="C134" s="143"/>
      <c r="D134" s="97"/>
      <c r="E134" s="143"/>
      <c r="F134" s="143"/>
      <c r="G134" s="97"/>
      <c r="H134" s="143"/>
      <c r="I134" s="97"/>
      <c r="J134" s="97"/>
      <c r="K134" s="114"/>
      <c r="L134" s="114"/>
      <c r="M134" s="102"/>
      <c r="N134" s="124"/>
      <c r="O134" s="125"/>
      <c r="P134" s="97"/>
      <c r="Q134" s="97"/>
      <c r="R134" s="126"/>
      <c r="S134" s="97"/>
      <c r="T134" s="97"/>
      <c r="V134" s="108"/>
    </row>
    <row r="135" ht="15.75" customHeight="1">
      <c r="A135" s="91"/>
      <c r="B135" s="171"/>
      <c r="C135" s="143"/>
      <c r="D135" s="97"/>
      <c r="E135" s="143"/>
      <c r="F135" s="143"/>
      <c r="G135" s="97"/>
      <c r="H135" s="143"/>
      <c r="I135" s="97"/>
      <c r="J135" s="97"/>
      <c r="K135" s="101"/>
      <c r="L135" s="101"/>
      <c r="M135" s="102"/>
      <c r="N135" s="124"/>
      <c r="O135" s="125"/>
      <c r="P135" s="97"/>
      <c r="Q135" s="131"/>
      <c r="R135" s="126"/>
      <c r="S135" s="97"/>
      <c r="T135" s="97"/>
      <c r="V135" s="108"/>
    </row>
    <row r="136" ht="15.75" customHeight="1">
      <c r="A136" s="91"/>
      <c r="B136" s="171"/>
      <c r="C136" s="108"/>
      <c r="D136" s="97"/>
      <c r="E136" s="143"/>
      <c r="F136" s="143"/>
      <c r="G136" s="97"/>
      <c r="H136" s="143"/>
      <c r="I136" s="97"/>
      <c r="J136" s="97"/>
      <c r="K136" s="114"/>
      <c r="L136" s="114"/>
      <c r="M136" s="102"/>
      <c r="N136" s="124"/>
      <c r="O136" s="125"/>
      <c r="P136" s="97"/>
      <c r="Q136" s="97"/>
      <c r="R136" s="126"/>
      <c r="S136" s="97"/>
      <c r="T136" s="97"/>
      <c r="V136" s="108"/>
    </row>
    <row r="137" ht="15.75" customHeight="1">
      <c r="A137" s="91"/>
      <c r="B137" s="171"/>
      <c r="C137" s="108"/>
      <c r="D137" s="97"/>
      <c r="E137" s="143"/>
      <c r="F137" s="143"/>
      <c r="G137" s="97"/>
      <c r="H137" s="143"/>
      <c r="I137" s="97"/>
      <c r="J137" s="97"/>
      <c r="K137" s="101"/>
      <c r="L137" s="101"/>
      <c r="M137" s="102"/>
      <c r="N137" s="124"/>
      <c r="O137" s="125"/>
      <c r="P137" s="97"/>
      <c r="Q137" s="131"/>
      <c r="R137" s="126"/>
      <c r="S137" s="97"/>
      <c r="T137" s="97"/>
      <c r="V137" s="108"/>
    </row>
    <row r="138" ht="15.75" customHeight="1">
      <c r="A138" s="91"/>
      <c r="B138" s="171"/>
      <c r="C138" s="108"/>
      <c r="D138" s="97"/>
      <c r="E138" s="143"/>
      <c r="F138" s="143"/>
      <c r="G138" s="97"/>
      <c r="H138" s="143"/>
      <c r="I138" s="97"/>
      <c r="J138" s="97"/>
      <c r="K138" s="114"/>
      <c r="L138" s="114"/>
      <c r="M138" s="102"/>
      <c r="N138" s="124"/>
      <c r="O138" s="125"/>
      <c r="P138" s="97"/>
      <c r="Q138" s="131"/>
      <c r="R138" s="126"/>
      <c r="S138" s="97"/>
      <c r="T138" s="97"/>
      <c r="V138" s="108"/>
    </row>
    <row r="139" ht="15.75" customHeight="1">
      <c r="A139" s="91"/>
      <c r="B139" s="171"/>
      <c r="C139" s="143"/>
      <c r="D139" s="97"/>
      <c r="E139" s="143"/>
      <c r="F139" s="143"/>
      <c r="G139" s="97"/>
      <c r="H139" s="143"/>
      <c r="I139" s="97"/>
      <c r="J139" s="97"/>
      <c r="K139" s="101"/>
      <c r="L139" s="101"/>
      <c r="M139" s="102"/>
      <c r="N139" s="124"/>
      <c r="O139" s="125"/>
      <c r="P139" s="97"/>
      <c r="Q139" s="131"/>
      <c r="R139" s="126"/>
      <c r="S139" s="97"/>
      <c r="T139" s="97"/>
      <c r="V139" s="108"/>
    </row>
    <row r="140" ht="15.75" customHeight="1">
      <c r="A140" s="91"/>
      <c r="B140" s="171"/>
      <c r="C140" s="143"/>
      <c r="D140" s="97"/>
      <c r="E140" s="143"/>
      <c r="F140" s="143"/>
      <c r="G140" s="97"/>
      <c r="H140" s="143"/>
      <c r="I140" s="97"/>
      <c r="J140" s="97"/>
      <c r="K140" s="114"/>
      <c r="L140" s="114"/>
      <c r="M140" s="102"/>
      <c r="N140" s="124"/>
      <c r="O140" s="125"/>
      <c r="P140" s="97"/>
      <c r="Q140" s="97"/>
      <c r="R140" s="126"/>
      <c r="S140" s="97"/>
      <c r="T140" s="97"/>
      <c r="V140" s="108"/>
    </row>
    <row r="141" ht="15.75" customHeight="1">
      <c r="A141" s="91"/>
      <c r="B141" s="171"/>
      <c r="C141" s="143"/>
      <c r="D141" s="97"/>
      <c r="E141" s="143"/>
      <c r="F141" s="143"/>
      <c r="G141" s="97"/>
      <c r="H141" s="143"/>
      <c r="I141" s="97"/>
      <c r="J141" s="97"/>
      <c r="K141" s="101"/>
      <c r="L141" s="101"/>
      <c r="M141" s="102"/>
      <c r="N141" s="124"/>
      <c r="O141" s="125"/>
      <c r="P141" s="97"/>
      <c r="Q141" s="131"/>
      <c r="R141" s="126"/>
      <c r="S141" s="97"/>
      <c r="T141" s="97"/>
      <c r="V141" s="108"/>
    </row>
    <row r="142" ht="15.75" customHeight="1">
      <c r="A142" s="91"/>
      <c r="B142" s="171"/>
      <c r="C142" s="143"/>
      <c r="D142" s="97"/>
      <c r="E142" s="143"/>
      <c r="F142" s="143"/>
      <c r="G142" s="97"/>
      <c r="H142" s="143"/>
      <c r="I142" s="97"/>
      <c r="J142" s="97"/>
      <c r="K142" s="114"/>
      <c r="L142" s="114"/>
      <c r="M142" s="102"/>
      <c r="N142" s="124"/>
      <c r="O142" s="125"/>
      <c r="P142" s="97"/>
      <c r="Q142" s="97"/>
      <c r="R142" s="126"/>
      <c r="S142" s="97"/>
      <c r="T142" s="97"/>
      <c r="V142" s="108"/>
    </row>
    <row r="143" ht="15.75" customHeight="1">
      <c r="A143" s="91"/>
      <c r="B143" s="171"/>
      <c r="C143" s="143"/>
      <c r="D143" s="97"/>
      <c r="E143" s="143"/>
      <c r="F143" s="172"/>
      <c r="G143" s="97"/>
      <c r="H143" s="143"/>
      <c r="I143" s="97"/>
      <c r="J143" s="97"/>
      <c r="K143" s="101"/>
      <c r="L143" s="101"/>
      <c r="M143" s="102"/>
      <c r="N143" s="124"/>
      <c r="O143" s="125"/>
      <c r="P143" s="97"/>
      <c r="Q143" s="131"/>
      <c r="R143" s="126"/>
      <c r="S143" s="97"/>
      <c r="T143" s="97"/>
      <c r="V143" s="108"/>
    </row>
    <row r="144" ht="15.75" customHeight="1">
      <c r="A144" s="91"/>
      <c r="B144" s="171"/>
      <c r="C144" s="108"/>
      <c r="D144" s="97"/>
      <c r="E144" s="143"/>
      <c r="F144" s="143"/>
      <c r="G144" s="97"/>
      <c r="H144" s="143"/>
      <c r="I144" s="97"/>
      <c r="J144" s="97"/>
      <c r="K144" s="114"/>
      <c r="L144" s="114"/>
      <c r="M144" s="102"/>
      <c r="N144" s="124"/>
      <c r="O144" s="125"/>
      <c r="P144" s="97"/>
      <c r="Q144" s="97"/>
      <c r="R144" s="126"/>
      <c r="S144" s="97"/>
      <c r="T144" s="97"/>
      <c r="V144" s="108"/>
    </row>
    <row r="145" ht="15.75" customHeight="1">
      <c r="A145" s="91"/>
      <c r="B145" s="171"/>
      <c r="C145" s="108"/>
      <c r="D145" s="97"/>
      <c r="E145" s="143"/>
      <c r="F145" s="143"/>
      <c r="G145" s="97"/>
      <c r="H145" s="143"/>
      <c r="I145" s="97"/>
      <c r="J145" s="97"/>
      <c r="K145" s="101"/>
      <c r="L145" s="101"/>
      <c r="M145" s="102"/>
      <c r="N145" s="124"/>
      <c r="O145" s="125"/>
      <c r="P145" s="97"/>
      <c r="Q145" s="131"/>
      <c r="R145" s="126"/>
      <c r="S145" s="97"/>
      <c r="T145" s="97"/>
      <c r="V145" s="108"/>
    </row>
    <row r="146" ht="15.75" customHeight="1">
      <c r="A146" s="91"/>
      <c r="B146" s="171"/>
      <c r="C146" s="143"/>
      <c r="D146" s="97"/>
      <c r="E146" s="143"/>
      <c r="F146" s="143"/>
      <c r="G146" s="97"/>
      <c r="H146" s="143"/>
      <c r="I146" s="97"/>
      <c r="J146" s="97"/>
      <c r="K146" s="114"/>
      <c r="L146" s="114"/>
      <c r="M146" s="102"/>
      <c r="N146" s="124"/>
      <c r="O146" s="125"/>
      <c r="P146" s="97"/>
      <c r="Q146" s="131"/>
      <c r="R146" s="126"/>
      <c r="S146" s="97"/>
      <c r="T146" s="97"/>
      <c r="V146" s="108"/>
    </row>
    <row r="147" ht="15.75" customHeight="1">
      <c r="A147" s="91"/>
      <c r="B147" s="171"/>
      <c r="C147" s="143"/>
      <c r="D147" s="97"/>
      <c r="E147" s="143"/>
      <c r="F147" s="143"/>
      <c r="G147" s="97"/>
      <c r="H147" s="143"/>
      <c r="I147" s="97"/>
      <c r="J147" s="97"/>
      <c r="K147" s="101"/>
      <c r="L147" s="101"/>
      <c r="M147" s="102"/>
      <c r="N147" s="124"/>
      <c r="O147" s="125"/>
      <c r="P147" s="97"/>
      <c r="Q147" s="131"/>
      <c r="R147" s="126"/>
      <c r="S147" s="97"/>
      <c r="T147" s="97"/>
      <c r="V147" s="108"/>
    </row>
    <row r="148" ht="15.75" customHeight="1">
      <c r="A148" s="91"/>
      <c r="B148" s="171"/>
      <c r="C148" s="143"/>
      <c r="D148" s="97"/>
      <c r="E148" s="143"/>
      <c r="F148" s="143"/>
      <c r="G148" s="97"/>
      <c r="H148" s="143"/>
      <c r="I148" s="97"/>
      <c r="J148" s="97"/>
      <c r="K148" s="114"/>
      <c r="L148" s="114"/>
      <c r="M148" s="102"/>
      <c r="N148" s="124"/>
      <c r="O148" s="125"/>
      <c r="P148" s="97"/>
      <c r="Q148" s="131"/>
      <c r="R148" s="126"/>
      <c r="S148" s="97"/>
      <c r="T148" s="97"/>
      <c r="V148" s="108"/>
    </row>
    <row r="149" ht="15.75" customHeight="1">
      <c r="A149" s="91"/>
      <c r="B149" s="171"/>
      <c r="C149" s="143"/>
      <c r="D149" s="97"/>
      <c r="E149" s="143"/>
      <c r="F149" s="143"/>
      <c r="G149" s="97"/>
      <c r="H149" s="143"/>
      <c r="I149" s="97"/>
      <c r="J149" s="97"/>
      <c r="K149" s="101"/>
      <c r="L149" s="101"/>
      <c r="M149" s="102"/>
      <c r="N149" s="124"/>
      <c r="O149" s="125"/>
      <c r="P149" s="97"/>
      <c r="Q149" s="131"/>
      <c r="R149" s="126"/>
      <c r="S149" s="97"/>
      <c r="T149" s="97"/>
      <c r="V149" s="108"/>
    </row>
    <row r="150" ht="15.75" customHeight="1">
      <c r="A150" s="91"/>
      <c r="B150" s="171"/>
      <c r="C150" s="143"/>
      <c r="D150" s="97"/>
      <c r="E150" s="143"/>
      <c r="F150" s="143"/>
      <c r="G150" s="97"/>
      <c r="H150" s="143"/>
      <c r="I150" s="97"/>
      <c r="J150" s="97"/>
      <c r="K150" s="114"/>
      <c r="L150" s="114"/>
      <c r="M150" s="102"/>
      <c r="N150" s="124"/>
      <c r="O150" s="125"/>
      <c r="P150" s="97"/>
      <c r="Q150" s="131"/>
      <c r="R150" s="126"/>
      <c r="S150" s="97"/>
      <c r="T150" s="97"/>
      <c r="V150" s="108"/>
    </row>
    <row r="151" ht="15.75" customHeight="1">
      <c r="A151" s="91"/>
      <c r="B151" s="171"/>
      <c r="C151" s="108"/>
      <c r="D151" s="97"/>
      <c r="E151" s="143"/>
      <c r="F151" s="143"/>
      <c r="G151" s="97"/>
      <c r="H151" s="143"/>
      <c r="I151" s="97"/>
      <c r="J151" s="97"/>
      <c r="K151" s="101"/>
      <c r="L151" s="101"/>
      <c r="M151" s="102"/>
      <c r="N151" s="124"/>
      <c r="O151" s="125"/>
      <c r="P151" s="97"/>
      <c r="Q151" s="131"/>
      <c r="R151" s="126"/>
      <c r="S151" s="97"/>
      <c r="T151" s="97"/>
      <c r="V151" s="108"/>
    </row>
    <row r="152" ht="15.75" customHeight="1">
      <c r="A152" s="91"/>
      <c r="B152" s="171"/>
      <c r="C152" s="143"/>
      <c r="D152" s="97"/>
      <c r="E152" s="143"/>
      <c r="F152" s="143"/>
      <c r="G152" s="97"/>
      <c r="H152" s="143"/>
      <c r="I152" s="97"/>
      <c r="J152" s="97"/>
      <c r="K152" s="114"/>
      <c r="L152" s="114"/>
      <c r="M152" s="102"/>
      <c r="N152" s="124"/>
      <c r="O152" s="125"/>
      <c r="P152" s="97"/>
      <c r="Q152" s="131"/>
      <c r="R152" s="126"/>
      <c r="S152" s="97"/>
      <c r="T152" s="97"/>
      <c r="V152" s="108"/>
    </row>
    <row r="153" ht="15.75" customHeight="1">
      <c r="A153" s="91"/>
      <c r="B153" s="171"/>
      <c r="C153" s="143"/>
      <c r="D153" s="97"/>
      <c r="E153" s="143"/>
      <c r="F153" s="143"/>
      <c r="G153" s="97"/>
      <c r="H153" s="143"/>
      <c r="I153" s="97"/>
      <c r="J153" s="97"/>
      <c r="K153" s="101"/>
      <c r="L153" s="101"/>
      <c r="M153" s="102"/>
      <c r="N153" s="124"/>
      <c r="O153" s="125"/>
      <c r="P153" s="97"/>
      <c r="Q153" s="131"/>
      <c r="R153" s="126"/>
      <c r="S153" s="97"/>
      <c r="T153" s="97"/>
      <c r="V153" s="108"/>
    </row>
    <row r="154" ht="15.75" customHeight="1">
      <c r="A154" s="91"/>
      <c r="B154" s="171"/>
      <c r="C154" s="143"/>
      <c r="D154" s="97"/>
      <c r="E154" s="143"/>
      <c r="F154" s="143"/>
      <c r="G154" s="97"/>
      <c r="H154" s="143"/>
      <c r="I154" s="97"/>
      <c r="J154" s="97"/>
      <c r="K154" s="114"/>
      <c r="L154" s="114"/>
      <c r="M154" s="102"/>
      <c r="N154" s="124"/>
      <c r="O154" s="125"/>
      <c r="P154" s="97"/>
      <c r="Q154" s="131"/>
      <c r="R154" s="126"/>
      <c r="S154" s="97"/>
      <c r="T154" s="97"/>
      <c r="V154" s="108"/>
    </row>
    <row r="155" ht="15.75" customHeight="1">
      <c r="A155" s="91"/>
      <c r="B155" s="171"/>
      <c r="C155" s="143"/>
      <c r="D155" s="97"/>
      <c r="E155" s="143"/>
      <c r="F155" s="143"/>
      <c r="G155" s="97"/>
      <c r="H155" s="143"/>
      <c r="I155" s="97"/>
      <c r="J155" s="97"/>
      <c r="K155" s="101"/>
      <c r="L155" s="101"/>
      <c r="M155" s="102"/>
      <c r="N155" s="124"/>
      <c r="O155" s="125"/>
      <c r="P155" s="97"/>
      <c r="Q155" s="131"/>
      <c r="R155" s="126"/>
      <c r="S155" s="97"/>
      <c r="T155" s="97"/>
      <c r="V155" s="108"/>
    </row>
    <row r="156" ht="15.75" customHeight="1">
      <c r="A156" s="91"/>
      <c r="B156" s="171"/>
      <c r="C156" s="143"/>
      <c r="D156" s="97"/>
      <c r="E156" s="143"/>
      <c r="F156" s="143"/>
      <c r="G156" s="97"/>
      <c r="H156" s="143"/>
      <c r="I156" s="97"/>
      <c r="J156" s="97"/>
      <c r="K156" s="114"/>
      <c r="L156" s="114"/>
      <c r="M156" s="102"/>
      <c r="N156" s="124"/>
      <c r="O156" s="125"/>
      <c r="P156" s="97"/>
      <c r="Q156" s="131"/>
      <c r="R156" s="126"/>
      <c r="S156" s="97"/>
      <c r="T156" s="97"/>
      <c r="V156" s="108"/>
    </row>
    <row r="157" ht="15.75" customHeight="1">
      <c r="A157" s="91"/>
      <c r="B157" s="171"/>
      <c r="C157" s="108"/>
      <c r="D157" s="97"/>
      <c r="E157" s="143"/>
      <c r="F157" s="143"/>
      <c r="G157" s="97"/>
      <c r="H157" s="143"/>
      <c r="I157" s="97"/>
      <c r="J157" s="97"/>
      <c r="K157" s="101"/>
      <c r="L157" s="101"/>
      <c r="M157" s="102"/>
      <c r="N157" s="124"/>
      <c r="O157" s="125"/>
      <c r="P157" s="97"/>
      <c r="Q157" s="131"/>
      <c r="R157" s="126"/>
      <c r="S157" s="97"/>
      <c r="T157" s="97"/>
      <c r="V157" s="108"/>
    </row>
    <row r="158" ht="15.75" customHeight="1">
      <c r="A158" s="91"/>
      <c r="B158" s="171"/>
      <c r="C158" s="143"/>
      <c r="D158" s="97"/>
      <c r="E158" s="143"/>
      <c r="F158" s="143"/>
      <c r="G158" s="97"/>
      <c r="H158" s="143"/>
      <c r="I158" s="97"/>
      <c r="J158" s="97"/>
      <c r="K158" s="114"/>
      <c r="L158" s="114"/>
      <c r="M158" s="102"/>
      <c r="N158" s="124"/>
      <c r="O158" s="125"/>
      <c r="P158" s="97"/>
      <c r="Q158" s="131"/>
      <c r="R158" s="126"/>
      <c r="S158" s="97"/>
      <c r="T158" s="97"/>
      <c r="V158" s="108"/>
    </row>
    <row r="159" ht="15.75" customHeight="1">
      <c r="A159" s="91"/>
      <c r="B159" s="171"/>
      <c r="C159" s="143"/>
      <c r="D159" s="97"/>
      <c r="E159" s="143"/>
      <c r="F159" s="143"/>
      <c r="G159" s="97"/>
      <c r="H159" s="143"/>
      <c r="I159" s="97"/>
      <c r="J159" s="97"/>
      <c r="K159" s="101"/>
      <c r="L159" s="101"/>
      <c r="M159" s="102"/>
      <c r="N159" s="124"/>
      <c r="O159" s="125"/>
      <c r="P159" s="97"/>
      <c r="Q159" s="131"/>
      <c r="R159" s="126"/>
      <c r="S159" s="97"/>
      <c r="T159" s="97"/>
      <c r="V159" s="108"/>
    </row>
    <row r="160" ht="15.75" customHeight="1">
      <c r="A160" s="91"/>
      <c r="B160" s="171"/>
      <c r="C160" s="143"/>
      <c r="D160" s="97"/>
      <c r="E160" s="143"/>
      <c r="F160" s="143"/>
      <c r="G160" s="97"/>
      <c r="H160" s="143"/>
      <c r="I160" s="97"/>
      <c r="J160" s="97"/>
      <c r="K160" s="114"/>
      <c r="L160" s="114"/>
      <c r="M160" s="102"/>
      <c r="N160" s="124"/>
      <c r="O160" s="125"/>
      <c r="P160" s="97"/>
      <c r="Q160" s="131"/>
      <c r="R160" s="126"/>
      <c r="S160" s="97"/>
      <c r="T160" s="97"/>
      <c r="V160" s="108"/>
    </row>
    <row r="161" ht="15.75" customHeight="1">
      <c r="A161" s="91"/>
      <c r="B161" s="171"/>
      <c r="C161" s="143"/>
      <c r="D161" s="97"/>
      <c r="E161" s="143"/>
      <c r="F161" s="143"/>
      <c r="G161" s="97"/>
      <c r="H161" s="143"/>
      <c r="I161" s="97"/>
      <c r="J161" s="97"/>
      <c r="K161" s="101"/>
      <c r="L161" s="101"/>
      <c r="M161" s="102"/>
      <c r="N161" s="124"/>
      <c r="O161" s="125"/>
      <c r="P161" s="97"/>
      <c r="Q161" s="131"/>
      <c r="R161" s="126"/>
      <c r="S161" s="97"/>
      <c r="T161" s="97"/>
      <c r="V161" s="108"/>
    </row>
    <row r="162" ht="15.75" customHeight="1">
      <c r="A162" s="91"/>
      <c r="B162" s="171"/>
      <c r="C162" s="143"/>
      <c r="D162" s="97"/>
      <c r="E162" s="143"/>
      <c r="F162" s="143"/>
      <c r="G162" s="97"/>
      <c r="H162" s="143"/>
      <c r="I162" s="97"/>
      <c r="J162" s="97"/>
      <c r="K162" s="114"/>
      <c r="L162" s="114"/>
      <c r="M162" s="102"/>
      <c r="N162" s="124"/>
      <c r="O162" s="125"/>
      <c r="P162" s="97"/>
      <c r="Q162" s="131"/>
      <c r="R162" s="126"/>
      <c r="S162" s="97"/>
      <c r="T162" s="97"/>
      <c r="V162" s="108"/>
    </row>
    <row r="163" ht="15.75" customHeight="1">
      <c r="A163" s="91"/>
      <c r="B163" s="171"/>
      <c r="C163" s="108"/>
      <c r="D163" s="97"/>
      <c r="E163" s="143"/>
      <c r="F163" s="143"/>
      <c r="G163" s="97"/>
      <c r="H163" s="143"/>
      <c r="I163" s="97"/>
      <c r="J163" s="97"/>
      <c r="K163" s="101"/>
      <c r="L163" s="101"/>
      <c r="M163" s="102"/>
      <c r="N163" s="124"/>
      <c r="O163" s="125"/>
      <c r="P163" s="97"/>
      <c r="Q163" s="131"/>
      <c r="R163" s="126"/>
      <c r="S163" s="97"/>
      <c r="T163" s="97"/>
      <c r="V163" s="108"/>
    </row>
    <row r="164" ht="15.75" customHeight="1">
      <c r="A164" s="91"/>
      <c r="B164" s="171"/>
      <c r="C164" s="143"/>
      <c r="D164" s="97"/>
      <c r="E164" s="143"/>
      <c r="F164" s="143"/>
      <c r="G164" s="97"/>
      <c r="H164" s="143"/>
      <c r="I164" s="97"/>
      <c r="J164" s="97"/>
      <c r="K164" s="114"/>
      <c r="L164" s="114"/>
      <c r="M164" s="102"/>
      <c r="N164" s="124"/>
      <c r="O164" s="125"/>
      <c r="P164" s="97"/>
      <c r="Q164" s="131"/>
      <c r="R164" s="126"/>
      <c r="S164" s="97"/>
      <c r="T164" s="97"/>
      <c r="V164" s="108"/>
    </row>
    <row r="165" ht="15.75" customHeight="1">
      <c r="A165" s="91"/>
      <c r="B165" s="171"/>
      <c r="C165" s="143"/>
      <c r="D165" s="97"/>
      <c r="E165" s="143"/>
      <c r="F165" s="143"/>
      <c r="G165" s="97"/>
      <c r="H165" s="143"/>
      <c r="I165" s="97"/>
      <c r="J165" s="97"/>
      <c r="K165" s="101"/>
      <c r="L165" s="101"/>
      <c r="M165" s="102"/>
      <c r="N165" s="124"/>
      <c r="O165" s="125"/>
      <c r="P165" s="97"/>
      <c r="Q165" s="131"/>
      <c r="R165" s="126"/>
      <c r="S165" s="97"/>
      <c r="T165" s="97"/>
      <c r="V165" s="108"/>
    </row>
    <row r="166" ht="15.75" customHeight="1">
      <c r="A166" s="91"/>
      <c r="B166" s="171"/>
      <c r="C166" s="143"/>
      <c r="D166" s="97"/>
      <c r="E166" s="143"/>
      <c r="F166" s="143"/>
      <c r="G166" s="97"/>
      <c r="H166" s="143"/>
      <c r="I166" s="97"/>
      <c r="J166" s="97"/>
      <c r="K166" s="114"/>
      <c r="L166" s="114"/>
      <c r="M166" s="102"/>
      <c r="N166" s="124"/>
      <c r="O166" s="125"/>
      <c r="P166" s="97"/>
      <c r="Q166" s="131"/>
      <c r="R166" s="126"/>
      <c r="S166" s="97"/>
      <c r="T166" s="97"/>
      <c r="V166" s="108"/>
    </row>
    <row r="167" ht="15.75" customHeight="1">
      <c r="A167" s="91"/>
      <c r="B167" s="171"/>
      <c r="C167" s="143"/>
      <c r="D167" s="97"/>
      <c r="E167" s="143"/>
      <c r="F167" s="143"/>
      <c r="G167" s="97"/>
      <c r="H167" s="143"/>
      <c r="I167" s="97"/>
      <c r="J167" s="97"/>
      <c r="K167" s="101"/>
      <c r="L167" s="101"/>
      <c r="M167" s="102"/>
      <c r="N167" s="124"/>
      <c r="O167" s="125"/>
      <c r="P167" s="97"/>
      <c r="Q167" s="131"/>
      <c r="R167" s="126"/>
      <c r="S167" s="97"/>
      <c r="T167" s="97"/>
      <c r="V167" s="108"/>
    </row>
    <row r="168" ht="15.75" customHeight="1">
      <c r="A168" s="91"/>
      <c r="B168" s="171"/>
      <c r="C168" s="143"/>
      <c r="D168" s="97"/>
      <c r="E168" s="143"/>
      <c r="F168" s="143"/>
      <c r="G168" s="97"/>
      <c r="H168" s="143"/>
      <c r="I168" s="97"/>
      <c r="J168" s="97"/>
      <c r="K168" s="114"/>
      <c r="L168" s="114"/>
      <c r="M168" s="102"/>
      <c r="N168" s="124"/>
      <c r="O168" s="125"/>
      <c r="P168" s="97"/>
      <c r="Q168" s="131"/>
      <c r="R168" s="126"/>
      <c r="S168" s="97"/>
      <c r="T168" s="97"/>
      <c r="V168" s="108"/>
    </row>
    <row r="169" ht="15.75" customHeight="1">
      <c r="A169" s="91"/>
      <c r="B169" s="171"/>
      <c r="C169" s="108"/>
      <c r="D169" s="97"/>
      <c r="E169" s="143"/>
      <c r="F169" s="143"/>
      <c r="G169" s="97"/>
      <c r="H169" s="143"/>
      <c r="I169" s="97"/>
      <c r="J169" s="97"/>
      <c r="K169" s="101"/>
      <c r="L169" s="101"/>
      <c r="M169" s="102"/>
      <c r="N169" s="124"/>
      <c r="O169" s="125"/>
      <c r="P169" s="97"/>
      <c r="Q169" s="131"/>
      <c r="R169" s="126"/>
      <c r="S169" s="97"/>
      <c r="T169" s="97"/>
      <c r="V169" s="108"/>
    </row>
    <row r="170" ht="15.75" customHeight="1">
      <c r="A170" s="91"/>
      <c r="B170" s="171"/>
      <c r="C170" s="143"/>
      <c r="D170" s="97"/>
      <c r="E170" s="143"/>
      <c r="F170" s="143"/>
      <c r="G170" s="97"/>
      <c r="H170" s="143"/>
      <c r="I170" s="97"/>
      <c r="J170" s="97"/>
      <c r="K170" s="114"/>
      <c r="L170" s="114"/>
      <c r="M170" s="102"/>
      <c r="N170" s="124"/>
      <c r="O170" s="125"/>
      <c r="P170" s="97"/>
      <c r="Q170" s="131"/>
      <c r="R170" s="126"/>
      <c r="S170" s="97"/>
      <c r="T170" s="97"/>
      <c r="V170" s="108"/>
    </row>
    <row r="171" ht="15.75" customHeight="1">
      <c r="A171" s="91"/>
      <c r="B171" s="171"/>
      <c r="C171" s="143"/>
      <c r="D171" s="97"/>
      <c r="E171" s="143"/>
      <c r="F171" s="143"/>
      <c r="G171" s="97"/>
      <c r="H171" s="143"/>
      <c r="I171" s="97"/>
      <c r="J171" s="97"/>
      <c r="K171" s="101"/>
      <c r="L171" s="101"/>
      <c r="M171" s="102"/>
      <c r="N171" s="124"/>
      <c r="O171" s="125"/>
      <c r="P171" s="97"/>
      <c r="Q171" s="131"/>
      <c r="R171" s="126"/>
      <c r="S171" s="97"/>
      <c r="T171" s="97"/>
      <c r="V171" s="108"/>
    </row>
    <row r="172" ht="15.75" customHeight="1">
      <c r="A172" s="91"/>
      <c r="B172" s="171"/>
      <c r="C172" s="143"/>
      <c r="D172" s="97"/>
      <c r="E172" s="143"/>
      <c r="F172" s="143"/>
      <c r="G172" s="97"/>
      <c r="H172" s="143"/>
      <c r="I172" s="97"/>
      <c r="J172" s="97"/>
      <c r="K172" s="114"/>
      <c r="L172" s="114"/>
      <c r="M172" s="102"/>
      <c r="N172" s="124"/>
      <c r="O172" s="125"/>
      <c r="P172" s="97"/>
      <c r="Q172" s="131"/>
      <c r="R172" s="126"/>
      <c r="S172" s="97"/>
      <c r="T172" s="97"/>
      <c r="V172" s="108"/>
    </row>
    <row r="173" ht="15.75" customHeight="1">
      <c r="A173" s="91"/>
      <c r="B173" s="171"/>
      <c r="C173" s="143"/>
      <c r="D173" s="97"/>
      <c r="E173" s="143"/>
      <c r="F173" s="143"/>
      <c r="G173" s="97"/>
      <c r="H173" s="143"/>
      <c r="I173" s="97"/>
      <c r="J173" s="97"/>
      <c r="K173" s="101"/>
      <c r="L173" s="101"/>
      <c r="M173" s="102"/>
      <c r="N173" s="124"/>
      <c r="O173" s="125"/>
      <c r="P173" s="97"/>
      <c r="Q173" s="131"/>
      <c r="R173" s="126"/>
      <c r="S173" s="97"/>
      <c r="T173" s="97"/>
      <c r="V173" s="108"/>
    </row>
    <row r="174" ht="15.75" customHeight="1">
      <c r="A174" s="91"/>
      <c r="B174" s="171"/>
      <c r="C174" s="143"/>
      <c r="D174" s="97"/>
      <c r="E174" s="143"/>
      <c r="F174" s="143"/>
      <c r="G174" s="97"/>
      <c r="H174" s="143"/>
      <c r="I174" s="97"/>
      <c r="J174" s="97"/>
      <c r="K174" s="114"/>
      <c r="L174" s="114"/>
      <c r="M174" s="102"/>
      <c r="N174" s="124"/>
      <c r="O174" s="125"/>
      <c r="P174" s="97"/>
      <c r="Q174" s="131"/>
      <c r="R174" s="126"/>
      <c r="S174" s="97"/>
      <c r="T174" s="97"/>
      <c r="V174" s="108"/>
    </row>
    <row r="175" ht="15.75" customHeight="1">
      <c r="A175" s="91"/>
      <c r="B175" s="171"/>
      <c r="C175" s="108"/>
      <c r="D175" s="97"/>
      <c r="E175" s="143"/>
      <c r="F175" s="143"/>
      <c r="G175" s="97"/>
      <c r="H175" s="143"/>
      <c r="I175" s="97"/>
      <c r="J175" s="97"/>
      <c r="K175" s="101"/>
      <c r="L175" s="101"/>
      <c r="M175" s="102"/>
      <c r="N175" s="124"/>
      <c r="O175" s="125"/>
      <c r="P175" s="97"/>
      <c r="Q175" s="131"/>
      <c r="R175" s="126"/>
      <c r="S175" s="97"/>
      <c r="T175" s="97"/>
      <c r="V175" s="108"/>
    </row>
    <row r="176" ht="15.75" customHeight="1">
      <c r="A176" s="91"/>
      <c r="B176" s="171"/>
      <c r="C176" s="143"/>
      <c r="D176" s="97"/>
      <c r="E176" s="143"/>
      <c r="F176" s="143"/>
      <c r="G176" s="97"/>
      <c r="H176" s="143"/>
      <c r="I176" s="97"/>
      <c r="J176" s="97"/>
      <c r="K176" s="114"/>
      <c r="L176" s="114"/>
      <c r="M176" s="102"/>
      <c r="N176" s="124"/>
      <c r="O176" s="125"/>
      <c r="P176" s="97"/>
      <c r="Q176" s="131"/>
      <c r="R176" s="126"/>
      <c r="S176" s="97"/>
      <c r="T176" s="97"/>
      <c r="V176" s="108"/>
    </row>
    <row r="177" ht="15.75" customHeight="1">
      <c r="A177" s="91"/>
      <c r="B177" s="171"/>
      <c r="C177" s="143"/>
      <c r="D177" s="97"/>
      <c r="E177" s="143"/>
      <c r="F177" s="143"/>
      <c r="G177" s="97"/>
      <c r="H177" s="143"/>
      <c r="I177" s="97"/>
      <c r="J177" s="97"/>
      <c r="K177" s="101"/>
      <c r="L177" s="101"/>
      <c r="M177" s="102"/>
      <c r="N177" s="124"/>
      <c r="O177" s="125"/>
      <c r="P177" s="97"/>
      <c r="Q177" s="131"/>
      <c r="R177" s="126"/>
      <c r="S177" s="97"/>
      <c r="T177" s="97"/>
      <c r="V177" s="108"/>
    </row>
    <row r="178" ht="15.75" customHeight="1">
      <c r="A178" s="91"/>
      <c r="B178" s="171"/>
      <c r="C178" s="143"/>
      <c r="D178" s="97"/>
      <c r="E178" s="143"/>
      <c r="F178" s="143"/>
      <c r="G178" s="97"/>
      <c r="H178" s="143"/>
      <c r="I178" s="97"/>
      <c r="J178" s="97"/>
      <c r="K178" s="114"/>
      <c r="L178" s="114"/>
      <c r="M178" s="102"/>
      <c r="N178" s="124"/>
      <c r="O178" s="125"/>
      <c r="P178" s="97"/>
      <c r="Q178" s="131"/>
      <c r="R178" s="126"/>
      <c r="S178" s="97"/>
      <c r="T178" s="97"/>
      <c r="V178" s="108"/>
    </row>
    <row r="179" ht="15.75" customHeight="1">
      <c r="A179" s="91"/>
      <c r="B179" s="171"/>
      <c r="C179" s="143"/>
      <c r="D179" s="97"/>
      <c r="E179" s="143"/>
      <c r="F179" s="143"/>
      <c r="G179" s="97"/>
      <c r="H179" s="143"/>
      <c r="I179" s="97"/>
      <c r="J179" s="97"/>
      <c r="K179" s="101"/>
      <c r="L179" s="101"/>
      <c r="M179" s="102"/>
      <c r="N179" s="124"/>
      <c r="O179" s="125"/>
      <c r="P179" s="97"/>
      <c r="Q179" s="131"/>
      <c r="R179" s="126"/>
      <c r="S179" s="97"/>
      <c r="T179" s="97"/>
      <c r="V179" s="108"/>
    </row>
    <row r="180" ht="15.75" customHeight="1">
      <c r="A180" s="91"/>
      <c r="B180" s="171"/>
      <c r="C180" s="143"/>
      <c r="D180" s="97"/>
      <c r="E180" s="143"/>
      <c r="F180" s="143"/>
      <c r="G180" s="97"/>
      <c r="H180" s="143"/>
      <c r="I180" s="97"/>
      <c r="J180" s="97"/>
      <c r="K180" s="114"/>
      <c r="L180" s="114"/>
      <c r="M180" s="102"/>
      <c r="N180" s="124"/>
      <c r="O180" s="125"/>
      <c r="P180" s="97"/>
      <c r="Q180" s="131"/>
      <c r="R180" s="126"/>
      <c r="S180" s="97"/>
      <c r="T180" s="97"/>
      <c r="V180" s="108"/>
    </row>
    <row r="181" ht="15.75" customHeight="1">
      <c r="A181" s="91"/>
      <c r="B181" s="171"/>
      <c r="C181" s="108"/>
      <c r="D181" s="97"/>
      <c r="E181" s="143"/>
      <c r="F181" s="143"/>
      <c r="G181" s="97"/>
      <c r="H181" s="143"/>
      <c r="I181" s="97"/>
      <c r="J181" s="97"/>
      <c r="K181" s="101"/>
      <c r="L181" s="101"/>
      <c r="M181" s="102"/>
      <c r="N181" s="124"/>
      <c r="O181" s="125"/>
      <c r="P181" s="97"/>
      <c r="Q181" s="131"/>
      <c r="R181" s="126"/>
      <c r="S181" s="97"/>
      <c r="T181" s="97"/>
      <c r="V181" s="108"/>
    </row>
    <row r="182" ht="15.75" customHeight="1">
      <c r="A182" s="91"/>
      <c r="B182" s="171"/>
      <c r="C182" s="143"/>
      <c r="D182" s="97"/>
      <c r="E182" s="143"/>
      <c r="F182" s="143"/>
      <c r="G182" s="97"/>
      <c r="H182" s="143"/>
      <c r="I182" s="97"/>
      <c r="J182" s="97"/>
      <c r="K182" s="114"/>
      <c r="L182" s="114"/>
      <c r="M182" s="102"/>
      <c r="N182" s="124"/>
      <c r="O182" s="125"/>
      <c r="P182" s="97"/>
      <c r="Q182" s="131"/>
      <c r="R182" s="126"/>
      <c r="S182" s="97"/>
      <c r="T182" s="97"/>
      <c r="V182" s="108"/>
    </row>
    <row r="183" ht="15.75" customHeight="1">
      <c r="A183" s="91"/>
      <c r="B183" s="171"/>
      <c r="C183" s="143"/>
      <c r="D183" s="97"/>
      <c r="E183" s="143"/>
      <c r="F183" s="143"/>
      <c r="G183" s="97"/>
      <c r="H183" s="143"/>
      <c r="I183" s="97"/>
      <c r="J183" s="97"/>
      <c r="K183" s="101"/>
      <c r="L183" s="101"/>
      <c r="M183" s="102"/>
      <c r="N183" s="124"/>
      <c r="O183" s="125"/>
      <c r="P183" s="97"/>
      <c r="Q183" s="131"/>
      <c r="R183" s="126"/>
      <c r="S183" s="97"/>
      <c r="T183" s="97"/>
      <c r="V183" s="108"/>
    </row>
    <row r="184" ht="15.75" customHeight="1">
      <c r="A184" s="91"/>
      <c r="B184" s="171"/>
      <c r="C184" s="143"/>
      <c r="D184" s="97"/>
      <c r="E184" s="143"/>
      <c r="F184" s="143"/>
      <c r="G184" s="97"/>
      <c r="H184" s="143"/>
      <c r="I184" s="97"/>
      <c r="J184" s="97"/>
      <c r="K184" s="114"/>
      <c r="L184" s="114"/>
      <c r="M184" s="102"/>
      <c r="N184" s="124"/>
      <c r="O184" s="125"/>
      <c r="P184" s="97"/>
      <c r="Q184" s="131"/>
      <c r="R184" s="126"/>
      <c r="S184" s="97"/>
      <c r="T184" s="97"/>
      <c r="V184" s="108"/>
    </row>
    <row r="185" ht="15.75" customHeight="1">
      <c r="A185" s="91"/>
      <c r="B185" s="171"/>
      <c r="C185" s="143"/>
      <c r="D185" s="97"/>
      <c r="E185" s="143"/>
      <c r="F185" s="143"/>
      <c r="G185" s="97"/>
      <c r="H185" s="143"/>
      <c r="I185" s="97"/>
      <c r="J185" s="97"/>
      <c r="K185" s="101"/>
      <c r="L185" s="101"/>
      <c r="M185" s="102"/>
      <c r="N185" s="124"/>
      <c r="O185" s="125"/>
      <c r="P185" s="97"/>
      <c r="Q185" s="131"/>
      <c r="R185" s="126"/>
      <c r="S185" s="97"/>
      <c r="T185" s="97"/>
      <c r="V185" s="108"/>
    </row>
    <row r="186" ht="15.75" customHeight="1">
      <c r="A186" s="91"/>
      <c r="B186" s="171"/>
      <c r="C186" s="143"/>
      <c r="D186" s="97"/>
      <c r="E186" s="143"/>
      <c r="F186" s="143"/>
      <c r="G186" s="97"/>
      <c r="H186" s="143"/>
      <c r="I186" s="97"/>
      <c r="J186" s="97"/>
      <c r="K186" s="114"/>
      <c r="L186" s="114"/>
      <c r="M186" s="102"/>
      <c r="N186" s="124"/>
      <c r="O186" s="125"/>
      <c r="P186" s="97"/>
      <c r="Q186" s="131"/>
      <c r="R186" s="126"/>
      <c r="S186" s="97"/>
      <c r="T186" s="97"/>
      <c r="V186" s="108"/>
    </row>
    <row r="187" ht="15.75" customHeight="1">
      <c r="A187" s="91"/>
      <c r="B187" s="171"/>
      <c r="C187" s="108"/>
      <c r="D187" s="97"/>
      <c r="E187" s="143"/>
      <c r="F187" s="143"/>
      <c r="G187" s="97"/>
      <c r="H187" s="143"/>
      <c r="I187" s="97"/>
      <c r="J187" s="97"/>
      <c r="K187" s="101"/>
      <c r="L187" s="101"/>
      <c r="M187" s="102"/>
      <c r="N187" s="124"/>
      <c r="O187" s="125"/>
      <c r="P187" s="97"/>
      <c r="Q187" s="131"/>
      <c r="R187" s="126"/>
      <c r="S187" s="97"/>
      <c r="T187" s="97"/>
      <c r="V187" s="108"/>
    </row>
    <row r="188" ht="15.75" customHeight="1">
      <c r="A188" s="91"/>
      <c r="B188" s="171"/>
      <c r="C188" s="143"/>
      <c r="D188" s="97"/>
      <c r="E188" s="143"/>
      <c r="F188" s="143"/>
      <c r="G188" s="97"/>
      <c r="H188" s="143"/>
      <c r="I188" s="97"/>
      <c r="J188" s="97"/>
      <c r="K188" s="114"/>
      <c r="L188" s="114"/>
      <c r="M188" s="102"/>
      <c r="N188" s="124"/>
      <c r="O188" s="125"/>
      <c r="P188" s="97"/>
      <c r="Q188" s="131"/>
      <c r="R188" s="126"/>
      <c r="S188" s="97"/>
      <c r="T188" s="97"/>
      <c r="V188" s="108"/>
    </row>
    <row r="189" ht="15.75" customHeight="1">
      <c r="A189" s="91"/>
      <c r="B189" s="171"/>
      <c r="C189" s="143"/>
      <c r="D189" s="97"/>
      <c r="E189" s="143"/>
      <c r="F189" s="143"/>
      <c r="G189" s="97"/>
      <c r="H189" s="143"/>
      <c r="I189" s="97"/>
      <c r="J189" s="97"/>
      <c r="K189" s="101"/>
      <c r="L189" s="101"/>
      <c r="M189" s="102"/>
      <c r="N189" s="124"/>
      <c r="O189" s="125"/>
      <c r="P189" s="97"/>
      <c r="Q189" s="131"/>
      <c r="R189" s="126"/>
      <c r="S189" s="97"/>
      <c r="T189" s="97"/>
      <c r="V189" s="108"/>
    </row>
    <row r="190" ht="15.75" customHeight="1">
      <c r="A190" s="91"/>
      <c r="B190" s="171"/>
      <c r="C190" s="143"/>
      <c r="D190" s="97"/>
      <c r="E190" s="143"/>
      <c r="F190" s="143"/>
      <c r="G190" s="97"/>
      <c r="H190" s="143"/>
      <c r="I190" s="97"/>
      <c r="J190" s="97"/>
      <c r="K190" s="114"/>
      <c r="L190" s="114"/>
      <c r="M190" s="102"/>
      <c r="N190" s="124"/>
      <c r="O190" s="125"/>
      <c r="P190" s="97"/>
      <c r="Q190" s="131"/>
      <c r="R190" s="126"/>
      <c r="S190" s="97"/>
      <c r="T190" s="97"/>
      <c r="V190" s="108"/>
    </row>
    <row r="191" ht="15.75" customHeight="1">
      <c r="A191" s="91"/>
      <c r="B191" s="171"/>
      <c r="C191" s="143"/>
      <c r="D191" s="97"/>
      <c r="E191" s="143"/>
      <c r="F191" s="143"/>
      <c r="G191" s="97"/>
      <c r="H191" s="143"/>
      <c r="I191" s="97"/>
      <c r="J191" s="97"/>
      <c r="K191" s="101"/>
      <c r="L191" s="101"/>
      <c r="M191" s="102"/>
      <c r="N191" s="124"/>
      <c r="O191" s="125"/>
      <c r="P191" s="97"/>
      <c r="Q191" s="131"/>
      <c r="R191" s="126"/>
      <c r="S191" s="97"/>
      <c r="T191" s="97"/>
      <c r="V191" s="108"/>
    </row>
    <row r="192" ht="15.75" customHeight="1">
      <c r="A192" s="91"/>
      <c r="B192" s="171"/>
      <c r="C192" s="143"/>
      <c r="D192" s="97"/>
      <c r="E192" s="143"/>
      <c r="F192" s="143"/>
      <c r="G192" s="97"/>
      <c r="H192" s="143"/>
      <c r="I192" s="97"/>
      <c r="J192" s="97"/>
      <c r="K192" s="114"/>
      <c r="L192" s="114"/>
      <c r="M192" s="102"/>
      <c r="N192" s="124"/>
      <c r="O192" s="125"/>
      <c r="P192" s="97"/>
      <c r="Q192" s="131"/>
      <c r="R192" s="126"/>
      <c r="S192" s="97"/>
      <c r="T192" s="97"/>
      <c r="V192" s="108"/>
    </row>
    <row r="193" ht="15.75" customHeight="1">
      <c r="A193" s="91"/>
      <c r="B193" s="171"/>
      <c r="C193" s="108"/>
      <c r="D193" s="97"/>
      <c r="E193" s="143"/>
      <c r="F193" s="143"/>
      <c r="G193" s="97"/>
      <c r="H193" s="143"/>
      <c r="I193" s="97"/>
      <c r="J193" s="97"/>
      <c r="K193" s="101"/>
      <c r="L193" s="101"/>
      <c r="M193" s="102"/>
      <c r="N193" s="124"/>
      <c r="O193" s="125"/>
      <c r="P193" s="97"/>
      <c r="Q193" s="131"/>
      <c r="R193" s="126"/>
      <c r="S193" s="97"/>
      <c r="T193" s="97"/>
      <c r="V193" s="108"/>
    </row>
    <row r="194" ht="15.75" customHeight="1">
      <c r="A194" s="91"/>
      <c r="B194" s="171"/>
      <c r="C194" s="143"/>
      <c r="D194" s="97"/>
      <c r="E194" s="143"/>
      <c r="F194" s="143"/>
      <c r="G194" s="97"/>
      <c r="H194" s="143"/>
      <c r="I194" s="97"/>
      <c r="J194" s="97"/>
      <c r="K194" s="114"/>
      <c r="L194" s="114"/>
      <c r="M194" s="102"/>
      <c r="N194" s="124"/>
      <c r="O194" s="125"/>
      <c r="P194" s="97"/>
      <c r="Q194" s="131"/>
      <c r="R194" s="126"/>
      <c r="S194" s="97"/>
      <c r="T194" s="97"/>
      <c r="V194" s="108"/>
    </row>
    <row r="195" ht="15.75" customHeight="1">
      <c r="A195" s="91"/>
      <c r="B195" s="171"/>
      <c r="C195" s="143"/>
      <c r="D195" s="97"/>
      <c r="E195" s="143"/>
      <c r="F195" s="143"/>
      <c r="G195" s="97"/>
      <c r="H195" s="143"/>
      <c r="I195" s="97"/>
      <c r="J195" s="97"/>
      <c r="K195" s="101"/>
      <c r="L195" s="101"/>
      <c r="M195" s="102"/>
      <c r="N195" s="124"/>
      <c r="O195" s="125"/>
      <c r="P195" s="97"/>
      <c r="Q195" s="131"/>
      <c r="R195" s="126"/>
      <c r="S195" s="97"/>
      <c r="T195" s="97"/>
      <c r="V195" s="108"/>
    </row>
    <row r="196" ht="15.75" customHeight="1">
      <c r="A196" s="91"/>
      <c r="B196" s="171"/>
      <c r="C196" s="143"/>
      <c r="D196" s="97"/>
      <c r="E196" s="143"/>
      <c r="F196" s="143"/>
      <c r="G196" s="97"/>
      <c r="H196" s="143"/>
      <c r="I196" s="97"/>
      <c r="J196" s="97"/>
      <c r="K196" s="114"/>
      <c r="L196" s="114"/>
      <c r="M196" s="102"/>
      <c r="N196" s="124"/>
      <c r="O196" s="125"/>
      <c r="P196" s="97"/>
      <c r="Q196" s="131"/>
      <c r="R196" s="126"/>
      <c r="S196" s="97"/>
      <c r="T196" s="97"/>
      <c r="V196" s="108"/>
    </row>
    <row r="197" ht="15.75" customHeight="1">
      <c r="A197" s="91"/>
      <c r="B197" s="171"/>
      <c r="C197" s="143"/>
      <c r="D197" s="97"/>
      <c r="E197" s="143"/>
      <c r="F197" s="143"/>
      <c r="G197" s="97"/>
      <c r="H197" s="143"/>
      <c r="I197" s="97"/>
      <c r="J197" s="97"/>
      <c r="K197" s="101"/>
      <c r="L197" s="101"/>
      <c r="M197" s="102"/>
      <c r="N197" s="124"/>
      <c r="O197" s="125"/>
      <c r="P197" s="97"/>
      <c r="Q197" s="131"/>
      <c r="R197" s="126"/>
      <c r="S197" s="97"/>
      <c r="T197" s="97"/>
      <c r="V197" s="108"/>
    </row>
    <row r="198" ht="15.75" customHeight="1">
      <c r="A198" s="91"/>
      <c r="B198" s="171"/>
      <c r="C198" s="143"/>
      <c r="D198" s="97"/>
      <c r="E198" s="143"/>
      <c r="F198" s="143"/>
      <c r="G198" s="97"/>
      <c r="H198" s="143"/>
      <c r="I198" s="97"/>
      <c r="J198" s="97"/>
      <c r="K198" s="114"/>
      <c r="L198" s="114"/>
      <c r="M198" s="102"/>
      <c r="N198" s="124"/>
      <c r="O198" s="125"/>
      <c r="P198" s="97"/>
      <c r="Q198" s="131"/>
      <c r="R198" s="126"/>
      <c r="S198" s="97"/>
      <c r="T198" s="97"/>
      <c r="V198" s="108"/>
    </row>
    <row r="199" ht="15.75" customHeight="1">
      <c r="A199" s="91"/>
      <c r="B199" s="171"/>
      <c r="C199" s="108"/>
      <c r="D199" s="97"/>
      <c r="E199" s="143"/>
      <c r="F199" s="143"/>
      <c r="G199" s="97"/>
      <c r="H199" s="143"/>
      <c r="I199" s="97"/>
      <c r="J199" s="97"/>
      <c r="K199" s="101"/>
      <c r="L199" s="101"/>
      <c r="M199" s="102"/>
      <c r="N199" s="124"/>
      <c r="O199" s="125"/>
      <c r="P199" s="97"/>
      <c r="Q199" s="131"/>
      <c r="R199" s="126"/>
      <c r="S199" s="97"/>
      <c r="T199" s="97"/>
      <c r="V199" s="108"/>
    </row>
    <row r="200" ht="15.75" customHeight="1">
      <c r="A200" s="91"/>
      <c r="B200" s="171"/>
      <c r="C200" s="143"/>
      <c r="D200" s="97"/>
      <c r="E200" s="143"/>
      <c r="F200" s="143"/>
      <c r="G200" s="97"/>
      <c r="H200" s="143"/>
      <c r="I200" s="97"/>
      <c r="J200" s="97"/>
      <c r="K200" s="114"/>
      <c r="L200" s="114"/>
      <c r="M200" s="102"/>
      <c r="N200" s="124"/>
      <c r="O200" s="125"/>
      <c r="P200" s="97"/>
      <c r="Q200" s="131"/>
      <c r="R200" s="126"/>
      <c r="S200" s="97"/>
      <c r="T200" s="97"/>
      <c r="V200" s="108"/>
    </row>
    <row r="201" ht="15.75" customHeight="1">
      <c r="A201" s="91"/>
      <c r="B201" s="171"/>
      <c r="C201" s="143"/>
      <c r="D201" s="97"/>
      <c r="E201" s="143"/>
      <c r="F201" s="143"/>
      <c r="G201" s="97"/>
      <c r="H201" s="143"/>
      <c r="I201" s="97"/>
      <c r="J201" s="97"/>
      <c r="K201" s="101"/>
      <c r="L201" s="101"/>
      <c r="M201" s="102"/>
      <c r="N201" s="124"/>
      <c r="O201" s="125"/>
      <c r="P201" s="97"/>
      <c r="Q201" s="131"/>
      <c r="R201" s="126"/>
      <c r="S201" s="97"/>
      <c r="T201" s="97"/>
      <c r="V201" s="108"/>
    </row>
    <row r="202" ht="15.75" customHeight="1">
      <c r="A202" s="91"/>
      <c r="B202" s="171"/>
      <c r="C202" s="143"/>
      <c r="D202" s="97"/>
      <c r="E202" s="143"/>
      <c r="F202" s="143"/>
      <c r="G202" s="97"/>
      <c r="H202" s="143"/>
      <c r="I202" s="97"/>
      <c r="J202" s="97"/>
      <c r="K202" s="114"/>
      <c r="L202" s="114"/>
      <c r="M202" s="102"/>
      <c r="N202" s="124"/>
      <c r="O202" s="125"/>
      <c r="P202" s="97"/>
      <c r="Q202" s="131"/>
      <c r="R202" s="126"/>
      <c r="S202" s="97"/>
      <c r="T202" s="97"/>
      <c r="V202" s="108"/>
    </row>
    <row r="203" ht="15.75" customHeight="1">
      <c r="A203" s="91"/>
      <c r="B203" s="171"/>
      <c r="C203" s="143"/>
      <c r="D203" s="97"/>
      <c r="E203" s="143"/>
      <c r="F203" s="143"/>
      <c r="G203" s="97"/>
      <c r="H203" s="143"/>
      <c r="I203" s="97"/>
      <c r="J203" s="97"/>
      <c r="K203" s="101"/>
      <c r="L203" s="101"/>
      <c r="M203" s="102"/>
      <c r="N203" s="124"/>
      <c r="O203" s="125"/>
      <c r="P203" s="97"/>
      <c r="Q203" s="131"/>
      <c r="R203" s="126"/>
      <c r="S203" s="97"/>
      <c r="T203" s="97"/>
      <c r="V203" s="108"/>
    </row>
    <row r="204" ht="15.75" customHeight="1">
      <c r="A204" s="91"/>
      <c r="B204" s="171"/>
      <c r="C204" s="143"/>
      <c r="D204" s="97"/>
      <c r="E204" s="143"/>
      <c r="F204" s="143"/>
      <c r="G204" s="97"/>
      <c r="H204" s="143"/>
      <c r="I204" s="97"/>
      <c r="J204" s="97"/>
      <c r="K204" s="114"/>
      <c r="L204" s="114"/>
      <c r="M204" s="102"/>
      <c r="N204" s="124"/>
      <c r="O204" s="125"/>
      <c r="P204" s="97"/>
      <c r="Q204" s="131"/>
      <c r="R204" s="126"/>
      <c r="S204" s="97"/>
      <c r="T204" s="97"/>
      <c r="V204" s="108"/>
    </row>
    <row r="205" ht="15.75" customHeight="1">
      <c r="A205" s="91"/>
      <c r="B205" s="171"/>
      <c r="C205" s="108"/>
      <c r="D205" s="97"/>
      <c r="E205" s="143"/>
      <c r="F205" s="143"/>
      <c r="G205" s="97"/>
      <c r="H205" s="143"/>
      <c r="I205" s="97"/>
      <c r="J205" s="97"/>
      <c r="K205" s="101"/>
      <c r="L205" s="101"/>
      <c r="M205" s="102"/>
      <c r="N205" s="124"/>
      <c r="O205" s="125"/>
      <c r="P205" s="97"/>
      <c r="Q205" s="131"/>
      <c r="R205" s="126"/>
      <c r="S205" s="97"/>
      <c r="T205" s="97"/>
      <c r="V205" s="108"/>
    </row>
    <row r="206" ht="15.75" customHeight="1">
      <c r="A206" s="91"/>
      <c r="B206" s="171"/>
      <c r="C206" s="143"/>
      <c r="D206" s="97"/>
      <c r="E206" s="143"/>
      <c r="F206" s="143"/>
      <c r="G206" s="97"/>
      <c r="H206" s="143"/>
      <c r="I206" s="97"/>
      <c r="J206" s="97"/>
      <c r="K206" s="114"/>
      <c r="L206" s="114"/>
      <c r="M206" s="102"/>
      <c r="N206" s="124"/>
      <c r="O206" s="125"/>
      <c r="P206" s="97"/>
      <c r="Q206" s="131"/>
      <c r="R206" s="126"/>
      <c r="S206" s="97"/>
      <c r="T206" s="97"/>
      <c r="V206" s="108"/>
    </row>
    <row r="207" ht="15.75" customHeight="1">
      <c r="A207" s="91"/>
      <c r="B207" s="171"/>
      <c r="C207" s="143"/>
      <c r="D207" s="97"/>
      <c r="E207" s="143"/>
      <c r="F207" s="143"/>
      <c r="G207" s="97"/>
      <c r="H207" s="143"/>
      <c r="I207" s="97"/>
      <c r="J207" s="97"/>
      <c r="K207" s="101"/>
      <c r="L207" s="101"/>
      <c r="M207" s="102"/>
      <c r="N207" s="124"/>
      <c r="O207" s="125"/>
      <c r="P207" s="97"/>
      <c r="Q207" s="131"/>
      <c r="R207" s="126"/>
      <c r="S207" s="97"/>
      <c r="T207" s="97"/>
      <c r="V207" s="108"/>
    </row>
    <row r="208" ht="15.75" customHeight="1">
      <c r="A208" s="91"/>
      <c r="B208" s="171"/>
      <c r="C208" s="143"/>
      <c r="D208" s="97"/>
      <c r="E208" s="143"/>
      <c r="F208" s="143"/>
      <c r="G208" s="97"/>
      <c r="H208" s="143"/>
      <c r="I208" s="97"/>
      <c r="J208" s="97"/>
      <c r="K208" s="114"/>
      <c r="L208" s="114"/>
      <c r="M208" s="102"/>
      <c r="N208" s="124"/>
      <c r="O208" s="125"/>
      <c r="P208" s="97"/>
      <c r="Q208" s="131"/>
      <c r="R208" s="126"/>
      <c r="S208" s="97"/>
      <c r="T208" s="97"/>
      <c r="V208" s="108"/>
    </row>
    <row r="209" ht="15.75" customHeight="1">
      <c r="A209" s="91"/>
      <c r="B209" s="171"/>
      <c r="C209" s="143"/>
      <c r="D209" s="97"/>
      <c r="E209" s="143"/>
      <c r="F209" s="143"/>
      <c r="G209" s="97"/>
      <c r="H209" s="143"/>
      <c r="I209" s="97"/>
      <c r="J209" s="97"/>
      <c r="K209" s="101"/>
      <c r="L209" s="101"/>
      <c r="M209" s="102"/>
      <c r="N209" s="124"/>
      <c r="O209" s="125"/>
      <c r="P209" s="97"/>
      <c r="Q209" s="131"/>
      <c r="R209" s="126"/>
      <c r="S209" s="97"/>
      <c r="T209" s="97"/>
      <c r="V209" s="108"/>
    </row>
    <row r="210" ht="15.75" customHeight="1">
      <c r="A210" s="91"/>
      <c r="B210" s="171"/>
      <c r="C210" s="143"/>
      <c r="D210" s="97"/>
      <c r="E210" s="143"/>
      <c r="F210" s="143"/>
      <c r="G210" s="97"/>
      <c r="H210" s="143"/>
      <c r="I210" s="97"/>
      <c r="J210" s="97"/>
      <c r="K210" s="114"/>
      <c r="L210" s="114"/>
      <c r="M210" s="102"/>
      <c r="N210" s="124"/>
      <c r="O210" s="125"/>
      <c r="P210" s="97"/>
      <c r="Q210" s="131"/>
      <c r="R210" s="126"/>
      <c r="S210" s="97"/>
      <c r="T210" s="97"/>
      <c r="V210" s="108"/>
    </row>
    <row r="211" ht="15.75" customHeight="1">
      <c r="A211" s="91"/>
      <c r="B211" s="171"/>
      <c r="C211" s="108"/>
      <c r="D211" s="97"/>
      <c r="E211" s="143"/>
      <c r="F211" s="143"/>
      <c r="G211" s="97"/>
      <c r="H211" s="143"/>
      <c r="I211" s="97"/>
      <c r="J211" s="97"/>
      <c r="K211" s="101"/>
      <c r="L211" s="101"/>
      <c r="M211" s="102"/>
      <c r="N211" s="124"/>
      <c r="O211" s="125"/>
      <c r="P211" s="97"/>
      <c r="Q211" s="131"/>
      <c r="R211" s="126"/>
      <c r="S211" s="97"/>
      <c r="T211" s="97"/>
      <c r="V211" s="108"/>
    </row>
    <row r="212" ht="15.75" customHeight="1">
      <c r="A212" s="91"/>
      <c r="B212" s="171"/>
      <c r="C212" s="143"/>
      <c r="D212" s="97"/>
      <c r="E212" s="143"/>
      <c r="F212" s="143"/>
      <c r="G212" s="97"/>
      <c r="H212" s="143"/>
      <c r="I212" s="97"/>
      <c r="J212" s="97"/>
      <c r="K212" s="114"/>
      <c r="L212" s="114"/>
      <c r="M212" s="102"/>
      <c r="N212" s="124"/>
      <c r="O212" s="125"/>
      <c r="P212" s="97"/>
      <c r="Q212" s="131"/>
      <c r="R212" s="126"/>
      <c r="S212" s="97"/>
      <c r="T212" s="97"/>
      <c r="V212" s="108"/>
    </row>
    <row r="213" ht="15.75" customHeight="1">
      <c r="A213" s="91"/>
      <c r="B213" s="171"/>
      <c r="C213" s="143"/>
      <c r="D213" s="97"/>
      <c r="E213" s="143"/>
      <c r="F213" s="143"/>
      <c r="G213" s="97"/>
      <c r="H213" s="143"/>
      <c r="I213" s="97"/>
      <c r="J213" s="97"/>
      <c r="K213" s="101"/>
      <c r="L213" s="101"/>
      <c r="M213" s="102"/>
      <c r="N213" s="124"/>
      <c r="O213" s="125"/>
      <c r="P213" s="97"/>
      <c r="Q213" s="131"/>
      <c r="R213" s="126"/>
      <c r="S213" s="97"/>
      <c r="T213" s="97"/>
      <c r="V213" s="108"/>
    </row>
    <row r="214" ht="15.75" customHeight="1">
      <c r="A214" s="91"/>
      <c r="B214" s="171"/>
      <c r="C214" s="143"/>
      <c r="D214" s="97"/>
      <c r="E214" s="143"/>
      <c r="F214" s="143"/>
      <c r="G214" s="97"/>
      <c r="H214" s="143"/>
      <c r="I214" s="97"/>
      <c r="J214" s="97"/>
      <c r="K214" s="114"/>
      <c r="L214" s="114"/>
      <c r="M214" s="102"/>
      <c r="N214" s="124"/>
      <c r="O214" s="125"/>
      <c r="P214" s="97"/>
      <c r="Q214" s="131"/>
      <c r="R214" s="126"/>
      <c r="S214" s="97"/>
      <c r="T214" s="97"/>
      <c r="V214" s="108"/>
    </row>
    <row r="215" ht="15.75" customHeight="1">
      <c r="A215" s="91"/>
      <c r="B215" s="171"/>
      <c r="C215" s="143"/>
      <c r="D215" s="97"/>
      <c r="E215" s="143"/>
      <c r="F215" s="143"/>
      <c r="G215" s="97"/>
      <c r="H215" s="143"/>
      <c r="I215" s="97"/>
      <c r="J215" s="97"/>
      <c r="K215" s="101"/>
      <c r="L215" s="101"/>
      <c r="M215" s="102"/>
      <c r="N215" s="124"/>
      <c r="O215" s="125"/>
      <c r="P215" s="97"/>
      <c r="Q215" s="131"/>
      <c r="R215" s="126"/>
      <c r="S215" s="97"/>
      <c r="T215" s="97"/>
      <c r="V215" s="108"/>
    </row>
    <row r="216" ht="15.75" customHeight="1">
      <c r="A216" s="91"/>
      <c r="B216" s="171"/>
      <c r="C216" s="143"/>
      <c r="D216" s="97"/>
      <c r="E216" s="143"/>
      <c r="F216" s="143"/>
      <c r="G216" s="97"/>
      <c r="H216" s="143"/>
      <c r="I216" s="97"/>
      <c r="J216" s="97"/>
      <c r="K216" s="114"/>
      <c r="L216" s="114"/>
      <c r="M216" s="102"/>
      <c r="N216" s="124"/>
      <c r="O216" s="125"/>
      <c r="P216" s="97"/>
      <c r="Q216" s="131"/>
      <c r="R216" s="126"/>
      <c r="S216" s="97"/>
      <c r="T216" s="97"/>
      <c r="V216" s="108"/>
    </row>
    <row r="217" ht="15.75" customHeight="1">
      <c r="A217" s="91"/>
      <c r="B217" s="171"/>
      <c r="C217" s="108"/>
      <c r="D217" s="97"/>
      <c r="E217" s="143"/>
      <c r="F217" s="143"/>
      <c r="G217" s="97"/>
      <c r="H217" s="143"/>
      <c r="I217" s="97"/>
      <c r="J217" s="97"/>
      <c r="K217" s="101"/>
      <c r="L217" s="101"/>
      <c r="M217" s="102"/>
      <c r="N217" s="124"/>
      <c r="O217" s="125"/>
      <c r="P217" s="97"/>
      <c r="Q217" s="131"/>
      <c r="R217" s="126"/>
      <c r="S217" s="97"/>
      <c r="T217" s="97"/>
      <c r="V217" s="108"/>
    </row>
    <row r="218" ht="15.75" customHeight="1">
      <c r="A218" s="91"/>
      <c r="B218" s="171"/>
      <c r="C218" s="143"/>
      <c r="D218" s="97"/>
      <c r="E218" s="143"/>
      <c r="F218" s="143"/>
      <c r="G218" s="97"/>
      <c r="H218" s="143"/>
      <c r="I218" s="97"/>
      <c r="J218" s="97"/>
      <c r="K218" s="114"/>
      <c r="L218" s="114"/>
      <c r="M218" s="102"/>
      <c r="N218" s="124"/>
      <c r="O218" s="125"/>
      <c r="P218" s="97"/>
      <c r="Q218" s="131"/>
      <c r="R218" s="126"/>
      <c r="S218" s="97"/>
      <c r="T218" s="97"/>
      <c r="V218" s="108"/>
    </row>
    <row r="219" ht="15.75" customHeight="1">
      <c r="A219" s="91"/>
      <c r="B219" s="171"/>
      <c r="C219" s="143"/>
      <c r="D219" s="97"/>
      <c r="E219" s="143"/>
      <c r="F219" s="143"/>
      <c r="G219" s="97"/>
      <c r="H219" s="143"/>
      <c r="I219" s="97"/>
      <c r="J219" s="97"/>
      <c r="K219" s="101"/>
      <c r="L219" s="101"/>
      <c r="M219" s="102"/>
      <c r="N219" s="124"/>
      <c r="O219" s="125"/>
      <c r="P219" s="97"/>
      <c r="Q219" s="131"/>
      <c r="R219" s="126"/>
      <c r="S219" s="97"/>
      <c r="T219" s="97"/>
      <c r="V219" s="108"/>
    </row>
    <row r="220" ht="15.75" customHeight="1">
      <c r="A220" s="91"/>
      <c r="B220" s="171"/>
      <c r="C220" s="143"/>
      <c r="D220" s="97"/>
      <c r="E220" s="143"/>
      <c r="F220" s="143"/>
      <c r="G220" s="97"/>
      <c r="H220" s="143"/>
      <c r="I220" s="97"/>
      <c r="J220" s="97"/>
      <c r="K220" s="114"/>
      <c r="L220" s="114"/>
      <c r="M220" s="102"/>
      <c r="N220" s="124"/>
      <c r="O220" s="125"/>
      <c r="P220" s="97"/>
      <c r="Q220" s="131"/>
      <c r="R220" s="126"/>
      <c r="S220" s="97"/>
      <c r="T220" s="97"/>
      <c r="V220" s="108"/>
    </row>
    <row r="221" ht="15.75" customHeight="1">
      <c r="A221" s="91"/>
      <c r="B221" s="171"/>
      <c r="C221" s="143"/>
      <c r="D221" s="97"/>
      <c r="E221" s="143"/>
      <c r="F221" s="143"/>
      <c r="G221" s="97"/>
      <c r="H221" s="143"/>
      <c r="I221" s="97"/>
      <c r="J221" s="97"/>
      <c r="K221" s="101"/>
      <c r="L221" s="101"/>
      <c r="M221" s="102"/>
      <c r="N221" s="124"/>
      <c r="O221" s="125"/>
      <c r="P221" s="97"/>
      <c r="Q221" s="131"/>
      <c r="R221" s="126"/>
      <c r="S221" s="97"/>
      <c r="T221" s="97"/>
      <c r="V221" s="108"/>
    </row>
    <row r="222" ht="15.75" customHeight="1">
      <c r="A222" s="91"/>
      <c r="B222" s="171"/>
      <c r="C222" s="143"/>
      <c r="D222" s="97"/>
      <c r="E222" s="143"/>
      <c r="F222" s="143"/>
      <c r="G222" s="97"/>
      <c r="H222" s="143"/>
      <c r="I222" s="97"/>
      <c r="J222" s="97"/>
      <c r="K222" s="114"/>
      <c r="L222" s="114"/>
      <c r="M222" s="102"/>
      <c r="N222" s="124"/>
      <c r="O222" s="125"/>
      <c r="P222" s="97"/>
      <c r="Q222" s="131"/>
      <c r="R222" s="126"/>
      <c r="S222" s="97"/>
      <c r="T222" s="97"/>
      <c r="V222" s="108"/>
    </row>
    <row r="223" ht="15.75" customHeight="1">
      <c r="A223" s="91"/>
      <c r="B223" s="171"/>
      <c r="C223" s="108"/>
      <c r="D223" s="97"/>
      <c r="E223" s="143"/>
      <c r="F223" s="143"/>
      <c r="G223" s="97"/>
      <c r="H223" s="143"/>
      <c r="I223" s="97"/>
      <c r="J223" s="97"/>
      <c r="K223" s="101"/>
      <c r="L223" s="101"/>
      <c r="M223" s="102"/>
      <c r="N223" s="124"/>
      <c r="O223" s="125"/>
      <c r="P223" s="97"/>
      <c r="Q223" s="131"/>
      <c r="R223" s="126"/>
      <c r="S223" s="97"/>
      <c r="T223" s="97"/>
      <c r="V223" s="108"/>
    </row>
    <row r="224" ht="15.75" customHeight="1">
      <c r="A224" s="91"/>
      <c r="B224" s="171"/>
      <c r="C224" s="143"/>
      <c r="D224" s="97"/>
      <c r="E224" s="143"/>
      <c r="F224" s="143"/>
      <c r="G224" s="97"/>
      <c r="H224" s="143"/>
      <c r="I224" s="97"/>
      <c r="J224" s="97"/>
      <c r="K224" s="114"/>
      <c r="L224" s="114"/>
      <c r="M224" s="102"/>
      <c r="N224" s="124"/>
      <c r="O224" s="125"/>
      <c r="P224" s="97"/>
      <c r="Q224" s="131"/>
      <c r="R224" s="126"/>
      <c r="S224" s="97"/>
      <c r="T224" s="97"/>
      <c r="V224" s="108"/>
    </row>
    <row r="225" ht="15.75" customHeight="1">
      <c r="A225" s="91"/>
      <c r="B225" s="171"/>
      <c r="C225" s="143"/>
      <c r="D225" s="97"/>
      <c r="E225" s="143"/>
      <c r="F225" s="143"/>
      <c r="G225" s="97"/>
      <c r="H225" s="143"/>
      <c r="I225" s="97"/>
      <c r="J225" s="97"/>
      <c r="K225" s="101"/>
      <c r="L225" s="101"/>
      <c r="M225" s="102"/>
      <c r="N225" s="124"/>
      <c r="O225" s="125"/>
      <c r="P225" s="97"/>
      <c r="Q225" s="131"/>
      <c r="R225" s="126"/>
      <c r="S225" s="97"/>
      <c r="T225" s="97"/>
      <c r="V225" s="108"/>
    </row>
    <row r="226" ht="15.75" customHeight="1">
      <c r="A226" s="91"/>
      <c r="B226" s="171"/>
      <c r="C226" s="143"/>
      <c r="D226" s="97"/>
      <c r="E226" s="143"/>
      <c r="F226" s="143"/>
      <c r="G226" s="97"/>
      <c r="H226" s="143"/>
      <c r="I226" s="97"/>
      <c r="J226" s="97"/>
      <c r="K226" s="114"/>
      <c r="L226" s="114"/>
      <c r="M226" s="102"/>
      <c r="N226" s="124"/>
      <c r="O226" s="125"/>
      <c r="P226" s="97"/>
      <c r="Q226" s="131"/>
      <c r="R226" s="126"/>
      <c r="S226" s="97"/>
      <c r="T226" s="97"/>
      <c r="V226" s="108"/>
    </row>
    <row r="227" ht="15.75" customHeight="1">
      <c r="A227" s="91"/>
      <c r="B227" s="171"/>
      <c r="C227" s="143"/>
      <c r="D227" s="97"/>
      <c r="E227" s="143"/>
      <c r="F227" s="143"/>
      <c r="G227" s="97"/>
      <c r="H227" s="143"/>
      <c r="I227" s="97"/>
      <c r="J227" s="97"/>
      <c r="K227" s="101"/>
      <c r="L227" s="101"/>
      <c r="M227" s="102"/>
      <c r="N227" s="124"/>
      <c r="O227" s="125"/>
      <c r="P227" s="97"/>
      <c r="Q227" s="131"/>
      <c r="R227" s="126"/>
      <c r="S227" s="97"/>
      <c r="T227" s="97"/>
      <c r="V227" s="108"/>
    </row>
    <row r="228" ht="15.75" customHeight="1">
      <c r="A228" s="91"/>
      <c r="B228" s="171"/>
      <c r="C228" s="143"/>
      <c r="D228" s="97"/>
      <c r="E228" s="143"/>
      <c r="F228" s="143"/>
      <c r="G228" s="97"/>
      <c r="H228" s="143"/>
      <c r="I228" s="97"/>
      <c r="J228" s="97"/>
      <c r="K228" s="114"/>
      <c r="L228" s="114"/>
      <c r="M228" s="102"/>
      <c r="N228" s="124"/>
      <c r="O228" s="125"/>
      <c r="P228" s="97"/>
      <c r="Q228" s="131"/>
      <c r="R228" s="126"/>
      <c r="S228" s="97"/>
      <c r="T228" s="97"/>
      <c r="V228" s="108"/>
    </row>
    <row r="229" ht="15.75" customHeight="1">
      <c r="A229" s="91"/>
      <c r="B229" s="171"/>
      <c r="C229" s="108"/>
      <c r="D229" s="97"/>
      <c r="E229" s="143"/>
      <c r="F229" s="143"/>
      <c r="G229" s="97"/>
      <c r="H229" s="143"/>
      <c r="I229" s="97"/>
      <c r="J229" s="97"/>
      <c r="K229" s="101"/>
      <c r="L229" s="101"/>
      <c r="M229" s="102"/>
      <c r="N229" s="124"/>
      <c r="O229" s="125"/>
      <c r="P229" s="97"/>
      <c r="Q229" s="131"/>
      <c r="R229" s="126"/>
      <c r="S229" s="97"/>
      <c r="T229" s="97"/>
      <c r="V229" s="108"/>
    </row>
    <row r="230" ht="15.75" customHeight="1">
      <c r="A230" s="91"/>
      <c r="B230" s="171"/>
      <c r="C230" s="143"/>
      <c r="D230" s="97"/>
      <c r="E230" s="143"/>
      <c r="F230" s="143"/>
      <c r="G230" s="97"/>
      <c r="H230" s="143"/>
      <c r="I230" s="97"/>
      <c r="J230" s="97"/>
      <c r="K230" s="114"/>
      <c r="L230" s="114"/>
      <c r="M230" s="102"/>
      <c r="N230" s="124"/>
      <c r="O230" s="125"/>
      <c r="P230" s="97"/>
      <c r="Q230" s="131"/>
      <c r="R230" s="126"/>
      <c r="S230" s="97"/>
      <c r="T230" s="97"/>
      <c r="V230" s="108"/>
    </row>
    <row r="231" ht="15.75" customHeight="1">
      <c r="A231" s="91"/>
      <c r="B231" s="171"/>
      <c r="C231" s="143"/>
      <c r="D231" s="97"/>
      <c r="E231" s="143"/>
      <c r="F231" s="143"/>
      <c r="G231" s="97"/>
      <c r="H231" s="143"/>
      <c r="I231" s="97"/>
      <c r="J231" s="97"/>
      <c r="K231" s="101"/>
      <c r="L231" s="101"/>
      <c r="M231" s="102"/>
      <c r="N231" s="124"/>
      <c r="O231" s="125"/>
      <c r="P231" s="97"/>
      <c r="Q231" s="131"/>
      <c r="R231" s="126"/>
      <c r="S231" s="97"/>
      <c r="T231" s="97"/>
      <c r="V231" s="108"/>
    </row>
    <row r="232" ht="15.75" customHeight="1">
      <c r="A232" s="91"/>
      <c r="B232" s="171"/>
      <c r="C232" s="143"/>
      <c r="D232" s="97"/>
      <c r="E232" s="143"/>
      <c r="F232" s="143"/>
      <c r="G232" s="97"/>
      <c r="H232" s="143"/>
      <c r="I232" s="97"/>
      <c r="J232" s="97"/>
      <c r="K232" s="114"/>
      <c r="L232" s="114"/>
      <c r="M232" s="102"/>
      <c r="N232" s="124"/>
      <c r="O232" s="125"/>
      <c r="P232" s="97"/>
      <c r="Q232" s="131"/>
      <c r="R232" s="126"/>
      <c r="S232" s="97"/>
      <c r="T232" s="97"/>
      <c r="V232" s="108"/>
    </row>
    <row r="233" ht="15.75" customHeight="1">
      <c r="A233" s="91"/>
      <c r="B233" s="171"/>
      <c r="C233" s="143"/>
      <c r="D233" s="97"/>
      <c r="E233" s="143"/>
      <c r="F233" s="143"/>
      <c r="G233" s="97"/>
      <c r="H233" s="143"/>
      <c r="I233" s="97"/>
      <c r="J233" s="97"/>
      <c r="K233" s="101"/>
      <c r="L233" s="101"/>
      <c r="M233" s="102"/>
      <c r="N233" s="124"/>
      <c r="O233" s="125"/>
      <c r="P233" s="97"/>
      <c r="Q233" s="131"/>
      <c r="R233" s="126"/>
      <c r="S233" s="97"/>
      <c r="T233" s="97"/>
      <c r="V233" s="108"/>
    </row>
    <row r="234" ht="15.75" customHeight="1">
      <c r="A234" s="91"/>
      <c r="B234" s="171"/>
      <c r="C234" s="143"/>
      <c r="D234" s="97"/>
      <c r="E234" s="143"/>
      <c r="F234" s="143"/>
      <c r="G234" s="97"/>
      <c r="H234" s="143"/>
      <c r="I234" s="97"/>
      <c r="J234" s="97"/>
      <c r="K234" s="114"/>
      <c r="L234" s="114"/>
      <c r="M234" s="102"/>
      <c r="N234" s="124"/>
      <c r="O234" s="125"/>
      <c r="P234" s="97"/>
      <c r="Q234" s="131"/>
      <c r="R234" s="126"/>
      <c r="S234" s="97"/>
      <c r="T234" s="97"/>
      <c r="V234" s="108"/>
    </row>
    <row r="235" ht="15.75" customHeight="1">
      <c r="A235" s="91"/>
      <c r="B235" s="171"/>
      <c r="C235" s="108"/>
      <c r="D235" s="97"/>
      <c r="E235" s="143"/>
      <c r="F235" s="143"/>
      <c r="G235" s="97"/>
      <c r="H235" s="143"/>
      <c r="I235" s="97"/>
      <c r="J235" s="97"/>
      <c r="K235" s="101"/>
      <c r="L235" s="101"/>
      <c r="M235" s="102"/>
      <c r="N235" s="124"/>
      <c r="O235" s="125"/>
      <c r="P235" s="97"/>
      <c r="Q235" s="131"/>
      <c r="R235" s="126"/>
      <c r="S235" s="97"/>
      <c r="T235" s="97"/>
      <c r="V235" s="108"/>
    </row>
    <row r="236" ht="15.75" customHeight="1">
      <c r="A236" s="91"/>
      <c r="B236" s="171"/>
      <c r="C236" s="143"/>
      <c r="D236" s="97"/>
      <c r="E236" s="143"/>
      <c r="F236" s="143"/>
      <c r="G236" s="97"/>
      <c r="H236" s="143"/>
      <c r="I236" s="97"/>
      <c r="J236" s="97"/>
      <c r="K236" s="114"/>
      <c r="L236" s="114"/>
      <c r="M236" s="102"/>
      <c r="N236" s="124"/>
      <c r="O236" s="125"/>
      <c r="P236" s="97"/>
      <c r="Q236" s="131"/>
      <c r="R236" s="126"/>
      <c r="S236" s="97"/>
      <c r="T236" s="97"/>
      <c r="V236" s="108"/>
    </row>
    <row r="237" ht="15.75" customHeight="1">
      <c r="A237" s="91"/>
      <c r="B237" s="171"/>
      <c r="C237" s="143"/>
      <c r="D237" s="97"/>
      <c r="E237" s="143"/>
      <c r="F237" s="143"/>
      <c r="G237" s="97"/>
      <c r="H237" s="143"/>
      <c r="I237" s="97"/>
      <c r="J237" s="97"/>
      <c r="K237" s="101"/>
      <c r="L237" s="101"/>
      <c r="M237" s="102"/>
      <c r="N237" s="124"/>
      <c r="O237" s="125"/>
      <c r="P237" s="97"/>
      <c r="Q237" s="131"/>
      <c r="R237" s="126"/>
      <c r="S237" s="97"/>
      <c r="T237" s="97"/>
      <c r="V237" s="108"/>
    </row>
    <row r="238" ht="15.75" customHeight="1">
      <c r="A238" s="91"/>
      <c r="B238" s="171"/>
      <c r="C238" s="143"/>
      <c r="D238" s="97"/>
      <c r="E238" s="143"/>
      <c r="F238" s="143"/>
      <c r="G238" s="97"/>
      <c r="H238" s="143"/>
      <c r="I238" s="97"/>
      <c r="J238" s="97"/>
      <c r="K238" s="114"/>
      <c r="L238" s="114"/>
      <c r="M238" s="102"/>
      <c r="N238" s="124"/>
      <c r="O238" s="125"/>
      <c r="P238" s="97"/>
      <c r="Q238" s="131"/>
      <c r="R238" s="126"/>
      <c r="S238" s="97"/>
      <c r="T238" s="97"/>
      <c r="V238" s="108"/>
    </row>
    <row r="239" ht="15.75" customHeight="1">
      <c r="A239" s="91"/>
      <c r="B239" s="171"/>
      <c r="C239" s="143"/>
      <c r="D239" s="97"/>
      <c r="E239" s="143"/>
      <c r="F239" s="143"/>
      <c r="G239" s="97"/>
      <c r="H239" s="143"/>
      <c r="I239" s="97"/>
      <c r="J239" s="97"/>
      <c r="K239" s="101"/>
      <c r="L239" s="101"/>
      <c r="M239" s="102"/>
      <c r="N239" s="124"/>
      <c r="O239" s="125"/>
      <c r="P239" s="97"/>
      <c r="Q239" s="131"/>
      <c r="R239" s="126"/>
      <c r="S239" s="97"/>
      <c r="T239" s="97"/>
      <c r="V239" s="108"/>
    </row>
    <row r="240" ht="15.75" customHeight="1">
      <c r="A240" s="91"/>
      <c r="B240" s="171"/>
      <c r="C240" s="143"/>
      <c r="D240" s="97"/>
      <c r="E240" s="143"/>
      <c r="F240" s="143"/>
      <c r="G240" s="97"/>
      <c r="H240" s="143"/>
      <c r="I240" s="97"/>
      <c r="J240" s="97"/>
      <c r="K240" s="114"/>
      <c r="L240" s="114"/>
      <c r="M240" s="102"/>
      <c r="N240" s="124"/>
      <c r="O240" s="125"/>
      <c r="P240" s="97"/>
      <c r="Q240" s="131"/>
      <c r="R240" s="126"/>
      <c r="S240" s="97"/>
      <c r="T240" s="97"/>
      <c r="V240" s="108"/>
    </row>
    <row r="241" ht="15.75" customHeight="1">
      <c r="A241" s="91"/>
      <c r="B241" s="171"/>
      <c r="C241" s="108"/>
      <c r="D241" s="97"/>
      <c r="E241" s="143"/>
      <c r="F241" s="143"/>
      <c r="G241" s="97"/>
      <c r="H241" s="143"/>
      <c r="I241" s="97"/>
      <c r="J241" s="97"/>
      <c r="K241" s="101"/>
      <c r="L241" s="101"/>
      <c r="M241" s="102"/>
      <c r="N241" s="124"/>
      <c r="O241" s="125"/>
      <c r="P241" s="97"/>
      <c r="Q241" s="131"/>
      <c r="R241" s="126"/>
      <c r="S241" s="97"/>
      <c r="T241" s="97"/>
      <c r="V241" s="108"/>
    </row>
    <row r="242" ht="15.75" customHeight="1">
      <c r="A242" s="91"/>
      <c r="B242" s="171"/>
      <c r="C242" s="143"/>
      <c r="D242" s="97"/>
      <c r="E242" s="143"/>
      <c r="F242" s="143"/>
      <c r="G242" s="97"/>
      <c r="H242" s="143"/>
      <c r="I242" s="97"/>
      <c r="J242" s="97"/>
      <c r="K242" s="114"/>
      <c r="L242" s="114"/>
      <c r="M242" s="102"/>
      <c r="N242" s="124"/>
      <c r="O242" s="125"/>
      <c r="P242" s="97"/>
      <c r="Q242" s="131"/>
      <c r="R242" s="126"/>
      <c r="S242" s="97"/>
      <c r="T242" s="97"/>
      <c r="V242" s="108"/>
    </row>
    <row r="243" ht="15.75" customHeight="1">
      <c r="A243" s="91"/>
      <c r="B243" s="171"/>
      <c r="C243" s="143"/>
      <c r="D243" s="97"/>
      <c r="E243" s="143"/>
      <c r="F243" s="143"/>
      <c r="G243" s="97"/>
      <c r="H243" s="143"/>
      <c r="I243" s="97"/>
      <c r="J243" s="97"/>
      <c r="K243" s="101"/>
      <c r="L243" s="101"/>
      <c r="M243" s="102"/>
      <c r="N243" s="124"/>
      <c r="O243" s="125"/>
      <c r="P243" s="97"/>
      <c r="Q243" s="131"/>
      <c r="R243" s="126"/>
      <c r="S243" s="97"/>
      <c r="T243" s="97"/>
      <c r="V243" s="108"/>
    </row>
    <row r="244" ht="15.75" customHeight="1">
      <c r="A244" s="91"/>
      <c r="B244" s="171"/>
      <c r="C244" s="143"/>
      <c r="D244" s="97"/>
      <c r="E244" s="143"/>
      <c r="F244" s="143"/>
      <c r="G244" s="97"/>
      <c r="H244" s="143"/>
      <c r="I244" s="97"/>
      <c r="J244" s="97"/>
      <c r="K244" s="148"/>
      <c r="L244" s="148"/>
      <c r="M244" s="102"/>
      <c r="N244" s="124"/>
      <c r="O244" s="125"/>
      <c r="P244" s="97"/>
      <c r="Q244" s="131"/>
      <c r="R244" s="126"/>
      <c r="S244" s="97"/>
      <c r="T244" s="97"/>
      <c r="V244" s="108"/>
    </row>
    <row r="245" ht="15.75" customHeight="1">
      <c r="A245" s="91"/>
      <c r="B245" s="171"/>
      <c r="C245" s="143"/>
      <c r="D245" s="97"/>
      <c r="E245" s="143"/>
      <c r="F245" s="143"/>
      <c r="G245" s="97"/>
      <c r="H245" s="143"/>
      <c r="I245" s="97"/>
      <c r="J245" s="97"/>
      <c r="K245" s="150"/>
      <c r="L245" s="150"/>
      <c r="M245" s="102"/>
      <c r="N245" s="124"/>
      <c r="O245" s="125"/>
      <c r="P245" s="97"/>
      <c r="Q245" s="131"/>
      <c r="R245" s="126"/>
      <c r="S245" s="97"/>
      <c r="T245" s="97"/>
      <c r="V245" s="108"/>
    </row>
    <row r="246" ht="15.75" customHeight="1">
      <c r="A246" s="91"/>
      <c r="B246" s="171"/>
      <c r="C246" s="143"/>
      <c r="D246" s="97"/>
      <c r="E246" s="143"/>
      <c r="F246" s="143"/>
      <c r="G246" s="97"/>
      <c r="H246" s="143"/>
      <c r="I246" s="97"/>
      <c r="J246" s="97"/>
      <c r="K246" s="148"/>
      <c r="L246" s="148"/>
      <c r="M246" s="102"/>
      <c r="N246" s="124"/>
      <c r="O246" s="125"/>
      <c r="P246" s="97"/>
      <c r="Q246" s="131"/>
      <c r="R246" s="126"/>
      <c r="S246" s="97"/>
      <c r="T246" s="97"/>
      <c r="V246" s="108"/>
    </row>
    <row r="247" ht="15.75" customHeight="1">
      <c r="A247" s="91"/>
      <c r="B247" s="171"/>
      <c r="C247" s="108"/>
      <c r="D247" s="97"/>
      <c r="E247" s="143"/>
      <c r="F247" s="143"/>
      <c r="G247" s="97"/>
      <c r="H247" s="143"/>
      <c r="I247" s="97"/>
      <c r="J247" s="97"/>
      <c r="K247" s="150"/>
      <c r="L247" s="150"/>
      <c r="M247" s="102"/>
      <c r="N247" s="124"/>
      <c r="O247" s="125"/>
      <c r="P247" s="97"/>
      <c r="Q247" s="131"/>
      <c r="R247" s="126"/>
      <c r="S247" s="97"/>
      <c r="T247" s="97"/>
      <c r="V247" s="108"/>
    </row>
    <row r="248" ht="15.75" customHeight="1">
      <c r="A248" s="91"/>
      <c r="B248" s="171"/>
      <c r="C248" s="143"/>
      <c r="D248" s="97"/>
      <c r="E248" s="143"/>
      <c r="F248" s="143"/>
      <c r="G248" s="97"/>
      <c r="H248" s="143"/>
      <c r="I248" s="97"/>
      <c r="J248" s="97"/>
      <c r="K248" s="148"/>
      <c r="L248" s="148"/>
      <c r="M248" s="102"/>
      <c r="N248" s="124"/>
      <c r="O248" s="125"/>
      <c r="P248" s="97"/>
      <c r="Q248" s="131"/>
      <c r="R248" s="126"/>
      <c r="S248" s="97"/>
      <c r="T248" s="97"/>
      <c r="V248" s="108"/>
    </row>
    <row r="249" ht="15.75" customHeight="1">
      <c r="A249" s="91"/>
      <c r="B249" s="171"/>
      <c r="C249" s="143"/>
      <c r="D249" s="97"/>
      <c r="E249" s="143"/>
      <c r="F249" s="143"/>
      <c r="G249" s="97"/>
      <c r="H249" s="143"/>
      <c r="I249" s="97"/>
      <c r="J249" s="97"/>
      <c r="K249" s="150"/>
      <c r="L249" s="150"/>
      <c r="M249" s="102"/>
      <c r="N249" s="124"/>
      <c r="O249" s="125"/>
      <c r="P249" s="97"/>
      <c r="Q249" s="131"/>
      <c r="R249" s="126"/>
      <c r="S249" s="97"/>
      <c r="T249" s="97"/>
      <c r="V249" s="108"/>
    </row>
    <row r="250" ht="15.75" customHeight="1">
      <c r="A250" s="91"/>
      <c r="B250" s="171"/>
      <c r="C250" s="143"/>
      <c r="D250" s="97"/>
      <c r="E250" s="143"/>
      <c r="F250" s="143"/>
      <c r="G250" s="97"/>
      <c r="H250" s="143"/>
      <c r="I250" s="97"/>
      <c r="J250" s="97"/>
      <c r="K250" s="148"/>
      <c r="L250" s="148"/>
      <c r="M250" s="102"/>
      <c r="N250" s="124"/>
      <c r="O250" s="125"/>
      <c r="P250" s="97"/>
      <c r="Q250" s="131"/>
      <c r="R250" s="126"/>
      <c r="S250" s="97"/>
      <c r="T250" s="97"/>
      <c r="V250" s="108"/>
    </row>
    <row r="251" ht="15.75" customHeight="1">
      <c r="A251" s="91"/>
      <c r="B251" s="171"/>
      <c r="C251" s="143"/>
      <c r="D251" s="97"/>
      <c r="E251" s="143"/>
      <c r="F251" s="143"/>
      <c r="G251" s="97"/>
      <c r="H251" s="143"/>
      <c r="I251" s="97"/>
      <c r="J251" s="97"/>
      <c r="K251" s="150"/>
      <c r="L251" s="150"/>
      <c r="M251" s="102"/>
      <c r="N251" s="124"/>
      <c r="O251" s="125"/>
      <c r="P251" s="97"/>
      <c r="Q251" s="131"/>
      <c r="R251" s="126"/>
      <c r="S251" s="97"/>
      <c r="T251" s="97"/>
      <c r="V251" s="108"/>
    </row>
    <row r="252" ht="15.75" customHeight="1">
      <c r="A252" s="91"/>
      <c r="B252" s="171"/>
      <c r="C252" s="143"/>
      <c r="D252" s="97"/>
      <c r="E252" s="143"/>
      <c r="F252" s="143"/>
      <c r="G252" s="97"/>
      <c r="H252" s="143"/>
      <c r="I252" s="97"/>
      <c r="J252" s="97"/>
      <c r="K252" s="148"/>
      <c r="L252" s="148"/>
      <c r="M252" s="102"/>
      <c r="N252" s="124"/>
      <c r="O252" s="125"/>
      <c r="P252" s="97"/>
      <c r="Q252" s="131"/>
      <c r="R252" s="126"/>
      <c r="S252" s="97"/>
      <c r="T252" s="97"/>
      <c r="V252" s="108"/>
    </row>
    <row r="253" ht="15.75" customHeight="1">
      <c r="A253" s="91"/>
      <c r="B253" s="171"/>
      <c r="C253" s="108"/>
      <c r="D253" s="97"/>
      <c r="E253" s="143"/>
      <c r="F253" s="143"/>
      <c r="G253" s="97"/>
      <c r="H253" s="143"/>
      <c r="I253" s="97"/>
      <c r="J253" s="97"/>
      <c r="K253" s="150"/>
      <c r="L253" s="150"/>
      <c r="M253" s="102"/>
      <c r="N253" s="124"/>
      <c r="O253" s="125"/>
      <c r="P253" s="97"/>
      <c r="Q253" s="131"/>
      <c r="R253" s="126"/>
      <c r="S253" s="97"/>
      <c r="T253" s="97"/>
      <c r="V253" s="108"/>
    </row>
    <row r="254" ht="15.75" customHeight="1">
      <c r="A254" s="91"/>
      <c r="B254" s="171"/>
      <c r="C254" s="143"/>
      <c r="D254" s="97"/>
      <c r="E254" s="143"/>
      <c r="F254" s="143"/>
      <c r="G254" s="97"/>
      <c r="H254" s="143"/>
      <c r="I254" s="97"/>
      <c r="J254" s="97"/>
      <c r="K254" s="148"/>
      <c r="L254" s="148"/>
      <c r="M254" s="102"/>
      <c r="N254" s="124"/>
      <c r="O254" s="125"/>
      <c r="P254" s="97"/>
      <c r="Q254" s="131"/>
      <c r="R254" s="126"/>
      <c r="S254" s="97"/>
      <c r="T254" s="97"/>
      <c r="V254" s="108"/>
    </row>
    <row r="255" ht="15.75" customHeight="1">
      <c r="A255" s="91"/>
      <c r="B255" s="171"/>
      <c r="C255" s="143"/>
      <c r="D255" s="97"/>
      <c r="E255" s="143"/>
      <c r="F255" s="143"/>
      <c r="G255" s="97"/>
      <c r="H255" s="143"/>
      <c r="I255" s="97"/>
      <c r="J255" s="97"/>
      <c r="K255" s="150"/>
      <c r="L255" s="150"/>
      <c r="M255" s="102"/>
      <c r="N255" s="124"/>
      <c r="O255" s="125"/>
      <c r="P255" s="97"/>
      <c r="Q255" s="131"/>
      <c r="R255" s="126"/>
      <c r="S255" s="97"/>
      <c r="T255" s="97"/>
      <c r="V255" s="108"/>
    </row>
    <row r="256" ht="15.75" customHeight="1">
      <c r="A256" s="91"/>
      <c r="B256" s="171"/>
      <c r="C256" s="143"/>
      <c r="D256" s="97"/>
      <c r="E256" s="143"/>
      <c r="F256" s="143"/>
      <c r="G256" s="97"/>
      <c r="H256" s="143"/>
      <c r="I256" s="97"/>
      <c r="J256" s="97"/>
      <c r="K256" s="148"/>
      <c r="L256" s="148"/>
      <c r="M256" s="102"/>
      <c r="N256" s="124"/>
      <c r="O256" s="125"/>
      <c r="P256" s="97"/>
      <c r="Q256" s="131"/>
      <c r="R256" s="126"/>
      <c r="S256" s="97"/>
      <c r="T256" s="97"/>
      <c r="V256" s="108"/>
    </row>
    <row r="257" ht="15.75" customHeight="1">
      <c r="A257" s="91"/>
      <c r="B257" s="171"/>
      <c r="C257" s="143"/>
      <c r="D257" s="97"/>
      <c r="E257" s="143"/>
      <c r="F257" s="143"/>
      <c r="G257" s="97"/>
      <c r="H257" s="143"/>
      <c r="I257" s="97"/>
      <c r="J257" s="97"/>
      <c r="K257" s="150"/>
      <c r="L257" s="150"/>
      <c r="M257" s="102"/>
      <c r="N257" s="124"/>
      <c r="O257" s="125"/>
      <c r="P257" s="97"/>
      <c r="Q257" s="131"/>
      <c r="R257" s="126"/>
      <c r="S257" s="97"/>
      <c r="T257" s="97"/>
      <c r="V257" s="108"/>
    </row>
    <row r="258" ht="15.75" customHeight="1">
      <c r="A258" s="91"/>
      <c r="B258" s="171"/>
      <c r="C258" s="143"/>
      <c r="D258" s="97"/>
      <c r="E258" s="143"/>
      <c r="F258" s="143"/>
      <c r="G258" s="97"/>
      <c r="H258" s="143"/>
      <c r="I258" s="97"/>
      <c r="J258" s="97"/>
      <c r="K258" s="148"/>
      <c r="L258" s="148"/>
      <c r="M258" s="102"/>
      <c r="N258" s="124"/>
      <c r="O258" s="125"/>
      <c r="P258" s="97"/>
      <c r="Q258" s="131"/>
      <c r="R258" s="126"/>
      <c r="S258" s="97"/>
      <c r="T258" s="97"/>
      <c r="V258" s="108"/>
    </row>
    <row r="259" ht="15.75" customHeight="1">
      <c r="A259" s="91"/>
      <c r="B259" s="171"/>
      <c r="C259" s="108"/>
      <c r="D259" s="97"/>
      <c r="E259" s="143"/>
      <c r="F259" s="143"/>
      <c r="G259" s="97"/>
      <c r="H259" s="143"/>
      <c r="I259" s="97"/>
      <c r="J259" s="97"/>
      <c r="K259" s="150"/>
      <c r="L259" s="150"/>
      <c r="M259" s="102"/>
      <c r="N259" s="124"/>
      <c r="O259" s="125"/>
      <c r="P259" s="97"/>
      <c r="Q259" s="131"/>
      <c r="R259" s="126"/>
      <c r="S259" s="97"/>
      <c r="T259" s="97"/>
      <c r="V259" s="108"/>
    </row>
    <row r="260" ht="15.75" customHeight="1">
      <c r="A260" s="91"/>
      <c r="B260" s="171"/>
      <c r="C260" s="143"/>
      <c r="D260" s="97"/>
      <c r="E260" s="143"/>
      <c r="F260" s="143"/>
      <c r="G260" s="97"/>
      <c r="H260" s="143"/>
      <c r="I260" s="97"/>
      <c r="J260" s="97"/>
      <c r="K260" s="148"/>
      <c r="L260" s="148"/>
      <c r="M260" s="102"/>
      <c r="N260" s="124"/>
      <c r="O260" s="125"/>
      <c r="P260" s="97"/>
      <c r="Q260" s="131"/>
      <c r="R260" s="126"/>
      <c r="S260" s="97"/>
      <c r="T260" s="97"/>
      <c r="V260" s="108"/>
    </row>
    <row r="261" ht="15.75" customHeight="1">
      <c r="A261" s="91"/>
      <c r="B261" s="171"/>
      <c r="C261" s="143"/>
      <c r="D261" s="97"/>
      <c r="E261" s="143"/>
      <c r="F261" s="143"/>
      <c r="G261" s="97"/>
      <c r="H261" s="143"/>
      <c r="I261" s="97"/>
      <c r="J261" s="97"/>
      <c r="K261" s="150"/>
      <c r="L261" s="150"/>
      <c r="M261" s="102"/>
      <c r="N261" s="124"/>
      <c r="O261" s="125"/>
      <c r="P261" s="97"/>
      <c r="Q261" s="131"/>
      <c r="R261" s="126"/>
      <c r="S261" s="97"/>
      <c r="T261" s="97"/>
      <c r="V261" s="108"/>
    </row>
    <row r="262" ht="15.75" customHeight="1">
      <c r="A262" s="91"/>
      <c r="B262" s="171"/>
      <c r="C262" s="143"/>
      <c r="D262" s="97"/>
      <c r="E262" s="143"/>
      <c r="F262" s="143"/>
      <c r="G262" s="97"/>
      <c r="H262" s="143"/>
      <c r="I262" s="97"/>
      <c r="J262" s="97"/>
      <c r="K262" s="148"/>
      <c r="L262" s="148"/>
      <c r="M262" s="102"/>
      <c r="N262" s="124"/>
      <c r="O262" s="125"/>
      <c r="P262" s="97"/>
      <c r="Q262" s="131"/>
      <c r="R262" s="126"/>
      <c r="S262" s="97"/>
      <c r="T262" s="97"/>
      <c r="V262" s="108"/>
    </row>
    <row r="263" ht="15.75" customHeight="1">
      <c r="A263" s="91"/>
      <c r="B263" s="171"/>
      <c r="C263" s="143"/>
      <c r="D263" s="97"/>
      <c r="E263" s="143"/>
      <c r="F263" s="143"/>
      <c r="G263" s="97"/>
      <c r="H263" s="143"/>
      <c r="I263" s="97"/>
      <c r="J263" s="97"/>
      <c r="K263" s="150"/>
      <c r="L263" s="150"/>
      <c r="M263" s="102"/>
      <c r="N263" s="124"/>
      <c r="O263" s="125"/>
      <c r="P263" s="97"/>
      <c r="Q263" s="131"/>
      <c r="R263" s="126"/>
      <c r="S263" s="97"/>
      <c r="T263" s="97"/>
      <c r="V263" s="108"/>
    </row>
    <row r="264" ht="15.75" customHeight="1">
      <c r="A264" s="91"/>
      <c r="B264" s="171"/>
      <c r="C264" s="143"/>
      <c r="D264" s="97"/>
      <c r="E264" s="143"/>
      <c r="F264" s="143"/>
      <c r="G264" s="97"/>
      <c r="H264" s="143"/>
      <c r="I264" s="97"/>
      <c r="J264" s="97"/>
      <c r="K264" s="148"/>
      <c r="L264" s="148"/>
      <c r="M264" s="102"/>
      <c r="N264" s="124"/>
      <c r="O264" s="125"/>
      <c r="P264" s="97"/>
      <c r="Q264" s="131"/>
      <c r="R264" s="126"/>
      <c r="S264" s="97"/>
      <c r="T264" s="97"/>
      <c r="V264" s="108"/>
    </row>
    <row r="265" ht="15.75" customHeight="1">
      <c r="A265" s="91"/>
      <c r="B265" s="171"/>
      <c r="C265" s="108"/>
      <c r="D265" s="97"/>
      <c r="E265" s="143"/>
      <c r="F265" s="143"/>
      <c r="G265" s="97"/>
      <c r="H265" s="143"/>
      <c r="I265" s="97"/>
      <c r="J265" s="97"/>
      <c r="K265" s="150"/>
      <c r="L265" s="150"/>
      <c r="M265" s="102"/>
      <c r="N265" s="124"/>
      <c r="O265" s="125"/>
      <c r="P265" s="97"/>
      <c r="Q265" s="131"/>
      <c r="R265" s="126"/>
      <c r="S265" s="97"/>
      <c r="T265" s="97"/>
      <c r="V265" s="108"/>
    </row>
    <row r="266" ht="15.75" customHeight="1">
      <c r="A266" s="91"/>
      <c r="B266" s="171"/>
      <c r="C266" s="143"/>
      <c r="D266" s="97"/>
      <c r="E266" s="143"/>
      <c r="F266" s="143"/>
      <c r="G266" s="97"/>
      <c r="H266" s="143"/>
      <c r="I266" s="97"/>
      <c r="J266" s="97"/>
      <c r="K266" s="148"/>
      <c r="L266" s="148"/>
      <c r="M266" s="102"/>
      <c r="N266" s="124"/>
      <c r="O266" s="125"/>
      <c r="P266" s="97"/>
      <c r="Q266" s="131"/>
      <c r="R266" s="126"/>
      <c r="S266" s="97"/>
      <c r="T266" s="97"/>
      <c r="V266" s="108"/>
    </row>
    <row r="267" ht="15.75" customHeight="1">
      <c r="A267" s="91"/>
      <c r="B267" s="171"/>
      <c r="C267" s="143"/>
      <c r="D267" s="97"/>
      <c r="E267" s="143"/>
      <c r="F267" s="143"/>
      <c r="G267" s="97"/>
      <c r="H267" s="143"/>
      <c r="I267" s="97"/>
      <c r="J267" s="97"/>
      <c r="K267" s="150"/>
      <c r="L267" s="150"/>
      <c r="M267" s="102"/>
      <c r="N267" s="124"/>
      <c r="O267" s="125"/>
      <c r="P267" s="97"/>
      <c r="Q267" s="131"/>
      <c r="R267" s="126"/>
      <c r="S267" s="97"/>
      <c r="T267" s="97"/>
      <c r="V267" s="108"/>
    </row>
    <row r="268" ht="15.75" customHeight="1">
      <c r="A268" s="91"/>
      <c r="B268" s="171"/>
      <c r="C268" s="143"/>
      <c r="D268" s="97"/>
      <c r="E268" s="143"/>
      <c r="F268" s="143"/>
      <c r="G268" s="97"/>
      <c r="H268" s="143"/>
      <c r="I268" s="97"/>
      <c r="J268" s="97"/>
      <c r="K268" s="148"/>
      <c r="L268" s="148"/>
      <c r="M268" s="102"/>
      <c r="N268" s="124"/>
      <c r="O268" s="125"/>
      <c r="P268" s="97"/>
      <c r="Q268" s="131"/>
      <c r="R268" s="126"/>
      <c r="S268" s="97"/>
      <c r="T268" s="97"/>
      <c r="V268" s="108"/>
    </row>
    <row r="269" ht="15.75" customHeight="1">
      <c r="A269" s="91"/>
      <c r="B269" s="171"/>
      <c r="C269" s="143"/>
      <c r="D269" s="97"/>
      <c r="E269" s="143"/>
      <c r="F269" s="143"/>
      <c r="G269" s="97"/>
      <c r="H269" s="143"/>
      <c r="I269" s="97"/>
      <c r="J269" s="97"/>
      <c r="K269" s="150"/>
      <c r="L269" s="150"/>
      <c r="M269" s="102"/>
      <c r="N269" s="124"/>
      <c r="O269" s="125"/>
      <c r="P269" s="97"/>
      <c r="Q269" s="131"/>
      <c r="R269" s="126"/>
      <c r="S269" s="97"/>
      <c r="T269" s="97"/>
      <c r="V269" s="108"/>
    </row>
    <row r="270" ht="15.75" customHeight="1">
      <c r="A270" s="91"/>
      <c r="B270" s="171"/>
      <c r="C270" s="143"/>
      <c r="D270" s="97"/>
      <c r="E270" s="143"/>
      <c r="F270" s="143"/>
      <c r="G270" s="97"/>
      <c r="H270" s="143"/>
      <c r="I270" s="97"/>
      <c r="J270" s="97"/>
      <c r="K270" s="148"/>
      <c r="L270" s="148"/>
      <c r="M270" s="102"/>
      <c r="N270" s="124"/>
      <c r="O270" s="125"/>
      <c r="P270" s="97"/>
      <c r="Q270" s="131"/>
      <c r="R270" s="126"/>
      <c r="S270" s="97"/>
      <c r="T270" s="97"/>
      <c r="V270" s="108"/>
    </row>
    <row r="271" ht="15.75" customHeight="1">
      <c r="A271" s="91"/>
      <c r="B271" s="171"/>
      <c r="C271" s="108"/>
      <c r="D271" s="97"/>
      <c r="E271" s="143"/>
      <c r="F271" s="143"/>
      <c r="G271" s="97"/>
      <c r="H271" s="143"/>
      <c r="I271" s="97"/>
      <c r="J271" s="97"/>
      <c r="K271" s="150"/>
      <c r="L271" s="150"/>
      <c r="M271" s="102"/>
      <c r="N271" s="124"/>
      <c r="O271" s="125"/>
      <c r="P271" s="97"/>
      <c r="Q271" s="131"/>
      <c r="R271" s="126"/>
      <c r="S271" s="97"/>
      <c r="T271" s="97"/>
      <c r="V271" s="108"/>
    </row>
    <row r="272" ht="15.75" customHeight="1">
      <c r="A272" s="91"/>
      <c r="B272" s="171"/>
      <c r="C272" s="143"/>
      <c r="D272" s="97"/>
      <c r="E272" s="143"/>
      <c r="F272" s="143"/>
      <c r="G272" s="97"/>
      <c r="H272" s="143"/>
      <c r="I272" s="97"/>
      <c r="J272" s="97"/>
      <c r="K272" s="148"/>
      <c r="L272" s="148"/>
      <c r="M272" s="102"/>
      <c r="N272" s="124"/>
      <c r="O272" s="125"/>
      <c r="P272" s="97"/>
      <c r="Q272" s="131"/>
      <c r="R272" s="126"/>
      <c r="S272" s="97"/>
      <c r="T272" s="97"/>
      <c r="V272" s="108"/>
    </row>
    <row r="273" ht="15.75" customHeight="1">
      <c r="A273" s="91"/>
      <c r="B273" s="171"/>
      <c r="C273" s="143"/>
      <c r="D273" s="97"/>
      <c r="E273" s="143"/>
      <c r="F273" s="143"/>
      <c r="G273" s="97"/>
      <c r="H273" s="143"/>
      <c r="I273" s="97"/>
      <c r="J273" s="97"/>
      <c r="K273" s="150"/>
      <c r="L273" s="150"/>
      <c r="M273" s="102"/>
      <c r="N273" s="124"/>
      <c r="O273" s="125"/>
      <c r="P273" s="97"/>
      <c r="Q273" s="131"/>
      <c r="R273" s="126"/>
      <c r="S273" s="97"/>
      <c r="T273" s="97"/>
      <c r="V273" s="108"/>
    </row>
    <row r="274" ht="15.75" customHeight="1">
      <c r="A274" s="91"/>
      <c r="B274" s="171"/>
      <c r="C274" s="143"/>
      <c r="D274" s="97"/>
      <c r="E274" s="143"/>
      <c r="F274" s="143"/>
      <c r="G274" s="97"/>
      <c r="H274" s="143"/>
      <c r="I274" s="97"/>
      <c r="J274" s="97"/>
      <c r="K274" s="148"/>
      <c r="L274" s="148"/>
      <c r="M274" s="102"/>
      <c r="N274" s="124"/>
      <c r="O274" s="125"/>
      <c r="P274" s="97"/>
      <c r="Q274" s="131"/>
      <c r="R274" s="126"/>
      <c r="S274" s="97"/>
      <c r="T274" s="97"/>
      <c r="V274" s="108"/>
    </row>
    <row r="275" ht="15.75" customHeight="1">
      <c r="A275" s="91"/>
      <c r="B275" s="171"/>
      <c r="C275" s="143"/>
      <c r="D275" s="97"/>
      <c r="E275" s="143"/>
      <c r="F275" s="143"/>
      <c r="G275" s="97"/>
      <c r="H275" s="143"/>
      <c r="I275" s="97"/>
      <c r="J275" s="97"/>
      <c r="K275" s="150"/>
      <c r="L275" s="150"/>
      <c r="M275" s="102"/>
      <c r="N275" s="124"/>
      <c r="O275" s="125"/>
      <c r="P275" s="97"/>
      <c r="Q275" s="131"/>
      <c r="R275" s="126"/>
      <c r="S275" s="97"/>
      <c r="T275" s="97"/>
      <c r="V275" s="108"/>
    </row>
    <row r="276" ht="15.75" customHeight="1">
      <c r="A276" s="91"/>
      <c r="B276" s="171"/>
      <c r="C276" s="143"/>
      <c r="D276" s="97"/>
      <c r="E276" s="143"/>
      <c r="F276" s="143"/>
      <c r="G276" s="97"/>
      <c r="H276" s="143"/>
      <c r="I276" s="97"/>
      <c r="J276" s="97"/>
      <c r="K276" s="148"/>
      <c r="L276" s="148"/>
      <c r="M276" s="102"/>
      <c r="N276" s="124"/>
      <c r="O276" s="125"/>
      <c r="P276" s="97"/>
      <c r="Q276" s="131"/>
      <c r="R276" s="126"/>
      <c r="S276" s="97"/>
      <c r="T276" s="97"/>
      <c r="V276" s="108"/>
    </row>
    <row r="277" ht="15.75" customHeight="1">
      <c r="A277" s="91"/>
      <c r="B277" s="171"/>
      <c r="C277" s="108"/>
      <c r="D277" s="97"/>
      <c r="E277" s="143"/>
      <c r="F277" s="143"/>
      <c r="G277" s="97"/>
      <c r="H277" s="143"/>
      <c r="I277" s="97"/>
      <c r="J277" s="97"/>
      <c r="K277" s="150"/>
      <c r="L277" s="150"/>
      <c r="M277" s="102"/>
      <c r="N277" s="124"/>
      <c r="O277" s="125"/>
      <c r="P277" s="97"/>
      <c r="Q277" s="131"/>
      <c r="R277" s="126"/>
      <c r="S277" s="97"/>
      <c r="T277" s="97"/>
      <c r="V277" s="108"/>
    </row>
    <row r="278" ht="15.75" customHeight="1">
      <c r="A278" s="91"/>
      <c r="B278" s="171"/>
      <c r="C278" s="143"/>
      <c r="D278" s="97"/>
      <c r="E278" s="143"/>
      <c r="F278" s="143"/>
      <c r="G278" s="97"/>
      <c r="H278" s="143"/>
      <c r="I278" s="97"/>
      <c r="J278" s="97"/>
      <c r="K278" s="148"/>
      <c r="L278" s="148"/>
      <c r="M278" s="102"/>
      <c r="N278" s="124"/>
      <c r="O278" s="125"/>
      <c r="P278" s="97"/>
      <c r="Q278" s="131"/>
      <c r="R278" s="126"/>
      <c r="S278" s="97"/>
      <c r="T278" s="97"/>
      <c r="V278" s="108"/>
    </row>
    <row r="279" ht="15.75" customHeight="1">
      <c r="A279" s="91"/>
      <c r="B279" s="171"/>
      <c r="C279" s="143"/>
      <c r="D279" s="97"/>
      <c r="E279" s="143"/>
      <c r="F279" s="143"/>
      <c r="G279" s="97"/>
      <c r="H279" s="143"/>
      <c r="I279" s="97"/>
      <c r="J279" s="97"/>
      <c r="K279" s="150"/>
      <c r="L279" s="150"/>
      <c r="M279" s="102"/>
      <c r="N279" s="124"/>
      <c r="O279" s="125"/>
      <c r="P279" s="97"/>
      <c r="Q279" s="131"/>
      <c r="R279" s="126"/>
      <c r="S279" s="97"/>
      <c r="T279" s="97"/>
      <c r="V279" s="108"/>
    </row>
    <row r="280" ht="15.75" customHeight="1">
      <c r="A280" s="91"/>
      <c r="B280" s="171"/>
      <c r="C280" s="143"/>
      <c r="D280" s="97"/>
      <c r="E280" s="143"/>
      <c r="F280" s="143"/>
      <c r="G280" s="97"/>
      <c r="H280" s="143"/>
      <c r="I280" s="97"/>
      <c r="J280" s="97"/>
      <c r="K280" s="148"/>
      <c r="L280" s="148"/>
      <c r="M280" s="102"/>
      <c r="N280" s="124"/>
      <c r="O280" s="125"/>
      <c r="P280" s="97"/>
      <c r="Q280" s="131"/>
      <c r="R280" s="126"/>
      <c r="S280" s="97"/>
      <c r="T280" s="97"/>
      <c r="V280" s="108"/>
    </row>
    <row r="281" ht="15.75" customHeight="1">
      <c r="A281" s="91"/>
      <c r="B281" s="171"/>
      <c r="C281" s="143"/>
      <c r="D281" s="97"/>
      <c r="E281" s="143"/>
      <c r="F281" s="143"/>
      <c r="G281" s="97"/>
      <c r="H281" s="143"/>
      <c r="I281" s="97"/>
      <c r="J281" s="97"/>
      <c r="K281" s="150"/>
      <c r="L281" s="150"/>
      <c r="M281" s="102"/>
      <c r="N281" s="124"/>
      <c r="O281" s="125"/>
      <c r="P281" s="97"/>
      <c r="Q281" s="131"/>
      <c r="R281" s="126"/>
      <c r="S281" s="97"/>
      <c r="T281" s="97"/>
      <c r="V281" s="108"/>
    </row>
    <row r="282" ht="15.75" customHeight="1">
      <c r="A282" s="91"/>
      <c r="B282" s="171"/>
      <c r="C282" s="143"/>
      <c r="D282" s="97"/>
      <c r="E282" s="143"/>
      <c r="F282" s="143"/>
      <c r="G282" s="97"/>
      <c r="H282" s="143"/>
      <c r="I282" s="97"/>
      <c r="J282" s="97"/>
      <c r="K282" s="148"/>
      <c r="L282" s="148"/>
      <c r="M282" s="102"/>
      <c r="N282" s="124"/>
      <c r="O282" s="125"/>
      <c r="P282" s="97"/>
      <c r="Q282" s="131"/>
      <c r="R282" s="126"/>
      <c r="S282" s="97"/>
      <c r="T282" s="97"/>
      <c r="V282" s="108"/>
    </row>
    <row r="283" ht="15.75" customHeight="1">
      <c r="A283" s="91"/>
      <c r="B283" s="171"/>
      <c r="C283" s="108"/>
      <c r="D283" s="97"/>
      <c r="E283" s="143"/>
      <c r="F283" s="143"/>
      <c r="G283" s="97"/>
      <c r="H283" s="143"/>
      <c r="I283" s="97"/>
      <c r="J283" s="97"/>
      <c r="K283" s="150"/>
      <c r="L283" s="150"/>
      <c r="M283" s="102"/>
      <c r="N283" s="124"/>
      <c r="O283" s="125"/>
      <c r="P283" s="97"/>
      <c r="Q283" s="131"/>
      <c r="R283" s="126"/>
      <c r="S283" s="97"/>
      <c r="T283" s="97"/>
      <c r="V283" s="108"/>
    </row>
    <row r="284" ht="15.75" customHeight="1">
      <c r="A284" s="91"/>
      <c r="B284" s="171"/>
      <c r="C284" s="143"/>
      <c r="D284" s="97"/>
      <c r="E284" s="143"/>
      <c r="F284" s="143"/>
      <c r="G284" s="97"/>
      <c r="H284" s="143"/>
      <c r="I284" s="97"/>
      <c r="J284" s="97"/>
      <c r="K284" s="148"/>
      <c r="L284" s="148"/>
      <c r="M284" s="102"/>
      <c r="N284" s="124"/>
      <c r="O284" s="125"/>
      <c r="P284" s="97"/>
      <c r="Q284" s="131"/>
      <c r="R284" s="126"/>
      <c r="S284" s="97"/>
      <c r="T284" s="97"/>
      <c r="V284" s="108"/>
    </row>
    <row r="285" ht="15.75" customHeight="1">
      <c r="A285" s="91"/>
      <c r="B285" s="171"/>
      <c r="C285" s="143"/>
      <c r="D285" s="97"/>
      <c r="E285" s="143"/>
      <c r="F285" s="143"/>
      <c r="G285" s="97"/>
      <c r="H285" s="143"/>
      <c r="I285" s="97"/>
      <c r="J285" s="97"/>
      <c r="K285" s="150"/>
      <c r="L285" s="150"/>
      <c r="M285" s="102"/>
      <c r="N285" s="124"/>
      <c r="O285" s="125"/>
      <c r="P285" s="97"/>
      <c r="Q285" s="131"/>
      <c r="R285" s="126"/>
      <c r="S285" s="97"/>
      <c r="T285" s="97"/>
      <c r="V285" s="108"/>
    </row>
    <row r="286" ht="15.75" customHeight="1">
      <c r="A286" s="91"/>
      <c r="B286" s="171"/>
      <c r="C286" s="143"/>
      <c r="D286" s="97"/>
      <c r="E286" s="143"/>
      <c r="F286" s="143"/>
      <c r="G286" s="97"/>
      <c r="H286" s="143"/>
      <c r="I286" s="97"/>
      <c r="J286" s="97"/>
      <c r="K286" s="148"/>
      <c r="L286" s="148"/>
      <c r="M286" s="102"/>
      <c r="N286" s="124"/>
      <c r="O286" s="125"/>
      <c r="P286" s="97"/>
      <c r="Q286" s="131"/>
      <c r="R286" s="126"/>
      <c r="S286" s="97"/>
      <c r="T286" s="97"/>
      <c r="V286" s="108"/>
    </row>
    <row r="287" ht="15.75" customHeight="1">
      <c r="A287" s="91"/>
      <c r="B287" s="171"/>
      <c r="C287" s="143"/>
      <c r="D287" s="97"/>
      <c r="E287" s="143"/>
      <c r="F287" s="143"/>
      <c r="G287" s="97"/>
      <c r="H287" s="143"/>
      <c r="I287" s="97"/>
      <c r="J287" s="97"/>
      <c r="K287" s="150"/>
      <c r="L287" s="150"/>
      <c r="M287" s="102"/>
      <c r="N287" s="124"/>
      <c r="O287" s="125"/>
      <c r="P287" s="97"/>
      <c r="Q287" s="131"/>
      <c r="R287" s="126"/>
      <c r="S287" s="97"/>
      <c r="T287" s="97"/>
      <c r="V287" s="108"/>
    </row>
    <row r="288" ht="15.75" customHeight="1">
      <c r="A288" s="91"/>
      <c r="B288" s="171"/>
      <c r="C288" s="143"/>
      <c r="D288" s="97"/>
      <c r="E288" s="143"/>
      <c r="F288" s="143"/>
      <c r="G288" s="97"/>
      <c r="H288" s="143"/>
      <c r="I288" s="97"/>
      <c r="J288" s="97"/>
      <c r="K288" s="148"/>
      <c r="L288" s="148"/>
      <c r="M288" s="102"/>
      <c r="N288" s="124"/>
      <c r="O288" s="125"/>
      <c r="P288" s="97"/>
      <c r="Q288" s="131"/>
      <c r="R288" s="126"/>
      <c r="S288" s="97"/>
      <c r="T288" s="97"/>
      <c r="V288" s="108"/>
    </row>
    <row r="289" ht="15.75" customHeight="1">
      <c r="A289" s="91"/>
      <c r="B289" s="171"/>
      <c r="C289" s="108"/>
      <c r="D289" s="97"/>
      <c r="E289" s="143"/>
      <c r="F289" s="143"/>
      <c r="G289" s="97"/>
      <c r="H289" s="143"/>
      <c r="I289" s="97"/>
      <c r="J289" s="97"/>
      <c r="K289" s="150"/>
      <c r="L289" s="150"/>
      <c r="M289" s="102"/>
      <c r="N289" s="124"/>
      <c r="O289" s="125"/>
      <c r="P289" s="97"/>
      <c r="Q289" s="131"/>
      <c r="R289" s="126"/>
      <c r="S289" s="97"/>
      <c r="T289" s="97"/>
      <c r="V289" s="108"/>
    </row>
    <row r="290" ht="15.75" customHeight="1">
      <c r="A290" s="91"/>
      <c r="B290" s="171"/>
      <c r="C290" s="143"/>
      <c r="D290" s="97"/>
      <c r="E290" s="143"/>
      <c r="F290" s="143"/>
      <c r="G290" s="97"/>
      <c r="H290" s="143"/>
      <c r="I290" s="97"/>
      <c r="J290" s="97"/>
      <c r="K290" s="148"/>
      <c r="L290" s="148"/>
      <c r="M290" s="102"/>
      <c r="N290" s="124"/>
      <c r="O290" s="125"/>
      <c r="P290" s="97"/>
      <c r="Q290" s="131"/>
      <c r="R290" s="126"/>
      <c r="S290" s="97"/>
      <c r="T290" s="97"/>
      <c r="V290" s="108"/>
    </row>
    <row r="291" ht="15.75" customHeight="1">
      <c r="A291" s="91"/>
      <c r="B291" s="171"/>
      <c r="C291" s="143"/>
      <c r="D291" s="97"/>
      <c r="E291" s="143"/>
      <c r="F291" s="143"/>
      <c r="G291" s="97"/>
      <c r="H291" s="143"/>
      <c r="I291" s="97"/>
      <c r="J291" s="97"/>
      <c r="K291" s="150"/>
      <c r="L291" s="150"/>
      <c r="M291" s="102"/>
      <c r="N291" s="124"/>
      <c r="O291" s="125"/>
      <c r="P291" s="97"/>
      <c r="Q291" s="131"/>
      <c r="R291" s="126"/>
      <c r="S291" s="97"/>
      <c r="T291" s="97"/>
      <c r="V291" s="108"/>
    </row>
    <row r="292" ht="15.75" customHeight="1">
      <c r="A292" s="91"/>
      <c r="B292" s="171"/>
      <c r="C292" s="143"/>
      <c r="D292" s="97"/>
      <c r="E292" s="143"/>
      <c r="F292" s="143"/>
      <c r="G292" s="97"/>
      <c r="H292" s="143"/>
      <c r="I292" s="97"/>
      <c r="J292" s="97"/>
      <c r="K292" s="148"/>
      <c r="L292" s="148"/>
      <c r="M292" s="102"/>
      <c r="N292" s="124"/>
      <c r="O292" s="125"/>
      <c r="P292" s="97"/>
      <c r="Q292" s="131"/>
      <c r="R292" s="126"/>
      <c r="S292" s="97"/>
      <c r="T292" s="97"/>
      <c r="V292" s="108"/>
    </row>
    <row r="293" ht="15.75" customHeight="1">
      <c r="A293" s="91"/>
      <c r="B293" s="171"/>
      <c r="C293" s="143"/>
      <c r="D293" s="97"/>
      <c r="E293" s="143"/>
      <c r="F293" s="143"/>
      <c r="G293" s="97"/>
      <c r="H293" s="143"/>
      <c r="I293" s="97"/>
      <c r="J293" s="97"/>
      <c r="K293" s="150"/>
      <c r="L293" s="150"/>
      <c r="M293" s="102"/>
      <c r="N293" s="124"/>
      <c r="O293" s="125"/>
      <c r="P293" s="97"/>
      <c r="Q293" s="131"/>
      <c r="R293" s="126"/>
      <c r="S293" s="97"/>
      <c r="T293" s="97"/>
      <c r="V293" s="108"/>
    </row>
    <row r="294" ht="15.75" customHeight="1">
      <c r="A294" s="91"/>
      <c r="B294" s="171"/>
      <c r="C294" s="143"/>
      <c r="D294" s="97"/>
      <c r="E294" s="143"/>
      <c r="F294" s="143"/>
      <c r="G294" s="97"/>
      <c r="H294" s="143"/>
      <c r="I294" s="97"/>
      <c r="J294" s="97"/>
      <c r="K294" s="148"/>
      <c r="L294" s="148"/>
      <c r="M294" s="102"/>
      <c r="N294" s="124"/>
      <c r="O294" s="125"/>
      <c r="P294" s="97"/>
      <c r="Q294" s="131"/>
      <c r="R294" s="126"/>
      <c r="S294" s="97"/>
      <c r="T294" s="97"/>
      <c r="V294" s="108"/>
    </row>
    <row r="295" ht="15.75" customHeight="1">
      <c r="A295" s="91"/>
      <c r="B295" s="171"/>
      <c r="C295" s="108"/>
      <c r="D295" s="97"/>
      <c r="E295" s="143"/>
      <c r="F295" s="143"/>
      <c r="G295" s="97"/>
      <c r="H295" s="143"/>
      <c r="I295" s="97"/>
      <c r="J295" s="97"/>
      <c r="K295" s="150"/>
      <c r="L295" s="150"/>
      <c r="M295" s="102"/>
      <c r="N295" s="124"/>
      <c r="O295" s="125"/>
      <c r="P295" s="97"/>
      <c r="Q295" s="131"/>
      <c r="R295" s="126"/>
      <c r="S295" s="97"/>
      <c r="T295" s="97"/>
      <c r="V295" s="108"/>
    </row>
    <row r="296" ht="15.75" customHeight="1">
      <c r="A296" s="91"/>
      <c r="B296" s="171"/>
      <c r="C296" s="143"/>
      <c r="D296" s="97"/>
      <c r="E296" s="143"/>
      <c r="F296" s="143"/>
      <c r="G296" s="97"/>
      <c r="H296" s="143"/>
      <c r="I296" s="97"/>
      <c r="J296" s="97"/>
      <c r="K296" s="148"/>
      <c r="L296" s="148"/>
      <c r="M296" s="102"/>
      <c r="N296" s="124"/>
      <c r="O296" s="125"/>
      <c r="P296" s="97"/>
      <c r="Q296" s="131"/>
      <c r="R296" s="126"/>
      <c r="S296" s="97"/>
      <c r="T296" s="97"/>
      <c r="V296" s="108"/>
    </row>
    <row r="297" ht="15.75" customHeight="1">
      <c r="A297" s="91"/>
      <c r="B297" s="171"/>
      <c r="C297" s="143"/>
      <c r="D297" s="97"/>
      <c r="E297" s="143"/>
      <c r="F297" s="143"/>
      <c r="G297" s="97"/>
      <c r="H297" s="143"/>
      <c r="I297" s="97"/>
      <c r="J297" s="97"/>
      <c r="K297" s="150"/>
      <c r="L297" s="150"/>
      <c r="M297" s="102"/>
      <c r="N297" s="124"/>
      <c r="O297" s="125"/>
      <c r="P297" s="97"/>
      <c r="Q297" s="131"/>
      <c r="R297" s="126"/>
      <c r="S297" s="97"/>
      <c r="T297" s="97"/>
      <c r="V297" s="108"/>
    </row>
    <row r="298" ht="15.75" customHeight="1">
      <c r="A298" s="91"/>
      <c r="B298" s="171"/>
      <c r="C298" s="143"/>
      <c r="D298" s="97"/>
      <c r="E298" s="143"/>
      <c r="F298" s="143"/>
      <c r="G298" s="97"/>
      <c r="H298" s="143"/>
      <c r="I298" s="97"/>
      <c r="J298" s="97"/>
      <c r="K298" s="148"/>
      <c r="L298" s="148"/>
      <c r="M298" s="102"/>
      <c r="N298" s="124"/>
      <c r="O298" s="125"/>
      <c r="P298" s="97"/>
      <c r="Q298" s="131"/>
      <c r="R298" s="126"/>
      <c r="S298" s="97"/>
      <c r="T298" s="97"/>
      <c r="V298" s="108"/>
    </row>
    <row r="299" ht="15.75" customHeight="1">
      <c r="A299" s="91"/>
      <c r="B299" s="171"/>
      <c r="C299" s="143"/>
      <c r="D299" s="97"/>
      <c r="E299" s="143"/>
      <c r="F299" s="143"/>
      <c r="G299" s="97"/>
      <c r="H299" s="143"/>
      <c r="I299" s="97"/>
      <c r="J299" s="97"/>
      <c r="K299" s="150"/>
      <c r="L299" s="150"/>
      <c r="M299" s="102"/>
      <c r="N299" s="124"/>
      <c r="O299" s="125"/>
      <c r="P299" s="97"/>
      <c r="Q299" s="131"/>
      <c r="R299" s="126"/>
      <c r="S299" s="97"/>
      <c r="T299" s="97"/>
      <c r="V299" s="108"/>
    </row>
    <row r="300" ht="15.75" customHeight="1">
      <c r="A300" s="91"/>
      <c r="B300" s="171"/>
      <c r="C300" s="143"/>
      <c r="D300" s="97"/>
      <c r="E300" s="143"/>
      <c r="F300" s="143"/>
      <c r="G300" s="97"/>
      <c r="H300" s="143"/>
      <c r="I300" s="97"/>
      <c r="J300" s="97"/>
      <c r="K300" s="148"/>
      <c r="L300" s="148"/>
      <c r="M300" s="102"/>
      <c r="N300" s="124"/>
      <c r="O300" s="125"/>
      <c r="P300" s="97"/>
      <c r="Q300" s="131"/>
      <c r="R300" s="126"/>
      <c r="S300" s="97"/>
      <c r="T300" s="97"/>
      <c r="V300" s="108"/>
    </row>
    <row r="301" ht="15.75" customHeight="1">
      <c r="A301" s="91"/>
      <c r="B301" s="171"/>
      <c r="C301" s="108"/>
      <c r="D301" s="97"/>
      <c r="E301" s="143"/>
      <c r="F301" s="143"/>
      <c r="G301" s="97"/>
      <c r="H301" s="143"/>
      <c r="I301" s="97"/>
      <c r="J301" s="97"/>
      <c r="K301" s="150"/>
      <c r="L301" s="150"/>
      <c r="M301" s="102"/>
      <c r="N301" s="124"/>
      <c r="O301" s="125"/>
      <c r="P301" s="97"/>
      <c r="Q301" s="131"/>
      <c r="R301" s="126"/>
      <c r="S301" s="97"/>
      <c r="T301" s="97"/>
      <c r="V301" s="108"/>
    </row>
    <row r="302" ht="15.75" customHeight="1">
      <c r="A302" s="91"/>
      <c r="B302" s="171"/>
      <c r="C302" s="143"/>
      <c r="D302" s="97"/>
      <c r="E302" s="143"/>
      <c r="F302" s="143"/>
      <c r="G302" s="97"/>
      <c r="H302" s="143"/>
      <c r="I302" s="97"/>
      <c r="J302" s="97"/>
      <c r="K302" s="148"/>
      <c r="L302" s="148"/>
      <c r="M302" s="102"/>
      <c r="N302" s="124"/>
      <c r="O302" s="125"/>
      <c r="P302" s="97"/>
      <c r="Q302" s="131"/>
      <c r="R302" s="126"/>
      <c r="S302" s="97"/>
      <c r="T302" s="97"/>
      <c r="V302" s="108"/>
    </row>
    <row r="303" ht="15.75" customHeight="1">
      <c r="A303" s="91"/>
      <c r="B303" s="171"/>
      <c r="C303" s="143"/>
      <c r="D303" s="97"/>
      <c r="E303" s="143"/>
      <c r="F303" s="143"/>
      <c r="G303" s="97"/>
      <c r="H303" s="143"/>
      <c r="I303" s="97"/>
      <c r="J303" s="97"/>
      <c r="K303" s="150"/>
      <c r="L303" s="150"/>
      <c r="M303" s="102"/>
      <c r="N303" s="124"/>
      <c r="O303" s="125"/>
      <c r="P303" s="97"/>
      <c r="Q303" s="131"/>
      <c r="R303" s="126"/>
      <c r="S303" s="97"/>
      <c r="T303" s="97"/>
      <c r="V303" s="108"/>
    </row>
    <row r="304" ht="15.75" customHeight="1">
      <c r="A304" s="91"/>
      <c r="B304" s="171"/>
      <c r="C304" s="143"/>
      <c r="D304" s="97"/>
      <c r="E304" s="143"/>
      <c r="F304" s="143"/>
      <c r="G304" s="97"/>
      <c r="H304" s="143"/>
      <c r="I304" s="97"/>
      <c r="J304" s="97"/>
      <c r="K304" s="148"/>
      <c r="L304" s="148"/>
      <c r="M304" s="102"/>
      <c r="N304" s="124"/>
      <c r="O304" s="125"/>
      <c r="P304" s="97"/>
      <c r="Q304" s="131"/>
      <c r="R304" s="126"/>
      <c r="S304" s="97"/>
      <c r="T304" s="97"/>
      <c r="V304" s="108"/>
    </row>
    <row r="305" ht="15.75" customHeight="1">
      <c r="A305" s="91"/>
      <c r="B305" s="171"/>
      <c r="C305" s="143"/>
      <c r="D305" s="97"/>
      <c r="E305" s="143"/>
      <c r="F305" s="143"/>
      <c r="G305" s="97"/>
      <c r="H305" s="143"/>
      <c r="I305" s="97"/>
      <c r="J305" s="97"/>
      <c r="K305" s="150"/>
      <c r="L305" s="150"/>
      <c r="M305" s="102"/>
      <c r="N305" s="124"/>
      <c r="O305" s="125"/>
      <c r="P305" s="97"/>
      <c r="Q305" s="131"/>
      <c r="R305" s="126"/>
      <c r="S305" s="97"/>
      <c r="T305" s="97"/>
      <c r="V305" s="108"/>
    </row>
    <row r="306" ht="15.75" customHeight="1">
      <c r="A306" s="91"/>
      <c r="B306" s="171"/>
      <c r="C306" s="143"/>
      <c r="D306" s="97"/>
      <c r="E306" s="143"/>
      <c r="F306" s="143"/>
      <c r="G306" s="97"/>
      <c r="H306" s="143"/>
      <c r="I306" s="97"/>
      <c r="J306" s="97"/>
      <c r="K306" s="148"/>
      <c r="L306" s="148"/>
      <c r="M306" s="102"/>
      <c r="N306" s="124"/>
      <c r="O306" s="125"/>
      <c r="P306" s="97"/>
      <c r="Q306" s="131"/>
      <c r="R306" s="126"/>
      <c r="S306" s="97"/>
      <c r="T306" s="97"/>
      <c r="V306" s="108"/>
    </row>
    <row r="307" ht="15.75" customHeight="1">
      <c r="A307" s="91"/>
      <c r="B307" s="171"/>
      <c r="C307" s="108"/>
      <c r="D307" s="97"/>
      <c r="E307" s="143"/>
      <c r="F307" s="143"/>
      <c r="G307" s="97"/>
      <c r="H307" s="143"/>
      <c r="I307" s="97"/>
      <c r="J307" s="97"/>
      <c r="K307" s="150"/>
      <c r="L307" s="150"/>
      <c r="M307" s="102"/>
      <c r="N307" s="124"/>
      <c r="O307" s="125"/>
      <c r="P307" s="97"/>
      <c r="Q307" s="131"/>
      <c r="R307" s="126"/>
      <c r="S307" s="97"/>
      <c r="T307" s="97"/>
      <c r="V307" s="108"/>
    </row>
    <row r="308" ht="15.75" customHeight="1">
      <c r="A308" s="91"/>
      <c r="B308" s="171"/>
      <c r="C308" s="143"/>
      <c r="D308" s="97"/>
      <c r="E308" s="143"/>
      <c r="F308" s="143"/>
      <c r="G308" s="97"/>
      <c r="H308" s="143"/>
      <c r="I308" s="97"/>
      <c r="J308" s="97"/>
      <c r="K308" s="148"/>
      <c r="L308" s="148"/>
      <c r="M308" s="102"/>
      <c r="N308" s="124"/>
      <c r="O308" s="125"/>
      <c r="P308" s="97"/>
      <c r="Q308" s="131"/>
      <c r="R308" s="126"/>
      <c r="S308" s="97"/>
      <c r="T308" s="97"/>
      <c r="V308" s="108"/>
    </row>
    <row r="309" ht="15.75" customHeight="1">
      <c r="A309" s="91"/>
      <c r="B309" s="171"/>
      <c r="C309" s="143"/>
      <c r="D309" s="97"/>
      <c r="E309" s="143"/>
      <c r="F309" s="143"/>
      <c r="G309" s="97"/>
      <c r="H309" s="143"/>
      <c r="I309" s="97"/>
      <c r="J309" s="97"/>
      <c r="K309" s="150"/>
      <c r="L309" s="150"/>
      <c r="M309" s="102"/>
      <c r="N309" s="124"/>
      <c r="O309" s="125"/>
      <c r="P309" s="97"/>
      <c r="Q309" s="131"/>
      <c r="R309" s="126"/>
      <c r="S309" s="97"/>
      <c r="T309" s="97"/>
      <c r="V309" s="108"/>
    </row>
    <row r="310" ht="15.75" customHeight="1">
      <c r="A310" s="91"/>
      <c r="B310" s="171"/>
      <c r="C310" s="143"/>
      <c r="D310" s="97"/>
      <c r="E310" s="143"/>
      <c r="F310" s="143"/>
      <c r="G310" s="97"/>
      <c r="H310" s="143"/>
      <c r="I310" s="97"/>
      <c r="J310" s="97"/>
      <c r="K310" s="148"/>
      <c r="L310" s="148"/>
      <c r="M310" s="102"/>
      <c r="N310" s="124"/>
      <c r="O310" s="125"/>
      <c r="P310" s="97"/>
      <c r="Q310" s="131"/>
      <c r="R310" s="126"/>
      <c r="S310" s="97"/>
      <c r="T310" s="97"/>
      <c r="V310" s="108"/>
    </row>
    <row r="311" ht="15.75" customHeight="1">
      <c r="A311" s="91"/>
      <c r="B311" s="171"/>
      <c r="C311" s="143"/>
      <c r="D311" s="97"/>
      <c r="E311" s="143"/>
      <c r="F311" s="143"/>
      <c r="G311" s="97"/>
      <c r="H311" s="143"/>
      <c r="I311" s="97"/>
      <c r="J311" s="97"/>
      <c r="K311" s="150"/>
      <c r="L311" s="150"/>
      <c r="M311" s="102"/>
      <c r="N311" s="124"/>
      <c r="O311" s="125"/>
      <c r="P311" s="97"/>
      <c r="Q311" s="131"/>
      <c r="R311" s="126"/>
      <c r="S311" s="97"/>
      <c r="T311" s="97"/>
      <c r="V311" s="108"/>
    </row>
    <row r="312" ht="15.75" customHeight="1">
      <c r="A312" s="91"/>
      <c r="B312" s="171"/>
      <c r="C312" s="143"/>
      <c r="D312" s="97"/>
      <c r="E312" s="143"/>
      <c r="F312" s="143"/>
      <c r="G312" s="97"/>
      <c r="H312" s="143"/>
      <c r="I312" s="97"/>
      <c r="J312" s="97"/>
      <c r="K312" s="148"/>
      <c r="L312" s="148"/>
      <c r="M312" s="102"/>
      <c r="N312" s="124"/>
      <c r="O312" s="125"/>
      <c r="P312" s="97"/>
      <c r="Q312" s="131"/>
      <c r="R312" s="126"/>
      <c r="S312" s="97"/>
      <c r="T312" s="97"/>
      <c r="V312" s="108"/>
    </row>
    <row r="313" ht="15.75" customHeight="1">
      <c r="A313" s="91"/>
      <c r="B313" s="171"/>
      <c r="C313" s="108"/>
      <c r="D313" s="97"/>
      <c r="E313" s="143"/>
      <c r="F313" s="143"/>
      <c r="G313" s="97"/>
      <c r="H313" s="143"/>
      <c r="I313" s="97"/>
      <c r="J313" s="97"/>
      <c r="K313" s="150"/>
      <c r="L313" s="150"/>
      <c r="M313" s="102"/>
      <c r="N313" s="124"/>
      <c r="O313" s="125"/>
      <c r="P313" s="97"/>
      <c r="Q313" s="131"/>
      <c r="R313" s="126"/>
      <c r="S313" s="97"/>
      <c r="T313" s="97"/>
      <c r="V313" s="108"/>
    </row>
    <row r="314" ht="15.75" customHeight="1">
      <c r="A314" s="91"/>
      <c r="B314" s="171"/>
      <c r="C314" s="143"/>
      <c r="D314" s="97"/>
      <c r="E314" s="143"/>
      <c r="F314" s="143"/>
      <c r="G314" s="97"/>
      <c r="H314" s="143"/>
      <c r="I314" s="97"/>
      <c r="J314" s="97"/>
      <c r="K314" s="148"/>
      <c r="L314" s="148"/>
      <c r="M314" s="102"/>
      <c r="N314" s="124"/>
      <c r="O314" s="125"/>
      <c r="P314" s="97"/>
      <c r="Q314" s="131"/>
      <c r="R314" s="126"/>
      <c r="S314" s="97"/>
      <c r="T314" s="97"/>
      <c r="V314" s="108"/>
    </row>
    <row r="315" ht="15.75" customHeight="1">
      <c r="A315" s="91"/>
      <c r="B315" s="171"/>
      <c r="C315" s="143"/>
      <c r="D315" s="97"/>
      <c r="E315" s="143"/>
      <c r="F315" s="143"/>
      <c r="G315" s="97"/>
      <c r="H315" s="143"/>
      <c r="I315" s="97"/>
      <c r="J315" s="97"/>
      <c r="K315" s="150"/>
      <c r="L315" s="150"/>
      <c r="M315" s="102"/>
      <c r="N315" s="124"/>
      <c r="O315" s="125"/>
      <c r="P315" s="97"/>
      <c r="Q315" s="131"/>
      <c r="R315" s="126"/>
      <c r="S315" s="97"/>
      <c r="T315" s="97"/>
      <c r="V315" s="108"/>
    </row>
    <row r="316" ht="15.75" customHeight="1">
      <c r="A316" s="91"/>
      <c r="B316" s="171"/>
      <c r="C316" s="143"/>
      <c r="D316" s="97"/>
      <c r="E316" s="143"/>
      <c r="F316" s="143"/>
      <c r="G316" s="97"/>
      <c r="H316" s="143"/>
      <c r="I316" s="97"/>
      <c r="J316" s="97"/>
      <c r="K316" s="148"/>
      <c r="L316" s="148"/>
      <c r="M316" s="102"/>
      <c r="N316" s="124"/>
      <c r="O316" s="125"/>
      <c r="P316" s="97"/>
      <c r="Q316" s="131"/>
      <c r="R316" s="126"/>
      <c r="S316" s="97"/>
      <c r="T316" s="97"/>
      <c r="V316" s="108"/>
    </row>
    <row r="317" ht="15.75" customHeight="1">
      <c r="A317" s="91"/>
      <c r="B317" s="171"/>
      <c r="C317" s="143"/>
      <c r="D317" s="97"/>
      <c r="E317" s="143"/>
      <c r="F317" s="143"/>
      <c r="G317" s="97"/>
      <c r="H317" s="143"/>
      <c r="I317" s="97"/>
      <c r="J317" s="97"/>
      <c r="K317" s="150"/>
      <c r="L317" s="150"/>
      <c r="M317" s="102"/>
      <c r="N317" s="124"/>
      <c r="O317" s="125"/>
      <c r="P317" s="97"/>
      <c r="Q317" s="131"/>
      <c r="R317" s="126"/>
      <c r="S317" s="97"/>
      <c r="T317" s="97"/>
      <c r="V317" s="108"/>
    </row>
    <row r="318" ht="15.75" customHeight="1">
      <c r="A318" s="91"/>
      <c r="B318" s="171"/>
      <c r="C318" s="143"/>
      <c r="D318" s="97"/>
      <c r="E318" s="143"/>
      <c r="F318" s="143"/>
      <c r="G318" s="97"/>
      <c r="H318" s="143"/>
      <c r="I318" s="97"/>
      <c r="J318" s="97"/>
      <c r="K318" s="148"/>
      <c r="L318" s="148"/>
      <c r="M318" s="102"/>
      <c r="N318" s="124"/>
      <c r="O318" s="125"/>
      <c r="P318" s="97"/>
      <c r="Q318" s="131"/>
      <c r="R318" s="126"/>
      <c r="S318" s="97"/>
      <c r="T318" s="97"/>
      <c r="V318" s="108"/>
    </row>
    <row r="319" ht="15.75" customHeight="1">
      <c r="A319" s="91"/>
      <c r="B319" s="171"/>
      <c r="C319" s="108"/>
      <c r="D319" s="97"/>
      <c r="E319" s="143"/>
      <c r="F319" s="143"/>
      <c r="G319" s="97"/>
      <c r="H319" s="143"/>
      <c r="I319" s="97"/>
      <c r="J319" s="97"/>
      <c r="K319" s="150"/>
      <c r="L319" s="150"/>
      <c r="M319" s="102"/>
      <c r="N319" s="124"/>
      <c r="O319" s="125"/>
      <c r="P319" s="97"/>
      <c r="Q319" s="131"/>
      <c r="R319" s="126"/>
      <c r="S319" s="97"/>
      <c r="T319" s="97"/>
      <c r="V319" s="108"/>
    </row>
    <row r="320" ht="15.75" customHeight="1">
      <c r="A320" s="91"/>
      <c r="B320" s="171"/>
      <c r="C320" s="143"/>
      <c r="D320" s="97"/>
      <c r="E320" s="143"/>
      <c r="F320" s="143"/>
      <c r="G320" s="97"/>
      <c r="H320" s="143"/>
      <c r="I320" s="97"/>
      <c r="J320" s="97"/>
      <c r="K320" s="148"/>
      <c r="L320" s="148"/>
      <c r="M320" s="102"/>
      <c r="N320" s="124"/>
      <c r="O320" s="125"/>
      <c r="P320" s="97"/>
      <c r="Q320" s="131"/>
      <c r="R320" s="126"/>
      <c r="S320" s="97"/>
      <c r="T320" s="97"/>
      <c r="V320" s="108"/>
    </row>
    <row r="321" ht="15.75" customHeight="1">
      <c r="A321" s="91"/>
      <c r="B321" s="171"/>
      <c r="C321" s="143"/>
      <c r="D321" s="97"/>
      <c r="E321" s="143"/>
      <c r="F321" s="143"/>
      <c r="G321" s="97"/>
      <c r="H321" s="143"/>
      <c r="I321" s="97"/>
      <c r="J321" s="97"/>
      <c r="K321" s="150"/>
      <c r="L321" s="150"/>
      <c r="M321" s="102"/>
      <c r="N321" s="124"/>
      <c r="O321" s="125"/>
      <c r="P321" s="97"/>
      <c r="Q321" s="131"/>
      <c r="R321" s="126"/>
      <c r="S321" s="97"/>
      <c r="T321" s="97"/>
      <c r="V321" s="108"/>
    </row>
    <row r="322" ht="15.75" customHeight="1">
      <c r="A322" s="91"/>
      <c r="B322" s="171"/>
      <c r="C322" s="143"/>
      <c r="D322" s="97"/>
      <c r="E322" s="143"/>
      <c r="F322" s="143"/>
      <c r="G322" s="97"/>
      <c r="H322" s="143"/>
      <c r="I322" s="97"/>
      <c r="J322" s="97"/>
      <c r="K322" s="148"/>
      <c r="L322" s="148"/>
      <c r="M322" s="102"/>
      <c r="N322" s="124"/>
      <c r="O322" s="125"/>
      <c r="P322" s="97"/>
      <c r="Q322" s="131"/>
      <c r="R322" s="126"/>
      <c r="S322" s="97"/>
      <c r="T322" s="97"/>
      <c r="V322" s="108"/>
    </row>
    <row r="323" ht="15.75" customHeight="1">
      <c r="A323" s="91"/>
      <c r="B323" s="171"/>
      <c r="C323" s="143"/>
      <c r="D323" s="97"/>
      <c r="E323" s="143"/>
      <c r="F323" s="143"/>
      <c r="G323" s="97"/>
      <c r="H323" s="143"/>
      <c r="I323" s="97"/>
      <c r="J323" s="97"/>
      <c r="K323" s="150"/>
      <c r="L323" s="150"/>
      <c r="M323" s="102"/>
      <c r="N323" s="124"/>
      <c r="O323" s="125"/>
      <c r="P323" s="97"/>
      <c r="Q323" s="131"/>
      <c r="R323" s="126"/>
      <c r="S323" s="97"/>
      <c r="T323" s="97"/>
      <c r="V323" s="108"/>
    </row>
    <row r="324" ht="15.75" customHeight="1">
      <c r="A324" s="91"/>
      <c r="B324" s="171"/>
      <c r="C324" s="143"/>
      <c r="D324" s="97"/>
      <c r="E324" s="143"/>
      <c r="F324" s="143"/>
      <c r="G324" s="97"/>
      <c r="H324" s="143"/>
      <c r="I324" s="97"/>
      <c r="J324" s="97"/>
      <c r="K324" s="148"/>
      <c r="L324" s="148"/>
      <c r="M324" s="102"/>
      <c r="N324" s="124"/>
      <c r="O324" s="125"/>
      <c r="P324" s="97"/>
      <c r="Q324" s="131"/>
      <c r="R324" s="126"/>
      <c r="S324" s="97"/>
      <c r="T324" s="97"/>
      <c r="V324" s="108"/>
    </row>
    <row r="325" ht="15.75" customHeight="1">
      <c r="A325" s="91"/>
      <c r="B325" s="171"/>
      <c r="C325" s="108"/>
      <c r="D325" s="97"/>
      <c r="E325" s="143"/>
      <c r="F325" s="143"/>
      <c r="G325" s="97"/>
      <c r="H325" s="143"/>
      <c r="I325" s="97"/>
      <c r="J325" s="97"/>
      <c r="K325" s="150"/>
      <c r="L325" s="150"/>
      <c r="M325" s="102"/>
      <c r="N325" s="124"/>
      <c r="O325" s="125"/>
      <c r="P325" s="97"/>
      <c r="Q325" s="131"/>
      <c r="R325" s="126"/>
      <c r="S325" s="97"/>
      <c r="T325" s="97"/>
      <c r="V325" s="108"/>
    </row>
    <row r="326" ht="15.75" customHeight="1">
      <c r="A326" s="91"/>
      <c r="B326" s="171"/>
      <c r="C326" s="143"/>
      <c r="D326" s="97"/>
      <c r="E326" s="143"/>
      <c r="F326" s="143"/>
      <c r="G326" s="97"/>
      <c r="H326" s="143"/>
      <c r="I326" s="97"/>
      <c r="J326" s="97"/>
      <c r="K326" s="148"/>
      <c r="L326" s="148"/>
      <c r="M326" s="102"/>
      <c r="N326" s="124"/>
      <c r="O326" s="125"/>
      <c r="P326" s="97"/>
      <c r="Q326" s="131"/>
      <c r="R326" s="126"/>
      <c r="S326" s="97"/>
      <c r="T326" s="97"/>
      <c r="V326" s="108"/>
    </row>
    <row r="327" ht="15.75" customHeight="1">
      <c r="A327" s="91"/>
      <c r="B327" s="171"/>
      <c r="C327" s="143"/>
      <c r="D327" s="97"/>
      <c r="E327" s="143"/>
      <c r="F327" s="143"/>
      <c r="G327" s="97"/>
      <c r="H327" s="143"/>
      <c r="I327" s="97"/>
      <c r="J327" s="97"/>
      <c r="K327" s="150"/>
      <c r="L327" s="150"/>
      <c r="M327" s="102"/>
      <c r="N327" s="124"/>
      <c r="O327" s="125"/>
      <c r="P327" s="97"/>
      <c r="Q327" s="131"/>
      <c r="R327" s="126"/>
      <c r="S327" s="97"/>
      <c r="T327" s="97"/>
      <c r="V327" s="108"/>
    </row>
    <row r="328" ht="15.75" customHeight="1">
      <c r="A328" s="91"/>
      <c r="B328" s="171"/>
      <c r="C328" s="143"/>
      <c r="D328" s="97"/>
      <c r="E328" s="143"/>
      <c r="F328" s="143"/>
      <c r="G328" s="97"/>
      <c r="H328" s="143"/>
      <c r="I328" s="97"/>
      <c r="J328" s="97"/>
      <c r="K328" s="152"/>
      <c r="L328" s="152"/>
      <c r="M328" s="102"/>
      <c r="N328" s="124"/>
      <c r="O328" s="125"/>
      <c r="P328" s="97"/>
      <c r="Q328" s="131"/>
      <c r="R328" s="126"/>
      <c r="S328" s="97"/>
      <c r="T328" s="97"/>
      <c r="V328" s="108"/>
    </row>
    <row r="329" ht="15.75" customHeight="1">
      <c r="A329" s="91"/>
      <c r="B329" s="171"/>
      <c r="C329" s="143"/>
      <c r="D329" s="97"/>
      <c r="E329" s="143"/>
      <c r="F329" s="143"/>
      <c r="G329" s="97"/>
      <c r="H329" s="143"/>
      <c r="I329" s="97"/>
      <c r="J329" s="97"/>
      <c r="K329" s="152"/>
      <c r="L329" s="152"/>
      <c r="M329" s="102"/>
      <c r="N329" s="124"/>
      <c r="O329" s="125"/>
      <c r="P329" s="97"/>
      <c r="Q329" s="131"/>
      <c r="R329" s="126"/>
      <c r="S329" s="97"/>
      <c r="T329" s="97"/>
      <c r="V329" s="108"/>
    </row>
    <row r="330" ht="15.75" customHeight="1">
      <c r="A330" s="91"/>
      <c r="B330" s="171"/>
      <c r="C330" s="143"/>
      <c r="D330" s="97"/>
      <c r="E330" s="143"/>
      <c r="F330" s="143"/>
      <c r="G330" s="97"/>
      <c r="H330" s="143"/>
      <c r="I330" s="97"/>
      <c r="J330" s="97"/>
      <c r="K330" s="152"/>
      <c r="L330" s="152"/>
      <c r="M330" s="102"/>
      <c r="N330" s="124"/>
      <c r="O330" s="125"/>
      <c r="P330" s="97"/>
      <c r="Q330" s="131"/>
      <c r="R330" s="126"/>
      <c r="S330" s="97"/>
      <c r="T330" s="97"/>
      <c r="V330" s="108"/>
    </row>
    <row r="331" ht="15.75" customHeight="1">
      <c r="A331" s="91"/>
      <c r="B331" s="171"/>
      <c r="C331" s="108"/>
      <c r="D331" s="97"/>
      <c r="E331" s="143"/>
      <c r="F331" s="143"/>
      <c r="G331" s="97"/>
      <c r="H331" s="143"/>
      <c r="I331" s="97"/>
      <c r="J331" s="97"/>
      <c r="K331" s="152"/>
      <c r="L331" s="152"/>
      <c r="M331" s="102"/>
      <c r="N331" s="124"/>
      <c r="O331" s="125"/>
      <c r="P331" s="97"/>
      <c r="Q331" s="131"/>
      <c r="R331" s="126"/>
      <c r="S331" s="97"/>
      <c r="T331" s="97"/>
      <c r="V331" s="108"/>
    </row>
    <row r="332" ht="15.75" customHeight="1">
      <c r="A332" s="91"/>
      <c r="B332" s="171"/>
      <c r="C332" s="143"/>
      <c r="D332" s="97"/>
      <c r="E332" s="143"/>
      <c r="F332" s="143"/>
      <c r="G332" s="97"/>
      <c r="H332" s="143"/>
      <c r="I332" s="97"/>
      <c r="J332" s="97"/>
      <c r="K332" s="152"/>
      <c r="L332" s="152"/>
      <c r="M332" s="102"/>
      <c r="N332" s="124"/>
      <c r="O332" s="125"/>
      <c r="P332" s="97"/>
      <c r="Q332" s="131"/>
      <c r="R332" s="126"/>
      <c r="S332" s="97"/>
      <c r="T332" s="97"/>
      <c r="V332" s="108"/>
    </row>
    <row r="333" ht="15.75" customHeight="1">
      <c r="A333" s="91"/>
      <c r="B333" s="171"/>
      <c r="C333" s="143"/>
      <c r="D333" s="97"/>
      <c r="E333" s="143"/>
      <c r="F333" s="143"/>
      <c r="G333" s="97"/>
      <c r="H333" s="143"/>
      <c r="I333" s="97"/>
      <c r="J333" s="97"/>
      <c r="K333" s="152"/>
      <c r="L333" s="152"/>
      <c r="M333" s="102"/>
      <c r="N333" s="124"/>
      <c r="O333" s="125"/>
      <c r="P333" s="97"/>
      <c r="Q333" s="131"/>
      <c r="R333" s="126"/>
      <c r="S333" s="97"/>
      <c r="T333" s="97"/>
      <c r="V333" s="108"/>
    </row>
    <row r="334" ht="15.75" customHeight="1">
      <c r="A334" s="91"/>
      <c r="B334" s="171"/>
      <c r="C334" s="143"/>
      <c r="D334" s="97"/>
      <c r="E334" s="143"/>
      <c r="F334" s="143"/>
      <c r="G334" s="97"/>
      <c r="H334" s="143"/>
      <c r="I334" s="97"/>
      <c r="J334" s="97"/>
      <c r="K334" s="152"/>
      <c r="L334" s="152"/>
      <c r="M334" s="102"/>
      <c r="N334" s="124"/>
      <c r="O334" s="125"/>
      <c r="P334" s="97"/>
      <c r="Q334" s="131"/>
      <c r="R334" s="126"/>
      <c r="S334" s="97"/>
      <c r="T334" s="97"/>
      <c r="V334" s="108"/>
    </row>
    <row r="335" ht="15.75" customHeight="1">
      <c r="A335" s="91"/>
      <c r="B335" s="171"/>
      <c r="C335" s="143"/>
      <c r="D335" s="97"/>
      <c r="E335" s="143"/>
      <c r="F335" s="143"/>
      <c r="G335" s="97"/>
      <c r="H335" s="143"/>
      <c r="I335" s="97"/>
      <c r="J335" s="97"/>
      <c r="K335" s="152"/>
      <c r="L335" s="152"/>
      <c r="M335" s="102"/>
      <c r="N335" s="124"/>
      <c r="O335" s="125"/>
      <c r="P335" s="97"/>
      <c r="Q335" s="131"/>
      <c r="R335" s="126"/>
      <c r="S335" s="97"/>
      <c r="T335" s="97"/>
      <c r="V335" s="108"/>
    </row>
    <row r="336" ht="15.75" customHeight="1">
      <c r="A336" s="91"/>
      <c r="B336" s="171"/>
      <c r="C336" s="143"/>
      <c r="D336" s="97"/>
      <c r="E336" s="143"/>
      <c r="F336" s="143"/>
      <c r="G336" s="97"/>
      <c r="H336" s="143"/>
      <c r="I336" s="97"/>
      <c r="J336" s="97"/>
      <c r="K336" s="152"/>
      <c r="L336" s="152"/>
      <c r="M336" s="102"/>
      <c r="N336" s="124"/>
      <c r="O336" s="125"/>
      <c r="P336" s="97"/>
      <c r="Q336" s="131"/>
      <c r="R336" s="126"/>
      <c r="S336" s="97"/>
      <c r="T336" s="97"/>
      <c r="V336" s="108"/>
    </row>
    <row r="337" ht="15.75" customHeight="1">
      <c r="A337" s="91"/>
      <c r="B337" s="171"/>
      <c r="C337" s="108"/>
      <c r="D337" s="97"/>
      <c r="E337" s="143"/>
      <c r="F337" s="143"/>
      <c r="G337" s="97"/>
      <c r="H337" s="143"/>
      <c r="I337" s="97"/>
      <c r="J337" s="97"/>
      <c r="K337" s="152"/>
      <c r="L337" s="152"/>
      <c r="M337" s="102"/>
      <c r="N337" s="124"/>
      <c r="O337" s="125"/>
      <c r="P337" s="97"/>
      <c r="Q337" s="131"/>
      <c r="R337" s="126"/>
      <c r="S337" s="97"/>
      <c r="T337" s="97"/>
      <c r="V337" s="108"/>
    </row>
    <row r="338" ht="15.75" customHeight="1">
      <c r="A338" s="91"/>
      <c r="B338" s="171"/>
      <c r="C338" s="143"/>
      <c r="D338" s="97"/>
      <c r="E338" s="143"/>
      <c r="F338" s="143"/>
      <c r="G338" s="97"/>
      <c r="H338" s="143"/>
      <c r="I338" s="97"/>
      <c r="J338" s="97"/>
      <c r="K338" s="152"/>
      <c r="L338" s="152"/>
      <c r="M338" s="102"/>
      <c r="N338" s="124"/>
      <c r="O338" s="125"/>
      <c r="P338" s="97"/>
      <c r="Q338" s="131"/>
      <c r="R338" s="126"/>
      <c r="S338" s="97"/>
      <c r="T338" s="97"/>
      <c r="V338" s="108"/>
    </row>
    <row r="339" ht="15.75" customHeight="1">
      <c r="A339" s="91"/>
      <c r="B339" s="171"/>
      <c r="C339" s="143"/>
      <c r="D339" s="97"/>
      <c r="E339" s="143"/>
      <c r="F339" s="143"/>
      <c r="G339" s="97"/>
      <c r="H339" s="143"/>
      <c r="I339" s="97"/>
      <c r="J339" s="97"/>
      <c r="K339" s="152"/>
      <c r="L339" s="152"/>
      <c r="M339" s="102"/>
      <c r="N339" s="124"/>
      <c r="O339" s="125"/>
      <c r="P339" s="97"/>
      <c r="Q339" s="131"/>
      <c r="R339" s="126"/>
      <c r="S339" s="97"/>
      <c r="T339" s="97"/>
      <c r="V339" s="108"/>
    </row>
    <row r="340" ht="15.75" customHeight="1">
      <c r="A340" s="91"/>
      <c r="B340" s="171"/>
      <c r="C340" s="143"/>
      <c r="D340" s="97"/>
      <c r="E340" s="143"/>
      <c r="F340" s="143"/>
      <c r="G340" s="97"/>
      <c r="H340" s="143"/>
      <c r="I340" s="97"/>
      <c r="J340" s="97"/>
      <c r="K340" s="152"/>
      <c r="L340" s="152"/>
      <c r="M340" s="102"/>
      <c r="N340" s="124"/>
      <c r="O340" s="125"/>
      <c r="P340" s="97"/>
      <c r="Q340" s="131"/>
      <c r="R340" s="126"/>
      <c r="S340" s="97"/>
      <c r="T340" s="97"/>
      <c r="V340" s="108"/>
    </row>
    <row r="341" ht="15.75" customHeight="1">
      <c r="A341" s="91"/>
      <c r="B341" s="171"/>
      <c r="C341" s="143"/>
      <c r="D341" s="97"/>
      <c r="E341" s="143"/>
      <c r="F341" s="143"/>
      <c r="G341" s="97"/>
      <c r="H341" s="143"/>
      <c r="I341" s="97"/>
      <c r="J341" s="97"/>
      <c r="K341" s="152"/>
      <c r="L341" s="152"/>
      <c r="M341" s="102"/>
      <c r="N341" s="124"/>
      <c r="O341" s="125"/>
      <c r="P341" s="97"/>
      <c r="Q341" s="131"/>
      <c r="R341" s="126"/>
      <c r="S341" s="97"/>
      <c r="T341" s="97"/>
      <c r="V341" s="108"/>
    </row>
    <row r="342" ht="15.75" customHeight="1">
      <c r="A342" s="91"/>
      <c r="B342" s="171"/>
      <c r="C342" s="143"/>
      <c r="D342" s="97"/>
      <c r="E342" s="143"/>
      <c r="F342" s="143"/>
      <c r="G342" s="97"/>
      <c r="H342" s="143"/>
      <c r="I342" s="97"/>
      <c r="J342" s="97"/>
      <c r="K342" s="152"/>
      <c r="L342" s="152"/>
      <c r="M342" s="102"/>
      <c r="N342" s="124"/>
      <c r="O342" s="125"/>
      <c r="P342" s="97"/>
      <c r="Q342" s="131"/>
      <c r="R342" s="126"/>
      <c r="S342" s="97"/>
      <c r="T342" s="97"/>
      <c r="V342" s="108"/>
    </row>
    <row r="343" ht="15.75" customHeight="1">
      <c r="A343" s="91"/>
      <c r="B343" s="171"/>
      <c r="C343" s="108"/>
      <c r="D343" s="97"/>
      <c r="E343" s="143"/>
      <c r="F343" s="143"/>
      <c r="G343" s="97"/>
      <c r="H343" s="143"/>
      <c r="I343" s="97"/>
      <c r="J343" s="97"/>
      <c r="K343" s="152"/>
      <c r="L343" s="152"/>
      <c r="M343" s="102"/>
      <c r="N343" s="124"/>
      <c r="O343" s="125"/>
      <c r="P343" s="97"/>
      <c r="Q343" s="131"/>
      <c r="R343" s="126"/>
      <c r="S343" s="97"/>
      <c r="T343" s="97"/>
      <c r="V343" s="108"/>
    </row>
    <row r="344" ht="15.75" customHeight="1">
      <c r="A344" s="91"/>
      <c r="B344" s="171"/>
      <c r="C344" s="143"/>
      <c r="D344" s="97"/>
      <c r="E344" s="143"/>
      <c r="F344" s="143"/>
      <c r="G344" s="97"/>
      <c r="H344" s="143"/>
      <c r="I344" s="97"/>
      <c r="J344" s="97"/>
      <c r="K344" s="152"/>
      <c r="L344" s="152"/>
      <c r="M344" s="102"/>
      <c r="N344" s="124"/>
      <c r="O344" s="125"/>
      <c r="P344" s="97"/>
      <c r="Q344" s="131"/>
      <c r="R344" s="126"/>
      <c r="S344" s="97"/>
      <c r="T344" s="97"/>
      <c r="V344" s="108"/>
    </row>
    <row r="345" ht="15.75" customHeight="1">
      <c r="A345" s="91"/>
      <c r="B345" s="171"/>
      <c r="C345" s="143"/>
      <c r="D345" s="97"/>
      <c r="E345" s="143"/>
      <c r="F345" s="143"/>
      <c r="G345" s="97"/>
      <c r="H345" s="143"/>
      <c r="I345" s="97"/>
      <c r="J345" s="97"/>
      <c r="K345" s="152"/>
      <c r="L345" s="152"/>
      <c r="M345" s="102"/>
      <c r="N345" s="124"/>
      <c r="O345" s="125"/>
      <c r="P345" s="97"/>
      <c r="Q345" s="131"/>
      <c r="R345" s="126"/>
      <c r="S345" s="97"/>
      <c r="T345" s="97"/>
      <c r="V345" s="108"/>
    </row>
    <row r="346" ht="15.75" customHeight="1">
      <c r="A346" s="91"/>
      <c r="B346" s="171"/>
      <c r="C346" s="143"/>
      <c r="D346" s="97"/>
      <c r="E346" s="143"/>
      <c r="F346" s="143"/>
      <c r="G346" s="97"/>
      <c r="H346" s="143"/>
      <c r="I346" s="97"/>
      <c r="J346" s="97"/>
      <c r="K346" s="152"/>
      <c r="L346" s="152"/>
      <c r="M346" s="102"/>
      <c r="N346" s="124"/>
      <c r="O346" s="125"/>
      <c r="P346" s="97"/>
      <c r="Q346" s="131"/>
      <c r="R346" s="126"/>
      <c r="S346" s="97"/>
      <c r="T346" s="97"/>
      <c r="V346" s="108"/>
    </row>
    <row r="347" ht="15.75" customHeight="1">
      <c r="A347" s="91"/>
      <c r="B347" s="171"/>
      <c r="C347" s="143"/>
      <c r="D347" s="97"/>
      <c r="E347" s="143"/>
      <c r="F347" s="143"/>
      <c r="G347" s="97"/>
      <c r="H347" s="143"/>
      <c r="I347" s="97"/>
      <c r="J347" s="97"/>
      <c r="K347" s="152"/>
      <c r="L347" s="152"/>
      <c r="M347" s="102"/>
      <c r="N347" s="124"/>
      <c r="O347" s="125"/>
      <c r="P347" s="97"/>
      <c r="Q347" s="131"/>
      <c r="R347" s="126"/>
      <c r="S347" s="97"/>
      <c r="T347" s="97"/>
      <c r="V347" s="108"/>
    </row>
    <row r="348" ht="15.75" customHeight="1">
      <c r="A348" s="91"/>
      <c r="B348" s="171"/>
      <c r="C348" s="143"/>
      <c r="D348" s="97"/>
      <c r="E348" s="143"/>
      <c r="F348" s="143"/>
      <c r="G348" s="97"/>
      <c r="H348" s="143"/>
      <c r="I348" s="97"/>
      <c r="J348" s="97"/>
      <c r="K348" s="152"/>
      <c r="L348" s="152"/>
      <c r="M348" s="102"/>
      <c r="N348" s="124"/>
      <c r="O348" s="125"/>
      <c r="P348" s="97"/>
      <c r="Q348" s="131"/>
      <c r="R348" s="126"/>
      <c r="S348" s="97"/>
      <c r="T348" s="97"/>
      <c r="V348" s="108"/>
    </row>
    <row r="349" ht="15.75" customHeight="1">
      <c r="A349" s="91"/>
      <c r="B349" s="171"/>
      <c r="C349" s="108"/>
      <c r="D349" s="97"/>
      <c r="E349" s="143"/>
      <c r="F349" s="143"/>
      <c r="G349" s="97"/>
      <c r="H349" s="143"/>
      <c r="I349" s="97"/>
      <c r="J349" s="97"/>
      <c r="K349" s="152"/>
      <c r="L349" s="152"/>
      <c r="M349" s="102"/>
      <c r="N349" s="124"/>
      <c r="O349" s="125"/>
      <c r="P349" s="97"/>
      <c r="Q349" s="131"/>
      <c r="R349" s="126"/>
      <c r="S349" s="97"/>
      <c r="T349" s="97"/>
      <c r="V349" s="108"/>
    </row>
    <row r="350" ht="15.75" customHeight="1">
      <c r="A350" s="91"/>
      <c r="B350" s="171"/>
      <c r="C350" s="143"/>
      <c r="D350" s="97"/>
      <c r="E350" s="143"/>
      <c r="F350" s="143"/>
      <c r="G350" s="97"/>
      <c r="H350" s="143"/>
      <c r="I350" s="97"/>
      <c r="J350" s="97"/>
      <c r="K350" s="152"/>
      <c r="L350" s="152"/>
      <c r="M350" s="102"/>
      <c r="N350" s="124"/>
      <c r="O350" s="125"/>
      <c r="P350" s="97"/>
      <c r="Q350" s="131"/>
      <c r="R350" s="126"/>
      <c r="S350" s="97"/>
      <c r="T350" s="97"/>
      <c r="V350" s="108"/>
    </row>
    <row r="351" ht="15.75" customHeight="1">
      <c r="A351" s="91"/>
      <c r="B351" s="171"/>
      <c r="C351" s="143"/>
      <c r="D351" s="97"/>
      <c r="E351" s="143"/>
      <c r="F351" s="143"/>
      <c r="G351" s="97"/>
      <c r="H351" s="143"/>
      <c r="I351" s="97"/>
      <c r="J351" s="97"/>
      <c r="K351" s="152"/>
      <c r="L351" s="152"/>
      <c r="M351" s="102"/>
      <c r="N351" s="124"/>
      <c r="O351" s="125"/>
      <c r="P351" s="97"/>
      <c r="Q351" s="131"/>
      <c r="R351" s="126"/>
      <c r="S351" s="97"/>
      <c r="T351" s="97"/>
      <c r="V351" s="108"/>
    </row>
    <row r="352" ht="15.75" customHeight="1">
      <c r="A352" s="91"/>
      <c r="B352" s="171"/>
      <c r="C352" s="143"/>
      <c r="D352" s="97"/>
      <c r="E352" s="143"/>
      <c r="F352" s="143"/>
      <c r="G352" s="97"/>
      <c r="H352" s="143"/>
      <c r="I352" s="97"/>
      <c r="J352" s="97"/>
      <c r="K352" s="152"/>
      <c r="L352" s="152"/>
      <c r="M352" s="102"/>
      <c r="N352" s="124"/>
      <c r="O352" s="125"/>
      <c r="P352" s="97"/>
      <c r="Q352" s="131"/>
      <c r="R352" s="126"/>
      <c r="S352" s="97"/>
      <c r="T352" s="97"/>
      <c r="V352" s="108"/>
    </row>
    <row r="353" ht="15.75" customHeight="1">
      <c r="A353" s="91"/>
      <c r="B353" s="171"/>
      <c r="C353" s="143"/>
      <c r="D353" s="97"/>
      <c r="E353" s="143"/>
      <c r="F353" s="143"/>
      <c r="G353" s="97"/>
      <c r="H353" s="143"/>
      <c r="I353" s="97"/>
      <c r="J353" s="97"/>
      <c r="K353" s="152"/>
      <c r="L353" s="152"/>
      <c r="M353" s="102"/>
      <c r="N353" s="124"/>
      <c r="O353" s="125"/>
      <c r="P353" s="97"/>
      <c r="Q353" s="131"/>
      <c r="R353" s="126"/>
      <c r="S353" s="97"/>
      <c r="T353" s="97"/>
      <c r="V353" s="108"/>
    </row>
    <row r="354" ht="15.75" customHeight="1">
      <c r="A354" s="91"/>
      <c r="B354" s="171"/>
      <c r="C354" s="143"/>
      <c r="D354" s="97"/>
      <c r="E354" s="143"/>
      <c r="F354" s="143"/>
      <c r="G354" s="97"/>
      <c r="H354" s="143"/>
      <c r="I354" s="97"/>
      <c r="J354" s="97"/>
      <c r="K354" s="152"/>
      <c r="L354" s="152"/>
      <c r="M354" s="102"/>
      <c r="N354" s="124"/>
      <c r="O354" s="125"/>
      <c r="P354" s="97"/>
      <c r="Q354" s="131"/>
      <c r="R354" s="126"/>
      <c r="S354" s="97"/>
      <c r="T354" s="97"/>
      <c r="V354" s="108"/>
    </row>
    <row r="355" ht="15.75" customHeight="1">
      <c r="A355" s="91"/>
      <c r="B355" s="171"/>
      <c r="C355" s="108"/>
      <c r="D355" s="97"/>
      <c r="E355" s="143"/>
      <c r="F355" s="143"/>
      <c r="G355" s="97"/>
      <c r="H355" s="143"/>
      <c r="I355" s="97"/>
      <c r="J355" s="97"/>
      <c r="K355" s="152"/>
      <c r="L355" s="152"/>
      <c r="M355" s="102"/>
      <c r="N355" s="124"/>
      <c r="O355" s="125"/>
      <c r="P355" s="97"/>
      <c r="Q355" s="131"/>
      <c r="R355" s="126"/>
      <c r="S355" s="97"/>
      <c r="T355" s="97"/>
      <c r="V355" s="108"/>
    </row>
    <row r="356" ht="15.75" customHeight="1">
      <c r="A356" s="91"/>
      <c r="B356" s="171"/>
      <c r="C356" s="143"/>
      <c r="D356" s="97"/>
      <c r="E356" s="143"/>
      <c r="F356" s="143"/>
      <c r="G356" s="97"/>
      <c r="H356" s="143"/>
      <c r="I356" s="97"/>
      <c r="J356" s="97"/>
      <c r="K356" s="152"/>
      <c r="L356" s="152"/>
      <c r="M356" s="102"/>
      <c r="N356" s="124"/>
      <c r="O356" s="125"/>
      <c r="P356" s="97"/>
      <c r="Q356" s="131"/>
      <c r="R356" s="126"/>
      <c r="S356" s="97"/>
      <c r="T356" s="97"/>
      <c r="V356" s="108"/>
    </row>
    <row r="357" ht="15.75" customHeight="1">
      <c r="A357" s="91"/>
      <c r="B357" s="171"/>
      <c r="C357" s="143"/>
      <c r="D357" s="97"/>
      <c r="E357" s="143"/>
      <c r="F357" s="143"/>
      <c r="G357" s="97"/>
      <c r="H357" s="143"/>
      <c r="I357" s="97"/>
      <c r="J357" s="97"/>
      <c r="K357" s="152"/>
      <c r="L357" s="152"/>
      <c r="M357" s="102"/>
      <c r="N357" s="124"/>
      <c r="O357" s="125"/>
      <c r="P357" s="97"/>
      <c r="Q357" s="131"/>
      <c r="R357" s="126"/>
      <c r="S357" s="97"/>
      <c r="T357" s="97"/>
      <c r="V357" s="108"/>
    </row>
    <row r="358" ht="15.75" customHeight="1">
      <c r="A358" s="91"/>
      <c r="B358" s="171"/>
      <c r="C358" s="143"/>
      <c r="D358" s="97"/>
      <c r="E358" s="143"/>
      <c r="F358" s="143"/>
      <c r="G358" s="97"/>
      <c r="H358" s="143"/>
      <c r="I358" s="97"/>
      <c r="J358" s="97"/>
      <c r="K358" s="152"/>
      <c r="L358" s="152"/>
      <c r="M358" s="102"/>
      <c r="N358" s="124"/>
      <c r="O358" s="125"/>
      <c r="P358" s="97"/>
      <c r="Q358" s="131"/>
      <c r="R358" s="126"/>
      <c r="S358" s="97"/>
      <c r="T358" s="97"/>
      <c r="V358" s="108"/>
    </row>
    <row r="359" ht="15.75" customHeight="1">
      <c r="A359" s="91"/>
      <c r="B359" s="171"/>
      <c r="C359" s="143"/>
      <c r="D359" s="97"/>
      <c r="E359" s="143"/>
      <c r="F359" s="143"/>
      <c r="G359" s="97"/>
      <c r="H359" s="143"/>
      <c r="I359" s="97"/>
      <c r="J359" s="97"/>
      <c r="K359" s="152"/>
      <c r="L359" s="152"/>
      <c r="M359" s="102"/>
      <c r="N359" s="124"/>
      <c r="O359" s="125"/>
      <c r="P359" s="97"/>
      <c r="Q359" s="131"/>
      <c r="R359" s="126"/>
      <c r="S359" s="97"/>
      <c r="T359" s="97"/>
      <c r="V359" s="108"/>
    </row>
    <row r="360" ht="15.75" customHeight="1">
      <c r="A360" s="91"/>
      <c r="B360" s="171"/>
      <c r="C360" s="143"/>
      <c r="D360" s="97"/>
      <c r="E360" s="143"/>
      <c r="F360" s="143"/>
      <c r="G360" s="97"/>
      <c r="H360" s="143"/>
      <c r="I360" s="97"/>
      <c r="J360" s="97"/>
      <c r="K360" s="152"/>
      <c r="L360" s="152"/>
      <c r="M360" s="102"/>
      <c r="N360" s="124"/>
      <c r="O360" s="125"/>
      <c r="P360" s="97"/>
      <c r="Q360" s="131"/>
      <c r="R360" s="126"/>
      <c r="S360" s="97"/>
      <c r="T360" s="97"/>
      <c r="V360" s="108"/>
    </row>
  </sheetData>
  <autoFilter ref="$A$12:$V$109"/>
  <customSheetViews>
    <customSheetView guid="{13FBEE33-5560-4ECB-B707-C73777468090}"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F13"/>
    <hyperlink r:id="rId3" ref="F14"/>
    <hyperlink r:id="rId4" ref="F15"/>
    <hyperlink r:id="rId5" ref="F16"/>
    <hyperlink r:id="rId6" ref="F17"/>
    <hyperlink r:id="rId7" ref="F18"/>
    <hyperlink r:id="rId8" ref="F19"/>
    <hyperlink r:id="rId9" ref="F20"/>
    <hyperlink r:id="rId10" ref="F21"/>
    <hyperlink r:id="rId11" ref="F23"/>
    <hyperlink r:id="rId12" ref="F24"/>
    <hyperlink r:id="rId13" ref="F25"/>
    <hyperlink r:id="rId14" ref="F26"/>
    <hyperlink r:id="rId15" ref="F27"/>
    <hyperlink r:id="rId16" ref="F28"/>
    <hyperlink r:id="rId17" ref="F29"/>
    <hyperlink r:id="rId18" ref="F30"/>
    <hyperlink r:id="rId19" ref="F31"/>
    <hyperlink r:id="rId20" ref="F32"/>
    <hyperlink r:id="rId21" ref="F33"/>
    <hyperlink r:id="rId22" ref="F34"/>
    <hyperlink r:id="rId23" ref="F35"/>
    <hyperlink r:id="rId24" ref="F36"/>
    <hyperlink r:id="rId25" ref="F37"/>
    <hyperlink r:id="rId26" ref="F38"/>
    <hyperlink r:id="rId27" ref="F39"/>
    <hyperlink r:id="rId28" ref="F40"/>
    <hyperlink r:id="rId29" ref="F41"/>
    <hyperlink r:id="rId30" ref="F43"/>
    <hyperlink r:id="rId31" ref="F44"/>
  </hyperlinks>
  <drawing r:id="rId32"/>
  <legacyDrawing r:id="rId3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4"/>
      <c r="B1" s="89" t="s">
        <v>31</v>
      </c>
      <c r="C1" s="89" t="s">
        <v>77</v>
      </c>
      <c r="D1" s="34"/>
      <c r="E1" s="239" t="s">
        <v>515</v>
      </c>
      <c r="F1" s="34"/>
      <c r="H1" s="39" t="s">
        <v>33</v>
      </c>
      <c r="I1" s="40"/>
      <c r="J1" s="34"/>
      <c r="K1" s="39" t="s">
        <v>34</v>
      </c>
      <c r="L1" s="40"/>
      <c r="M1" s="13"/>
      <c r="N1" s="153" t="s">
        <v>35</v>
      </c>
      <c r="O1" s="42"/>
      <c r="P1" s="13"/>
      <c r="Q1" s="39" t="s">
        <v>36</v>
      </c>
      <c r="R1" s="43"/>
      <c r="S1" s="240" t="s">
        <v>516</v>
      </c>
      <c r="T1" s="44"/>
      <c r="U1" s="44"/>
      <c r="V1" s="34"/>
    </row>
    <row r="2">
      <c r="A2" s="34"/>
      <c r="B2" s="40"/>
      <c r="C2" s="40"/>
      <c r="D2" s="13"/>
      <c r="E2" s="241" t="s">
        <v>517</v>
      </c>
      <c r="F2" s="242">
        <f>C3/C6</f>
        <v>3319.672131</v>
      </c>
      <c r="H2" s="154" t="s">
        <v>26</v>
      </c>
      <c r="I2" s="155">
        <f>IFERROR(COUNTIFS(I13:I286, "Full-Pay"),"")</f>
        <v>1</v>
      </c>
      <c r="J2" s="13"/>
      <c r="K2" s="47" t="s">
        <v>16</v>
      </c>
      <c r="L2" s="48">
        <f>iferror(L10/L8,"")</f>
        <v>0.3114754098</v>
      </c>
      <c r="M2" s="12"/>
      <c r="N2" s="156" t="s">
        <v>39</v>
      </c>
      <c r="O2" s="50">
        <f>iferror(I8/L6,"")</f>
        <v>0.07142857143</v>
      </c>
      <c r="P2" s="12"/>
      <c r="Q2" s="51" t="s">
        <v>40</v>
      </c>
      <c r="R2" s="52">
        <f>IFERROR(COUNTIFS(N13:N285, "think about it"),"")</f>
        <v>1</v>
      </c>
      <c r="S2" s="243" t="s">
        <v>518</v>
      </c>
      <c r="T2" s="54">
        <f>COUNTIF(F13:F359,"Kvinde")
</f>
        <v>0</v>
      </c>
      <c r="U2" s="54"/>
      <c r="V2" s="56"/>
    </row>
    <row r="3">
      <c r="A3" s="13"/>
      <c r="B3" s="157" t="s">
        <v>43</v>
      </c>
      <c r="C3" s="58">
        <f>IFERROR(SUM(K13:K282),"")</f>
        <v>202500</v>
      </c>
      <c r="D3" s="59"/>
      <c r="E3" s="244" t="s">
        <v>519</v>
      </c>
      <c r="F3" s="245">
        <f>C4/C6</f>
        <v>904.0983607</v>
      </c>
      <c r="H3" s="154" t="s">
        <v>27</v>
      </c>
      <c r="I3" s="155">
        <f>IFERROR(COUNTIFS(I13:I286, "Split-Pay"),"")</f>
        <v>18</v>
      </c>
      <c r="J3" s="13"/>
      <c r="K3" s="47" t="s">
        <v>17</v>
      </c>
      <c r="L3" s="48">
        <f>IFERROR(L10/L9,"")</f>
        <v>0.3220338983</v>
      </c>
      <c r="M3" s="12"/>
      <c r="N3" s="156" t="s">
        <v>44</v>
      </c>
      <c r="O3" s="50">
        <f>iferror(I9/L6,"")</f>
        <v>0.04285714286</v>
      </c>
      <c r="P3" s="12"/>
      <c r="Q3" s="51" t="s">
        <v>45</v>
      </c>
      <c r="R3" s="60">
        <f>IFERROR(COUNTIFS(N13:N285, "money"),"")</f>
        <v>26</v>
      </c>
      <c r="S3" s="243" t="s">
        <v>520</v>
      </c>
      <c r="T3" s="54">
        <f>COUNTIF(F13:F359,"Mand")
</f>
        <v>0</v>
      </c>
      <c r="U3" s="54"/>
      <c r="V3" s="56"/>
    </row>
    <row r="4">
      <c r="A4" s="13"/>
      <c r="B4" s="158" t="s">
        <v>48</v>
      </c>
      <c r="C4" s="62">
        <f>IFERROR(SUM(L13:L283),"")</f>
        <v>55150</v>
      </c>
      <c r="D4" s="59"/>
      <c r="E4" s="244" t="s">
        <v>521</v>
      </c>
      <c r="F4" s="246">
        <f>C4/C3*100</f>
        <v>27.2345679</v>
      </c>
      <c r="H4" s="154" t="s">
        <v>28</v>
      </c>
      <c r="I4" s="155">
        <f>IFERROR(COUNTIFS(I13:I286, "Deposit"),"")</f>
        <v>8</v>
      </c>
      <c r="J4" s="13"/>
      <c r="K4" s="47" t="s">
        <v>18</v>
      </c>
      <c r="L4" s="48">
        <f>IFERROR(L9/L8,"")</f>
        <v>0.9672131148</v>
      </c>
      <c r="M4" s="12"/>
      <c r="N4" s="156" t="s">
        <v>49</v>
      </c>
      <c r="O4" s="50">
        <f>iferror(I10/L6,"")</f>
        <v>0.01428571429</v>
      </c>
      <c r="P4" s="12"/>
      <c r="Q4" s="51" t="s">
        <v>50</v>
      </c>
      <c r="R4" s="52">
        <f>IFERROR(COUNTIFS(N13:N285, "time"),"")</f>
        <v>6</v>
      </c>
      <c r="S4" s="243" t="s">
        <v>522</v>
      </c>
      <c r="T4" s="54" t="str">
        <f>COUNTIFS($F13:$F359,E2,$I13:$I359,"Split-pay","Full-pay")</f>
        <v>#N/A</v>
      </c>
      <c r="U4" s="54"/>
      <c r="V4" s="34"/>
    </row>
    <row r="5">
      <c r="A5" s="34"/>
      <c r="B5" s="40"/>
      <c r="C5" s="40"/>
      <c r="D5" s="13"/>
      <c r="E5" s="244" t="s">
        <v>523</v>
      </c>
      <c r="F5" s="247">
        <f>I2/C7*100</f>
        <v>5.263157895</v>
      </c>
      <c r="H5" s="154" t="s">
        <v>53</v>
      </c>
      <c r="I5" s="155">
        <f>IFERROR(COUNTIFS(I13:I286, "Offer &amp; Didn't Buy"),"")</f>
        <v>32</v>
      </c>
      <c r="J5" s="13"/>
      <c r="K5" s="47" t="s">
        <v>54</v>
      </c>
      <c r="L5" s="48">
        <f>IFERROR(I7/(C6+I7+I8),"")</f>
        <v>0</v>
      </c>
      <c r="M5" s="13"/>
      <c r="N5" s="156" t="s">
        <v>54</v>
      </c>
      <c r="O5" s="50">
        <f>iferror(I7/L6,"")</f>
        <v>0</v>
      </c>
      <c r="P5" s="12"/>
      <c r="Q5" s="51" t="s">
        <v>55</v>
      </c>
      <c r="R5" s="52">
        <f>IFERROR(COUNTIFS(N13:N285, "partner"),"")</f>
        <v>6</v>
      </c>
      <c r="S5" s="243" t="s">
        <v>524</v>
      </c>
      <c r="T5" s="54">
        <f>IFERROR(COUNTIF(G13:G285,S5),"")</f>
        <v>0</v>
      </c>
      <c r="U5" s="54"/>
      <c r="V5" s="56"/>
    </row>
    <row r="6">
      <c r="A6" s="13"/>
      <c r="B6" s="159" t="s">
        <v>58</v>
      </c>
      <c r="C6" s="64">
        <f>IFERROR(SUM(I2:I6),"")</f>
        <v>61</v>
      </c>
      <c r="D6" s="13"/>
      <c r="E6" s="244" t="s">
        <v>525</v>
      </c>
      <c r="F6" s="248">
        <f>AVERAGE(Q13:Q103)</f>
        <v>6.222222222</v>
      </c>
      <c r="H6" s="154" t="s">
        <v>59</v>
      </c>
      <c r="I6" s="155">
        <f>IFERROR(COUNTIFS(I13:I286, "Bad Fit &amp; No Offer"),"")</f>
        <v>2</v>
      </c>
      <c r="J6" s="13"/>
      <c r="K6" s="47" t="s">
        <v>21</v>
      </c>
      <c r="L6" s="65">
        <f>IFERROR(SUM(I2:I10),"")</f>
        <v>70</v>
      </c>
      <c r="M6" s="13"/>
      <c r="N6" s="160" t="s">
        <v>29</v>
      </c>
      <c r="O6" s="50">
        <f>iferror(L7/L6,"")</f>
        <v>0.8714285714</v>
      </c>
      <c r="P6" s="12"/>
      <c r="Q6" s="51" t="s">
        <v>60</v>
      </c>
      <c r="R6" s="52">
        <f>IFERROR(COUNTIFS(N13:N285, "fear"),"")</f>
        <v>3</v>
      </c>
      <c r="S6" s="243" t="s">
        <v>526</v>
      </c>
      <c r="T6" s="54">
        <f>IFERROR(COUNTIF(G13:G285,S6),"")</f>
        <v>0</v>
      </c>
      <c r="U6" s="54"/>
      <c r="V6" s="56"/>
    </row>
    <row r="7">
      <c r="A7" s="13"/>
      <c r="B7" s="159" t="s">
        <v>63</v>
      </c>
      <c r="C7" s="67">
        <f>IFERROR(I2+I3,"")</f>
        <v>19</v>
      </c>
      <c r="D7" s="13"/>
      <c r="E7" s="244" t="s">
        <v>527</v>
      </c>
      <c r="F7" s="245">
        <f>C3/C7</f>
        <v>10657.89474</v>
      </c>
      <c r="H7" s="154" t="s">
        <v>64</v>
      </c>
      <c r="I7" s="155">
        <f>IFERROR(COUNTIFS(I13:I286, "Drag Over &amp; Show"),"")</f>
        <v>0</v>
      </c>
      <c r="J7" s="13"/>
      <c r="K7" s="47" t="s">
        <v>22</v>
      </c>
      <c r="L7" s="65">
        <f>IFERROR(SUM(I2:I7),"")</f>
        <v>61</v>
      </c>
      <c r="M7" s="13"/>
      <c r="N7" s="161" t="s">
        <v>30</v>
      </c>
      <c r="O7" s="69">
        <f>IFERROR(L8/L6,"")</f>
        <v>0.8714285714</v>
      </c>
      <c r="P7" s="12"/>
      <c r="Q7" s="70" t="s">
        <v>65</v>
      </c>
      <c r="R7" s="71">
        <f>IFERROR(COUNTIFS(N14:N286, "value"),"")</f>
        <v>0</v>
      </c>
      <c r="S7" s="243" t="s">
        <v>528</v>
      </c>
      <c r="T7" s="54">
        <f>IFERROR(COUNTIF(G13:G285,S7),"")</f>
        <v>0</v>
      </c>
      <c r="U7" s="54"/>
      <c r="V7" s="34"/>
    </row>
    <row r="8">
      <c r="A8" s="13"/>
      <c r="B8" s="159" t="s">
        <v>68</v>
      </c>
      <c r="C8" s="72">
        <f>COUNTIF(I13:I285,"offer &amp; didn't buy")+countif(I13:I285,"deposit")+countif(I13:I285,"bad fit &amp; no offer")</f>
        <v>42</v>
      </c>
      <c r="D8" s="73"/>
      <c r="E8" s="244" t="s">
        <v>529</v>
      </c>
      <c r="F8" s="245">
        <f>C4/C7</f>
        <v>2902.631579</v>
      </c>
      <c r="H8" s="154" t="s">
        <v>69</v>
      </c>
      <c r="I8" s="155">
        <f>IFERROR(COUNTIFS(I13:I286, "Rescheduled"),"")</f>
        <v>5</v>
      </c>
      <c r="J8" s="13"/>
      <c r="K8" s="47" t="s">
        <v>23</v>
      </c>
      <c r="L8" s="65">
        <f>IFERROR(SUM(I2:I6),"")</f>
        <v>61</v>
      </c>
      <c r="M8" s="34"/>
      <c r="N8" s="34"/>
      <c r="O8" s="34"/>
      <c r="P8" s="34"/>
      <c r="Q8" s="34"/>
      <c r="R8" s="75"/>
      <c r="S8" s="76"/>
      <c r="T8" s="77"/>
      <c r="U8" s="77"/>
      <c r="V8" s="34"/>
    </row>
    <row r="9">
      <c r="A9" s="13"/>
      <c r="B9" s="159" t="s">
        <v>72</v>
      </c>
      <c r="C9" s="79">
        <f>iferror(SUM(C7/C6),"")</f>
        <v>0.3114754098</v>
      </c>
      <c r="D9" s="12"/>
      <c r="E9" s="249"/>
      <c r="F9" s="250"/>
      <c r="H9" s="154" t="s">
        <v>73</v>
      </c>
      <c r="I9" s="155">
        <f>IFERROR(COUNTIFS(I13:I286, "Cancelled"),"")</f>
        <v>3</v>
      </c>
      <c r="J9" s="13"/>
      <c r="K9" s="47" t="s">
        <v>24</v>
      </c>
      <c r="L9" s="65">
        <f>IFERROR(sum(I2:I5),"")</f>
        <v>59</v>
      </c>
      <c r="M9" s="34"/>
      <c r="N9" s="34"/>
      <c r="O9" s="34"/>
      <c r="P9" s="34"/>
      <c r="Q9" s="34"/>
      <c r="R9" s="75"/>
      <c r="S9" s="34"/>
      <c r="T9" s="34"/>
      <c r="U9" s="34"/>
      <c r="V9" s="34"/>
    </row>
    <row r="10">
      <c r="A10" s="34"/>
      <c r="B10" s="220"/>
      <c r="C10" s="194"/>
      <c r="D10" s="13"/>
      <c r="E10" s="251"/>
      <c r="F10" s="252"/>
      <c r="H10" s="162" t="s">
        <v>74</v>
      </c>
      <c r="I10" s="163">
        <f>IFERROR(COUNTIFS(I13:I286, "No-Show"),"")</f>
        <v>1</v>
      </c>
      <c r="J10" s="13"/>
      <c r="K10" s="82" t="s">
        <v>75</v>
      </c>
      <c r="L10" s="83">
        <f>I2+I3</f>
        <v>19</v>
      </c>
      <c r="M10" s="34"/>
      <c r="N10" s="34"/>
      <c r="O10" s="34"/>
      <c r="P10" s="34"/>
      <c r="Q10" s="34"/>
      <c r="R10" s="75"/>
      <c r="S10" s="34"/>
      <c r="T10" s="34"/>
      <c r="U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89" t="s">
        <v>78</v>
      </c>
      <c r="F12" s="36" t="s">
        <v>530</v>
      </c>
      <c r="G12" s="34"/>
      <c r="H12" s="89" t="s">
        <v>37</v>
      </c>
      <c r="I12" s="89" t="s">
        <v>33</v>
      </c>
      <c r="J12" s="34"/>
      <c r="K12" s="89" t="s">
        <v>80</v>
      </c>
      <c r="L12" s="89" t="s">
        <v>48</v>
      </c>
      <c r="M12" s="34"/>
      <c r="N12" s="89" t="s">
        <v>81</v>
      </c>
      <c r="O12" s="90" t="s">
        <v>82</v>
      </c>
      <c r="P12" s="34"/>
      <c r="Q12" s="89" t="s">
        <v>83</v>
      </c>
      <c r="R12" s="89" t="s">
        <v>84</v>
      </c>
      <c r="S12" s="89" t="s">
        <v>85</v>
      </c>
      <c r="T12" s="89" t="s">
        <v>86</v>
      </c>
      <c r="V12" s="56"/>
    </row>
    <row r="13" ht="15.75" customHeight="1">
      <c r="A13" s="91"/>
      <c r="B13" s="166">
        <v>45901.0</v>
      </c>
      <c r="C13" s="230" t="s">
        <v>417</v>
      </c>
      <c r="D13" s="94"/>
      <c r="E13" s="167">
        <v>2.2302167E7</v>
      </c>
      <c r="F13" s="219"/>
      <c r="G13" s="97"/>
      <c r="H13" s="98" t="s">
        <v>97</v>
      </c>
      <c r="I13" s="99" t="s">
        <v>107</v>
      </c>
      <c r="J13" s="97"/>
      <c r="K13" s="101">
        <v>9000.0</v>
      </c>
      <c r="L13" s="101">
        <v>3000.0</v>
      </c>
      <c r="M13" s="102"/>
      <c r="N13" s="103"/>
      <c r="O13" s="104"/>
      <c r="P13" s="97"/>
      <c r="Q13" s="105">
        <v>5.0</v>
      </c>
      <c r="R13" s="107"/>
      <c r="S13" s="105" t="s">
        <v>110</v>
      </c>
      <c r="T13" s="222"/>
      <c r="U13" s="107"/>
      <c r="V13" s="108"/>
    </row>
    <row r="14" ht="15.75" customHeight="1">
      <c r="A14" s="91"/>
      <c r="B14" s="166">
        <v>45902.0</v>
      </c>
      <c r="C14" s="234" t="s">
        <v>531</v>
      </c>
      <c r="D14" s="94"/>
      <c r="E14" s="127" t="s">
        <v>532</v>
      </c>
      <c r="F14" s="219"/>
      <c r="G14" s="97"/>
      <c r="H14" s="98" t="s">
        <v>90</v>
      </c>
      <c r="I14" s="99" t="s">
        <v>178</v>
      </c>
      <c r="J14" s="97"/>
      <c r="K14" s="101">
        <v>9000.0</v>
      </c>
      <c r="L14" s="101">
        <v>9000.0</v>
      </c>
      <c r="M14" s="102"/>
      <c r="N14" s="103"/>
      <c r="O14" s="104"/>
      <c r="P14" s="97"/>
      <c r="Q14" s="105">
        <v>5.0</v>
      </c>
      <c r="R14" s="116"/>
      <c r="S14" s="105" t="s">
        <v>110</v>
      </c>
      <c r="T14" s="222"/>
      <c r="U14" s="107"/>
      <c r="V14" s="108"/>
    </row>
    <row r="15" ht="15.75" customHeight="1">
      <c r="A15" s="97"/>
      <c r="B15" s="166">
        <v>45902.0</v>
      </c>
      <c r="C15" s="234" t="s">
        <v>533</v>
      </c>
      <c r="D15" s="97"/>
      <c r="E15" s="127" t="s">
        <v>534</v>
      </c>
      <c r="F15" s="219"/>
      <c r="G15" s="97"/>
      <c r="H15" s="98" t="s">
        <v>90</v>
      </c>
      <c r="I15" s="99" t="s">
        <v>149</v>
      </c>
      <c r="J15" s="97"/>
      <c r="K15" s="101"/>
      <c r="L15" s="101"/>
      <c r="M15" s="102"/>
      <c r="N15" s="103" t="s">
        <v>55</v>
      </c>
      <c r="O15" s="104"/>
      <c r="P15" s="97"/>
      <c r="Q15" s="105"/>
      <c r="R15" s="116"/>
      <c r="S15" s="105" t="s">
        <v>99</v>
      </c>
      <c r="T15" s="111" t="s">
        <v>535</v>
      </c>
      <c r="U15" s="105"/>
      <c r="V15" s="108"/>
    </row>
    <row r="16" ht="15.75" customHeight="1">
      <c r="A16" s="97"/>
      <c r="B16" s="166">
        <v>45903.0</v>
      </c>
      <c r="C16" s="234" t="s">
        <v>536</v>
      </c>
      <c r="D16" s="105"/>
      <c r="E16" s="127" t="s">
        <v>537</v>
      </c>
      <c r="F16" s="219"/>
      <c r="G16" s="97"/>
      <c r="H16" s="98" t="s">
        <v>90</v>
      </c>
      <c r="I16" s="99" t="s">
        <v>91</v>
      </c>
      <c r="J16" s="97"/>
      <c r="K16" s="114"/>
      <c r="L16" s="114"/>
      <c r="M16" s="102"/>
      <c r="N16" s="103" t="s">
        <v>50</v>
      </c>
      <c r="O16" s="104"/>
      <c r="P16" s="97"/>
      <c r="Q16" s="115"/>
      <c r="R16" s="116"/>
      <c r="S16" s="105" t="s">
        <v>99</v>
      </c>
      <c r="T16" s="117" t="s">
        <v>538</v>
      </c>
      <c r="U16" s="105"/>
      <c r="V16" s="108"/>
    </row>
    <row r="17" ht="15.75" customHeight="1">
      <c r="A17" s="97"/>
      <c r="B17" s="166">
        <v>45903.0</v>
      </c>
      <c r="C17" s="177" t="s">
        <v>539</v>
      </c>
      <c r="D17" s="97"/>
      <c r="E17" s="127" t="s">
        <v>540</v>
      </c>
      <c r="F17" s="219"/>
      <c r="G17" s="97"/>
      <c r="H17" s="98" t="s">
        <v>90</v>
      </c>
      <c r="I17" s="99" t="s">
        <v>125</v>
      </c>
      <c r="J17" s="97"/>
      <c r="K17" s="101"/>
      <c r="L17" s="101"/>
      <c r="M17" s="102"/>
      <c r="N17" s="103"/>
      <c r="O17" s="104"/>
      <c r="P17" s="97"/>
      <c r="Q17" s="105"/>
      <c r="R17" s="116"/>
      <c r="S17" s="105" t="s">
        <v>99</v>
      </c>
      <c r="T17" s="105"/>
      <c r="V17" s="108"/>
    </row>
    <row r="18" ht="15.75" customHeight="1">
      <c r="A18" s="97"/>
      <c r="B18" s="166">
        <v>45904.0</v>
      </c>
      <c r="C18" s="235" t="s">
        <v>541</v>
      </c>
      <c r="D18" s="97"/>
      <c r="E18" s="127" t="s">
        <v>542</v>
      </c>
      <c r="F18" s="219"/>
      <c r="G18" s="97"/>
      <c r="H18" s="98" t="s">
        <v>90</v>
      </c>
      <c r="I18" s="99" t="s">
        <v>149</v>
      </c>
      <c r="J18" s="97"/>
      <c r="K18" s="101"/>
      <c r="L18" s="101"/>
      <c r="M18" s="102"/>
      <c r="N18" s="103"/>
      <c r="O18" s="104" t="s">
        <v>543</v>
      </c>
      <c r="P18" s="97"/>
      <c r="Q18" s="97"/>
      <c r="R18" s="126"/>
      <c r="S18" s="105" t="s">
        <v>99</v>
      </c>
      <c r="T18" s="119"/>
      <c r="U18" s="97"/>
      <c r="V18" s="108"/>
    </row>
    <row r="19" ht="15.75" customHeight="1">
      <c r="A19" s="97"/>
      <c r="B19" s="228">
        <v>45906.0</v>
      </c>
      <c r="C19" s="234" t="s">
        <v>544</v>
      </c>
      <c r="D19" s="97"/>
      <c r="E19" s="127" t="s">
        <v>545</v>
      </c>
      <c r="F19" s="219"/>
      <c r="G19" s="97"/>
      <c r="H19" s="98" t="s">
        <v>90</v>
      </c>
      <c r="I19" s="99" t="s">
        <v>107</v>
      </c>
      <c r="J19" s="97"/>
      <c r="K19" s="101">
        <v>10500.0</v>
      </c>
      <c r="L19" s="101">
        <v>2650.0</v>
      </c>
      <c r="M19" s="102"/>
      <c r="N19" s="103" t="s">
        <v>50</v>
      </c>
      <c r="O19" s="104" t="s">
        <v>546</v>
      </c>
      <c r="P19" s="97"/>
      <c r="Q19" s="97"/>
      <c r="R19" s="126"/>
      <c r="S19" s="105" t="s">
        <v>110</v>
      </c>
      <c r="T19" s="119" t="s">
        <v>547</v>
      </c>
      <c r="U19" s="97"/>
      <c r="V19" s="108"/>
    </row>
    <row r="20" ht="15.75" customHeight="1">
      <c r="A20" s="91"/>
      <c r="B20" s="166">
        <v>45906.0</v>
      </c>
      <c r="C20" s="235" t="s">
        <v>548</v>
      </c>
      <c r="D20" s="97"/>
      <c r="E20" s="127" t="s">
        <v>549</v>
      </c>
      <c r="F20" s="219"/>
      <c r="G20" s="97"/>
      <c r="H20" s="98" t="s">
        <v>90</v>
      </c>
      <c r="I20" s="99" t="s">
        <v>107</v>
      </c>
      <c r="J20" s="97"/>
      <c r="K20" s="101">
        <v>10500.0</v>
      </c>
      <c r="L20" s="101">
        <v>3000.0</v>
      </c>
      <c r="M20" s="102"/>
      <c r="N20" s="124"/>
      <c r="O20" s="104"/>
      <c r="P20" s="97"/>
      <c r="Q20" s="105">
        <v>6.0</v>
      </c>
      <c r="R20" s="165"/>
      <c r="S20" s="105" t="s">
        <v>110</v>
      </c>
      <c r="T20" s="105"/>
      <c r="V20" s="108"/>
    </row>
    <row r="21" ht="15.75" customHeight="1">
      <c r="A21" s="91"/>
      <c r="B21" s="166">
        <v>45907.0</v>
      </c>
      <c r="C21" s="235" t="s">
        <v>550</v>
      </c>
      <c r="D21" s="97"/>
      <c r="E21" s="127" t="s">
        <v>551</v>
      </c>
      <c r="F21" s="219"/>
      <c r="G21" s="97"/>
      <c r="H21" s="98" t="s">
        <v>90</v>
      </c>
      <c r="I21" s="99" t="s">
        <v>91</v>
      </c>
      <c r="J21" s="97"/>
      <c r="K21" s="114"/>
      <c r="L21" s="114"/>
      <c r="M21" s="102"/>
      <c r="N21" s="103" t="s">
        <v>60</v>
      </c>
      <c r="O21" s="104"/>
      <c r="P21" s="97"/>
      <c r="Q21" s="105"/>
      <c r="R21" s="126"/>
      <c r="S21" s="105" t="s">
        <v>99</v>
      </c>
      <c r="T21" s="105" t="s">
        <v>552</v>
      </c>
      <c r="V21" s="108"/>
    </row>
    <row r="22" ht="15.75" customHeight="1">
      <c r="A22" s="91"/>
      <c r="B22" s="166">
        <v>45907.0</v>
      </c>
      <c r="C22" s="235" t="s">
        <v>553</v>
      </c>
      <c r="D22" s="97"/>
      <c r="E22" s="127" t="s">
        <v>554</v>
      </c>
      <c r="F22" s="219"/>
      <c r="G22" s="97"/>
      <c r="H22" s="98" t="s">
        <v>90</v>
      </c>
      <c r="I22" s="105" t="s">
        <v>91</v>
      </c>
      <c r="J22" s="97"/>
      <c r="K22" s="101"/>
      <c r="L22" s="101"/>
      <c r="M22" s="102"/>
      <c r="N22" s="103" t="s">
        <v>55</v>
      </c>
      <c r="O22" s="104" t="s">
        <v>555</v>
      </c>
      <c r="P22" s="97"/>
      <c r="Q22" s="115"/>
      <c r="R22" s="107"/>
      <c r="S22" s="105" t="s">
        <v>99</v>
      </c>
      <c r="T22" s="105" t="s">
        <v>556</v>
      </c>
      <c r="V22" s="108"/>
    </row>
    <row r="23" ht="15.75" customHeight="1">
      <c r="A23" s="91"/>
      <c r="B23" s="166">
        <v>45908.0</v>
      </c>
      <c r="C23" s="234" t="s">
        <v>557</v>
      </c>
      <c r="D23" s="97"/>
      <c r="E23" s="127" t="s">
        <v>558</v>
      </c>
      <c r="F23" s="219"/>
      <c r="G23" s="97"/>
      <c r="H23" s="98" t="s">
        <v>90</v>
      </c>
      <c r="I23" s="105" t="s">
        <v>107</v>
      </c>
      <c r="J23" s="97"/>
      <c r="K23" s="101">
        <v>13500.0</v>
      </c>
      <c r="L23" s="101">
        <v>3000.0</v>
      </c>
      <c r="M23" s="102"/>
      <c r="N23" s="124"/>
      <c r="O23" s="125"/>
      <c r="P23" s="97"/>
      <c r="Q23" s="105">
        <v>8.0</v>
      </c>
      <c r="R23" s="126"/>
      <c r="S23" s="105" t="s">
        <v>110</v>
      </c>
      <c r="T23" s="97"/>
      <c r="V23" s="108"/>
    </row>
    <row r="24" ht="15.75" customHeight="1">
      <c r="A24" s="91"/>
      <c r="B24" s="166">
        <v>45908.0</v>
      </c>
      <c r="C24" s="235" t="s">
        <v>559</v>
      </c>
      <c r="D24" s="97"/>
      <c r="E24" s="127" t="s">
        <v>560</v>
      </c>
      <c r="F24" s="219"/>
      <c r="G24" s="97"/>
      <c r="H24" s="98" t="s">
        <v>90</v>
      </c>
      <c r="I24" s="105" t="s">
        <v>91</v>
      </c>
      <c r="J24" s="97"/>
      <c r="K24" s="101"/>
      <c r="L24" s="101"/>
      <c r="M24" s="102"/>
      <c r="N24" s="103" t="s">
        <v>45</v>
      </c>
      <c r="O24" s="104" t="s">
        <v>561</v>
      </c>
      <c r="P24" s="97"/>
      <c r="Q24" s="115"/>
      <c r="R24" s="107"/>
      <c r="S24" s="105" t="s">
        <v>99</v>
      </c>
      <c r="T24" s="105" t="s">
        <v>562</v>
      </c>
      <c r="V24" s="108"/>
    </row>
    <row r="25" ht="15.75" customHeight="1">
      <c r="A25" s="91"/>
      <c r="B25" s="166">
        <v>45910.0</v>
      </c>
      <c r="C25" s="235" t="s">
        <v>563</v>
      </c>
      <c r="D25" s="97"/>
      <c r="E25" s="127" t="s">
        <v>564</v>
      </c>
      <c r="F25" s="219"/>
      <c r="G25" s="97"/>
      <c r="H25" s="98" t="s">
        <v>90</v>
      </c>
      <c r="I25" s="105" t="s">
        <v>91</v>
      </c>
      <c r="J25" s="97"/>
      <c r="K25" s="114"/>
      <c r="L25" s="114"/>
      <c r="M25" s="102"/>
      <c r="N25" s="103" t="s">
        <v>50</v>
      </c>
      <c r="O25" s="104" t="s">
        <v>565</v>
      </c>
      <c r="P25" s="97"/>
      <c r="Q25" s="115"/>
      <c r="R25" s="107"/>
      <c r="S25" s="105" t="s">
        <v>116</v>
      </c>
      <c r="T25" s="105" t="s">
        <v>566</v>
      </c>
      <c r="V25" s="108"/>
    </row>
    <row r="26" ht="15.75" customHeight="1">
      <c r="A26" s="91"/>
      <c r="B26" s="166">
        <v>45910.0</v>
      </c>
      <c r="C26" s="234" t="s">
        <v>567</v>
      </c>
      <c r="D26" s="97"/>
      <c r="E26" s="127" t="s">
        <v>568</v>
      </c>
      <c r="F26" s="219"/>
      <c r="G26" s="97"/>
      <c r="H26" s="98" t="s">
        <v>90</v>
      </c>
      <c r="I26" s="105" t="s">
        <v>91</v>
      </c>
      <c r="J26" s="97"/>
      <c r="K26" s="101"/>
      <c r="L26" s="101"/>
      <c r="M26" s="102"/>
      <c r="N26" s="103" t="s">
        <v>45</v>
      </c>
      <c r="O26" s="104" t="s">
        <v>569</v>
      </c>
      <c r="P26" s="97"/>
      <c r="Q26" s="97"/>
      <c r="R26" s="126"/>
      <c r="S26" s="105" t="s">
        <v>570</v>
      </c>
      <c r="T26" s="105" t="s">
        <v>571</v>
      </c>
      <c r="V26" s="108"/>
    </row>
    <row r="27" ht="15.75" customHeight="1">
      <c r="A27" s="91"/>
      <c r="B27" s="166">
        <v>45911.0</v>
      </c>
      <c r="C27" s="235" t="s">
        <v>572</v>
      </c>
      <c r="D27" s="97"/>
      <c r="E27" s="127" t="s">
        <v>573</v>
      </c>
      <c r="F27" s="219"/>
      <c r="G27" s="97"/>
      <c r="H27" s="98" t="s">
        <v>90</v>
      </c>
      <c r="I27" s="105" t="s">
        <v>98</v>
      </c>
      <c r="J27" s="97"/>
      <c r="K27" s="114"/>
      <c r="L27" s="114"/>
      <c r="M27" s="102"/>
      <c r="N27" s="103"/>
      <c r="O27" s="104"/>
      <c r="P27" s="97"/>
      <c r="Q27" s="115"/>
      <c r="R27" s="116"/>
      <c r="S27" s="105"/>
      <c r="T27" s="105"/>
      <c r="V27" s="108"/>
    </row>
    <row r="28" ht="15.75" customHeight="1">
      <c r="A28" s="91"/>
      <c r="B28" s="166">
        <v>45911.0</v>
      </c>
      <c r="C28" s="235" t="s">
        <v>574</v>
      </c>
      <c r="D28" s="97"/>
      <c r="E28" s="127" t="s">
        <v>575</v>
      </c>
      <c r="F28" s="219"/>
      <c r="G28" s="97"/>
      <c r="H28" s="98" t="s">
        <v>90</v>
      </c>
      <c r="I28" s="105" t="s">
        <v>91</v>
      </c>
      <c r="J28" s="97"/>
      <c r="K28" s="101"/>
      <c r="L28" s="101"/>
      <c r="M28" s="102"/>
      <c r="N28" s="103" t="s">
        <v>45</v>
      </c>
      <c r="O28" s="104" t="s">
        <v>576</v>
      </c>
      <c r="P28" s="97"/>
      <c r="Q28" s="97"/>
      <c r="R28" s="126"/>
      <c r="S28" s="105" t="s">
        <v>99</v>
      </c>
      <c r="T28" s="105" t="s">
        <v>577</v>
      </c>
      <c r="V28" s="108"/>
    </row>
    <row r="29" ht="15.75" customHeight="1">
      <c r="A29" s="91"/>
      <c r="B29" s="166">
        <v>45911.0</v>
      </c>
      <c r="C29" s="234" t="s">
        <v>578</v>
      </c>
      <c r="D29" s="97"/>
      <c r="E29" s="127" t="s">
        <v>579</v>
      </c>
      <c r="F29" s="219"/>
      <c r="G29" s="97"/>
      <c r="H29" s="98" t="s">
        <v>90</v>
      </c>
      <c r="I29" s="105" t="s">
        <v>107</v>
      </c>
      <c r="J29" s="97"/>
      <c r="K29" s="101">
        <v>10500.0</v>
      </c>
      <c r="L29" s="101">
        <v>3000.0</v>
      </c>
      <c r="M29" s="102"/>
      <c r="N29" s="124"/>
      <c r="O29" s="125"/>
      <c r="P29" s="97"/>
      <c r="Q29" s="105">
        <v>6.0</v>
      </c>
      <c r="R29" s="126"/>
      <c r="S29" s="105" t="s">
        <v>110</v>
      </c>
      <c r="T29" s="97"/>
      <c r="V29" s="108"/>
    </row>
    <row r="30" ht="15.75" customHeight="1">
      <c r="A30" s="91"/>
      <c r="B30" s="166">
        <v>45912.0</v>
      </c>
      <c r="C30" s="234" t="s">
        <v>580</v>
      </c>
      <c r="D30" s="97"/>
      <c r="E30" s="127" t="s">
        <v>581</v>
      </c>
      <c r="F30" s="219"/>
      <c r="G30" s="97"/>
      <c r="H30" s="98" t="s">
        <v>90</v>
      </c>
      <c r="I30" s="105" t="s">
        <v>175</v>
      </c>
      <c r="J30" s="97"/>
      <c r="K30" s="101"/>
      <c r="L30" s="101"/>
      <c r="M30" s="102"/>
      <c r="N30" s="103"/>
      <c r="O30" s="104" t="s">
        <v>582</v>
      </c>
      <c r="P30" s="97"/>
      <c r="Q30" s="115"/>
      <c r="R30" s="107"/>
      <c r="S30" s="105"/>
      <c r="T30" s="105"/>
      <c r="V30" s="108"/>
    </row>
    <row r="31" ht="15.75" customHeight="1">
      <c r="A31" s="91"/>
      <c r="B31" s="166">
        <v>45913.0</v>
      </c>
      <c r="C31" s="234" t="s">
        <v>583</v>
      </c>
      <c r="D31" s="97"/>
      <c r="E31" s="127" t="s">
        <v>584</v>
      </c>
      <c r="F31" s="219"/>
      <c r="G31" s="97"/>
      <c r="H31" s="98" t="s">
        <v>90</v>
      </c>
      <c r="I31" s="105" t="s">
        <v>91</v>
      </c>
      <c r="J31" s="97"/>
      <c r="K31" s="114"/>
      <c r="L31" s="114"/>
      <c r="M31" s="102"/>
      <c r="N31" s="103" t="s">
        <v>45</v>
      </c>
      <c r="O31" s="104" t="s">
        <v>585</v>
      </c>
      <c r="P31" s="97"/>
      <c r="Q31" s="97"/>
      <c r="R31" s="126"/>
      <c r="S31" s="105" t="s">
        <v>116</v>
      </c>
      <c r="T31" s="105" t="s">
        <v>586</v>
      </c>
      <c r="V31" s="108"/>
    </row>
    <row r="32" ht="15.75" customHeight="1">
      <c r="A32" s="91"/>
      <c r="B32" s="166">
        <v>45914.0</v>
      </c>
      <c r="C32" s="234" t="s">
        <v>587</v>
      </c>
      <c r="D32" s="97"/>
      <c r="E32" s="127" t="s">
        <v>588</v>
      </c>
      <c r="F32" s="219"/>
      <c r="G32" s="97"/>
      <c r="H32" s="98" t="s">
        <v>90</v>
      </c>
      <c r="I32" s="105" t="s">
        <v>107</v>
      </c>
      <c r="J32" s="97"/>
      <c r="K32" s="101">
        <v>10500.0</v>
      </c>
      <c r="L32" s="101">
        <v>3000.0</v>
      </c>
      <c r="M32" s="102"/>
      <c r="N32" s="103"/>
      <c r="O32" s="104"/>
      <c r="P32" s="97"/>
      <c r="Q32" s="105">
        <v>6.0</v>
      </c>
      <c r="R32" s="107"/>
      <c r="S32" s="105" t="s">
        <v>110</v>
      </c>
      <c r="T32" s="105" t="s">
        <v>589</v>
      </c>
      <c r="V32" s="108"/>
    </row>
    <row r="33" ht="15.75" customHeight="1">
      <c r="A33" s="91"/>
      <c r="B33" s="166">
        <v>45914.0</v>
      </c>
      <c r="C33" s="235" t="s">
        <v>590</v>
      </c>
      <c r="D33" s="97"/>
      <c r="E33" s="127" t="s">
        <v>591</v>
      </c>
      <c r="F33" s="219"/>
      <c r="G33" s="97"/>
      <c r="H33" s="98" t="s">
        <v>90</v>
      </c>
      <c r="I33" s="105" t="s">
        <v>91</v>
      </c>
      <c r="J33" s="97"/>
      <c r="K33" s="114"/>
      <c r="L33" s="114"/>
      <c r="M33" s="102"/>
      <c r="N33" s="103" t="s">
        <v>143</v>
      </c>
      <c r="O33" s="125"/>
      <c r="P33" s="97"/>
      <c r="Q33" s="97"/>
      <c r="R33" s="126"/>
      <c r="S33" s="105" t="s">
        <v>116</v>
      </c>
      <c r="T33" s="105" t="s">
        <v>592</v>
      </c>
      <c r="V33" s="108"/>
    </row>
    <row r="34" ht="15.75" customHeight="1">
      <c r="A34" s="91"/>
      <c r="B34" s="166">
        <v>45914.0</v>
      </c>
      <c r="C34" s="235" t="s">
        <v>593</v>
      </c>
      <c r="D34" s="97"/>
      <c r="E34" s="127" t="s">
        <v>594</v>
      </c>
      <c r="F34" s="219"/>
      <c r="G34" s="97"/>
      <c r="H34" s="98" t="s">
        <v>97</v>
      </c>
      <c r="I34" s="105" t="s">
        <v>98</v>
      </c>
      <c r="J34" s="97"/>
      <c r="K34" s="101"/>
      <c r="L34" s="101"/>
      <c r="M34" s="102"/>
      <c r="N34" s="124"/>
      <c r="O34" s="125"/>
      <c r="P34" s="97"/>
      <c r="Q34" s="97"/>
      <c r="R34" s="126"/>
      <c r="S34" s="97"/>
      <c r="T34" s="97"/>
      <c r="V34" s="108"/>
    </row>
    <row r="35" ht="15.75" customHeight="1">
      <c r="A35" s="91"/>
      <c r="B35" s="166">
        <v>45915.0</v>
      </c>
      <c r="C35" s="236" t="s">
        <v>595</v>
      </c>
      <c r="D35" s="97"/>
      <c r="E35" s="167">
        <v>3.151886E7</v>
      </c>
      <c r="F35" s="219"/>
      <c r="G35" s="97"/>
      <c r="H35" s="98" t="s">
        <v>97</v>
      </c>
      <c r="I35" s="105" t="s">
        <v>107</v>
      </c>
      <c r="J35" s="97"/>
      <c r="K35" s="101">
        <v>9000.0</v>
      </c>
      <c r="L35" s="101">
        <v>3000.0</v>
      </c>
      <c r="M35" s="102"/>
      <c r="N35" s="124"/>
      <c r="O35" s="125"/>
      <c r="P35" s="97"/>
      <c r="Q35" s="105">
        <v>5.0</v>
      </c>
      <c r="R35" s="126"/>
      <c r="S35" s="105" t="s">
        <v>110</v>
      </c>
      <c r="T35" s="105" t="s">
        <v>596</v>
      </c>
      <c r="V35" s="108"/>
    </row>
    <row r="36" ht="15.75" customHeight="1">
      <c r="A36" s="91"/>
      <c r="B36" s="166">
        <v>45915.0</v>
      </c>
      <c r="C36" s="230" t="s">
        <v>597</v>
      </c>
      <c r="D36" s="97"/>
      <c r="E36" s="138">
        <v>6.01753E7</v>
      </c>
      <c r="F36" s="219"/>
      <c r="G36" s="97"/>
      <c r="H36" s="98" t="s">
        <v>97</v>
      </c>
      <c r="I36" s="105" t="s">
        <v>107</v>
      </c>
      <c r="J36" s="97"/>
      <c r="K36" s="101">
        <v>10500.0</v>
      </c>
      <c r="L36" s="101">
        <v>3000.0</v>
      </c>
      <c r="M36" s="102"/>
      <c r="N36" s="103"/>
      <c r="O36" s="104"/>
      <c r="P36" s="97"/>
      <c r="Q36" s="105">
        <v>6.0</v>
      </c>
      <c r="R36" s="107"/>
      <c r="S36" s="105" t="s">
        <v>110</v>
      </c>
      <c r="T36" s="105"/>
      <c r="V36" s="108"/>
    </row>
    <row r="37" ht="15.75" customHeight="1">
      <c r="A37" s="91"/>
      <c r="B37" s="166">
        <v>45915.0</v>
      </c>
      <c r="C37" s="253" t="s">
        <v>598</v>
      </c>
      <c r="D37" s="97"/>
      <c r="E37" s="127" t="s">
        <v>599</v>
      </c>
      <c r="F37" s="219"/>
      <c r="G37" s="97"/>
      <c r="H37" s="98" t="s">
        <v>90</v>
      </c>
      <c r="I37" s="105" t="s">
        <v>333</v>
      </c>
      <c r="J37" s="97"/>
      <c r="K37" s="101"/>
      <c r="L37" s="101"/>
      <c r="M37" s="102"/>
      <c r="N37" s="124"/>
      <c r="O37" s="125"/>
      <c r="P37" s="97"/>
      <c r="Q37" s="105"/>
      <c r="R37" s="107" t="s">
        <v>600</v>
      </c>
      <c r="S37" s="105" t="s">
        <v>335</v>
      </c>
      <c r="T37" s="188" t="s">
        <v>601</v>
      </c>
      <c r="V37" s="108"/>
    </row>
    <row r="38" ht="15.75" customHeight="1">
      <c r="A38" s="91"/>
      <c r="B38" s="166">
        <v>45916.0</v>
      </c>
      <c r="C38" s="127" t="s">
        <v>602</v>
      </c>
      <c r="D38" s="97"/>
      <c r="E38" s="127" t="s">
        <v>603</v>
      </c>
      <c r="F38" s="219"/>
      <c r="G38" s="97"/>
      <c r="H38" s="98" t="s">
        <v>90</v>
      </c>
      <c r="I38" s="105" t="s">
        <v>91</v>
      </c>
      <c r="J38" s="97"/>
      <c r="K38" s="101"/>
      <c r="L38" s="101"/>
      <c r="M38" s="102"/>
      <c r="N38" s="103" t="s">
        <v>55</v>
      </c>
      <c r="O38" s="104" t="s">
        <v>604</v>
      </c>
      <c r="P38" s="97"/>
      <c r="Q38" s="115"/>
      <c r="R38" s="107" t="s">
        <v>600</v>
      </c>
      <c r="S38" s="105" t="s">
        <v>99</v>
      </c>
      <c r="T38" s="105" t="s">
        <v>605</v>
      </c>
      <c r="V38" s="108"/>
    </row>
    <row r="39" ht="15.75" customHeight="1">
      <c r="A39" s="91"/>
      <c r="B39" s="166">
        <v>45916.0</v>
      </c>
      <c r="C39" s="127" t="s">
        <v>606</v>
      </c>
      <c r="D39" s="97"/>
      <c r="E39" s="127" t="s">
        <v>607</v>
      </c>
      <c r="F39" s="219"/>
      <c r="G39" s="97"/>
      <c r="H39" s="98" t="s">
        <v>90</v>
      </c>
      <c r="I39" s="105" t="s">
        <v>175</v>
      </c>
      <c r="J39" s="97"/>
      <c r="K39" s="114"/>
      <c r="L39" s="114"/>
      <c r="M39" s="102"/>
      <c r="N39" s="103"/>
      <c r="O39" s="104"/>
      <c r="P39" s="97"/>
      <c r="Q39" s="115"/>
      <c r="R39" s="107"/>
      <c r="S39" s="105"/>
      <c r="T39" s="105"/>
      <c r="V39" s="108"/>
    </row>
    <row r="40" ht="15.75" customHeight="1">
      <c r="A40" s="91"/>
      <c r="B40" s="166">
        <v>45916.0</v>
      </c>
      <c r="C40" s="254" t="s">
        <v>608</v>
      </c>
      <c r="D40" s="97"/>
      <c r="E40" s="98">
        <v>2.2113009E7</v>
      </c>
      <c r="F40" s="219"/>
      <c r="G40" s="97"/>
      <c r="H40" s="98" t="s">
        <v>90</v>
      </c>
      <c r="I40" s="105" t="s">
        <v>98</v>
      </c>
      <c r="J40" s="97"/>
      <c r="K40" s="101"/>
      <c r="L40" s="101"/>
      <c r="M40" s="102"/>
      <c r="N40" s="124"/>
      <c r="O40" s="125"/>
      <c r="P40" s="97"/>
      <c r="Q40" s="97"/>
      <c r="R40" s="126"/>
      <c r="S40" s="97"/>
      <c r="T40" s="97"/>
      <c r="V40" s="108"/>
    </row>
    <row r="41" ht="15.75" customHeight="1">
      <c r="A41" s="91"/>
      <c r="B41" s="166">
        <v>45917.0</v>
      </c>
      <c r="C41" s="254" t="s">
        <v>609</v>
      </c>
      <c r="D41" s="97"/>
      <c r="E41" s="127" t="s">
        <v>610</v>
      </c>
      <c r="F41" s="219"/>
      <c r="G41" s="97"/>
      <c r="H41" s="98" t="s">
        <v>90</v>
      </c>
      <c r="I41" s="105" t="s">
        <v>91</v>
      </c>
      <c r="J41" s="97"/>
      <c r="K41" s="114"/>
      <c r="L41" s="114"/>
      <c r="M41" s="102"/>
      <c r="N41" s="103" t="s">
        <v>45</v>
      </c>
      <c r="O41" s="104" t="s">
        <v>611</v>
      </c>
      <c r="P41" s="97"/>
      <c r="Q41" s="115"/>
      <c r="R41" s="107" t="s">
        <v>612</v>
      </c>
      <c r="S41" s="105" t="s">
        <v>99</v>
      </c>
      <c r="T41" s="105" t="s">
        <v>613</v>
      </c>
      <c r="V41" s="108"/>
    </row>
    <row r="42" ht="15.75" customHeight="1">
      <c r="A42" s="91"/>
      <c r="B42" s="166">
        <v>45918.0</v>
      </c>
      <c r="C42" s="255" t="s">
        <v>614</v>
      </c>
      <c r="D42" s="97"/>
      <c r="E42" s="127" t="s">
        <v>615</v>
      </c>
      <c r="F42" s="219"/>
      <c r="G42" s="97"/>
      <c r="H42" s="98" t="s">
        <v>90</v>
      </c>
      <c r="I42" s="105" t="s">
        <v>107</v>
      </c>
      <c r="J42" s="97"/>
      <c r="K42" s="101">
        <v>10500.0</v>
      </c>
      <c r="L42" s="101">
        <v>1500.0</v>
      </c>
      <c r="M42" s="102"/>
      <c r="N42" s="124"/>
      <c r="O42" s="125"/>
      <c r="P42" s="97"/>
      <c r="Q42" s="105">
        <v>6.0</v>
      </c>
      <c r="R42" s="107" t="s">
        <v>612</v>
      </c>
      <c r="S42" s="105" t="s">
        <v>110</v>
      </c>
      <c r="T42" s="97"/>
      <c r="V42" s="108"/>
    </row>
    <row r="43" ht="15.75" customHeight="1">
      <c r="A43" s="91"/>
      <c r="B43" s="166">
        <v>45918.0</v>
      </c>
      <c r="C43" s="127" t="s">
        <v>616</v>
      </c>
      <c r="D43" s="97"/>
      <c r="E43" s="127" t="s">
        <v>617</v>
      </c>
      <c r="F43" s="219"/>
      <c r="G43" s="97"/>
      <c r="H43" s="98" t="s">
        <v>90</v>
      </c>
      <c r="I43" s="105" t="s">
        <v>91</v>
      </c>
      <c r="J43" s="97"/>
      <c r="K43" s="114"/>
      <c r="L43" s="114"/>
      <c r="M43" s="102"/>
      <c r="N43" s="103" t="s">
        <v>45</v>
      </c>
      <c r="O43" s="104" t="s">
        <v>618</v>
      </c>
      <c r="P43" s="97"/>
      <c r="Q43" s="97"/>
      <c r="R43" s="107" t="s">
        <v>612</v>
      </c>
      <c r="S43" s="105" t="s">
        <v>116</v>
      </c>
      <c r="T43" s="105" t="s">
        <v>619</v>
      </c>
      <c r="V43" s="108"/>
    </row>
    <row r="44" ht="15.75" customHeight="1">
      <c r="A44" s="91"/>
      <c r="B44" s="166">
        <v>45918.0</v>
      </c>
      <c r="C44" s="127" t="s">
        <v>620</v>
      </c>
      <c r="D44" s="97"/>
      <c r="E44" s="127" t="s">
        <v>621</v>
      </c>
      <c r="F44" s="219"/>
      <c r="G44" s="97"/>
      <c r="H44" s="98" t="s">
        <v>90</v>
      </c>
      <c r="I44" s="105" t="s">
        <v>91</v>
      </c>
      <c r="J44" s="97"/>
      <c r="K44" s="101"/>
      <c r="L44" s="101"/>
      <c r="M44" s="102"/>
      <c r="N44" s="103" t="s">
        <v>45</v>
      </c>
      <c r="O44" s="125"/>
      <c r="P44" s="97"/>
      <c r="Q44" s="97"/>
      <c r="R44" s="107" t="s">
        <v>612</v>
      </c>
      <c r="S44" s="105" t="s">
        <v>93</v>
      </c>
      <c r="T44" s="105" t="s">
        <v>622</v>
      </c>
      <c r="V44" s="108"/>
    </row>
    <row r="45" ht="15.75" customHeight="1">
      <c r="A45" s="91"/>
      <c r="B45" s="166">
        <v>45918.0</v>
      </c>
      <c r="C45" s="256" t="s">
        <v>623</v>
      </c>
      <c r="D45" s="97"/>
      <c r="E45" s="127" t="s">
        <v>624</v>
      </c>
      <c r="F45" s="219"/>
      <c r="G45" s="97"/>
      <c r="H45" s="98" t="s">
        <v>90</v>
      </c>
      <c r="I45" s="105" t="s">
        <v>107</v>
      </c>
      <c r="J45" s="97"/>
      <c r="K45" s="101">
        <v>9000.0</v>
      </c>
      <c r="L45" s="101">
        <v>1500.0</v>
      </c>
      <c r="M45" s="102"/>
      <c r="N45" s="124"/>
      <c r="O45" s="125"/>
      <c r="P45" s="97"/>
      <c r="Q45" s="105">
        <v>6.0</v>
      </c>
      <c r="R45" s="126"/>
      <c r="S45" s="105" t="s">
        <v>110</v>
      </c>
      <c r="T45" s="97"/>
      <c r="V45" s="108"/>
    </row>
    <row r="46" ht="15.75" customHeight="1">
      <c r="A46" s="91"/>
      <c r="B46" s="166">
        <v>45918.0</v>
      </c>
      <c r="C46" s="234" t="s">
        <v>625</v>
      </c>
      <c r="D46" s="97"/>
      <c r="E46" s="257">
        <v>4.2212965E7</v>
      </c>
      <c r="F46" s="219"/>
      <c r="G46" s="97"/>
      <c r="H46" s="98" t="s">
        <v>90</v>
      </c>
      <c r="I46" s="105" t="s">
        <v>107</v>
      </c>
      <c r="J46" s="97"/>
      <c r="K46" s="101">
        <v>9000.0</v>
      </c>
      <c r="L46" s="101">
        <v>1500.0</v>
      </c>
      <c r="M46" s="102"/>
      <c r="N46" s="103"/>
      <c r="O46" s="104"/>
      <c r="P46" s="97"/>
      <c r="Q46" s="105">
        <v>6.0</v>
      </c>
      <c r="R46" s="116"/>
      <c r="S46" s="105" t="s">
        <v>110</v>
      </c>
      <c r="T46" s="105"/>
      <c r="V46" s="108"/>
    </row>
    <row r="47" ht="15.75" customHeight="1">
      <c r="A47" s="91"/>
      <c r="B47" s="166">
        <v>45918.0</v>
      </c>
      <c r="C47" s="127" t="s">
        <v>626</v>
      </c>
      <c r="D47" s="97"/>
      <c r="E47" s="127" t="s">
        <v>627</v>
      </c>
      <c r="F47" s="219"/>
      <c r="G47" s="97"/>
      <c r="H47" s="98" t="s">
        <v>90</v>
      </c>
      <c r="I47" s="105" t="s">
        <v>91</v>
      </c>
      <c r="J47" s="97"/>
      <c r="K47" s="114"/>
      <c r="L47" s="114"/>
      <c r="M47" s="102"/>
      <c r="N47" s="103" t="s">
        <v>45</v>
      </c>
      <c r="O47" s="104" t="s">
        <v>628</v>
      </c>
      <c r="P47" s="97"/>
      <c r="Q47" s="130"/>
      <c r="R47" s="107" t="s">
        <v>612</v>
      </c>
      <c r="S47" s="105" t="s">
        <v>93</v>
      </c>
      <c r="T47" s="105" t="s">
        <v>629</v>
      </c>
      <c r="V47" s="108"/>
    </row>
    <row r="48" ht="15.75" customHeight="1">
      <c r="A48" s="91"/>
      <c r="B48" s="166">
        <v>45919.0</v>
      </c>
      <c r="C48" s="127" t="s">
        <v>630</v>
      </c>
      <c r="D48" s="97"/>
      <c r="E48" s="127" t="s">
        <v>631</v>
      </c>
      <c r="F48" s="219"/>
      <c r="G48" s="97"/>
      <c r="H48" s="98" t="s">
        <v>90</v>
      </c>
      <c r="I48" s="105" t="s">
        <v>107</v>
      </c>
      <c r="J48" s="97"/>
      <c r="K48" s="101">
        <v>10500.0</v>
      </c>
      <c r="L48" s="101">
        <v>3000.0</v>
      </c>
      <c r="M48" s="102"/>
      <c r="N48" s="103"/>
      <c r="O48" s="104"/>
      <c r="P48" s="97"/>
      <c r="Q48" s="105">
        <v>6.0</v>
      </c>
      <c r="R48" s="107" t="s">
        <v>612</v>
      </c>
      <c r="S48" s="105" t="s">
        <v>110</v>
      </c>
      <c r="T48" s="105"/>
      <c r="V48" s="108"/>
    </row>
    <row r="49" ht="15.75" customHeight="1">
      <c r="A49" s="91"/>
      <c r="B49" s="166">
        <v>45919.0</v>
      </c>
      <c r="C49" s="127" t="s">
        <v>632</v>
      </c>
      <c r="D49" s="97"/>
      <c r="E49" s="127" t="s">
        <v>633</v>
      </c>
      <c r="F49" s="140"/>
      <c r="G49" s="97"/>
      <c r="H49" s="98" t="s">
        <v>90</v>
      </c>
      <c r="I49" s="105" t="s">
        <v>91</v>
      </c>
      <c r="J49" s="97"/>
      <c r="K49" s="114"/>
      <c r="L49" s="114"/>
      <c r="M49" s="102"/>
      <c r="N49" s="103" t="s">
        <v>45</v>
      </c>
      <c r="O49" s="104" t="s">
        <v>634</v>
      </c>
      <c r="P49" s="97"/>
      <c r="Q49" s="97"/>
      <c r="R49" s="126"/>
      <c r="S49" s="105" t="s">
        <v>116</v>
      </c>
      <c r="T49" s="105" t="s">
        <v>635</v>
      </c>
      <c r="V49" s="108"/>
    </row>
    <row r="50" ht="15.75" customHeight="1">
      <c r="A50" s="91"/>
      <c r="B50" s="166">
        <v>45921.0</v>
      </c>
      <c r="C50" s="127" t="s">
        <v>636</v>
      </c>
      <c r="D50" s="97"/>
      <c r="E50" s="127" t="s">
        <v>637</v>
      </c>
      <c r="F50" s="216" t="s">
        <v>638</v>
      </c>
      <c r="G50" s="97"/>
      <c r="H50" s="98" t="s">
        <v>90</v>
      </c>
      <c r="I50" s="105" t="s">
        <v>91</v>
      </c>
      <c r="J50" s="97"/>
      <c r="K50" s="101"/>
      <c r="L50" s="101"/>
      <c r="M50" s="102"/>
      <c r="N50" s="103" t="s">
        <v>55</v>
      </c>
      <c r="O50" s="104" t="s">
        <v>639</v>
      </c>
      <c r="P50" s="97"/>
      <c r="Q50" s="131"/>
      <c r="R50" s="126"/>
      <c r="S50" s="105" t="s">
        <v>99</v>
      </c>
      <c r="T50" s="105" t="s">
        <v>640</v>
      </c>
      <c r="V50" s="108"/>
    </row>
    <row r="51" ht="15.75" customHeight="1">
      <c r="A51" s="91"/>
      <c r="B51" s="166">
        <v>45921.0</v>
      </c>
      <c r="C51" s="127" t="s">
        <v>641</v>
      </c>
      <c r="D51" s="97"/>
      <c r="E51" s="127" t="s">
        <v>642</v>
      </c>
      <c r="F51" s="216" t="s">
        <v>643</v>
      </c>
      <c r="G51" s="97"/>
      <c r="H51" s="98" t="s">
        <v>90</v>
      </c>
      <c r="I51" s="105" t="s">
        <v>91</v>
      </c>
      <c r="J51" s="97"/>
      <c r="K51" s="114"/>
      <c r="L51" s="114"/>
      <c r="M51" s="102"/>
      <c r="N51" s="103" t="s">
        <v>45</v>
      </c>
      <c r="O51" s="104" t="s">
        <v>295</v>
      </c>
      <c r="P51" s="97"/>
      <c r="Q51" s="131"/>
      <c r="R51" s="126"/>
      <c r="S51" s="105" t="s">
        <v>99</v>
      </c>
      <c r="T51" s="105" t="s">
        <v>644</v>
      </c>
      <c r="V51" s="108"/>
    </row>
    <row r="52" ht="15.75" customHeight="1">
      <c r="A52" s="91"/>
      <c r="B52" s="166">
        <v>45921.0</v>
      </c>
      <c r="C52" s="127" t="s">
        <v>645</v>
      </c>
      <c r="D52" s="97"/>
      <c r="E52" s="127" t="s">
        <v>646</v>
      </c>
      <c r="F52" s="216" t="s">
        <v>647</v>
      </c>
      <c r="G52" s="97"/>
      <c r="H52" s="98" t="s">
        <v>90</v>
      </c>
      <c r="I52" s="105" t="s">
        <v>333</v>
      </c>
      <c r="J52" s="97"/>
      <c r="K52" s="101"/>
      <c r="L52" s="101"/>
      <c r="M52" s="102"/>
      <c r="N52" s="103" t="s">
        <v>45</v>
      </c>
      <c r="O52" s="104" t="s">
        <v>648</v>
      </c>
      <c r="P52" s="97"/>
      <c r="Q52" s="130"/>
      <c r="R52" s="107"/>
      <c r="S52" s="105" t="s">
        <v>335</v>
      </c>
      <c r="T52" s="105" t="s">
        <v>649</v>
      </c>
      <c r="V52" s="108"/>
    </row>
    <row r="53" ht="15.75" customHeight="1">
      <c r="A53" s="91"/>
      <c r="B53" s="166">
        <v>45921.0</v>
      </c>
      <c r="C53" s="127" t="s">
        <v>650</v>
      </c>
      <c r="D53" s="97"/>
      <c r="E53" s="127" t="s">
        <v>651</v>
      </c>
      <c r="F53" s="216" t="s">
        <v>652</v>
      </c>
      <c r="G53" s="97"/>
      <c r="H53" s="98" t="s">
        <v>90</v>
      </c>
      <c r="I53" s="105" t="s">
        <v>91</v>
      </c>
      <c r="J53" s="97"/>
      <c r="K53" s="114"/>
      <c r="L53" s="114"/>
      <c r="M53" s="102"/>
      <c r="N53" s="103" t="s">
        <v>50</v>
      </c>
      <c r="O53" s="104" t="s">
        <v>653</v>
      </c>
      <c r="P53" s="97"/>
      <c r="Q53" s="130"/>
      <c r="R53" s="133"/>
      <c r="S53" s="105" t="s">
        <v>116</v>
      </c>
      <c r="T53" s="105" t="s">
        <v>654</v>
      </c>
      <c r="V53" s="108"/>
    </row>
    <row r="54" ht="15.75" customHeight="1">
      <c r="A54" s="91"/>
      <c r="B54" s="166">
        <v>45921.0</v>
      </c>
      <c r="C54" s="127" t="s">
        <v>655</v>
      </c>
      <c r="D54" s="97"/>
      <c r="E54" s="127" t="s">
        <v>656</v>
      </c>
      <c r="F54" s="216" t="s">
        <v>657</v>
      </c>
      <c r="G54" s="97"/>
      <c r="H54" s="98" t="s">
        <v>90</v>
      </c>
      <c r="I54" s="105" t="s">
        <v>333</v>
      </c>
      <c r="J54" s="97"/>
      <c r="K54" s="101"/>
      <c r="L54" s="101"/>
      <c r="M54" s="102"/>
      <c r="N54" s="103" t="s">
        <v>45</v>
      </c>
      <c r="O54" s="104" t="s">
        <v>658</v>
      </c>
      <c r="P54" s="97"/>
      <c r="Q54" s="130"/>
      <c r="R54" s="107"/>
      <c r="S54" s="105" t="s">
        <v>335</v>
      </c>
      <c r="T54" s="105" t="s">
        <v>659</v>
      </c>
      <c r="V54" s="108"/>
    </row>
    <row r="55" ht="15.75" customHeight="1">
      <c r="A55" s="91"/>
      <c r="B55" s="166">
        <v>45922.0</v>
      </c>
      <c r="C55" s="127" t="s">
        <v>660</v>
      </c>
      <c r="D55" s="97"/>
      <c r="E55" s="127" t="s">
        <v>661</v>
      </c>
      <c r="F55" s="216" t="s">
        <v>662</v>
      </c>
      <c r="G55" s="97"/>
      <c r="H55" s="98" t="s">
        <v>90</v>
      </c>
      <c r="I55" s="105" t="s">
        <v>91</v>
      </c>
      <c r="J55" s="97"/>
      <c r="K55" s="114"/>
      <c r="L55" s="114"/>
      <c r="M55" s="102"/>
      <c r="N55" s="103" t="s">
        <v>45</v>
      </c>
      <c r="O55" s="104" t="s">
        <v>663</v>
      </c>
      <c r="P55" s="97"/>
      <c r="Q55" s="115"/>
      <c r="R55" s="107" t="s">
        <v>612</v>
      </c>
      <c r="S55" s="105" t="s">
        <v>116</v>
      </c>
      <c r="T55" s="105" t="s">
        <v>664</v>
      </c>
      <c r="V55" s="108"/>
    </row>
    <row r="56" ht="15.75" customHeight="1">
      <c r="A56" s="91"/>
      <c r="B56" s="166">
        <v>45922.0</v>
      </c>
      <c r="C56" s="258" t="s">
        <v>665</v>
      </c>
      <c r="D56" s="97"/>
      <c r="E56" s="127" t="s">
        <v>666</v>
      </c>
      <c r="F56" s="216" t="s">
        <v>667</v>
      </c>
      <c r="G56" s="97"/>
      <c r="H56" s="98" t="s">
        <v>90</v>
      </c>
      <c r="I56" s="105" t="s">
        <v>333</v>
      </c>
      <c r="J56" s="97"/>
      <c r="K56" s="101"/>
      <c r="L56" s="101"/>
      <c r="M56" s="102"/>
      <c r="N56" s="103" t="s">
        <v>45</v>
      </c>
      <c r="O56" s="104" t="s">
        <v>668</v>
      </c>
      <c r="P56" s="97"/>
      <c r="Q56" s="131"/>
      <c r="R56" s="126"/>
      <c r="S56" s="105" t="s">
        <v>335</v>
      </c>
      <c r="T56" s="105" t="s">
        <v>669</v>
      </c>
      <c r="V56" s="108"/>
    </row>
    <row r="57" ht="15.75" customHeight="1">
      <c r="A57" s="91"/>
      <c r="B57" s="166">
        <v>45922.0</v>
      </c>
      <c r="C57" s="258" t="s">
        <v>670</v>
      </c>
      <c r="D57" s="97"/>
      <c r="E57" s="127" t="s">
        <v>671</v>
      </c>
      <c r="F57" s="216" t="s">
        <v>672</v>
      </c>
      <c r="G57" s="97"/>
      <c r="H57" s="98" t="s">
        <v>90</v>
      </c>
      <c r="I57" s="105" t="s">
        <v>91</v>
      </c>
      <c r="J57" s="97"/>
      <c r="K57" s="114"/>
      <c r="L57" s="114"/>
      <c r="M57" s="102"/>
      <c r="N57" s="103" t="s">
        <v>55</v>
      </c>
      <c r="O57" s="104" t="s">
        <v>673</v>
      </c>
      <c r="P57" s="97"/>
      <c r="Q57" s="115"/>
      <c r="R57" s="107"/>
      <c r="S57" s="105" t="s">
        <v>99</v>
      </c>
      <c r="T57" s="105" t="s">
        <v>674</v>
      </c>
      <c r="V57" s="108"/>
    </row>
    <row r="58" ht="15.75" customHeight="1">
      <c r="A58" s="91"/>
      <c r="B58" s="166">
        <v>45922.0</v>
      </c>
      <c r="C58" s="258" t="s">
        <v>675</v>
      </c>
      <c r="D58" s="97"/>
      <c r="E58" s="127" t="s">
        <v>676</v>
      </c>
      <c r="F58" s="216" t="s">
        <v>677</v>
      </c>
      <c r="G58" s="97"/>
      <c r="H58" s="98" t="s">
        <v>90</v>
      </c>
      <c r="I58" s="105" t="s">
        <v>175</v>
      </c>
      <c r="J58" s="97"/>
      <c r="K58" s="101"/>
      <c r="L58" s="101"/>
      <c r="M58" s="102"/>
      <c r="N58" s="124"/>
      <c r="O58" s="125"/>
      <c r="P58" s="97"/>
      <c r="Q58" s="97"/>
      <c r="R58" s="126"/>
      <c r="S58" s="97"/>
      <c r="T58" s="97"/>
      <c r="V58" s="108"/>
    </row>
    <row r="59" ht="15.75" customHeight="1">
      <c r="A59" s="91"/>
      <c r="B59" s="166">
        <v>45922.0</v>
      </c>
      <c r="C59" s="258" t="s">
        <v>678</v>
      </c>
      <c r="D59" s="97"/>
      <c r="E59" s="127" t="s">
        <v>679</v>
      </c>
      <c r="F59" s="216" t="s">
        <v>680</v>
      </c>
      <c r="G59" s="97"/>
      <c r="H59" s="98" t="s">
        <v>90</v>
      </c>
      <c r="I59" s="105" t="s">
        <v>333</v>
      </c>
      <c r="J59" s="97"/>
      <c r="K59" s="114"/>
      <c r="L59" s="114"/>
      <c r="M59" s="102"/>
      <c r="N59" s="103" t="s">
        <v>45</v>
      </c>
      <c r="O59" s="104" t="s">
        <v>681</v>
      </c>
      <c r="P59" s="97"/>
      <c r="Q59" s="115"/>
      <c r="R59" s="107"/>
      <c r="S59" s="105" t="s">
        <v>335</v>
      </c>
      <c r="T59" s="105" t="s">
        <v>682</v>
      </c>
      <c r="V59" s="108"/>
    </row>
    <row r="60" ht="15.75" customHeight="1">
      <c r="A60" s="91"/>
      <c r="B60" s="166">
        <v>45922.0</v>
      </c>
      <c r="C60" s="258" t="s">
        <v>683</v>
      </c>
      <c r="D60" s="97"/>
      <c r="E60" s="127" t="s">
        <v>684</v>
      </c>
      <c r="F60" s="216" t="s">
        <v>685</v>
      </c>
      <c r="G60" s="97"/>
      <c r="H60" s="98" t="s">
        <v>90</v>
      </c>
      <c r="I60" s="105" t="s">
        <v>333</v>
      </c>
      <c r="J60" s="97"/>
      <c r="K60" s="101"/>
      <c r="L60" s="101"/>
      <c r="M60" s="102"/>
      <c r="N60" s="103" t="s">
        <v>45</v>
      </c>
      <c r="O60" s="104" t="s">
        <v>686</v>
      </c>
      <c r="P60" s="97"/>
      <c r="Q60" s="97"/>
      <c r="R60" s="126"/>
      <c r="S60" s="105" t="s">
        <v>335</v>
      </c>
      <c r="T60" s="105" t="s">
        <v>687</v>
      </c>
      <c r="V60" s="108"/>
    </row>
    <row r="61" ht="15.75" customHeight="1">
      <c r="A61" s="91"/>
      <c r="B61" s="166">
        <v>45923.0</v>
      </c>
      <c r="C61" s="258" t="s">
        <v>688</v>
      </c>
      <c r="D61" s="97"/>
      <c r="E61" s="127" t="s">
        <v>689</v>
      </c>
      <c r="F61" s="216" t="s">
        <v>690</v>
      </c>
      <c r="G61" s="97"/>
      <c r="H61" s="98" t="s">
        <v>90</v>
      </c>
      <c r="I61" s="105" t="s">
        <v>91</v>
      </c>
      <c r="J61" s="97"/>
      <c r="K61" s="114"/>
      <c r="L61" s="114"/>
      <c r="M61" s="102"/>
      <c r="N61" s="103" t="s">
        <v>45</v>
      </c>
      <c r="O61" s="104" t="s">
        <v>691</v>
      </c>
      <c r="P61" s="97"/>
      <c r="Q61" s="97"/>
      <c r="R61" s="126"/>
      <c r="S61" s="105" t="s">
        <v>116</v>
      </c>
      <c r="T61" s="105" t="s">
        <v>692</v>
      </c>
      <c r="V61" s="108"/>
    </row>
    <row r="62" ht="15.75" customHeight="1">
      <c r="A62" s="91"/>
      <c r="B62" s="166">
        <v>45923.0</v>
      </c>
      <c r="C62" s="127" t="s">
        <v>693</v>
      </c>
      <c r="D62" s="97"/>
      <c r="E62" s="127" t="s">
        <v>694</v>
      </c>
      <c r="F62" s="216" t="s">
        <v>695</v>
      </c>
      <c r="G62" s="97"/>
      <c r="H62" s="98" t="s">
        <v>90</v>
      </c>
      <c r="I62" s="105" t="s">
        <v>91</v>
      </c>
      <c r="J62" s="97"/>
      <c r="K62" s="101"/>
      <c r="L62" s="101"/>
      <c r="M62" s="102"/>
      <c r="N62" s="103" t="s">
        <v>45</v>
      </c>
      <c r="O62" s="104" t="s">
        <v>696</v>
      </c>
      <c r="P62" s="97"/>
      <c r="Q62" s="97"/>
      <c r="R62" s="126"/>
      <c r="S62" s="105" t="s">
        <v>116</v>
      </c>
      <c r="T62" s="105" t="s">
        <v>697</v>
      </c>
      <c r="V62" s="108"/>
    </row>
    <row r="63" ht="15.75" customHeight="1">
      <c r="A63" s="91"/>
      <c r="B63" s="166">
        <v>45923.0</v>
      </c>
      <c r="C63" s="127" t="s">
        <v>698</v>
      </c>
      <c r="D63" s="97"/>
      <c r="E63" s="127" t="s">
        <v>699</v>
      </c>
      <c r="F63" s="216" t="s">
        <v>700</v>
      </c>
      <c r="G63" s="97"/>
      <c r="H63" s="98" t="s">
        <v>90</v>
      </c>
      <c r="I63" s="105" t="s">
        <v>333</v>
      </c>
      <c r="J63" s="97"/>
      <c r="K63" s="114"/>
      <c r="L63" s="114"/>
      <c r="M63" s="102"/>
      <c r="N63" s="103" t="s">
        <v>45</v>
      </c>
      <c r="O63" s="104" t="s">
        <v>701</v>
      </c>
      <c r="P63" s="97"/>
      <c r="Q63" s="115"/>
      <c r="R63" s="116"/>
      <c r="S63" s="105" t="s">
        <v>335</v>
      </c>
      <c r="T63" s="105" t="s">
        <v>702</v>
      </c>
      <c r="V63" s="108"/>
    </row>
    <row r="64" ht="15.75" customHeight="1">
      <c r="A64" s="91"/>
      <c r="B64" s="166">
        <v>45925.0</v>
      </c>
      <c r="C64" s="127" t="s">
        <v>703</v>
      </c>
      <c r="D64" s="97"/>
      <c r="E64" s="127" t="s">
        <v>704</v>
      </c>
      <c r="F64" s="216" t="s">
        <v>705</v>
      </c>
      <c r="G64" s="97"/>
      <c r="H64" s="98" t="s">
        <v>90</v>
      </c>
      <c r="I64" s="105" t="s">
        <v>91</v>
      </c>
      <c r="J64" s="97"/>
      <c r="K64" s="101"/>
      <c r="L64" s="101"/>
      <c r="M64" s="102"/>
      <c r="N64" s="103" t="s">
        <v>55</v>
      </c>
      <c r="O64" s="104" t="s">
        <v>706</v>
      </c>
      <c r="P64" s="97"/>
      <c r="Q64" s="105"/>
      <c r="R64" s="116"/>
      <c r="S64" s="105" t="s">
        <v>110</v>
      </c>
      <c r="T64" s="105" t="s">
        <v>707</v>
      </c>
      <c r="V64" s="108"/>
    </row>
    <row r="65" ht="15.75" customHeight="1">
      <c r="A65" s="91"/>
      <c r="B65" s="166">
        <v>45925.0</v>
      </c>
      <c r="C65" s="258" t="s">
        <v>708</v>
      </c>
      <c r="D65" s="97"/>
      <c r="E65" s="127" t="s">
        <v>709</v>
      </c>
      <c r="F65" s="216" t="s">
        <v>710</v>
      </c>
      <c r="G65" s="97"/>
      <c r="H65" s="98" t="s">
        <v>90</v>
      </c>
      <c r="I65" s="105" t="s">
        <v>91</v>
      </c>
      <c r="J65" s="97"/>
      <c r="K65" s="114"/>
      <c r="L65" s="114"/>
      <c r="M65" s="102"/>
      <c r="N65" s="103" t="s">
        <v>60</v>
      </c>
      <c r="O65" s="104" t="s">
        <v>711</v>
      </c>
      <c r="P65" s="97"/>
      <c r="Q65" s="97"/>
      <c r="R65" s="126"/>
      <c r="S65" s="105" t="s">
        <v>116</v>
      </c>
      <c r="T65" s="105" t="s">
        <v>712</v>
      </c>
      <c r="V65" s="108"/>
    </row>
    <row r="66" ht="15.75" customHeight="1">
      <c r="A66" s="91"/>
      <c r="B66" s="166">
        <v>45926.0</v>
      </c>
      <c r="C66" s="258" t="s">
        <v>713</v>
      </c>
      <c r="D66" s="97"/>
      <c r="E66" s="127" t="s">
        <v>714</v>
      </c>
      <c r="F66" s="216" t="s">
        <v>715</v>
      </c>
      <c r="G66" s="97"/>
      <c r="H66" s="98" t="s">
        <v>90</v>
      </c>
      <c r="I66" s="105" t="s">
        <v>91</v>
      </c>
      <c r="J66" s="97"/>
      <c r="K66" s="101"/>
      <c r="L66" s="101"/>
      <c r="M66" s="102"/>
      <c r="N66" s="103" t="s">
        <v>45</v>
      </c>
      <c r="O66" s="104" t="s">
        <v>716</v>
      </c>
      <c r="P66" s="97"/>
      <c r="Q66" s="130"/>
      <c r="R66" s="107"/>
      <c r="S66" s="105" t="s">
        <v>93</v>
      </c>
      <c r="T66" s="105" t="s">
        <v>717</v>
      </c>
      <c r="V66" s="108"/>
    </row>
    <row r="67" ht="15.75" customHeight="1">
      <c r="A67" s="91"/>
      <c r="B67" s="166">
        <v>45926.0</v>
      </c>
      <c r="C67" s="259" t="s">
        <v>718</v>
      </c>
      <c r="D67" s="97"/>
      <c r="E67" s="127" t="s">
        <v>719</v>
      </c>
      <c r="F67" s="216" t="s">
        <v>720</v>
      </c>
      <c r="G67" s="97"/>
      <c r="H67" s="98" t="s">
        <v>90</v>
      </c>
      <c r="I67" s="105" t="s">
        <v>107</v>
      </c>
      <c r="J67" s="97"/>
      <c r="K67" s="101">
        <v>19500.0</v>
      </c>
      <c r="L67" s="101">
        <v>1500.0</v>
      </c>
      <c r="M67" s="102"/>
      <c r="N67" s="124"/>
      <c r="O67" s="125"/>
      <c r="P67" s="97"/>
      <c r="Q67" s="105">
        <v>12.0</v>
      </c>
      <c r="R67" s="126"/>
      <c r="S67" s="105" t="s">
        <v>110</v>
      </c>
      <c r="T67" s="105" t="s">
        <v>721</v>
      </c>
      <c r="V67" s="108"/>
    </row>
    <row r="68" ht="15.75" customHeight="1">
      <c r="A68" s="91"/>
      <c r="B68" s="166">
        <v>45926.0</v>
      </c>
      <c r="C68" s="259" t="s">
        <v>722</v>
      </c>
      <c r="D68" s="97"/>
      <c r="E68" s="127" t="s">
        <v>723</v>
      </c>
      <c r="F68" s="216" t="s">
        <v>724</v>
      </c>
      <c r="G68" s="97"/>
      <c r="H68" s="98" t="s">
        <v>90</v>
      </c>
      <c r="I68" s="105" t="s">
        <v>107</v>
      </c>
      <c r="J68" s="97"/>
      <c r="K68" s="101">
        <v>10500.0</v>
      </c>
      <c r="L68" s="101">
        <v>3000.0</v>
      </c>
      <c r="M68" s="102"/>
      <c r="N68" s="124"/>
      <c r="O68" s="125"/>
      <c r="P68" s="97"/>
      <c r="Q68" s="105">
        <v>6.0</v>
      </c>
      <c r="R68" s="107"/>
      <c r="S68" s="105" t="s">
        <v>110</v>
      </c>
      <c r="T68" s="105" t="s">
        <v>725</v>
      </c>
      <c r="V68" s="108"/>
    </row>
    <row r="69" ht="15.75" customHeight="1">
      <c r="A69" s="91"/>
      <c r="B69" s="166">
        <v>45928.0</v>
      </c>
      <c r="C69" s="237" t="s">
        <v>726</v>
      </c>
      <c r="D69" s="97"/>
      <c r="E69" s="127" t="s">
        <v>727</v>
      </c>
      <c r="F69" s="216" t="s">
        <v>728</v>
      </c>
      <c r="G69" s="97"/>
      <c r="H69" s="98" t="s">
        <v>90</v>
      </c>
      <c r="I69" s="105" t="s">
        <v>107</v>
      </c>
      <c r="J69" s="97"/>
      <c r="K69" s="101">
        <v>12000.0</v>
      </c>
      <c r="L69" s="101">
        <v>3000.0</v>
      </c>
      <c r="M69" s="102"/>
      <c r="N69" s="124"/>
      <c r="O69" s="125"/>
      <c r="P69" s="97"/>
      <c r="Q69" s="105">
        <v>7.0</v>
      </c>
      <c r="R69" s="126"/>
      <c r="S69" s="105" t="s">
        <v>110</v>
      </c>
      <c r="T69" s="97"/>
      <c r="V69" s="108"/>
    </row>
    <row r="70" ht="15.75" customHeight="1">
      <c r="A70" s="91"/>
      <c r="B70" s="166">
        <v>45928.0</v>
      </c>
      <c r="C70" s="258" t="s">
        <v>729</v>
      </c>
      <c r="D70" s="97"/>
      <c r="E70" s="127" t="s">
        <v>730</v>
      </c>
      <c r="F70" s="216" t="s">
        <v>731</v>
      </c>
      <c r="G70" s="97"/>
      <c r="H70" s="98" t="s">
        <v>90</v>
      </c>
      <c r="I70" s="105" t="s">
        <v>91</v>
      </c>
      <c r="J70" s="97"/>
      <c r="K70" s="101"/>
      <c r="L70" s="101"/>
      <c r="M70" s="102"/>
      <c r="N70" s="103" t="s">
        <v>45</v>
      </c>
      <c r="O70" s="104" t="s">
        <v>732</v>
      </c>
      <c r="P70" s="97"/>
      <c r="Q70" s="130"/>
      <c r="R70" s="107"/>
      <c r="S70" s="105" t="s">
        <v>116</v>
      </c>
      <c r="T70" s="105" t="s">
        <v>733</v>
      </c>
      <c r="V70" s="108"/>
    </row>
    <row r="71" ht="15.75" customHeight="1">
      <c r="A71" s="91"/>
      <c r="B71" s="166">
        <v>45928.0</v>
      </c>
      <c r="C71" s="259" t="s">
        <v>734</v>
      </c>
      <c r="D71" s="97"/>
      <c r="E71" s="127" t="s">
        <v>735</v>
      </c>
      <c r="F71" s="216" t="s">
        <v>736</v>
      </c>
      <c r="G71" s="97"/>
      <c r="H71" s="98" t="s">
        <v>90</v>
      </c>
      <c r="I71" s="105" t="s">
        <v>98</v>
      </c>
      <c r="J71" s="97"/>
      <c r="K71" s="114"/>
      <c r="L71" s="114"/>
      <c r="M71" s="102"/>
      <c r="N71" s="103"/>
      <c r="O71" s="125"/>
      <c r="P71" s="97"/>
      <c r="Q71" s="130"/>
      <c r="R71" s="107"/>
      <c r="S71" s="105"/>
      <c r="T71" s="105"/>
      <c r="V71" s="108"/>
    </row>
    <row r="72" ht="15.75" customHeight="1">
      <c r="A72" s="91"/>
      <c r="B72" s="166">
        <v>45928.0</v>
      </c>
      <c r="C72" s="258" t="s">
        <v>737</v>
      </c>
      <c r="D72" s="97"/>
      <c r="E72" s="127" t="s">
        <v>738</v>
      </c>
      <c r="F72" s="216" t="s">
        <v>739</v>
      </c>
      <c r="G72" s="97"/>
      <c r="H72" s="98" t="s">
        <v>90</v>
      </c>
      <c r="I72" s="105" t="s">
        <v>91</v>
      </c>
      <c r="J72" s="97"/>
      <c r="K72" s="101"/>
      <c r="L72" s="101"/>
      <c r="M72" s="102"/>
      <c r="N72" s="103" t="s">
        <v>50</v>
      </c>
      <c r="O72" s="104" t="s">
        <v>740</v>
      </c>
      <c r="P72" s="97"/>
      <c r="Q72" s="115"/>
      <c r="R72" s="107"/>
      <c r="S72" s="105" t="s">
        <v>116</v>
      </c>
      <c r="T72" s="105" t="s">
        <v>741</v>
      </c>
      <c r="V72" s="108"/>
    </row>
    <row r="73" ht="15.75" customHeight="1">
      <c r="A73" s="91"/>
      <c r="B73" s="166">
        <v>45928.0</v>
      </c>
      <c r="C73" s="258" t="s">
        <v>742</v>
      </c>
      <c r="D73" s="97"/>
      <c r="E73" s="127" t="s">
        <v>743</v>
      </c>
      <c r="F73" s="216" t="s">
        <v>744</v>
      </c>
      <c r="G73" s="97"/>
      <c r="H73" s="98" t="s">
        <v>90</v>
      </c>
      <c r="I73" s="105" t="s">
        <v>333</v>
      </c>
      <c r="J73" s="97"/>
      <c r="K73" s="101"/>
      <c r="L73" s="101"/>
      <c r="M73" s="102"/>
      <c r="N73" s="103" t="s">
        <v>45</v>
      </c>
      <c r="O73" s="104" t="s">
        <v>745</v>
      </c>
      <c r="P73" s="97"/>
      <c r="Q73" s="115"/>
      <c r="R73" s="107"/>
      <c r="S73" s="105" t="s">
        <v>116</v>
      </c>
      <c r="T73" s="105" t="s">
        <v>746</v>
      </c>
      <c r="V73" s="108"/>
    </row>
    <row r="74" ht="15.75" customHeight="1">
      <c r="A74" s="91"/>
      <c r="B74" s="166">
        <v>45928.0</v>
      </c>
      <c r="C74" s="258" t="s">
        <v>747</v>
      </c>
      <c r="D74" s="97"/>
      <c r="E74" s="127" t="s">
        <v>748</v>
      </c>
      <c r="F74" s="216" t="s">
        <v>749</v>
      </c>
      <c r="G74" s="97"/>
      <c r="H74" s="98" t="s">
        <v>90</v>
      </c>
      <c r="I74" s="105" t="s">
        <v>98</v>
      </c>
      <c r="J74" s="97"/>
      <c r="K74" s="101"/>
      <c r="L74" s="101"/>
      <c r="M74" s="102"/>
      <c r="N74" s="124"/>
      <c r="O74" s="125"/>
      <c r="P74" s="97"/>
      <c r="Q74" s="131"/>
      <c r="R74" s="126"/>
      <c r="S74" s="97"/>
      <c r="T74" s="97"/>
      <c r="V74" s="108"/>
    </row>
    <row r="75" ht="15.75" customHeight="1">
      <c r="A75" s="91"/>
      <c r="B75" s="166">
        <v>45929.0</v>
      </c>
      <c r="C75" s="127" t="s">
        <v>750</v>
      </c>
      <c r="D75" s="97"/>
      <c r="E75" s="127" t="s">
        <v>751</v>
      </c>
      <c r="F75" s="216" t="s">
        <v>752</v>
      </c>
      <c r="G75" s="97"/>
      <c r="H75" s="98" t="s">
        <v>90</v>
      </c>
      <c r="I75" s="105" t="s">
        <v>91</v>
      </c>
      <c r="J75" s="97"/>
      <c r="K75" s="114"/>
      <c r="L75" s="114"/>
      <c r="M75" s="102"/>
      <c r="N75" s="103" t="s">
        <v>45</v>
      </c>
      <c r="O75" s="125"/>
      <c r="P75" s="97"/>
      <c r="Q75" s="115"/>
      <c r="R75" s="107"/>
      <c r="S75" s="105" t="s">
        <v>116</v>
      </c>
      <c r="T75" s="105" t="s">
        <v>753</v>
      </c>
      <c r="V75" s="108"/>
    </row>
    <row r="76" ht="15.75" customHeight="1">
      <c r="A76" s="91"/>
      <c r="B76" s="166">
        <v>45929.0</v>
      </c>
      <c r="C76" s="127" t="s">
        <v>754</v>
      </c>
      <c r="D76" s="97"/>
      <c r="E76" s="127" t="s">
        <v>755</v>
      </c>
      <c r="F76" s="216" t="s">
        <v>756</v>
      </c>
      <c r="G76" s="97"/>
      <c r="H76" s="98" t="s">
        <v>90</v>
      </c>
      <c r="I76" s="105" t="s">
        <v>91</v>
      </c>
      <c r="J76" s="97"/>
      <c r="K76" s="101"/>
      <c r="L76" s="101"/>
      <c r="M76" s="102"/>
      <c r="N76" s="103" t="s">
        <v>45</v>
      </c>
      <c r="O76" s="104" t="s">
        <v>757</v>
      </c>
      <c r="P76" s="97"/>
      <c r="Q76" s="131"/>
      <c r="R76" s="126"/>
      <c r="S76" s="105" t="s">
        <v>99</v>
      </c>
      <c r="T76" s="97"/>
      <c r="V76" s="108"/>
    </row>
    <row r="77" ht="15.75" customHeight="1">
      <c r="A77" s="91"/>
      <c r="B77" s="166">
        <v>45929.0</v>
      </c>
      <c r="C77" s="127" t="s">
        <v>758</v>
      </c>
      <c r="D77" s="97"/>
      <c r="E77" s="127" t="s">
        <v>759</v>
      </c>
      <c r="F77" s="216" t="s">
        <v>760</v>
      </c>
      <c r="G77" s="97"/>
      <c r="H77" s="98" t="s">
        <v>90</v>
      </c>
      <c r="I77" s="105" t="s">
        <v>91</v>
      </c>
      <c r="J77" s="97"/>
      <c r="K77" s="114"/>
      <c r="L77" s="114"/>
      <c r="M77" s="102"/>
      <c r="N77" s="103" t="s">
        <v>45</v>
      </c>
      <c r="O77" s="125"/>
      <c r="P77" s="97"/>
      <c r="Q77" s="115"/>
      <c r="R77" s="107"/>
      <c r="S77" s="105" t="s">
        <v>116</v>
      </c>
      <c r="T77" s="105"/>
      <c r="V77" s="108"/>
    </row>
    <row r="78" ht="15.75" customHeight="1">
      <c r="A78" s="91"/>
      <c r="B78" s="166">
        <v>45929.0</v>
      </c>
      <c r="C78" s="259" t="s">
        <v>761</v>
      </c>
      <c r="D78" s="97"/>
      <c r="E78" s="127" t="s">
        <v>762</v>
      </c>
      <c r="F78" s="216" t="s">
        <v>763</v>
      </c>
      <c r="G78" s="97"/>
      <c r="H78" s="98" t="s">
        <v>90</v>
      </c>
      <c r="I78" s="105" t="s">
        <v>107</v>
      </c>
      <c r="J78" s="97"/>
      <c r="K78" s="101">
        <v>10500.0</v>
      </c>
      <c r="L78" s="101">
        <v>3000.0</v>
      </c>
      <c r="M78" s="102"/>
      <c r="N78" s="124"/>
      <c r="O78" s="125"/>
      <c r="P78" s="97"/>
      <c r="Q78" s="131"/>
      <c r="R78" s="126"/>
      <c r="S78" s="105" t="s">
        <v>110</v>
      </c>
      <c r="T78" s="97"/>
      <c r="V78" s="108"/>
    </row>
    <row r="79" ht="15.75" customHeight="1">
      <c r="A79" s="91"/>
      <c r="B79" s="166">
        <v>45929.0</v>
      </c>
      <c r="C79" s="258" t="s">
        <v>764</v>
      </c>
      <c r="D79" s="97"/>
      <c r="E79" s="127" t="s">
        <v>765</v>
      </c>
      <c r="F79" s="216" t="s">
        <v>766</v>
      </c>
      <c r="G79" s="97"/>
      <c r="H79" s="98" t="s">
        <v>90</v>
      </c>
      <c r="I79" s="105" t="s">
        <v>107</v>
      </c>
      <c r="J79" s="97"/>
      <c r="K79" s="101">
        <v>9000.0</v>
      </c>
      <c r="L79" s="101">
        <v>1500.0</v>
      </c>
      <c r="M79" s="102"/>
      <c r="N79" s="103" t="s">
        <v>50</v>
      </c>
      <c r="O79" s="104" t="s">
        <v>767</v>
      </c>
      <c r="P79" s="97"/>
      <c r="Q79" s="105">
        <v>6.0</v>
      </c>
      <c r="R79" s="107"/>
      <c r="S79" s="105" t="s">
        <v>110</v>
      </c>
      <c r="T79" s="105"/>
      <c r="V79" s="108"/>
    </row>
    <row r="80" ht="15.75" customHeight="1">
      <c r="A80" s="91"/>
      <c r="B80" s="166">
        <v>45929.0</v>
      </c>
      <c r="C80" s="258" t="s">
        <v>768</v>
      </c>
      <c r="D80" s="97"/>
      <c r="E80" s="127" t="s">
        <v>769</v>
      </c>
      <c r="F80" s="216" t="s">
        <v>770</v>
      </c>
      <c r="G80" s="97"/>
      <c r="H80" s="98" t="s">
        <v>90</v>
      </c>
      <c r="I80" s="105" t="s">
        <v>91</v>
      </c>
      <c r="J80" s="97"/>
      <c r="K80" s="101"/>
      <c r="L80" s="101"/>
      <c r="M80" s="102"/>
      <c r="N80" s="103" t="s">
        <v>60</v>
      </c>
      <c r="O80" s="104" t="s">
        <v>771</v>
      </c>
      <c r="P80" s="97"/>
      <c r="Q80" s="105">
        <v>5.0</v>
      </c>
      <c r="R80" s="136"/>
      <c r="S80" s="105" t="s">
        <v>93</v>
      </c>
      <c r="T80" s="105" t="s">
        <v>772</v>
      </c>
      <c r="V80" s="108"/>
    </row>
    <row r="81" ht="15.75" customHeight="1">
      <c r="A81" s="91"/>
      <c r="B81" s="166">
        <v>45930.0</v>
      </c>
      <c r="C81" s="258" t="s">
        <v>773</v>
      </c>
      <c r="D81" s="97"/>
      <c r="E81" s="127" t="s">
        <v>774</v>
      </c>
      <c r="F81" s="216" t="s">
        <v>775</v>
      </c>
      <c r="G81" s="97"/>
      <c r="H81" s="98" t="s">
        <v>90</v>
      </c>
      <c r="I81" s="105" t="s">
        <v>91</v>
      </c>
      <c r="J81" s="97"/>
      <c r="K81" s="114"/>
      <c r="L81" s="114"/>
      <c r="M81" s="102"/>
      <c r="N81" s="103" t="s">
        <v>45</v>
      </c>
      <c r="O81" s="104" t="s">
        <v>776</v>
      </c>
      <c r="P81" s="97"/>
      <c r="Q81" s="115"/>
      <c r="R81" s="107"/>
      <c r="S81" s="105" t="s">
        <v>116</v>
      </c>
      <c r="T81" s="105" t="s">
        <v>777</v>
      </c>
      <c r="V81" s="108"/>
    </row>
    <row r="82" ht="15.75" customHeight="1">
      <c r="A82" s="91"/>
      <c r="B82" s="166">
        <v>45930.0</v>
      </c>
      <c r="C82" s="236" t="s">
        <v>778</v>
      </c>
      <c r="D82" s="97"/>
      <c r="E82" s="167">
        <v>2.2762277E7</v>
      </c>
      <c r="F82" s="138"/>
      <c r="G82" s="97"/>
      <c r="H82" s="98" t="s">
        <v>97</v>
      </c>
      <c r="I82" s="105" t="s">
        <v>107</v>
      </c>
      <c r="J82" s="97"/>
      <c r="K82" s="101">
        <v>9000.0</v>
      </c>
      <c r="L82" s="101">
        <v>3000.0</v>
      </c>
      <c r="M82" s="102"/>
      <c r="N82" s="124"/>
      <c r="O82" s="125"/>
      <c r="P82" s="97"/>
      <c r="Q82" s="105">
        <v>5.0</v>
      </c>
      <c r="R82" s="126"/>
      <c r="S82" s="105" t="s">
        <v>110</v>
      </c>
      <c r="T82" s="105" t="s">
        <v>779</v>
      </c>
      <c r="V82" s="108"/>
    </row>
    <row r="83" ht="15.75" customHeight="1">
      <c r="A83" s="91"/>
      <c r="B83" s="166"/>
      <c r="C83" s="260"/>
      <c r="D83" s="97"/>
      <c r="E83" s="165"/>
      <c r="F83" s="138"/>
      <c r="G83" s="97"/>
      <c r="H83" s="98"/>
      <c r="I83" s="105"/>
      <c r="J83" s="97"/>
      <c r="K83" s="114"/>
      <c r="L83" s="114"/>
      <c r="M83" s="102"/>
      <c r="N83" s="124"/>
      <c r="O83" s="125"/>
      <c r="P83" s="97"/>
      <c r="Q83" s="97"/>
      <c r="R83" s="126"/>
      <c r="S83" s="97"/>
      <c r="T83" s="97"/>
      <c r="V83" s="108"/>
    </row>
    <row r="84" ht="15.75" customHeight="1">
      <c r="A84" s="91"/>
      <c r="B84" s="166"/>
      <c r="C84" s="137"/>
      <c r="D84" s="97"/>
      <c r="E84" s="165"/>
      <c r="F84" s="138"/>
      <c r="G84" s="97"/>
      <c r="H84" s="98"/>
      <c r="I84" s="105"/>
      <c r="J84" s="97"/>
      <c r="K84" s="101"/>
      <c r="L84" s="101"/>
      <c r="M84" s="102"/>
      <c r="N84" s="124"/>
      <c r="O84" s="125"/>
      <c r="P84" s="97"/>
      <c r="Q84" s="131"/>
      <c r="R84" s="126"/>
      <c r="S84" s="97"/>
      <c r="T84" s="97"/>
      <c r="V84" s="108"/>
    </row>
    <row r="85" ht="15.75" customHeight="1">
      <c r="A85" s="91"/>
      <c r="B85" s="166"/>
      <c r="C85" s="99"/>
      <c r="D85" s="97"/>
      <c r="E85" s="165"/>
      <c r="F85" s="138"/>
      <c r="G85" s="97"/>
      <c r="H85" s="98"/>
      <c r="I85" s="105"/>
      <c r="J85" s="97"/>
      <c r="K85" s="114"/>
      <c r="L85" s="114"/>
      <c r="M85" s="102"/>
      <c r="N85" s="103"/>
      <c r="O85" s="104"/>
      <c r="P85" s="97"/>
      <c r="Q85" s="130"/>
      <c r="R85" s="116"/>
      <c r="S85" s="105"/>
      <c r="T85" s="105"/>
      <c r="V85" s="108"/>
    </row>
    <row r="86" ht="15.75" customHeight="1">
      <c r="A86" s="91"/>
      <c r="B86" s="166"/>
      <c r="C86" s="98"/>
      <c r="D86" s="97"/>
      <c r="E86" s="165"/>
      <c r="F86" s="138"/>
      <c r="G86" s="97"/>
      <c r="H86" s="98"/>
      <c r="I86" s="105"/>
      <c r="J86" s="97"/>
      <c r="K86" s="101"/>
      <c r="L86" s="101"/>
      <c r="M86" s="102"/>
      <c r="N86" s="124"/>
      <c r="O86" s="104"/>
      <c r="P86" s="97"/>
      <c r="Q86" s="131"/>
      <c r="R86" s="107"/>
      <c r="S86" s="105"/>
      <c r="T86" s="105"/>
      <c r="V86" s="108"/>
    </row>
    <row r="87" ht="15.75" customHeight="1">
      <c r="A87" s="91"/>
      <c r="B87" s="166"/>
      <c r="C87" s="98"/>
      <c r="D87" s="97"/>
      <c r="E87" s="165"/>
      <c r="F87" s="138"/>
      <c r="G87" s="97"/>
      <c r="H87" s="98"/>
      <c r="I87" s="105"/>
      <c r="J87" s="97"/>
      <c r="K87" s="114"/>
      <c r="L87" s="114"/>
      <c r="M87" s="102"/>
      <c r="N87" s="103"/>
      <c r="O87" s="104"/>
      <c r="P87" s="97"/>
      <c r="Q87" s="115"/>
      <c r="R87" s="107"/>
      <c r="S87" s="105"/>
      <c r="T87" s="105"/>
      <c r="V87" s="108"/>
    </row>
    <row r="88" ht="15.75" customHeight="1">
      <c r="A88" s="91"/>
      <c r="B88" s="166"/>
      <c r="C88" s="98"/>
      <c r="D88" s="97"/>
      <c r="E88" s="165"/>
      <c r="F88" s="138"/>
      <c r="G88" s="97"/>
      <c r="H88" s="98"/>
      <c r="I88" s="105"/>
      <c r="J88" s="97"/>
      <c r="K88" s="101"/>
      <c r="L88" s="101"/>
      <c r="M88" s="102"/>
      <c r="N88" s="124"/>
      <c r="O88" s="125"/>
      <c r="P88" s="97"/>
      <c r="Q88" s="97"/>
      <c r="R88" s="126"/>
      <c r="S88" s="97"/>
      <c r="T88" s="97"/>
      <c r="V88" s="108"/>
    </row>
    <row r="89" ht="15.75" customHeight="1">
      <c r="A89" s="91"/>
      <c r="B89" s="166"/>
      <c r="C89" s="138"/>
      <c r="D89" s="97"/>
      <c r="E89" s="165"/>
      <c r="F89" s="169"/>
      <c r="G89" s="97"/>
      <c r="H89" s="98"/>
      <c r="I89" s="105"/>
      <c r="J89" s="97"/>
      <c r="K89" s="114"/>
      <c r="L89" s="114"/>
      <c r="M89" s="102"/>
      <c r="N89" s="103"/>
      <c r="O89" s="104"/>
      <c r="P89" s="97"/>
      <c r="Q89" s="105"/>
      <c r="R89" s="107"/>
      <c r="S89" s="105"/>
      <c r="T89" s="105"/>
      <c r="V89" s="108"/>
    </row>
    <row r="90" ht="15.75" customHeight="1">
      <c r="A90" s="91"/>
      <c r="B90" s="166"/>
      <c r="C90" s="140"/>
      <c r="D90" s="97"/>
      <c r="E90" s="165"/>
      <c r="F90" s="138"/>
      <c r="G90" s="97"/>
      <c r="H90" s="98"/>
      <c r="I90" s="105"/>
      <c r="J90" s="97"/>
      <c r="K90" s="101"/>
      <c r="L90" s="101"/>
      <c r="M90" s="102"/>
      <c r="N90" s="124"/>
      <c r="O90" s="125"/>
      <c r="P90" s="97"/>
      <c r="Q90" s="97"/>
      <c r="R90" s="126"/>
      <c r="S90" s="97"/>
      <c r="T90" s="97"/>
      <c r="V90" s="108"/>
    </row>
    <row r="91" ht="15.75" customHeight="1">
      <c r="A91" s="91"/>
      <c r="B91" s="166"/>
      <c r="C91" s="138"/>
      <c r="D91" s="97"/>
      <c r="E91" s="165"/>
      <c r="F91" s="138"/>
      <c r="G91" s="97"/>
      <c r="H91" s="98"/>
      <c r="I91" s="105"/>
      <c r="J91" s="97"/>
      <c r="K91" s="114"/>
      <c r="L91" s="114"/>
      <c r="M91" s="102"/>
      <c r="N91" s="103"/>
      <c r="O91" s="104"/>
      <c r="P91" s="97"/>
      <c r="Q91" s="130"/>
      <c r="R91" s="107"/>
      <c r="S91" s="105"/>
      <c r="T91" s="105"/>
      <c r="V91" s="108"/>
    </row>
    <row r="92" ht="15.75" customHeight="1">
      <c r="A92" s="91"/>
      <c r="B92" s="166"/>
      <c r="C92" s="140"/>
      <c r="D92" s="97"/>
      <c r="E92" s="138"/>
      <c r="F92" s="138"/>
      <c r="G92" s="97"/>
      <c r="H92" s="98"/>
      <c r="I92" s="105"/>
      <c r="J92" s="97"/>
      <c r="K92" s="101"/>
      <c r="L92" s="101"/>
      <c r="M92" s="102"/>
      <c r="N92" s="124"/>
      <c r="O92" s="125"/>
      <c r="P92" s="97"/>
      <c r="Q92" s="131"/>
      <c r="R92" s="126"/>
      <c r="S92" s="97"/>
      <c r="T92" s="97"/>
      <c r="V92" s="108"/>
    </row>
    <row r="93" ht="15.75" customHeight="1">
      <c r="A93" s="91"/>
      <c r="B93" s="166"/>
      <c r="C93" s="98"/>
      <c r="D93" s="97"/>
      <c r="E93" s="165"/>
      <c r="F93" s="138"/>
      <c r="G93" s="97"/>
      <c r="H93" s="98"/>
      <c r="I93" s="105"/>
      <c r="J93" s="97"/>
      <c r="K93" s="114"/>
      <c r="L93" s="114"/>
      <c r="M93" s="102"/>
      <c r="N93" s="124"/>
      <c r="O93" s="125"/>
      <c r="P93" s="97"/>
      <c r="Q93" s="97"/>
      <c r="R93" s="126"/>
      <c r="S93" s="97"/>
      <c r="T93" s="97"/>
      <c r="V93" s="108"/>
    </row>
    <row r="94" ht="15.75" customHeight="1">
      <c r="A94" s="91"/>
      <c r="B94" s="166"/>
      <c r="C94" s="98"/>
      <c r="D94" s="97"/>
      <c r="E94" s="165"/>
      <c r="F94" s="138"/>
      <c r="G94" s="97"/>
      <c r="H94" s="98"/>
      <c r="I94" s="105"/>
      <c r="J94" s="97"/>
      <c r="K94" s="101"/>
      <c r="L94" s="101"/>
      <c r="M94" s="102"/>
      <c r="N94" s="103"/>
      <c r="O94" s="104"/>
      <c r="P94" s="97"/>
      <c r="Q94" s="115"/>
      <c r="R94" s="107"/>
      <c r="S94" s="105"/>
      <c r="T94" s="105"/>
      <c r="V94" s="108"/>
    </row>
    <row r="95" ht="15.75" customHeight="1">
      <c r="A95" s="91"/>
      <c r="B95" s="166"/>
      <c r="C95" s="98"/>
      <c r="D95" s="97"/>
      <c r="E95" s="165"/>
      <c r="F95" s="138"/>
      <c r="G95" s="97"/>
      <c r="H95" s="98"/>
      <c r="I95" s="105"/>
      <c r="J95" s="97"/>
      <c r="K95" s="114"/>
      <c r="L95" s="114"/>
      <c r="M95" s="102"/>
      <c r="N95" s="124"/>
      <c r="O95" s="125"/>
      <c r="P95" s="97"/>
      <c r="Q95" s="97"/>
      <c r="R95" s="126"/>
      <c r="S95" s="97"/>
      <c r="T95" s="97"/>
      <c r="V95" s="108"/>
    </row>
    <row r="96" ht="15.75" customHeight="1">
      <c r="A96" s="91"/>
      <c r="B96" s="166"/>
      <c r="C96" s="98"/>
      <c r="D96" s="97"/>
      <c r="E96" s="170"/>
      <c r="F96" s="138"/>
      <c r="G96" s="97"/>
      <c r="H96" s="98"/>
      <c r="I96" s="105"/>
      <c r="J96" s="97"/>
      <c r="K96" s="101"/>
      <c r="L96" s="101"/>
      <c r="M96" s="102"/>
      <c r="N96" s="124"/>
      <c r="O96" s="125"/>
      <c r="P96" s="97"/>
      <c r="Q96" s="131"/>
      <c r="R96" s="126"/>
      <c r="S96" s="97"/>
      <c r="T96" s="97"/>
      <c r="V96" s="108"/>
    </row>
    <row r="97" ht="15.75" customHeight="1">
      <c r="A97" s="91"/>
      <c r="B97" s="166"/>
      <c r="C97" s="107"/>
      <c r="D97" s="97"/>
      <c r="E97" s="165"/>
      <c r="F97" s="138"/>
      <c r="G97" s="97"/>
      <c r="H97" s="98"/>
      <c r="I97" s="105"/>
      <c r="J97" s="97"/>
      <c r="K97" s="114"/>
      <c r="L97" s="114"/>
      <c r="M97" s="102"/>
      <c r="N97" s="124"/>
      <c r="O97" s="125"/>
      <c r="P97" s="97"/>
      <c r="Q97" s="130"/>
      <c r="R97" s="107"/>
      <c r="S97" s="97"/>
      <c r="T97" s="105"/>
      <c r="V97" s="108"/>
    </row>
    <row r="98" ht="15.75" customHeight="1">
      <c r="A98" s="91"/>
      <c r="B98" s="166"/>
      <c r="C98" s="107"/>
      <c r="D98" s="97"/>
      <c r="E98" s="165"/>
      <c r="F98" s="138"/>
      <c r="G98" s="97"/>
      <c r="H98" s="98"/>
      <c r="I98" s="105"/>
      <c r="J98" s="97"/>
      <c r="K98" s="101"/>
      <c r="L98" s="101"/>
      <c r="M98" s="102"/>
      <c r="N98" s="124"/>
      <c r="O98" s="125"/>
      <c r="P98" s="97"/>
      <c r="Q98" s="130"/>
      <c r="R98" s="107"/>
      <c r="S98" s="97"/>
      <c r="T98" s="105"/>
      <c r="V98" s="108"/>
    </row>
    <row r="99" ht="15.75" customHeight="1">
      <c r="A99" s="91"/>
      <c r="B99" s="166"/>
      <c r="C99" s="98"/>
      <c r="D99" s="97"/>
      <c r="E99" s="98"/>
      <c r="F99" s="140"/>
      <c r="G99" s="97"/>
      <c r="H99" s="98"/>
      <c r="I99" s="105"/>
      <c r="J99" s="97"/>
      <c r="K99" s="114"/>
      <c r="L99" s="114"/>
      <c r="M99" s="102"/>
      <c r="N99" s="124"/>
      <c r="O99" s="125"/>
      <c r="P99" s="97"/>
      <c r="Q99" s="131"/>
      <c r="R99" s="126"/>
      <c r="S99" s="97"/>
      <c r="T99" s="97"/>
      <c r="V99" s="108"/>
    </row>
    <row r="100" ht="15.75" customHeight="1">
      <c r="A100" s="91"/>
      <c r="B100" s="166"/>
      <c r="C100" s="98"/>
      <c r="D100" s="97"/>
      <c r="E100" s="165"/>
      <c r="F100" s="138"/>
      <c r="G100" s="97"/>
      <c r="H100" s="98"/>
      <c r="I100" s="105"/>
      <c r="J100" s="97"/>
      <c r="K100" s="101"/>
      <c r="L100" s="101"/>
      <c r="M100" s="102"/>
      <c r="N100" s="124"/>
      <c r="O100" s="125"/>
      <c r="P100" s="97"/>
      <c r="Q100" s="97"/>
      <c r="R100" s="126"/>
      <c r="S100" s="97"/>
      <c r="T100" s="97"/>
      <c r="V100" s="108"/>
    </row>
    <row r="101" ht="15.75" customHeight="1">
      <c r="A101" s="91"/>
      <c r="B101" s="166"/>
      <c r="C101" s="98"/>
      <c r="D101" s="97"/>
      <c r="E101" s="165"/>
      <c r="F101" s="138"/>
      <c r="G101" s="97"/>
      <c r="H101" s="98"/>
      <c r="I101" s="105"/>
      <c r="J101" s="97"/>
      <c r="K101" s="114"/>
      <c r="L101" s="114"/>
      <c r="M101" s="102"/>
      <c r="N101" s="103"/>
      <c r="O101" s="104"/>
      <c r="P101" s="97"/>
      <c r="Q101" s="115"/>
      <c r="R101" s="116"/>
      <c r="S101" s="105"/>
      <c r="T101" s="105"/>
      <c r="V101" s="108"/>
    </row>
    <row r="102" ht="15.75" customHeight="1">
      <c r="A102" s="91"/>
      <c r="B102" s="171"/>
      <c r="C102" s="143"/>
      <c r="D102" s="97"/>
      <c r="E102" s="143"/>
      <c r="F102" s="169"/>
      <c r="G102" s="97"/>
      <c r="H102" s="98"/>
      <c r="I102" s="105"/>
      <c r="J102" s="97"/>
      <c r="K102" s="101"/>
      <c r="L102" s="101"/>
      <c r="M102" s="102"/>
      <c r="N102" s="103"/>
      <c r="O102" s="125"/>
      <c r="P102" s="97"/>
      <c r="Q102" s="131"/>
      <c r="R102" s="126"/>
      <c r="S102" s="105"/>
      <c r="T102" s="97"/>
      <c r="V102" s="108"/>
    </row>
    <row r="103" ht="15.75" customHeight="1">
      <c r="A103" s="91"/>
      <c r="B103" s="171"/>
      <c r="C103" s="143"/>
      <c r="D103" s="97"/>
      <c r="E103" s="143"/>
      <c r="F103" s="143"/>
      <c r="G103" s="97"/>
      <c r="H103" s="98"/>
      <c r="I103" s="105"/>
      <c r="J103" s="97"/>
      <c r="K103" s="114"/>
      <c r="L103" s="114"/>
      <c r="M103" s="102"/>
      <c r="N103" s="103"/>
      <c r="O103" s="125"/>
      <c r="P103" s="97"/>
      <c r="Q103" s="97"/>
      <c r="R103" s="126"/>
      <c r="S103" s="105"/>
      <c r="T103" s="97"/>
      <c r="V103" s="108"/>
    </row>
    <row r="104" ht="15.75" customHeight="1">
      <c r="A104" s="91"/>
      <c r="B104" s="171"/>
      <c r="C104" s="108"/>
      <c r="D104" s="97"/>
      <c r="E104" s="143"/>
      <c r="F104" s="143"/>
      <c r="G104" s="97"/>
      <c r="H104" s="98"/>
      <c r="I104" s="105"/>
      <c r="J104" s="97"/>
      <c r="K104" s="101"/>
      <c r="L104" s="101"/>
      <c r="M104" s="102"/>
      <c r="N104" s="103"/>
      <c r="O104" s="125"/>
      <c r="P104" s="97"/>
      <c r="Q104" s="131"/>
      <c r="R104" s="126"/>
      <c r="S104" s="105"/>
      <c r="T104" s="97"/>
      <c r="V104" s="108"/>
    </row>
    <row r="105" ht="15.75" customHeight="1">
      <c r="A105" s="91"/>
      <c r="B105" s="171"/>
      <c r="C105" s="108"/>
      <c r="D105" s="97"/>
      <c r="E105" s="143"/>
      <c r="F105" s="143"/>
      <c r="G105" s="97"/>
      <c r="H105" s="98"/>
      <c r="I105" s="105"/>
      <c r="J105" s="97"/>
      <c r="K105" s="114"/>
      <c r="L105" s="114"/>
      <c r="M105" s="102"/>
      <c r="N105" s="103"/>
      <c r="O105" s="125"/>
      <c r="P105" s="97"/>
      <c r="Q105" s="131"/>
      <c r="R105" s="126"/>
      <c r="S105" s="105"/>
      <c r="T105" s="97"/>
      <c r="V105" s="108"/>
    </row>
    <row r="106" ht="15.75" customHeight="1">
      <c r="A106" s="91"/>
      <c r="B106" s="171"/>
      <c r="C106" s="143"/>
      <c r="D106" s="97"/>
      <c r="E106" s="143"/>
      <c r="F106" s="143"/>
      <c r="G106" s="97"/>
      <c r="H106" s="98"/>
      <c r="I106" s="105"/>
      <c r="J106" s="97"/>
      <c r="K106" s="101"/>
      <c r="L106" s="101"/>
      <c r="M106" s="102"/>
      <c r="N106" s="103"/>
      <c r="O106" s="125"/>
      <c r="P106" s="97"/>
      <c r="Q106" s="131"/>
      <c r="R106" s="126"/>
      <c r="S106" s="105"/>
      <c r="T106" s="97"/>
      <c r="V106" s="108"/>
    </row>
    <row r="107" ht="15.75" customHeight="1">
      <c r="A107" s="91"/>
      <c r="B107" s="171"/>
      <c r="C107" s="143"/>
      <c r="D107" s="97"/>
      <c r="E107" s="143"/>
      <c r="F107" s="143"/>
      <c r="G107" s="97"/>
      <c r="H107" s="98"/>
      <c r="I107" s="105"/>
      <c r="J107" s="97"/>
      <c r="K107" s="114"/>
      <c r="L107" s="114"/>
      <c r="M107" s="102"/>
      <c r="N107" s="103"/>
      <c r="O107" s="125"/>
      <c r="P107" s="97"/>
      <c r="Q107" s="97"/>
      <c r="R107" s="126"/>
      <c r="S107" s="105"/>
      <c r="T107" s="97"/>
      <c r="V107" s="108"/>
    </row>
    <row r="108" ht="15.75" customHeight="1">
      <c r="A108" s="91"/>
      <c r="B108" s="171"/>
      <c r="C108" s="143"/>
      <c r="D108" s="97"/>
      <c r="E108" s="143"/>
      <c r="F108" s="143"/>
      <c r="G108" s="97"/>
      <c r="H108" s="98"/>
      <c r="I108" s="105"/>
      <c r="J108" s="97"/>
      <c r="K108" s="101"/>
      <c r="L108" s="101"/>
      <c r="M108" s="102"/>
      <c r="N108" s="103"/>
      <c r="O108" s="125"/>
      <c r="P108" s="97"/>
      <c r="Q108" s="131"/>
      <c r="R108" s="126"/>
      <c r="S108" s="105"/>
      <c r="T108" s="97"/>
      <c r="V108" s="108"/>
    </row>
    <row r="109" ht="15.75" customHeight="1">
      <c r="A109" s="91"/>
      <c r="B109" s="171"/>
      <c r="C109" s="143"/>
      <c r="D109" s="97"/>
      <c r="E109" s="143"/>
      <c r="F109" s="143"/>
      <c r="G109" s="97"/>
      <c r="H109" s="143"/>
      <c r="I109" s="145"/>
      <c r="J109" s="97"/>
      <c r="K109" s="114"/>
      <c r="L109" s="114"/>
      <c r="M109" s="102"/>
      <c r="N109" s="124"/>
      <c r="O109" s="125"/>
      <c r="P109" s="97"/>
      <c r="Q109" s="97"/>
      <c r="R109" s="126"/>
      <c r="S109" s="97"/>
      <c r="T109" s="97"/>
      <c r="V109" s="108"/>
    </row>
    <row r="110" ht="15.75" customHeight="1">
      <c r="A110" s="91"/>
      <c r="B110" s="171"/>
      <c r="C110" s="143"/>
      <c r="D110" s="97"/>
      <c r="E110" s="143"/>
      <c r="F110" s="143"/>
      <c r="G110" s="97"/>
      <c r="H110" s="143"/>
      <c r="I110" s="97"/>
      <c r="J110" s="97"/>
      <c r="K110" s="101"/>
      <c r="L110" s="101"/>
      <c r="M110" s="102"/>
      <c r="N110" s="124"/>
      <c r="O110" s="125"/>
      <c r="P110" s="97"/>
      <c r="Q110" s="131"/>
      <c r="R110" s="126"/>
      <c r="S110" s="97"/>
      <c r="T110" s="97"/>
      <c r="V110" s="108"/>
    </row>
    <row r="111" ht="15.75" customHeight="1">
      <c r="A111" s="91"/>
      <c r="B111" s="171"/>
      <c r="C111" s="108"/>
      <c r="D111" s="97"/>
      <c r="E111" s="143"/>
      <c r="F111" s="143"/>
      <c r="G111" s="97"/>
      <c r="H111" s="143"/>
      <c r="I111" s="97"/>
      <c r="J111" s="97"/>
      <c r="K111" s="114"/>
      <c r="L111" s="114"/>
      <c r="M111" s="102"/>
      <c r="N111" s="124"/>
      <c r="O111" s="125"/>
      <c r="P111" s="97"/>
      <c r="Q111" s="97"/>
      <c r="R111" s="126"/>
      <c r="S111" s="97"/>
      <c r="T111" s="97"/>
      <c r="V111" s="108"/>
    </row>
    <row r="112" ht="15.75" customHeight="1">
      <c r="A112" s="91"/>
      <c r="B112" s="171"/>
      <c r="C112" s="108"/>
      <c r="D112" s="97"/>
      <c r="E112" s="143"/>
      <c r="F112" s="143"/>
      <c r="G112" s="97"/>
      <c r="H112" s="143"/>
      <c r="I112" s="97"/>
      <c r="J112" s="97"/>
      <c r="K112" s="101"/>
      <c r="L112" s="101"/>
      <c r="M112" s="102"/>
      <c r="N112" s="124"/>
      <c r="O112" s="125"/>
      <c r="P112" s="97"/>
      <c r="Q112" s="97"/>
      <c r="R112" s="126"/>
      <c r="S112" s="97"/>
      <c r="T112" s="97"/>
      <c r="V112" s="108"/>
    </row>
    <row r="113" ht="15.75" customHeight="1">
      <c r="A113" s="91"/>
      <c r="B113" s="171"/>
      <c r="C113" s="108"/>
      <c r="D113" s="97"/>
      <c r="E113" s="143"/>
      <c r="F113" s="143"/>
      <c r="G113" s="97"/>
      <c r="H113" s="143"/>
      <c r="I113" s="97"/>
      <c r="J113" s="97"/>
      <c r="K113" s="114"/>
      <c r="L113" s="114"/>
      <c r="M113" s="102"/>
      <c r="N113" s="124"/>
      <c r="O113" s="125"/>
      <c r="P113" s="97"/>
      <c r="Q113" s="97"/>
      <c r="R113" s="126"/>
      <c r="S113" s="97"/>
      <c r="T113" s="97"/>
      <c r="V113" s="108"/>
    </row>
    <row r="114" ht="15.75" customHeight="1">
      <c r="A114" s="91"/>
      <c r="B114" s="171"/>
      <c r="C114" s="143"/>
      <c r="D114" s="97"/>
      <c r="E114" s="143"/>
      <c r="F114" s="143"/>
      <c r="G114" s="97"/>
      <c r="H114" s="143"/>
      <c r="I114" s="97"/>
      <c r="J114" s="97"/>
      <c r="K114" s="101"/>
      <c r="L114" s="101"/>
      <c r="M114" s="102"/>
      <c r="N114" s="124"/>
      <c r="O114" s="125"/>
      <c r="P114" s="97"/>
      <c r="Q114" s="97"/>
      <c r="R114" s="126"/>
      <c r="S114" s="97"/>
      <c r="T114" s="97"/>
      <c r="V114" s="108"/>
    </row>
    <row r="115" ht="15.75" customHeight="1">
      <c r="A115" s="91"/>
      <c r="B115" s="171"/>
      <c r="C115" s="143"/>
      <c r="D115" s="97"/>
      <c r="E115" s="143"/>
      <c r="F115" s="143"/>
      <c r="G115" s="97"/>
      <c r="H115" s="143"/>
      <c r="I115" s="97"/>
      <c r="J115" s="97"/>
      <c r="K115" s="114"/>
      <c r="L115" s="114"/>
      <c r="M115" s="102"/>
      <c r="N115" s="124"/>
      <c r="O115" s="125"/>
      <c r="P115" s="97"/>
      <c r="Q115" s="97"/>
      <c r="R115" s="126"/>
      <c r="S115" s="97"/>
      <c r="T115" s="97"/>
      <c r="V115" s="108"/>
    </row>
    <row r="116" ht="15.75" customHeight="1">
      <c r="A116" s="91"/>
      <c r="B116" s="171"/>
      <c r="C116" s="143"/>
      <c r="D116" s="97"/>
      <c r="E116" s="143"/>
      <c r="F116" s="143"/>
      <c r="G116" s="97"/>
      <c r="H116" s="143"/>
      <c r="I116" s="97"/>
      <c r="J116" s="97"/>
      <c r="K116" s="101"/>
      <c r="L116" s="101"/>
      <c r="M116" s="102"/>
      <c r="N116" s="124"/>
      <c r="O116" s="125"/>
      <c r="P116" s="97"/>
      <c r="Q116" s="97"/>
      <c r="R116" s="126"/>
      <c r="S116" s="97"/>
      <c r="T116" s="97"/>
      <c r="V116" s="108"/>
    </row>
    <row r="117" ht="15.75" customHeight="1">
      <c r="A117" s="91"/>
      <c r="B117" s="171"/>
      <c r="C117" s="143"/>
      <c r="D117" s="97"/>
      <c r="E117" s="143"/>
      <c r="F117" s="143"/>
      <c r="G117" s="97"/>
      <c r="H117" s="143"/>
      <c r="I117" s="97"/>
      <c r="J117" s="97"/>
      <c r="K117" s="114"/>
      <c r="L117" s="114"/>
      <c r="M117" s="102"/>
      <c r="N117" s="124"/>
      <c r="O117" s="125"/>
      <c r="P117" s="97"/>
      <c r="Q117" s="97"/>
      <c r="R117" s="126"/>
      <c r="S117" s="97"/>
      <c r="T117" s="97"/>
      <c r="V117" s="108"/>
    </row>
    <row r="118" ht="15.75" customHeight="1">
      <c r="A118" s="91"/>
      <c r="B118" s="171"/>
      <c r="C118" s="143"/>
      <c r="D118" s="97"/>
      <c r="E118" s="143"/>
      <c r="F118" s="143"/>
      <c r="G118" s="97"/>
      <c r="H118" s="143"/>
      <c r="I118" s="97"/>
      <c r="J118" s="97"/>
      <c r="K118" s="101"/>
      <c r="L118" s="101"/>
      <c r="M118" s="102"/>
      <c r="N118" s="124"/>
      <c r="O118" s="125"/>
      <c r="P118" s="97"/>
      <c r="Q118" s="131"/>
      <c r="R118" s="126"/>
      <c r="S118" s="97"/>
      <c r="T118" s="97"/>
      <c r="V118" s="108"/>
    </row>
    <row r="119" ht="15.75" customHeight="1">
      <c r="A119" s="91"/>
      <c r="B119" s="171"/>
      <c r="C119" s="108"/>
      <c r="D119" s="97"/>
      <c r="E119" s="143"/>
      <c r="F119" s="143"/>
      <c r="G119" s="97"/>
      <c r="H119" s="143"/>
      <c r="I119" s="97"/>
      <c r="J119" s="97"/>
      <c r="K119" s="114"/>
      <c r="L119" s="114"/>
      <c r="M119" s="102"/>
      <c r="N119" s="124"/>
      <c r="O119" s="125"/>
      <c r="P119" s="97"/>
      <c r="Q119" s="97"/>
      <c r="R119" s="126"/>
      <c r="S119" s="97"/>
      <c r="T119" s="97"/>
      <c r="V119" s="108"/>
    </row>
    <row r="120" ht="15.75" customHeight="1">
      <c r="A120" s="91"/>
      <c r="B120" s="171"/>
      <c r="C120" s="108"/>
      <c r="D120" s="97"/>
      <c r="E120" s="143"/>
      <c r="F120" s="143"/>
      <c r="G120" s="97"/>
      <c r="H120" s="143"/>
      <c r="I120" s="97"/>
      <c r="J120" s="97"/>
      <c r="K120" s="101"/>
      <c r="L120" s="101"/>
      <c r="M120" s="102"/>
      <c r="N120" s="124"/>
      <c r="O120" s="125"/>
      <c r="P120" s="97"/>
      <c r="Q120" s="97"/>
      <c r="R120" s="126"/>
      <c r="S120" s="97"/>
      <c r="T120" s="97"/>
      <c r="V120" s="108"/>
    </row>
    <row r="121" ht="15.75" customHeight="1">
      <c r="A121" s="91"/>
      <c r="B121" s="171"/>
      <c r="C121" s="108"/>
      <c r="D121" s="97"/>
      <c r="E121" s="143"/>
      <c r="F121" s="143"/>
      <c r="G121" s="97"/>
      <c r="H121" s="143"/>
      <c r="I121" s="97"/>
      <c r="J121" s="97"/>
      <c r="K121" s="114"/>
      <c r="L121" s="114"/>
      <c r="M121" s="102"/>
      <c r="N121" s="124"/>
      <c r="O121" s="125"/>
      <c r="P121" s="97"/>
      <c r="Q121" s="131"/>
      <c r="R121" s="126"/>
      <c r="S121" s="97"/>
      <c r="T121" s="97"/>
      <c r="V121" s="108"/>
    </row>
    <row r="122" ht="15.75" customHeight="1">
      <c r="A122" s="91"/>
      <c r="B122" s="171"/>
      <c r="C122" s="143"/>
      <c r="D122" s="97"/>
      <c r="E122" s="143"/>
      <c r="F122" s="143"/>
      <c r="G122" s="97"/>
      <c r="H122" s="143"/>
      <c r="I122" s="97"/>
      <c r="J122" s="97"/>
      <c r="K122" s="101"/>
      <c r="L122" s="101"/>
      <c r="M122" s="102"/>
      <c r="N122" s="124"/>
      <c r="O122" s="125"/>
      <c r="P122" s="97"/>
      <c r="Q122" s="131"/>
      <c r="R122" s="126"/>
      <c r="S122" s="97"/>
      <c r="T122" s="97"/>
      <c r="V122" s="108"/>
    </row>
    <row r="123" ht="15.75" customHeight="1">
      <c r="A123" s="91"/>
      <c r="B123" s="171"/>
      <c r="C123" s="143"/>
      <c r="D123" s="97"/>
      <c r="E123" s="143"/>
      <c r="F123" s="143"/>
      <c r="G123" s="97"/>
      <c r="H123" s="143"/>
      <c r="I123" s="97"/>
      <c r="J123" s="97"/>
      <c r="K123" s="114"/>
      <c r="L123" s="114"/>
      <c r="M123" s="102"/>
      <c r="N123" s="124"/>
      <c r="O123" s="125"/>
      <c r="P123" s="97"/>
      <c r="Q123" s="131"/>
      <c r="R123" s="126"/>
      <c r="S123" s="97"/>
      <c r="T123" s="97"/>
      <c r="V123" s="108"/>
    </row>
    <row r="124" ht="15.75" customHeight="1">
      <c r="A124" s="91"/>
      <c r="B124" s="171"/>
      <c r="C124" s="143"/>
      <c r="D124" s="97"/>
      <c r="E124" s="143"/>
      <c r="F124" s="143"/>
      <c r="G124" s="97"/>
      <c r="H124" s="143"/>
      <c r="I124" s="97"/>
      <c r="J124" s="97"/>
      <c r="K124" s="101"/>
      <c r="L124" s="101"/>
      <c r="M124" s="102"/>
      <c r="N124" s="124"/>
      <c r="O124" s="125"/>
      <c r="P124" s="97"/>
      <c r="Q124" s="131"/>
      <c r="R124" s="126"/>
      <c r="S124" s="97"/>
      <c r="T124" s="97"/>
      <c r="V124" s="108"/>
    </row>
    <row r="125" ht="15.75" customHeight="1">
      <c r="A125" s="91"/>
      <c r="B125" s="171"/>
      <c r="C125" s="143"/>
      <c r="D125" s="97"/>
      <c r="E125" s="143"/>
      <c r="F125" s="143"/>
      <c r="G125" s="97"/>
      <c r="H125" s="143"/>
      <c r="I125" s="97"/>
      <c r="J125" s="97"/>
      <c r="K125" s="114"/>
      <c r="L125" s="114"/>
      <c r="M125" s="102"/>
      <c r="N125" s="124"/>
      <c r="O125" s="125"/>
      <c r="P125" s="97"/>
      <c r="Q125" s="131"/>
      <c r="R125" s="126"/>
      <c r="S125" s="97"/>
      <c r="T125" s="97"/>
      <c r="V125" s="108"/>
    </row>
    <row r="126" ht="15.75" customHeight="1">
      <c r="A126" s="91"/>
      <c r="B126" s="171"/>
      <c r="C126" s="143"/>
      <c r="D126" s="97"/>
      <c r="E126" s="143"/>
      <c r="F126" s="143"/>
      <c r="G126" s="97"/>
      <c r="H126" s="143"/>
      <c r="I126" s="97"/>
      <c r="J126" s="97"/>
      <c r="K126" s="101"/>
      <c r="L126" s="101"/>
      <c r="M126" s="102"/>
      <c r="N126" s="124"/>
      <c r="O126" s="125"/>
      <c r="P126" s="97"/>
      <c r="Q126" s="131"/>
      <c r="R126" s="126"/>
      <c r="S126" s="97"/>
      <c r="T126" s="97"/>
      <c r="V126" s="108"/>
    </row>
    <row r="127" ht="15.75" customHeight="1">
      <c r="A127" s="91"/>
      <c r="B127" s="171"/>
      <c r="C127" s="108"/>
      <c r="D127" s="97"/>
      <c r="E127" s="143"/>
      <c r="F127" s="143"/>
      <c r="G127" s="97"/>
      <c r="H127" s="143"/>
      <c r="I127" s="97"/>
      <c r="J127" s="97"/>
      <c r="K127" s="114"/>
      <c r="L127" s="114"/>
      <c r="M127" s="102"/>
      <c r="N127" s="124"/>
      <c r="O127" s="125"/>
      <c r="P127" s="97"/>
      <c r="Q127" s="97"/>
      <c r="R127" s="126"/>
      <c r="S127" s="97"/>
      <c r="T127" s="97"/>
      <c r="V127" s="108"/>
    </row>
    <row r="128" ht="15.75" customHeight="1">
      <c r="A128" s="91"/>
      <c r="B128" s="171"/>
      <c r="C128" s="108"/>
      <c r="D128" s="97"/>
      <c r="E128" s="143"/>
      <c r="F128" s="143"/>
      <c r="G128" s="97"/>
      <c r="H128" s="143"/>
      <c r="I128" s="97"/>
      <c r="J128" s="97"/>
      <c r="K128" s="101"/>
      <c r="L128" s="101"/>
      <c r="M128" s="102"/>
      <c r="N128" s="124"/>
      <c r="O128" s="125"/>
      <c r="P128" s="97"/>
      <c r="Q128" s="131"/>
      <c r="R128" s="126"/>
      <c r="S128" s="97"/>
      <c r="T128" s="97"/>
      <c r="V128" s="108"/>
    </row>
    <row r="129" ht="15.75" customHeight="1">
      <c r="A129" s="91"/>
      <c r="B129" s="171"/>
      <c r="C129" s="108"/>
      <c r="D129" s="97"/>
      <c r="E129" s="143"/>
      <c r="F129" s="143"/>
      <c r="G129" s="97"/>
      <c r="H129" s="143"/>
      <c r="I129" s="97"/>
      <c r="J129" s="97"/>
      <c r="K129" s="114"/>
      <c r="L129" s="114"/>
      <c r="M129" s="102"/>
      <c r="N129" s="124"/>
      <c r="O129" s="125"/>
      <c r="P129" s="97"/>
      <c r="Q129" s="97"/>
      <c r="R129" s="126"/>
      <c r="S129" s="97"/>
      <c r="T129" s="97"/>
      <c r="V129" s="108"/>
    </row>
    <row r="130" ht="15.75" customHeight="1">
      <c r="A130" s="91"/>
      <c r="B130" s="171"/>
      <c r="C130" s="143"/>
      <c r="D130" s="97"/>
      <c r="E130" s="143"/>
      <c r="F130" s="143"/>
      <c r="G130" s="97"/>
      <c r="H130" s="143"/>
      <c r="I130" s="97"/>
      <c r="J130" s="97"/>
      <c r="K130" s="101"/>
      <c r="L130" s="101"/>
      <c r="M130" s="102"/>
      <c r="N130" s="124"/>
      <c r="O130" s="125"/>
      <c r="P130" s="97"/>
      <c r="Q130" s="97"/>
      <c r="R130" s="126"/>
      <c r="S130" s="97"/>
      <c r="T130" s="97"/>
      <c r="V130" s="108"/>
    </row>
    <row r="131" ht="15.75" customHeight="1">
      <c r="A131" s="91"/>
      <c r="B131" s="171"/>
      <c r="C131" s="143"/>
      <c r="D131" s="97"/>
      <c r="E131" s="143"/>
      <c r="F131" s="143"/>
      <c r="G131" s="97"/>
      <c r="H131" s="143"/>
      <c r="I131" s="97"/>
      <c r="J131" s="97"/>
      <c r="K131" s="114"/>
      <c r="L131" s="114"/>
      <c r="M131" s="102"/>
      <c r="N131" s="124"/>
      <c r="O131" s="125"/>
      <c r="P131" s="97"/>
      <c r="Q131" s="131"/>
      <c r="R131" s="126"/>
      <c r="S131" s="97"/>
      <c r="T131" s="97"/>
      <c r="V131" s="108"/>
    </row>
    <row r="132" ht="15.75" customHeight="1">
      <c r="A132" s="91"/>
      <c r="B132" s="171"/>
      <c r="C132" s="143"/>
      <c r="D132" s="97"/>
      <c r="E132" s="143"/>
      <c r="F132" s="143"/>
      <c r="G132" s="97"/>
      <c r="H132" s="143"/>
      <c r="I132" s="97"/>
      <c r="J132" s="97"/>
      <c r="K132" s="101"/>
      <c r="L132" s="101"/>
      <c r="M132" s="102"/>
      <c r="N132" s="124"/>
      <c r="O132" s="125"/>
      <c r="P132" s="97"/>
      <c r="Q132" s="97"/>
      <c r="R132" s="126"/>
      <c r="S132" s="97"/>
      <c r="T132" s="97"/>
      <c r="V132" s="108"/>
    </row>
    <row r="133" ht="15.75" customHeight="1">
      <c r="A133" s="91"/>
      <c r="B133" s="171"/>
      <c r="C133" s="143"/>
      <c r="D133" s="97"/>
      <c r="E133" s="143"/>
      <c r="F133" s="143"/>
      <c r="G133" s="97"/>
      <c r="H133" s="143"/>
      <c r="I133" s="97"/>
      <c r="J133" s="97"/>
      <c r="K133" s="114"/>
      <c r="L133" s="114"/>
      <c r="M133" s="102"/>
      <c r="N133" s="124"/>
      <c r="O133" s="125"/>
      <c r="P133" s="97"/>
      <c r="Q133" s="97"/>
      <c r="R133" s="126"/>
      <c r="S133" s="97"/>
      <c r="T133" s="97"/>
      <c r="V133" s="108"/>
    </row>
    <row r="134" ht="15.75" customHeight="1">
      <c r="A134" s="91"/>
      <c r="B134" s="171"/>
      <c r="C134" s="143"/>
      <c r="D134" s="97"/>
      <c r="E134" s="143"/>
      <c r="F134" s="143"/>
      <c r="G134" s="97"/>
      <c r="H134" s="143"/>
      <c r="I134" s="97"/>
      <c r="J134" s="97"/>
      <c r="K134" s="101"/>
      <c r="L134" s="101"/>
      <c r="M134" s="102"/>
      <c r="N134" s="124"/>
      <c r="O134" s="125"/>
      <c r="P134" s="97"/>
      <c r="Q134" s="131"/>
      <c r="R134" s="126"/>
      <c r="S134" s="97"/>
      <c r="T134" s="97"/>
      <c r="V134" s="108"/>
    </row>
    <row r="135" ht="15.75" customHeight="1">
      <c r="A135" s="91"/>
      <c r="B135" s="171"/>
      <c r="C135" s="108"/>
      <c r="D135" s="97"/>
      <c r="E135" s="143"/>
      <c r="F135" s="143"/>
      <c r="G135" s="97"/>
      <c r="H135" s="143"/>
      <c r="I135" s="97"/>
      <c r="J135" s="97"/>
      <c r="K135" s="114"/>
      <c r="L135" s="114"/>
      <c r="M135" s="102"/>
      <c r="N135" s="124"/>
      <c r="O135" s="125"/>
      <c r="P135" s="97"/>
      <c r="Q135" s="97"/>
      <c r="R135" s="126"/>
      <c r="S135" s="97"/>
      <c r="T135" s="97"/>
      <c r="V135" s="108"/>
    </row>
    <row r="136" ht="15.75" customHeight="1">
      <c r="A136" s="91"/>
      <c r="B136" s="171"/>
      <c r="C136" s="108"/>
      <c r="D136" s="97"/>
      <c r="E136" s="143"/>
      <c r="F136" s="143"/>
      <c r="G136" s="97"/>
      <c r="H136" s="143"/>
      <c r="I136" s="97"/>
      <c r="J136" s="97"/>
      <c r="K136" s="101"/>
      <c r="L136" s="101"/>
      <c r="M136" s="102"/>
      <c r="N136" s="124"/>
      <c r="O136" s="125"/>
      <c r="P136" s="97"/>
      <c r="Q136" s="131"/>
      <c r="R136" s="126"/>
      <c r="S136" s="97"/>
      <c r="T136" s="97"/>
      <c r="V136" s="108"/>
    </row>
    <row r="137" ht="15.75" customHeight="1">
      <c r="A137" s="91"/>
      <c r="B137" s="171"/>
      <c r="C137" s="108"/>
      <c r="D137" s="97"/>
      <c r="E137" s="143"/>
      <c r="F137" s="143"/>
      <c r="G137" s="97"/>
      <c r="H137" s="143"/>
      <c r="I137" s="97"/>
      <c r="J137" s="97"/>
      <c r="K137" s="114"/>
      <c r="L137" s="114"/>
      <c r="M137" s="102"/>
      <c r="N137" s="124"/>
      <c r="O137" s="125"/>
      <c r="P137" s="97"/>
      <c r="Q137" s="131"/>
      <c r="R137" s="126"/>
      <c r="S137" s="97"/>
      <c r="T137" s="97"/>
      <c r="V137" s="108"/>
    </row>
    <row r="138" ht="15.75" customHeight="1">
      <c r="A138" s="91"/>
      <c r="B138" s="171"/>
      <c r="C138" s="143"/>
      <c r="D138" s="97"/>
      <c r="E138" s="143"/>
      <c r="F138" s="143"/>
      <c r="G138" s="97"/>
      <c r="H138" s="143"/>
      <c r="I138" s="97"/>
      <c r="J138" s="97"/>
      <c r="K138" s="101"/>
      <c r="L138" s="101"/>
      <c r="M138" s="102"/>
      <c r="N138" s="124"/>
      <c r="O138" s="125"/>
      <c r="P138" s="97"/>
      <c r="Q138" s="131"/>
      <c r="R138" s="126"/>
      <c r="S138" s="97"/>
      <c r="T138" s="97"/>
      <c r="V138" s="108"/>
    </row>
    <row r="139" ht="15.75" customHeight="1">
      <c r="A139" s="91"/>
      <c r="B139" s="171"/>
      <c r="C139" s="143"/>
      <c r="D139" s="97"/>
      <c r="E139" s="143"/>
      <c r="F139" s="143"/>
      <c r="G139" s="97"/>
      <c r="H139" s="143"/>
      <c r="I139" s="97"/>
      <c r="J139" s="97"/>
      <c r="K139" s="114"/>
      <c r="L139" s="114"/>
      <c r="M139" s="102"/>
      <c r="N139" s="124"/>
      <c r="O139" s="125"/>
      <c r="P139" s="97"/>
      <c r="Q139" s="97"/>
      <c r="R139" s="126"/>
      <c r="S139" s="97"/>
      <c r="T139" s="97"/>
      <c r="V139" s="108"/>
    </row>
    <row r="140" ht="15.75" customHeight="1">
      <c r="A140" s="91"/>
      <c r="B140" s="171"/>
      <c r="C140" s="143"/>
      <c r="D140" s="97"/>
      <c r="E140" s="143"/>
      <c r="F140" s="143"/>
      <c r="G140" s="97"/>
      <c r="H140" s="143"/>
      <c r="I140" s="97"/>
      <c r="J140" s="97"/>
      <c r="K140" s="101"/>
      <c r="L140" s="101"/>
      <c r="M140" s="102"/>
      <c r="N140" s="124"/>
      <c r="O140" s="125"/>
      <c r="P140" s="97"/>
      <c r="Q140" s="131"/>
      <c r="R140" s="126"/>
      <c r="S140" s="97"/>
      <c r="T140" s="97"/>
      <c r="V140" s="108"/>
    </row>
    <row r="141" ht="15.75" customHeight="1">
      <c r="A141" s="91"/>
      <c r="B141" s="171"/>
      <c r="C141" s="143"/>
      <c r="D141" s="97"/>
      <c r="E141" s="143"/>
      <c r="F141" s="143"/>
      <c r="G141" s="97"/>
      <c r="H141" s="143"/>
      <c r="I141" s="97"/>
      <c r="J141" s="97"/>
      <c r="K141" s="114"/>
      <c r="L141" s="114"/>
      <c r="M141" s="102"/>
      <c r="N141" s="124"/>
      <c r="O141" s="125"/>
      <c r="P141" s="97"/>
      <c r="Q141" s="97"/>
      <c r="R141" s="126"/>
      <c r="S141" s="97"/>
      <c r="T141" s="97"/>
      <c r="V141" s="108"/>
    </row>
    <row r="142" ht="15.75" customHeight="1">
      <c r="A142" s="91"/>
      <c r="B142" s="171"/>
      <c r="C142" s="143"/>
      <c r="D142" s="97"/>
      <c r="E142" s="143"/>
      <c r="F142" s="172"/>
      <c r="G142" s="97"/>
      <c r="H142" s="143"/>
      <c r="I142" s="97"/>
      <c r="J142" s="97"/>
      <c r="K142" s="101"/>
      <c r="L142" s="101"/>
      <c r="M142" s="102"/>
      <c r="N142" s="124"/>
      <c r="O142" s="125"/>
      <c r="P142" s="97"/>
      <c r="Q142" s="131"/>
      <c r="R142" s="126"/>
      <c r="S142" s="97"/>
      <c r="T142" s="97"/>
      <c r="V142" s="108"/>
    </row>
    <row r="143" ht="15.75" customHeight="1">
      <c r="A143" s="91"/>
      <c r="B143" s="171"/>
      <c r="C143" s="108"/>
      <c r="D143" s="97"/>
      <c r="E143" s="143"/>
      <c r="F143" s="143"/>
      <c r="G143" s="97"/>
      <c r="H143" s="143"/>
      <c r="I143" s="97"/>
      <c r="J143" s="97"/>
      <c r="K143" s="114"/>
      <c r="L143" s="114"/>
      <c r="M143" s="102"/>
      <c r="N143" s="124"/>
      <c r="O143" s="125"/>
      <c r="P143" s="97"/>
      <c r="Q143" s="97"/>
      <c r="R143" s="126"/>
      <c r="S143" s="97"/>
      <c r="T143" s="97"/>
      <c r="V143" s="108"/>
    </row>
    <row r="144" ht="15.75" customHeight="1">
      <c r="A144" s="91"/>
      <c r="B144" s="171"/>
      <c r="C144" s="108"/>
      <c r="D144" s="97"/>
      <c r="E144" s="143"/>
      <c r="F144" s="143"/>
      <c r="G144" s="97"/>
      <c r="H144" s="143"/>
      <c r="I144" s="97"/>
      <c r="J144" s="97"/>
      <c r="K144" s="101"/>
      <c r="L144" s="101"/>
      <c r="M144" s="102"/>
      <c r="N144" s="124"/>
      <c r="O144" s="125"/>
      <c r="P144" s="97"/>
      <c r="Q144" s="131"/>
      <c r="R144" s="126"/>
      <c r="S144" s="97"/>
      <c r="T144" s="97"/>
      <c r="V144" s="108"/>
    </row>
    <row r="145" ht="15.75" customHeight="1">
      <c r="A145" s="91"/>
      <c r="B145" s="171"/>
      <c r="C145" s="143"/>
      <c r="D145" s="97"/>
      <c r="E145" s="143"/>
      <c r="F145" s="143"/>
      <c r="G145" s="97"/>
      <c r="H145" s="143"/>
      <c r="I145" s="97"/>
      <c r="J145" s="97"/>
      <c r="K145" s="114"/>
      <c r="L145" s="114"/>
      <c r="M145" s="102"/>
      <c r="N145" s="124"/>
      <c r="O145" s="125"/>
      <c r="P145" s="97"/>
      <c r="Q145" s="131"/>
      <c r="R145" s="126"/>
      <c r="S145" s="97"/>
      <c r="T145" s="97"/>
      <c r="V145" s="108"/>
    </row>
    <row r="146" ht="15.75" customHeight="1">
      <c r="A146" s="91"/>
      <c r="B146" s="171"/>
      <c r="C146" s="143"/>
      <c r="D146" s="97"/>
      <c r="E146" s="143"/>
      <c r="F146" s="143"/>
      <c r="G146" s="97"/>
      <c r="H146" s="143"/>
      <c r="I146" s="97"/>
      <c r="J146" s="97"/>
      <c r="K146" s="101"/>
      <c r="L146" s="101"/>
      <c r="M146" s="102"/>
      <c r="N146" s="124"/>
      <c r="O146" s="125"/>
      <c r="P146" s="97"/>
      <c r="Q146" s="131"/>
      <c r="R146" s="126"/>
      <c r="S146" s="97"/>
      <c r="T146" s="97"/>
      <c r="V146" s="108"/>
    </row>
    <row r="147" ht="15.75" customHeight="1">
      <c r="A147" s="91"/>
      <c r="B147" s="171"/>
      <c r="C147" s="143"/>
      <c r="D147" s="97"/>
      <c r="E147" s="143"/>
      <c r="F147" s="143"/>
      <c r="G147" s="97"/>
      <c r="H147" s="143"/>
      <c r="I147" s="97"/>
      <c r="J147" s="97"/>
      <c r="K147" s="114"/>
      <c r="L147" s="114"/>
      <c r="M147" s="102"/>
      <c r="N147" s="124"/>
      <c r="O147" s="125"/>
      <c r="P147" s="97"/>
      <c r="Q147" s="131"/>
      <c r="R147" s="126"/>
      <c r="S147" s="97"/>
      <c r="T147" s="97"/>
      <c r="V147" s="108"/>
    </row>
    <row r="148" ht="15.75" customHeight="1">
      <c r="A148" s="91"/>
      <c r="B148" s="171"/>
      <c r="C148" s="143"/>
      <c r="D148" s="97"/>
      <c r="E148" s="143"/>
      <c r="F148" s="143"/>
      <c r="G148" s="97"/>
      <c r="H148" s="143"/>
      <c r="I148" s="97"/>
      <c r="J148" s="97"/>
      <c r="K148" s="101"/>
      <c r="L148" s="101"/>
      <c r="M148" s="102"/>
      <c r="N148" s="124"/>
      <c r="O148" s="125"/>
      <c r="P148" s="97"/>
      <c r="Q148" s="131"/>
      <c r="R148" s="126"/>
      <c r="S148" s="97"/>
      <c r="T148" s="97"/>
      <c r="V148" s="108"/>
    </row>
    <row r="149" ht="15.75" customHeight="1">
      <c r="A149" s="91"/>
      <c r="B149" s="171"/>
      <c r="C149" s="143"/>
      <c r="D149" s="97"/>
      <c r="E149" s="143"/>
      <c r="F149" s="143"/>
      <c r="G149" s="97"/>
      <c r="H149" s="143"/>
      <c r="I149" s="97"/>
      <c r="J149" s="97"/>
      <c r="K149" s="114"/>
      <c r="L149" s="114"/>
      <c r="M149" s="102"/>
      <c r="N149" s="124"/>
      <c r="O149" s="125"/>
      <c r="P149" s="97"/>
      <c r="Q149" s="131"/>
      <c r="R149" s="126"/>
      <c r="S149" s="97"/>
      <c r="T149" s="97"/>
      <c r="V149" s="108"/>
    </row>
    <row r="150" ht="15.75" customHeight="1">
      <c r="A150" s="91"/>
      <c r="B150" s="171"/>
      <c r="C150" s="108"/>
      <c r="D150" s="97"/>
      <c r="E150" s="143"/>
      <c r="F150" s="143"/>
      <c r="G150" s="97"/>
      <c r="H150" s="143"/>
      <c r="I150" s="97"/>
      <c r="J150" s="97"/>
      <c r="K150" s="101"/>
      <c r="L150" s="101"/>
      <c r="M150" s="102"/>
      <c r="N150" s="124"/>
      <c r="O150" s="125"/>
      <c r="P150" s="97"/>
      <c r="Q150" s="131"/>
      <c r="R150" s="126"/>
      <c r="S150" s="97"/>
      <c r="T150" s="97"/>
      <c r="V150" s="108"/>
    </row>
    <row r="151" ht="15.75" customHeight="1">
      <c r="A151" s="91"/>
      <c r="B151" s="171"/>
      <c r="C151" s="143"/>
      <c r="D151" s="97"/>
      <c r="E151" s="143"/>
      <c r="F151" s="143"/>
      <c r="G151" s="97"/>
      <c r="H151" s="143"/>
      <c r="I151" s="97"/>
      <c r="J151" s="97"/>
      <c r="K151" s="114"/>
      <c r="L151" s="114"/>
      <c r="M151" s="102"/>
      <c r="N151" s="124"/>
      <c r="O151" s="125"/>
      <c r="P151" s="97"/>
      <c r="Q151" s="131"/>
      <c r="R151" s="126"/>
      <c r="S151" s="97"/>
      <c r="T151" s="97"/>
      <c r="V151" s="108"/>
    </row>
    <row r="152" ht="15.75" customHeight="1">
      <c r="A152" s="91"/>
      <c r="B152" s="171"/>
      <c r="C152" s="143"/>
      <c r="D152" s="97"/>
      <c r="E152" s="143"/>
      <c r="F152" s="143"/>
      <c r="G152" s="97"/>
      <c r="H152" s="143"/>
      <c r="I152" s="97"/>
      <c r="J152" s="97"/>
      <c r="K152" s="101"/>
      <c r="L152" s="101"/>
      <c r="M152" s="102"/>
      <c r="N152" s="124"/>
      <c r="O152" s="125"/>
      <c r="P152" s="97"/>
      <c r="Q152" s="131"/>
      <c r="R152" s="126"/>
      <c r="S152" s="97"/>
      <c r="T152" s="97"/>
      <c r="V152" s="108"/>
    </row>
    <row r="153" ht="15.75" customHeight="1">
      <c r="A153" s="91"/>
      <c r="B153" s="171"/>
      <c r="C153" s="143"/>
      <c r="D153" s="97"/>
      <c r="E153" s="143"/>
      <c r="F153" s="143"/>
      <c r="G153" s="97"/>
      <c r="H153" s="143"/>
      <c r="I153" s="97"/>
      <c r="J153" s="97"/>
      <c r="K153" s="114"/>
      <c r="L153" s="114"/>
      <c r="M153" s="102"/>
      <c r="N153" s="124"/>
      <c r="O153" s="125"/>
      <c r="P153" s="97"/>
      <c r="Q153" s="131"/>
      <c r="R153" s="126"/>
      <c r="S153" s="97"/>
      <c r="T153" s="97"/>
      <c r="V153" s="108"/>
    </row>
    <row r="154" ht="15.75" customHeight="1">
      <c r="A154" s="91"/>
      <c r="B154" s="171"/>
      <c r="C154" s="143"/>
      <c r="D154" s="97"/>
      <c r="E154" s="143"/>
      <c r="F154" s="143"/>
      <c r="G154" s="97"/>
      <c r="H154" s="143"/>
      <c r="I154" s="97"/>
      <c r="J154" s="97"/>
      <c r="K154" s="101"/>
      <c r="L154" s="101"/>
      <c r="M154" s="102"/>
      <c r="N154" s="124"/>
      <c r="O154" s="125"/>
      <c r="P154" s="97"/>
      <c r="Q154" s="131"/>
      <c r="R154" s="126"/>
      <c r="S154" s="97"/>
      <c r="T154" s="97"/>
      <c r="V154" s="108"/>
    </row>
    <row r="155" ht="15.75" customHeight="1">
      <c r="A155" s="91"/>
      <c r="B155" s="171"/>
      <c r="C155" s="143"/>
      <c r="D155" s="97"/>
      <c r="E155" s="143"/>
      <c r="F155" s="143"/>
      <c r="G155" s="97"/>
      <c r="H155" s="143"/>
      <c r="I155" s="97"/>
      <c r="J155" s="97"/>
      <c r="K155" s="114"/>
      <c r="L155" s="114"/>
      <c r="M155" s="102"/>
      <c r="N155" s="124"/>
      <c r="O155" s="125"/>
      <c r="P155" s="97"/>
      <c r="Q155" s="131"/>
      <c r="R155" s="126"/>
      <c r="S155" s="97"/>
      <c r="T155" s="97"/>
      <c r="V155" s="108"/>
    </row>
    <row r="156" ht="15.75" customHeight="1">
      <c r="A156" s="91"/>
      <c r="B156" s="171"/>
      <c r="C156" s="108"/>
      <c r="D156" s="97"/>
      <c r="E156" s="143"/>
      <c r="F156" s="143"/>
      <c r="G156" s="97"/>
      <c r="H156" s="143"/>
      <c r="I156" s="97"/>
      <c r="J156" s="97"/>
      <c r="K156" s="101"/>
      <c r="L156" s="101"/>
      <c r="M156" s="102"/>
      <c r="N156" s="124"/>
      <c r="O156" s="125"/>
      <c r="P156" s="97"/>
      <c r="Q156" s="131"/>
      <c r="R156" s="126"/>
      <c r="S156" s="97"/>
      <c r="T156" s="97"/>
      <c r="V156" s="108"/>
    </row>
    <row r="157" ht="15.75" customHeight="1">
      <c r="A157" s="91"/>
      <c r="B157" s="171"/>
      <c r="C157" s="143"/>
      <c r="D157" s="97"/>
      <c r="E157" s="143"/>
      <c r="F157" s="143"/>
      <c r="G157" s="97"/>
      <c r="H157" s="143"/>
      <c r="I157" s="97"/>
      <c r="J157" s="97"/>
      <c r="K157" s="114"/>
      <c r="L157" s="114"/>
      <c r="M157" s="102"/>
      <c r="N157" s="124"/>
      <c r="O157" s="125"/>
      <c r="P157" s="97"/>
      <c r="Q157" s="131"/>
      <c r="R157" s="126"/>
      <c r="S157" s="97"/>
      <c r="T157" s="97"/>
      <c r="V157" s="108"/>
    </row>
    <row r="158" ht="15.75" customHeight="1">
      <c r="A158" s="91"/>
      <c r="B158" s="171"/>
      <c r="C158" s="143"/>
      <c r="D158" s="97"/>
      <c r="E158" s="143"/>
      <c r="F158" s="143"/>
      <c r="G158" s="97"/>
      <c r="H158" s="143"/>
      <c r="I158" s="97"/>
      <c r="J158" s="97"/>
      <c r="K158" s="101"/>
      <c r="L158" s="101"/>
      <c r="M158" s="102"/>
      <c r="N158" s="124"/>
      <c r="O158" s="125"/>
      <c r="P158" s="97"/>
      <c r="Q158" s="131"/>
      <c r="R158" s="126"/>
      <c r="S158" s="97"/>
      <c r="T158" s="97"/>
      <c r="V158" s="108"/>
    </row>
    <row r="159" ht="15.75" customHeight="1">
      <c r="A159" s="91"/>
      <c r="B159" s="171"/>
      <c r="C159" s="143"/>
      <c r="D159" s="97"/>
      <c r="E159" s="143"/>
      <c r="F159" s="143"/>
      <c r="G159" s="97"/>
      <c r="H159" s="143"/>
      <c r="I159" s="97"/>
      <c r="J159" s="97"/>
      <c r="K159" s="114"/>
      <c r="L159" s="114"/>
      <c r="M159" s="102"/>
      <c r="N159" s="124"/>
      <c r="O159" s="125"/>
      <c r="P159" s="97"/>
      <c r="Q159" s="131"/>
      <c r="R159" s="126"/>
      <c r="S159" s="97"/>
      <c r="T159" s="97"/>
      <c r="V159" s="108"/>
    </row>
    <row r="160" ht="15.75" customHeight="1">
      <c r="A160" s="91"/>
      <c r="B160" s="171"/>
      <c r="C160" s="143"/>
      <c r="D160" s="97"/>
      <c r="E160" s="143"/>
      <c r="F160" s="143"/>
      <c r="G160" s="97"/>
      <c r="H160" s="143"/>
      <c r="I160" s="97"/>
      <c r="J160" s="97"/>
      <c r="K160" s="101"/>
      <c r="L160" s="101"/>
      <c r="M160" s="102"/>
      <c r="N160" s="124"/>
      <c r="O160" s="125"/>
      <c r="P160" s="97"/>
      <c r="Q160" s="131"/>
      <c r="R160" s="126"/>
      <c r="S160" s="97"/>
      <c r="T160" s="97"/>
      <c r="V160" s="108"/>
    </row>
    <row r="161" ht="15.75" customHeight="1">
      <c r="A161" s="91"/>
      <c r="B161" s="171"/>
      <c r="C161" s="143"/>
      <c r="D161" s="97"/>
      <c r="E161" s="143"/>
      <c r="F161" s="143"/>
      <c r="G161" s="97"/>
      <c r="H161" s="143"/>
      <c r="I161" s="97"/>
      <c r="J161" s="97"/>
      <c r="K161" s="114"/>
      <c r="L161" s="114"/>
      <c r="M161" s="102"/>
      <c r="N161" s="124"/>
      <c r="O161" s="125"/>
      <c r="P161" s="97"/>
      <c r="Q161" s="131"/>
      <c r="R161" s="126"/>
      <c r="S161" s="97"/>
      <c r="T161" s="97"/>
      <c r="V161" s="108"/>
    </row>
    <row r="162" ht="15.75" customHeight="1">
      <c r="A162" s="91"/>
      <c r="B162" s="171"/>
      <c r="C162" s="108"/>
      <c r="D162" s="97"/>
      <c r="E162" s="143"/>
      <c r="F162" s="143"/>
      <c r="G162" s="97"/>
      <c r="H162" s="143"/>
      <c r="I162" s="97"/>
      <c r="J162" s="97"/>
      <c r="K162" s="101"/>
      <c r="L162" s="101"/>
      <c r="M162" s="102"/>
      <c r="N162" s="124"/>
      <c r="O162" s="125"/>
      <c r="P162" s="97"/>
      <c r="Q162" s="131"/>
      <c r="R162" s="126"/>
      <c r="S162" s="97"/>
      <c r="T162" s="97"/>
      <c r="V162" s="108"/>
    </row>
    <row r="163" ht="15.75" customHeight="1">
      <c r="A163" s="91"/>
      <c r="B163" s="171"/>
      <c r="C163" s="143"/>
      <c r="D163" s="97"/>
      <c r="E163" s="143"/>
      <c r="F163" s="143"/>
      <c r="G163" s="97"/>
      <c r="H163" s="143"/>
      <c r="I163" s="97"/>
      <c r="J163" s="97"/>
      <c r="K163" s="114"/>
      <c r="L163" s="114"/>
      <c r="M163" s="102"/>
      <c r="N163" s="124"/>
      <c r="O163" s="125"/>
      <c r="P163" s="97"/>
      <c r="Q163" s="131"/>
      <c r="R163" s="126"/>
      <c r="S163" s="97"/>
      <c r="T163" s="97"/>
      <c r="V163" s="108"/>
    </row>
    <row r="164" ht="15.75" customHeight="1">
      <c r="A164" s="91"/>
      <c r="B164" s="171"/>
      <c r="C164" s="143"/>
      <c r="D164" s="97"/>
      <c r="E164" s="143"/>
      <c r="F164" s="143"/>
      <c r="G164" s="97"/>
      <c r="H164" s="143"/>
      <c r="I164" s="97"/>
      <c r="J164" s="97"/>
      <c r="K164" s="101"/>
      <c r="L164" s="101"/>
      <c r="M164" s="102"/>
      <c r="N164" s="124"/>
      <c r="O164" s="125"/>
      <c r="P164" s="97"/>
      <c r="Q164" s="131"/>
      <c r="R164" s="126"/>
      <c r="S164" s="97"/>
      <c r="T164" s="97"/>
      <c r="V164" s="108"/>
    </row>
    <row r="165" ht="15.75" customHeight="1">
      <c r="A165" s="91"/>
      <c r="B165" s="171"/>
      <c r="C165" s="143"/>
      <c r="D165" s="97"/>
      <c r="E165" s="143"/>
      <c r="F165" s="143"/>
      <c r="G165" s="97"/>
      <c r="H165" s="143"/>
      <c r="I165" s="97"/>
      <c r="J165" s="97"/>
      <c r="K165" s="114"/>
      <c r="L165" s="114"/>
      <c r="M165" s="102"/>
      <c r="N165" s="124"/>
      <c r="O165" s="125"/>
      <c r="P165" s="97"/>
      <c r="Q165" s="131"/>
      <c r="R165" s="126"/>
      <c r="S165" s="97"/>
      <c r="T165" s="97"/>
      <c r="V165" s="108"/>
    </row>
    <row r="166" ht="15.75" customHeight="1">
      <c r="A166" s="91"/>
      <c r="B166" s="171"/>
      <c r="C166" s="143"/>
      <c r="D166" s="97"/>
      <c r="E166" s="143"/>
      <c r="F166" s="143"/>
      <c r="G166" s="97"/>
      <c r="H166" s="143"/>
      <c r="I166" s="97"/>
      <c r="J166" s="97"/>
      <c r="K166" s="101"/>
      <c r="L166" s="101"/>
      <c r="M166" s="102"/>
      <c r="N166" s="124"/>
      <c r="O166" s="125"/>
      <c r="P166" s="97"/>
      <c r="Q166" s="131"/>
      <c r="R166" s="126"/>
      <c r="S166" s="97"/>
      <c r="T166" s="97"/>
      <c r="V166" s="108"/>
    </row>
    <row r="167" ht="15.75" customHeight="1">
      <c r="A167" s="91"/>
      <c r="B167" s="171"/>
      <c r="C167" s="143"/>
      <c r="D167" s="97"/>
      <c r="E167" s="143"/>
      <c r="F167" s="143"/>
      <c r="G167" s="97"/>
      <c r="H167" s="143"/>
      <c r="I167" s="97"/>
      <c r="J167" s="97"/>
      <c r="K167" s="114"/>
      <c r="L167" s="114"/>
      <c r="M167" s="102"/>
      <c r="N167" s="124"/>
      <c r="O167" s="125"/>
      <c r="P167" s="97"/>
      <c r="Q167" s="131"/>
      <c r="R167" s="126"/>
      <c r="S167" s="97"/>
      <c r="T167" s="97"/>
      <c r="V167" s="108"/>
    </row>
    <row r="168" ht="15.75" customHeight="1">
      <c r="A168" s="91"/>
      <c r="B168" s="171"/>
      <c r="C168" s="108"/>
      <c r="D168" s="97"/>
      <c r="E168" s="143"/>
      <c r="F168" s="143"/>
      <c r="G168" s="97"/>
      <c r="H168" s="143"/>
      <c r="I168" s="97"/>
      <c r="J168" s="97"/>
      <c r="K168" s="101"/>
      <c r="L168" s="101"/>
      <c r="M168" s="102"/>
      <c r="N168" s="124"/>
      <c r="O168" s="125"/>
      <c r="P168" s="97"/>
      <c r="Q168" s="131"/>
      <c r="R168" s="126"/>
      <c r="S168" s="97"/>
      <c r="T168" s="97"/>
      <c r="V168" s="108"/>
    </row>
    <row r="169" ht="15.75" customHeight="1">
      <c r="A169" s="91"/>
      <c r="B169" s="171"/>
      <c r="C169" s="143"/>
      <c r="D169" s="97"/>
      <c r="E169" s="143"/>
      <c r="F169" s="143"/>
      <c r="G169" s="97"/>
      <c r="H169" s="143"/>
      <c r="I169" s="97"/>
      <c r="J169" s="97"/>
      <c r="K169" s="114"/>
      <c r="L169" s="114"/>
      <c r="M169" s="102"/>
      <c r="N169" s="124"/>
      <c r="O169" s="125"/>
      <c r="P169" s="97"/>
      <c r="Q169" s="131"/>
      <c r="R169" s="126"/>
      <c r="S169" s="97"/>
      <c r="T169" s="97"/>
      <c r="V169" s="108"/>
    </row>
    <row r="170" ht="15.75" customHeight="1">
      <c r="A170" s="91"/>
      <c r="B170" s="171"/>
      <c r="C170" s="143"/>
      <c r="D170" s="97"/>
      <c r="E170" s="143"/>
      <c r="F170" s="143"/>
      <c r="G170" s="97"/>
      <c r="H170" s="143"/>
      <c r="I170" s="97"/>
      <c r="J170" s="97"/>
      <c r="K170" s="101"/>
      <c r="L170" s="101"/>
      <c r="M170" s="102"/>
      <c r="N170" s="124"/>
      <c r="O170" s="125"/>
      <c r="P170" s="97"/>
      <c r="Q170" s="131"/>
      <c r="R170" s="126"/>
      <c r="S170" s="97"/>
      <c r="T170" s="97"/>
      <c r="V170" s="108"/>
    </row>
    <row r="171" ht="15.75" customHeight="1">
      <c r="A171" s="91"/>
      <c r="B171" s="171"/>
      <c r="C171" s="143"/>
      <c r="D171" s="97"/>
      <c r="E171" s="143"/>
      <c r="F171" s="143"/>
      <c r="G171" s="97"/>
      <c r="H171" s="143"/>
      <c r="I171" s="97"/>
      <c r="J171" s="97"/>
      <c r="K171" s="114"/>
      <c r="L171" s="114"/>
      <c r="M171" s="102"/>
      <c r="N171" s="124"/>
      <c r="O171" s="125"/>
      <c r="P171" s="97"/>
      <c r="Q171" s="131"/>
      <c r="R171" s="126"/>
      <c r="S171" s="97"/>
      <c r="T171" s="97"/>
      <c r="V171" s="108"/>
    </row>
    <row r="172" ht="15.75" customHeight="1">
      <c r="A172" s="91"/>
      <c r="B172" s="171"/>
      <c r="C172" s="143"/>
      <c r="D172" s="97"/>
      <c r="E172" s="143"/>
      <c r="F172" s="143"/>
      <c r="G172" s="97"/>
      <c r="H172" s="143"/>
      <c r="I172" s="97"/>
      <c r="J172" s="97"/>
      <c r="K172" s="101"/>
      <c r="L172" s="101"/>
      <c r="M172" s="102"/>
      <c r="N172" s="124"/>
      <c r="O172" s="125"/>
      <c r="P172" s="97"/>
      <c r="Q172" s="131"/>
      <c r="R172" s="126"/>
      <c r="S172" s="97"/>
      <c r="T172" s="97"/>
      <c r="V172" s="108"/>
    </row>
    <row r="173" ht="15.75" customHeight="1">
      <c r="A173" s="91"/>
      <c r="B173" s="171"/>
      <c r="C173" s="143"/>
      <c r="D173" s="97"/>
      <c r="E173" s="143"/>
      <c r="F173" s="143"/>
      <c r="G173" s="97"/>
      <c r="H173" s="143"/>
      <c r="I173" s="97"/>
      <c r="J173" s="97"/>
      <c r="K173" s="114"/>
      <c r="L173" s="114"/>
      <c r="M173" s="102"/>
      <c r="N173" s="124"/>
      <c r="O173" s="125"/>
      <c r="P173" s="97"/>
      <c r="Q173" s="131"/>
      <c r="R173" s="126"/>
      <c r="S173" s="97"/>
      <c r="T173" s="97"/>
      <c r="V173" s="108"/>
    </row>
    <row r="174" ht="15.75" customHeight="1">
      <c r="A174" s="91"/>
      <c r="B174" s="171"/>
      <c r="C174" s="108"/>
      <c r="D174" s="97"/>
      <c r="E174" s="143"/>
      <c r="F174" s="143"/>
      <c r="G174" s="97"/>
      <c r="H174" s="143"/>
      <c r="I174" s="97"/>
      <c r="J174" s="97"/>
      <c r="K174" s="101"/>
      <c r="L174" s="101"/>
      <c r="M174" s="102"/>
      <c r="N174" s="124"/>
      <c r="O174" s="125"/>
      <c r="P174" s="97"/>
      <c r="Q174" s="131"/>
      <c r="R174" s="126"/>
      <c r="S174" s="97"/>
      <c r="T174" s="97"/>
      <c r="V174" s="108"/>
    </row>
    <row r="175" ht="15.75" customHeight="1">
      <c r="A175" s="91"/>
      <c r="B175" s="171"/>
      <c r="C175" s="143"/>
      <c r="D175" s="97"/>
      <c r="E175" s="143"/>
      <c r="F175" s="143"/>
      <c r="G175" s="97"/>
      <c r="H175" s="143"/>
      <c r="I175" s="97"/>
      <c r="J175" s="97"/>
      <c r="K175" s="114"/>
      <c r="L175" s="114"/>
      <c r="M175" s="102"/>
      <c r="N175" s="124"/>
      <c r="O175" s="125"/>
      <c r="P175" s="97"/>
      <c r="Q175" s="131"/>
      <c r="R175" s="126"/>
      <c r="S175" s="97"/>
      <c r="T175" s="97"/>
      <c r="V175" s="108"/>
    </row>
    <row r="176" ht="15.75" customHeight="1">
      <c r="A176" s="91"/>
      <c r="B176" s="171"/>
      <c r="C176" s="143"/>
      <c r="D176" s="97"/>
      <c r="E176" s="143"/>
      <c r="F176" s="143"/>
      <c r="G176" s="97"/>
      <c r="H176" s="143"/>
      <c r="I176" s="97"/>
      <c r="J176" s="97"/>
      <c r="K176" s="101"/>
      <c r="L176" s="101"/>
      <c r="M176" s="102"/>
      <c r="N176" s="124"/>
      <c r="O176" s="125"/>
      <c r="P176" s="97"/>
      <c r="Q176" s="131"/>
      <c r="R176" s="126"/>
      <c r="S176" s="97"/>
      <c r="T176" s="97"/>
      <c r="V176" s="108"/>
    </row>
    <row r="177" ht="15.75" customHeight="1">
      <c r="A177" s="91"/>
      <c r="B177" s="171"/>
      <c r="C177" s="143"/>
      <c r="D177" s="97"/>
      <c r="E177" s="143"/>
      <c r="F177" s="143"/>
      <c r="G177" s="97"/>
      <c r="H177" s="143"/>
      <c r="I177" s="97"/>
      <c r="J177" s="97"/>
      <c r="K177" s="114"/>
      <c r="L177" s="114"/>
      <c r="M177" s="102"/>
      <c r="N177" s="124"/>
      <c r="O177" s="125"/>
      <c r="P177" s="97"/>
      <c r="Q177" s="131"/>
      <c r="R177" s="126"/>
      <c r="S177" s="97"/>
      <c r="T177" s="97"/>
      <c r="V177" s="108"/>
    </row>
    <row r="178" ht="15.75" customHeight="1">
      <c r="A178" s="91"/>
      <c r="B178" s="171"/>
      <c r="C178" s="143"/>
      <c r="D178" s="97"/>
      <c r="E178" s="143"/>
      <c r="F178" s="143"/>
      <c r="G178" s="97"/>
      <c r="H178" s="143"/>
      <c r="I178" s="97"/>
      <c r="J178" s="97"/>
      <c r="K178" s="101"/>
      <c r="L178" s="101"/>
      <c r="M178" s="102"/>
      <c r="N178" s="124"/>
      <c r="O178" s="125"/>
      <c r="P178" s="97"/>
      <c r="Q178" s="131"/>
      <c r="R178" s="126"/>
      <c r="S178" s="97"/>
      <c r="T178" s="97"/>
      <c r="V178" s="108"/>
    </row>
    <row r="179" ht="15.75" customHeight="1">
      <c r="A179" s="91"/>
      <c r="B179" s="171"/>
      <c r="C179" s="143"/>
      <c r="D179" s="97"/>
      <c r="E179" s="143"/>
      <c r="F179" s="143"/>
      <c r="G179" s="97"/>
      <c r="H179" s="143"/>
      <c r="I179" s="97"/>
      <c r="J179" s="97"/>
      <c r="K179" s="114"/>
      <c r="L179" s="114"/>
      <c r="M179" s="102"/>
      <c r="N179" s="124"/>
      <c r="O179" s="125"/>
      <c r="P179" s="97"/>
      <c r="Q179" s="131"/>
      <c r="R179" s="126"/>
      <c r="S179" s="97"/>
      <c r="T179" s="97"/>
      <c r="V179" s="108"/>
    </row>
    <row r="180" ht="15.75" customHeight="1">
      <c r="A180" s="91"/>
      <c r="B180" s="171"/>
      <c r="C180" s="108"/>
      <c r="D180" s="97"/>
      <c r="E180" s="143"/>
      <c r="F180" s="143"/>
      <c r="G180" s="97"/>
      <c r="H180" s="143"/>
      <c r="I180" s="97"/>
      <c r="J180" s="97"/>
      <c r="K180" s="101"/>
      <c r="L180" s="101"/>
      <c r="M180" s="102"/>
      <c r="N180" s="124"/>
      <c r="O180" s="125"/>
      <c r="P180" s="97"/>
      <c r="Q180" s="131"/>
      <c r="R180" s="126"/>
      <c r="S180" s="97"/>
      <c r="T180" s="97"/>
      <c r="V180" s="108"/>
    </row>
    <row r="181" ht="15.75" customHeight="1">
      <c r="A181" s="91"/>
      <c r="B181" s="171"/>
      <c r="C181" s="143"/>
      <c r="D181" s="97"/>
      <c r="E181" s="143"/>
      <c r="F181" s="143"/>
      <c r="G181" s="97"/>
      <c r="H181" s="143"/>
      <c r="I181" s="97"/>
      <c r="J181" s="97"/>
      <c r="K181" s="114"/>
      <c r="L181" s="114"/>
      <c r="M181" s="102"/>
      <c r="N181" s="124"/>
      <c r="O181" s="125"/>
      <c r="P181" s="97"/>
      <c r="Q181" s="131"/>
      <c r="R181" s="126"/>
      <c r="S181" s="97"/>
      <c r="T181" s="97"/>
      <c r="V181" s="108"/>
    </row>
    <row r="182" ht="15.75" customHeight="1">
      <c r="A182" s="91"/>
      <c r="B182" s="171"/>
      <c r="C182" s="143"/>
      <c r="D182" s="97"/>
      <c r="E182" s="143"/>
      <c r="F182" s="143"/>
      <c r="G182" s="97"/>
      <c r="H182" s="143"/>
      <c r="I182" s="97"/>
      <c r="J182" s="97"/>
      <c r="K182" s="101"/>
      <c r="L182" s="101"/>
      <c r="M182" s="102"/>
      <c r="N182" s="124"/>
      <c r="O182" s="125"/>
      <c r="P182" s="97"/>
      <c r="Q182" s="131"/>
      <c r="R182" s="126"/>
      <c r="S182" s="97"/>
      <c r="T182" s="97"/>
      <c r="V182" s="108"/>
    </row>
    <row r="183" ht="15.75" customHeight="1">
      <c r="A183" s="91"/>
      <c r="B183" s="171"/>
      <c r="C183" s="143"/>
      <c r="D183" s="97"/>
      <c r="E183" s="143"/>
      <c r="F183" s="143"/>
      <c r="G183" s="97"/>
      <c r="H183" s="143"/>
      <c r="I183" s="97"/>
      <c r="J183" s="97"/>
      <c r="K183" s="114"/>
      <c r="L183" s="114"/>
      <c r="M183" s="102"/>
      <c r="N183" s="124"/>
      <c r="O183" s="125"/>
      <c r="P183" s="97"/>
      <c r="Q183" s="131"/>
      <c r="R183" s="126"/>
      <c r="S183" s="97"/>
      <c r="T183" s="97"/>
      <c r="V183" s="108"/>
    </row>
    <row r="184" ht="15.75" customHeight="1">
      <c r="A184" s="91"/>
      <c r="B184" s="171"/>
      <c r="C184" s="143"/>
      <c r="D184" s="97"/>
      <c r="E184" s="143"/>
      <c r="F184" s="143"/>
      <c r="G184" s="97"/>
      <c r="H184" s="143"/>
      <c r="I184" s="97"/>
      <c r="J184" s="97"/>
      <c r="K184" s="101"/>
      <c r="L184" s="101"/>
      <c r="M184" s="102"/>
      <c r="N184" s="124"/>
      <c r="O184" s="125"/>
      <c r="P184" s="97"/>
      <c r="Q184" s="131"/>
      <c r="R184" s="126"/>
      <c r="S184" s="97"/>
      <c r="T184" s="97"/>
      <c r="V184" s="108"/>
    </row>
    <row r="185" ht="15.75" customHeight="1">
      <c r="A185" s="91"/>
      <c r="B185" s="171"/>
      <c r="C185" s="143"/>
      <c r="D185" s="97"/>
      <c r="E185" s="143"/>
      <c r="F185" s="143"/>
      <c r="G185" s="97"/>
      <c r="H185" s="143"/>
      <c r="I185" s="97"/>
      <c r="J185" s="97"/>
      <c r="K185" s="114"/>
      <c r="L185" s="114"/>
      <c r="M185" s="102"/>
      <c r="N185" s="124"/>
      <c r="O185" s="125"/>
      <c r="P185" s="97"/>
      <c r="Q185" s="131"/>
      <c r="R185" s="126"/>
      <c r="S185" s="97"/>
      <c r="T185" s="97"/>
      <c r="V185" s="108"/>
    </row>
    <row r="186" ht="15.75" customHeight="1">
      <c r="A186" s="91"/>
      <c r="B186" s="171"/>
      <c r="C186" s="108"/>
      <c r="D186" s="97"/>
      <c r="E186" s="143"/>
      <c r="F186" s="143"/>
      <c r="G186" s="97"/>
      <c r="H186" s="143"/>
      <c r="I186" s="97"/>
      <c r="J186" s="97"/>
      <c r="K186" s="101"/>
      <c r="L186" s="101"/>
      <c r="M186" s="102"/>
      <c r="N186" s="124"/>
      <c r="O186" s="125"/>
      <c r="P186" s="97"/>
      <c r="Q186" s="131"/>
      <c r="R186" s="126"/>
      <c r="S186" s="97"/>
      <c r="T186" s="97"/>
      <c r="V186" s="108"/>
    </row>
    <row r="187" ht="15.75" customHeight="1">
      <c r="A187" s="91"/>
      <c r="B187" s="171"/>
      <c r="C187" s="143"/>
      <c r="D187" s="97"/>
      <c r="E187" s="143"/>
      <c r="F187" s="143"/>
      <c r="G187" s="97"/>
      <c r="H187" s="143"/>
      <c r="I187" s="97"/>
      <c r="J187" s="97"/>
      <c r="K187" s="114"/>
      <c r="L187" s="114"/>
      <c r="M187" s="102"/>
      <c r="N187" s="124"/>
      <c r="O187" s="125"/>
      <c r="P187" s="97"/>
      <c r="Q187" s="131"/>
      <c r="R187" s="126"/>
      <c r="S187" s="97"/>
      <c r="T187" s="97"/>
      <c r="V187" s="108"/>
    </row>
    <row r="188" ht="15.75" customHeight="1">
      <c r="A188" s="91"/>
      <c r="B188" s="171"/>
      <c r="C188" s="143"/>
      <c r="D188" s="97"/>
      <c r="E188" s="143"/>
      <c r="F188" s="143"/>
      <c r="G188" s="97"/>
      <c r="H188" s="143"/>
      <c r="I188" s="97"/>
      <c r="J188" s="97"/>
      <c r="K188" s="101"/>
      <c r="L188" s="101"/>
      <c r="M188" s="102"/>
      <c r="N188" s="124"/>
      <c r="O188" s="125"/>
      <c r="P188" s="97"/>
      <c r="Q188" s="131"/>
      <c r="R188" s="126"/>
      <c r="S188" s="97"/>
      <c r="T188" s="97"/>
      <c r="V188" s="108"/>
    </row>
    <row r="189" ht="15.75" customHeight="1">
      <c r="A189" s="91"/>
      <c r="B189" s="171"/>
      <c r="C189" s="143"/>
      <c r="D189" s="97"/>
      <c r="E189" s="143"/>
      <c r="F189" s="143"/>
      <c r="G189" s="97"/>
      <c r="H189" s="143"/>
      <c r="I189" s="97"/>
      <c r="J189" s="97"/>
      <c r="K189" s="114"/>
      <c r="L189" s="114"/>
      <c r="M189" s="102"/>
      <c r="N189" s="124"/>
      <c r="O189" s="125"/>
      <c r="P189" s="97"/>
      <c r="Q189" s="131"/>
      <c r="R189" s="126"/>
      <c r="S189" s="97"/>
      <c r="T189" s="97"/>
      <c r="V189" s="108"/>
    </row>
    <row r="190" ht="15.75" customHeight="1">
      <c r="A190" s="91"/>
      <c r="B190" s="171"/>
      <c r="C190" s="143"/>
      <c r="D190" s="97"/>
      <c r="E190" s="143"/>
      <c r="F190" s="143"/>
      <c r="G190" s="97"/>
      <c r="H190" s="143"/>
      <c r="I190" s="97"/>
      <c r="J190" s="97"/>
      <c r="K190" s="101"/>
      <c r="L190" s="101"/>
      <c r="M190" s="102"/>
      <c r="N190" s="124"/>
      <c r="O190" s="125"/>
      <c r="P190" s="97"/>
      <c r="Q190" s="131"/>
      <c r="R190" s="126"/>
      <c r="S190" s="97"/>
      <c r="T190" s="97"/>
      <c r="V190" s="108"/>
    </row>
    <row r="191" ht="15.75" customHeight="1">
      <c r="A191" s="91"/>
      <c r="B191" s="171"/>
      <c r="C191" s="143"/>
      <c r="D191" s="97"/>
      <c r="E191" s="143"/>
      <c r="F191" s="143"/>
      <c r="G191" s="97"/>
      <c r="H191" s="143"/>
      <c r="I191" s="97"/>
      <c r="J191" s="97"/>
      <c r="K191" s="114"/>
      <c r="L191" s="114"/>
      <c r="M191" s="102"/>
      <c r="N191" s="124"/>
      <c r="O191" s="125"/>
      <c r="P191" s="97"/>
      <c r="Q191" s="131"/>
      <c r="R191" s="126"/>
      <c r="S191" s="97"/>
      <c r="T191" s="97"/>
      <c r="V191" s="108"/>
    </row>
    <row r="192" ht="15.75" customHeight="1">
      <c r="A192" s="91"/>
      <c r="B192" s="171"/>
      <c r="C192" s="108"/>
      <c r="D192" s="97"/>
      <c r="E192" s="143"/>
      <c r="F192" s="143"/>
      <c r="G192" s="97"/>
      <c r="H192" s="143"/>
      <c r="I192" s="97"/>
      <c r="J192" s="97"/>
      <c r="K192" s="101"/>
      <c r="L192" s="101"/>
      <c r="M192" s="102"/>
      <c r="N192" s="124"/>
      <c r="O192" s="125"/>
      <c r="P192" s="97"/>
      <c r="Q192" s="131"/>
      <c r="R192" s="126"/>
      <c r="S192" s="97"/>
      <c r="T192" s="97"/>
      <c r="V192" s="108"/>
    </row>
    <row r="193" ht="15.75" customHeight="1">
      <c r="A193" s="91"/>
      <c r="B193" s="171"/>
      <c r="C193" s="143"/>
      <c r="D193" s="97"/>
      <c r="E193" s="143"/>
      <c r="F193" s="143"/>
      <c r="G193" s="97"/>
      <c r="H193" s="143"/>
      <c r="I193" s="97"/>
      <c r="J193" s="97"/>
      <c r="K193" s="114"/>
      <c r="L193" s="114"/>
      <c r="M193" s="102"/>
      <c r="N193" s="124"/>
      <c r="O193" s="125"/>
      <c r="P193" s="97"/>
      <c r="Q193" s="131"/>
      <c r="R193" s="126"/>
      <c r="S193" s="97"/>
      <c r="T193" s="97"/>
      <c r="V193" s="108"/>
    </row>
    <row r="194" ht="15.75" customHeight="1">
      <c r="A194" s="91"/>
      <c r="B194" s="171"/>
      <c r="C194" s="143"/>
      <c r="D194" s="97"/>
      <c r="E194" s="143"/>
      <c r="F194" s="143"/>
      <c r="G194" s="97"/>
      <c r="H194" s="143"/>
      <c r="I194" s="97"/>
      <c r="J194" s="97"/>
      <c r="K194" s="101"/>
      <c r="L194" s="101"/>
      <c r="M194" s="102"/>
      <c r="N194" s="124"/>
      <c r="O194" s="125"/>
      <c r="P194" s="97"/>
      <c r="Q194" s="131"/>
      <c r="R194" s="126"/>
      <c r="S194" s="97"/>
      <c r="T194" s="97"/>
      <c r="V194" s="108"/>
    </row>
    <row r="195" ht="15.75" customHeight="1">
      <c r="A195" s="91"/>
      <c r="B195" s="171"/>
      <c r="C195" s="143"/>
      <c r="D195" s="97"/>
      <c r="E195" s="143"/>
      <c r="F195" s="143"/>
      <c r="G195" s="97"/>
      <c r="H195" s="143"/>
      <c r="I195" s="97"/>
      <c r="J195" s="97"/>
      <c r="K195" s="114"/>
      <c r="L195" s="114"/>
      <c r="M195" s="102"/>
      <c r="N195" s="124"/>
      <c r="O195" s="125"/>
      <c r="P195" s="97"/>
      <c r="Q195" s="131"/>
      <c r="R195" s="126"/>
      <c r="S195" s="97"/>
      <c r="T195" s="97"/>
      <c r="V195" s="108"/>
    </row>
    <row r="196" ht="15.75" customHeight="1">
      <c r="A196" s="91"/>
      <c r="B196" s="171"/>
      <c r="C196" s="143"/>
      <c r="D196" s="97"/>
      <c r="E196" s="143"/>
      <c r="F196" s="143"/>
      <c r="G196" s="97"/>
      <c r="H196" s="143"/>
      <c r="I196" s="97"/>
      <c r="J196" s="97"/>
      <c r="K196" s="101"/>
      <c r="L196" s="101"/>
      <c r="M196" s="102"/>
      <c r="N196" s="124"/>
      <c r="O196" s="125"/>
      <c r="P196" s="97"/>
      <c r="Q196" s="131"/>
      <c r="R196" s="126"/>
      <c r="S196" s="97"/>
      <c r="T196" s="97"/>
      <c r="V196" s="108"/>
    </row>
    <row r="197" ht="15.75" customHeight="1">
      <c r="A197" s="91"/>
      <c r="B197" s="171"/>
      <c r="C197" s="143"/>
      <c r="D197" s="97"/>
      <c r="E197" s="143"/>
      <c r="F197" s="143"/>
      <c r="G197" s="97"/>
      <c r="H197" s="143"/>
      <c r="I197" s="97"/>
      <c r="J197" s="97"/>
      <c r="K197" s="114"/>
      <c r="L197" s="114"/>
      <c r="M197" s="102"/>
      <c r="N197" s="124"/>
      <c r="O197" s="125"/>
      <c r="P197" s="97"/>
      <c r="Q197" s="131"/>
      <c r="R197" s="126"/>
      <c r="S197" s="97"/>
      <c r="T197" s="97"/>
      <c r="V197" s="108"/>
    </row>
    <row r="198" ht="15.75" customHeight="1">
      <c r="A198" s="91"/>
      <c r="B198" s="171"/>
      <c r="C198" s="108"/>
      <c r="D198" s="97"/>
      <c r="E198" s="143"/>
      <c r="F198" s="143"/>
      <c r="G198" s="97"/>
      <c r="H198" s="143"/>
      <c r="I198" s="97"/>
      <c r="J198" s="97"/>
      <c r="K198" s="101"/>
      <c r="L198" s="101"/>
      <c r="M198" s="102"/>
      <c r="N198" s="124"/>
      <c r="O198" s="125"/>
      <c r="P198" s="97"/>
      <c r="Q198" s="131"/>
      <c r="R198" s="126"/>
      <c r="S198" s="97"/>
      <c r="T198" s="97"/>
      <c r="V198" s="108"/>
    </row>
    <row r="199" ht="15.75" customHeight="1">
      <c r="A199" s="91"/>
      <c r="B199" s="171"/>
      <c r="C199" s="143"/>
      <c r="D199" s="97"/>
      <c r="E199" s="143"/>
      <c r="F199" s="143"/>
      <c r="G199" s="97"/>
      <c r="H199" s="143"/>
      <c r="I199" s="97"/>
      <c r="J199" s="97"/>
      <c r="K199" s="114"/>
      <c r="L199" s="114"/>
      <c r="M199" s="102"/>
      <c r="N199" s="124"/>
      <c r="O199" s="125"/>
      <c r="P199" s="97"/>
      <c r="Q199" s="131"/>
      <c r="R199" s="126"/>
      <c r="S199" s="97"/>
      <c r="T199" s="97"/>
      <c r="V199" s="108"/>
    </row>
    <row r="200" ht="15.75" customHeight="1">
      <c r="A200" s="91"/>
      <c r="B200" s="171"/>
      <c r="C200" s="143"/>
      <c r="D200" s="97"/>
      <c r="E200" s="143"/>
      <c r="F200" s="143"/>
      <c r="G200" s="97"/>
      <c r="H200" s="143"/>
      <c r="I200" s="97"/>
      <c r="J200" s="97"/>
      <c r="K200" s="101"/>
      <c r="L200" s="101"/>
      <c r="M200" s="102"/>
      <c r="N200" s="124"/>
      <c r="O200" s="125"/>
      <c r="P200" s="97"/>
      <c r="Q200" s="131"/>
      <c r="R200" s="126"/>
      <c r="S200" s="97"/>
      <c r="T200" s="97"/>
      <c r="V200" s="108"/>
    </row>
    <row r="201" ht="15.75" customHeight="1">
      <c r="A201" s="91"/>
      <c r="B201" s="171"/>
      <c r="C201" s="143"/>
      <c r="D201" s="97"/>
      <c r="E201" s="143"/>
      <c r="F201" s="143"/>
      <c r="G201" s="97"/>
      <c r="H201" s="143"/>
      <c r="I201" s="97"/>
      <c r="J201" s="97"/>
      <c r="K201" s="114"/>
      <c r="L201" s="114"/>
      <c r="M201" s="102"/>
      <c r="N201" s="124"/>
      <c r="O201" s="125"/>
      <c r="P201" s="97"/>
      <c r="Q201" s="131"/>
      <c r="R201" s="126"/>
      <c r="S201" s="97"/>
      <c r="T201" s="97"/>
      <c r="V201" s="108"/>
    </row>
    <row r="202" ht="15.75" customHeight="1">
      <c r="A202" s="91"/>
      <c r="B202" s="171"/>
      <c r="C202" s="143"/>
      <c r="D202" s="97"/>
      <c r="E202" s="143"/>
      <c r="F202" s="143"/>
      <c r="G202" s="97"/>
      <c r="H202" s="143"/>
      <c r="I202" s="97"/>
      <c r="J202" s="97"/>
      <c r="K202" s="101"/>
      <c r="L202" s="101"/>
      <c r="M202" s="102"/>
      <c r="N202" s="124"/>
      <c r="O202" s="125"/>
      <c r="P202" s="97"/>
      <c r="Q202" s="131"/>
      <c r="R202" s="126"/>
      <c r="S202" s="97"/>
      <c r="T202" s="97"/>
      <c r="V202" s="108"/>
    </row>
    <row r="203" ht="15.75" customHeight="1">
      <c r="A203" s="91"/>
      <c r="B203" s="171"/>
      <c r="C203" s="143"/>
      <c r="D203" s="97"/>
      <c r="E203" s="143"/>
      <c r="F203" s="143"/>
      <c r="G203" s="97"/>
      <c r="H203" s="143"/>
      <c r="I203" s="97"/>
      <c r="J203" s="97"/>
      <c r="K203" s="114"/>
      <c r="L203" s="114"/>
      <c r="M203" s="102"/>
      <c r="N203" s="124"/>
      <c r="O203" s="125"/>
      <c r="P203" s="97"/>
      <c r="Q203" s="131"/>
      <c r="R203" s="126"/>
      <c r="S203" s="97"/>
      <c r="T203" s="97"/>
      <c r="V203" s="108"/>
    </row>
    <row r="204" ht="15.75" customHeight="1">
      <c r="A204" s="91"/>
      <c r="B204" s="171"/>
      <c r="C204" s="108"/>
      <c r="D204" s="97"/>
      <c r="E204" s="143"/>
      <c r="F204" s="143"/>
      <c r="G204" s="97"/>
      <c r="H204" s="143"/>
      <c r="I204" s="97"/>
      <c r="J204" s="97"/>
      <c r="K204" s="101"/>
      <c r="L204" s="101"/>
      <c r="M204" s="102"/>
      <c r="N204" s="124"/>
      <c r="O204" s="125"/>
      <c r="P204" s="97"/>
      <c r="Q204" s="131"/>
      <c r="R204" s="126"/>
      <c r="S204" s="97"/>
      <c r="T204" s="97"/>
      <c r="V204" s="108"/>
    </row>
    <row r="205" ht="15.75" customHeight="1">
      <c r="A205" s="91"/>
      <c r="B205" s="171"/>
      <c r="C205" s="143"/>
      <c r="D205" s="97"/>
      <c r="E205" s="143"/>
      <c r="F205" s="143"/>
      <c r="G205" s="97"/>
      <c r="H205" s="143"/>
      <c r="I205" s="97"/>
      <c r="J205" s="97"/>
      <c r="K205" s="114"/>
      <c r="L205" s="114"/>
      <c r="M205" s="102"/>
      <c r="N205" s="124"/>
      <c r="O205" s="125"/>
      <c r="P205" s="97"/>
      <c r="Q205" s="131"/>
      <c r="R205" s="126"/>
      <c r="S205" s="97"/>
      <c r="T205" s="97"/>
      <c r="V205" s="108"/>
    </row>
    <row r="206" ht="15.75" customHeight="1">
      <c r="A206" s="91"/>
      <c r="B206" s="171"/>
      <c r="C206" s="143"/>
      <c r="D206" s="97"/>
      <c r="E206" s="143"/>
      <c r="F206" s="143"/>
      <c r="G206" s="97"/>
      <c r="H206" s="143"/>
      <c r="I206" s="97"/>
      <c r="J206" s="97"/>
      <c r="K206" s="101"/>
      <c r="L206" s="101"/>
      <c r="M206" s="102"/>
      <c r="N206" s="124"/>
      <c r="O206" s="125"/>
      <c r="P206" s="97"/>
      <c r="Q206" s="131"/>
      <c r="R206" s="126"/>
      <c r="S206" s="97"/>
      <c r="T206" s="97"/>
      <c r="V206" s="108"/>
    </row>
    <row r="207" ht="15.75" customHeight="1">
      <c r="A207" s="91"/>
      <c r="B207" s="171"/>
      <c r="C207" s="143"/>
      <c r="D207" s="97"/>
      <c r="E207" s="143"/>
      <c r="F207" s="143"/>
      <c r="G207" s="97"/>
      <c r="H207" s="143"/>
      <c r="I207" s="97"/>
      <c r="J207" s="97"/>
      <c r="K207" s="114"/>
      <c r="L207" s="114"/>
      <c r="M207" s="102"/>
      <c r="N207" s="124"/>
      <c r="O207" s="125"/>
      <c r="P207" s="97"/>
      <c r="Q207" s="131"/>
      <c r="R207" s="126"/>
      <c r="S207" s="97"/>
      <c r="T207" s="97"/>
      <c r="V207" s="108"/>
    </row>
    <row r="208" ht="15.75" customHeight="1">
      <c r="A208" s="91"/>
      <c r="B208" s="171"/>
      <c r="C208" s="143"/>
      <c r="D208" s="97"/>
      <c r="E208" s="143"/>
      <c r="F208" s="143"/>
      <c r="G208" s="97"/>
      <c r="H208" s="143"/>
      <c r="I208" s="97"/>
      <c r="J208" s="97"/>
      <c r="K208" s="101"/>
      <c r="L208" s="101"/>
      <c r="M208" s="102"/>
      <c r="N208" s="124"/>
      <c r="O208" s="125"/>
      <c r="P208" s="97"/>
      <c r="Q208" s="131"/>
      <c r="R208" s="126"/>
      <c r="S208" s="97"/>
      <c r="T208" s="97"/>
      <c r="V208" s="108"/>
    </row>
    <row r="209" ht="15.75" customHeight="1">
      <c r="A209" s="91"/>
      <c r="B209" s="171"/>
      <c r="C209" s="143"/>
      <c r="D209" s="97"/>
      <c r="E209" s="143"/>
      <c r="F209" s="143"/>
      <c r="G209" s="97"/>
      <c r="H209" s="143"/>
      <c r="I209" s="97"/>
      <c r="J209" s="97"/>
      <c r="K209" s="114"/>
      <c r="L209" s="114"/>
      <c r="M209" s="102"/>
      <c r="N209" s="124"/>
      <c r="O209" s="125"/>
      <c r="P209" s="97"/>
      <c r="Q209" s="131"/>
      <c r="R209" s="126"/>
      <c r="S209" s="97"/>
      <c r="T209" s="97"/>
      <c r="V209" s="108"/>
    </row>
    <row r="210" ht="15.75" customHeight="1">
      <c r="A210" s="91"/>
      <c r="B210" s="171"/>
      <c r="C210" s="108"/>
      <c r="D210" s="97"/>
      <c r="E210" s="143"/>
      <c r="F210" s="143"/>
      <c r="G210" s="97"/>
      <c r="H210" s="143"/>
      <c r="I210" s="97"/>
      <c r="J210" s="97"/>
      <c r="K210" s="101"/>
      <c r="L210" s="101"/>
      <c r="M210" s="102"/>
      <c r="N210" s="124"/>
      <c r="O210" s="125"/>
      <c r="P210" s="97"/>
      <c r="Q210" s="131"/>
      <c r="R210" s="126"/>
      <c r="S210" s="97"/>
      <c r="T210" s="97"/>
      <c r="V210" s="108"/>
    </row>
    <row r="211" ht="15.75" customHeight="1">
      <c r="A211" s="91"/>
      <c r="B211" s="171"/>
      <c r="C211" s="143"/>
      <c r="D211" s="97"/>
      <c r="E211" s="143"/>
      <c r="F211" s="143"/>
      <c r="G211" s="97"/>
      <c r="H211" s="143"/>
      <c r="I211" s="97"/>
      <c r="J211" s="97"/>
      <c r="K211" s="114"/>
      <c r="L211" s="114"/>
      <c r="M211" s="102"/>
      <c r="N211" s="124"/>
      <c r="O211" s="125"/>
      <c r="P211" s="97"/>
      <c r="Q211" s="131"/>
      <c r="R211" s="126"/>
      <c r="S211" s="97"/>
      <c r="T211" s="97"/>
      <c r="V211" s="108"/>
    </row>
    <row r="212" ht="15.75" customHeight="1">
      <c r="A212" s="91"/>
      <c r="B212" s="171"/>
      <c r="C212" s="143"/>
      <c r="D212" s="97"/>
      <c r="E212" s="143"/>
      <c r="F212" s="143"/>
      <c r="G212" s="97"/>
      <c r="H212" s="143"/>
      <c r="I212" s="97"/>
      <c r="J212" s="97"/>
      <c r="K212" s="101"/>
      <c r="L212" s="101"/>
      <c r="M212" s="102"/>
      <c r="N212" s="124"/>
      <c r="O212" s="125"/>
      <c r="P212" s="97"/>
      <c r="Q212" s="131"/>
      <c r="R212" s="126"/>
      <c r="S212" s="97"/>
      <c r="T212" s="97"/>
      <c r="V212" s="108"/>
    </row>
    <row r="213" ht="15.75" customHeight="1">
      <c r="A213" s="91"/>
      <c r="B213" s="171"/>
      <c r="C213" s="143"/>
      <c r="D213" s="97"/>
      <c r="E213" s="143"/>
      <c r="F213" s="143"/>
      <c r="G213" s="97"/>
      <c r="H213" s="143"/>
      <c r="I213" s="97"/>
      <c r="J213" s="97"/>
      <c r="K213" s="114"/>
      <c r="L213" s="114"/>
      <c r="M213" s="102"/>
      <c r="N213" s="124"/>
      <c r="O213" s="125"/>
      <c r="P213" s="97"/>
      <c r="Q213" s="131"/>
      <c r="R213" s="126"/>
      <c r="S213" s="97"/>
      <c r="T213" s="97"/>
      <c r="V213" s="108"/>
    </row>
    <row r="214" ht="15.75" customHeight="1">
      <c r="A214" s="91"/>
      <c r="B214" s="171"/>
      <c r="C214" s="143"/>
      <c r="D214" s="97"/>
      <c r="E214" s="143"/>
      <c r="F214" s="143"/>
      <c r="G214" s="97"/>
      <c r="H214" s="143"/>
      <c r="I214" s="97"/>
      <c r="J214" s="97"/>
      <c r="K214" s="101"/>
      <c r="L214" s="101"/>
      <c r="M214" s="102"/>
      <c r="N214" s="124"/>
      <c r="O214" s="125"/>
      <c r="P214" s="97"/>
      <c r="Q214" s="131"/>
      <c r="R214" s="126"/>
      <c r="S214" s="97"/>
      <c r="T214" s="97"/>
      <c r="V214" s="108"/>
    </row>
    <row r="215" ht="15.75" customHeight="1">
      <c r="A215" s="91"/>
      <c r="B215" s="171"/>
      <c r="C215" s="143"/>
      <c r="D215" s="97"/>
      <c r="E215" s="143"/>
      <c r="F215" s="143"/>
      <c r="G215" s="97"/>
      <c r="H215" s="143"/>
      <c r="I215" s="97"/>
      <c r="J215" s="97"/>
      <c r="K215" s="114"/>
      <c r="L215" s="114"/>
      <c r="M215" s="102"/>
      <c r="N215" s="124"/>
      <c r="O215" s="125"/>
      <c r="P215" s="97"/>
      <c r="Q215" s="131"/>
      <c r="R215" s="126"/>
      <c r="S215" s="97"/>
      <c r="T215" s="97"/>
      <c r="V215" s="108"/>
    </row>
    <row r="216" ht="15.75" customHeight="1">
      <c r="A216" s="91"/>
      <c r="B216" s="171"/>
      <c r="C216" s="108"/>
      <c r="D216" s="97"/>
      <c r="E216" s="143"/>
      <c r="F216" s="143"/>
      <c r="G216" s="97"/>
      <c r="H216" s="143"/>
      <c r="I216" s="97"/>
      <c r="J216" s="97"/>
      <c r="K216" s="101"/>
      <c r="L216" s="101"/>
      <c r="M216" s="102"/>
      <c r="N216" s="124"/>
      <c r="O216" s="125"/>
      <c r="P216" s="97"/>
      <c r="Q216" s="131"/>
      <c r="R216" s="126"/>
      <c r="S216" s="97"/>
      <c r="T216" s="97"/>
      <c r="V216" s="108"/>
    </row>
    <row r="217" ht="15.75" customHeight="1">
      <c r="A217" s="91"/>
      <c r="B217" s="171"/>
      <c r="C217" s="143"/>
      <c r="D217" s="97"/>
      <c r="E217" s="143"/>
      <c r="F217" s="143"/>
      <c r="G217" s="97"/>
      <c r="H217" s="143"/>
      <c r="I217" s="97"/>
      <c r="J217" s="97"/>
      <c r="K217" s="114"/>
      <c r="L217" s="114"/>
      <c r="M217" s="102"/>
      <c r="N217" s="124"/>
      <c r="O217" s="125"/>
      <c r="P217" s="97"/>
      <c r="Q217" s="131"/>
      <c r="R217" s="126"/>
      <c r="S217" s="97"/>
      <c r="T217" s="97"/>
      <c r="V217" s="108"/>
    </row>
    <row r="218" ht="15.75" customHeight="1">
      <c r="A218" s="91"/>
      <c r="B218" s="171"/>
      <c r="C218" s="143"/>
      <c r="D218" s="97"/>
      <c r="E218" s="143"/>
      <c r="F218" s="143"/>
      <c r="G218" s="97"/>
      <c r="H218" s="143"/>
      <c r="I218" s="97"/>
      <c r="J218" s="97"/>
      <c r="K218" s="101"/>
      <c r="L218" s="101"/>
      <c r="M218" s="102"/>
      <c r="N218" s="124"/>
      <c r="O218" s="125"/>
      <c r="P218" s="97"/>
      <c r="Q218" s="131"/>
      <c r="R218" s="126"/>
      <c r="S218" s="97"/>
      <c r="T218" s="97"/>
      <c r="V218" s="108"/>
    </row>
    <row r="219" ht="15.75" customHeight="1">
      <c r="A219" s="91"/>
      <c r="B219" s="171"/>
      <c r="C219" s="143"/>
      <c r="D219" s="97"/>
      <c r="E219" s="143"/>
      <c r="F219" s="143"/>
      <c r="G219" s="97"/>
      <c r="H219" s="143"/>
      <c r="I219" s="97"/>
      <c r="J219" s="97"/>
      <c r="K219" s="114"/>
      <c r="L219" s="114"/>
      <c r="M219" s="102"/>
      <c r="N219" s="124"/>
      <c r="O219" s="125"/>
      <c r="P219" s="97"/>
      <c r="Q219" s="131"/>
      <c r="R219" s="126"/>
      <c r="S219" s="97"/>
      <c r="T219" s="97"/>
      <c r="V219" s="108"/>
    </row>
    <row r="220" ht="15.75" customHeight="1">
      <c r="A220" s="91"/>
      <c r="B220" s="171"/>
      <c r="C220" s="143"/>
      <c r="D220" s="97"/>
      <c r="E220" s="143"/>
      <c r="F220" s="143"/>
      <c r="G220" s="97"/>
      <c r="H220" s="143"/>
      <c r="I220" s="97"/>
      <c r="J220" s="97"/>
      <c r="K220" s="101"/>
      <c r="L220" s="101"/>
      <c r="M220" s="102"/>
      <c r="N220" s="124"/>
      <c r="O220" s="125"/>
      <c r="P220" s="97"/>
      <c r="Q220" s="131"/>
      <c r="R220" s="126"/>
      <c r="S220" s="97"/>
      <c r="T220" s="97"/>
      <c r="V220" s="108"/>
    </row>
    <row r="221" ht="15.75" customHeight="1">
      <c r="A221" s="91"/>
      <c r="B221" s="171"/>
      <c r="C221" s="143"/>
      <c r="D221" s="97"/>
      <c r="E221" s="143"/>
      <c r="F221" s="143"/>
      <c r="G221" s="97"/>
      <c r="H221" s="143"/>
      <c r="I221" s="97"/>
      <c r="J221" s="97"/>
      <c r="K221" s="114"/>
      <c r="L221" s="114"/>
      <c r="M221" s="102"/>
      <c r="N221" s="124"/>
      <c r="O221" s="125"/>
      <c r="P221" s="97"/>
      <c r="Q221" s="131"/>
      <c r="R221" s="126"/>
      <c r="S221" s="97"/>
      <c r="T221" s="97"/>
      <c r="V221" s="108"/>
    </row>
    <row r="222" ht="15.75" customHeight="1">
      <c r="A222" s="91"/>
      <c r="B222" s="171"/>
      <c r="C222" s="108"/>
      <c r="D222" s="97"/>
      <c r="E222" s="143"/>
      <c r="F222" s="143"/>
      <c r="G222" s="97"/>
      <c r="H222" s="143"/>
      <c r="I222" s="97"/>
      <c r="J222" s="97"/>
      <c r="K222" s="101"/>
      <c r="L222" s="101"/>
      <c r="M222" s="102"/>
      <c r="N222" s="124"/>
      <c r="O222" s="125"/>
      <c r="P222" s="97"/>
      <c r="Q222" s="131"/>
      <c r="R222" s="126"/>
      <c r="S222" s="97"/>
      <c r="T222" s="97"/>
      <c r="V222" s="108"/>
    </row>
    <row r="223" ht="15.75" customHeight="1">
      <c r="A223" s="91"/>
      <c r="B223" s="171"/>
      <c r="C223" s="143"/>
      <c r="D223" s="97"/>
      <c r="E223" s="143"/>
      <c r="F223" s="143"/>
      <c r="G223" s="97"/>
      <c r="H223" s="143"/>
      <c r="I223" s="97"/>
      <c r="J223" s="97"/>
      <c r="K223" s="114"/>
      <c r="L223" s="114"/>
      <c r="M223" s="102"/>
      <c r="N223" s="124"/>
      <c r="O223" s="125"/>
      <c r="P223" s="97"/>
      <c r="Q223" s="131"/>
      <c r="R223" s="126"/>
      <c r="S223" s="97"/>
      <c r="T223" s="97"/>
      <c r="V223" s="108"/>
    </row>
    <row r="224" ht="15.75" customHeight="1">
      <c r="A224" s="91"/>
      <c r="B224" s="171"/>
      <c r="C224" s="143"/>
      <c r="D224" s="97"/>
      <c r="E224" s="143"/>
      <c r="F224" s="143"/>
      <c r="G224" s="97"/>
      <c r="H224" s="143"/>
      <c r="I224" s="97"/>
      <c r="J224" s="97"/>
      <c r="K224" s="101"/>
      <c r="L224" s="101"/>
      <c r="M224" s="102"/>
      <c r="N224" s="124"/>
      <c r="O224" s="125"/>
      <c r="P224" s="97"/>
      <c r="Q224" s="131"/>
      <c r="R224" s="126"/>
      <c r="S224" s="97"/>
      <c r="T224" s="97"/>
      <c r="V224" s="108"/>
    </row>
    <row r="225" ht="15.75" customHeight="1">
      <c r="A225" s="91"/>
      <c r="B225" s="171"/>
      <c r="C225" s="143"/>
      <c r="D225" s="97"/>
      <c r="E225" s="143"/>
      <c r="F225" s="143"/>
      <c r="G225" s="97"/>
      <c r="H225" s="143"/>
      <c r="I225" s="97"/>
      <c r="J225" s="97"/>
      <c r="K225" s="114"/>
      <c r="L225" s="114"/>
      <c r="M225" s="102"/>
      <c r="N225" s="124"/>
      <c r="O225" s="125"/>
      <c r="P225" s="97"/>
      <c r="Q225" s="131"/>
      <c r="R225" s="126"/>
      <c r="S225" s="97"/>
      <c r="T225" s="97"/>
      <c r="V225" s="108"/>
    </row>
    <row r="226" ht="15.75" customHeight="1">
      <c r="A226" s="91"/>
      <c r="B226" s="171"/>
      <c r="C226" s="143"/>
      <c r="D226" s="97"/>
      <c r="E226" s="143"/>
      <c r="F226" s="143"/>
      <c r="G226" s="97"/>
      <c r="H226" s="143"/>
      <c r="I226" s="97"/>
      <c r="J226" s="97"/>
      <c r="K226" s="101"/>
      <c r="L226" s="101"/>
      <c r="M226" s="102"/>
      <c r="N226" s="124"/>
      <c r="O226" s="125"/>
      <c r="P226" s="97"/>
      <c r="Q226" s="131"/>
      <c r="R226" s="126"/>
      <c r="S226" s="97"/>
      <c r="T226" s="97"/>
      <c r="V226" s="108"/>
    </row>
    <row r="227" ht="15.75" customHeight="1">
      <c r="A227" s="91"/>
      <c r="B227" s="171"/>
      <c r="C227" s="143"/>
      <c r="D227" s="97"/>
      <c r="E227" s="143"/>
      <c r="F227" s="143"/>
      <c r="G227" s="97"/>
      <c r="H227" s="143"/>
      <c r="I227" s="97"/>
      <c r="J227" s="97"/>
      <c r="K227" s="114"/>
      <c r="L227" s="114"/>
      <c r="M227" s="102"/>
      <c r="N227" s="124"/>
      <c r="O227" s="125"/>
      <c r="P227" s="97"/>
      <c r="Q227" s="131"/>
      <c r="R227" s="126"/>
      <c r="S227" s="97"/>
      <c r="T227" s="97"/>
      <c r="V227" s="108"/>
    </row>
    <row r="228" ht="15.75" customHeight="1">
      <c r="A228" s="91"/>
      <c r="B228" s="171"/>
      <c r="C228" s="108"/>
      <c r="D228" s="97"/>
      <c r="E228" s="143"/>
      <c r="F228" s="143"/>
      <c r="G228" s="97"/>
      <c r="H228" s="143"/>
      <c r="I228" s="97"/>
      <c r="J228" s="97"/>
      <c r="K228" s="101"/>
      <c r="L228" s="101"/>
      <c r="M228" s="102"/>
      <c r="N228" s="124"/>
      <c r="O228" s="125"/>
      <c r="P228" s="97"/>
      <c r="Q228" s="131"/>
      <c r="R228" s="126"/>
      <c r="S228" s="97"/>
      <c r="T228" s="97"/>
      <c r="V228" s="108"/>
    </row>
    <row r="229" ht="15.75" customHeight="1">
      <c r="A229" s="91"/>
      <c r="B229" s="171"/>
      <c r="C229" s="143"/>
      <c r="D229" s="97"/>
      <c r="E229" s="143"/>
      <c r="F229" s="143"/>
      <c r="G229" s="97"/>
      <c r="H229" s="143"/>
      <c r="I229" s="97"/>
      <c r="J229" s="97"/>
      <c r="K229" s="114"/>
      <c r="L229" s="114"/>
      <c r="M229" s="102"/>
      <c r="N229" s="124"/>
      <c r="O229" s="125"/>
      <c r="P229" s="97"/>
      <c r="Q229" s="131"/>
      <c r="R229" s="126"/>
      <c r="S229" s="97"/>
      <c r="T229" s="97"/>
      <c r="V229" s="108"/>
    </row>
    <row r="230" ht="15.75" customHeight="1">
      <c r="A230" s="91"/>
      <c r="B230" s="171"/>
      <c r="C230" s="143"/>
      <c r="D230" s="97"/>
      <c r="E230" s="143"/>
      <c r="F230" s="143"/>
      <c r="G230" s="97"/>
      <c r="H230" s="143"/>
      <c r="I230" s="97"/>
      <c r="J230" s="97"/>
      <c r="K230" s="101"/>
      <c r="L230" s="101"/>
      <c r="M230" s="102"/>
      <c r="N230" s="124"/>
      <c r="O230" s="125"/>
      <c r="P230" s="97"/>
      <c r="Q230" s="131"/>
      <c r="R230" s="126"/>
      <c r="S230" s="97"/>
      <c r="T230" s="97"/>
      <c r="V230" s="108"/>
    </row>
    <row r="231" ht="15.75" customHeight="1">
      <c r="A231" s="91"/>
      <c r="B231" s="171"/>
      <c r="C231" s="143"/>
      <c r="D231" s="97"/>
      <c r="E231" s="143"/>
      <c r="F231" s="143"/>
      <c r="G231" s="97"/>
      <c r="H231" s="143"/>
      <c r="I231" s="97"/>
      <c r="J231" s="97"/>
      <c r="K231" s="114"/>
      <c r="L231" s="114"/>
      <c r="M231" s="102"/>
      <c r="N231" s="124"/>
      <c r="O231" s="125"/>
      <c r="P231" s="97"/>
      <c r="Q231" s="131"/>
      <c r="R231" s="126"/>
      <c r="S231" s="97"/>
      <c r="T231" s="97"/>
      <c r="V231" s="108"/>
    </row>
    <row r="232" ht="15.75" customHeight="1">
      <c r="A232" s="91"/>
      <c r="B232" s="171"/>
      <c r="C232" s="143"/>
      <c r="D232" s="97"/>
      <c r="E232" s="143"/>
      <c r="F232" s="143"/>
      <c r="G232" s="97"/>
      <c r="H232" s="143"/>
      <c r="I232" s="97"/>
      <c r="J232" s="97"/>
      <c r="K232" s="101"/>
      <c r="L232" s="101"/>
      <c r="M232" s="102"/>
      <c r="N232" s="124"/>
      <c r="O232" s="125"/>
      <c r="P232" s="97"/>
      <c r="Q232" s="131"/>
      <c r="R232" s="126"/>
      <c r="S232" s="97"/>
      <c r="T232" s="97"/>
      <c r="V232" s="108"/>
    </row>
    <row r="233" ht="15.75" customHeight="1">
      <c r="A233" s="91"/>
      <c r="B233" s="171"/>
      <c r="C233" s="143"/>
      <c r="D233" s="97"/>
      <c r="E233" s="143"/>
      <c r="F233" s="143"/>
      <c r="G233" s="97"/>
      <c r="H233" s="143"/>
      <c r="I233" s="97"/>
      <c r="J233" s="97"/>
      <c r="K233" s="114"/>
      <c r="L233" s="114"/>
      <c r="M233" s="102"/>
      <c r="N233" s="124"/>
      <c r="O233" s="125"/>
      <c r="P233" s="97"/>
      <c r="Q233" s="131"/>
      <c r="R233" s="126"/>
      <c r="S233" s="97"/>
      <c r="T233" s="97"/>
      <c r="V233" s="108"/>
    </row>
    <row r="234" ht="15.75" customHeight="1">
      <c r="A234" s="91"/>
      <c r="B234" s="171"/>
      <c r="C234" s="108"/>
      <c r="D234" s="97"/>
      <c r="E234" s="143"/>
      <c r="F234" s="143"/>
      <c r="G234" s="97"/>
      <c r="H234" s="143"/>
      <c r="I234" s="97"/>
      <c r="J234" s="97"/>
      <c r="K234" s="101"/>
      <c r="L234" s="101"/>
      <c r="M234" s="102"/>
      <c r="N234" s="124"/>
      <c r="O234" s="125"/>
      <c r="P234" s="97"/>
      <c r="Q234" s="131"/>
      <c r="R234" s="126"/>
      <c r="S234" s="97"/>
      <c r="T234" s="97"/>
      <c r="V234" s="108"/>
    </row>
    <row r="235" ht="15.75" customHeight="1">
      <c r="A235" s="91"/>
      <c r="B235" s="171"/>
      <c r="C235" s="143"/>
      <c r="D235" s="97"/>
      <c r="E235" s="143"/>
      <c r="F235" s="143"/>
      <c r="G235" s="97"/>
      <c r="H235" s="143"/>
      <c r="I235" s="97"/>
      <c r="J235" s="97"/>
      <c r="K235" s="114"/>
      <c r="L235" s="114"/>
      <c r="M235" s="102"/>
      <c r="N235" s="124"/>
      <c r="O235" s="125"/>
      <c r="P235" s="97"/>
      <c r="Q235" s="131"/>
      <c r="R235" s="126"/>
      <c r="S235" s="97"/>
      <c r="T235" s="97"/>
      <c r="V235" s="108"/>
    </row>
    <row r="236" ht="15.75" customHeight="1">
      <c r="A236" s="91"/>
      <c r="B236" s="171"/>
      <c r="C236" s="143"/>
      <c r="D236" s="97"/>
      <c r="E236" s="143"/>
      <c r="F236" s="143"/>
      <c r="G236" s="97"/>
      <c r="H236" s="143"/>
      <c r="I236" s="97"/>
      <c r="J236" s="97"/>
      <c r="K236" s="101"/>
      <c r="L236" s="101"/>
      <c r="M236" s="102"/>
      <c r="N236" s="124"/>
      <c r="O236" s="125"/>
      <c r="P236" s="97"/>
      <c r="Q236" s="131"/>
      <c r="R236" s="126"/>
      <c r="S236" s="97"/>
      <c r="T236" s="97"/>
      <c r="V236" s="108"/>
    </row>
    <row r="237" ht="15.75" customHeight="1">
      <c r="A237" s="91"/>
      <c r="B237" s="171"/>
      <c r="C237" s="143"/>
      <c r="D237" s="97"/>
      <c r="E237" s="143"/>
      <c r="F237" s="143"/>
      <c r="G237" s="97"/>
      <c r="H237" s="143"/>
      <c r="I237" s="97"/>
      <c r="J237" s="97"/>
      <c r="K237" s="114"/>
      <c r="L237" s="114"/>
      <c r="M237" s="102"/>
      <c r="N237" s="124"/>
      <c r="O237" s="125"/>
      <c r="P237" s="97"/>
      <c r="Q237" s="131"/>
      <c r="R237" s="126"/>
      <c r="S237" s="97"/>
      <c r="T237" s="97"/>
      <c r="V237" s="108"/>
    </row>
    <row r="238" ht="15.75" customHeight="1">
      <c r="A238" s="91"/>
      <c r="B238" s="171"/>
      <c r="C238" s="143"/>
      <c r="D238" s="97"/>
      <c r="E238" s="143"/>
      <c r="F238" s="143"/>
      <c r="G238" s="97"/>
      <c r="H238" s="143"/>
      <c r="I238" s="97"/>
      <c r="J238" s="97"/>
      <c r="K238" s="101"/>
      <c r="L238" s="101"/>
      <c r="M238" s="102"/>
      <c r="N238" s="124"/>
      <c r="O238" s="125"/>
      <c r="P238" s="97"/>
      <c r="Q238" s="131"/>
      <c r="R238" s="126"/>
      <c r="S238" s="97"/>
      <c r="T238" s="97"/>
      <c r="V238" s="108"/>
    </row>
    <row r="239" ht="15.75" customHeight="1">
      <c r="A239" s="91"/>
      <c r="B239" s="171"/>
      <c r="C239" s="143"/>
      <c r="D239" s="97"/>
      <c r="E239" s="143"/>
      <c r="F239" s="143"/>
      <c r="G239" s="97"/>
      <c r="H239" s="143"/>
      <c r="I239" s="97"/>
      <c r="J239" s="97"/>
      <c r="K239" s="114"/>
      <c r="L239" s="114"/>
      <c r="M239" s="102"/>
      <c r="N239" s="124"/>
      <c r="O239" s="125"/>
      <c r="P239" s="97"/>
      <c r="Q239" s="131"/>
      <c r="R239" s="126"/>
      <c r="S239" s="97"/>
      <c r="T239" s="97"/>
      <c r="V239" s="108"/>
    </row>
    <row r="240" ht="15.75" customHeight="1">
      <c r="A240" s="91"/>
      <c r="B240" s="171"/>
      <c r="C240" s="108"/>
      <c r="D240" s="97"/>
      <c r="E240" s="143"/>
      <c r="F240" s="143"/>
      <c r="G240" s="97"/>
      <c r="H240" s="143"/>
      <c r="I240" s="97"/>
      <c r="J240" s="97"/>
      <c r="K240" s="101"/>
      <c r="L240" s="101"/>
      <c r="M240" s="102"/>
      <c r="N240" s="124"/>
      <c r="O240" s="125"/>
      <c r="P240" s="97"/>
      <c r="Q240" s="131"/>
      <c r="R240" s="126"/>
      <c r="S240" s="97"/>
      <c r="T240" s="97"/>
      <c r="V240" s="108"/>
    </row>
    <row r="241" ht="15.75" customHeight="1">
      <c r="A241" s="91"/>
      <c r="B241" s="171"/>
      <c r="C241" s="143"/>
      <c r="D241" s="97"/>
      <c r="E241" s="143"/>
      <c r="F241" s="143"/>
      <c r="G241" s="97"/>
      <c r="H241" s="143"/>
      <c r="I241" s="97"/>
      <c r="J241" s="97"/>
      <c r="K241" s="114"/>
      <c r="L241" s="114"/>
      <c r="M241" s="102"/>
      <c r="N241" s="124"/>
      <c r="O241" s="125"/>
      <c r="P241" s="97"/>
      <c r="Q241" s="131"/>
      <c r="R241" s="126"/>
      <c r="S241" s="97"/>
      <c r="T241" s="97"/>
      <c r="V241" s="108"/>
    </row>
    <row r="242" ht="15.75" customHeight="1">
      <c r="A242" s="91"/>
      <c r="B242" s="171"/>
      <c r="C242" s="143"/>
      <c r="D242" s="97"/>
      <c r="E242" s="143"/>
      <c r="F242" s="143"/>
      <c r="G242" s="97"/>
      <c r="H242" s="143"/>
      <c r="I242" s="97"/>
      <c r="J242" s="97"/>
      <c r="K242" s="101"/>
      <c r="L242" s="101"/>
      <c r="M242" s="102"/>
      <c r="N242" s="124"/>
      <c r="O242" s="125"/>
      <c r="P242" s="97"/>
      <c r="Q242" s="131"/>
      <c r="R242" s="126"/>
      <c r="S242" s="97"/>
      <c r="T242" s="97"/>
      <c r="V242" s="108"/>
    </row>
    <row r="243" ht="15.75" customHeight="1">
      <c r="A243" s="91"/>
      <c r="B243" s="171"/>
      <c r="C243" s="143"/>
      <c r="D243" s="97"/>
      <c r="E243" s="143"/>
      <c r="F243" s="143"/>
      <c r="G243" s="97"/>
      <c r="H243" s="143"/>
      <c r="I243" s="97"/>
      <c r="J243" s="97"/>
      <c r="K243" s="148"/>
      <c r="L243" s="148"/>
      <c r="M243" s="102"/>
      <c r="N243" s="124"/>
      <c r="O243" s="125"/>
      <c r="P243" s="97"/>
      <c r="Q243" s="131"/>
      <c r="R243" s="126"/>
      <c r="S243" s="97"/>
      <c r="T243" s="97"/>
      <c r="V243" s="108"/>
    </row>
    <row r="244" ht="15.75" customHeight="1">
      <c r="A244" s="91"/>
      <c r="B244" s="171"/>
      <c r="C244" s="143"/>
      <c r="D244" s="97"/>
      <c r="E244" s="143"/>
      <c r="F244" s="143"/>
      <c r="G244" s="97"/>
      <c r="H244" s="143"/>
      <c r="I244" s="97"/>
      <c r="J244" s="97"/>
      <c r="K244" s="150"/>
      <c r="L244" s="150"/>
      <c r="M244" s="102"/>
      <c r="N244" s="124"/>
      <c r="O244" s="125"/>
      <c r="P244" s="97"/>
      <c r="Q244" s="131"/>
      <c r="R244" s="126"/>
      <c r="S244" s="97"/>
      <c r="T244" s="97"/>
      <c r="V244" s="108"/>
    </row>
    <row r="245" ht="15.75" customHeight="1">
      <c r="A245" s="91"/>
      <c r="B245" s="171"/>
      <c r="C245" s="143"/>
      <c r="D245" s="97"/>
      <c r="E245" s="143"/>
      <c r="F245" s="143"/>
      <c r="G245" s="97"/>
      <c r="H245" s="143"/>
      <c r="I245" s="97"/>
      <c r="J245" s="97"/>
      <c r="K245" s="148"/>
      <c r="L245" s="148"/>
      <c r="M245" s="102"/>
      <c r="N245" s="124"/>
      <c r="O245" s="125"/>
      <c r="P245" s="97"/>
      <c r="Q245" s="131"/>
      <c r="R245" s="126"/>
      <c r="S245" s="97"/>
      <c r="T245" s="97"/>
      <c r="V245" s="108"/>
    </row>
    <row r="246" ht="15.75" customHeight="1">
      <c r="A246" s="91"/>
      <c r="B246" s="171"/>
      <c r="C246" s="108"/>
      <c r="D246" s="97"/>
      <c r="E246" s="143"/>
      <c r="F246" s="143"/>
      <c r="G246" s="97"/>
      <c r="H246" s="143"/>
      <c r="I246" s="97"/>
      <c r="J246" s="97"/>
      <c r="K246" s="150"/>
      <c r="L246" s="150"/>
      <c r="M246" s="102"/>
      <c r="N246" s="124"/>
      <c r="O246" s="125"/>
      <c r="P246" s="97"/>
      <c r="Q246" s="131"/>
      <c r="R246" s="126"/>
      <c r="S246" s="97"/>
      <c r="T246" s="97"/>
      <c r="V246" s="108"/>
    </row>
    <row r="247" ht="15.75" customHeight="1">
      <c r="A247" s="91"/>
      <c r="B247" s="171"/>
      <c r="C247" s="143"/>
      <c r="D247" s="97"/>
      <c r="E247" s="143"/>
      <c r="F247" s="143"/>
      <c r="G247" s="97"/>
      <c r="H247" s="143"/>
      <c r="I247" s="97"/>
      <c r="J247" s="97"/>
      <c r="K247" s="148"/>
      <c r="L247" s="148"/>
      <c r="M247" s="102"/>
      <c r="N247" s="124"/>
      <c r="O247" s="125"/>
      <c r="P247" s="97"/>
      <c r="Q247" s="131"/>
      <c r="R247" s="126"/>
      <c r="S247" s="97"/>
      <c r="T247" s="97"/>
      <c r="V247" s="108"/>
    </row>
    <row r="248" ht="15.75" customHeight="1">
      <c r="A248" s="91"/>
      <c r="B248" s="171"/>
      <c r="C248" s="143"/>
      <c r="D248" s="97"/>
      <c r="E248" s="143"/>
      <c r="F248" s="143"/>
      <c r="G248" s="97"/>
      <c r="H248" s="143"/>
      <c r="I248" s="97"/>
      <c r="J248" s="97"/>
      <c r="K248" s="150"/>
      <c r="L248" s="150"/>
      <c r="M248" s="102"/>
      <c r="N248" s="124"/>
      <c r="O248" s="125"/>
      <c r="P248" s="97"/>
      <c r="Q248" s="131"/>
      <c r="R248" s="126"/>
      <c r="S248" s="97"/>
      <c r="T248" s="97"/>
      <c r="V248" s="108"/>
    </row>
    <row r="249" ht="15.75" customHeight="1">
      <c r="A249" s="91"/>
      <c r="B249" s="171"/>
      <c r="C249" s="143"/>
      <c r="D249" s="97"/>
      <c r="E249" s="143"/>
      <c r="F249" s="143"/>
      <c r="G249" s="97"/>
      <c r="H249" s="143"/>
      <c r="I249" s="97"/>
      <c r="J249" s="97"/>
      <c r="K249" s="148"/>
      <c r="L249" s="148"/>
      <c r="M249" s="102"/>
      <c r="N249" s="124"/>
      <c r="O249" s="125"/>
      <c r="P249" s="97"/>
      <c r="Q249" s="131"/>
      <c r="R249" s="126"/>
      <c r="S249" s="97"/>
      <c r="T249" s="97"/>
      <c r="V249" s="108"/>
    </row>
    <row r="250" ht="15.75" customHeight="1">
      <c r="A250" s="91"/>
      <c r="B250" s="171"/>
      <c r="C250" s="143"/>
      <c r="D250" s="97"/>
      <c r="E250" s="143"/>
      <c r="F250" s="143"/>
      <c r="G250" s="97"/>
      <c r="H250" s="143"/>
      <c r="I250" s="97"/>
      <c r="J250" s="97"/>
      <c r="K250" s="150"/>
      <c r="L250" s="150"/>
      <c r="M250" s="102"/>
      <c r="N250" s="124"/>
      <c r="O250" s="125"/>
      <c r="P250" s="97"/>
      <c r="Q250" s="131"/>
      <c r="R250" s="126"/>
      <c r="S250" s="97"/>
      <c r="T250" s="97"/>
      <c r="V250" s="108"/>
    </row>
    <row r="251" ht="15.75" customHeight="1">
      <c r="A251" s="91"/>
      <c r="B251" s="171"/>
      <c r="C251" s="143"/>
      <c r="D251" s="97"/>
      <c r="E251" s="143"/>
      <c r="F251" s="143"/>
      <c r="G251" s="97"/>
      <c r="H251" s="143"/>
      <c r="I251" s="97"/>
      <c r="J251" s="97"/>
      <c r="K251" s="148"/>
      <c r="L251" s="148"/>
      <c r="M251" s="102"/>
      <c r="N251" s="124"/>
      <c r="O251" s="125"/>
      <c r="P251" s="97"/>
      <c r="Q251" s="131"/>
      <c r="R251" s="126"/>
      <c r="S251" s="97"/>
      <c r="T251" s="97"/>
      <c r="V251" s="108"/>
    </row>
    <row r="252" ht="15.75" customHeight="1">
      <c r="A252" s="91"/>
      <c r="B252" s="171"/>
      <c r="C252" s="108"/>
      <c r="D252" s="97"/>
      <c r="E252" s="143"/>
      <c r="F252" s="143"/>
      <c r="G252" s="97"/>
      <c r="H252" s="143"/>
      <c r="I252" s="97"/>
      <c r="J252" s="97"/>
      <c r="K252" s="150"/>
      <c r="L252" s="150"/>
      <c r="M252" s="102"/>
      <c r="N252" s="124"/>
      <c r="O252" s="125"/>
      <c r="P252" s="97"/>
      <c r="Q252" s="131"/>
      <c r="R252" s="126"/>
      <c r="S252" s="97"/>
      <c r="T252" s="97"/>
      <c r="V252" s="108"/>
    </row>
    <row r="253" ht="15.75" customHeight="1">
      <c r="A253" s="91"/>
      <c r="B253" s="171"/>
      <c r="C253" s="143"/>
      <c r="D253" s="97"/>
      <c r="E253" s="143"/>
      <c r="F253" s="143"/>
      <c r="G253" s="97"/>
      <c r="H253" s="143"/>
      <c r="I253" s="97"/>
      <c r="J253" s="97"/>
      <c r="K253" s="148"/>
      <c r="L253" s="148"/>
      <c r="M253" s="102"/>
      <c r="N253" s="124"/>
      <c r="O253" s="125"/>
      <c r="P253" s="97"/>
      <c r="Q253" s="131"/>
      <c r="R253" s="126"/>
      <c r="S253" s="97"/>
      <c r="T253" s="97"/>
      <c r="V253" s="108"/>
    </row>
    <row r="254" ht="15.75" customHeight="1">
      <c r="A254" s="91"/>
      <c r="B254" s="171"/>
      <c r="C254" s="143"/>
      <c r="D254" s="97"/>
      <c r="E254" s="143"/>
      <c r="F254" s="143"/>
      <c r="G254" s="97"/>
      <c r="H254" s="143"/>
      <c r="I254" s="97"/>
      <c r="J254" s="97"/>
      <c r="K254" s="150"/>
      <c r="L254" s="150"/>
      <c r="M254" s="102"/>
      <c r="N254" s="124"/>
      <c r="O254" s="125"/>
      <c r="P254" s="97"/>
      <c r="Q254" s="131"/>
      <c r="R254" s="126"/>
      <c r="S254" s="97"/>
      <c r="T254" s="97"/>
      <c r="V254" s="108"/>
    </row>
    <row r="255" ht="15.75" customHeight="1">
      <c r="A255" s="91"/>
      <c r="B255" s="171"/>
      <c r="C255" s="143"/>
      <c r="D255" s="97"/>
      <c r="E255" s="143"/>
      <c r="F255" s="143"/>
      <c r="G255" s="97"/>
      <c r="H255" s="143"/>
      <c r="I255" s="97"/>
      <c r="J255" s="97"/>
      <c r="K255" s="148"/>
      <c r="L255" s="148"/>
      <c r="M255" s="102"/>
      <c r="N255" s="124"/>
      <c r="O255" s="125"/>
      <c r="P255" s="97"/>
      <c r="Q255" s="131"/>
      <c r="R255" s="126"/>
      <c r="S255" s="97"/>
      <c r="T255" s="97"/>
      <c r="V255" s="108"/>
    </row>
    <row r="256" ht="15.75" customHeight="1">
      <c r="A256" s="91"/>
      <c r="B256" s="171"/>
      <c r="C256" s="143"/>
      <c r="D256" s="97"/>
      <c r="E256" s="143"/>
      <c r="F256" s="143"/>
      <c r="G256" s="97"/>
      <c r="H256" s="143"/>
      <c r="I256" s="97"/>
      <c r="J256" s="97"/>
      <c r="K256" s="150"/>
      <c r="L256" s="150"/>
      <c r="M256" s="102"/>
      <c r="N256" s="124"/>
      <c r="O256" s="125"/>
      <c r="P256" s="97"/>
      <c r="Q256" s="131"/>
      <c r="R256" s="126"/>
      <c r="S256" s="97"/>
      <c r="T256" s="97"/>
      <c r="V256" s="108"/>
    </row>
    <row r="257" ht="15.75" customHeight="1">
      <c r="A257" s="91"/>
      <c r="B257" s="171"/>
      <c r="C257" s="143"/>
      <c r="D257" s="97"/>
      <c r="E257" s="143"/>
      <c r="F257" s="143"/>
      <c r="G257" s="97"/>
      <c r="H257" s="143"/>
      <c r="I257" s="97"/>
      <c r="J257" s="97"/>
      <c r="K257" s="148"/>
      <c r="L257" s="148"/>
      <c r="M257" s="102"/>
      <c r="N257" s="124"/>
      <c r="O257" s="125"/>
      <c r="P257" s="97"/>
      <c r="Q257" s="131"/>
      <c r="R257" s="126"/>
      <c r="S257" s="97"/>
      <c r="T257" s="97"/>
      <c r="V257" s="108"/>
    </row>
    <row r="258" ht="15.75" customHeight="1">
      <c r="A258" s="91"/>
      <c r="B258" s="171"/>
      <c r="C258" s="108"/>
      <c r="D258" s="97"/>
      <c r="E258" s="143"/>
      <c r="F258" s="143"/>
      <c r="G258" s="97"/>
      <c r="H258" s="143"/>
      <c r="I258" s="97"/>
      <c r="J258" s="97"/>
      <c r="K258" s="150"/>
      <c r="L258" s="150"/>
      <c r="M258" s="102"/>
      <c r="N258" s="124"/>
      <c r="O258" s="125"/>
      <c r="P258" s="97"/>
      <c r="Q258" s="131"/>
      <c r="R258" s="126"/>
      <c r="S258" s="97"/>
      <c r="T258" s="97"/>
      <c r="V258" s="108"/>
    </row>
    <row r="259" ht="15.75" customHeight="1">
      <c r="A259" s="91"/>
      <c r="B259" s="171"/>
      <c r="C259" s="143"/>
      <c r="D259" s="97"/>
      <c r="E259" s="143"/>
      <c r="F259" s="143"/>
      <c r="G259" s="97"/>
      <c r="H259" s="143"/>
      <c r="I259" s="97"/>
      <c r="J259" s="97"/>
      <c r="K259" s="148"/>
      <c r="L259" s="148"/>
      <c r="M259" s="102"/>
      <c r="N259" s="124"/>
      <c r="O259" s="125"/>
      <c r="P259" s="97"/>
      <c r="Q259" s="131"/>
      <c r="R259" s="126"/>
      <c r="S259" s="97"/>
      <c r="T259" s="97"/>
      <c r="V259" s="108"/>
    </row>
    <row r="260" ht="15.75" customHeight="1">
      <c r="A260" s="91"/>
      <c r="B260" s="171"/>
      <c r="C260" s="143"/>
      <c r="D260" s="97"/>
      <c r="E260" s="143"/>
      <c r="F260" s="143"/>
      <c r="G260" s="97"/>
      <c r="H260" s="143"/>
      <c r="I260" s="97"/>
      <c r="J260" s="97"/>
      <c r="K260" s="150"/>
      <c r="L260" s="150"/>
      <c r="M260" s="102"/>
      <c r="N260" s="124"/>
      <c r="O260" s="125"/>
      <c r="P260" s="97"/>
      <c r="Q260" s="131"/>
      <c r="R260" s="126"/>
      <c r="S260" s="97"/>
      <c r="T260" s="97"/>
      <c r="V260" s="108"/>
    </row>
    <row r="261" ht="15.75" customHeight="1">
      <c r="A261" s="91"/>
      <c r="B261" s="171"/>
      <c r="C261" s="143"/>
      <c r="D261" s="97"/>
      <c r="E261" s="143"/>
      <c r="F261" s="143"/>
      <c r="G261" s="97"/>
      <c r="H261" s="143"/>
      <c r="I261" s="97"/>
      <c r="J261" s="97"/>
      <c r="K261" s="148"/>
      <c r="L261" s="148"/>
      <c r="M261" s="102"/>
      <c r="N261" s="124"/>
      <c r="O261" s="125"/>
      <c r="P261" s="97"/>
      <c r="Q261" s="131"/>
      <c r="R261" s="126"/>
      <c r="S261" s="97"/>
      <c r="T261" s="97"/>
      <c r="V261" s="108"/>
    </row>
    <row r="262" ht="15.75" customHeight="1">
      <c r="A262" s="91"/>
      <c r="B262" s="171"/>
      <c r="C262" s="143"/>
      <c r="D262" s="97"/>
      <c r="E262" s="143"/>
      <c r="F262" s="143"/>
      <c r="G262" s="97"/>
      <c r="H262" s="143"/>
      <c r="I262" s="97"/>
      <c r="J262" s="97"/>
      <c r="K262" s="150"/>
      <c r="L262" s="150"/>
      <c r="M262" s="102"/>
      <c r="N262" s="124"/>
      <c r="O262" s="125"/>
      <c r="P262" s="97"/>
      <c r="Q262" s="131"/>
      <c r="R262" s="126"/>
      <c r="S262" s="97"/>
      <c r="T262" s="97"/>
      <c r="V262" s="108"/>
    </row>
    <row r="263" ht="15.75" customHeight="1">
      <c r="A263" s="91"/>
      <c r="B263" s="171"/>
      <c r="C263" s="143"/>
      <c r="D263" s="97"/>
      <c r="E263" s="143"/>
      <c r="F263" s="143"/>
      <c r="G263" s="97"/>
      <c r="H263" s="143"/>
      <c r="I263" s="97"/>
      <c r="J263" s="97"/>
      <c r="K263" s="148"/>
      <c r="L263" s="148"/>
      <c r="M263" s="102"/>
      <c r="N263" s="124"/>
      <c r="O263" s="125"/>
      <c r="P263" s="97"/>
      <c r="Q263" s="131"/>
      <c r="R263" s="126"/>
      <c r="S263" s="97"/>
      <c r="T263" s="97"/>
      <c r="V263" s="108"/>
    </row>
    <row r="264" ht="15.75" customHeight="1">
      <c r="A264" s="91"/>
      <c r="B264" s="171"/>
      <c r="C264" s="108"/>
      <c r="D264" s="97"/>
      <c r="E264" s="143"/>
      <c r="F264" s="143"/>
      <c r="G264" s="97"/>
      <c r="H264" s="143"/>
      <c r="I264" s="97"/>
      <c r="J264" s="97"/>
      <c r="K264" s="150"/>
      <c r="L264" s="150"/>
      <c r="M264" s="102"/>
      <c r="N264" s="124"/>
      <c r="O264" s="125"/>
      <c r="P264" s="97"/>
      <c r="Q264" s="131"/>
      <c r="R264" s="126"/>
      <c r="S264" s="97"/>
      <c r="T264" s="97"/>
      <c r="V264" s="108"/>
    </row>
    <row r="265" ht="15.75" customHeight="1">
      <c r="A265" s="91"/>
      <c r="B265" s="171"/>
      <c r="C265" s="143"/>
      <c r="D265" s="97"/>
      <c r="E265" s="143"/>
      <c r="F265" s="143"/>
      <c r="G265" s="97"/>
      <c r="H265" s="143"/>
      <c r="I265" s="97"/>
      <c r="J265" s="97"/>
      <c r="K265" s="148"/>
      <c r="L265" s="148"/>
      <c r="M265" s="102"/>
      <c r="N265" s="124"/>
      <c r="O265" s="125"/>
      <c r="P265" s="97"/>
      <c r="Q265" s="131"/>
      <c r="R265" s="126"/>
      <c r="S265" s="97"/>
      <c r="T265" s="97"/>
      <c r="V265" s="108"/>
    </row>
    <row r="266" ht="15.75" customHeight="1">
      <c r="A266" s="91"/>
      <c r="B266" s="171"/>
      <c r="C266" s="143"/>
      <c r="D266" s="97"/>
      <c r="E266" s="143"/>
      <c r="F266" s="143"/>
      <c r="G266" s="97"/>
      <c r="H266" s="143"/>
      <c r="I266" s="97"/>
      <c r="J266" s="97"/>
      <c r="K266" s="150"/>
      <c r="L266" s="150"/>
      <c r="M266" s="102"/>
      <c r="N266" s="124"/>
      <c r="O266" s="125"/>
      <c r="P266" s="97"/>
      <c r="Q266" s="131"/>
      <c r="R266" s="126"/>
      <c r="S266" s="97"/>
      <c r="T266" s="97"/>
      <c r="V266" s="108"/>
    </row>
    <row r="267" ht="15.75" customHeight="1">
      <c r="A267" s="91"/>
      <c r="B267" s="171"/>
      <c r="C267" s="143"/>
      <c r="D267" s="97"/>
      <c r="E267" s="143"/>
      <c r="F267" s="143"/>
      <c r="G267" s="97"/>
      <c r="H267" s="143"/>
      <c r="I267" s="97"/>
      <c r="J267" s="97"/>
      <c r="K267" s="148"/>
      <c r="L267" s="148"/>
      <c r="M267" s="102"/>
      <c r="N267" s="124"/>
      <c r="O267" s="125"/>
      <c r="P267" s="97"/>
      <c r="Q267" s="131"/>
      <c r="R267" s="126"/>
      <c r="S267" s="97"/>
      <c r="T267" s="97"/>
      <c r="V267" s="108"/>
    </row>
    <row r="268" ht="15.75" customHeight="1">
      <c r="A268" s="91"/>
      <c r="B268" s="171"/>
      <c r="C268" s="143"/>
      <c r="D268" s="97"/>
      <c r="E268" s="143"/>
      <c r="F268" s="143"/>
      <c r="G268" s="97"/>
      <c r="H268" s="143"/>
      <c r="I268" s="97"/>
      <c r="J268" s="97"/>
      <c r="K268" s="150"/>
      <c r="L268" s="150"/>
      <c r="M268" s="102"/>
      <c r="N268" s="124"/>
      <c r="O268" s="125"/>
      <c r="P268" s="97"/>
      <c r="Q268" s="131"/>
      <c r="R268" s="126"/>
      <c r="S268" s="97"/>
      <c r="T268" s="97"/>
      <c r="V268" s="108"/>
    </row>
    <row r="269" ht="15.75" customHeight="1">
      <c r="A269" s="91"/>
      <c r="B269" s="171"/>
      <c r="C269" s="143"/>
      <c r="D269" s="97"/>
      <c r="E269" s="143"/>
      <c r="F269" s="143"/>
      <c r="G269" s="97"/>
      <c r="H269" s="143"/>
      <c r="I269" s="97"/>
      <c r="J269" s="97"/>
      <c r="K269" s="148"/>
      <c r="L269" s="148"/>
      <c r="M269" s="102"/>
      <c r="N269" s="124"/>
      <c r="O269" s="125"/>
      <c r="P269" s="97"/>
      <c r="Q269" s="131"/>
      <c r="R269" s="126"/>
      <c r="S269" s="97"/>
      <c r="T269" s="97"/>
      <c r="V269" s="108"/>
    </row>
    <row r="270" ht="15.75" customHeight="1">
      <c r="A270" s="91"/>
      <c r="B270" s="171"/>
      <c r="C270" s="108"/>
      <c r="D270" s="97"/>
      <c r="E270" s="143"/>
      <c r="F270" s="143"/>
      <c r="G270" s="97"/>
      <c r="H270" s="143"/>
      <c r="I270" s="97"/>
      <c r="J270" s="97"/>
      <c r="K270" s="150"/>
      <c r="L270" s="150"/>
      <c r="M270" s="102"/>
      <c r="N270" s="124"/>
      <c r="O270" s="125"/>
      <c r="P270" s="97"/>
      <c r="Q270" s="131"/>
      <c r="R270" s="126"/>
      <c r="S270" s="97"/>
      <c r="T270" s="97"/>
      <c r="V270" s="108"/>
    </row>
    <row r="271" ht="15.75" customHeight="1">
      <c r="A271" s="91"/>
      <c r="B271" s="171"/>
      <c r="C271" s="143"/>
      <c r="D271" s="97"/>
      <c r="E271" s="143"/>
      <c r="F271" s="143"/>
      <c r="G271" s="97"/>
      <c r="H271" s="143"/>
      <c r="I271" s="97"/>
      <c r="J271" s="97"/>
      <c r="K271" s="148"/>
      <c r="L271" s="148"/>
      <c r="M271" s="102"/>
      <c r="N271" s="124"/>
      <c r="O271" s="125"/>
      <c r="P271" s="97"/>
      <c r="Q271" s="131"/>
      <c r="R271" s="126"/>
      <c r="S271" s="97"/>
      <c r="T271" s="97"/>
      <c r="V271" s="108"/>
    </row>
    <row r="272" ht="15.75" customHeight="1">
      <c r="A272" s="91"/>
      <c r="B272" s="171"/>
      <c r="C272" s="143"/>
      <c r="D272" s="97"/>
      <c r="E272" s="143"/>
      <c r="F272" s="143"/>
      <c r="G272" s="97"/>
      <c r="H272" s="143"/>
      <c r="I272" s="97"/>
      <c r="J272" s="97"/>
      <c r="K272" s="150"/>
      <c r="L272" s="150"/>
      <c r="M272" s="102"/>
      <c r="N272" s="124"/>
      <c r="O272" s="125"/>
      <c r="P272" s="97"/>
      <c r="Q272" s="131"/>
      <c r="R272" s="126"/>
      <c r="S272" s="97"/>
      <c r="T272" s="97"/>
      <c r="V272" s="108"/>
    </row>
    <row r="273" ht="15.75" customHeight="1">
      <c r="A273" s="91"/>
      <c r="B273" s="171"/>
      <c r="C273" s="143"/>
      <c r="D273" s="97"/>
      <c r="E273" s="143"/>
      <c r="F273" s="143"/>
      <c r="G273" s="97"/>
      <c r="H273" s="143"/>
      <c r="I273" s="97"/>
      <c r="J273" s="97"/>
      <c r="K273" s="148"/>
      <c r="L273" s="148"/>
      <c r="M273" s="102"/>
      <c r="N273" s="124"/>
      <c r="O273" s="125"/>
      <c r="P273" s="97"/>
      <c r="Q273" s="131"/>
      <c r="R273" s="126"/>
      <c r="S273" s="97"/>
      <c r="T273" s="97"/>
      <c r="V273" s="108"/>
    </row>
    <row r="274" ht="15.75" customHeight="1">
      <c r="A274" s="91"/>
      <c r="B274" s="171"/>
      <c r="C274" s="143"/>
      <c r="D274" s="97"/>
      <c r="E274" s="143"/>
      <c r="F274" s="143"/>
      <c r="G274" s="97"/>
      <c r="H274" s="143"/>
      <c r="I274" s="97"/>
      <c r="J274" s="97"/>
      <c r="K274" s="150"/>
      <c r="L274" s="150"/>
      <c r="M274" s="102"/>
      <c r="N274" s="124"/>
      <c r="O274" s="125"/>
      <c r="P274" s="97"/>
      <c r="Q274" s="131"/>
      <c r="R274" s="126"/>
      <c r="S274" s="97"/>
      <c r="T274" s="97"/>
      <c r="V274" s="108"/>
    </row>
    <row r="275" ht="15.75" customHeight="1">
      <c r="A275" s="91"/>
      <c r="B275" s="171"/>
      <c r="C275" s="143"/>
      <c r="D275" s="97"/>
      <c r="E275" s="143"/>
      <c r="F275" s="143"/>
      <c r="G275" s="97"/>
      <c r="H275" s="143"/>
      <c r="I275" s="97"/>
      <c r="J275" s="97"/>
      <c r="K275" s="148"/>
      <c r="L275" s="148"/>
      <c r="M275" s="102"/>
      <c r="N275" s="124"/>
      <c r="O275" s="125"/>
      <c r="P275" s="97"/>
      <c r="Q275" s="131"/>
      <c r="R275" s="126"/>
      <c r="S275" s="97"/>
      <c r="T275" s="97"/>
      <c r="V275" s="108"/>
    </row>
    <row r="276" ht="15.75" customHeight="1">
      <c r="A276" s="91"/>
      <c r="B276" s="171"/>
      <c r="C276" s="108"/>
      <c r="D276" s="97"/>
      <c r="E276" s="143"/>
      <c r="F276" s="143"/>
      <c r="G276" s="97"/>
      <c r="H276" s="143"/>
      <c r="I276" s="97"/>
      <c r="J276" s="97"/>
      <c r="K276" s="150"/>
      <c r="L276" s="150"/>
      <c r="M276" s="102"/>
      <c r="N276" s="124"/>
      <c r="O276" s="125"/>
      <c r="P276" s="97"/>
      <c r="Q276" s="131"/>
      <c r="R276" s="126"/>
      <c r="S276" s="97"/>
      <c r="T276" s="97"/>
      <c r="V276" s="108"/>
    </row>
    <row r="277" ht="15.75" customHeight="1">
      <c r="A277" s="91"/>
      <c r="B277" s="171"/>
      <c r="C277" s="143"/>
      <c r="D277" s="97"/>
      <c r="E277" s="143"/>
      <c r="F277" s="143"/>
      <c r="G277" s="97"/>
      <c r="H277" s="143"/>
      <c r="I277" s="97"/>
      <c r="J277" s="97"/>
      <c r="K277" s="148"/>
      <c r="L277" s="148"/>
      <c r="M277" s="102"/>
      <c r="N277" s="124"/>
      <c r="O277" s="125"/>
      <c r="P277" s="97"/>
      <c r="Q277" s="131"/>
      <c r="R277" s="126"/>
      <c r="S277" s="97"/>
      <c r="T277" s="97"/>
      <c r="V277" s="108"/>
    </row>
    <row r="278" ht="15.75" customHeight="1">
      <c r="A278" s="91"/>
      <c r="B278" s="171"/>
      <c r="C278" s="143"/>
      <c r="D278" s="97"/>
      <c r="E278" s="143"/>
      <c r="F278" s="143"/>
      <c r="G278" s="97"/>
      <c r="H278" s="143"/>
      <c r="I278" s="97"/>
      <c r="J278" s="97"/>
      <c r="K278" s="150"/>
      <c r="L278" s="150"/>
      <c r="M278" s="102"/>
      <c r="N278" s="124"/>
      <c r="O278" s="125"/>
      <c r="P278" s="97"/>
      <c r="Q278" s="131"/>
      <c r="R278" s="126"/>
      <c r="S278" s="97"/>
      <c r="T278" s="97"/>
      <c r="V278" s="108"/>
    </row>
    <row r="279" ht="15.75" customHeight="1">
      <c r="A279" s="91"/>
      <c r="B279" s="171"/>
      <c r="C279" s="143"/>
      <c r="D279" s="97"/>
      <c r="E279" s="143"/>
      <c r="F279" s="143"/>
      <c r="G279" s="97"/>
      <c r="H279" s="143"/>
      <c r="I279" s="97"/>
      <c r="J279" s="97"/>
      <c r="K279" s="148"/>
      <c r="L279" s="148"/>
      <c r="M279" s="102"/>
      <c r="N279" s="124"/>
      <c r="O279" s="125"/>
      <c r="P279" s="97"/>
      <c r="Q279" s="131"/>
      <c r="R279" s="126"/>
      <c r="S279" s="97"/>
      <c r="T279" s="97"/>
      <c r="V279" s="108"/>
    </row>
    <row r="280" ht="15.75" customHeight="1">
      <c r="A280" s="91"/>
      <c r="B280" s="171"/>
      <c r="C280" s="143"/>
      <c r="D280" s="97"/>
      <c r="E280" s="143"/>
      <c r="F280" s="143"/>
      <c r="G280" s="97"/>
      <c r="H280" s="143"/>
      <c r="I280" s="97"/>
      <c r="J280" s="97"/>
      <c r="K280" s="150"/>
      <c r="L280" s="150"/>
      <c r="M280" s="102"/>
      <c r="N280" s="124"/>
      <c r="O280" s="125"/>
      <c r="P280" s="97"/>
      <c r="Q280" s="131"/>
      <c r="R280" s="126"/>
      <c r="S280" s="97"/>
      <c r="T280" s="97"/>
      <c r="V280" s="108"/>
    </row>
    <row r="281" ht="15.75" customHeight="1">
      <c r="A281" s="91"/>
      <c r="B281" s="171"/>
      <c r="C281" s="143"/>
      <c r="D281" s="97"/>
      <c r="E281" s="143"/>
      <c r="F281" s="143"/>
      <c r="G281" s="97"/>
      <c r="H281" s="143"/>
      <c r="I281" s="97"/>
      <c r="J281" s="97"/>
      <c r="K281" s="148"/>
      <c r="L281" s="148"/>
      <c r="M281" s="102"/>
      <c r="N281" s="124"/>
      <c r="O281" s="125"/>
      <c r="P281" s="97"/>
      <c r="Q281" s="131"/>
      <c r="R281" s="126"/>
      <c r="S281" s="97"/>
      <c r="T281" s="97"/>
      <c r="V281" s="108"/>
    </row>
    <row r="282" ht="15.75" customHeight="1">
      <c r="A282" s="91"/>
      <c r="B282" s="171"/>
      <c r="C282" s="108"/>
      <c r="D282" s="97"/>
      <c r="E282" s="143"/>
      <c r="F282" s="143"/>
      <c r="G282" s="97"/>
      <c r="H282" s="143"/>
      <c r="I282" s="97"/>
      <c r="J282" s="97"/>
      <c r="K282" s="150"/>
      <c r="L282" s="150"/>
      <c r="M282" s="102"/>
      <c r="N282" s="124"/>
      <c r="O282" s="125"/>
      <c r="P282" s="97"/>
      <c r="Q282" s="131"/>
      <c r="R282" s="126"/>
      <c r="S282" s="97"/>
      <c r="T282" s="97"/>
      <c r="V282" s="108"/>
    </row>
    <row r="283" ht="15.75" customHeight="1">
      <c r="A283" s="91"/>
      <c r="B283" s="171"/>
      <c r="C283" s="143"/>
      <c r="D283" s="97"/>
      <c r="E283" s="143"/>
      <c r="F283" s="143"/>
      <c r="G283" s="97"/>
      <c r="H283" s="143"/>
      <c r="I283" s="97"/>
      <c r="J283" s="97"/>
      <c r="K283" s="148"/>
      <c r="L283" s="148"/>
      <c r="M283" s="102"/>
      <c r="N283" s="124"/>
      <c r="O283" s="125"/>
      <c r="P283" s="97"/>
      <c r="Q283" s="131"/>
      <c r="R283" s="126"/>
      <c r="S283" s="97"/>
      <c r="T283" s="97"/>
      <c r="V283" s="108"/>
    </row>
    <row r="284" ht="15.75" customHeight="1">
      <c r="A284" s="91"/>
      <c r="B284" s="171"/>
      <c r="C284" s="143"/>
      <c r="D284" s="97"/>
      <c r="E284" s="143"/>
      <c r="F284" s="143"/>
      <c r="G284" s="97"/>
      <c r="H284" s="143"/>
      <c r="I284" s="97"/>
      <c r="J284" s="97"/>
      <c r="K284" s="150"/>
      <c r="L284" s="150"/>
      <c r="M284" s="102"/>
      <c r="N284" s="124"/>
      <c r="O284" s="125"/>
      <c r="P284" s="97"/>
      <c r="Q284" s="131"/>
      <c r="R284" s="126"/>
      <c r="S284" s="97"/>
      <c r="T284" s="97"/>
      <c r="V284" s="108"/>
    </row>
    <row r="285" ht="15.75" customHeight="1">
      <c r="A285" s="91"/>
      <c r="B285" s="171"/>
      <c r="C285" s="143"/>
      <c r="D285" s="97"/>
      <c r="E285" s="143"/>
      <c r="F285" s="143"/>
      <c r="G285" s="97"/>
      <c r="H285" s="143"/>
      <c r="I285" s="97"/>
      <c r="J285" s="97"/>
      <c r="K285" s="148"/>
      <c r="L285" s="148"/>
      <c r="M285" s="102"/>
      <c r="N285" s="124"/>
      <c r="O285" s="125"/>
      <c r="P285" s="97"/>
      <c r="Q285" s="131"/>
      <c r="R285" s="126"/>
      <c r="S285" s="97"/>
      <c r="T285" s="97"/>
      <c r="V285" s="108"/>
    </row>
    <row r="286" ht="15.75" customHeight="1">
      <c r="A286" s="91"/>
      <c r="B286" s="171"/>
      <c r="C286" s="143"/>
      <c r="D286" s="97"/>
      <c r="E286" s="143"/>
      <c r="F286" s="143"/>
      <c r="G286" s="97"/>
      <c r="H286" s="143"/>
      <c r="I286" s="97"/>
      <c r="J286" s="97"/>
      <c r="K286" s="150"/>
      <c r="L286" s="150"/>
      <c r="M286" s="102"/>
      <c r="N286" s="124"/>
      <c r="O286" s="125"/>
      <c r="P286" s="97"/>
      <c r="Q286" s="131"/>
      <c r="R286" s="126"/>
      <c r="S286" s="97"/>
      <c r="T286" s="97"/>
      <c r="V286" s="108"/>
    </row>
    <row r="287" ht="15.75" customHeight="1">
      <c r="A287" s="91"/>
      <c r="B287" s="171"/>
      <c r="C287" s="143"/>
      <c r="D287" s="97"/>
      <c r="E287" s="143"/>
      <c r="F287" s="143"/>
      <c r="G287" s="97"/>
      <c r="H287" s="143"/>
      <c r="I287" s="97"/>
      <c r="J287" s="97"/>
      <c r="K287" s="148"/>
      <c r="L287" s="148"/>
      <c r="M287" s="102"/>
      <c r="N287" s="124"/>
      <c r="O287" s="125"/>
      <c r="P287" s="97"/>
      <c r="Q287" s="131"/>
      <c r="R287" s="126"/>
      <c r="S287" s="97"/>
      <c r="T287" s="97"/>
      <c r="V287" s="108"/>
    </row>
    <row r="288" ht="15.75" customHeight="1">
      <c r="A288" s="91"/>
      <c r="B288" s="171"/>
      <c r="C288" s="108"/>
      <c r="D288" s="97"/>
      <c r="E288" s="143"/>
      <c r="F288" s="143"/>
      <c r="G288" s="97"/>
      <c r="H288" s="143"/>
      <c r="I288" s="97"/>
      <c r="J288" s="97"/>
      <c r="K288" s="150"/>
      <c r="L288" s="150"/>
      <c r="M288" s="102"/>
      <c r="N288" s="124"/>
      <c r="O288" s="125"/>
      <c r="P288" s="97"/>
      <c r="Q288" s="131"/>
      <c r="R288" s="126"/>
      <c r="S288" s="97"/>
      <c r="T288" s="97"/>
      <c r="V288" s="108"/>
    </row>
    <row r="289" ht="15.75" customHeight="1">
      <c r="A289" s="91"/>
      <c r="B289" s="171"/>
      <c r="C289" s="143"/>
      <c r="D289" s="97"/>
      <c r="E289" s="143"/>
      <c r="F289" s="143"/>
      <c r="G289" s="97"/>
      <c r="H289" s="143"/>
      <c r="I289" s="97"/>
      <c r="J289" s="97"/>
      <c r="K289" s="148"/>
      <c r="L289" s="148"/>
      <c r="M289" s="102"/>
      <c r="N289" s="124"/>
      <c r="O289" s="125"/>
      <c r="P289" s="97"/>
      <c r="Q289" s="131"/>
      <c r="R289" s="126"/>
      <c r="S289" s="97"/>
      <c r="T289" s="97"/>
      <c r="V289" s="108"/>
    </row>
    <row r="290" ht="15.75" customHeight="1">
      <c r="A290" s="91"/>
      <c r="B290" s="171"/>
      <c r="C290" s="143"/>
      <c r="D290" s="97"/>
      <c r="E290" s="143"/>
      <c r="F290" s="143"/>
      <c r="G290" s="97"/>
      <c r="H290" s="143"/>
      <c r="I290" s="97"/>
      <c r="J290" s="97"/>
      <c r="K290" s="150"/>
      <c r="L290" s="150"/>
      <c r="M290" s="102"/>
      <c r="N290" s="124"/>
      <c r="O290" s="125"/>
      <c r="P290" s="97"/>
      <c r="Q290" s="131"/>
      <c r="R290" s="126"/>
      <c r="S290" s="97"/>
      <c r="T290" s="97"/>
      <c r="V290" s="108"/>
    </row>
    <row r="291" ht="15.75" customHeight="1">
      <c r="A291" s="91"/>
      <c r="B291" s="171"/>
      <c r="C291" s="143"/>
      <c r="D291" s="97"/>
      <c r="E291" s="143"/>
      <c r="F291" s="143"/>
      <c r="G291" s="97"/>
      <c r="H291" s="143"/>
      <c r="I291" s="97"/>
      <c r="J291" s="97"/>
      <c r="K291" s="148"/>
      <c r="L291" s="148"/>
      <c r="M291" s="102"/>
      <c r="N291" s="124"/>
      <c r="O291" s="125"/>
      <c r="P291" s="97"/>
      <c r="Q291" s="131"/>
      <c r="R291" s="126"/>
      <c r="S291" s="97"/>
      <c r="T291" s="97"/>
      <c r="V291" s="108"/>
    </row>
    <row r="292" ht="15.75" customHeight="1">
      <c r="A292" s="91"/>
      <c r="B292" s="171"/>
      <c r="C292" s="143"/>
      <c r="D292" s="97"/>
      <c r="E292" s="143"/>
      <c r="F292" s="143"/>
      <c r="G292" s="97"/>
      <c r="H292" s="143"/>
      <c r="I292" s="97"/>
      <c r="J292" s="97"/>
      <c r="K292" s="150"/>
      <c r="L292" s="150"/>
      <c r="M292" s="102"/>
      <c r="N292" s="124"/>
      <c r="O292" s="125"/>
      <c r="P292" s="97"/>
      <c r="Q292" s="131"/>
      <c r="R292" s="126"/>
      <c r="S292" s="97"/>
      <c r="T292" s="97"/>
      <c r="V292" s="108"/>
    </row>
    <row r="293" ht="15.75" customHeight="1">
      <c r="A293" s="91"/>
      <c r="B293" s="171"/>
      <c r="C293" s="143"/>
      <c r="D293" s="97"/>
      <c r="E293" s="143"/>
      <c r="F293" s="143"/>
      <c r="G293" s="97"/>
      <c r="H293" s="143"/>
      <c r="I293" s="97"/>
      <c r="J293" s="97"/>
      <c r="K293" s="148"/>
      <c r="L293" s="148"/>
      <c r="M293" s="102"/>
      <c r="N293" s="124"/>
      <c r="O293" s="125"/>
      <c r="P293" s="97"/>
      <c r="Q293" s="131"/>
      <c r="R293" s="126"/>
      <c r="S293" s="97"/>
      <c r="T293" s="97"/>
      <c r="V293" s="108"/>
    </row>
    <row r="294" ht="15.75" customHeight="1">
      <c r="A294" s="91"/>
      <c r="B294" s="171"/>
      <c r="C294" s="108"/>
      <c r="D294" s="97"/>
      <c r="E294" s="143"/>
      <c r="F294" s="143"/>
      <c r="G294" s="97"/>
      <c r="H294" s="143"/>
      <c r="I294" s="97"/>
      <c r="J294" s="97"/>
      <c r="K294" s="150"/>
      <c r="L294" s="150"/>
      <c r="M294" s="102"/>
      <c r="N294" s="124"/>
      <c r="O294" s="125"/>
      <c r="P294" s="97"/>
      <c r="Q294" s="131"/>
      <c r="R294" s="126"/>
      <c r="S294" s="97"/>
      <c r="T294" s="97"/>
      <c r="V294" s="108"/>
    </row>
    <row r="295" ht="15.75" customHeight="1">
      <c r="A295" s="91"/>
      <c r="B295" s="171"/>
      <c r="C295" s="143"/>
      <c r="D295" s="97"/>
      <c r="E295" s="143"/>
      <c r="F295" s="143"/>
      <c r="G295" s="97"/>
      <c r="H295" s="143"/>
      <c r="I295" s="97"/>
      <c r="J295" s="97"/>
      <c r="K295" s="148"/>
      <c r="L295" s="148"/>
      <c r="M295" s="102"/>
      <c r="N295" s="124"/>
      <c r="O295" s="125"/>
      <c r="P295" s="97"/>
      <c r="Q295" s="131"/>
      <c r="R295" s="126"/>
      <c r="S295" s="97"/>
      <c r="T295" s="97"/>
      <c r="V295" s="108"/>
    </row>
    <row r="296" ht="15.75" customHeight="1">
      <c r="A296" s="91"/>
      <c r="B296" s="171"/>
      <c r="C296" s="143"/>
      <c r="D296" s="97"/>
      <c r="E296" s="143"/>
      <c r="F296" s="143"/>
      <c r="G296" s="97"/>
      <c r="H296" s="143"/>
      <c r="I296" s="97"/>
      <c r="J296" s="97"/>
      <c r="K296" s="150"/>
      <c r="L296" s="150"/>
      <c r="M296" s="102"/>
      <c r="N296" s="124"/>
      <c r="O296" s="125"/>
      <c r="P296" s="97"/>
      <c r="Q296" s="131"/>
      <c r="R296" s="126"/>
      <c r="S296" s="97"/>
      <c r="T296" s="97"/>
      <c r="V296" s="108"/>
    </row>
    <row r="297" ht="15.75" customHeight="1">
      <c r="A297" s="91"/>
      <c r="B297" s="171"/>
      <c r="C297" s="143"/>
      <c r="D297" s="97"/>
      <c r="E297" s="143"/>
      <c r="F297" s="143"/>
      <c r="G297" s="97"/>
      <c r="H297" s="143"/>
      <c r="I297" s="97"/>
      <c r="J297" s="97"/>
      <c r="K297" s="148"/>
      <c r="L297" s="148"/>
      <c r="M297" s="102"/>
      <c r="N297" s="124"/>
      <c r="O297" s="125"/>
      <c r="P297" s="97"/>
      <c r="Q297" s="131"/>
      <c r="R297" s="126"/>
      <c r="S297" s="97"/>
      <c r="T297" s="97"/>
      <c r="V297" s="108"/>
    </row>
    <row r="298" ht="15.75" customHeight="1">
      <c r="A298" s="91"/>
      <c r="B298" s="171"/>
      <c r="C298" s="143"/>
      <c r="D298" s="97"/>
      <c r="E298" s="143"/>
      <c r="F298" s="143"/>
      <c r="G298" s="97"/>
      <c r="H298" s="143"/>
      <c r="I298" s="97"/>
      <c r="J298" s="97"/>
      <c r="K298" s="150"/>
      <c r="L298" s="150"/>
      <c r="M298" s="102"/>
      <c r="N298" s="124"/>
      <c r="O298" s="125"/>
      <c r="P298" s="97"/>
      <c r="Q298" s="131"/>
      <c r="R298" s="126"/>
      <c r="S298" s="97"/>
      <c r="T298" s="97"/>
      <c r="V298" s="108"/>
    </row>
    <row r="299" ht="15.75" customHeight="1">
      <c r="A299" s="91"/>
      <c r="B299" s="171"/>
      <c r="C299" s="143"/>
      <c r="D299" s="97"/>
      <c r="E299" s="143"/>
      <c r="F299" s="143"/>
      <c r="G299" s="97"/>
      <c r="H299" s="143"/>
      <c r="I299" s="97"/>
      <c r="J299" s="97"/>
      <c r="K299" s="148"/>
      <c r="L299" s="148"/>
      <c r="M299" s="102"/>
      <c r="N299" s="124"/>
      <c r="O299" s="125"/>
      <c r="P299" s="97"/>
      <c r="Q299" s="131"/>
      <c r="R299" s="126"/>
      <c r="S299" s="97"/>
      <c r="T299" s="97"/>
      <c r="V299" s="108"/>
    </row>
    <row r="300" ht="15.75" customHeight="1">
      <c r="A300" s="91"/>
      <c r="B300" s="171"/>
      <c r="C300" s="108"/>
      <c r="D300" s="97"/>
      <c r="E300" s="143"/>
      <c r="F300" s="143"/>
      <c r="G300" s="97"/>
      <c r="H300" s="143"/>
      <c r="I300" s="97"/>
      <c r="J300" s="97"/>
      <c r="K300" s="150"/>
      <c r="L300" s="150"/>
      <c r="M300" s="102"/>
      <c r="N300" s="124"/>
      <c r="O300" s="125"/>
      <c r="P300" s="97"/>
      <c r="Q300" s="131"/>
      <c r="R300" s="126"/>
      <c r="S300" s="97"/>
      <c r="T300" s="97"/>
      <c r="V300" s="108"/>
    </row>
    <row r="301" ht="15.75" customHeight="1">
      <c r="A301" s="91"/>
      <c r="B301" s="171"/>
      <c r="C301" s="143"/>
      <c r="D301" s="97"/>
      <c r="E301" s="143"/>
      <c r="F301" s="143"/>
      <c r="G301" s="97"/>
      <c r="H301" s="143"/>
      <c r="I301" s="97"/>
      <c r="J301" s="97"/>
      <c r="K301" s="148"/>
      <c r="L301" s="148"/>
      <c r="M301" s="102"/>
      <c r="N301" s="124"/>
      <c r="O301" s="125"/>
      <c r="P301" s="97"/>
      <c r="Q301" s="131"/>
      <c r="R301" s="126"/>
      <c r="S301" s="97"/>
      <c r="T301" s="97"/>
      <c r="V301" s="108"/>
    </row>
    <row r="302" ht="15.75" customHeight="1">
      <c r="A302" s="91"/>
      <c r="B302" s="171"/>
      <c r="C302" s="143"/>
      <c r="D302" s="97"/>
      <c r="E302" s="143"/>
      <c r="F302" s="143"/>
      <c r="G302" s="97"/>
      <c r="H302" s="143"/>
      <c r="I302" s="97"/>
      <c r="J302" s="97"/>
      <c r="K302" s="150"/>
      <c r="L302" s="150"/>
      <c r="M302" s="102"/>
      <c r="N302" s="124"/>
      <c r="O302" s="125"/>
      <c r="P302" s="97"/>
      <c r="Q302" s="131"/>
      <c r="R302" s="126"/>
      <c r="S302" s="97"/>
      <c r="T302" s="97"/>
      <c r="V302" s="108"/>
    </row>
    <row r="303" ht="15.75" customHeight="1">
      <c r="A303" s="91"/>
      <c r="B303" s="171"/>
      <c r="C303" s="143"/>
      <c r="D303" s="97"/>
      <c r="E303" s="143"/>
      <c r="F303" s="143"/>
      <c r="G303" s="97"/>
      <c r="H303" s="143"/>
      <c r="I303" s="97"/>
      <c r="J303" s="97"/>
      <c r="K303" s="148"/>
      <c r="L303" s="148"/>
      <c r="M303" s="102"/>
      <c r="N303" s="124"/>
      <c r="O303" s="125"/>
      <c r="P303" s="97"/>
      <c r="Q303" s="131"/>
      <c r="R303" s="126"/>
      <c r="S303" s="97"/>
      <c r="T303" s="97"/>
      <c r="V303" s="108"/>
    </row>
    <row r="304" ht="15.75" customHeight="1">
      <c r="A304" s="91"/>
      <c r="B304" s="171"/>
      <c r="C304" s="143"/>
      <c r="D304" s="97"/>
      <c r="E304" s="143"/>
      <c r="F304" s="143"/>
      <c r="G304" s="97"/>
      <c r="H304" s="143"/>
      <c r="I304" s="97"/>
      <c r="J304" s="97"/>
      <c r="K304" s="150"/>
      <c r="L304" s="150"/>
      <c r="M304" s="102"/>
      <c r="N304" s="124"/>
      <c r="O304" s="125"/>
      <c r="P304" s="97"/>
      <c r="Q304" s="131"/>
      <c r="R304" s="126"/>
      <c r="S304" s="97"/>
      <c r="T304" s="97"/>
      <c r="V304" s="108"/>
    </row>
    <row r="305" ht="15.75" customHeight="1">
      <c r="A305" s="91"/>
      <c r="B305" s="171"/>
      <c r="C305" s="143"/>
      <c r="D305" s="97"/>
      <c r="E305" s="143"/>
      <c r="F305" s="143"/>
      <c r="G305" s="97"/>
      <c r="H305" s="143"/>
      <c r="I305" s="97"/>
      <c r="J305" s="97"/>
      <c r="K305" s="148"/>
      <c r="L305" s="148"/>
      <c r="M305" s="102"/>
      <c r="N305" s="124"/>
      <c r="O305" s="125"/>
      <c r="P305" s="97"/>
      <c r="Q305" s="131"/>
      <c r="R305" s="126"/>
      <c r="S305" s="97"/>
      <c r="T305" s="97"/>
      <c r="V305" s="108"/>
    </row>
    <row r="306" ht="15.75" customHeight="1">
      <c r="A306" s="91"/>
      <c r="B306" s="171"/>
      <c r="C306" s="108"/>
      <c r="D306" s="97"/>
      <c r="E306" s="143"/>
      <c r="F306" s="143"/>
      <c r="G306" s="97"/>
      <c r="H306" s="143"/>
      <c r="I306" s="97"/>
      <c r="J306" s="97"/>
      <c r="K306" s="150"/>
      <c r="L306" s="150"/>
      <c r="M306" s="102"/>
      <c r="N306" s="124"/>
      <c r="O306" s="125"/>
      <c r="P306" s="97"/>
      <c r="Q306" s="131"/>
      <c r="R306" s="126"/>
      <c r="S306" s="97"/>
      <c r="T306" s="97"/>
      <c r="V306" s="108"/>
    </row>
    <row r="307" ht="15.75" customHeight="1">
      <c r="A307" s="91"/>
      <c r="B307" s="171"/>
      <c r="C307" s="143"/>
      <c r="D307" s="97"/>
      <c r="E307" s="143"/>
      <c r="F307" s="143"/>
      <c r="G307" s="97"/>
      <c r="H307" s="143"/>
      <c r="I307" s="97"/>
      <c r="J307" s="97"/>
      <c r="K307" s="148"/>
      <c r="L307" s="148"/>
      <c r="M307" s="102"/>
      <c r="N307" s="124"/>
      <c r="O307" s="125"/>
      <c r="P307" s="97"/>
      <c r="Q307" s="131"/>
      <c r="R307" s="126"/>
      <c r="S307" s="97"/>
      <c r="T307" s="97"/>
      <c r="V307" s="108"/>
    </row>
    <row r="308" ht="15.75" customHeight="1">
      <c r="A308" s="91"/>
      <c r="B308" s="171"/>
      <c r="C308" s="143"/>
      <c r="D308" s="97"/>
      <c r="E308" s="143"/>
      <c r="F308" s="143"/>
      <c r="G308" s="97"/>
      <c r="H308" s="143"/>
      <c r="I308" s="97"/>
      <c r="J308" s="97"/>
      <c r="K308" s="150"/>
      <c r="L308" s="150"/>
      <c r="M308" s="102"/>
      <c r="N308" s="124"/>
      <c r="O308" s="125"/>
      <c r="P308" s="97"/>
      <c r="Q308" s="131"/>
      <c r="R308" s="126"/>
      <c r="S308" s="97"/>
      <c r="T308" s="97"/>
      <c r="V308" s="108"/>
    </row>
    <row r="309" ht="15.75" customHeight="1">
      <c r="A309" s="91"/>
      <c r="B309" s="171"/>
      <c r="C309" s="143"/>
      <c r="D309" s="97"/>
      <c r="E309" s="143"/>
      <c r="F309" s="143"/>
      <c r="G309" s="97"/>
      <c r="H309" s="143"/>
      <c r="I309" s="97"/>
      <c r="J309" s="97"/>
      <c r="K309" s="148"/>
      <c r="L309" s="148"/>
      <c r="M309" s="102"/>
      <c r="N309" s="124"/>
      <c r="O309" s="125"/>
      <c r="P309" s="97"/>
      <c r="Q309" s="131"/>
      <c r="R309" s="126"/>
      <c r="S309" s="97"/>
      <c r="T309" s="97"/>
      <c r="V309" s="108"/>
    </row>
    <row r="310" ht="15.75" customHeight="1">
      <c r="A310" s="91"/>
      <c r="B310" s="171"/>
      <c r="C310" s="143"/>
      <c r="D310" s="97"/>
      <c r="E310" s="143"/>
      <c r="F310" s="143"/>
      <c r="G310" s="97"/>
      <c r="H310" s="143"/>
      <c r="I310" s="97"/>
      <c r="J310" s="97"/>
      <c r="K310" s="150"/>
      <c r="L310" s="150"/>
      <c r="M310" s="102"/>
      <c r="N310" s="124"/>
      <c r="O310" s="125"/>
      <c r="P310" s="97"/>
      <c r="Q310" s="131"/>
      <c r="R310" s="126"/>
      <c r="S310" s="97"/>
      <c r="T310" s="97"/>
      <c r="V310" s="108"/>
    </row>
    <row r="311" ht="15.75" customHeight="1">
      <c r="A311" s="91"/>
      <c r="B311" s="171"/>
      <c r="C311" s="143"/>
      <c r="D311" s="97"/>
      <c r="E311" s="143"/>
      <c r="F311" s="143"/>
      <c r="G311" s="97"/>
      <c r="H311" s="143"/>
      <c r="I311" s="97"/>
      <c r="J311" s="97"/>
      <c r="K311" s="148"/>
      <c r="L311" s="148"/>
      <c r="M311" s="102"/>
      <c r="N311" s="124"/>
      <c r="O311" s="125"/>
      <c r="P311" s="97"/>
      <c r="Q311" s="131"/>
      <c r="R311" s="126"/>
      <c r="S311" s="97"/>
      <c r="T311" s="97"/>
      <c r="V311" s="108"/>
    </row>
    <row r="312" ht="15.75" customHeight="1">
      <c r="A312" s="91"/>
      <c r="B312" s="171"/>
      <c r="C312" s="108"/>
      <c r="D312" s="97"/>
      <c r="E312" s="143"/>
      <c r="F312" s="143"/>
      <c r="G312" s="97"/>
      <c r="H312" s="143"/>
      <c r="I312" s="97"/>
      <c r="J312" s="97"/>
      <c r="K312" s="150"/>
      <c r="L312" s="150"/>
      <c r="M312" s="102"/>
      <c r="N312" s="124"/>
      <c r="O312" s="125"/>
      <c r="P312" s="97"/>
      <c r="Q312" s="131"/>
      <c r="R312" s="126"/>
      <c r="S312" s="97"/>
      <c r="T312" s="97"/>
      <c r="V312" s="108"/>
    </row>
    <row r="313" ht="15.75" customHeight="1">
      <c r="A313" s="91"/>
      <c r="B313" s="171"/>
      <c r="C313" s="143"/>
      <c r="D313" s="97"/>
      <c r="E313" s="143"/>
      <c r="F313" s="143"/>
      <c r="G313" s="97"/>
      <c r="H313" s="143"/>
      <c r="I313" s="97"/>
      <c r="J313" s="97"/>
      <c r="K313" s="148"/>
      <c r="L313" s="148"/>
      <c r="M313" s="102"/>
      <c r="N313" s="124"/>
      <c r="O313" s="125"/>
      <c r="P313" s="97"/>
      <c r="Q313" s="131"/>
      <c r="R313" s="126"/>
      <c r="S313" s="97"/>
      <c r="T313" s="97"/>
      <c r="V313" s="108"/>
    </row>
    <row r="314" ht="15.75" customHeight="1">
      <c r="A314" s="91"/>
      <c r="B314" s="171"/>
      <c r="C314" s="143"/>
      <c r="D314" s="97"/>
      <c r="E314" s="143"/>
      <c r="F314" s="143"/>
      <c r="G314" s="97"/>
      <c r="H314" s="143"/>
      <c r="I314" s="97"/>
      <c r="J314" s="97"/>
      <c r="K314" s="150"/>
      <c r="L314" s="150"/>
      <c r="M314" s="102"/>
      <c r="N314" s="124"/>
      <c r="O314" s="125"/>
      <c r="P314" s="97"/>
      <c r="Q314" s="131"/>
      <c r="R314" s="126"/>
      <c r="S314" s="97"/>
      <c r="T314" s="97"/>
      <c r="V314" s="108"/>
    </row>
    <row r="315" ht="15.75" customHeight="1">
      <c r="A315" s="91"/>
      <c r="B315" s="171"/>
      <c r="C315" s="143"/>
      <c r="D315" s="97"/>
      <c r="E315" s="143"/>
      <c r="F315" s="143"/>
      <c r="G315" s="97"/>
      <c r="H315" s="143"/>
      <c r="I315" s="97"/>
      <c r="J315" s="97"/>
      <c r="K315" s="148"/>
      <c r="L315" s="148"/>
      <c r="M315" s="102"/>
      <c r="N315" s="124"/>
      <c r="O315" s="125"/>
      <c r="P315" s="97"/>
      <c r="Q315" s="131"/>
      <c r="R315" s="126"/>
      <c r="S315" s="97"/>
      <c r="T315" s="97"/>
      <c r="V315" s="108"/>
    </row>
    <row r="316" ht="15.75" customHeight="1">
      <c r="A316" s="91"/>
      <c r="B316" s="171"/>
      <c r="C316" s="143"/>
      <c r="D316" s="97"/>
      <c r="E316" s="143"/>
      <c r="F316" s="143"/>
      <c r="G316" s="97"/>
      <c r="H316" s="143"/>
      <c r="I316" s="97"/>
      <c r="J316" s="97"/>
      <c r="K316" s="150"/>
      <c r="L316" s="150"/>
      <c r="M316" s="102"/>
      <c r="N316" s="124"/>
      <c r="O316" s="125"/>
      <c r="P316" s="97"/>
      <c r="Q316" s="131"/>
      <c r="R316" s="126"/>
      <c r="S316" s="97"/>
      <c r="T316" s="97"/>
      <c r="V316" s="108"/>
    </row>
    <row r="317" ht="15.75" customHeight="1">
      <c r="A317" s="91"/>
      <c r="B317" s="171"/>
      <c r="C317" s="143"/>
      <c r="D317" s="97"/>
      <c r="E317" s="143"/>
      <c r="F317" s="143"/>
      <c r="G317" s="97"/>
      <c r="H317" s="143"/>
      <c r="I317" s="97"/>
      <c r="J317" s="97"/>
      <c r="K317" s="148"/>
      <c r="L317" s="148"/>
      <c r="M317" s="102"/>
      <c r="N317" s="124"/>
      <c r="O317" s="125"/>
      <c r="P317" s="97"/>
      <c r="Q317" s="131"/>
      <c r="R317" s="126"/>
      <c r="S317" s="97"/>
      <c r="T317" s="97"/>
      <c r="V317" s="108"/>
    </row>
    <row r="318" ht="15.75" customHeight="1">
      <c r="A318" s="91"/>
      <c r="B318" s="171"/>
      <c r="C318" s="108"/>
      <c r="D318" s="97"/>
      <c r="E318" s="143"/>
      <c r="F318" s="143"/>
      <c r="G318" s="97"/>
      <c r="H318" s="143"/>
      <c r="I318" s="97"/>
      <c r="J318" s="97"/>
      <c r="K318" s="150"/>
      <c r="L318" s="150"/>
      <c r="M318" s="102"/>
      <c r="N318" s="124"/>
      <c r="O318" s="125"/>
      <c r="P318" s="97"/>
      <c r="Q318" s="131"/>
      <c r="R318" s="126"/>
      <c r="S318" s="97"/>
      <c r="T318" s="97"/>
      <c r="V318" s="108"/>
    </row>
    <row r="319" ht="15.75" customHeight="1">
      <c r="A319" s="91"/>
      <c r="B319" s="171"/>
      <c r="C319" s="143"/>
      <c r="D319" s="97"/>
      <c r="E319" s="143"/>
      <c r="F319" s="143"/>
      <c r="G319" s="97"/>
      <c r="H319" s="143"/>
      <c r="I319" s="97"/>
      <c r="J319" s="97"/>
      <c r="K319" s="148"/>
      <c r="L319" s="148"/>
      <c r="M319" s="102"/>
      <c r="N319" s="124"/>
      <c r="O319" s="125"/>
      <c r="P319" s="97"/>
      <c r="Q319" s="131"/>
      <c r="R319" s="126"/>
      <c r="S319" s="97"/>
      <c r="T319" s="97"/>
      <c r="V319" s="108"/>
    </row>
    <row r="320" ht="15.75" customHeight="1">
      <c r="A320" s="91"/>
      <c r="B320" s="171"/>
      <c r="C320" s="143"/>
      <c r="D320" s="97"/>
      <c r="E320" s="143"/>
      <c r="F320" s="143"/>
      <c r="G320" s="97"/>
      <c r="H320" s="143"/>
      <c r="I320" s="97"/>
      <c r="J320" s="97"/>
      <c r="K320" s="150"/>
      <c r="L320" s="150"/>
      <c r="M320" s="102"/>
      <c r="N320" s="124"/>
      <c r="O320" s="125"/>
      <c r="P320" s="97"/>
      <c r="Q320" s="131"/>
      <c r="R320" s="126"/>
      <c r="S320" s="97"/>
      <c r="T320" s="97"/>
      <c r="V320" s="108"/>
    </row>
    <row r="321" ht="15.75" customHeight="1">
      <c r="A321" s="91"/>
      <c r="B321" s="171"/>
      <c r="C321" s="143"/>
      <c r="D321" s="97"/>
      <c r="E321" s="143"/>
      <c r="F321" s="143"/>
      <c r="G321" s="97"/>
      <c r="H321" s="143"/>
      <c r="I321" s="97"/>
      <c r="J321" s="97"/>
      <c r="K321" s="148"/>
      <c r="L321" s="148"/>
      <c r="M321" s="102"/>
      <c r="N321" s="124"/>
      <c r="O321" s="125"/>
      <c r="P321" s="97"/>
      <c r="Q321" s="131"/>
      <c r="R321" s="126"/>
      <c r="S321" s="97"/>
      <c r="T321" s="97"/>
      <c r="V321" s="108"/>
    </row>
    <row r="322" ht="15.75" customHeight="1">
      <c r="A322" s="91"/>
      <c r="B322" s="171"/>
      <c r="C322" s="143"/>
      <c r="D322" s="97"/>
      <c r="E322" s="143"/>
      <c r="F322" s="143"/>
      <c r="G322" s="97"/>
      <c r="H322" s="143"/>
      <c r="I322" s="97"/>
      <c r="J322" s="97"/>
      <c r="K322" s="150"/>
      <c r="L322" s="150"/>
      <c r="M322" s="102"/>
      <c r="N322" s="124"/>
      <c r="O322" s="125"/>
      <c r="P322" s="97"/>
      <c r="Q322" s="131"/>
      <c r="R322" s="126"/>
      <c r="S322" s="97"/>
      <c r="T322" s="97"/>
      <c r="V322" s="108"/>
    </row>
    <row r="323" ht="15.75" customHeight="1">
      <c r="A323" s="91"/>
      <c r="B323" s="171"/>
      <c r="C323" s="143"/>
      <c r="D323" s="97"/>
      <c r="E323" s="143"/>
      <c r="F323" s="143"/>
      <c r="G323" s="97"/>
      <c r="H323" s="143"/>
      <c r="I323" s="97"/>
      <c r="J323" s="97"/>
      <c r="K323" s="148"/>
      <c r="L323" s="148"/>
      <c r="M323" s="102"/>
      <c r="N323" s="124"/>
      <c r="O323" s="125"/>
      <c r="P323" s="97"/>
      <c r="Q323" s="131"/>
      <c r="R323" s="126"/>
      <c r="S323" s="97"/>
      <c r="T323" s="97"/>
      <c r="V323" s="108"/>
    </row>
    <row r="324" ht="15.75" customHeight="1">
      <c r="A324" s="91"/>
      <c r="B324" s="171"/>
      <c r="C324" s="108"/>
      <c r="D324" s="97"/>
      <c r="E324" s="143"/>
      <c r="F324" s="143"/>
      <c r="G324" s="97"/>
      <c r="H324" s="143"/>
      <c r="I324" s="97"/>
      <c r="J324" s="97"/>
      <c r="K324" s="150"/>
      <c r="L324" s="150"/>
      <c r="M324" s="102"/>
      <c r="N324" s="124"/>
      <c r="O324" s="125"/>
      <c r="P324" s="97"/>
      <c r="Q324" s="131"/>
      <c r="R324" s="126"/>
      <c r="S324" s="97"/>
      <c r="T324" s="97"/>
      <c r="V324" s="108"/>
    </row>
    <row r="325" ht="15.75" customHeight="1">
      <c r="A325" s="91"/>
      <c r="B325" s="171"/>
      <c r="C325" s="143"/>
      <c r="D325" s="97"/>
      <c r="E325" s="143"/>
      <c r="F325" s="143"/>
      <c r="G325" s="97"/>
      <c r="H325" s="143"/>
      <c r="I325" s="97"/>
      <c r="J325" s="97"/>
      <c r="K325" s="148"/>
      <c r="L325" s="148"/>
      <c r="M325" s="102"/>
      <c r="N325" s="124"/>
      <c r="O325" s="125"/>
      <c r="P325" s="97"/>
      <c r="Q325" s="131"/>
      <c r="R325" s="126"/>
      <c r="S325" s="97"/>
      <c r="T325" s="97"/>
      <c r="V325" s="108"/>
    </row>
    <row r="326" ht="15.75" customHeight="1">
      <c r="A326" s="91"/>
      <c r="B326" s="171"/>
      <c r="C326" s="143"/>
      <c r="D326" s="97"/>
      <c r="E326" s="143"/>
      <c r="F326" s="143"/>
      <c r="G326" s="97"/>
      <c r="H326" s="143"/>
      <c r="I326" s="97"/>
      <c r="J326" s="97"/>
      <c r="K326" s="150"/>
      <c r="L326" s="150"/>
      <c r="M326" s="102"/>
      <c r="N326" s="124"/>
      <c r="O326" s="125"/>
      <c r="P326" s="97"/>
      <c r="Q326" s="131"/>
      <c r="R326" s="126"/>
      <c r="S326" s="97"/>
      <c r="T326" s="97"/>
      <c r="V326" s="108"/>
    </row>
    <row r="327" ht="15.75" customHeight="1">
      <c r="A327" s="91"/>
      <c r="B327" s="171"/>
      <c r="C327" s="143"/>
      <c r="D327" s="97"/>
      <c r="E327" s="143"/>
      <c r="F327" s="143"/>
      <c r="G327" s="97"/>
      <c r="H327" s="143"/>
      <c r="I327" s="97"/>
      <c r="J327" s="97"/>
      <c r="K327" s="152"/>
      <c r="L327" s="152"/>
      <c r="M327" s="102"/>
      <c r="N327" s="124"/>
      <c r="O327" s="125"/>
      <c r="P327" s="97"/>
      <c r="Q327" s="131"/>
      <c r="R327" s="126"/>
      <c r="S327" s="97"/>
      <c r="T327" s="97"/>
      <c r="V327" s="108"/>
    </row>
    <row r="328" ht="15.75" customHeight="1">
      <c r="A328" s="91"/>
      <c r="B328" s="171"/>
      <c r="C328" s="143"/>
      <c r="D328" s="97"/>
      <c r="E328" s="143"/>
      <c r="F328" s="143"/>
      <c r="G328" s="97"/>
      <c r="H328" s="143"/>
      <c r="I328" s="97"/>
      <c r="J328" s="97"/>
      <c r="K328" s="152"/>
      <c r="L328" s="152"/>
      <c r="M328" s="102"/>
      <c r="N328" s="124"/>
      <c r="O328" s="125"/>
      <c r="P328" s="97"/>
      <c r="Q328" s="131"/>
      <c r="R328" s="126"/>
      <c r="S328" s="97"/>
      <c r="T328" s="97"/>
      <c r="V328" s="108"/>
    </row>
    <row r="329" ht="15.75" customHeight="1">
      <c r="A329" s="91"/>
      <c r="B329" s="171"/>
      <c r="C329" s="143"/>
      <c r="D329" s="97"/>
      <c r="E329" s="143"/>
      <c r="F329" s="143"/>
      <c r="G329" s="97"/>
      <c r="H329" s="143"/>
      <c r="I329" s="97"/>
      <c r="J329" s="97"/>
      <c r="K329" s="152"/>
      <c r="L329" s="152"/>
      <c r="M329" s="102"/>
      <c r="N329" s="124"/>
      <c r="O329" s="125"/>
      <c r="P329" s="97"/>
      <c r="Q329" s="131"/>
      <c r="R329" s="126"/>
      <c r="S329" s="97"/>
      <c r="T329" s="97"/>
      <c r="V329" s="108"/>
    </row>
    <row r="330" ht="15.75" customHeight="1">
      <c r="A330" s="91"/>
      <c r="B330" s="171"/>
      <c r="C330" s="108"/>
      <c r="D330" s="97"/>
      <c r="E330" s="143"/>
      <c r="F330" s="143"/>
      <c r="G330" s="97"/>
      <c r="H330" s="143"/>
      <c r="I330" s="97"/>
      <c r="J330" s="97"/>
      <c r="K330" s="152"/>
      <c r="L330" s="152"/>
      <c r="M330" s="102"/>
      <c r="N330" s="124"/>
      <c r="O330" s="125"/>
      <c r="P330" s="97"/>
      <c r="Q330" s="131"/>
      <c r="R330" s="126"/>
      <c r="S330" s="97"/>
      <c r="T330" s="97"/>
      <c r="V330" s="108"/>
    </row>
    <row r="331" ht="15.75" customHeight="1">
      <c r="A331" s="91"/>
      <c r="B331" s="171"/>
      <c r="C331" s="143"/>
      <c r="D331" s="97"/>
      <c r="E331" s="143"/>
      <c r="F331" s="143"/>
      <c r="G331" s="97"/>
      <c r="H331" s="143"/>
      <c r="I331" s="97"/>
      <c r="J331" s="97"/>
      <c r="K331" s="152"/>
      <c r="L331" s="152"/>
      <c r="M331" s="102"/>
      <c r="N331" s="124"/>
      <c r="O331" s="125"/>
      <c r="P331" s="97"/>
      <c r="Q331" s="131"/>
      <c r="R331" s="126"/>
      <c r="S331" s="97"/>
      <c r="T331" s="97"/>
      <c r="V331" s="108"/>
    </row>
    <row r="332" ht="15.75" customHeight="1">
      <c r="A332" s="91"/>
      <c r="B332" s="171"/>
      <c r="C332" s="143"/>
      <c r="D332" s="97"/>
      <c r="E332" s="143"/>
      <c r="F332" s="143"/>
      <c r="G332" s="97"/>
      <c r="H332" s="143"/>
      <c r="I332" s="97"/>
      <c r="J332" s="97"/>
      <c r="K332" s="152"/>
      <c r="L332" s="152"/>
      <c r="M332" s="102"/>
      <c r="N332" s="124"/>
      <c r="O332" s="125"/>
      <c r="P332" s="97"/>
      <c r="Q332" s="131"/>
      <c r="R332" s="126"/>
      <c r="S332" s="97"/>
      <c r="T332" s="97"/>
      <c r="V332" s="108"/>
    </row>
    <row r="333" ht="15.75" customHeight="1">
      <c r="A333" s="91"/>
      <c r="B333" s="171"/>
      <c r="C333" s="143"/>
      <c r="D333" s="97"/>
      <c r="E333" s="143"/>
      <c r="F333" s="143"/>
      <c r="G333" s="97"/>
      <c r="H333" s="143"/>
      <c r="I333" s="97"/>
      <c r="J333" s="97"/>
      <c r="K333" s="152"/>
      <c r="L333" s="152"/>
      <c r="M333" s="102"/>
      <c r="N333" s="124"/>
      <c r="O333" s="125"/>
      <c r="P333" s="97"/>
      <c r="Q333" s="131"/>
      <c r="R333" s="126"/>
      <c r="S333" s="97"/>
      <c r="T333" s="97"/>
      <c r="V333" s="108"/>
    </row>
    <row r="334" ht="15.75" customHeight="1">
      <c r="A334" s="91"/>
      <c r="B334" s="171"/>
      <c r="C334" s="143"/>
      <c r="D334" s="97"/>
      <c r="E334" s="143"/>
      <c r="F334" s="143"/>
      <c r="G334" s="97"/>
      <c r="H334" s="143"/>
      <c r="I334" s="97"/>
      <c r="J334" s="97"/>
      <c r="K334" s="152"/>
      <c r="L334" s="152"/>
      <c r="M334" s="102"/>
      <c r="N334" s="124"/>
      <c r="O334" s="125"/>
      <c r="P334" s="97"/>
      <c r="Q334" s="131"/>
      <c r="R334" s="126"/>
      <c r="S334" s="97"/>
      <c r="T334" s="97"/>
      <c r="V334" s="108"/>
    </row>
    <row r="335" ht="15.75" customHeight="1">
      <c r="A335" s="91"/>
      <c r="B335" s="171"/>
      <c r="C335" s="143"/>
      <c r="D335" s="97"/>
      <c r="E335" s="143"/>
      <c r="F335" s="143"/>
      <c r="G335" s="97"/>
      <c r="H335" s="143"/>
      <c r="I335" s="97"/>
      <c r="J335" s="97"/>
      <c r="K335" s="152"/>
      <c r="L335" s="152"/>
      <c r="M335" s="102"/>
      <c r="N335" s="124"/>
      <c r="O335" s="125"/>
      <c r="P335" s="97"/>
      <c r="Q335" s="131"/>
      <c r="R335" s="126"/>
      <c r="S335" s="97"/>
      <c r="T335" s="97"/>
      <c r="V335" s="108"/>
    </row>
    <row r="336" ht="15.75" customHeight="1">
      <c r="A336" s="91"/>
      <c r="B336" s="171"/>
      <c r="C336" s="108"/>
      <c r="D336" s="97"/>
      <c r="E336" s="143"/>
      <c r="F336" s="143"/>
      <c r="G336" s="97"/>
      <c r="H336" s="143"/>
      <c r="I336" s="97"/>
      <c r="J336" s="97"/>
      <c r="K336" s="152"/>
      <c r="L336" s="152"/>
      <c r="M336" s="102"/>
      <c r="N336" s="124"/>
      <c r="O336" s="125"/>
      <c r="P336" s="97"/>
      <c r="Q336" s="131"/>
      <c r="R336" s="126"/>
      <c r="S336" s="97"/>
      <c r="T336" s="97"/>
      <c r="V336" s="108"/>
    </row>
    <row r="337" ht="15.75" customHeight="1">
      <c r="A337" s="91"/>
      <c r="B337" s="171"/>
      <c r="C337" s="143"/>
      <c r="D337" s="97"/>
      <c r="E337" s="143"/>
      <c r="F337" s="143"/>
      <c r="G337" s="97"/>
      <c r="H337" s="143"/>
      <c r="I337" s="97"/>
      <c r="J337" s="97"/>
      <c r="K337" s="152"/>
      <c r="L337" s="152"/>
      <c r="M337" s="102"/>
      <c r="N337" s="124"/>
      <c r="O337" s="125"/>
      <c r="P337" s="97"/>
      <c r="Q337" s="131"/>
      <c r="R337" s="126"/>
      <c r="S337" s="97"/>
      <c r="T337" s="97"/>
      <c r="V337" s="108"/>
    </row>
    <row r="338" ht="15.75" customHeight="1">
      <c r="A338" s="91"/>
      <c r="B338" s="171"/>
      <c r="C338" s="143"/>
      <c r="D338" s="97"/>
      <c r="E338" s="143"/>
      <c r="F338" s="143"/>
      <c r="G338" s="97"/>
      <c r="H338" s="143"/>
      <c r="I338" s="97"/>
      <c r="J338" s="97"/>
      <c r="K338" s="152"/>
      <c r="L338" s="152"/>
      <c r="M338" s="102"/>
      <c r="N338" s="124"/>
      <c r="O338" s="125"/>
      <c r="P338" s="97"/>
      <c r="Q338" s="131"/>
      <c r="R338" s="126"/>
      <c r="S338" s="97"/>
      <c r="T338" s="97"/>
      <c r="V338" s="108"/>
    </row>
    <row r="339" ht="15.75" customHeight="1">
      <c r="A339" s="91"/>
      <c r="B339" s="171"/>
      <c r="C339" s="143"/>
      <c r="D339" s="97"/>
      <c r="E339" s="143"/>
      <c r="F339" s="143"/>
      <c r="G339" s="97"/>
      <c r="H339" s="143"/>
      <c r="I339" s="97"/>
      <c r="J339" s="97"/>
      <c r="K339" s="152"/>
      <c r="L339" s="152"/>
      <c r="M339" s="102"/>
      <c r="N339" s="124"/>
      <c r="O339" s="125"/>
      <c r="P339" s="97"/>
      <c r="Q339" s="131"/>
      <c r="R339" s="126"/>
      <c r="S339" s="97"/>
      <c r="T339" s="97"/>
      <c r="V339" s="108"/>
    </row>
    <row r="340" ht="15.75" customHeight="1">
      <c r="A340" s="91"/>
      <c r="B340" s="171"/>
      <c r="C340" s="143"/>
      <c r="D340" s="97"/>
      <c r="E340" s="143"/>
      <c r="F340" s="143"/>
      <c r="G340" s="97"/>
      <c r="H340" s="143"/>
      <c r="I340" s="97"/>
      <c r="J340" s="97"/>
      <c r="K340" s="152"/>
      <c r="L340" s="152"/>
      <c r="M340" s="102"/>
      <c r="N340" s="124"/>
      <c r="O340" s="125"/>
      <c r="P340" s="97"/>
      <c r="Q340" s="131"/>
      <c r="R340" s="126"/>
      <c r="S340" s="97"/>
      <c r="T340" s="97"/>
      <c r="V340" s="108"/>
    </row>
    <row r="341" ht="15.75" customHeight="1">
      <c r="A341" s="91"/>
      <c r="B341" s="171"/>
      <c r="C341" s="143"/>
      <c r="D341" s="97"/>
      <c r="E341" s="143"/>
      <c r="F341" s="143"/>
      <c r="G341" s="97"/>
      <c r="H341" s="143"/>
      <c r="I341" s="97"/>
      <c r="J341" s="97"/>
      <c r="K341" s="152"/>
      <c r="L341" s="152"/>
      <c r="M341" s="102"/>
      <c r="N341" s="124"/>
      <c r="O341" s="125"/>
      <c r="P341" s="97"/>
      <c r="Q341" s="131"/>
      <c r="R341" s="126"/>
      <c r="S341" s="97"/>
      <c r="T341" s="97"/>
      <c r="V341" s="108"/>
    </row>
    <row r="342" ht="15.75" customHeight="1">
      <c r="A342" s="91"/>
      <c r="B342" s="171"/>
      <c r="C342" s="108"/>
      <c r="D342" s="97"/>
      <c r="E342" s="143"/>
      <c r="F342" s="143"/>
      <c r="G342" s="97"/>
      <c r="H342" s="143"/>
      <c r="I342" s="97"/>
      <c r="J342" s="97"/>
      <c r="K342" s="152"/>
      <c r="L342" s="152"/>
      <c r="M342" s="102"/>
      <c r="N342" s="124"/>
      <c r="O342" s="125"/>
      <c r="P342" s="97"/>
      <c r="Q342" s="131"/>
      <c r="R342" s="126"/>
      <c r="S342" s="97"/>
      <c r="T342" s="97"/>
      <c r="V342" s="108"/>
    </row>
    <row r="343" ht="15.75" customHeight="1">
      <c r="A343" s="91"/>
      <c r="B343" s="171"/>
      <c r="C343" s="143"/>
      <c r="D343" s="97"/>
      <c r="E343" s="143"/>
      <c r="F343" s="143"/>
      <c r="G343" s="97"/>
      <c r="H343" s="143"/>
      <c r="I343" s="97"/>
      <c r="J343" s="97"/>
      <c r="K343" s="152"/>
      <c r="L343" s="152"/>
      <c r="M343" s="102"/>
      <c r="N343" s="124"/>
      <c r="O343" s="125"/>
      <c r="P343" s="97"/>
      <c r="Q343" s="131"/>
      <c r="R343" s="126"/>
      <c r="S343" s="97"/>
      <c r="T343" s="97"/>
      <c r="V343" s="108"/>
    </row>
    <row r="344" ht="15.75" customHeight="1">
      <c r="A344" s="91"/>
      <c r="B344" s="171"/>
      <c r="C344" s="143"/>
      <c r="D344" s="97"/>
      <c r="E344" s="143"/>
      <c r="F344" s="143"/>
      <c r="G344" s="97"/>
      <c r="H344" s="143"/>
      <c r="I344" s="97"/>
      <c r="J344" s="97"/>
      <c r="K344" s="152"/>
      <c r="L344" s="152"/>
      <c r="M344" s="102"/>
      <c r="N344" s="124"/>
      <c r="O344" s="125"/>
      <c r="P344" s="97"/>
      <c r="Q344" s="131"/>
      <c r="R344" s="126"/>
      <c r="S344" s="97"/>
      <c r="T344" s="97"/>
      <c r="V344" s="108"/>
    </row>
    <row r="345" ht="15.75" customHeight="1">
      <c r="A345" s="91"/>
      <c r="B345" s="171"/>
      <c r="C345" s="143"/>
      <c r="D345" s="97"/>
      <c r="E345" s="143"/>
      <c r="F345" s="143"/>
      <c r="G345" s="97"/>
      <c r="H345" s="143"/>
      <c r="I345" s="97"/>
      <c r="J345" s="97"/>
      <c r="K345" s="152"/>
      <c r="L345" s="152"/>
      <c r="M345" s="102"/>
      <c r="N345" s="124"/>
      <c r="O345" s="125"/>
      <c r="P345" s="97"/>
      <c r="Q345" s="131"/>
      <c r="R345" s="126"/>
      <c r="S345" s="97"/>
      <c r="T345" s="97"/>
      <c r="V345" s="108"/>
    </row>
    <row r="346" ht="15.75" customHeight="1">
      <c r="A346" s="91"/>
      <c r="B346" s="171"/>
      <c r="C346" s="143"/>
      <c r="D346" s="97"/>
      <c r="E346" s="143"/>
      <c r="F346" s="143"/>
      <c r="G346" s="97"/>
      <c r="H346" s="143"/>
      <c r="I346" s="97"/>
      <c r="J346" s="97"/>
      <c r="K346" s="152"/>
      <c r="L346" s="152"/>
      <c r="M346" s="102"/>
      <c r="N346" s="124"/>
      <c r="O346" s="125"/>
      <c r="P346" s="97"/>
      <c r="Q346" s="131"/>
      <c r="R346" s="126"/>
      <c r="S346" s="97"/>
      <c r="T346" s="97"/>
      <c r="V346" s="108"/>
    </row>
    <row r="347" ht="15.75" customHeight="1">
      <c r="A347" s="91"/>
      <c r="B347" s="171"/>
      <c r="C347" s="143"/>
      <c r="D347" s="97"/>
      <c r="E347" s="143"/>
      <c r="F347" s="143"/>
      <c r="G347" s="97"/>
      <c r="H347" s="143"/>
      <c r="I347" s="97"/>
      <c r="J347" s="97"/>
      <c r="K347" s="152"/>
      <c r="L347" s="152"/>
      <c r="M347" s="102"/>
      <c r="N347" s="124"/>
      <c r="O347" s="125"/>
      <c r="P347" s="97"/>
      <c r="Q347" s="131"/>
      <c r="R347" s="126"/>
      <c r="S347" s="97"/>
      <c r="T347" s="97"/>
      <c r="V347" s="108"/>
    </row>
    <row r="348" ht="15.75" customHeight="1">
      <c r="A348" s="91"/>
      <c r="B348" s="171"/>
      <c r="C348" s="108"/>
      <c r="D348" s="97"/>
      <c r="E348" s="143"/>
      <c r="F348" s="143"/>
      <c r="G348" s="97"/>
      <c r="H348" s="143"/>
      <c r="I348" s="97"/>
      <c r="J348" s="97"/>
      <c r="K348" s="152"/>
      <c r="L348" s="152"/>
      <c r="M348" s="102"/>
      <c r="N348" s="124"/>
      <c r="O348" s="125"/>
      <c r="P348" s="97"/>
      <c r="Q348" s="131"/>
      <c r="R348" s="126"/>
      <c r="S348" s="97"/>
      <c r="T348" s="97"/>
      <c r="V348" s="108"/>
    </row>
    <row r="349" ht="15.75" customHeight="1">
      <c r="A349" s="91"/>
      <c r="B349" s="171"/>
      <c r="C349" s="143"/>
      <c r="D349" s="97"/>
      <c r="E349" s="143"/>
      <c r="F349" s="143"/>
      <c r="G349" s="97"/>
      <c r="H349" s="143"/>
      <c r="I349" s="97"/>
      <c r="J349" s="97"/>
      <c r="K349" s="152"/>
      <c r="L349" s="152"/>
      <c r="M349" s="102"/>
      <c r="N349" s="124"/>
      <c r="O349" s="125"/>
      <c r="P349" s="97"/>
      <c r="Q349" s="131"/>
      <c r="R349" s="126"/>
      <c r="S349" s="97"/>
      <c r="T349" s="97"/>
      <c r="V349" s="108"/>
    </row>
    <row r="350" ht="15.75" customHeight="1">
      <c r="A350" s="91"/>
      <c r="B350" s="171"/>
      <c r="C350" s="143"/>
      <c r="D350" s="97"/>
      <c r="E350" s="143"/>
      <c r="F350" s="143"/>
      <c r="G350" s="97"/>
      <c r="H350" s="143"/>
      <c r="I350" s="97"/>
      <c r="J350" s="97"/>
      <c r="K350" s="152"/>
      <c r="L350" s="152"/>
      <c r="M350" s="102"/>
      <c r="N350" s="124"/>
      <c r="O350" s="125"/>
      <c r="P350" s="97"/>
      <c r="Q350" s="131"/>
      <c r="R350" s="126"/>
      <c r="S350" s="97"/>
      <c r="T350" s="97"/>
      <c r="V350" s="108"/>
    </row>
    <row r="351" ht="15.75" customHeight="1">
      <c r="A351" s="91"/>
      <c r="B351" s="171"/>
      <c r="C351" s="143"/>
      <c r="D351" s="97"/>
      <c r="E351" s="143"/>
      <c r="F351" s="143"/>
      <c r="G351" s="97"/>
      <c r="H351" s="143"/>
      <c r="I351" s="97"/>
      <c r="J351" s="97"/>
      <c r="K351" s="152"/>
      <c r="L351" s="152"/>
      <c r="M351" s="102"/>
      <c r="N351" s="124"/>
      <c r="O351" s="125"/>
      <c r="P351" s="97"/>
      <c r="Q351" s="131"/>
      <c r="R351" s="126"/>
      <c r="S351" s="97"/>
      <c r="T351" s="97"/>
      <c r="V351" s="108"/>
    </row>
    <row r="352" ht="15.75" customHeight="1">
      <c r="A352" s="91"/>
      <c r="B352" s="171"/>
      <c r="C352" s="143"/>
      <c r="D352" s="97"/>
      <c r="E352" s="143"/>
      <c r="F352" s="143"/>
      <c r="G352" s="97"/>
      <c r="H352" s="143"/>
      <c r="I352" s="97"/>
      <c r="J352" s="97"/>
      <c r="K352" s="152"/>
      <c r="L352" s="152"/>
      <c r="M352" s="102"/>
      <c r="N352" s="124"/>
      <c r="O352" s="125"/>
      <c r="P352" s="97"/>
      <c r="Q352" s="131"/>
      <c r="R352" s="126"/>
      <c r="S352" s="97"/>
      <c r="T352" s="97"/>
      <c r="V352" s="108"/>
    </row>
    <row r="353" ht="15.75" customHeight="1">
      <c r="A353" s="91"/>
      <c r="B353" s="171"/>
      <c r="C353" s="143"/>
      <c r="D353" s="97"/>
      <c r="E353" s="143"/>
      <c r="F353" s="143"/>
      <c r="G353" s="97"/>
      <c r="H353" s="143"/>
      <c r="I353" s="97"/>
      <c r="J353" s="97"/>
      <c r="K353" s="152"/>
      <c r="L353" s="152"/>
      <c r="M353" s="102"/>
      <c r="N353" s="124"/>
      <c r="O353" s="125"/>
      <c r="P353" s="97"/>
      <c r="Q353" s="131"/>
      <c r="R353" s="126"/>
      <c r="S353" s="97"/>
      <c r="T353" s="97"/>
      <c r="V353" s="108"/>
    </row>
    <row r="354" ht="15.75" customHeight="1">
      <c r="A354" s="91"/>
      <c r="B354" s="171"/>
      <c r="C354" s="108"/>
      <c r="D354" s="97"/>
      <c r="E354" s="143"/>
      <c r="F354" s="143"/>
      <c r="G354" s="97"/>
      <c r="H354" s="143"/>
      <c r="I354" s="97"/>
      <c r="J354" s="97"/>
      <c r="K354" s="152"/>
      <c r="L354" s="152"/>
      <c r="M354" s="102"/>
      <c r="N354" s="124"/>
      <c r="O354" s="125"/>
      <c r="P354" s="97"/>
      <c r="Q354" s="131"/>
      <c r="R354" s="126"/>
      <c r="S354" s="97"/>
      <c r="T354" s="97"/>
      <c r="V354" s="108"/>
    </row>
    <row r="355" ht="15.75" customHeight="1">
      <c r="A355" s="91"/>
      <c r="B355" s="171"/>
      <c r="C355" s="143"/>
      <c r="D355" s="97"/>
      <c r="E355" s="143"/>
      <c r="F355" s="143"/>
      <c r="G355" s="97"/>
      <c r="H355" s="143"/>
      <c r="I355" s="97"/>
      <c r="J355" s="97"/>
      <c r="K355" s="152"/>
      <c r="L355" s="152"/>
      <c r="M355" s="102"/>
      <c r="N355" s="124"/>
      <c r="O355" s="125"/>
      <c r="P355" s="97"/>
      <c r="Q355" s="131"/>
      <c r="R355" s="126"/>
      <c r="S355" s="97"/>
      <c r="T355" s="97"/>
      <c r="V355" s="108"/>
    </row>
    <row r="356" ht="15.75" customHeight="1">
      <c r="A356" s="91"/>
      <c r="B356" s="171"/>
      <c r="C356" s="143"/>
      <c r="D356" s="97"/>
      <c r="E356" s="143"/>
      <c r="F356" s="143"/>
      <c r="G356" s="97"/>
      <c r="H356" s="143"/>
      <c r="I356" s="97"/>
      <c r="J356" s="97"/>
      <c r="K356" s="152"/>
      <c r="L356" s="152"/>
      <c r="M356" s="102"/>
      <c r="N356" s="124"/>
      <c r="O356" s="125"/>
      <c r="P356" s="97"/>
      <c r="Q356" s="131"/>
      <c r="R356" s="126"/>
      <c r="S356" s="97"/>
      <c r="T356" s="97"/>
      <c r="V356" s="108"/>
    </row>
    <row r="357" ht="15.75" customHeight="1">
      <c r="A357" s="91"/>
      <c r="B357" s="171"/>
      <c r="C357" s="143"/>
      <c r="D357" s="97"/>
      <c r="E357" s="143"/>
      <c r="F357" s="143"/>
      <c r="G357" s="97"/>
      <c r="H357" s="143"/>
      <c r="I357" s="97"/>
      <c r="J357" s="97"/>
      <c r="K357" s="152"/>
      <c r="L357" s="152"/>
      <c r="M357" s="102"/>
      <c r="N357" s="124"/>
      <c r="O357" s="125"/>
      <c r="P357" s="97"/>
      <c r="Q357" s="131"/>
      <c r="R357" s="126"/>
      <c r="S357" s="97"/>
      <c r="T357" s="97"/>
      <c r="V357" s="108"/>
    </row>
    <row r="358" ht="15.75" customHeight="1">
      <c r="A358" s="91"/>
      <c r="B358" s="171"/>
      <c r="C358" s="143"/>
      <c r="D358" s="97"/>
      <c r="E358" s="143"/>
      <c r="F358" s="143"/>
      <c r="G358" s="97"/>
      <c r="H358" s="143"/>
      <c r="I358" s="97"/>
      <c r="J358" s="97"/>
      <c r="K358" s="152"/>
      <c r="L358" s="152"/>
      <c r="M358" s="102"/>
      <c r="N358" s="124"/>
      <c r="O358" s="125"/>
      <c r="P358" s="97"/>
      <c r="Q358" s="131"/>
      <c r="R358" s="126"/>
      <c r="S358" s="97"/>
      <c r="T358" s="97"/>
      <c r="V358" s="108"/>
    </row>
    <row r="359" ht="15.75" customHeight="1">
      <c r="A359" s="91"/>
      <c r="B359" s="171"/>
      <c r="C359" s="143"/>
      <c r="D359" s="97"/>
      <c r="E359" s="143"/>
      <c r="F359" s="143"/>
      <c r="G359" s="97"/>
      <c r="H359" s="143"/>
      <c r="I359" s="97"/>
      <c r="J359" s="97"/>
      <c r="K359" s="152"/>
      <c r="L359" s="152"/>
      <c r="M359" s="102"/>
      <c r="N359" s="124"/>
      <c r="O359" s="125"/>
      <c r="P359" s="97"/>
      <c r="Q359" s="131"/>
      <c r="R359" s="126"/>
      <c r="S359" s="97"/>
      <c r="T359" s="97"/>
      <c r="V359" s="108"/>
    </row>
  </sheetData>
  <autoFilter ref="$A$12:$V$108"/>
  <mergeCells count="342">
    <mergeCell ref="T11:U11"/>
    <mergeCell ref="T12:U12"/>
    <mergeCell ref="T17:U17"/>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359">
      <formula1>"Think About It,Money,Partner,Time,Fear,Value"</formula1>
    </dataValidation>
    <dataValidation type="list" allowBlank="1" showErrorMessage="1" sqref="J16">
      <formula1>"Option 1,Option 2"</formula1>
    </dataValidation>
    <dataValidation type="list" allowBlank="1" showErrorMessage="1" sqref="I13:J15 I16 I17:J20 I21 I22:J34 I35 I36:J101 I102:I108 I109:J359">
      <formula1>"Full-Pay,Split-pay,Deposit,Offer &amp; Didn't Buy,Bad Fit &amp; No Offer,Rescheduled,Cancelled,No-Show"</formula1>
    </dataValidation>
    <dataValidation type="list" allowBlank="1" showErrorMessage="1" sqref="S13:S359">
      <formula1>"Closed,Follow Up,Hot Follow Up,Deposit (Follow Up Set),Follow Up Set,X"</formula1>
    </dataValidation>
    <dataValidation type="list" allowBlank="1" showErrorMessage="1" sqref="J35">
      <formula1>"Full-Pay,Split-Pay,Deposit,Offer &amp; Didn't Buy,Bad Fit &amp; No Offer,Drag Over &amp; Show,Rescheduled,Cancelled,No-Show"</formula1>
    </dataValidation>
    <dataValidation type="list" allowBlank="1" sqref="H13:H359">
      <formula1>"IG,Setter,Facebook Ads,Landing page"</formula1>
    </dataValidation>
  </dataValidations>
  <hyperlinks>
    <hyperlink r:id="rId2" ref="F50"/>
    <hyperlink r:id="rId3" ref="F51"/>
    <hyperlink r:id="rId4" ref="F52"/>
    <hyperlink r:id="rId5" ref="F53"/>
    <hyperlink r:id="rId6" ref="F54"/>
    <hyperlink r:id="rId7" ref="F55"/>
    <hyperlink r:id="rId8" ref="F56"/>
    <hyperlink r:id="rId9" ref="F57"/>
    <hyperlink r:id="rId10" ref="F58"/>
    <hyperlink r:id="rId11" ref="F59"/>
    <hyperlink r:id="rId12" ref="F60"/>
    <hyperlink r:id="rId13" ref="F61"/>
    <hyperlink r:id="rId14" ref="F62"/>
    <hyperlink r:id="rId15" ref="F63"/>
    <hyperlink r:id="rId16" ref="F64"/>
    <hyperlink r:id="rId17" ref="F65"/>
    <hyperlink r:id="rId18" ref="F66"/>
    <hyperlink r:id="rId19" ref="F67"/>
    <hyperlink r:id="rId20" ref="F68"/>
    <hyperlink r:id="rId21" ref="F69"/>
    <hyperlink r:id="rId22" ref="F70"/>
    <hyperlink r:id="rId23" ref="F71"/>
    <hyperlink r:id="rId24" ref="F72"/>
    <hyperlink r:id="rId25" ref="F73"/>
    <hyperlink r:id="rId26" ref="F74"/>
    <hyperlink r:id="rId27" ref="F75"/>
    <hyperlink r:id="rId28" ref="F76"/>
    <hyperlink r:id="rId29" ref="F77"/>
    <hyperlink r:id="rId30" ref="F78"/>
    <hyperlink r:id="rId31" ref="F79"/>
    <hyperlink r:id="rId32" ref="F80"/>
    <hyperlink r:id="rId33" ref="F81"/>
  </hyperlinks>
  <drawing r:id="rId34"/>
  <legacyDrawing r:id="rId3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4"/>
      <c r="B1" s="89" t="s">
        <v>31</v>
      </c>
      <c r="C1" s="89" t="s">
        <v>77</v>
      </c>
      <c r="D1" s="34"/>
      <c r="E1" s="239" t="s">
        <v>515</v>
      </c>
      <c r="F1" s="34"/>
      <c r="H1" s="39" t="s">
        <v>33</v>
      </c>
      <c r="I1" s="40"/>
      <c r="J1" s="34"/>
      <c r="K1" s="39" t="s">
        <v>34</v>
      </c>
      <c r="L1" s="40"/>
      <c r="M1" s="13"/>
      <c r="N1" s="153" t="s">
        <v>35</v>
      </c>
      <c r="O1" s="42"/>
      <c r="P1" s="13"/>
      <c r="Q1" s="39" t="s">
        <v>36</v>
      </c>
      <c r="R1" s="43"/>
      <c r="S1" s="34"/>
      <c r="T1" s="39" t="s">
        <v>37</v>
      </c>
      <c r="U1" s="44"/>
      <c r="V1" s="34"/>
    </row>
    <row r="2">
      <c r="A2" s="34"/>
      <c r="B2" s="40"/>
      <c r="C2" s="40"/>
      <c r="D2" s="13"/>
      <c r="E2" s="241" t="s">
        <v>517</v>
      </c>
      <c r="F2" s="242">
        <f>C3/C6</f>
        <v>4042.372881</v>
      </c>
      <c r="H2" s="154" t="s">
        <v>26</v>
      </c>
      <c r="I2" s="155">
        <f>IFERROR(COUNTIFS(I13:I287, "Full-Pay"),"")</f>
        <v>1</v>
      </c>
      <c r="J2" s="13"/>
      <c r="K2" s="47" t="s">
        <v>16</v>
      </c>
      <c r="L2" s="48">
        <f>iferror(L10/L8,"")</f>
        <v>0.3898305085</v>
      </c>
      <c r="M2" s="12"/>
      <c r="N2" s="156" t="s">
        <v>39</v>
      </c>
      <c r="O2" s="50">
        <f>iferror(I8/L6,"")</f>
        <v>0.09589041096</v>
      </c>
      <c r="P2" s="12"/>
      <c r="Q2" s="51" t="s">
        <v>40</v>
      </c>
      <c r="R2" s="52">
        <f>IFERROR(COUNTIFS(N13:N286, "think about it"),"")</f>
        <v>5</v>
      </c>
      <c r="S2" s="13"/>
      <c r="T2" s="53" t="s">
        <v>41</v>
      </c>
      <c r="U2" s="54">
        <f>IFERROR(COUNTIF(H13:H286,T2),"")</f>
        <v>0</v>
      </c>
      <c r="V2" s="56"/>
    </row>
    <row r="3">
      <c r="A3" s="13"/>
      <c r="B3" s="157" t="s">
        <v>43</v>
      </c>
      <c r="C3" s="58">
        <f>IFERROR(SUM(K13:K283),"")</f>
        <v>238500</v>
      </c>
      <c r="D3" s="59"/>
      <c r="E3" s="244" t="s">
        <v>519</v>
      </c>
      <c r="F3" s="245">
        <f>C4/C6</f>
        <v>1277.110169</v>
      </c>
      <c r="H3" s="154" t="s">
        <v>27</v>
      </c>
      <c r="I3" s="155">
        <f>IFERROR(COUNTIFS(I13:I287, "Split-Pay"),"")</f>
        <v>22</v>
      </c>
      <c r="J3" s="13"/>
      <c r="K3" s="47" t="s">
        <v>17</v>
      </c>
      <c r="L3" s="48">
        <f>IFERROR(L10/L9,"")</f>
        <v>0.3965517241</v>
      </c>
      <c r="M3" s="12"/>
      <c r="N3" s="156" t="s">
        <v>44</v>
      </c>
      <c r="O3" s="50">
        <f>iferror(I9/L6,"")</f>
        <v>0.05479452055</v>
      </c>
      <c r="P3" s="12"/>
      <c r="Q3" s="51" t="s">
        <v>45</v>
      </c>
      <c r="R3" s="60">
        <f>IFERROR(COUNTIFS(N13:N286, "money"),"")</f>
        <v>20</v>
      </c>
      <c r="S3" s="13"/>
      <c r="T3" s="53" t="s">
        <v>46</v>
      </c>
      <c r="U3" s="54">
        <f>IFERROR(COUNTIF(H13:H286,T3),"")</f>
        <v>0</v>
      </c>
      <c r="V3" s="56"/>
    </row>
    <row r="4">
      <c r="A4" s="13"/>
      <c r="B4" s="158" t="s">
        <v>48</v>
      </c>
      <c r="C4" s="62">
        <f>IFERROR(SUM(L13:L284),"")</f>
        <v>75349.5</v>
      </c>
      <c r="D4" s="59"/>
      <c r="E4" s="244" t="s">
        <v>521</v>
      </c>
      <c r="F4" s="246">
        <f>C4/C3*100</f>
        <v>31.59308176</v>
      </c>
      <c r="H4" s="154" t="s">
        <v>28</v>
      </c>
      <c r="I4" s="155">
        <f>IFERROR(COUNTIFS(I13:I287, "Deposit"),"")</f>
        <v>4</v>
      </c>
      <c r="J4" s="13"/>
      <c r="K4" s="47" t="s">
        <v>18</v>
      </c>
      <c r="L4" s="48">
        <f>IFERROR(L9/L8,"")</f>
        <v>0.9830508475</v>
      </c>
      <c r="M4" s="12"/>
      <c r="N4" s="156" t="s">
        <v>49</v>
      </c>
      <c r="O4" s="50">
        <f>iferror(I10/L6,"")</f>
        <v>0.04109589041</v>
      </c>
      <c r="P4" s="12"/>
      <c r="Q4" s="51" t="s">
        <v>50</v>
      </c>
      <c r="R4" s="52">
        <f>IFERROR(COUNTIFS(N13:N286, "time"),"")</f>
        <v>1</v>
      </c>
      <c r="S4" s="13"/>
      <c r="T4" s="53" t="s">
        <v>51</v>
      </c>
      <c r="U4" s="54">
        <f>IFERROR(COUNTIF(H13:H286,T4),"")</f>
        <v>0</v>
      </c>
      <c r="V4" s="34"/>
    </row>
    <row r="5">
      <c r="A5" s="34"/>
      <c r="B5" s="40"/>
      <c r="C5" s="40"/>
      <c r="D5" s="13"/>
      <c r="E5" s="244" t="s">
        <v>523</v>
      </c>
      <c r="F5" s="247">
        <f>I2/C7*100</f>
        <v>4.347826087</v>
      </c>
      <c r="H5" s="154" t="s">
        <v>53</v>
      </c>
      <c r="I5" s="155">
        <f>IFERROR(COUNTIFS(I13:I287, "Offer &amp; Didn't Buy"),"")</f>
        <v>31</v>
      </c>
      <c r="J5" s="13"/>
      <c r="K5" s="47" t="s">
        <v>54</v>
      </c>
      <c r="L5" s="48">
        <f>IFERROR(I7/(C6+I7+I8),"")</f>
        <v>0</v>
      </c>
      <c r="M5" s="13"/>
      <c r="N5" s="156" t="s">
        <v>54</v>
      </c>
      <c r="O5" s="50">
        <f>iferror(I7/L6,"")</f>
        <v>0</v>
      </c>
      <c r="P5" s="12"/>
      <c r="Q5" s="51" t="s">
        <v>55</v>
      </c>
      <c r="R5" s="52">
        <f>IFERROR(COUNTIFS(N13:N286, "partner"),"")</f>
        <v>5</v>
      </c>
      <c r="S5" s="13"/>
      <c r="T5" s="53" t="s">
        <v>56</v>
      </c>
      <c r="U5" s="54">
        <f>IFERROR(COUNTIF(H13:H286,T5),"")</f>
        <v>0</v>
      </c>
      <c r="V5" s="56"/>
    </row>
    <row r="6">
      <c r="A6" s="13"/>
      <c r="B6" s="159" t="s">
        <v>58</v>
      </c>
      <c r="C6" s="64">
        <f>IFERROR(SUM(I2:I6),"")</f>
        <v>59</v>
      </c>
      <c r="D6" s="13"/>
      <c r="E6" s="244" t="s">
        <v>525</v>
      </c>
      <c r="F6" s="248">
        <f>AVERAGE(Q13:Q104)</f>
        <v>5.956521739</v>
      </c>
      <c r="H6" s="154" t="s">
        <v>59</v>
      </c>
      <c r="I6" s="155">
        <f>IFERROR(COUNTIFS(I13:I287, "Bad Fit &amp; No Offer"),"")</f>
        <v>1</v>
      </c>
      <c r="J6" s="13"/>
      <c r="K6" s="47" t="s">
        <v>21</v>
      </c>
      <c r="L6" s="65">
        <f>IFERROR(SUM(I2:I10),"")</f>
        <v>73</v>
      </c>
      <c r="M6" s="13"/>
      <c r="N6" s="160" t="s">
        <v>29</v>
      </c>
      <c r="O6" s="50">
        <f>iferror(L7/L6,"")</f>
        <v>0.8082191781</v>
      </c>
      <c r="P6" s="12"/>
      <c r="Q6" s="51" t="s">
        <v>60</v>
      </c>
      <c r="R6" s="52">
        <f>IFERROR(COUNTIFS(N13:N286, "fear"),"")</f>
        <v>4</v>
      </c>
      <c r="S6" s="13"/>
      <c r="T6" s="53" t="s">
        <v>61</v>
      </c>
      <c r="U6" s="54">
        <f>IFERROR(COUNTIF(H13:H286,T6),"")</f>
        <v>0</v>
      </c>
      <c r="V6" s="56"/>
    </row>
    <row r="7">
      <c r="A7" s="13"/>
      <c r="B7" s="159" t="s">
        <v>63</v>
      </c>
      <c r="C7" s="67">
        <f>IFERROR(I2+I3,"")</f>
        <v>23</v>
      </c>
      <c r="D7" s="13"/>
      <c r="E7" s="244" t="s">
        <v>527</v>
      </c>
      <c r="F7" s="245">
        <f>C3/C7</f>
        <v>10369.56522</v>
      </c>
      <c r="H7" s="154" t="s">
        <v>64</v>
      </c>
      <c r="I7" s="155">
        <f>IFERROR(COUNTIFS(I13:I287, "Drag Over &amp; Show"),"")</f>
        <v>0</v>
      </c>
      <c r="J7" s="13"/>
      <c r="K7" s="47" t="s">
        <v>22</v>
      </c>
      <c r="L7" s="65">
        <f>IFERROR(SUM(I2:I7),"")</f>
        <v>59</v>
      </c>
      <c r="M7" s="13"/>
      <c r="N7" s="161" t="s">
        <v>30</v>
      </c>
      <c r="O7" s="69">
        <f>IFERROR(L8/L6,"")</f>
        <v>0.8082191781</v>
      </c>
      <c r="P7" s="12"/>
      <c r="Q7" s="70" t="s">
        <v>65</v>
      </c>
      <c r="R7" s="71">
        <f>IFERROR(COUNTIFS(N14:N287, "value"),"")</f>
        <v>4</v>
      </c>
      <c r="S7" s="13"/>
      <c r="T7" s="53" t="s">
        <v>66</v>
      </c>
      <c r="U7" s="54">
        <f>IFERROR(COUNTIF(H13:H286,T7),"")</f>
        <v>0</v>
      </c>
      <c r="V7" s="34"/>
    </row>
    <row r="8">
      <c r="A8" s="13"/>
      <c r="B8" s="159" t="s">
        <v>68</v>
      </c>
      <c r="C8" s="72">
        <f>COUNTIF(I13:I286,"offer &amp; didn't buy")+countif(I13:I286,"deposit")+countif(I13:I286,"bad fit &amp; no offer")</f>
        <v>36</v>
      </c>
      <c r="D8" s="73"/>
      <c r="E8" s="244" t="s">
        <v>529</v>
      </c>
      <c r="F8" s="245">
        <f>C4/C7</f>
        <v>3276.065217</v>
      </c>
      <c r="H8" s="154" t="s">
        <v>69</v>
      </c>
      <c r="I8" s="155">
        <f>IFERROR(COUNTIFS(I13:I287, "Rescheduled"),"")</f>
        <v>7</v>
      </c>
      <c r="J8" s="13"/>
      <c r="K8" s="47" t="s">
        <v>23</v>
      </c>
      <c r="L8" s="65">
        <f>IFERROR(SUM(I2:I6),"")</f>
        <v>59</v>
      </c>
      <c r="M8" s="34"/>
      <c r="N8" s="34"/>
      <c r="O8" s="34"/>
      <c r="P8" s="34"/>
      <c r="Q8" s="34"/>
      <c r="R8" s="75"/>
      <c r="S8" s="13"/>
      <c r="T8" s="76" t="s">
        <v>70</v>
      </c>
      <c r="U8" s="77">
        <f>IFERROR(COUNTIF(H13:H286,T8),"")</f>
        <v>0</v>
      </c>
      <c r="V8" s="34"/>
    </row>
    <row r="9">
      <c r="A9" s="13"/>
      <c r="B9" s="159" t="s">
        <v>72</v>
      </c>
      <c r="C9" s="79">
        <f>iferror(SUM(C7/C6),"")</f>
        <v>0.3898305085</v>
      </c>
      <c r="D9" s="12"/>
      <c r="E9" s="249"/>
      <c r="F9" s="250"/>
      <c r="H9" s="154" t="s">
        <v>73</v>
      </c>
      <c r="I9" s="155">
        <f>IFERROR(COUNTIFS(I13:I287, "Cancelled"),"")</f>
        <v>4</v>
      </c>
      <c r="J9" s="13"/>
      <c r="K9" s="47" t="s">
        <v>24</v>
      </c>
      <c r="L9" s="65">
        <f>IFERROR(sum(I2:I5),"")</f>
        <v>58</v>
      </c>
      <c r="M9" s="34"/>
      <c r="N9" s="34"/>
      <c r="O9" s="34"/>
      <c r="P9" s="34"/>
      <c r="Q9" s="34"/>
      <c r="R9" s="75"/>
      <c r="S9" s="34"/>
      <c r="T9" s="34"/>
      <c r="U9" s="34"/>
      <c r="V9" s="34"/>
    </row>
    <row r="10">
      <c r="A10" s="34"/>
      <c r="B10" s="34"/>
      <c r="C10" s="34"/>
      <c r="D10" s="13"/>
      <c r="E10" s="251"/>
      <c r="F10" s="252"/>
      <c r="H10" s="162" t="s">
        <v>74</v>
      </c>
      <c r="I10" s="163">
        <f>IFERROR(COUNTIFS(I13:I287, "No-Show"),"")</f>
        <v>3</v>
      </c>
      <c r="J10" s="13"/>
      <c r="K10" s="82" t="s">
        <v>75</v>
      </c>
      <c r="L10" s="83">
        <f>I2+I3</f>
        <v>23</v>
      </c>
      <c r="M10" s="34"/>
      <c r="N10" s="34"/>
      <c r="O10" s="34"/>
      <c r="P10" s="34"/>
      <c r="Q10" s="34"/>
      <c r="R10" s="75"/>
      <c r="S10" s="34"/>
      <c r="T10" s="34"/>
      <c r="U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36" t="s">
        <v>780</v>
      </c>
      <c r="F12" s="36" t="s">
        <v>79</v>
      </c>
      <c r="G12" s="34"/>
      <c r="H12" s="89" t="s">
        <v>37</v>
      </c>
      <c r="I12" s="89" t="s">
        <v>33</v>
      </c>
      <c r="J12" s="34"/>
      <c r="K12" s="89" t="s">
        <v>80</v>
      </c>
      <c r="L12" s="89" t="s">
        <v>48</v>
      </c>
      <c r="M12" s="34"/>
      <c r="N12" s="89" t="s">
        <v>81</v>
      </c>
      <c r="O12" s="90" t="s">
        <v>82</v>
      </c>
      <c r="P12" s="34"/>
      <c r="Q12" s="89" t="s">
        <v>83</v>
      </c>
      <c r="R12" s="89" t="s">
        <v>84</v>
      </c>
      <c r="S12" s="89" t="s">
        <v>85</v>
      </c>
      <c r="T12" s="89" t="s">
        <v>86</v>
      </c>
      <c r="V12" s="56"/>
    </row>
    <row r="13" ht="15.75" customHeight="1">
      <c r="A13" s="91"/>
      <c r="B13" s="166">
        <v>45931.0</v>
      </c>
      <c r="C13" s="237" t="s">
        <v>645</v>
      </c>
      <c r="D13" s="94"/>
      <c r="E13" s="127" t="s">
        <v>646</v>
      </c>
      <c r="F13" s="216" t="s">
        <v>647</v>
      </c>
      <c r="G13" s="97"/>
      <c r="H13" s="98" t="s">
        <v>90</v>
      </c>
      <c r="I13" s="99" t="s">
        <v>107</v>
      </c>
      <c r="J13" s="97"/>
      <c r="K13" s="101">
        <v>13500.0</v>
      </c>
      <c r="L13" s="101">
        <v>3000.0</v>
      </c>
      <c r="M13" s="102"/>
      <c r="N13" s="103"/>
      <c r="O13" s="104"/>
      <c r="P13" s="97"/>
      <c r="Q13" s="105">
        <v>8.0</v>
      </c>
      <c r="R13" s="107"/>
      <c r="S13" s="105" t="s">
        <v>110</v>
      </c>
      <c r="T13" s="222"/>
      <c r="U13" s="107"/>
      <c r="V13" s="108"/>
    </row>
    <row r="14" ht="15.75" customHeight="1">
      <c r="A14" s="91"/>
      <c r="B14" s="166">
        <v>45931.0</v>
      </c>
      <c r="C14" s="234" t="s">
        <v>655</v>
      </c>
      <c r="D14" s="94"/>
      <c r="E14" s="127" t="s">
        <v>656</v>
      </c>
      <c r="F14" s="216" t="s">
        <v>657</v>
      </c>
      <c r="G14" s="97"/>
      <c r="H14" s="98" t="s">
        <v>90</v>
      </c>
      <c r="I14" s="99" t="s">
        <v>107</v>
      </c>
      <c r="J14" s="97"/>
      <c r="K14" s="101">
        <v>10500.0</v>
      </c>
      <c r="L14" s="101">
        <v>3000.0</v>
      </c>
      <c r="M14" s="102"/>
      <c r="N14" s="103"/>
      <c r="O14" s="104"/>
      <c r="P14" s="97"/>
      <c r="Q14" s="105">
        <v>6.0</v>
      </c>
      <c r="R14" s="116"/>
      <c r="S14" s="105" t="s">
        <v>110</v>
      </c>
      <c r="T14" s="222"/>
      <c r="U14" s="107"/>
      <c r="V14" s="108"/>
    </row>
    <row r="15" ht="15.75" customHeight="1">
      <c r="A15" s="97"/>
      <c r="B15" s="166">
        <v>45931.0</v>
      </c>
      <c r="C15" s="259" t="s">
        <v>678</v>
      </c>
      <c r="D15" s="97"/>
      <c r="E15" s="127" t="s">
        <v>679</v>
      </c>
      <c r="F15" s="216" t="s">
        <v>680</v>
      </c>
      <c r="G15" s="97"/>
      <c r="H15" s="98" t="s">
        <v>90</v>
      </c>
      <c r="I15" s="99" t="s">
        <v>107</v>
      </c>
      <c r="J15" s="97"/>
      <c r="K15" s="101">
        <v>10500.0</v>
      </c>
      <c r="L15" s="101">
        <v>3000.0</v>
      </c>
      <c r="M15" s="102"/>
      <c r="N15" s="103"/>
      <c r="O15" s="104"/>
      <c r="P15" s="97"/>
      <c r="Q15" s="105">
        <v>6.0</v>
      </c>
      <c r="R15" s="116"/>
      <c r="S15" s="105" t="s">
        <v>110</v>
      </c>
      <c r="T15" s="111"/>
      <c r="U15" s="105"/>
      <c r="V15" s="108"/>
    </row>
    <row r="16" ht="15.75" customHeight="1">
      <c r="A16" s="97"/>
      <c r="B16" s="166">
        <v>45931.0</v>
      </c>
      <c r="C16" s="259" t="s">
        <v>781</v>
      </c>
      <c r="D16" s="105"/>
      <c r="E16" s="127" t="s">
        <v>782</v>
      </c>
      <c r="F16" s="216" t="s">
        <v>783</v>
      </c>
      <c r="G16" s="97"/>
      <c r="H16" s="98" t="s">
        <v>90</v>
      </c>
      <c r="I16" s="99" t="s">
        <v>107</v>
      </c>
      <c r="J16" s="97"/>
      <c r="K16" s="101">
        <v>12000.0</v>
      </c>
      <c r="L16" s="101">
        <v>3000.0</v>
      </c>
      <c r="M16" s="102"/>
      <c r="N16" s="103"/>
      <c r="O16" s="104"/>
      <c r="P16" s="97"/>
      <c r="Q16" s="105">
        <v>7.0</v>
      </c>
      <c r="R16" s="116"/>
      <c r="S16" s="105" t="s">
        <v>110</v>
      </c>
      <c r="T16" s="117"/>
      <c r="U16" s="105"/>
      <c r="V16" s="108"/>
    </row>
    <row r="17" ht="15.75" customHeight="1">
      <c r="A17" s="97"/>
      <c r="B17" s="166">
        <v>45931.0</v>
      </c>
      <c r="C17" s="259" t="s">
        <v>784</v>
      </c>
      <c r="D17" s="97"/>
      <c r="E17" s="127" t="s">
        <v>785</v>
      </c>
      <c r="F17" s="216" t="s">
        <v>786</v>
      </c>
      <c r="G17" s="97"/>
      <c r="H17" s="98" t="s">
        <v>90</v>
      </c>
      <c r="I17" s="99" t="s">
        <v>107</v>
      </c>
      <c r="J17" s="97"/>
      <c r="K17" s="101">
        <v>10500.0</v>
      </c>
      <c r="L17" s="101">
        <v>2449.5</v>
      </c>
      <c r="M17" s="102"/>
      <c r="N17" s="103" t="s">
        <v>45</v>
      </c>
      <c r="O17" s="104" t="s">
        <v>787</v>
      </c>
      <c r="P17" s="97"/>
      <c r="Q17" s="105"/>
      <c r="R17" s="116"/>
      <c r="S17" s="105" t="s">
        <v>110</v>
      </c>
      <c r="T17" s="105"/>
      <c r="V17" s="108"/>
    </row>
    <row r="18" ht="15.75" customHeight="1">
      <c r="A18" s="97"/>
      <c r="B18" s="166">
        <v>45931.0</v>
      </c>
      <c r="C18" s="258" t="s">
        <v>788</v>
      </c>
      <c r="D18" s="97"/>
      <c r="E18" s="127" t="s">
        <v>789</v>
      </c>
      <c r="F18" s="216" t="s">
        <v>790</v>
      </c>
      <c r="G18" s="97"/>
      <c r="H18" s="98" t="s">
        <v>90</v>
      </c>
      <c r="I18" s="99" t="s">
        <v>91</v>
      </c>
      <c r="J18" s="97"/>
      <c r="K18" s="114"/>
      <c r="L18" s="114"/>
      <c r="M18" s="102"/>
      <c r="N18" s="103" t="s">
        <v>45</v>
      </c>
      <c r="O18" s="104" t="s">
        <v>791</v>
      </c>
      <c r="P18" s="97"/>
      <c r="Q18" s="97"/>
      <c r="R18" s="126"/>
      <c r="S18" s="105" t="s">
        <v>99</v>
      </c>
      <c r="T18" s="119" t="s">
        <v>792</v>
      </c>
      <c r="U18" s="97"/>
      <c r="V18" s="108"/>
    </row>
    <row r="19" ht="15.75" customHeight="1">
      <c r="A19" s="97"/>
      <c r="B19" s="166">
        <v>45931.0</v>
      </c>
      <c r="C19" s="258" t="s">
        <v>793</v>
      </c>
      <c r="D19" s="97"/>
      <c r="E19" s="127" t="s">
        <v>794</v>
      </c>
      <c r="F19" s="216" t="s">
        <v>795</v>
      </c>
      <c r="G19" s="97"/>
      <c r="H19" s="98" t="s">
        <v>90</v>
      </c>
      <c r="I19" s="99" t="s">
        <v>149</v>
      </c>
      <c r="J19" s="97"/>
      <c r="K19" s="101"/>
      <c r="L19" s="101"/>
      <c r="M19" s="102"/>
      <c r="N19" s="103"/>
      <c r="O19" s="125"/>
      <c r="P19" s="97"/>
      <c r="Q19" s="97"/>
      <c r="R19" s="126"/>
      <c r="S19" s="105" t="s">
        <v>99</v>
      </c>
      <c r="T19" s="119"/>
      <c r="U19" s="97"/>
      <c r="V19" s="108"/>
    </row>
    <row r="20" ht="15.75" customHeight="1">
      <c r="A20" s="97"/>
      <c r="B20" s="166">
        <v>45931.0</v>
      </c>
      <c r="C20" s="258" t="s">
        <v>796</v>
      </c>
      <c r="D20" s="97"/>
      <c r="E20" s="127" t="s">
        <v>797</v>
      </c>
      <c r="F20" s="216" t="s">
        <v>798</v>
      </c>
      <c r="G20" s="97"/>
      <c r="H20" s="98" t="s">
        <v>90</v>
      </c>
      <c r="I20" s="99" t="s">
        <v>333</v>
      </c>
      <c r="J20" s="97"/>
      <c r="K20" s="114"/>
      <c r="L20" s="114"/>
      <c r="M20" s="102"/>
      <c r="N20" s="103" t="s">
        <v>45</v>
      </c>
      <c r="O20" s="104" t="s">
        <v>799</v>
      </c>
      <c r="P20" s="97"/>
      <c r="Q20" s="105">
        <v>5.0</v>
      </c>
      <c r="R20" s="126"/>
      <c r="S20" s="105" t="s">
        <v>335</v>
      </c>
      <c r="T20" s="119" t="s">
        <v>800</v>
      </c>
      <c r="U20" s="97"/>
      <c r="V20" s="108"/>
    </row>
    <row r="21" ht="15.75" customHeight="1">
      <c r="A21" s="91"/>
      <c r="B21" s="166">
        <v>45932.0</v>
      </c>
      <c r="C21" s="259" t="s">
        <v>734</v>
      </c>
      <c r="D21" s="97"/>
      <c r="E21" s="127" t="s">
        <v>735</v>
      </c>
      <c r="F21" s="216" t="s">
        <v>736</v>
      </c>
      <c r="G21" s="97"/>
      <c r="H21" s="98" t="s">
        <v>90</v>
      </c>
      <c r="I21" s="99" t="s">
        <v>107</v>
      </c>
      <c r="J21" s="97"/>
      <c r="K21" s="101">
        <v>10500.0</v>
      </c>
      <c r="L21" s="101">
        <v>3000.0</v>
      </c>
      <c r="M21" s="102"/>
      <c r="N21" s="124"/>
      <c r="O21" s="104"/>
      <c r="P21" s="97"/>
      <c r="Q21" s="105">
        <v>6.0</v>
      </c>
      <c r="R21" s="165"/>
      <c r="S21" s="105" t="s">
        <v>110</v>
      </c>
      <c r="T21" s="105" t="s">
        <v>801</v>
      </c>
      <c r="V21" s="108"/>
    </row>
    <row r="22" ht="15.75" customHeight="1">
      <c r="A22" s="91"/>
      <c r="B22" s="166">
        <v>45932.0</v>
      </c>
      <c r="C22" s="258" t="s">
        <v>802</v>
      </c>
      <c r="D22" s="97"/>
      <c r="E22" s="127" t="s">
        <v>803</v>
      </c>
      <c r="F22" s="216" t="s">
        <v>804</v>
      </c>
      <c r="G22" s="97"/>
      <c r="H22" s="98" t="s">
        <v>90</v>
      </c>
      <c r="I22" s="99" t="s">
        <v>91</v>
      </c>
      <c r="J22" s="97"/>
      <c r="K22" s="114"/>
      <c r="L22" s="114"/>
      <c r="M22" s="102"/>
      <c r="N22" s="124"/>
      <c r="O22" s="104"/>
      <c r="P22" s="97"/>
      <c r="Q22" s="105"/>
      <c r="R22" s="126"/>
      <c r="S22" s="105" t="s">
        <v>99</v>
      </c>
      <c r="T22" s="105" t="s">
        <v>805</v>
      </c>
      <c r="V22" s="108"/>
    </row>
    <row r="23" ht="15.75" customHeight="1">
      <c r="A23" s="91"/>
      <c r="B23" s="166">
        <v>45932.0</v>
      </c>
      <c r="C23" s="127" t="s">
        <v>806</v>
      </c>
      <c r="D23" s="97"/>
      <c r="E23" s="127" t="s">
        <v>807</v>
      </c>
      <c r="F23" s="216" t="s">
        <v>808</v>
      </c>
      <c r="G23" s="97"/>
      <c r="H23" s="98" t="s">
        <v>90</v>
      </c>
      <c r="I23" s="105" t="s">
        <v>91</v>
      </c>
      <c r="J23" s="97"/>
      <c r="K23" s="101"/>
      <c r="L23" s="101"/>
      <c r="M23" s="102"/>
      <c r="N23" s="103" t="s">
        <v>143</v>
      </c>
      <c r="O23" s="104" t="s">
        <v>809</v>
      </c>
      <c r="P23" s="97"/>
      <c r="Q23" s="115"/>
      <c r="R23" s="107"/>
      <c r="S23" s="105" t="s">
        <v>99</v>
      </c>
      <c r="T23" s="105" t="s">
        <v>810</v>
      </c>
      <c r="V23" s="108"/>
    </row>
    <row r="24" ht="15.75" customHeight="1">
      <c r="A24" s="91"/>
      <c r="B24" s="166">
        <v>45933.0</v>
      </c>
      <c r="C24" s="259" t="s">
        <v>811</v>
      </c>
      <c r="D24" s="97"/>
      <c r="E24" s="127" t="s">
        <v>812</v>
      </c>
      <c r="F24" s="216" t="s">
        <v>813</v>
      </c>
      <c r="G24" s="97"/>
      <c r="H24" s="98" t="s">
        <v>90</v>
      </c>
      <c r="I24" s="105" t="s">
        <v>107</v>
      </c>
      <c r="J24" s="97"/>
      <c r="K24" s="101">
        <v>10500.0</v>
      </c>
      <c r="L24" s="101">
        <v>3000.0</v>
      </c>
      <c r="M24" s="102"/>
      <c r="N24" s="103" t="s">
        <v>143</v>
      </c>
      <c r="O24" s="125"/>
      <c r="P24" s="97"/>
      <c r="Q24" s="105">
        <v>6.0</v>
      </c>
      <c r="R24" s="126"/>
      <c r="S24" s="105" t="s">
        <v>110</v>
      </c>
      <c r="T24" s="105" t="s">
        <v>814</v>
      </c>
      <c r="V24" s="108"/>
    </row>
    <row r="25" ht="15.75" customHeight="1">
      <c r="A25" s="91"/>
      <c r="B25" s="166">
        <v>45933.0</v>
      </c>
      <c r="C25" s="258" t="s">
        <v>815</v>
      </c>
      <c r="D25" s="97"/>
      <c r="E25" s="127" t="s">
        <v>816</v>
      </c>
      <c r="F25" s="216" t="s">
        <v>817</v>
      </c>
      <c r="G25" s="97"/>
      <c r="H25" s="98" t="s">
        <v>90</v>
      </c>
      <c r="I25" s="105" t="s">
        <v>98</v>
      </c>
      <c r="J25" s="97"/>
      <c r="K25" s="101"/>
      <c r="L25" s="101"/>
      <c r="M25" s="102"/>
      <c r="N25" s="103"/>
      <c r="O25" s="104"/>
      <c r="P25" s="97"/>
      <c r="Q25" s="115"/>
      <c r="R25" s="107"/>
      <c r="S25" s="105"/>
      <c r="T25" s="105"/>
      <c r="V25" s="108"/>
    </row>
    <row r="26" ht="15.75" customHeight="1">
      <c r="A26" s="91"/>
      <c r="B26" s="166">
        <v>45935.0</v>
      </c>
      <c r="C26" s="258" t="s">
        <v>818</v>
      </c>
      <c r="D26" s="97"/>
      <c r="E26" s="127" t="s">
        <v>819</v>
      </c>
      <c r="F26" s="216" t="s">
        <v>820</v>
      </c>
      <c r="G26" s="97"/>
      <c r="H26" s="98" t="s">
        <v>90</v>
      </c>
      <c r="I26" s="105" t="s">
        <v>125</v>
      </c>
      <c r="J26" s="97"/>
      <c r="K26" s="114"/>
      <c r="L26" s="114"/>
      <c r="M26" s="102"/>
      <c r="N26" s="103"/>
      <c r="O26" s="104"/>
      <c r="P26" s="97"/>
      <c r="Q26" s="115"/>
      <c r="R26" s="107"/>
      <c r="S26" s="105"/>
      <c r="T26" s="105"/>
      <c r="V26" s="108"/>
    </row>
    <row r="27" ht="15.75" customHeight="1">
      <c r="A27" s="91"/>
      <c r="B27" s="166">
        <v>45935.0</v>
      </c>
      <c r="C27" s="258" t="s">
        <v>821</v>
      </c>
      <c r="D27" s="97"/>
      <c r="E27" s="127" t="s">
        <v>822</v>
      </c>
      <c r="F27" s="216" t="s">
        <v>823</v>
      </c>
      <c r="G27" s="97"/>
      <c r="H27" s="98" t="s">
        <v>90</v>
      </c>
      <c r="I27" s="105" t="s">
        <v>91</v>
      </c>
      <c r="J27" s="97"/>
      <c r="K27" s="101"/>
      <c r="L27" s="101"/>
      <c r="M27" s="102"/>
      <c r="N27" s="103" t="s">
        <v>55</v>
      </c>
      <c r="O27" s="104" t="s">
        <v>824</v>
      </c>
      <c r="P27" s="97"/>
      <c r="Q27" s="97"/>
      <c r="R27" s="126"/>
      <c r="S27" s="105" t="s">
        <v>99</v>
      </c>
      <c r="T27" s="105" t="s">
        <v>825</v>
      </c>
      <c r="V27" s="108"/>
    </row>
    <row r="28" ht="15.75" customHeight="1">
      <c r="A28" s="91"/>
      <c r="B28" s="166">
        <v>45935.0</v>
      </c>
      <c r="C28" s="258" t="s">
        <v>826</v>
      </c>
      <c r="D28" s="97"/>
      <c r="E28" s="127" t="s">
        <v>827</v>
      </c>
      <c r="F28" s="216" t="s">
        <v>828</v>
      </c>
      <c r="G28" s="97"/>
      <c r="H28" s="98" t="s">
        <v>90</v>
      </c>
      <c r="I28" s="105" t="s">
        <v>91</v>
      </c>
      <c r="J28" s="97"/>
      <c r="K28" s="114"/>
      <c r="L28" s="114"/>
      <c r="M28" s="102"/>
      <c r="N28" s="103" t="s">
        <v>45</v>
      </c>
      <c r="O28" s="104" t="s">
        <v>829</v>
      </c>
      <c r="P28" s="97"/>
      <c r="Q28" s="115"/>
      <c r="R28" s="116"/>
      <c r="S28" s="105" t="s">
        <v>99</v>
      </c>
      <c r="T28" s="105" t="s">
        <v>830</v>
      </c>
      <c r="V28" s="108"/>
    </row>
    <row r="29" ht="15.75" customHeight="1">
      <c r="A29" s="91"/>
      <c r="B29" s="166">
        <v>45936.0</v>
      </c>
      <c r="C29" s="237" t="s">
        <v>831</v>
      </c>
      <c r="D29" s="97"/>
      <c r="E29" s="127" t="s">
        <v>832</v>
      </c>
      <c r="F29" s="216" t="s">
        <v>833</v>
      </c>
      <c r="G29" s="97"/>
      <c r="H29" s="98" t="s">
        <v>90</v>
      </c>
      <c r="I29" s="105" t="s">
        <v>107</v>
      </c>
      <c r="J29" s="97"/>
      <c r="K29" s="101">
        <v>10500.0</v>
      </c>
      <c r="L29" s="101">
        <v>400.0</v>
      </c>
      <c r="M29" s="102"/>
      <c r="N29" s="103" t="s">
        <v>45</v>
      </c>
      <c r="O29" s="104" t="s">
        <v>834</v>
      </c>
      <c r="P29" s="97"/>
      <c r="Q29" s="105">
        <v>6.0</v>
      </c>
      <c r="R29" s="126"/>
      <c r="S29" s="105" t="s">
        <v>110</v>
      </c>
      <c r="T29" s="97"/>
      <c r="V29" s="108"/>
    </row>
    <row r="30" ht="15.75" customHeight="1">
      <c r="A30" s="91"/>
      <c r="B30" s="166">
        <v>45936.0</v>
      </c>
      <c r="C30" s="258" t="s">
        <v>835</v>
      </c>
      <c r="D30" s="97"/>
      <c r="E30" s="127" t="s">
        <v>836</v>
      </c>
      <c r="F30" s="216" t="s">
        <v>837</v>
      </c>
      <c r="G30" s="97"/>
      <c r="H30" s="98" t="s">
        <v>90</v>
      </c>
      <c r="I30" s="105" t="s">
        <v>91</v>
      </c>
      <c r="J30" s="97"/>
      <c r="K30" s="114"/>
      <c r="L30" s="114"/>
      <c r="M30" s="102"/>
      <c r="N30" s="103" t="s">
        <v>60</v>
      </c>
      <c r="O30" s="104" t="s">
        <v>838</v>
      </c>
      <c r="P30" s="97"/>
      <c r="Q30" s="97"/>
      <c r="R30" s="126"/>
      <c r="S30" s="105" t="s">
        <v>570</v>
      </c>
      <c r="T30" s="105" t="s">
        <v>839</v>
      </c>
      <c r="V30" s="108"/>
    </row>
    <row r="31" ht="15.75" customHeight="1">
      <c r="A31" s="91"/>
      <c r="B31" s="166">
        <v>45936.0</v>
      </c>
      <c r="C31" s="237" t="s">
        <v>840</v>
      </c>
      <c r="D31" s="97"/>
      <c r="E31" s="127" t="s">
        <v>841</v>
      </c>
      <c r="F31" s="216" t="s">
        <v>842</v>
      </c>
      <c r="G31" s="97"/>
      <c r="H31" s="98" t="s">
        <v>90</v>
      </c>
      <c r="I31" s="105" t="s">
        <v>107</v>
      </c>
      <c r="J31" s="97"/>
      <c r="K31" s="101">
        <v>9000.0</v>
      </c>
      <c r="L31" s="101">
        <v>3000.0</v>
      </c>
      <c r="M31" s="102"/>
      <c r="N31" s="103" t="s">
        <v>45</v>
      </c>
      <c r="O31" s="104"/>
      <c r="P31" s="97"/>
      <c r="Q31" s="105">
        <v>5.0</v>
      </c>
      <c r="R31" s="107"/>
      <c r="S31" s="105" t="s">
        <v>110</v>
      </c>
      <c r="T31" s="105" t="s">
        <v>843</v>
      </c>
      <c r="V31" s="108"/>
    </row>
    <row r="32" ht="15.75" customHeight="1">
      <c r="A32" s="91"/>
      <c r="B32" s="166">
        <v>45936.0</v>
      </c>
      <c r="C32" s="258" t="s">
        <v>844</v>
      </c>
      <c r="D32" s="97"/>
      <c r="E32" s="127" t="s">
        <v>845</v>
      </c>
      <c r="F32" s="216" t="s">
        <v>846</v>
      </c>
      <c r="G32" s="97"/>
      <c r="H32" s="98" t="s">
        <v>90</v>
      </c>
      <c r="I32" s="105" t="s">
        <v>333</v>
      </c>
      <c r="J32" s="97"/>
      <c r="K32" s="114"/>
      <c r="L32" s="114"/>
      <c r="M32" s="102"/>
      <c r="N32" s="103" t="s">
        <v>45</v>
      </c>
      <c r="O32" s="104" t="s">
        <v>847</v>
      </c>
      <c r="P32" s="97"/>
      <c r="Q32" s="97"/>
      <c r="R32" s="126"/>
      <c r="S32" s="105" t="s">
        <v>335</v>
      </c>
      <c r="T32" s="105" t="s">
        <v>848</v>
      </c>
      <c r="V32" s="108"/>
    </row>
    <row r="33" ht="15.75" customHeight="1">
      <c r="A33" s="91"/>
      <c r="B33" s="166">
        <v>45937.0</v>
      </c>
      <c r="C33" s="258" t="s">
        <v>849</v>
      </c>
      <c r="D33" s="97"/>
      <c r="E33" s="127" t="s">
        <v>850</v>
      </c>
      <c r="F33" s="216" t="s">
        <v>851</v>
      </c>
      <c r="G33" s="97"/>
      <c r="H33" s="98" t="s">
        <v>90</v>
      </c>
      <c r="I33" s="105" t="s">
        <v>91</v>
      </c>
      <c r="J33" s="97"/>
      <c r="K33" s="101"/>
      <c r="L33" s="101"/>
      <c r="M33" s="102"/>
      <c r="N33" s="103"/>
      <c r="O33" s="104"/>
      <c r="P33" s="97"/>
      <c r="Q33" s="115"/>
      <c r="R33" s="107"/>
      <c r="S33" s="105"/>
      <c r="T33" s="105"/>
      <c r="V33" s="108"/>
    </row>
    <row r="34" ht="15.75" customHeight="1">
      <c r="A34" s="91"/>
      <c r="B34" s="166">
        <v>45937.0</v>
      </c>
      <c r="C34" s="258" t="s">
        <v>852</v>
      </c>
      <c r="D34" s="97"/>
      <c r="E34" s="127" t="s">
        <v>853</v>
      </c>
      <c r="F34" s="216" t="s">
        <v>854</v>
      </c>
      <c r="G34" s="97"/>
      <c r="H34" s="98" t="s">
        <v>90</v>
      </c>
      <c r="I34" s="105" t="s">
        <v>91</v>
      </c>
      <c r="J34" s="97"/>
      <c r="K34" s="114"/>
      <c r="L34" s="114"/>
      <c r="M34" s="102"/>
      <c r="N34" s="103" t="s">
        <v>55</v>
      </c>
      <c r="O34" s="104" t="s">
        <v>855</v>
      </c>
      <c r="P34" s="97"/>
      <c r="Q34" s="97"/>
      <c r="R34" s="126"/>
      <c r="S34" s="105" t="s">
        <v>99</v>
      </c>
      <c r="T34" s="105" t="s">
        <v>856</v>
      </c>
      <c r="V34" s="108"/>
    </row>
    <row r="35" ht="15.75" customHeight="1">
      <c r="A35" s="91"/>
      <c r="B35" s="166">
        <v>45937.0</v>
      </c>
      <c r="C35" s="258" t="s">
        <v>857</v>
      </c>
      <c r="D35" s="97"/>
      <c r="E35" s="127" t="s">
        <v>858</v>
      </c>
      <c r="F35" s="216" t="s">
        <v>859</v>
      </c>
      <c r="G35" s="97"/>
      <c r="H35" s="98" t="s">
        <v>90</v>
      </c>
      <c r="I35" s="105" t="s">
        <v>91</v>
      </c>
      <c r="J35" s="97"/>
      <c r="K35" s="101"/>
      <c r="L35" s="101"/>
      <c r="M35" s="102"/>
      <c r="N35" s="103" t="s">
        <v>65</v>
      </c>
      <c r="O35" s="104" t="s">
        <v>860</v>
      </c>
      <c r="P35" s="97"/>
      <c r="Q35" s="97"/>
      <c r="R35" s="126"/>
      <c r="S35" s="105" t="s">
        <v>116</v>
      </c>
      <c r="T35" s="105" t="s">
        <v>861</v>
      </c>
      <c r="V35" s="108"/>
    </row>
    <row r="36" ht="15.75" customHeight="1">
      <c r="A36" s="91"/>
      <c r="B36" s="166">
        <v>45938.0</v>
      </c>
      <c r="C36" s="258" t="s">
        <v>862</v>
      </c>
      <c r="D36" s="97"/>
      <c r="E36" s="127" t="s">
        <v>863</v>
      </c>
      <c r="F36" s="216" t="s">
        <v>864</v>
      </c>
      <c r="G36" s="97"/>
      <c r="H36" s="98" t="s">
        <v>90</v>
      </c>
      <c r="I36" s="105" t="s">
        <v>91</v>
      </c>
      <c r="J36" s="97"/>
      <c r="K36" s="114"/>
      <c r="L36" s="114"/>
      <c r="M36" s="102"/>
      <c r="N36" s="124"/>
      <c r="O36" s="125"/>
      <c r="P36" s="97"/>
      <c r="Q36" s="97"/>
      <c r="R36" s="126"/>
      <c r="S36" s="97"/>
      <c r="T36" s="105"/>
      <c r="V36" s="108"/>
    </row>
    <row r="37" ht="15.75" customHeight="1">
      <c r="A37" s="91"/>
      <c r="B37" s="166">
        <v>45938.0</v>
      </c>
      <c r="C37" s="259" t="s">
        <v>865</v>
      </c>
      <c r="D37" s="97"/>
      <c r="E37" s="127" t="s">
        <v>866</v>
      </c>
      <c r="F37" s="216" t="s">
        <v>867</v>
      </c>
      <c r="G37" s="97"/>
      <c r="H37" s="98" t="s">
        <v>90</v>
      </c>
      <c r="I37" s="105" t="s">
        <v>107</v>
      </c>
      <c r="J37" s="97"/>
      <c r="K37" s="101">
        <v>9000.0</v>
      </c>
      <c r="L37" s="101">
        <v>9000.0</v>
      </c>
      <c r="M37" s="102"/>
      <c r="N37" s="103"/>
      <c r="O37" s="104"/>
      <c r="P37" s="97"/>
      <c r="Q37" s="105">
        <v>6.0</v>
      </c>
      <c r="R37" s="107"/>
      <c r="S37" s="105" t="s">
        <v>110</v>
      </c>
      <c r="T37" s="105"/>
      <c r="V37" s="108"/>
    </row>
    <row r="38" ht="15.75" customHeight="1">
      <c r="A38" s="91"/>
      <c r="B38" s="166">
        <v>45938.0</v>
      </c>
      <c r="C38" s="258" t="s">
        <v>849</v>
      </c>
      <c r="D38" s="97"/>
      <c r="E38" s="127" t="s">
        <v>850</v>
      </c>
      <c r="F38" s="216" t="s">
        <v>851</v>
      </c>
      <c r="G38" s="97"/>
      <c r="H38" s="98" t="s">
        <v>90</v>
      </c>
      <c r="I38" s="105" t="s">
        <v>91</v>
      </c>
      <c r="J38" s="97"/>
      <c r="K38" s="114"/>
      <c r="L38" s="114"/>
      <c r="M38" s="102"/>
      <c r="N38" s="124"/>
      <c r="O38" s="125"/>
      <c r="P38" s="97"/>
      <c r="Q38" s="130"/>
      <c r="R38" s="107"/>
      <c r="S38" s="105" t="s">
        <v>93</v>
      </c>
      <c r="T38" s="188" t="s">
        <v>868</v>
      </c>
      <c r="V38" s="108"/>
    </row>
    <row r="39" ht="15.75" customHeight="1">
      <c r="A39" s="91"/>
      <c r="B39" s="166">
        <v>45938.0</v>
      </c>
      <c r="C39" s="258" t="s">
        <v>869</v>
      </c>
      <c r="D39" s="97"/>
      <c r="E39" s="127" t="s">
        <v>870</v>
      </c>
      <c r="F39" s="216" t="s">
        <v>871</v>
      </c>
      <c r="G39" s="97"/>
      <c r="H39" s="98" t="s">
        <v>90</v>
      </c>
      <c r="I39" s="105" t="s">
        <v>91</v>
      </c>
      <c r="J39" s="97"/>
      <c r="K39" s="101"/>
      <c r="L39" s="101"/>
      <c r="M39" s="102"/>
      <c r="N39" s="103" t="s">
        <v>65</v>
      </c>
      <c r="O39" s="104" t="s">
        <v>872</v>
      </c>
      <c r="P39" s="97"/>
      <c r="Q39" s="115"/>
      <c r="R39" s="107"/>
      <c r="S39" s="105" t="s">
        <v>99</v>
      </c>
      <c r="T39" s="105" t="s">
        <v>873</v>
      </c>
      <c r="V39" s="108"/>
    </row>
    <row r="40" ht="15.75" customHeight="1">
      <c r="A40" s="91"/>
      <c r="B40" s="166">
        <v>45939.0</v>
      </c>
      <c r="C40" s="258" t="s">
        <v>874</v>
      </c>
      <c r="D40" s="97"/>
      <c r="E40" s="127" t="s">
        <v>875</v>
      </c>
      <c r="F40" s="216" t="s">
        <v>876</v>
      </c>
      <c r="G40" s="97"/>
      <c r="H40" s="98" t="s">
        <v>90</v>
      </c>
      <c r="I40" s="105" t="s">
        <v>91</v>
      </c>
      <c r="J40" s="97"/>
      <c r="K40" s="114"/>
      <c r="L40" s="101">
        <v>1500.0</v>
      </c>
      <c r="M40" s="102"/>
      <c r="N40" s="103" t="s">
        <v>45</v>
      </c>
      <c r="O40" s="104" t="s">
        <v>877</v>
      </c>
      <c r="P40" s="97"/>
      <c r="Q40" s="105">
        <v>6.0</v>
      </c>
      <c r="R40" s="107"/>
      <c r="S40" s="105" t="s">
        <v>570</v>
      </c>
      <c r="T40" s="105" t="s">
        <v>878</v>
      </c>
      <c r="V40" s="108"/>
    </row>
    <row r="41" ht="15.75" customHeight="1">
      <c r="A41" s="91"/>
      <c r="B41" s="166">
        <v>45939.0</v>
      </c>
      <c r="C41" s="258" t="s">
        <v>879</v>
      </c>
      <c r="D41" s="97"/>
      <c r="E41" s="127" t="s">
        <v>880</v>
      </c>
      <c r="F41" s="216" t="s">
        <v>881</v>
      </c>
      <c r="G41" s="97"/>
      <c r="H41" s="98" t="s">
        <v>90</v>
      </c>
      <c r="I41" s="105" t="s">
        <v>98</v>
      </c>
      <c r="J41" s="97"/>
      <c r="K41" s="101"/>
      <c r="L41" s="101"/>
      <c r="M41" s="102"/>
      <c r="N41" s="124"/>
      <c r="O41" s="125"/>
      <c r="P41" s="97"/>
      <c r="Q41" s="97"/>
      <c r="R41" s="126"/>
      <c r="S41" s="97"/>
      <c r="T41" s="97"/>
      <c r="V41" s="108"/>
    </row>
    <row r="42" ht="15.75" customHeight="1">
      <c r="A42" s="91"/>
      <c r="B42" s="166">
        <v>45940.0</v>
      </c>
      <c r="C42" s="259" t="s">
        <v>882</v>
      </c>
      <c r="D42" s="97"/>
      <c r="E42" s="127" t="s">
        <v>883</v>
      </c>
      <c r="F42" s="216" t="s">
        <v>884</v>
      </c>
      <c r="G42" s="97"/>
      <c r="H42" s="98" t="s">
        <v>90</v>
      </c>
      <c r="I42" s="105" t="s">
        <v>107</v>
      </c>
      <c r="J42" s="97"/>
      <c r="K42" s="101">
        <v>12000.0</v>
      </c>
      <c r="L42" s="101">
        <v>3000.0</v>
      </c>
      <c r="M42" s="102"/>
      <c r="N42" s="103" t="s">
        <v>60</v>
      </c>
      <c r="O42" s="104"/>
      <c r="P42" s="97"/>
      <c r="Q42" s="105">
        <v>7.0</v>
      </c>
      <c r="R42" s="107"/>
      <c r="S42" s="105" t="s">
        <v>110</v>
      </c>
      <c r="T42" s="105" t="s">
        <v>885</v>
      </c>
      <c r="V42" s="108"/>
    </row>
    <row r="43" ht="15.75" customHeight="1">
      <c r="A43" s="91"/>
      <c r="B43" s="166">
        <v>45941.0</v>
      </c>
      <c r="C43" s="258" t="s">
        <v>886</v>
      </c>
      <c r="D43" s="97"/>
      <c r="E43" s="127" t="s">
        <v>887</v>
      </c>
      <c r="F43" s="216" t="s">
        <v>888</v>
      </c>
      <c r="G43" s="97"/>
      <c r="H43" s="98" t="s">
        <v>90</v>
      </c>
      <c r="I43" s="105" t="s">
        <v>91</v>
      </c>
      <c r="J43" s="97"/>
      <c r="K43" s="101"/>
      <c r="L43" s="101"/>
      <c r="M43" s="102"/>
      <c r="N43" s="103" t="s">
        <v>55</v>
      </c>
      <c r="O43" s="104" t="s">
        <v>889</v>
      </c>
      <c r="P43" s="97"/>
      <c r="Q43" s="131"/>
      <c r="R43" s="126"/>
      <c r="S43" s="105" t="s">
        <v>99</v>
      </c>
      <c r="T43" s="105" t="s">
        <v>890</v>
      </c>
      <c r="V43" s="108"/>
    </row>
    <row r="44" ht="15.75" customHeight="1">
      <c r="A44" s="91"/>
      <c r="B44" s="166">
        <v>45941.0</v>
      </c>
      <c r="C44" s="258" t="s">
        <v>891</v>
      </c>
      <c r="D44" s="97"/>
      <c r="E44" s="127" t="s">
        <v>892</v>
      </c>
      <c r="F44" s="216" t="s">
        <v>893</v>
      </c>
      <c r="G44" s="97"/>
      <c r="H44" s="98" t="s">
        <v>90</v>
      </c>
      <c r="I44" s="105" t="s">
        <v>175</v>
      </c>
      <c r="J44" s="97"/>
      <c r="K44" s="114"/>
      <c r="L44" s="114"/>
      <c r="M44" s="102"/>
      <c r="N44" s="124"/>
      <c r="O44" s="125"/>
      <c r="P44" s="97"/>
      <c r="Q44" s="97"/>
      <c r="R44" s="126"/>
      <c r="S44" s="97"/>
      <c r="T44" s="105" t="s">
        <v>894</v>
      </c>
      <c r="V44" s="108"/>
    </row>
    <row r="45" ht="15.75" customHeight="1">
      <c r="A45" s="91"/>
      <c r="B45" s="166">
        <v>45942.0</v>
      </c>
      <c r="C45" s="230" t="s">
        <v>895</v>
      </c>
      <c r="D45" s="97"/>
      <c r="E45" s="167" t="s">
        <v>896</v>
      </c>
      <c r="F45" s="219"/>
      <c r="G45" s="97"/>
      <c r="H45" s="98" t="s">
        <v>97</v>
      </c>
      <c r="I45" s="105" t="s">
        <v>107</v>
      </c>
      <c r="J45" s="97"/>
      <c r="K45" s="101">
        <v>7500.0</v>
      </c>
      <c r="L45" s="101">
        <v>3000.0</v>
      </c>
      <c r="M45" s="102"/>
      <c r="N45" s="124"/>
      <c r="O45" s="125"/>
      <c r="P45" s="97"/>
      <c r="Q45" s="105">
        <v>4.0</v>
      </c>
      <c r="R45" s="126"/>
      <c r="S45" s="105" t="s">
        <v>110</v>
      </c>
      <c r="T45" s="97"/>
      <c r="V45" s="108"/>
    </row>
    <row r="46" ht="15.75" customHeight="1">
      <c r="A46" s="91"/>
      <c r="B46" s="166">
        <v>45943.0</v>
      </c>
      <c r="C46" s="258" t="s">
        <v>897</v>
      </c>
      <c r="D46" s="97"/>
      <c r="E46" s="127" t="s">
        <v>898</v>
      </c>
      <c r="F46" s="216" t="s">
        <v>899</v>
      </c>
      <c r="G46" s="97"/>
      <c r="H46" s="98" t="s">
        <v>90</v>
      </c>
      <c r="I46" s="105" t="s">
        <v>98</v>
      </c>
      <c r="J46" s="97"/>
      <c r="K46" s="114"/>
      <c r="L46" s="114"/>
      <c r="M46" s="102"/>
      <c r="N46" s="124"/>
      <c r="O46" s="125"/>
      <c r="P46" s="97"/>
      <c r="Q46" s="97"/>
      <c r="R46" s="126"/>
      <c r="S46" s="97"/>
      <c r="T46" s="97"/>
      <c r="V46" s="108"/>
    </row>
    <row r="47" ht="15.75" customHeight="1">
      <c r="A47" s="91"/>
      <c r="B47" s="166">
        <v>45943.0</v>
      </c>
      <c r="C47" s="258" t="s">
        <v>900</v>
      </c>
      <c r="D47" s="97"/>
      <c r="E47" s="127" t="s">
        <v>901</v>
      </c>
      <c r="F47" s="216" t="s">
        <v>902</v>
      </c>
      <c r="G47" s="97"/>
      <c r="H47" s="98" t="s">
        <v>90</v>
      </c>
      <c r="I47" s="105" t="s">
        <v>175</v>
      </c>
      <c r="J47" s="97"/>
      <c r="K47" s="101"/>
      <c r="L47" s="101"/>
      <c r="M47" s="102"/>
      <c r="N47" s="103"/>
      <c r="O47" s="104"/>
      <c r="P47" s="97"/>
      <c r="Q47" s="115"/>
      <c r="R47" s="116"/>
      <c r="S47" s="105"/>
      <c r="T47" s="105"/>
      <c r="V47" s="108"/>
    </row>
    <row r="48" ht="15.75" customHeight="1">
      <c r="A48" s="91"/>
      <c r="B48" s="166">
        <v>45943.0</v>
      </c>
      <c r="C48" s="258" t="s">
        <v>903</v>
      </c>
      <c r="D48" s="97"/>
      <c r="E48" s="127" t="s">
        <v>904</v>
      </c>
      <c r="F48" s="216" t="s">
        <v>905</v>
      </c>
      <c r="G48" s="97"/>
      <c r="H48" s="98" t="s">
        <v>90</v>
      </c>
      <c r="I48" s="105" t="s">
        <v>91</v>
      </c>
      <c r="J48" s="97"/>
      <c r="K48" s="114"/>
      <c r="L48" s="114"/>
      <c r="M48" s="102"/>
      <c r="N48" s="103"/>
      <c r="O48" s="104"/>
      <c r="P48" s="97"/>
      <c r="Q48" s="130"/>
      <c r="R48" s="107"/>
      <c r="S48" s="105" t="s">
        <v>99</v>
      </c>
      <c r="T48" s="105" t="s">
        <v>906</v>
      </c>
      <c r="V48" s="108"/>
    </row>
    <row r="49" ht="15.75" customHeight="1">
      <c r="A49" s="91"/>
      <c r="B49" s="166">
        <v>45944.0</v>
      </c>
      <c r="C49" s="259" t="s">
        <v>907</v>
      </c>
      <c r="D49" s="97"/>
      <c r="E49" s="127" t="s">
        <v>908</v>
      </c>
      <c r="F49" s="216" t="s">
        <v>909</v>
      </c>
      <c r="G49" s="97"/>
      <c r="H49" s="98" t="s">
        <v>90</v>
      </c>
      <c r="I49" s="105" t="s">
        <v>91</v>
      </c>
      <c r="J49" s="97"/>
      <c r="K49" s="101"/>
      <c r="L49" s="101"/>
      <c r="M49" s="102"/>
      <c r="N49" s="103" t="s">
        <v>45</v>
      </c>
      <c r="O49" s="104" t="s">
        <v>910</v>
      </c>
      <c r="P49" s="97"/>
      <c r="Q49" s="130"/>
      <c r="R49" s="107"/>
      <c r="S49" s="105" t="s">
        <v>116</v>
      </c>
      <c r="T49" s="105" t="s">
        <v>911</v>
      </c>
      <c r="V49" s="108"/>
    </row>
    <row r="50" ht="15.75" customHeight="1">
      <c r="A50" s="91"/>
      <c r="B50" s="166">
        <v>45944.0</v>
      </c>
      <c r="C50" s="258" t="s">
        <v>912</v>
      </c>
      <c r="D50" s="97"/>
      <c r="E50" s="127" t="s">
        <v>913</v>
      </c>
      <c r="F50" s="216" t="s">
        <v>914</v>
      </c>
      <c r="G50" s="97"/>
      <c r="H50" s="98" t="s">
        <v>90</v>
      </c>
      <c r="I50" s="105" t="s">
        <v>91</v>
      </c>
      <c r="J50" s="97"/>
      <c r="K50" s="114"/>
      <c r="L50" s="114"/>
      <c r="M50" s="102"/>
      <c r="N50" s="103" t="s">
        <v>45</v>
      </c>
      <c r="O50" s="104" t="s">
        <v>915</v>
      </c>
      <c r="P50" s="97"/>
      <c r="Q50" s="97"/>
      <c r="R50" s="126"/>
      <c r="S50" s="105" t="s">
        <v>93</v>
      </c>
      <c r="T50" s="105" t="s">
        <v>916</v>
      </c>
      <c r="V50" s="108"/>
    </row>
    <row r="51" ht="15.75" customHeight="1">
      <c r="A51" s="91"/>
      <c r="B51" s="166">
        <v>45946.0</v>
      </c>
      <c r="C51" s="258" t="s">
        <v>917</v>
      </c>
      <c r="D51" s="97"/>
      <c r="E51" s="127" t="s">
        <v>918</v>
      </c>
      <c r="F51" s="216" t="s">
        <v>919</v>
      </c>
      <c r="G51" s="97"/>
      <c r="H51" s="98" t="s">
        <v>90</v>
      </c>
      <c r="I51" s="105" t="s">
        <v>91</v>
      </c>
      <c r="J51" s="97"/>
      <c r="K51" s="101"/>
      <c r="L51" s="101"/>
      <c r="M51" s="102"/>
      <c r="N51" s="103" t="s">
        <v>45</v>
      </c>
      <c r="O51" s="104" t="s">
        <v>920</v>
      </c>
      <c r="P51" s="97"/>
      <c r="Q51" s="131"/>
      <c r="R51" s="126"/>
      <c r="S51" s="105" t="s">
        <v>570</v>
      </c>
      <c r="T51" s="105" t="s">
        <v>921</v>
      </c>
      <c r="V51" s="108"/>
    </row>
    <row r="52" ht="15.75" customHeight="1">
      <c r="A52" s="91"/>
      <c r="B52" s="166">
        <v>45946.0</v>
      </c>
      <c r="C52" s="258" t="s">
        <v>922</v>
      </c>
      <c r="D52" s="97"/>
      <c r="E52" s="127" t="s">
        <v>923</v>
      </c>
      <c r="F52" s="216" t="s">
        <v>924</v>
      </c>
      <c r="G52" s="97"/>
      <c r="H52" s="98" t="s">
        <v>90</v>
      </c>
      <c r="I52" s="105" t="s">
        <v>91</v>
      </c>
      <c r="J52" s="97"/>
      <c r="K52" s="114"/>
      <c r="L52" s="114"/>
      <c r="M52" s="102"/>
      <c r="N52" s="103" t="s">
        <v>45</v>
      </c>
      <c r="O52" s="104" t="s">
        <v>925</v>
      </c>
      <c r="P52" s="97"/>
      <c r="Q52" s="131"/>
      <c r="R52" s="126"/>
      <c r="S52" s="105" t="s">
        <v>99</v>
      </c>
      <c r="T52" s="105" t="s">
        <v>926</v>
      </c>
      <c r="V52" s="108"/>
    </row>
    <row r="53" ht="15.75" customHeight="1">
      <c r="A53" s="91"/>
      <c r="B53" s="166">
        <v>45947.0</v>
      </c>
      <c r="C53" s="258" t="s">
        <v>927</v>
      </c>
      <c r="D53" s="97"/>
      <c r="E53" s="127" t="s">
        <v>928</v>
      </c>
      <c r="F53" s="216" t="s">
        <v>929</v>
      </c>
      <c r="G53" s="97"/>
      <c r="H53" s="98" t="s">
        <v>90</v>
      </c>
      <c r="I53" s="105" t="s">
        <v>333</v>
      </c>
      <c r="J53" s="97"/>
      <c r="K53" s="101"/>
      <c r="L53" s="101"/>
      <c r="M53" s="102"/>
      <c r="N53" s="103" t="s">
        <v>50</v>
      </c>
      <c r="O53" s="104" t="s">
        <v>930</v>
      </c>
      <c r="P53" s="97"/>
      <c r="Q53" s="130"/>
      <c r="R53" s="107"/>
      <c r="S53" s="105" t="s">
        <v>335</v>
      </c>
      <c r="T53" s="105" t="s">
        <v>931</v>
      </c>
      <c r="V53" s="108"/>
    </row>
    <row r="54" ht="15.75" customHeight="1">
      <c r="A54" s="91"/>
      <c r="B54" s="166">
        <v>45947.0</v>
      </c>
      <c r="C54" s="237" t="s">
        <v>932</v>
      </c>
      <c r="D54" s="97"/>
      <c r="E54" s="127" t="s">
        <v>933</v>
      </c>
      <c r="F54" s="216" t="s">
        <v>934</v>
      </c>
      <c r="G54" s="97"/>
      <c r="H54" s="98" t="s">
        <v>90</v>
      </c>
      <c r="I54" s="105" t="s">
        <v>107</v>
      </c>
      <c r="J54" s="97"/>
      <c r="K54" s="101">
        <v>9000.0</v>
      </c>
      <c r="L54" s="101">
        <v>3000.0</v>
      </c>
      <c r="M54" s="102"/>
      <c r="N54" s="103"/>
      <c r="O54" s="104"/>
      <c r="P54" s="97"/>
      <c r="Q54" s="105">
        <v>5.0</v>
      </c>
      <c r="R54" s="133"/>
      <c r="S54" s="105" t="s">
        <v>110</v>
      </c>
      <c r="T54" s="105"/>
      <c r="V54" s="108"/>
    </row>
    <row r="55" ht="15.75" customHeight="1">
      <c r="A55" s="91"/>
      <c r="B55" s="166">
        <v>45947.0</v>
      </c>
      <c r="C55" s="258" t="s">
        <v>935</v>
      </c>
      <c r="D55" s="97"/>
      <c r="E55" s="127" t="s">
        <v>936</v>
      </c>
      <c r="F55" s="216" t="s">
        <v>937</v>
      </c>
      <c r="G55" s="97"/>
      <c r="H55" s="98" t="s">
        <v>90</v>
      </c>
      <c r="I55" s="105" t="s">
        <v>98</v>
      </c>
      <c r="J55" s="97"/>
      <c r="K55" s="101"/>
      <c r="L55" s="101"/>
      <c r="M55" s="102"/>
      <c r="N55" s="103"/>
      <c r="O55" s="104"/>
      <c r="P55" s="97"/>
      <c r="Q55" s="130"/>
      <c r="R55" s="107"/>
      <c r="S55" s="105"/>
      <c r="T55" s="105"/>
      <c r="V55" s="108"/>
    </row>
    <row r="56" ht="15.75" customHeight="1">
      <c r="A56" s="91"/>
      <c r="B56" s="166">
        <v>45947.0</v>
      </c>
      <c r="C56" s="258" t="s">
        <v>938</v>
      </c>
      <c r="D56" s="97"/>
      <c r="E56" s="127" t="s">
        <v>939</v>
      </c>
      <c r="F56" s="216" t="s">
        <v>940</v>
      </c>
      <c r="G56" s="97"/>
      <c r="H56" s="98" t="s">
        <v>90</v>
      </c>
      <c r="I56" s="105" t="s">
        <v>91</v>
      </c>
      <c r="J56" s="97"/>
      <c r="K56" s="114"/>
      <c r="L56" s="114"/>
      <c r="M56" s="102"/>
      <c r="N56" s="103" t="s">
        <v>45</v>
      </c>
      <c r="O56" s="104" t="s">
        <v>941</v>
      </c>
      <c r="P56" s="97"/>
      <c r="Q56" s="115"/>
      <c r="R56" s="107"/>
      <c r="S56" s="105" t="s">
        <v>99</v>
      </c>
      <c r="T56" s="105" t="s">
        <v>942</v>
      </c>
      <c r="V56" s="108"/>
    </row>
    <row r="57" ht="15.75" customHeight="1">
      <c r="A57" s="91"/>
      <c r="B57" s="166">
        <v>45947.0</v>
      </c>
      <c r="C57" s="259" t="s">
        <v>943</v>
      </c>
      <c r="D57" s="97"/>
      <c r="E57" s="127" t="s">
        <v>944</v>
      </c>
      <c r="F57" s="216" t="s">
        <v>945</v>
      </c>
      <c r="G57" s="97"/>
      <c r="H57" s="98" t="s">
        <v>90</v>
      </c>
      <c r="I57" s="105" t="s">
        <v>107</v>
      </c>
      <c r="J57" s="97"/>
      <c r="K57" s="101">
        <v>10500.0</v>
      </c>
      <c r="L57" s="101">
        <v>3000.0</v>
      </c>
      <c r="M57" s="102"/>
      <c r="N57" s="124"/>
      <c r="O57" s="125"/>
      <c r="P57" s="97"/>
      <c r="Q57" s="105">
        <v>6.0</v>
      </c>
      <c r="R57" s="126"/>
      <c r="S57" s="105" t="s">
        <v>110</v>
      </c>
      <c r="T57" s="105"/>
      <c r="V57" s="108"/>
    </row>
    <row r="58" ht="15.75" customHeight="1">
      <c r="A58" s="91"/>
      <c r="B58" s="166">
        <v>45949.0</v>
      </c>
      <c r="C58" s="259" t="s">
        <v>946</v>
      </c>
      <c r="D58" s="97"/>
      <c r="E58" s="127" t="s">
        <v>947</v>
      </c>
      <c r="F58" s="216" t="s">
        <v>948</v>
      </c>
      <c r="G58" s="97"/>
      <c r="H58" s="98" t="s">
        <v>90</v>
      </c>
      <c r="I58" s="105" t="s">
        <v>107</v>
      </c>
      <c r="J58" s="97"/>
      <c r="K58" s="101">
        <v>13500.0</v>
      </c>
      <c r="L58" s="101">
        <v>1500.0</v>
      </c>
      <c r="M58" s="102"/>
      <c r="N58" s="103" t="s">
        <v>60</v>
      </c>
      <c r="O58" s="104" t="s">
        <v>949</v>
      </c>
      <c r="P58" s="97"/>
      <c r="Q58" s="105">
        <v>8.0</v>
      </c>
      <c r="R58" s="107"/>
      <c r="S58" s="105" t="s">
        <v>110</v>
      </c>
      <c r="T58" s="105"/>
      <c r="V58" s="108"/>
    </row>
    <row r="59" ht="15.75" customHeight="1">
      <c r="A59" s="91"/>
      <c r="B59" s="166">
        <v>45949.0</v>
      </c>
      <c r="C59" s="258" t="s">
        <v>950</v>
      </c>
      <c r="D59" s="97"/>
      <c r="E59" s="127" t="s">
        <v>951</v>
      </c>
      <c r="F59" s="216" t="s">
        <v>952</v>
      </c>
      <c r="G59" s="97"/>
      <c r="H59" s="98" t="s">
        <v>90</v>
      </c>
      <c r="I59" s="105" t="s">
        <v>175</v>
      </c>
      <c r="J59" s="97"/>
      <c r="K59" s="101"/>
      <c r="L59" s="101"/>
      <c r="M59" s="102"/>
      <c r="N59" s="124"/>
      <c r="O59" s="125"/>
      <c r="P59" s="97"/>
      <c r="Q59" s="97"/>
      <c r="R59" s="126"/>
      <c r="S59" s="97"/>
      <c r="T59" s="97"/>
      <c r="V59" s="108"/>
    </row>
    <row r="60" ht="15.75" customHeight="1">
      <c r="A60" s="91"/>
      <c r="B60" s="166">
        <v>45949.0</v>
      </c>
      <c r="C60" s="258" t="s">
        <v>953</v>
      </c>
      <c r="D60" s="97"/>
      <c r="E60" s="127" t="s">
        <v>954</v>
      </c>
      <c r="F60" s="216" t="s">
        <v>955</v>
      </c>
      <c r="G60" s="97"/>
      <c r="H60" s="98" t="s">
        <v>90</v>
      </c>
      <c r="I60" s="105" t="s">
        <v>125</v>
      </c>
      <c r="J60" s="97"/>
      <c r="K60" s="114"/>
      <c r="L60" s="114"/>
      <c r="M60" s="102"/>
      <c r="N60" s="124"/>
      <c r="O60" s="125"/>
      <c r="P60" s="97"/>
      <c r="Q60" s="115"/>
      <c r="R60" s="107"/>
      <c r="S60" s="97"/>
      <c r="T60" s="105"/>
      <c r="V60" s="108"/>
    </row>
    <row r="61" ht="15.75" customHeight="1">
      <c r="A61" s="91"/>
      <c r="B61" s="166">
        <v>45950.0</v>
      </c>
      <c r="C61" s="258" t="s">
        <v>935</v>
      </c>
      <c r="D61" s="97"/>
      <c r="E61" s="127" t="s">
        <v>936</v>
      </c>
      <c r="F61" s="216" t="s">
        <v>937</v>
      </c>
      <c r="G61" s="97"/>
      <c r="H61" s="98" t="s">
        <v>90</v>
      </c>
      <c r="I61" s="105" t="s">
        <v>125</v>
      </c>
      <c r="J61" s="97"/>
      <c r="K61" s="101"/>
      <c r="L61" s="101"/>
      <c r="M61" s="102"/>
      <c r="N61" s="124"/>
      <c r="O61" s="125"/>
      <c r="P61" s="97"/>
      <c r="Q61" s="97"/>
      <c r="R61" s="126"/>
      <c r="S61" s="97"/>
      <c r="T61" s="97"/>
      <c r="V61" s="108"/>
    </row>
    <row r="62" ht="15.75" customHeight="1">
      <c r="A62" s="91"/>
      <c r="B62" s="166">
        <v>45950.0</v>
      </c>
      <c r="C62" s="258" t="s">
        <v>956</v>
      </c>
      <c r="D62" s="97"/>
      <c r="E62" s="127" t="s">
        <v>957</v>
      </c>
      <c r="F62" s="216" t="s">
        <v>958</v>
      </c>
      <c r="G62" s="97"/>
      <c r="H62" s="98" t="s">
        <v>90</v>
      </c>
      <c r="I62" s="105" t="s">
        <v>91</v>
      </c>
      <c r="J62" s="97"/>
      <c r="K62" s="114"/>
      <c r="L62" s="114"/>
      <c r="M62" s="102"/>
      <c r="N62" s="103" t="s">
        <v>55</v>
      </c>
      <c r="O62" s="125"/>
      <c r="P62" s="97"/>
      <c r="Q62" s="97"/>
      <c r="R62" s="126"/>
      <c r="S62" s="105" t="s">
        <v>99</v>
      </c>
      <c r="T62" s="105" t="s">
        <v>959</v>
      </c>
      <c r="V62" s="108"/>
    </row>
    <row r="63" ht="15.75" customHeight="1">
      <c r="A63" s="91"/>
      <c r="B63" s="166">
        <v>45950.0</v>
      </c>
      <c r="C63" s="258" t="s">
        <v>960</v>
      </c>
      <c r="D63" s="97"/>
      <c r="E63" s="127" t="s">
        <v>961</v>
      </c>
      <c r="F63" s="216" t="s">
        <v>962</v>
      </c>
      <c r="G63" s="97"/>
      <c r="H63" s="98" t="s">
        <v>90</v>
      </c>
      <c r="I63" s="105" t="s">
        <v>91</v>
      </c>
      <c r="J63" s="97"/>
      <c r="K63" s="101"/>
      <c r="L63" s="101"/>
      <c r="M63" s="102"/>
      <c r="N63" s="103" t="s">
        <v>60</v>
      </c>
      <c r="O63" s="104" t="s">
        <v>963</v>
      </c>
      <c r="P63" s="97"/>
      <c r="Q63" s="97"/>
      <c r="R63" s="126"/>
      <c r="S63" s="105" t="s">
        <v>116</v>
      </c>
      <c r="T63" s="105" t="s">
        <v>964</v>
      </c>
      <c r="V63" s="108"/>
    </row>
    <row r="64" ht="15.75" customHeight="1">
      <c r="A64" s="91"/>
      <c r="B64" s="166">
        <v>45950.0</v>
      </c>
      <c r="C64" s="237" t="s">
        <v>965</v>
      </c>
      <c r="D64" s="97"/>
      <c r="E64" s="127" t="s">
        <v>966</v>
      </c>
      <c r="F64" s="216" t="s">
        <v>967</v>
      </c>
      <c r="G64" s="97"/>
      <c r="H64" s="98" t="s">
        <v>90</v>
      </c>
      <c r="I64" s="105" t="s">
        <v>107</v>
      </c>
      <c r="J64" s="97"/>
      <c r="K64" s="101">
        <v>10500.0</v>
      </c>
      <c r="L64" s="101">
        <v>3000.0</v>
      </c>
      <c r="M64" s="102"/>
      <c r="N64" s="103" t="s">
        <v>55</v>
      </c>
      <c r="O64" s="104" t="s">
        <v>968</v>
      </c>
      <c r="P64" s="97"/>
      <c r="Q64" s="105">
        <v>6.0</v>
      </c>
      <c r="R64" s="116"/>
      <c r="S64" s="105" t="s">
        <v>110</v>
      </c>
      <c r="T64" s="105" t="s">
        <v>969</v>
      </c>
      <c r="V64" s="108"/>
    </row>
    <row r="65" ht="15.75" customHeight="1">
      <c r="A65" s="91"/>
      <c r="B65" s="166">
        <v>45950.0</v>
      </c>
      <c r="C65" s="258" t="s">
        <v>970</v>
      </c>
      <c r="D65" s="97"/>
      <c r="E65" s="127" t="s">
        <v>971</v>
      </c>
      <c r="F65" s="216" t="s">
        <v>972</v>
      </c>
      <c r="G65" s="97"/>
      <c r="H65" s="98" t="s">
        <v>90</v>
      </c>
      <c r="I65" s="105" t="s">
        <v>175</v>
      </c>
      <c r="J65" s="97"/>
      <c r="K65" s="101"/>
      <c r="L65" s="101"/>
      <c r="M65" s="102"/>
      <c r="N65" s="103" t="s">
        <v>45</v>
      </c>
      <c r="O65" s="104" t="s">
        <v>973</v>
      </c>
      <c r="P65" s="97"/>
      <c r="Q65" s="130"/>
      <c r="R65" s="116"/>
      <c r="S65" s="105" t="s">
        <v>570</v>
      </c>
      <c r="T65" s="105"/>
      <c r="V65" s="108"/>
    </row>
    <row r="66" ht="15.75" customHeight="1">
      <c r="A66" s="91"/>
      <c r="B66" s="166">
        <v>45951.0</v>
      </c>
      <c r="C66" s="258" t="s">
        <v>974</v>
      </c>
      <c r="D66" s="97"/>
      <c r="E66" s="127" t="s">
        <v>975</v>
      </c>
      <c r="F66" s="216" t="s">
        <v>976</v>
      </c>
      <c r="G66" s="97"/>
      <c r="H66" s="98" t="s">
        <v>90</v>
      </c>
      <c r="I66" s="105" t="s">
        <v>91</v>
      </c>
      <c r="J66" s="97"/>
      <c r="K66" s="114"/>
      <c r="L66" s="114"/>
      <c r="M66" s="102"/>
      <c r="N66" s="103" t="s">
        <v>65</v>
      </c>
      <c r="O66" s="104" t="s">
        <v>977</v>
      </c>
      <c r="P66" s="97"/>
      <c r="Q66" s="97"/>
      <c r="R66" s="126"/>
      <c r="S66" s="105" t="s">
        <v>99</v>
      </c>
      <c r="T66" s="97"/>
      <c r="V66" s="108"/>
    </row>
    <row r="67" ht="15.75" customHeight="1">
      <c r="A67" s="91"/>
      <c r="B67" s="166">
        <v>45951.0</v>
      </c>
      <c r="C67" s="237" t="s">
        <v>978</v>
      </c>
      <c r="D67" s="97"/>
      <c r="E67" s="127" t="s">
        <v>979</v>
      </c>
      <c r="F67" s="216" t="s">
        <v>980</v>
      </c>
      <c r="G67" s="97"/>
      <c r="H67" s="98" t="s">
        <v>90</v>
      </c>
      <c r="I67" s="105" t="s">
        <v>107</v>
      </c>
      <c r="J67" s="97"/>
      <c r="K67" s="101">
        <v>9000.0</v>
      </c>
      <c r="L67" s="101">
        <v>3000.0</v>
      </c>
      <c r="M67" s="102"/>
      <c r="N67" s="124"/>
      <c r="O67" s="125"/>
      <c r="P67" s="97"/>
      <c r="Q67" s="105">
        <v>5.0</v>
      </c>
      <c r="R67" s="107"/>
      <c r="S67" s="105" t="s">
        <v>110</v>
      </c>
      <c r="T67" s="105"/>
      <c r="V67" s="108"/>
    </row>
    <row r="68" ht="15.75" customHeight="1">
      <c r="A68" s="91"/>
      <c r="B68" s="166">
        <v>45952.0</v>
      </c>
      <c r="C68" s="258" t="s">
        <v>981</v>
      </c>
      <c r="D68" s="97"/>
      <c r="E68" s="127" t="s">
        <v>982</v>
      </c>
      <c r="F68" s="216" t="s">
        <v>983</v>
      </c>
      <c r="G68" s="97"/>
      <c r="H68" s="98" t="s">
        <v>90</v>
      </c>
      <c r="I68" s="105" t="s">
        <v>91</v>
      </c>
      <c r="J68" s="97"/>
      <c r="K68" s="114"/>
      <c r="L68" s="114"/>
      <c r="M68" s="102"/>
      <c r="N68" s="124"/>
      <c r="O68" s="125"/>
      <c r="P68" s="97"/>
      <c r="Q68" s="130"/>
      <c r="R68" s="126"/>
      <c r="S68" s="97"/>
      <c r="T68" s="105"/>
      <c r="V68" s="108"/>
    </row>
    <row r="69" ht="15.75" customHeight="1">
      <c r="A69" s="91"/>
      <c r="B69" s="166">
        <v>45953.0</v>
      </c>
      <c r="C69" s="258" t="s">
        <v>984</v>
      </c>
      <c r="D69" s="97"/>
      <c r="E69" s="127" t="s">
        <v>985</v>
      </c>
      <c r="F69" s="216" t="s">
        <v>986</v>
      </c>
      <c r="G69" s="97"/>
      <c r="H69" s="98" t="s">
        <v>90</v>
      </c>
      <c r="I69" s="105" t="s">
        <v>333</v>
      </c>
      <c r="J69" s="97"/>
      <c r="K69" s="101"/>
      <c r="L69" s="101"/>
      <c r="M69" s="102"/>
      <c r="N69" s="103" t="s">
        <v>45</v>
      </c>
      <c r="O69" s="104" t="s">
        <v>987</v>
      </c>
      <c r="P69" s="97"/>
      <c r="Q69" s="115"/>
      <c r="R69" s="107"/>
      <c r="S69" s="105" t="s">
        <v>335</v>
      </c>
      <c r="T69" s="105" t="s">
        <v>988</v>
      </c>
      <c r="V69" s="108"/>
    </row>
    <row r="70" ht="15.75" customHeight="1">
      <c r="A70" s="91"/>
      <c r="B70" s="166">
        <v>45953.0</v>
      </c>
      <c r="C70" s="258" t="s">
        <v>989</v>
      </c>
      <c r="D70" s="97"/>
      <c r="E70" s="127" t="s">
        <v>990</v>
      </c>
      <c r="F70" s="216" t="s">
        <v>991</v>
      </c>
      <c r="G70" s="97"/>
      <c r="H70" s="98" t="s">
        <v>90</v>
      </c>
      <c r="I70" s="105" t="s">
        <v>91</v>
      </c>
      <c r="J70" s="97"/>
      <c r="K70" s="114"/>
      <c r="L70" s="114"/>
      <c r="M70" s="102"/>
      <c r="N70" s="103" t="s">
        <v>143</v>
      </c>
      <c r="O70" s="104" t="s">
        <v>992</v>
      </c>
      <c r="P70" s="97"/>
      <c r="Q70" s="131"/>
      <c r="R70" s="126"/>
      <c r="S70" s="105" t="s">
        <v>570</v>
      </c>
      <c r="T70" s="105" t="s">
        <v>993</v>
      </c>
      <c r="V70" s="108"/>
    </row>
    <row r="71" ht="15.75" customHeight="1">
      <c r="A71" s="91"/>
      <c r="B71" s="166">
        <v>45953.0</v>
      </c>
      <c r="C71" s="258" t="s">
        <v>994</v>
      </c>
      <c r="D71" s="97"/>
      <c r="E71" s="127" t="s">
        <v>995</v>
      </c>
      <c r="F71" s="216" t="s">
        <v>996</v>
      </c>
      <c r="G71" s="97"/>
      <c r="H71" s="98" t="s">
        <v>90</v>
      </c>
      <c r="I71" s="105" t="s">
        <v>91</v>
      </c>
      <c r="J71" s="97"/>
      <c r="K71" s="101"/>
      <c r="L71" s="101"/>
      <c r="M71" s="102"/>
      <c r="N71" s="103" t="s">
        <v>45</v>
      </c>
      <c r="O71" s="104" t="s">
        <v>997</v>
      </c>
      <c r="P71" s="97"/>
      <c r="Q71" s="130"/>
      <c r="R71" s="107"/>
      <c r="S71" s="105" t="s">
        <v>570</v>
      </c>
      <c r="T71" s="105" t="s">
        <v>998</v>
      </c>
      <c r="V71" s="108"/>
    </row>
    <row r="72" ht="15.75" customHeight="1">
      <c r="A72" s="91"/>
      <c r="B72" s="166">
        <v>45954.0</v>
      </c>
      <c r="C72" s="259" t="s">
        <v>999</v>
      </c>
      <c r="D72" s="97"/>
      <c r="E72" s="127" t="s">
        <v>1000</v>
      </c>
      <c r="F72" s="216" t="s">
        <v>1001</v>
      </c>
      <c r="G72" s="97"/>
      <c r="H72" s="98" t="s">
        <v>90</v>
      </c>
      <c r="I72" s="105" t="s">
        <v>107</v>
      </c>
      <c r="J72" s="97"/>
      <c r="K72" s="101">
        <v>10500.0</v>
      </c>
      <c r="L72" s="101">
        <v>3000.0</v>
      </c>
      <c r="M72" s="102"/>
      <c r="N72" s="103"/>
      <c r="O72" s="125"/>
      <c r="P72" s="97"/>
      <c r="Q72" s="105">
        <v>6.0</v>
      </c>
      <c r="R72" s="107"/>
      <c r="S72" s="105" t="s">
        <v>110</v>
      </c>
      <c r="T72" s="105"/>
      <c r="V72" s="108"/>
    </row>
    <row r="73" ht="15.75" customHeight="1">
      <c r="A73" s="91"/>
      <c r="B73" s="166">
        <v>45957.0</v>
      </c>
      <c r="C73" s="258" t="s">
        <v>1002</v>
      </c>
      <c r="D73" s="97"/>
      <c r="E73" s="127" t="s">
        <v>1003</v>
      </c>
      <c r="F73" s="216" t="s">
        <v>1004</v>
      </c>
      <c r="G73" s="97"/>
      <c r="H73" s="98" t="s">
        <v>90</v>
      </c>
      <c r="I73" s="105" t="s">
        <v>98</v>
      </c>
      <c r="J73" s="97"/>
      <c r="K73" s="101"/>
      <c r="L73" s="101"/>
      <c r="M73" s="101"/>
      <c r="N73" s="103"/>
      <c r="O73" s="125"/>
      <c r="P73" s="97"/>
      <c r="Q73" s="115"/>
      <c r="R73" s="107"/>
      <c r="S73" s="105"/>
      <c r="T73" s="105"/>
      <c r="V73" s="108"/>
    </row>
    <row r="74" ht="15.75" customHeight="1">
      <c r="A74" s="91"/>
      <c r="B74" s="166">
        <v>45957.0</v>
      </c>
      <c r="C74" s="258" t="s">
        <v>1005</v>
      </c>
      <c r="D74" s="97"/>
      <c r="E74" s="127" t="s">
        <v>1006</v>
      </c>
      <c r="F74" s="216" t="s">
        <v>1007</v>
      </c>
      <c r="G74" s="97"/>
      <c r="H74" s="98" t="s">
        <v>90</v>
      </c>
      <c r="I74" s="105" t="s">
        <v>98</v>
      </c>
      <c r="J74" s="97"/>
      <c r="K74" s="101"/>
      <c r="L74" s="101"/>
      <c r="M74" s="101"/>
      <c r="N74" s="103"/>
      <c r="O74" s="125"/>
      <c r="P74" s="97"/>
      <c r="Q74" s="115"/>
      <c r="R74" s="107"/>
      <c r="S74" s="105"/>
      <c r="T74" s="105"/>
      <c r="V74" s="108"/>
    </row>
    <row r="75" ht="15.75" customHeight="1">
      <c r="A75" s="91"/>
      <c r="B75" s="166">
        <v>45957.0</v>
      </c>
      <c r="C75" s="259" t="s">
        <v>1008</v>
      </c>
      <c r="D75" s="97"/>
      <c r="E75" s="127" t="s">
        <v>1009</v>
      </c>
      <c r="F75" s="216" t="s">
        <v>1010</v>
      </c>
      <c r="G75" s="97"/>
      <c r="H75" s="98" t="s">
        <v>90</v>
      </c>
      <c r="I75" s="105" t="s">
        <v>107</v>
      </c>
      <c r="J75" s="97"/>
      <c r="K75" s="101">
        <v>10500.0</v>
      </c>
      <c r="L75" s="101">
        <v>3000.0</v>
      </c>
      <c r="M75" s="101"/>
      <c r="N75" s="124"/>
      <c r="O75" s="125"/>
      <c r="P75" s="97"/>
      <c r="Q75" s="105">
        <v>6.0</v>
      </c>
      <c r="R75" s="126"/>
      <c r="S75" s="105" t="s">
        <v>110</v>
      </c>
      <c r="T75" s="97"/>
      <c r="V75" s="108"/>
    </row>
    <row r="76" ht="15.75" customHeight="1">
      <c r="A76" s="91"/>
      <c r="B76" s="166">
        <v>45957.0</v>
      </c>
      <c r="C76" s="258" t="s">
        <v>1011</v>
      </c>
      <c r="D76" s="97"/>
      <c r="E76" s="127" t="s">
        <v>1012</v>
      </c>
      <c r="F76" s="216" t="s">
        <v>1013</v>
      </c>
      <c r="G76" s="97"/>
      <c r="H76" s="98" t="s">
        <v>90</v>
      </c>
      <c r="I76" s="105" t="s">
        <v>91</v>
      </c>
      <c r="J76" s="97"/>
      <c r="K76" s="101"/>
      <c r="L76" s="101"/>
      <c r="M76" s="101"/>
      <c r="N76" s="103" t="s">
        <v>45</v>
      </c>
      <c r="O76" s="104" t="s">
        <v>1014</v>
      </c>
      <c r="P76" s="97"/>
      <c r="Q76" s="105"/>
      <c r="R76" s="107"/>
      <c r="S76" s="105" t="s">
        <v>570</v>
      </c>
      <c r="T76" s="105" t="s">
        <v>1015</v>
      </c>
      <c r="V76" s="108"/>
    </row>
    <row r="77" ht="15.75" customHeight="1">
      <c r="A77" s="91"/>
      <c r="B77" s="166">
        <v>45957.0</v>
      </c>
      <c r="C77" s="258" t="s">
        <v>1016</v>
      </c>
      <c r="D77" s="97"/>
      <c r="E77" s="127" t="s">
        <v>1017</v>
      </c>
      <c r="F77" s="216" t="s">
        <v>1018</v>
      </c>
      <c r="G77" s="97"/>
      <c r="H77" s="98" t="s">
        <v>90</v>
      </c>
      <c r="I77" s="105" t="s">
        <v>91</v>
      </c>
      <c r="J77" s="97"/>
      <c r="K77" s="101"/>
      <c r="L77" s="101"/>
      <c r="M77" s="101"/>
      <c r="N77" s="103" t="s">
        <v>143</v>
      </c>
      <c r="O77" s="104" t="s">
        <v>1019</v>
      </c>
      <c r="P77" s="97"/>
      <c r="Q77" s="131"/>
      <c r="R77" s="126"/>
      <c r="S77" s="105" t="s">
        <v>116</v>
      </c>
      <c r="T77" s="105" t="s">
        <v>1020</v>
      </c>
      <c r="V77" s="108"/>
    </row>
    <row r="78" ht="15.75" customHeight="1">
      <c r="A78" s="91"/>
      <c r="B78" s="166">
        <v>45957.0</v>
      </c>
      <c r="C78" s="261" t="s">
        <v>1021</v>
      </c>
      <c r="D78" s="97"/>
      <c r="E78" s="167" t="s">
        <v>1022</v>
      </c>
      <c r="F78" s="219"/>
      <c r="G78" s="97"/>
      <c r="H78" s="98" t="s">
        <v>71</v>
      </c>
      <c r="I78" s="105" t="s">
        <v>178</v>
      </c>
      <c r="J78" s="97"/>
      <c r="K78" s="101">
        <v>9000.0</v>
      </c>
      <c r="L78" s="101">
        <v>9000.0</v>
      </c>
      <c r="M78" s="102"/>
      <c r="N78" s="103"/>
      <c r="O78" s="125"/>
      <c r="P78" s="97"/>
      <c r="Q78" s="105">
        <v>6.0</v>
      </c>
      <c r="R78" s="107"/>
      <c r="S78" s="105" t="s">
        <v>110</v>
      </c>
      <c r="T78" s="105"/>
      <c r="V78" s="108"/>
    </row>
    <row r="79" ht="15.75" customHeight="1">
      <c r="A79" s="91"/>
      <c r="B79" s="166">
        <v>45958.0</v>
      </c>
      <c r="C79" s="258" t="s">
        <v>1023</v>
      </c>
      <c r="D79" s="97"/>
      <c r="E79" s="262" t="s">
        <v>1024</v>
      </c>
      <c r="F79" s="263" t="s">
        <v>1025</v>
      </c>
      <c r="G79" s="97"/>
      <c r="H79" s="98" t="s">
        <v>90</v>
      </c>
      <c r="I79" s="105" t="s">
        <v>91</v>
      </c>
      <c r="J79" s="97"/>
      <c r="K79" s="101"/>
      <c r="L79" s="101"/>
      <c r="M79" s="102"/>
      <c r="N79" s="103" t="s">
        <v>45</v>
      </c>
      <c r="O79" s="104"/>
      <c r="P79" s="97"/>
      <c r="Q79" s="105"/>
      <c r="R79" s="126"/>
      <c r="S79" s="105" t="s">
        <v>116</v>
      </c>
      <c r="T79" s="105" t="s">
        <v>1026</v>
      </c>
      <c r="V79" s="108"/>
    </row>
    <row r="80" ht="15.75" customHeight="1">
      <c r="A80" s="91"/>
      <c r="B80" s="166">
        <v>45959.0</v>
      </c>
      <c r="C80" s="258" t="s">
        <v>1027</v>
      </c>
      <c r="D80" s="97"/>
      <c r="E80" s="127" t="s">
        <v>1028</v>
      </c>
      <c r="F80" s="216" t="s">
        <v>1029</v>
      </c>
      <c r="G80" s="97"/>
      <c r="H80" s="98" t="s">
        <v>90</v>
      </c>
      <c r="I80" s="105" t="s">
        <v>91</v>
      </c>
      <c r="J80" s="97"/>
      <c r="K80" s="114"/>
      <c r="L80" s="114"/>
      <c r="M80" s="102"/>
      <c r="N80" s="103" t="s">
        <v>65</v>
      </c>
      <c r="O80" s="104" t="s">
        <v>1030</v>
      </c>
      <c r="P80" s="97"/>
      <c r="Q80" s="130"/>
      <c r="R80" s="107"/>
      <c r="S80" s="105" t="s">
        <v>110</v>
      </c>
      <c r="T80" s="105" t="s">
        <v>1031</v>
      </c>
      <c r="V80" s="108"/>
    </row>
    <row r="81" ht="15.75" customHeight="1">
      <c r="A81" s="91"/>
      <c r="B81" s="166">
        <v>45959.0</v>
      </c>
      <c r="C81" s="236" t="s">
        <v>1032</v>
      </c>
      <c r="D81" s="97"/>
      <c r="E81" s="167" t="s">
        <v>1033</v>
      </c>
      <c r="F81" s="219"/>
      <c r="G81" s="97"/>
      <c r="H81" s="98" t="s">
        <v>97</v>
      </c>
      <c r="I81" s="105" t="s">
        <v>107</v>
      </c>
      <c r="J81" s="97"/>
      <c r="K81" s="101">
        <v>9000.0</v>
      </c>
      <c r="L81" s="101">
        <v>3000.0</v>
      </c>
      <c r="M81" s="102"/>
      <c r="N81" s="103" t="s">
        <v>143</v>
      </c>
      <c r="O81" s="104" t="s">
        <v>1034</v>
      </c>
      <c r="P81" s="97"/>
      <c r="Q81" s="105">
        <v>5.0</v>
      </c>
      <c r="R81" s="136"/>
      <c r="S81" s="105" t="s">
        <v>110</v>
      </c>
      <c r="T81" s="105" t="s">
        <v>1035</v>
      </c>
      <c r="V81" s="108"/>
    </row>
    <row r="82" ht="15.75" customHeight="1">
      <c r="A82" s="91"/>
      <c r="B82" s="166">
        <v>45960.0</v>
      </c>
      <c r="C82" s="258" t="s">
        <v>1036</v>
      </c>
      <c r="D82" s="97"/>
      <c r="E82" s="127" t="s">
        <v>1037</v>
      </c>
      <c r="F82" s="216" t="s">
        <v>1038</v>
      </c>
      <c r="G82" s="97"/>
      <c r="H82" s="98" t="s">
        <v>90</v>
      </c>
      <c r="I82" s="105" t="s">
        <v>91</v>
      </c>
      <c r="J82" s="97"/>
      <c r="K82" s="114"/>
      <c r="L82" s="114"/>
      <c r="M82" s="102"/>
      <c r="N82" s="103" t="s">
        <v>45</v>
      </c>
      <c r="O82" s="104" t="s">
        <v>1039</v>
      </c>
      <c r="P82" s="97"/>
      <c r="Q82" s="115"/>
      <c r="R82" s="107"/>
      <c r="S82" s="105" t="s">
        <v>570</v>
      </c>
      <c r="T82" s="105" t="s">
        <v>1040</v>
      </c>
      <c r="V82" s="108"/>
    </row>
    <row r="83" ht="15.75" customHeight="1">
      <c r="A83" s="91"/>
      <c r="B83" s="166">
        <v>45960.0</v>
      </c>
      <c r="C83" s="258" t="s">
        <v>1041</v>
      </c>
      <c r="D83" s="97"/>
      <c r="E83" s="127" t="s">
        <v>1042</v>
      </c>
      <c r="F83" s="216" t="s">
        <v>1043</v>
      </c>
      <c r="G83" s="97"/>
      <c r="H83" s="98" t="s">
        <v>90</v>
      </c>
      <c r="I83" s="105" t="s">
        <v>98</v>
      </c>
      <c r="J83" s="97"/>
      <c r="K83" s="101"/>
      <c r="L83" s="101"/>
      <c r="M83" s="102"/>
      <c r="N83" s="124"/>
      <c r="O83" s="125"/>
      <c r="P83" s="97"/>
      <c r="Q83" s="131"/>
      <c r="R83" s="126"/>
      <c r="S83" s="97"/>
      <c r="T83" s="97"/>
      <c r="V83" s="108"/>
    </row>
    <row r="84" ht="15.75" customHeight="1">
      <c r="A84" s="91"/>
      <c r="B84" s="166">
        <v>45961.0</v>
      </c>
      <c r="C84" s="264" t="s">
        <v>267</v>
      </c>
      <c r="D84" s="97"/>
      <c r="E84" s="265" t="s">
        <v>1044</v>
      </c>
      <c r="F84" s="216" t="s">
        <v>268</v>
      </c>
      <c r="G84" s="97"/>
      <c r="H84" s="98" t="s">
        <v>1045</v>
      </c>
      <c r="I84" s="105" t="s">
        <v>107</v>
      </c>
      <c r="J84" s="97"/>
      <c r="K84" s="101">
        <v>10500.0</v>
      </c>
      <c r="L84" s="101">
        <v>500.0</v>
      </c>
      <c r="M84" s="102"/>
      <c r="N84" s="103" t="s">
        <v>45</v>
      </c>
      <c r="O84" s="104" t="s">
        <v>1046</v>
      </c>
      <c r="P84" s="97"/>
      <c r="Q84" s="105">
        <v>6.0</v>
      </c>
      <c r="R84" s="126"/>
      <c r="S84" s="105" t="s">
        <v>110</v>
      </c>
      <c r="T84" s="105" t="s">
        <v>1047</v>
      </c>
      <c r="V84" s="108"/>
    </row>
    <row r="85" ht="15.75" customHeight="1">
      <c r="A85" s="91"/>
      <c r="B85" s="166">
        <v>45961.0</v>
      </c>
      <c r="C85" s="266" t="s">
        <v>747</v>
      </c>
      <c r="D85" s="97"/>
      <c r="E85" s="127" t="s">
        <v>748</v>
      </c>
      <c r="F85" s="216" t="s">
        <v>749</v>
      </c>
      <c r="G85" s="97"/>
      <c r="H85" s="98" t="s">
        <v>90</v>
      </c>
      <c r="I85" s="105" t="s">
        <v>107</v>
      </c>
      <c r="J85" s="97"/>
      <c r="K85" s="101">
        <v>10500.0</v>
      </c>
      <c r="L85" s="101">
        <v>3000.0</v>
      </c>
      <c r="M85" s="102"/>
      <c r="N85" s="124"/>
      <c r="O85" s="125"/>
      <c r="P85" s="97"/>
      <c r="Q85" s="131"/>
      <c r="R85" s="126"/>
      <c r="S85" s="105" t="s">
        <v>110</v>
      </c>
      <c r="T85" s="105" t="s">
        <v>1048</v>
      </c>
      <c r="V85" s="108"/>
    </row>
    <row r="86" ht="15.75" customHeight="1">
      <c r="A86" s="91"/>
      <c r="B86" s="166"/>
      <c r="C86" s="238"/>
      <c r="D86" s="97"/>
      <c r="E86" s="165"/>
      <c r="F86" s="219"/>
      <c r="G86" s="97"/>
      <c r="H86" s="98"/>
      <c r="I86" s="105"/>
      <c r="J86" s="97"/>
      <c r="K86" s="114"/>
      <c r="L86" s="114"/>
      <c r="M86" s="102"/>
      <c r="N86" s="103"/>
      <c r="O86" s="104"/>
      <c r="P86" s="97"/>
      <c r="Q86" s="130"/>
      <c r="R86" s="116"/>
      <c r="S86" s="105"/>
      <c r="T86" s="105"/>
      <c r="V86" s="108"/>
    </row>
    <row r="87" ht="15.75" customHeight="1">
      <c r="A87" s="91"/>
      <c r="B87" s="166"/>
      <c r="C87" s="98"/>
      <c r="D87" s="97"/>
      <c r="E87" s="165"/>
      <c r="F87" s="138"/>
      <c r="G87" s="97"/>
      <c r="H87" s="98"/>
      <c r="I87" s="105"/>
      <c r="J87" s="97"/>
      <c r="K87" s="101"/>
      <c r="L87" s="101"/>
      <c r="M87" s="102"/>
      <c r="N87" s="124"/>
      <c r="O87" s="104"/>
      <c r="P87" s="97"/>
      <c r="Q87" s="131"/>
      <c r="R87" s="107"/>
      <c r="S87" s="105"/>
      <c r="T87" s="105"/>
      <c r="V87" s="108"/>
    </row>
    <row r="88" ht="15.75" customHeight="1">
      <c r="A88" s="91"/>
      <c r="B88" s="166"/>
      <c r="C88" s="98"/>
      <c r="D88" s="97"/>
      <c r="E88" s="165"/>
      <c r="F88" s="138"/>
      <c r="G88" s="97"/>
      <c r="H88" s="98"/>
      <c r="I88" s="105"/>
      <c r="J88" s="97"/>
      <c r="K88" s="114"/>
      <c r="L88" s="114"/>
      <c r="M88" s="102"/>
      <c r="N88" s="103"/>
      <c r="O88" s="104"/>
      <c r="P88" s="97"/>
      <c r="Q88" s="115"/>
      <c r="R88" s="107"/>
      <c r="S88" s="105"/>
      <c r="T88" s="105"/>
      <c r="V88" s="108"/>
    </row>
    <row r="89" ht="15.75" customHeight="1">
      <c r="A89" s="91"/>
      <c r="B89" s="166"/>
      <c r="C89" s="98"/>
      <c r="D89" s="97"/>
      <c r="E89" s="165"/>
      <c r="F89" s="138"/>
      <c r="G89" s="97"/>
      <c r="H89" s="98"/>
      <c r="I89" s="105"/>
      <c r="J89" s="97"/>
      <c r="K89" s="101"/>
      <c r="L89" s="101"/>
      <c r="M89" s="102"/>
      <c r="N89" s="124"/>
      <c r="O89" s="125"/>
      <c r="P89" s="97"/>
      <c r="Q89" s="97"/>
      <c r="R89" s="126"/>
      <c r="S89" s="97"/>
      <c r="T89" s="97"/>
      <c r="V89" s="108"/>
    </row>
    <row r="90" ht="15.75" customHeight="1">
      <c r="A90" s="91"/>
      <c r="B90" s="166"/>
      <c r="C90" s="138"/>
      <c r="D90" s="97"/>
      <c r="E90" s="165"/>
      <c r="F90" s="169"/>
      <c r="G90" s="97"/>
      <c r="H90" s="98"/>
      <c r="I90" s="105"/>
      <c r="J90" s="97"/>
      <c r="K90" s="114"/>
      <c r="L90" s="114"/>
      <c r="M90" s="102"/>
      <c r="N90" s="103"/>
      <c r="O90" s="104"/>
      <c r="P90" s="97"/>
      <c r="Q90" s="105"/>
      <c r="R90" s="107"/>
      <c r="S90" s="105"/>
      <c r="T90" s="105"/>
      <c r="V90" s="108"/>
    </row>
    <row r="91" ht="15.75" customHeight="1">
      <c r="A91" s="91"/>
      <c r="B91" s="166"/>
      <c r="C91" s="140"/>
      <c r="D91" s="97"/>
      <c r="E91" s="165"/>
      <c r="F91" s="138"/>
      <c r="G91" s="97"/>
      <c r="H91" s="98"/>
      <c r="I91" s="105"/>
      <c r="J91" s="97"/>
      <c r="K91" s="101"/>
      <c r="L91" s="101"/>
      <c r="M91" s="102"/>
      <c r="N91" s="124"/>
      <c r="O91" s="125"/>
      <c r="P91" s="97"/>
      <c r="Q91" s="97"/>
      <c r="R91" s="126"/>
      <c r="S91" s="97"/>
      <c r="T91" s="97"/>
      <c r="V91" s="108"/>
    </row>
    <row r="92" ht="15.75" customHeight="1">
      <c r="A92" s="91"/>
      <c r="B92" s="166"/>
      <c r="C92" s="138"/>
      <c r="D92" s="97"/>
      <c r="E92" s="165"/>
      <c r="F92" s="138"/>
      <c r="G92" s="97"/>
      <c r="H92" s="98"/>
      <c r="I92" s="105"/>
      <c r="J92" s="97"/>
      <c r="K92" s="114"/>
      <c r="L92" s="114"/>
      <c r="M92" s="102"/>
      <c r="N92" s="103"/>
      <c r="O92" s="104"/>
      <c r="P92" s="97"/>
      <c r="Q92" s="130"/>
      <c r="R92" s="107"/>
      <c r="S92" s="105"/>
      <c r="T92" s="105"/>
      <c r="V92" s="108"/>
    </row>
    <row r="93" ht="15.75" customHeight="1">
      <c r="A93" s="91"/>
      <c r="B93" s="166"/>
      <c r="C93" s="140"/>
      <c r="D93" s="97"/>
      <c r="E93" s="138"/>
      <c r="F93" s="138"/>
      <c r="G93" s="97"/>
      <c r="H93" s="98"/>
      <c r="I93" s="105"/>
      <c r="J93" s="97"/>
      <c r="K93" s="101"/>
      <c r="L93" s="101"/>
      <c r="M93" s="102"/>
      <c r="N93" s="124"/>
      <c r="O93" s="125"/>
      <c r="P93" s="97"/>
      <c r="Q93" s="131"/>
      <c r="R93" s="126"/>
      <c r="S93" s="97"/>
      <c r="T93" s="97"/>
      <c r="V93" s="108"/>
    </row>
    <row r="94" ht="15.75" customHeight="1">
      <c r="A94" s="91"/>
      <c r="B94" s="166"/>
      <c r="C94" s="98"/>
      <c r="D94" s="97"/>
      <c r="E94" s="165"/>
      <c r="F94" s="138"/>
      <c r="G94" s="97"/>
      <c r="H94" s="98"/>
      <c r="I94" s="105"/>
      <c r="J94" s="97"/>
      <c r="K94" s="114"/>
      <c r="L94" s="114"/>
      <c r="M94" s="102"/>
      <c r="N94" s="124"/>
      <c r="O94" s="125"/>
      <c r="P94" s="97"/>
      <c r="Q94" s="97"/>
      <c r="R94" s="126"/>
      <c r="S94" s="97"/>
      <c r="T94" s="97"/>
      <c r="V94" s="108"/>
    </row>
    <row r="95" ht="15.75" customHeight="1">
      <c r="A95" s="91"/>
      <c r="B95" s="166"/>
      <c r="C95" s="98"/>
      <c r="D95" s="97"/>
      <c r="E95" s="165"/>
      <c r="F95" s="138"/>
      <c r="G95" s="97"/>
      <c r="H95" s="98"/>
      <c r="I95" s="105"/>
      <c r="J95" s="97"/>
      <c r="K95" s="101"/>
      <c r="L95" s="101"/>
      <c r="M95" s="102"/>
      <c r="N95" s="103"/>
      <c r="O95" s="104"/>
      <c r="P95" s="97"/>
      <c r="Q95" s="115"/>
      <c r="R95" s="107"/>
      <c r="S95" s="105"/>
      <c r="T95" s="105"/>
      <c r="V95" s="108"/>
    </row>
    <row r="96" ht="15.75" customHeight="1">
      <c r="A96" s="91"/>
      <c r="B96" s="166"/>
      <c r="C96" s="98"/>
      <c r="D96" s="97"/>
      <c r="E96" s="165"/>
      <c r="F96" s="138"/>
      <c r="G96" s="97"/>
      <c r="H96" s="98"/>
      <c r="I96" s="105"/>
      <c r="J96" s="97"/>
      <c r="K96" s="114"/>
      <c r="L96" s="114"/>
      <c r="M96" s="102"/>
      <c r="N96" s="124"/>
      <c r="O96" s="125"/>
      <c r="P96" s="97"/>
      <c r="Q96" s="97"/>
      <c r="R96" s="126"/>
      <c r="S96" s="97"/>
      <c r="T96" s="97"/>
      <c r="V96" s="108"/>
    </row>
    <row r="97" ht="15.75" customHeight="1">
      <c r="A97" s="91"/>
      <c r="B97" s="166"/>
      <c r="C97" s="98"/>
      <c r="D97" s="97"/>
      <c r="E97" s="170"/>
      <c r="F97" s="138"/>
      <c r="G97" s="97"/>
      <c r="H97" s="98"/>
      <c r="I97" s="105"/>
      <c r="J97" s="97"/>
      <c r="K97" s="101"/>
      <c r="L97" s="101"/>
      <c r="M97" s="102"/>
      <c r="N97" s="124"/>
      <c r="O97" s="125"/>
      <c r="P97" s="97"/>
      <c r="Q97" s="131"/>
      <c r="R97" s="126"/>
      <c r="S97" s="97"/>
      <c r="T97" s="97"/>
      <c r="V97" s="108"/>
    </row>
    <row r="98" ht="15.75" customHeight="1">
      <c r="A98" s="91"/>
      <c r="B98" s="166"/>
      <c r="C98" s="107"/>
      <c r="D98" s="97"/>
      <c r="E98" s="165"/>
      <c r="F98" s="138"/>
      <c r="G98" s="97"/>
      <c r="H98" s="98"/>
      <c r="I98" s="105"/>
      <c r="J98" s="97"/>
      <c r="K98" s="114"/>
      <c r="L98" s="114"/>
      <c r="M98" s="102"/>
      <c r="N98" s="124"/>
      <c r="O98" s="125"/>
      <c r="P98" s="97"/>
      <c r="Q98" s="130"/>
      <c r="R98" s="107"/>
      <c r="S98" s="97"/>
      <c r="T98" s="105"/>
      <c r="V98" s="108"/>
    </row>
    <row r="99" ht="15.75" customHeight="1">
      <c r="A99" s="91"/>
      <c r="B99" s="166"/>
      <c r="C99" s="107"/>
      <c r="D99" s="97"/>
      <c r="E99" s="165"/>
      <c r="F99" s="138"/>
      <c r="G99" s="97"/>
      <c r="H99" s="98"/>
      <c r="I99" s="105"/>
      <c r="J99" s="97"/>
      <c r="K99" s="101"/>
      <c r="L99" s="101"/>
      <c r="M99" s="102"/>
      <c r="N99" s="124"/>
      <c r="O99" s="125"/>
      <c r="P99" s="97"/>
      <c r="Q99" s="130"/>
      <c r="R99" s="107"/>
      <c r="S99" s="97"/>
      <c r="T99" s="105"/>
      <c r="V99" s="108"/>
    </row>
    <row r="100" ht="15.75" customHeight="1">
      <c r="A100" s="91"/>
      <c r="B100" s="166"/>
      <c r="C100" s="98"/>
      <c r="D100" s="97"/>
      <c r="E100" s="98"/>
      <c r="F100" s="140"/>
      <c r="G100" s="97"/>
      <c r="H100" s="98"/>
      <c r="I100" s="105"/>
      <c r="J100" s="97"/>
      <c r="K100" s="114"/>
      <c r="L100" s="114"/>
      <c r="M100" s="102"/>
      <c r="N100" s="124"/>
      <c r="O100" s="125"/>
      <c r="P100" s="97"/>
      <c r="Q100" s="131"/>
      <c r="R100" s="126"/>
      <c r="S100" s="97"/>
      <c r="T100" s="97"/>
      <c r="V100" s="108"/>
    </row>
    <row r="101" ht="15.75" customHeight="1">
      <c r="A101" s="91"/>
      <c r="B101" s="166"/>
      <c r="C101" s="98"/>
      <c r="D101" s="97"/>
      <c r="E101" s="165"/>
      <c r="F101" s="138"/>
      <c r="G101" s="97"/>
      <c r="H101" s="98"/>
      <c r="I101" s="105"/>
      <c r="J101" s="97"/>
      <c r="K101" s="101"/>
      <c r="L101" s="101"/>
      <c r="M101" s="102"/>
      <c r="N101" s="124"/>
      <c r="O101" s="125"/>
      <c r="P101" s="97"/>
      <c r="Q101" s="97"/>
      <c r="R101" s="126"/>
      <c r="S101" s="97"/>
      <c r="T101" s="97"/>
      <c r="V101" s="108"/>
    </row>
    <row r="102" ht="15.75" customHeight="1">
      <c r="A102" s="91"/>
      <c r="B102" s="166"/>
      <c r="C102" s="98"/>
      <c r="D102" s="97"/>
      <c r="E102" s="165"/>
      <c r="F102" s="138"/>
      <c r="G102" s="97"/>
      <c r="H102" s="98"/>
      <c r="I102" s="105"/>
      <c r="J102" s="97"/>
      <c r="K102" s="114"/>
      <c r="L102" s="114"/>
      <c r="M102" s="102"/>
      <c r="N102" s="103"/>
      <c r="O102" s="104"/>
      <c r="P102" s="97"/>
      <c r="Q102" s="115"/>
      <c r="R102" s="116"/>
      <c r="S102" s="105"/>
      <c r="T102" s="105"/>
      <c r="V102" s="108"/>
    </row>
    <row r="103" ht="15.75" customHeight="1">
      <c r="A103" s="91"/>
      <c r="B103" s="171"/>
      <c r="C103" s="143"/>
      <c r="D103" s="97"/>
      <c r="E103" s="143"/>
      <c r="F103" s="169"/>
      <c r="G103" s="97"/>
      <c r="H103" s="98"/>
      <c r="I103" s="105"/>
      <c r="J103" s="97"/>
      <c r="K103" s="101"/>
      <c r="L103" s="101"/>
      <c r="M103" s="102"/>
      <c r="N103" s="103"/>
      <c r="O103" s="125"/>
      <c r="P103" s="97"/>
      <c r="Q103" s="131"/>
      <c r="R103" s="126"/>
      <c r="S103" s="105"/>
      <c r="T103" s="97"/>
      <c r="V103" s="108"/>
    </row>
    <row r="104" ht="15.75" customHeight="1">
      <c r="A104" s="91"/>
      <c r="B104" s="171"/>
      <c r="C104" s="143"/>
      <c r="D104" s="97"/>
      <c r="E104" s="143"/>
      <c r="F104" s="143"/>
      <c r="G104" s="97"/>
      <c r="H104" s="98"/>
      <c r="I104" s="105"/>
      <c r="J104" s="97"/>
      <c r="K104" s="114"/>
      <c r="L104" s="114"/>
      <c r="M104" s="102"/>
      <c r="N104" s="103"/>
      <c r="O104" s="125"/>
      <c r="P104" s="97"/>
      <c r="Q104" s="97"/>
      <c r="R104" s="126"/>
      <c r="S104" s="105"/>
      <c r="T104" s="97"/>
      <c r="V104" s="108"/>
    </row>
    <row r="105" ht="15.75" customHeight="1">
      <c r="A105" s="91"/>
      <c r="B105" s="171"/>
      <c r="C105" s="108"/>
      <c r="D105" s="97"/>
      <c r="E105" s="143"/>
      <c r="F105" s="143"/>
      <c r="G105" s="97"/>
      <c r="H105" s="98"/>
      <c r="I105" s="105"/>
      <c r="J105" s="97"/>
      <c r="K105" s="101"/>
      <c r="L105" s="101"/>
      <c r="M105" s="102"/>
      <c r="N105" s="103"/>
      <c r="O105" s="125"/>
      <c r="P105" s="97"/>
      <c r="Q105" s="131"/>
      <c r="R105" s="126"/>
      <c r="S105" s="105"/>
      <c r="T105" s="97"/>
      <c r="V105" s="108"/>
    </row>
    <row r="106" ht="15.75" customHeight="1">
      <c r="A106" s="91"/>
      <c r="B106" s="171"/>
      <c r="C106" s="108"/>
      <c r="D106" s="97"/>
      <c r="E106" s="143"/>
      <c r="F106" s="143"/>
      <c r="G106" s="97"/>
      <c r="H106" s="98"/>
      <c r="I106" s="105"/>
      <c r="J106" s="97"/>
      <c r="K106" s="114"/>
      <c r="L106" s="114"/>
      <c r="M106" s="102"/>
      <c r="N106" s="103"/>
      <c r="O106" s="125"/>
      <c r="P106" s="97"/>
      <c r="Q106" s="131"/>
      <c r="R106" s="126"/>
      <c r="S106" s="105"/>
      <c r="T106" s="97"/>
      <c r="V106" s="108"/>
    </row>
    <row r="107" ht="15.75" customHeight="1">
      <c r="A107" s="91"/>
      <c r="B107" s="171"/>
      <c r="C107" s="143"/>
      <c r="D107" s="97"/>
      <c r="E107" s="143"/>
      <c r="F107" s="143"/>
      <c r="G107" s="97"/>
      <c r="H107" s="98"/>
      <c r="I107" s="105"/>
      <c r="J107" s="97"/>
      <c r="K107" s="101"/>
      <c r="L107" s="101"/>
      <c r="M107" s="102"/>
      <c r="N107" s="103"/>
      <c r="O107" s="125"/>
      <c r="P107" s="97"/>
      <c r="Q107" s="131"/>
      <c r="R107" s="126"/>
      <c r="S107" s="105"/>
      <c r="T107" s="97"/>
      <c r="V107" s="108"/>
    </row>
    <row r="108" ht="15.75" customHeight="1">
      <c r="A108" s="91"/>
      <c r="B108" s="171"/>
      <c r="C108" s="143"/>
      <c r="D108" s="97"/>
      <c r="E108" s="143"/>
      <c r="F108" s="143"/>
      <c r="G108" s="97"/>
      <c r="H108" s="98"/>
      <c r="I108" s="105"/>
      <c r="J108" s="97"/>
      <c r="K108" s="114"/>
      <c r="L108" s="114"/>
      <c r="M108" s="102"/>
      <c r="N108" s="103"/>
      <c r="O108" s="125"/>
      <c r="P108" s="97"/>
      <c r="Q108" s="97"/>
      <c r="R108" s="126"/>
      <c r="S108" s="105"/>
      <c r="T108" s="97"/>
      <c r="V108" s="108"/>
    </row>
    <row r="109" ht="15.75" customHeight="1">
      <c r="A109" s="91"/>
      <c r="B109" s="171"/>
      <c r="C109" s="143"/>
      <c r="D109" s="97"/>
      <c r="E109" s="143"/>
      <c r="F109" s="143"/>
      <c r="G109" s="97"/>
      <c r="H109" s="98"/>
      <c r="I109" s="105"/>
      <c r="J109" s="97"/>
      <c r="K109" s="101"/>
      <c r="L109" s="101"/>
      <c r="M109" s="102"/>
      <c r="N109" s="103"/>
      <c r="O109" s="125"/>
      <c r="P109" s="97"/>
      <c r="Q109" s="131"/>
      <c r="R109" s="126"/>
      <c r="S109" s="105"/>
      <c r="T109" s="97"/>
      <c r="V109" s="108"/>
    </row>
    <row r="110" ht="15.75" customHeight="1">
      <c r="A110" s="91"/>
      <c r="B110" s="171"/>
      <c r="C110" s="143"/>
      <c r="D110" s="97"/>
      <c r="E110" s="143"/>
      <c r="F110" s="143"/>
      <c r="G110" s="97"/>
      <c r="H110" s="143"/>
      <c r="I110" s="145"/>
      <c r="J110" s="97"/>
      <c r="K110" s="114"/>
      <c r="L110" s="114"/>
      <c r="M110" s="102"/>
      <c r="N110" s="124"/>
      <c r="O110" s="125"/>
      <c r="P110" s="97"/>
      <c r="Q110" s="97"/>
      <c r="R110" s="126"/>
      <c r="S110" s="97"/>
      <c r="T110" s="97"/>
      <c r="V110" s="108"/>
    </row>
    <row r="111" ht="15.75" customHeight="1">
      <c r="A111" s="91"/>
      <c r="B111" s="171"/>
      <c r="C111" s="143"/>
      <c r="D111" s="97"/>
      <c r="E111" s="143"/>
      <c r="F111" s="143"/>
      <c r="G111" s="97"/>
      <c r="H111" s="143"/>
      <c r="I111" s="97"/>
      <c r="J111" s="97"/>
      <c r="K111" s="101"/>
      <c r="L111" s="101"/>
      <c r="M111" s="102"/>
      <c r="N111" s="124"/>
      <c r="O111" s="125"/>
      <c r="P111" s="97"/>
      <c r="Q111" s="131"/>
      <c r="R111" s="126"/>
      <c r="S111" s="97"/>
      <c r="T111" s="97"/>
      <c r="V111" s="108"/>
    </row>
    <row r="112" ht="15.75" customHeight="1">
      <c r="A112" s="91"/>
      <c r="B112" s="171"/>
      <c r="C112" s="108"/>
      <c r="D112" s="97"/>
      <c r="E112" s="143"/>
      <c r="F112" s="143"/>
      <c r="G112" s="97"/>
      <c r="H112" s="143"/>
      <c r="I112" s="97"/>
      <c r="J112" s="97"/>
      <c r="K112" s="114"/>
      <c r="L112" s="114"/>
      <c r="M112" s="102"/>
      <c r="N112" s="124"/>
      <c r="O112" s="125"/>
      <c r="P112" s="97"/>
      <c r="Q112" s="97"/>
      <c r="R112" s="126"/>
      <c r="S112" s="97"/>
      <c r="T112" s="97"/>
      <c r="V112" s="108"/>
    </row>
    <row r="113" ht="15.75" customHeight="1">
      <c r="A113" s="91"/>
      <c r="B113" s="171"/>
      <c r="C113" s="108"/>
      <c r="D113" s="97"/>
      <c r="E113" s="143"/>
      <c r="F113" s="143"/>
      <c r="G113" s="97"/>
      <c r="H113" s="143"/>
      <c r="I113" s="97"/>
      <c r="J113" s="97"/>
      <c r="K113" s="101"/>
      <c r="L113" s="101"/>
      <c r="M113" s="102"/>
      <c r="N113" s="124"/>
      <c r="O113" s="125"/>
      <c r="P113" s="97"/>
      <c r="Q113" s="97"/>
      <c r="R113" s="126"/>
      <c r="S113" s="97"/>
      <c r="T113" s="97"/>
      <c r="V113" s="108"/>
    </row>
    <row r="114" ht="15.75" customHeight="1">
      <c r="A114" s="91"/>
      <c r="B114" s="171"/>
      <c r="C114" s="108"/>
      <c r="D114" s="97"/>
      <c r="E114" s="143"/>
      <c r="F114" s="143"/>
      <c r="G114" s="97"/>
      <c r="H114" s="143"/>
      <c r="I114" s="97"/>
      <c r="J114" s="97"/>
      <c r="K114" s="114"/>
      <c r="L114" s="114"/>
      <c r="M114" s="102"/>
      <c r="N114" s="124"/>
      <c r="O114" s="125"/>
      <c r="P114" s="97"/>
      <c r="Q114" s="97"/>
      <c r="R114" s="126"/>
      <c r="S114" s="97"/>
      <c r="T114" s="97"/>
      <c r="V114" s="108"/>
    </row>
    <row r="115" ht="15.75" customHeight="1">
      <c r="A115" s="91"/>
      <c r="B115" s="171"/>
      <c r="C115" s="143"/>
      <c r="D115" s="97"/>
      <c r="E115" s="143"/>
      <c r="F115" s="143"/>
      <c r="G115" s="97"/>
      <c r="H115" s="143"/>
      <c r="I115" s="97"/>
      <c r="J115" s="97"/>
      <c r="K115" s="101"/>
      <c r="L115" s="101"/>
      <c r="M115" s="102"/>
      <c r="N115" s="124"/>
      <c r="O115" s="125"/>
      <c r="P115" s="97"/>
      <c r="Q115" s="97"/>
      <c r="R115" s="126"/>
      <c r="S115" s="97"/>
      <c r="T115" s="97"/>
      <c r="V115" s="108"/>
    </row>
    <row r="116" ht="15.75" customHeight="1">
      <c r="A116" s="91"/>
      <c r="B116" s="171"/>
      <c r="C116" s="143"/>
      <c r="D116" s="97"/>
      <c r="E116" s="143"/>
      <c r="F116" s="143"/>
      <c r="G116" s="97"/>
      <c r="H116" s="143"/>
      <c r="I116" s="97"/>
      <c r="J116" s="97"/>
      <c r="K116" s="114"/>
      <c r="L116" s="114"/>
      <c r="M116" s="102"/>
      <c r="N116" s="124"/>
      <c r="O116" s="125"/>
      <c r="P116" s="97"/>
      <c r="Q116" s="97"/>
      <c r="R116" s="126"/>
      <c r="S116" s="97"/>
      <c r="T116" s="97"/>
      <c r="V116" s="108"/>
    </row>
    <row r="117" ht="15.75" customHeight="1">
      <c r="A117" s="91"/>
      <c r="B117" s="171"/>
      <c r="C117" s="143"/>
      <c r="D117" s="97"/>
      <c r="E117" s="143"/>
      <c r="F117" s="143"/>
      <c r="G117" s="97"/>
      <c r="H117" s="143"/>
      <c r="I117" s="97"/>
      <c r="J117" s="97"/>
      <c r="K117" s="101"/>
      <c r="L117" s="101"/>
      <c r="M117" s="102"/>
      <c r="N117" s="124"/>
      <c r="O117" s="125"/>
      <c r="P117" s="97"/>
      <c r="Q117" s="97"/>
      <c r="R117" s="126"/>
      <c r="S117" s="97"/>
      <c r="T117" s="97"/>
      <c r="V117" s="108"/>
    </row>
    <row r="118" ht="15.75" customHeight="1">
      <c r="A118" s="91"/>
      <c r="B118" s="171"/>
      <c r="C118" s="143"/>
      <c r="D118" s="97"/>
      <c r="E118" s="143"/>
      <c r="F118" s="143"/>
      <c r="G118" s="97"/>
      <c r="H118" s="143"/>
      <c r="I118" s="97"/>
      <c r="J118" s="97"/>
      <c r="K118" s="114"/>
      <c r="L118" s="114"/>
      <c r="M118" s="102"/>
      <c r="N118" s="124"/>
      <c r="O118" s="125"/>
      <c r="P118" s="97"/>
      <c r="Q118" s="97"/>
      <c r="R118" s="126"/>
      <c r="S118" s="97"/>
      <c r="T118" s="97"/>
      <c r="V118" s="108"/>
    </row>
    <row r="119" ht="15.75" customHeight="1">
      <c r="A119" s="91"/>
      <c r="B119" s="171"/>
      <c r="C119" s="143"/>
      <c r="D119" s="97"/>
      <c r="E119" s="143"/>
      <c r="F119" s="143"/>
      <c r="G119" s="97"/>
      <c r="H119" s="143"/>
      <c r="I119" s="97"/>
      <c r="J119" s="97"/>
      <c r="K119" s="101"/>
      <c r="L119" s="101"/>
      <c r="M119" s="102"/>
      <c r="N119" s="124"/>
      <c r="O119" s="125"/>
      <c r="P119" s="97"/>
      <c r="Q119" s="131"/>
      <c r="R119" s="126"/>
      <c r="S119" s="97"/>
      <c r="T119" s="97"/>
      <c r="V119" s="108"/>
    </row>
    <row r="120" ht="15.75" customHeight="1">
      <c r="A120" s="91"/>
      <c r="B120" s="171"/>
      <c r="C120" s="108"/>
      <c r="D120" s="97"/>
      <c r="E120" s="143"/>
      <c r="F120" s="143"/>
      <c r="G120" s="97"/>
      <c r="H120" s="143"/>
      <c r="I120" s="97"/>
      <c r="J120" s="97"/>
      <c r="K120" s="114"/>
      <c r="L120" s="114"/>
      <c r="M120" s="102"/>
      <c r="N120" s="124"/>
      <c r="O120" s="125"/>
      <c r="P120" s="97"/>
      <c r="Q120" s="97"/>
      <c r="R120" s="126"/>
      <c r="S120" s="97"/>
      <c r="T120" s="97"/>
      <c r="V120" s="108"/>
    </row>
    <row r="121" ht="15.75" customHeight="1">
      <c r="A121" s="91"/>
      <c r="B121" s="171"/>
      <c r="C121" s="108"/>
      <c r="D121" s="97"/>
      <c r="E121" s="143"/>
      <c r="F121" s="143"/>
      <c r="G121" s="97"/>
      <c r="H121" s="143"/>
      <c r="I121" s="97"/>
      <c r="J121" s="97"/>
      <c r="K121" s="101"/>
      <c r="L121" s="101"/>
      <c r="M121" s="102"/>
      <c r="N121" s="124"/>
      <c r="O121" s="125"/>
      <c r="P121" s="97"/>
      <c r="Q121" s="97"/>
      <c r="R121" s="126"/>
      <c r="S121" s="97"/>
      <c r="T121" s="97"/>
      <c r="V121" s="108"/>
    </row>
    <row r="122" ht="15.75" customHeight="1">
      <c r="A122" s="91"/>
      <c r="B122" s="171"/>
      <c r="C122" s="108"/>
      <c r="D122" s="97"/>
      <c r="E122" s="143"/>
      <c r="F122" s="143"/>
      <c r="G122" s="97"/>
      <c r="H122" s="143"/>
      <c r="I122" s="97"/>
      <c r="J122" s="97"/>
      <c r="K122" s="114"/>
      <c r="L122" s="114"/>
      <c r="M122" s="102"/>
      <c r="N122" s="124"/>
      <c r="O122" s="125"/>
      <c r="P122" s="97"/>
      <c r="Q122" s="131"/>
      <c r="R122" s="126"/>
      <c r="S122" s="97"/>
      <c r="T122" s="97"/>
      <c r="V122" s="108"/>
    </row>
    <row r="123" ht="15.75" customHeight="1">
      <c r="A123" s="91"/>
      <c r="B123" s="171"/>
      <c r="C123" s="143"/>
      <c r="D123" s="97"/>
      <c r="E123" s="143"/>
      <c r="F123" s="143"/>
      <c r="G123" s="97"/>
      <c r="H123" s="143"/>
      <c r="I123" s="97"/>
      <c r="J123" s="97"/>
      <c r="K123" s="101"/>
      <c r="L123" s="101"/>
      <c r="M123" s="102"/>
      <c r="N123" s="124"/>
      <c r="O123" s="125"/>
      <c r="P123" s="97"/>
      <c r="Q123" s="131"/>
      <c r="R123" s="126"/>
      <c r="S123" s="97"/>
      <c r="T123" s="97"/>
      <c r="V123" s="108"/>
    </row>
    <row r="124" ht="15.75" customHeight="1">
      <c r="A124" s="91"/>
      <c r="B124" s="171"/>
      <c r="C124" s="143"/>
      <c r="D124" s="97"/>
      <c r="E124" s="143"/>
      <c r="F124" s="143"/>
      <c r="G124" s="97"/>
      <c r="H124" s="143"/>
      <c r="I124" s="97"/>
      <c r="J124" s="97"/>
      <c r="K124" s="114"/>
      <c r="L124" s="114"/>
      <c r="M124" s="102"/>
      <c r="N124" s="124"/>
      <c r="O124" s="125"/>
      <c r="P124" s="97"/>
      <c r="Q124" s="131"/>
      <c r="R124" s="126"/>
      <c r="S124" s="97"/>
      <c r="T124" s="97"/>
      <c r="V124" s="108"/>
    </row>
    <row r="125" ht="15.75" customHeight="1">
      <c r="A125" s="91"/>
      <c r="B125" s="171"/>
      <c r="C125" s="143"/>
      <c r="D125" s="97"/>
      <c r="E125" s="143"/>
      <c r="F125" s="143"/>
      <c r="G125" s="97"/>
      <c r="H125" s="143"/>
      <c r="I125" s="97"/>
      <c r="J125" s="97"/>
      <c r="K125" s="101"/>
      <c r="L125" s="101"/>
      <c r="M125" s="102"/>
      <c r="N125" s="124"/>
      <c r="O125" s="125"/>
      <c r="P125" s="97"/>
      <c r="Q125" s="131"/>
      <c r="R125" s="126"/>
      <c r="S125" s="97"/>
      <c r="T125" s="97"/>
      <c r="V125" s="108"/>
    </row>
    <row r="126" ht="15.75" customHeight="1">
      <c r="A126" s="91"/>
      <c r="B126" s="171"/>
      <c r="C126" s="143"/>
      <c r="D126" s="97"/>
      <c r="E126" s="143"/>
      <c r="F126" s="143"/>
      <c r="G126" s="97"/>
      <c r="H126" s="143"/>
      <c r="I126" s="97"/>
      <c r="J126" s="97"/>
      <c r="K126" s="114"/>
      <c r="L126" s="114"/>
      <c r="M126" s="102"/>
      <c r="N126" s="124"/>
      <c r="O126" s="125"/>
      <c r="P126" s="97"/>
      <c r="Q126" s="131"/>
      <c r="R126" s="126"/>
      <c r="S126" s="97"/>
      <c r="T126" s="97"/>
      <c r="V126" s="108"/>
    </row>
    <row r="127" ht="15.75" customHeight="1">
      <c r="A127" s="91"/>
      <c r="B127" s="171"/>
      <c r="C127" s="143"/>
      <c r="D127" s="97"/>
      <c r="E127" s="143"/>
      <c r="F127" s="143"/>
      <c r="G127" s="97"/>
      <c r="H127" s="143"/>
      <c r="I127" s="97"/>
      <c r="J127" s="97"/>
      <c r="K127" s="101"/>
      <c r="L127" s="101"/>
      <c r="M127" s="102"/>
      <c r="N127" s="124"/>
      <c r="O127" s="125"/>
      <c r="P127" s="97"/>
      <c r="Q127" s="131"/>
      <c r="R127" s="126"/>
      <c r="S127" s="97"/>
      <c r="T127" s="97"/>
      <c r="V127" s="108"/>
    </row>
    <row r="128" ht="15.75" customHeight="1">
      <c r="A128" s="91"/>
      <c r="B128" s="171"/>
      <c r="C128" s="108"/>
      <c r="D128" s="97"/>
      <c r="E128" s="143"/>
      <c r="F128" s="143"/>
      <c r="G128" s="97"/>
      <c r="H128" s="143"/>
      <c r="I128" s="97"/>
      <c r="J128" s="97"/>
      <c r="K128" s="114"/>
      <c r="L128" s="114"/>
      <c r="M128" s="102"/>
      <c r="N128" s="124"/>
      <c r="O128" s="125"/>
      <c r="P128" s="97"/>
      <c r="Q128" s="97"/>
      <c r="R128" s="126"/>
      <c r="S128" s="97"/>
      <c r="T128" s="97"/>
      <c r="V128" s="108"/>
    </row>
    <row r="129" ht="15.75" customHeight="1">
      <c r="A129" s="91"/>
      <c r="B129" s="171"/>
      <c r="C129" s="108"/>
      <c r="D129" s="97"/>
      <c r="E129" s="143"/>
      <c r="F129" s="143"/>
      <c r="G129" s="97"/>
      <c r="H129" s="143"/>
      <c r="I129" s="97"/>
      <c r="J129" s="97"/>
      <c r="K129" s="101"/>
      <c r="L129" s="101"/>
      <c r="M129" s="102"/>
      <c r="N129" s="124"/>
      <c r="O129" s="125"/>
      <c r="P129" s="97"/>
      <c r="Q129" s="131"/>
      <c r="R129" s="126"/>
      <c r="S129" s="97"/>
      <c r="T129" s="97"/>
      <c r="V129" s="108"/>
    </row>
    <row r="130" ht="15.75" customHeight="1">
      <c r="A130" s="91"/>
      <c r="B130" s="171"/>
      <c r="C130" s="108"/>
      <c r="D130" s="97"/>
      <c r="E130" s="143"/>
      <c r="F130" s="143"/>
      <c r="G130" s="97"/>
      <c r="H130" s="143"/>
      <c r="I130" s="97"/>
      <c r="J130" s="97"/>
      <c r="K130" s="114"/>
      <c r="L130" s="114"/>
      <c r="M130" s="102"/>
      <c r="N130" s="124"/>
      <c r="O130" s="125"/>
      <c r="P130" s="97"/>
      <c r="Q130" s="97"/>
      <c r="R130" s="126"/>
      <c r="S130" s="97"/>
      <c r="T130" s="97"/>
      <c r="V130" s="108"/>
    </row>
    <row r="131" ht="15.75" customHeight="1">
      <c r="A131" s="91"/>
      <c r="B131" s="171"/>
      <c r="C131" s="143"/>
      <c r="D131" s="97"/>
      <c r="E131" s="143"/>
      <c r="F131" s="143"/>
      <c r="G131" s="97"/>
      <c r="H131" s="143"/>
      <c r="I131" s="97"/>
      <c r="J131" s="97"/>
      <c r="K131" s="101"/>
      <c r="L131" s="101"/>
      <c r="M131" s="102"/>
      <c r="N131" s="124"/>
      <c r="O131" s="125"/>
      <c r="P131" s="97"/>
      <c r="Q131" s="97"/>
      <c r="R131" s="126"/>
      <c r="S131" s="97"/>
      <c r="T131" s="97"/>
      <c r="V131" s="108"/>
    </row>
    <row r="132" ht="15.75" customHeight="1">
      <c r="A132" s="91"/>
      <c r="B132" s="171"/>
      <c r="C132" s="143"/>
      <c r="D132" s="97"/>
      <c r="E132" s="143"/>
      <c r="F132" s="143"/>
      <c r="G132" s="97"/>
      <c r="H132" s="143"/>
      <c r="I132" s="97"/>
      <c r="J132" s="97"/>
      <c r="K132" s="114"/>
      <c r="L132" s="114"/>
      <c r="M132" s="102"/>
      <c r="N132" s="124"/>
      <c r="O132" s="125"/>
      <c r="P132" s="97"/>
      <c r="Q132" s="131"/>
      <c r="R132" s="126"/>
      <c r="S132" s="97"/>
      <c r="T132" s="97"/>
      <c r="V132" s="108"/>
    </row>
    <row r="133" ht="15.75" customHeight="1">
      <c r="A133" s="91"/>
      <c r="B133" s="171"/>
      <c r="C133" s="143"/>
      <c r="D133" s="97"/>
      <c r="E133" s="143"/>
      <c r="F133" s="143"/>
      <c r="G133" s="97"/>
      <c r="H133" s="143"/>
      <c r="I133" s="97"/>
      <c r="J133" s="97"/>
      <c r="K133" s="101"/>
      <c r="L133" s="101"/>
      <c r="M133" s="102"/>
      <c r="N133" s="124"/>
      <c r="O133" s="125"/>
      <c r="P133" s="97"/>
      <c r="Q133" s="97"/>
      <c r="R133" s="126"/>
      <c r="S133" s="97"/>
      <c r="T133" s="97"/>
      <c r="V133" s="108"/>
    </row>
    <row r="134" ht="15.75" customHeight="1">
      <c r="A134" s="91"/>
      <c r="B134" s="171"/>
      <c r="C134" s="143"/>
      <c r="D134" s="97"/>
      <c r="E134" s="143"/>
      <c r="F134" s="143"/>
      <c r="G134" s="97"/>
      <c r="H134" s="143"/>
      <c r="I134" s="97"/>
      <c r="J134" s="97"/>
      <c r="K134" s="114"/>
      <c r="L134" s="114"/>
      <c r="M134" s="102"/>
      <c r="N134" s="124"/>
      <c r="O134" s="125"/>
      <c r="P134" s="97"/>
      <c r="Q134" s="97"/>
      <c r="R134" s="126"/>
      <c r="S134" s="97"/>
      <c r="T134" s="97"/>
      <c r="V134" s="108"/>
    </row>
    <row r="135" ht="15.75" customHeight="1">
      <c r="A135" s="91"/>
      <c r="B135" s="171"/>
      <c r="C135" s="143"/>
      <c r="D135" s="97"/>
      <c r="E135" s="143"/>
      <c r="F135" s="143"/>
      <c r="G135" s="97"/>
      <c r="H135" s="143"/>
      <c r="I135" s="97"/>
      <c r="J135" s="97"/>
      <c r="K135" s="101"/>
      <c r="L135" s="101"/>
      <c r="M135" s="102"/>
      <c r="N135" s="124"/>
      <c r="O135" s="125"/>
      <c r="P135" s="97"/>
      <c r="Q135" s="131"/>
      <c r="R135" s="126"/>
      <c r="S135" s="97"/>
      <c r="T135" s="97"/>
      <c r="V135" s="108"/>
    </row>
    <row r="136" ht="15.75" customHeight="1">
      <c r="A136" s="91"/>
      <c r="B136" s="171"/>
      <c r="C136" s="108"/>
      <c r="D136" s="97"/>
      <c r="E136" s="143"/>
      <c r="F136" s="143"/>
      <c r="G136" s="97"/>
      <c r="H136" s="143"/>
      <c r="I136" s="97"/>
      <c r="J136" s="97"/>
      <c r="K136" s="114"/>
      <c r="L136" s="114"/>
      <c r="M136" s="102"/>
      <c r="N136" s="124"/>
      <c r="O136" s="125"/>
      <c r="P136" s="97"/>
      <c r="Q136" s="97"/>
      <c r="R136" s="126"/>
      <c r="S136" s="97"/>
      <c r="T136" s="97"/>
      <c r="V136" s="108"/>
    </row>
    <row r="137" ht="15.75" customHeight="1">
      <c r="A137" s="91"/>
      <c r="B137" s="171"/>
      <c r="C137" s="108"/>
      <c r="D137" s="97"/>
      <c r="E137" s="143"/>
      <c r="F137" s="143"/>
      <c r="G137" s="97"/>
      <c r="H137" s="143"/>
      <c r="I137" s="97"/>
      <c r="J137" s="97"/>
      <c r="K137" s="101"/>
      <c r="L137" s="101"/>
      <c r="M137" s="102"/>
      <c r="N137" s="124"/>
      <c r="O137" s="125"/>
      <c r="P137" s="97"/>
      <c r="Q137" s="131"/>
      <c r="R137" s="126"/>
      <c r="S137" s="97"/>
      <c r="T137" s="97"/>
      <c r="V137" s="108"/>
    </row>
    <row r="138" ht="15.75" customHeight="1">
      <c r="A138" s="91"/>
      <c r="B138" s="171"/>
      <c r="C138" s="108"/>
      <c r="D138" s="97"/>
      <c r="E138" s="143"/>
      <c r="F138" s="143"/>
      <c r="G138" s="97"/>
      <c r="H138" s="143"/>
      <c r="I138" s="97"/>
      <c r="J138" s="97"/>
      <c r="K138" s="114"/>
      <c r="L138" s="114"/>
      <c r="M138" s="102"/>
      <c r="N138" s="124"/>
      <c r="O138" s="125"/>
      <c r="P138" s="97"/>
      <c r="Q138" s="131"/>
      <c r="R138" s="126"/>
      <c r="S138" s="97"/>
      <c r="T138" s="97"/>
      <c r="V138" s="108"/>
    </row>
    <row r="139" ht="15.75" customHeight="1">
      <c r="A139" s="91"/>
      <c r="B139" s="171"/>
      <c r="C139" s="143"/>
      <c r="D139" s="97"/>
      <c r="E139" s="143"/>
      <c r="F139" s="143"/>
      <c r="G139" s="97"/>
      <c r="H139" s="143"/>
      <c r="I139" s="97"/>
      <c r="J139" s="97"/>
      <c r="K139" s="101"/>
      <c r="L139" s="101"/>
      <c r="M139" s="102"/>
      <c r="N139" s="124"/>
      <c r="O139" s="125"/>
      <c r="P139" s="97"/>
      <c r="Q139" s="131"/>
      <c r="R139" s="126"/>
      <c r="S139" s="97"/>
      <c r="T139" s="97"/>
      <c r="V139" s="108"/>
    </row>
    <row r="140" ht="15.75" customHeight="1">
      <c r="A140" s="91"/>
      <c r="B140" s="171"/>
      <c r="C140" s="143"/>
      <c r="D140" s="97"/>
      <c r="E140" s="143"/>
      <c r="F140" s="143"/>
      <c r="G140" s="97"/>
      <c r="H140" s="143"/>
      <c r="I140" s="97"/>
      <c r="J140" s="97"/>
      <c r="K140" s="114"/>
      <c r="L140" s="114"/>
      <c r="M140" s="102"/>
      <c r="N140" s="124"/>
      <c r="O140" s="125"/>
      <c r="P140" s="97"/>
      <c r="Q140" s="97"/>
      <c r="R140" s="126"/>
      <c r="S140" s="97"/>
      <c r="T140" s="97"/>
      <c r="V140" s="108"/>
    </row>
    <row r="141" ht="15.75" customHeight="1">
      <c r="A141" s="91"/>
      <c r="B141" s="171"/>
      <c r="C141" s="143"/>
      <c r="D141" s="97"/>
      <c r="E141" s="143"/>
      <c r="F141" s="143"/>
      <c r="G141" s="97"/>
      <c r="H141" s="143"/>
      <c r="I141" s="97"/>
      <c r="J141" s="97"/>
      <c r="K141" s="101"/>
      <c r="L141" s="101"/>
      <c r="M141" s="102"/>
      <c r="N141" s="124"/>
      <c r="O141" s="125"/>
      <c r="P141" s="97"/>
      <c r="Q141" s="131"/>
      <c r="R141" s="126"/>
      <c r="S141" s="97"/>
      <c r="T141" s="97"/>
      <c r="V141" s="108"/>
    </row>
    <row r="142" ht="15.75" customHeight="1">
      <c r="A142" s="91"/>
      <c r="B142" s="171"/>
      <c r="C142" s="143"/>
      <c r="D142" s="97"/>
      <c r="E142" s="143"/>
      <c r="F142" s="143"/>
      <c r="G142" s="97"/>
      <c r="H142" s="143"/>
      <c r="I142" s="97"/>
      <c r="J142" s="97"/>
      <c r="K142" s="114"/>
      <c r="L142" s="114"/>
      <c r="M142" s="102"/>
      <c r="N142" s="124"/>
      <c r="O142" s="125"/>
      <c r="P142" s="97"/>
      <c r="Q142" s="97"/>
      <c r="R142" s="126"/>
      <c r="S142" s="97"/>
      <c r="T142" s="97"/>
      <c r="V142" s="108"/>
    </row>
    <row r="143" ht="15.75" customHeight="1">
      <c r="A143" s="91"/>
      <c r="B143" s="171"/>
      <c r="C143" s="143"/>
      <c r="D143" s="97"/>
      <c r="E143" s="143"/>
      <c r="F143" s="172"/>
      <c r="G143" s="97"/>
      <c r="H143" s="143"/>
      <c r="I143" s="97"/>
      <c r="J143" s="97"/>
      <c r="K143" s="101"/>
      <c r="L143" s="101"/>
      <c r="M143" s="102"/>
      <c r="N143" s="124"/>
      <c r="O143" s="125"/>
      <c r="P143" s="97"/>
      <c r="Q143" s="131"/>
      <c r="R143" s="126"/>
      <c r="S143" s="97"/>
      <c r="T143" s="97"/>
      <c r="V143" s="108"/>
    </row>
    <row r="144" ht="15.75" customHeight="1">
      <c r="A144" s="91"/>
      <c r="B144" s="171"/>
      <c r="C144" s="108"/>
      <c r="D144" s="97"/>
      <c r="E144" s="143"/>
      <c r="F144" s="143"/>
      <c r="G144" s="97"/>
      <c r="H144" s="143"/>
      <c r="I144" s="97"/>
      <c r="J144" s="97"/>
      <c r="K144" s="114"/>
      <c r="L144" s="114"/>
      <c r="M144" s="102"/>
      <c r="N144" s="124"/>
      <c r="O144" s="125"/>
      <c r="P144" s="97"/>
      <c r="Q144" s="97"/>
      <c r="R144" s="126"/>
      <c r="S144" s="97"/>
      <c r="T144" s="97"/>
      <c r="V144" s="108"/>
    </row>
    <row r="145" ht="15.75" customHeight="1">
      <c r="A145" s="91"/>
      <c r="B145" s="171"/>
      <c r="C145" s="108"/>
      <c r="D145" s="97"/>
      <c r="E145" s="143"/>
      <c r="F145" s="143"/>
      <c r="G145" s="97"/>
      <c r="H145" s="143"/>
      <c r="I145" s="97"/>
      <c r="J145" s="97"/>
      <c r="K145" s="101"/>
      <c r="L145" s="101"/>
      <c r="M145" s="102"/>
      <c r="N145" s="124"/>
      <c r="O145" s="125"/>
      <c r="P145" s="97"/>
      <c r="Q145" s="131"/>
      <c r="R145" s="126"/>
      <c r="S145" s="97"/>
      <c r="T145" s="97"/>
      <c r="V145" s="108"/>
    </row>
    <row r="146" ht="15.75" customHeight="1">
      <c r="A146" s="91"/>
      <c r="B146" s="171"/>
      <c r="C146" s="143"/>
      <c r="D146" s="97"/>
      <c r="E146" s="143"/>
      <c r="F146" s="143"/>
      <c r="G146" s="97"/>
      <c r="H146" s="143"/>
      <c r="I146" s="97"/>
      <c r="J146" s="97"/>
      <c r="K146" s="114"/>
      <c r="L146" s="114"/>
      <c r="M146" s="102"/>
      <c r="N146" s="124"/>
      <c r="O146" s="125"/>
      <c r="P146" s="97"/>
      <c r="Q146" s="131"/>
      <c r="R146" s="126"/>
      <c r="S146" s="97"/>
      <c r="T146" s="97"/>
      <c r="V146" s="108"/>
    </row>
    <row r="147" ht="15.75" customHeight="1">
      <c r="A147" s="91"/>
      <c r="B147" s="171"/>
      <c r="C147" s="143"/>
      <c r="D147" s="97"/>
      <c r="E147" s="143"/>
      <c r="F147" s="143"/>
      <c r="G147" s="97"/>
      <c r="H147" s="143"/>
      <c r="I147" s="97"/>
      <c r="J147" s="97"/>
      <c r="K147" s="101"/>
      <c r="L147" s="101"/>
      <c r="M147" s="102"/>
      <c r="N147" s="124"/>
      <c r="O147" s="125"/>
      <c r="P147" s="97"/>
      <c r="Q147" s="131"/>
      <c r="R147" s="126"/>
      <c r="S147" s="97"/>
      <c r="T147" s="97"/>
      <c r="V147" s="108"/>
    </row>
    <row r="148" ht="15.75" customHeight="1">
      <c r="A148" s="91"/>
      <c r="B148" s="171"/>
      <c r="C148" s="143"/>
      <c r="D148" s="97"/>
      <c r="E148" s="143"/>
      <c r="F148" s="143"/>
      <c r="G148" s="97"/>
      <c r="H148" s="143"/>
      <c r="I148" s="97"/>
      <c r="J148" s="97"/>
      <c r="K148" s="114"/>
      <c r="L148" s="114"/>
      <c r="M148" s="102"/>
      <c r="N148" s="124"/>
      <c r="O148" s="125"/>
      <c r="P148" s="97"/>
      <c r="Q148" s="131"/>
      <c r="R148" s="126"/>
      <c r="S148" s="97"/>
      <c r="T148" s="97"/>
      <c r="V148" s="108"/>
    </row>
    <row r="149" ht="15.75" customHeight="1">
      <c r="A149" s="91"/>
      <c r="B149" s="171"/>
      <c r="C149" s="143"/>
      <c r="D149" s="97"/>
      <c r="E149" s="143"/>
      <c r="F149" s="143"/>
      <c r="G149" s="97"/>
      <c r="H149" s="143"/>
      <c r="I149" s="97"/>
      <c r="J149" s="97"/>
      <c r="K149" s="101"/>
      <c r="L149" s="101"/>
      <c r="M149" s="102"/>
      <c r="N149" s="124"/>
      <c r="O149" s="125"/>
      <c r="P149" s="97"/>
      <c r="Q149" s="131"/>
      <c r="R149" s="126"/>
      <c r="S149" s="97"/>
      <c r="T149" s="97"/>
      <c r="V149" s="108"/>
    </row>
    <row r="150" ht="15.75" customHeight="1">
      <c r="A150" s="91"/>
      <c r="B150" s="171"/>
      <c r="C150" s="143"/>
      <c r="D150" s="97"/>
      <c r="E150" s="143"/>
      <c r="F150" s="143"/>
      <c r="G150" s="97"/>
      <c r="H150" s="143"/>
      <c r="I150" s="97"/>
      <c r="J150" s="97"/>
      <c r="K150" s="114"/>
      <c r="L150" s="114"/>
      <c r="M150" s="102"/>
      <c r="N150" s="124"/>
      <c r="O150" s="125"/>
      <c r="P150" s="97"/>
      <c r="Q150" s="131"/>
      <c r="R150" s="126"/>
      <c r="S150" s="97"/>
      <c r="T150" s="97"/>
      <c r="V150" s="108"/>
    </row>
    <row r="151" ht="15.75" customHeight="1">
      <c r="A151" s="91"/>
      <c r="B151" s="171"/>
      <c r="C151" s="108"/>
      <c r="D151" s="97"/>
      <c r="E151" s="143"/>
      <c r="F151" s="143"/>
      <c r="G151" s="97"/>
      <c r="H151" s="143"/>
      <c r="I151" s="97"/>
      <c r="J151" s="97"/>
      <c r="K151" s="101"/>
      <c r="L151" s="101"/>
      <c r="M151" s="102"/>
      <c r="N151" s="124"/>
      <c r="O151" s="125"/>
      <c r="P151" s="97"/>
      <c r="Q151" s="131"/>
      <c r="R151" s="126"/>
      <c r="S151" s="97"/>
      <c r="T151" s="97"/>
      <c r="V151" s="108"/>
    </row>
    <row r="152" ht="15.75" customHeight="1">
      <c r="A152" s="91"/>
      <c r="B152" s="171"/>
      <c r="C152" s="143"/>
      <c r="D152" s="97"/>
      <c r="E152" s="143"/>
      <c r="F152" s="143"/>
      <c r="G152" s="97"/>
      <c r="H152" s="143"/>
      <c r="I152" s="97"/>
      <c r="J152" s="97"/>
      <c r="K152" s="114"/>
      <c r="L152" s="114"/>
      <c r="M152" s="102"/>
      <c r="N152" s="124"/>
      <c r="O152" s="125"/>
      <c r="P152" s="97"/>
      <c r="Q152" s="131"/>
      <c r="R152" s="126"/>
      <c r="S152" s="97"/>
      <c r="T152" s="97"/>
      <c r="V152" s="108"/>
    </row>
    <row r="153" ht="15.75" customHeight="1">
      <c r="A153" s="91"/>
      <c r="B153" s="171"/>
      <c r="C153" s="143"/>
      <c r="D153" s="97"/>
      <c r="E153" s="143"/>
      <c r="F153" s="143"/>
      <c r="G153" s="97"/>
      <c r="H153" s="143"/>
      <c r="I153" s="97"/>
      <c r="J153" s="97"/>
      <c r="K153" s="101"/>
      <c r="L153" s="101"/>
      <c r="M153" s="102"/>
      <c r="N153" s="124"/>
      <c r="O153" s="125"/>
      <c r="P153" s="97"/>
      <c r="Q153" s="131"/>
      <c r="R153" s="126"/>
      <c r="S153" s="97"/>
      <c r="T153" s="97"/>
      <c r="V153" s="108"/>
    </row>
    <row r="154" ht="15.75" customHeight="1">
      <c r="A154" s="91"/>
      <c r="B154" s="171"/>
      <c r="C154" s="143"/>
      <c r="D154" s="97"/>
      <c r="E154" s="143"/>
      <c r="F154" s="143"/>
      <c r="G154" s="97"/>
      <c r="H154" s="143"/>
      <c r="I154" s="97"/>
      <c r="J154" s="97"/>
      <c r="K154" s="114"/>
      <c r="L154" s="114"/>
      <c r="M154" s="102"/>
      <c r="N154" s="124"/>
      <c r="O154" s="125"/>
      <c r="P154" s="97"/>
      <c r="Q154" s="131"/>
      <c r="R154" s="126"/>
      <c r="S154" s="97"/>
      <c r="T154" s="97"/>
      <c r="V154" s="108"/>
    </row>
    <row r="155" ht="15.75" customHeight="1">
      <c r="A155" s="91"/>
      <c r="B155" s="171"/>
      <c r="C155" s="143"/>
      <c r="D155" s="97"/>
      <c r="E155" s="143"/>
      <c r="F155" s="143"/>
      <c r="G155" s="97"/>
      <c r="H155" s="143"/>
      <c r="I155" s="97"/>
      <c r="J155" s="97"/>
      <c r="K155" s="101"/>
      <c r="L155" s="101"/>
      <c r="M155" s="102"/>
      <c r="N155" s="124"/>
      <c r="O155" s="125"/>
      <c r="P155" s="97"/>
      <c r="Q155" s="131"/>
      <c r="R155" s="126"/>
      <c r="S155" s="97"/>
      <c r="T155" s="97"/>
      <c r="V155" s="108"/>
    </row>
    <row r="156" ht="15.75" customHeight="1">
      <c r="A156" s="91"/>
      <c r="B156" s="171"/>
      <c r="C156" s="143"/>
      <c r="D156" s="97"/>
      <c r="E156" s="143"/>
      <c r="F156" s="143"/>
      <c r="G156" s="97"/>
      <c r="H156" s="143"/>
      <c r="I156" s="97"/>
      <c r="J156" s="97"/>
      <c r="K156" s="114"/>
      <c r="L156" s="114"/>
      <c r="M156" s="102"/>
      <c r="N156" s="124"/>
      <c r="O156" s="125"/>
      <c r="P156" s="97"/>
      <c r="Q156" s="131"/>
      <c r="R156" s="126"/>
      <c r="S156" s="97"/>
      <c r="T156" s="97"/>
      <c r="V156" s="108"/>
    </row>
    <row r="157" ht="15.75" customHeight="1">
      <c r="A157" s="91"/>
      <c r="B157" s="171"/>
      <c r="C157" s="108"/>
      <c r="D157" s="97"/>
      <c r="E157" s="143"/>
      <c r="F157" s="143"/>
      <c r="G157" s="97"/>
      <c r="H157" s="143"/>
      <c r="I157" s="97"/>
      <c r="J157" s="97"/>
      <c r="K157" s="101"/>
      <c r="L157" s="101"/>
      <c r="M157" s="102"/>
      <c r="N157" s="124"/>
      <c r="O157" s="125"/>
      <c r="P157" s="97"/>
      <c r="Q157" s="131"/>
      <c r="R157" s="126"/>
      <c r="S157" s="97"/>
      <c r="T157" s="97"/>
      <c r="V157" s="108"/>
    </row>
    <row r="158" ht="15.75" customHeight="1">
      <c r="A158" s="91"/>
      <c r="B158" s="171"/>
      <c r="C158" s="143"/>
      <c r="D158" s="97"/>
      <c r="E158" s="143"/>
      <c r="F158" s="143"/>
      <c r="G158" s="97"/>
      <c r="H158" s="143"/>
      <c r="I158" s="97"/>
      <c r="J158" s="97"/>
      <c r="K158" s="114"/>
      <c r="L158" s="114"/>
      <c r="M158" s="102"/>
      <c r="N158" s="124"/>
      <c r="O158" s="125"/>
      <c r="P158" s="97"/>
      <c r="Q158" s="131"/>
      <c r="R158" s="126"/>
      <c r="S158" s="97"/>
      <c r="T158" s="97"/>
      <c r="V158" s="108"/>
    </row>
    <row r="159" ht="15.75" customHeight="1">
      <c r="A159" s="91"/>
      <c r="B159" s="171"/>
      <c r="C159" s="143"/>
      <c r="D159" s="97"/>
      <c r="E159" s="143"/>
      <c r="F159" s="143"/>
      <c r="G159" s="97"/>
      <c r="H159" s="143"/>
      <c r="I159" s="97"/>
      <c r="J159" s="97"/>
      <c r="K159" s="101"/>
      <c r="L159" s="101"/>
      <c r="M159" s="102"/>
      <c r="N159" s="124"/>
      <c r="O159" s="125"/>
      <c r="P159" s="97"/>
      <c r="Q159" s="131"/>
      <c r="R159" s="126"/>
      <c r="S159" s="97"/>
      <c r="T159" s="97"/>
      <c r="V159" s="108"/>
    </row>
    <row r="160" ht="15.75" customHeight="1">
      <c r="A160" s="91"/>
      <c r="B160" s="171"/>
      <c r="C160" s="143"/>
      <c r="D160" s="97"/>
      <c r="E160" s="143"/>
      <c r="F160" s="143"/>
      <c r="G160" s="97"/>
      <c r="H160" s="143"/>
      <c r="I160" s="97"/>
      <c r="J160" s="97"/>
      <c r="K160" s="114"/>
      <c r="L160" s="114"/>
      <c r="M160" s="102"/>
      <c r="N160" s="124"/>
      <c r="O160" s="125"/>
      <c r="P160" s="97"/>
      <c r="Q160" s="131"/>
      <c r="R160" s="126"/>
      <c r="S160" s="97"/>
      <c r="T160" s="97"/>
      <c r="V160" s="108"/>
    </row>
    <row r="161" ht="15.75" customHeight="1">
      <c r="A161" s="91"/>
      <c r="B161" s="171"/>
      <c r="C161" s="143"/>
      <c r="D161" s="97"/>
      <c r="E161" s="143"/>
      <c r="F161" s="143"/>
      <c r="G161" s="97"/>
      <c r="H161" s="143"/>
      <c r="I161" s="97"/>
      <c r="J161" s="97"/>
      <c r="K161" s="101"/>
      <c r="L161" s="101"/>
      <c r="M161" s="102"/>
      <c r="N161" s="124"/>
      <c r="O161" s="125"/>
      <c r="P161" s="97"/>
      <c r="Q161" s="131"/>
      <c r="R161" s="126"/>
      <c r="S161" s="97"/>
      <c r="T161" s="97"/>
      <c r="V161" s="108"/>
    </row>
    <row r="162" ht="15.75" customHeight="1">
      <c r="A162" s="91"/>
      <c r="B162" s="171"/>
      <c r="C162" s="143"/>
      <c r="D162" s="97"/>
      <c r="E162" s="143"/>
      <c r="F162" s="143"/>
      <c r="G162" s="97"/>
      <c r="H162" s="143"/>
      <c r="I162" s="97"/>
      <c r="J162" s="97"/>
      <c r="K162" s="114"/>
      <c r="L162" s="114"/>
      <c r="M162" s="102"/>
      <c r="N162" s="124"/>
      <c r="O162" s="125"/>
      <c r="P162" s="97"/>
      <c r="Q162" s="131"/>
      <c r="R162" s="126"/>
      <c r="S162" s="97"/>
      <c r="T162" s="97"/>
      <c r="V162" s="108"/>
    </row>
    <row r="163" ht="15.75" customHeight="1">
      <c r="A163" s="91"/>
      <c r="B163" s="171"/>
      <c r="C163" s="108"/>
      <c r="D163" s="97"/>
      <c r="E163" s="143"/>
      <c r="F163" s="143"/>
      <c r="G163" s="97"/>
      <c r="H163" s="143"/>
      <c r="I163" s="97"/>
      <c r="J163" s="97"/>
      <c r="K163" s="101"/>
      <c r="L163" s="101"/>
      <c r="M163" s="102"/>
      <c r="N163" s="124"/>
      <c r="O163" s="125"/>
      <c r="P163" s="97"/>
      <c r="Q163" s="131"/>
      <c r="R163" s="126"/>
      <c r="S163" s="97"/>
      <c r="T163" s="97"/>
      <c r="V163" s="108"/>
    </row>
    <row r="164" ht="15.75" customHeight="1">
      <c r="A164" s="91"/>
      <c r="B164" s="171"/>
      <c r="C164" s="143"/>
      <c r="D164" s="97"/>
      <c r="E164" s="143"/>
      <c r="F164" s="143"/>
      <c r="G164" s="97"/>
      <c r="H164" s="143"/>
      <c r="I164" s="97"/>
      <c r="J164" s="97"/>
      <c r="K164" s="114"/>
      <c r="L164" s="114"/>
      <c r="M164" s="102"/>
      <c r="N164" s="124"/>
      <c r="O164" s="125"/>
      <c r="P164" s="97"/>
      <c r="Q164" s="131"/>
      <c r="R164" s="126"/>
      <c r="S164" s="97"/>
      <c r="T164" s="97"/>
      <c r="V164" s="108"/>
    </row>
    <row r="165" ht="15.75" customHeight="1">
      <c r="A165" s="91"/>
      <c r="B165" s="171"/>
      <c r="C165" s="143"/>
      <c r="D165" s="97"/>
      <c r="E165" s="143"/>
      <c r="F165" s="143"/>
      <c r="G165" s="97"/>
      <c r="H165" s="143"/>
      <c r="I165" s="97"/>
      <c r="J165" s="97"/>
      <c r="K165" s="101"/>
      <c r="L165" s="101"/>
      <c r="M165" s="102"/>
      <c r="N165" s="124"/>
      <c r="O165" s="125"/>
      <c r="P165" s="97"/>
      <c r="Q165" s="131"/>
      <c r="R165" s="126"/>
      <c r="S165" s="97"/>
      <c r="T165" s="97"/>
      <c r="V165" s="108"/>
    </row>
    <row r="166" ht="15.75" customHeight="1">
      <c r="A166" s="91"/>
      <c r="B166" s="171"/>
      <c r="C166" s="143"/>
      <c r="D166" s="97"/>
      <c r="E166" s="143"/>
      <c r="F166" s="143"/>
      <c r="G166" s="97"/>
      <c r="H166" s="143"/>
      <c r="I166" s="97"/>
      <c r="J166" s="97"/>
      <c r="K166" s="114"/>
      <c r="L166" s="114"/>
      <c r="M166" s="102"/>
      <c r="N166" s="124"/>
      <c r="O166" s="125"/>
      <c r="P166" s="97"/>
      <c r="Q166" s="131"/>
      <c r="R166" s="126"/>
      <c r="S166" s="97"/>
      <c r="T166" s="97"/>
      <c r="V166" s="108"/>
    </row>
    <row r="167" ht="15.75" customHeight="1">
      <c r="A167" s="91"/>
      <c r="B167" s="171"/>
      <c r="C167" s="143"/>
      <c r="D167" s="97"/>
      <c r="E167" s="143"/>
      <c r="F167" s="143"/>
      <c r="G167" s="97"/>
      <c r="H167" s="143"/>
      <c r="I167" s="97"/>
      <c r="J167" s="97"/>
      <c r="K167" s="101"/>
      <c r="L167" s="101"/>
      <c r="M167" s="102"/>
      <c r="N167" s="124"/>
      <c r="O167" s="125"/>
      <c r="P167" s="97"/>
      <c r="Q167" s="131"/>
      <c r="R167" s="126"/>
      <c r="S167" s="97"/>
      <c r="T167" s="97"/>
      <c r="V167" s="108"/>
    </row>
    <row r="168" ht="15.75" customHeight="1">
      <c r="A168" s="91"/>
      <c r="B168" s="171"/>
      <c r="C168" s="143"/>
      <c r="D168" s="97"/>
      <c r="E168" s="143"/>
      <c r="F168" s="143"/>
      <c r="G168" s="97"/>
      <c r="H168" s="143"/>
      <c r="I168" s="97"/>
      <c r="J168" s="97"/>
      <c r="K168" s="114"/>
      <c r="L168" s="114"/>
      <c r="M168" s="102"/>
      <c r="N168" s="124"/>
      <c r="O168" s="125"/>
      <c r="P168" s="97"/>
      <c r="Q168" s="131"/>
      <c r="R168" s="126"/>
      <c r="S168" s="97"/>
      <c r="T168" s="97"/>
      <c r="V168" s="108"/>
    </row>
    <row r="169" ht="15.75" customHeight="1">
      <c r="A169" s="91"/>
      <c r="B169" s="171"/>
      <c r="C169" s="108"/>
      <c r="D169" s="97"/>
      <c r="E169" s="143"/>
      <c r="F169" s="143"/>
      <c r="G169" s="97"/>
      <c r="H169" s="143"/>
      <c r="I169" s="97"/>
      <c r="J169" s="97"/>
      <c r="K169" s="101"/>
      <c r="L169" s="101"/>
      <c r="M169" s="102"/>
      <c r="N169" s="124"/>
      <c r="O169" s="125"/>
      <c r="P169" s="97"/>
      <c r="Q169" s="131"/>
      <c r="R169" s="126"/>
      <c r="S169" s="97"/>
      <c r="T169" s="97"/>
      <c r="V169" s="108"/>
    </row>
    <row r="170" ht="15.75" customHeight="1">
      <c r="A170" s="91"/>
      <c r="B170" s="171"/>
      <c r="C170" s="143"/>
      <c r="D170" s="97"/>
      <c r="E170" s="143"/>
      <c r="F170" s="143"/>
      <c r="G170" s="97"/>
      <c r="H170" s="143"/>
      <c r="I170" s="97"/>
      <c r="J170" s="97"/>
      <c r="K170" s="114"/>
      <c r="L170" s="114"/>
      <c r="M170" s="102"/>
      <c r="N170" s="124"/>
      <c r="O170" s="125"/>
      <c r="P170" s="97"/>
      <c r="Q170" s="131"/>
      <c r="R170" s="126"/>
      <c r="S170" s="97"/>
      <c r="T170" s="97"/>
      <c r="V170" s="108"/>
    </row>
    <row r="171" ht="15.75" customHeight="1">
      <c r="A171" s="91"/>
      <c r="B171" s="171"/>
      <c r="C171" s="143"/>
      <c r="D171" s="97"/>
      <c r="E171" s="143"/>
      <c r="F171" s="143"/>
      <c r="G171" s="97"/>
      <c r="H171" s="143"/>
      <c r="I171" s="97"/>
      <c r="J171" s="97"/>
      <c r="K171" s="101"/>
      <c r="L171" s="101"/>
      <c r="M171" s="102"/>
      <c r="N171" s="124"/>
      <c r="O171" s="125"/>
      <c r="P171" s="97"/>
      <c r="Q171" s="131"/>
      <c r="R171" s="126"/>
      <c r="S171" s="97"/>
      <c r="T171" s="97"/>
      <c r="V171" s="108"/>
    </row>
    <row r="172" ht="15.75" customHeight="1">
      <c r="A172" s="91"/>
      <c r="B172" s="171"/>
      <c r="C172" s="143"/>
      <c r="D172" s="97"/>
      <c r="E172" s="143"/>
      <c r="F172" s="143"/>
      <c r="G172" s="97"/>
      <c r="H172" s="143"/>
      <c r="I172" s="97"/>
      <c r="J172" s="97"/>
      <c r="K172" s="114"/>
      <c r="L172" s="114"/>
      <c r="M172" s="102"/>
      <c r="N172" s="124"/>
      <c r="O172" s="125"/>
      <c r="P172" s="97"/>
      <c r="Q172" s="131"/>
      <c r="R172" s="126"/>
      <c r="S172" s="97"/>
      <c r="T172" s="97"/>
      <c r="V172" s="108"/>
    </row>
    <row r="173" ht="15.75" customHeight="1">
      <c r="A173" s="91"/>
      <c r="B173" s="171"/>
      <c r="C173" s="143"/>
      <c r="D173" s="97"/>
      <c r="E173" s="143"/>
      <c r="F173" s="143"/>
      <c r="G173" s="97"/>
      <c r="H173" s="143"/>
      <c r="I173" s="97"/>
      <c r="J173" s="97"/>
      <c r="K173" s="101"/>
      <c r="L173" s="101"/>
      <c r="M173" s="102"/>
      <c r="N173" s="124"/>
      <c r="O173" s="125"/>
      <c r="P173" s="97"/>
      <c r="Q173" s="131"/>
      <c r="R173" s="126"/>
      <c r="S173" s="97"/>
      <c r="T173" s="97"/>
      <c r="V173" s="108"/>
    </row>
    <row r="174" ht="15.75" customHeight="1">
      <c r="A174" s="91"/>
      <c r="B174" s="171"/>
      <c r="C174" s="143"/>
      <c r="D174" s="97"/>
      <c r="E174" s="143"/>
      <c r="F174" s="143"/>
      <c r="G174" s="97"/>
      <c r="H174" s="143"/>
      <c r="I174" s="97"/>
      <c r="J174" s="97"/>
      <c r="K174" s="114"/>
      <c r="L174" s="114"/>
      <c r="M174" s="102"/>
      <c r="N174" s="124"/>
      <c r="O174" s="125"/>
      <c r="P174" s="97"/>
      <c r="Q174" s="131"/>
      <c r="R174" s="126"/>
      <c r="S174" s="97"/>
      <c r="T174" s="97"/>
      <c r="V174" s="108"/>
    </row>
    <row r="175" ht="15.75" customHeight="1">
      <c r="A175" s="91"/>
      <c r="B175" s="171"/>
      <c r="C175" s="108"/>
      <c r="D175" s="97"/>
      <c r="E175" s="143"/>
      <c r="F175" s="143"/>
      <c r="G175" s="97"/>
      <c r="H175" s="143"/>
      <c r="I175" s="97"/>
      <c r="J175" s="97"/>
      <c r="K175" s="101"/>
      <c r="L175" s="101"/>
      <c r="M175" s="102"/>
      <c r="N175" s="124"/>
      <c r="O175" s="125"/>
      <c r="P175" s="97"/>
      <c r="Q175" s="131"/>
      <c r="R175" s="126"/>
      <c r="S175" s="97"/>
      <c r="T175" s="97"/>
      <c r="V175" s="108"/>
    </row>
    <row r="176" ht="15.75" customHeight="1">
      <c r="A176" s="91"/>
      <c r="B176" s="171"/>
      <c r="C176" s="143"/>
      <c r="D176" s="97"/>
      <c r="E176" s="143"/>
      <c r="F176" s="143"/>
      <c r="G176" s="97"/>
      <c r="H176" s="143"/>
      <c r="I176" s="97"/>
      <c r="J176" s="97"/>
      <c r="K176" s="114"/>
      <c r="L176" s="114"/>
      <c r="M176" s="102"/>
      <c r="N176" s="124"/>
      <c r="O176" s="125"/>
      <c r="P176" s="97"/>
      <c r="Q176" s="131"/>
      <c r="R176" s="126"/>
      <c r="S176" s="97"/>
      <c r="T176" s="97"/>
      <c r="V176" s="108"/>
    </row>
    <row r="177" ht="15.75" customHeight="1">
      <c r="A177" s="91"/>
      <c r="B177" s="171"/>
      <c r="C177" s="143"/>
      <c r="D177" s="97"/>
      <c r="E177" s="143"/>
      <c r="F177" s="143"/>
      <c r="G177" s="97"/>
      <c r="H177" s="143"/>
      <c r="I177" s="97"/>
      <c r="J177" s="97"/>
      <c r="K177" s="101"/>
      <c r="L177" s="101"/>
      <c r="M177" s="102"/>
      <c r="N177" s="124"/>
      <c r="O177" s="125"/>
      <c r="P177" s="97"/>
      <c r="Q177" s="131"/>
      <c r="R177" s="126"/>
      <c r="S177" s="97"/>
      <c r="T177" s="97"/>
      <c r="V177" s="108"/>
    </row>
    <row r="178" ht="15.75" customHeight="1">
      <c r="A178" s="91"/>
      <c r="B178" s="171"/>
      <c r="C178" s="143"/>
      <c r="D178" s="97"/>
      <c r="E178" s="143"/>
      <c r="F178" s="143"/>
      <c r="G178" s="97"/>
      <c r="H178" s="143"/>
      <c r="I178" s="97"/>
      <c r="J178" s="97"/>
      <c r="K178" s="114"/>
      <c r="L178" s="114"/>
      <c r="M178" s="102"/>
      <c r="N178" s="124"/>
      <c r="O178" s="125"/>
      <c r="P178" s="97"/>
      <c r="Q178" s="131"/>
      <c r="R178" s="126"/>
      <c r="S178" s="97"/>
      <c r="T178" s="97"/>
      <c r="V178" s="108"/>
    </row>
    <row r="179" ht="15.75" customHeight="1">
      <c r="A179" s="91"/>
      <c r="B179" s="171"/>
      <c r="C179" s="143"/>
      <c r="D179" s="97"/>
      <c r="E179" s="143"/>
      <c r="F179" s="143"/>
      <c r="G179" s="97"/>
      <c r="H179" s="143"/>
      <c r="I179" s="97"/>
      <c r="J179" s="97"/>
      <c r="K179" s="101"/>
      <c r="L179" s="101"/>
      <c r="M179" s="102"/>
      <c r="N179" s="124"/>
      <c r="O179" s="125"/>
      <c r="P179" s="97"/>
      <c r="Q179" s="131"/>
      <c r="R179" s="126"/>
      <c r="S179" s="97"/>
      <c r="T179" s="97"/>
      <c r="V179" s="108"/>
    </row>
    <row r="180" ht="15.75" customHeight="1">
      <c r="A180" s="91"/>
      <c r="B180" s="171"/>
      <c r="C180" s="143"/>
      <c r="D180" s="97"/>
      <c r="E180" s="143"/>
      <c r="F180" s="143"/>
      <c r="G180" s="97"/>
      <c r="H180" s="143"/>
      <c r="I180" s="97"/>
      <c r="J180" s="97"/>
      <c r="K180" s="114"/>
      <c r="L180" s="114"/>
      <c r="M180" s="102"/>
      <c r="N180" s="124"/>
      <c r="O180" s="125"/>
      <c r="P180" s="97"/>
      <c r="Q180" s="131"/>
      <c r="R180" s="126"/>
      <c r="S180" s="97"/>
      <c r="T180" s="97"/>
      <c r="V180" s="108"/>
    </row>
    <row r="181" ht="15.75" customHeight="1">
      <c r="A181" s="91"/>
      <c r="B181" s="171"/>
      <c r="C181" s="108"/>
      <c r="D181" s="97"/>
      <c r="E181" s="143"/>
      <c r="F181" s="143"/>
      <c r="G181" s="97"/>
      <c r="H181" s="143"/>
      <c r="I181" s="97"/>
      <c r="J181" s="97"/>
      <c r="K181" s="101"/>
      <c r="L181" s="101"/>
      <c r="M181" s="102"/>
      <c r="N181" s="124"/>
      <c r="O181" s="125"/>
      <c r="P181" s="97"/>
      <c r="Q181" s="131"/>
      <c r="R181" s="126"/>
      <c r="S181" s="97"/>
      <c r="T181" s="97"/>
      <c r="V181" s="108"/>
    </row>
    <row r="182" ht="15.75" customHeight="1">
      <c r="A182" s="91"/>
      <c r="B182" s="171"/>
      <c r="C182" s="143"/>
      <c r="D182" s="97"/>
      <c r="E182" s="143"/>
      <c r="F182" s="143"/>
      <c r="G182" s="97"/>
      <c r="H182" s="143"/>
      <c r="I182" s="97"/>
      <c r="J182" s="97"/>
      <c r="K182" s="114"/>
      <c r="L182" s="114"/>
      <c r="M182" s="102"/>
      <c r="N182" s="124"/>
      <c r="O182" s="125"/>
      <c r="P182" s="97"/>
      <c r="Q182" s="131"/>
      <c r="R182" s="126"/>
      <c r="S182" s="97"/>
      <c r="T182" s="97"/>
      <c r="V182" s="108"/>
    </row>
    <row r="183" ht="15.75" customHeight="1">
      <c r="A183" s="91"/>
      <c r="B183" s="171"/>
      <c r="C183" s="143"/>
      <c r="D183" s="97"/>
      <c r="E183" s="143"/>
      <c r="F183" s="143"/>
      <c r="G183" s="97"/>
      <c r="H183" s="143"/>
      <c r="I183" s="97"/>
      <c r="J183" s="97"/>
      <c r="K183" s="101"/>
      <c r="L183" s="101"/>
      <c r="M183" s="102"/>
      <c r="N183" s="124"/>
      <c r="O183" s="125"/>
      <c r="P183" s="97"/>
      <c r="Q183" s="131"/>
      <c r="R183" s="126"/>
      <c r="S183" s="97"/>
      <c r="T183" s="97"/>
      <c r="V183" s="108"/>
    </row>
    <row r="184" ht="15.75" customHeight="1">
      <c r="A184" s="91"/>
      <c r="B184" s="171"/>
      <c r="C184" s="143"/>
      <c r="D184" s="97"/>
      <c r="E184" s="143"/>
      <c r="F184" s="143"/>
      <c r="G184" s="97"/>
      <c r="H184" s="143"/>
      <c r="I184" s="97"/>
      <c r="J184" s="97"/>
      <c r="K184" s="114"/>
      <c r="L184" s="114"/>
      <c r="M184" s="102"/>
      <c r="N184" s="124"/>
      <c r="O184" s="125"/>
      <c r="P184" s="97"/>
      <c r="Q184" s="131"/>
      <c r="R184" s="126"/>
      <c r="S184" s="97"/>
      <c r="T184" s="97"/>
      <c r="V184" s="108"/>
    </row>
    <row r="185" ht="15.75" customHeight="1">
      <c r="A185" s="91"/>
      <c r="B185" s="171"/>
      <c r="C185" s="143"/>
      <c r="D185" s="97"/>
      <c r="E185" s="143"/>
      <c r="F185" s="143"/>
      <c r="G185" s="97"/>
      <c r="H185" s="143"/>
      <c r="I185" s="97"/>
      <c r="J185" s="97"/>
      <c r="K185" s="101"/>
      <c r="L185" s="101"/>
      <c r="M185" s="102"/>
      <c r="N185" s="124"/>
      <c r="O185" s="125"/>
      <c r="P185" s="97"/>
      <c r="Q185" s="131"/>
      <c r="R185" s="126"/>
      <c r="S185" s="97"/>
      <c r="T185" s="97"/>
      <c r="V185" s="108"/>
    </row>
    <row r="186" ht="15.75" customHeight="1">
      <c r="A186" s="91"/>
      <c r="B186" s="171"/>
      <c r="C186" s="143"/>
      <c r="D186" s="97"/>
      <c r="E186" s="143"/>
      <c r="F186" s="143"/>
      <c r="G186" s="97"/>
      <c r="H186" s="143"/>
      <c r="I186" s="97"/>
      <c r="J186" s="97"/>
      <c r="K186" s="114"/>
      <c r="L186" s="114"/>
      <c r="M186" s="102"/>
      <c r="N186" s="124"/>
      <c r="O186" s="125"/>
      <c r="P186" s="97"/>
      <c r="Q186" s="131"/>
      <c r="R186" s="126"/>
      <c r="S186" s="97"/>
      <c r="T186" s="97"/>
      <c r="V186" s="108"/>
    </row>
    <row r="187" ht="15.75" customHeight="1">
      <c r="A187" s="91"/>
      <c r="B187" s="171"/>
      <c r="C187" s="108"/>
      <c r="D187" s="97"/>
      <c r="E187" s="143"/>
      <c r="F187" s="143"/>
      <c r="G187" s="97"/>
      <c r="H187" s="143"/>
      <c r="I187" s="97"/>
      <c r="J187" s="97"/>
      <c r="K187" s="101"/>
      <c r="L187" s="101"/>
      <c r="M187" s="102"/>
      <c r="N187" s="124"/>
      <c r="O187" s="125"/>
      <c r="P187" s="97"/>
      <c r="Q187" s="131"/>
      <c r="R187" s="126"/>
      <c r="S187" s="97"/>
      <c r="T187" s="97"/>
      <c r="V187" s="108"/>
    </row>
    <row r="188" ht="15.75" customHeight="1">
      <c r="A188" s="91"/>
      <c r="B188" s="171"/>
      <c r="C188" s="143"/>
      <c r="D188" s="97"/>
      <c r="E188" s="143"/>
      <c r="F188" s="143"/>
      <c r="G188" s="97"/>
      <c r="H188" s="143"/>
      <c r="I188" s="97"/>
      <c r="J188" s="97"/>
      <c r="K188" s="114"/>
      <c r="L188" s="114"/>
      <c r="M188" s="102"/>
      <c r="N188" s="124"/>
      <c r="O188" s="125"/>
      <c r="P188" s="97"/>
      <c r="Q188" s="131"/>
      <c r="R188" s="126"/>
      <c r="S188" s="97"/>
      <c r="T188" s="97"/>
      <c r="V188" s="108"/>
    </row>
    <row r="189" ht="15.75" customHeight="1">
      <c r="A189" s="91"/>
      <c r="B189" s="171"/>
      <c r="C189" s="143"/>
      <c r="D189" s="97"/>
      <c r="E189" s="143"/>
      <c r="F189" s="143"/>
      <c r="G189" s="97"/>
      <c r="H189" s="143"/>
      <c r="I189" s="97"/>
      <c r="J189" s="97"/>
      <c r="K189" s="101"/>
      <c r="L189" s="101"/>
      <c r="M189" s="102"/>
      <c r="N189" s="124"/>
      <c r="O189" s="125"/>
      <c r="P189" s="97"/>
      <c r="Q189" s="131"/>
      <c r="R189" s="126"/>
      <c r="S189" s="97"/>
      <c r="T189" s="97"/>
      <c r="V189" s="108"/>
    </row>
    <row r="190" ht="15.75" customHeight="1">
      <c r="A190" s="91"/>
      <c r="B190" s="171"/>
      <c r="C190" s="143"/>
      <c r="D190" s="97"/>
      <c r="E190" s="143"/>
      <c r="F190" s="143"/>
      <c r="G190" s="97"/>
      <c r="H190" s="143"/>
      <c r="I190" s="97"/>
      <c r="J190" s="97"/>
      <c r="K190" s="114"/>
      <c r="L190" s="114"/>
      <c r="M190" s="102"/>
      <c r="N190" s="124"/>
      <c r="O190" s="125"/>
      <c r="P190" s="97"/>
      <c r="Q190" s="131"/>
      <c r="R190" s="126"/>
      <c r="S190" s="97"/>
      <c r="T190" s="97"/>
      <c r="V190" s="108"/>
    </row>
    <row r="191" ht="15.75" customHeight="1">
      <c r="A191" s="91"/>
      <c r="B191" s="171"/>
      <c r="C191" s="143"/>
      <c r="D191" s="97"/>
      <c r="E191" s="143"/>
      <c r="F191" s="143"/>
      <c r="G191" s="97"/>
      <c r="H191" s="143"/>
      <c r="I191" s="97"/>
      <c r="J191" s="97"/>
      <c r="K191" s="101"/>
      <c r="L191" s="101"/>
      <c r="M191" s="102"/>
      <c r="N191" s="124"/>
      <c r="O191" s="125"/>
      <c r="P191" s="97"/>
      <c r="Q191" s="131"/>
      <c r="R191" s="126"/>
      <c r="S191" s="97"/>
      <c r="T191" s="97"/>
      <c r="V191" s="108"/>
    </row>
    <row r="192" ht="15.75" customHeight="1">
      <c r="A192" s="91"/>
      <c r="B192" s="171"/>
      <c r="C192" s="143"/>
      <c r="D192" s="97"/>
      <c r="E192" s="143"/>
      <c r="F192" s="143"/>
      <c r="G192" s="97"/>
      <c r="H192" s="143"/>
      <c r="I192" s="97"/>
      <c r="J192" s="97"/>
      <c r="K192" s="114"/>
      <c r="L192" s="114"/>
      <c r="M192" s="102"/>
      <c r="N192" s="124"/>
      <c r="O192" s="125"/>
      <c r="P192" s="97"/>
      <c r="Q192" s="131"/>
      <c r="R192" s="126"/>
      <c r="S192" s="97"/>
      <c r="T192" s="97"/>
      <c r="V192" s="108"/>
    </row>
    <row r="193" ht="15.75" customHeight="1">
      <c r="A193" s="91"/>
      <c r="B193" s="171"/>
      <c r="C193" s="108"/>
      <c r="D193" s="97"/>
      <c r="E193" s="143"/>
      <c r="F193" s="143"/>
      <c r="G193" s="97"/>
      <c r="H193" s="143"/>
      <c r="I193" s="97"/>
      <c r="J193" s="97"/>
      <c r="K193" s="101"/>
      <c r="L193" s="101"/>
      <c r="M193" s="102"/>
      <c r="N193" s="124"/>
      <c r="O193" s="125"/>
      <c r="P193" s="97"/>
      <c r="Q193" s="131"/>
      <c r="R193" s="126"/>
      <c r="S193" s="97"/>
      <c r="T193" s="97"/>
      <c r="V193" s="108"/>
    </row>
    <row r="194" ht="15.75" customHeight="1">
      <c r="A194" s="91"/>
      <c r="B194" s="171"/>
      <c r="C194" s="143"/>
      <c r="D194" s="97"/>
      <c r="E194" s="143"/>
      <c r="F194" s="143"/>
      <c r="G194" s="97"/>
      <c r="H194" s="143"/>
      <c r="I194" s="97"/>
      <c r="J194" s="97"/>
      <c r="K194" s="114"/>
      <c r="L194" s="114"/>
      <c r="M194" s="102"/>
      <c r="N194" s="124"/>
      <c r="O194" s="125"/>
      <c r="P194" s="97"/>
      <c r="Q194" s="131"/>
      <c r="R194" s="126"/>
      <c r="S194" s="97"/>
      <c r="T194" s="97"/>
      <c r="V194" s="108"/>
    </row>
    <row r="195" ht="15.75" customHeight="1">
      <c r="A195" s="91"/>
      <c r="B195" s="171"/>
      <c r="C195" s="143"/>
      <c r="D195" s="97"/>
      <c r="E195" s="143"/>
      <c r="F195" s="143"/>
      <c r="G195" s="97"/>
      <c r="H195" s="143"/>
      <c r="I195" s="97"/>
      <c r="J195" s="97"/>
      <c r="K195" s="101"/>
      <c r="L195" s="101"/>
      <c r="M195" s="102"/>
      <c r="N195" s="124"/>
      <c r="O195" s="125"/>
      <c r="P195" s="97"/>
      <c r="Q195" s="131"/>
      <c r="R195" s="126"/>
      <c r="S195" s="97"/>
      <c r="T195" s="97"/>
      <c r="V195" s="108"/>
    </row>
    <row r="196" ht="15.75" customHeight="1">
      <c r="A196" s="91"/>
      <c r="B196" s="171"/>
      <c r="C196" s="143"/>
      <c r="D196" s="97"/>
      <c r="E196" s="143"/>
      <c r="F196" s="143"/>
      <c r="G196" s="97"/>
      <c r="H196" s="143"/>
      <c r="I196" s="97"/>
      <c r="J196" s="97"/>
      <c r="K196" s="114"/>
      <c r="L196" s="114"/>
      <c r="M196" s="102"/>
      <c r="N196" s="124"/>
      <c r="O196" s="125"/>
      <c r="P196" s="97"/>
      <c r="Q196" s="131"/>
      <c r="R196" s="126"/>
      <c r="S196" s="97"/>
      <c r="T196" s="97"/>
      <c r="V196" s="108"/>
    </row>
    <row r="197" ht="15.75" customHeight="1">
      <c r="A197" s="91"/>
      <c r="B197" s="171"/>
      <c r="C197" s="143"/>
      <c r="D197" s="97"/>
      <c r="E197" s="143"/>
      <c r="F197" s="143"/>
      <c r="G197" s="97"/>
      <c r="H197" s="143"/>
      <c r="I197" s="97"/>
      <c r="J197" s="97"/>
      <c r="K197" s="101"/>
      <c r="L197" s="101"/>
      <c r="M197" s="102"/>
      <c r="N197" s="124"/>
      <c r="O197" s="125"/>
      <c r="P197" s="97"/>
      <c r="Q197" s="131"/>
      <c r="R197" s="126"/>
      <c r="S197" s="97"/>
      <c r="T197" s="97"/>
      <c r="V197" s="108"/>
    </row>
    <row r="198" ht="15.75" customHeight="1">
      <c r="A198" s="91"/>
      <c r="B198" s="171"/>
      <c r="C198" s="143"/>
      <c r="D198" s="97"/>
      <c r="E198" s="143"/>
      <c r="F198" s="143"/>
      <c r="G198" s="97"/>
      <c r="H198" s="143"/>
      <c r="I198" s="97"/>
      <c r="J198" s="97"/>
      <c r="K198" s="114"/>
      <c r="L198" s="114"/>
      <c r="M198" s="102"/>
      <c r="N198" s="124"/>
      <c r="O198" s="125"/>
      <c r="P198" s="97"/>
      <c r="Q198" s="131"/>
      <c r="R198" s="126"/>
      <c r="S198" s="97"/>
      <c r="T198" s="97"/>
      <c r="V198" s="108"/>
    </row>
    <row r="199" ht="15.75" customHeight="1">
      <c r="A199" s="91"/>
      <c r="B199" s="171"/>
      <c r="C199" s="108"/>
      <c r="D199" s="97"/>
      <c r="E199" s="143"/>
      <c r="F199" s="143"/>
      <c r="G199" s="97"/>
      <c r="H199" s="143"/>
      <c r="I199" s="97"/>
      <c r="J199" s="97"/>
      <c r="K199" s="101"/>
      <c r="L199" s="101"/>
      <c r="M199" s="102"/>
      <c r="N199" s="124"/>
      <c r="O199" s="125"/>
      <c r="P199" s="97"/>
      <c r="Q199" s="131"/>
      <c r="R199" s="126"/>
      <c r="S199" s="97"/>
      <c r="T199" s="97"/>
      <c r="V199" s="108"/>
    </row>
    <row r="200" ht="15.75" customHeight="1">
      <c r="A200" s="91"/>
      <c r="B200" s="171"/>
      <c r="C200" s="143"/>
      <c r="D200" s="97"/>
      <c r="E200" s="143"/>
      <c r="F200" s="143"/>
      <c r="G200" s="97"/>
      <c r="H200" s="143"/>
      <c r="I200" s="97"/>
      <c r="J200" s="97"/>
      <c r="K200" s="114"/>
      <c r="L200" s="114"/>
      <c r="M200" s="102"/>
      <c r="N200" s="124"/>
      <c r="O200" s="125"/>
      <c r="P200" s="97"/>
      <c r="Q200" s="131"/>
      <c r="R200" s="126"/>
      <c r="S200" s="97"/>
      <c r="T200" s="97"/>
      <c r="V200" s="108"/>
    </row>
    <row r="201" ht="15.75" customHeight="1">
      <c r="A201" s="91"/>
      <c r="B201" s="171"/>
      <c r="C201" s="143"/>
      <c r="D201" s="97"/>
      <c r="E201" s="143"/>
      <c r="F201" s="143"/>
      <c r="G201" s="97"/>
      <c r="H201" s="143"/>
      <c r="I201" s="97"/>
      <c r="J201" s="97"/>
      <c r="K201" s="101"/>
      <c r="L201" s="101"/>
      <c r="M201" s="102"/>
      <c r="N201" s="124"/>
      <c r="O201" s="125"/>
      <c r="P201" s="97"/>
      <c r="Q201" s="131"/>
      <c r="R201" s="126"/>
      <c r="S201" s="97"/>
      <c r="T201" s="97"/>
      <c r="V201" s="108"/>
    </row>
    <row r="202" ht="15.75" customHeight="1">
      <c r="A202" s="91"/>
      <c r="B202" s="171"/>
      <c r="C202" s="143"/>
      <c r="D202" s="97"/>
      <c r="E202" s="143"/>
      <c r="F202" s="143"/>
      <c r="G202" s="97"/>
      <c r="H202" s="143"/>
      <c r="I202" s="97"/>
      <c r="J202" s="97"/>
      <c r="K202" s="114"/>
      <c r="L202" s="114"/>
      <c r="M202" s="102"/>
      <c r="N202" s="124"/>
      <c r="O202" s="125"/>
      <c r="P202" s="97"/>
      <c r="Q202" s="131"/>
      <c r="R202" s="126"/>
      <c r="S202" s="97"/>
      <c r="T202" s="97"/>
      <c r="V202" s="108"/>
    </row>
    <row r="203" ht="15.75" customHeight="1">
      <c r="A203" s="91"/>
      <c r="B203" s="171"/>
      <c r="C203" s="143"/>
      <c r="D203" s="97"/>
      <c r="E203" s="143"/>
      <c r="F203" s="143"/>
      <c r="G203" s="97"/>
      <c r="H203" s="143"/>
      <c r="I203" s="97"/>
      <c r="J203" s="97"/>
      <c r="K203" s="101"/>
      <c r="L203" s="101"/>
      <c r="M203" s="102"/>
      <c r="N203" s="124"/>
      <c r="O203" s="125"/>
      <c r="P203" s="97"/>
      <c r="Q203" s="131"/>
      <c r="R203" s="126"/>
      <c r="S203" s="97"/>
      <c r="T203" s="97"/>
      <c r="V203" s="108"/>
    </row>
    <row r="204" ht="15.75" customHeight="1">
      <c r="A204" s="91"/>
      <c r="B204" s="171"/>
      <c r="C204" s="143"/>
      <c r="D204" s="97"/>
      <c r="E204" s="143"/>
      <c r="F204" s="143"/>
      <c r="G204" s="97"/>
      <c r="H204" s="143"/>
      <c r="I204" s="97"/>
      <c r="J204" s="97"/>
      <c r="K204" s="114"/>
      <c r="L204" s="114"/>
      <c r="M204" s="102"/>
      <c r="N204" s="124"/>
      <c r="O204" s="125"/>
      <c r="P204" s="97"/>
      <c r="Q204" s="131"/>
      <c r="R204" s="126"/>
      <c r="S204" s="97"/>
      <c r="T204" s="97"/>
      <c r="V204" s="108"/>
    </row>
    <row r="205" ht="15.75" customHeight="1">
      <c r="A205" s="91"/>
      <c r="B205" s="171"/>
      <c r="C205" s="108"/>
      <c r="D205" s="97"/>
      <c r="E205" s="143"/>
      <c r="F205" s="143"/>
      <c r="G205" s="97"/>
      <c r="H205" s="143"/>
      <c r="I205" s="97"/>
      <c r="J205" s="97"/>
      <c r="K205" s="101"/>
      <c r="L205" s="101"/>
      <c r="M205" s="102"/>
      <c r="N205" s="124"/>
      <c r="O205" s="125"/>
      <c r="P205" s="97"/>
      <c r="Q205" s="131"/>
      <c r="R205" s="126"/>
      <c r="S205" s="97"/>
      <c r="T205" s="97"/>
      <c r="V205" s="108"/>
    </row>
    <row r="206" ht="15.75" customHeight="1">
      <c r="A206" s="91"/>
      <c r="B206" s="171"/>
      <c r="C206" s="143"/>
      <c r="D206" s="97"/>
      <c r="E206" s="143"/>
      <c r="F206" s="143"/>
      <c r="G206" s="97"/>
      <c r="H206" s="143"/>
      <c r="I206" s="97"/>
      <c r="J206" s="97"/>
      <c r="K206" s="114"/>
      <c r="L206" s="114"/>
      <c r="M206" s="102"/>
      <c r="N206" s="124"/>
      <c r="O206" s="125"/>
      <c r="P206" s="97"/>
      <c r="Q206" s="131"/>
      <c r="R206" s="126"/>
      <c r="S206" s="97"/>
      <c r="T206" s="97"/>
      <c r="V206" s="108"/>
    </row>
    <row r="207" ht="15.75" customHeight="1">
      <c r="A207" s="91"/>
      <c r="B207" s="171"/>
      <c r="C207" s="143"/>
      <c r="D207" s="97"/>
      <c r="E207" s="143"/>
      <c r="F207" s="143"/>
      <c r="G207" s="97"/>
      <c r="H207" s="143"/>
      <c r="I207" s="97"/>
      <c r="J207" s="97"/>
      <c r="K207" s="101"/>
      <c r="L207" s="101"/>
      <c r="M207" s="102"/>
      <c r="N207" s="124"/>
      <c r="O207" s="125"/>
      <c r="P207" s="97"/>
      <c r="Q207" s="131"/>
      <c r="R207" s="126"/>
      <c r="S207" s="97"/>
      <c r="T207" s="97"/>
      <c r="V207" s="108"/>
    </row>
    <row r="208" ht="15.75" customHeight="1">
      <c r="A208" s="91"/>
      <c r="B208" s="171"/>
      <c r="C208" s="143"/>
      <c r="D208" s="97"/>
      <c r="E208" s="143"/>
      <c r="F208" s="143"/>
      <c r="G208" s="97"/>
      <c r="H208" s="143"/>
      <c r="I208" s="97"/>
      <c r="J208" s="97"/>
      <c r="K208" s="114"/>
      <c r="L208" s="114"/>
      <c r="M208" s="102"/>
      <c r="N208" s="124"/>
      <c r="O208" s="125"/>
      <c r="P208" s="97"/>
      <c r="Q208" s="131"/>
      <c r="R208" s="126"/>
      <c r="S208" s="97"/>
      <c r="T208" s="97"/>
      <c r="V208" s="108"/>
    </row>
    <row r="209" ht="15.75" customHeight="1">
      <c r="A209" s="91"/>
      <c r="B209" s="171"/>
      <c r="C209" s="143"/>
      <c r="D209" s="97"/>
      <c r="E209" s="143"/>
      <c r="F209" s="143"/>
      <c r="G209" s="97"/>
      <c r="H209" s="143"/>
      <c r="I209" s="97"/>
      <c r="J209" s="97"/>
      <c r="K209" s="101"/>
      <c r="L209" s="101"/>
      <c r="M209" s="102"/>
      <c r="N209" s="124"/>
      <c r="O209" s="125"/>
      <c r="P209" s="97"/>
      <c r="Q209" s="131"/>
      <c r="R209" s="126"/>
      <c r="S209" s="97"/>
      <c r="T209" s="97"/>
      <c r="V209" s="108"/>
    </row>
    <row r="210" ht="15.75" customHeight="1">
      <c r="A210" s="91"/>
      <c r="B210" s="171"/>
      <c r="C210" s="143"/>
      <c r="D210" s="97"/>
      <c r="E210" s="143"/>
      <c r="F210" s="143"/>
      <c r="G210" s="97"/>
      <c r="H210" s="143"/>
      <c r="I210" s="97"/>
      <c r="J210" s="97"/>
      <c r="K210" s="114"/>
      <c r="L210" s="114"/>
      <c r="M210" s="102"/>
      <c r="N210" s="124"/>
      <c r="O210" s="125"/>
      <c r="P210" s="97"/>
      <c r="Q210" s="131"/>
      <c r="R210" s="126"/>
      <c r="S210" s="97"/>
      <c r="T210" s="97"/>
      <c r="V210" s="108"/>
    </row>
    <row r="211" ht="15.75" customHeight="1">
      <c r="A211" s="91"/>
      <c r="B211" s="171"/>
      <c r="C211" s="108"/>
      <c r="D211" s="97"/>
      <c r="E211" s="143"/>
      <c r="F211" s="143"/>
      <c r="G211" s="97"/>
      <c r="H211" s="143"/>
      <c r="I211" s="97"/>
      <c r="J211" s="97"/>
      <c r="K211" s="101"/>
      <c r="L211" s="101"/>
      <c r="M211" s="102"/>
      <c r="N211" s="124"/>
      <c r="O211" s="125"/>
      <c r="P211" s="97"/>
      <c r="Q211" s="131"/>
      <c r="R211" s="126"/>
      <c r="S211" s="97"/>
      <c r="T211" s="97"/>
      <c r="V211" s="108"/>
    </row>
    <row r="212" ht="15.75" customHeight="1">
      <c r="A212" s="91"/>
      <c r="B212" s="171"/>
      <c r="C212" s="143"/>
      <c r="D212" s="97"/>
      <c r="E212" s="143"/>
      <c r="F212" s="143"/>
      <c r="G212" s="97"/>
      <c r="H212" s="143"/>
      <c r="I212" s="97"/>
      <c r="J212" s="97"/>
      <c r="K212" s="114"/>
      <c r="L212" s="114"/>
      <c r="M212" s="102"/>
      <c r="N212" s="124"/>
      <c r="O212" s="125"/>
      <c r="P212" s="97"/>
      <c r="Q212" s="131"/>
      <c r="R212" s="126"/>
      <c r="S212" s="97"/>
      <c r="T212" s="97"/>
      <c r="V212" s="108"/>
    </row>
    <row r="213" ht="15.75" customHeight="1">
      <c r="A213" s="91"/>
      <c r="B213" s="171"/>
      <c r="C213" s="143"/>
      <c r="D213" s="97"/>
      <c r="E213" s="143"/>
      <c r="F213" s="143"/>
      <c r="G213" s="97"/>
      <c r="H213" s="143"/>
      <c r="I213" s="97"/>
      <c r="J213" s="97"/>
      <c r="K213" s="101"/>
      <c r="L213" s="101"/>
      <c r="M213" s="102"/>
      <c r="N213" s="124"/>
      <c r="O213" s="125"/>
      <c r="P213" s="97"/>
      <c r="Q213" s="131"/>
      <c r="R213" s="126"/>
      <c r="S213" s="97"/>
      <c r="T213" s="97"/>
      <c r="V213" s="108"/>
    </row>
    <row r="214" ht="15.75" customHeight="1">
      <c r="A214" s="91"/>
      <c r="B214" s="171"/>
      <c r="C214" s="143"/>
      <c r="D214" s="97"/>
      <c r="E214" s="143"/>
      <c r="F214" s="143"/>
      <c r="G214" s="97"/>
      <c r="H214" s="143"/>
      <c r="I214" s="97"/>
      <c r="J214" s="97"/>
      <c r="K214" s="114"/>
      <c r="L214" s="114"/>
      <c r="M214" s="102"/>
      <c r="N214" s="124"/>
      <c r="O214" s="125"/>
      <c r="P214" s="97"/>
      <c r="Q214" s="131"/>
      <c r="R214" s="126"/>
      <c r="S214" s="97"/>
      <c r="T214" s="97"/>
      <c r="V214" s="108"/>
    </row>
    <row r="215" ht="15.75" customHeight="1">
      <c r="A215" s="91"/>
      <c r="B215" s="171"/>
      <c r="C215" s="143"/>
      <c r="D215" s="97"/>
      <c r="E215" s="143"/>
      <c r="F215" s="143"/>
      <c r="G215" s="97"/>
      <c r="H215" s="143"/>
      <c r="I215" s="97"/>
      <c r="J215" s="97"/>
      <c r="K215" s="101"/>
      <c r="L215" s="101"/>
      <c r="M215" s="102"/>
      <c r="N215" s="124"/>
      <c r="O215" s="125"/>
      <c r="P215" s="97"/>
      <c r="Q215" s="131"/>
      <c r="R215" s="126"/>
      <c r="S215" s="97"/>
      <c r="T215" s="97"/>
      <c r="V215" s="108"/>
    </row>
    <row r="216" ht="15.75" customHeight="1">
      <c r="A216" s="91"/>
      <c r="B216" s="171"/>
      <c r="C216" s="143"/>
      <c r="D216" s="97"/>
      <c r="E216" s="143"/>
      <c r="F216" s="143"/>
      <c r="G216" s="97"/>
      <c r="H216" s="143"/>
      <c r="I216" s="97"/>
      <c r="J216" s="97"/>
      <c r="K216" s="114"/>
      <c r="L216" s="114"/>
      <c r="M216" s="102"/>
      <c r="N216" s="124"/>
      <c r="O216" s="125"/>
      <c r="P216" s="97"/>
      <c r="Q216" s="131"/>
      <c r="R216" s="126"/>
      <c r="S216" s="97"/>
      <c r="T216" s="97"/>
      <c r="V216" s="108"/>
    </row>
    <row r="217" ht="15.75" customHeight="1">
      <c r="A217" s="91"/>
      <c r="B217" s="171"/>
      <c r="C217" s="108"/>
      <c r="D217" s="97"/>
      <c r="E217" s="143"/>
      <c r="F217" s="143"/>
      <c r="G217" s="97"/>
      <c r="H217" s="143"/>
      <c r="I217" s="97"/>
      <c r="J217" s="97"/>
      <c r="K217" s="101"/>
      <c r="L217" s="101"/>
      <c r="M217" s="102"/>
      <c r="N217" s="124"/>
      <c r="O217" s="125"/>
      <c r="P217" s="97"/>
      <c r="Q217" s="131"/>
      <c r="R217" s="126"/>
      <c r="S217" s="97"/>
      <c r="T217" s="97"/>
      <c r="V217" s="108"/>
    </row>
    <row r="218" ht="15.75" customHeight="1">
      <c r="A218" s="91"/>
      <c r="B218" s="171"/>
      <c r="C218" s="143"/>
      <c r="D218" s="97"/>
      <c r="E218" s="143"/>
      <c r="F218" s="143"/>
      <c r="G218" s="97"/>
      <c r="H218" s="143"/>
      <c r="I218" s="97"/>
      <c r="J218" s="97"/>
      <c r="K218" s="114"/>
      <c r="L218" s="114"/>
      <c r="M218" s="102"/>
      <c r="N218" s="124"/>
      <c r="O218" s="125"/>
      <c r="P218" s="97"/>
      <c r="Q218" s="131"/>
      <c r="R218" s="126"/>
      <c r="S218" s="97"/>
      <c r="T218" s="97"/>
      <c r="V218" s="108"/>
    </row>
    <row r="219" ht="15.75" customHeight="1">
      <c r="A219" s="91"/>
      <c r="B219" s="171"/>
      <c r="C219" s="143"/>
      <c r="D219" s="97"/>
      <c r="E219" s="143"/>
      <c r="F219" s="143"/>
      <c r="G219" s="97"/>
      <c r="H219" s="143"/>
      <c r="I219" s="97"/>
      <c r="J219" s="97"/>
      <c r="K219" s="101"/>
      <c r="L219" s="101"/>
      <c r="M219" s="102"/>
      <c r="N219" s="124"/>
      <c r="O219" s="125"/>
      <c r="P219" s="97"/>
      <c r="Q219" s="131"/>
      <c r="R219" s="126"/>
      <c r="S219" s="97"/>
      <c r="T219" s="97"/>
      <c r="V219" s="108"/>
    </row>
    <row r="220" ht="15.75" customHeight="1">
      <c r="A220" s="91"/>
      <c r="B220" s="171"/>
      <c r="C220" s="143"/>
      <c r="D220" s="97"/>
      <c r="E220" s="143"/>
      <c r="F220" s="143"/>
      <c r="G220" s="97"/>
      <c r="H220" s="143"/>
      <c r="I220" s="97"/>
      <c r="J220" s="97"/>
      <c r="K220" s="114"/>
      <c r="L220" s="114"/>
      <c r="M220" s="102"/>
      <c r="N220" s="124"/>
      <c r="O220" s="125"/>
      <c r="P220" s="97"/>
      <c r="Q220" s="131"/>
      <c r="R220" s="126"/>
      <c r="S220" s="97"/>
      <c r="T220" s="97"/>
      <c r="V220" s="108"/>
    </row>
    <row r="221" ht="15.75" customHeight="1">
      <c r="A221" s="91"/>
      <c r="B221" s="171"/>
      <c r="C221" s="143"/>
      <c r="D221" s="97"/>
      <c r="E221" s="143"/>
      <c r="F221" s="143"/>
      <c r="G221" s="97"/>
      <c r="H221" s="143"/>
      <c r="I221" s="97"/>
      <c r="J221" s="97"/>
      <c r="K221" s="101"/>
      <c r="L221" s="101"/>
      <c r="M221" s="102"/>
      <c r="N221" s="124"/>
      <c r="O221" s="125"/>
      <c r="P221" s="97"/>
      <c r="Q221" s="131"/>
      <c r="R221" s="126"/>
      <c r="S221" s="97"/>
      <c r="T221" s="97"/>
      <c r="V221" s="108"/>
    </row>
    <row r="222" ht="15.75" customHeight="1">
      <c r="A222" s="91"/>
      <c r="B222" s="171"/>
      <c r="C222" s="143"/>
      <c r="D222" s="97"/>
      <c r="E222" s="143"/>
      <c r="F222" s="143"/>
      <c r="G222" s="97"/>
      <c r="H222" s="143"/>
      <c r="I222" s="97"/>
      <c r="J222" s="97"/>
      <c r="K222" s="114"/>
      <c r="L222" s="114"/>
      <c r="M222" s="102"/>
      <c r="N222" s="124"/>
      <c r="O222" s="125"/>
      <c r="P222" s="97"/>
      <c r="Q222" s="131"/>
      <c r="R222" s="126"/>
      <c r="S222" s="97"/>
      <c r="T222" s="97"/>
      <c r="V222" s="108"/>
    </row>
    <row r="223" ht="15.75" customHeight="1">
      <c r="A223" s="91"/>
      <c r="B223" s="171"/>
      <c r="C223" s="108"/>
      <c r="D223" s="97"/>
      <c r="E223" s="143"/>
      <c r="F223" s="143"/>
      <c r="G223" s="97"/>
      <c r="H223" s="143"/>
      <c r="I223" s="97"/>
      <c r="J223" s="97"/>
      <c r="K223" s="101"/>
      <c r="L223" s="101"/>
      <c r="M223" s="102"/>
      <c r="N223" s="124"/>
      <c r="O223" s="125"/>
      <c r="P223" s="97"/>
      <c r="Q223" s="131"/>
      <c r="R223" s="126"/>
      <c r="S223" s="97"/>
      <c r="T223" s="97"/>
      <c r="V223" s="108"/>
    </row>
    <row r="224" ht="15.75" customHeight="1">
      <c r="A224" s="91"/>
      <c r="B224" s="171"/>
      <c r="C224" s="143"/>
      <c r="D224" s="97"/>
      <c r="E224" s="143"/>
      <c r="F224" s="143"/>
      <c r="G224" s="97"/>
      <c r="H224" s="143"/>
      <c r="I224" s="97"/>
      <c r="J224" s="97"/>
      <c r="K224" s="114"/>
      <c r="L224" s="114"/>
      <c r="M224" s="102"/>
      <c r="N224" s="124"/>
      <c r="O224" s="125"/>
      <c r="P224" s="97"/>
      <c r="Q224" s="131"/>
      <c r="R224" s="126"/>
      <c r="S224" s="97"/>
      <c r="T224" s="97"/>
      <c r="V224" s="108"/>
    </row>
    <row r="225" ht="15.75" customHeight="1">
      <c r="A225" s="91"/>
      <c r="B225" s="171"/>
      <c r="C225" s="143"/>
      <c r="D225" s="97"/>
      <c r="E225" s="143"/>
      <c r="F225" s="143"/>
      <c r="G225" s="97"/>
      <c r="H225" s="143"/>
      <c r="I225" s="97"/>
      <c r="J225" s="97"/>
      <c r="K225" s="101"/>
      <c r="L225" s="101"/>
      <c r="M225" s="102"/>
      <c r="N225" s="124"/>
      <c r="O225" s="125"/>
      <c r="P225" s="97"/>
      <c r="Q225" s="131"/>
      <c r="R225" s="126"/>
      <c r="S225" s="97"/>
      <c r="T225" s="97"/>
      <c r="V225" s="108"/>
    </row>
    <row r="226" ht="15.75" customHeight="1">
      <c r="A226" s="91"/>
      <c r="B226" s="171"/>
      <c r="C226" s="143"/>
      <c r="D226" s="97"/>
      <c r="E226" s="143"/>
      <c r="F226" s="143"/>
      <c r="G226" s="97"/>
      <c r="H226" s="143"/>
      <c r="I226" s="97"/>
      <c r="J226" s="97"/>
      <c r="K226" s="114"/>
      <c r="L226" s="114"/>
      <c r="M226" s="102"/>
      <c r="N226" s="124"/>
      <c r="O226" s="125"/>
      <c r="P226" s="97"/>
      <c r="Q226" s="131"/>
      <c r="R226" s="126"/>
      <c r="S226" s="97"/>
      <c r="T226" s="97"/>
      <c r="V226" s="108"/>
    </row>
    <row r="227" ht="15.75" customHeight="1">
      <c r="A227" s="91"/>
      <c r="B227" s="171"/>
      <c r="C227" s="143"/>
      <c r="D227" s="97"/>
      <c r="E227" s="143"/>
      <c r="F227" s="143"/>
      <c r="G227" s="97"/>
      <c r="H227" s="143"/>
      <c r="I227" s="97"/>
      <c r="J227" s="97"/>
      <c r="K227" s="101"/>
      <c r="L227" s="101"/>
      <c r="M227" s="102"/>
      <c r="N227" s="124"/>
      <c r="O227" s="125"/>
      <c r="P227" s="97"/>
      <c r="Q227" s="131"/>
      <c r="R227" s="126"/>
      <c r="S227" s="97"/>
      <c r="T227" s="97"/>
      <c r="V227" s="108"/>
    </row>
    <row r="228" ht="15.75" customHeight="1">
      <c r="A228" s="91"/>
      <c r="B228" s="171"/>
      <c r="C228" s="143"/>
      <c r="D228" s="97"/>
      <c r="E228" s="143"/>
      <c r="F228" s="143"/>
      <c r="G228" s="97"/>
      <c r="H228" s="143"/>
      <c r="I228" s="97"/>
      <c r="J228" s="97"/>
      <c r="K228" s="114"/>
      <c r="L228" s="114"/>
      <c r="M228" s="102"/>
      <c r="N228" s="124"/>
      <c r="O228" s="125"/>
      <c r="P228" s="97"/>
      <c r="Q228" s="131"/>
      <c r="R228" s="126"/>
      <c r="S228" s="97"/>
      <c r="T228" s="97"/>
      <c r="V228" s="108"/>
    </row>
    <row r="229" ht="15.75" customHeight="1">
      <c r="A229" s="91"/>
      <c r="B229" s="171"/>
      <c r="C229" s="108"/>
      <c r="D229" s="97"/>
      <c r="E229" s="143"/>
      <c r="F229" s="143"/>
      <c r="G229" s="97"/>
      <c r="H229" s="143"/>
      <c r="I229" s="97"/>
      <c r="J229" s="97"/>
      <c r="K229" s="101"/>
      <c r="L229" s="101"/>
      <c r="M229" s="102"/>
      <c r="N229" s="124"/>
      <c r="O229" s="125"/>
      <c r="P229" s="97"/>
      <c r="Q229" s="131"/>
      <c r="R229" s="126"/>
      <c r="S229" s="97"/>
      <c r="T229" s="97"/>
      <c r="V229" s="108"/>
    </row>
    <row r="230" ht="15.75" customHeight="1">
      <c r="A230" s="91"/>
      <c r="B230" s="171"/>
      <c r="C230" s="143"/>
      <c r="D230" s="97"/>
      <c r="E230" s="143"/>
      <c r="F230" s="143"/>
      <c r="G230" s="97"/>
      <c r="H230" s="143"/>
      <c r="I230" s="97"/>
      <c r="J230" s="97"/>
      <c r="K230" s="114"/>
      <c r="L230" s="114"/>
      <c r="M230" s="102"/>
      <c r="N230" s="124"/>
      <c r="O230" s="125"/>
      <c r="P230" s="97"/>
      <c r="Q230" s="131"/>
      <c r="R230" s="126"/>
      <c r="S230" s="97"/>
      <c r="T230" s="97"/>
      <c r="V230" s="108"/>
    </row>
    <row r="231" ht="15.75" customHeight="1">
      <c r="A231" s="91"/>
      <c r="B231" s="171"/>
      <c r="C231" s="143"/>
      <c r="D231" s="97"/>
      <c r="E231" s="143"/>
      <c r="F231" s="143"/>
      <c r="G231" s="97"/>
      <c r="H231" s="143"/>
      <c r="I231" s="97"/>
      <c r="J231" s="97"/>
      <c r="K231" s="101"/>
      <c r="L231" s="101"/>
      <c r="M231" s="102"/>
      <c r="N231" s="124"/>
      <c r="O231" s="125"/>
      <c r="P231" s="97"/>
      <c r="Q231" s="131"/>
      <c r="R231" s="126"/>
      <c r="S231" s="97"/>
      <c r="T231" s="97"/>
      <c r="V231" s="108"/>
    </row>
    <row r="232" ht="15.75" customHeight="1">
      <c r="A232" s="91"/>
      <c r="B232" s="171"/>
      <c r="C232" s="143"/>
      <c r="D232" s="97"/>
      <c r="E232" s="143"/>
      <c r="F232" s="143"/>
      <c r="G232" s="97"/>
      <c r="H232" s="143"/>
      <c r="I232" s="97"/>
      <c r="J232" s="97"/>
      <c r="K232" s="114"/>
      <c r="L232" s="114"/>
      <c r="M232" s="102"/>
      <c r="N232" s="124"/>
      <c r="O232" s="125"/>
      <c r="P232" s="97"/>
      <c r="Q232" s="131"/>
      <c r="R232" s="126"/>
      <c r="S232" s="97"/>
      <c r="T232" s="97"/>
      <c r="V232" s="108"/>
    </row>
    <row r="233" ht="15.75" customHeight="1">
      <c r="A233" s="91"/>
      <c r="B233" s="171"/>
      <c r="C233" s="143"/>
      <c r="D233" s="97"/>
      <c r="E233" s="143"/>
      <c r="F233" s="143"/>
      <c r="G233" s="97"/>
      <c r="H233" s="143"/>
      <c r="I233" s="97"/>
      <c r="J233" s="97"/>
      <c r="K233" s="101"/>
      <c r="L233" s="101"/>
      <c r="M233" s="102"/>
      <c r="N233" s="124"/>
      <c r="O233" s="125"/>
      <c r="P233" s="97"/>
      <c r="Q233" s="131"/>
      <c r="R233" s="126"/>
      <c r="S233" s="97"/>
      <c r="T233" s="97"/>
      <c r="V233" s="108"/>
    </row>
    <row r="234" ht="15.75" customHeight="1">
      <c r="A234" s="91"/>
      <c r="B234" s="171"/>
      <c r="C234" s="143"/>
      <c r="D234" s="97"/>
      <c r="E234" s="143"/>
      <c r="F234" s="143"/>
      <c r="G234" s="97"/>
      <c r="H234" s="143"/>
      <c r="I234" s="97"/>
      <c r="J234" s="97"/>
      <c r="K234" s="114"/>
      <c r="L234" s="114"/>
      <c r="M234" s="102"/>
      <c r="N234" s="124"/>
      <c r="O234" s="125"/>
      <c r="P234" s="97"/>
      <c r="Q234" s="131"/>
      <c r="R234" s="126"/>
      <c r="S234" s="97"/>
      <c r="T234" s="97"/>
      <c r="V234" s="108"/>
    </row>
    <row r="235" ht="15.75" customHeight="1">
      <c r="A235" s="91"/>
      <c r="B235" s="171"/>
      <c r="C235" s="108"/>
      <c r="D235" s="97"/>
      <c r="E235" s="143"/>
      <c r="F235" s="143"/>
      <c r="G235" s="97"/>
      <c r="H235" s="143"/>
      <c r="I235" s="97"/>
      <c r="J235" s="97"/>
      <c r="K235" s="101"/>
      <c r="L235" s="101"/>
      <c r="M235" s="102"/>
      <c r="N235" s="124"/>
      <c r="O235" s="125"/>
      <c r="P235" s="97"/>
      <c r="Q235" s="131"/>
      <c r="R235" s="126"/>
      <c r="S235" s="97"/>
      <c r="T235" s="97"/>
      <c r="V235" s="108"/>
    </row>
    <row r="236" ht="15.75" customHeight="1">
      <c r="A236" s="91"/>
      <c r="B236" s="171"/>
      <c r="C236" s="143"/>
      <c r="D236" s="97"/>
      <c r="E236" s="143"/>
      <c r="F236" s="143"/>
      <c r="G236" s="97"/>
      <c r="H236" s="143"/>
      <c r="I236" s="97"/>
      <c r="J236" s="97"/>
      <c r="K236" s="114"/>
      <c r="L236" s="114"/>
      <c r="M236" s="102"/>
      <c r="N236" s="124"/>
      <c r="O236" s="125"/>
      <c r="P236" s="97"/>
      <c r="Q236" s="131"/>
      <c r="R236" s="126"/>
      <c r="S236" s="97"/>
      <c r="T236" s="97"/>
      <c r="V236" s="108"/>
    </row>
    <row r="237" ht="15.75" customHeight="1">
      <c r="A237" s="91"/>
      <c r="B237" s="171"/>
      <c r="C237" s="143"/>
      <c r="D237" s="97"/>
      <c r="E237" s="143"/>
      <c r="F237" s="143"/>
      <c r="G237" s="97"/>
      <c r="H237" s="143"/>
      <c r="I237" s="97"/>
      <c r="J237" s="97"/>
      <c r="K237" s="101"/>
      <c r="L237" s="101"/>
      <c r="M237" s="102"/>
      <c r="N237" s="124"/>
      <c r="O237" s="125"/>
      <c r="P237" s="97"/>
      <c r="Q237" s="131"/>
      <c r="R237" s="126"/>
      <c r="S237" s="97"/>
      <c r="T237" s="97"/>
      <c r="V237" s="108"/>
    </row>
    <row r="238" ht="15.75" customHeight="1">
      <c r="A238" s="91"/>
      <c r="B238" s="171"/>
      <c r="C238" s="143"/>
      <c r="D238" s="97"/>
      <c r="E238" s="143"/>
      <c r="F238" s="143"/>
      <c r="G238" s="97"/>
      <c r="H238" s="143"/>
      <c r="I238" s="97"/>
      <c r="J238" s="97"/>
      <c r="K238" s="114"/>
      <c r="L238" s="114"/>
      <c r="M238" s="102"/>
      <c r="N238" s="124"/>
      <c r="O238" s="125"/>
      <c r="P238" s="97"/>
      <c r="Q238" s="131"/>
      <c r="R238" s="126"/>
      <c r="S238" s="97"/>
      <c r="T238" s="97"/>
      <c r="V238" s="108"/>
    </row>
    <row r="239" ht="15.75" customHeight="1">
      <c r="A239" s="91"/>
      <c r="B239" s="171"/>
      <c r="C239" s="143"/>
      <c r="D239" s="97"/>
      <c r="E239" s="143"/>
      <c r="F239" s="143"/>
      <c r="G239" s="97"/>
      <c r="H239" s="143"/>
      <c r="I239" s="97"/>
      <c r="J239" s="97"/>
      <c r="K239" s="101"/>
      <c r="L239" s="101"/>
      <c r="M239" s="102"/>
      <c r="N239" s="124"/>
      <c r="O239" s="125"/>
      <c r="P239" s="97"/>
      <c r="Q239" s="131"/>
      <c r="R239" s="126"/>
      <c r="S239" s="97"/>
      <c r="T239" s="97"/>
      <c r="V239" s="108"/>
    </row>
    <row r="240" ht="15.75" customHeight="1">
      <c r="A240" s="91"/>
      <c r="B240" s="171"/>
      <c r="C240" s="143"/>
      <c r="D240" s="97"/>
      <c r="E240" s="143"/>
      <c r="F240" s="143"/>
      <c r="G240" s="97"/>
      <c r="H240" s="143"/>
      <c r="I240" s="97"/>
      <c r="J240" s="97"/>
      <c r="K240" s="114"/>
      <c r="L240" s="114"/>
      <c r="M240" s="102"/>
      <c r="N240" s="124"/>
      <c r="O240" s="125"/>
      <c r="P240" s="97"/>
      <c r="Q240" s="131"/>
      <c r="R240" s="126"/>
      <c r="S240" s="97"/>
      <c r="T240" s="97"/>
      <c r="V240" s="108"/>
    </row>
    <row r="241" ht="15.75" customHeight="1">
      <c r="A241" s="91"/>
      <c r="B241" s="171"/>
      <c r="C241" s="108"/>
      <c r="D241" s="97"/>
      <c r="E241" s="143"/>
      <c r="F241" s="143"/>
      <c r="G241" s="97"/>
      <c r="H241" s="143"/>
      <c r="I241" s="97"/>
      <c r="J241" s="97"/>
      <c r="K241" s="101"/>
      <c r="L241" s="101"/>
      <c r="M241" s="102"/>
      <c r="N241" s="124"/>
      <c r="O241" s="125"/>
      <c r="P241" s="97"/>
      <c r="Q241" s="131"/>
      <c r="R241" s="126"/>
      <c r="S241" s="97"/>
      <c r="T241" s="97"/>
      <c r="V241" s="108"/>
    </row>
    <row r="242" ht="15.75" customHeight="1">
      <c r="A242" s="91"/>
      <c r="B242" s="171"/>
      <c r="C242" s="143"/>
      <c r="D242" s="97"/>
      <c r="E242" s="143"/>
      <c r="F242" s="143"/>
      <c r="G242" s="97"/>
      <c r="H242" s="143"/>
      <c r="I242" s="97"/>
      <c r="J242" s="97"/>
      <c r="K242" s="114"/>
      <c r="L242" s="114"/>
      <c r="M242" s="102"/>
      <c r="N242" s="124"/>
      <c r="O242" s="125"/>
      <c r="P242" s="97"/>
      <c r="Q242" s="131"/>
      <c r="R242" s="126"/>
      <c r="S242" s="97"/>
      <c r="T242" s="97"/>
      <c r="V242" s="108"/>
    </row>
    <row r="243" ht="15.75" customHeight="1">
      <c r="A243" s="91"/>
      <c r="B243" s="171"/>
      <c r="C243" s="143"/>
      <c r="D243" s="97"/>
      <c r="E243" s="143"/>
      <c r="F243" s="143"/>
      <c r="G243" s="97"/>
      <c r="H243" s="143"/>
      <c r="I243" s="97"/>
      <c r="J243" s="97"/>
      <c r="K243" s="101"/>
      <c r="L243" s="101"/>
      <c r="M243" s="102"/>
      <c r="N243" s="124"/>
      <c r="O243" s="125"/>
      <c r="P243" s="97"/>
      <c r="Q243" s="131"/>
      <c r="R243" s="126"/>
      <c r="S243" s="97"/>
      <c r="T243" s="97"/>
      <c r="V243" s="108"/>
    </row>
    <row r="244" ht="15.75" customHeight="1">
      <c r="A244" s="91"/>
      <c r="B244" s="171"/>
      <c r="C244" s="143"/>
      <c r="D244" s="97"/>
      <c r="E244" s="143"/>
      <c r="F244" s="143"/>
      <c r="G244" s="97"/>
      <c r="H244" s="143"/>
      <c r="I244" s="97"/>
      <c r="J244" s="97"/>
      <c r="K244" s="148"/>
      <c r="L244" s="148"/>
      <c r="M244" s="102"/>
      <c r="N244" s="124"/>
      <c r="O244" s="125"/>
      <c r="P244" s="97"/>
      <c r="Q244" s="131"/>
      <c r="R244" s="126"/>
      <c r="S244" s="97"/>
      <c r="T244" s="97"/>
      <c r="V244" s="108"/>
    </row>
    <row r="245" ht="15.75" customHeight="1">
      <c r="A245" s="91"/>
      <c r="B245" s="171"/>
      <c r="C245" s="143"/>
      <c r="D245" s="97"/>
      <c r="E245" s="143"/>
      <c r="F245" s="143"/>
      <c r="G245" s="97"/>
      <c r="H245" s="143"/>
      <c r="I245" s="97"/>
      <c r="J245" s="97"/>
      <c r="K245" s="150"/>
      <c r="L245" s="150"/>
      <c r="M245" s="102"/>
      <c r="N245" s="124"/>
      <c r="O245" s="125"/>
      <c r="P245" s="97"/>
      <c r="Q245" s="131"/>
      <c r="R245" s="126"/>
      <c r="S245" s="97"/>
      <c r="T245" s="97"/>
      <c r="V245" s="108"/>
    </row>
    <row r="246" ht="15.75" customHeight="1">
      <c r="A246" s="91"/>
      <c r="B246" s="171"/>
      <c r="C246" s="143"/>
      <c r="D246" s="97"/>
      <c r="E246" s="143"/>
      <c r="F246" s="143"/>
      <c r="G246" s="97"/>
      <c r="H246" s="143"/>
      <c r="I246" s="97"/>
      <c r="J246" s="97"/>
      <c r="K246" s="148"/>
      <c r="L246" s="148"/>
      <c r="M246" s="102"/>
      <c r="N246" s="124"/>
      <c r="O246" s="125"/>
      <c r="P246" s="97"/>
      <c r="Q246" s="131"/>
      <c r="R246" s="126"/>
      <c r="S246" s="97"/>
      <c r="T246" s="97"/>
      <c r="V246" s="108"/>
    </row>
    <row r="247" ht="15.75" customHeight="1">
      <c r="A247" s="91"/>
      <c r="B247" s="171"/>
      <c r="C247" s="108"/>
      <c r="D247" s="97"/>
      <c r="E247" s="143"/>
      <c r="F247" s="143"/>
      <c r="G247" s="97"/>
      <c r="H247" s="143"/>
      <c r="I247" s="97"/>
      <c r="J247" s="97"/>
      <c r="K247" s="150"/>
      <c r="L247" s="150"/>
      <c r="M247" s="102"/>
      <c r="N247" s="124"/>
      <c r="O247" s="125"/>
      <c r="P247" s="97"/>
      <c r="Q247" s="131"/>
      <c r="R247" s="126"/>
      <c r="S247" s="97"/>
      <c r="T247" s="97"/>
      <c r="V247" s="108"/>
    </row>
    <row r="248" ht="15.75" customHeight="1">
      <c r="A248" s="91"/>
      <c r="B248" s="171"/>
      <c r="C248" s="143"/>
      <c r="D248" s="97"/>
      <c r="E248" s="143"/>
      <c r="F248" s="143"/>
      <c r="G248" s="97"/>
      <c r="H248" s="143"/>
      <c r="I248" s="97"/>
      <c r="J248" s="97"/>
      <c r="K248" s="148"/>
      <c r="L248" s="148"/>
      <c r="M248" s="102"/>
      <c r="N248" s="124"/>
      <c r="O248" s="125"/>
      <c r="P248" s="97"/>
      <c r="Q248" s="131"/>
      <c r="R248" s="126"/>
      <c r="S248" s="97"/>
      <c r="T248" s="97"/>
      <c r="V248" s="108"/>
    </row>
    <row r="249" ht="15.75" customHeight="1">
      <c r="A249" s="91"/>
      <c r="B249" s="171"/>
      <c r="C249" s="143"/>
      <c r="D249" s="97"/>
      <c r="E249" s="143"/>
      <c r="F249" s="143"/>
      <c r="G249" s="97"/>
      <c r="H249" s="143"/>
      <c r="I249" s="97"/>
      <c r="J249" s="97"/>
      <c r="K249" s="150"/>
      <c r="L249" s="150"/>
      <c r="M249" s="102"/>
      <c r="N249" s="124"/>
      <c r="O249" s="125"/>
      <c r="P249" s="97"/>
      <c r="Q249" s="131"/>
      <c r="R249" s="126"/>
      <c r="S249" s="97"/>
      <c r="T249" s="97"/>
      <c r="V249" s="108"/>
    </row>
    <row r="250" ht="15.75" customHeight="1">
      <c r="A250" s="91"/>
      <c r="B250" s="171"/>
      <c r="C250" s="143"/>
      <c r="D250" s="97"/>
      <c r="E250" s="143"/>
      <c r="F250" s="143"/>
      <c r="G250" s="97"/>
      <c r="H250" s="143"/>
      <c r="I250" s="97"/>
      <c r="J250" s="97"/>
      <c r="K250" s="148"/>
      <c r="L250" s="148"/>
      <c r="M250" s="102"/>
      <c r="N250" s="124"/>
      <c r="O250" s="125"/>
      <c r="P250" s="97"/>
      <c r="Q250" s="131"/>
      <c r="R250" s="126"/>
      <c r="S250" s="97"/>
      <c r="T250" s="97"/>
      <c r="V250" s="108"/>
    </row>
    <row r="251" ht="15.75" customHeight="1">
      <c r="A251" s="91"/>
      <c r="B251" s="171"/>
      <c r="C251" s="143"/>
      <c r="D251" s="97"/>
      <c r="E251" s="143"/>
      <c r="F251" s="143"/>
      <c r="G251" s="97"/>
      <c r="H251" s="143"/>
      <c r="I251" s="97"/>
      <c r="J251" s="97"/>
      <c r="K251" s="150"/>
      <c r="L251" s="150"/>
      <c r="M251" s="102"/>
      <c r="N251" s="124"/>
      <c r="O251" s="125"/>
      <c r="P251" s="97"/>
      <c r="Q251" s="131"/>
      <c r="R251" s="126"/>
      <c r="S251" s="97"/>
      <c r="T251" s="97"/>
      <c r="V251" s="108"/>
    </row>
    <row r="252" ht="15.75" customHeight="1">
      <c r="A252" s="91"/>
      <c r="B252" s="171"/>
      <c r="C252" s="143"/>
      <c r="D252" s="97"/>
      <c r="E252" s="143"/>
      <c r="F252" s="143"/>
      <c r="G252" s="97"/>
      <c r="H252" s="143"/>
      <c r="I252" s="97"/>
      <c r="J252" s="97"/>
      <c r="K252" s="148"/>
      <c r="L252" s="148"/>
      <c r="M252" s="102"/>
      <c r="N252" s="124"/>
      <c r="O252" s="125"/>
      <c r="P252" s="97"/>
      <c r="Q252" s="131"/>
      <c r="R252" s="126"/>
      <c r="S252" s="97"/>
      <c r="T252" s="97"/>
      <c r="V252" s="108"/>
    </row>
    <row r="253" ht="15.75" customHeight="1">
      <c r="A253" s="91"/>
      <c r="B253" s="171"/>
      <c r="C253" s="108"/>
      <c r="D253" s="97"/>
      <c r="E253" s="143"/>
      <c r="F253" s="143"/>
      <c r="G253" s="97"/>
      <c r="H253" s="143"/>
      <c r="I253" s="97"/>
      <c r="J253" s="97"/>
      <c r="K253" s="150"/>
      <c r="L253" s="150"/>
      <c r="M253" s="102"/>
      <c r="N253" s="124"/>
      <c r="O253" s="125"/>
      <c r="P253" s="97"/>
      <c r="Q253" s="131"/>
      <c r="R253" s="126"/>
      <c r="S253" s="97"/>
      <c r="T253" s="97"/>
      <c r="V253" s="108"/>
    </row>
    <row r="254" ht="15.75" customHeight="1">
      <c r="A254" s="91"/>
      <c r="B254" s="171"/>
      <c r="C254" s="143"/>
      <c r="D254" s="97"/>
      <c r="E254" s="143"/>
      <c r="F254" s="143"/>
      <c r="G254" s="97"/>
      <c r="H254" s="143"/>
      <c r="I254" s="97"/>
      <c r="J254" s="97"/>
      <c r="K254" s="148"/>
      <c r="L254" s="148"/>
      <c r="M254" s="102"/>
      <c r="N254" s="124"/>
      <c r="O254" s="125"/>
      <c r="P254" s="97"/>
      <c r="Q254" s="131"/>
      <c r="R254" s="126"/>
      <c r="S254" s="97"/>
      <c r="T254" s="97"/>
      <c r="V254" s="108"/>
    </row>
    <row r="255" ht="15.75" customHeight="1">
      <c r="A255" s="91"/>
      <c r="B255" s="171"/>
      <c r="C255" s="143"/>
      <c r="D255" s="97"/>
      <c r="E255" s="143"/>
      <c r="F255" s="143"/>
      <c r="G255" s="97"/>
      <c r="H255" s="143"/>
      <c r="I255" s="97"/>
      <c r="J255" s="97"/>
      <c r="K255" s="150"/>
      <c r="L255" s="150"/>
      <c r="M255" s="102"/>
      <c r="N255" s="124"/>
      <c r="O255" s="125"/>
      <c r="P255" s="97"/>
      <c r="Q255" s="131"/>
      <c r="R255" s="126"/>
      <c r="S255" s="97"/>
      <c r="T255" s="97"/>
      <c r="V255" s="108"/>
    </row>
    <row r="256" ht="15.75" customHeight="1">
      <c r="A256" s="91"/>
      <c r="B256" s="171"/>
      <c r="C256" s="143"/>
      <c r="D256" s="97"/>
      <c r="E256" s="143"/>
      <c r="F256" s="143"/>
      <c r="G256" s="97"/>
      <c r="H256" s="143"/>
      <c r="I256" s="97"/>
      <c r="J256" s="97"/>
      <c r="K256" s="148"/>
      <c r="L256" s="148"/>
      <c r="M256" s="102"/>
      <c r="N256" s="124"/>
      <c r="O256" s="125"/>
      <c r="P256" s="97"/>
      <c r="Q256" s="131"/>
      <c r="R256" s="126"/>
      <c r="S256" s="97"/>
      <c r="T256" s="97"/>
      <c r="V256" s="108"/>
    </row>
    <row r="257" ht="15.75" customHeight="1">
      <c r="A257" s="91"/>
      <c r="B257" s="171"/>
      <c r="C257" s="143"/>
      <c r="D257" s="97"/>
      <c r="E257" s="143"/>
      <c r="F257" s="143"/>
      <c r="G257" s="97"/>
      <c r="H257" s="143"/>
      <c r="I257" s="97"/>
      <c r="J257" s="97"/>
      <c r="K257" s="150"/>
      <c r="L257" s="150"/>
      <c r="M257" s="102"/>
      <c r="N257" s="124"/>
      <c r="O257" s="125"/>
      <c r="P257" s="97"/>
      <c r="Q257" s="131"/>
      <c r="R257" s="126"/>
      <c r="S257" s="97"/>
      <c r="T257" s="97"/>
      <c r="V257" s="108"/>
    </row>
    <row r="258" ht="15.75" customHeight="1">
      <c r="A258" s="91"/>
      <c r="B258" s="171"/>
      <c r="C258" s="143"/>
      <c r="D258" s="97"/>
      <c r="E258" s="143"/>
      <c r="F258" s="143"/>
      <c r="G258" s="97"/>
      <c r="H258" s="143"/>
      <c r="I258" s="97"/>
      <c r="J258" s="97"/>
      <c r="K258" s="148"/>
      <c r="L258" s="148"/>
      <c r="M258" s="102"/>
      <c r="N258" s="124"/>
      <c r="O258" s="125"/>
      <c r="P258" s="97"/>
      <c r="Q258" s="131"/>
      <c r="R258" s="126"/>
      <c r="S258" s="97"/>
      <c r="T258" s="97"/>
      <c r="V258" s="108"/>
    </row>
    <row r="259" ht="15.75" customHeight="1">
      <c r="A259" s="91"/>
      <c r="B259" s="171"/>
      <c r="C259" s="108"/>
      <c r="D259" s="97"/>
      <c r="E259" s="143"/>
      <c r="F259" s="143"/>
      <c r="G259" s="97"/>
      <c r="H259" s="143"/>
      <c r="I259" s="97"/>
      <c r="J259" s="97"/>
      <c r="K259" s="150"/>
      <c r="L259" s="150"/>
      <c r="M259" s="102"/>
      <c r="N259" s="124"/>
      <c r="O259" s="125"/>
      <c r="P259" s="97"/>
      <c r="Q259" s="131"/>
      <c r="R259" s="126"/>
      <c r="S259" s="97"/>
      <c r="T259" s="97"/>
      <c r="V259" s="108"/>
    </row>
    <row r="260" ht="15.75" customHeight="1">
      <c r="A260" s="91"/>
      <c r="B260" s="171"/>
      <c r="C260" s="143"/>
      <c r="D260" s="97"/>
      <c r="E260" s="143"/>
      <c r="F260" s="143"/>
      <c r="G260" s="97"/>
      <c r="H260" s="143"/>
      <c r="I260" s="97"/>
      <c r="J260" s="97"/>
      <c r="K260" s="148"/>
      <c r="L260" s="148"/>
      <c r="M260" s="102"/>
      <c r="N260" s="124"/>
      <c r="O260" s="125"/>
      <c r="P260" s="97"/>
      <c r="Q260" s="131"/>
      <c r="R260" s="126"/>
      <c r="S260" s="97"/>
      <c r="T260" s="97"/>
      <c r="V260" s="108"/>
    </row>
    <row r="261" ht="15.75" customHeight="1">
      <c r="A261" s="91"/>
      <c r="B261" s="171"/>
      <c r="C261" s="143"/>
      <c r="D261" s="97"/>
      <c r="E261" s="143"/>
      <c r="F261" s="143"/>
      <c r="G261" s="97"/>
      <c r="H261" s="143"/>
      <c r="I261" s="97"/>
      <c r="J261" s="97"/>
      <c r="K261" s="150"/>
      <c r="L261" s="150"/>
      <c r="M261" s="102"/>
      <c r="N261" s="124"/>
      <c r="O261" s="125"/>
      <c r="P261" s="97"/>
      <c r="Q261" s="131"/>
      <c r="R261" s="126"/>
      <c r="S261" s="97"/>
      <c r="T261" s="97"/>
      <c r="V261" s="108"/>
    </row>
    <row r="262" ht="15.75" customHeight="1">
      <c r="A262" s="91"/>
      <c r="B262" s="171"/>
      <c r="C262" s="143"/>
      <c r="D262" s="97"/>
      <c r="E262" s="143"/>
      <c r="F262" s="143"/>
      <c r="G262" s="97"/>
      <c r="H262" s="143"/>
      <c r="I262" s="97"/>
      <c r="J262" s="97"/>
      <c r="K262" s="148"/>
      <c r="L262" s="148"/>
      <c r="M262" s="102"/>
      <c r="N262" s="124"/>
      <c r="O262" s="125"/>
      <c r="P262" s="97"/>
      <c r="Q262" s="131"/>
      <c r="R262" s="126"/>
      <c r="S262" s="97"/>
      <c r="T262" s="97"/>
      <c r="V262" s="108"/>
    </row>
    <row r="263" ht="15.75" customHeight="1">
      <c r="A263" s="91"/>
      <c r="B263" s="171"/>
      <c r="C263" s="143"/>
      <c r="D263" s="97"/>
      <c r="E263" s="143"/>
      <c r="F263" s="143"/>
      <c r="G263" s="97"/>
      <c r="H263" s="143"/>
      <c r="I263" s="97"/>
      <c r="J263" s="97"/>
      <c r="K263" s="150"/>
      <c r="L263" s="150"/>
      <c r="M263" s="102"/>
      <c r="N263" s="124"/>
      <c r="O263" s="125"/>
      <c r="P263" s="97"/>
      <c r="Q263" s="131"/>
      <c r="R263" s="126"/>
      <c r="S263" s="97"/>
      <c r="T263" s="97"/>
      <c r="V263" s="108"/>
    </row>
    <row r="264" ht="15.75" customHeight="1">
      <c r="A264" s="91"/>
      <c r="B264" s="171"/>
      <c r="C264" s="143"/>
      <c r="D264" s="97"/>
      <c r="E264" s="143"/>
      <c r="F264" s="143"/>
      <c r="G264" s="97"/>
      <c r="H264" s="143"/>
      <c r="I264" s="97"/>
      <c r="J264" s="97"/>
      <c r="K264" s="148"/>
      <c r="L264" s="148"/>
      <c r="M264" s="102"/>
      <c r="N264" s="124"/>
      <c r="O264" s="125"/>
      <c r="P264" s="97"/>
      <c r="Q264" s="131"/>
      <c r="R264" s="126"/>
      <c r="S264" s="97"/>
      <c r="T264" s="97"/>
      <c r="V264" s="108"/>
    </row>
    <row r="265" ht="15.75" customHeight="1">
      <c r="A265" s="91"/>
      <c r="B265" s="171"/>
      <c r="C265" s="108"/>
      <c r="D265" s="97"/>
      <c r="E265" s="143"/>
      <c r="F265" s="143"/>
      <c r="G265" s="97"/>
      <c r="H265" s="143"/>
      <c r="I265" s="97"/>
      <c r="J265" s="97"/>
      <c r="K265" s="150"/>
      <c r="L265" s="150"/>
      <c r="M265" s="102"/>
      <c r="N265" s="124"/>
      <c r="O265" s="125"/>
      <c r="P265" s="97"/>
      <c r="Q265" s="131"/>
      <c r="R265" s="126"/>
      <c r="S265" s="97"/>
      <c r="T265" s="97"/>
      <c r="V265" s="108"/>
    </row>
    <row r="266" ht="15.75" customHeight="1">
      <c r="A266" s="91"/>
      <c r="B266" s="171"/>
      <c r="C266" s="143"/>
      <c r="D266" s="97"/>
      <c r="E266" s="143"/>
      <c r="F266" s="143"/>
      <c r="G266" s="97"/>
      <c r="H266" s="143"/>
      <c r="I266" s="97"/>
      <c r="J266" s="97"/>
      <c r="K266" s="148"/>
      <c r="L266" s="148"/>
      <c r="M266" s="102"/>
      <c r="N266" s="124"/>
      <c r="O266" s="125"/>
      <c r="P266" s="97"/>
      <c r="Q266" s="131"/>
      <c r="R266" s="126"/>
      <c r="S266" s="97"/>
      <c r="T266" s="97"/>
      <c r="V266" s="108"/>
    </row>
    <row r="267" ht="15.75" customHeight="1">
      <c r="A267" s="91"/>
      <c r="B267" s="171"/>
      <c r="C267" s="143"/>
      <c r="D267" s="97"/>
      <c r="E267" s="143"/>
      <c r="F267" s="143"/>
      <c r="G267" s="97"/>
      <c r="H267" s="143"/>
      <c r="I267" s="97"/>
      <c r="J267" s="97"/>
      <c r="K267" s="150"/>
      <c r="L267" s="150"/>
      <c r="M267" s="102"/>
      <c r="N267" s="124"/>
      <c r="O267" s="125"/>
      <c r="P267" s="97"/>
      <c r="Q267" s="131"/>
      <c r="R267" s="126"/>
      <c r="S267" s="97"/>
      <c r="T267" s="97"/>
      <c r="V267" s="108"/>
    </row>
    <row r="268" ht="15.75" customHeight="1">
      <c r="A268" s="91"/>
      <c r="B268" s="171"/>
      <c r="C268" s="143"/>
      <c r="D268" s="97"/>
      <c r="E268" s="143"/>
      <c r="F268" s="143"/>
      <c r="G268" s="97"/>
      <c r="H268" s="143"/>
      <c r="I268" s="97"/>
      <c r="J268" s="97"/>
      <c r="K268" s="148"/>
      <c r="L268" s="148"/>
      <c r="M268" s="102"/>
      <c r="N268" s="124"/>
      <c r="O268" s="125"/>
      <c r="P268" s="97"/>
      <c r="Q268" s="131"/>
      <c r="R268" s="126"/>
      <c r="S268" s="97"/>
      <c r="T268" s="97"/>
      <c r="V268" s="108"/>
    </row>
    <row r="269" ht="15.75" customHeight="1">
      <c r="A269" s="91"/>
      <c r="B269" s="171"/>
      <c r="C269" s="143"/>
      <c r="D269" s="97"/>
      <c r="E269" s="143"/>
      <c r="F269" s="143"/>
      <c r="G269" s="97"/>
      <c r="H269" s="143"/>
      <c r="I269" s="97"/>
      <c r="J269" s="97"/>
      <c r="K269" s="150"/>
      <c r="L269" s="150"/>
      <c r="M269" s="102"/>
      <c r="N269" s="124"/>
      <c r="O269" s="125"/>
      <c r="P269" s="97"/>
      <c r="Q269" s="131"/>
      <c r="R269" s="126"/>
      <c r="S269" s="97"/>
      <c r="T269" s="97"/>
      <c r="V269" s="108"/>
    </row>
    <row r="270" ht="15.75" customHeight="1">
      <c r="A270" s="91"/>
      <c r="B270" s="171"/>
      <c r="C270" s="143"/>
      <c r="D270" s="97"/>
      <c r="E270" s="143"/>
      <c r="F270" s="143"/>
      <c r="G270" s="97"/>
      <c r="H270" s="143"/>
      <c r="I270" s="97"/>
      <c r="J270" s="97"/>
      <c r="K270" s="148"/>
      <c r="L270" s="148"/>
      <c r="M270" s="102"/>
      <c r="N270" s="124"/>
      <c r="O270" s="125"/>
      <c r="P270" s="97"/>
      <c r="Q270" s="131"/>
      <c r="R270" s="126"/>
      <c r="S270" s="97"/>
      <c r="T270" s="97"/>
      <c r="V270" s="108"/>
    </row>
    <row r="271" ht="15.75" customHeight="1">
      <c r="A271" s="91"/>
      <c r="B271" s="171"/>
      <c r="C271" s="108"/>
      <c r="D271" s="97"/>
      <c r="E271" s="143"/>
      <c r="F271" s="143"/>
      <c r="G271" s="97"/>
      <c r="H271" s="143"/>
      <c r="I271" s="97"/>
      <c r="J271" s="97"/>
      <c r="K271" s="150"/>
      <c r="L271" s="150"/>
      <c r="M271" s="102"/>
      <c r="N271" s="124"/>
      <c r="O271" s="125"/>
      <c r="P271" s="97"/>
      <c r="Q271" s="131"/>
      <c r="R271" s="126"/>
      <c r="S271" s="97"/>
      <c r="T271" s="97"/>
      <c r="V271" s="108"/>
    </row>
    <row r="272" ht="15.75" customHeight="1">
      <c r="A272" s="91"/>
      <c r="B272" s="171"/>
      <c r="C272" s="143"/>
      <c r="D272" s="97"/>
      <c r="E272" s="143"/>
      <c r="F272" s="143"/>
      <c r="G272" s="97"/>
      <c r="H272" s="143"/>
      <c r="I272" s="97"/>
      <c r="J272" s="97"/>
      <c r="K272" s="148"/>
      <c r="L272" s="148"/>
      <c r="M272" s="102"/>
      <c r="N272" s="124"/>
      <c r="O272" s="125"/>
      <c r="P272" s="97"/>
      <c r="Q272" s="131"/>
      <c r="R272" s="126"/>
      <c r="S272" s="97"/>
      <c r="T272" s="97"/>
      <c r="V272" s="108"/>
    </row>
    <row r="273" ht="15.75" customHeight="1">
      <c r="A273" s="91"/>
      <c r="B273" s="171"/>
      <c r="C273" s="143"/>
      <c r="D273" s="97"/>
      <c r="E273" s="143"/>
      <c r="F273" s="143"/>
      <c r="G273" s="97"/>
      <c r="H273" s="143"/>
      <c r="I273" s="97"/>
      <c r="J273" s="97"/>
      <c r="K273" s="150"/>
      <c r="L273" s="150"/>
      <c r="M273" s="102"/>
      <c r="N273" s="124"/>
      <c r="O273" s="125"/>
      <c r="P273" s="97"/>
      <c r="Q273" s="131"/>
      <c r="R273" s="126"/>
      <c r="S273" s="97"/>
      <c r="T273" s="97"/>
      <c r="V273" s="108"/>
    </row>
    <row r="274" ht="15.75" customHeight="1">
      <c r="A274" s="91"/>
      <c r="B274" s="171"/>
      <c r="C274" s="143"/>
      <c r="D274" s="97"/>
      <c r="E274" s="143"/>
      <c r="F274" s="143"/>
      <c r="G274" s="97"/>
      <c r="H274" s="143"/>
      <c r="I274" s="97"/>
      <c r="J274" s="97"/>
      <c r="K274" s="148"/>
      <c r="L274" s="148"/>
      <c r="M274" s="102"/>
      <c r="N274" s="124"/>
      <c r="O274" s="125"/>
      <c r="P274" s="97"/>
      <c r="Q274" s="131"/>
      <c r="R274" s="126"/>
      <c r="S274" s="97"/>
      <c r="T274" s="97"/>
      <c r="V274" s="108"/>
    </row>
    <row r="275" ht="15.75" customHeight="1">
      <c r="A275" s="91"/>
      <c r="B275" s="171"/>
      <c r="C275" s="143"/>
      <c r="D275" s="97"/>
      <c r="E275" s="143"/>
      <c r="F275" s="143"/>
      <c r="G275" s="97"/>
      <c r="H275" s="143"/>
      <c r="I275" s="97"/>
      <c r="J275" s="97"/>
      <c r="K275" s="150"/>
      <c r="L275" s="150"/>
      <c r="M275" s="102"/>
      <c r="N275" s="124"/>
      <c r="O275" s="125"/>
      <c r="P275" s="97"/>
      <c r="Q275" s="131"/>
      <c r="R275" s="126"/>
      <c r="S275" s="97"/>
      <c r="T275" s="97"/>
      <c r="V275" s="108"/>
    </row>
    <row r="276" ht="15.75" customHeight="1">
      <c r="A276" s="91"/>
      <c r="B276" s="171"/>
      <c r="C276" s="143"/>
      <c r="D276" s="97"/>
      <c r="E276" s="143"/>
      <c r="F276" s="143"/>
      <c r="G276" s="97"/>
      <c r="H276" s="143"/>
      <c r="I276" s="97"/>
      <c r="J276" s="97"/>
      <c r="K276" s="148"/>
      <c r="L276" s="148"/>
      <c r="M276" s="102"/>
      <c r="N276" s="124"/>
      <c r="O276" s="125"/>
      <c r="P276" s="97"/>
      <c r="Q276" s="131"/>
      <c r="R276" s="126"/>
      <c r="S276" s="97"/>
      <c r="T276" s="97"/>
      <c r="V276" s="108"/>
    </row>
    <row r="277" ht="15.75" customHeight="1">
      <c r="A277" s="91"/>
      <c r="B277" s="171"/>
      <c r="C277" s="108"/>
      <c r="D277" s="97"/>
      <c r="E277" s="143"/>
      <c r="F277" s="143"/>
      <c r="G277" s="97"/>
      <c r="H277" s="143"/>
      <c r="I277" s="97"/>
      <c r="J277" s="97"/>
      <c r="K277" s="150"/>
      <c r="L277" s="150"/>
      <c r="M277" s="102"/>
      <c r="N277" s="124"/>
      <c r="O277" s="125"/>
      <c r="P277" s="97"/>
      <c r="Q277" s="131"/>
      <c r="R277" s="126"/>
      <c r="S277" s="97"/>
      <c r="T277" s="97"/>
      <c r="V277" s="108"/>
    </row>
    <row r="278" ht="15.75" customHeight="1">
      <c r="A278" s="91"/>
      <c r="B278" s="171"/>
      <c r="C278" s="143"/>
      <c r="D278" s="97"/>
      <c r="E278" s="143"/>
      <c r="F278" s="143"/>
      <c r="G278" s="97"/>
      <c r="H278" s="143"/>
      <c r="I278" s="97"/>
      <c r="J278" s="97"/>
      <c r="K278" s="148"/>
      <c r="L278" s="148"/>
      <c r="M278" s="102"/>
      <c r="N278" s="124"/>
      <c r="O278" s="125"/>
      <c r="P278" s="97"/>
      <c r="Q278" s="131"/>
      <c r="R278" s="126"/>
      <c r="S278" s="97"/>
      <c r="T278" s="97"/>
      <c r="V278" s="108"/>
    </row>
    <row r="279" ht="15.75" customHeight="1">
      <c r="A279" s="91"/>
      <c r="B279" s="171"/>
      <c r="C279" s="143"/>
      <c r="D279" s="97"/>
      <c r="E279" s="143"/>
      <c r="F279" s="143"/>
      <c r="G279" s="97"/>
      <c r="H279" s="143"/>
      <c r="I279" s="97"/>
      <c r="J279" s="97"/>
      <c r="K279" s="150"/>
      <c r="L279" s="150"/>
      <c r="M279" s="102"/>
      <c r="N279" s="124"/>
      <c r="O279" s="125"/>
      <c r="P279" s="97"/>
      <c r="Q279" s="131"/>
      <c r="R279" s="126"/>
      <c r="S279" s="97"/>
      <c r="T279" s="97"/>
      <c r="V279" s="108"/>
    </row>
    <row r="280" ht="15.75" customHeight="1">
      <c r="A280" s="91"/>
      <c r="B280" s="171"/>
      <c r="C280" s="143"/>
      <c r="D280" s="97"/>
      <c r="E280" s="143"/>
      <c r="F280" s="143"/>
      <c r="G280" s="97"/>
      <c r="H280" s="143"/>
      <c r="I280" s="97"/>
      <c r="J280" s="97"/>
      <c r="K280" s="148"/>
      <c r="L280" s="148"/>
      <c r="M280" s="102"/>
      <c r="N280" s="124"/>
      <c r="O280" s="125"/>
      <c r="P280" s="97"/>
      <c r="Q280" s="131"/>
      <c r="R280" s="126"/>
      <c r="S280" s="97"/>
      <c r="T280" s="97"/>
      <c r="V280" s="108"/>
    </row>
    <row r="281" ht="15.75" customHeight="1">
      <c r="A281" s="91"/>
      <c r="B281" s="171"/>
      <c r="C281" s="143"/>
      <c r="D281" s="97"/>
      <c r="E281" s="143"/>
      <c r="F281" s="143"/>
      <c r="G281" s="97"/>
      <c r="H281" s="143"/>
      <c r="I281" s="97"/>
      <c r="J281" s="97"/>
      <c r="K281" s="150"/>
      <c r="L281" s="150"/>
      <c r="M281" s="102"/>
      <c r="N281" s="124"/>
      <c r="O281" s="125"/>
      <c r="P281" s="97"/>
      <c r="Q281" s="131"/>
      <c r="R281" s="126"/>
      <c r="S281" s="97"/>
      <c r="T281" s="97"/>
      <c r="V281" s="108"/>
    </row>
    <row r="282" ht="15.75" customHeight="1">
      <c r="A282" s="91"/>
      <c r="B282" s="171"/>
      <c r="C282" s="143"/>
      <c r="D282" s="97"/>
      <c r="E282" s="143"/>
      <c r="F282" s="143"/>
      <c r="G282" s="97"/>
      <c r="H282" s="143"/>
      <c r="I282" s="97"/>
      <c r="J282" s="97"/>
      <c r="K282" s="148"/>
      <c r="L282" s="148"/>
      <c r="M282" s="102"/>
      <c r="N282" s="124"/>
      <c r="O282" s="125"/>
      <c r="P282" s="97"/>
      <c r="Q282" s="131"/>
      <c r="R282" s="126"/>
      <c r="S282" s="97"/>
      <c r="T282" s="97"/>
      <c r="V282" s="108"/>
    </row>
    <row r="283" ht="15.75" customHeight="1">
      <c r="A283" s="91"/>
      <c r="B283" s="171"/>
      <c r="C283" s="108"/>
      <c r="D283" s="97"/>
      <c r="E283" s="143"/>
      <c r="F283" s="143"/>
      <c r="G283" s="97"/>
      <c r="H283" s="143"/>
      <c r="I283" s="97"/>
      <c r="J283" s="97"/>
      <c r="K283" s="150"/>
      <c r="L283" s="150"/>
      <c r="M283" s="102"/>
      <c r="N283" s="124"/>
      <c r="O283" s="125"/>
      <c r="P283" s="97"/>
      <c r="Q283" s="131"/>
      <c r="R283" s="126"/>
      <c r="S283" s="97"/>
      <c r="T283" s="97"/>
      <c r="V283" s="108"/>
    </row>
    <row r="284" ht="15.75" customHeight="1">
      <c r="A284" s="91"/>
      <c r="B284" s="171"/>
      <c r="C284" s="143"/>
      <c r="D284" s="97"/>
      <c r="E284" s="143"/>
      <c r="F284" s="143"/>
      <c r="G284" s="97"/>
      <c r="H284" s="143"/>
      <c r="I284" s="97"/>
      <c r="J284" s="97"/>
      <c r="K284" s="148"/>
      <c r="L284" s="148"/>
      <c r="M284" s="102"/>
      <c r="N284" s="124"/>
      <c r="O284" s="125"/>
      <c r="P284" s="97"/>
      <c r="Q284" s="131"/>
      <c r="R284" s="126"/>
      <c r="S284" s="97"/>
      <c r="T284" s="97"/>
      <c r="V284" s="108"/>
    </row>
    <row r="285" ht="15.75" customHeight="1">
      <c r="A285" s="91"/>
      <c r="B285" s="171"/>
      <c r="C285" s="143"/>
      <c r="D285" s="97"/>
      <c r="E285" s="143"/>
      <c r="F285" s="143"/>
      <c r="G285" s="97"/>
      <c r="H285" s="143"/>
      <c r="I285" s="97"/>
      <c r="J285" s="97"/>
      <c r="K285" s="150"/>
      <c r="L285" s="150"/>
      <c r="M285" s="102"/>
      <c r="N285" s="124"/>
      <c r="O285" s="125"/>
      <c r="P285" s="97"/>
      <c r="Q285" s="131"/>
      <c r="R285" s="126"/>
      <c r="S285" s="97"/>
      <c r="T285" s="97"/>
      <c r="V285" s="108"/>
    </row>
    <row r="286" ht="15.75" customHeight="1">
      <c r="A286" s="91"/>
      <c r="B286" s="171"/>
      <c r="C286" s="143"/>
      <c r="D286" s="97"/>
      <c r="E286" s="143"/>
      <c r="F286" s="143"/>
      <c r="G286" s="97"/>
      <c r="H286" s="143"/>
      <c r="I286" s="97"/>
      <c r="J286" s="97"/>
      <c r="K286" s="148"/>
      <c r="L286" s="148"/>
      <c r="M286" s="102"/>
      <c r="N286" s="124"/>
      <c r="O286" s="125"/>
      <c r="P286" s="97"/>
      <c r="Q286" s="131"/>
      <c r="R286" s="126"/>
      <c r="S286" s="97"/>
      <c r="T286" s="97"/>
      <c r="V286" s="108"/>
    </row>
    <row r="287" ht="15.75" customHeight="1">
      <c r="A287" s="91"/>
      <c r="B287" s="171"/>
      <c r="C287" s="143"/>
      <c r="D287" s="97"/>
      <c r="E287" s="143"/>
      <c r="F287" s="143"/>
      <c r="G287" s="97"/>
      <c r="H287" s="143"/>
      <c r="I287" s="97"/>
      <c r="J287" s="97"/>
      <c r="K287" s="150"/>
      <c r="L287" s="150"/>
      <c r="M287" s="102"/>
      <c r="N287" s="124"/>
      <c r="O287" s="125"/>
      <c r="P287" s="97"/>
      <c r="Q287" s="131"/>
      <c r="R287" s="126"/>
      <c r="S287" s="97"/>
      <c r="T287" s="97"/>
      <c r="V287" s="108"/>
    </row>
    <row r="288" ht="15.75" customHeight="1">
      <c r="A288" s="91"/>
      <c r="B288" s="171"/>
      <c r="C288" s="143"/>
      <c r="D288" s="97"/>
      <c r="E288" s="143"/>
      <c r="F288" s="143"/>
      <c r="G288" s="97"/>
      <c r="H288" s="143"/>
      <c r="I288" s="97"/>
      <c r="J288" s="97"/>
      <c r="K288" s="148"/>
      <c r="L288" s="148"/>
      <c r="M288" s="102"/>
      <c r="N288" s="124"/>
      <c r="O288" s="125"/>
      <c r="P288" s="97"/>
      <c r="Q288" s="131"/>
      <c r="R288" s="126"/>
      <c r="S288" s="97"/>
      <c r="T288" s="97"/>
      <c r="V288" s="108"/>
    </row>
    <row r="289" ht="15.75" customHeight="1">
      <c r="A289" s="91"/>
      <c r="B289" s="171"/>
      <c r="C289" s="108"/>
      <c r="D289" s="97"/>
      <c r="E289" s="143"/>
      <c r="F289" s="143"/>
      <c r="G289" s="97"/>
      <c r="H289" s="143"/>
      <c r="I289" s="97"/>
      <c r="J289" s="97"/>
      <c r="K289" s="150"/>
      <c r="L289" s="150"/>
      <c r="M289" s="102"/>
      <c r="N289" s="124"/>
      <c r="O289" s="125"/>
      <c r="P289" s="97"/>
      <c r="Q289" s="131"/>
      <c r="R289" s="126"/>
      <c r="S289" s="97"/>
      <c r="T289" s="97"/>
      <c r="V289" s="108"/>
    </row>
    <row r="290" ht="15.75" customHeight="1">
      <c r="A290" s="91"/>
      <c r="B290" s="171"/>
      <c r="C290" s="143"/>
      <c r="D290" s="97"/>
      <c r="E290" s="143"/>
      <c r="F290" s="143"/>
      <c r="G290" s="97"/>
      <c r="H290" s="143"/>
      <c r="I290" s="97"/>
      <c r="J290" s="97"/>
      <c r="K290" s="148"/>
      <c r="L290" s="148"/>
      <c r="M290" s="102"/>
      <c r="N290" s="124"/>
      <c r="O290" s="125"/>
      <c r="P290" s="97"/>
      <c r="Q290" s="131"/>
      <c r="R290" s="126"/>
      <c r="S290" s="97"/>
      <c r="T290" s="97"/>
      <c r="V290" s="108"/>
    </row>
    <row r="291" ht="15.75" customHeight="1">
      <c r="A291" s="91"/>
      <c r="B291" s="171"/>
      <c r="C291" s="143"/>
      <c r="D291" s="97"/>
      <c r="E291" s="143"/>
      <c r="F291" s="143"/>
      <c r="G291" s="97"/>
      <c r="H291" s="143"/>
      <c r="I291" s="97"/>
      <c r="J291" s="97"/>
      <c r="K291" s="150"/>
      <c r="L291" s="150"/>
      <c r="M291" s="102"/>
      <c r="N291" s="124"/>
      <c r="O291" s="125"/>
      <c r="P291" s="97"/>
      <c r="Q291" s="131"/>
      <c r="R291" s="126"/>
      <c r="S291" s="97"/>
      <c r="T291" s="97"/>
      <c r="V291" s="108"/>
    </row>
    <row r="292" ht="15.75" customHeight="1">
      <c r="A292" s="91"/>
      <c r="B292" s="171"/>
      <c r="C292" s="143"/>
      <c r="D292" s="97"/>
      <c r="E292" s="143"/>
      <c r="F292" s="143"/>
      <c r="G292" s="97"/>
      <c r="H292" s="143"/>
      <c r="I292" s="97"/>
      <c r="J292" s="97"/>
      <c r="K292" s="148"/>
      <c r="L292" s="148"/>
      <c r="M292" s="102"/>
      <c r="N292" s="124"/>
      <c r="O292" s="125"/>
      <c r="P292" s="97"/>
      <c r="Q292" s="131"/>
      <c r="R292" s="126"/>
      <c r="S292" s="97"/>
      <c r="T292" s="97"/>
      <c r="V292" s="108"/>
    </row>
    <row r="293" ht="15.75" customHeight="1">
      <c r="A293" s="91"/>
      <c r="B293" s="171"/>
      <c r="C293" s="143"/>
      <c r="D293" s="97"/>
      <c r="E293" s="143"/>
      <c r="F293" s="143"/>
      <c r="G293" s="97"/>
      <c r="H293" s="143"/>
      <c r="I293" s="97"/>
      <c r="J293" s="97"/>
      <c r="K293" s="150"/>
      <c r="L293" s="150"/>
      <c r="M293" s="102"/>
      <c r="N293" s="124"/>
      <c r="O293" s="125"/>
      <c r="P293" s="97"/>
      <c r="Q293" s="131"/>
      <c r="R293" s="126"/>
      <c r="S293" s="97"/>
      <c r="T293" s="97"/>
      <c r="V293" s="108"/>
    </row>
    <row r="294" ht="15.75" customHeight="1">
      <c r="A294" s="91"/>
      <c r="B294" s="171"/>
      <c r="C294" s="143"/>
      <c r="D294" s="97"/>
      <c r="E294" s="143"/>
      <c r="F294" s="143"/>
      <c r="G294" s="97"/>
      <c r="H294" s="143"/>
      <c r="I294" s="97"/>
      <c r="J294" s="97"/>
      <c r="K294" s="148"/>
      <c r="L294" s="148"/>
      <c r="M294" s="102"/>
      <c r="N294" s="124"/>
      <c r="O294" s="125"/>
      <c r="P294" s="97"/>
      <c r="Q294" s="131"/>
      <c r="R294" s="126"/>
      <c r="S294" s="97"/>
      <c r="T294" s="97"/>
      <c r="V294" s="108"/>
    </row>
    <row r="295" ht="15.75" customHeight="1">
      <c r="A295" s="91"/>
      <c r="B295" s="171"/>
      <c r="C295" s="108"/>
      <c r="D295" s="97"/>
      <c r="E295" s="143"/>
      <c r="F295" s="143"/>
      <c r="G295" s="97"/>
      <c r="H295" s="143"/>
      <c r="I295" s="97"/>
      <c r="J295" s="97"/>
      <c r="K295" s="150"/>
      <c r="L295" s="150"/>
      <c r="M295" s="102"/>
      <c r="N295" s="124"/>
      <c r="O295" s="125"/>
      <c r="P295" s="97"/>
      <c r="Q295" s="131"/>
      <c r="R295" s="126"/>
      <c r="S295" s="97"/>
      <c r="T295" s="97"/>
      <c r="V295" s="108"/>
    </row>
    <row r="296" ht="15.75" customHeight="1">
      <c r="A296" s="91"/>
      <c r="B296" s="171"/>
      <c r="C296" s="143"/>
      <c r="D296" s="97"/>
      <c r="E296" s="143"/>
      <c r="F296" s="143"/>
      <c r="G296" s="97"/>
      <c r="H296" s="143"/>
      <c r="I296" s="97"/>
      <c r="J296" s="97"/>
      <c r="K296" s="148"/>
      <c r="L296" s="148"/>
      <c r="M296" s="102"/>
      <c r="N296" s="124"/>
      <c r="O296" s="125"/>
      <c r="P296" s="97"/>
      <c r="Q296" s="131"/>
      <c r="R296" s="126"/>
      <c r="S296" s="97"/>
      <c r="T296" s="97"/>
      <c r="V296" s="108"/>
    </row>
    <row r="297" ht="15.75" customHeight="1">
      <c r="A297" s="91"/>
      <c r="B297" s="171"/>
      <c r="C297" s="143"/>
      <c r="D297" s="97"/>
      <c r="E297" s="143"/>
      <c r="F297" s="143"/>
      <c r="G297" s="97"/>
      <c r="H297" s="143"/>
      <c r="I297" s="97"/>
      <c r="J297" s="97"/>
      <c r="K297" s="150"/>
      <c r="L297" s="150"/>
      <c r="M297" s="102"/>
      <c r="N297" s="124"/>
      <c r="O297" s="125"/>
      <c r="P297" s="97"/>
      <c r="Q297" s="131"/>
      <c r="R297" s="126"/>
      <c r="S297" s="97"/>
      <c r="T297" s="97"/>
      <c r="V297" s="108"/>
    </row>
    <row r="298" ht="15.75" customHeight="1">
      <c r="A298" s="91"/>
      <c r="B298" s="171"/>
      <c r="C298" s="143"/>
      <c r="D298" s="97"/>
      <c r="E298" s="143"/>
      <c r="F298" s="143"/>
      <c r="G298" s="97"/>
      <c r="H298" s="143"/>
      <c r="I298" s="97"/>
      <c r="J298" s="97"/>
      <c r="K298" s="148"/>
      <c r="L298" s="148"/>
      <c r="M298" s="102"/>
      <c r="N298" s="124"/>
      <c r="O298" s="125"/>
      <c r="P298" s="97"/>
      <c r="Q298" s="131"/>
      <c r="R298" s="126"/>
      <c r="S298" s="97"/>
      <c r="T298" s="97"/>
      <c r="V298" s="108"/>
    </row>
    <row r="299" ht="15.75" customHeight="1">
      <c r="A299" s="91"/>
      <c r="B299" s="171"/>
      <c r="C299" s="143"/>
      <c r="D299" s="97"/>
      <c r="E299" s="143"/>
      <c r="F299" s="143"/>
      <c r="G299" s="97"/>
      <c r="H299" s="143"/>
      <c r="I299" s="97"/>
      <c r="J299" s="97"/>
      <c r="K299" s="150"/>
      <c r="L299" s="150"/>
      <c r="M299" s="102"/>
      <c r="N299" s="124"/>
      <c r="O299" s="125"/>
      <c r="P299" s="97"/>
      <c r="Q299" s="131"/>
      <c r="R299" s="126"/>
      <c r="S299" s="97"/>
      <c r="T299" s="97"/>
      <c r="V299" s="108"/>
    </row>
    <row r="300" ht="15.75" customHeight="1">
      <c r="A300" s="91"/>
      <c r="B300" s="171"/>
      <c r="C300" s="143"/>
      <c r="D300" s="97"/>
      <c r="E300" s="143"/>
      <c r="F300" s="143"/>
      <c r="G300" s="97"/>
      <c r="H300" s="143"/>
      <c r="I300" s="97"/>
      <c r="J300" s="97"/>
      <c r="K300" s="148"/>
      <c r="L300" s="148"/>
      <c r="M300" s="102"/>
      <c r="N300" s="124"/>
      <c r="O300" s="125"/>
      <c r="P300" s="97"/>
      <c r="Q300" s="131"/>
      <c r="R300" s="126"/>
      <c r="S300" s="97"/>
      <c r="T300" s="97"/>
      <c r="V300" s="108"/>
    </row>
    <row r="301" ht="15.75" customHeight="1">
      <c r="A301" s="91"/>
      <c r="B301" s="171"/>
      <c r="C301" s="108"/>
      <c r="D301" s="97"/>
      <c r="E301" s="143"/>
      <c r="F301" s="143"/>
      <c r="G301" s="97"/>
      <c r="H301" s="143"/>
      <c r="I301" s="97"/>
      <c r="J301" s="97"/>
      <c r="K301" s="150"/>
      <c r="L301" s="150"/>
      <c r="M301" s="102"/>
      <c r="N301" s="124"/>
      <c r="O301" s="125"/>
      <c r="P301" s="97"/>
      <c r="Q301" s="131"/>
      <c r="R301" s="126"/>
      <c r="S301" s="97"/>
      <c r="T301" s="97"/>
      <c r="V301" s="108"/>
    </row>
    <row r="302" ht="15.75" customHeight="1">
      <c r="A302" s="91"/>
      <c r="B302" s="171"/>
      <c r="C302" s="143"/>
      <c r="D302" s="97"/>
      <c r="E302" s="143"/>
      <c r="F302" s="143"/>
      <c r="G302" s="97"/>
      <c r="H302" s="143"/>
      <c r="I302" s="97"/>
      <c r="J302" s="97"/>
      <c r="K302" s="148"/>
      <c r="L302" s="148"/>
      <c r="M302" s="102"/>
      <c r="N302" s="124"/>
      <c r="O302" s="125"/>
      <c r="P302" s="97"/>
      <c r="Q302" s="131"/>
      <c r="R302" s="126"/>
      <c r="S302" s="97"/>
      <c r="T302" s="97"/>
      <c r="V302" s="108"/>
    </row>
    <row r="303" ht="15.75" customHeight="1">
      <c r="A303" s="91"/>
      <c r="B303" s="171"/>
      <c r="C303" s="143"/>
      <c r="D303" s="97"/>
      <c r="E303" s="143"/>
      <c r="F303" s="143"/>
      <c r="G303" s="97"/>
      <c r="H303" s="143"/>
      <c r="I303" s="97"/>
      <c r="J303" s="97"/>
      <c r="K303" s="150"/>
      <c r="L303" s="150"/>
      <c r="M303" s="102"/>
      <c r="N303" s="124"/>
      <c r="O303" s="125"/>
      <c r="P303" s="97"/>
      <c r="Q303" s="131"/>
      <c r="R303" s="126"/>
      <c r="S303" s="97"/>
      <c r="T303" s="97"/>
      <c r="V303" s="108"/>
    </row>
    <row r="304" ht="15.75" customHeight="1">
      <c r="A304" s="91"/>
      <c r="B304" s="171"/>
      <c r="C304" s="143"/>
      <c r="D304" s="97"/>
      <c r="E304" s="143"/>
      <c r="F304" s="143"/>
      <c r="G304" s="97"/>
      <c r="H304" s="143"/>
      <c r="I304" s="97"/>
      <c r="J304" s="97"/>
      <c r="K304" s="148"/>
      <c r="L304" s="148"/>
      <c r="M304" s="102"/>
      <c r="N304" s="124"/>
      <c r="O304" s="125"/>
      <c r="P304" s="97"/>
      <c r="Q304" s="131"/>
      <c r="R304" s="126"/>
      <c r="S304" s="97"/>
      <c r="T304" s="97"/>
      <c r="V304" s="108"/>
    </row>
    <row r="305" ht="15.75" customHeight="1">
      <c r="A305" s="91"/>
      <c r="B305" s="171"/>
      <c r="C305" s="143"/>
      <c r="D305" s="97"/>
      <c r="E305" s="143"/>
      <c r="F305" s="143"/>
      <c r="G305" s="97"/>
      <c r="H305" s="143"/>
      <c r="I305" s="97"/>
      <c r="J305" s="97"/>
      <c r="K305" s="150"/>
      <c r="L305" s="150"/>
      <c r="M305" s="102"/>
      <c r="N305" s="124"/>
      <c r="O305" s="125"/>
      <c r="P305" s="97"/>
      <c r="Q305" s="131"/>
      <c r="R305" s="126"/>
      <c r="S305" s="97"/>
      <c r="T305" s="97"/>
      <c r="V305" s="108"/>
    </row>
    <row r="306" ht="15.75" customHeight="1">
      <c r="A306" s="91"/>
      <c r="B306" s="171"/>
      <c r="C306" s="143"/>
      <c r="D306" s="97"/>
      <c r="E306" s="143"/>
      <c r="F306" s="143"/>
      <c r="G306" s="97"/>
      <c r="H306" s="143"/>
      <c r="I306" s="97"/>
      <c r="J306" s="97"/>
      <c r="K306" s="148"/>
      <c r="L306" s="148"/>
      <c r="M306" s="102"/>
      <c r="N306" s="124"/>
      <c r="O306" s="125"/>
      <c r="P306" s="97"/>
      <c r="Q306" s="131"/>
      <c r="R306" s="126"/>
      <c r="S306" s="97"/>
      <c r="T306" s="97"/>
      <c r="V306" s="108"/>
    </row>
    <row r="307" ht="15.75" customHeight="1">
      <c r="A307" s="91"/>
      <c r="B307" s="171"/>
      <c r="C307" s="108"/>
      <c r="D307" s="97"/>
      <c r="E307" s="143"/>
      <c r="F307" s="143"/>
      <c r="G307" s="97"/>
      <c r="H307" s="143"/>
      <c r="I307" s="97"/>
      <c r="J307" s="97"/>
      <c r="K307" s="150"/>
      <c r="L307" s="150"/>
      <c r="M307" s="102"/>
      <c r="N307" s="124"/>
      <c r="O307" s="125"/>
      <c r="P307" s="97"/>
      <c r="Q307" s="131"/>
      <c r="R307" s="126"/>
      <c r="S307" s="97"/>
      <c r="T307" s="97"/>
      <c r="V307" s="108"/>
    </row>
    <row r="308" ht="15.75" customHeight="1">
      <c r="A308" s="91"/>
      <c r="B308" s="171"/>
      <c r="C308" s="143"/>
      <c r="D308" s="97"/>
      <c r="E308" s="143"/>
      <c r="F308" s="143"/>
      <c r="G308" s="97"/>
      <c r="H308" s="143"/>
      <c r="I308" s="97"/>
      <c r="J308" s="97"/>
      <c r="K308" s="148"/>
      <c r="L308" s="148"/>
      <c r="M308" s="102"/>
      <c r="N308" s="124"/>
      <c r="O308" s="125"/>
      <c r="P308" s="97"/>
      <c r="Q308" s="131"/>
      <c r="R308" s="126"/>
      <c r="S308" s="97"/>
      <c r="T308" s="97"/>
      <c r="V308" s="108"/>
    </row>
    <row r="309" ht="15.75" customHeight="1">
      <c r="A309" s="91"/>
      <c r="B309" s="171"/>
      <c r="C309" s="143"/>
      <c r="D309" s="97"/>
      <c r="E309" s="143"/>
      <c r="F309" s="143"/>
      <c r="G309" s="97"/>
      <c r="H309" s="143"/>
      <c r="I309" s="97"/>
      <c r="J309" s="97"/>
      <c r="K309" s="150"/>
      <c r="L309" s="150"/>
      <c r="M309" s="102"/>
      <c r="N309" s="124"/>
      <c r="O309" s="125"/>
      <c r="P309" s="97"/>
      <c r="Q309" s="131"/>
      <c r="R309" s="126"/>
      <c r="S309" s="97"/>
      <c r="T309" s="97"/>
      <c r="V309" s="108"/>
    </row>
    <row r="310" ht="15.75" customHeight="1">
      <c r="A310" s="91"/>
      <c r="B310" s="171"/>
      <c r="C310" s="143"/>
      <c r="D310" s="97"/>
      <c r="E310" s="143"/>
      <c r="F310" s="143"/>
      <c r="G310" s="97"/>
      <c r="H310" s="143"/>
      <c r="I310" s="97"/>
      <c r="J310" s="97"/>
      <c r="K310" s="148"/>
      <c r="L310" s="148"/>
      <c r="M310" s="102"/>
      <c r="N310" s="124"/>
      <c r="O310" s="125"/>
      <c r="P310" s="97"/>
      <c r="Q310" s="131"/>
      <c r="R310" s="126"/>
      <c r="S310" s="97"/>
      <c r="T310" s="97"/>
      <c r="V310" s="108"/>
    </row>
    <row r="311" ht="15.75" customHeight="1">
      <c r="A311" s="91"/>
      <c r="B311" s="171"/>
      <c r="C311" s="143"/>
      <c r="D311" s="97"/>
      <c r="E311" s="143"/>
      <c r="F311" s="143"/>
      <c r="G311" s="97"/>
      <c r="H311" s="143"/>
      <c r="I311" s="97"/>
      <c r="J311" s="97"/>
      <c r="K311" s="150"/>
      <c r="L311" s="150"/>
      <c r="M311" s="102"/>
      <c r="N311" s="124"/>
      <c r="O311" s="125"/>
      <c r="P311" s="97"/>
      <c r="Q311" s="131"/>
      <c r="R311" s="126"/>
      <c r="S311" s="97"/>
      <c r="T311" s="97"/>
      <c r="V311" s="108"/>
    </row>
    <row r="312" ht="15.75" customHeight="1">
      <c r="A312" s="91"/>
      <c r="B312" s="171"/>
      <c r="C312" s="143"/>
      <c r="D312" s="97"/>
      <c r="E312" s="143"/>
      <c r="F312" s="143"/>
      <c r="G312" s="97"/>
      <c r="H312" s="143"/>
      <c r="I312" s="97"/>
      <c r="J312" s="97"/>
      <c r="K312" s="148"/>
      <c r="L312" s="148"/>
      <c r="M312" s="102"/>
      <c r="N312" s="124"/>
      <c r="O312" s="125"/>
      <c r="P312" s="97"/>
      <c r="Q312" s="131"/>
      <c r="R312" s="126"/>
      <c r="S312" s="97"/>
      <c r="T312" s="97"/>
      <c r="V312" s="108"/>
    </row>
    <row r="313" ht="15.75" customHeight="1">
      <c r="A313" s="91"/>
      <c r="B313" s="171"/>
      <c r="C313" s="108"/>
      <c r="D313" s="97"/>
      <c r="E313" s="143"/>
      <c r="F313" s="143"/>
      <c r="G313" s="97"/>
      <c r="H313" s="143"/>
      <c r="I313" s="97"/>
      <c r="J313" s="97"/>
      <c r="K313" s="150"/>
      <c r="L313" s="150"/>
      <c r="M313" s="102"/>
      <c r="N313" s="124"/>
      <c r="O313" s="125"/>
      <c r="P313" s="97"/>
      <c r="Q313" s="131"/>
      <c r="R313" s="126"/>
      <c r="S313" s="97"/>
      <c r="T313" s="97"/>
      <c r="V313" s="108"/>
    </row>
    <row r="314" ht="15.75" customHeight="1">
      <c r="A314" s="91"/>
      <c r="B314" s="171"/>
      <c r="C314" s="143"/>
      <c r="D314" s="97"/>
      <c r="E314" s="143"/>
      <c r="F314" s="143"/>
      <c r="G314" s="97"/>
      <c r="H314" s="143"/>
      <c r="I314" s="97"/>
      <c r="J314" s="97"/>
      <c r="K314" s="148"/>
      <c r="L314" s="148"/>
      <c r="M314" s="102"/>
      <c r="N314" s="124"/>
      <c r="O314" s="125"/>
      <c r="P314" s="97"/>
      <c r="Q314" s="131"/>
      <c r="R314" s="126"/>
      <c r="S314" s="97"/>
      <c r="T314" s="97"/>
      <c r="V314" s="108"/>
    </row>
    <row r="315" ht="15.75" customHeight="1">
      <c r="A315" s="91"/>
      <c r="B315" s="171"/>
      <c r="C315" s="143"/>
      <c r="D315" s="97"/>
      <c r="E315" s="143"/>
      <c r="F315" s="143"/>
      <c r="G315" s="97"/>
      <c r="H315" s="143"/>
      <c r="I315" s="97"/>
      <c r="J315" s="97"/>
      <c r="K315" s="150"/>
      <c r="L315" s="150"/>
      <c r="M315" s="102"/>
      <c r="N315" s="124"/>
      <c r="O315" s="125"/>
      <c r="P315" s="97"/>
      <c r="Q315" s="131"/>
      <c r="R315" s="126"/>
      <c r="S315" s="97"/>
      <c r="T315" s="97"/>
      <c r="V315" s="108"/>
    </row>
    <row r="316" ht="15.75" customHeight="1">
      <c r="A316" s="91"/>
      <c r="B316" s="171"/>
      <c r="C316" s="143"/>
      <c r="D316" s="97"/>
      <c r="E316" s="143"/>
      <c r="F316" s="143"/>
      <c r="G316" s="97"/>
      <c r="H316" s="143"/>
      <c r="I316" s="97"/>
      <c r="J316" s="97"/>
      <c r="K316" s="148"/>
      <c r="L316" s="148"/>
      <c r="M316" s="102"/>
      <c r="N316" s="124"/>
      <c r="O316" s="125"/>
      <c r="P316" s="97"/>
      <c r="Q316" s="131"/>
      <c r="R316" s="126"/>
      <c r="S316" s="97"/>
      <c r="T316" s="97"/>
      <c r="V316" s="108"/>
    </row>
    <row r="317" ht="15.75" customHeight="1">
      <c r="A317" s="91"/>
      <c r="B317" s="171"/>
      <c r="C317" s="143"/>
      <c r="D317" s="97"/>
      <c r="E317" s="143"/>
      <c r="F317" s="143"/>
      <c r="G317" s="97"/>
      <c r="H317" s="143"/>
      <c r="I317" s="97"/>
      <c r="J317" s="97"/>
      <c r="K317" s="150"/>
      <c r="L317" s="150"/>
      <c r="M317" s="102"/>
      <c r="N317" s="124"/>
      <c r="O317" s="125"/>
      <c r="P317" s="97"/>
      <c r="Q317" s="131"/>
      <c r="R317" s="126"/>
      <c r="S317" s="97"/>
      <c r="T317" s="97"/>
      <c r="V317" s="108"/>
    </row>
    <row r="318" ht="15.75" customHeight="1">
      <c r="A318" s="91"/>
      <c r="B318" s="171"/>
      <c r="C318" s="143"/>
      <c r="D318" s="97"/>
      <c r="E318" s="143"/>
      <c r="F318" s="143"/>
      <c r="G318" s="97"/>
      <c r="H318" s="143"/>
      <c r="I318" s="97"/>
      <c r="J318" s="97"/>
      <c r="K318" s="148"/>
      <c r="L318" s="148"/>
      <c r="M318" s="102"/>
      <c r="N318" s="124"/>
      <c r="O318" s="125"/>
      <c r="P318" s="97"/>
      <c r="Q318" s="131"/>
      <c r="R318" s="126"/>
      <c r="S318" s="97"/>
      <c r="T318" s="97"/>
      <c r="V318" s="108"/>
    </row>
    <row r="319" ht="15.75" customHeight="1">
      <c r="A319" s="91"/>
      <c r="B319" s="171"/>
      <c r="C319" s="108"/>
      <c r="D319" s="97"/>
      <c r="E319" s="143"/>
      <c r="F319" s="143"/>
      <c r="G319" s="97"/>
      <c r="H319" s="143"/>
      <c r="I319" s="97"/>
      <c r="J319" s="97"/>
      <c r="K319" s="150"/>
      <c r="L319" s="150"/>
      <c r="M319" s="102"/>
      <c r="N319" s="124"/>
      <c r="O319" s="125"/>
      <c r="P319" s="97"/>
      <c r="Q319" s="131"/>
      <c r="R319" s="126"/>
      <c r="S319" s="97"/>
      <c r="T319" s="97"/>
      <c r="V319" s="108"/>
    </row>
    <row r="320" ht="15.75" customHeight="1">
      <c r="A320" s="91"/>
      <c r="B320" s="171"/>
      <c r="C320" s="143"/>
      <c r="D320" s="97"/>
      <c r="E320" s="143"/>
      <c r="F320" s="143"/>
      <c r="G320" s="97"/>
      <c r="H320" s="143"/>
      <c r="I320" s="97"/>
      <c r="J320" s="97"/>
      <c r="K320" s="148"/>
      <c r="L320" s="148"/>
      <c r="M320" s="102"/>
      <c r="N320" s="124"/>
      <c r="O320" s="125"/>
      <c r="P320" s="97"/>
      <c r="Q320" s="131"/>
      <c r="R320" s="126"/>
      <c r="S320" s="97"/>
      <c r="T320" s="97"/>
      <c r="V320" s="108"/>
    </row>
    <row r="321" ht="15.75" customHeight="1">
      <c r="A321" s="91"/>
      <c r="B321" s="171"/>
      <c r="C321" s="143"/>
      <c r="D321" s="97"/>
      <c r="E321" s="143"/>
      <c r="F321" s="143"/>
      <c r="G321" s="97"/>
      <c r="H321" s="143"/>
      <c r="I321" s="97"/>
      <c r="J321" s="97"/>
      <c r="K321" s="150"/>
      <c r="L321" s="150"/>
      <c r="M321" s="102"/>
      <c r="N321" s="124"/>
      <c r="O321" s="125"/>
      <c r="P321" s="97"/>
      <c r="Q321" s="131"/>
      <c r="R321" s="126"/>
      <c r="S321" s="97"/>
      <c r="T321" s="97"/>
      <c r="V321" s="108"/>
    </row>
    <row r="322" ht="15.75" customHeight="1">
      <c r="A322" s="91"/>
      <c r="B322" s="171"/>
      <c r="C322" s="143"/>
      <c r="D322" s="97"/>
      <c r="E322" s="143"/>
      <c r="F322" s="143"/>
      <c r="G322" s="97"/>
      <c r="H322" s="143"/>
      <c r="I322" s="97"/>
      <c r="J322" s="97"/>
      <c r="K322" s="148"/>
      <c r="L322" s="148"/>
      <c r="M322" s="102"/>
      <c r="N322" s="124"/>
      <c r="O322" s="125"/>
      <c r="P322" s="97"/>
      <c r="Q322" s="131"/>
      <c r="R322" s="126"/>
      <c r="S322" s="97"/>
      <c r="T322" s="97"/>
      <c r="V322" s="108"/>
    </row>
    <row r="323" ht="15.75" customHeight="1">
      <c r="A323" s="91"/>
      <c r="B323" s="171"/>
      <c r="C323" s="143"/>
      <c r="D323" s="97"/>
      <c r="E323" s="143"/>
      <c r="F323" s="143"/>
      <c r="G323" s="97"/>
      <c r="H323" s="143"/>
      <c r="I323" s="97"/>
      <c r="J323" s="97"/>
      <c r="K323" s="150"/>
      <c r="L323" s="150"/>
      <c r="M323" s="102"/>
      <c r="N323" s="124"/>
      <c r="O323" s="125"/>
      <c r="P323" s="97"/>
      <c r="Q323" s="131"/>
      <c r="R323" s="126"/>
      <c r="S323" s="97"/>
      <c r="T323" s="97"/>
      <c r="V323" s="108"/>
    </row>
    <row r="324" ht="15.75" customHeight="1">
      <c r="A324" s="91"/>
      <c r="B324" s="171"/>
      <c r="C324" s="143"/>
      <c r="D324" s="97"/>
      <c r="E324" s="143"/>
      <c r="F324" s="143"/>
      <c r="G324" s="97"/>
      <c r="H324" s="143"/>
      <c r="I324" s="97"/>
      <c r="J324" s="97"/>
      <c r="K324" s="148"/>
      <c r="L324" s="148"/>
      <c r="M324" s="102"/>
      <c r="N324" s="124"/>
      <c r="O324" s="125"/>
      <c r="P324" s="97"/>
      <c r="Q324" s="131"/>
      <c r="R324" s="126"/>
      <c r="S324" s="97"/>
      <c r="T324" s="97"/>
      <c r="V324" s="108"/>
    </row>
    <row r="325" ht="15.75" customHeight="1">
      <c r="A325" s="91"/>
      <c r="B325" s="171"/>
      <c r="C325" s="108"/>
      <c r="D325" s="97"/>
      <c r="E325" s="143"/>
      <c r="F325" s="143"/>
      <c r="G325" s="97"/>
      <c r="H325" s="143"/>
      <c r="I325" s="97"/>
      <c r="J325" s="97"/>
      <c r="K325" s="150"/>
      <c r="L325" s="150"/>
      <c r="M325" s="102"/>
      <c r="N325" s="124"/>
      <c r="O325" s="125"/>
      <c r="P325" s="97"/>
      <c r="Q325" s="131"/>
      <c r="R325" s="126"/>
      <c r="S325" s="97"/>
      <c r="T325" s="97"/>
      <c r="V325" s="108"/>
    </row>
    <row r="326" ht="15.75" customHeight="1">
      <c r="A326" s="91"/>
      <c r="B326" s="171"/>
      <c r="C326" s="143"/>
      <c r="D326" s="97"/>
      <c r="E326" s="143"/>
      <c r="F326" s="143"/>
      <c r="G326" s="97"/>
      <c r="H326" s="143"/>
      <c r="I326" s="97"/>
      <c r="J326" s="97"/>
      <c r="K326" s="148"/>
      <c r="L326" s="148"/>
      <c r="M326" s="102"/>
      <c r="N326" s="124"/>
      <c r="O326" s="125"/>
      <c r="P326" s="97"/>
      <c r="Q326" s="131"/>
      <c r="R326" s="126"/>
      <c r="S326" s="97"/>
      <c r="T326" s="97"/>
      <c r="V326" s="108"/>
    </row>
    <row r="327" ht="15.75" customHeight="1">
      <c r="A327" s="91"/>
      <c r="B327" s="171"/>
      <c r="C327" s="143"/>
      <c r="D327" s="97"/>
      <c r="E327" s="143"/>
      <c r="F327" s="143"/>
      <c r="G327" s="97"/>
      <c r="H327" s="143"/>
      <c r="I327" s="97"/>
      <c r="J327" s="97"/>
      <c r="K327" s="150"/>
      <c r="L327" s="150"/>
      <c r="M327" s="102"/>
      <c r="N327" s="124"/>
      <c r="O327" s="125"/>
      <c r="P327" s="97"/>
      <c r="Q327" s="131"/>
      <c r="R327" s="126"/>
      <c r="S327" s="97"/>
      <c r="T327" s="97"/>
      <c r="V327" s="108"/>
    </row>
    <row r="328" ht="15.75" customHeight="1">
      <c r="A328" s="91"/>
      <c r="B328" s="171"/>
      <c r="C328" s="143"/>
      <c r="D328" s="97"/>
      <c r="E328" s="143"/>
      <c r="F328" s="143"/>
      <c r="G328" s="97"/>
      <c r="H328" s="143"/>
      <c r="I328" s="97"/>
      <c r="J328" s="97"/>
      <c r="K328" s="152"/>
      <c r="L328" s="152"/>
      <c r="M328" s="102"/>
      <c r="N328" s="124"/>
      <c r="O328" s="125"/>
      <c r="P328" s="97"/>
      <c r="Q328" s="131"/>
      <c r="R328" s="126"/>
      <c r="S328" s="97"/>
      <c r="T328" s="97"/>
      <c r="V328" s="108"/>
    </row>
    <row r="329" ht="15.75" customHeight="1">
      <c r="A329" s="91"/>
      <c r="B329" s="171"/>
      <c r="C329" s="143"/>
      <c r="D329" s="97"/>
      <c r="E329" s="143"/>
      <c r="F329" s="143"/>
      <c r="G329" s="97"/>
      <c r="H329" s="143"/>
      <c r="I329" s="97"/>
      <c r="J329" s="97"/>
      <c r="K329" s="152"/>
      <c r="L329" s="152"/>
      <c r="M329" s="102"/>
      <c r="N329" s="124"/>
      <c r="O329" s="125"/>
      <c r="P329" s="97"/>
      <c r="Q329" s="131"/>
      <c r="R329" s="126"/>
      <c r="S329" s="97"/>
      <c r="T329" s="97"/>
      <c r="V329" s="108"/>
    </row>
    <row r="330" ht="15.75" customHeight="1">
      <c r="A330" s="91"/>
      <c r="B330" s="171"/>
      <c r="C330" s="143"/>
      <c r="D330" s="97"/>
      <c r="E330" s="143"/>
      <c r="F330" s="143"/>
      <c r="G330" s="97"/>
      <c r="H330" s="143"/>
      <c r="I330" s="97"/>
      <c r="J330" s="97"/>
      <c r="K330" s="152"/>
      <c r="L330" s="152"/>
      <c r="M330" s="102"/>
      <c r="N330" s="124"/>
      <c r="O330" s="125"/>
      <c r="P330" s="97"/>
      <c r="Q330" s="131"/>
      <c r="R330" s="126"/>
      <c r="S330" s="97"/>
      <c r="T330" s="97"/>
      <c r="V330" s="108"/>
    </row>
    <row r="331" ht="15.75" customHeight="1">
      <c r="A331" s="91"/>
      <c r="B331" s="171"/>
      <c r="C331" s="108"/>
      <c r="D331" s="97"/>
      <c r="E331" s="143"/>
      <c r="F331" s="143"/>
      <c r="G331" s="97"/>
      <c r="H331" s="143"/>
      <c r="I331" s="97"/>
      <c r="J331" s="97"/>
      <c r="K331" s="152"/>
      <c r="L331" s="152"/>
      <c r="M331" s="102"/>
      <c r="N331" s="124"/>
      <c r="O331" s="125"/>
      <c r="P331" s="97"/>
      <c r="Q331" s="131"/>
      <c r="R331" s="126"/>
      <c r="S331" s="97"/>
      <c r="T331" s="97"/>
      <c r="V331" s="108"/>
    </row>
    <row r="332" ht="15.75" customHeight="1">
      <c r="A332" s="91"/>
      <c r="B332" s="171"/>
      <c r="C332" s="143"/>
      <c r="D332" s="97"/>
      <c r="E332" s="143"/>
      <c r="F332" s="143"/>
      <c r="G332" s="97"/>
      <c r="H332" s="143"/>
      <c r="I332" s="97"/>
      <c r="J332" s="97"/>
      <c r="K332" s="152"/>
      <c r="L332" s="152"/>
      <c r="M332" s="102"/>
      <c r="N332" s="124"/>
      <c r="O332" s="125"/>
      <c r="P332" s="97"/>
      <c r="Q332" s="131"/>
      <c r="R332" s="126"/>
      <c r="S332" s="97"/>
      <c r="T332" s="97"/>
      <c r="V332" s="108"/>
    </row>
    <row r="333" ht="15.75" customHeight="1">
      <c r="A333" s="91"/>
      <c r="B333" s="171"/>
      <c r="C333" s="143"/>
      <c r="D333" s="97"/>
      <c r="E333" s="143"/>
      <c r="F333" s="143"/>
      <c r="G333" s="97"/>
      <c r="H333" s="143"/>
      <c r="I333" s="97"/>
      <c r="J333" s="97"/>
      <c r="K333" s="152"/>
      <c r="L333" s="152"/>
      <c r="M333" s="102"/>
      <c r="N333" s="124"/>
      <c r="O333" s="125"/>
      <c r="P333" s="97"/>
      <c r="Q333" s="131"/>
      <c r="R333" s="126"/>
      <c r="S333" s="97"/>
      <c r="T333" s="97"/>
      <c r="V333" s="108"/>
    </row>
    <row r="334" ht="15.75" customHeight="1">
      <c r="A334" s="91"/>
      <c r="B334" s="171"/>
      <c r="C334" s="143"/>
      <c r="D334" s="97"/>
      <c r="E334" s="143"/>
      <c r="F334" s="143"/>
      <c r="G334" s="97"/>
      <c r="H334" s="143"/>
      <c r="I334" s="97"/>
      <c r="J334" s="97"/>
      <c r="K334" s="152"/>
      <c r="L334" s="152"/>
      <c r="M334" s="102"/>
      <c r="N334" s="124"/>
      <c r="O334" s="125"/>
      <c r="P334" s="97"/>
      <c r="Q334" s="131"/>
      <c r="R334" s="126"/>
      <c r="S334" s="97"/>
      <c r="T334" s="97"/>
      <c r="V334" s="108"/>
    </row>
    <row r="335" ht="15.75" customHeight="1">
      <c r="A335" s="91"/>
      <c r="B335" s="171"/>
      <c r="C335" s="143"/>
      <c r="D335" s="97"/>
      <c r="E335" s="143"/>
      <c r="F335" s="143"/>
      <c r="G335" s="97"/>
      <c r="H335" s="143"/>
      <c r="I335" s="97"/>
      <c r="J335" s="97"/>
      <c r="K335" s="152"/>
      <c r="L335" s="152"/>
      <c r="M335" s="102"/>
      <c r="N335" s="124"/>
      <c r="O335" s="125"/>
      <c r="P335" s="97"/>
      <c r="Q335" s="131"/>
      <c r="R335" s="126"/>
      <c r="S335" s="97"/>
      <c r="T335" s="97"/>
      <c r="V335" s="108"/>
    </row>
    <row r="336" ht="15.75" customHeight="1">
      <c r="A336" s="91"/>
      <c r="B336" s="171"/>
      <c r="C336" s="143"/>
      <c r="D336" s="97"/>
      <c r="E336" s="143"/>
      <c r="F336" s="143"/>
      <c r="G336" s="97"/>
      <c r="H336" s="143"/>
      <c r="I336" s="97"/>
      <c r="J336" s="97"/>
      <c r="K336" s="152"/>
      <c r="L336" s="152"/>
      <c r="M336" s="102"/>
      <c r="N336" s="124"/>
      <c r="O336" s="125"/>
      <c r="P336" s="97"/>
      <c r="Q336" s="131"/>
      <c r="R336" s="126"/>
      <c r="S336" s="97"/>
      <c r="T336" s="97"/>
      <c r="V336" s="108"/>
    </row>
    <row r="337" ht="15.75" customHeight="1">
      <c r="A337" s="91"/>
      <c r="B337" s="171"/>
      <c r="C337" s="108"/>
      <c r="D337" s="97"/>
      <c r="E337" s="143"/>
      <c r="F337" s="143"/>
      <c r="G337" s="97"/>
      <c r="H337" s="143"/>
      <c r="I337" s="97"/>
      <c r="J337" s="97"/>
      <c r="K337" s="152"/>
      <c r="L337" s="152"/>
      <c r="M337" s="102"/>
      <c r="N337" s="124"/>
      <c r="O337" s="125"/>
      <c r="P337" s="97"/>
      <c r="Q337" s="131"/>
      <c r="R337" s="126"/>
      <c r="S337" s="97"/>
      <c r="T337" s="97"/>
      <c r="V337" s="108"/>
    </row>
    <row r="338" ht="15.75" customHeight="1">
      <c r="A338" s="91"/>
      <c r="B338" s="171"/>
      <c r="C338" s="143"/>
      <c r="D338" s="97"/>
      <c r="E338" s="143"/>
      <c r="F338" s="143"/>
      <c r="G338" s="97"/>
      <c r="H338" s="143"/>
      <c r="I338" s="97"/>
      <c r="J338" s="97"/>
      <c r="K338" s="152"/>
      <c r="L338" s="152"/>
      <c r="M338" s="102"/>
      <c r="N338" s="124"/>
      <c r="O338" s="125"/>
      <c r="P338" s="97"/>
      <c r="Q338" s="131"/>
      <c r="R338" s="126"/>
      <c r="S338" s="97"/>
      <c r="T338" s="97"/>
      <c r="V338" s="108"/>
    </row>
    <row r="339" ht="15.75" customHeight="1">
      <c r="A339" s="91"/>
      <c r="B339" s="171"/>
      <c r="C339" s="143"/>
      <c r="D339" s="97"/>
      <c r="E339" s="143"/>
      <c r="F339" s="143"/>
      <c r="G339" s="97"/>
      <c r="H339" s="143"/>
      <c r="I339" s="97"/>
      <c r="J339" s="97"/>
      <c r="K339" s="152"/>
      <c r="L339" s="152"/>
      <c r="M339" s="102"/>
      <c r="N339" s="124"/>
      <c r="O339" s="125"/>
      <c r="P339" s="97"/>
      <c r="Q339" s="131"/>
      <c r="R339" s="126"/>
      <c r="S339" s="97"/>
      <c r="T339" s="97"/>
      <c r="V339" s="108"/>
    </row>
    <row r="340" ht="15.75" customHeight="1">
      <c r="A340" s="91"/>
      <c r="B340" s="171"/>
      <c r="C340" s="143"/>
      <c r="D340" s="97"/>
      <c r="E340" s="143"/>
      <c r="F340" s="143"/>
      <c r="G340" s="97"/>
      <c r="H340" s="143"/>
      <c r="I340" s="97"/>
      <c r="J340" s="97"/>
      <c r="K340" s="152"/>
      <c r="L340" s="152"/>
      <c r="M340" s="102"/>
      <c r="N340" s="124"/>
      <c r="O340" s="125"/>
      <c r="P340" s="97"/>
      <c r="Q340" s="131"/>
      <c r="R340" s="126"/>
      <c r="S340" s="97"/>
      <c r="T340" s="97"/>
      <c r="V340" s="108"/>
    </row>
    <row r="341" ht="15.75" customHeight="1">
      <c r="A341" s="91"/>
      <c r="B341" s="171"/>
      <c r="C341" s="143"/>
      <c r="D341" s="97"/>
      <c r="E341" s="143"/>
      <c r="F341" s="143"/>
      <c r="G341" s="97"/>
      <c r="H341" s="143"/>
      <c r="I341" s="97"/>
      <c r="J341" s="97"/>
      <c r="K341" s="152"/>
      <c r="L341" s="152"/>
      <c r="M341" s="102"/>
      <c r="N341" s="124"/>
      <c r="O341" s="125"/>
      <c r="P341" s="97"/>
      <c r="Q341" s="131"/>
      <c r="R341" s="126"/>
      <c r="S341" s="97"/>
      <c r="T341" s="97"/>
      <c r="V341" s="108"/>
    </row>
    <row r="342" ht="15.75" customHeight="1">
      <c r="A342" s="91"/>
      <c r="B342" s="171"/>
      <c r="C342" s="143"/>
      <c r="D342" s="97"/>
      <c r="E342" s="143"/>
      <c r="F342" s="143"/>
      <c r="G342" s="97"/>
      <c r="H342" s="143"/>
      <c r="I342" s="97"/>
      <c r="J342" s="97"/>
      <c r="K342" s="152"/>
      <c r="L342" s="152"/>
      <c r="M342" s="102"/>
      <c r="N342" s="124"/>
      <c r="O342" s="125"/>
      <c r="P342" s="97"/>
      <c r="Q342" s="131"/>
      <c r="R342" s="126"/>
      <c r="S342" s="97"/>
      <c r="T342" s="97"/>
      <c r="V342" s="108"/>
    </row>
    <row r="343" ht="15.75" customHeight="1">
      <c r="A343" s="91"/>
      <c r="B343" s="171"/>
      <c r="C343" s="108"/>
      <c r="D343" s="97"/>
      <c r="E343" s="143"/>
      <c r="F343" s="143"/>
      <c r="G343" s="97"/>
      <c r="H343" s="143"/>
      <c r="I343" s="97"/>
      <c r="J343" s="97"/>
      <c r="K343" s="152"/>
      <c r="L343" s="152"/>
      <c r="M343" s="102"/>
      <c r="N343" s="124"/>
      <c r="O343" s="125"/>
      <c r="P343" s="97"/>
      <c r="Q343" s="131"/>
      <c r="R343" s="126"/>
      <c r="S343" s="97"/>
      <c r="T343" s="97"/>
      <c r="V343" s="108"/>
    </row>
    <row r="344" ht="15.75" customHeight="1">
      <c r="A344" s="91"/>
      <c r="B344" s="171"/>
      <c r="C344" s="143"/>
      <c r="D344" s="97"/>
      <c r="E344" s="143"/>
      <c r="F344" s="143"/>
      <c r="G344" s="97"/>
      <c r="H344" s="143"/>
      <c r="I344" s="97"/>
      <c r="J344" s="97"/>
      <c r="K344" s="152"/>
      <c r="L344" s="152"/>
      <c r="M344" s="102"/>
      <c r="N344" s="124"/>
      <c r="O344" s="125"/>
      <c r="P344" s="97"/>
      <c r="Q344" s="131"/>
      <c r="R344" s="126"/>
      <c r="S344" s="97"/>
      <c r="T344" s="97"/>
      <c r="V344" s="108"/>
    </row>
    <row r="345" ht="15.75" customHeight="1">
      <c r="A345" s="91"/>
      <c r="B345" s="171"/>
      <c r="C345" s="143"/>
      <c r="D345" s="97"/>
      <c r="E345" s="143"/>
      <c r="F345" s="143"/>
      <c r="G345" s="97"/>
      <c r="H345" s="143"/>
      <c r="I345" s="97"/>
      <c r="J345" s="97"/>
      <c r="K345" s="152"/>
      <c r="L345" s="152"/>
      <c r="M345" s="102"/>
      <c r="N345" s="124"/>
      <c r="O345" s="125"/>
      <c r="P345" s="97"/>
      <c r="Q345" s="131"/>
      <c r="R345" s="126"/>
      <c r="S345" s="97"/>
      <c r="T345" s="97"/>
      <c r="V345" s="108"/>
    </row>
    <row r="346" ht="15.75" customHeight="1">
      <c r="A346" s="91"/>
      <c r="B346" s="171"/>
      <c r="C346" s="143"/>
      <c r="D346" s="97"/>
      <c r="E346" s="143"/>
      <c r="F346" s="143"/>
      <c r="G346" s="97"/>
      <c r="H346" s="143"/>
      <c r="I346" s="97"/>
      <c r="J346" s="97"/>
      <c r="K346" s="152"/>
      <c r="L346" s="152"/>
      <c r="M346" s="102"/>
      <c r="N346" s="124"/>
      <c r="O346" s="125"/>
      <c r="P346" s="97"/>
      <c r="Q346" s="131"/>
      <c r="R346" s="126"/>
      <c r="S346" s="97"/>
      <c r="T346" s="97"/>
      <c r="V346" s="108"/>
    </row>
    <row r="347" ht="15.75" customHeight="1">
      <c r="A347" s="91"/>
      <c r="B347" s="171"/>
      <c r="C347" s="143"/>
      <c r="D347" s="97"/>
      <c r="E347" s="143"/>
      <c r="F347" s="143"/>
      <c r="G347" s="97"/>
      <c r="H347" s="143"/>
      <c r="I347" s="97"/>
      <c r="J347" s="97"/>
      <c r="K347" s="152"/>
      <c r="L347" s="152"/>
      <c r="M347" s="102"/>
      <c r="N347" s="124"/>
      <c r="O347" s="125"/>
      <c r="P347" s="97"/>
      <c r="Q347" s="131"/>
      <c r="R347" s="126"/>
      <c r="S347" s="97"/>
      <c r="T347" s="97"/>
      <c r="V347" s="108"/>
    </row>
    <row r="348" ht="15.75" customHeight="1">
      <c r="A348" s="91"/>
      <c r="B348" s="171"/>
      <c r="C348" s="143"/>
      <c r="D348" s="97"/>
      <c r="E348" s="143"/>
      <c r="F348" s="143"/>
      <c r="G348" s="97"/>
      <c r="H348" s="143"/>
      <c r="I348" s="97"/>
      <c r="J348" s="97"/>
      <c r="K348" s="152"/>
      <c r="L348" s="152"/>
      <c r="M348" s="102"/>
      <c r="N348" s="124"/>
      <c r="O348" s="125"/>
      <c r="P348" s="97"/>
      <c r="Q348" s="131"/>
      <c r="R348" s="126"/>
      <c r="S348" s="97"/>
      <c r="T348" s="97"/>
      <c r="V348" s="108"/>
    </row>
    <row r="349" ht="15.75" customHeight="1">
      <c r="A349" s="91"/>
      <c r="B349" s="171"/>
      <c r="C349" s="108"/>
      <c r="D349" s="97"/>
      <c r="E349" s="143"/>
      <c r="F349" s="143"/>
      <c r="G349" s="97"/>
      <c r="H349" s="143"/>
      <c r="I349" s="97"/>
      <c r="J349" s="97"/>
      <c r="K349" s="152"/>
      <c r="L349" s="152"/>
      <c r="M349" s="102"/>
      <c r="N349" s="124"/>
      <c r="O349" s="125"/>
      <c r="P349" s="97"/>
      <c r="Q349" s="131"/>
      <c r="R349" s="126"/>
      <c r="S349" s="97"/>
      <c r="T349" s="97"/>
      <c r="V349" s="108"/>
    </row>
    <row r="350" ht="15.75" customHeight="1">
      <c r="A350" s="91"/>
      <c r="B350" s="171"/>
      <c r="C350" s="143"/>
      <c r="D350" s="97"/>
      <c r="E350" s="143"/>
      <c r="F350" s="143"/>
      <c r="G350" s="97"/>
      <c r="H350" s="143"/>
      <c r="I350" s="97"/>
      <c r="J350" s="97"/>
      <c r="K350" s="152"/>
      <c r="L350" s="152"/>
      <c r="M350" s="102"/>
      <c r="N350" s="124"/>
      <c r="O350" s="125"/>
      <c r="P350" s="97"/>
      <c r="Q350" s="131"/>
      <c r="R350" s="126"/>
      <c r="S350" s="97"/>
      <c r="T350" s="97"/>
      <c r="V350" s="108"/>
    </row>
    <row r="351" ht="15.75" customHeight="1">
      <c r="A351" s="91"/>
      <c r="B351" s="171"/>
      <c r="C351" s="143"/>
      <c r="D351" s="97"/>
      <c r="E351" s="143"/>
      <c r="F351" s="143"/>
      <c r="G351" s="97"/>
      <c r="H351" s="143"/>
      <c r="I351" s="97"/>
      <c r="J351" s="97"/>
      <c r="K351" s="152"/>
      <c r="L351" s="152"/>
      <c r="M351" s="102"/>
      <c r="N351" s="124"/>
      <c r="O351" s="125"/>
      <c r="P351" s="97"/>
      <c r="Q351" s="131"/>
      <c r="R351" s="126"/>
      <c r="S351" s="97"/>
      <c r="T351" s="97"/>
      <c r="V351" s="108"/>
    </row>
    <row r="352" ht="15.75" customHeight="1">
      <c r="A352" s="91"/>
      <c r="B352" s="171"/>
      <c r="C352" s="143"/>
      <c r="D352" s="97"/>
      <c r="E352" s="143"/>
      <c r="F352" s="143"/>
      <c r="G352" s="97"/>
      <c r="H352" s="143"/>
      <c r="I352" s="97"/>
      <c r="J352" s="97"/>
      <c r="K352" s="152"/>
      <c r="L352" s="152"/>
      <c r="M352" s="102"/>
      <c r="N352" s="124"/>
      <c r="O352" s="125"/>
      <c r="P352" s="97"/>
      <c r="Q352" s="131"/>
      <c r="R352" s="126"/>
      <c r="S352" s="97"/>
      <c r="T352" s="97"/>
      <c r="V352" s="108"/>
    </row>
    <row r="353" ht="15.75" customHeight="1">
      <c r="A353" s="91"/>
      <c r="B353" s="171"/>
      <c r="C353" s="143"/>
      <c r="D353" s="97"/>
      <c r="E353" s="143"/>
      <c r="F353" s="143"/>
      <c r="G353" s="97"/>
      <c r="H353" s="143"/>
      <c r="I353" s="97"/>
      <c r="J353" s="97"/>
      <c r="K353" s="152"/>
      <c r="L353" s="152"/>
      <c r="M353" s="102"/>
      <c r="N353" s="124"/>
      <c r="O353" s="125"/>
      <c r="P353" s="97"/>
      <c r="Q353" s="131"/>
      <c r="R353" s="126"/>
      <c r="S353" s="97"/>
      <c r="T353" s="97"/>
      <c r="V353" s="108"/>
    </row>
    <row r="354" ht="15.75" customHeight="1">
      <c r="A354" s="91"/>
      <c r="B354" s="171"/>
      <c r="C354" s="143"/>
      <c r="D354" s="97"/>
      <c r="E354" s="143"/>
      <c r="F354" s="143"/>
      <c r="G354" s="97"/>
      <c r="H354" s="143"/>
      <c r="I354" s="97"/>
      <c r="J354" s="97"/>
      <c r="K354" s="152"/>
      <c r="L354" s="152"/>
      <c r="M354" s="102"/>
      <c r="N354" s="124"/>
      <c r="O354" s="125"/>
      <c r="P354" s="97"/>
      <c r="Q354" s="131"/>
      <c r="R354" s="126"/>
      <c r="S354" s="97"/>
      <c r="T354" s="97"/>
      <c r="V354" s="108"/>
    </row>
    <row r="355" ht="15.75" customHeight="1">
      <c r="A355" s="91"/>
      <c r="B355" s="171"/>
      <c r="C355" s="108"/>
      <c r="D355" s="97"/>
      <c r="E355" s="143"/>
      <c r="F355" s="143"/>
      <c r="G355" s="97"/>
      <c r="H355" s="143"/>
      <c r="I355" s="97"/>
      <c r="J355" s="97"/>
      <c r="K355" s="152"/>
      <c r="L355" s="152"/>
      <c r="M355" s="102"/>
      <c r="N355" s="124"/>
      <c r="O355" s="125"/>
      <c r="P355" s="97"/>
      <c r="Q355" s="131"/>
      <c r="R355" s="126"/>
      <c r="S355" s="97"/>
      <c r="T355" s="97"/>
      <c r="V355" s="108"/>
    </row>
    <row r="356" ht="15.75" customHeight="1">
      <c r="A356" s="91"/>
      <c r="B356" s="171"/>
      <c r="C356" s="143"/>
      <c r="D356" s="97"/>
      <c r="E356" s="143"/>
      <c r="F356" s="143"/>
      <c r="G356" s="97"/>
      <c r="H356" s="143"/>
      <c r="I356" s="97"/>
      <c r="J356" s="97"/>
      <c r="K356" s="152"/>
      <c r="L356" s="152"/>
      <c r="M356" s="102"/>
      <c r="N356" s="124"/>
      <c r="O356" s="125"/>
      <c r="P356" s="97"/>
      <c r="Q356" s="131"/>
      <c r="R356" s="126"/>
      <c r="S356" s="97"/>
      <c r="T356" s="97"/>
      <c r="V356" s="108"/>
    </row>
    <row r="357" ht="15.75" customHeight="1">
      <c r="A357" s="91"/>
      <c r="B357" s="171"/>
      <c r="C357" s="143"/>
      <c r="D357" s="97"/>
      <c r="E357" s="143"/>
      <c r="F357" s="143"/>
      <c r="G357" s="97"/>
      <c r="H357" s="143"/>
      <c r="I357" s="97"/>
      <c r="J357" s="97"/>
      <c r="K357" s="152"/>
      <c r="L357" s="152"/>
      <c r="M357" s="102"/>
      <c r="N357" s="124"/>
      <c r="O357" s="125"/>
      <c r="P357" s="97"/>
      <c r="Q357" s="131"/>
      <c r="R357" s="126"/>
      <c r="S357" s="97"/>
      <c r="T357" s="97"/>
      <c r="V357" s="108"/>
    </row>
    <row r="358" ht="15.75" customHeight="1">
      <c r="A358" s="91"/>
      <c r="B358" s="171"/>
      <c r="C358" s="143"/>
      <c r="D358" s="97"/>
      <c r="E358" s="143"/>
      <c r="F358" s="143"/>
      <c r="G358" s="97"/>
      <c r="H358" s="143"/>
      <c r="I358" s="97"/>
      <c r="J358" s="97"/>
      <c r="K358" s="152"/>
      <c r="L358" s="152"/>
      <c r="M358" s="102"/>
      <c r="N358" s="124"/>
      <c r="O358" s="125"/>
      <c r="P358" s="97"/>
      <c r="Q358" s="131"/>
      <c r="R358" s="126"/>
      <c r="S358" s="97"/>
      <c r="T358" s="97"/>
      <c r="V358" s="108"/>
    </row>
    <row r="359" ht="15.75" customHeight="1">
      <c r="A359" s="91"/>
      <c r="B359" s="171"/>
      <c r="C359" s="143"/>
      <c r="D359" s="97"/>
      <c r="E359" s="143"/>
      <c r="F359" s="143"/>
      <c r="G359" s="97"/>
      <c r="H359" s="143"/>
      <c r="I359" s="97"/>
      <c r="J359" s="97"/>
      <c r="K359" s="152"/>
      <c r="L359" s="152"/>
      <c r="M359" s="102"/>
      <c r="N359" s="124"/>
      <c r="O359" s="125"/>
      <c r="P359" s="97"/>
      <c r="Q359" s="131"/>
      <c r="R359" s="126"/>
      <c r="S359" s="97"/>
      <c r="T359" s="97"/>
      <c r="V359" s="108"/>
    </row>
    <row r="360" ht="15.75" customHeight="1">
      <c r="A360" s="91"/>
      <c r="B360" s="171"/>
      <c r="C360" s="143"/>
      <c r="D360" s="97"/>
      <c r="E360" s="143"/>
      <c r="F360" s="143"/>
      <c r="G360" s="97"/>
      <c r="H360" s="143"/>
      <c r="I360" s="97"/>
      <c r="J360" s="97"/>
      <c r="K360" s="152"/>
      <c r="L360" s="152"/>
      <c r="M360" s="102"/>
      <c r="N360" s="124"/>
      <c r="O360" s="125"/>
      <c r="P360" s="97"/>
      <c r="Q360" s="131"/>
      <c r="R360" s="126"/>
      <c r="S360" s="97"/>
      <c r="T360" s="97"/>
      <c r="V360" s="108"/>
    </row>
  </sheetData>
  <autoFilter ref="$A$12:$V$109"/>
  <customSheetViews>
    <customSheetView guid="{13FBEE33-5560-4ECB-B707-C73777468090}" filter="1" showAutoFilter="1">
      <autoFilter ref="$R$18"/>
    </customSheetView>
  </customSheetViews>
  <mergeCells count="342">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page,Referral,Lost lead"</formula1>
    </dataValidation>
  </dataValidations>
  <hyperlinks>
    <hyperlink r:id="rId2" ref="F13"/>
    <hyperlink r:id="rId3" ref="F14"/>
    <hyperlink r:id="rId4" ref="F15"/>
    <hyperlink r:id="rId5" ref="F16"/>
    <hyperlink r:id="rId6" ref="F17"/>
    <hyperlink r:id="rId7" ref="F18"/>
    <hyperlink r:id="rId8" ref="F19"/>
    <hyperlink r:id="rId9" ref="F20"/>
    <hyperlink r:id="rId10" ref="F21"/>
    <hyperlink r:id="rId11" ref="F22"/>
    <hyperlink r:id="rId12" ref="F23"/>
    <hyperlink r:id="rId13" ref="F24"/>
    <hyperlink r:id="rId14" ref="F25"/>
    <hyperlink r:id="rId15" ref="F26"/>
    <hyperlink r:id="rId16" ref="F27"/>
    <hyperlink r:id="rId17" ref="F28"/>
    <hyperlink r:id="rId18" ref="F29"/>
    <hyperlink r:id="rId19" ref="F30"/>
    <hyperlink r:id="rId20" ref="F31"/>
    <hyperlink r:id="rId21" ref="F32"/>
    <hyperlink r:id="rId22" ref="F33"/>
    <hyperlink r:id="rId23" ref="F34"/>
    <hyperlink r:id="rId24" ref="F35"/>
    <hyperlink r:id="rId25" ref="F36"/>
    <hyperlink r:id="rId26" ref="F37"/>
    <hyperlink r:id="rId27" ref="F38"/>
    <hyperlink r:id="rId28" ref="F39"/>
    <hyperlink r:id="rId29" ref="F40"/>
    <hyperlink r:id="rId30" ref="F41"/>
    <hyperlink r:id="rId31" ref="F42"/>
    <hyperlink r:id="rId32" ref="F43"/>
    <hyperlink r:id="rId33" ref="F44"/>
    <hyperlink r:id="rId34" ref="F46"/>
    <hyperlink r:id="rId35" ref="F47"/>
    <hyperlink r:id="rId36" ref="F48"/>
    <hyperlink r:id="rId37" ref="F49"/>
    <hyperlink r:id="rId38" ref="F50"/>
    <hyperlink r:id="rId39" ref="F51"/>
    <hyperlink r:id="rId40" ref="F52"/>
    <hyperlink r:id="rId41" ref="F53"/>
    <hyperlink r:id="rId42" ref="F54"/>
    <hyperlink r:id="rId43" ref="F55"/>
    <hyperlink r:id="rId44" ref="F56"/>
    <hyperlink r:id="rId45" ref="F57"/>
    <hyperlink r:id="rId46" ref="F58"/>
    <hyperlink r:id="rId47" ref="F59"/>
    <hyperlink r:id="rId48" ref="F60"/>
    <hyperlink r:id="rId49" ref="F61"/>
    <hyperlink r:id="rId50" ref="F62"/>
    <hyperlink r:id="rId51" ref="F63"/>
    <hyperlink r:id="rId52" ref="F64"/>
    <hyperlink r:id="rId53" ref="F65"/>
    <hyperlink r:id="rId54" ref="F66"/>
    <hyperlink r:id="rId55" ref="F67"/>
    <hyperlink r:id="rId56" ref="F68"/>
    <hyperlink r:id="rId57" ref="F69"/>
    <hyperlink r:id="rId58" ref="F70"/>
    <hyperlink r:id="rId59" ref="F71"/>
    <hyperlink r:id="rId60" ref="F72"/>
    <hyperlink r:id="rId61" ref="F73"/>
    <hyperlink r:id="rId62" ref="F74"/>
    <hyperlink r:id="rId63" ref="F75"/>
    <hyperlink r:id="rId64" ref="F76"/>
    <hyperlink r:id="rId65" ref="F77"/>
    <hyperlink r:id="rId66" ref="F79"/>
    <hyperlink r:id="rId67" ref="F80"/>
    <hyperlink r:id="rId68" ref="F82"/>
    <hyperlink r:id="rId69" ref="F83"/>
    <hyperlink r:id="rId70" ref="F84"/>
    <hyperlink r:id="rId71" ref="F85"/>
  </hyperlinks>
  <drawing r:id="rId72"/>
  <legacyDrawing r:id="rId7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220" t="s">
        <v>1049</v>
      </c>
      <c r="B1" s="89" t="s">
        <v>31</v>
      </c>
      <c r="C1" s="89" t="s">
        <v>77</v>
      </c>
      <c r="D1" s="34"/>
      <c r="E1" s="239" t="s">
        <v>515</v>
      </c>
      <c r="F1" s="34"/>
      <c r="H1" s="39" t="s">
        <v>33</v>
      </c>
      <c r="I1" s="40"/>
      <c r="J1" s="34"/>
      <c r="K1" s="39" t="s">
        <v>34</v>
      </c>
      <c r="L1" s="40"/>
      <c r="M1" s="13"/>
      <c r="N1" s="153" t="s">
        <v>35</v>
      </c>
      <c r="O1" s="42"/>
      <c r="P1" s="13"/>
      <c r="Q1" s="39" t="s">
        <v>36</v>
      </c>
      <c r="R1" s="43"/>
      <c r="S1" s="34"/>
      <c r="T1" s="39" t="s">
        <v>37</v>
      </c>
      <c r="U1" s="44"/>
      <c r="V1" s="34"/>
    </row>
    <row r="2">
      <c r="A2" s="34"/>
      <c r="B2" s="40"/>
      <c r="C2" s="40"/>
      <c r="D2" s="13"/>
      <c r="E2" s="241" t="s">
        <v>517</v>
      </c>
      <c r="F2" s="242">
        <f>C3/C6</f>
        <v>2719.298246</v>
      </c>
      <c r="H2" s="154" t="s">
        <v>26</v>
      </c>
      <c r="I2" s="155">
        <f>IFERROR(COUNTIFS(I13:I284, "Full-Pay"),"")</f>
        <v>5</v>
      </c>
      <c r="J2" s="13"/>
      <c r="K2" s="47" t="s">
        <v>16</v>
      </c>
      <c r="L2" s="48">
        <f>iferror(L10/L8,"")</f>
        <v>0.298245614</v>
      </c>
      <c r="M2" s="12"/>
      <c r="N2" s="156" t="s">
        <v>39</v>
      </c>
      <c r="O2" s="50">
        <f>iferror(I8/L6,"")</f>
        <v>0.07462686567</v>
      </c>
      <c r="P2" s="12"/>
      <c r="Q2" s="51" t="s">
        <v>40</v>
      </c>
      <c r="R2" s="52">
        <f>IFERROR(COUNTIFS(N13:N283, "think about it"),"")</f>
        <v>1</v>
      </c>
      <c r="S2" s="13"/>
      <c r="T2" s="53" t="s">
        <v>41</v>
      </c>
      <c r="U2" s="54">
        <f>IFERROR(COUNTIF(H13:H283,T2),"")</f>
        <v>0</v>
      </c>
      <c r="V2" s="56"/>
    </row>
    <row r="3">
      <c r="A3" s="13"/>
      <c r="B3" s="157" t="s">
        <v>43</v>
      </c>
      <c r="C3" s="58">
        <f>IFERROR(SUM(K13:K280),"")</f>
        <v>155000</v>
      </c>
      <c r="D3" s="59"/>
      <c r="E3" s="244" t="s">
        <v>519</v>
      </c>
      <c r="F3" s="245">
        <f>C4/C6</f>
        <v>1136.842105</v>
      </c>
      <c r="H3" s="154" t="s">
        <v>27</v>
      </c>
      <c r="I3" s="155">
        <f>IFERROR(COUNTIFS(I13:I284, "Split-Pay"),"")</f>
        <v>12</v>
      </c>
      <c r="J3" s="13"/>
      <c r="K3" s="47" t="s">
        <v>17</v>
      </c>
      <c r="L3" s="48">
        <f>IFERROR(L10/L9,"")</f>
        <v>0.3090909091</v>
      </c>
      <c r="M3" s="12"/>
      <c r="N3" s="156" t="s">
        <v>44</v>
      </c>
      <c r="O3" s="50">
        <f>iferror(I9/L6,"")</f>
        <v>0.02985074627</v>
      </c>
      <c r="P3" s="12"/>
      <c r="Q3" s="51" t="s">
        <v>45</v>
      </c>
      <c r="R3" s="60">
        <f>IFERROR(COUNTIFS(N13:N283, "money"),"")</f>
        <v>24</v>
      </c>
      <c r="S3" s="13"/>
      <c r="T3" s="53" t="s">
        <v>46</v>
      </c>
      <c r="U3" s="54">
        <f>IFERROR(COUNTIF(H13:H283,T3),"")</f>
        <v>0</v>
      </c>
      <c r="V3" s="56"/>
    </row>
    <row r="4">
      <c r="A4" s="13"/>
      <c r="B4" s="158" t="s">
        <v>48</v>
      </c>
      <c r="C4" s="62">
        <f>IFERROR(SUM(L13:L281),"")</f>
        <v>64800</v>
      </c>
      <c r="D4" s="59"/>
      <c r="E4" s="244" t="s">
        <v>521</v>
      </c>
      <c r="F4" s="246">
        <f>C4/C3*100</f>
        <v>41.80645161</v>
      </c>
      <c r="H4" s="154" t="s">
        <v>28</v>
      </c>
      <c r="I4" s="155">
        <f>IFERROR(COUNTIFS(I13:I284, "Deposit"),"")</f>
        <v>7</v>
      </c>
      <c r="J4" s="13"/>
      <c r="K4" s="47" t="s">
        <v>18</v>
      </c>
      <c r="L4" s="48">
        <f>IFERROR(L9/L8,"")</f>
        <v>0.9649122807</v>
      </c>
      <c r="M4" s="12"/>
      <c r="N4" s="156" t="s">
        <v>49</v>
      </c>
      <c r="O4" s="50">
        <f>iferror(I10/L6,"")</f>
        <v>0.0447761194</v>
      </c>
      <c r="P4" s="12"/>
      <c r="Q4" s="51" t="s">
        <v>50</v>
      </c>
      <c r="R4" s="52">
        <f>IFERROR(COUNTIFS(N13:N283, "time"),"")</f>
        <v>5</v>
      </c>
      <c r="S4" s="13"/>
      <c r="T4" s="53" t="s">
        <v>51</v>
      </c>
      <c r="U4" s="54">
        <f>IFERROR(COUNTIF(H13:H283,T4),"")</f>
        <v>0</v>
      </c>
      <c r="V4" s="34"/>
    </row>
    <row r="5">
      <c r="A5" s="34"/>
      <c r="B5" s="40"/>
      <c r="C5" s="40"/>
      <c r="D5" s="13"/>
      <c r="E5" s="244" t="s">
        <v>523</v>
      </c>
      <c r="F5" s="247">
        <f>I2/C7*100</f>
        <v>29.41176471</v>
      </c>
      <c r="H5" s="154" t="s">
        <v>53</v>
      </c>
      <c r="I5" s="155">
        <f>IFERROR(COUNTIFS(I13:I284, "Offer &amp; Didn't Buy"),"")</f>
        <v>31</v>
      </c>
      <c r="J5" s="13"/>
      <c r="K5" s="47" t="s">
        <v>54</v>
      </c>
      <c r="L5" s="48">
        <f>IFERROR(I7/(C6+I7+I8),"")</f>
        <v>0</v>
      </c>
      <c r="M5" s="13"/>
      <c r="N5" s="156" t="s">
        <v>54</v>
      </c>
      <c r="O5" s="50">
        <f>iferror(I7/L6,"")</f>
        <v>0</v>
      </c>
      <c r="P5" s="12"/>
      <c r="Q5" s="51" t="s">
        <v>55</v>
      </c>
      <c r="R5" s="52">
        <f>IFERROR(COUNTIFS(N13:N283, "partner"),"")</f>
        <v>4</v>
      </c>
      <c r="S5" s="13"/>
      <c r="T5" s="53" t="s">
        <v>56</v>
      </c>
      <c r="U5" s="54">
        <f>IFERROR(COUNTIF(H13:H283,T5),"")</f>
        <v>0</v>
      </c>
      <c r="V5" s="56"/>
    </row>
    <row r="6">
      <c r="A6" s="13"/>
      <c r="B6" s="159" t="s">
        <v>58</v>
      </c>
      <c r="C6" s="64">
        <f>IFERROR(SUM(I2:I6),"")</f>
        <v>57</v>
      </c>
      <c r="D6" s="13"/>
      <c r="E6" s="244" t="s">
        <v>525</v>
      </c>
      <c r="F6" s="248">
        <f>AVERAGE(Q13:Q104)</f>
        <v>5.666666667</v>
      </c>
      <c r="H6" s="154" t="s">
        <v>59</v>
      </c>
      <c r="I6" s="155">
        <f>IFERROR(COUNTIFS(I13:I284, "Bad Fit &amp; No Offer"),"")</f>
        <v>2</v>
      </c>
      <c r="J6" s="13"/>
      <c r="K6" s="47" t="s">
        <v>21</v>
      </c>
      <c r="L6" s="65">
        <f>IFERROR(SUM(I2:I10),"")</f>
        <v>67</v>
      </c>
      <c r="M6" s="13"/>
      <c r="N6" s="160" t="s">
        <v>29</v>
      </c>
      <c r="O6" s="50">
        <f>iferror(L7/L6,"")</f>
        <v>0.8507462687</v>
      </c>
      <c r="P6" s="12"/>
      <c r="Q6" s="51" t="s">
        <v>60</v>
      </c>
      <c r="R6" s="52">
        <f>IFERROR(COUNTIFS(N13:N283, "fear"),"")</f>
        <v>4</v>
      </c>
      <c r="S6" s="13"/>
      <c r="T6" s="53" t="s">
        <v>61</v>
      </c>
      <c r="U6" s="54">
        <f>IFERROR(COUNTIF(H13:H283,T6),"")</f>
        <v>0</v>
      </c>
      <c r="V6" s="56"/>
    </row>
    <row r="7">
      <c r="A7" s="13"/>
      <c r="B7" s="159" t="s">
        <v>63</v>
      </c>
      <c r="C7" s="67">
        <f>IFERROR(I2+I3,"")</f>
        <v>17</v>
      </c>
      <c r="D7" s="13"/>
      <c r="E7" s="244" t="s">
        <v>527</v>
      </c>
      <c r="F7" s="245">
        <f>C3/C7</f>
        <v>9117.647059</v>
      </c>
      <c r="H7" s="154" t="s">
        <v>64</v>
      </c>
      <c r="I7" s="155">
        <f>IFERROR(COUNTIFS(I13:I284, "Drag Over &amp; Show"),"")</f>
        <v>0</v>
      </c>
      <c r="J7" s="13"/>
      <c r="K7" s="47" t="s">
        <v>22</v>
      </c>
      <c r="L7" s="65">
        <f>IFERROR(SUM(I2:I7),"")</f>
        <v>57</v>
      </c>
      <c r="M7" s="13"/>
      <c r="N7" s="161" t="s">
        <v>30</v>
      </c>
      <c r="O7" s="69">
        <f>IFERROR(L8/L6,"")</f>
        <v>0.8507462687</v>
      </c>
      <c r="P7" s="12"/>
      <c r="Q7" s="70" t="s">
        <v>65</v>
      </c>
      <c r="R7" s="71">
        <f>IFERROR(COUNTIFS(N14:N284, "value"),"")</f>
        <v>4</v>
      </c>
      <c r="S7" s="13"/>
      <c r="T7" s="53" t="s">
        <v>66</v>
      </c>
      <c r="U7" s="54">
        <f>IFERROR(COUNTIF(H13:H283,T7),"")</f>
        <v>0</v>
      </c>
      <c r="V7" s="34"/>
    </row>
    <row r="8">
      <c r="A8" s="13"/>
      <c r="B8" s="159" t="s">
        <v>68</v>
      </c>
      <c r="C8" s="72">
        <f>COUNTIF(I13:I283,"offer &amp; didn't buy")+countif(I13:I283,"deposit")+countif(I13:I283,"bad fit &amp; no offer")</f>
        <v>40</v>
      </c>
      <c r="D8" s="73"/>
      <c r="E8" s="244" t="s">
        <v>529</v>
      </c>
      <c r="F8" s="245">
        <f>C4/C7</f>
        <v>3811.764706</v>
      </c>
      <c r="H8" s="154" t="s">
        <v>69</v>
      </c>
      <c r="I8" s="155">
        <f>IFERROR(COUNTIFS(I13:I284, "Rescheduled"),"")</f>
        <v>5</v>
      </c>
      <c r="J8" s="13"/>
      <c r="K8" s="47" t="s">
        <v>23</v>
      </c>
      <c r="L8" s="65">
        <f>IFERROR(SUM(I2:I6),"")</f>
        <v>57</v>
      </c>
      <c r="M8" s="34"/>
      <c r="N8" s="34"/>
      <c r="O8" s="34"/>
      <c r="P8" s="34"/>
      <c r="Q8" s="34"/>
      <c r="R8" s="75"/>
      <c r="S8" s="13"/>
      <c r="T8" s="76" t="s">
        <v>70</v>
      </c>
      <c r="U8" s="77">
        <f>IFERROR(COUNTIF(H13:H283,T8),"")</f>
        <v>0</v>
      </c>
      <c r="V8" s="34"/>
    </row>
    <row r="9">
      <c r="A9" s="13"/>
      <c r="B9" s="159" t="s">
        <v>72</v>
      </c>
      <c r="C9" s="79">
        <f>iferror(SUM(C7/C6),"")</f>
        <v>0.298245614</v>
      </c>
      <c r="D9" s="12"/>
      <c r="E9" s="249"/>
      <c r="F9" s="250"/>
      <c r="H9" s="154" t="s">
        <v>73</v>
      </c>
      <c r="I9" s="155">
        <f>IFERROR(COUNTIFS(I13:I284, "Cancelled"),"")</f>
        <v>2</v>
      </c>
      <c r="J9" s="13"/>
      <c r="K9" s="47" t="s">
        <v>24</v>
      </c>
      <c r="L9" s="65">
        <f>IFERROR(sum(I2:I5),"")</f>
        <v>55</v>
      </c>
      <c r="M9" s="34"/>
      <c r="N9" s="34"/>
      <c r="O9" s="34"/>
      <c r="P9" s="34"/>
      <c r="Q9" s="34"/>
      <c r="R9" s="75"/>
      <c r="S9" s="34"/>
      <c r="T9" s="34"/>
      <c r="U9" s="34"/>
      <c r="V9" s="34"/>
    </row>
    <row r="10">
      <c r="A10" s="34"/>
      <c r="B10" s="34"/>
      <c r="C10" s="34"/>
      <c r="D10" s="13"/>
      <c r="E10" s="251"/>
      <c r="F10" s="252"/>
      <c r="H10" s="162" t="s">
        <v>74</v>
      </c>
      <c r="I10" s="163">
        <f>IFERROR(COUNTIFS(I13:I284, "No-Show"),"")</f>
        <v>3</v>
      </c>
      <c r="J10" s="13"/>
      <c r="K10" s="82" t="s">
        <v>75</v>
      </c>
      <c r="L10" s="83">
        <f>I2+I3</f>
        <v>17</v>
      </c>
      <c r="M10" s="34"/>
      <c r="N10" s="34"/>
      <c r="O10" s="34"/>
      <c r="P10" s="34"/>
      <c r="Q10" s="34"/>
      <c r="R10" s="75"/>
      <c r="S10" s="34"/>
      <c r="T10" s="34"/>
      <c r="U10" s="34"/>
      <c r="V10" s="34"/>
    </row>
    <row r="11" ht="6.0" customHeight="1">
      <c r="A11" s="34"/>
      <c r="B11" s="34"/>
      <c r="C11" s="34"/>
      <c r="D11" s="34"/>
      <c r="H11" s="34"/>
      <c r="I11" s="34"/>
      <c r="J11" s="34"/>
      <c r="K11" s="34"/>
      <c r="L11" s="34"/>
      <c r="M11" s="34"/>
      <c r="N11" s="34"/>
      <c r="O11" s="34"/>
      <c r="P11" s="34"/>
      <c r="Q11" s="34"/>
      <c r="R11" s="75"/>
      <c r="S11" s="34"/>
      <c r="T11" s="34"/>
      <c r="U11" s="34"/>
      <c r="V11" s="34"/>
    </row>
    <row r="12">
      <c r="A12" s="34"/>
      <c r="B12" s="86" t="s">
        <v>76</v>
      </c>
      <c r="C12" s="86" t="s">
        <v>77</v>
      </c>
      <c r="D12" s="34"/>
      <c r="E12" s="89" t="s">
        <v>78</v>
      </c>
      <c r="F12" s="89" t="s">
        <v>56</v>
      </c>
      <c r="G12" s="34"/>
      <c r="H12" s="89" t="s">
        <v>37</v>
      </c>
      <c r="I12" s="89" t="s">
        <v>33</v>
      </c>
      <c r="J12" s="34"/>
      <c r="K12" s="89" t="s">
        <v>80</v>
      </c>
      <c r="L12" s="89" t="s">
        <v>48</v>
      </c>
      <c r="M12" s="34"/>
      <c r="N12" s="89" t="s">
        <v>81</v>
      </c>
      <c r="O12" s="90" t="s">
        <v>82</v>
      </c>
      <c r="P12" s="34"/>
      <c r="Q12" s="89" t="s">
        <v>83</v>
      </c>
      <c r="R12" s="89" t="s">
        <v>84</v>
      </c>
      <c r="S12" s="89" t="s">
        <v>85</v>
      </c>
      <c r="T12" s="89" t="s">
        <v>86</v>
      </c>
      <c r="V12" s="56"/>
    </row>
    <row r="13" ht="15.75" customHeight="1">
      <c r="A13" s="91"/>
      <c r="B13" s="166">
        <v>45962.0</v>
      </c>
      <c r="C13" s="267" t="s">
        <v>796</v>
      </c>
      <c r="D13" s="94"/>
      <c r="E13" s="127" t="s">
        <v>797</v>
      </c>
      <c r="F13" s="216" t="s">
        <v>798</v>
      </c>
      <c r="G13" s="97"/>
      <c r="H13" s="98" t="s">
        <v>90</v>
      </c>
      <c r="I13" s="99" t="s">
        <v>107</v>
      </c>
      <c r="J13" s="97"/>
      <c r="K13" s="101">
        <v>9000.0</v>
      </c>
      <c r="L13" s="101">
        <v>1800.0</v>
      </c>
      <c r="M13" s="102"/>
      <c r="N13" s="103" t="s">
        <v>45</v>
      </c>
      <c r="O13" s="104" t="s">
        <v>1050</v>
      </c>
      <c r="P13" s="97"/>
      <c r="Q13" s="105">
        <v>5.0</v>
      </c>
      <c r="R13" s="107"/>
      <c r="S13" s="105" t="s">
        <v>110</v>
      </c>
      <c r="T13" s="222"/>
      <c r="U13" s="107"/>
      <c r="V13" s="108"/>
    </row>
    <row r="14" ht="15.75" customHeight="1">
      <c r="A14" s="97"/>
      <c r="B14" s="166">
        <v>45962.0</v>
      </c>
      <c r="C14" s="258" t="s">
        <v>1051</v>
      </c>
      <c r="D14" s="105"/>
      <c r="E14" s="127" t="s">
        <v>1052</v>
      </c>
      <c r="F14" s="216" t="s">
        <v>1053</v>
      </c>
      <c r="G14" s="97"/>
      <c r="H14" s="98" t="s">
        <v>90</v>
      </c>
      <c r="I14" s="99" t="s">
        <v>91</v>
      </c>
      <c r="J14" s="97"/>
      <c r="K14" s="114"/>
      <c r="L14" s="101"/>
      <c r="M14" s="102"/>
      <c r="N14" s="103" t="s">
        <v>45</v>
      </c>
      <c r="O14" s="104" t="s">
        <v>1054</v>
      </c>
      <c r="P14" s="97"/>
      <c r="Q14" s="115"/>
      <c r="R14" s="116"/>
      <c r="S14" s="105" t="s">
        <v>99</v>
      </c>
      <c r="T14" s="117" t="s">
        <v>1055</v>
      </c>
      <c r="U14" s="105"/>
      <c r="V14" s="108"/>
    </row>
    <row r="15" ht="15.75" customHeight="1">
      <c r="A15" s="97"/>
      <c r="B15" s="166">
        <v>45963.0</v>
      </c>
      <c r="C15" s="258" t="s">
        <v>1056</v>
      </c>
      <c r="D15" s="97"/>
      <c r="E15" s="127" t="s">
        <v>1057</v>
      </c>
      <c r="F15" s="216" t="s">
        <v>1058</v>
      </c>
      <c r="G15" s="97"/>
      <c r="H15" s="98" t="s">
        <v>90</v>
      </c>
      <c r="I15" s="99" t="s">
        <v>98</v>
      </c>
      <c r="J15" s="97"/>
      <c r="K15" s="101"/>
      <c r="L15" s="101"/>
      <c r="M15" s="102"/>
      <c r="N15" s="103"/>
      <c r="O15" s="104"/>
      <c r="P15" s="97"/>
      <c r="Q15" s="105"/>
      <c r="R15" s="116"/>
      <c r="S15" s="105"/>
      <c r="T15" s="105"/>
      <c r="V15" s="108"/>
    </row>
    <row r="16" ht="15.75" customHeight="1">
      <c r="A16" s="97"/>
      <c r="B16" s="166">
        <v>45963.0</v>
      </c>
      <c r="C16" s="258" t="s">
        <v>1059</v>
      </c>
      <c r="D16" s="97"/>
      <c r="E16" s="127" t="s">
        <v>1060</v>
      </c>
      <c r="F16" s="216" t="s">
        <v>1061</v>
      </c>
      <c r="G16" s="97"/>
      <c r="H16" s="98" t="s">
        <v>90</v>
      </c>
      <c r="I16" s="99" t="s">
        <v>333</v>
      </c>
      <c r="J16" s="97"/>
      <c r="K16" s="114"/>
      <c r="L16" s="114"/>
      <c r="M16" s="102"/>
      <c r="N16" s="103" t="s">
        <v>45</v>
      </c>
      <c r="O16" s="104" t="s">
        <v>1062</v>
      </c>
      <c r="P16" s="97"/>
      <c r="Q16" s="97"/>
      <c r="R16" s="126"/>
      <c r="S16" s="105" t="s">
        <v>335</v>
      </c>
      <c r="T16" s="119"/>
      <c r="U16" s="97"/>
      <c r="V16" s="108"/>
    </row>
    <row r="17" ht="15.75" customHeight="1">
      <c r="A17" s="97"/>
      <c r="B17" s="166">
        <v>45963.0</v>
      </c>
      <c r="C17" s="268" t="s">
        <v>1023</v>
      </c>
      <c r="D17" s="97"/>
      <c r="E17" s="262" t="s">
        <v>1024</v>
      </c>
      <c r="F17" s="216" t="s">
        <v>1025</v>
      </c>
      <c r="G17" s="97"/>
      <c r="H17" s="98" t="s">
        <v>90</v>
      </c>
      <c r="I17" s="99" t="s">
        <v>107</v>
      </c>
      <c r="J17" s="97"/>
      <c r="K17" s="101">
        <v>4500.0</v>
      </c>
      <c r="L17" s="101">
        <v>1500.0</v>
      </c>
      <c r="M17" s="102"/>
      <c r="N17" s="103"/>
      <c r="O17" s="125"/>
      <c r="P17" s="97"/>
      <c r="Q17" s="97"/>
      <c r="R17" s="126"/>
      <c r="S17" s="105" t="s">
        <v>110</v>
      </c>
      <c r="T17" s="119" t="s">
        <v>1063</v>
      </c>
      <c r="U17" s="97"/>
      <c r="V17" s="108"/>
    </row>
    <row r="18" ht="15.75" customHeight="1">
      <c r="A18" s="97"/>
      <c r="B18" s="166">
        <v>45964.0</v>
      </c>
      <c r="C18" s="258" t="s">
        <v>1064</v>
      </c>
      <c r="D18" s="97"/>
      <c r="E18" s="127" t="s">
        <v>1065</v>
      </c>
      <c r="F18" s="216" t="s">
        <v>1066</v>
      </c>
      <c r="G18" s="97"/>
      <c r="H18" s="98" t="s">
        <v>90</v>
      </c>
      <c r="I18" s="99" t="s">
        <v>91</v>
      </c>
      <c r="J18" s="97"/>
      <c r="K18" s="114"/>
      <c r="L18" s="114"/>
      <c r="M18" s="102"/>
      <c r="N18" s="124"/>
      <c r="O18" s="104" t="s">
        <v>1067</v>
      </c>
      <c r="P18" s="97"/>
      <c r="Q18" s="97"/>
      <c r="R18" s="126"/>
      <c r="S18" s="105" t="s">
        <v>93</v>
      </c>
      <c r="T18" s="119" t="s">
        <v>1068</v>
      </c>
      <c r="U18" s="97"/>
      <c r="V18" s="108"/>
    </row>
    <row r="19" ht="15.75" customHeight="1">
      <c r="A19" s="91"/>
      <c r="B19" s="166">
        <v>45964.0</v>
      </c>
      <c r="C19" s="258" t="s">
        <v>1069</v>
      </c>
      <c r="D19" s="97"/>
      <c r="E19" s="127" t="s">
        <v>1070</v>
      </c>
      <c r="F19" s="216" t="s">
        <v>1071</v>
      </c>
      <c r="G19" s="97"/>
      <c r="H19" s="98" t="s">
        <v>90</v>
      </c>
      <c r="I19" s="99" t="s">
        <v>178</v>
      </c>
      <c r="J19" s="97"/>
      <c r="K19" s="101">
        <v>6000.0</v>
      </c>
      <c r="L19" s="101">
        <v>6000.0</v>
      </c>
      <c r="M19" s="102"/>
      <c r="N19" s="124"/>
      <c r="O19" s="104"/>
      <c r="P19" s="97"/>
      <c r="Q19" s="105">
        <v>4.0</v>
      </c>
      <c r="R19" s="165"/>
      <c r="S19" s="105" t="s">
        <v>110</v>
      </c>
      <c r="T19" s="105" t="s">
        <v>1072</v>
      </c>
      <c r="V19" s="108"/>
    </row>
    <row r="20" ht="15.75" customHeight="1">
      <c r="A20" s="91"/>
      <c r="B20" s="166">
        <v>45965.0</v>
      </c>
      <c r="C20" s="258" t="s">
        <v>1073</v>
      </c>
      <c r="D20" s="97"/>
      <c r="E20" s="127" t="s">
        <v>1074</v>
      </c>
      <c r="F20" s="216" t="s">
        <v>1075</v>
      </c>
      <c r="G20" s="97"/>
      <c r="H20" s="98" t="s">
        <v>90</v>
      </c>
      <c r="I20" s="99" t="s">
        <v>91</v>
      </c>
      <c r="J20" s="97"/>
      <c r="K20" s="114"/>
      <c r="L20" s="114"/>
      <c r="M20" s="102"/>
      <c r="N20" s="103" t="s">
        <v>45</v>
      </c>
      <c r="O20" s="104" t="s">
        <v>1076</v>
      </c>
      <c r="P20" s="97"/>
      <c r="Q20" s="105"/>
      <c r="R20" s="126"/>
      <c r="S20" s="105" t="s">
        <v>116</v>
      </c>
      <c r="T20" s="105" t="s">
        <v>1077</v>
      </c>
      <c r="V20" s="108"/>
    </row>
    <row r="21" ht="15.75" customHeight="1">
      <c r="A21" s="91"/>
      <c r="B21" s="166">
        <v>45965.0</v>
      </c>
      <c r="C21" s="258" t="s">
        <v>754</v>
      </c>
      <c r="D21" s="97"/>
      <c r="E21" s="127" t="s">
        <v>755</v>
      </c>
      <c r="F21" s="216" t="s">
        <v>756</v>
      </c>
      <c r="G21" s="97"/>
      <c r="H21" s="98" t="s">
        <v>90</v>
      </c>
      <c r="I21" s="105" t="s">
        <v>91</v>
      </c>
      <c r="J21" s="97"/>
      <c r="K21" s="101"/>
      <c r="L21" s="101"/>
      <c r="M21" s="102"/>
      <c r="N21" s="103" t="s">
        <v>45</v>
      </c>
      <c r="O21" s="104"/>
      <c r="P21" s="97"/>
      <c r="Q21" s="115"/>
      <c r="R21" s="107"/>
      <c r="S21" s="105"/>
      <c r="T21" s="105"/>
      <c r="V21" s="108"/>
    </row>
    <row r="22" ht="15.75" customHeight="1">
      <c r="A22" s="91"/>
      <c r="B22" s="166">
        <v>45965.0</v>
      </c>
      <c r="C22" s="258" t="s">
        <v>1078</v>
      </c>
      <c r="D22" s="97"/>
      <c r="E22" s="127" t="s">
        <v>1079</v>
      </c>
      <c r="F22" s="216" t="s">
        <v>1080</v>
      </c>
      <c r="G22" s="97"/>
      <c r="H22" s="98" t="s">
        <v>90</v>
      </c>
      <c r="I22" s="105" t="s">
        <v>91</v>
      </c>
      <c r="J22" s="97"/>
      <c r="K22" s="114"/>
      <c r="L22" s="114"/>
      <c r="M22" s="102"/>
      <c r="N22" s="103" t="s">
        <v>45</v>
      </c>
      <c r="O22" s="104" t="s">
        <v>1081</v>
      </c>
      <c r="P22" s="97"/>
      <c r="Q22" s="97"/>
      <c r="R22" s="126"/>
      <c r="S22" s="97"/>
      <c r="T22" s="97"/>
      <c r="V22" s="108"/>
    </row>
    <row r="23" ht="15.75" customHeight="1">
      <c r="A23" s="91"/>
      <c r="B23" s="166">
        <v>45966.0</v>
      </c>
      <c r="C23" s="258" t="s">
        <v>1082</v>
      </c>
      <c r="D23" s="97"/>
      <c r="E23" s="127" t="s">
        <v>1083</v>
      </c>
      <c r="F23" s="216" t="s">
        <v>1084</v>
      </c>
      <c r="G23" s="97"/>
      <c r="H23" s="98" t="s">
        <v>90</v>
      </c>
      <c r="I23" s="105" t="s">
        <v>91</v>
      </c>
      <c r="J23" s="97"/>
      <c r="K23" s="101"/>
      <c r="L23" s="101"/>
      <c r="M23" s="102"/>
      <c r="N23" s="103" t="s">
        <v>55</v>
      </c>
      <c r="O23" s="104" t="s">
        <v>1085</v>
      </c>
      <c r="P23" s="97"/>
      <c r="Q23" s="115"/>
      <c r="R23" s="107"/>
      <c r="S23" s="105" t="s">
        <v>570</v>
      </c>
      <c r="T23" s="105" t="s">
        <v>1086</v>
      </c>
      <c r="V23" s="108"/>
    </row>
    <row r="24" ht="15.75" customHeight="1">
      <c r="A24" s="91"/>
      <c r="B24" s="166">
        <v>45966.0</v>
      </c>
      <c r="C24" s="258" t="s">
        <v>1002</v>
      </c>
      <c r="D24" s="97"/>
      <c r="E24" s="127" t="s">
        <v>1003</v>
      </c>
      <c r="F24" s="216" t="s">
        <v>1087</v>
      </c>
      <c r="G24" s="97"/>
      <c r="H24" s="98" t="s">
        <v>90</v>
      </c>
      <c r="I24" s="105" t="s">
        <v>107</v>
      </c>
      <c r="J24" s="97"/>
      <c r="K24" s="101">
        <v>16500.0</v>
      </c>
      <c r="L24" s="101">
        <v>1500.0</v>
      </c>
      <c r="M24" s="102"/>
      <c r="N24" s="103" t="s">
        <v>45</v>
      </c>
      <c r="O24" s="104" t="s">
        <v>1088</v>
      </c>
      <c r="P24" s="97"/>
      <c r="Q24" s="105">
        <v>7.0</v>
      </c>
      <c r="R24" s="107"/>
      <c r="S24" s="105" t="s">
        <v>110</v>
      </c>
      <c r="T24" s="105"/>
      <c r="V24" s="108"/>
    </row>
    <row r="25" ht="15.75" customHeight="1">
      <c r="A25" s="91"/>
      <c r="B25" s="166">
        <v>45966.0</v>
      </c>
      <c r="C25" s="258" t="s">
        <v>1056</v>
      </c>
      <c r="D25" s="97"/>
      <c r="E25" s="127" t="s">
        <v>1057</v>
      </c>
      <c r="F25" s="216" t="s">
        <v>1058</v>
      </c>
      <c r="G25" s="97"/>
      <c r="H25" s="98" t="s">
        <v>90</v>
      </c>
      <c r="I25" s="105" t="s">
        <v>333</v>
      </c>
      <c r="J25" s="97"/>
      <c r="K25" s="101"/>
      <c r="L25" s="101">
        <v>1500.0</v>
      </c>
      <c r="M25" s="102"/>
      <c r="N25" s="103" t="s">
        <v>50</v>
      </c>
      <c r="O25" s="104" t="s">
        <v>1089</v>
      </c>
      <c r="P25" s="97"/>
      <c r="Q25" s="97"/>
      <c r="R25" s="126"/>
      <c r="S25" s="105" t="s">
        <v>110</v>
      </c>
      <c r="T25" s="105" t="s">
        <v>1090</v>
      </c>
      <c r="V25" s="108"/>
    </row>
    <row r="26" ht="15.75" customHeight="1">
      <c r="A26" s="91"/>
      <c r="B26" s="166">
        <v>45966.0</v>
      </c>
      <c r="C26" s="258" t="s">
        <v>1091</v>
      </c>
      <c r="D26" s="97"/>
      <c r="E26" s="127" t="s">
        <v>1092</v>
      </c>
      <c r="F26" s="216" t="s">
        <v>1093</v>
      </c>
      <c r="G26" s="97"/>
      <c r="H26" s="98" t="s">
        <v>90</v>
      </c>
      <c r="I26" s="105" t="s">
        <v>175</v>
      </c>
      <c r="J26" s="97"/>
      <c r="K26" s="114"/>
      <c r="L26" s="114"/>
      <c r="M26" s="102"/>
      <c r="N26" s="103"/>
      <c r="O26" s="104"/>
      <c r="P26" s="97"/>
      <c r="Q26" s="115"/>
      <c r="R26" s="116"/>
      <c r="S26" s="105"/>
      <c r="T26" s="105"/>
      <c r="V26" s="108"/>
    </row>
    <row r="27" ht="15.75" customHeight="1">
      <c r="A27" s="91"/>
      <c r="B27" s="166">
        <v>45967.0</v>
      </c>
      <c r="C27" s="258" t="s">
        <v>1094</v>
      </c>
      <c r="D27" s="97"/>
      <c r="E27" s="127" t="s">
        <v>1095</v>
      </c>
      <c r="F27" s="216" t="s">
        <v>1096</v>
      </c>
      <c r="G27" s="97"/>
      <c r="H27" s="98" t="s">
        <v>90</v>
      </c>
      <c r="I27" s="105" t="s">
        <v>178</v>
      </c>
      <c r="J27" s="97"/>
      <c r="K27" s="101">
        <v>6000.0</v>
      </c>
      <c r="L27" s="101">
        <v>6000.0</v>
      </c>
      <c r="M27" s="102"/>
      <c r="N27" s="103" t="s">
        <v>45</v>
      </c>
      <c r="O27" s="104" t="s">
        <v>1097</v>
      </c>
      <c r="P27" s="97"/>
      <c r="Q27" s="105">
        <v>4.0</v>
      </c>
      <c r="R27" s="126"/>
      <c r="S27" s="105" t="s">
        <v>110</v>
      </c>
      <c r="T27" s="105" t="s">
        <v>1098</v>
      </c>
      <c r="V27" s="108"/>
    </row>
    <row r="28" ht="15.75" customHeight="1">
      <c r="A28" s="91"/>
      <c r="B28" s="166">
        <v>45967.0</v>
      </c>
      <c r="C28" s="258" t="s">
        <v>1099</v>
      </c>
      <c r="D28" s="97"/>
      <c r="E28" s="127" t="s">
        <v>1100</v>
      </c>
      <c r="F28" s="216" t="s">
        <v>1101</v>
      </c>
      <c r="G28" s="97"/>
      <c r="H28" s="98" t="s">
        <v>90</v>
      </c>
      <c r="I28" s="105" t="s">
        <v>91</v>
      </c>
      <c r="J28" s="97"/>
      <c r="K28" s="114"/>
      <c r="L28" s="114"/>
      <c r="M28" s="102"/>
      <c r="N28" s="103" t="s">
        <v>45</v>
      </c>
      <c r="O28" s="104" t="s">
        <v>1102</v>
      </c>
      <c r="P28" s="97"/>
      <c r="Q28" s="97"/>
      <c r="R28" s="126"/>
      <c r="S28" s="105" t="s">
        <v>99</v>
      </c>
      <c r="T28" s="105" t="s">
        <v>1103</v>
      </c>
      <c r="V28" s="108"/>
    </row>
    <row r="29" ht="15.75" customHeight="1">
      <c r="A29" s="91"/>
      <c r="B29" s="166">
        <v>45967.0</v>
      </c>
      <c r="C29" s="258" t="s">
        <v>1104</v>
      </c>
      <c r="D29" s="97"/>
      <c r="E29" s="127" t="s">
        <v>1105</v>
      </c>
      <c r="F29" s="216" t="s">
        <v>1106</v>
      </c>
      <c r="G29" s="97"/>
      <c r="H29" s="98" t="s">
        <v>90</v>
      </c>
      <c r="I29" s="105" t="s">
        <v>91</v>
      </c>
      <c r="J29" s="97"/>
      <c r="K29" s="101"/>
      <c r="L29" s="101"/>
      <c r="M29" s="102"/>
      <c r="N29" s="103" t="s">
        <v>65</v>
      </c>
      <c r="O29" s="104" t="s">
        <v>1107</v>
      </c>
      <c r="P29" s="97"/>
      <c r="Q29" s="115"/>
      <c r="R29" s="107"/>
      <c r="S29" s="105" t="s">
        <v>99</v>
      </c>
      <c r="T29" s="105" t="s">
        <v>1108</v>
      </c>
      <c r="V29" s="108"/>
    </row>
    <row r="30" ht="15.75" customHeight="1">
      <c r="A30" s="91"/>
      <c r="B30" s="166">
        <v>45968.0</v>
      </c>
      <c r="C30" s="258" t="s">
        <v>1109</v>
      </c>
      <c r="D30" s="97"/>
      <c r="E30" s="127" t="s">
        <v>1110</v>
      </c>
      <c r="F30" s="216" t="s">
        <v>1111</v>
      </c>
      <c r="G30" s="97"/>
      <c r="H30" s="98" t="s">
        <v>90</v>
      </c>
      <c r="I30" s="105" t="s">
        <v>98</v>
      </c>
      <c r="J30" s="97"/>
      <c r="K30" s="114"/>
      <c r="L30" s="114"/>
      <c r="M30" s="102"/>
      <c r="N30" s="124"/>
      <c r="O30" s="125"/>
      <c r="P30" s="97"/>
      <c r="Q30" s="97"/>
      <c r="R30" s="126"/>
      <c r="S30" s="97"/>
      <c r="T30" s="97"/>
      <c r="V30" s="108"/>
    </row>
    <row r="31" ht="15.75" customHeight="1">
      <c r="A31" s="91"/>
      <c r="B31" s="166">
        <v>45968.0</v>
      </c>
      <c r="C31" s="258" t="s">
        <v>1112</v>
      </c>
      <c r="D31" s="97"/>
      <c r="E31" s="127" t="s">
        <v>1113</v>
      </c>
      <c r="F31" s="216" t="s">
        <v>1114</v>
      </c>
      <c r="G31" s="97"/>
      <c r="H31" s="98" t="s">
        <v>90</v>
      </c>
      <c r="I31" s="105" t="s">
        <v>91</v>
      </c>
      <c r="J31" s="97"/>
      <c r="K31" s="101"/>
      <c r="L31" s="101"/>
      <c r="M31" s="102"/>
      <c r="N31" s="103" t="s">
        <v>65</v>
      </c>
      <c r="O31" s="104" t="s">
        <v>1115</v>
      </c>
      <c r="P31" s="97"/>
      <c r="Q31" s="115"/>
      <c r="R31" s="107"/>
      <c r="S31" s="105" t="s">
        <v>99</v>
      </c>
      <c r="T31" s="105" t="s">
        <v>1116</v>
      </c>
      <c r="V31" s="108"/>
    </row>
    <row r="32" ht="15.75" customHeight="1">
      <c r="A32" s="91"/>
      <c r="B32" s="166">
        <v>45968.0</v>
      </c>
      <c r="C32" s="259" t="s">
        <v>1117</v>
      </c>
      <c r="D32" s="97"/>
      <c r="E32" s="127" t="s">
        <v>1118</v>
      </c>
      <c r="F32" s="216" t="s">
        <v>1119</v>
      </c>
      <c r="G32" s="97"/>
      <c r="H32" s="98" t="s">
        <v>90</v>
      </c>
      <c r="I32" s="105" t="s">
        <v>107</v>
      </c>
      <c r="J32" s="97"/>
      <c r="K32" s="101">
        <v>9000.0</v>
      </c>
      <c r="L32" s="101">
        <v>3000.0</v>
      </c>
      <c r="M32" s="102"/>
      <c r="N32" s="124"/>
      <c r="O32" s="125"/>
      <c r="P32" s="97"/>
      <c r="Q32" s="105">
        <v>6.0</v>
      </c>
      <c r="R32" s="126"/>
      <c r="S32" s="105" t="s">
        <v>110</v>
      </c>
      <c r="T32" s="97"/>
      <c r="V32" s="108"/>
    </row>
    <row r="33" ht="15.75" customHeight="1">
      <c r="A33" s="91"/>
      <c r="B33" s="166">
        <v>45969.0</v>
      </c>
      <c r="C33" s="258" t="s">
        <v>1120</v>
      </c>
      <c r="D33" s="97"/>
      <c r="E33" s="127" t="s">
        <v>1121</v>
      </c>
      <c r="F33" s="216" t="s">
        <v>1122</v>
      </c>
      <c r="G33" s="97"/>
      <c r="H33" s="98" t="s">
        <v>90</v>
      </c>
      <c r="I33" s="105" t="s">
        <v>91</v>
      </c>
      <c r="J33" s="97"/>
      <c r="K33" s="101"/>
      <c r="L33" s="101"/>
      <c r="M33" s="102"/>
      <c r="N33" s="103" t="s">
        <v>45</v>
      </c>
      <c r="O33" s="104" t="s">
        <v>1123</v>
      </c>
      <c r="P33" s="97"/>
      <c r="Q33" s="97"/>
      <c r="R33" s="126"/>
      <c r="S33" s="105" t="s">
        <v>99</v>
      </c>
      <c r="T33" s="105" t="s">
        <v>1124</v>
      </c>
      <c r="V33" s="108"/>
    </row>
    <row r="34" ht="15.75" customHeight="1">
      <c r="A34" s="91"/>
      <c r="B34" s="166">
        <v>45970.0</v>
      </c>
      <c r="C34" s="258" t="s">
        <v>1125</v>
      </c>
      <c r="D34" s="97"/>
      <c r="E34" s="127" t="s">
        <v>1126</v>
      </c>
      <c r="F34" s="216" t="s">
        <v>1127</v>
      </c>
      <c r="G34" s="97"/>
      <c r="H34" s="98" t="s">
        <v>90</v>
      </c>
      <c r="I34" s="105" t="s">
        <v>178</v>
      </c>
      <c r="J34" s="97"/>
      <c r="K34" s="101">
        <v>9000.0</v>
      </c>
      <c r="L34" s="101">
        <v>9000.0</v>
      </c>
      <c r="M34" s="102"/>
      <c r="N34" s="124"/>
      <c r="O34" s="125"/>
      <c r="P34" s="97"/>
      <c r="Q34" s="105">
        <v>6.0</v>
      </c>
      <c r="R34" s="126"/>
      <c r="S34" s="105" t="s">
        <v>110</v>
      </c>
      <c r="T34" s="105"/>
      <c r="V34" s="108"/>
    </row>
    <row r="35" ht="15.75" customHeight="1">
      <c r="A35" s="91"/>
      <c r="B35" s="166">
        <v>45970.0</v>
      </c>
      <c r="C35" s="258" t="s">
        <v>1128</v>
      </c>
      <c r="D35" s="97"/>
      <c r="E35" s="127" t="s">
        <v>1129</v>
      </c>
      <c r="F35" s="216" t="s">
        <v>1130</v>
      </c>
      <c r="G35" s="97"/>
      <c r="H35" s="98" t="s">
        <v>90</v>
      </c>
      <c r="I35" s="105" t="s">
        <v>91</v>
      </c>
      <c r="J35" s="97"/>
      <c r="K35" s="101"/>
      <c r="L35" s="101"/>
      <c r="M35" s="102"/>
      <c r="N35" s="103" t="s">
        <v>45</v>
      </c>
      <c r="O35" s="104" t="s">
        <v>1131</v>
      </c>
      <c r="P35" s="97"/>
      <c r="Q35" s="115"/>
      <c r="R35" s="107"/>
      <c r="S35" s="105" t="s">
        <v>99</v>
      </c>
      <c r="T35" s="105" t="s">
        <v>1132</v>
      </c>
      <c r="V35" s="108"/>
    </row>
    <row r="36" ht="15.75" customHeight="1">
      <c r="A36" s="91"/>
      <c r="B36" s="166">
        <v>45970.0</v>
      </c>
      <c r="C36" s="269" t="s">
        <v>1133</v>
      </c>
      <c r="D36" s="97"/>
      <c r="E36" s="127" t="s">
        <v>1134</v>
      </c>
      <c r="F36" s="216" t="s">
        <v>1135</v>
      </c>
      <c r="G36" s="97"/>
      <c r="H36" s="98" t="s">
        <v>90</v>
      </c>
      <c r="I36" s="105" t="s">
        <v>107</v>
      </c>
      <c r="J36" s="97"/>
      <c r="K36" s="101">
        <v>10500.0</v>
      </c>
      <c r="L36" s="101">
        <v>3000.0</v>
      </c>
      <c r="M36" s="102"/>
      <c r="N36" s="124"/>
      <c r="O36" s="125"/>
      <c r="P36" s="97"/>
      <c r="Q36" s="105">
        <v>6.0</v>
      </c>
      <c r="R36" s="107"/>
      <c r="S36" s="105" t="s">
        <v>110</v>
      </c>
      <c r="T36" s="188" t="s">
        <v>1136</v>
      </c>
      <c r="V36" s="108"/>
    </row>
    <row r="37" ht="15.75" customHeight="1">
      <c r="A37" s="91"/>
      <c r="B37" s="166">
        <v>45971.0</v>
      </c>
      <c r="C37" s="258" t="s">
        <v>1137</v>
      </c>
      <c r="D37" s="97"/>
      <c r="E37" s="127" t="s">
        <v>1138</v>
      </c>
      <c r="F37" s="216" t="s">
        <v>1139</v>
      </c>
      <c r="G37" s="97"/>
      <c r="H37" s="98" t="s">
        <v>90</v>
      </c>
      <c r="I37" s="105" t="s">
        <v>91</v>
      </c>
      <c r="J37" s="97"/>
      <c r="K37" s="101"/>
      <c r="L37" s="101"/>
      <c r="M37" s="102"/>
      <c r="N37" s="103" t="s">
        <v>60</v>
      </c>
      <c r="O37" s="104" t="s">
        <v>1140</v>
      </c>
      <c r="P37" s="97"/>
      <c r="Q37" s="115"/>
      <c r="R37" s="107"/>
      <c r="S37" s="105" t="s">
        <v>99</v>
      </c>
      <c r="T37" s="105" t="s">
        <v>1141</v>
      </c>
      <c r="V37" s="108"/>
    </row>
    <row r="38" ht="15.75" customHeight="1">
      <c r="A38" s="91"/>
      <c r="B38" s="166">
        <v>45971.0</v>
      </c>
      <c r="C38" s="258" t="s">
        <v>1142</v>
      </c>
      <c r="D38" s="97"/>
      <c r="E38" s="127" t="s">
        <v>1143</v>
      </c>
      <c r="F38" s="216" t="s">
        <v>1144</v>
      </c>
      <c r="G38" s="97"/>
      <c r="H38" s="98" t="s">
        <v>90</v>
      </c>
      <c r="I38" s="105" t="s">
        <v>91</v>
      </c>
      <c r="J38" s="97"/>
      <c r="K38" s="114"/>
      <c r="L38" s="114"/>
      <c r="M38" s="102"/>
      <c r="N38" s="103" t="s">
        <v>55</v>
      </c>
      <c r="O38" s="104" t="s">
        <v>1145</v>
      </c>
      <c r="P38" s="97"/>
      <c r="Q38" s="115"/>
      <c r="R38" s="107"/>
      <c r="S38" s="105" t="s">
        <v>116</v>
      </c>
      <c r="T38" s="105" t="s">
        <v>1146</v>
      </c>
      <c r="V38" s="108"/>
    </row>
    <row r="39" ht="15.75" customHeight="1">
      <c r="A39" s="91"/>
      <c r="B39" s="166">
        <v>45971.0</v>
      </c>
      <c r="C39" s="254" t="s">
        <v>1147</v>
      </c>
      <c r="D39" s="97"/>
      <c r="E39" s="167" t="s">
        <v>1148</v>
      </c>
      <c r="F39" s="219"/>
      <c r="G39" s="97"/>
      <c r="H39" s="98" t="s">
        <v>97</v>
      </c>
      <c r="I39" s="105" t="s">
        <v>91</v>
      </c>
      <c r="J39" s="97"/>
      <c r="K39" s="114"/>
      <c r="L39" s="114"/>
      <c r="M39" s="102"/>
      <c r="N39" s="103" t="s">
        <v>50</v>
      </c>
      <c r="O39" s="104" t="s">
        <v>1149</v>
      </c>
      <c r="P39" s="97"/>
      <c r="Q39" s="115"/>
      <c r="R39" s="107"/>
      <c r="S39" s="105" t="s">
        <v>116</v>
      </c>
      <c r="T39" s="105" t="s">
        <v>1150</v>
      </c>
      <c r="V39" s="108"/>
    </row>
    <row r="40" ht="15.75" customHeight="1">
      <c r="A40" s="91"/>
      <c r="B40" s="166">
        <v>45972.0</v>
      </c>
      <c r="C40" s="258" t="s">
        <v>1151</v>
      </c>
      <c r="D40" s="97"/>
      <c r="E40" s="127" t="s">
        <v>1152</v>
      </c>
      <c r="F40" s="216" t="s">
        <v>1153</v>
      </c>
      <c r="G40" s="97"/>
      <c r="H40" s="98" t="s">
        <v>90</v>
      </c>
      <c r="I40" s="105" t="s">
        <v>91</v>
      </c>
      <c r="J40" s="97"/>
      <c r="K40" s="101"/>
      <c r="L40" s="101"/>
      <c r="M40" s="102"/>
      <c r="N40" s="103" t="s">
        <v>60</v>
      </c>
      <c r="O40" s="104" t="s">
        <v>1154</v>
      </c>
      <c r="P40" s="97"/>
      <c r="Q40" s="131"/>
      <c r="R40" s="126"/>
      <c r="S40" s="105" t="s">
        <v>116</v>
      </c>
      <c r="T40" s="105" t="s">
        <v>1155</v>
      </c>
      <c r="V40" s="108"/>
    </row>
    <row r="41" ht="15.75" customHeight="1">
      <c r="A41" s="91"/>
      <c r="B41" s="166">
        <v>45972.0</v>
      </c>
      <c r="C41" s="258" t="s">
        <v>1156</v>
      </c>
      <c r="D41" s="97"/>
      <c r="E41" s="127" t="s">
        <v>1157</v>
      </c>
      <c r="F41" s="216" t="s">
        <v>1158</v>
      </c>
      <c r="G41" s="97"/>
      <c r="H41" s="98" t="s">
        <v>90</v>
      </c>
      <c r="I41" s="105" t="s">
        <v>91</v>
      </c>
      <c r="J41" s="97"/>
      <c r="K41" s="114"/>
      <c r="L41" s="114"/>
      <c r="M41" s="102"/>
      <c r="N41" s="103" t="s">
        <v>143</v>
      </c>
      <c r="O41" s="125"/>
      <c r="P41" s="97"/>
      <c r="Q41" s="97"/>
      <c r="R41" s="126"/>
      <c r="S41" s="105" t="s">
        <v>99</v>
      </c>
      <c r="T41" s="105" t="s">
        <v>1159</v>
      </c>
      <c r="V41" s="108"/>
    </row>
    <row r="42" ht="15.75" customHeight="1">
      <c r="A42" s="91"/>
      <c r="B42" s="166">
        <v>45972.0</v>
      </c>
      <c r="C42" s="258" t="s">
        <v>1160</v>
      </c>
      <c r="D42" s="97"/>
      <c r="E42" s="127" t="s">
        <v>1161</v>
      </c>
      <c r="F42" s="216" t="s">
        <v>1162</v>
      </c>
      <c r="G42" s="97"/>
      <c r="H42" s="98" t="s">
        <v>90</v>
      </c>
      <c r="I42" s="105" t="s">
        <v>91</v>
      </c>
      <c r="J42" s="97"/>
      <c r="K42" s="101"/>
      <c r="L42" s="101"/>
      <c r="M42" s="102"/>
      <c r="N42" s="103" t="s">
        <v>45</v>
      </c>
      <c r="O42" s="104" t="s">
        <v>1163</v>
      </c>
      <c r="P42" s="97"/>
      <c r="Q42" s="105"/>
      <c r="R42" s="126"/>
      <c r="S42" s="105" t="s">
        <v>99</v>
      </c>
      <c r="T42" s="105" t="s">
        <v>1164</v>
      </c>
      <c r="V42" s="108"/>
    </row>
    <row r="43" ht="15.75" customHeight="1">
      <c r="A43" s="91"/>
      <c r="B43" s="166">
        <v>45972.0</v>
      </c>
      <c r="C43" s="258" t="s">
        <v>1165</v>
      </c>
      <c r="D43" s="97"/>
      <c r="E43" s="127" t="s">
        <v>1166</v>
      </c>
      <c r="F43" s="216" t="s">
        <v>1167</v>
      </c>
      <c r="G43" s="97"/>
      <c r="H43" s="98" t="s">
        <v>90</v>
      </c>
      <c r="I43" s="105" t="s">
        <v>107</v>
      </c>
      <c r="J43" s="97"/>
      <c r="K43" s="101">
        <v>6500.0</v>
      </c>
      <c r="L43" s="101">
        <v>1500.0</v>
      </c>
      <c r="M43" s="102"/>
      <c r="N43" s="124"/>
      <c r="O43" s="125"/>
      <c r="P43" s="97"/>
      <c r="Q43" s="105">
        <v>6.0</v>
      </c>
      <c r="R43" s="126"/>
      <c r="S43" s="105" t="s">
        <v>110</v>
      </c>
      <c r="T43" s="105" t="s">
        <v>1168</v>
      </c>
      <c r="V43" s="108"/>
    </row>
    <row r="44" ht="15.75" customHeight="1">
      <c r="A44" s="91"/>
      <c r="B44" s="166">
        <v>45973.0</v>
      </c>
      <c r="C44" s="127" t="s">
        <v>1109</v>
      </c>
      <c r="D44" s="97"/>
      <c r="E44" s="127" t="s">
        <v>1110</v>
      </c>
      <c r="F44" s="216" t="s">
        <v>1111</v>
      </c>
      <c r="G44" s="97"/>
      <c r="H44" s="98" t="s">
        <v>90</v>
      </c>
      <c r="I44" s="105" t="s">
        <v>91</v>
      </c>
      <c r="J44" s="97"/>
      <c r="K44" s="101"/>
      <c r="L44" s="101"/>
      <c r="M44" s="102"/>
      <c r="N44" s="103" t="s">
        <v>45</v>
      </c>
      <c r="O44" s="104" t="s">
        <v>1169</v>
      </c>
      <c r="P44" s="97"/>
      <c r="Q44" s="115"/>
      <c r="R44" s="116"/>
      <c r="S44" s="105" t="s">
        <v>116</v>
      </c>
      <c r="T44" s="105"/>
      <c r="V44" s="108"/>
    </row>
    <row r="45" ht="15.75" customHeight="1">
      <c r="A45" s="91"/>
      <c r="B45" s="166">
        <v>45974.0</v>
      </c>
      <c r="C45" s="258" t="s">
        <v>1170</v>
      </c>
      <c r="D45" s="97"/>
      <c r="E45" s="127" t="s">
        <v>1171</v>
      </c>
      <c r="F45" s="216" t="s">
        <v>1172</v>
      </c>
      <c r="G45" s="97"/>
      <c r="H45" s="98" t="s">
        <v>90</v>
      </c>
      <c r="I45" s="105" t="s">
        <v>91</v>
      </c>
      <c r="J45" s="97"/>
      <c r="K45" s="114"/>
      <c r="L45" s="114"/>
      <c r="M45" s="102"/>
      <c r="N45" s="103" t="s">
        <v>45</v>
      </c>
      <c r="O45" s="104" t="s">
        <v>1173</v>
      </c>
      <c r="P45" s="97"/>
      <c r="Q45" s="130"/>
      <c r="R45" s="107"/>
      <c r="S45" s="105" t="s">
        <v>116</v>
      </c>
      <c r="T45" s="105" t="s">
        <v>1174</v>
      </c>
      <c r="V45" s="108"/>
    </row>
    <row r="46" ht="15.75" customHeight="1">
      <c r="A46" s="91"/>
      <c r="B46" s="166">
        <v>45975.0</v>
      </c>
      <c r="C46" s="258" t="s">
        <v>1175</v>
      </c>
      <c r="D46" s="97"/>
      <c r="E46" s="127" t="s">
        <v>1176</v>
      </c>
      <c r="F46" s="216" t="s">
        <v>1177</v>
      </c>
      <c r="G46" s="97"/>
      <c r="H46" s="98" t="s">
        <v>90</v>
      </c>
      <c r="I46" s="105" t="s">
        <v>91</v>
      </c>
      <c r="J46" s="97"/>
      <c r="K46" s="101"/>
      <c r="L46" s="101"/>
      <c r="M46" s="102"/>
      <c r="N46" s="103" t="s">
        <v>45</v>
      </c>
      <c r="O46" s="104" t="s">
        <v>1178</v>
      </c>
      <c r="P46" s="97"/>
      <c r="Q46" s="130"/>
      <c r="R46" s="107"/>
      <c r="S46" s="105" t="s">
        <v>99</v>
      </c>
      <c r="T46" s="105"/>
      <c r="V46" s="108"/>
    </row>
    <row r="47" ht="15.75" customHeight="1">
      <c r="A47" s="91"/>
      <c r="B47" s="166">
        <v>45976.0</v>
      </c>
      <c r="C47" s="258" t="s">
        <v>1179</v>
      </c>
      <c r="D47" s="97"/>
      <c r="E47" s="127" t="s">
        <v>1180</v>
      </c>
      <c r="F47" s="216" t="s">
        <v>1181</v>
      </c>
      <c r="G47" s="97"/>
      <c r="H47" s="98" t="s">
        <v>90</v>
      </c>
      <c r="I47" s="105" t="s">
        <v>333</v>
      </c>
      <c r="J47" s="97"/>
      <c r="K47" s="114"/>
      <c r="L47" s="114"/>
      <c r="M47" s="102"/>
      <c r="N47" s="103" t="s">
        <v>50</v>
      </c>
      <c r="O47" s="104" t="s">
        <v>1182</v>
      </c>
      <c r="P47" s="97"/>
      <c r="Q47" s="97"/>
      <c r="R47" s="126"/>
      <c r="S47" s="105" t="s">
        <v>335</v>
      </c>
      <c r="T47" s="105" t="s">
        <v>1183</v>
      </c>
      <c r="V47" s="108"/>
    </row>
    <row r="48" ht="15.75" customHeight="1">
      <c r="A48" s="91"/>
      <c r="B48" s="166">
        <v>45976.0</v>
      </c>
      <c r="C48" s="258" t="s">
        <v>1184</v>
      </c>
      <c r="D48" s="97"/>
      <c r="E48" s="127" t="s">
        <v>1185</v>
      </c>
      <c r="F48" s="216" t="s">
        <v>1186</v>
      </c>
      <c r="G48" s="97"/>
      <c r="H48" s="98" t="s">
        <v>90</v>
      </c>
      <c r="I48" s="105" t="s">
        <v>125</v>
      </c>
      <c r="J48" s="97"/>
      <c r="K48" s="101"/>
      <c r="L48" s="101"/>
      <c r="M48" s="102"/>
      <c r="N48" s="103"/>
      <c r="O48" s="104"/>
      <c r="P48" s="97"/>
      <c r="Q48" s="131"/>
      <c r="R48" s="126"/>
      <c r="S48" s="105" t="s">
        <v>99</v>
      </c>
      <c r="T48" s="105"/>
      <c r="V48" s="108"/>
    </row>
    <row r="49" ht="15.75" customHeight="1">
      <c r="A49" s="91"/>
      <c r="B49" s="166">
        <v>45978.0</v>
      </c>
      <c r="C49" s="258" t="s">
        <v>1187</v>
      </c>
      <c r="D49" s="97"/>
      <c r="E49" s="127" t="s">
        <v>1188</v>
      </c>
      <c r="F49" s="216" t="s">
        <v>1189</v>
      </c>
      <c r="G49" s="97"/>
      <c r="H49" s="98" t="s">
        <v>90</v>
      </c>
      <c r="I49" s="105" t="s">
        <v>91</v>
      </c>
      <c r="J49" s="97"/>
      <c r="K49" s="114"/>
      <c r="L49" s="114"/>
      <c r="M49" s="102"/>
      <c r="N49" s="103" t="s">
        <v>65</v>
      </c>
      <c r="O49" s="104" t="s">
        <v>1190</v>
      </c>
      <c r="P49" s="97"/>
      <c r="Q49" s="131"/>
      <c r="R49" s="126"/>
      <c r="S49" s="105" t="s">
        <v>99</v>
      </c>
      <c r="T49" s="105" t="s">
        <v>1191</v>
      </c>
      <c r="V49" s="108"/>
    </row>
    <row r="50" ht="15.75" customHeight="1">
      <c r="A50" s="91"/>
      <c r="B50" s="166">
        <v>45978.0</v>
      </c>
      <c r="C50" s="258" t="s">
        <v>1192</v>
      </c>
      <c r="D50" s="97"/>
      <c r="E50" s="127" t="s">
        <v>1193</v>
      </c>
      <c r="F50" s="216" t="s">
        <v>1194</v>
      </c>
      <c r="G50" s="97"/>
      <c r="H50" s="98" t="s">
        <v>90</v>
      </c>
      <c r="I50" s="105" t="s">
        <v>91</v>
      </c>
      <c r="J50" s="97"/>
      <c r="K50" s="101"/>
      <c r="L50" s="101"/>
      <c r="M50" s="102"/>
      <c r="N50" s="103" t="s">
        <v>60</v>
      </c>
      <c r="O50" s="104" t="s">
        <v>1195</v>
      </c>
      <c r="P50" s="97"/>
      <c r="Q50" s="130"/>
      <c r="R50" s="107"/>
      <c r="S50" s="105" t="s">
        <v>116</v>
      </c>
      <c r="T50" s="105" t="s">
        <v>1196</v>
      </c>
      <c r="V50" s="108"/>
    </row>
    <row r="51" ht="15.75" customHeight="1">
      <c r="A51" s="91"/>
      <c r="B51" s="166">
        <v>45978.0</v>
      </c>
      <c r="C51" s="258" t="s">
        <v>1197</v>
      </c>
      <c r="D51" s="97"/>
      <c r="E51" s="127" t="s">
        <v>1198</v>
      </c>
      <c r="F51" s="216" t="s">
        <v>1199</v>
      </c>
      <c r="G51" s="97"/>
      <c r="H51" s="98" t="s">
        <v>90</v>
      </c>
      <c r="I51" s="105" t="s">
        <v>91</v>
      </c>
      <c r="J51" s="97"/>
      <c r="K51" s="114"/>
      <c r="L51" s="114"/>
      <c r="M51" s="102"/>
      <c r="N51" s="103" t="s">
        <v>45</v>
      </c>
      <c r="O51" s="104" t="s">
        <v>1200</v>
      </c>
      <c r="P51" s="97"/>
      <c r="Q51" s="130"/>
      <c r="R51" s="133"/>
      <c r="S51" s="105" t="s">
        <v>116</v>
      </c>
      <c r="T51" s="105" t="s">
        <v>1201</v>
      </c>
      <c r="V51" s="108"/>
    </row>
    <row r="52" ht="15.75" customHeight="1">
      <c r="A52" s="91"/>
      <c r="B52" s="166">
        <v>45978.0</v>
      </c>
      <c r="C52" s="258" t="s">
        <v>1202</v>
      </c>
      <c r="D52" s="97"/>
      <c r="E52" s="127" t="s">
        <v>1203</v>
      </c>
      <c r="F52" s="216" t="s">
        <v>1204</v>
      </c>
      <c r="G52" s="97"/>
      <c r="H52" s="98" t="s">
        <v>90</v>
      </c>
      <c r="I52" s="105" t="s">
        <v>91</v>
      </c>
      <c r="J52" s="97"/>
      <c r="K52" s="101"/>
      <c r="L52" s="101"/>
      <c r="M52" s="102"/>
      <c r="N52" s="103" t="s">
        <v>45</v>
      </c>
      <c r="O52" s="104" t="s">
        <v>1205</v>
      </c>
      <c r="P52" s="97"/>
      <c r="Q52" s="130"/>
      <c r="R52" s="107"/>
      <c r="S52" s="105" t="s">
        <v>99</v>
      </c>
      <c r="T52" s="105" t="s">
        <v>1206</v>
      </c>
      <c r="V52" s="108"/>
    </row>
    <row r="53" ht="15.75" customHeight="1">
      <c r="A53" s="91"/>
      <c r="B53" s="166">
        <v>45979.0</v>
      </c>
      <c r="C53" s="258" t="s">
        <v>1207</v>
      </c>
      <c r="D53" s="97"/>
      <c r="E53" s="127" t="s">
        <v>1208</v>
      </c>
      <c r="F53" s="216" t="s">
        <v>1209</v>
      </c>
      <c r="G53" s="97"/>
      <c r="H53" s="98" t="s">
        <v>90</v>
      </c>
      <c r="I53" s="105" t="s">
        <v>91</v>
      </c>
      <c r="J53" s="97"/>
      <c r="K53" s="114"/>
      <c r="L53" s="114"/>
      <c r="M53" s="102"/>
      <c r="N53" s="124"/>
      <c r="O53" s="125"/>
      <c r="P53" s="97"/>
      <c r="Q53" s="115"/>
      <c r="R53" s="107"/>
      <c r="S53" s="105" t="s">
        <v>99</v>
      </c>
      <c r="T53" s="105"/>
      <c r="V53" s="108"/>
    </row>
    <row r="54" ht="15.75" customHeight="1">
      <c r="A54" s="91"/>
      <c r="B54" s="166">
        <v>45979.0</v>
      </c>
      <c r="C54" s="258" t="s">
        <v>1210</v>
      </c>
      <c r="D54" s="97"/>
      <c r="E54" s="127" t="s">
        <v>1211</v>
      </c>
      <c r="F54" s="216" t="s">
        <v>1212</v>
      </c>
      <c r="G54" s="97"/>
      <c r="H54" s="98" t="s">
        <v>90</v>
      </c>
      <c r="I54" s="105" t="s">
        <v>333</v>
      </c>
      <c r="J54" s="97"/>
      <c r="K54" s="101"/>
      <c r="L54" s="101"/>
      <c r="M54" s="102"/>
      <c r="N54" s="103" t="s">
        <v>50</v>
      </c>
      <c r="O54" s="104" t="s">
        <v>1213</v>
      </c>
      <c r="P54" s="97"/>
      <c r="Q54" s="131"/>
      <c r="R54" s="126"/>
      <c r="S54" s="105" t="s">
        <v>335</v>
      </c>
      <c r="T54" s="105" t="s">
        <v>1214</v>
      </c>
      <c r="V54" s="108"/>
    </row>
    <row r="55" ht="15.75" customHeight="1">
      <c r="A55" s="91"/>
      <c r="B55" s="166">
        <v>45979.0</v>
      </c>
      <c r="C55" s="258" t="s">
        <v>1215</v>
      </c>
      <c r="D55" s="97"/>
      <c r="E55" s="127" t="s">
        <v>1216</v>
      </c>
      <c r="F55" s="216" t="s">
        <v>1217</v>
      </c>
      <c r="G55" s="97"/>
      <c r="H55" s="98" t="s">
        <v>90</v>
      </c>
      <c r="I55" s="105" t="s">
        <v>333</v>
      </c>
      <c r="J55" s="97"/>
      <c r="K55" s="114"/>
      <c r="L55" s="114"/>
      <c r="M55" s="102"/>
      <c r="N55" s="103" t="s">
        <v>45</v>
      </c>
      <c r="O55" s="104" t="s">
        <v>1218</v>
      </c>
      <c r="P55" s="97"/>
      <c r="Q55" s="115"/>
      <c r="R55" s="107"/>
      <c r="S55" s="105" t="s">
        <v>335</v>
      </c>
      <c r="T55" s="105" t="s">
        <v>1219</v>
      </c>
      <c r="V55" s="108"/>
    </row>
    <row r="56" ht="15.75" customHeight="1">
      <c r="A56" s="91"/>
      <c r="B56" s="166">
        <v>45980.0</v>
      </c>
      <c r="C56" s="270" t="s">
        <v>1220</v>
      </c>
      <c r="D56" s="97"/>
      <c r="E56" s="127" t="s">
        <v>1221</v>
      </c>
      <c r="F56" s="216" t="s">
        <v>1222</v>
      </c>
      <c r="G56" s="97"/>
      <c r="H56" s="98" t="s">
        <v>90</v>
      </c>
      <c r="I56" s="105" t="s">
        <v>107</v>
      </c>
      <c r="J56" s="97"/>
      <c r="K56" s="101">
        <v>10500.0</v>
      </c>
      <c r="L56" s="101">
        <v>1500.0</v>
      </c>
      <c r="M56" s="102"/>
      <c r="N56" s="124"/>
      <c r="O56" s="125"/>
      <c r="P56" s="97"/>
      <c r="Q56" s="105">
        <v>6.0</v>
      </c>
      <c r="R56" s="126"/>
      <c r="S56" s="105" t="s">
        <v>110</v>
      </c>
      <c r="T56" s="97"/>
      <c r="V56" s="108"/>
    </row>
    <row r="57" ht="15.75" customHeight="1">
      <c r="A57" s="91"/>
      <c r="B57" s="166">
        <v>45980.0</v>
      </c>
      <c r="C57" s="258" t="s">
        <v>1223</v>
      </c>
      <c r="D57" s="97"/>
      <c r="E57" s="127" t="s">
        <v>1224</v>
      </c>
      <c r="F57" s="216" t="s">
        <v>1225</v>
      </c>
      <c r="G57" s="97"/>
      <c r="H57" s="98" t="s">
        <v>90</v>
      </c>
      <c r="I57" s="105" t="s">
        <v>91</v>
      </c>
      <c r="J57" s="97"/>
      <c r="K57" s="114"/>
      <c r="L57" s="114"/>
      <c r="M57" s="102"/>
      <c r="N57" s="103" t="s">
        <v>50</v>
      </c>
      <c r="O57" s="104" t="s">
        <v>1226</v>
      </c>
      <c r="P57" s="97"/>
      <c r="Q57" s="115"/>
      <c r="R57" s="107"/>
      <c r="S57" s="105" t="s">
        <v>570</v>
      </c>
      <c r="T57" s="105" t="s">
        <v>1227</v>
      </c>
      <c r="V57" s="108"/>
    </row>
    <row r="58" ht="15.75" customHeight="1">
      <c r="A58" s="91"/>
      <c r="B58" s="166">
        <v>45980.0</v>
      </c>
      <c r="C58" s="258" t="s">
        <v>1228</v>
      </c>
      <c r="D58" s="97"/>
      <c r="E58" s="127" t="s">
        <v>1229</v>
      </c>
      <c r="F58" s="216" t="s">
        <v>1230</v>
      </c>
      <c r="G58" s="97"/>
      <c r="H58" s="98" t="s">
        <v>90</v>
      </c>
      <c r="I58" s="105" t="s">
        <v>178</v>
      </c>
      <c r="J58" s="97"/>
      <c r="K58" s="101">
        <v>9000.0</v>
      </c>
      <c r="L58" s="101">
        <v>9000.0</v>
      </c>
      <c r="M58" s="102"/>
      <c r="N58" s="124"/>
      <c r="O58" s="125"/>
      <c r="P58" s="97"/>
      <c r="Q58" s="105">
        <v>6.0</v>
      </c>
      <c r="R58" s="126"/>
      <c r="S58" s="105" t="s">
        <v>110</v>
      </c>
      <c r="T58" s="105" t="s">
        <v>1231</v>
      </c>
      <c r="V58" s="108"/>
    </row>
    <row r="59" ht="15.75" customHeight="1">
      <c r="A59" s="91"/>
      <c r="B59" s="166">
        <v>45980.0</v>
      </c>
      <c r="C59" s="258" t="s">
        <v>1232</v>
      </c>
      <c r="D59" s="97"/>
      <c r="E59" s="127" t="s">
        <v>1233</v>
      </c>
      <c r="F59" s="216" t="s">
        <v>1234</v>
      </c>
      <c r="G59" s="97"/>
      <c r="H59" s="98" t="s">
        <v>90</v>
      </c>
      <c r="I59" s="105" t="s">
        <v>333</v>
      </c>
      <c r="J59" s="97"/>
      <c r="K59" s="114"/>
      <c r="L59" s="114"/>
      <c r="M59" s="102"/>
      <c r="N59" s="103" t="s">
        <v>45</v>
      </c>
      <c r="O59" s="104" t="s">
        <v>1235</v>
      </c>
      <c r="P59" s="97"/>
      <c r="Q59" s="105">
        <v>4.0</v>
      </c>
      <c r="R59" s="126"/>
      <c r="S59" s="105" t="s">
        <v>116</v>
      </c>
      <c r="T59" s="105" t="s">
        <v>1236</v>
      </c>
      <c r="V59" s="108"/>
    </row>
    <row r="60" ht="15.75" customHeight="1">
      <c r="A60" s="91"/>
      <c r="B60" s="166">
        <v>45981.0</v>
      </c>
      <c r="C60" s="258" t="s">
        <v>1237</v>
      </c>
      <c r="D60" s="97"/>
      <c r="E60" s="127" t="s">
        <v>1238</v>
      </c>
      <c r="F60" s="216" t="s">
        <v>1239</v>
      </c>
      <c r="G60" s="97"/>
      <c r="H60" s="98" t="s">
        <v>90</v>
      </c>
      <c r="I60" s="105" t="s">
        <v>91</v>
      </c>
      <c r="J60" s="97"/>
      <c r="K60" s="101"/>
      <c r="L60" s="101"/>
      <c r="M60" s="102"/>
      <c r="N60" s="103" t="s">
        <v>55</v>
      </c>
      <c r="O60" s="104" t="s">
        <v>1240</v>
      </c>
      <c r="P60" s="97"/>
      <c r="Q60" s="97"/>
      <c r="R60" s="126"/>
      <c r="S60" s="105" t="s">
        <v>570</v>
      </c>
      <c r="T60" s="105" t="s">
        <v>1241</v>
      </c>
      <c r="V60" s="108"/>
    </row>
    <row r="61" ht="15.75" customHeight="1">
      <c r="A61" s="91"/>
      <c r="B61" s="166">
        <v>45981.0</v>
      </c>
      <c r="C61" s="258" t="s">
        <v>1242</v>
      </c>
      <c r="D61" s="97"/>
      <c r="E61" s="127" t="s">
        <v>1243</v>
      </c>
      <c r="F61" s="216" t="s">
        <v>1244</v>
      </c>
      <c r="G61" s="97"/>
      <c r="H61" s="98" t="s">
        <v>90</v>
      </c>
      <c r="I61" s="105" t="s">
        <v>333</v>
      </c>
      <c r="J61" s="97"/>
      <c r="K61" s="114"/>
      <c r="L61" s="114"/>
      <c r="M61" s="102"/>
      <c r="N61" s="103" t="s">
        <v>45</v>
      </c>
      <c r="O61" s="104" t="s">
        <v>1245</v>
      </c>
      <c r="P61" s="97"/>
      <c r="Q61" s="115"/>
      <c r="R61" s="116"/>
      <c r="S61" s="105" t="s">
        <v>335</v>
      </c>
      <c r="T61" s="105" t="s">
        <v>1246</v>
      </c>
      <c r="V61" s="108"/>
    </row>
    <row r="62" ht="15.75" customHeight="1">
      <c r="A62" s="91"/>
      <c r="B62" s="166">
        <v>45981.0</v>
      </c>
      <c r="C62" s="258" t="s">
        <v>1247</v>
      </c>
      <c r="D62" s="97"/>
      <c r="E62" s="271" t="s">
        <v>1248</v>
      </c>
      <c r="F62" s="216" t="s">
        <v>1249</v>
      </c>
      <c r="G62" s="97"/>
      <c r="H62" s="98" t="s">
        <v>90</v>
      </c>
      <c r="I62" s="105" t="s">
        <v>175</v>
      </c>
      <c r="J62" s="97"/>
      <c r="K62" s="101"/>
      <c r="L62" s="101"/>
      <c r="M62" s="102"/>
      <c r="N62" s="103" t="s">
        <v>60</v>
      </c>
      <c r="O62" s="104" t="s">
        <v>1250</v>
      </c>
      <c r="P62" s="97"/>
      <c r="Q62" s="130"/>
      <c r="R62" s="116"/>
      <c r="S62" s="105"/>
      <c r="T62" s="105"/>
      <c r="V62" s="108"/>
    </row>
    <row r="63" ht="15.75" customHeight="1">
      <c r="A63" s="91"/>
      <c r="B63" s="166">
        <v>45983.0</v>
      </c>
      <c r="C63" s="258" t="s">
        <v>1251</v>
      </c>
      <c r="D63" s="97"/>
      <c r="E63" s="127" t="s">
        <v>1252</v>
      </c>
      <c r="F63" s="216" t="s">
        <v>1253</v>
      </c>
      <c r="G63" s="97"/>
      <c r="H63" s="98" t="s">
        <v>90</v>
      </c>
      <c r="I63" s="105" t="s">
        <v>149</v>
      </c>
      <c r="J63" s="97"/>
      <c r="K63" s="114"/>
      <c r="L63" s="114"/>
      <c r="M63" s="102"/>
      <c r="N63" s="124"/>
      <c r="O63" s="104" t="s">
        <v>1254</v>
      </c>
      <c r="P63" s="97"/>
      <c r="Q63" s="97"/>
      <c r="R63" s="126"/>
      <c r="S63" s="105" t="s">
        <v>93</v>
      </c>
      <c r="T63" s="97"/>
      <c r="V63" s="108"/>
    </row>
    <row r="64" ht="15.75" customHeight="1">
      <c r="A64" s="91"/>
      <c r="B64" s="166">
        <v>45983.0</v>
      </c>
      <c r="C64" s="258" t="s">
        <v>1255</v>
      </c>
      <c r="D64" s="97"/>
      <c r="E64" s="127" t="s">
        <v>1256</v>
      </c>
      <c r="F64" s="216" t="s">
        <v>1257</v>
      </c>
      <c r="G64" s="97"/>
      <c r="H64" s="98" t="s">
        <v>90</v>
      </c>
      <c r="I64" s="105" t="s">
        <v>149</v>
      </c>
      <c r="J64" s="97"/>
      <c r="K64" s="101"/>
      <c r="L64" s="101"/>
      <c r="M64" s="102"/>
      <c r="N64" s="124"/>
      <c r="O64" s="125"/>
      <c r="P64" s="97"/>
      <c r="Q64" s="105">
        <v>6.0</v>
      </c>
      <c r="R64" s="107"/>
      <c r="S64" s="105" t="s">
        <v>93</v>
      </c>
      <c r="T64" s="105"/>
      <c r="V64" s="108"/>
    </row>
    <row r="65" ht="15.75" customHeight="1">
      <c r="A65" s="91"/>
      <c r="B65" s="166">
        <v>45983.0</v>
      </c>
      <c r="C65" s="270" t="s">
        <v>1258</v>
      </c>
      <c r="D65" s="97"/>
      <c r="E65" s="127" t="s">
        <v>1259</v>
      </c>
      <c r="F65" s="216" t="s">
        <v>1260</v>
      </c>
      <c r="G65" s="97"/>
      <c r="H65" s="98" t="s">
        <v>90</v>
      </c>
      <c r="I65" s="105" t="s">
        <v>107</v>
      </c>
      <c r="J65" s="97"/>
      <c r="K65" s="101">
        <v>10500.0</v>
      </c>
      <c r="L65" s="101">
        <v>3000.0</v>
      </c>
      <c r="M65" s="102"/>
      <c r="N65" s="124"/>
      <c r="O65" s="125"/>
      <c r="P65" s="97"/>
      <c r="Q65" s="105">
        <v>6.0</v>
      </c>
      <c r="R65" s="126"/>
      <c r="S65" s="105" t="s">
        <v>110</v>
      </c>
      <c r="T65" s="105"/>
      <c r="V65" s="108"/>
    </row>
    <row r="66" ht="15.75" customHeight="1">
      <c r="A66" s="91"/>
      <c r="B66" s="166">
        <v>45985.0</v>
      </c>
      <c r="C66" s="127" t="s">
        <v>1261</v>
      </c>
      <c r="D66" s="97"/>
      <c r="E66" s="127" t="s">
        <v>1262</v>
      </c>
      <c r="F66" s="216" t="s">
        <v>1263</v>
      </c>
      <c r="G66" s="97"/>
      <c r="H66" s="98" t="s">
        <v>90</v>
      </c>
      <c r="I66" s="105" t="s">
        <v>91</v>
      </c>
      <c r="J66" s="97"/>
      <c r="K66" s="101"/>
      <c r="L66" s="101"/>
      <c r="M66" s="102"/>
      <c r="N66" s="103" t="s">
        <v>65</v>
      </c>
      <c r="O66" s="104" t="s">
        <v>1264</v>
      </c>
      <c r="P66" s="97"/>
      <c r="Q66" s="115"/>
      <c r="R66" s="107"/>
      <c r="S66" s="105" t="s">
        <v>570</v>
      </c>
      <c r="T66" s="105" t="s">
        <v>1265</v>
      </c>
      <c r="V66" s="108"/>
    </row>
    <row r="67" ht="15.75" customHeight="1">
      <c r="A67" s="91"/>
      <c r="B67" s="166">
        <v>45985.0</v>
      </c>
      <c r="C67" s="258" t="s">
        <v>1266</v>
      </c>
      <c r="D67" s="97"/>
      <c r="E67" s="127" t="s">
        <v>1267</v>
      </c>
      <c r="F67" s="216" t="s">
        <v>1268</v>
      </c>
      <c r="G67" s="97"/>
      <c r="H67" s="98" t="s">
        <v>90</v>
      </c>
      <c r="I67" s="105" t="s">
        <v>98</v>
      </c>
      <c r="J67" s="97"/>
      <c r="K67" s="114"/>
      <c r="L67" s="114"/>
      <c r="M67" s="102"/>
      <c r="N67" s="124"/>
      <c r="O67" s="125"/>
      <c r="P67" s="97"/>
      <c r="Q67" s="131"/>
      <c r="R67" s="126"/>
      <c r="S67" s="97"/>
      <c r="T67" s="105" t="s">
        <v>1269</v>
      </c>
      <c r="V67" s="108"/>
    </row>
    <row r="68" ht="15.75" customHeight="1">
      <c r="A68" s="91"/>
      <c r="B68" s="166">
        <v>45986.0</v>
      </c>
      <c r="C68" s="258" t="s">
        <v>1270</v>
      </c>
      <c r="D68" s="97"/>
      <c r="E68" s="127" t="s">
        <v>1271</v>
      </c>
      <c r="F68" s="216" t="s">
        <v>1272</v>
      </c>
      <c r="G68" s="97"/>
      <c r="H68" s="98" t="s">
        <v>90</v>
      </c>
      <c r="I68" s="105" t="s">
        <v>91</v>
      </c>
      <c r="J68" s="97"/>
      <c r="K68" s="101"/>
      <c r="L68" s="101"/>
      <c r="M68" s="102"/>
      <c r="N68" s="103" t="s">
        <v>55</v>
      </c>
      <c r="O68" s="104" t="s">
        <v>1273</v>
      </c>
      <c r="P68" s="97"/>
      <c r="Q68" s="130"/>
      <c r="R68" s="107"/>
      <c r="S68" s="105" t="s">
        <v>116</v>
      </c>
      <c r="T68" s="105" t="s">
        <v>1274</v>
      </c>
      <c r="V68" s="108"/>
    </row>
    <row r="69" ht="15.75" customHeight="1">
      <c r="A69" s="91"/>
      <c r="B69" s="166">
        <v>45986.0</v>
      </c>
      <c r="C69" s="258" t="s">
        <v>1275</v>
      </c>
      <c r="D69" s="97"/>
      <c r="E69" s="127" t="s">
        <v>1276</v>
      </c>
      <c r="F69" s="216" t="s">
        <v>1277</v>
      </c>
      <c r="G69" s="97"/>
      <c r="H69" s="98" t="s">
        <v>90</v>
      </c>
      <c r="I69" s="105" t="s">
        <v>98</v>
      </c>
      <c r="J69" s="97"/>
      <c r="K69" s="114"/>
      <c r="L69" s="114"/>
      <c r="M69" s="102"/>
      <c r="N69" s="103"/>
      <c r="O69" s="125"/>
      <c r="P69" s="97"/>
      <c r="Q69" s="130"/>
      <c r="R69" s="107"/>
      <c r="S69" s="105"/>
      <c r="T69" s="105"/>
      <c r="V69" s="108"/>
    </row>
    <row r="70" ht="15.75" customHeight="1">
      <c r="A70" s="91"/>
      <c r="B70" s="166">
        <v>45988.0</v>
      </c>
      <c r="C70" s="258" t="s">
        <v>1278</v>
      </c>
      <c r="D70" s="97"/>
      <c r="E70" s="127" t="s">
        <v>1279</v>
      </c>
      <c r="F70" s="216" t="s">
        <v>1280</v>
      </c>
      <c r="G70" s="97"/>
      <c r="H70" s="98" t="s">
        <v>90</v>
      </c>
      <c r="I70" s="105" t="s">
        <v>91</v>
      </c>
      <c r="J70" s="97"/>
      <c r="K70" s="101"/>
      <c r="L70" s="101"/>
      <c r="M70" s="102"/>
      <c r="N70" s="103" t="s">
        <v>45</v>
      </c>
      <c r="O70" s="104" t="s">
        <v>1281</v>
      </c>
      <c r="P70" s="97"/>
      <c r="Q70" s="115"/>
      <c r="R70" s="107"/>
      <c r="S70" s="105" t="s">
        <v>99</v>
      </c>
      <c r="T70" s="105" t="s">
        <v>1282</v>
      </c>
      <c r="V70" s="108"/>
    </row>
    <row r="71" ht="15.75" customHeight="1">
      <c r="A71" s="91"/>
      <c r="B71" s="166">
        <v>45988.0</v>
      </c>
      <c r="C71" s="270" t="s">
        <v>1283</v>
      </c>
      <c r="D71" s="97"/>
      <c r="E71" s="127" t="s">
        <v>1284</v>
      </c>
      <c r="F71" s="216" t="s">
        <v>1285</v>
      </c>
      <c r="G71" s="97"/>
      <c r="H71" s="98" t="s">
        <v>90</v>
      </c>
      <c r="I71" s="105" t="s">
        <v>178</v>
      </c>
      <c r="J71" s="97"/>
      <c r="K71" s="101">
        <v>9000.0</v>
      </c>
      <c r="L71" s="101">
        <v>9000.0</v>
      </c>
      <c r="M71" s="102"/>
      <c r="N71" s="103" t="s">
        <v>45</v>
      </c>
      <c r="O71" s="104" t="s">
        <v>1286</v>
      </c>
      <c r="P71" s="97"/>
      <c r="Q71" s="105">
        <v>6.0</v>
      </c>
      <c r="R71" s="107"/>
      <c r="S71" s="105" t="s">
        <v>110</v>
      </c>
      <c r="T71" s="105" t="s">
        <v>1287</v>
      </c>
      <c r="V71" s="108"/>
    </row>
    <row r="72" ht="15.75" customHeight="1">
      <c r="A72" s="91"/>
      <c r="B72" s="166">
        <v>45989.0</v>
      </c>
      <c r="C72" s="270" t="s">
        <v>1288</v>
      </c>
      <c r="D72" s="97"/>
      <c r="E72" s="127" t="s">
        <v>1289</v>
      </c>
      <c r="F72" s="216" t="s">
        <v>1290</v>
      </c>
      <c r="G72" s="97"/>
      <c r="H72" s="98" t="s">
        <v>90</v>
      </c>
      <c r="I72" s="105" t="s">
        <v>107</v>
      </c>
      <c r="J72" s="97"/>
      <c r="K72" s="101">
        <v>10500.0</v>
      </c>
      <c r="L72" s="101">
        <v>1500.0</v>
      </c>
      <c r="M72" s="102"/>
      <c r="N72" s="103" t="s">
        <v>45</v>
      </c>
      <c r="O72" s="104" t="s">
        <v>1291</v>
      </c>
      <c r="P72" s="97"/>
      <c r="Q72" s="105">
        <v>6.0</v>
      </c>
      <c r="R72" s="126"/>
      <c r="S72" s="105" t="s">
        <v>110</v>
      </c>
      <c r="T72" s="105" t="s">
        <v>1292</v>
      </c>
      <c r="V72" s="108"/>
    </row>
    <row r="73" ht="15.75" customHeight="1">
      <c r="A73" s="91"/>
      <c r="B73" s="166">
        <v>45989.0</v>
      </c>
      <c r="C73" s="270" t="s">
        <v>1293</v>
      </c>
      <c r="D73" s="97"/>
      <c r="E73" s="127" t="s">
        <v>1294</v>
      </c>
      <c r="F73" s="216" t="s">
        <v>1295</v>
      </c>
      <c r="G73" s="97"/>
      <c r="H73" s="98" t="s">
        <v>90</v>
      </c>
      <c r="I73" s="105" t="s">
        <v>107</v>
      </c>
      <c r="J73" s="97"/>
      <c r="K73" s="101">
        <v>10500.0</v>
      </c>
      <c r="L73" s="101">
        <v>3000.0</v>
      </c>
      <c r="M73" s="102"/>
      <c r="N73" s="103"/>
      <c r="O73" s="125"/>
      <c r="P73" s="97"/>
      <c r="Q73" s="105">
        <v>6.0</v>
      </c>
      <c r="R73" s="107"/>
      <c r="S73" s="105" t="s">
        <v>110</v>
      </c>
      <c r="T73" s="105"/>
      <c r="V73" s="108"/>
    </row>
    <row r="74" ht="15.75" customHeight="1">
      <c r="A74" s="91"/>
      <c r="B74" s="166">
        <v>45990.0</v>
      </c>
      <c r="C74" s="270" t="s">
        <v>1296</v>
      </c>
      <c r="D74" s="97"/>
      <c r="E74" s="127" t="s">
        <v>1297</v>
      </c>
      <c r="F74" s="216" t="s">
        <v>1298</v>
      </c>
      <c r="G74" s="97"/>
      <c r="H74" s="98" t="s">
        <v>90</v>
      </c>
      <c r="I74" s="105" t="s">
        <v>107</v>
      </c>
      <c r="J74" s="97"/>
      <c r="K74" s="101">
        <v>9000.0</v>
      </c>
      <c r="L74" s="101">
        <v>1500.0</v>
      </c>
      <c r="M74" s="102"/>
      <c r="N74" s="124"/>
      <c r="O74" s="125"/>
      <c r="P74" s="97"/>
      <c r="Q74" s="105">
        <v>6.0</v>
      </c>
      <c r="R74" s="126"/>
      <c r="S74" s="105" t="s">
        <v>110</v>
      </c>
      <c r="T74" s="97"/>
      <c r="V74" s="108"/>
    </row>
    <row r="75" ht="15.75" customHeight="1">
      <c r="A75" s="91"/>
      <c r="B75" s="166">
        <v>45990.0</v>
      </c>
      <c r="C75" s="270" t="s">
        <v>1299</v>
      </c>
      <c r="D75" s="97"/>
      <c r="E75" s="127" t="s">
        <v>1300</v>
      </c>
      <c r="F75" s="216" t="s">
        <v>1301</v>
      </c>
      <c r="G75" s="97"/>
      <c r="H75" s="98" t="s">
        <v>90</v>
      </c>
      <c r="I75" s="105" t="s">
        <v>107</v>
      </c>
      <c r="J75" s="97"/>
      <c r="K75" s="101">
        <v>9000.0</v>
      </c>
      <c r="L75" s="101">
        <v>1500.0</v>
      </c>
      <c r="M75" s="102"/>
      <c r="N75" s="103"/>
      <c r="O75" s="125"/>
      <c r="P75" s="97"/>
      <c r="Q75" s="105">
        <v>6.0</v>
      </c>
      <c r="R75" s="107"/>
      <c r="S75" s="105" t="s">
        <v>110</v>
      </c>
      <c r="T75" s="105"/>
      <c r="V75" s="108"/>
    </row>
    <row r="76" ht="15.75" customHeight="1">
      <c r="A76" s="91"/>
      <c r="B76" s="166">
        <v>45990.0</v>
      </c>
      <c r="C76" s="258" t="s">
        <v>1266</v>
      </c>
      <c r="D76" s="97"/>
      <c r="E76" s="127" t="s">
        <v>1267</v>
      </c>
      <c r="F76" s="216" t="s">
        <v>1268</v>
      </c>
      <c r="G76" s="97"/>
      <c r="H76" s="98" t="s">
        <v>90</v>
      </c>
      <c r="I76" s="105" t="s">
        <v>125</v>
      </c>
      <c r="J76" s="97"/>
      <c r="K76" s="101"/>
      <c r="L76" s="101"/>
      <c r="M76" s="102"/>
      <c r="N76" s="124"/>
      <c r="O76" s="125"/>
      <c r="P76" s="97"/>
      <c r="Q76" s="131"/>
      <c r="R76" s="126"/>
      <c r="S76" s="97"/>
      <c r="T76" s="97"/>
      <c r="V76" s="108"/>
    </row>
    <row r="77" ht="15.75" customHeight="1">
      <c r="A77" s="91"/>
      <c r="B77" s="166">
        <v>45991.0</v>
      </c>
      <c r="C77" s="258" t="s">
        <v>264</v>
      </c>
      <c r="D77" s="97"/>
      <c r="E77" s="127" t="s">
        <v>1302</v>
      </c>
      <c r="F77" s="219"/>
      <c r="G77" s="97"/>
      <c r="H77" s="98"/>
      <c r="I77" s="105" t="s">
        <v>125</v>
      </c>
      <c r="J77" s="97"/>
      <c r="K77" s="114"/>
      <c r="L77" s="114"/>
      <c r="M77" s="102"/>
      <c r="N77" s="103"/>
      <c r="O77" s="104"/>
      <c r="P77" s="97"/>
      <c r="Q77" s="130"/>
      <c r="R77" s="107"/>
      <c r="S77" s="105"/>
      <c r="T77" s="105"/>
      <c r="V77" s="108"/>
    </row>
    <row r="78" ht="15.75" customHeight="1">
      <c r="A78" s="91"/>
      <c r="B78" s="166">
        <v>45991.0</v>
      </c>
      <c r="C78" s="258" t="s">
        <v>1303</v>
      </c>
      <c r="D78" s="97"/>
      <c r="E78" s="127" t="s">
        <v>1304</v>
      </c>
      <c r="F78" s="216" t="s">
        <v>1305</v>
      </c>
      <c r="G78" s="97"/>
      <c r="H78" s="98" t="s">
        <v>90</v>
      </c>
      <c r="I78" s="105" t="s">
        <v>98</v>
      </c>
      <c r="J78" s="97"/>
      <c r="K78" s="101"/>
      <c r="L78" s="101"/>
      <c r="M78" s="102"/>
      <c r="N78" s="103"/>
      <c r="O78" s="104"/>
      <c r="P78" s="97"/>
      <c r="Q78" s="115"/>
      <c r="R78" s="136"/>
      <c r="S78" s="105"/>
      <c r="T78" s="105"/>
      <c r="V78" s="108"/>
    </row>
    <row r="79" ht="15.75" customHeight="1">
      <c r="A79" s="91"/>
      <c r="B79" s="166">
        <v>45991.0</v>
      </c>
      <c r="C79" s="258" t="s">
        <v>1306</v>
      </c>
      <c r="D79" s="97"/>
      <c r="E79" s="127" t="s">
        <v>1307</v>
      </c>
      <c r="F79" s="216" t="s">
        <v>1308</v>
      </c>
      <c r="G79" s="97"/>
      <c r="H79" s="98" t="s">
        <v>90</v>
      </c>
      <c r="I79" s="105" t="s">
        <v>91</v>
      </c>
      <c r="J79" s="97"/>
      <c r="K79" s="114"/>
      <c r="L79" s="114"/>
      <c r="M79" s="102"/>
      <c r="N79" s="103" t="s">
        <v>45</v>
      </c>
      <c r="O79" s="104"/>
      <c r="P79" s="97"/>
      <c r="Q79" s="115"/>
      <c r="R79" s="107"/>
      <c r="S79" s="105" t="s">
        <v>99</v>
      </c>
      <c r="T79" s="105" t="s">
        <v>1309</v>
      </c>
      <c r="V79" s="108"/>
    </row>
    <row r="80" ht="15.75" customHeight="1">
      <c r="A80" s="91"/>
      <c r="B80" s="166"/>
      <c r="C80" s="238"/>
      <c r="D80" s="97"/>
      <c r="E80" s="165"/>
      <c r="F80" s="219"/>
      <c r="G80" s="97"/>
      <c r="H80" s="98"/>
      <c r="I80" s="105"/>
      <c r="J80" s="97"/>
      <c r="K80" s="101"/>
      <c r="L80" s="101"/>
      <c r="M80" s="102"/>
      <c r="N80" s="124"/>
      <c r="O80" s="125"/>
      <c r="P80" s="97"/>
      <c r="Q80" s="131"/>
      <c r="R80" s="126"/>
      <c r="S80" s="97"/>
      <c r="T80" s="97"/>
      <c r="V80" s="108"/>
    </row>
    <row r="81" ht="15.75" customHeight="1">
      <c r="A81" s="91"/>
      <c r="B81" s="166"/>
      <c r="C81" s="98"/>
      <c r="D81" s="97"/>
      <c r="E81" s="165"/>
      <c r="F81" s="138"/>
      <c r="G81" s="97"/>
      <c r="H81" s="98"/>
      <c r="I81" s="105"/>
      <c r="J81" s="97"/>
      <c r="K81" s="114"/>
      <c r="L81" s="114"/>
      <c r="M81" s="102"/>
      <c r="N81" s="124"/>
      <c r="O81" s="125"/>
      <c r="P81" s="97"/>
      <c r="Q81" s="97"/>
      <c r="R81" s="126"/>
      <c r="S81" s="97"/>
      <c r="T81" s="97"/>
      <c r="V81" s="108"/>
    </row>
    <row r="82" ht="15.75" customHeight="1">
      <c r="A82" s="91"/>
      <c r="B82" s="166"/>
      <c r="C82" s="137"/>
      <c r="D82" s="97"/>
      <c r="E82" s="165"/>
      <c r="F82" s="138"/>
      <c r="G82" s="97"/>
      <c r="H82" s="98"/>
      <c r="I82" s="105"/>
      <c r="J82" s="97"/>
      <c r="K82" s="101"/>
      <c r="L82" s="101"/>
      <c r="M82" s="102"/>
      <c r="N82" s="124"/>
      <c r="O82" s="125"/>
      <c r="P82" s="97"/>
      <c r="Q82" s="131"/>
      <c r="R82" s="126"/>
      <c r="S82" s="97"/>
      <c r="T82" s="97"/>
      <c r="V82" s="108"/>
    </row>
    <row r="83" ht="15.75" customHeight="1">
      <c r="A83" s="91"/>
      <c r="B83" s="166"/>
      <c r="C83" s="99"/>
      <c r="D83" s="97"/>
      <c r="E83" s="165"/>
      <c r="F83" s="138"/>
      <c r="G83" s="97"/>
      <c r="H83" s="98"/>
      <c r="I83" s="105"/>
      <c r="J83" s="97"/>
      <c r="K83" s="114"/>
      <c r="L83" s="114"/>
      <c r="M83" s="102"/>
      <c r="N83" s="103"/>
      <c r="O83" s="104"/>
      <c r="P83" s="97"/>
      <c r="Q83" s="130"/>
      <c r="R83" s="116"/>
      <c r="S83" s="105"/>
      <c r="T83" s="105"/>
      <c r="V83" s="108"/>
    </row>
    <row r="84" ht="15.75" customHeight="1">
      <c r="A84" s="91"/>
      <c r="B84" s="166"/>
      <c r="C84" s="98"/>
      <c r="D84" s="97"/>
      <c r="E84" s="165"/>
      <c r="F84" s="138"/>
      <c r="G84" s="97"/>
      <c r="H84" s="98"/>
      <c r="I84" s="105"/>
      <c r="J84" s="97"/>
      <c r="K84" s="101"/>
      <c r="L84" s="101"/>
      <c r="M84" s="102"/>
      <c r="N84" s="124"/>
      <c r="O84" s="104"/>
      <c r="P84" s="97"/>
      <c r="Q84" s="131"/>
      <c r="R84" s="107"/>
      <c r="S84" s="105"/>
      <c r="T84" s="105"/>
      <c r="V84" s="108"/>
    </row>
    <row r="85" ht="15.75" customHeight="1">
      <c r="A85" s="91"/>
      <c r="B85" s="166"/>
      <c r="C85" s="98"/>
      <c r="D85" s="97"/>
      <c r="E85" s="165"/>
      <c r="F85" s="138"/>
      <c r="G85" s="97"/>
      <c r="H85" s="98"/>
      <c r="I85" s="105"/>
      <c r="J85" s="97"/>
      <c r="K85" s="114"/>
      <c r="L85" s="114"/>
      <c r="M85" s="102"/>
      <c r="N85" s="103"/>
      <c r="O85" s="104"/>
      <c r="P85" s="97"/>
      <c r="Q85" s="115"/>
      <c r="R85" s="107"/>
      <c r="S85" s="105"/>
      <c r="T85" s="105"/>
      <c r="V85" s="108"/>
    </row>
    <row r="86" ht="15.75" customHeight="1">
      <c r="A86" s="91"/>
      <c r="B86" s="166"/>
      <c r="C86" s="98"/>
      <c r="D86" s="97"/>
      <c r="E86" s="165"/>
      <c r="F86" s="138"/>
      <c r="G86" s="97"/>
      <c r="H86" s="98"/>
      <c r="I86" s="105"/>
      <c r="J86" s="97"/>
      <c r="K86" s="101"/>
      <c r="L86" s="101"/>
      <c r="M86" s="102"/>
      <c r="N86" s="124"/>
      <c r="O86" s="125"/>
      <c r="P86" s="97"/>
      <c r="Q86" s="97"/>
      <c r="R86" s="126"/>
      <c r="S86" s="97"/>
      <c r="T86" s="97"/>
      <c r="V86" s="108"/>
    </row>
    <row r="87" ht="15.75" customHeight="1">
      <c r="A87" s="91"/>
      <c r="B87" s="166"/>
      <c r="C87" s="138"/>
      <c r="D87" s="97"/>
      <c r="E87" s="165"/>
      <c r="F87" s="169"/>
      <c r="G87" s="97"/>
      <c r="H87" s="98"/>
      <c r="I87" s="105"/>
      <c r="J87" s="97"/>
      <c r="K87" s="114"/>
      <c r="L87" s="114"/>
      <c r="M87" s="102"/>
      <c r="N87" s="103"/>
      <c r="O87" s="104"/>
      <c r="P87" s="97"/>
      <c r="Q87" s="105"/>
      <c r="R87" s="107"/>
      <c r="S87" s="105"/>
      <c r="T87" s="105"/>
      <c r="V87" s="108"/>
    </row>
    <row r="88" ht="15.75" customHeight="1">
      <c r="A88" s="91"/>
      <c r="B88" s="166"/>
      <c r="C88" s="140"/>
      <c r="D88" s="97"/>
      <c r="E88" s="165"/>
      <c r="F88" s="138"/>
      <c r="G88" s="97"/>
      <c r="H88" s="98"/>
      <c r="I88" s="105"/>
      <c r="J88" s="97"/>
      <c r="K88" s="101"/>
      <c r="L88" s="101"/>
      <c r="M88" s="102"/>
      <c r="N88" s="124"/>
      <c r="O88" s="125"/>
      <c r="P88" s="97"/>
      <c r="Q88" s="97"/>
      <c r="R88" s="126"/>
      <c r="S88" s="97"/>
      <c r="T88" s="97"/>
      <c r="V88" s="108"/>
    </row>
    <row r="89" ht="15.75" customHeight="1">
      <c r="A89" s="91"/>
      <c r="B89" s="166"/>
      <c r="C89" s="138"/>
      <c r="D89" s="97"/>
      <c r="E89" s="165"/>
      <c r="F89" s="138"/>
      <c r="G89" s="97"/>
      <c r="H89" s="98"/>
      <c r="I89" s="105"/>
      <c r="J89" s="97"/>
      <c r="K89" s="114"/>
      <c r="L89" s="114"/>
      <c r="M89" s="102"/>
      <c r="N89" s="103"/>
      <c r="O89" s="104"/>
      <c r="P89" s="97"/>
      <c r="Q89" s="130"/>
      <c r="R89" s="107"/>
      <c r="S89" s="105"/>
      <c r="T89" s="105"/>
      <c r="V89" s="108"/>
    </row>
    <row r="90" ht="15.75" customHeight="1">
      <c r="A90" s="91"/>
      <c r="B90" s="166"/>
      <c r="C90" s="140"/>
      <c r="D90" s="97"/>
      <c r="E90" s="138"/>
      <c r="F90" s="138"/>
      <c r="G90" s="97"/>
      <c r="H90" s="98"/>
      <c r="I90" s="105"/>
      <c r="J90" s="97"/>
      <c r="K90" s="101"/>
      <c r="L90" s="101"/>
      <c r="M90" s="102"/>
      <c r="N90" s="124"/>
      <c r="O90" s="125"/>
      <c r="P90" s="97"/>
      <c r="Q90" s="131"/>
      <c r="R90" s="126"/>
      <c r="S90" s="97"/>
      <c r="T90" s="97"/>
      <c r="V90" s="108"/>
    </row>
    <row r="91" ht="15.75" customHeight="1">
      <c r="A91" s="91"/>
      <c r="B91" s="166"/>
      <c r="C91" s="98"/>
      <c r="D91" s="97"/>
      <c r="E91" s="165"/>
      <c r="F91" s="138"/>
      <c r="G91" s="97"/>
      <c r="H91" s="98"/>
      <c r="I91" s="105"/>
      <c r="J91" s="97"/>
      <c r="K91" s="114"/>
      <c r="L91" s="114"/>
      <c r="M91" s="102"/>
      <c r="N91" s="124"/>
      <c r="O91" s="125"/>
      <c r="P91" s="97"/>
      <c r="Q91" s="97"/>
      <c r="R91" s="126"/>
      <c r="S91" s="97"/>
      <c r="T91" s="97"/>
      <c r="V91" s="108"/>
    </row>
    <row r="92" ht="15.75" customHeight="1">
      <c r="A92" s="91"/>
      <c r="B92" s="166"/>
      <c r="C92" s="98"/>
      <c r="D92" s="97"/>
      <c r="E92" s="165"/>
      <c r="F92" s="138"/>
      <c r="G92" s="97"/>
      <c r="H92" s="98"/>
      <c r="I92" s="105"/>
      <c r="J92" s="97"/>
      <c r="K92" s="101"/>
      <c r="L92" s="101"/>
      <c r="M92" s="102"/>
      <c r="N92" s="103"/>
      <c r="O92" s="104"/>
      <c r="P92" s="97"/>
      <c r="Q92" s="115"/>
      <c r="R92" s="107"/>
      <c r="S92" s="105"/>
      <c r="T92" s="105"/>
      <c r="V92" s="108"/>
    </row>
    <row r="93" ht="15.75" customHeight="1">
      <c r="A93" s="91"/>
      <c r="B93" s="166"/>
      <c r="C93" s="98"/>
      <c r="D93" s="97"/>
      <c r="E93" s="165"/>
      <c r="F93" s="138"/>
      <c r="G93" s="97"/>
      <c r="H93" s="98"/>
      <c r="I93" s="105"/>
      <c r="J93" s="97"/>
      <c r="K93" s="114"/>
      <c r="L93" s="114"/>
      <c r="M93" s="102"/>
      <c r="N93" s="124"/>
      <c r="O93" s="125"/>
      <c r="P93" s="97"/>
      <c r="Q93" s="97"/>
      <c r="R93" s="126"/>
      <c r="S93" s="97"/>
      <c r="T93" s="97"/>
      <c r="V93" s="108"/>
    </row>
    <row r="94" ht="15.75" customHeight="1">
      <c r="A94" s="91"/>
      <c r="B94" s="166"/>
      <c r="C94" s="98"/>
      <c r="D94" s="97"/>
      <c r="E94" s="170"/>
      <c r="F94" s="138"/>
      <c r="G94" s="97"/>
      <c r="H94" s="98"/>
      <c r="I94" s="105"/>
      <c r="J94" s="97"/>
      <c r="K94" s="101"/>
      <c r="L94" s="101"/>
      <c r="M94" s="102"/>
      <c r="N94" s="124"/>
      <c r="O94" s="125"/>
      <c r="P94" s="97"/>
      <c r="Q94" s="131"/>
      <c r="R94" s="126"/>
      <c r="S94" s="97"/>
      <c r="T94" s="97"/>
      <c r="V94" s="108"/>
    </row>
    <row r="95" ht="15.75" customHeight="1">
      <c r="A95" s="91"/>
      <c r="B95" s="166"/>
      <c r="C95" s="107"/>
      <c r="D95" s="97"/>
      <c r="E95" s="165"/>
      <c r="F95" s="138"/>
      <c r="G95" s="97"/>
      <c r="H95" s="98"/>
      <c r="I95" s="105"/>
      <c r="J95" s="97"/>
      <c r="K95" s="114"/>
      <c r="L95" s="114"/>
      <c r="M95" s="102"/>
      <c r="N95" s="124"/>
      <c r="O95" s="125"/>
      <c r="P95" s="97"/>
      <c r="Q95" s="130"/>
      <c r="R95" s="107"/>
      <c r="S95" s="97"/>
      <c r="T95" s="105"/>
      <c r="V95" s="108"/>
    </row>
    <row r="96" ht="15.75" customHeight="1">
      <c r="A96" s="91"/>
      <c r="B96" s="166"/>
      <c r="C96" s="107"/>
      <c r="D96" s="97"/>
      <c r="E96" s="165"/>
      <c r="F96" s="138"/>
      <c r="G96" s="97"/>
      <c r="H96" s="98"/>
      <c r="I96" s="105"/>
      <c r="J96" s="97"/>
      <c r="K96" s="101"/>
      <c r="L96" s="101"/>
      <c r="M96" s="102"/>
      <c r="N96" s="124"/>
      <c r="O96" s="125"/>
      <c r="P96" s="97"/>
      <c r="Q96" s="130"/>
      <c r="R96" s="107"/>
      <c r="S96" s="97"/>
      <c r="T96" s="105"/>
      <c r="V96" s="108"/>
    </row>
    <row r="97" ht="15.75" customHeight="1">
      <c r="A97" s="91"/>
      <c r="B97" s="166"/>
      <c r="C97" s="98"/>
      <c r="D97" s="97"/>
      <c r="E97" s="98"/>
      <c r="F97" s="140"/>
      <c r="G97" s="97"/>
      <c r="H97" s="98"/>
      <c r="I97" s="105"/>
      <c r="J97" s="97"/>
      <c r="K97" s="114"/>
      <c r="L97" s="114"/>
      <c r="M97" s="102"/>
      <c r="N97" s="124"/>
      <c r="O97" s="125"/>
      <c r="P97" s="97"/>
      <c r="Q97" s="131"/>
      <c r="R97" s="126"/>
      <c r="S97" s="97"/>
      <c r="T97" s="97"/>
      <c r="V97" s="108"/>
    </row>
    <row r="98" ht="15.75" customHeight="1">
      <c r="A98" s="91"/>
      <c r="B98" s="166"/>
      <c r="C98" s="98"/>
      <c r="D98" s="97"/>
      <c r="E98" s="165"/>
      <c r="F98" s="138"/>
      <c r="G98" s="97"/>
      <c r="H98" s="98"/>
      <c r="I98" s="105"/>
      <c r="J98" s="97"/>
      <c r="K98" s="101"/>
      <c r="L98" s="101"/>
      <c r="M98" s="102"/>
      <c r="N98" s="124"/>
      <c r="O98" s="125"/>
      <c r="P98" s="97"/>
      <c r="Q98" s="97"/>
      <c r="R98" s="126"/>
      <c r="S98" s="97"/>
      <c r="T98" s="97"/>
      <c r="V98" s="108"/>
    </row>
    <row r="99" ht="15.75" customHeight="1">
      <c r="A99" s="91"/>
      <c r="B99" s="166"/>
      <c r="C99" s="98"/>
      <c r="D99" s="97"/>
      <c r="E99" s="165"/>
      <c r="F99" s="138"/>
      <c r="G99" s="97"/>
      <c r="H99" s="98"/>
      <c r="I99" s="105"/>
      <c r="J99" s="97"/>
      <c r="K99" s="114"/>
      <c r="L99" s="114"/>
      <c r="M99" s="102"/>
      <c r="N99" s="103"/>
      <c r="O99" s="104"/>
      <c r="P99" s="97"/>
      <c r="Q99" s="115"/>
      <c r="R99" s="116"/>
      <c r="S99" s="105"/>
      <c r="T99" s="105"/>
      <c r="V99" s="108"/>
    </row>
    <row r="100" ht="15.75" customHeight="1">
      <c r="A100" s="91"/>
      <c r="B100" s="171"/>
      <c r="C100" s="143"/>
      <c r="D100" s="97"/>
      <c r="E100" s="143"/>
      <c r="F100" s="169"/>
      <c r="G100" s="97"/>
      <c r="H100" s="98"/>
      <c r="I100" s="105"/>
      <c r="J100" s="97"/>
      <c r="K100" s="101"/>
      <c r="L100" s="101"/>
      <c r="M100" s="102"/>
      <c r="N100" s="103"/>
      <c r="O100" s="125"/>
      <c r="P100" s="97"/>
      <c r="Q100" s="131"/>
      <c r="R100" s="126"/>
      <c r="S100" s="105"/>
      <c r="T100" s="97"/>
      <c r="V100" s="108"/>
    </row>
    <row r="101" ht="15.75" customHeight="1">
      <c r="A101" s="91"/>
      <c r="B101" s="171"/>
      <c r="C101" s="143"/>
      <c r="D101" s="97"/>
      <c r="E101" s="143"/>
      <c r="F101" s="143"/>
      <c r="G101" s="97"/>
      <c r="H101" s="98"/>
      <c r="I101" s="105"/>
      <c r="J101" s="97"/>
      <c r="K101" s="114"/>
      <c r="L101" s="114"/>
      <c r="M101" s="102"/>
      <c r="N101" s="103"/>
      <c r="O101" s="125"/>
      <c r="P101" s="97"/>
      <c r="Q101" s="97"/>
      <c r="R101" s="126"/>
      <c r="S101" s="105"/>
      <c r="T101" s="97"/>
      <c r="V101" s="108"/>
    </row>
    <row r="102" ht="15.75" customHeight="1">
      <c r="A102" s="91"/>
      <c r="B102" s="171"/>
      <c r="C102" s="108"/>
      <c r="D102" s="97"/>
      <c r="E102" s="143"/>
      <c r="F102" s="143"/>
      <c r="G102" s="97"/>
      <c r="H102" s="98"/>
      <c r="I102" s="105"/>
      <c r="J102" s="97"/>
      <c r="K102" s="101"/>
      <c r="L102" s="101"/>
      <c r="M102" s="102"/>
      <c r="N102" s="103"/>
      <c r="O102" s="125"/>
      <c r="P102" s="97"/>
      <c r="Q102" s="131"/>
      <c r="R102" s="126"/>
      <c r="S102" s="105"/>
      <c r="T102" s="97"/>
      <c r="V102" s="108"/>
    </row>
    <row r="103" ht="15.75" customHeight="1">
      <c r="A103" s="91"/>
      <c r="B103" s="171"/>
      <c r="C103" s="108"/>
      <c r="D103" s="97"/>
      <c r="E103" s="143"/>
      <c r="F103" s="143"/>
      <c r="G103" s="97"/>
      <c r="H103" s="98"/>
      <c r="I103" s="105"/>
      <c r="J103" s="97"/>
      <c r="K103" s="114"/>
      <c r="L103" s="114"/>
      <c r="M103" s="102"/>
      <c r="N103" s="103"/>
      <c r="O103" s="125"/>
      <c r="P103" s="97"/>
      <c r="Q103" s="131"/>
      <c r="R103" s="126"/>
      <c r="S103" s="105"/>
      <c r="T103" s="97"/>
      <c r="V103" s="108"/>
    </row>
    <row r="104" ht="15.75" customHeight="1">
      <c r="A104" s="91"/>
      <c r="B104" s="171"/>
      <c r="C104" s="143"/>
      <c r="D104" s="97"/>
      <c r="E104" s="143"/>
      <c r="F104" s="143"/>
      <c r="G104" s="97"/>
      <c r="H104" s="98"/>
      <c r="I104" s="105"/>
      <c r="J104" s="97"/>
      <c r="K104" s="101"/>
      <c r="L104" s="101"/>
      <c r="M104" s="102"/>
      <c r="N104" s="103"/>
      <c r="O104" s="125"/>
      <c r="P104" s="97"/>
      <c r="Q104" s="131"/>
      <c r="R104" s="126"/>
      <c r="S104" s="105"/>
      <c r="T104" s="97"/>
      <c r="V104" s="108"/>
    </row>
    <row r="105" ht="15.75" customHeight="1">
      <c r="A105" s="91"/>
      <c r="B105" s="171"/>
      <c r="C105" s="143"/>
      <c r="D105" s="97"/>
      <c r="E105" s="143"/>
      <c r="F105" s="143"/>
      <c r="G105" s="97"/>
      <c r="H105" s="98"/>
      <c r="I105" s="105"/>
      <c r="J105" s="97"/>
      <c r="K105" s="114"/>
      <c r="L105" s="114"/>
      <c r="M105" s="102"/>
      <c r="N105" s="103"/>
      <c r="O105" s="125"/>
      <c r="P105" s="97"/>
      <c r="Q105" s="97"/>
      <c r="R105" s="126"/>
      <c r="S105" s="105"/>
      <c r="T105" s="97"/>
      <c r="V105" s="108"/>
    </row>
    <row r="106" ht="15.75" customHeight="1">
      <c r="A106" s="91"/>
      <c r="B106" s="171"/>
      <c r="C106" s="143"/>
      <c r="D106" s="97"/>
      <c r="E106" s="143"/>
      <c r="F106" s="143"/>
      <c r="G106" s="97"/>
      <c r="H106" s="98"/>
      <c r="I106" s="105"/>
      <c r="J106" s="97"/>
      <c r="K106" s="101"/>
      <c r="L106" s="101"/>
      <c r="M106" s="102"/>
      <c r="N106" s="103"/>
      <c r="O106" s="125"/>
      <c r="P106" s="97"/>
      <c r="Q106" s="131"/>
      <c r="R106" s="126"/>
      <c r="S106" s="105"/>
      <c r="T106" s="97"/>
      <c r="V106" s="108"/>
    </row>
    <row r="107" ht="15.75" customHeight="1">
      <c r="A107" s="91"/>
      <c r="B107" s="171"/>
      <c r="C107" s="143"/>
      <c r="D107" s="97"/>
      <c r="E107" s="143"/>
      <c r="F107" s="143"/>
      <c r="G107" s="97"/>
      <c r="H107" s="143"/>
      <c r="I107" s="145"/>
      <c r="J107" s="97"/>
      <c r="K107" s="114"/>
      <c r="L107" s="114"/>
      <c r="M107" s="102"/>
      <c r="N107" s="124"/>
      <c r="O107" s="125"/>
      <c r="P107" s="97"/>
      <c r="Q107" s="97"/>
      <c r="R107" s="126"/>
      <c r="S107" s="97"/>
      <c r="T107" s="97"/>
      <c r="V107" s="108"/>
    </row>
    <row r="108" ht="15.75" customHeight="1">
      <c r="A108" s="91"/>
      <c r="B108" s="171"/>
      <c r="C108" s="143"/>
      <c r="D108" s="97"/>
      <c r="E108" s="143"/>
      <c r="F108" s="143"/>
      <c r="G108" s="97"/>
      <c r="H108" s="143"/>
      <c r="I108" s="97"/>
      <c r="J108" s="97"/>
      <c r="K108" s="101"/>
      <c r="L108" s="101"/>
      <c r="M108" s="102"/>
      <c r="N108" s="124"/>
      <c r="O108" s="125"/>
      <c r="P108" s="97"/>
      <c r="Q108" s="131"/>
      <c r="R108" s="126"/>
      <c r="S108" s="97"/>
      <c r="T108" s="97"/>
      <c r="V108" s="108"/>
    </row>
    <row r="109" ht="15.75" customHeight="1">
      <c r="A109" s="91"/>
      <c r="B109" s="171"/>
      <c r="C109" s="108"/>
      <c r="D109" s="97"/>
      <c r="E109" s="143"/>
      <c r="F109" s="143"/>
      <c r="G109" s="97"/>
      <c r="H109" s="143"/>
      <c r="I109" s="97"/>
      <c r="J109" s="97"/>
      <c r="K109" s="114"/>
      <c r="L109" s="114"/>
      <c r="M109" s="102"/>
      <c r="N109" s="124"/>
      <c r="O109" s="125"/>
      <c r="P109" s="97"/>
      <c r="Q109" s="97"/>
      <c r="R109" s="126"/>
      <c r="S109" s="97"/>
      <c r="T109" s="97"/>
      <c r="V109" s="108"/>
    </row>
    <row r="110" ht="15.75" customHeight="1">
      <c r="A110" s="91"/>
      <c r="B110" s="171"/>
      <c r="C110" s="108"/>
      <c r="D110" s="97"/>
      <c r="E110" s="143"/>
      <c r="F110" s="143"/>
      <c r="G110" s="97"/>
      <c r="H110" s="143"/>
      <c r="I110" s="97"/>
      <c r="J110" s="97"/>
      <c r="K110" s="101"/>
      <c r="L110" s="101"/>
      <c r="M110" s="102"/>
      <c r="N110" s="124"/>
      <c r="O110" s="125"/>
      <c r="P110" s="97"/>
      <c r="Q110" s="97"/>
      <c r="R110" s="126"/>
      <c r="S110" s="97"/>
      <c r="T110" s="97"/>
      <c r="V110" s="108"/>
    </row>
    <row r="111" ht="15.75" customHeight="1">
      <c r="A111" s="91"/>
      <c r="B111" s="171"/>
      <c r="C111" s="108"/>
      <c r="D111" s="97"/>
      <c r="E111" s="143"/>
      <c r="F111" s="143"/>
      <c r="G111" s="97"/>
      <c r="H111" s="143"/>
      <c r="I111" s="97"/>
      <c r="J111" s="97"/>
      <c r="K111" s="114"/>
      <c r="L111" s="114"/>
      <c r="M111" s="102"/>
      <c r="N111" s="124"/>
      <c r="O111" s="125"/>
      <c r="P111" s="97"/>
      <c r="Q111" s="97"/>
      <c r="R111" s="126"/>
      <c r="S111" s="97"/>
      <c r="T111" s="97"/>
      <c r="V111" s="108"/>
    </row>
    <row r="112" ht="15.75" customHeight="1">
      <c r="A112" s="91"/>
      <c r="B112" s="171"/>
      <c r="C112" s="143"/>
      <c r="D112" s="97"/>
      <c r="E112" s="143"/>
      <c r="F112" s="143"/>
      <c r="G112" s="97"/>
      <c r="H112" s="143"/>
      <c r="I112" s="97"/>
      <c r="J112" s="97"/>
      <c r="K112" s="101"/>
      <c r="L112" s="101"/>
      <c r="M112" s="102"/>
      <c r="N112" s="124"/>
      <c r="O112" s="125"/>
      <c r="P112" s="97"/>
      <c r="Q112" s="97"/>
      <c r="R112" s="126"/>
      <c r="S112" s="97"/>
      <c r="T112" s="97"/>
      <c r="V112" s="108"/>
    </row>
    <row r="113" ht="15.75" customHeight="1">
      <c r="A113" s="91"/>
      <c r="B113" s="171"/>
      <c r="C113" s="143"/>
      <c r="D113" s="97"/>
      <c r="E113" s="143"/>
      <c r="F113" s="143"/>
      <c r="G113" s="97"/>
      <c r="H113" s="143"/>
      <c r="I113" s="97"/>
      <c r="J113" s="97"/>
      <c r="K113" s="114"/>
      <c r="L113" s="114"/>
      <c r="M113" s="102"/>
      <c r="N113" s="124"/>
      <c r="O113" s="125"/>
      <c r="P113" s="97"/>
      <c r="Q113" s="97"/>
      <c r="R113" s="126"/>
      <c r="S113" s="97"/>
      <c r="T113" s="97"/>
      <c r="V113" s="108"/>
    </row>
    <row r="114" ht="15.75" customHeight="1">
      <c r="A114" s="91"/>
      <c r="B114" s="171"/>
      <c r="C114" s="143"/>
      <c r="D114" s="97"/>
      <c r="E114" s="143"/>
      <c r="F114" s="143"/>
      <c r="G114" s="97"/>
      <c r="H114" s="143"/>
      <c r="I114" s="97"/>
      <c r="J114" s="97"/>
      <c r="K114" s="101"/>
      <c r="L114" s="101"/>
      <c r="M114" s="102"/>
      <c r="N114" s="124"/>
      <c r="O114" s="125"/>
      <c r="P114" s="97"/>
      <c r="Q114" s="97"/>
      <c r="R114" s="126"/>
      <c r="S114" s="97"/>
      <c r="T114" s="97"/>
      <c r="V114" s="108"/>
    </row>
    <row r="115" ht="15.75" customHeight="1">
      <c r="A115" s="91"/>
      <c r="B115" s="171"/>
      <c r="C115" s="143"/>
      <c r="D115" s="97"/>
      <c r="E115" s="143"/>
      <c r="F115" s="143"/>
      <c r="G115" s="97"/>
      <c r="H115" s="143"/>
      <c r="I115" s="97"/>
      <c r="J115" s="97"/>
      <c r="K115" s="114"/>
      <c r="L115" s="114"/>
      <c r="M115" s="102"/>
      <c r="N115" s="124"/>
      <c r="O115" s="125"/>
      <c r="P115" s="97"/>
      <c r="Q115" s="97"/>
      <c r="R115" s="126"/>
      <c r="S115" s="97"/>
      <c r="T115" s="97"/>
      <c r="V115" s="108"/>
    </row>
    <row r="116" ht="15.75" customHeight="1">
      <c r="A116" s="91"/>
      <c r="B116" s="171"/>
      <c r="C116" s="143"/>
      <c r="D116" s="97"/>
      <c r="E116" s="143"/>
      <c r="F116" s="143"/>
      <c r="G116" s="97"/>
      <c r="H116" s="143"/>
      <c r="I116" s="97"/>
      <c r="J116" s="97"/>
      <c r="K116" s="101"/>
      <c r="L116" s="101"/>
      <c r="M116" s="102"/>
      <c r="N116" s="124"/>
      <c r="O116" s="125"/>
      <c r="P116" s="97"/>
      <c r="Q116" s="131"/>
      <c r="R116" s="126"/>
      <c r="S116" s="97"/>
      <c r="T116" s="97"/>
      <c r="V116" s="108"/>
    </row>
    <row r="117" ht="15.75" customHeight="1">
      <c r="A117" s="91"/>
      <c r="B117" s="171"/>
      <c r="C117" s="108"/>
      <c r="D117" s="97"/>
      <c r="E117" s="143"/>
      <c r="F117" s="143"/>
      <c r="G117" s="97"/>
      <c r="H117" s="143"/>
      <c r="I117" s="97"/>
      <c r="J117" s="97"/>
      <c r="K117" s="114"/>
      <c r="L117" s="114"/>
      <c r="M117" s="102"/>
      <c r="N117" s="124"/>
      <c r="O117" s="125"/>
      <c r="P117" s="97"/>
      <c r="Q117" s="97"/>
      <c r="R117" s="126"/>
      <c r="S117" s="97"/>
      <c r="T117" s="97"/>
      <c r="V117" s="108"/>
    </row>
    <row r="118" ht="15.75" customHeight="1">
      <c r="A118" s="91"/>
      <c r="B118" s="171"/>
      <c r="C118" s="108"/>
      <c r="D118" s="97"/>
      <c r="E118" s="143"/>
      <c r="F118" s="143"/>
      <c r="G118" s="97"/>
      <c r="H118" s="143"/>
      <c r="I118" s="97"/>
      <c r="J118" s="97"/>
      <c r="K118" s="101"/>
      <c r="L118" s="101"/>
      <c r="M118" s="102"/>
      <c r="N118" s="124"/>
      <c r="O118" s="125"/>
      <c r="P118" s="97"/>
      <c r="Q118" s="97"/>
      <c r="R118" s="126"/>
      <c r="S118" s="97"/>
      <c r="T118" s="97"/>
      <c r="V118" s="108"/>
    </row>
    <row r="119" ht="15.75" customHeight="1">
      <c r="A119" s="91"/>
      <c r="B119" s="171"/>
      <c r="C119" s="108"/>
      <c r="D119" s="97"/>
      <c r="E119" s="143"/>
      <c r="F119" s="143"/>
      <c r="G119" s="97"/>
      <c r="H119" s="143"/>
      <c r="I119" s="97"/>
      <c r="J119" s="97"/>
      <c r="K119" s="114"/>
      <c r="L119" s="114"/>
      <c r="M119" s="102"/>
      <c r="N119" s="124"/>
      <c r="O119" s="125"/>
      <c r="P119" s="97"/>
      <c r="Q119" s="131"/>
      <c r="R119" s="126"/>
      <c r="S119" s="97"/>
      <c r="T119" s="97"/>
      <c r="V119" s="108"/>
    </row>
    <row r="120" ht="15.75" customHeight="1">
      <c r="A120" s="91"/>
      <c r="B120" s="171"/>
      <c r="C120" s="143"/>
      <c r="D120" s="97"/>
      <c r="E120" s="143"/>
      <c r="F120" s="143"/>
      <c r="G120" s="97"/>
      <c r="H120" s="143"/>
      <c r="I120" s="97"/>
      <c r="J120" s="97"/>
      <c r="K120" s="101"/>
      <c r="L120" s="101"/>
      <c r="M120" s="102"/>
      <c r="N120" s="124"/>
      <c r="O120" s="125"/>
      <c r="P120" s="97"/>
      <c r="Q120" s="131"/>
      <c r="R120" s="126"/>
      <c r="S120" s="97"/>
      <c r="T120" s="97"/>
      <c r="V120" s="108"/>
    </row>
    <row r="121" ht="15.75" customHeight="1">
      <c r="A121" s="91"/>
      <c r="B121" s="171"/>
      <c r="C121" s="143"/>
      <c r="D121" s="97"/>
      <c r="E121" s="143"/>
      <c r="F121" s="143"/>
      <c r="G121" s="97"/>
      <c r="H121" s="143"/>
      <c r="I121" s="97"/>
      <c r="J121" s="97"/>
      <c r="K121" s="114"/>
      <c r="L121" s="114"/>
      <c r="M121" s="102"/>
      <c r="N121" s="124"/>
      <c r="O121" s="125"/>
      <c r="P121" s="97"/>
      <c r="Q121" s="131"/>
      <c r="R121" s="126"/>
      <c r="S121" s="97"/>
      <c r="T121" s="97"/>
      <c r="V121" s="108"/>
    </row>
    <row r="122" ht="15.75" customHeight="1">
      <c r="A122" s="91"/>
      <c r="B122" s="171"/>
      <c r="C122" s="143"/>
      <c r="D122" s="97"/>
      <c r="E122" s="143"/>
      <c r="F122" s="143"/>
      <c r="G122" s="97"/>
      <c r="H122" s="143"/>
      <c r="I122" s="97"/>
      <c r="J122" s="97"/>
      <c r="K122" s="101"/>
      <c r="L122" s="101"/>
      <c r="M122" s="102"/>
      <c r="N122" s="124"/>
      <c r="O122" s="125"/>
      <c r="P122" s="97"/>
      <c r="Q122" s="131"/>
      <c r="R122" s="126"/>
      <c r="S122" s="97"/>
      <c r="T122" s="97"/>
      <c r="V122" s="108"/>
    </row>
    <row r="123" ht="15.75" customHeight="1">
      <c r="A123" s="91"/>
      <c r="B123" s="171"/>
      <c r="C123" s="143"/>
      <c r="D123" s="97"/>
      <c r="E123" s="143"/>
      <c r="F123" s="143"/>
      <c r="G123" s="97"/>
      <c r="H123" s="143"/>
      <c r="I123" s="97"/>
      <c r="J123" s="97"/>
      <c r="K123" s="114"/>
      <c r="L123" s="114"/>
      <c r="M123" s="102"/>
      <c r="N123" s="124"/>
      <c r="O123" s="125"/>
      <c r="P123" s="97"/>
      <c r="Q123" s="131"/>
      <c r="R123" s="126"/>
      <c r="S123" s="97"/>
      <c r="T123" s="97"/>
      <c r="V123" s="108"/>
    </row>
    <row r="124" ht="15.75" customHeight="1">
      <c r="A124" s="91"/>
      <c r="B124" s="171"/>
      <c r="C124" s="143"/>
      <c r="D124" s="97"/>
      <c r="E124" s="143"/>
      <c r="F124" s="143"/>
      <c r="G124" s="97"/>
      <c r="H124" s="143"/>
      <c r="I124" s="97"/>
      <c r="J124" s="97"/>
      <c r="K124" s="101"/>
      <c r="L124" s="101"/>
      <c r="M124" s="102"/>
      <c r="N124" s="124"/>
      <c r="O124" s="125"/>
      <c r="P124" s="97"/>
      <c r="Q124" s="131"/>
      <c r="R124" s="126"/>
      <c r="S124" s="97"/>
      <c r="T124" s="97"/>
      <c r="V124" s="108"/>
    </row>
    <row r="125" ht="15.75" customHeight="1">
      <c r="A125" s="91"/>
      <c r="B125" s="171"/>
      <c r="C125" s="108"/>
      <c r="D125" s="97"/>
      <c r="E125" s="143"/>
      <c r="F125" s="143"/>
      <c r="G125" s="97"/>
      <c r="H125" s="143"/>
      <c r="I125" s="97"/>
      <c r="J125" s="97"/>
      <c r="K125" s="114"/>
      <c r="L125" s="114"/>
      <c r="M125" s="102"/>
      <c r="N125" s="124"/>
      <c r="O125" s="125"/>
      <c r="P125" s="97"/>
      <c r="Q125" s="97"/>
      <c r="R125" s="126"/>
      <c r="S125" s="97"/>
      <c r="T125" s="97"/>
      <c r="V125" s="108"/>
    </row>
    <row r="126" ht="15.75" customHeight="1">
      <c r="A126" s="91"/>
      <c r="B126" s="171"/>
      <c r="C126" s="108"/>
      <c r="D126" s="97"/>
      <c r="E126" s="143"/>
      <c r="F126" s="143"/>
      <c r="G126" s="97"/>
      <c r="H126" s="143"/>
      <c r="I126" s="97"/>
      <c r="J126" s="97"/>
      <c r="K126" s="101"/>
      <c r="L126" s="101"/>
      <c r="M126" s="102"/>
      <c r="N126" s="124"/>
      <c r="O126" s="125"/>
      <c r="P126" s="97"/>
      <c r="Q126" s="131"/>
      <c r="R126" s="126"/>
      <c r="S126" s="97"/>
      <c r="T126" s="97"/>
      <c r="V126" s="108"/>
    </row>
    <row r="127" ht="15.75" customHeight="1">
      <c r="A127" s="91"/>
      <c r="B127" s="171"/>
      <c r="C127" s="108"/>
      <c r="D127" s="97"/>
      <c r="E127" s="143"/>
      <c r="F127" s="143"/>
      <c r="G127" s="97"/>
      <c r="H127" s="143"/>
      <c r="I127" s="97"/>
      <c r="J127" s="97"/>
      <c r="K127" s="114"/>
      <c r="L127" s="114"/>
      <c r="M127" s="102"/>
      <c r="N127" s="124"/>
      <c r="O127" s="125"/>
      <c r="P127" s="97"/>
      <c r="Q127" s="97"/>
      <c r="R127" s="126"/>
      <c r="S127" s="97"/>
      <c r="T127" s="97"/>
      <c r="V127" s="108"/>
    </row>
    <row r="128" ht="15.75" customHeight="1">
      <c r="A128" s="91"/>
      <c r="B128" s="171"/>
      <c r="C128" s="143"/>
      <c r="D128" s="97"/>
      <c r="E128" s="143"/>
      <c r="F128" s="143"/>
      <c r="G128" s="97"/>
      <c r="H128" s="143"/>
      <c r="I128" s="97"/>
      <c r="J128" s="97"/>
      <c r="K128" s="101"/>
      <c r="L128" s="101"/>
      <c r="M128" s="102"/>
      <c r="N128" s="124"/>
      <c r="O128" s="125"/>
      <c r="P128" s="97"/>
      <c r="Q128" s="97"/>
      <c r="R128" s="126"/>
      <c r="S128" s="97"/>
      <c r="T128" s="97"/>
      <c r="V128" s="108"/>
    </row>
    <row r="129" ht="15.75" customHeight="1">
      <c r="A129" s="91"/>
      <c r="B129" s="171"/>
      <c r="C129" s="143"/>
      <c r="D129" s="97"/>
      <c r="E129" s="143"/>
      <c r="F129" s="143"/>
      <c r="G129" s="97"/>
      <c r="H129" s="143"/>
      <c r="I129" s="97"/>
      <c r="J129" s="97"/>
      <c r="K129" s="114"/>
      <c r="L129" s="114"/>
      <c r="M129" s="102"/>
      <c r="N129" s="124"/>
      <c r="O129" s="125"/>
      <c r="P129" s="97"/>
      <c r="Q129" s="131"/>
      <c r="R129" s="126"/>
      <c r="S129" s="97"/>
      <c r="T129" s="97"/>
      <c r="V129" s="108"/>
    </row>
    <row r="130" ht="15.75" customHeight="1">
      <c r="A130" s="91"/>
      <c r="B130" s="171"/>
      <c r="C130" s="143"/>
      <c r="D130" s="97"/>
      <c r="E130" s="143"/>
      <c r="F130" s="143"/>
      <c r="G130" s="97"/>
      <c r="H130" s="143"/>
      <c r="I130" s="97"/>
      <c r="J130" s="97"/>
      <c r="K130" s="101"/>
      <c r="L130" s="101"/>
      <c r="M130" s="102"/>
      <c r="N130" s="124"/>
      <c r="O130" s="125"/>
      <c r="P130" s="97"/>
      <c r="Q130" s="97"/>
      <c r="R130" s="126"/>
      <c r="S130" s="97"/>
      <c r="T130" s="97"/>
      <c r="V130" s="108"/>
    </row>
    <row r="131" ht="15.75" customHeight="1">
      <c r="A131" s="91"/>
      <c r="B131" s="171"/>
      <c r="C131" s="143"/>
      <c r="D131" s="97"/>
      <c r="E131" s="143"/>
      <c r="F131" s="143"/>
      <c r="G131" s="97"/>
      <c r="H131" s="143"/>
      <c r="I131" s="97"/>
      <c r="J131" s="97"/>
      <c r="K131" s="114"/>
      <c r="L131" s="114"/>
      <c r="M131" s="102"/>
      <c r="N131" s="124"/>
      <c r="O131" s="125"/>
      <c r="P131" s="97"/>
      <c r="Q131" s="97"/>
      <c r="R131" s="126"/>
      <c r="S131" s="97"/>
      <c r="T131" s="97"/>
      <c r="V131" s="108"/>
    </row>
    <row r="132" ht="15.75" customHeight="1">
      <c r="A132" s="91"/>
      <c r="B132" s="171"/>
      <c r="C132" s="143"/>
      <c r="D132" s="97"/>
      <c r="E132" s="143"/>
      <c r="F132" s="143"/>
      <c r="G132" s="97"/>
      <c r="H132" s="143"/>
      <c r="I132" s="97"/>
      <c r="J132" s="97"/>
      <c r="K132" s="101"/>
      <c r="L132" s="101"/>
      <c r="M132" s="102"/>
      <c r="N132" s="124"/>
      <c r="O132" s="125"/>
      <c r="P132" s="97"/>
      <c r="Q132" s="131"/>
      <c r="R132" s="126"/>
      <c r="S132" s="97"/>
      <c r="T132" s="97"/>
      <c r="V132" s="108"/>
    </row>
    <row r="133" ht="15.75" customHeight="1">
      <c r="A133" s="91"/>
      <c r="B133" s="171"/>
      <c r="C133" s="108"/>
      <c r="D133" s="97"/>
      <c r="E133" s="143"/>
      <c r="F133" s="143"/>
      <c r="G133" s="97"/>
      <c r="H133" s="143"/>
      <c r="I133" s="97"/>
      <c r="J133" s="97"/>
      <c r="K133" s="114"/>
      <c r="L133" s="114"/>
      <c r="M133" s="102"/>
      <c r="N133" s="124"/>
      <c r="O133" s="125"/>
      <c r="P133" s="97"/>
      <c r="Q133" s="97"/>
      <c r="R133" s="126"/>
      <c r="S133" s="97"/>
      <c r="T133" s="97"/>
      <c r="V133" s="108"/>
    </row>
    <row r="134" ht="15.75" customHeight="1">
      <c r="A134" s="91"/>
      <c r="B134" s="171"/>
      <c r="C134" s="108"/>
      <c r="D134" s="97"/>
      <c r="E134" s="143"/>
      <c r="F134" s="143"/>
      <c r="G134" s="97"/>
      <c r="H134" s="143"/>
      <c r="I134" s="97"/>
      <c r="J134" s="97"/>
      <c r="K134" s="101"/>
      <c r="L134" s="101"/>
      <c r="M134" s="102"/>
      <c r="N134" s="124"/>
      <c r="O134" s="125"/>
      <c r="P134" s="97"/>
      <c r="Q134" s="131"/>
      <c r="R134" s="126"/>
      <c r="S134" s="97"/>
      <c r="T134" s="97"/>
      <c r="V134" s="108"/>
    </row>
    <row r="135" ht="15.75" customHeight="1">
      <c r="A135" s="91"/>
      <c r="B135" s="171"/>
      <c r="C135" s="108"/>
      <c r="D135" s="97"/>
      <c r="E135" s="143"/>
      <c r="F135" s="143"/>
      <c r="G135" s="97"/>
      <c r="H135" s="143"/>
      <c r="I135" s="97"/>
      <c r="J135" s="97"/>
      <c r="K135" s="114"/>
      <c r="L135" s="114"/>
      <c r="M135" s="102"/>
      <c r="N135" s="124"/>
      <c r="O135" s="125"/>
      <c r="P135" s="97"/>
      <c r="Q135" s="131"/>
      <c r="R135" s="126"/>
      <c r="S135" s="97"/>
      <c r="T135" s="97"/>
      <c r="V135" s="108"/>
    </row>
    <row r="136" ht="15.75" customHeight="1">
      <c r="A136" s="91"/>
      <c r="B136" s="171"/>
      <c r="C136" s="143"/>
      <c r="D136" s="97"/>
      <c r="E136" s="143"/>
      <c r="F136" s="143"/>
      <c r="G136" s="97"/>
      <c r="H136" s="143"/>
      <c r="I136" s="97"/>
      <c r="J136" s="97"/>
      <c r="K136" s="101"/>
      <c r="L136" s="101"/>
      <c r="M136" s="102"/>
      <c r="N136" s="124"/>
      <c r="O136" s="125"/>
      <c r="P136" s="97"/>
      <c r="Q136" s="131"/>
      <c r="R136" s="126"/>
      <c r="S136" s="97"/>
      <c r="T136" s="97"/>
      <c r="V136" s="108"/>
    </row>
    <row r="137" ht="15.75" customHeight="1">
      <c r="A137" s="91"/>
      <c r="B137" s="171"/>
      <c r="C137" s="143"/>
      <c r="D137" s="97"/>
      <c r="E137" s="143"/>
      <c r="F137" s="143"/>
      <c r="G137" s="97"/>
      <c r="H137" s="143"/>
      <c r="I137" s="97"/>
      <c r="J137" s="97"/>
      <c r="K137" s="114"/>
      <c r="L137" s="114"/>
      <c r="M137" s="102"/>
      <c r="N137" s="124"/>
      <c r="O137" s="125"/>
      <c r="P137" s="97"/>
      <c r="Q137" s="97"/>
      <c r="R137" s="126"/>
      <c r="S137" s="97"/>
      <c r="T137" s="97"/>
      <c r="V137" s="108"/>
    </row>
    <row r="138" ht="15.75" customHeight="1">
      <c r="A138" s="91"/>
      <c r="B138" s="171"/>
      <c r="C138" s="143"/>
      <c r="D138" s="97"/>
      <c r="E138" s="143"/>
      <c r="F138" s="143"/>
      <c r="G138" s="97"/>
      <c r="H138" s="143"/>
      <c r="I138" s="97"/>
      <c r="J138" s="97"/>
      <c r="K138" s="101"/>
      <c r="L138" s="101"/>
      <c r="M138" s="102"/>
      <c r="N138" s="124"/>
      <c r="O138" s="125"/>
      <c r="P138" s="97"/>
      <c r="Q138" s="131"/>
      <c r="R138" s="126"/>
      <c r="S138" s="97"/>
      <c r="T138" s="97"/>
      <c r="V138" s="108"/>
    </row>
    <row r="139" ht="15.75" customHeight="1">
      <c r="A139" s="91"/>
      <c r="B139" s="171"/>
      <c r="C139" s="143"/>
      <c r="D139" s="97"/>
      <c r="E139" s="143"/>
      <c r="F139" s="143"/>
      <c r="G139" s="97"/>
      <c r="H139" s="143"/>
      <c r="I139" s="97"/>
      <c r="J139" s="97"/>
      <c r="K139" s="114"/>
      <c r="L139" s="114"/>
      <c r="M139" s="102"/>
      <c r="N139" s="124"/>
      <c r="O139" s="125"/>
      <c r="P139" s="97"/>
      <c r="Q139" s="97"/>
      <c r="R139" s="126"/>
      <c r="S139" s="97"/>
      <c r="T139" s="97"/>
      <c r="V139" s="108"/>
    </row>
    <row r="140" ht="15.75" customHeight="1">
      <c r="A140" s="91"/>
      <c r="B140" s="171"/>
      <c r="C140" s="143"/>
      <c r="D140" s="97"/>
      <c r="E140" s="143"/>
      <c r="F140" s="172"/>
      <c r="G140" s="97"/>
      <c r="H140" s="143"/>
      <c r="I140" s="97"/>
      <c r="J140" s="97"/>
      <c r="K140" s="101"/>
      <c r="L140" s="101"/>
      <c r="M140" s="102"/>
      <c r="N140" s="124"/>
      <c r="O140" s="125"/>
      <c r="P140" s="97"/>
      <c r="Q140" s="131"/>
      <c r="R140" s="126"/>
      <c r="S140" s="97"/>
      <c r="T140" s="97"/>
      <c r="V140" s="108"/>
    </row>
    <row r="141" ht="15.75" customHeight="1">
      <c r="A141" s="91"/>
      <c r="B141" s="171"/>
      <c r="C141" s="108"/>
      <c r="D141" s="97"/>
      <c r="E141" s="143"/>
      <c r="F141" s="143"/>
      <c r="G141" s="97"/>
      <c r="H141" s="143"/>
      <c r="I141" s="97"/>
      <c r="J141" s="97"/>
      <c r="K141" s="114"/>
      <c r="L141" s="114"/>
      <c r="M141" s="102"/>
      <c r="N141" s="124"/>
      <c r="O141" s="125"/>
      <c r="P141" s="97"/>
      <c r="Q141" s="97"/>
      <c r="R141" s="126"/>
      <c r="S141" s="97"/>
      <c r="T141" s="97"/>
      <c r="V141" s="108"/>
    </row>
    <row r="142" ht="15.75" customHeight="1">
      <c r="A142" s="91"/>
      <c r="B142" s="171"/>
      <c r="C142" s="108"/>
      <c r="D142" s="97"/>
      <c r="E142" s="143"/>
      <c r="F142" s="143"/>
      <c r="G142" s="97"/>
      <c r="H142" s="143"/>
      <c r="I142" s="97"/>
      <c r="J142" s="97"/>
      <c r="K142" s="101"/>
      <c r="L142" s="101"/>
      <c r="M142" s="102"/>
      <c r="N142" s="124"/>
      <c r="O142" s="125"/>
      <c r="P142" s="97"/>
      <c r="Q142" s="131"/>
      <c r="R142" s="126"/>
      <c r="S142" s="97"/>
      <c r="T142" s="97"/>
      <c r="V142" s="108"/>
    </row>
    <row r="143" ht="15.75" customHeight="1">
      <c r="A143" s="91"/>
      <c r="B143" s="171"/>
      <c r="C143" s="143"/>
      <c r="D143" s="97"/>
      <c r="E143" s="143"/>
      <c r="F143" s="143"/>
      <c r="G143" s="97"/>
      <c r="H143" s="143"/>
      <c r="I143" s="97"/>
      <c r="J143" s="97"/>
      <c r="K143" s="114"/>
      <c r="L143" s="114"/>
      <c r="M143" s="102"/>
      <c r="N143" s="124"/>
      <c r="O143" s="125"/>
      <c r="P143" s="97"/>
      <c r="Q143" s="131"/>
      <c r="R143" s="126"/>
      <c r="S143" s="97"/>
      <c r="T143" s="97"/>
      <c r="V143" s="108"/>
    </row>
    <row r="144" ht="15.75" customHeight="1">
      <c r="A144" s="91"/>
      <c r="B144" s="171"/>
      <c r="C144" s="143"/>
      <c r="D144" s="97"/>
      <c r="E144" s="143"/>
      <c r="F144" s="143"/>
      <c r="G144" s="97"/>
      <c r="H144" s="143"/>
      <c r="I144" s="97"/>
      <c r="J144" s="97"/>
      <c r="K144" s="101"/>
      <c r="L144" s="101"/>
      <c r="M144" s="102"/>
      <c r="N144" s="124"/>
      <c r="O144" s="125"/>
      <c r="P144" s="97"/>
      <c r="Q144" s="131"/>
      <c r="R144" s="126"/>
      <c r="S144" s="97"/>
      <c r="T144" s="97"/>
      <c r="V144" s="108"/>
    </row>
    <row r="145" ht="15.75" customHeight="1">
      <c r="A145" s="91"/>
      <c r="B145" s="171"/>
      <c r="C145" s="143"/>
      <c r="D145" s="97"/>
      <c r="E145" s="143"/>
      <c r="F145" s="143"/>
      <c r="G145" s="97"/>
      <c r="H145" s="143"/>
      <c r="I145" s="97"/>
      <c r="J145" s="97"/>
      <c r="K145" s="114"/>
      <c r="L145" s="114"/>
      <c r="M145" s="102"/>
      <c r="N145" s="124"/>
      <c r="O145" s="125"/>
      <c r="P145" s="97"/>
      <c r="Q145" s="131"/>
      <c r="R145" s="126"/>
      <c r="S145" s="97"/>
      <c r="T145" s="97"/>
      <c r="V145" s="108"/>
    </row>
    <row r="146" ht="15.75" customHeight="1">
      <c r="A146" s="91"/>
      <c r="B146" s="171"/>
      <c r="C146" s="143"/>
      <c r="D146" s="97"/>
      <c r="E146" s="143"/>
      <c r="F146" s="143"/>
      <c r="G146" s="97"/>
      <c r="H146" s="143"/>
      <c r="I146" s="97"/>
      <c r="J146" s="97"/>
      <c r="K146" s="101"/>
      <c r="L146" s="101"/>
      <c r="M146" s="102"/>
      <c r="N146" s="124"/>
      <c r="O146" s="125"/>
      <c r="P146" s="97"/>
      <c r="Q146" s="131"/>
      <c r="R146" s="126"/>
      <c r="S146" s="97"/>
      <c r="T146" s="97"/>
      <c r="V146" s="108"/>
    </row>
    <row r="147" ht="15.75" customHeight="1">
      <c r="A147" s="91"/>
      <c r="B147" s="171"/>
      <c r="C147" s="143"/>
      <c r="D147" s="97"/>
      <c r="E147" s="143"/>
      <c r="F147" s="143"/>
      <c r="G147" s="97"/>
      <c r="H147" s="143"/>
      <c r="I147" s="97"/>
      <c r="J147" s="97"/>
      <c r="K147" s="114"/>
      <c r="L147" s="114"/>
      <c r="M147" s="102"/>
      <c r="N147" s="124"/>
      <c r="O147" s="125"/>
      <c r="P147" s="97"/>
      <c r="Q147" s="131"/>
      <c r="R147" s="126"/>
      <c r="S147" s="97"/>
      <c r="T147" s="97"/>
      <c r="V147" s="108"/>
    </row>
    <row r="148" ht="15.75" customHeight="1">
      <c r="A148" s="91"/>
      <c r="B148" s="171"/>
      <c r="C148" s="108"/>
      <c r="D148" s="97"/>
      <c r="E148" s="143"/>
      <c r="F148" s="143"/>
      <c r="G148" s="97"/>
      <c r="H148" s="143"/>
      <c r="I148" s="97"/>
      <c r="J148" s="97"/>
      <c r="K148" s="101"/>
      <c r="L148" s="101"/>
      <c r="M148" s="102"/>
      <c r="N148" s="124"/>
      <c r="O148" s="125"/>
      <c r="P148" s="97"/>
      <c r="Q148" s="131"/>
      <c r="R148" s="126"/>
      <c r="S148" s="97"/>
      <c r="T148" s="97"/>
      <c r="V148" s="108"/>
    </row>
    <row r="149" ht="15.75" customHeight="1">
      <c r="A149" s="91"/>
      <c r="B149" s="171"/>
      <c r="C149" s="143"/>
      <c r="D149" s="97"/>
      <c r="E149" s="143"/>
      <c r="F149" s="143"/>
      <c r="G149" s="97"/>
      <c r="H149" s="143"/>
      <c r="I149" s="97"/>
      <c r="J149" s="97"/>
      <c r="K149" s="114"/>
      <c r="L149" s="114"/>
      <c r="M149" s="102"/>
      <c r="N149" s="124"/>
      <c r="O149" s="125"/>
      <c r="P149" s="97"/>
      <c r="Q149" s="131"/>
      <c r="R149" s="126"/>
      <c r="S149" s="97"/>
      <c r="T149" s="97"/>
      <c r="V149" s="108"/>
    </row>
    <row r="150" ht="15.75" customHeight="1">
      <c r="A150" s="91"/>
      <c r="B150" s="171"/>
      <c r="C150" s="143"/>
      <c r="D150" s="97"/>
      <c r="E150" s="143"/>
      <c r="F150" s="143"/>
      <c r="G150" s="97"/>
      <c r="H150" s="143"/>
      <c r="I150" s="97"/>
      <c r="J150" s="97"/>
      <c r="K150" s="101"/>
      <c r="L150" s="101"/>
      <c r="M150" s="102"/>
      <c r="N150" s="124"/>
      <c r="O150" s="125"/>
      <c r="P150" s="97"/>
      <c r="Q150" s="131"/>
      <c r="R150" s="126"/>
      <c r="S150" s="97"/>
      <c r="T150" s="97"/>
      <c r="V150" s="108"/>
    </row>
    <row r="151" ht="15.75" customHeight="1">
      <c r="A151" s="91"/>
      <c r="B151" s="171"/>
      <c r="C151" s="143"/>
      <c r="D151" s="97"/>
      <c r="E151" s="143"/>
      <c r="F151" s="143"/>
      <c r="G151" s="97"/>
      <c r="H151" s="143"/>
      <c r="I151" s="97"/>
      <c r="J151" s="97"/>
      <c r="K151" s="114"/>
      <c r="L151" s="114"/>
      <c r="M151" s="102"/>
      <c r="N151" s="124"/>
      <c r="O151" s="125"/>
      <c r="P151" s="97"/>
      <c r="Q151" s="131"/>
      <c r="R151" s="126"/>
      <c r="S151" s="97"/>
      <c r="T151" s="97"/>
      <c r="V151" s="108"/>
    </row>
    <row r="152" ht="15.75" customHeight="1">
      <c r="A152" s="91"/>
      <c r="B152" s="171"/>
      <c r="C152" s="143"/>
      <c r="D152" s="97"/>
      <c r="E152" s="143"/>
      <c r="F152" s="143"/>
      <c r="G152" s="97"/>
      <c r="H152" s="143"/>
      <c r="I152" s="97"/>
      <c r="J152" s="97"/>
      <c r="K152" s="101"/>
      <c r="L152" s="101"/>
      <c r="M152" s="102"/>
      <c r="N152" s="124"/>
      <c r="O152" s="125"/>
      <c r="P152" s="97"/>
      <c r="Q152" s="131"/>
      <c r="R152" s="126"/>
      <c r="S152" s="97"/>
      <c r="T152" s="97"/>
      <c r="V152" s="108"/>
    </row>
    <row r="153" ht="15.75" customHeight="1">
      <c r="A153" s="91"/>
      <c r="B153" s="171"/>
      <c r="C153" s="143"/>
      <c r="D153" s="97"/>
      <c r="E153" s="143"/>
      <c r="F153" s="143"/>
      <c r="G153" s="97"/>
      <c r="H153" s="143"/>
      <c r="I153" s="97"/>
      <c r="J153" s="97"/>
      <c r="K153" s="114"/>
      <c r="L153" s="114"/>
      <c r="M153" s="102"/>
      <c r="N153" s="124"/>
      <c r="O153" s="125"/>
      <c r="P153" s="97"/>
      <c r="Q153" s="131"/>
      <c r="R153" s="126"/>
      <c r="S153" s="97"/>
      <c r="T153" s="97"/>
      <c r="V153" s="108"/>
    </row>
    <row r="154" ht="15.75" customHeight="1">
      <c r="A154" s="91"/>
      <c r="B154" s="171"/>
      <c r="C154" s="108"/>
      <c r="D154" s="97"/>
      <c r="E154" s="143"/>
      <c r="F154" s="143"/>
      <c r="G154" s="97"/>
      <c r="H154" s="143"/>
      <c r="I154" s="97"/>
      <c r="J154" s="97"/>
      <c r="K154" s="101"/>
      <c r="L154" s="101"/>
      <c r="M154" s="102"/>
      <c r="N154" s="124"/>
      <c r="O154" s="125"/>
      <c r="P154" s="97"/>
      <c r="Q154" s="131"/>
      <c r="R154" s="126"/>
      <c r="S154" s="97"/>
      <c r="T154" s="97"/>
      <c r="V154" s="108"/>
    </row>
    <row r="155" ht="15.75" customHeight="1">
      <c r="A155" s="91"/>
      <c r="B155" s="171"/>
      <c r="C155" s="143"/>
      <c r="D155" s="97"/>
      <c r="E155" s="143"/>
      <c r="F155" s="143"/>
      <c r="G155" s="97"/>
      <c r="H155" s="143"/>
      <c r="I155" s="97"/>
      <c r="J155" s="97"/>
      <c r="K155" s="114"/>
      <c r="L155" s="114"/>
      <c r="M155" s="102"/>
      <c r="N155" s="124"/>
      <c r="O155" s="125"/>
      <c r="P155" s="97"/>
      <c r="Q155" s="131"/>
      <c r="R155" s="126"/>
      <c r="S155" s="97"/>
      <c r="T155" s="97"/>
      <c r="V155" s="108"/>
    </row>
    <row r="156" ht="15.75" customHeight="1">
      <c r="A156" s="91"/>
      <c r="B156" s="171"/>
      <c r="C156" s="143"/>
      <c r="D156" s="97"/>
      <c r="E156" s="143"/>
      <c r="F156" s="143"/>
      <c r="G156" s="97"/>
      <c r="H156" s="143"/>
      <c r="I156" s="97"/>
      <c r="J156" s="97"/>
      <c r="K156" s="101"/>
      <c r="L156" s="101"/>
      <c r="M156" s="102"/>
      <c r="N156" s="124"/>
      <c r="O156" s="125"/>
      <c r="P156" s="97"/>
      <c r="Q156" s="131"/>
      <c r="R156" s="126"/>
      <c r="S156" s="97"/>
      <c r="T156" s="97"/>
      <c r="V156" s="108"/>
    </row>
    <row r="157" ht="15.75" customHeight="1">
      <c r="A157" s="91"/>
      <c r="B157" s="171"/>
      <c r="C157" s="143"/>
      <c r="D157" s="97"/>
      <c r="E157" s="143"/>
      <c r="F157" s="143"/>
      <c r="G157" s="97"/>
      <c r="H157" s="143"/>
      <c r="I157" s="97"/>
      <c r="J157" s="97"/>
      <c r="K157" s="114"/>
      <c r="L157" s="114"/>
      <c r="M157" s="102"/>
      <c r="N157" s="124"/>
      <c r="O157" s="125"/>
      <c r="P157" s="97"/>
      <c r="Q157" s="131"/>
      <c r="R157" s="126"/>
      <c r="S157" s="97"/>
      <c r="T157" s="97"/>
      <c r="V157" s="108"/>
    </row>
    <row r="158" ht="15.75" customHeight="1">
      <c r="A158" s="91"/>
      <c r="B158" s="171"/>
      <c r="C158" s="143"/>
      <c r="D158" s="97"/>
      <c r="E158" s="143"/>
      <c r="F158" s="143"/>
      <c r="G158" s="97"/>
      <c r="H158" s="143"/>
      <c r="I158" s="97"/>
      <c r="J158" s="97"/>
      <c r="K158" s="101"/>
      <c r="L158" s="101"/>
      <c r="M158" s="102"/>
      <c r="N158" s="124"/>
      <c r="O158" s="125"/>
      <c r="P158" s="97"/>
      <c r="Q158" s="131"/>
      <c r="R158" s="126"/>
      <c r="S158" s="97"/>
      <c r="T158" s="97"/>
      <c r="V158" s="108"/>
    </row>
    <row r="159" ht="15.75" customHeight="1">
      <c r="A159" s="91"/>
      <c r="B159" s="171"/>
      <c r="C159" s="143"/>
      <c r="D159" s="97"/>
      <c r="E159" s="143"/>
      <c r="F159" s="143"/>
      <c r="G159" s="97"/>
      <c r="H159" s="143"/>
      <c r="I159" s="97"/>
      <c r="J159" s="97"/>
      <c r="K159" s="114"/>
      <c r="L159" s="114"/>
      <c r="M159" s="102"/>
      <c r="N159" s="124"/>
      <c r="O159" s="125"/>
      <c r="P159" s="97"/>
      <c r="Q159" s="131"/>
      <c r="R159" s="126"/>
      <c r="S159" s="97"/>
      <c r="T159" s="97"/>
      <c r="V159" s="108"/>
    </row>
    <row r="160" ht="15.75" customHeight="1">
      <c r="A160" s="91"/>
      <c r="B160" s="171"/>
      <c r="C160" s="108"/>
      <c r="D160" s="97"/>
      <c r="E160" s="143"/>
      <c r="F160" s="143"/>
      <c r="G160" s="97"/>
      <c r="H160" s="143"/>
      <c r="I160" s="97"/>
      <c r="J160" s="97"/>
      <c r="K160" s="101"/>
      <c r="L160" s="101"/>
      <c r="M160" s="102"/>
      <c r="N160" s="124"/>
      <c r="O160" s="125"/>
      <c r="P160" s="97"/>
      <c r="Q160" s="131"/>
      <c r="R160" s="126"/>
      <c r="S160" s="97"/>
      <c r="T160" s="97"/>
      <c r="V160" s="108"/>
    </row>
    <row r="161" ht="15.75" customHeight="1">
      <c r="A161" s="91"/>
      <c r="B161" s="171"/>
      <c r="C161" s="143"/>
      <c r="D161" s="97"/>
      <c r="E161" s="143"/>
      <c r="F161" s="143"/>
      <c r="G161" s="97"/>
      <c r="H161" s="143"/>
      <c r="I161" s="97"/>
      <c r="J161" s="97"/>
      <c r="K161" s="114"/>
      <c r="L161" s="114"/>
      <c r="M161" s="102"/>
      <c r="N161" s="124"/>
      <c r="O161" s="125"/>
      <c r="P161" s="97"/>
      <c r="Q161" s="131"/>
      <c r="R161" s="126"/>
      <c r="S161" s="97"/>
      <c r="T161" s="97"/>
      <c r="V161" s="108"/>
    </row>
    <row r="162" ht="15.75" customHeight="1">
      <c r="A162" s="91"/>
      <c r="B162" s="171"/>
      <c r="C162" s="143"/>
      <c r="D162" s="97"/>
      <c r="E162" s="143"/>
      <c r="F162" s="143"/>
      <c r="G162" s="97"/>
      <c r="H162" s="143"/>
      <c r="I162" s="97"/>
      <c r="J162" s="97"/>
      <c r="K162" s="101"/>
      <c r="L162" s="101"/>
      <c r="M162" s="102"/>
      <c r="N162" s="124"/>
      <c r="O162" s="125"/>
      <c r="P162" s="97"/>
      <c r="Q162" s="131"/>
      <c r="R162" s="126"/>
      <c r="S162" s="97"/>
      <c r="T162" s="97"/>
      <c r="V162" s="108"/>
    </row>
    <row r="163" ht="15.75" customHeight="1">
      <c r="A163" s="91"/>
      <c r="B163" s="171"/>
      <c r="C163" s="143"/>
      <c r="D163" s="97"/>
      <c r="E163" s="143"/>
      <c r="F163" s="143"/>
      <c r="G163" s="97"/>
      <c r="H163" s="143"/>
      <c r="I163" s="97"/>
      <c r="J163" s="97"/>
      <c r="K163" s="114"/>
      <c r="L163" s="114"/>
      <c r="M163" s="102"/>
      <c r="N163" s="124"/>
      <c r="O163" s="125"/>
      <c r="P163" s="97"/>
      <c r="Q163" s="131"/>
      <c r="R163" s="126"/>
      <c r="S163" s="97"/>
      <c r="T163" s="97"/>
      <c r="V163" s="108"/>
    </row>
    <row r="164" ht="15.75" customHeight="1">
      <c r="A164" s="91"/>
      <c r="B164" s="171"/>
      <c r="C164" s="143"/>
      <c r="D164" s="97"/>
      <c r="E164" s="143"/>
      <c r="F164" s="143"/>
      <c r="G164" s="97"/>
      <c r="H164" s="143"/>
      <c r="I164" s="97"/>
      <c r="J164" s="97"/>
      <c r="K164" s="101"/>
      <c r="L164" s="101"/>
      <c r="M164" s="102"/>
      <c r="N164" s="124"/>
      <c r="O164" s="125"/>
      <c r="P164" s="97"/>
      <c r="Q164" s="131"/>
      <c r="R164" s="126"/>
      <c r="S164" s="97"/>
      <c r="T164" s="97"/>
      <c r="V164" s="108"/>
    </row>
    <row r="165" ht="15.75" customHeight="1">
      <c r="A165" s="91"/>
      <c r="B165" s="171"/>
      <c r="C165" s="143"/>
      <c r="D165" s="97"/>
      <c r="E165" s="143"/>
      <c r="F165" s="143"/>
      <c r="G165" s="97"/>
      <c r="H165" s="143"/>
      <c r="I165" s="97"/>
      <c r="J165" s="97"/>
      <c r="K165" s="114"/>
      <c r="L165" s="114"/>
      <c r="M165" s="102"/>
      <c r="N165" s="124"/>
      <c r="O165" s="125"/>
      <c r="P165" s="97"/>
      <c r="Q165" s="131"/>
      <c r="R165" s="126"/>
      <c r="S165" s="97"/>
      <c r="T165" s="97"/>
      <c r="V165" s="108"/>
    </row>
    <row r="166" ht="15.75" customHeight="1">
      <c r="A166" s="91"/>
      <c r="B166" s="171"/>
      <c r="C166" s="108"/>
      <c r="D166" s="97"/>
      <c r="E166" s="143"/>
      <c r="F166" s="143"/>
      <c r="G166" s="97"/>
      <c r="H166" s="143"/>
      <c r="I166" s="97"/>
      <c r="J166" s="97"/>
      <c r="K166" s="101"/>
      <c r="L166" s="101"/>
      <c r="M166" s="102"/>
      <c r="N166" s="124"/>
      <c r="O166" s="125"/>
      <c r="P166" s="97"/>
      <c r="Q166" s="131"/>
      <c r="R166" s="126"/>
      <c r="S166" s="97"/>
      <c r="T166" s="97"/>
      <c r="V166" s="108"/>
    </row>
    <row r="167" ht="15.75" customHeight="1">
      <c r="A167" s="91"/>
      <c r="B167" s="171"/>
      <c r="C167" s="143"/>
      <c r="D167" s="97"/>
      <c r="E167" s="143"/>
      <c r="F167" s="143"/>
      <c r="G167" s="97"/>
      <c r="H167" s="143"/>
      <c r="I167" s="97"/>
      <c r="J167" s="97"/>
      <c r="K167" s="114"/>
      <c r="L167" s="114"/>
      <c r="M167" s="102"/>
      <c r="N167" s="124"/>
      <c r="O167" s="125"/>
      <c r="P167" s="97"/>
      <c r="Q167" s="131"/>
      <c r="R167" s="126"/>
      <c r="S167" s="97"/>
      <c r="T167" s="97"/>
      <c r="V167" s="108"/>
    </row>
    <row r="168" ht="15.75" customHeight="1">
      <c r="A168" s="91"/>
      <c r="B168" s="171"/>
      <c r="C168" s="143"/>
      <c r="D168" s="97"/>
      <c r="E168" s="143"/>
      <c r="F168" s="143"/>
      <c r="G168" s="97"/>
      <c r="H168" s="143"/>
      <c r="I168" s="97"/>
      <c r="J168" s="97"/>
      <c r="K168" s="101"/>
      <c r="L168" s="101"/>
      <c r="M168" s="102"/>
      <c r="N168" s="124"/>
      <c r="O168" s="125"/>
      <c r="P168" s="97"/>
      <c r="Q168" s="131"/>
      <c r="R168" s="126"/>
      <c r="S168" s="97"/>
      <c r="T168" s="97"/>
      <c r="V168" s="108"/>
    </row>
    <row r="169" ht="15.75" customHeight="1">
      <c r="A169" s="91"/>
      <c r="B169" s="171"/>
      <c r="C169" s="143"/>
      <c r="D169" s="97"/>
      <c r="E169" s="143"/>
      <c r="F169" s="143"/>
      <c r="G169" s="97"/>
      <c r="H169" s="143"/>
      <c r="I169" s="97"/>
      <c r="J169" s="97"/>
      <c r="K169" s="114"/>
      <c r="L169" s="114"/>
      <c r="M169" s="102"/>
      <c r="N169" s="124"/>
      <c r="O169" s="125"/>
      <c r="P169" s="97"/>
      <c r="Q169" s="131"/>
      <c r="R169" s="126"/>
      <c r="S169" s="97"/>
      <c r="T169" s="97"/>
      <c r="V169" s="108"/>
    </row>
    <row r="170" ht="15.75" customHeight="1">
      <c r="A170" s="91"/>
      <c r="B170" s="171"/>
      <c r="C170" s="143"/>
      <c r="D170" s="97"/>
      <c r="E170" s="143"/>
      <c r="F170" s="143"/>
      <c r="G170" s="97"/>
      <c r="H170" s="143"/>
      <c r="I170" s="97"/>
      <c r="J170" s="97"/>
      <c r="K170" s="101"/>
      <c r="L170" s="101"/>
      <c r="M170" s="102"/>
      <c r="N170" s="124"/>
      <c r="O170" s="125"/>
      <c r="P170" s="97"/>
      <c r="Q170" s="131"/>
      <c r="R170" s="126"/>
      <c r="S170" s="97"/>
      <c r="T170" s="97"/>
      <c r="V170" s="108"/>
    </row>
    <row r="171" ht="15.75" customHeight="1">
      <c r="A171" s="91"/>
      <c r="B171" s="171"/>
      <c r="C171" s="143"/>
      <c r="D171" s="97"/>
      <c r="E171" s="143"/>
      <c r="F171" s="143"/>
      <c r="G171" s="97"/>
      <c r="H171" s="143"/>
      <c r="I171" s="97"/>
      <c r="J171" s="97"/>
      <c r="K171" s="114"/>
      <c r="L171" s="114"/>
      <c r="M171" s="102"/>
      <c r="N171" s="124"/>
      <c r="O171" s="125"/>
      <c r="P171" s="97"/>
      <c r="Q171" s="131"/>
      <c r="R171" s="126"/>
      <c r="S171" s="97"/>
      <c r="T171" s="97"/>
      <c r="V171" s="108"/>
    </row>
    <row r="172" ht="15.75" customHeight="1">
      <c r="A172" s="91"/>
      <c r="B172" s="171"/>
      <c r="C172" s="108"/>
      <c r="D172" s="97"/>
      <c r="E172" s="143"/>
      <c r="F172" s="143"/>
      <c r="G172" s="97"/>
      <c r="H172" s="143"/>
      <c r="I172" s="97"/>
      <c r="J172" s="97"/>
      <c r="K172" s="101"/>
      <c r="L172" s="101"/>
      <c r="M172" s="102"/>
      <c r="N172" s="124"/>
      <c r="O172" s="125"/>
      <c r="P172" s="97"/>
      <c r="Q172" s="131"/>
      <c r="R172" s="126"/>
      <c r="S172" s="97"/>
      <c r="T172" s="97"/>
      <c r="V172" s="108"/>
    </row>
    <row r="173" ht="15.75" customHeight="1">
      <c r="A173" s="91"/>
      <c r="B173" s="171"/>
      <c r="C173" s="143"/>
      <c r="D173" s="97"/>
      <c r="E173" s="143"/>
      <c r="F173" s="143"/>
      <c r="G173" s="97"/>
      <c r="H173" s="143"/>
      <c r="I173" s="97"/>
      <c r="J173" s="97"/>
      <c r="K173" s="114"/>
      <c r="L173" s="114"/>
      <c r="M173" s="102"/>
      <c r="N173" s="124"/>
      <c r="O173" s="125"/>
      <c r="P173" s="97"/>
      <c r="Q173" s="131"/>
      <c r="R173" s="126"/>
      <c r="S173" s="97"/>
      <c r="T173" s="97"/>
      <c r="V173" s="108"/>
    </row>
    <row r="174" ht="15.75" customHeight="1">
      <c r="A174" s="91"/>
      <c r="B174" s="171"/>
      <c r="C174" s="143"/>
      <c r="D174" s="97"/>
      <c r="E174" s="143"/>
      <c r="F174" s="143"/>
      <c r="G174" s="97"/>
      <c r="H174" s="143"/>
      <c r="I174" s="97"/>
      <c r="J174" s="97"/>
      <c r="K174" s="101"/>
      <c r="L174" s="101"/>
      <c r="M174" s="102"/>
      <c r="N174" s="124"/>
      <c r="O174" s="125"/>
      <c r="P174" s="97"/>
      <c r="Q174" s="131"/>
      <c r="R174" s="126"/>
      <c r="S174" s="97"/>
      <c r="T174" s="97"/>
      <c r="V174" s="108"/>
    </row>
    <row r="175" ht="15.75" customHeight="1">
      <c r="A175" s="91"/>
      <c r="B175" s="171"/>
      <c r="C175" s="143"/>
      <c r="D175" s="97"/>
      <c r="E175" s="143"/>
      <c r="F175" s="143"/>
      <c r="G175" s="97"/>
      <c r="H175" s="143"/>
      <c r="I175" s="97"/>
      <c r="J175" s="97"/>
      <c r="K175" s="114"/>
      <c r="L175" s="114"/>
      <c r="M175" s="102"/>
      <c r="N175" s="124"/>
      <c r="O175" s="125"/>
      <c r="P175" s="97"/>
      <c r="Q175" s="131"/>
      <c r="R175" s="126"/>
      <c r="S175" s="97"/>
      <c r="T175" s="97"/>
      <c r="V175" s="108"/>
    </row>
    <row r="176" ht="15.75" customHeight="1">
      <c r="A176" s="91"/>
      <c r="B176" s="171"/>
      <c r="C176" s="143"/>
      <c r="D176" s="97"/>
      <c r="E176" s="143"/>
      <c r="F176" s="143"/>
      <c r="G176" s="97"/>
      <c r="H176" s="143"/>
      <c r="I176" s="97"/>
      <c r="J176" s="97"/>
      <c r="K176" s="101"/>
      <c r="L176" s="101"/>
      <c r="M176" s="102"/>
      <c r="N176" s="124"/>
      <c r="O176" s="125"/>
      <c r="P176" s="97"/>
      <c r="Q176" s="131"/>
      <c r="R176" s="126"/>
      <c r="S176" s="97"/>
      <c r="T176" s="97"/>
      <c r="V176" s="108"/>
    </row>
    <row r="177" ht="15.75" customHeight="1">
      <c r="A177" s="91"/>
      <c r="B177" s="171"/>
      <c r="C177" s="143"/>
      <c r="D177" s="97"/>
      <c r="E177" s="143"/>
      <c r="F177" s="143"/>
      <c r="G177" s="97"/>
      <c r="H177" s="143"/>
      <c r="I177" s="97"/>
      <c r="J177" s="97"/>
      <c r="K177" s="114"/>
      <c r="L177" s="114"/>
      <c r="M177" s="102"/>
      <c r="N177" s="124"/>
      <c r="O177" s="125"/>
      <c r="P177" s="97"/>
      <c r="Q177" s="131"/>
      <c r="R177" s="126"/>
      <c r="S177" s="97"/>
      <c r="T177" s="97"/>
      <c r="V177" s="108"/>
    </row>
    <row r="178" ht="15.75" customHeight="1">
      <c r="A178" s="91"/>
      <c r="B178" s="171"/>
      <c r="C178" s="108"/>
      <c r="D178" s="97"/>
      <c r="E178" s="143"/>
      <c r="F178" s="143"/>
      <c r="G178" s="97"/>
      <c r="H178" s="143"/>
      <c r="I178" s="97"/>
      <c r="J178" s="97"/>
      <c r="K178" s="101"/>
      <c r="L178" s="101"/>
      <c r="M178" s="102"/>
      <c r="N178" s="124"/>
      <c r="O178" s="125"/>
      <c r="P178" s="97"/>
      <c r="Q178" s="131"/>
      <c r="R178" s="126"/>
      <c r="S178" s="97"/>
      <c r="T178" s="97"/>
      <c r="V178" s="108"/>
    </row>
    <row r="179" ht="15.75" customHeight="1">
      <c r="A179" s="91"/>
      <c r="B179" s="171"/>
      <c r="C179" s="143"/>
      <c r="D179" s="97"/>
      <c r="E179" s="143"/>
      <c r="F179" s="143"/>
      <c r="G179" s="97"/>
      <c r="H179" s="143"/>
      <c r="I179" s="97"/>
      <c r="J179" s="97"/>
      <c r="K179" s="114"/>
      <c r="L179" s="114"/>
      <c r="M179" s="102"/>
      <c r="N179" s="124"/>
      <c r="O179" s="125"/>
      <c r="P179" s="97"/>
      <c r="Q179" s="131"/>
      <c r="R179" s="126"/>
      <c r="S179" s="97"/>
      <c r="T179" s="97"/>
      <c r="V179" s="108"/>
    </row>
    <row r="180" ht="15.75" customHeight="1">
      <c r="A180" s="91"/>
      <c r="B180" s="171"/>
      <c r="C180" s="143"/>
      <c r="D180" s="97"/>
      <c r="E180" s="143"/>
      <c r="F180" s="143"/>
      <c r="G180" s="97"/>
      <c r="H180" s="143"/>
      <c r="I180" s="97"/>
      <c r="J180" s="97"/>
      <c r="K180" s="101"/>
      <c r="L180" s="101"/>
      <c r="M180" s="102"/>
      <c r="N180" s="124"/>
      <c r="O180" s="125"/>
      <c r="P180" s="97"/>
      <c r="Q180" s="131"/>
      <c r="R180" s="126"/>
      <c r="S180" s="97"/>
      <c r="T180" s="97"/>
      <c r="V180" s="108"/>
    </row>
    <row r="181" ht="15.75" customHeight="1">
      <c r="A181" s="91"/>
      <c r="B181" s="171"/>
      <c r="C181" s="143"/>
      <c r="D181" s="97"/>
      <c r="E181" s="143"/>
      <c r="F181" s="143"/>
      <c r="G181" s="97"/>
      <c r="H181" s="143"/>
      <c r="I181" s="97"/>
      <c r="J181" s="97"/>
      <c r="K181" s="114"/>
      <c r="L181" s="114"/>
      <c r="M181" s="102"/>
      <c r="N181" s="124"/>
      <c r="O181" s="125"/>
      <c r="P181" s="97"/>
      <c r="Q181" s="131"/>
      <c r="R181" s="126"/>
      <c r="S181" s="97"/>
      <c r="T181" s="97"/>
      <c r="V181" s="108"/>
    </row>
    <row r="182" ht="15.75" customHeight="1">
      <c r="A182" s="91"/>
      <c r="B182" s="171"/>
      <c r="C182" s="143"/>
      <c r="D182" s="97"/>
      <c r="E182" s="143"/>
      <c r="F182" s="143"/>
      <c r="G182" s="97"/>
      <c r="H182" s="143"/>
      <c r="I182" s="97"/>
      <c r="J182" s="97"/>
      <c r="K182" s="101"/>
      <c r="L182" s="101"/>
      <c r="M182" s="102"/>
      <c r="N182" s="124"/>
      <c r="O182" s="125"/>
      <c r="P182" s="97"/>
      <c r="Q182" s="131"/>
      <c r="R182" s="126"/>
      <c r="S182" s="97"/>
      <c r="T182" s="97"/>
      <c r="V182" s="108"/>
    </row>
    <row r="183" ht="15.75" customHeight="1">
      <c r="A183" s="91"/>
      <c r="B183" s="171"/>
      <c r="C183" s="143"/>
      <c r="D183" s="97"/>
      <c r="E183" s="143"/>
      <c r="F183" s="143"/>
      <c r="G183" s="97"/>
      <c r="H183" s="143"/>
      <c r="I183" s="97"/>
      <c r="J183" s="97"/>
      <c r="K183" s="114"/>
      <c r="L183" s="114"/>
      <c r="M183" s="102"/>
      <c r="N183" s="124"/>
      <c r="O183" s="125"/>
      <c r="P183" s="97"/>
      <c r="Q183" s="131"/>
      <c r="R183" s="126"/>
      <c r="S183" s="97"/>
      <c r="T183" s="97"/>
      <c r="V183" s="108"/>
    </row>
    <row r="184" ht="15.75" customHeight="1">
      <c r="A184" s="91"/>
      <c r="B184" s="171"/>
      <c r="C184" s="108"/>
      <c r="D184" s="97"/>
      <c r="E184" s="143"/>
      <c r="F184" s="143"/>
      <c r="G184" s="97"/>
      <c r="H184" s="143"/>
      <c r="I184" s="97"/>
      <c r="J184" s="97"/>
      <c r="K184" s="101"/>
      <c r="L184" s="101"/>
      <c r="M184" s="102"/>
      <c r="N184" s="124"/>
      <c r="O184" s="125"/>
      <c r="P184" s="97"/>
      <c r="Q184" s="131"/>
      <c r="R184" s="126"/>
      <c r="S184" s="97"/>
      <c r="T184" s="97"/>
      <c r="V184" s="108"/>
    </row>
    <row r="185" ht="15.75" customHeight="1">
      <c r="A185" s="91"/>
      <c r="B185" s="171"/>
      <c r="C185" s="143"/>
      <c r="D185" s="97"/>
      <c r="E185" s="143"/>
      <c r="F185" s="143"/>
      <c r="G185" s="97"/>
      <c r="H185" s="143"/>
      <c r="I185" s="97"/>
      <c r="J185" s="97"/>
      <c r="K185" s="114"/>
      <c r="L185" s="114"/>
      <c r="M185" s="102"/>
      <c r="N185" s="124"/>
      <c r="O185" s="125"/>
      <c r="P185" s="97"/>
      <c r="Q185" s="131"/>
      <c r="R185" s="126"/>
      <c r="S185" s="97"/>
      <c r="T185" s="97"/>
      <c r="V185" s="108"/>
    </row>
    <row r="186" ht="15.75" customHeight="1">
      <c r="A186" s="91"/>
      <c r="B186" s="171"/>
      <c r="C186" s="143"/>
      <c r="D186" s="97"/>
      <c r="E186" s="143"/>
      <c r="F186" s="143"/>
      <c r="G186" s="97"/>
      <c r="H186" s="143"/>
      <c r="I186" s="97"/>
      <c r="J186" s="97"/>
      <c r="K186" s="101"/>
      <c r="L186" s="101"/>
      <c r="M186" s="102"/>
      <c r="N186" s="124"/>
      <c r="O186" s="125"/>
      <c r="P186" s="97"/>
      <c r="Q186" s="131"/>
      <c r="R186" s="126"/>
      <c r="S186" s="97"/>
      <c r="T186" s="97"/>
      <c r="V186" s="108"/>
    </row>
    <row r="187" ht="15.75" customHeight="1">
      <c r="A187" s="91"/>
      <c r="B187" s="171"/>
      <c r="C187" s="143"/>
      <c r="D187" s="97"/>
      <c r="E187" s="143"/>
      <c r="F187" s="143"/>
      <c r="G187" s="97"/>
      <c r="H187" s="143"/>
      <c r="I187" s="97"/>
      <c r="J187" s="97"/>
      <c r="K187" s="114"/>
      <c r="L187" s="114"/>
      <c r="M187" s="102"/>
      <c r="N187" s="124"/>
      <c r="O187" s="125"/>
      <c r="P187" s="97"/>
      <c r="Q187" s="131"/>
      <c r="R187" s="126"/>
      <c r="S187" s="97"/>
      <c r="T187" s="97"/>
      <c r="V187" s="108"/>
    </row>
    <row r="188" ht="15.75" customHeight="1">
      <c r="A188" s="91"/>
      <c r="B188" s="171"/>
      <c r="C188" s="143"/>
      <c r="D188" s="97"/>
      <c r="E188" s="143"/>
      <c r="F188" s="143"/>
      <c r="G188" s="97"/>
      <c r="H188" s="143"/>
      <c r="I188" s="97"/>
      <c r="J188" s="97"/>
      <c r="K188" s="101"/>
      <c r="L188" s="101"/>
      <c r="M188" s="102"/>
      <c r="N188" s="124"/>
      <c r="O188" s="125"/>
      <c r="P188" s="97"/>
      <c r="Q188" s="131"/>
      <c r="R188" s="126"/>
      <c r="S188" s="97"/>
      <c r="T188" s="97"/>
      <c r="V188" s="108"/>
    </row>
    <row r="189" ht="15.75" customHeight="1">
      <c r="A189" s="91"/>
      <c r="B189" s="171"/>
      <c r="C189" s="143"/>
      <c r="D189" s="97"/>
      <c r="E189" s="143"/>
      <c r="F189" s="143"/>
      <c r="G189" s="97"/>
      <c r="H189" s="143"/>
      <c r="I189" s="97"/>
      <c r="J189" s="97"/>
      <c r="K189" s="114"/>
      <c r="L189" s="114"/>
      <c r="M189" s="102"/>
      <c r="N189" s="124"/>
      <c r="O189" s="125"/>
      <c r="P189" s="97"/>
      <c r="Q189" s="131"/>
      <c r="R189" s="126"/>
      <c r="S189" s="97"/>
      <c r="T189" s="97"/>
      <c r="V189" s="108"/>
    </row>
    <row r="190" ht="15.75" customHeight="1">
      <c r="A190" s="91"/>
      <c r="B190" s="171"/>
      <c r="C190" s="108"/>
      <c r="D190" s="97"/>
      <c r="E190" s="143"/>
      <c r="F190" s="143"/>
      <c r="G190" s="97"/>
      <c r="H190" s="143"/>
      <c r="I190" s="97"/>
      <c r="J190" s="97"/>
      <c r="K190" s="101"/>
      <c r="L190" s="101"/>
      <c r="M190" s="102"/>
      <c r="N190" s="124"/>
      <c r="O190" s="125"/>
      <c r="P190" s="97"/>
      <c r="Q190" s="131"/>
      <c r="R190" s="126"/>
      <c r="S190" s="97"/>
      <c r="T190" s="97"/>
      <c r="V190" s="108"/>
    </row>
    <row r="191" ht="15.75" customHeight="1">
      <c r="A191" s="91"/>
      <c r="B191" s="171"/>
      <c r="C191" s="143"/>
      <c r="D191" s="97"/>
      <c r="E191" s="143"/>
      <c r="F191" s="143"/>
      <c r="G191" s="97"/>
      <c r="H191" s="143"/>
      <c r="I191" s="97"/>
      <c r="J191" s="97"/>
      <c r="K191" s="114"/>
      <c r="L191" s="114"/>
      <c r="M191" s="102"/>
      <c r="N191" s="124"/>
      <c r="O191" s="125"/>
      <c r="P191" s="97"/>
      <c r="Q191" s="131"/>
      <c r="R191" s="126"/>
      <c r="S191" s="97"/>
      <c r="T191" s="97"/>
      <c r="V191" s="108"/>
    </row>
    <row r="192" ht="15.75" customHeight="1">
      <c r="A192" s="91"/>
      <c r="B192" s="171"/>
      <c r="C192" s="143"/>
      <c r="D192" s="97"/>
      <c r="E192" s="143"/>
      <c r="F192" s="143"/>
      <c r="G192" s="97"/>
      <c r="H192" s="143"/>
      <c r="I192" s="97"/>
      <c r="J192" s="97"/>
      <c r="K192" s="101"/>
      <c r="L192" s="101"/>
      <c r="M192" s="102"/>
      <c r="N192" s="124"/>
      <c r="O192" s="125"/>
      <c r="P192" s="97"/>
      <c r="Q192" s="131"/>
      <c r="R192" s="126"/>
      <c r="S192" s="97"/>
      <c r="T192" s="97"/>
      <c r="V192" s="108"/>
    </row>
    <row r="193" ht="15.75" customHeight="1">
      <c r="A193" s="91"/>
      <c r="B193" s="171"/>
      <c r="C193" s="143"/>
      <c r="D193" s="97"/>
      <c r="E193" s="143"/>
      <c r="F193" s="143"/>
      <c r="G193" s="97"/>
      <c r="H193" s="143"/>
      <c r="I193" s="97"/>
      <c r="J193" s="97"/>
      <c r="K193" s="114"/>
      <c r="L193" s="114"/>
      <c r="M193" s="102"/>
      <c r="N193" s="124"/>
      <c r="O193" s="125"/>
      <c r="P193" s="97"/>
      <c r="Q193" s="131"/>
      <c r="R193" s="126"/>
      <c r="S193" s="97"/>
      <c r="T193" s="97"/>
      <c r="V193" s="108"/>
    </row>
    <row r="194" ht="15.75" customHeight="1">
      <c r="A194" s="91"/>
      <c r="B194" s="171"/>
      <c r="C194" s="143"/>
      <c r="D194" s="97"/>
      <c r="E194" s="143"/>
      <c r="F194" s="143"/>
      <c r="G194" s="97"/>
      <c r="H194" s="143"/>
      <c r="I194" s="97"/>
      <c r="J194" s="97"/>
      <c r="K194" s="101"/>
      <c r="L194" s="101"/>
      <c r="M194" s="102"/>
      <c r="N194" s="124"/>
      <c r="O194" s="125"/>
      <c r="P194" s="97"/>
      <c r="Q194" s="131"/>
      <c r="R194" s="126"/>
      <c r="S194" s="97"/>
      <c r="T194" s="97"/>
      <c r="V194" s="108"/>
    </row>
    <row r="195" ht="15.75" customHeight="1">
      <c r="A195" s="91"/>
      <c r="B195" s="171"/>
      <c r="C195" s="143"/>
      <c r="D195" s="97"/>
      <c r="E195" s="143"/>
      <c r="F195" s="143"/>
      <c r="G195" s="97"/>
      <c r="H195" s="143"/>
      <c r="I195" s="97"/>
      <c r="J195" s="97"/>
      <c r="K195" s="114"/>
      <c r="L195" s="114"/>
      <c r="M195" s="102"/>
      <c r="N195" s="124"/>
      <c r="O195" s="125"/>
      <c r="P195" s="97"/>
      <c r="Q195" s="131"/>
      <c r="R195" s="126"/>
      <c r="S195" s="97"/>
      <c r="T195" s="97"/>
      <c r="V195" s="108"/>
    </row>
    <row r="196" ht="15.75" customHeight="1">
      <c r="A196" s="91"/>
      <c r="B196" s="171"/>
      <c r="C196" s="108"/>
      <c r="D196" s="97"/>
      <c r="E196" s="143"/>
      <c r="F196" s="143"/>
      <c r="G196" s="97"/>
      <c r="H196" s="143"/>
      <c r="I196" s="97"/>
      <c r="J196" s="97"/>
      <c r="K196" s="101"/>
      <c r="L196" s="101"/>
      <c r="M196" s="102"/>
      <c r="N196" s="124"/>
      <c r="O196" s="125"/>
      <c r="P196" s="97"/>
      <c r="Q196" s="131"/>
      <c r="R196" s="126"/>
      <c r="S196" s="97"/>
      <c r="T196" s="97"/>
      <c r="V196" s="108"/>
    </row>
    <row r="197" ht="15.75" customHeight="1">
      <c r="A197" s="91"/>
      <c r="B197" s="171"/>
      <c r="C197" s="143"/>
      <c r="D197" s="97"/>
      <c r="E197" s="143"/>
      <c r="F197" s="143"/>
      <c r="G197" s="97"/>
      <c r="H197" s="143"/>
      <c r="I197" s="97"/>
      <c r="J197" s="97"/>
      <c r="K197" s="114"/>
      <c r="L197" s="114"/>
      <c r="M197" s="102"/>
      <c r="N197" s="124"/>
      <c r="O197" s="125"/>
      <c r="P197" s="97"/>
      <c r="Q197" s="131"/>
      <c r="R197" s="126"/>
      <c r="S197" s="97"/>
      <c r="T197" s="97"/>
      <c r="V197" s="108"/>
    </row>
    <row r="198" ht="15.75" customHeight="1">
      <c r="A198" s="91"/>
      <c r="B198" s="171"/>
      <c r="C198" s="143"/>
      <c r="D198" s="97"/>
      <c r="E198" s="143"/>
      <c r="F198" s="143"/>
      <c r="G198" s="97"/>
      <c r="H198" s="143"/>
      <c r="I198" s="97"/>
      <c r="J198" s="97"/>
      <c r="K198" s="101"/>
      <c r="L198" s="101"/>
      <c r="M198" s="102"/>
      <c r="N198" s="124"/>
      <c r="O198" s="125"/>
      <c r="P198" s="97"/>
      <c r="Q198" s="131"/>
      <c r="R198" s="126"/>
      <c r="S198" s="97"/>
      <c r="T198" s="97"/>
      <c r="V198" s="108"/>
    </row>
    <row r="199" ht="15.75" customHeight="1">
      <c r="A199" s="91"/>
      <c r="B199" s="171"/>
      <c r="C199" s="143"/>
      <c r="D199" s="97"/>
      <c r="E199" s="143"/>
      <c r="F199" s="143"/>
      <c r="G199" s="97"/>
      <c r="H199" s="143"/>
      <c r="I199" s="97"/>
      <c r="J199" s="97"/>
      <c r="K199" s="114"/>
      <c r="L199" s="114"/>
      <c r="M199" s="102"/>
      <c r="N199" s="124"/>
      <c r="O199" s="125"/>
      <c r="P199" s="97"/>
      <c r="Q199" s="131"/>
      <c r="R199" s="126"/>
      <c r="S199" s="97"/>
      <c r="T199" s="97"/>
      <c r="V199" s="108"/>
    </row>
    <row r="200" ht="15.75" customHeight="1">
      <c r="A200" s="91"/>
      <c r="B200" s="171"/>
      <c r="C200" s="143"/>
      <c r="D200" s="97"/>
      <c r="E200" s="143"/>
      <c r="F200" s="143"/>
      <c r="G200" s="97"/>
      <c r="H200" s="143"/>
      <c r="I200" s="97"/>
      <c r="J200" s="97"/>
      <c r="K200" s="101"/>
      <c r="L200" s="101"/>
      <c r="M200" s="102"/>
      <c r="N200" s="124"/>
      <c r="O200" s="125"/>
      <c r="P200" s="97"/>
      <c r="Q200" s="131"/>
      <c r="R200" s="126"/>
      <c r="S200" s="97"/>
      <c r="T200" s="97"/>
      <c r="V200" s="108"/>
    </row>
    <row r="201" ht="15.75" customHeight="1">
      <c r="A201" s="91"/>
      <c r="B201" s="171"/>
      <c r="C201" s="143"/>
      <c r="D201" s="97"/>
      <c r="E201" s="143"/>
      <c r="F201" s="143"/>
      <c r="G201" s="97"/>
      <c r="H201" s="143"/>
      <c r="I201" s="97"/>
      <c r="J201" s="97"/>
      <c r="K201" s="114"/>
      <c r="L201" s="114"/>
      <c r="M201" s="102"/>
      <c r="N201" s="124"/>
      <c r="O201" s="125"/>
      <c r="P201" s="97"/>
      <c r="Q201" s="131"/>
      <c r="R201" s="126"/>
      <c r="S201" s="97"/>
      <c r="T201" s="97"/>
      <c r="V201" s="108"/>
    </row>
    <row r="202" ht="15.75" customHeight="1">
      <c r="A202" s="91"/>
      <c r="B202" s="171"/>
      <c r="C202" s="108"/>
      <c r="D202" s="97"/>
      <c r="E202" s="143"/>
      <c r="F202" s="143"/>
      <c r="G202" s="97"/>
      <c r="H202" s="143"/>
      <c r="I202" s="97"/>
      <c r="J202" s="97"/>
      <c r="K202" s="101"/>
      <c r="L202" s="101"/>
      <c r="M202" s="102"/>
      <c r="N202" s="124"/>
      <c r="O202" s="125"/>
      <c r="P202" s="97"/>
      <c r="Q202" s="131"/>
      <c r="R202" s="126"/>
      <c r="S202" s="97"/>
      <c r="T202" s="97"/>
      <c r="V202" s="108"/>
    </row>
    <row r="203" ht="15.75" customHeight="1">
      <c r="A203" s="91"/>
      <c r="B203" s="171"/>
      <c r="C203" s="143"/>
      <c r="D203" s="97"/>
      <c r="E203" s="143"/>
      <c r="F203" s="143"/>
      <c r="G203" s="97"/>
      <c r="H203" s="143"/>
      <c r="I203" s="97"/>
      <c r="J203" s="97"/>
      <c r="K203" s="114"/>
      <c r="L203" s="114"/>
      <c r="M203" s="102"/>
      <c r="N203" s="124"/>
      <c r="O203" s="125"/>
      <c r="P203" s="97"/>
      <c r="Q203" s="131"/>
      <c r="R203" s="126"/>
      <c r="S203" s="97"/>
      <c r="T203" s="97"/>
      <c r="V203" s="108"/>
    </row>
    <row r="204" ht="15.75" customHeight="1">
      <c r="A204" s="91"/>
      <c r="B204" s="171"/>
      <c r="C204" s="143"/>
      <c r="D204" s="97"/>
      <c r="E204" s="143"/>
      <c r="F204" s="143"/>
      <c r="G204" s="97"/>
      <c r="H204" s="143"/>
      <c r="I204" s="97"/>
      <c r="J204" s="97"/>
      <c r="K204" s="101"/>
      <c r="L204" s="101"/>
      <c r="M204" s="102"/>
      <c r="N204" s="124"/>
      <c r="O204" s="125"/>
      <c r="P204" s="97"/>
      <c r="Q204" s="131"/>
      <c r="R204" s="126"/>
      <c r="S204" s="97"/>
      <c r="T204" s="97"/>
      <c r="V204" s="108"/>
    </row>
    <row r="205" ht="15.75" customHeight="1">
      <c r="A205" s="91"/>
      <c r="B205" s="171"/>
      <c r="C205" s="143"/>
      <c r="D205" s="97"/>
      <c r="E205" s="143"/>
      <c r="F205" s="143"/>
      <c r="G205" s="97"/>
      <c r="H205" s="143"/>
      <c r="I205" s="97"/>
      <c r="J205" s="97"/>
      <c r="K205" s="114"/>
      <c r="L205" s="114"/>
      <c r="M205" s="102"/>
      <c r="N205" s="124"/>
      <c r="O205" s="125"/>
      <c r="P205" s="97"/>
      <c r="Q205" s="131"/>
      <c r="R205" s="126"/>
      <c r="S205" s="97"/>
      <c r="T205" s="97"/>
      <c r="V205" s="108"/>
    </row>
    <row r="206" ht="15.75" customHeight="1">
      <c r="A206" s="91"/>
      <c r="B206" s="171"/>
      <c r="C206" s="143"/>
      <c r="D206" s="97"/>
      <c r="E206" s="143"/>
      <c r="F206" s="143"/>
      <c r="G206" s="97"/>
      <c r="H206" s="143"/>
      <c r="I206" s="97"/>
      <c r="J206" s="97"/>
      <c r="K206" s="101"/>
      <c r="L206" s="101"/>
      <c r="M206" s="102"/>
      <c r="N206" s="124"/>
      <c r="O206" s="125"/>
      <c r="P206" s="97"/>
      <c r="Q206" s="131"/>
      <c r="R206" s="126"/>
      <c r="S206" s="97"/>
      <c r="T206" s="97"/>
      <c r="V206" s="108"/>
    </row>
    <row r="207" ht="15.75" customHeight="1">
      <c r="A207" s="91"/>
      <c r="B207" s="171"/>
      <c r="C207" s="143"/>
      <c r="D207" s="97"/>
      <c r="E207" s="143"/>
      <c r="F207" s="143"/>
      <c r="G207" s="97"/>
      <c r="H207" s="143"/>
      <c r="I207" s="97"/>
      <c r="J207" s="97"/>
      <c r="K207" s="114"/>
      <c r="L207" s="114"/>
      <c r="M207" s="102"/>
      <c r="N207" s="124"/>
      <c r="O207" s="125"/>
      <c r="P207" s="97"/>
      <c r="Q207" s="131"/>
      <c r="R207" s="126"/>
      <c r="S207" s="97"/>
      <c r="T207" s="97"/>
      <c r="V207" s="108"/>
    </row>
    <row r="208" ht="15.75" customHeight="1">
      <c r="A208" s="91"/>
      <c r="B208" s="171"/>
      <c r="C208" s="108"/>
      <c r="D208" s="97"/>
      <c r="E208" s="143"/>
      <c r="F208" s="143"/>
      <c r="G208" s="97"/>
      <c r="H208" s="143"/>
      <c r="I208" s="97"/>
      <c r="J208" s="97"/>
      <c r="K208" s="101"/>
      <c r="L208" s="101"/>
      <c r="M208" s="102"/>
      <c r="N208" s="124"/>
      <c r="O208" s="125"/>
      <c r="P208" s="97"/>
      <c r="Q208" s="131"/>
      <c r="R208" s="126"/>
      <c r="S208" s="97"/>
      <c r="T208" s="97"/>
      <c r="V208" s="108"/>
    </row>
    <row r="209" ht="15.75" customHeight="1">
      <c r="A209" s="91"/>
      <c r="B209" s="171"/>
      <c r="C209" s="143"/>
      <c r="D209" s="97"/>
      <c r="E209" s="143"/>
      <c r="F209" s="143"/>
      <c r="G209" s="97"/>
      <c r="H209" s="143"/>
      <c r="I209" s="97"/>
      <c r="J209" s="97"/>
      <c r="K209" s="114"/>
      <c r="L209" s="114"/>
      <c r="M209" s="102"/>
      <c r="N209" s="124"/>
      <c r="O209" s="125"/>
      <c r="P209" s="97"/>
      <c r="Q209" s="131"/>
      <c r="R209" s="126"/>
      <c r="S209" s="97"/>
      <c r="T209" s="97"/>
      <c r="V209" s="108"/>
    </row>
    <row r="210" ht="15.75" customHeight="1">
      <c r="A210" s="91"/>
      <c r="B210" s="171"/>
      <c r="C210" s="143"/>
      <c r="D210" s="97"/>
      <c r="E210" s="143"/>
      <c r="F210" s="143"/>
      <c r="G210" s="97"/>
      <c r="H210" s="143"/>
      <c r="I210" s="97"/>
      <c r="J210" s="97"/>
      <c r="K210" s="101"/>
      <c r="L210" s="101"/>
      <c r="M210" s="102"/>
      <c r="N210" s="124"/>
      <c r="O210" s="125"/>
      <c r="P210" s="97"/>
      <c r="Q210" s="131"/>
      <c r="R210" s="126"/>
      <c r="S210" s="97"/>
      <c r="T210" s="97"/>
      <c r="V210" s="108"/>
    </row>
    <row r="211" ht="15.75" customHeight="1">
      <c r="A211" s="91"/>
      <c r="B211" s="171"/>
      <c r="C211" s="143"/>
      <c r="D211" s="97"/>
      <c r="E211" s="143"/>
      <c r="F211" s="143"/>
      <c r="G211" s="97"/>
      <c r="H211" s="143"/>
      <c r="I211" s="97"/>
      <c r="J211" s="97"/>
      <c r="K211" s="114"/>
      <c r="L211" s="114"/>
      <c r="M211" s="102"/>
      <c r="N211" s="124"/>
      <c r="O211" s="125"/>
      <c r="P211" s="97"/>
      <c r="Q211" s="131"/>
      <c r="R211" s="126"/>
      <c r="S211" s="97"/>
      <c r="T211" s="97"/>
      <c r="V211" s="108"/>
    </row>
    <row r="212" ht="15.75" customHeight="1">
      <c r="A212" s="91"/>
      <c r="B212" s="171"/>
      <c r="C212" s="143"/>
      <c r="D212" s="97"/>
      <c r="E212" s="143"/>
      <c r="F212" s="143"/>
      <c r="G212" s="97"/>
      <c r="H212" s="143"/>
      <c r="I212" s="97"/>
      <c r="J212" s="97"/>
      <c r="K212" s="101"/>
      <c r="L212" s="101"/>
      <c r="M212" s="102"/>
      <c r="N212" s="124"/>
      <c r="O212" s="125"/>
      <c r="P212" s="97"/>
      <c r="Q212" s="131"/>
      <c r="R212" s="126"/>
      <c r="S212" s="97"/>
      <c r="T212" s="97"/>
      <c r="V212" s="108"/>
    </row>
    <row r="213" ht="15.75" customHeight="1">
      <c r="A213" s="91"/>
      <c r="B213" s="171"/>
      <c r="C213" s="143"/>
      <c r="D213" s="97"/>
      <c r="E213" s="143"/>
      <c r="F213" s="143"/>
      <c r="G213" s="97"/>
      <c r="H213" s="143"/>
      <c r="I213" s="97"/>
      <c r="J213" s="97"/>
      <c r="K213" s="114"/>
      <c r="L213" s="114"/>
      <c r="M213" s="102"/>
      <c r="N213" s="124"/>
      <c r="O213" s="125"/>
      <c r="P213" s="97"/>
      <c r="Q213" s="131"/>
      <c r="R213" s="126"/>
      <c r="S213" s="97"/>
      <c r="T213" s="97"/>
      <c r="V213" s="108"/>
    </row>
    <row r="214" ht="15.75" customHeight="1">
      <c r="A214" s="91"/>
      <c r="B214" s="171"/>
      <c r="C214" s="108"/>
      <c r="D214" s="97"/>
      <c r="E214" s="143"/>
      <c r="F214" s="143"/>
      <c r="G214" s="97"/>
      <c r="H214" s="143"/>
      <c r="I214" s="97"/>
      <c r="J214" s="97"/>
      <c r="K214" s="101"/>
      <c r="L214" s="101"/>
      <c r="M214" s="102"/>
      <c r="N214" s="124"/>
      <c r="O214" s="125"/>
      <c r="P214" s="97"/>
      <c r="Q214" s="131"/>
      <c r="R214" s="126"/>
      <c r="S214" s="97"/>
      <c r="T214" s="97"/>
      <c r="V214" s="108"/>
    </row>
    <row r="215" ht="15.75" customHeight="1">
      <c r="A215" s="91"/>
      <c r="B215" s="171"/>
      <c r="C215" s="143"/>
      <c r="D215" s="97"/>
      <c r="E215" s="143"/>
      <c r="F215" s="143"/>
      <c r="G215" s="97"/>
      <c r="H215" s="143"/>
      <c r="I215" s="97"/>
      <c r="J215" s="97"/>
      <c r="K215" s="114"/>
      <c r="L215" s="114"/>
      <c r="M215" s="102"/>
      <c r="N215" s="124"/>
      <c r="O215" s="125"/>
      <c r="P215" s="97"/>
      <c r="Q215" s="131"/>
      <c r="R215" s="126"/>
      <c r="S215" s="97"/>
      <c r="T215" s="97"/>
      <c r="V215" s="108"/>
    </row>
    <row r="216" ht="15.75" customHeight="1">
      <c r="A216" s="91"/>
      <c r="B216" s="171"/>
      <c r="C216" s="143"/>
      <c r="D216" s="97"/>
      <c r="E216" s="143"/>
      <c r="F216" s="143"/>
      <c r="G216" s="97"/>
      <c r="H216" s="143"/>
      <c r="I216" s="97"/>
      <c r="J216" s="97"/>
      <c r="K216" s="101"/>
      <c r="L216" s="101"/>
      <c r="M216" s="102"/>
      <c r="N216" s="124"/>
      <c r="O216" s="125"/>
      <c r="P216" s="97"/>
      <c r="Q216" s="131"/>
      <c r="R216" s="126"/>
      <c r="S216" s="97"/>
      <c r="T216" s="97"/>
      <c r="V216" s="108"/>
    </row>
    <row r="217" ht="15.75" customHeight="1">
      <c r="A217" s="91"/>
      <c r="B217" s="171"/>
      <c r="C217" s="143"/>
      <c r="D217" s="97"/>
      <c r="E217" s="143"/>
      <c r="F217" s="143"/>
      <c r="G217" s="97"/>
      <c r="H217" s="143"/>
      <c r="I217" s="97"/>
      <c r="J217" s="97"/>
      <c r="K217" s="114"/>
      <c r="L217" s="114"/>
      <c r="M217" s="102"/>
      <c r="N217" s="124"/>
      <c r="O217" s="125"/>
      <c r="P217" s="97"/>
      <c r="Q217" s="131"/>
      <c r="R217" s="126"/>
      <c r="S217" s="97"/>
      <c r="T217" s="97"/>
      <c r="V217" s="108"/>
    </row>
    <row r="218" ht="15.75" customHeight="1">
      <c r="A218" s="91"/>
      <c r="B218" s="171"/>
      <c r="C218" s="143"/>
      <c r="D218" s="97"/>
      <c r="E218" s="143"/>
      <c r="F218" s="143"/>
      <c r="G218" s="97"/>
      <c r="H218" s="143"/>
      <c r="I218" s="97"/>
      <c r="J218" s="97"/>
      <c r="K218" s="101"/>
      <c r="L218" s="101"/>
      <c r="M218" s="102"/>
      <c r="N218" s="124"/>
      <c r="O218" s="125"/>
      <c r="P218" s="97"/>
      <c r="Q218" s="131"/>
      <c r="R218" s="126"/>
      <c r="S218" s="97"/>
      <c r="T218" s="97"/>
      <c r="V218" s="108"/>
    </row>
    <row r="219" ht="15.75" customHeight="1">
      <c r="A219" s="91"/>
      <c r="B219" s="171"/>
      <c r="C219" s="143"/>
      <c r="D219" s="97"/>
      <c r="E219" s="143"/>
      <c r="F219" s="143"/>
      <c r="G219" s="97"/>
      <c r="H219" s="143"/>
      <c r="I219" s="97"/>
      <c r="J219" s="97"/>
      <c r="K219" s="114"/>
      <c r="L219" s="114"/>
      <c r="M219" s="102"/>
      <c r="N219" s="124"/>
      <c r="O219" s="125"/>
      <c r="P219" s="97"/>
      <c r="Q219" s="131"/>
      <c r="R219" s="126"/>
      <c r="S219" s="97"/>
      <c r="T219" s="97"/>
      <c r="V219" s="108"/>
    </row>
    <row r="220" ht="15.75" customHeight="1">
      <c r="A220" s="91"/>
      <c r="B220" s="171"/>
      <c r="C220" s="108"/>
      <c r="D220" s="97"/>
      <c r="E220" s="143"/>
      <c r="F220" s="143"/>
      <c r="G220" s="97"/>
      <c r="H220" s="143"/>
      <c r="I220" s="97"/>
      <c r="J220" s="97"/>
      <c r="K220" s="101"/>
      <c r="L220" s="101"/>
      <c r="M220" s="102"/>
      <c r="N220" s="124"/>
      <c r="O220" s="125"/>
      <c r="P220" s="97"/>
      <c r="Q220" s="131"/>
      <c r="R220" s="126"/>
      <c r="S220" s="97"/>
      <c r="T220" s="97"/>
      <c r="V220" s="108"/>
    </row>
    <row r="221" ht="15.75" customHeight="1">
      <c r="A221" s="91"/>
      <c r="B221" s="171"/>
      <c r="C221" s="143"/>
      <c r="D221" s="97"/>
      <c r="E221" s="143"/>
      <c r="F221" s="143"/>
      <c r="G221" s="97"/>
      <c r="H221" s="143"/>
      <c r="I221" s="97"/>
      <c r="J221" s="97"/>
      <c r="K221" s="114"/>
      <c r="L221" s="114"/>
      <c r="M221" s="102"/>
      <c r="N221" s="124"/>
      <c r="O221" s="125"/>
      <c r="P221" s="97"/>
      <c r="Q221" s="131"/>
      <c r="R221" s="126"/>
      <c r="S221" s="97"/>
      <c r="T221" s="97"/>
      <c r="V221" s="108"/>
    </row>
    <row r="222" ht="15.75" customHeight="1">
      <c r="A222" s="91"/>
      <c r="B222" s="171"/>
      <c r="C222" s="143"/>
      <c r="D222" s="97"/>
      <c r="E222" s="143"/>
      <c r="F222" s="143"/>
      <c r="G222" s="97"/>
      <c r="H222" s="143"/>
      <c r="I222" s="97"/>
      <c r="J222" s="97"/>
      <c r="K222" s="101"/>
      <c r="L222" s="101"/>
      <c r="M222" s="102"/>
      <c r="N222" s="124"/>
      <c r="O222" s="125"/>
      <c r="P222" s="97"/>
      <c r="Q222" s="131"/>
      <c r="R222" s="126"/>
      <c r="S222" s="97"/>
      <c r="T222" s="97"/>
      <c r="V222" s="108"/>
    </row>
    <row r="223" ht="15.75" customHeight="1">
      <c r="A223" s="91"/>
      <c r="B223" s="171"/>
      <c r="C223" s="143"/>
      <c r="D223" s="97"/>
      <c r="E223" s="143"/>
      <c r="F223" s="143"/>
      <c r="G223" s="97"/>
      <c r="H223" s="143"/>
      <c r="I223" s="97"/>
      <c r="J223" s="97"/>
      <c r="K223" s="114"/>
      <c r="L223" s="114"/>
      <c r="M223" s="102"/>
      <c r="N223" s="124"/>
      <c r="O223" s="125"/>
      <c r="P223" s="97"/>
      <c r="Q223" s="131"/>
      <c r="R223" s="126"/>
      <c r="S223" s="97"/>
      <c r="T223" s="97"/>
      <c r="V223" s="108"/>
    </row>
    <row r="224" ht="15.75" customHeight="1">
      <c r="A224" s="91"/>
      <c r="B224" s="171"/>
      <c r="C224" s="143"/>
      <c r="D224" s="97"/>
      <c r="E224" s="143"/>
      <c r="F224" s="143"/>
      <c r="G224" s="97"/>
      <c r="H224" s="143"/>
      <c r="I224" s="97"/>
      <c r="J224" s="97"/>
      <c r="K224" s="101"/>
      <c r="L224" s="101"/>
      <c r="M224" s="102"/>
      <c r="N224" s="124"/>
      <c r="O224" s="125"/>
      <c r="P224" s="97"/>
      <c r="Q224" s="131"/>
      <c r="R224" s="126"/>
      <c r="S224" s="97"/>
      <c r="T224" s="97"/>
      <c r="V224" s="108"/>
    </row>
    <row r="225" ht="15.75" customHeight="1">
      <c r="A225" s="91"/>
      <c r="B225" s="171"/>
      <c r="C225" s="143"/>
      <c r="D225" s="97"/>
      <c r="E225" s="143"/>
      <c r="F225" s="143"/>
      <c r="G225" s="97"/>
      <c r="H225" s="143"/>
      <c r="I225" s="97"/>
      <c r="J225" s="97"/>
      <c r="K225" s="114"/>
      <c r="L225" s="114"/>
      <c r="M225" s="102"/>
      <c r="N225" s="124"/>
      <c r="O225" s="125"/>
      <c r="P225" s="97"/>
      <c r="Q225" s="131"/>
      <c r="R225" s="126"/>
      <c r="S225" s="97"/>
      <c r="T225" s="97"/>
      <c r="V225" s="108"/>
    </row>
    <row r="226" ht="15.75" customHeight="1">
      <c r="A226" s="91"/>
      <c r="B226" s="171"/>
      <c r="C226" s="108"/>
      <c r="D226" s="97"/>
      <c r="E226" s="143"/>
      <c r="F226" s="143"/>
      <c r="G226" s="97"/>
      <c r="H226" s="143"/>
      <c r="I226" s="97"/>
      <c r="J226" s="97"/>
      <c r="K226" s="101"/>
      <c r="L226" s="101"/>
      <c r="M226" s="102"/>
      <c r="N226" s="124"/>
      <c r="O226" s="125"/>
      <c r="P226" s="97"/>
      <c r="Q226" s="131"/>
      <c r="R226" s="126"/>
      <c r="S226" s="97"/>
      <c r="T226" s="97"/>
      <c r="V226" s="108"/>
    </row>
    <row r="227" ht="15.75" customHeight="1">
      <c r="A227" s="91"/>
      <c r="B227" s="171"/>
      <c r="C227" s="143"/>
      <c r="D227" s="97"/>
      <c r="E227" s="143"/>
      <c r="F227" s="143"/>
      <c r="G227" s="97"/>
      <c r="H227" s="143"/>
      <c r="I227" s="97"/>
      <c r="J227" s="97"/>
      <c r="K227" s="114"/>
      <c r="L227" s="114"/>
      <c r="M227" s="102"/>
      <c r="N227" s="124"/>
      <c r="O227" s="125"/>
      <c r="P227" s="97"/>
      <c r="Q227" s="131"/>
      <c r="R227" s="126"/>
      <c r="S227" s="97"/>
      <c r="T227" s="97"/>
      <c r="V227" s="108"/>
    </row>
    <row r="228" ht="15.75" customHeight="1">
      <c r="A228" s="91"/>
      <c r="B228" s="171"/>
      <c r="C228" s="143"/>
      <c r="D228" s="97"/>
      <c r="E228" s="143"/>
      <c r="F228" s="143"/>
      <c r="G228" s="97"/>
      <c r="H228" s="143"/>
      <c r="I228" s="97"/>
      <c r="J228" s="97"/>
      <c r="K228" s="101"/>
      <c r="L228" s="101"/>
      <c r="M228" s="102"/>
      <c r="N228" s="124"/>
      <c r="O228" s="125"/>
      <c r="P228" s="97"/>
      <c r="Q228" s="131"/>
      <c r="R228" s="126"/>
      <c r="S228" s="97"/>
      <c r="T228" s="97"/>
      <c r="V228" s="108"/>
    </row>
    <row r="229" ht="15.75" customHeight="1">
      <c r="A229" s="91"/>
      <c r="B229" s="171"/>
      <c r="C229" s="143"/>
      <c r="D229" s="97"/>
      <c r="E229" s="143"/>
      <c r="F229" s="143"/>
      <c r="G229" s="97"/>
      <c r="H229" s="143"/>
      <c r="I229" s="97"/>
      <c r="J229" s="97"/>
      <c r="K229" s="114"/>
      <c r="L229" s="114"/>
      <c r="M229" s="102"/>
      <c r="N229" s="124"/>
      <c r="O229" s="125"/>
      <c r="P229" s="97"/>
      <c r="Q229" s="131"/>
      <c r="R229" s="126"/>
      <c r="S229" s="97"/>
      <c r="T229" s="97"/>
      <c r="V229" s="108"/>
    </row>
    <row r="230" ht="15.75" customHeight="1">
      <c r="A230" s="91"/>
      <c r="B230" s="171"/>
      <c r="C230" s="143"/>
      <c r="D230" s="97"/>
      <c r="E230" s="143"/>
      <c r="F230" s="143"/>
      <c r="G230" s="97"/>
      <c r="H230" s="143"/>
      <c r="I230" s="97"/>
      <c r="J230" s="97"/>
      <c r="K230" s="101"/>
      <c r="L230" s="101"/>
      <c r="M230" s="102"/>
      <c r="N230" s="124"/>
      <c r="O230" s="125"/>
      <c r="P230" s="97"/>
      <c r="Q230" s="131"/>
      <c r="R230" s="126"/>
      <c r="S230" s="97"/>
      <c r="T230" s="97"/>
      <c r="V230" s="108"/>
    </row>
    <row r="231" ht="15.75" customHeight="1">
      <c r="A231" s="91"/>
      <c r="B231" s="171"/>
      <c r="C231" s="143"/>
      <c r="D231" s="97"/>
      <c r="E231" s="143"/>
      <c r="F231" s="143"/>
      <c r="G231" s="97"/>
      <c r="H231" s="143"/>
      <c r="I231" s="97"/>
      <c r="J231" s="97"/>
      <c r="K231" s="114"/>
      <c r="L231" s="114"/>
      <c r="M231" s="102"/>
      <c r="N231" s="124"/>
      <c r="O231" s="125"/>
      <c r="P231" s="97"/>
      <c r="Q231" s="131"/>
      <c r="R231" s="126"/>
      <c r="S231" s="97"/>
      <c r="T231" s="97"/>
      <c r="V231" s="108"/>
    </row>
    <row r="232" ht="15.75" customHeight="1">
      <c r="A232" s="91"/>
      <c r="B232" s="171"/>
      <c r="C232" s="108"/>
      <c r="D232" s="97"/>
      <c r="E232" s="143"/>
      <c r="F232" s="143"/>
      <c r="G232" s="97"/>
      <c r="H232" s="143"/>
      <c r="I232" s="97"/>
      <c r="J232" s="97"/>
      <c r="K232" s="101"/>
      <c r="L232" s="101"/>
      <c r="M232" s="102"/>
      <c r="N232" s="124"/>
      <c r="O232" s="125"/>
      <c r="P232" s="97"/>
      <c r="Q232" s="131"/>
      <c r="R232" s="126"/>
      <c r="S232" s="97"/>
      <c r="T232" s="97"/>
      <c r="V232" s="108"/>
    </row>
    <row r="233" ht="15.75" customHeight="1">
      <c r="A233" s="91"/>
      <c r="B233" s="171"/>
      <c r="C233" s="143"/>
      <c r="D233" s="97"/>
      <c r="E233" s="143"/>
      <c r="F233" s="143"/>
      <c r="G233" s="97"/>
      <c r="H233" s="143"/>
      <c r="I233" s="97"/>
      <c r="J233" s="97"/>
      <c r="K233" s="114"/>
      <c r="L233" s="114"/>
      <c r="M233" s="102"/>
      <c r="N233" s="124"/>
      <c r="O233" s="125"/>
      <c r="P233" s="97"/>
      <c r="Q233" s="131"/>
      <c r="R233" s="126"/>
      <c r="S233" s="97"/>
      <c r="T233" s="97"/>
      <c r="V233" s="108"/>
    </row>
    <row r="234" ht="15.75" customHeight="1">
      <c r="A234" s="91"/>
      <c r="B234" s="171"/>
      <c r="C234" s="143"/>
      <c r="D234" s="97"/>
      <c r="E234" s="143"/>
      <c r="F234" s="143"/>
      <c r="G234" s="97"/>
      <c r="H234" s="143"/>
      <c r="I234" s="97"/>
      <c r="J234" s="97"/>
      <c r="K234" s="101"/>
      <c r="L234" s="101"/>
      <c r="M234" s="102"/>
      <c r="N234" s="124"/>
      <c r="O234" s="125"/>
      <c r="P234" s="97"/>
      <c r="Q234" s="131"/>
      <c r="R234" s="126"/>
      <c r="S234" s="97"/>
      <c r="T234" s="97"/>
      <c r="V234" s="108"/>
    </row>
    <row r="235" ht="15.75" customHeight="1">
      <c r="A235" s="91"/>
      <c r="B235" s="171"/>
      <c r="C235" s="143"/>
      <c r="D235" s="97"/>
      <c r="E235" s="143"/>
      <c r="F235" s="143"/>
      <c r="G235" s="97"/>
      <c r="H235" s="143"/>
      <c r="I235" s="97"/>
      <c r="J235" s="97"/>
      <c r="K235" s="114"/>
      <c r="L235" s="114"/>
      <c r="M235" s="102"/>
      <c r="N235" s="124"/>
      <c r="O235" s="125"/>
      <c r="P235" s="97"/>
      <c r="Q235" s="131"/>
      <c r="R235" s="126"/>
      <c r="S235" s="97"/>
      <c r="T235" s="97"/>
      <c r="V235" s="108"/>
    </row>
    <row r="236" ht="15.75" customHeight="1">
      <c r="A236" s="91"/>
      <c r="B236" s="171"/>
      <c r="C236" s="143"/>
      <c r="D236" s="97"/>
      <c r="E236" s="143"/>
      <c r="F236" s="143"/>
      <c r="G236" s="97"/>
      <c r="H236" s="143"/>
      <c r="I236" s="97"/>
      <c r="J236" s="97"/>
      <c r="K236" s="101"/>
      <c r="L236" s="101"/>
      <c r="M236" s="102"/>
      <c r="N236" s="124"/>
      <c r="O236" s="125"/>
      <c r="P236" s="97"/>
      <c r="Q236" s="131"/>
      <c r="R236" s="126"/>
      <c r="S236" s="97"/>
      <c r="T236" s="97"/>
      <c r="V236" s="108"/>
    </row>
    <row r="237" ht="15.75" customHeight="1">
      <c r="A237" s="91"/>
      <c r="B237" s="171"/>
      <c r="C237" s="143"/>
      <c r="D237" s="97"/>
      <c r="E237" s="143"/>
      <c r="F237" s="143"/>
      <c r="G237" s="97"/>
      <c r="H237" s="143"/>
      <c r="I237" s="97"/>
      <c r="J237" s="97"/>
      <c r="K237" s="114"/>
      <c r="L237" s="114"/>
      <c r="M237" s="102"/>
      <c r="N237" s="124"/>
      <c r="O237" s="125"/>
      <c r="P237" s="97"/>
      <c r="Q237" s="131"/>
      <c r="R237" s="126"/>
      <c r="S237" s="97"/>
      <c r="T237" s="97"/>
      <c r="V237" s="108"/>
    </row>
    <row r="238" ht="15.75" customHeight="1">
      <c r="A238" s="91"/>
      <c r="B238" s="171"/>
      <c r="C238" s="108"/>
      <c r="D238" s="97"/>
      <c r="E238" s="143"/>
      <c r="F238" s="143"/>
      <c r="G238" s="97"/>
      <c r="H238" s="143"/>
      <c r="I238" s="97"/>
      <c r="J238" s="97"/>
      <c r="K238" s="101"/>
      <c r="L238" s="101"/>
      <c r="M238" s="102"/>
      <c r="N238" s="124"/>
      <c r="O238" s="125"/>
      <c r="P238" s="97"/>
      <c r="Q238" s="131"/>
      <c r="R238" s="126"/>
      <c r="S238" s="97"/>
      <c r="T238" s="97"/>
      <c r="V238" s="108"/>
    </row>
    <row r="239" ht="15.75" customHeight="1">
      <c r="A239" s="91"/>
      <c r="B239" s="171"/>
      <c r="C239" s="143"/>
      <c r="D239" s="97"/>
      <c r="E239" s="143"/>
      <c r="F239" s="143"/>
      <c r="G239" s="97"/>
      <c r="H239" s="143"/>
      <c r="I239" s="97"/>
      <c r="J239" s="97"/>
      <c r="K239" s="114"/>
      <c r="L239" s="114"/>
      <c r="M239" s="102"/>
      <c r="N239" s="124"/>
      <c r="O239" s="125"/>
      <c r="P239" s="97"/>
      <c r="Q239" s="131"/>
      <c r="R239" s="126"/>
      <c r="S239" s="97"/>
      <c r="T239" s="97"/>
      <c r="V239" s="108"/>
    </row>
    <row r="240" ht="15.75" customHeight="1">
      <c r="A240" s="91"/>
      <c r="B240" s="171"/>
      <c r="C240" s="143"/>
      <c r="D240" s="97"/>
      <c r="E240" s="143"/>
      <c r="F240" s="143"/>
      <c r="G240" s="97"/>
      <c r="H240" s="143"/>
      <c r="I240" s="97"/>
      <c r="J240" s="97"/>
      <c r="K240" s="101"/>
      <c r="L240" s="101"/>
      <c r="M240" s="102"/>
      <c r="N240" s="124"/>
      <c r="O240" s="125"/>
      <c r="P240" s="97"/>
      <c r="Q240" s="131"/>
      <c r="R240" s="126"/>
      <c r="S240" s="97"/>
      <c r="T240" s="97"/>
      <c r="V240" s="108"/>
    </row>
    <row r="241" ht="15.75" customHeight="1">
      <c r="A241" s="91"/>
      <c r="B241" s="171"/>
      <c r="C241" s="143"/>
      <c r="D241" s="97"/>
      <c r="E241" s="143"/>
      <c r="F241" s="143"/>
      <c r="G241" s="97"/>
      <c r="H241" s="143"/>
      <c r="I241" s="97"/>
      <c r="J241" s="97"/>
      <c r="K241" s="148"/>
      <c r="L241" s="148"/>
      <c r="M241" s="102"/>
      <c r="N241" s="124"/>
      <c r="O241" s="125"/>
      <c r="P241" s="97"/>
      <c r="Q241" s="131"/>
      <c r="R241" s="126"/>
      <c r="S241" s="97"/>
      <c r="T241" s="97"/>
      <c r="V241" s="108"/>
    </row>
    <row r="242" ht="15.75" customHeight="1">
      <c r="A242" s="91"/>
      <c r="B242" s="171"/>
      <c r="C242" s="143"/>
      <c r="D242" s="97"/>
      <c r="E242" s="143"/>
      <c r="F242" s="143"/>
      <c r="G242" s="97"/>
      <c r="H242" s="143"/>
      <c r="I242" s="97"/>
      <c r="J242" s="97"/>
      <c r="K242" s="150"/>
      <c r="L242" s="150"/>
      <c r="M242" s="102"/>
      <c r="N242" s="124"/>
      <c r="O242" s="125"/>
      <c r="P242" s="97"/>
      <c r="Q242" s="131"/>
      <c r="R242" s="126"/>
      <c r="S242" s="97"/>
      <c r="T242" s="97"/>
      <c r="V242" s="108"/>
    </row>
    <row r="243" ht="15.75" customHeight="1">
      <c r="A243" s="91"/>
      <c r="B243" s="171"/>
      <c r="C243" s="143"/>
      <c r="D243" s="97"/>
      <c r="E243" s="143"/>
      <c r="F243" s="143"/>
      <c r="G243" s="97"/>
      <c r="H243" s="143"/>
      <c r="I243" s="97"/>
      <c r="J243" s="97"/>
      <c r="K243" s="148"/>
      <c r="L243" s="148"/>
      <c r="M243" s="102"/>
      <c r="N243" s="124"/>
      <c r="O243" s="125"/>
      <c r="P243" s="97"/>
      <c r="Q243" s="131"/>
      <c r="R243" s="126"/>
      <c r="S243" s="97"/>
      <c r="T243" s="97"/>
      <c r="V243" s="108"/>
    </row>
    <row r="244" ht="15.75" customHeight="1">
      <c r="A244" s="91"/>
      <c r="B244" s="171"/>
      <c r="C244" s="108"/>
      <c r="D244" s="97"/>
      <c r="E244" s="143"/>
      <c r="F244" s="143"/>
      <c r="G244" s="97"/>
      <c r="H244" s="143"/>
      <c r="I244" s="97"/>
      <c r="J244" s="97"/>
      <c r="K244" s="150"/>
      <c r="L244" s="150"/>
      <c r="M244" s="102"/>
      <c r="N244" s="124"/>
      <c r="O244" s="125"/>
      <c r="P244" s="97"/>
      <c r="Q244" s="131"/>
      <c r="R244" s="126"/>
      <c r="S244" s="97"/>
      <c r="T244" s="97"/>
      <c r="V244" s="108"/>
    </row>
    <row r="245" ht="15.75" customHeight="1">
      <c r="A245" s="91"/>
      <c r="B245" s="171"/>
      <c r="C245" s="143"/>
      <c r="D245" s="97"/>
      <c r="E245" s="143"/>
      <c r="F245" s="143"/>
      <c r="G245" s="97"/>
      <c r="H245" s="143"/>
      <c r="I245" s="97"/>
      <c r="J245" s="97"/>
      <c r="K245" s="148"/>
      <c r="L245" s="148"/>
      <c r="M245" s="102"/>
      <c r="N245" s="124"/>
      <c r="O245" s="125"/>
      <c r="P245" s="97"/>
      <c r="Q245" s="131"/>
      <c r="R245" s="126"/>
      <c r="S245" s="97"/>
      <c r="T245" s="97"/>
      <c r="V245" s="108"/>
    </row>
    <row r="246" ht="15.75" customHeight="1">
      <c r="A246" s="91"/>
      <c r="B246" s="171"/>
      <c r="C246" s="143"/>
      <c r="D246" s="97"/>
      <c r="E246" s="143"/>
      <c r="F246" s="143"/>
      <c r="G246" s="97"/>
      <c r="H246" s="143"/>
      <c r="I246" s="97"/>
      <c r="J246" s="97"/>
      <c r="K246" s="150"/>
      <c r="L246" s="150"/>
      <c r="M246" s="102"/>
      <c r="N246" s="124"/>
      <c r="O246" s="125"/>
      <c r="P246" s="97"/>
      <c r="Q246" s="131"/>
      <c r="R246" s="126"/>
      <c r="S246" s="97"/>
      <c r="T246" s="97"/>
      <c r="V246" s="108"/>
    </row>
    <row r="247" ht="15.75" customHeight="1">
      <c r="A247" s="91"/>
      <c r="B247" s="171"/>
      <c r="C247" s="143"/>
      <c r="D247" s="97"/>
      <c r="E247" s="143"/>
      <c r="F247" s="143"/>
      <c r="G247" s="97"/>
      <c r="H247" s="143"/>
      <c r="I247" s="97"/>
      <c r="J247" s="97"/>
      <c r="K247" s="148"/>
      <c r="L247" s="148"/>
      <c r="M247" s="102"/>
      <c r="N247" s="124"/>
      <c r="O247" s="125"/>
      <c r="P247" s="97"/>
      <c r="Q247" s="131"/>
      <c r="R247" s="126"/>
      <c r="S247" s="97"/>
      <c r="T247" s="97"/>
      <c r="V247" s="108"/>
    </row>
    <row r="248" ht="15.75" customHeight="1">
      <c r="A248" s="91"/>
      <c r="B248" s="171"/>
      <c r="C248" s="143"/>
      <c r="D248" s="97"/>
      <c r="E248" s="143"/>
      <c r="F248" s="143"/>
      <c r="G248" s="97"/>
      <c r="H248" s="143"/>
      <c r="I248" s="97"/>
      <c r="J248" s="97"/>
      <c r="K248" s="150"/>
      <c r="L248" s="150"/>
      <c r="M248" s="102"/>
      <c r="N248" s="124"/>
      <c r="O248" s="125"/>
      <c r="P248" s="97"/>
      <c r="Q248" s="131"/>
      <c r="R248" s="126"/>
      <c r="S248" s="97"/>
      <c r="T248" s="97"/>
      <c r="V248" s="108"/>
    </row>
    <row r="249" ht="15.75" customHeight="1">
      <c r="A249" s="91"/>
      <c r="B249" s="171"/>
      <c r="C249" s="143"/>
      <c r="D249" s="97"/>
      <c r="E249" s="143"/>
      <c r="F249" s="143"/>
      <c r="G249" s="97"/>
      <c r="H249" s="143"/>
      <c r="I249" s="97"/>
      <c r="J249" s="97"/>
      <c r="K249" s="148"/>
      <c r="L249" s="148"/>
      <c r="M249" s="102"/>
      <c r="N249" s="124"/>
      <c r="O249" s="125"/>
      <c r="P249" s="97"/>
      <c r="Q249" s="131"/>
      <c r="R249" s="126"/>
      <c r="S249" s="97"/>
      <c r="T249" s="97"/>
      <c r="V249" s="108"/>
    </row>
    <row r="250" ht="15.75" customHeight="1">
      <c r="A250" s="91"/>
      <c r="B250" s="171"/>
      <c r="C250" s="108"/>
      <c r="D250" s="97"/>
      <c r="E250" s="143"/>
      <c r="F250" s="143"/>
      <c r="G250" s="97"/>
      <c r="H250" s="143"/>
      <c r="I250" s="97"/>
      <c r="J250" s="97"/>
      <c r="K250" s="150"/>
      <c r="L250" s="150"/>
      <c r="M250" s="102"/>
      <c r="N250" s="124"/>
      <c r="O250" s="125"/>
      <c r="P250" s="97"/>
      <c r="Q250" s="131"/>
      <c r="R250" s="126"/>
      <c r="S250" s="97"/>
      <c r="T250" s="97"/>
      <c r="V250" s="108"/>
    </row>
    <row r="251" ht="15.75" customHeight="1">
      <c r="A251" s="91"/>
      <c r="B251" s="171"/>
      <c r="C251" s="143"/>
      <c r="D251" s="97"/>
      <c r="E251" s="143"/>
      <c r="F251" s="143"/>
      <c r="G251" s="97"/>
      <c r="H251" s="143"/>
      <c r="I251" s="97"/>
      <c r="J251" s="97"/>
      <c r="K251" s="148"/>
      <c r="L251" s="148"/>
      <c r="M251" s="102"/>
      <c r="N251" s="124"/>
      <c r="O251" s="125"/>
      <c r="P251" s="97"/>
      <c r="Q251" s="131"/>
      <c r="R251" s="126"/>
      <c r="S251" s="97"/>
      <c r="T251" s="97"/>
      <c r="V251" s="108"/>
    </row>
    <row r="252" ht="15.75" customHeight="1">
      <c r="A252" s="91"/>
      <c r="B252" s="171"/>
      <c r="C252" s="143"/>
      <c r="D252" s="97"/>
      <c r="E252" s="143"/>
      <c r="F252" s="143"/>
      <c r="G252" s="97"/>
      <c r="H252" s="143"/>
      <c r="I252" s="97"/>
      <c r="J252" s="97"/>
      <c r="K252" s="150"/>
      <c r="L252" s="150"/>
      <c r="M252" s="102"/>
      <c r="N252" s="124"/>
      <c r="O252" s="125"/>
      <c r="P252" s="97"/>
      <c r="Q252" s="131"/>
      <c r="R252" s="126"/>
      <c r="S252" s="97"/>
      <c r="T252" s="97"/>
      <c r="V252" s="108"/>
    </row>
    <row r="253" ht="15.75" customHeight="1">
      <c r="A253" s="91"/>
      <c r="B253" s="171"/>
      <c r="C253" s="143"/>
      <c r="D253" s="97"/>
      <c r="E253" s="143"/>
      <c r="F253" s="143"/>
      <c r="G253" s="97"/>
      <c r="H253" s="143"/>
      <c r="I253" s="97"/>
      <c r="J253" s="97"/>
      <c r="K253" s="148"/>
      <c r="L253" s="148"/>
      <c r="M253" s="102"/>
      <c r="N253" s="124"/>
      <c r="O253" s="125"/>
      <c r="P253" s="97"/>
      <c r="Q253" s="131"/>
      <c r="R253" s="126"/>
      <c r="S253" s="97"/>
      <c r="T253" s="97"/>
      <c r="V253" s="108"/>
    </row>
    <row r="254" ht="15.75" customHeight="1">
      <c r="A254" s="91"/>
      <c r="B254" s="171"/>
      <c r="C254" s="143"/>
      <c r="D254" s="97"/>
      <c r="E254" s="143"/>
      <c r="F254" s="143"/>
      <c r="G254" s="97"/>
      <c r="H254" s="143"/>
      <c r="I254" s="97"/>
      <c r="J254" s="97"/>
      <c r="K254" s="150"/>
      <c r="L254" s="150"/>
      <c r="M254" s="102"/>
      <c r="N254" s="124"/>
      <c r="O254" s="125"/>
      <c r="P254" s="97"/>
      <c r="Q254" s="131"/>
      <c r="R254" s="126"/>
      <c r="S254" s="97"/>
      <c r="T254" s="97"/>
      <c r="V254" s="108"/>
    </row>
    <row r="255" ht="15.75" customHeight="1">
      <c r="A255" s="91"/>
      <c r="B255" s="171"/>
      <c r="C255" s="143"/>
      <c r="D255" s="97"/>
      <c r="E255" s="143"/>
      <c r="F255" s="143"/>
      <c r="G255" s="97"/>
      <c r="H255" s="143"/>
      <c r="I255" s="97"/>
      <c r="J255" s="97"/>
      <c r="K255" s="148"/>
      <c r="L255" s="148"/>
      <c r="M255" s="102"/>
      <c r="N255" s="124"/>
      <c r="O255" s="125"/>
      <c r="P255" s="97"/>
      <c r="Q255" s="131"/>
      <c r="R255" s="126"/>
      <c r="S255" s="97"/>
      <c r="T255" s="97"/>
      <c r="V255" s="108"/>
    </row>
    <row r="256" ht="15.75" customHeight="1">
      <c r="A256" s="91"/>
      <c r="B256" s="171"/>
      <c r="C256" s="108"/>
      <c r="D256" s="97"/>
      <c r="E256" s="143"/>
      <c r="F256" s="143"/>
      <c r="G256" s="97"/>
      <c r="H256" s="143"/>
      <c r="I256" s="97"/>
      <c r="J256" s="97"/>
      <c r="K256" s="150"/>
      <c r="L256" s="150"/>
      <c r="M256" s="102"/>
      <c r="N256" s="124"/>
      <c r="O256" s="125"/>
      <c r="P256" s="97"/>
      <c r="Q256" s="131"/>
      <c r="R256" s="126"/>
      <c r="S256" s="97"/>
      <c r="T256" s="97"/>
      <c r="V256" s="108"/>
    </row>
    <row r="257" ht="15.75" customHeight="1">
      <c r="A257" s="91"/>
      <c r="B257" s="171"/>
      <c r="C257" s="143"/>
      <c r="D257" s="97"/>
      <c r="E257" s="143"/>
      <c r="F257" s="143"/>
      <c r="G257" s="97"/>
      <c r="H257" s="143"/>
      <c r="I257" s="97"/>
      <c r="J257" s="97"/>
      <c r="K257" s="148"/>
      <c r="L257" s="148"/>
      <c r="M257" s="102"/>
      <c r="N257" s="124"/>
      <c r="O257" s="125"/>
      <c r="P257" s="97"/>
      <c r="Q257" s="131"/>
      <c r="R257" s="126"/>
      <c r="S257" s="97"/>
      <c r="T257" s="97"/>
      <c r="V257" s="108"/>
    </row>
    <row r="258" ht="15.75" customHeight="1">
      <c r="A258" s="91"/>
      <c r="B258" s="171"/>
      <c r="C258" s="143"/>
      <c r="D258" s="97"/>
      <c r="E258" s="143"/>
      <c r="F258" s="143"/>
      <c r="G258" s="97"/>
      <c r="H258" s="143"/>
      <c r="I258" s="97"/>
      <c r="J258" s="97"/>
      <c r="K258" s="150"/>
      <c r="L258" s="150"/>
      <c r="M258" s="102"/>
      <c r="N258" s="124"/>
      <c r="O258" s="125"/>
      <c r="P258" s="97"/>
      <c r="Q258" s="131"/>
      <c r="R258" s="126"/>
      <c r="S258" s="97"/>
      <c r="T258" s="97"/>
      <c r="V258" s="108"/>
    </row>
    <row r="259" ht="15.75" customHeight="1">
      <c r="A259" s="91"/>
      <c r="B259" s="171"/>
      <c r="C259" s="143"/>
      <c r="D259" s="97"/>
      <c r="E259" s="143"/>
      <c r="F259" s="143"/>
      <c r="G259" s="97"/>
      <c r="H259" s="143"/>
      <c r="I259" s="97"/>
      <c r="J259" s="97"/>
      <c r="K259" s="148"/>
      <c r="L259" s="148"/>
      <c r="M259" s="102"/>
      <c r="N259" s="124"/>
      <c r="O259" s="125"/>
      <c r="P259" s="97"/>
      <c r="Q259" s="131"/>
      <c r="R259" s="126"/>
      <c r="S259" s="97"/>
      <c r="T259" s="97"/>
      <c r="V259" s="108"/>
    </row>
    <row r="260" ht="15.75" customHeight="1">
      <c r="A260" s="91"/>
      <c r="B260" s="171"/>
      <c r="C260" s="143"/>
      <c r="D260" s="97"/>
      <c r="E260" s="143"/>
      <c r="F260" s="143"/>
      <c r="G260" s="97"/>
      <c r="H260" s="143"/>
      <c r="I260" s="97"/>
      <c r="J260" s="97"/>
      <c r="K260" s="150"/>
      <c r="L260" s="150"/>
      <c r="M260" s="102"/>
      <c r="N260" s="124"/>
      <c r="O260" s="125"/>
      <c r="P260" s="97"/>
      <c r="Q260" s="131"/>
      <c r="R260" s="126"/>
      <c r="S260" s="97"/>
      <c r="T260" s="97"/>
      <c r="V260" s="108"/>
    </row>
    <row r="261" ht="15.75" customHeight="1">
      <c r="A261" s="91"/>
      <c r="B261" s="171"/>
      <c r="C261" s="143"/>
      <c r="D261" s="97"/>
      <c r="E261" s="143"/>
      <c r="F261" s="143"/>
      <c r="G261" s="97"/>
      <c r="H261" s="143"/>
      <c r="I261" s="97"/>
      <c r="J261" s="97"/>
      <c r="K261" s="148"/>
      <c r="L261" s="148"/>
      <c r="M261" s="102"/>
      <c r="N261" s="124"/>
      <c r="O261" s="125"/>
      <c r="P261" s="97"/>
      <c r="Q261" s="131"/>
      <c r="R261" s="126"/>
      <c r="S261" s="97"/>
      <c r="T261" s="97"/>
      <c r="V261" s="108"/>
    </row>
    <row r="262" ht="15.75" customHeight="1">
      <c r="A262" s="91"/>
      <c r="B262" s="171"/>
      <c r="C262" s="108"/>
      <c r="D262" s="97"/>
      <c r="E262" s="143"/>
      <c r="F262" s="143"/>
      <c r="G262" s="97"/>
      <c r="H262" s="143"/>
      <c r="I262" s="97"/>
      <c r="J262" s="97"/>
      <c r="K262" s="150"/>
      <c r="L262" s="150"/>
      <c r="M262" s="102"/>
      <c r="N262" s="124"/>
      <c r="O262" s="125"/>
      <c r="P262" s="97"/>
      <c r="Q262" s="131"/>
      <c r="R262" s="126"/>
      <c r="S262" s="97"/>
      <c r="T262" s="97"/>
      <c r="V262" s="108"/>
    </row>
    <row r="263" ht="15.75" customHeight="1">
      <c r="A263" s="91"/>
      <c r="B263" s="171"/>
      <c r="C263" s="143"/>
      <c r="D263" s="97"/>
      <c r="E263" s="143"/>
      <c r="F263" s="143"/>
      <c r="G263" s="97"/>
      <c r="H263" s="143"/>
      <c r="I263" s="97"/>
      <c r="J263" s="97"/>
      <c r="K263" s="148"/>
      <c r="L263" s="148"/>
      <c r="M263" s="102"/>
      <c r="N263" s="124"/>
      <c r="O263" s="125"/>
      <c r="P263" s="97"/>
      <c r="Q263" s="131"/>
      <c r="R263" s="126"/>
      <c r="S263" s="97"/>
      <c r="T263" s="97"/>
      <c r="V263" s="108"/>
    </row>
    <row r="264" ht="15.75" customHeight="1">
      <c r="A264" s="91"/>
      <c r="B264" s="171"/>
      <c r="C264" s="143"/>
      <c r="D264" s="97"/>
      <c r="E264" s="143"/>
      <c r="F264" s="143"/>
      <c r="G264" s="97"/>
      <c r="H264" s="143"/>
      <c r="I264" s="97"/>
      <c r="J264" s="97"/>
      <c r="K264" s="150"/>
      <c r="L264" s="150"/>
      <c r="M264" s="102"/>
      <c r="N264" s="124"/>
      <c r="O264" s="125"/>
      <c r="P264" s="97"/>
      <c r="Q264" s="131"/>
      <c r="R264" s="126"/>
      <c r="S264" s="97"/>
      <c r="T264" s="97"/>
      <c r="V264" s="108"/>
    </row>
    <row r="265" ht="15.75" customHeight="1">
      <c r="A265" s="91"/>
      <c r="B265" s="171"/>
      <c r="C265" s="143"/>
      <c r="D265" s="97"/>
      <c r="E265" s="143"/>
      <c r="F265" s="143"/>
      <c r="G265" s="97"/>
      <c r="H265" s="143"/>
      <c r="I265" s="97"/>
      <c r="J265" s="97"/>
      <c r="K265" s="148"/>
      <c r="L265" s="148"/>
      <c r="M265" s="102"/>
      <c r="N265" s="124"/>
      <c r="O265" s="125"/>
      <c r="P265" s="97"/>
      <c r="Q265" s="131"/>
      <c r="R265" s="126"/>
      <c r="S265" s="97"/>
      <c r="T265" s="97"/>
      <c r="V265" s="108"/>
    </row>
    <row r="266" ht="15.75" customHeight="1">
      <c r="A266" s="91"/>
      <c r="B266" s="171"/>
      <c r="C266" s="143"/>
      <c r="D266" s="97"/>
      <c r="E266" s="143"/>
      <c r="F266" s="143"/>
      <c r="G266" s="97"/>
      <c r="H266" s="143"/>
      <c r="I266" s="97"/>
      <c r="J266" s="97"/>
      <c r="K266" s="150"/>
      <c r="L266" s="150"/>
      <c r="M266" s="102"/>
      <c r="N266" s="124"/>
      <c r="O266" s="125"/>
      <c r="P266" s="97"/>
      <c r="Q266" s="131"/>
      <c r="R266" s="126"/>
      <c r="S266" s="97"/>
      <c r="T266" s="97"/>
      <c r="V266" s="108"/>
    </row>
    <row r="267" ht="15.75" customHeight="1">
      <c r="A267" s="91"/>
      <c r="B267" s="171"/>
      <c r="C267" s="143"/>
      <c r="D267" s="97"/>
      <c r="E267" s="143"/>
      <c r="F267" s="143"/>
      <c r="G267" s="97"/>
      <c r="H267" s="143"/>
      <c r="I267" s="97"/>
      <c r="J267" s="97"/>
      <c r="K267" s="148"/>
      <c r="L267" s="148"/>
      <c r="M267" s="102"/>
      <c r="N267" s="124"/>
      <c r="O267" s="125"/>
      <c r="P267" s="97"/>
      <c r="Q267" s="131"/>
      <c r="R267" s="126"/>
      <c r="S267" s="97"/>
      <c r="T267" s="97"/>
      <c r="V267" s="108"/>
    </row>
    <row r="268" ht="15.75" customHeight="1">
      <c r="A268" s="91"/>
      <c r="B268" s="171"/>
      <c r="C268" s="108"/>
      <c r="D268" s="97"/>
      <c r="E268" s="143"/>
      <c r="F268" s="143"/>
      <c r="G268" s="97"/>
      <c r="H268" s="143"/>
      <c r="I268" s="97"/>
      <c r="J268" s="97"/>
      <c r="K268" s="150"/>
      <c r="L268" s="150"/>
      <c r="M268" s="102"/>
      <c r="N268" s="124"/>
      <c r="O268" s="125"/>
      <c r="P268" s="97"/>
      <c r="Q268" s="131"/>
      <c r="R268" s="126"/>
      <c r="S268" s="97"/>
      <c r="T268" s="97"/>
      <c r="V268" s="108"/>
    </row>
    <row r="269" ht="15.75" customHeight="1">
      <c r="A269" s="91"/>
      <c r="B269" s="171"/>
      <c r="C269" s="143"/>
      <c r="D269" s="97"/>
      <c r="E269" s="143"/>
      <c r="F269" s="143"/>
      <c r="G269" s="97"/>
      <c r="H269" s="143"/>
      <c r="I269" s="97"/>
      <c r="J269" s="97"/>
      <c r="K269" s="148"/>
      <c r="L269" s="148"/>
      <c r="M269" s="102"/>
      <c r="N269" s="124"/>
      <c r="O269" s="125"/>
      <c r="P269" s="97"/>
      <c r="Q269" s="131"/>
      <c r="R269" s="126"/>
      <c r="S269" s="97"/>
      <c r="T269" s="97"/>
      <c r="V269" s="108"/>
    </row>
    <row r="270" ht="15.75" customHeight="1">
      <c r="A270" s="91"/>
      <c r="B270" s="171"/>
      <c r="C270" s="143"/>
      <c r="D270" s="97"/>
      <c r="E270" s="143"/>
      <c r="F270" s="143"/>
      <c r="G270" s="97"/>
      <c r="H270" s="143"/>
      <c r="I270" s="97"/>
      <c r="J270" s="97"/>
      <c r="K270" s="150"/>
      <c r="L270" s="150"/>
      <c r="M270" s="102"/>
      <c r="N270" s="124"/>
      <c r="O270" s="125"/>
      <c r="P270" s="97"/>
      <c r="Q270" s="131"/>
      <c r="R270" s="126"/>
      <c r="S270" s="97"/>
      <c r="T270" s="97"/>
      <c r="V270" s="108"/>
    </row>
    <row r="271" ht="15.75" customHeight="1">
      <c r="A271" s="91"/>
      <c r="B271" s="171"/>
      <c r="C271" s="143"/>
      <c r="D271" s="97"/>
      <c r="E271" s="143"/>
      <c r="F271" s="143"/>
      <c r="G271" s="97"/>
      <c r="H271" s="143"/>
      <c r="I271" s="97"/>
      <c r="J271" s="97"/>
      <c r="K271" s="148"/>
      <c r="L271" s="148"/>
      <c r="M271" s="102"/>
      <c r="N271" s="124"/>
      <c r="O271" s="125"/>
      <c r="P271" s="97"/>
      <c r="Q271" s="131"/>
      <c r="R271" s="126"/>
      <c r="S271" s="97"/>
      <c r="T271" s="97"/>
      <c r="V271" s="108"/>
    </row>
    <row r="272" ht="15.75" customHeight="1">
      <c r="A272" s="91"/>
      <c r="B272" s="171"/>
      <c r="C272" s="143"/>
      <c r="D272" s="97"/>
      <c r="E272" s="143"/>
      <c r="F272" s="143"/>
      <c r="G272" s="97"/>
      <c r="H272" s="143"/>
      <c r="I272" s="97"/>
      <c r="J272" s="97"/>
      <c r="K272" s="150"/>
      <c r="L272" s="150"/>
      <c r="M272" s="102"/>
      <c r="N272" s="124"/>
      <c r="O272" s="125"/>
      <c r="P272" s="97"/>
      <c r="Q272" s="131"/>
      <c r="R272" s="126"/>
      <c r="S272" s="97"/>
      <c r="T272" s="97"/>
      <c r="V272" s="108"/>
    </row>
    <row r="273" ht="15.75" customHeight="1">
      <c r="A273" s="91"/>
      <c r="B273" s="171"/>
      <c r="C273" s="143"/>
      <c r="D273" s="97"/>
      <c r="E273" s="143"/>
      <c r="F273" s="143"/>
      <c r="G273" s="97"/>
      <c r="H273" s="143"/>
      <c r="I273" s="97"/>
      <c r="J273" s="97"/>
      <c r="K273" s="148"/>
      <c r="L273" s="148"/>
      <c r="M273" s="102"/>
      <c r="N273" s="124"/>
      <c r="O273" s="125"/>
      <c r="P273" s="97"/>
      <c r="Q273" s="131"/>
      <c r="R273" s="126"/>
      <c r="S273" s="97"/>
      <c r="T273" s="97"/>
      <c r="V273" s="108"/>
    </row>
    <row r="274" ht="15.75" customHeight="1">
      <c r="A274" s="91"/>
      <c r="B274" s="171"/>
      <c r="C274" s="108"/>
      <c r="D274" s="97"/>
      <c r="E274" s="143"/>
      <c r="F274" s="143"/>
      <c r="G274" s="97"/>
      <c r="H274" s="143"/>
      <c r="I274" s="97"/>
      <c r="J274" s="97"/>
      <c r="K274" s="150"/>
      <c r="L274" s="150"/>
      <c r="M274" s="102"/>
      <c r="N274" s="124"/>
      <c r="O274" s="125"/>
      <c r="P274" s="97"/>
      <c r="Q274" s="131"/>
      <c r="R274" s="126"/>
      <c r="S274" s="97"/>
      <c r="T274" s="97"/>
      <c r="V274" s="108"/>
    </row>
    <row r="275" ht="15.75" customHeight="1">
      <c r="A275" s="91"/>
      <c r="B275" s="171"/>
      <c r="C275" s="143"/>
      <c r="D275" s="97"/>
      <c r="E275" s="143"/>
      <c r="F275" s="143"/>
      <c r="G275" s="97"/>
      <c r="H275" s="143"/>
      <c r="I275" s="97"/>
      <c r="J275" s="97"/>
      <c r="K275" s="148"/>
      <c r="L275" s="148"/>
      <c r="M275" s="102"/>
      <c r="N275" s="124"/>
      <c r="O275" s="125"/>
      <c r="P275" s="97"/>
      <c r="Q275" s="131"/>
      <c r="R275" s="126"/>
      <c r="S275" s="97"/>
      <c r="T275" s="97"/>
      <c r="V275" s="108"/>
    </row>
    <row r="276" ht="15.75" customHeight="1">
      <c r="A276" s="91"/>
      <c r="B276" s="171"/>
      <c r="C276" s="143"/>
      <c r="D276" s="97"/>
      <c r="E276" s="143"/>
      <c r="F276" s="143"/>
      <c r="G276" s="97"/>
      <c r="H276" s="143"/>
      <c r="I276" s="97"/>
      <c r="J276" s="97"/>
      <c r="K276" s="150"/>
      <c r="L276" s="150"/>
      <c r="M276" s="102"/>
      <c r="N276" s="124"/>
      <c r="O276" s="125"/>
      <c r="P276" s="97"/>
      <c r="Q276" s="131"/>
      <c r="R276" s="126"/>
      <c r="S276" s="97"/>
      <c r="T276" s="97"/>
      <c r="V276" s="108"/>
    </row>
    <row r="277" ht="15.75" customHeight="1">
      <c r="A277" s="91"/>
      <c r="B277" s="171"/>
      <c r="C277" s="143"/>
      <c r="D277" s="97"/>
      <c r="E277" s="143"/>
      <c r="F277" s="143"/>
      <c r="G277" s="97"/>
      <c r="H277" s="143"/>
      <c r="I277" s="97"/>
      <c r="J277" s="97"/>
      <c r="K277" s="148"/>
      <c r="L277" s="148"/>
      <c r="M277" s="102"/>
      <c r="N277" s="124"/>
      <c r="O277" s="125"/>
      <c r="P277" s="97"/>
      <c r="Q277" s="131"/>
      <c r="R277" s="126"/>
      <c r="S277" s="97"/>
      <c r="T277" s="97"/>
      <c r="V277" s="108"/>
    </row>
    <row r="278" ht="15.75" customHeight="1">
      <c r="A278" s="91"/>
      <c r="B278" s="171"/>
      <c r="C278" s="143"/>
      <c r="D278" s="97"/>
      <c r="E278" s="143"/>
      <c r="F278" s="143"/>
      <c r="G278" s="97"/>
      <c r="H278" s="143"/>
      <c r="I278" s="97"/>
      <c r="J278" s="97"/>
      <c r="K278" s="150"/>
      <c r="L278" s="150"/>
      <c r="M278" s="102"/>
      <c r="N278" s="124"/>
      <c r="O278" s="125"/>
      <c r="P278" s="97"/>
      <c r="Q278" s="131"/>
      <c r="R278" s="126"/>
      <c r="S278" s="97"/>
      <c r="T278" s="97"/>
      <c r="V278" s="108"/>
    </row>
    <row r="279" ht="15.75" customHeight="1">
      <c r="A279" s="91"/>
      <c r="B279" s="171"/>
      <c r="C279" s="143"/>
      <c r="D279" s="97"/>
      <c r="E279" s="143"/>
      <c r="F279" s="143"/>
      <c r="G279" s="97"/>
      <c r="H279" s="143"/>
      <c r="I279" s="97"/>
      <c r="J279" s="97"/>
      <c r="K279" s="148"/>
      <c r="L279" s="148"/>
      <c r="M279" s="102"/>
      <c r="N279" s="124"/>
      <c r="O279" s="125"/>
      <c r="P279" s="97"/>
      <c r="Q279" s="131"/>
      <c r="R279" s="126"/>
      <c r="S279" s="97"/>
      <c r="T279" s="97"/>
      <c r="V279" s="108"/>
    </row>
    <row r="280" ht="15.75" customHeight="1">
      <c r="A280" s="91"/>
      <c r="B280" s="171"/>
      <c r="C280" s="108"/>
      <c r="D280" s="97"/>
      <c r="E280" s="143"/>
      <c r="F280" s="143"/>
      <c r="G280" s="97"/>
      <c r="H280" s="143"/>
      <c r="I280" s="97"/>
      <c r="J280" s="97"/>
      <c r="K280" s="150"/>
      <c r="L280" s="150"/>
      <c r="M280" s="102"/>
      <c r="N280" s="124"/>
      <c r="O280" s="125"/>
      <c r="P280" s="97"/>
      <c r="Q280" s="131"/>
      <c r="R280" s="126"/>
      <c r="S280" s="97"/>
      <c r="T280" s="97"/>
      <c r="V280" s="108"/>
    </row>
    <row r="281" ht="15.75" customHeight="1">
      <c r="A281" s="91"/>
      <c r="B281" s="171"/>
      <c r="C281" s="143"/>
      <c r="D281" s="97"/>
      <c r="E281" s="143"/>
      <c r="F281" s="143"/>
      <c r="G281" s="97"/>
      <c r="H281" s="143"/>
      <c r="I281" s="97"/>
      <c r="J281" s="97"/>
      <c r="K281" s="148"/>
      <c r="L281" s="148"/>
      <c r="M281" s="102"/>
      <c r="N281" s="124"/>
      <c r="O281" s="125"/>
      <c r="P281" s="97"/>
      <c r="Q281" s="131"/>
      <c r="R281" s="126"/>
      <c r="S281" s="97"/>
      <c r="T281" s="97"/>
      <c r="V281" s="108"/>
    </row>
    <row r="282" ht="15.75" customHeight="1">
      <c r="A282" s="91"/>
      <c r="B282" s="171"/>
      <c r="C282" s="143"/>
      <c r="D282" s="97"/>
      <c r="E282" s="143"/>
      <c r="F282" s="143"/>
      <c r="G282" s="97"/>
      <c r="H282" s="143"/>
      <c r="I282" s="97"/>
      <c r="J282" s="97"/>
      <c r="K282" s="150"/>
      <c r="L282" s="150"/>
      <c r="M282" s="102"/>
      <c r="N282" s="124"/>
      <c r="O282" s="125"/>
      <c r="P282" s="97"/>
      <c r="Q282" s="131"/>
      <c r="R282" s="126"/>
      <c r="S282" s="97"/>
      <c r="T282" s="97"/>
      <c r="V282" s="108"/>
    </row>
    <row r="283" ht="15.75" customHeight="1">
      <c r="A283" s="91"/>
      <c r="B283" s="171"/>
      <c r="C283" s="143"/>
      <c r="D283" s="97"/>
      <c r="E283" s="143"/>
      <c r="F283" s="143"/>
      <c r="G283" s="97"/>
      <c r="H283" s="143"/>
      <c r="I283" s="97"/>
      <c r="J283" s="97"/>
      <c r="K283" s="148"/>
      <c r="L283" s="148"/>
      <c r="M283" s="102"/>
      <c r="N283" s="124"/>
      <c r="O283" s="125"/>
      <c r="P283" s="97"/>
      <c r="Q283" s="131"/>
      <c r="R283" s="126"/>
      <c r="S283" s="97"/>
      <c r="T283" s="97"/>
      <c r="V283" s="108"/>
    </row>
    <row r="284" ht="15.75" customHeight="1">
      <c r="A284" s="91"/>
      <c r="B284" s="171"/>
      <c r="C284" s="143"/>
      <c r="D284" s="97"/>
      <c r="E284" s="143"/>
      <c r="F284" s="143"/>
      <c r="G284" s="97"/>
      <c r="H284" s="143"/>
      <c r="I284" s="97"/>
      <c r="J284" s="97"/>
      <c r="K284" s="150"/>
      <c r="L284" s="150"/>
      <c r="M284" s="102"/>
      <c r="N284" s="124"/>
      <c r="O284" s="125"/>
      <c r="P284" s="97"/>
      <c r="Q284" s="131"/>
      <c r="R284" s="126"/>
      <c r="S284" s="97"/>
      <c r="T284" s="97"/>
      <c r="V284" s="108"/>
    </row>
    <row r="285" ht="15.75" customHeight="1">
      <c r="A285" s="91"/>
      <c r="B285" s="171"/>
      <c r="C285" s="143"/>
      <c r="D285" s="97"/>
      <c r="E285" s="143"/>
      <c r="F285" s="143"/>
      <c r="G285" s="97"/>
      <c r="H285" s="143"/>
      <c r="I285" s="97"/>
      <c r="J285" s="97"/>
      <c r="K285" s="148"/>
      <c r="L285" s="148"/>
      <c r="M285" s="102"/>
      <c r="N285" s="124"/>
      <c r="O285" s="125"/>
      <c r="P285" s="97"/>
      <c r="Q285" s="131"/>
      <c r="R285" s="126"/>
      <c r="S285" s="97"/>
      <c r="T285" s="97"/>
      <c r="V285" s="108"/>
    </row>
    <row r="286" ht="15.75" customHeight="1">
      <c r="A286" s="91"/>
      <c r="B286" s="171"/>
      <c r="C286" s="108"/>
      <c r="D286" s="97"/>
      <c r="E286" s="143"/>
      <c r="F286" s="143"/>
      <c r="G286" s="97"/>
      <c r="H286" s="143"/>
      <c r="I286" s="97"/>
      <c r="J286" s="97"/>
      <c r="K286" s="150"/>
      <c r="L286" s="150"/>
      <c r="M286" s="102"/>
      <c r="N286" s="124"/>
      <c r="O286" s="125"/>
      <c r="P286" s="97"/>
      <c r="Q286" s="131"/>
      <c r="R286" s="126"/>
      <c r="S286" s="97"/>
      <c r="T286" s="97"/>
      <c r="V286" s="108"/>
    </row>
    <row r="287" ht="15.75" customHeight="1">
      <c r="A287" s="91"/>
      <c r="B287" s="171"/>
      <c r="C287" s="143"/>
      <c r="D287" s="97"/>
      <c r="E287" s="143"/>
      <c r="F287" s="143"/>
      <c r="G287" s="97"/>
      <c r="H287" s="143"/>
      <c r="I287" s="97"/>
      <c r="J287" s="97"/>
      <c r="K287" s="148"/>
      <c r="L287" s="148"/>
      <c r="M287" s="102"/>
      <c r="N287" s="124"/>
      <c r="O287" s="125"/>
      <c r="P287" s="97"/>
      <c r="Q287" s="131"/>
      <c r="R287" s="126"/>
      <c r="S287" s="97"/>
      <c r="T287" s="97"/>
      <c r="V287" s="108"/>
    </row>
    <row r="288" ht="15.75" customHeight="1">
      <c r="A288" s="91"/>
      <c r="B288" s="171"/>
      <c r="C288" s="143"/>
      <c r="D288" s="97"/>
      <c r="E288" s="143"/>
      <c r="F288" s="143"/>
      <c r="G288" s="97"/>
      <c r="H288" s="143"/>
      <c r="I288" s="97"/>
      <c r="J288" s="97"/>
      <c r="K288" s="150"/>
      <c r="L288" s="150"/>
      <c r="M288" s="102"/>
      <c r="N288" s="124"/>
      <c r="O288" s="125"/>
      <c r="P288" s="97"/>
      <c r="Q288" s="131"/>
      <c r="R288" s="126"/>
      <c r="S288" s="97"/>
      <c r="T288" s="97"/>
      <c r="V288" s="108"/>
    </row>
    <row r="289" ht="15.75" customHeight="1">
      <c r="A289" s="91"/>
      <c r="B289" s="171"/>
      <c r="C289" s="143"/>
      <c r="D289" s="97"/>
      <c r="E289" s="143"/>
      <c r="F289" s="143"/>
      <c r="G289" s="97"/>
      <c r="H289" s="143"/>
      <c r="I289" s="97"/>
      <c r="J289" s="97"/>
      <c r="K289" s="148"/>
      <c r="L289" s="148"/>
      <c r="M289" s="102"/>
      <c r="N289" s="124"/>
      <c r="O289" s="125"/>
      <c r="P289" s="97"/>
      <c r="Q289" s="131"/>
      <c r="R289" s="126"/>
      <c r="S289" s="97"/>
      <c r="T289" s="97"/>
      <c r="V289" s="108"/>
    </row>
    <row r="290" ht="15.75" customHeight="1">
      <c r="A290" s="91"/>
      <c r="B290" s="171"/>
      <c r="C290" s="143"/>
      <c r="D290" s="97"/>
      <c r="E290" s="143"/>
      <c r="F290" s="143"/>
      <c r="G290" s="97"/>
      <c r="H290" s="143"/>
      <c r="I290" s="97"/>
      <c r="J290" s="97"/>
      <c r="K290" s="150"/>
      <c r="L290" s="150"/>
      <c r="M290" s="102"/>
      <c r="N290" s="124"/>
      <c r="O290" s="125"/>
      <c r="P290" s="97"/>
      <c r="Q290" s="131"/>
      <c r="R290" s="126"/>
      <c r="S290" s="97"/>
      <c r="T290" s="97"/>
      <c r="V290" s="108"/>
    </row>
    <row r="291" ht="15.75" customHeight="1">
      <c r="A291" s="91"/>
      <c r="B291" s="171"/>
      <c r="C291" s="143"/>
      <c r="D291" s="97"/>
      <c r="E291" s="143"/>
      <c r="F291" s="143"/>
      <c r="G291" s="97"/>
      <c r="H291" s="143"/>
      <c r="I291" s="97"/>
      <c r="J291" s="97"/>
      <c r="K291" s="148"/>
      <c r="L291" s="148"/>
      <c r="M291" s="102"/>
      <c r="N291" s="124"/>
      <c r="O291" s="125"/>
      <c r="P291" s="97"/>
      <c r="Q291" s="131"/>
      <c r="R291" s="126"/>
      <c r="S291" s="97"/>
      <c r="T291" s="97"/>
      <c r="V291" s="108"/>
    </row>
    <row r="292" ht="15.75" customHeight="1">
      <c r="A292" s="91"/>
      <c r="B292" s="171"/>
      <c r="C292" s="108"/>
      <c r="D292" s="97"/>
      <c r="E292" s="143"/>
      <c r="F292" s="143"/>
      <c r="G292" s="97"/>
      <c r="H292" s="143"/>
      <c r="I292" s="97"/>
      <c r="J292" s="97"/>
      <c r="K292" s="150"/>
      <c r="L292" s="150"/>
      <c r="M292" s="102"/>
      <c r="N292" s="124"/>
      <c r="O292" s="125"/>
      <c r="P292" s="97"/>
      <c r="Q292" s="131"/>
      <c r="R292" s="126"/>
      <c r="S292" s="97"/>
      <c r="T292" s="97"/>
      <c r="V292" s="108"/>
    </row>
    <row r="293" ht="15.75" customHeight="1">
      <c r="A293" s="91"/>
      <c r="B293" s="171"/>
      <c r="C293" s="143"/>
      <c r="D293" s="97"/>
      <c r="E293" s="143"/>
      <c r="F293" s="143"/>
      <c r="G293" s="97"/>
      <c r="H293" s="143"/>
      <c r="I293" s="97"/>
      <c r="J293" s="97"/>
      <c r="K293" s="148"/>
      <c r="L293" s="148"/>
      <c r="M293" s="102"/>
      <c r="N293" s="124"/>
      <c r="O293" s="125"/>
      <c r="P293" s="97"/>
      <c r="Q293" s="131"/>
      <c r="R293" s="126"/>
      <c r="S293" s="97"/>
      <c r="T293" s="97"/>
      <c r="V293" s="108"/>
    </row>
    <row r="294" ht="15.75" customHeight="1">
      <c r="A294" s="91"/>
      <c r="B294" s="171"/>
      <c r="C294" s="143"/>
      <c r="D294" s="97"/>
      <c r="E294" s="143"/>
      <c r="F294" s="143"/>
      <c r="G294" s="97"/>
      <c r="H294" s="143"/>
      <c r="I294" s="97"/>
      <c r="J294" s="97"/>
      <c r="K294" s="150"/>
      <c r="L294" s="150"/>
      <c r="M294" s="102"/>
      <c r="N294" s="124"/>
      <c r="O294" s="125"/>
      <c r="P294" s="97"/>
      <c r="Q294" s="131"/>
      <c r="R294" s="126"/>
      <c r="S294" s="97"/>
      <c r="T294" s="97"/>
      <c r="V294" s="108"/>
    </row>
    <row r="295" ht="15.75" customHeight="1">
      <c r="A295" s="91"/>
      <c r="B295" s="171"/>
      <c r="C295" s="143"/>
      <c r="D295" s="97"/>
      <c r="E295" s="143"/>
      <c r="F295" s="143"/>
      <c r="G295" s="97"/>
      <c r="H295" s="143"/>
      <c r="I295" s="97"/>
      <c r="J295" s="97"/>
      <c r="K295" s="148"/>
      <c r="L295" s="148"/>
      <c r="M295" s="102"/>
      <c r="N295" s="124"/>
      <c r="O295" s="125"/>
      <c r="P295" s="97"/>
      <c r="Q295" s="131"/>
      <c r="R295" s="126"/>
      <c r="S295" s="97"/>
      <c r="T295" s="97"/>
      <c r="V295" s="108"/>
    </row>
    <row r="296" ht="15.75" customHeight="1">
      <c r="A296" s="91"/>
      <c r="B296" s="171"/>
      <c r="C296" s="143"/>
      <c r="D296" s="97"/>
      <c r="E296" s="143"/>
      <c r="F296" s="143"/>
      <c r="G296" s="97"/>
      <c r="H296" s="143"/>
      <c r="I296" s="97"/>
      <c r="J296" s="97"/>
      <c r="K296" s="150"/>
      <c r="L296" s="150"/>
      <c r="M296" s="102"/>
      <c r="N296" s="124"/>
      <c r="O296" s="125"/>
      <c r="P296" s="97"/>
      <c r="Q296" s="131"/>
      <c r="R296" s="126"/>
      <c r="S296" s="97"/>
      <c r="T296" s="97"/>
      <c r="V296" s="108"/>
    </row>
    <row r="297" ht="15.75" customHeight="1">
      <c r="A297" s="91"/>
      <c r="B297" s="171"/>
      <c r="C297" s="143"/>
      <c r="D297" s="97"/>
      <c r="E297" s="143"/>
      <c r="F297" s="143"/>
      <c r="G297" s="97"/>
      <c r="H297" s="143"/>
      <c r="I297" s="97"/>
      <c r="J297" s="97"/>
      <c r="K297" s="148"/>
      <c r="L297" s="148"/>
      <c r="M297" s="102"/>
      <c r="N297" s="124"/>
      <c r="O297" s="125"/>
      <c r="P297" s="97"/>
      <c r="Q297" s="131"/>
      <c r="R297" s="126"/>
      <c r="S297" s="97"/>
      <c r="T297" s="97"/>
      <c r="V297" s="108"/>
    </row>
    <row r="298" ht="15.75" customHeight="1">
      <c r="A298" s="91"/>
      <c r="B298" s="171"/>
      <c r="C298" s="108"/>
      <c r="D298" s="97"/>
      <c r="E298" s="143"/>
      <c r="F298" s="143"/>
      <c r="G298" s="97"/>
      <c r="H298" s="143"/>
      <c r="I298" s="97"/>
      <c r="J298" s="97"/>
      <c r="K298" s="150"/>
      <c r="L298" s="150"/>
      <c r="M298" s="102"/>
      <c r="N298" s="124"/>
      <c r="O298" s="125"/>
      <c r="P298" s="97"/>
      <c r="Q298" s="131"/>
      <c r="R298" s="126"/>
      <c r="S298" s="97"/>
      <c r="T298" s="97"/>
      <c r="V298" s="108"/>
    </row>
    <row r="299" ht="15.75" customHeight="1">
      <c r="A299" s="91"/>
      <c r="B299" s="171"/>
      <c r="C299" s="143"/>
      <c r="D299" s="97"/>
      <c r="E299" s="143"/>
      <c r="F299" s="143"/>
      <c r="G299" s="97"/>
      <c r="H299" s="143"/>
      <c r="I299" s="97"/>
      <c r="J299" s="97"/>
      <c r="K299" s="148"/>
      <c r="L299" s="148"/>
      <c r="M299" s="102"/>
      <c r="N299" s="124"/>
      <c r="O299" s="125"/>
      <c r="P299" s="97"/>
      <c r="Q299" s="131"/>
      <c r="R299" s="126"/>
      <c r="S299" s="97"/>
      <c r="T299" s="97"/>
      <c r="V299" s="108"/>
    </row>
    <row r="300" ht="15.75" customHeight="1">
      <c r="A300" s="91"/>
      <c r="B300" s="171"/>
      <c r="C300" s="143"/>
      <c r="D300" s="97"/>
      <c r="E300" s="143"/>
      <c r="F300" s="143"/>
      <c r="G300" s="97"/>
      <c r="H300" s="143"/>
      <c r="I300" s="97"/>
      <c r="J300" s="97"/>
      <c r="K300" s="150"/>
      <c r="L300" s="150"/>
      <c r="M300" s="102"/>
      <c r="N300" s="124"/>
      <c r="O300" s="125"/>
      <c r="P300" s="97"/>
      <c r="Q300" s="131"/>
      <c r="R300" s="126"/>
      <c r="S300" s="97"/>
      <c r="T300" s="97"/>
      <c r="V300" s="108"/>
    </row>
    <row r="301" ht="15.75" customHeight="1">
      <c r="A301" s="91"/>
      <c r="B301" s="171"/>
      <c r="C301" s="143"/>
      <c r="D301" s="97"/>
      <c r="E301" s="143"/>
      <c r="F301" s="143"/>
      <c r="G301" s="97"/>
      <c r="H301" s="143"/>
      <c r="I301" s="97"/>
      <c r="J301" s="97"/>
      <c r="K301" s="148"/>
      <c r="L301" s="148"/>
      <c r="M301" s="102"/>
      <c r="N301" s="124"/>
      <c r="O301" s="125"/>
      <c r="P301" s="97"/>
      <c r="Q301" s="131"/>
      <c r="R301" s="126"/>
      <c r="S301" s="97"/>
      <c r="T301" s="97"/>
      <c r="V301" s="108"/>
    </row>
    <row r="302" ht="15.75" customHeight="1">
      <c r="A302" s="91"/>
      <c r="B302" s="171"/>
      <c r="C302" s="143"/>
      <c r="D302" s="97"/>
      <c r="E302" s="143"/>
      <c r="F302" s="143"/>
      <c r="G302" s="97"/>
      <c r="H302" s="143"/>
      <c r="I302" s="97"/>
      <c r="J302" s="97"/>
      <c r="K302" s="150"/>
      <c r="L302" s="150"/>
      <c r="M302" s="102"/>
      <c r="N302" s="124"/>
      <c r="O302" s="125"/>
      <c r="P302" s="97"/>
      <c r="Q302" s="131"/>
      <c r="R302" s="126"/>
      <c r="S302" s="97"/>
      <c r="T302" s="97"/>
      <c r="V302" s="108"/>
    </row>
    <row r="303" ht="15.75" customHeight="1">
      <c r="A303" s="91"/>
      <c r="B303" s="171"/>
      <c r="C303" s="143"/>
      <c r="D303" s="97"/>
      <c r="E303" s="143"/>
      <c r="F303" s="143"/>
      <c r="G303" s="97"/>
      <c r="H303" s="143"/>
      <c r="I303" s="97"/>
      <c r="J303" s="97"/>
      <c r="K303" s="148"/>
      <c r="L303" s="148"/>
      <c r="M303" s="102"/>
      <c r="N303" s="124"/>
      <c r="O303" s="125"/>
      <c r="P303" s="97"/>
      <c r="Q303" s="131"/>
      <c r="R303" s="126"/>
      <c r="S303" s="97"/>
      <c r="T303" s="97"/>
      <c r="V303" s="108"/>
    </row>
    <row r="304" ht="15.75" customHeight="1">
      <c r="A304" s="91"/>
      <c r="B304" s="171"/>
      <c r="C304" s="108"/>
      <c r="D304" s="97"/>
      <c r="E304" s="143"/>
      <c r="F304" s="143"/>
      <c r="G304" s="97"/>
      <c r="H304" s="143"/>
      <c r="I304" s="97"/>
      <c r="J304" s="97"/>
      <c r="K304" s="150"/>
      <c r="L304" s="150"/>
      <c r="M304" s="102"/>
      <c r="N304" s="124"/>
      <c r="O304" s="125"/>
      <c r="P304" s="97"/>
      <c r="Q304" s="131"/>
      <c r="R304" s="126"/>
      <c r="S304" s="97"/>
      <c r="T304" s="97"/>
      <c r="V304" s="108"/>
    </row>
    <row r="305" ht="15.75" customHeight="1">
      <c r="A305" s="91"/>
      <c r="B305" s="171"/>
      <c r="C305" s="143"/>
      <c r="D305" s="97"/>
      <c r="E305" s="143"/>
      <c r="F305" s="143"/>
      <c r="G305" s="97"/>
      <c r="H305" s="143"/>
      <c r="I305" s="97"/>
      <c r="J305" s="97"/>
      <c r="K305" s="148"/>
      <c r="L305" s="148"/>
      <c r="M305" s="102"/>
      <c r="N305" s="124"/>
      <c r="O305" s="125"/>
      <c r="P305" s="97"/>
      <c r="Q305" s="131"/>
      <c r="R305" s="126"/>
      <c r="S305" s="97"/>
      <c r="T305" s="97"/>
      <c r="V305" s="108"/>
    </row>
    <row r="306" ht="15.75" customHeight="1">
      <c r="A306" s="91"/>
      <c r="B306" s="171"/>
      <c r="C306" s="143"/>
      <c r="D306" s="97"/>
      <c r="E306" s="143"/>
      <c r="F306" s="143"/>
      <c r="G306" s="97"/>
      <c r="H306" s="143"/>
      <c r="I306" s="97"/>
      <c r="J306" s="97"/>
      <c r="K306" s="150"/>
      <c r="L306" s="150"/>
      <c r="M306" s="102"/>
      <c r="N306" s="124"/>
      <c r="O306" s="125"/>
      <c r="P306" s="97"/>
      <c r="Q306" s="131"/>
      <c r="R306" s="126"/>
      <c r="S306" s="97"/>
      <c r="T306" s="97"/>
      <c r="V306" s="108"/>
    </row>
    <row r="307" ht="15.75" customHeight="1">
      <c r="A307" s="91"/>
      <c r="B307" s="171"/>
      <c r="C307" s="143"/>
      <c r="D307" s="97"/>
      <c r="E307" s="143"/>
      <c r="F307" s="143"/>
      <c r="G307" s="97"/>
      <c r="H307" s="143"/>
      <c r="I307" s="97"/>
      <c r="J307" s="97"/>
      <c r="K307" s="148"/>
      <c r="L307" s="148"/>
      <c r="M307" s="102"/>
      <c r="N307" s="124"/>
      <c r="O307" s="125"/>
      <c r="P307" s="97"/>
      <c r="Q307" s="131"/>
      <c r="R307" s="126"/>
      <c r="S307" s="97"/>
      <c r="T307" s="97"/>
      <c r="V307" s="108"/>
    </row>
    <row r="308" ht="15.75" customHeight="1">
      <c r="A308" s="91"/>
      <c r="B308" s="171"/>
      <c r="C308" s="143"/>
      <c r="D308" s="97"/>
      <c r="E308" s="143"/>
      <c r="F308" s="143"/>
      <c r="G308" s="97"/>
      <c r="H308" s="143"/>
      <c r="I308" s="97"/>
      <c r="J308" s="97"/>
      <c r="K308" s="150"/>
      <c r="L308" s="150"/>
      <c r="M308" s="102"/>
      <c r="N308" s="124"/>
      <c r="O308" s="125"/>
      <c r="P308" s="97"/>
      <c r="Q308" s="131"/>
      <c r="R308" s="126"/>
      <c r="S308" s="97"/>
      <c r="T308" s="97"/>
      <c r="V308" s="108"/>
    </row>
    <row r="309" ht="15.75" customHeight="1">
      <c r="A309" s="91"/>
      <c r="B309" s="171"/>
      <c r="C309" s="143"/>
      <c r="D309" s="97"/>
      <c r="E309" s="143"/>
      <c r="F309" s="143"/>
      <c r="G309" s="97"/>
      <c r="H309" s="143"/>
      <c r="I309" s="97"/>
      <c r="J309" s="97"/>
      <c r="K309" s="148"/>
      <c r="L309" s="148"/>
      <c r="M309" s="102"/>
      <c r="N309" s="124"/>
      <c r="O309" s="125"/>
      <c r="P309" s="97"/>
      <c r="Q309" s="131"/>
      <c r="R309" s="126"/>
      <c r="S309" s="97"/>
      <c r="T309" s="97"/>
      <c r="V309" s="108"/>
    </row>
    <row r="310" ht="15.75" customHeight="1">
      <c r="A310" s="91"/>
      <c r="B310" s="171"/>
      <c r="C310" s="108"/>
      <c r="D310" s="97"/>
      <c r="E310" s="143"/>
      <c r="F310" s="143"/>
      <c r="G310" s="97"/>
      <c r="H310" s="143"/>
      <c r="I310" s="97"/>
      <c r="J310" s="97"/>
      <c r="K310" s="150"/>
      <c r="L310" s="150"/>
      <c r="M310" s="102"/>
      <c r="N310" s="124"/>
      <c r="O310" s="125"/>
      <c r="P310" s="97"/>
      <c r="Q310" s="131"/>
      <c r="R310" s="126"/>
      <c r="S310" s="97"/>
      <c r="T310" s="97"/>
      <c r="V310" s="108"/>
    </row>
    <row r="311" ht="15.75" customHeight="1">
      <c r="A311" s="91"/>
      <c r="B311" s="171"/>
      <c r="C311" s="143"/>
      <c r="D311" s="97"/>
      <c r="E311" s="143"/>
      <c r="F311" s="143"/>
      <c r="G311" s="97"/>
      <c r="H311" s="143"/>
      <c r="I311" s="97"/>
      <c r="J311" s="97"/>
      <c r="K311" s="148"/>
      <c r="L311" s="148"/>
      <c r="M311" s="102"/>
      <c r="N311" s="124"/>
      <c r="O311" s="125"/>
      <c r="P311" s="97"/>
      <c r="Q311" s="131"/>
      <c r="R311" s="126"/>
      <c r="S311" s="97"/>
      <c r="T311" s="97"/>
      <c r="V311" s="108"/>
    </row>
    <row r="312" ht="15.75" customHeight="1">
      <c r="A312" s="91"/>
      <c r="B312" s="171"/>
      <c r="C312" s="143"/>
      <c r="D312" s="97"/>
      <c r="E312" s="143"/>
      <c r="F312" s="143"/>
      <c r="G312" s="97"/>
      <c r="H312" s="143"/>
      <c r="I312" s="97"/>
      <c r="J312" s="97"/>
      <c r="K312" s="150"/>
      <c r="L312" s="150"/>
      <c r="M312" s="102"/>
      <c r="N312" s="124"/>
      <c r="O312" s="125"/>
      <c r="P312" s="97"/>
      <c r="Q312" s="131"/>
      <c r="R312" s="126"/>
      <c r="S312" s="97"/>
      <c r="T312" s="97"/>
      <c r="V312" s="108"/>
    </row>
    <row r="313" ht="15.75" customHeight="1">
      <c r="A313" s="91"/>
      <c r="B313" s="171"/>
      <c r="C313" s="143"/>
      <c r="D313" s="97"/>
      <c r="E313" s="143"/>
      <c r="F313" s="143"/>
      <c r="G313" s="97"/>
      <c r="H313" s="143"/>
      <c r="I313" s="97"/>
      <c r="J313" s="97"/>
      <c r="K313" s="148"/>
      <c r="L313" s="148"/>
      <c r="M313" s="102"/>
      <c r="N313" s="124"/>
      <c r="O313" s="125"/>
      <c r="P313" s="97"/>
      <c r="Q313" s="131"/>
      <c r="R313" s="126"/>
      <c r="S313" s="97"/>
      <c r="T313" s="97"/>
      <c r="V313" s="108"/>
    </row>
    <row r="314" ht="15.75" customHeight="1">
      <c r="A314" s="91"/>
      <c r="B314" s="171"/>
      <c r="C314" s="143"/>
      <c r="D314" s="97"/>
      <c r="E314" s="143"/>
      <c r="F314" s="143"/>
      <c r="G314" s="97"/>
      <c r="H314" s="143"/>
      <c r="I314" s="97"/>
      <c r="J314" s="97"/>
      <c r="K314" s="150"/>
      <c r="L314" s="150"/>
      <c r="M314" s="102"/>
      <c r="N314" s="124"/>
      <c r="O314" s="125"/>
      <c r="P314" s="97"/>
      <c r="Q314" s="131"/>
      <c r="R314" s="126"/>
      <c r="S314" s="97"/>
      <c r="T314" s="97"/>
      <c r="V314" s="108"/>
    </row>
    <row r="315" ht="15.75" customHeight="1">
      <c r="A315" s="91"/>
      <c r="B315" s="171"/>
      <c r="C315" s="143"/>
      <c r="D315" s="97"/>
      <c r="E315" s="143"/>
      <c r="F315" s="143"/>
      <c r="G315" s="97"/>
      <c r="H315" s="143"/>
      <c r="I315" s="97"/>
      <c r="J315" s="97"/>
      <c r="K315" s="148"/>
      <c r="L315" s="148"/>
      <c r="M315" s="102"/>
      <c r="N315" s="124"/>
      <c r="O315" s="125"/>
      <c r="P315" s="97"/>
      <c r="Q315" s="131"/>
      <c r="R315" s="126"/>
      <c r="S315" s="97"/>
      <c r="T315" s="97"/>
      <c r="V315" s="108"/>
    </row>
    <row r="316" ht="15.75" customHeight="1">
      <c r="A316" s="91"/>
      <c r="B316" s="171"/>
      <c r="C316" s="108"/>
      <c r="D316" s="97"/>
      <c r="E316" s="143"/>
      <c r="F316" s="143"/>
      <c r="G316" s="97"/>
      <c r="H316" s="143"/>
      <c r="I316" s="97"/>
      <c r="J316" s="97"/>
      <c r="K316" s="150"/>
      <c r="L316" s="150"/>
      <c r="M316" s="102"/>
      <c r="N316" s="124"/>
      <c r="O316" s="125"/>
      <c r="P316" s="97"/>
      <c r="Q316" s="131"/>
      <c r="R316" s="126"/>
      <c r="S316" s="97"/>
      <c r="T316" s="97"/>
      <c r="V316" s="108"/>
    </row>
    <row r="317" ht="15.75" customHeight="1">
      <c r="A317" s="91"/>
      <c r="B317" s="171"/>
      <c r="C317" s="143"/>
      <c r="D317" s="97"/>
      <c r="E317" s="143"/>
      <c r="F317" s="143"/>
      <c r="G317" s="97"/>
      <c r="H317" s="143"/>
      <c r="I317" s="97"/>
      <c r="J317" s="97"/>
      <c r="K317" s="148"/>
      <c r="L317" s="148"/>
      <c r="M317" s="102"/>
      <c r="N317" s="124"/>
      <c r="O317" s="125"/>
      <c r="P317" s="97"/>
      <c r="Q317" s="131"/>
      <c r="R317" s="126"/>
      <c r="S317" s="97"/>
      <c r="T317" s="97"/>
      <c r="V317" s="108"/>
    </row>
    <row r="318" ht="15.75" customHeight="1">
      <c r="A318" s="91"/>
      <c r="B318" s="171"/>
      <c r="C318" s="143"/>
      <c r="D318" s="97"/>
      <c r="E318" s="143"/>
      <c r="F318" s="143"/>
      <c r="G318" s="97"/>
      <c r="H318" s="143"/>
      <c r="I318" s="97"/>
      <c r="J318" s="97"/>
      <c r="K318" s="150"/>
      <c r="L318" s="150"/>
      <c r="M318" s="102"/>
      <c r="N318" s="124"/>
      <c r="O318" s="125"/>
      <c r="P318" s="97"/>
      <c r="Q318" s="131"/>
      <c r="R318" s="126"/>
      <c r="S318" s="97"/>
      <c r="T318" s="97"/>
      <c r="V318" s="108"/>
    </row>
    <row r="319" ht="15.75" customHeight="1">
      <c r="A319" s="91"/>
      <c r="B319" s="171"/>
      <c r="C319" s="143"/>
      <c r="D319" s="97"/>
      <c r="E319" s="143"/>
      <c r="F319" s="143"/>
      <c r="G319" s="97"/>
      <c r="H319" s="143"/>
      <c r="I319" s="97"/>
      <c r="J319" s="97"/>
      <c r="K319" s="148"/>
      <c r="L319" s="148"/>
      <c r="M319" s="102"/>
      <c r="N319" s="124"/>
      <c r="O319" s="125"/>
      <c r="P319" s="97"/>
      <c r="Q319" s="131"/>
      <c r="R319" s="126"/>
      <c r="S319" s="97"/>
      <c r="T319" s="97"/>
      <c r="V319" s="108"/>
    </row>
    <row r="320" ht="15.75" customHeight="1">
      <c r="A320" s="91"/>
      <c r="B320" s="171"/>
      <c r="C320" s="143"/>
      <c r="D320" s="97"/>
      <c r="E320" s="143"/>
      <c r="F320" s="143"/>
      <c r="G320" s="97"/>
      <c r="H320" s="143"/>
      <c r="I320" s="97"/>
      <c r="J320" s="97"/>
      <c r="K320" s="150"/>
      <c r="L320" s="150"/>
      <c r="M320" s="102"/>
      <c r="N320" s="124"/>
      <c r="O320" s="125"/>
      <c r="P320" s="97"/>
      <c r="Q320" s="131"/>
      <c r="R320" s="126"/>
      <c r="S320" s="97"/>
      <c r="T320" s="97"/>
      <c r="V320" s="108"/>
    </row>
    <row r="321" ht="15.75" customHeight="1">
      <c r="A321" s="91"/>
      <c r="B321" s="171"/>
      <c r="C321" s="143"/>
      <c r="D321" s="97"/>
      <c r="E321" s="143"/>
      <c r="F321" s="143"/>
      <c r="G321" s="97"/>
      <c r="H321" s="143"/>
      <c r="I321" s="97"/>
      <c r="J321" s="97"/>
      <c r="K321" s="148"/>
      <c r="L321" s="148"/>
      <c r="M321" s="102"/>
      <c r="N321" s="124"/>
      <c r="O321" s="125"/>
      <c r="P321" s="97"/>
      <c r="Q321" s="131"/>
      <c r="R321" s="126"/>
      <c r="S321" s="97"/>
      <c r="T321" s="97"/>
      <c r="V321" s="108"/>
    </row>
    <row r="322" ht="15.75" customHeight="1">
      <c r="A322" s="91"/>
      <c r="B322" s="171"/>
      <c r="C322" s="108"/>
      <c r="D322" s="97"/>
      <c r="E322" s="143"/>
      <c r="F322" s="143"/>
      <c r="G322" s="97"/>
      <c r="H322" s="143"/>
      <c r="I322" s="97"/>
      <c r="J322" s="97"/>
      <c r="K322" s="150"/>
      <c r="L322" s="150"/>
      <c r="M322" s="102"/>
      <c r="N322" s="124"/>
      <c r="O322" s="125"/>
      <c r="P322" s="97"/>
      <c r="Q322" s="131"/>
      <c r="R322" s="126"/>
      <c r="S322" s="97"/>
      <c r="T322" s="97"/>
      <c r="V322" s="108"/>
    </row>
    <row r="323" ht="15.75" customHeight="1">
      <c r="A323" s="91"/>
      <c r="B323" s="171"/>
      <c r="C323" s="143"/>
      <c r="D323" s="97"/>
      <c r="E323" s="143"/>
      <c r="F323" s="143"/>
      <c r="G323" s="97"/>
      <c r="H323" s="143"/>
      <c r="I323" s="97"/>
      <c r="J323" s="97"/>
      <c r="K323" s="148"/>
      <c r="L323" s="148"/>
      <c r="M323" s="102"/>
      <c r="N323" s="124"/>
      <c r="O323" s="125"/>
      <c r="P323" s="97"/>
      <c r="Q323" s="131"/>
      <c r="R323" s="126"/>
      <c r="S323" s="97"/>
      <c r="T323" s="97"/>
      <c r="V323" s="108"/>
    </row>
    <row r="324" ht="15.75" customHeight="1">
      <c r="A324" s="91"/>
      <c r="B324" s="171"/>
      <c r="C324" s="143"/>
      <c r="D324" s="97"/>
      <c r="E324" s="143"/>
      <c r="F324" s="143"/>
      <c r="G324" s="97"/>
      <c r="H324" s="143"/>
      <c r="I324" s="97"/>
      <c r="J324" s="97"/>
      <c r="K324" s="150"/>
      <c r="L324" s="150"/>
      <c r="M324" s="102"/>
      <c r="N324" s="124"/>
      <c r="O324" s="125"/>
      <c r="P324" s="97"/>
      <c r="Q324" s="131"/>
      <c r="R324" s="126"/>
      <c r="S324" s="97"/>
      <c r="T324" s="97"/>
      <c r="V324" s="108"/>
    </row>
    <row r="325" ht="15.75" customHeight="1">
      <c r="A325" s="91"/>
      <c r="B325" s="171"/>
      <c r="C325" s="143"/>
      <c r="D325" s="97"/>
      <c r="E325" s="143"/>
      <c r="F325" s="143"/>
      <c r="G325" s="97"/>
      <c r="H325" s="143"/>
      <c r="I325" s="97"/>
      <c r="J325" s="97"/>
      <c r="K325" s="152"/>
      <c r="L325" s="152"/>
      <c r="M325" s="102"/>
      <c r="N325" s="124"/>
      <c r="O325" s="125"/>
      <c r="P325" s="97"/>
      <c r="Q325" s="131"/>
      <c r="R325" s="126"/>
      <c r="S325" s="97"/>
      <c r="T325" s="97"/>
      <c r="V325" s="108"/>
    </row>
    <row r="326" ht="15.75" customHeight="1">
      <c r="A326" s="91"/>
      <c r="B326" s="171"/>
      <c r="C326" s="143"/>
      <c r="D326" s="97"/>
      <c r="E326" s="143"/>
      <c r="F326" s="143"/>
      <c r="G326" s="97"/>
      <c r="H326" s="143"/>
      <c r="I326" s="97"/>
      <c r="J326" s="97"/>
      <c r="K326" s="152"/>
      <c r="L326" s="152"/>
      <c r="M326" s="102"/>
      <c r="N326" s="124"/>
      <c r="O326" s="125"/>
      <c r="P326" s="97"/>
      <c r="Q326" s="131"/>
      <c r="R326" s="126"/>
      <c r="S326" s="97"/>
      <c r="T326" s="97"/>
      <c r="V326" s="108"/>
    </row>
    <row r="327" ht="15.75" customHeight="1">
      <c r="A327" s="91"/>
      <c r="B327" s="171"/>
      <c r="C327" s="143"/>
      <c r="D327" s="97"/>
      <c r="E327" s="143"/>
      <c r="F327" s="143"/>
      <c r="G327" s="97"/>
      <c r="H327" s="143"/>
      <c r="I327" s="97"/>
      <c r="J327" s="97"/>
      <c r="K327" s="152"/>
      <c r="L327" s="152"/>
      <c r="M327" s="102"/>
      <c r="N327" s="124"/>
      <c r="O327" s="125"/>
      <c r="P327" s="97"/>
      <c r="Q327" s="131"/>
      <c r="R327" s="126"/>
      <c r="S327" s="97"/>
      <c r="T327" s="97"/>
      <c r="V327" s="108"/>
    </row>
    <row r="328" ht="15.75" customHeight="1">
      <c r="A328" s="91"/>
      <c r="B328" s="171"/>
      <c r="C328" s="108"/>
      <c r="D328" s="97"/>
      <c r="E328" s="143"/>
      <c r="F328" s="143"/>
      <c r="G328" s="97"/>
      <c r="H328" s="143"/>
      <c r="I328" s="97"/>
      <c r="J328" s="97"/>
      <c r="K328" s="152"/>
      <c r="L328" s="152"/>
      <c r="M328" s="102"/>
      <c r="N328" s="124"/>
      <c r="O328" s="125"/>
      <c r="P328" s="97"/>
      <c r="Q328" s="131"/>
      <c r="R328" s="126"/>
      <c r="S328" s="97"/>
      <c r="T328" s="97"/>
      <c r="V328" s="108"/>
    </row>
    <row r="329" ht="15.75" customHeight="1">
      <c r="A329" s="91"/>
      <c r="B329" s="171"/>
      <c r="C329" s="143"/>
      <c r="D329" s="97"/>
      <c r="E329" s="143"/>
      <c r="F329" s="143"/>
      <c r="G329" s="97"/>
      <c r="H329" s="143"/>
      <c r="I329" s="97"/>
      <c r="J329" s="97"/>
      <c r="K329" s="152"/>
      <c r="L329" s="152"/>
      <c r="M329" s="102"/>
      <c r="N329" s="124"/>
      <c r="O329" s="125"/>
      <c r="P329" s="97"/>
      <c r="Q329" s="131"/>
      <c r="R329" s="126"/>
      <c r="S329" s="97"/>
      <c r="T329" s="97"/>
      <c r="V329" s="108"/>
    </row>
    <row r="330" ht="15.75" customHeight="1">
      <c r="A330" s="91"/>
      <c r="B330" s="171"/>
      <c r="C330" s="143"/>
      <c r="D330" s="97"/>
      <c r="E330" s="143"/>
      <c r="F330" s="143"/>
      <c r="G330" s="97"/>
      <c r="H330" s="143"/>
      <c r="I330" s="97"/>
      <c r="J330" s="97"/>
      <c r="K330" s="152"/>
      <c r="L330" s="152"/>
      <c r="M330" s="102"/>
      <c r="N330" s="124"/>
      <c r="O330" s="125"/>
      <c r="P330" s="97"/>
      <c r="Q330" s="131"/>
      <c r="R330" s="126"/>
      <c r="S330" s="97"/>
      <c r="T330" s="97"/>
      <c r="V330" s="108"/>
    </row>
    <row r="331" ht="15.75" customHeight="1">
      <c r="A331" s="91"/>
      <c r="B331" s="171"/>
      <c r="C331" s="143"/>
      <c r="D331" s="97"/>
      <c r="E331" s="143"/>
      <c r="F331" s="143"/>
      <c r="G331" s="97"/>
      <c r="H331" s="143"/>
      <c r="I331" s="97"/>
      <c r="J331" s="97"/>
      <c r="K331" s="152"/>
      <c r="L331" s="152"/>
      <c r="M331" s="102"/>
      <c r="N331" s="124"/>
      <c r="O331" s="125"/>
      <c r="P331" s="97"/>
      <c r="Q331" s="131"/>
      <c r="R331" s="126"/>
      <c r="S331" s="97"/>
      <c r="T331" s="97"/>
      <c r="V331" s="108"/>
    </row>
    <row r="332" ht="15.75" customHeight="1">
      <c r="A332" s="91"/>
      <c r="B332" s="171"/>
      <c r="C332" s="143"/>
      <c r="D332" s="97"/>
      <c r="E332" s="143"/>
      <c r="F332" s="143"/>
      <c r="G332" s="97"/>
      <c r="H332" s="143"/>
      <c r="I332" s="97"/>
      <c r="J332" s="97"/>
      <c r="K332" s="152"/>
      <c r="L332" s="152"/>
      <c r="M332" s="102"/>
      <c r="N332" s="124"/>
      <c r="O332" s="125"/>
      <c r="P332" s="97"/>
      <c r="Q332" s="131"/>
      <c r="R332" s="126"/>
      <c r="S332" s="97"/>
      <c r="T332" s="97"/>
      <c r="V332" s="108"/>
    </row>
    <row r="333" ht="15.75" customHeight="1">
      <c r="A333" s="91"/>
      <c r="B333" s="171"/>
      <c r="C333" s="143"/>
      <c r="D333" s="97"/>
      <c r="E333" s="143"/>
      <c r="F333" s="143"/>
      <c r="G333" s="97"/>
      <c r="H333" s="143"/>
      <c r="I333" s="97"/>
      <c r="J333" s="97"/>
      <c r="K333" s="152"/>
      <c r="L333" s="152"/>
      <c r="M333" s="102"/>
      <c r="N333" s="124"/>
      <c r="O333" s="125"/>
      <c r="P333" s="97"/>
      <c r="Q333" s="131"/>
      <c r="R333" s="126"/>
      <c r="S333" s="97"/>
      <c r="T333" s="97"/>
      <c r="V333" s="108"/>
    </row>
    <row r="334" ht="15.75" customHeight="1">
      <c r="A334" s="91"/>
      <c r="B334" s="171"/>
      <c r="C334" s="108"/>
      <c r="D334" s="97"/>
      <c r="E334" s="143"/>
      <c r="F334" s="143"/>
      <c r="G334" s="97"/>
      <c r="H334" s="143"/>
      <c r="I334" s="97"/>
      <c r="J334" s="97"/>
      <c r="K334" s="152"/>
      <c r="L334" s="152"/>
      <c r="M334" s="102"/>
      <c r="N334" s="124"/>
      <c r="O334" s="125"/>
      <c r="P334" s="97"/>
      <c r="Q334" s="131"/>
      <c r="R334" s="126"/>
      <c r="S334" s="97"/>
      <c r="T334" s="97"/>
      <c r="V334" s="108"/>
    </row>
    <row r="335" ht="15.75" customHeight="1">
      <c r="A335" s="91"/>
      <c r="B335" s="171"/>
      <c r="C335" s="143"/>
      <c r="D335" s="97"/>
      <c r="E335" s="143"/>
      <c r="F335" s="143"/>
      <c r="G335" s="97"/>
      <c r="H335" s="143"/>
      <c r="I335" s="97"/>
      <c r="J335" s="97"/>
      <c r="K335" s="152"/>
      <c r="L335" s="152"/>
      <c r="M335" s="102"/>
      <c r="N335" s="124"/>
      <c r="O335" s="125"/>
      <c r="P335" s="97"/>
      <c r="Q335" s="131"/>
      <c r="R335" s="126"/>
      <c r="S335" s="97"/>
      <c r="T335" s="97"/>
      <c r="V335" s="108"/>
    </row>
    <row r="336" ht="15.75" customHeight="1">
      <c r="A336" s="91"/>
      <c r="B336" s="171"/>
      <c r="C336" s="143"/>
      <c r="D336" s="97"/>
      <c r="E336" s="143"/>
      <c r="F336" s="143"/>
      <c r="G336" s="97"/>
      <c r="H336" s="143"/>
      <c r="I336" s="97"/>
      <c r="J336" s="97"/>
      <c r="K336" s="152"/>
      <c r="L336" s="152"/>
      <c r="M336" s="102"/>
      <c r="N336" s="124"/>
      <c r="O336" s="125"/>
      <c r="P336" s="97"/>
      <c r="Q336" s="131"/>
      <c r="R336" s="126"/>
      <c r="S336" s="97"/>
      <c r="T336" s="97"/>
      <c r="V336" s="108"/>
    </row>
    <row r="337" ht="15.75" customHeight="1">
      <c r="A337" s="91"/>
      <c r="B337" s="171"/>
      <c r="C337" s="143"/>
      <c r="D337" s="97"/>
      <c r="E337" s="143"/>
      <c r="F337" s="143"/>
      <c r="G337" s="97"/>
      <c r="H337" s="143"/>
      <c r="I337" s="97"/>
      <c r="J337" s="97"/>
      <c r="K337" s="152"/>
      <c r="L337" s="152"/>
      <c r="M337" s="102"/>
      <c r="N337" s="124"/>
      <c r="O337" s="125"/>
      <c r="P337" s="97"/>
      <c r="Q337" s="131"/>
      <c r="R337" s="126"/>
      <c r="S337" s="97"/>
      <c r="T337" s="97"/>
      <c r="V337" s="108"/>
    </row>
    <row r="338" ht="15.75" customHeight="1">
      <c r="A338" s="91"/>
      <c r="B338" s="171"/>
      <c r="C338" s="143"/>
      <c r="D338" s="97"/>
      <c r="E338" s="143"/>
      <c r="F338" s="143"/>
      <c r="G338" s="97"/>
      <c r="H338" s="143"/>
      <c r="I338" s="97"/>
      <c r="J338" s="97"/>
      <c r="K338" s="152"/>
      <c r="L338" s="152"/>
      <c r="M338" s="102"/>
      <c r="N338" s="124"/>
      <c r="O338" s="125"/>
      <c r="P338" s="97"/>
      <c r="Q338" s="131"/>
      <c r="R338" s="126"/>
      <c r="S338" s="97"/>
      <c r="T338" s="97"/>
      <c r="V338" s="108"/>
    </row>
    <row r="339" ht="15.75" customHeight="1">
      <c r="A339" s="91"/>
      <c r="B339" s="171"/>
      <c r="C339" s="143"/>
      <c r="D339" s="97"/>
      <c r="E339" s="143"/>
      <c r="F339" s="143"/>
      <c r="G339" s="97"/>
      <c r="H339" s="143"/>
      <c r="I339" s="97"/>
      <c r="J339" s="97"/>
      <c r="K339" s="152"/>
      <c r="L339" s="152"/>
      <c r="M339" s="102"/>
      <c r="N339" s="124"/>
      <c r="O339" s="125"/>
      <c r="P339" s="97"/>
      <c r="Q339" s="131"/>
      <c r="R339" s="126"/>
      <c r="S339" s="97"/>
      <c r="T339" s="97"/>
      <c r="V339" s="108"/>
    </row>
    <row r="340" ht="15.75" customHeight="1">
      <c r="A340" s="91"/>
      <c r="B340" s="171"/>
      <c r="C340" s="108"/>
      <c r="D340" s="97"/>
      <c r="E340" s="143"/>
      <c r="F340" s="143"/>
      <c r="G340" s="97"/>
      <c r="H340" s="143"/>
      <c r="I340" s="97"/>
      <c r="J340" s="97"/>
      <c r="K340" s="152"/>
      <c r="L340" s="152"/>
      <c r="M340" s="102"/>
      <c r="N340" s="124"/>
      <c r="O340" s="125"/>
      <c r="P340" s="97"/>
      <c r="Q340" s="131"/>
      <c r="R340" s="126"/>
      <c r="S340" s="97"/>
      <c r="T340" s="97"/>
      <c r="V340" s="108"/>
    </row>
    <row r="341" ht="15.75" customHeight="1">
      <c r="A341" s="91"/>
      <c r="B341" s="171"/>
      <c r="C341" s="143"/>
      <c r="D341" s="97"/>
      <c r="E341" s="143"/>
      <c r="F341" s="143"/>
      <c r="G341" s="97"/>
      <c r="H341" s="143"/>
      <c r="I341" s="97"/>
      <c r="J341" s="97"/>
      <c r="K341" s="152"/>
      <c r="L341" s="152"/>
      <c r="M341" s="102"/>
      <c r="N341" s="124"/>
      <c r="O341" s="125"/>
      <c r="P341" s="97"/>
      <c r="Q341" s="131"/>
      <c r="R341" s="126"/>
      <c r="S341" s="97"/>
      <c r="T341" s="97"/>
      <c r="V341" s="108"/>
    </row>
    <row r="342" ht="15.75" customHeight="1">
      <c r="A342" s="91"/>
      <c r="B342" s="171"/>
      <c r="C342" s="143"/>
      <c r="D342" s="97"/>
      <c r="E342" s="143"/>
      <c r="F342" s="143"/>
      <c r="G342" s="97"/>
      <c r="H342" s="143"/>
      <c r="I342" s="97"/>
      <c r="J342" s="97"/>
      <c r="K342" s="152"/>
      <c r="L342" s="152"/>
      <c r="M342" s="102"/>
      <c r="N342" s="124"/>
      <c r="O342" s="125"/>
      <c r="P342" s="97"/>
      <c r="Q342" s="131"/>
      <c r="R342" s="126"/>
      <c r="S342" s="97"/>
      <c r="T342" s="97"/>
      <c r="V342" s="108"/>
    </row>
    <row r="343" ht="15.75" customHeight="1">
      <c r="A343" s="91"/>
      <c r="B343" s="171"/>
      <c r="C343" s="143"/>
      <c r="D343" s="97"/>
      <c r="E343" s="143"/>
      <c r="F343" s="143"/>
      <c r="G343" s="97"/>
      <c r="H343" s="143"/>
      <c r="I343" s="97"/>
      <c r="J343" s="97"/>
      <c r="K343" s="152"/>
      <c r="L343" s="152"/>
      <c r="M343" s="102"/>
      <c r="N343" s="124"/>
      <c r="O343" s="125"/>
      <c r="P343" s="97"/>
      <c r="Q343" s="131"/>
      <c r="R343" s="126"/>
      <c r="S343" s="97"/>
      <c r="T343" s="97"/>
      <c r="V343" s="108"/>
    </row>
    <row r="344" ht="15.75" customHeight="1">
      <c r="A344" s="91"/>
      <c r="B344" s="171"/>
      <c r="C344" s="143"/>
      <c r="D344" s="97"/>
      <c r="E344" s="143"/>
      <c r="F344" s="143"/>
      <c r="G344" s="97"/>
      <c r="H344" s="143"/>
      <c r="I344" s="97"/>
      <c r="J344" s="97"/>
      <c r="K344" s="152"/>
      <c r="L344" s="152"/>
      <c r="M344" s="102"/>
      <c r="N344" s="124"/>
      <c r="O344" s="125"/>
      <c r="P344" s="97"/>
      <c r="Q344" s="131"/>
      <c r="R344" s="126"/>
      <c r="S344" s="97"/>
      <c r="T344" s="97"/>
      <c r="V344" s="108"/>
    </row>
    <row r="345" ht="15.75" customHeight="1">
      <c r="A345" s="91"/>
      <c r="B345" s="171"/>
      <c r="C345" s="143"/>
      <c r="D345" s="97"/>
      <c r="E345" s="143"/>
      <c r="F345" s="143"/>
      <c r="G345" s="97"/>
      <c r="H345" s="143"/>
      <c r="I345" s="97"/>
      <c r="J345" s="97"/>
      <c r="K345" s="152"/>
      <c r="L345" s="152"/>
      <c r="M345" s="102"/>
      <c r="N345" s="124"/>
      <c r="O345" s="125"/>
      <c r="P345" s="97"/>
      <c r="Q345" s="131"/>
      <c r="R345" s="126"/>
      <c r="S345" s="97"/>
      <c r="T345" s="97"/>
      <c r="V345" s="108"/>
    </row>
    <row r="346" ht="15.75" customHeight="1">
      <c r="A346" s="91"/>
      <c r="B346" s="171"/>
      <c r="C346" s="108"/>
      <c r="D346" s="97"/>
      <c r="E346" s="143"/>
      <c r="F346" s="143"/>
      <c r="G346" s="97"/>
      <c r="H346" s="143"/>
      <c r="I346" s="97"/>
      <c r="J346" s="97"/>
      <c r="K346" s="152"/>
      <c r="L346" s="152"/>
      <c r="M346" s="102"/>
      <c r="N346" s="124"/>
      <c r="O346" s="125"/>
      <c r="P346" s="97"/>
      <c r="Q346" s="131"/>
      <c r="R346" s="126"/>
      <c r="S346" s="97"/>
      <c r="T346" s="97"/>
      <c r="V346" s="108"/>
    </row>
    <row r="347" ht="15.75" customHeight="1">
      <c r="A347" s="91"/>
      <c r="B347" s="171"/>
      <c r="C347" s="143"/>
      <c r="D347" s="97"/>
      <c r="E347" s="143"/>
      <c r="F347" s="143"/>
      <c r="G347" s="97"/>
      <c r="H347" s="143"/>
      <c r="I347" s="97"/>
      <c r="J347" s="97"/>
      <c r="K347" s="152"/>
      <c r="L347" s="152"/>
      <c r="M347" s="102"/>
      <c r="N347" s="124"/>
      <c r="O347" s="125"/>
      <c r="P347" s="97"/>
      <c r="Q347" s="131"/>
      <c r="R347" s="126"/>
      <c r="S347" s="97"/>
      <c r="T347" s="97"/>
      <c r="V347" s="108"/>
    </row>
    <row r="348" ht="15.75" customHeight="1">
      <c r="A348" s="91"/>
      <c r="B348" s="171"/>
      <c r="C348" s="143"/>
      <c r="D348" s="97"/>
      <c r="E348" s="143"/>
      <c r="F348" s="143"/>
      <c r="G348" s="97"/>
      <c r="H348" s="143"/>
      <c r="I348" s="97"/>
      <c r="J348" s="97"/>
      <c r="K348" s="152"/>
      <c r="L348" s="152"/>
      <c r="M348" s="102"/>
      <c r="N348" s="124"/>
      <c r="O348" s="125"/>
      <c r="P348" s="97"/>
      <c r="Q348" s="131"/>
      <c r="R348" s="126"/>
      <c r="S348" s="97"/>
      <c r="T348" s="97"/>
      <c r="V348" s="108"/>
    </row>
    <row r="349" ht="15.75" customHeight="1">
      <c r="A349" s="91"/>
      <c r="B349" s="171"/>
      <c r="C349" s="143"/>
      <c r="D349" s="97"/>
      <c r="E349" s="143"/>
      <c r="F349" s="143"/>
      <c r="G349" s="97"/>
      <c r="H349" s="143"/>
      <c r="I349" s="97"/>
      <c r="J349" s="97"/>
      <c r="K349" s="152"/>
      <c r="L349" s="152"/>
      <c r="M349" s="102"/>
      <c r="N349" s="124"/>
      <c r="O349" s="125"/>
      <c r="P349" s="97"/>
      <c r="Q349" s="131"/>
      <c r="R349" s="126"/>
      <c r="S349" s="97"/>
      <c r="T349" s="97"/>
      <c r="V349" s="108"/>
    </row>
    <row r="350" ht="15.75" customHeight="1">
      <c r="A350" s="91"/>
      <c r="B350" s="171"/>
      <c r="C350" s="143"/>
      <c r="D350" s="97"/>
      <c r="E350" s="143"/>
      <c r="F350" s="143"/>
      <c r="G350" s="97"/>
      <c r="H350" s="143"/>
      <c r="I350" s="97"/>
      <c r="J350" s="97"/>
      <c r="K350" s="152"/>
      <c r="L350" s="152"/>
      <c r="M350" s="102"/>
      <c r="N350" s="124"/>
      <c r="O350" s="125"/>
      <c r="P350" s="97"/>
      <c r="Q350" s="131"/>
      <c r="R350" s="126"/>
      <c r="S350" s="97"/>
      <c r="T350" s="97"/>
      <c r="V350" s="108"/>
    </row>
    <row r="351" ht="15.75" customHeight="1">
      <c r="A351" s="91"/>
      <c r="B351" s="171"/>
      <c r="C351" s="143"/>
      <c r="D351" s="97"/>
      <c r="E351" s="143"/>
      <c r="F351" s="143"/>
      <c r="G351" s="97"/>
      <c r="H351" s="143"/>
      <c r="I351" s="97"/>
      <c r="J351" s="97"/>
      <c r="K351" s="152"/>
      <c r="L351" s="152"/>
      <c r="M351" s="102"/>
      <c r="N351" s="124"/>
      <c r="O351" s="125"/>
      <c r="P351" s="97"/>
      <c r="Q351" s="131"/>
      <c r="R351" s="126"/>
      <c r="S351" s="97"/>
      <c r="T351" s="97"/>
      <c r="V351" s="108"/>
    </row>
    <row r="352" ht="15.75" customHeight="1">
      <c r="A352" s="91"/>
      <c r="B352" s="171"/>
      <c r="C352" s="108"/>
      <c r="D352" s="97"/>
      <c r="E352" s="143"/>
      <c r="F352" s="143"/>
      <c r="G352" s="97"/>
      <c r="H352" s="143"/>
      <c r="I352" s="97"/>
      <c r="J352" s="97"/>
      <c r="K352" s="152"/>
      <c r="L352" s="152"/>
      <c r="M352" s="102"/>
      <c r="N352" s="124"/>
      <c r="O352" s="125"/>
      <c r="P352" s="97"/>
      <c r="Q352" s="131"/>
      <c r="R352" s="126"/>
      <c r="S352" s="97"/>
      <c r="T352" s="97"/>
      <c r="V352" s="108"/>
    </row>
    <row r="353" ht="15.75" customHeight="1">
      <c r="A353" s="91"/>
      <c r="B353" s="171"/>
      <c r="C353" s="143"/>
      <c r="D353" s="97"/>
      <c r="E353" s="143"/>
      <c r="F353" s="143"/>
      <c r="G353" s="97"/>
      <c r="H353" s="143"/>
      <c r="I353" s="97"/>
      <c r="J353" s="97"/>
      <c r="K353" s="152"/>
      <c r="L353" s="152"/>
      <c r="M353" s="102"/>
      <c r="N353" s="124"/>
      <c r="O353" s="125"/>
      <c r="P353" s="97"/>
      <c r="Q353" s="131"/>
      <c r="R353" s="126"/>
      <c r="S353" s="97"/>
      <c r="T353" s="97"/>
      <c r="V353" s="108"/>
    </row>
    <row r="354" ht="15.75" customHeight="1">
      <c r="A354" s="91"/>
      <c r="B354" s="171"/>
      <c r="C354" s="143"/>
      <c r="D354" s="97"/>
      <c r="E354" s="143"/>
      <c r="F354" s="143"/>
      <c r="G354" s="97"/>
      <c r="H354" s="143"/>
      <c r="I354" s="97"/>
      <c r="J354" s="97"/>
      <c r="K354" s="152"/>
      <c r="L354" s="152"/>
      <c r="M354" s="102"/>
      <c r="N354" s="124"/>
      <c r="O354" s="125"/>
      <c r="P354" s="97"/>
      <c r="Q354" s="131"/>
      <c r="R354" s="126"/>
      <c r="S354" s="97"/>
      <c r="T354" s="97"/>
      <c r="V354" s="108"/>
    </row>
    <row r="355" ht="15.75" customHeight="1">
      <c r="A355" s="91"/>
      <c r="B355" s="171"/>
      <c r="C355" s="143"/>
      <c r="D355" s="97"/>
      <c r="E355" s="143"/>
      <c r="F355" s="143"/>
      <c r="G355" s="97"/>
      <c r="H355" s="143"/>
      <c r="I355" s="97"/>
      <c r="J355" s="97"/>
      <c r="K355" s="152"/>
      <c r="L355" s="152"/>
      <c r="M355" s="102"/>
      <c r="N355" s="124"/>
      <c r="O355" s="125"/>
      <c r="P355" s="97"/>
      <c r="Q355" s="131"/>
      <c r="R355" s="126"/>
      <c r="S355" s="97"/>
      <c r="T355" s="97"/>
      <c r="V355" s="108"/>
    </row>
    <row r="356" ht="15.75" customHeight="1">
      <c r="A356" s="91"/>
      <c r="B356" s="171"/>
      <c r="C356" s="143"/>
      <c r="D356" s="97"/>
      <c r="E356" s="143"/>
      <c r="F356" s="143"/>
      <c r="G356" s="97"/>
      <c r="H356" s="143"/>
      <c r="I356" s="97"/>
      <c r="J356" s="97"/>
      <c r="K356" s="152"/>
      <c r="L356" s="152"/>
      <c r="M356" s="102"/>
      <c r="N356" s="124"/>
      <c r="O356" s="125"/>
      <c r="P356" s="97"/>
      <c r="Q356" s="131"/>
      <c r="R356" s="126"/>
      <c r="S356" s="97"/>
      <c r="T356" s="97"/>
      <c r="V356" s="108"/>
    </row>
    <row r="357" ht="15.75" customHeight="1">
      <c r="A357" s="91"/>
      <c r="B357" s="171"/>
      <c r="C357" s="143"/>
      <c r="D357" s="97"/>
      <c r="E357" s="143"/>
      <c r="F357" s="143"/>
      <c r="G357" s="97"/>
      <c r="H357" s="143"/>
      <c r="I357" s="97"/>
      <c r="J357" s="97"/>
      <c r="K357" s="152"/>
      <c r="L357" s="152"/>
      <c r="M357" s="102"/>
      <c r="N357" s="124"/>
      <c r="O357" s="125"/>
      <c r="P357" s="97"/>
      <c r="Q357" s="131"/>
      <c r="R357" s="126"/>
      <c r="S357" s="97"/>
      <c r="T357" s="97"/>
      <c r="V357" s="108"/>
    </row>
  </sheetData>
  <autoFilter ref="$A$12:$V$106"/>
  <customSheetViews>
    <customSheetView guid="{13FBEE33-5560-4ECB-B707-C73777468090}" filter="1" showAutoFilter="1">
      <autoFilter ref="$R$16"/>
    </customSheetView>
  </customSheetViews>
  <mergeCells count="340">
    <mergeCell ref="T12:U12"/>
    <mergeCell ref="T15:U15"/>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357">
      <formula1>"Think About It,Money,Partner,Time,Fear,Value"</formula1>
    </dataValidation>
    <dataValidation type="list" allowBlank="1" showErrorMessage="1" sqref="J14">
      <formula1>"Option 1,Option 2"</formula1>
    </dataValidation>
    <dataValidation type="list" allowBlank="1" showErrorMessage="1" sqref="I13:J13 I14 I15:J19 I20 I21:J33 I34 I35:J99 I100:I106 I107:J357">
      <formula1>"Full-Pay,Split-pay,Deposit,Offer &amp; Didn't Buy,Bad Fit &amp; No Offer,Rescheduled,Cancelled,No-Show"</formula1>
    </dataValidation>
    <dataValidation type="list" allowBlank="1" showErrorMessage="1" sqref="S13:S357">
      <formula1>"Closed,Follow Up,Hot Follow Up,Deposit (Follow Up Set),Follow Up Set,X"</formula1>
    </dataValidation>
    <dataValidation type="list" allowBlank="1" showErrorMessage="1" sqref="J34">
      <formula1>"Full-Pay,Split-Pay,Deposit,Offer &amp; Didn't Buy,Bad Fit &amp; No Offer,Drag Over &amp; Show,Rescheduled,Cancelled,No-Show"</formula1>
    </dataValidation>
    <dataValidation type="list" allowBlank="1" sqref="H13:H357">
      <formula1>"IG,Setter,Facebook Ads,Landing page"</formula1>
    </dataValidation>
  </dataValidations>
  <hyperlinks>
    <hyperlink r:id="rId2" ref="F13"/>
    <hyperlink r:id="rId3" ref="F14"/>
    <hyperlink r:id="rId4" ref="F15"/>
    <hyperlink r:id="rId5" ref="F16"/>
    <hyperlink r:id="rId6" ref="F17"/>
    <hyperlink r:id="rId7" ref="F18"/>
    <hyperlink r:id="rId8" ref="F19"/>
    <hyperlink r:id="rId9" ref="F20"/>
    <hyperlink r:id="rId10" ref="F21"/>
    <hyperlink r:id="rId11" ref="F22"/>
    <hyperlink r:id="rId12" ref="F23"/>
    <hyperlink r:id="rId13" ref="F24"/>
    <hyperlink r:id="rId14" ref="F25"/>
    <hyperlink r:id="rId15" ref="F26"/>
    <hyperlink r:id="rId16" ref="F27"/>
    <hyperlink r:id="rId17" ref="F28"/>
    <hyperlink r:id="rId18" ref="F29"/>
    <hyperlink r:id="rId19" ref="F30"/>
    <hyperlink r:id="rId20" ref="F31"/>
    <hyperlink r:id="rId21" ref="F32"/>
    <hyperlink r:id="rId22" ref="F33"/>
    <hyperlink r:id="rId23" ref="F34"/>
    <hyperlink r:id="rId24" ref="F35"/>
    <hyperlink r:id="rId25" ref="F36"/>
    <hyperlink r:id="rId26" ref="F37"/>
    <hyperlink r:id="rId27" ref="F38"/>
    <hyperlink r:id="rId28" ref="F40"/>
    <hyperlink r:id="rId29" ref="F41"/>
    <hyperlink r:id="rId30" ref="F42"/>
    <hyperlink r:id="rId31" ref="F43"/>
    <hyperlink r:id="rId32" ref="F44"/>
    <hyperlink r:id="rId33" ref="F45"/>
    <hyperlink r:id="rId34" ref="F46"/>
    <hyperlink r:id="rId35" ref="F47"/>
    <hyperlink r:id="rId36" ref="F48"/>
    <hyperlink r:id="rId37" ref="F49"/>
    <hyperlink r:id="rId38" ref="F50"/>
    <hyperlink r:id="rId39" ref="F51"/>
    <hyperlink r:id="rId40" ref="F52"/>
    <hyperlink r:id="rId41" ref="F53"/>
    <hyperlink r:id="rId42" ref="F54"/>
    <hyperlink r:id="rId43" ref="F55"/>
    <hyperlink r:id="rId44" ref="F56"/>
    <hyperlink r:id="rId45" ref="F57"/>
    <hyperlink r:id="rId46" ref="F58"/>
    <hyperlink r:id="rId47" ref="F59"/>
    <hyperlink r:id="rId48" ref="F60"/>
    <hyperlink r:id="rId49" ref="F61"/>
    <hyperlink r:id="rId50" ref="F62"/>
    <hyperlink r:id="rId51" ref="F63"/>
    <hyperlink r:id="rId52" ref="F64"/>
    <hyperlink r:id="rId53" ref="F65"/>
    <hyperlink r:id="rId54" ref="F66"/>
    <hyperlink r:id="rId55" ref="F67"/>
    <hyperlink r:id="rId56" ref="F68"/>
    <hyperlink r:id="rId57" ref="F69"/>
    <hyperlink r:id="rId58" ref="F70"/>
    <hyperlink r:id="rId59" ref="F71"/>
    <hyperlink r:id="rId60" ref="F72"/>
    <hyperlink r:id="rId61" ref="F73"/>
    <hyperlink r:id="rId62" ref="F74"/>
    <hyperlink r:id="rId63" ref="F75"/>
    <hyperlink r:id="rId64" ref="F76"/>
    <hyperlink r:id="rId65" ref="F78"/>
    <hyperlink r:id="rId66" ref="F79"/>
  </hyperlinks>
  <drawing r:id="rId67"/>
  <legacyDrawing r:id="rId6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220" t="s">
        <v>1310</v>
      </c>
      <c r="B1" s="89" t="s">
        <v>31</v>
      </c>
      <c r="C1" s="89" t="s">
        <v>77</v>
      </c>
      <c r="D1" s="34"/>
      <c r="E1" s="239" t="s">
        <v>515</v>
      </c>
      <c r="F1" s="34"/>
      <c r="H1" s="39" t="s">
        <v>33</v>
      </c>
      <c r="I1" s="40"/>
      <c r="J1" s="34"/>
      <c r="K1" s="39" t="s">
        <v>34</v>
      </c>
      <c r="L1" s="40"/>
      <c r="M1" s="13"/>
      <c r="N1" s="153" t="s">
        <v>35</v>
      </c>
      <c r="O1" s="42"/>
      <c r="P1" s="13"/>
      <c r="Q1" s="39" t="s">
        <v>36</v>
      </c>
      <c r="R1" s="43"/>
      <c r="S1" s="34"/>
      <c r="T1" s="39" t="s">
        <v>37</v>
      </c>
      <c r="U1" s="44"/>
      <c r="V1" s="34"/>
    </row>
    <row r="2">
      <c r="A2" s="34"/>
      <c r="B2" s="40"/>
      <c r="C2" s="40"/>
      <c r="D2" s="13"/>
      <c r="E2" s="241" t="s">
        <v>517</v>
      </c>
      <c r="F2" s="242">
        <f>C3/C6</f>
        <v>4345.454545</v>
      </c>
      <c r="H2" s="154" t="s">
        <v>26</v>
      </c>
      <c r="I2" s="155">
        <f>IFERROR(COUNTIFS(I13:I287, "Full-Pay"),"")</f>
        <v>3</v>
      </c>
      <c r="J2" s="13"/>
      <c r="K2" s="47" t="s">
        <v>16</v>
      </c>
      <c r="L2" s="48">
        <f>iferror(L10/L8,"")</f>
        <v>0.4181818182</v>
      </c>
      <c r="M2" s="12"/>
      <c r="N2" s="156" t="s">
        <v>39</v>
      </c>
      <c r="O2" s="50">
        <f>iferror(I8/L6,"")</f>
        <v>0.09230769231</v>
      </c>
      <c r="P2" s="12"/>
      <c r="Q2" s="51" t="s">
        <v>40</v>
      </c>
      <c r="R2" s="52">
        <f>IFERROR(COUNTIFS(N13:N286, "think about it"),"")</f>
        <v>3</v>
      </c>
      <c r="S2" s="13"/>
      <c r="T2" s="53" t="s">
        <v>41</v>
      </c>
      <c r="U2" s="54">
        <f>IFERROR(COUNTIF(H13:H286,T2),"")</f>
        <v>0</v>
      </c>
      <c r="V2" s="56"/>
    </row>
    <row r="3">
      <c r="A3" s="13"/>
      <c r="B3" s="157" t="s">
        <v>43</v>
      </c>
      <c r="C3" s="58">
        <f>IFERROR(SUM(K13:K283),"")</f>
        <v>239000</v>
      </c>
      <c r="D3" s="59"/>
      <c r="E3" s="244" t="s">
        <v>519</v>
      </c>
      <c r="F3" s="245">
        <f>C4/C6</f>
        <v>1471.818182</v>
      </c>
      <c r="H3" s="154" t="s">
        <v>27</v>
      </c>
      <c r="I3" s="155">
        <f>IFERROR(COUNTIFS(I13:I287, "Split-Pay"),"")</f>
        <v>20</v>
      </c>
      <c r="J3" s="13"/>
      <c r="K3" s="47" t="s">
        <v>17</v>
      </c>
      <c r="L3" s="48">
        <f>IFERROR(L10/L9,"")</f>
        <v>0.4423076923</v>
      </c>
      <c r="M3" s="12"/>
      <c r="N3" s="156" t="s">
        <v>44</v>
      </c>
      <c r="O3" s="50">
        <f>iferror(I9/L6,"")</f>
        <v>0.06153846154</v>
      </c>
      <c r="P3" s="12"/>
      <c r="Q3" s="51" t="s">
        <v>45</v>
      </c>
      <c r="R3" s="60">
        <f>IFERROR(COUNTIFS(N13:N286, "money"),"")</f>
        <v>18</v>
      </c>
      <c r="S3" s="13"/>
      <c r="T3" s="53" t="s">
        <v>46</v>
      </c>
      <c r="U3" s="54">
        <f>IFERROR(COUNTIF(H13:H286,T3),"")</f>
        <v>0</v>
      </c>
      <c r="V3" s="56"/>
    </row>
    <row r="4">
      <c r="A4" s="13"/>
      <c r="B4" s="158" t="s">
        <v>48</v>
      </c>
      <c r="C4" s="62">
        <f>IFERROR(SUM(L13:L284),"")</f>
        <v>80950</v>
      </c>
      <c r="D4" s="59"/>
      <c r="E4" s="244" t="s">
        <v>521</v>
      </c>
      <c r="F4" s="246">
        <f>C4/C3*100</f>
        <v>33.87029289</v>
      </c>
      <c r="H4" s="154" t="s">
        <v>28</v>
      </c>
      <c r="I4" s="155">
        <f>IFERROR(COUNTIFS(I13:I287, "Deposit"),"")</f>
        <v>6</v>
      </c>
      <c r="J4" s="13"/>
      <c r="K4" s="47" t="s">
        <v>18</v>
      </c>
      <c r="L4" s="48">
        <f>IFERROR(L9/L8,"")</f>
        <v>0.9454545455</v>
      </c>
      <c r="M4" s="12"/>
      <c r="N4" s="156" t="s">
        <v>49</v>
      </c>
      <c r="O4" s="50">
        <f>iferror(I10/L6,"")</f>
        <v>0</v>
      </c>
      <c r="P4" s="12"/>
      <c r="Q4" s="51" t="s">
        <v>50</v>
      </c>
      <c r="R4" s="52">
        <f>IFERROR(COUNTIFS(N13:N286, "time"),"")</f>
        <v>3</v>
      </c>
      <c r="S4" s="13"/>
      <c r="T4" s="53" t="s">
        <v>51</v>
      </c>
      <c r="U4" s="54">
        <f>IFERROR(COUNTIF(H13:H286,T4),"")</f>
        <v>0</v>
      </c>
      <c r="V4" s="34"/>
    </row>
    <row r="5">
      <c r="A5" s="34"/>
      <c r="B5" s="40"/>
      <c r="C5" s="40"/>
      <c r="D5" s="13"/>
      <c r="E5" s="244" t="s">
        <v>523</v>
      </c>
      <c r="F5" s="247">
        <f>I2/C7*100</f>
        <v>13.04347826</v>
      </c>
      <c r="H5" s="154" t="s">
        <v>53</v>
      </c>
      <c r="I5" s="155">
        <f>IFERROR(COUNTIFS(I13:I287, "Offer &amp; Didn't Buy"),"")</f>
        <v>23</v>
      </c>
      <c r="J5" s="13"/>
      <c r="K5" s="47" t="s">
        <v>54</v>
      </c>
      <c r="L5" s="48">
        <f>IFERROR(I7/(C6+I7+I8),"")</f>
        <v>0</v>
      </c>
      <c r="M5" s="13"/>
      <c r="N5" s="156" t="s">
        <v>54</v>
      </c>
      <c r="O5" s="50">
        <f>iferror(I7/L6,"")</f>
        <v>0</v>
      </c>
      <c r="P5" s="12"/>
      <c r="Q5" s="51" t="s">
        <v>55</v>
      </c>
      <c r="R5" s="52">
        <f>IFERROR(COUNTIFS(N13:N286, "partner"),"")</f>
        <v>4</v>
      </c>
      <c r="S5" s="13"/>
      <c r="T5" s="53" t="s">
        <v>56</v>
      </c>
      <c r="U5" s="54">
        <f>IFERROR(COUNTIF(H13:H286,T5),"")</f>
        <v>0</v>
      </c>
      <c r="V5" s="56"/>
    </row>
    <row r="6">
      <c r="A6" s="13"/>
      <c r="B6" s="159" t="s">
        <v>58</v>
      </c>
      <c r="C6" s="64">
        <f>IFERROR(SUM(I2:I6),"")</f>
        <v>55</v>
      </c>
      <c r="D6" s="13"/>
      <c r="E6" s="244" t="s">
        <v>525</v>
      </c>
      <c r="F6" s="248">
        <f>AVERAGE(Q13:Q104)</f>
        <v>5.962962963</v>
      </c>
      <c r="H6" s="154" t="s">
        <v>59</v>
      </c>
      <c r="I6" s="155">
        <f>IFERROR(COUNTIFS(I13:I287, "Bad Fit &amp; No Offer"),"")</f>
        <v>3</v>
      </c>
      <c r="J6" s="13"/>
      <c r="K6" s="47" t="s">
        <v>21</v>
      </c>
      <c r="L6" s="65">
        <f>IFERROR(SUM(I2:I10),"")</f>
        <v>65</v>
      </c>
      <c r="M6" s="13"/>
      <c r="N6" s="160" t="s">
        <v>29</v>
      </c>
      <c r="O6" s="50">
        <f>iferror(L7/L6,"")</f>
        <v>0.8461538462</v>
      </c>
      <c r="P6" s="12"/>
      <c r="Q6" s="51" t="s">
        <v>60</v>
      </c>
      <c r="R6" s="52">
        <f>IFERROR(COUNTIFS(N13:N286, "fear"),"")</f>
        <v>2</v>
      </c>
      <c r="S6" s="13"/>
      <c r="T6" s="53" t="s">
        <v>61</v>
      </c>
      <c r="U6" s="54">
        <f>IFERROR(COUNTIF(H13:H286,T6),"")</f>
        <v>0</v>
      </c>
      <c r="V6" s="56"/>
    </row>
    <row r="7">
      <c r="A7" s="13"/>
      <c r="B7" s="159" t="s">
        <v>63</v>
      </c>
      <c r="C7" s="67">
        <f>IFERROR(I2+I3,"")</f>
        <v>23</v>
      </c>
      <c r="D7" s="13"/>
      <c r="E7" s="244" t="s">
        <v>527</v>
      </c>
      <c r="F7" s="245">
        <f>C3/C7</f>
        <v>10391.30435</v>
      </c>
      <c r="H7" s="154" t="s">
        <v>64</v>
      </c>
      <c r="I7" s="155">
        <f>IFERROR(COUNTIFS(I13:I287, "Drag Over &amp; Show"),"")</f>
        <v>0</v>
      </c>
      <c r="J7" s="13"/>
      <c r="K7" s="47" t="s">
        <v>22</v>
      </c>
      <c r="L7" s="65">
        <f>IFERROR(SUM(I2:I7),"")</f>
        <v>55</v>
      </c>
      <c r="M7" s="13"/>
      <c r="N7" s="161" t="s">
        <v>30</v>
      </c>
      <c r="O7" s="69">
        <f>IFERROR(L8/L6,"")</f>
        <v>0.8461538462</v>
      </c>
      <c r="P7" s="12"/>
      <c r="Q7" s="70" t="s">
        <v>65</v>
      </c>
      <c r="R7" s="71">
        <f>IFERROR(COUNTIFS(N14:N287, "value"),"")</f>
        <v>3</v>
      </c>
      <c r="S7" s="13"/>
      <c r="T7" s="53" t="s">
        <v>66</v>
      </c>
      <c r="U7" s="54">
        <f>IFERROR(COUNTIF(H13:H286,T7),"")</f>
        <v>0</v>
      </c>
      <c r="V7" s="34"/>
    </row>
    <row r="8">
      <c r="A8" s="13"/>
      <c r="B8" s="159" t="s">
        <v>68</v>
      </c>
      <c r="C8" s="72">
        <f>COUNTIF(I13:I286,"offer &amp; didn't buy")+countif(I13:I286,"deposit")+countif(I13:I286,"bad fit &amp; no offer")</f>
        <v>32</v>
      </c>
      <c r="D8" s="73"/>
      <c r="E8" s="244" t="s">
        <v>529</v>
      </c>
      <c r="F8" s="245">
        <f>C4/C7</f>
        <v>3519.565217</v>
      </c>
      <c r="H8" s="154" t="s">
        <v>69</v>
      </c>
      <c r="I8" s="155">
        <f>IFERROR(COUNTIFS(I13:I287, "Rescheduled"),"")</f>
        <v>6</v>
      </c>
      <c r="J8" s="13"/>
      <c r="K8" s="47" t="s">
        <v>23</v>
      </c>
      <c r="L8" s="65">
        <f>IFERROR(SUM(I2:I6),"")</f>
        <v>55</v>
      </c>
      <c r="M8" s="34"/>
      <c r="N8" s="34"/>
      <c r="O8" s="34"/>
      <c r="P8" s="34"/>
      <c r="Q8" s="34"/>
      <c r="R8" s="75"/>
      <c r="S8" s="13"/>
      <c r="T8" s="76" t="s">
        <v>70</v>
      </c>
      <c r="U8" s="77">
        <f>IFERROR(COUNTIF(H13:H286,T8),"")</f>
        <v>0</v>
      </c>
      <c r="V8" s="34"/>
    </row>
    <row r="9">
      <c r="A9" s="13"/>
      <c r="B9" s="159" t="s">
        <v>72</v>
      </c>
      <c r="C9" s="79">
        <f>iferror(SUM(C7/C6),"")</f>
        <v>0.4181818182</v>
      </c>
      <c r="D9" s="12"/>
      <c r="E9" s="249"/>
      <c r="F9" s="250"/>
      <c r="H9" s="154" t="s">
        <v>73</v>
      </c>
      <c r="I9" s="155">
        <f>IFERROR(COUNTIFS(I13:I287, "Cancelled"),"")</f>
        <v>4</v>
      </c>
      <c r="J9" s="13"/>
      <c r="K9" s="47" t="s">
        <v>24</v>
      </c>
      <c r="L9" s="65">
        <f>IFERROR(sum(I2:I5),"")</f>
        <v>52</v>
      </c>
      <c r="M9" s="34"/>
      <c r="N9" s="34"/>
      <c r="O9" s="34"/>
      <c r="P9" s="34"/>
      <c r="Q9" s="34"/>
      <c r="R9" s="75"/>
      <c r="S9" s="34"/>
      <c r="T9" s="34"/>
      <c r="U9" s="34"/>
      <c r="V9" s="34"/>
    </row>
    <row r="10">
      <c r="A10" s="34"/>
      <c r="B10" s="34"/>
      <c r="C10" s="34"/>
      <c r="D10" s="13"/>
      <c r="E10" s="251"/>
      <c r="F10" s="252"/>
      <c r="H10" s="162" t="s">
        <v>74</v>
      </c>
      <c r="I10" s="163">
        <f>IFERROR(COUNTIFS(I13:I287, "No-Show"),"")</f>
        <v>0</v>
      </c>
      <c r="J10" s="13"/>
      <c r="K10" s="82" t="s">
        <v>75</v>
      </c>
      <c r="L10" s="83">
        <f>I2+I3</f>
        <v>23</v>
      </c>
      <c r="M10" s="34"/>
      <c r="N10" s="34"/>
      <c r="O10" s="34"/>
      <c r="P10" s="34"/>
      <c r="Q10" s="34"/>
      <c r="R10" s="75"/>
      <c r="S10" s="34"/>
      <c r="T10" s="34"/>
      <c r="U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89" t="s">
        <v>78</v>
      </c>
      <c r="F12" s="36" t="s">
        <v>79</v>
      </c>
      <c r="G12" s="34"/>
      <c r="H12" s="89" t="s">
        <v>37</v>
      </c>
      <c r="I12" s="89" t="s">
        <v>33</v>
      </c>
      <c r="J12" s="34"/>
      <c r="K12" s="89" t="s">
        <v>80</v>
      </c>
      <c r="L12" s="89" t="s">
        <v>48</v>
      </c>
      <c r="M12" s="34"/>
      <c r="N12" s="89" t="s">
        <v>81</v>
      </c>
      <c r="O12" s="90" t="s">
        <v>82</v>
      </c>
      <c r="P12" s="34"/>
      <c r="Q12" s="89" t="s">
        <v>83</v>
      </c>
      <c r="R12" s="89" t="s">
        <v>84</v>
      </c>
      <c r="S12" s="89" t="s">
        <v>85</v>
      </c>
      <c r="T12" s="89" t="s">
        <v>86</v>
      </c>
      <c r="V12" s="56"/>
    </row>
    <row r="13" ht="15.75" customHeight="1">
      <c r="A13" s="91"/>
      <c r="B13" s="166">
        <v>45992.0</v>
      </c>
      <c r="C13" s="270" t="s">
        <v>927</v>
      </c>
      <c r="D13" s="94"/>
      <c r="E13" s="127" t="s">
        <v>928</v>
      </c>
      <c r="F13" s="216" t="s">
        <v>929</v>
      </c>
      <c r="G13" s="97"/>
      <c r="H13" s="98" t="s">
        <v>90</v>
      </c>
      <c r="I13" s="99" t="s">
        <v>107</v>
      </c>
      <c r="J13" s="97"/>
      <c r="K13" s="101">
        <v>10500.0</v>
      </c>
      <c r="L13" s="101">
        <v>3000.0</v>
      </c>
      <c r="M13" s="102"/>
      <c r="N13" s="103"/>
      <c r="O13" s="104"/>
      <c r="P13" s="97"/>
      <c r="Q13" s="105">
        <v>6.0</v>
      </c>
      <c r="R13" s="107"/>
      <c r="S13" s="105" t="s">
        <v>110</v>
      </c>
      <c r="T13" s="222"/>
      <c r="U13" s="107"/>
      <c r="V13" s="108"/>
    </row>
    <row r="14" ht="15.75" customHeight="1">
      <c r="A14" s="91"/>
      <c r="B14" s="166">
        <v>45992.0</v>
      </c>
      <c r="C14" s="270" t="s">
        <v>844</v>
      </c>
      <c r="D14" s="94"/>
      <c r="E14" s="127" t="s">
        <v>845</v>
      </c>
      <c r="F14" s="216" t="s">
        <v>846</v>
      </c>
      <c r="G14" s="97"/>
      <c r="H14" s="98" t="s">
        <v>90</v>
      </c>
      <c r="I14" s="99" t="s">
        <v>107</v>
      </c>
      <c r="J14" s="97"/>
      <c r="K14" s="101">
        <v>10500.0</v>
      </c>
      <c r="L14" s="101">
        <v>3000.0</v>
      </c>
      <c r="M14" s="102"/>
      <c r="N14" s="103"/>
      <c r="O14" s="104"/>
      <c r="P14" s="97"/>
      <c r="Q14" s="105">
        <v>6.0</v>
      </c>
      <c r="R14" s="116"/>
      <c r="S14" s="105" t="s">
        <v>110</v>
      </c>
      <c r="T14" s="222"/>
      <c r="U14" s="107"/>
      <c r="V14" s="108"/>
    </row>
    <row r="15" ht="15.75" customHeight="1">
      <c r="A15" s="97"/>
      <c r="B15" s="166">
        <v>45992.0</v>
      </c>
      <c r="C15" s="272" t="s">
        <v>698</v>
      </c>
      <c r="D15" s="97"/>
      <c r="E15" s="127" t="s">
        <v>699</v>
      </c>
      <c r="F15" s="216" t="s">
        <v>700</v>
      </c>
      <c r="G15" s="97"/>
      <c r="H15" s="98" t="s">
        <v>90</v>
      </c>
      <c r="I15" s="99" t="s">
        <v>107</v>
      </c>
      <c r="J15" s="97"/>
      <c r="K15" s="101">
        <v>9000.0</v>
      </c>
      <c r="L15" s="101">
        <v>3000.0</v>
      </c>
      <c r="M15" s="102"/>
      <c r="N15" s="103"/>
      <c r="O15" s="104"/>
      <c r="P15" s="97"/>
      <c r="Q15" s="105">
        <v>5.0</v>
      </c>
      <c r="R15" s="116"/>
      <c r="S15" s="105" t="s">
        <v>110</v>
      </c>
      <c r="T15" s="111"/>
      <c r="U15" s="105"/>
      <c r="V15" s="108"/>
    </row>
    <row r="16" ht="15.75" customHeight="1">
      <c r="A16" s="97"/>
      <c r="B16" s="166">
        <v>45992.0</v>
      </c>
      <c r="C16" s="270" t="s">
        <v>1210</v>
      </c>
      <c r="D16" s="105"/>
      <c r="E16" s="127" t="s">
        <v>1211</v>
      </c>
      <c r="F16" s="216" t="s">
        <v>1212</v>
      </c>
      <c r="G16" s="97"/>
      <c r="H16" s="98" t="s">
        <v>90</v>
      </c>
      <c r="I16" s="99" t="s">
        <v>107</v>
      </c>
      <c r="J16" s="97"/>
      <c r="K16" s="101">
        <v>9000.0</v>
      </c>
      <c r="L16" s="101">
        <v>1500.0</v>
      </c>
      <c r="M16" s="102"/>
      <c r="N16" s="103"/>
      <c r="O16" s="104"/>
      <c r="P16" s="97"/>
      <c r="Q16" s="105">
        <v>6.0</v>
      </c>
      <c r="R16" s="116"/>
      <c r="S16" s="105" t="s">
        <v>110</v>
      </c>
      <c r="T16" s="117"/>
      <c r="U16" s="105"/>
      <c r="V16" s="108"/>
    </row>
    <row r="17" ht="15.75" customHeight="1">
      <c r="A17" s="97"/>
      <c r="B17" s="166">
        <v>45992.0</v>
      </c>
      <c r="C17" s="270" t="s">
        <v>1311</v>
      </c>
      <c r="D17" s="97"/>
      <c r="E17" s="127" t="s">
        <v>1312</v>
      </c>
      <c r="F17" s="216" t="s">
        <v>1313</v>
      </c>
      <c r="G17" s="97"/>
      <c r="H17" s="98" t="s">
        <v>90</v>
      </c>
      <c r="I17" s="99" t="s">
        <v>107</v>
      </c>
      <c r="J17" s="97"/>
      <c r="K17" s="101">
        <v>9000.0</v>
      </c>
      <c r="L17" s="101">
        <v>1500.0</v>
      </c>
      <c r="M17" s="102"/>
      <c r="N17" s="103"/>
      <c r="O17" s="104"/>
      <c r="P17" s="97"/>
      <c r="Q17" s="105">
        <v>6.0</v>
      </c>
      <c r="R17" s="116"/>
      <c r="S17" s="105" t="s">
        <v>110</v>
      </c>
      <c r="T17" s="105"/>
      <c r="V17" s="108"/>
    </row>
    <row r="18" ht="15.75" customHeight="1">
      <c r="A18" s="97"/>
      <c r="B18" s="166">
        <v>45992.0</v>
      </c>
      <c r="C18" s="270" t="s">
        <v>1314</v>
      </c>
      <c r="D18" s="97"/>
      <c r="E18" s="127" t="s">
        <v>1315</v>
      </c>
      <c r="F18" s="216" t="s">
        <v>1316</v>
      </c>
      <c r="G18" s="97"/>
      <c r="H18" s="98" t="s">
        <v>90</v>
      </c>
      <c r="I18" s="99" t="s">
        <v>107</v>
      </c>
      <c r="J18" s="97"/>
      <c r="K18" s="101">
        <v>9000.0</v>
      </c>
      <c r="L18" s="101">
        <v>1500.0</v>
      </c>
      <c r="M18" s="102"/>
      <c r="N18" s="124"/>
      <c r="O18" s="104"/>
      <c r="P18" s="97"/>
      <c r="Q18" s="105">
        <v>6.0</v>
      </c>
      <c r="R18" s="126"/>
      <c r="S18" s="105" t="s">
        <v>110</v>
      </c>
      <c r="T18" s="119"/>
      <c r="U18" s="97"/>
      <c r="V18" s="108"/>
    </row>
    <row r="19" ht="15.75" customHeight="1">
      <c r="A19" s="97"/>
      <c r="B19" s="166">
        <v>45992.0</v>
      </c>
      <c r="C19" s="258" t="s">
        <v>1005</v>
      </c>
      <c r="D19" s="97"/>
      <c r="E19" s="127" t="s">
        <v>1006</v>
      </c>
      <c r="F19" s="216" t="s">
        <v>1007</v>
      </c>
      <c r="G19" s="97"/>
      <c r="H19" s="98" t="s">
        <v>90</v>
      </c>
      <c r="I19" s="99" t="s">
        <v>91</v>
      </c>
      <c r="J19" s="97"/>
      <c r="K19" s="101"/>
      <c r="L19" s="101"/>
      <c r="M19" s="102"/>
      <c r="N19" s="103" t="s">
        <v>45</v>
      </c>
      <c r="O19" s="104" t="s">
        <v>1317</v>
      </c>
      <c r="P19" s="97"/>
      <c r="Q19" s="97"/>
      <c r="R19" s="126"/>
      <c r="S19" s="105" t="s">
        <v>99</v>
      </c>
      <c r="T19" s="119" t="s">
        <v>1318</v>
      </c>
      <c r="U19" s="97"/>
      <c r="V19" s="108"/>
    </row>
    <row r="20" ht="15.75" customHeight="1">
      <c r="A20" s="97"/>
      <c r="B20" s="166">
        <v>45992.0</v>
      </c>
      <c r="C20" s="258" t="s">
        <v>1303</v>
      </c>
      <c r="D20" s="97"/>
      <c r="E20" s="127" t="s">
        <v>1304</v>
      </c>
      <c r="F20" s="216" t="s">
        <v>1305</v>
      </c>
      <c r="G20" s="97"/>
      <c r="H20" s="98" t="s">
        <v>90</v>
      </c>
      <c r="I20" s="99" t="s">
        <v>98</v>
      </c>
      <c r="J20" s="97"/>
      <c r="K20" s="114"/>
      <c r="L20" s="114"/>
      <c r="M20" s="102"/>
      <c r="N20" s="124"/>
      <c r="O20" s="104"/>
      <c r="P20" s="97"/>
      <c r="Q20" s="97"/>
      <c r="R20" s="126"/>
      <c r="S20" s="105"/>
      <c r="T20" s="119"/>
      <c r="U20" s="97"/>
      <c r="V20" s="108"/>
    </row>
    <row r="21" ht="15.75" customHeight="1">
      <c r="A21" s="91"/>
      <c r="B21" s="166">
        <v>45993.0</v>
      </c>
      <c r="C21" s="270" t="s">
        <v>1215</v>
      </c>
      <c r="D21" s="97"/>
      <c r="E21" s="127" t="s">
        <v>1216</v>
      </c>
      <c r="F21" s="216" t="s">
        <v>1217</v>
      </c>
      <c r="G21" s="97"/>
      <c r="H21" s="98" t="s">
        <v>90</v>
      </c>
      <c r="I21" s="99" t="s">
        <v>107</v>
      </c>
      <c r="J21" s="97"/>
      <c r="K21" s="101">
        <v>10500.0</v>
      </c>
      <c r="L21" s="101">
        <v>3000.0</v>
      </c>
      <c r="M21" s="102"/>
      <c r="N21" s="124"/>
      <c r="O21" s="104"/>
      <c r="P21" s="97"/>
      <c r="Q21" s="105">
        <v>6.0</v>
      </c>
      <c r="R21" s="165"/>
      <c r="S21" s="105" t="s">
        <v>110</v>
      </c>
      <c r="T21" s="105"/>
      <c r="V21" s="108"/>
    </row>
    <row r="22" ht="15.75" customHeight="1">
      <c r="A22" s="91"/>
      <c r="B22" s="166">
        <v>45993.0</v>
      </c>
      <c r="C22" s="258" t="s">
        <v>1319</v>
      </c>
      <c r="D22" s="97"/>
      <c r="E22" s="127" t="s">
        <v>1320</v>
      </c>
      <c r="F22" s="216" t="s">
        <v>1321</v>
      </c>
      <c r="G22" s="97"/>
      <c r="H22" s="98" t="s">
        <v>90</v>
      </c>
      <c r="I22" s="99" t="s">
        <v>91</v>
      </c>
      <c r="J22" s="97"/>
      <c r="K22" s="114"/>
      <c r="L22" s="114"/>
      <c r="M22" s="102"/>
      <c r="N22" s="103" t="s">
        <v>50</v>
      </c>
      <c r="O22" s="104" t="s">
        <v>1322</v>
      </c>
      <c r="P22" s="97"/>
      <c r="Q22" s="105"/>
      <c r="R22" s="126"/>
      <c r="S22" s="105" t="s">
        <v>99</v>
      </c>
      <c r="T22" s="105" t="s">
        <v>1323</v>
      </c>
      <c r="V22" s="108"/>
    </row>
    <row r="23" ht="15.75" customHeight="1">
      <c r="A23" s="91"/>
      <c r="B23" s="166">
        <v>45993.0</v>
      </c>
      <c r="C23" s="258" t="s">
        <v>1324</v>
      </c>
      <c r="D23" s="97"/>
      <c r="E23" s="127" t="s">
        <v>1325</v>
      </c>
      <c r="F23" s="216" t="s">
        <v>1326</v>
      </c>
      <c r="G23" s="97"/>
      <c r="H23" s="98" t="s">
        <v>90</v>
      </c>
      <c r="I23" s="105" t="s">
        <v>91</v>
      </c>
      <c r="J23" s="97"/>
      <c r="K23" s="101"/>
      <c r="L23" s="101"/>
      <c r="M23" s="102"/>
      <c r="N23" s="103" t="s">
        <v>55</v>
      </c>
      <c r="O23" s="104" t="s">
        <v>1327</v>
      </c>
      <c r="P23" s="97"/>
      <c r="Q23" s="115"/>
      <c r="R23" s="107"/>
      <c r="S23" s="105" t="s">
        <v>99</v>
      </c>
      <c r="T23" s="105" t="s">
        <v>1328</v>
      </c>
      <c r="V23" s="108"/>
    </row>
    <row r="24" ht="15.75" customHeight="1">
      <c r="A24" s="91"/>
      <c r="B24" s="166">
        <v>45993.0</v>
      </c>
      <c r="C24" s="258" t="s">
        <v>1329</v>
      </c>
      <c r="D24" s="97"/>
      <c r="E24" s="127" t="s">
        <v>1330</v>
      </c>
      <c r="F24" s="216" t="s">
        <v>1331</v>
      </c>
      <c r="G24" s="97"/>
      <c r="H24" s="98" t="s">
        <v>90</v>
      </c>
      <c r="I24" s="105" t="s">
        <v>149</v>
      </c>
      <c r="J24" s="97"/>
      <c r="K24" s="114"/>
      <c r="L24" s="114"/>
      <c r="M24" s="102"/>
      <c r="N24" s="103" t="s">
        <v>65</v>
      </c>
      <c r="O24" s="104" t="s">
        <v>1332</v>
      </c>
      <c r="P24" s="97"/>
      <c r="Q24" s="97"/>
      <c r="R24" s="126"/>
      <c r="S24" s="105" t="s">
        <v>99</v>
      </c>
      <c r="T24" s="105" t="s">
        <v>1333</v>
      </c>
      <c r="V24" s="108"/>
    </row>
    <row r="25" ht="15.75" customHeight="1">
      <c r="A25" s="91"/>
      <c r="B25" s="166">
        <v>45994.0</v>
      </c>
      <c r="C25" s="270" t="s">
        <v>1334</v>
      </c>
      <c r="D25" s="97"/>
      <c r="E25" s="127" t="s">
        <v>1335</v>
      </c>
      <c r="F25" s="216" t="s">
        <v>1336</v>
      </c>
      <c r="G25" s="97"/>
      <c r="H25" s="98" t="s">
        <v>90</v>
      </c>
      <c r="I25" s="105" t="s">
        <v>178</v>
      </c>
      <c r="J25" s="97"/>
      <c r="K25" s="101">
        <v>9000.0</v>
      </c>
      <c r="L25" s="101">
        <v>9000.0</v>
      </c>
      <c r="M25" s="102"/>
      <c r="N25" s="103"/>
      <c r="O25" s="104"/>
      <c r="P25" s="97"/>
      <c r="Q25" s="105">
        <v>6.0</v>
      </c>
      <c r="R25" s="107"/>
      <c r="S25" s="105" t="s">
        <v>110</v>
      </c>
      <c r="T25" s="105" t="s">
        <v>1337</v>
      </c>
      <c r="V25" s="108"/>
    </row>
    <row r="26" ht="15.75" customHeight="1">
      <c r="A26" s="91"/>
      <c r="B26" s="166">
        <v>45994.0</v>
      </c>
      <c r="C26" s="258" t="s">
        <v>758</v>
      </c>
      <c r="D26" s="97"/>
      <c r="E26" s="127" t="s">
        <v>759</v>
      </c>
      <c r="F26" s="216" t="s">
        <v>760</v>
      </c>
      <c r="G26" s="97"/>
      <c r="H26" s="98" t="s">
        <v>90</v>
      </c>
      <c r="I26" s="105" t="s">
        <v>333</v>
      </c>
      <c r="J26" s="97"/>
      <c r="K26" s="114"/>
      <c r="L26" s="114"/>
      <c r="M26" s="102"/>
      <c r="N26" s="103" t="s">
        <v>45</v>
      </c>
      <c r="O26" s="104" t="s">
        <v>1338</v>
      </c>
      <c r="P26" s="97"/>
      <c r="Q26" s="115"/>
      <c r="R26" s="107"/>
      <c r="S26" s="105" t="s">
        <v>110</v>
      </c>
      <c r="T26" s="105" t="s">
        <v>1339</v>
      </c>
      <c r="V26" s="108"/>
    </row>
    <row r="27" ht="15.75" customHeight="1">
      <c r="A27" s="91"/>
      <c r="B27" s="166">
        <v>45994.0</v>
      </c>
      <c r="C27" s="273" t="s">
        <v>1340</v>
      </c>
      <c r="D27" s="97"/>
      <c r="E27" s="165" t="s">
        <v>1341</v>
      </c>
      <c r="F27" s="208" t="s">
        <v>1342</v>
      </c>
      <c r="G27" s="97"/>
      <c r="H27" s="98" t="s">
        <v>90</v>
      </c>
      <c r="I27" s="105" t="s">
        <v>107</v>
      </c>
      <c r="J27" s="97"/>
      <c r="K27" s="101">
        <v>9000.0</v>
      </c>
      <c r="L27" s="101">
        <v>1500.0</v>
      </c>
      <c r="M27" s="102"/>
      <c r="N27" s="124"/>
      <c r="O27" s="125"/>
      <c r="P27" s="97"/>
      <c r="Q27" s="105">
        <v>6.0</v>
      </c>
      <c r="R27" s="126"/>
      <c r="S27" s="105" t="s">
        <v>110</v>
      </c>
      <c r="T27" s="97"/>
      <c r="V27" s="108"/>
    </row>
    <row r="28" ht="15.75" customHeight="1">
      <c r="A28" s="91"/>
      <c r="B28" s="166">
        <v>45995.0</v>
      </c>
      <c r="C28" s="258" t="s">
        <v>1343</v>
      </c>
      <c r="D28" s="97"/>
      <c r="E28" s="127" t="s">
        <v>1344</v>
      </c>
      <c r="F28" s="216" t="s">
        <v>1345</v>
      </c>
      <c r="G28" s="97"/>
      <c r="H28" s="98" t="s">
        <v>90</v>
      </c>
      <c r="I28" s="105" t="s">
        <v>91</v>
      </c>
      <c r="J28" s="97"/>
      <c r="K28" s="114"/>
      <c r="L28" s="114"/>
      <c r="M28" s="102"/>
      <c r="N28" s="103" t="s">
        <v>55</v>
      </c>
      <c r="O28" s="104" t="s">
        <v>1346</v>
      </c>
      <c r="P28" s="97"/>
      <c r="Q28" s="115"/>
      <c r="R28" s="116"/>
      <c r="S28" s="105" t="s">
        <v>99</v>
      </c>
      <c r="T28" s="105" t="s">
        <v>1347</v>
      </c>
      <c r="V28" s="108"/>
    </row>
    <row r="29" ht="15.75" customHeight="1">
      <c r="A29" s="91"/>
      <c r="B29" s="166">
        <v>45995.0</v>
      </c>
      <c r="C29" s="258" t="s">
        <v>1348</v>
      </c>
      <c r="D29" s="97"/>
      <c r="E29" s="127" t="s">
        <v>1349</v>
      </c>
      <c r="F29" s="216" t="s">
        <v>1350</v>
      </c>
      <c r="G29" s="97"/>
      <c r="H29" s="98" t="s">
        <v>90</v>
      </c>
      <c r="I29" s="105" t="s">
        <v>91</v>
      </c>
      <c r="J29" s="97"/>
      <c r="K29" s="101"/>
      <c r="L29" s="101"/>
      <c r="M29" s="102"/>
      <c r="N29" s="103" t="s">
        <v>45</v>
      </c>
      <c r="O29" s="104" t="s">
        <v>1351</v>
      </c>
      <c r="P29" s="97"/>
      <c r="Q29" s="97"/>
      <c r="R29" s="126"/>
      <c r="S29" s="105" t="s">
        <v>570</v>
      </c>
      <c r="T29" s="105" t="s">
        <v>1352</v>
      </c>
      <c r="V29" s="108"/>
    </row>
    <row r="30" ht="15.75" customHeight="1">
      <c r="A30" s="91"/>
      <c r="B30" s="166">
        <v>45995.0</v>
      </c>
      <c r="C30" s="270" t="s">
        <v>1353</v>
      </c>
      <c r="D30" s="97"/>
      <c r="E30" s="165" t="s">
        <v>1354</v>
      </c>
      <c r="F30" s="219"/>
      <c r="G30" s="97"/>
      <c r="H30" s="98"/>
      <c r="I30" s="105" t="s">
        <v>178</v>
      </c>
      <c r="J30" s="97"/>
      <c r="K30" s="101">
        <v>8000.0</v>
      </c>
      <c r="L30" s="101">
        <v>8000.0</v>
      </c>
      <c r="M30" s="102"/>
      <c r="N30" s="124"/>
      <c r="O30" s="125"/>
      <c r="P30" s="97"/>
      <c r="Q30" s="105">
        <v>6.0</v>
      </c>
      <c r="R30" s="126"/>
      <c r="S30" s="105" t="s">
        <v>110</v>
      </c>
      <c r="T30" s="97"/>
      <c r="V30" s="108"/>
    </row>
    <row r="31" ht="15.75" customHeight="1">
      <c r="A31" s="91"/>
      <c r="B31" s="166">
        <v>45998.0</v>
      </c>
      <c r="C31" s="258" t="s">
        <v>1355</v>
      </c>
      <c r="D31" s="97"/>
      <c r="E31" s="127" t="s">
        <v>1356</v>
      </c>
      <c r="F31" s="216" t="s">
        <v>1357</v>
      </c>
      <c r="G31" s="97"/>
      <c r="H31" s="98" t="s">
        <v>90</v>
      </c>
      <c r="I31" s="105" t="s">
        <v>91</v>
      </c>
      <c r="J31" s="97"/>
      <c r="K31" s="101"/>
      <c r="L31" s="101"/>
      <c r="M31" s="102"/>
      <c r="N31" s="103" t="s">
        <v>143</v>
      </c>
      <c r="O31" s="104" t="s">
        <v>1358</v>
      </c>
      <c r="P31" s="97"/>
      <c r="Q31" s="115"/>
      <c r="R31" s="107"/>
      <c r="S31" s="105" t="s">
        <v>99</v>
      </c>
      <c r="T31" s="105" t="s">
        <v>1359</v>
      </c>
      <c r="V31" s="108"/>
    </row>
    <row r="32" ht="15.75" customHeight="1">
      <c r="A32" s="91"/>
      <c r="B32" s="166">
        <v>45998.0</v>
      </c>
      <c r="C32" s="258" t="s">
        <v>1360</v>
      </c>
      <c r="D32" s="97"/>
      <c r="E32" s="127" t="s">
        <v>1361</v>
      </c>
      <c r="F32" s="127" t="s">
        <v>1362</v>
      </c>
      <c r="G32" s="97"/>
      <c r="H32" s="98" t="s">
        <v>90</v>
      </c>
      <c r="I32" s="105" t="s">
        <v>91</v>
      </c>
      <c r="J32" s="97"/>
      <c r="K32" s="114"/>
      <c r="L32" s="114"/>
      <c r="M32" s="102"/>
      <c r="N32" s="103" t="s">
        <v>45</v>
      </c>
      <c r="O32" s="104" t="s">
        <v>1363</v>
      </c>
      <c r="P32" s="97"/>
      <c r="Q32" s="97"/>
      <c r="R32" s="126"/>
      <c r="S32" s="105" t="s">
        <v>99</v>
      </c>
      <c r="T32" s="105" t="s">
        <v>1364</v>
      </c>
      <c r="V32" s="108"/>
    </row>
    <row r="33" ht="15.75" customHeight="1">
      <c r="A33" s="91"/>
      <c r="B33" s="166">
        <v>45998.0</v>
      </c>
      <c r="C33" s="258" t="s">
        <v>1365</v>
      </c>
      <c r="D33" s="97"/>
      <c r="E33" s="127" t="s">
        <v>1366</v>
      </c>
      <c r="F33" s="216" t="s">
        <v>1367</v>
      </c>
      <c r="G33" s="97"/>
      <c r="H33" s="98" t="s">
        <v>90</v>
      </c>
      <c r="I33" s="105" t="s">
        <v>175</v>
      </c>
      <c r="J33" s="97"/>
      <c r="K33" s="101"/>
      <c r="L33" s="101"/>
      <c r="M33" s="102"/>
      <c r="N33" s="103"/>
      <c r="O33" s="104"/>
      <c r="P33" s="97"/>
      <c r="Q33" s="115"/>
      <c r="R33" s="107"/>
      <c r="S33" s="105"/>
      <c r="T33" s="105"/>
      <c r="V33" s="108"/>
    </row>
    <row r="34" ht="15.75" customHeight="1">
      <c r="A34" s="91"/>
      <c r="B34" s="166">
        <v>45998.0</v>
      </c>
      <c r="C34" s="258" t="s">
        <v>1368</v>
      </c>
      <c r="D34" s="97"/>
      <c r="E34" s="127" t="s">
        <v>1369</v>
      </c>
      <c r="F34" s="216" t="s">
        <v>1370</v>
      </c>
      <c r="G34" s="97"/>
      <c r="H34" s="98" t="s">
        <v>90</v>
      </c>
      <c r="I34" s="105" t="s">
        <v>333</v>
      </c>
      <c r="J34" s="97"/>
      <c r="K34" s="101">
        <v>9000.0</v>
      </c>
      <c r="L34" s="101">
        <v>1500.0</v>
      </c>
      <c r="M34" s="102"/>
      <c r="N34" s="124"/>
      <c r="O34" s="125"/>
      <c r="P34" s="97"/>
      <c r="Q34" s="105">
        <v>6.0</v>
      </c>
      <c r="R34" s="126"/>
      <c r="S34" s="105" t="s">
        <v>110</v>
      </c>
      <c r="T34" s="105" t="s">
        <v>1371</v>
      </c>
      <c r="V34" s="108"/>
    </row>
    <row r="35" ht="15.75" customHeight="1">
      <c r="A35" s="91"/>
      <c r="B35" s="166">
        <v>45998.0</v>
      </c>
      <c r="C35" s="258" t="s">
        <v>1372</v>
      </c>
      <c r="D35" s="97"/>
      <c r="E35" s="127" t="s">
        <v>1373</v>
      </c>
      <c r="F35" s="216" t="s">
        <v>1374</v>
      </c>
      <c r="G35" s="97"/>
      <c r="H35" s="98" t="s">
        <v>90</v>
      </c>
      <c r="I35" s="105" t="s">
        <v>91</v>
      </c>
      <c r="J35" s="97"/>
      <c r="K35" s="101"/>
      <c r="L35" s="101"/>
      <c r="M35" s="102"/>
      <c r="N35" s="103" t="s">
        <v>45</v>
      </c>
      <c r="O35" s="104" t="s">
        <v>1375</v>
      </c>
      <c r="P35" s="97"/>
      <c r="Q35" s="97"/>
      <c r="R35" s="126"/>
      <c r="S35" s="105" t="s">
        <v>99</v>
      </c>
      <c r="T35" s="105" t="s">
        <v>1376</v>
      </c>
      <c r="V35" s="108"/>
    </row>
    <row r="36" ht="15.75" customHeight="1">
      <c r="A36" s="91"/>
      <c r="B36" s="166">
        <v>45999.0</v>
      </c>
      <c r="C36" s="258" t="s">
        <v>1377</v>
      </c>
      <c r="D36" s="97"/>
      <c r="E36" s="127" t="s">
        <v>1378</v>
      </c>
      <c r="F36" s="216" t="s">
        <v>1379</v>
      </c>
      <c r="G36" s="97"/>
      <c r="H36" s="98" t="s">
        <v>90</v>
      </c>
      <c r="I36" s="105" t="s">
        <v>91</v>
      </c>
      <c r="J36" s="97"/>
      <c r="K36" s="114"/>
      <c r="L36" s="114"/>
      <c r="M36" s="102"/>
      <c r="N36" s="103" t="s">
        <v>45</v>
      </c>
      <c r="O36" s="104" t="s">
        <v>1380</v>
      </c>
      <c r="P36" s="97"/>
      <c r="Q36" s="97"/>
      <c r="R36" s="126"/>
      <c r="S36" s="105" t="s">
        <v>93</v>
      </c>
      <c r="T36" s="105" t="s">
        <v>1381</v>
      </c>
      <c r="V36" s="108"/>
    </row>
    <row r="37" ht="15.75" customHeight="1">
      <c r="A37" s="91"/>
      <c r="B37" s="166">
        <v>45999.0</v>
      </c>
      <c r="C37" s="258" t="s">
        <v>1382</v>
      </c>
      <c r="D37" s="97"/>
      <c r="E37" s="274" t="s">
        <v>1383</v>
      </c>
      <c r="F37" s="216" t="s">
        <v>1384</v>
      </c>
      <c r="G37" s="97"/>
      <c r="H37" s="98" t="s">
        <v>90</v>
      </c>
      <c r="I37" s="105" t="s">
        <v>91</v>
      </c>
      <c r="J37" s="97"/>
      <c r="K37" s="101"/>
      <c r="L37" s="101"/>
      <c r="M37" s="102"/>
      <c r="N37" s="103" t="s">
        <v>60</v>
      </c>
      <c r="O37" s="104" t="s">
        <v>1385</v>
      </c>
      <c r="P37" s="97"/>
      <c r="Q37" s="115"/>
      <c r="R37" s="107"/>
      <c r="S37" s="105" t="s">
        <v>93</v>
      </c>
      <c r="T37" s="105" t="s">
        <v>1386</v>
      </c>
      <c r="V37" s="108"/>
    </row>
    <row r="38" ht="15.75" customHeight="1">
      <c r="A38" s="91"/>
      <c r="B38" s="166">
        <v>45999.0</v>
      </c>
      <c r="C38" s="258" t="s">
        <v>1387</v>
      </c>
      <c r="D38" s="97"/>
      <c r="E38" s="127" t="s">
        <v>1388</v>
      </c>
      <c r="F38" s="216" t="s">
        <v>1389</v>
      </c>
      <c r="G38" s="97"/>
      <c r="H38" s="98" t="s">
        <v>90</v>
      </c>
      <c r="I38" s="105" t="s">
        <v>149</v>
      </c>
      <c r="J38" s="97"/>
      <c r="K38" s="114"/>
      <c r="L38" s="114"/>
      <c r="M38" s="102"/>
      <c r="N38" s="103" t="s">
        <v>65</v>
      </c>
      <c r="O38" s="104" t="s">
        <v>1390</v>
      </c>
      <c r="P38" s="97"/>
      <c r="Q38" s="130"/>
      <c r="R38" s="107"/>
      <c r="S38" s="105" t="s">
        <v>93</v>
      </c>
      <c r="T38" s="188" t="s">
        <v>1391</v>
      </c>
      <c r="V38" s="108"/>
    </row>
    <row r="39" ht="15.75" customHeight="1">
      <c r="A39" s="91"/>
      <c r="B39" s="166">
        <v>45999.0</v>
      </c>
      <c r="C39" s="258" t="s">
        <v>1392</v>
      </c>
      <c r="D39" s="97"/>
      <c r="E39" s="127" t="s">
        <v>1393</v>
      </c>
      <c r="F39" s="211" t="s">
        <v>1394</v>
      </c>
      <c r="G39" s="97"/>
      <c r="H39" s="98" t="s">
        <v>90</v>
      </c>
      <c r="I39" s="105" t="s">
        <v>333</v>
      </c>
      <c r="J39" s="97"/>
      <c r="K39" s="101"/>
      <c r="L39" s="101"/>
      <c r="M39" s="102"/>
      <c r="N39" s="103" t="s">
        <v>50</v>
      </c>
      <c r="O39" s="104" t="s">
        <v>1395</v>
      </c>
      <c r="P39" s="97"/>
      <c r="Q39" s="105">
        <v>6.0</v>
      </c>
      <c r="R39" s="107"/>
      <c r="S39" s="105" t="s">
        <v>335</v>
      </c>
      <c r="T39" s="105" t="s">
        <v>1396</v>
      </c>
      <c r="V39" s="108"/>
    </row>
    <row r="40" ht="15.75" customHeight="1">
      <c r="A40" s="91"/>
      <c r="B40" s="166">
        <v>46000.0</v>
      </c>
      <c r="C40" s="258" t="s">
        <v>1397</v>
      </c>
      <c r="D40" s="97"/>
      <c r="E40" s="127" t="s">
        <v>1398</v>
      </c>
      <c r="F40" s="216" t="s">
        <v>1399</v>
      </c>
      <c r="G40" s="97"/>
      <c r="H40" s="98" t="s">
        <v>90</v>
      </c>
      <c r="I40" s="105" t="s">
        <v>333</v>
      </c>
      <c r="J40" s="97"/>
      <c r="K40" s="114"/>
      <c r="L40" s="114"/>
      <c r="M40" s="102"/>
      <c r="N40" s="103" t="s">
        <v>50</v>
      </c>
      <c r="O40" s="104" t="s">
        <v>1400</v>
      </c>
      <c r="P40" s="97"/>
      <c r="Q40" s="105">
        <v>6.0</v>
      </c>
      <c r="R40" s="107"/>
      <c r="S40" s="105" t="s">
        <v>335</v>
      </c>
      <c r="T40" s="105" t="s">
        <v>1401</v>
      </c>
      <c r="V40" s="108"/>
    </row>
    <row r="41" ht="15.75" customHeight="1">
      <c r="A41" s="91"/>
      <c r="B41" s="166">
        <v>46001.0</v>
      </c>
      <c r="C41" s="270" t="s">
        <v>1402</v>
      </c>
      <c r="D41" s="97"/>
      <c r="E41" s="127" t="s">
        <v>1403</v>
      </c>
      <c r="F41" s="216" t="s">
        <v>1399</v>
      </c>
      <c r="G41" s="97"/>
      <c r="H41" s="98" t="s">
        <v>90</v>
      </c>
      <c r="I41" s="105" t="s">
        <v>107</v>
      </c>
      <c r="J41" s="97"/>
      <c r="K41" s="101">
        <v>10500.0</v>
      </c>
      <c r="L41" s="101">
        <v>3000.0</v>
      </c>
      <c r="M41" s="102"/>
      <c r="N41" s="124"/>
      <c r="O41" s="125"/>
      <c r="P41" s="97"/>
      <c r="Q41" s="105">
        <v>6.0</v>
      </c>
      <c r="R41" s="126"/>
      <c r="S41" s="105" t="s">
        <v>110</v>
      </c>
      <c r="T41" s="97"/>
      <c r="V41" s="108"/>
    </row>
    <row r="42" ht="15.75" customHeight="1">
      <c r="A42" s="91"/>
      <c r="B42" s="166">
        <v>46001.0</v>
      </c>
      <c r="C42" s="270" t="s">
        <v>1404</v>
      </c>
      <c r="D42" s="97"/>
      <c r="E42" s="127" t="s">
        <v>1405</v>
      </c>
      <c r="F42" s="216" t="s">
        <v>1406</v>
      </c>
      <c r="G42" s="97"/>
      <c r="H42" s="98" t="s">
        <v>90</v>
      </c>
      <c r="I42" s="105" t="s">
        <v>178</v>
      </c>
      <c r="J42" s="97"/>
      <c r="K42" s="101">
        <v>9000.0</v>
      </c>
      <c r="L42" s="101">
        <v>9000.0</v>
      </c>
      <c r="M42" s="102"/>
      <c r="N42" s="103" t="s">
        <v>143</v>
      </c>
      <c r="O42" s="104" t="s">
        <v>1407</v>
      </c>
      <c r="P42" s="97"/>
      <c r="Q42" s="105">
        <v>6.0</v>
      </c>
      <c r="R42" s="107"/>
      <c r="S42" s="105" t="s">
        <v>110</v>
      </c>
      <c r="T42" s="105" t="s">
        <v>1408</v>
      </c>
      <c r="V42" s="108"/>
    </row>
    <row r="43" ht="15.75" customHeight="1">
      <c r="A43" s="91"/>
      <c r="B43" s="166">
        <v>46001.0</v>
      </c>
      <c r="C43" s="258" t="s">
        <v>1409</v>
      </c>
      <c r="D43" s="97"/>
      <c r="E43" s="127" t="s">
        <v>1410</v>
      </c>
      <c r="F43" s="216" t="s">
        <v>1411</v>
      </c>
      <c r="G43" s="97"/>
      <c r="H43" s="98" t="s">
        <v>90</v>
      </c>
      <c r="I43" s="105" t="s">
        <v>91</v>
      </c>
      <c r="J43" s="97"/>
      <c r="K43" s="97"/>
      <c r="L43" s="101"/>
      <c r="M43" s="102"/>
      <c r="N43" s="103" t="s">
        <v>45</v>
      </c>
      <c r="O43" s="104" t="s">
        <v>1412</v>
      </c>
      <c r="P43" s="97"/>
      <c r="Q43" s="131"/>
      <c r="R43" s="126"/>
      <c r="S43" s="105" t="s">
        <v>99</v>
      </c>
      <c r="T43" s="105" t="s">
        <v>1413</v>
      </c>
      <c r="V43" s="108"/>
    </row>
    <row r="44" ht="15.75" customHeight="1">
      <c r="A44" s="91"/>
      <c r="B44" s="166">
        <v>46002.0</v>
      </c>
      <c r="C44" s="254" t="s">
        <v>1414</v>
      </c>
      <c r="D44" s="97"/>
      <c r="E44" s="167" t="s">
        <v>1415</v>
      </c>
      <c r="F44" s="216" t="s">
        <v>1416</v>
      </c>
      <c r="G44" s="97"/>
      <c r="H44" s="98" t="s">
        <v>97</v>
      </c>
      <c r="I44" s="105" t="s">
        <v>333</v>
      </c>
      <c r="J44" s="97"/>
      <c r="K44" s="101"/>
      <c r="L44" s="101">
        <v>700.0</v>
      </c>
      <c r="M44" s="102"/>
      <c r="N44" s="103" t="s">
        <v>45</v>
      </c>
      <c r="O44" s="104" t="s">
        <v>1417</v>
      </c>
      <c r="P44" s="97"/>
      <c r="Q44" s="105">
        <v>6.0</v>
      </c>
      <c r="R44" s="126"/>
      <c r="S44" s="105" t="s">
        <v>335</v>
      </c>
      <c r="T44" s="105" t="s">
        <v>1418</v>
      </c>
      <c r="V44" s="108"/>
    </row>
    <row r="45" ht="15.75" customHeight="1">
      <c r="A45" s="91"/>
      <c r="B45" s="166">
        <v>46002.0</v>
      </c>
      <c r="C45" s="258" t="s">
        <v>1303</v>
      </c>
      <c r="D45" s="97"/>
      <c r="E45" s="127" t="s">
        <v>1304</v>
      </c>
      <c r="F45" s="216" t="s">
        <v>1419</v>
      </c>
      <c r="G45" s="97"/>
      <c r="H45" s="98" t="s">
        <v>90</v>
      </c>
      <c r="I45" s="105" t="s">
        <v>175</v>
      </c>
      <c r="J45" s="97"/>
      <c r="K45" s="101"/>
      <c r="L45" s="101"/>
      <c r="M45" s="102"/>
      <c r="N45" s="124"/>
      <c r="O45" s="125"/>
      <c r="P45" s="97"/>
      <c r="Q45" s="97"/>
      <c r="R45" s="126"/>
      <c r="S45" s="105" t="s">
        <v>570</v>
      </c>
      <c r="T45" s="97"/>
      <c r="V45" s="108"/>
    </row>
    <row r="46" ht="15.75" customHeight="1">
      <c r="A46" s="91"/>
      <c r="B46" s="166">
        <v>46002.0</v>
      </c>
      <c r="C46" s="270" t="s">
        <v>1420</v>
      </c>
      <c r="D46" s="97"/>
      <c r="E46" s="127" t="s">
        <v>1421</v>
      </c>
      <c r="F46" s="216" t="s">
        <v>1422</v>
      </c>
      <c r="G46" s="97"/>
      <c r="H46" s="98" t="s">
        <v>90</v>
      </c>
      <c r="I46" s="105" t="s">
        <v>107</v>
      </c>
      <c r="J46" s="97"/>
      <c r="K46" s="101">
        <v>9000.0</v>
      </c>
      <c r="L46" s="101">
        <v>1500.0</v>
      </c>
      <c r="M46" s="102"/>
      <c r="N46" s="124"/>
      <c r="O46" s="125"/>
      <c r="P46" s="97"/>
      <c r="Q46" s="105">
        <v>6.0</v>
      </c>
      <c r="R46" s="126"/>
      <c r="S46" s="105" t="s">
        <v>110</v>
      </c>
      <c r="T46" s="97"/>
      <c r="V46" s="108"/>
    </row>
    <row r="47" ht="15.75" customHeight="1">
      <c r="A47" s="91"/>
      <c r="B47" s="166">
        <v>46003.0</v>
      </c>
      <c r="C47" s="258" t="s">
        <v>1423</v>
      </c>
      <c r="D47" s="97"/>
      <c r="E47" s="127" t="s">
        <v>1424</v>
      </c>
      <c r="F47" s="216" t="s">
        <v>1425</v>
      </c>
      <c r="G47" s="97"/>
      <c r="H47" s="98" t="s">
        <v>90</v>
      </c>
      <c r="I47" s="105" t="s">
        <v>91</v>
      </c>
      <c r="J47" s="97"/>
      <c r="K47" s="101"/>
      <c r="L47" s="101"/>
      <c r="M47" s="102"/>
      <c r="N47" s="103" t="s">
        <v>45</v>
      </c>
      <c r="O47" s="104" t="s">
        <v>1426</v>
      </c>
      <c r="P47" s="97"/>
      <c r="Q47" s="115"/>
      <c r="R47" s="116"/>
      <c r="S47" s="105" t="s">
        <v>99</v>
      </c>
      <c r="T47" s="105" t="s">
        <v>1427</v>
      </c>
      <c r="V47" s="108"/>
    </row>
    <row r="48" ht="15.75" customHeight="1">
      <c r="A48" s="91"/>
      <c r="B48" s="166">
        <v>46003.0</v>
      </c>
      <c r="C48" s="258" t="s">
        <v>1428</v>
      </c>
      <c r="D48" s="97"/>
      <c r="E48" s="127" t="s">
        <v>1429</v>
      </c>
      <c r="F48" s="216" t="s">
        <v>1430</v>
      </c>
      <c r="G48" s="97"/>
      <c r="H48" s="98" t="s">
        <v>90</v>
      </c>
      <c r="I48" s="105" t="s">
        <v>91</v>
      </c>
      <c r="J48" s="97"/>
      <c r="K48" s="114"/>
      <c r="L48" s="114"/>
      <c r="M48" s="102"/>
      <c r="N48" s="103" t="s">
        <v>55</v>
      </c>
      <c r="O48" s="104" t="s">
        <v>1431</v>
      </c>
      <c r="P48" s="97"/>
      <c r="Q48" s="130"/>
      <c r="R48" s="107"/>
      <c r="S48" s="105" t="s">
        <v>93</v>
      </c>
      <c r="T48" s="105" t="s">
        <v>1432</v>
      </c>
      <c r="V48" s="108"/>
    </row>
    <row r="49" ht="15.75" customHeight="1">
      <c r="A49" s="91"/>
      <c r="B49" s="166">
        <v>46003.0</v>
      </c>
      <c r="C49" s="270" t="s">
        <v>1433</v>
      </c>
      <c r="D49" s="97"/>
      <c r="E49" s="127" t="s">
        <v>1434</v>
      </c>
      <c r="F49" s="216" t="s">
        <v>1435</v>
      </c>
      <c r="G49" s="97"/>
      <c r="H49" s="98" t="s">
        <v>90</v>
      </c>
      <c r="I49" s="105" t="s">
        <v>107</v>
      </c>
      <c r="J49" s="97"/>
      <c r="K49" s="101">
        <v>10500.0</v>
      </c>
      <c r="L49" s="101">
        <v>3000.0</v>
      </c>
      <c r="M49" s="102"/>
      <c r="N49" s="103"/>
      <c r="O49" s="104"/>
      <c r="P49" s="97"/>
      <c r="Q49" s="105">
        <v>6.0</v>
      </c>
      <c r="R49" s="107"/>
      <c r="S49" s="105" t="s">
        <v>110</v>
      </c>
      <c r="T49" s="105"/>
      <c r="V49" s="108"/>
    </row>
    <row r="50" ht="15.75" customHeight="1">
      <c r="A50" s="91"/>
      <c r="B50" s="166">
        <v>46003.0</v>
      </c>
      <c r="C50" s="275" t="s">
        <v>1436</v>
      </c>
      <c r="D50" s="97"/>
      <c r="E50" s="127" t="s">
        <v>1437</v>
      </c>
      <c r="F50" s="216" t="s">
        <v>1438</v>
      </c>
      <c r="G50" s="97"/>
      <c r="H50" s="98" t="s">
        <v>90</v>
      </c>
      <c r="I50" s="105" t="s">
        <v>107</v>
      </c>
      <c r="J50" s="97"/>
      <c r="K50" s="101">
        <v>10500.0</v>
      </c>
      <c r="L50" s="101">
        <v>3000.0</v>
      </c>
      <c r="M50" s="102"/>
      <c r="N50" s="124"/>
      <c r="O50" s="125"/>
      <c r="P50" s="97"/>
      <c r="Q50" s="105">
        <v>6.0</v>
      </c>
      <c r="R50" s="126"/>
      <c r="S50" s="105" t="s">
        <v>110</v>
      </c>
      <c r="T50" s="105" t="s">
        <v>1439</v>
      </c>
      <c r="V50" s="108"/>
    </row>
    <row r="51" ht="15.75" customHeight="1">
      <c r="A51" s="91"/>
      <c r="B51" s="166">
        <v>46003.0</v>
      </c>
      <c r="C51" s="258" t="s">
        <v>1440</v>
      </c>
      <c r="D51" s="97"/>
      <c r="E51" s="127" t="s">
        <v>1441</v>
      </c>
      <c r="F51" s="216" t="s">
        <v>1442</v>
      </c>
      <c r="G51" s="97"/>
      <c r="H51" s="98" t="s">
        <v>90</v>
      </c>
      <c r="I51" s="105" t="s">
        <v>175</v>
      </c>
      <c r="J51" s="97"/>
      <c r="K51" s="101"/>
      <c r="L51" s="101"/>
      <c r="M51" s="102"/>
      <c r="N51" s="103"/>
      <c r="O51" s="104"/>
      <c r="P51" s="97"/>
      <c r="Q51" s="131"/>
      <c r="R51" s="126"/>
      <c r="S51" s="105"/>
      <c r="T51" s="105"/>
      <c r="V51" s="108"/>
    </row>
    <row r="52" ht="15.75" customHeight="1">
      <c r="A52" s="91"/>
      <c r="B52" s="166">
        <v>46004.0</v>
      </c>
      <c r="C52" s="270" t="s">
        <v>1443</v>
      </c>
      <c r="D52" s="97"/>
      <c r="E52" s="127" t="s">
        <v>1444</v>
      </c>
      <c r="F52" s="216" t="s">
        <v>1445</v>
      </c>
      <c r="G52" s="97"/>
      <c r="H52" s="98" t="s">
        <v>90</v>
      </c>
      <c r="I52" s="105" t="s">
        <v>107</v>
      </c>
      <c r="J52" s="97"/>
      <c r="K52" s="101">
        <v>10500.0</v>
      </c>
      <c r="L52" s="101">
        <v>3000.0</v>
      </c>
      <c r="M52" s="102"/>
      <c r="N52" s="124"/>
      <c r="O52" s="125"/>
      <c r="P52" s="97"/>
      <c r="Q52" s="105">
        <v>6.0</v>
      </c>
      <c r="R52" s="126"/>
      <c r="S52" s="105" t="s">
        <v>110</v>
      </c>
      <c r="T52" s="97"/>
      <c r="V52" s="108"/>
    </row>
    <row r="53" ht="15.75" customHeight="1">
      <c r="A53" s="91"/>
      <c r="B53" s="166">
        <v>46005.0</v>
      </c>
      <c r="C53" s="270" t="s">
        <v>1446</v>
      </c>
      <c r="D53" s="97"/>
      <c r="E53" s="127" t="s">
        <v>1447</v>
      </c>
      <c r="F53" s="216" t="s">
        <v>1448</v>
      </c>
      <c r="G53" s="97"/>
      <c r="H53" s="98" t="s">
        <v>90</v>
      </c>
      <c r="I53" s="105" t="s">
        <v>107</v>
      </c>
      <c r="J53" s="97"/>
      <c r="K53" s="101">
        <v>10500.0</v>
      </c>
      <c r="L53" s="101">
        <v>3000.0</v>
      </c>
      <c r="M53" s="102"/>
      <c r="N53" s="124"/>
      <c r="O53" s="125"/>
      <c r="P53" s="97"/>
      <c r="Q53" s="105">
        <v>6.0</v>
      </c>
      <c r="R53" s="107"/>
      <c r="S53" s="105" t="s">
        <v>110</v>
      </c>
      <c r="T53" s="105" t="s">
        <v>1449</v>
      </c>
      <c r="V53" s="108"/>
    </row>
    <row r="54" ht="15.75" customHeight="1">
      <c r="A54" s="91"/>
      <c r="B54" s="166">
        <v>46006.0</v>
      </c>
      <c r="C54" s="258" t="s">
        <v>1450</v>
      </c>
      <c r="D54" s="97"/>
      <c r="E54" s="127" t="s">
        <v>1451</v>
      </c>
      <c r="F54" s="216" t="s">
        <v>1452</v>
      </c>
      <c r="G54" s="97"/>
      <c r="H54" s="98" t="s">
        <v>90</v>
      </c>
      <c r="I54" s="105" t="s">
        <v>175</v>
      </c>
      <c r="J54" s="97"/>
      <c r="K54" s="114"/>
      <c r="L54" s="114"/>
      <c r="M54" s="102"/>
      <c r="N54" s="103"/>
      <c r="O54" s="104"/>
      <c r="P54" s="97"/>
      <c r="Q54" s="130"/>
      <c r="R54" s="133"/>
      <c r="S54" s="105"/>
      <c r="T54" s="105"/>
      <c r="V54" s="108"/>
    </row>
    <row r="55" ht="15.75" customHeight="1">
      <c r="A55" s="91"/>
      <c r="B55" s="166">
        <v>46006.0</v>
      </c>
      <c r="C55" s="258" t="s">
        <v>1453</v>
      </c>
      <c r="D55" s="97"/>
      <c r="E55" s="127" t="s">
        <v>1454</v>
      </c>
      <c r="F55" s="216" t="s">
        <v>1455</v>
      </c>
      <c r="G55" s="97"/>
      <c r="H55" s="98" t="s">
        <v>90</v>
      </c>
      <c r="I55" s="105" t="s">
        <v>333</v>
      </c>
      <c r="J55" s="97"/>
      <c r="K55" s="101"/>
      <c r="L55" s="101"/>
      <c r="M55" s="102"/>
      <c r="N55" s="103" t="s">
        <v>45</v>
      </c>
      <c r="O55" s="104" t="s">
        <v>1456</v>
      </c>
      <c r="P55" s="97"/>
      <c r="Q55" s="130"/>
      <c r="R55" s="107"/>
      <c r="S55" s="105" t="s">
        <v>335</v>
      </c>
      <c r="T55" s="105" t="s">
        <v>1457</v>
      </c>
      <c r="V55" s="108"/>
    </row>
    <row r="56" ht="15.75" customHeight="1">
      <c r="A56" s="91"/>
      <c r="B56" s="166">
        <v>46006.0</v>
      </c>
      <c r="C56" s="258" t="s">
        <v>1458</v>
      </c>
      <c r="D56" s="97"/>
      <c r="E56" s="127" t="s">
        <v>1459</v>
      </c>
      <c r="F56" s="216" t="s">
        <v>1460</v>
      </c>
      <c r="G56" s="97"/>
      <c r="H56" s="98" t="s">
        <v>90</v>
      </c>
      <c r="I56" s="105" t="s">
        <v>98</v>
      </c>
      <c r="J56" s="97"/>
      <c r="K56" s="114"/>
      <c r="L56" s="114"/>
      <c r="M56" s="102"/>
      <c r="N56" s="124"/>
      <c r="O56" s="125"/>
      <c r="P56" s="97"/>
      <c r="Q56" s="115"/>
      <c r="R56" s="107"/>
      <c r="S56" s="97"/>
      <c r="T56" s="105"/>
      <c r="V56" s="108"/>
    </row>
    <row r="57" ht="15.75" customHeight="1">
      <c r="A57" s="91"/>
      <c r="B57" s="166">
        <v>46006.0</v>
      </c>
      <c r="C57" s="258" t="s">
        <v>1461</v>
      </c>
      <c r="D57" s="97"/>
      <c r="E57" s="127" t="s">
        <v>1462</v>
      </c>
      <c r="F57" s="216" t="s">
        <v>1463</v>
      </c>
      <c r="G57" s="97"/>
      <c r="H57" s="98" t="s">
        <v>90</v>
      </c>
      <c r="I57" s="105" t="s">
        <v>91</v>
      </c>
      <c r="J57" s="97"/>
      <c r="K57" s="101"/>
      <c r="L57" s="101"/>
      <c r="M57" s="102"/>
      <c r="N57" s="103" t="s">
        <v>45</v>
      </c>
      <c r="O57" s="104" t="s">
        <v>1464</v>
      </c>
      <c r="P57" s="97"/>
      <c r="Q57" s="131"/>
      <c r="R57" s="126"/>
      <c r="S57" s="105" t="s">
        <v>99</v>
      </c>
      <c r="T57" s="105" t="s">
        <v>1465</v>
      </c>
      <c r="V57" s="108"/>
    </row>
    <row r="58" ht="15.75" customHeight="1">
      <c r="A58" s="91"/>
      <c r="B58" s="166">
        <v>46007.0</v>
      </c>
      <c r="C58" s="258" t="s">
        <v>1466</v>
      </c>
      <c r="D58" s="97"/>
      <c r="E58" s="127" t="s">
        <v>1467</v>
      </c>
      <c r="F58" s="216" t="s">
        <v>1468</v>
      </c>
      <c r="G58" s="97"/>
      <c r="H58" s="98" t="s">
        <v>90</v>
      </c>
      <c r="I58" s="105" t="s">
        <v>107</v>
      </c>
      <c r="J58" s="97"/>
      <c r="K58" s="101">
        <v>16500.0</v>
      </c>
      <c r="L58" s="101">
        <v>4000.0</v>
      </c>
      <c r="M58" s="102"/>
      <c r="N58" s="103"/>
      <c r="O58" s="104"/>
      <c r="P58" s="97"/>
      <c r="Q58" s="105">
        <v>6.0</v>
      </c>
      <c r="R58" s="107"/>
      <c r="S58" s="105" t="s">
        <v>110</v>
      </c>
      <c r="T58" s="105" t="s">
        <v>1469</v>
      </c>
      <c r="V58" s="108"/>
    </row>
    <row r="59" ht="15.75" customHeight="1">
      <c r="A59" s="91"/>
      <c r="B59" s="166">
        <v>46007.0</v>
      </c>
      <c r="C59" s="258" t="s">
        <v>1470</v>
      </c>
      <c r="D59" s="97"/>
      <c r="E59" s="127" t="s">
        <v>1471</v>
      </c>
      <c r="F59" s="216" t="s">
        <v>1472</v>
      </c>
      <c r="G59" s="97"/>
      <c r="H59" s="98" t="s">
        <v>90</v>
      </c>
      <c r="I59" s="105" t="s">
        <v>107</v>
      </c>
      <c r="J59" s="97"/>
      <c r="K59" s="101">
        <v>9000.0</v>
      </c>
      <c r="L59" s="101">
        <v>1500.0</v>
      </c>
      <c r="M59" s="102"/>
      <c r="N59" s="124"/>
      <c r="O59" s="125"/>
      <c r="P59" s="97"/>
      <c r="Q59" s="105">
        <v>6.0</v>
      </c>
      <c r="R59" s="126"/>
      <c r="S59" s="105" t="s">
        <v>110</v>
      </c>
      <c r="T59" s="105" t="s">
        <v>1473</v>
      </c>
      <c r="V59" s="108"/>
    </row>
    <row r="60" ht="15.75" customHeight="1">
      <c r="A60" s="91"/>
      <c r="B60" s="166">
        <v>46007.0</v>
      </c>
      <c r="C60" s="127" t="s">
        <v>1474</v>
      </c>
      <c r="D60" s="97"/>
      <c r="E60" s="127" t="s">
        <v>1475</v>
      </c>
      <c r="F60" s="216" t="s">
        <v>1476</v>
      </c>
      <c r="G60" s="97"/>
      <c r="H60" s="98" t="s">
        <v>90</v>
      </c>
      <c r="I60" s="105" t="s">
        <v>98</v>
      </c>
      <c r="J60" s="97"/>
      <c r="K60" s="114"/>
      <c r="L60" s="114"/>
      <c r="M60" s="102"/>
      <c r="N60" s="124"/>
      <c r="O60" s="125"/>
      <c r="P60" s="97"/>
      <c r="Q60" s="115"/>
      <c r="R60" s="107"/>
      <c r="S60" s="97"/>
      <c r="T60" s="105"/>
      <c r="V60" s="108"/>
    </row>
    <row r="61" ht="15.75" customHeight="1">
      <c r="A61" s="91"/>
      <c r="B61" s="166">
        <v>46007.0</v>
      </c>
      <c r="C61" s="258" t="s">
        <v>1458</v>
      </c>
      <c r="D61" s="97"/>
      <c r="E61" s="127" t="s">
        <v>1459</v>
      </c>
      <c r="F61" s="216" t="s">
        <v>1460</v>
      </c>
      <c r="G61" s="97"/>
      <c r="H61" s="98" t="s">
        <v>90</v>
      </c>
      <c r="I61" s="105" t="s">
        <v>91</v>
      </c>
      <c r="J61" s="97"/>
      <c r="K61" s="101"/>
      <c r="L61" s="101"/>
      <c r="M61" s="102"/>
      <c r="N61" s="103" t="s">
        <v>65</v>
      </c>
      <c r="O61" s="104" t="s">
        <v>1477</v>
      </c>
      <c r="P61" s="97"/>
      <c r="Q61" s="97"/>
      <c r="R61" s="126"/>
      <c r="S61" s="105" t="s">
        <v>99</v>
      </c>
      <c r="T61" s="105" t="s">
        <v>1478</v>
      </c>
      <c r="V61" s="108"/>
    </row>
    <row r="62" ht="15.75" customHeight="1">
      <c r="A62" s="91"/>
      <c r="B62" s="166">
        <v>46009.0</v>
      </c>
      <c r="C62" s="258" t="s">
        <v>1440</v>
      </c>
      <c r="D62" s="97"/>
      <c r="E62" s="127" t="s">
        <v>1441</v>
      </c>
      <c r="F62" s="216" t="s">
        <v>1442</v>
      </c>
      <c r="G62" s="97"/>
      <c r="H62" s="98" t="s">
        <v>90</v>
      </c>
      <c r="I62" s="105" t="s">
        <v>98</v>
      </c>
      <c r="J62" s="97"/>
      <c r="K62" s="114"/>
      <c r="L62" s="114"/>
      <c r="M62" s="102"/>
      <c r="N62" s="124"/>
      <c r="O62" s="125"/>
      <c r="P62" s="97"/>
      <c r="Q62" s="97"/>
      <c r="R62" s="126"/>
      <c r="S62" s="97"/>
      <c r="T62" s="97"/>
      <c r="V62" s="108"/>
    </row>
    <row r="63" ht="15.75" customHeight="1">
      <c r="A63" s="91"/>
      <c r="B63" s="166">
        <v>46009.0</v>
      </c>
      <c r="C63" s="258" t="s">
        <v>1479</v>
      </c>
      <c r="D63" s="97"/>
      <c r="E63" s="127" t="s">
        <v>1480</v>
      </c>
      <c r="F63" s="216" t="s">
        <v>1481</v>
      </c>
      <c r="G63" s="97"/>
      <c r="H63" s="98" t="s">
        <v>90</v>
      </c>
      <c r="I63" s="105" t="s">
        <v>107</v>
      </c>
      <c r="J63" s="97"/>
      <c r="K63" s="101">
        <v>9000.0</v>
      </c>
      <c r="L63" s="101">
        <v>4500.0</v>
      </c>
      <c r="M63" s="102"/>
      <c r="N63" s="124"/>
      <c r="O63" s="125"/>
      <c r="P63" s="97"/>
      <c r="Q63" s="105">
        <v>6.0</v>
      </c>
      <c r="R63" s="126"/>
      <c r="S63" s="105" t="s">
        <v>110</v>
      </c>
      <c r="T63" s="97"/>
      <c r="V63" s="108"/>
    </row>
    <row r="64" ht="15.75" customHeight="1">
      <c r="A64" s="91"/>
      <c r="B64" s="166">
        <v>46010.0</v>
      </c>
      <c r="C64" s="258" t="s">
        <v>1482</v>
      </c>
      <c r="D64" s="97"/>
      <c r="E64" s="127" t="s">
        <v>1483</v>
      </c>
      <c r="F64" s="216" t="s">
        <v>1484</v>
      </c>
      <c r="G64" s="97"/>
      <c r="H64" s="98" t="s">
        <v>90</v>
      </c>
      <c r="I64" s="105" t="s">
        <v>98</v>
      </c>
      <c r="J64" s="97"/>
      <c r="K64" s="114"/>
      <c r="L64" s="114"/>
      <c r="M64" s="102"/>
      <c r="N64" s="103"/>
      <c r="O64" s="104" t="s">
        <v>1485</v>
      </c>
      <c r="P64" s="97"/>
      <c r="Q64" s="115"/>
      <c r="R64" s="116"/>
      <c r="S64" s="105" t="s">
        <v>99</v>
      </c>
      <c r="T64" s="105" t="s">
        <v>1486</v>
      </c>
      <c r="V64" s="108"/>
    </row>
    <row r="65" ht="15.75" customHeight="1">
      <c r="A65" s="91"/>
      <c r="B65" s="166">
        <v>46010.0</v>
      </c>
      <c r="C65" s="258" t="s">
        <v>1487</v>
      </c>
      <c r="D65" s="97"/>
      <c r="E65" s="127" t="s">
        <v>1488</v>
      </c>
      <c r="F65" s="216" t="s">
        <v>1489</v>
      </c>
      <c r="G65" s="97"/>
      <c r="H65" s="98" t="s">
        <v>90</v>
      </c>
      <c r="I65" s="105" t="s">
        <v>91</v>
      </c>
      <c r="J65" s="97"/>
      <c r="K65" s="101"/>
      <c r="L65" s="101"/>
      <c r="M65" s="102"/>
      <c r="N65" s="103" t="s">
        <v>45</v>
      </c>
      <c r="O65" s="104" t="s">
        <v>1490</v>
      </c>
      <c r="P65" s="97"/>
      <c r="Q65" s="130"/>
      <c r="R65" s="116"/>
      <c r="S65" s="105" t="s">
        <v>99</v>
      </c>
      <c r="T65" s="105" t="s">
        <v>1491</v>
      </c>
      <c r="V65" s="108"/>
    </row>
    <row r="66" ht="15.75" customHeight="1">
      <c r="A66" s="91"/>
      <c r="B66" s="166">
        <v>46010.0</v>
      </c>
      <c r="C66" s="127" t="s">
        <v>1474</v>
      </c>
      <c r="D66" s="97"/>
      <c r="E66" s="127" t="s">
        <v>1475</v>
      </c>
      <c r="F66" s="216" t="s">
        <v>1476</v>
      </c>
      <c r="G66" s="97"/>
      <c r="H66" s="98" t="s">
        <v>90</v>
      </c>
      <c r="I66" s="105" t="s">
        <v>91</v>
      </c>
      <c r="J66" s="97"/>
      <c r="K66" s="114"/>
      <c r="L66" s="114"/>
      <c r="M66" s="102"/>
      <c r="N66" s="103" t="s">
        <v>45</v>
      </c>
      <c r="O66" s="125"/>
      <c r="P66" s="97"/>
      <c r="Q66" s="97"/>
      <c r="R66" s="126"/>
      <c r="S66" s="105" t="s">
        <v>99</v>
      </c>
      <c r="T66" s="105" t="s">
        <v>1492</v>
      </c>
      <c r="V66" s="108"/>
    </row>
    <row r="67" ht="15.75" customHeight="1">
      <c r="A67" s="91"/>
      <c r="B67" s="166">
        <v>46010.0</v>
      </c>
      <c r="C67" s="258" t="s">
        <v>1493</v>
      </c>
      <c r="D67" s="97"/>
      <c r="E67" s="127" t="s">
        <v>1494</v>
      </c>
      <c r="F67" s="216" t="s">
        <v>1495</v>
      </c>
      <c r="G67" s="97"/>
      <c r="H67" s="98" t="s">
        <v>90</v>
      </c>
      <c r="I67" s="105" t="s">
        <v>98</v>
      </c>
      <c r="J67" s="97"/>
      <c r="K67" s="101"/>
      <c r="L67" s="101"/>
      <c r="M67" s="102"/>
      <c r="N67" s="124"/>
      <c r="O67" s="125"/>
      <c r="P67" s="97"/>
      <c r="Q67" s="130"/>
      <c r="R67" s="107"/>
      <c r="S67" s="105"/>
      <c r="T67" s="105"/>
      <c r="V67" s="108"/>
    </row>
    <row r="68" ht="15.75" customHeight="1">
      <c r="A68" s="91"/>
      <c r="B68" s="166">
        <v>46010.0</v>
      </c>
      <c r="C68" s="127" t="s">
        <v>1496</v>
      </c>
      <c r="D68" s="97"/>
      <c r="E68" s="127" t="s">
        <v>1497</v>
      </c>
      <c r="F68" s="216" t="s">
        <v>1498</v>
      </c>
      <c r="G68" s="97"/>
      <c r="H68" s="98" t="s">
        <v>90</v>
      </c>
      <c r="I68" s="105" t="s">
        <v>91</v>
      </c>
      <c r="J68" s="97"/>
      <c r="K68" s="114"/>
      <c r="L68" s="114"/>
      <c r="M68" s="102"/>
      <c r="N68" s="103" t="s">
        <v>45</v>
      </c>
      <c r="O68" s="104" t="s">
        <v>1499</v>
      </c>
      <c r="P68" s="97"/>
      <c r="Q68" s="130"/>
      <c r="R68" s="126"/>
      <c r="S68" s="105" t="s">
        <v>93</v>
      </c>
      <c r="T68" s="105" t="s">
        <v>1500</v>
      </c>
      <c r="V68" s="108"/>
    </row>
    <row r="69" ht="15.75" customHeight="1">
      <c r="A69" s="91"/>
      <c r="B69" s="166">
        <v>46012.0</v>
      </c>
      <c r="C69" s="258" t="s">
        <v>1501</v>
      </c>
      <c r="D69" s="97"/>
      <c r="E69" s="127" t="s">
        <v>1502</v>
      </c>
      <c r="F69" s="216" t="s">
        <v>1503</v>
      </c>
      <c r="G69" s="97"/>
      <c r="H69" s="98" t="s">
        <v>90</v>
      </c>
      <c r="I69" s="105" t="s">
        <v>91</v>
      </c>
      <c r="J69" s="97"/>
      <c r="K69" s="101"/>
      <c r="L69" s="101"/>
      <c r="M69" s="102"/>
      <c r="N69" s="103" t="s">
        <v>60</v>
      </c>
      <c r="O69" s="104" t="s">
        <v>1504</v>
      </c>
      <c r="P69" s="97"/>
      <c r="Q69" s="115"/>
      <c r="R69" s="107"/>
      <c r="S69" s="105" t="s">
        <v>99</v>
      </c>
      <c r="T69" s="105" t="s">
        <v>1505</v>
      </c>
      <c r="V69" s="108"/>
    </row>
    <row r="70" ht="15.75" customHeight="1">
      <c r="A70" s="91"/>
      <c r="B70" s="166">
        <v>46018.0</v>
      </c>
      <c r="C70" s="258" t="s">
        <v>1506</v>
      </c>
      <c r="D70" s="97"/>
      <c r="E70" s="127" t="s">
        <v>1507</v>
      </c>
      <c r="F70" s="276" t="s">
        <v>1508</v>
      </c>
      <c r="G70" s="97"/>
      <c r="H70" s="98" t="s">
        <v>90</v>
      </c>
      <c r="I70" s="105" t="s">
        <v>107</v>
      </c>
      <c r="J70" s="97"/>
      <c r="K70" s="101">
        <v>10500.0</v>
      </c>
      <c r="L70" s="101">
        <v>3000.0</v>
      </c>
      <c r="M70" s="102"/>
      <c r="N70" s="103" t="s">
        <v>55</v>
      </c>
      <c r="O70" s="104" t="s">
        <v>1509</v>
      </c>
      <c r="P70" s="97"/>
      <c r="Q70" s="105">
        <v>6.0</v>
      </c>
      <c r="R70" s="126"/>
      <c r="S70" s="105" t="s">
        <v>110</v>
      </c>
      <c r="T70" s="105" t="s">
        <v>1510</v>
      </c>
      <c r="V70" s="108"/>
    </row>
    <row r="71" ht="15.75" customHeight="1">
      <c r="A71" s="91"/>
      <c r="B71" s="166">
        <v>46019.0</v>
      </c>
      <c r="C71" s="258" t="s">
        <v>1511</v>
      </c>
      <c r="D71" s="97"/>
      <c r="E71" s="127" t="s">
        <v>1512</v>
      </c>
      <c r="F71" s="216" t="s">
        <v>1513</v>
      </c>
      <c r="G71" s="97"/>
      <c r="H71" s="98" t="s">
        <v>90</v>
      </c>
      <c r="I71" s="105" t="s">
        <v>91</v>
      </c>
      <c r="J71" s="97"/>
      <c r="K71" s="101"/>
      <c r="L71" s="101"/>
      <c r="M71" s="102"/>
      <c r="N71" s="103" t="s">
        <v>45</v>
      </c>
      <c r="O71" s="104" t="s">
        <v>1514</v>
      </c>
      <c r="P71" s="97"/>
      <c r="Q71" s="130"/>
      <c r="R71" s="107"/>
      <c r="S71" s="105" t="s">
        <v>99</v>
      </c>
      <c r="T71" s="105" t="s">
        <v>1515</v>
      </c>
      <c r="V71" s="108"/>
    </row>
    <row r="72" ht="15.75" customHeight="1">
      <c r="A72" s="91"/>
      <c r="B72" s="166">
        <v>46019.0</v>
      </c>
      <c r="C72" s="258" t="s">
        <v>1516</v>
      </c>
      <c r="D72" s="97"/>
      <c r="E72" s="127" t="s">
        <v>1517</v>
      </c>
      <c r="F72" s="216" t="s">
        <v>1518</v>
      </c>
      <c r="G72" s="97"/>
      <c r="H72" s="98" t="s">
        <v>90</v>
      </c>
      <c r="I72" s="105" t="s">
        <v>91</v>
      </c>
      <c r="J72" s="97"/>
      <c r="K72" s="114"/>
      <c r="L72" s="114"/>
      <c r="M72" s="102"/>
      <c r="N72" s="103" t="s">
        <v>45</v>
      </c>
      <c r="O72" s="104" t="s">
        <v>1519</v>
      </c>
      <c r="P72" s="97"/>
      <c r="Q72" s="130"/>
      <c r="R72" s="107"/>
      <c r="S72" s="105" t="s">
        <v>93</v>
      </c>
      <c r="T72" s="105" t="s">
        <v>1520</v>
      </c>
      <c r="V72" s="108"/>
    </row>
    <row r="73" ht="15.75" customHeight="1">
      <c r="A73" s="91"/>
      <c r="B73" s="166">
        <v>46019.0</v>
      </c>
      <c r="C73" s="258" t="s">
        <v>1521</v>
      </c>
      <c r="D73" s="97"/>
      <c r="E73" s="127" t="s">
        <v>1522</v>
      </c>
      <c r="F73" s="216" t="s">
        <v>1523</v>
      </c>
      <c r="G73" s="97"/>
      <c r="H73" s="98" t="s">
        <v>90</v>
      </c>
      <c r="I73" s="105" t="s">
        <v>91</v>
      </c>
      <c r="J73" s="97"/>
      <c r="K73" s="101"/>
      <c r="L73" s="101"/>
      <c r="M73" s="102"/>
      <c r="N73" s="103" t="s">
        <v>45</v>
      </c>
      <c r="O73" s="104" t="s">
        <v>1524</v>
      </c>
      <c r="P73" s="97"/>
      <c r="Q73" s="115"/>
      <c r="R73" s="107"/>
      <c r="S73" s="105" t="s">
        <v>99</v>
      </c>
      <c r="T73" s="105" t="s">
        <v>1525</v>
      </c>
      <c r="V73" s="108"/>
    </row>
    <row r="74" ht="15.75" customHeight="1">
      <c r="A74" s="91"/>
      <c r="B74" s="166">
        <v>46019.0</v>
      </c>
      <c r="C74" s="258" t="s">
        <v>1526</v>
      </c>
      <c r="D74" s="97"/>
      <c r="E74" s="127" t="s">
        <v>1527</v>
      </c>
      <c r="F74" s="216" t="s">
        <v>1528</v>
      </c>
      <c r="G74" s="97"/>
      <c r="H74" s="98" t="s">
        <v>90</v>
      </c>
      <c r="I74" s="105" t="s">
        <v>107</v>
      </c>
      <c r="J74" s="97"/>
      <c r="K74" s="101">
        <v>10500.0</v>
      </c>
      <c r="L74" s="101">
        <v>3000.0</v>
      </c>
      <c r="M74" s="102"/>
      <c r="N74" s="103"/>
      <c r="O74" s="125"/>
      <c r="P74" s="97"/>
      <c r="Q74" s="105">
        <v>6.0</v>
      </c>
      <c r="R74" s="107"/>
      <c r="S74" s="105" t="s">
        <v>110</v>
      </c>
      <c r="T74" s="105" t="s">
        <v>1529</v>
      </c>
      <c r="V74" s="108"/>
    </row>
    <row r="75" ht="15.75" customHeight="1">
      <c r="A75" s="91"/>
      <c r="B75" s="166">
        <v>46020.0</v>
      </c>
      <c r="C75" s="258" t="s">
        <v>1530</v>
      </c>
      <c r="D75" s="97"/>
      <c r="E75" s="127" t="s">
        <v>1531</v>
      </c>
      <c r="F75" s="216" t="s">
        <v>1532</v>
      </c>
      <c r="G75" s="97"/>
      <c r="H75" s="98" t="s">
        <v>90</v>
      </c>
      <c r="I75" s="105" t="s">
        <v>107</v>
      </c>
      <c r="J75" s="97"/>
      <c r="K75" s="101">
        <v>10500.0</v>
      </c>
      <c r="L75" s="101">
        <v>2250.0</v>
      </c>
      <c r="M75" s="102"/>
      <c r="N75" s="103" t="s">
        <v>45</v>
      </c>
      <c r="O75" s="104" t="s">
        <v>1533</v>
      </c>
      <c r="P75" s="97"/>
      <c r="Q75" s="105">
        <v>6.0</v>
      </c>
      <c r="R75" s="126"/>
      <c r="S75" s="105" t="s">
        <v>110</v>
      </c>
      <c r="T75" s="105" t="s">
        <v>1534</v>
      </c>
      <c r="V75" s="108"/>
    </row>
    <row r="76" ht="15.75" customHeight="1">
      <c r="A76" s="91"/>
      <c r="B76" s="166">
        <v>46020.0</v>
      </c>
      <c r="C76" s="258" t="s">
        <v>1493</v>
      </c>
      <c r="D76" s="97"/>
      <c r="E76" s="127" t="s">
        <v>1494</v>
      </c>
      <c r="F76" s="216" t="s">
        <v>1495</v>
      </c>
      <c r="G76" s="97"/>
      <c r="H76" s="98" t="s">
        <v>90</v>
      </c>
      <c r="I76" s="105" t="s">
        <v>149</v>
      </c>
      <c r="J76" s="97"/>
      <c r="K76" s="114"/>
      <c r="L76" s="114"/>
      <c r="M76" s="102"/>
      <c r="N76" s="103"/>
      <c r="O76" s="125"/>
      <c r="P76" s="97"/>
      <c r="Q76" s="115"/>
      <c r="R76" s="107"/>
      <c r="S76" s="105" t="s">
        <v>93</v>
      </c>
      <c r="T76" s="105" t="s">
        <v>1535</v>
      </c>
      <c r="V76" s="108"/>
    </row>
    <row r="77" ht="15.75" customHeight="1">
      <c r="A77" s="91"/>
      <c r="B77" s="166">
        <v>46021.0</v>
      </c>
      <c r="C77" s="254" t="s">
        <v>1536</v>
      </c>
      <c r="D77" s="97"/>
      <c r="E77" s="98" t="s">
        <v>1537</v>
      </c>
      <c r="F77" s="219"/>
      <c r="G77" s="97"/>
      <c r="H77" s="98" t="s">
        <v>97</v>
      </c>
      <c r="I77" s="105" t="s">
        <v>91</v>
      </c>
      <c r="J77" s="97"/>
      <c r="K77" s="114"/>
      <c r="L77" s="114"/>
      <c r="M77" s="102"/>
      <c r="N77" s="103" t="s">
        <v>143</v>
      </c>
      <c r="O77" s="104" t="s">
        <v>1538</v>
      </c>
      <c r="P77" s="97"/>
      <c r="Q77" s="131"/>
      <c r="R77" s="126"/>
      <c r="S77" s="105" t="s">
        <v>116</v>
      </c>
      <c r="T77" s="97"/>
      <c r="V77" s="108"/>
    </row>
    <row r="78" ht="15.75" customHeight="1">
      <c r="A78" s="91"/>
      <c r="B78" s="166"/>
      <c r="C78" s="260"/>
      <c r="D78" s="97"/>
      <c r="E78" s="165"/>
      <c r="F78" s="138"/>
      <c r="G78" s="97"/>
      <c r="H78" s="98"/>
      <c r="I78" s="105"/>
      <c r="J78" s="97"/>
      <c r="K78" s="114"/>
      <c r="L78" s="114"/>
      <c r="M78" s="102"/>
      <c r="N78" s="103"/>
      <c r="O78" s="125"/>
      <c r="P78" s="97"/>
      <c r="Q78" s="115"/>
      <c r="R78" s="107"/>
      <c r="S78" s="105"/>
      <c r="T78" s="105"/>
      <c r="V78" s="108"/>
    </row>
    <row r="79" ht="15.75" customHeight="1">
      <c r="A79" s="91"/>
      <c r="B79" s="166"/>
      <c r="C79" s="98"/>
      <c r="D79" s="97"/>
      <c r="E79" s="165"/>
      <c r="F79" s="138"/>
      <c r="G79" s="97"/>
      <c r="H79" s="98"/>
      <c r="I79" s="105"/>
      <c r="J79" s="97"/>
      <c r="K79" s="114"/>
      <c r="L79" s="114"/>
      <c r="M79" s="102"/>
      <c r="N79" s="124"/>
      <c r="O79" s="125"/>
      <c r="P79" s="97"/>
      <c r="Q79" s="131"/>
      <c r="R79" s="126"/>
      <c r="S79" s="97"/>
      <c r="T79" s="97"/>
      <c r="V79" s="108"/>
    </row>
    <row r="80" ht="15.75" customHeight="1">
      <c r="A80" s="91"/>
      <c r="B80" s="166"/>
      <c r="C80" s="98"/>
      <c r="D80" s="97"/>
      <c r="E80" s="165"/>
      <c r="F80" s="138"/>
      <c r="G80" s="97"/>
      <c r="H80" s="98"/>
      <c r="I80" s="105"/>
      <c r="J80" s="97"/>
      <c r="K80" s="114"/>
      <c r="L80" s="114"/>
      <c r="M80" s="102"/>
      <c r="N80" s="103"/>
      <c r="O80" s="104"/>
      <c r="P80" s="97"/>
      <c r="Q80" s="130"/>
      <c r="R80" s="107"/>
      <c r="S80" s="105"/>
      <c r="T80" s="105"/>
      <c r="V80" s="108"/>
    </row>
    <row r="81" ht="15.75" customHeight="1">
      <c r="A81" s="91"/>
      <c r="B81" s="166"/>
      <c r="C81" s="107"/>
      <c r="D81" s="97"/>
      <c r="E81" s="165"/>
      <c r="F81" s="138"/>
      <c r="G81" s="97"/>
      <c r="H81" s="98"/>
      <c r="I81" s="105"/>
      <c r="J81" s="97"/>
      <c r="K81" s="101"/>
      <c r="L81" s="101"/>
      <c r="M81" s="102"/>
      <c r="N81" s="103"/>
      <c r="O81" s="104"/>
      <c r="P81" s="97"/>
      <c r="Q81" s="115"/>
      <c r="R81" s="136"/>
      <c r="S81" s="105"/>
      <c r="T81" s="105"/>
      <c r="V81" s="108"/>
    </row>
    <row r="82" ht="15.75" customHeight="1">
      <c r="A82" s="91"/>
      <c r="B82" s="166"/>
      <c r="C82" s="107"/>
      <c r="D82" s="97"/>
      <c r="E82" s="165"/>
      <c r="F82" s="138"/>
      <c r="G82" s="97"/>
      <c r="H82" s="98"/>
      <c r="I82" s="105"/>
      <c r="J82" s="97"/>
      <c r="K82" s="114"/>
      <c r="L82" s="114"/>
      <c r="M82" s="102"/>
      <c r="N82" s="103"/>
      <c r="O82" s="104"/>
      <c r="P82" s="97"/>
      <c r="Q82" s="115"/>
      <c r="R82" s="107"/>
      <c r="S82" s="105"/>
      <c r="T82" s="105"/>
      <c r="V82" s="108"/>
    </row>
    <row r="83" ht="15.75" customHeight="1">
      <c r="A83" s="91"/>
      <c r="B83" s="166"/>
      <c r="C83" s="98"/>
      <c r="D83" s="97"/>
      <c r="E83" s="165"/>
      <c r="F83" s="138"/>
      <c r="G83" s="97"/>
      <c r="H83" s="98"/>
      <c r="I83" s="105"/>
      <c r="J83" s="97"/>
      <c r="K83" s="101"/>
      <c r="L83" s="101"/>
      <c r="M83" s="102"/>
      <c r="N83" s="124"/>
      <c r="O83" s="125"/>
      <c r="P83" s="97"/>
      <c r="Q83" s="131"/>
      <c r="R83" s="126"/>
      <c r="S83" s="97"/>
      <c r="T83" s="97"/>
      <c r="V83" s="108"/>
    </row>
    <row r="84" ht="15.75" customHeight="1">
      <c r="A84" s="91"/>
      <c r="B84" s="166"/>
      <c r="C84" s="98"/>
      <c r="D84" s="97"/>
      <c r="E84" s="165"/>
      <c r="F84" s="138"/>
      <c r="G84" s="97"/>
      <c r="H84" s="98"/>
      <c r="I84" s="105"/>
      <c r="J84" s="97"/>
      <c r="K84" s="114"/>
      <c r="L84" s="114"/>
      <c r="M84" s="102"/>
      <c r="N84" s="124"/>
      <c r="O84" s="125"/>
      <c r="P84" s="97"/>
      <c r="Q84" s="97"/>
      <c r="R84" s="126"/>
      <c r="S84" s="97"/>
      <c r="T84" s="97"/>
      <c r="V84" s="108"/>
    </row>
    <row r="85" ht="15.75" customHeight="1">
      <c r="A85" s="91"/>
      <c r="B85" s="166"/>
      <c r="C85" s="137"/>
      <c r="D85" s="97"/>
      <c r="E85" s="165"/>
      <c r="F85" s="138"/>
      <c r="G85" s="97"/>
      <c r="H85" s="98"/>
      <c r="I85" s="105"/>
      <c r="J85" s="97"/>
      <c r="K85" s="101"/>
      <c r="L85" s="101"/>
      <c r="M85" s="102"/>
      <c r="N85" s="124"/>
      <c r="O85" s="125"/>
      <c r="P85" s="97"/>
      <c r="Q85" s="131"/>
      <c r="R85" s="126"/>
      <c r="S85" s="97"/>
      <c r="T85" s="97"/>
      <c r="V85" s="108"/>
    </row>
    <row r="86" ht="15.75" customHeight="1">
      <c r="A86" s="91"/>
      <c r="B86" s="166"/>
      <c r="C86" s="99"/>
      <c r="D86" s="97"/>
      <c r="E86" s="165"/>
      <c r="F86" s="138"/>
      <c r="G86" s="97"/>
      <c r="H86" s="98"/>
      <c r="I86" s="105"/>
      <c r="J86" s="97"/>
      <c r="K86" s="114"/>
      <c r="L86" s="114"/>
      <c r="M86" s="102"/>
      <c r="N86" s="103"/>
      <c r="O86" s="104"/>
      <c r="P86" s="97"/>
      <c r="Q86" s="130"/>
      <c r="R86" s="116"/>
      <c r="S86" s="105"/>
      <c r="T86" s="105"/>
      <c r="V86" s="108"/>
    </row>
    <row r="87" ht="15.75" customHeight="1">
      <c r="A87" s="91"/>
      <c r="B87" s="166"/>
      <c r="C87" s="98"/>
      <c r="D87" s="97"/>
      <c r="E87" s="165"/>
      <c r="F87" s="138"/>
      <c r="G87" s="97"/>
      <c r="H87" s="98"/>
      <c r="I87" s="105"/>
      <c r="J87" s="97"/>
      <c r="K87" s="101"/>
      <c r="L87" s="101"/>
      <c r="M87" s="102"/>
      <c r="N87" s="124"/>
      <c r="O87" s="104"/>
      <c r="P87" s="97"/>
      <c r="Q87" s="131"/>
      <c r="R87" s="107"/>
      <c r="S87" s="105"/>
      <c r="T87" s="105"/>
      <c r="V87" s="108"/>
    </row>
    <row r="88" ht="15.75" customHeight="1">
      <c r="A88" s="91"/>
      <c r="B88" s="166"/>
      <c r="C88" s="98"/>
      <c r="D88" s="97"/>
      <c r="E88" s="165"/>
      <c r="F88" s="138"/>
      <c r="G88" s="97"/>
      <c r="H88" s="98"/>
      <c r="I88" s="105"/>
      <c r="J88" s="97"/>
      <c r="K88" s="114"/>
      <c r="L88" s="114"/>
      <c r="M88" s="102"/>
      <c r="N88" s="103"/>
      <c r="O88" s="104"/>
      <c r="P88" s="97"/>
      <c r="Q88" s="115"/>
      <c r="R88" s="107"/>
      <c r="S88" s="105"/>
      <c r="T88" s="105"/>
      <c r="V88" s="108"/>
    </row>
    <row r="89" ht="15.75" customHeight="1">
      <c r="A89" s="91"/>
      <c r="B89" s="166"/>
      <c r="C89" s="98"/>
      <c r="D89" s="97"/>
      <c r="E89" s="165"/>
      <c r="F89" s="138"/>
      <c r="G89" s="97"/>
      <c r="H89" s="98"/>
      <c r="I89" s="105"/>
      <c r="J89" s="97"/>
      <c r="K89" s="101"/>
      <c r="L89" s="101"/>
      <c r="M89" s="102"/>
      <c r="N89" s="124"/>
      <c r="O89" s="125"/>
      <c r="P89" s="97"/>
      <c r="Q89" s="97"/>
      <c r="R89" s="126"/>
      <c r="S89" s="97"/>
      <c r="T89" s="97"/>
      <c r="V89" s="108"/>
    </row>
    <row r="90" ht="15.75" customHeight="1">
      <c r="A90" s="91"/>
      <c r="B90" s="166"/>
      <c r="C90" s="138"/>
      <c r="D90" s="97"/>
      <c r="E90" s="165"/>
      <c r="F90" s="169"/>
      <c r="G90" s="97"/>
      <c r="H90" s="98"/>
      <c r="I90" s="105"/>
      <c r="J90" s="97"/>
      <c r="K90" s="114"/>
      <c r="L90" s="114"/>
      <c r="M90" s="102"/>
      <c r="N90" s="103"/>
      <c r="O90" s="104"/>
      <c r="P90" s="97"/>
      <c r="Q90" s="105"/>
      <c r="R90" s="107"/>
      <c r="S90" s="105"/>
      <c r="T90" s="105"/>
      <c r="V90" s="108"/>
    </row>
    <row r="91" ht="15.75" customHeight="1">
      <c r="A91" s="91"/>
      <c r="B91" s="166"/>
      <c r="C91" s="140"/>
      <c r="D91" s="97"/>
      <c r="E91" s="165"/>
      <c r="F91" s="138"/>
      <c r="G91" s="97"/>
      <c r="H91" s="98"/>
      <c r="I91" s="105"/>
      <c r="J91" s="97"/>
      <c r="K91" s="101"/>
      <c r="L91" s="101"/>
      <c r="M91" s="102"/>
      <c r="N91" s="124"/>
      <c r="O91" s="125"/>
      <c r="P91" s="97"/>
      <c r="Q91" s="97"/>
      <c r="R91" s="126"/>
      <c r="S91" s="97"/>
      <c r="T91" s="97"/>
      <c r="V91" s="108"/>
    </row>
    <row r="92" ht="15.75" customHeight="1">
      <c r="A92" s="91"/>
      <c r="B92" s="166"/>
      <c r="C92" s="138"/>
      <c r="D92" s="97"/>
      <c r="E92" s="165"/>
      <c r="F92" s="138"/>
      <c r="G92" s="97"/>
      <c r="H92" s="98"/>
      <c r="I92" s="105"/>
      <c r="J92" s="97"/>
      <c r="K92" s="114"/>
      <c r="L92" s="114"/>
      <c r="M92" s="102"/>
      <c r="N92" s="103"/>
      <c r="O92" s="104"/>
      <c r="P92" s="97"/>
      <c r="Q92" s="130"/>
      <c r="R92" s="107"/>
      <c r="S92" s="105"/>
      <c r="T92" s="105"/>
      <c r="V92" s="108"/>
    </row>
    <row r="93" ht="15.75" customHeight="1">
      <c r="A93" s="91"/>
      <c r="B93" s="166"/>
      <c r="C93" s="140"/>
      <c r="D93" s="97"/>
      <c r="E93" s="138"/>
      <c r="F93" s="138"/>
      <c r="G93" s="97"/>
      <c r="H93" s="98"/>
      <c r="I93" s="105"/>
      <c r="J93" s="97"/>
      <c r="K93" s="101"/>
      <c r="L93" s="101"/>
      <c r="M93" s="102"/>
      <c r="N93" s="124"/>
      <c r="O93" s="125"/>
      <c r="P93" s="97"/>
      <c r="Q93" s="131"/>
      <c r="R93" s="126"/>
      <c r="S93" s="97"/>
      <c r="T93" s="97"/>
      <c r="V93" s="108"/>
    </row>
    <row r="94" ht="15.75" customHeight="1">
      <c r="A94" s="91"/>
      <c r="B94" s="166"/>
      <c r="C94" s="98"/>
      <c r="D94" s="97"/>
      <c r="E94" s="165"/>
      <c r="F94" s="138"/>
      <c r="G94" s="97"/>
      <c r="H94" s="98"/>
      <c r="I94" s="105"/>
      <c r="J94" s="97"/>
      <c r="K94" s="114"/>
      <c r="L94" s="114"/>
      <c r="M94" s="102"/>
      <c r="N94" s="124"/>
      <c r="O94" s="125"/>
      <c r="P94" s="97"/>
      <c r="Q94" s="97"/>
      <c r="R94" s="126"/>
      <c r="S94" s="97"/>
      <c r="T94" s="97"/>
      <c r="V94" s="108"/>
    </row>
    <row r="95" ht="15.75" customHeight="1">
      <c r="A95" s="91"/>
      <c r="B95" s="166"/>
      <c r="C95" s="98"/>
      <c r="D95" s="97"/>
      <c r="E95" s="165"/>
      <c r="F95" s="138"/>
      <c r="G95" s="97"/>
      <c r="H95" s="98"/>
      <c r="I95" s="105"/>
      <c r="J95" s="97"/>
      <c r="K95" s="101"/>
      <c r="L95" s="101"/>
      <c r="M95" s="102"/>
      <c r="N95" s="103"/>
      <c r="O95" s="104"/>
      <c r="P95" s="97"/>
      <c r="Q95" s="115"/>
      <c r="R95" s="107"/>
      <c r="S95" s="105"/>
      <c r="T95" s="105"/>
      <c r="V95" s="108"/>
    </row>
    <row r="96" ht="15.75" customHeight="1">
      <c r="A96" s="91"/>
      <c r="B96" s="166"/>
      <c r="C96" s="98"/>
      <c r="D96" s="97"/>
      <c r="E96" s="165"/>
      <c r="F96" s="138"/>
      <c r="G96" s="97"/>
      <c r="H96" s="98"/>
      <c r="I96" s="105"/>
      <c r="J96" s="97"/>
      <c r="K96" s="114"/>
      <c r="L96" s="114"/>
      <c r="M96" s="102"/>
      <c r="N96" s="124"/>
      <c r="O96" s="125"/>
      <c r="P96" s="97"/>
      <c r="Q96" s="97"/>
      <c r="R96" s="126"/>
      <c r="S96" s="97"/>
      <c r="T96" s="97"/>
      <c r="V96" s="108"/>
    </row>
    <row r="97" ht="15.75" customHeight="1">
      <c r="A97" s="91"/>
      <c r="B97" s="166"/>
      <c r="C97" s="98"/>
      <c r="D97" s="97"/>
      <c r="E97" s="170"/>
      <c r="F97" s="138"/>
      <c r="G97" s="97"/>
      <c r="H97" s="98"/>
      <c r="I97" s="105"/>
      <c r="J97" s="97"/>
      <c r="K97" s="101"/>
      <c r="L97" s="101"/>
      <c r="M97" s="102"/>
      <c r="N97" s="124"/>
      <c r="O97" s="125"/>
      <c r="P97" s="97"/>
      <c r="Q97" s="131"/>
      <c r="R97" s="126"/>
      <c r="S97" s="97"/>
      <c r="T97" s="97"/>
      <c r="V97" s="108"/>
    </row>
    <row r="98" ht="15.75" customHeight="1">
      <c r="A98" s="91"/>
      <c r="B98" s="166"/>
      <c r="C98" s="107"/>
      <c r="D98" s="97"/>
      <c r="E98" s="165"/>
      <c r="F98" s="138"/>
      <c r="G98" s="97"/>
      <c r="H98" s="98"/>
      <c r="I98" s="105"/>
      <c r="J98" s="97"/>
      <c r="K98" s="114"/>
      <c r="L98" s="114"/>
      <c r="M98" s="102"/>
      <c r="N98" s="124"/>
      <c r="O98" s="125"/>
      <c r="P98" s="97"/>
      <c r="Q98" s="130"/>
      <c r="R98" s="107"/>
      <c r="S98" s="97"/>
      <c r="T98" s="105"/>
      <c r="V98" s="108"/>
    </row>
    <row r="99" ht="15.75" customHeight="1">
      <c r="A99" s="91"/>
      <c r="B99" s="166"/>
      <c r="C99" s="107"/>
      <c r="D99" s="97"/>
      <c r="E99" s="165"/>
      <c r="F99" s="138"/>
      <c r="G99" s="97"/>
      <c r="H99" s="98"/>
      <c r="I99" s="105"/>
      <c r="J99" s="97"/>
      <c r="K99" s="101"/>
      <c r="L99" s="101"/>
      <c r="M99" s="102"/>
      <c r="N99" s="124"/>
      <c r="O99" s="125"/>
      <c r="P99" s="97"/>
      <c r="Q99" s="130"/>
      <c r="R99" s="107"/>
      <c r="S99" s="97"/>
      <c r="T99" s="105"/>
      <c r="V99" s="108"/>
    </row>
    <row r="100" ht="15.75" customHeight="1">
      <c r="A100" s="91"/>
      <c r="B100" s="166"/>
      <c r="C100" s="98"/>
      <c r="D100" s="97"/>
      <c r="E100" s="98"/>
      <c r="F100" s="140"/>
      <c r="G100" s="97"/>
      <c r="H100" s="98"/>
      <c r="I100" s="105"/>
      <c r="J100" s="97"/>
      <c r="K100" s="114"/>
      <c r="L100" s="114"/>
      <c r="M100" s="102"/>
      <c r="N100" s="124"/>
      <c r="O100" s="125"/>
      <c r="P100" s="97"/>
      <c r="Q100" s="131"/>
      <c r="R100" s="126"/>
      <c r="S100" s="97"/>
      <c r="T100" s="97"/>
      <c r="V100" s="108"/>
    </row>
    <row r="101" ht="15.75" customHeight="1">
      <c r="A101" s="91"/>
      <c r="B101" s="166"/>
      <c r="C101" s="98"/>
      <c r="D101" s="97"/>
      <c r="E101" s="165"/>
      <c r="F101" s="138"/>
      <c r="G101" s="97"/>
      <c r="H101" s="98"/>
      <c r="I101" s="105"/>
      <c r="J101" s="97"/>
      <c r="K101" s="101"/>
      <c r="L101" s="101"/>
      <c r="M101" s="102"/>
      <c r="N101" s="124"/>
      <c r="O101" s="125"/>
      <c r="P101" s="97"/>
      <c r="Q101" s="97"/>
      <c r="R101" s="126"/>
      <c r="S101" s="97"/>
      <c r="T101" s="97"/>
      <c r="V101" s="108"/>
    </row>
    <row r="102" ht="15.75" customHeight="1">
      <c r="A102" s="91"/>
      <c r="B102" s="166"/>
      <c r="C102" s="98"/>
      <c r="D102" s="97"/>
      <c r="E102" s="165"/>
      <c r="F102" s="138"/>
      <c r="G102" s="97"/>
      <c r="H102" s="98"/>
      <c r="I102" s="105"/>
      <c r="J102" s="97"/>
      <c r="K102" s="114"/>
      <c r="L102" s="114"/>
      <c r="M102" s="102"/>
      <c r="N102" s="103"/>
      <c r="O102" s="104"/>
      <c r="P102" s="97"/>
      <c r="Q102" s="115"/>
      <c r="R102" s="116"/>
      <c r="S102" s="105"/>
      <c r="T102" s="105"/>
      <c r="V102" s="108"/>
    </row>
    <row r="103" ht="15.75" customHeight="1">
      <c r="A103" s="91"/>
      <c r="B103" s="171"/>
      <c r="C103" s="143"/>
      <c r="D103" s="97"/>
      <c r="E103" s="143"/>
      <c r="F103" s="169"/>
      <c r="G103" s="97"/>
      <c r="H103" s="98"/>
      <c r="I103" s="105"/>
      <c r="J103" s="97"/>
      <c r="K103" s="101"/>
      <c r="L103" s="101"/>
      <c r="M103" s="102"/>
      <c r="N103" s="103"/>
      <c r="O103" s="125"/>
      <c r="P103" s="97"/>
      <c r="Q103" s="131"/>
      <c r="R103" s="126"/>
      <c r="S103" s="105"/>
      <c r="T103" s="97"/>
      <c r="V103" s="108"/>
    </row>
    <row r="104" ht="15.75" customHeight="1">
      <c r="A104" s="91"/>
      <c r="B104" s="171"/>
      <c r="C104" s="143"/>
      <c r="D104" s="97"/>
      <c r="E104" s="143"/>
      <c r="F104" s="143"/>
      <c r="G104" s="97"/>
      <c r="H104" s="98"/>
      <c r="I104" s="105"/>
      <c r="J104" s="97"/>
      <c r="K104" s="114"/>
      <c r="L104" s="114"/>
      <c r="M104" s="102"/>
      <c r="N104" s="103"/>
      <c r="O104" s="125"/>
      <c r="P104" s="97"/>
      <c r="Q104" s="97"/>
      <c r="R104" s="126"/>
      <c r="S104" s="105"/>
      <c r="T104" s="97"/>
      <c r="V104" s="108"/>
    </row>
    <row r="105" ht="15.75" customHeight="1">
      <c r="A105" s="91"/>
      <c r="B105" s="171"/>
      <c r="C105" s="108"/>
      <c r="D105" s="97"/>
      <c r="E105" s="143"/>
      <c r="F105" s="143"/>
      <c r="G105" s="97"/>
      <c r="H105" s="98"/>
      <c r="I105" s="105"/>
      <c r="J105" s="97"/>
      <c r="K105" s="101"/>
      <c r="L105" s="101"/>
      <c r="M105" s="102"/>
      <c r="N105" s="103"/>
      <c r="O105" s="125"/>
      <c r="P105" s="97"/>
      <c r="Q105" s="131"/>
      <c r="R105" s="126"/>
      <c r="S105" s="105"/>
      <c r="T105" s="97"/>
      <c r="V105" s="108"/>
    </row>
    <row r="106" ht="15.75" customHeight="1">
      <c r="A106" s="91"/>
      <c r="B106" s="171"/>
      <c r="C106" s="108"/>
      <c r="D106" s="97"/>
      <c r="E106" s="143"/>
      <c r="F106" s="143"/>
      <c r="G106" s="97"/>
      <c r="H106" s="98"/>
      <c r="I106" s="105"/>
      <c r="J106" s="97"/>
      <c r="K106" s="114"/>
      <c r="L106" s="114"/>
      <c r="M106" s="102"/>
      <c r="N106" s="103"/>
      <c r="O106" s="125"/>
      <c r="P106" s="97"/>
      <c r="Q106" s="131"/>
      <c r="R106" s="126"/>
      <c r="S106" s="105"/>
      <c r="T106" s="97"/>
      <c r="V106" s="108"/>
    </row>
    <row r="107" ht="15.75" customHeight="1">
      <c r="A107" s="91"/>
      <c r="B107" s="171"/>
      <c r="C107" s="143"/>
      <c r="D107" s="97"/>
      <c r="E107" s="143"/>
      <c r="F107" s="143"/>
      <c r="G107" s="97"/>
      <c r="H107" s="98"/>
      <c r="I107" s="105"/>
      <c r="J107" s="97"/>
      <c r="K107" s="101"/>
      <c r="L107" s="101"/>
      <c r="M107" s="102"/>
      <c r="N107" s="103"/>
      <c r="O107" s="125"/>
      <c r="P107" s="97"/>
      <c r="Q107" s="131"/>
      <c r="R107" s="126"/>
      <c r="S107" s="105"/>
      <c r="T107" s="97"/>
      <c r="V107" s="108"/>
    </row>
    <row r="108" ht="15.75" customHeight="1">
      <c r="A108" s="91"/>
      <c r="B108" s="171"/>
      <c r="C108" s="143"/>
      <c r="D108" s="97"/>
      <c r="E108" s="143"/>
      <c r="F108" s="143"/>
      <c r="G108" s="97"/>
      <c r="H108" s="98"/>
      <c r="I108" s="105"/>
      <c r="J108" s="97"/>
      <c r="K108" s="114"/>
      <c r="L108" s="114"/>
      <c r="M108" s="102"/>
      <c r="N108" s="103"/>
      <c r="O108" s="125"/>
      <c r="P108" s="97"/>
      <c r="Q108" s="97"/>
      <c r="R108" s="126"/>
      <c r="S108" s="105"/>
      <c r="T108" s="97"/>
      <c r="V108" s="108"/>
    </row>
    <row r="109" ht="15.75" customHeight="1">
      <c r="A109" s="91"/>
      <c r="B109" s="171"/>
      <c r="C109" s="143"/>
      <c r="D109" s="97"/>
      <c r="E109" s="143"/>
      <c r="F109" s="143"/>
      <c r="G109" s="97"/>
      <c r="H109" s="98"/>
      <c r="I109" s="105"/>
      <c r="J109" s="97"/>
      <c r="K109" s="101"/>
      <c r="L109" s="101"/>
      <c r="M109" s="102"/>
      <c r="N109" s="103"/>
      <c r="O109" s="125"/>
      <c r="P109" s="97"/>
      <c r="Q109" s="131"/>
      <c r="R109" s="126"/>
      <c r="S109" s="105"/>
      <c r="T109" s="97"/>
      <c r="V109" s="108"/>
    </row>
    <row r="110" ht="15.75" customHeight="1">
      <c r="A110" s="91"/>
      <c r="B110" s="171"/>
      <c r="C110" s="143"/>
      <c r="D110" s="97"/>
      <c r="E110" s="143"/>
      <c r="F110" s="143"/>
      <c r="G110" s="97"/>
      <c r="H110" s="143"/>
      <c r="I110" s="145"/>
      <c r="J110" s="97"/>
      <c r="K110" s="114"/>
      <c r="L110" s="114"/>
      <c r="M110" s="102"/>
      <c r="N110" s="124"/>
      <c r="O110" s="125"/>
      <c r="P110" s="97"/>
      <c r="Q110" s="97"/>
      <c r="R110" s="126"/>
      <c r="S110" s="97"/>
      <c r="T110" s="97"/>
      <c r="V110" s="108"/>
    </row>
    <row r="111" ht="15.75" customHeight="1">
      <c r="A111" s="91"/>
      <c r="B111" s="171"/>
      <c r="C111" s="143"/>
      <c r="D111" s="97"/>
      <c r="E111" s="143"/>
      <c r="F111" s="143"/>
      <c r="G111" s="97"/>
      <c r="H111" s="143"/>
      <c r="I111" s="97"/>
      <c r="J111" s="97"/>
      <c r="K111" s="101"/>
      <c r="L111" s="101"/>
      <c r="M111" s="102"/>
      <c r="N111" s="124"/>
      <c r="O111" s="125"/>
      <c r="P111" s="97"/>
      <c r="Q111" s="131"/>
      <c r="R111" s="126"/>
      <c r="S111" s="97"/>
      <c r="T111" s="97"/>
      <c r="V111" s="108"/>
    </row>
    <row r="112" ht="15.75" customHeight="1">
      <c r="A112" s="91"/>
      <c r="B112" s="171"/>
      <c r="C112" s="108"/>
      <c r="D112" s="97"/>
      <c r="E112" s="143"/>
      <c r="F112" s="143"/>
      <c r="G112" s="97"/>
      <c r="H112" s="143"/>
      <c r="I112" s="97"/>
      <c r="J112" s="97"/>
      <c r="K112" s="114"/>
      <c r="L112" s="114"/>
      <c r="M112" s="102"/>
      <c r="N112" s="124"/>
      <c r="O112" s="125"/>
      <c r="P112" s="97"/>
      <c r="Q112" s="97"/>
      <c r="R112" s="126"/>
      <c r="S112" s="97"/>
      <c r="T112" s="97"/>
      <c r="V112" s="108"/>
    </row>
    <row r="113" ht="15.75" customHeight="1">
      <c r="A113" s="91"/>
      <c r="B113" s="171"/>
      <c r="C113" s="108"/>
      <c r="D113" s="97"/>
      <c r="E113" s="143"/>
      <c r="F113" s="143"/>
      <c r="G113" s="97"/>
      <c r="H113" s="143"/>
      <c r="I113" s="97"/>
      <c r="J113" s="97"/>
      <c r="K113" s="101"/>
      <c r="L113" s="101"/>
      <c r="M113" s="102"/>
      <c r="N113" s="124"/>
      <c r="O113" s="125"/>
      <c r="P113" s="97"/>
      <c r="Q113" s="97"/>
      <c r="R113" s="126"/>
      <c r="S113" s="97"/>
      <c r="T113" s="97"/>
      <c r="V113" s="108"/>
    </row>
    <row r="114" ht="15.75" customHeight="1">
      <c r="A114" s="91"/>
      <c r="B114" s="171"/>
      <c r="C114" s="108"/>
      <c r="D114" s="97"/>
      <c r="E114" s="143"/>
      <c r="F114" s="143"/>
      <c r="G114" s="97"/>
      <c r="H114" s="143"/>
      <c r="I114" s="97"/>
      <c r="J114" s="97"/>
      <c r="K114" s="114"/>
      <c r="L114" s="114"/>
      <c r="M114" s="102"/>
      <c r="N114" s="124"/>
      <c r="O114" s="125"/>
      <c r="P114" s="97"/>
      <c r="Q114" s="97"/>
      <c r="R114" s="126"/>
      <c r="S114" s="97"/>
      <c r="T114" s="97"/>
      <c r="V114" s="108"/>
    </row>
    <row r="115" ht="15.75" customHeight="1">
      <c r="A115" s="91"/>
      <c r="B115" s="171"/>
      <c r="C115" s="143"/>
      <c r="D115" s="97"/>
      <c r="E115" s="143"/>
      <c r="F115" s="143"/>
      <c r="G115" s="97"/>
      <c r="H115" s="143"/>
      <c r="I115" s="97"/>
      <c r="J115" s="97"/>
      <c r="K115" s="101"/>
      <c r="L115" s="101"/>
      <c r="M115" s="102"/>
      <c r="N115" s="124"/>
      <c r="O115" s="125"/>
      <c r="P115" s="97"/>
      <c r="Q115" s="97"/>
      <c r="R115" s="126"/>
      <c r="S115" s="97"/>
      <c r="T115" s="97"/>
      <c r="V115" s="108"/>
    </row>
    <row r="116" ht="15.75" customHeight="1">
      <c r="A116" s="91"/>
      <c r="B116" s="171"/>
      <c r="C116" s="143"/>
      <c r="D116" s="97"/>
      <c r="E116" s="143"/>
      <c r="F116" s="143"/>
      <c r="G116" s="97"/>
      <c r="H116" s="143"/>
      <c r="I116" s="97"/>
      <c r="J116" s="97"/>
      <c r="K116" s="114"/>
      <c r="L116" s="114"/>
      <c r="M116" s="102"/>
      <c r="N116" s="124"/>
      <c r="O116" s="125"/>
      <c r="P116" s="97"/>
      <c r="Q116" s="97"/>
      <c r="R116" s="126"/>
      <c r="S116" s="97"/>
      <c r="T116" s="97"/>
      <c r="V116" s="108"/>
    </row>
    <row r="117" ht="15.75" customHeight="1">
      <c r="A117" s="91"/>
      <c r="B117" s="171"/>
      <c r="C117" s="143"/>
      <c r="D117" s="97"/>
      <c r="E117" s="143"/>
      <c r="F117" s="143"/>
      <c r="G117" s="97"/>
      <c r="H117" s="143"/>
      <c r="I117" s="97"/>
      <c r="J117" s="97"/>
      <c r="K117" s="101"/>
      <c r="L117" s="101"/>
      <c r="M117" s="102"/>
      <c r="N117" s="124"/>
      <c r="O117" s="125"/>
      <c r="P117" s="97"/>
      <c r="Q117" s="97"/>
      <c r="R117" s="126"/>
      <c r="S117" s="97"/>
      <c r="T117" s="97"/>
      <c r="V117" s="108"/>
    </row>
    <row r="118" ht="15.75" customHeight="1">
      <c r="A118" s="91"/>
      <c r="B118" s="171"/>
      <c r="C118" s="143"/>
      <c r="D118" s="97"/>
      <c r="E118" s="143"/>
      <c r="F118" s="143"/>
      <c r="G118" s="97"/>
      <c r="H118" s="143"/>
      <c r="I118" s="97"/>
      <c r="J118" s="97"/>
      <c r="K118" s="114"/>
      <c r="L118" s="114"/>
      <c r="M118" s="102"/>
      <c r="N118" s="124"/>
      <c r="O118" s="125"/>
      <c r="P118" s="97"/>
      <c r="Q118" s="97"/>
      <c r="R118" s="126"/>
      <c r="S118" s="97"/>
      <c r="T118" s="97"/>
      <c r="V118" s="108"/>
    </row>
    <row r="119" ht="15.75" customHeight="1">
      <c r="A119" s="91"/>
      <c r="B119" s="171"/>
      <c r="C119" s="143"/>
      <c r="D119" s="97"/>
      <c r="E119" s="143"/>
      <c r="F119" s="143"/>
      <c r="G119" s="97"/>
      <c r="H119" s="143"/>
      <c r="I119" s="97"/>
      <c r="J119" s="97"/>
      <c r="K119" s="101"/>
      <c r="L119" s="101"/>
      <c r="M119" s="102"/>
      <c r="N119" s="124"/>
      <c r="O119" s="125"/>
      <c r="P119" s="97"/>
      <c r="Q119" s="131"/>
      <c r="R119" s="126"/>
      <c r="S119" s="97"/>
      <c r="T119" s="97"/>
      <c r="V119" s="108"/>
    </row>
    <row r="120" ht="15.75" customHeight="1">
      <c r="A120" s="91"/>
      <c r="B120" s="171"/>
      <c r="C120" s="108"/>
      <c r="D120" s="97"/>
      <c r="E120" s="143"/>
      <c r="F120" s="143"/>
      <c r="G120" s="97"/>
      <c r="H120" s="143"/>
      <c r="I120" s="97"/>
      <c r="J120" s="97"/>
      <c r="K120" s="114"/>
      <c r="L120" s="114"/>
      <c r="M120" s="102"/>
      <c r="N120" s="124"/>
      <c r="O120" s="125"/>
      <c r="P120" s="97"/>
      <c r="Q120" s="97"/>
      <c r="R120" s="126"/>
      <c r="S120" s="97"/>
      <c r="T120" s="97"/>
      <c r="V120" s="108"/>
    </row>
    <row r="121" ht="15.75" customHeight="1">
      <c r="A121" s="91"/>
      <c r="B121" s="171"/>
      <c r="C121" s="108"/>
      <c r="D121" s="97"/>
      <c r="E121" s="143"/>
      <c r="F121" s="143"/>
      <c r="G121" s="97"/>
      <c r="H121" s="143"/>
      <c r="I121" s="97"/>
      <c r="J121" s="97"/>
      <c r="K121" s="101"/>
      <c r="L121" s="101"/>
      <c r="M121" s="102"/>
      <c r="N121" s="124"/>
      <c r="O121" s="125"/>
      <c r="P121" s="97"/>
      <c r="Q121" s="97"/>
      <c r="R121" s="126"/>
      <c r="S121" s="97"/>
      <c r="T121" s="97"/>
      <c r="V121" s="108"/>
    </row>
    <row r="122" ht="15.75" customHeight="1">
      <c r="A122" s="91"/>
      <c r="B122" s="171"/>
      <c r="C122" s="108"/>
      <c r="D122" s="97"/>
      <c r="E122" s="143"/>
      <c r="F122" s="143"/>
      <c r="G122" s="97"/>
      <c r="H122" s="143"/>
      <c r="I122" s="97"/>
      <c r="J122" s="97"/>
      <c r="K122" s="114"/>
      <c r="L122" s="114"/>
      <c r="M122" s="102"/>
      <c r="N122" s="124"/>
      <c r="O122" s="125"/>
      <c r="P122" s="97"/>
      <c r="Q122" s="131"/>
      <c r="R122" s="126"/>
      <c r="S122" s="97"/>
      <c r="T122" s="97"/>
      <c r="V122" s="108"/>
    </row>
    <row r="123" ht="15.75" customHeight="1">
      <c r="A123" s="91"/>
      <c r="B123" s="171"/>
      <c r="C123" s="143"/>
      <c r="D123" s="97"/>
      <c r="E123" s="143"/>
      <c r="F123" s="143"/>
      <c r="G123" s="97"/>
      <c r="H123" s="143"/>
      <c r="I123" s="97"/>
      <c r="J123" s="97"/>
      <c r="K123" s="101"/>
      <c r="L123" s="101"/>
      <c r="M123" s="102"/>
      <c r="N123" s="124"/>
      <c r="O123" s="125"/>
      <c r="P123" s="97"/>
      <c r="Q123" s="131"/>
      <c r="R123" s="126"/>
      <c r="S123" s="97"/>
      <c r="T123" s="97"/>
      <c r="V123" s="108"/>
    </row>
    <row r="124" ht="15.75" customHeight="1">
      <c r="A124" s="91"/>
      <c r="B124" s="171"/>
      <c r="C124" s="143"/>
      <c r="D124" s="97"/>
      <c r="E124" s="143"/>
      <c r="F124" s="143"/>
      <c r="G124" s="97"/>
      <c r="H124" s="143"/>
      <c r="I124" s="97"/>
      <c r="J124" s="97"/>
      <c r="K124" s="114"/>
      <c r="L124" s="114"/>
      <c r="M124" s="102"/>
      <c r="N124" s="124"/>
      <c r="O124" s="125"/>
      <c r="P124" s="97"/>
      <c r="Q124" s="131"/>
      <c r="R124" s="126"/>
      <c r="S124" s="97"/>
      <c r="T124" s="97"/>
      <c r="V124" s="108"/>
    </row>
    <row r="125" ht="15.75" customHeight="1">
      <c r="A125" s="91"/>
      <c r="B125" s="171"/>
      <c r="C125" s="143"/>
      <c r="D125" s="97"/>
      <c r="E125" s="143"/>
      <c r="F125" s="143"/>
      <c r="G125" s="97"/>
      <c r="H125" s="143"/>
      <c r="I125" s="97"/>
      <c r="J125" s="97"/>
      <c r="K125" s="101"/>
      <c r="L125" s="101"/>
      <c r="M125" s="102"/>
      <c r="N125" s="124"/>
      <c r="O125" s="125"/>
      <c r="P125" s="97"/>
      <c r="Q125" s="131"/>
      <c r="R125" s="126"/>
      <c r="S125" s="97"/>
      <c r="T125" s="97"/>
      <c r="V125" s="108"/>
    </row>
    <row r="126" ht="15.75" customHeight="1">
      <c r="A126" s="91"/>
      <c r="B126" s="171"/>
      <c r="C126" s="143"/>
      <c r="D126" s="97"/>
      <c r="E126" s="143"/>
      <c r="F126" s="143"/>
      <c r="G126" s="97"/>
      <c r="H126" s="143"/>
      <c r="I126" s="97"/>
      <c r="J126" s="97"/>
      <c r="K126" s="114"/>
      <c r="L126" s="114"/>
      <c r="M126" s="102"/>
      <c r="N126" s="124"/>
      <c r="O126" s="125"/>
      <c r="P126" s="97"/>
      <c r="Q126" s="131"/>
      <c r="R126" s="126"/>
      <c r="S126" s="97"/>
      <c r="T126" s="97"/>
      <c r="V126" s="108"/>
    </row>
    <row r="127" ht="15.75" customHeight="1">
      <c r="A127" s="91"/>
      <c r="B127" s="171"/>
      <c r="C127" s="143"/>
      <c r="D127" s="97"/>
      <c r="E127" s="143"/>
      <c r="F127" s="143"/>
      <c r="G127" s="97"/>
      <c r="H127" s="143"/>
      <c r="I127" s="97"/>
      <c r="J127" s="97"/>
      <c r="K127" s="101"/>
      <c r="L127" s="101"/>
      <c r="M127" s="102"/>
      <c r="N127" s="124"/>
      <c r="O127" s="125"/>
      <c r="P127" s="97"/>
      <c r="Q127" s="131"/>
      <c r="R127" s="126"/>
      <c r="S127" s="97"/>
      <c r="T127" s="97"/>
      <c r="V127" s="108"/>
    </row>
    <row r="128" ht="15.75" customHeight="1">
      <c r="A128" s="91"/>
      <c r="B128" s="171"/>
      <c r="C128" s="108"/>
      <c r="D128" s="97"/>
      <c r="E128" s="143"/>
      <c r="F128" s="143"/>
      <c r="G128" s="97"/>
      <c r="H128" s="143"/>
      <c r="I128" s="97"/>
      <c r="J128" s="97"/>
      <c r="K128" s="114"/>
      <c r="L128" s="114"/>
      <c r="M128" s="102"/>
      <c r="N128" s="124"/>
      <c r="O128" s="125"/>
      <c r="P128" s="97"/>
      <c r="Q128" s="97"/>
      <c r="R128" s="126"/>
      <c r="S128" s="97"/>
      <c r="T128" s="97"/>
      <c r="V128" s="108"/>
    </row>
    <row r="129" ht="15.75" customHeight="1">
      <c r="A129" s="91"/>
      <c r="B129" s="171"/>
      <c r="C129" s="108"/>
      <c r="D129" s="97"/>
      <c r="E129" s="143"/>
      <c r="F129" s="143"/>
      <c r="G129" s="97"/>
      <c r="H129" s="143"/>
      <c r="I129" s="97"/>
      <c r="J129" s="97"/>
      <c r="K129" s="101"/>
      <c r="L129" s="101"/>
      <c r="M129" s="102"/>
      <c r="N129" s="124"/>
      <c r="O129" s="125"/>
      <c r="P129" s="97"/>
      <c r="Q129" s="131"/>
      <c r="R129" s="126"/>
      <c r="S129" s="97"/>
      <c r="T129" s="97"/>
      <c r="V129" s="108"/>
    </row>
    <row r="130" ht="15.75" customHeight="1">
      <c r="A130" s="91"/>
      <c r="B130" s="171"/>
      <c r="C130" s="108"/>
      <c r="D130" s="97"/>
      <c r="E130" s="143"/>
      <c r="F130" s="143"/>
      <c r="G130" s="97"/>
      <c r="H130" s="143"/>
      <c r="I130" s="97"/>
      <c r="J130" s="97"/>
      <c r="K130" s="114"/>
      <c r="L130" s="114"/>
      <c r="M130" s="102"/>
      <c r="N130" s="124"/>
      <c r="O130" s="125"/>
      <c r="P130" s="97"/>
      <c r="Q130" s="97"/>
      <c r="R130" s="126"/>
      <c r="S130" s="97"/>
      <c r="T130" s="97"/>
      <c r="V130" s="108"/>
    </row>
    <row r="131" ht="15.75" customHeight="1">
      <c r="A131" s="91"/>
      <c r="B131" s="171"/>
      <c r="C131" s="143"/>
      <c r="D131" s="97"/>
      <c r="E131" s="143"/>
      <c r="F131" s="143"/>
      <c r="G131" s="97"/>
      <c r="H131" s="143"/>
      <c r="I131" s="97"/>
      <c r="J131" s="97"/>
      <c r="K131" s="101"/>
      <c r="L131" s="101"/>
      <c r="M131" s="102"/>
      <c r="N131" s="124"/>
      <c r="O131" s="125"/>
      <c r="P131" s="97"/>
      <c r="Q131" s="97"/>
      <c r="R131" s="126"/>
      <c r="S131" s="97"/>
      <c r="T131" s="97"/>
      <c r="V131" s="108"/>
    </row>
    <row r="132" ht="15.75" customHeight="1">
      <c r="A132" s="91"/>
      <c r="B132" s="171"/>
      <c r="C132" s="143"/>
      <c r="D132" s="97"/>
      <c r="E132" s="143"/>
      <c r="F132" s="143"/>
      <c r="G132" s="97"/>
      <c r="H132" s="143"/>
      <c r="I132" s="97"/>
      <c r="J132" s="97"/>
      <c r="K132" s="114"/>
      <c r="L132" s="114"/>
      <c r="M132" s="102"/>
      <c r="N132" s="124"/>
      <c r="O132" s="125"/>
      <c r="P132" s="97"/>
      <c r="Q132" s="131"/>
      <c r="R132" s="126"/>
      <c r="S132" s="97"/>
      <c r="T132" s="97"/>
      <c r="V132" s="108"/>
    </row>
    <row r="133" ht="15.75" customHeight="1">
      <c r="A133" s="91"/>
      <c r="B133" s="171"/>
      <c r="C133" s="143"/>
      <c r="D133" s="97"/>
      <c r="E133" s="143"/>
      <c r="F133" s="143"/>
      <c r="G133" s="97"/>
      <c r="H133" s="143"/>
      <c r="I133" s="97"/>
      <c r="J133" s="97"/>
      <c r="K133" s="101"/>
      <c r="L133" s="101"/>
      <c r="M133" s="102"/>
      <c r="N133" s="124"/>
      <c r="O133" s="125"/>
      <c r="P133" s="97"/>
      <c r="Q133" s="97"/>
      <c r="R133" s="126"/>
      <c r="S133" s="97"/>
      <c r="T133" s="97"/>
      <c r="V133" s="108"/>
    </row>
    <row r="134" ht="15.75" customHeight="1">
      <c r="A134" s="91"/>
      <c r="B134" s="171"/>
      <c r="C134" s="143"/>
      <c r="D134" s="97"/>
      <c r="E134" s="143"/>
      <c r="F134" s="143"/>
      <c r="G134" s="97"/>
      <c r="H134" s="143"/>
      <c r="I134" s="97"/>
      <c r="J134" s="97"/>
      <c r="K134" s="114"/>
      <c r="L134" s="114"/>
      <c r="M134" s="102"/>
      <c r="N134" s="124"/>
      <c r="O134" s="125"/>
      <c r="P134" s="97"/>
      <c r="Q134" s="97"/>
      <c r="R134" s="126"/>
      <c r="S134" s="97"/>
      <c r="T134" s="97"/>
      <c r="V134" s="108"/>
    </row>
    <row r="135" ht="15.75" customHeight="1">
      <c r="A135" s="91"/>
      <c r="B135" s="171"/>
      <c r="C135" s="143"/>
      <c r="D135" s="97"/>
      <c r="E135" s="143"/>
      <c r="F135" s="143"/>
      <c r="G135" s="97"/>
      <c r="H135" s="143"/>
      <c r="I135" s="97"/>
      <c r="J135" s="97"/>
      <c r="K135" s="101"/>
      <c r="L135" s="101"/>
      <c r="M135" s="102"/>
      <c r="N135" s="124"/>
      <c r="O135" s="125"/>
      <c r="P135" s="97"/>
      <c r="Q135" s="131"/>
      <c r="R135" s="126"/>
      <c r="S135" s="97"/>
      <c r="T135" s="97"/>
      <c r="V135" s="108"/>
    </row>
    <row r="136" ht="15.75" customHeight="1">
      <c r="A136" s="91"/>
      <c r="B136" s="171"/>
      <c r="C136" s="108"/>
      <c r="D136" s="97"/>
      <c r="E136" s="143"/>
      <c r="F136" s="143"/>
      <c r="G136" s="97"/>
      <c r="H136" s="143"/>
      <c r="I136" s="97"/>
      <c r="J136" s="97"/>
      <c r="K136" s="114"/>
      <c r="L136" s="114"/>
      <c r="M136" s="102"/>
      <c r="N136" s="124"/>
      <c r="O136" s="125"/>
      <c r="P136" s="97"/>
      <c r="Q136" s="97"/>
      <c r="R136" s="126"/>
      <c r="S136" s="97"/>
      <c r="T136" s="97"/>
      <c r="V136" s="108"/>
    </row>
    <row r="137" ht="15.75" customHeight="1">
      <c r="A137" s="91"/>
      <c r="B137" s="171"/>
      <c r="C137" s="108"/>
      <c r="D137" s="97"/>
      <c r="E137" s="143"/>
      <c r="F137" s="143"/>
      <c r="G137" s="97"/>
      <c r="H137" s="143"/>
      <c r="I137" s="97"/>
      <c r="J137" s="97"/>
      <c r="K137" s="101"/>
      <c r="L137" s="101"/>
      <c r="M137" s="102"/>
      <c r="N137" s="124"/>
      <c r="O137" s="125"/>
      <c r="P137" s="97"/>
      <c r="Q137" s="131"/>
      <c r="R137" s="126"/>
      <c r="S137" s="97"/>
      <c r="T137" s="97"/>
      <c r="V137" s="108"/>
    </row>
    <row r="138" ht="15.75" customHeight="1">
      <c r="A138" s="91"/>
      <c r="B138" s="171"/>
      <c r="C138" s="108"/>
      <c r="D138" s="97"/>
      <c r="E138" s="143"/>
      <c r="F138" s="143"/>
      <c r="G138" s="97"/>
      <c r="H138" s="143"/>
      <c r="I138" s="97"/>
      <c r="J138" s="97"/>
      <c r="K138" s="114"/>
      <c r="L138" s="114"/>
      <c r="M138" s="102"/>
      <c r="N138" s="124"/>
      <c r="O138" s="125"/>
      <c r="P138" s="97"/>
      <c r="Q138" s="131"/>
      <c r="R138" s="126"/>
      <c r="S138" s="97"/>
      <c r="T138" s="97"/>
      <c r="V138" s="108"/>
    </row>
    <row r="139" ht="15.75" customHeight="1">
      <c r="A139" s="91"/>
      <c r="B139" s="171"/>
      <c r="C139" s="143"/>
      <c r="D139" s="97"/>
      <c r="E139" s="143"/>
      <c r="F139" s="143"/>
      <c r="G139" s="97"/>
      <c r="H139" s="143"/>
      <c r="I139" s="97"/>
      <c r="J139" s="97"/>
      <c r="K139" s="101"/>
      <c r="L139" s="101"/>
      <c r="M139" s="102"/>
      <c r="N139" s="124"/>
      <c r="O139" s="125"/>
      <c r="P139" s="97"/>
      <c r="Q139" s="131"/>
      <c r="R139" s="126"/>
      <c r="S139" s="97"/>
      <c r="T139" s="97"/>
      <c r="V139" s="108"/>
    </row>
    <row r="140" ht="15.75" customHeight="1">
      <c r="A140" s="91"/>
      <c r="B140" s="171"/>
      <c r="C140" s="143"/>
      <c r="D140" s="97"/>
      <c r="E140" s="143"/>
      <c r="F140" s="143"/>
      <c r="G140" s="97"/>
      <c r="H140" s="143"/>
      <c r="I140" s="97"/>
      <c r="J140" s="97"/>
      <c r="K140" s="114"/>
      <c r="L140" s="114"/>
      <c r="M140" s="102"/>
      <c r="N140" s="124"/>
      <c r="O140" s="125"/>
      <c r="P140" s="97"/>
      <c r="Q140" s="97"/>
      <c r="R140" s="126"/>
      <c r="S140" s="97"/>
      <c r="T140" s="97"/>
      <c r="V140" s="108"/>
    </row>
    <row r="141" ht="15.75" customHeight="1">
      <c r="A141" s="91"/>
      <c r="B141" s="171"/>
      <c r="C141" s="143"/>
      <c r="D141" s="97"/>
      <c r="E141" s="143"/>
      <c r="F141" s="143"/>
      <c r="G141" s="97"/>
      <c r="H141" s="143"/>
      <c r="I141" s="97"/>
      <c r="J141" s="97"/>
      <c r="K141" s="101"/>
      <c r="L141" s="101"/>
      <c r="M141" s="102"/>
      <c r="N141" s="124"/>
      <c r="O141" s="125"/>
      <c r="P141" s="97"/>
      <c r="Q141" s="131"/>
      <c r="R141" s="126"/>
      <c r="S141" s="97"/>
      <c r="T141" s="97"/>
      <c r="V141" s="108"/>
    </row>
    <row r="142" ht="15.75" customHeight="1">
      <c r="A142" s="91"/>
      <c r="B142" s="171"/>
      <c r="C142" s="143"/>
      <c r="D142" s="97"/>
      <c r="E142" s="143"/>
      <c r="F142" s="143"/>
      <c r="G142" s="97"/>
      <c r="H142" s="143"/>
      <c r="I142" s="97"/>
      <c r="J142" s="97"/>
      <c r="K142" s="114"/>
      <c r="L142" s="114"/>
      <c r="M142" s="102"/>
      <c r="N142" s="124"/>
      <c r="O142" s="125"/>
      <c r="P142" s="97"/>
      <c r="Q142" s="97"/>
      <c r="R142" s="126"/>
      <c r="S142" s="97"/>
      <c r="T142" s="97"/>
      <c r="V142" s="108"/>
    </row>
    <row r="143" ht="15.75" customHeight="1">
      <c r="A143" s="91"/>
      <c r="B143" s="171"/>
      <c r="C143" s="143"/>
      <c r="D143" s="97"/>
      <c r="E143" s="143"/>
      <c r="F143" s="172"/>
      <c r="G143" s="97"/>
      <c r="H143" s="143"/>
      <c r="I143" s="97"/>
      <c r="J143" s="97"/>
      <c r="K143" s="101"/>
      <c r="L143" s="101"/>
      <c r="M143" s="102"/>
      <c r="N143" s="124"/>
      <c r="O143" s="125"/>
      <c r="P143" s="97"/>
      <c r="Q143" s="131"/>
      <c r="R143" s="126"/>
      <c r="S143" s="97"/>
      <c r="T143" s="97"/>
      <c r="V143" s="108"/>
    </row>
    <row r="144" ht="15.75" customHeight="1">
      <c r="A144" s="91"/>
      <c r="B144" s="171"/>
      <c r="C144" s="108"/>
      <c r="D144" s="97"/>
      <c r="E144" s="143"/>
      <c r="F144" s="143"/>
      <c r="G144" s="97"/>
      <c r="H144" s="143"/>
      <c r="I144" s="97"/>
      <c r="J144" s="97"/>
      <c r="K144" s="114"/>
      <c r="L144" s="114"/>
      <c r="M144" s="102"/>
      <c r="N144" s="124"/>
      <c r="O144" s="125"/>
      <c r="P144" s="97"/>
      <c r="Q144" s="97"/>
      <c r="R144" s="126"/>
      <c r="S144" s="97"/>
      <c r="T144" s="97"/>
      <c r="V144" s="108"/>
    </row>
    <row r="145" ht="15.75" customHeight="1">
      <c r="A145" s="91"/>
      <c r="B145" s="171"/>
      <c r="C145" s="108"/>
      <c r="D145" s="97"/>
      <c r="E145" s="143"/>
      <c r="F145" s="143"/>
      <c r="G145" s="97"/>
      <c r="H145" s="143"/>
      <c r="I145" s="97"/>
      <c r="J145" s="97"/>
      <c r="K145" s="101"/>
      <c r="L145" s="101"/>
      <c r="M145" s="102"/>
      <c r="N145" s="124"/>
      <c r="O145" s="125"/>
      <c r="P145" s="97"/>
      <c r="Q145" s="131"/>
      <c r="R145" s="126"/>
      <c r="S145" s="97"/>
      <c r="T145" s="97"/>
      <c r="V145" s="108"/>
    </row>
    <row r="146" ht="15.75" customHeight="1">
      <c r="A146" s="91"/>
      <c r="B146" s="171"/>
      <c r="C146" s="143"/>
      <c r="D146" s="97"/>
      <c r="E146" s="143"/>
      <c r="F146" s="143"/>
      <c r="G146" s="97"/>
      <c r="H146" s="143"/>
      <c r="I146" s="97"/>
      <c r="J146" s="97"/>
      <c r="K146" s="114"/>
      <c r="L146" s="114"/>
      <c r="M146" s="102"/>
      <c r="N146" s="124"/>
      <c r="O146" s="125"/>
      <c r="P146" s="97"/>
      <c r="Q146" s="131"/>
      <c r="R146" s="126"/>
      <c r="S146" s="97"/>
      <c r="T146" s="97"/>
      <c r="V146" s="108"/>
    </row>
    <row r="147" ht="15.75" customHeight="1">
      <c r="A147" s="91"/>
      <c r="B147" s="171"/>
      <c r="C147" s="143"/>
      <c r="D147" s="97"/>
      <c r="E147" s="143"/>
      <c r="F147" s="143"/>
      <c r="G147" s="97"/>
      <c r="H147" s="143"/>
      <c r="I147" s="97"/>
      <c r="J147" s="97"/>
      <c r="K147" s="101"/>
      <c r="L147" s="101"/>
      <c r="M147" s="102"/>
      <c r="N147" s="124"/>
      <c r="O147" s="125"/>
      <c r="P147" s="97"/>
      <c r="Q147" s="131"/>
      <c r="R147" s="126"/>
      <c r="S147" s="97"/>
      <c r="T147" s="97"/>
      <c r="V147" s="108"/>
    </row>
    <row r="148" ht="15.75" customHeight="1">
      <c r="A148" s="91"/>
      <c r="B148" s="171"/>
      <c r="C148" s="143"/>
      <c r="D148" s="97"/>
      <c r="E148" s="143"/>
      <c r="F148" s="143"/>
      <c r="G148" s="97"/>
      <c r="H148" s="143"/>
      <c r="I148" s="97"/>
      <c r="J148" s="97"/>
      <c r="K148" s="114"/>
      <c r="L148" s="114"/>
      <c r="M148" s="102"/>
      <c r="N148" s="124"/>
      <c r="O148" s="125"/>
      <c r="P148" s="97"/>
      <c r="Q148" s="131"/>
      <c r="R148" s="126"/>
      <c r="S148" s="97"/>
      <c r="T148" s="97"/>
      <c r="V148" s="108"/>
    </row>
    <row r="149" ht="15.75" customHeight="1">
      <c r="A149" s="91"/>
      <c r="B149" s="171"/>
      <c r="C149" s="143"/>
      <c r="D149" s="97"/>
      <c r="E149" s="143"/>
      <c r="F149" s="143"/>
      <c r="G149" s="97"/>
      <c r="H149" s="143"/>
      <c r="I149" s="97"/>
      <c r="J149" s="97"/>
      <c r="K149" s="101"/>
      <c r="L149" s="101"/>
      <c r="M149" s="102"/>
      <c r="N149" s="124"/>
      <c r="O149" s="125"/>
      <c r="P149" s="97"/>
      <c r="Q149" s="131"/>
      <c r="R149" s="126"/>
      <c r="S149" s="97"/>
      <c r="T149" s="97"/>
      <c r="V149" s="108"/>
    </row>
    <row r="150" ht="15.75" customHeight="1">
      <c r="A150" s="91"/>
      <c r="B150" s="171"/>
      <c r="C150" s="143"/>
      <c r="D150" s="97"/>
      <c r="E150" s="143"/>
      <c r="F150" s="143"/>
      <c r="G150" s="97"/>
      <c r="H150" s="143"/>
      <c r="I150" s="97"/>
      <c r="J150" s="97"/>
      <c r="K150" s="114"/>
      <c r="L150" s="114"/>
      <c r="M150" s="102"/>
      <c r="N150" s="124"/>
      <c r="O150" s="125"/>
      <c r="P150" s="97"/>
      <c r="Q150" s="131"/>
      <c r="R150" s="126"/>
      <c r="S150" s="97"/>
      <c r="T150" s="97"/>
      <c r="V150" s="108"/>
    </row>
    <row r="151" ht="15.75" customHeight="1">
      <c r="A151" s="91"/>
      <c r="B151" s="171"/>
      <c r="C151" s="108"/>
      <c r="D151" s="97"/>
      <c r="E151" s="143"/>
      <c r="F151" s="143"/>
      <c r="G151" s="97"/>
      <c r="H151" s="143"/>
      <c r="I151" s="97"/>
      <c r="J151" s="97"/>
      <c r="K151" s="101"/>
      <c r="L151" s="101"/>
      <c r="M151" s="102"/>
      <c r="N151" s="124"/>
      <c r="O151" s="125"/>
      <c r="P151" s="97"/>
      <c r="Q151" s="131"/>
      <c r="R151" s="126"/>
      <c r="S151" s="97"/>
      <c r="T151" s="97"/>
      <c r="V151" s="108"/>
    </row>
    <row r="152" ht="15.75" customHeight="1">
      <c r="A152" s="91"/>
      <c r="B152" s="171"/>
      <c r="C152" s="143"/>
      <c r="D152" s="97"/>
      <c r="E152" s="143"/>
      <c r="F152" s="143"/>
      <c r="G152" s="97"/>
      <c r="H152" s="143"/>
      <c r="I152" s="97"/>
      <c r="J152" s="97"/>
      <c r="K152" s="114"/>
      <c r="L152" s="114"/>
      <c r="M152" s="102"/>
      <c r="N152" s="124"/>
      <c r="O152" s="125"/>
      <c r="P152" s="97"/>
      <c r="Q152" s="131"/>
      <c r="R152" s="126"/>
      <c r="S152" s="97"/>
      <c r="T152" s="97"/>
      <c r="V152" s="108"/>
    </row>
    <row r="153" ht="15.75" customHeight="1">
      <c r="A153" s="91"/>
      <c r="B153" s="171"/>
      <c r="C153" s="143"/>
      <c r="D153" s="97"/>
      <c r="E153" s="143"/>
      <c r="F153" s="143"/>
      <c r="G153" s="97"/>
      <c r="H153" s="143"/>
      <c r="I153" s="97"/>
      <c r="J153" s="97"/>
      <c r="K153" s="101"/>
      <c r="L153" s="101"/>
      <c r="M153" s="102"/>
      <c r="N153" s="124"/>
      <c r="O153" s="125"/>
      <c r="P153" s="97"/>
      <c r="Q153" s="131"/>
      <c r="R153" s="126"/>
      <c r="S153" s="97"/>
      <c r="T153" s="97"/>
      <c r="V153" s="108"/>
    </row>
    <row r="154" ht="15.75" customHeight="1">
      <c r="A154" s="91"/>
      <c r="B154" s="171"/>
      <c r="C154" s="143"/>
      <c r="D154" s="97"/>
      <c r="E154" s="143"/>
      <c r="F154" s="143"/>
      <c r="G154" s="97"/>
      <c r="H154" s="143"/>
      <c r="I154" s="97"/>
      <c r="J154" s="97"/>
      <c r="K154" s="114"/>
      <c r="L154" s="114"/>
      <c r="M154" s="102"/>
      <c r="N154" s="124"/>
      <c r="O154" s="125"/>
      <c r="P154" s="97"/>
      <c r="Q154" s="131"/>
      <c r="R154" s="126"/>
      <c r="S154" s="97"/>
      <c r="T154" s="97"/>
      <c r="V154" s="108"/>
    </row>
    <row r="155" ht="15.75" customHeight="1">
      <c r="A155" s="91"/>
      <c r="B155" s="171"/>
      <c r="C155" s="143"/>
      <c r="D155" s="97"/>
      <c r="E155" s="143"/>
      <c r="F155" s="143"/>
      <c r="G155" s="97"/>
      <c r="H155" s="143"/>
      <c r="I155" s="97"/>
      <c r="J155" s="97"/>
      <c r="K155" s="101"/>
      <c r="L155" s="101"/>
      <c r="M155" s="102"/>
      <c r="N155" s="124"/>
      <c r="O155" s="125"/>
      <c r="P155" s="97"/>
      <c r="Q155" s="131"/>
      <c r="R155" s="126"/>
      <c r="S155" s="97"/>
      <c r="T155" s="97"/>
      <c r="V155" s="108"/>
    </row>
    <row r="156" ht="15.75" customHeight="1">
      <c r="A156" s="91"/>
      <c r="B156" s="171"/>
      <c r="C156" s="143"/>
      <c r="D156" s="97"/>
      <c r="E156" s="143"/>
      <c r="F156" s="143"/>
      <c r="G156" s="97"/>
      <c r="H156" s="143"/>
      <c r="I156" s="97"/>
      <c r="J156" s="97"/>
      <c r="K156" s="114"/>
      <c r="L156" s="114"/>
      <c r="M156" s="102"/>
      <c r="N156" s="124"/>
      <c r="O156" s="125"/>
      <c r="P156" s="97"/>
      <c r="Q156" s="131"/>
      <c r="R156" s="126"/>
      <c r="S156" s="97"/>
      <c r="T156" s="97"/>
      <c r="V156" s="108"/>
    </row>
    <row r="157" ht="15.75" customHeight="1">
      <c r="A157" s="91"/>
      <c r="B157" s="171"/>
      <c r="C157" s="108"/>
      <c r="D157" s="97"/>
      <c r="E157" s="143"/>
      <c r="F157" s="143"/>
      <c r="G157" s="97"/>
      <c r="H157" s="143"/>
      <c r="I157" s="97"/>
      <c r="J157" s="97"/>
      <c r="K157" s="101"/>
      <c r="L157" s="101"/>
      <c r="M157" s="102"/>
      <c r="N157" s="124"/>
      <c r="O157" s="125"/>
      <c r="P157" s="97"/>
      <c r="Q157" s="131"/>
      <c r="R157" s="126"/>
      <c r="S157" s="97"/>
      <c r="T157" s="97"/>
      <c r="V157" s="108"/>
    </row>
    <row r="158" ht="15.75" customHeight="1">
      <c r="A158" s="91"/>
      <c r="B158" s="171"/>
      <c r="C158" s="143"/>
      <c r="D158" s="97"/>
      <c r="E158" s="143"/>
      <c r="F158" s="143"/>
      <c r="G158" s="97"/>
      <c r="H158" s="143"/>
      <c r="I158" s="97"/>
      <c r="J158" s="97"/>
      <c r="K158" s="114"/>
      <c r="L158" s="114"/>
      <c r="M158" s="102"/>
      <c r="N158" s="124"/>
      <c r="O158" s="125"/>
      <c r="P158" s="97"/>
      <c r="Q158" s="131"/>
      <c r="R158" s="126"/>
      <c r="S158" s="97"/>
      <c r="T158" s="97"/>
      <c r="V158" s="108"/>
    </row>
    <row r="159" ht="15.75" customHeight="1">
      <c r="A159" s="91"/>
      <c r="B159" s="171"/>
      <c r="C159" s="143"/>
      <c r="D159" s="97"/>
      <c r="E159" s="143"/>
      <c r="F159" s="143"/>
      <c r="G159" s="97"/>
      <c r="H159" s="143"/>
      <c r="I159" s="97"/>
      <c r="J159" s="97"/>
      <c r="K159" s="101"/>
      <c r="L159" s="101"/>
      <c r="M159" s="102"/>
      <c r="N159" s="124"/>
      <c r="O159" s="125"/>
      <c r="P159" s="97"/>
      <c r="Q159" s="131"/>
      <c r="R159" s="126"/>
      <c r="S159" s="97"/>
      <c r="T159" s="97"/>
      <c r="V159" s="108"/>
    </row>
    <row r="160" ht="15.75" customHeight="1">
      <c r="A160" s="91"/>
      <c r="B160" s="171"/>
      <c r="C160" s="143"/>
      <c r="D160" s="97"/>
      <c r="E160" s="143"/>
      <c r="F160" s="143"/>
      <c r="G160" s="97"/>
      <c r="H160" s="143"/>
      <c r="I160" s="97"/>
      <c r="J160" s="97"/>
      <c r="K160" s="114"/>
      <c r="L160" s="114"/>
      <c r="M160" s="102"/>
      <c r="N160" s="124"/>
      <c r="O160" s="125"/>
      <c r="P160" s="97"/>
      <c r="Q160" s="131"/>
      <c r="R160" s="126"/>
      <c r="S160" s="97"/>
      <c r="T160" s="97"/>
      <c r="V160" s="108"/>
    </row>
    <row r="161" ht="15.75" customHeight="1">
      <c r="A161" s="91"/>
      <c r="B161" s="171"/>
      <c r="C161" s="143"/>
      <c r="D161" s="97"/>
      <c r="E161" s="143"/>
      <c r="F161" s="143"/>
      <c r="G161" s="97"/>
      <c r="H161" s="143"/>
      <c r="I161" s="97"/>
      <c r="J161" s="97"/>
      <c r="K161" s="101"/>
      <c r="L161" s="101"/>
      <c r="M161" s="102"/>
      <c r="N161" s="124"/>
      <c r="O161" s="125"/>
      <c r="P161" s="97"/>
      <c r="Q161" s="131"/>
      <c r="R161" s="126"/>
      <c r="S161" s="97"/>
      <c r="T161" s="97"/>
      <c r="V161" s="108"/>
    </row>
    <row r="162" ht="15.75" customHeight="1">
      <c r="A162" s="91"/>
      <c r="B162" s="171"/>
      <c r="C162" s="143"/>
      <c r="D162" s="97"/>
      <c r="E162" s="143"/>
      <c r="F162" s="143"/>
      <c r="G162" s="97"/>
      <c r="H162" s="143"/>
      <c r="I162" s="97"/>
      <c r="J162" s="97"/>
      <c r="K162" s="114"/>
      <c r="L162" s="114"/>
      <c r="M162" s="102"/>
      <c r="N162" s="124"/>
      <c r="O162" s="125"/>
      <c r="P162" s="97"/>
      <c r="Q162" s="131"/>
      <c r="R162" s="126"/>
      <c r="S162" s="97"/>
      <c r="T162" s="97"/>
      <c r="V162" s="108"/>
    </row>
    <row r="163" ht="15.75" customHeight="1">
      <c r="A163" s="91"/>
      <c r="B163" s="171"/>
      <c r="C163" s="108"/>
      <c r="D163" s="97"/>
      <c r="E163" s="143"/>
      <c r="F163" s="143"/>
      <c r="G163" s="97"/>
      <c r="H163" s="143"/>
      <c r="I163" s="97"/>
      <c r="J163" s="97"/>
      <c r="K163" s="101"/>
      <c r="L163" s="101"/>
      <c r="M163" s="102"/>
      <c r="N163" s="124"/>
      <c r="O163" s="125"/>
      <c r="P163" s="97"/>
      <c r="Q163" s="131"/>
      <c r="R163" s="126"/>
      <c r="S163" s="97"/>
      <c r="T163" s="97"/>
      <c r="V163" s="108"/>
    </row>
    <row r="164" ht="15.75" customHeight="1">
      <c r="A164" s="91"/>
      <c r="B164" s="171"/>
      <c r="C164" s="143"/>
      <c r="D164" s="97"/>
      <c r="E164" s="143"/>
      <c r="F164" s="143"/>
      <c r="G164" s="97"/>
      <c r="H164" s="143"/>
      <c r="I164" s="97"/>
      <c r="J164" s="97"/>
      <c r="K164" s="114"/>
      <c r="L164" s="114"/>
      <c r="M164" s="102"/>
      <c r="N164" s="124"/>
      <c r="O164" s="125"/>
      <c r="P164" s="97"/>
      <c r="Q164" s="131"/>
      <c r="R164" s="126"/>
      <c r="S164" s="97"/>
      <c r="T164" s="97"/>
      <c r="V164" s="108"/>
    </row>
    <row r="165" ht="15.75" customHeight="1">
      <c r="A165" s="91"/>
      <c r="B165" s="171"/>
      <c r="C165" s="143"/>
      <c r="D165" s="97"/>
      <c r="E165" s="143"/>
      <c r="F165" s="143"/>
      <c r="G165" s="97"/>
      <c r="H165" s="143"/>
      <c r="I165" s="97"/>
      <c r="J165" s="97"/>
      <c r="K165" s="101"/>
      <c r="L165" s="101"/>
      <c r="M165" s="102"/>
      <c r="N165" s="124"/>
      <c r="O165" s="125"/>
      <c r="P165" s="97"/>
      <c r="Q165" s="131"/>
      <c r="R165" s="126"/>
      <c r="S165" s="97"/>
      <c r="T165" s="97"/>
      <c r="V165" s="108"/>
    </row>
    <row r="166" ht="15.75" customHeight="1">
      <c r="A166" s="91"/>
      <c r="B166" s="171"/>
      <c r="C166" s="143"/>
      <c r="D166" s="97"/>
      <c r="E166" s="143"/>
      <c r="F166" s="143"/>
      <c r="G166" s="97"/>
      <c r="H166" s="143"/>
      <c r="I166" s="97"/>
      <c r="J166" s="97"/>
      <c r="K166" s="114"/>
      <c r="L166" s="114"/>
      <c r="M166" s="102"/>
      <c r="N166" s="124"/>
      <c r="O166" s="125"/>
      <c r="P166" s="97"/>
      <c r="Q166" s="131"/>
      <c r="R166" s="126"/>
      <c r="S166" s="97"/>
      <c r="T166" s="97"/>
      <c r="V166" s="108"/>
    </row>
    <row r="167" ht="15.75" customHeight="1">
      <c r="A167" s="91"/>
      <c r="B167" s="171"/>
      <c r="C167" s="143"/>
      <c r="D167" s="97"/>
      <c r="E167" s="143"/>
      <c r="F167" s="143"/>
      <c r="G167" s="97"/>
      <c r="H167" s="143"/>
      <c r="I167" s="97"/>
      <c r="J167" s="97"/>
      <c r="K167" s="101"/>
      <c r="L167" s="101"/>
      <c r="M167" s="102"/>
      <c r="N167" s="124"/>
      <c r="O167" s="125"/>
      <c r="P167" s="97"/>
      <c r="Q167" s="131"/>
      <c r="R167" s="126"/>
      <c r="S167" s="97"/>
      <c r="T167" s="97"/>
      <c r="V167" s="108"/>
    </row>
    <row r="168" ht="15.75" customHeight="1">
      <c r="A168" s="91"/>
      <c r="B168" s="171"/>
      <c r="C168" s="143"/>
      <c r="D168" s="97"/>
      <c r="E168" s="143"/>
      <c r="F168" s="143"/>
      <c r="G168" s="97"/>
      <c r="H168" s="143"/>
      <c r="I168" s="97"/>
      <c r="J168" s="97"/>
      <c r="K168" s="114"/>
      <c r="L168" s="114"/>
      <c r="M168" s="102"/>
      <c r="N168" s="124"/>
      <c r="O168" s="125"/>
      <c r="P168" s="97"/>
      <c r="Q168" s="131"/>
      <c r="R168" s="126"/>
      <c r="S168" s="97"/>
      <c r="T168" s="97"/>
      <c r="V168" s="108"/>
    </row>
    <row r="169" ht="15.75" customHeight="1">
      <c r="A169" s="91"/>
      <c r="B169" s="171"/>
      <c r="C169" s="108"/>
      <c r="D169" s="97"/>
      <c r="E169" s="143"/>
      <c r="F169" s="143"/>
      <c r="G169" s="97"/>
      <c r="H169" s="143"/>
      <c r="I169" s="97"/>
      <c r="J169" s="97"/>
      <c r="K169" s="101"/>
      <c r="L169" s="101"/>
      <c r="M169" s="102"/>
      <c r="N169" s="124"/>
      <c r="O169" s="125"/>
      <c r="P169" s="97"/>
      <c r="Q169" s="131"/>
      <c r="R169" s="126"/>
      <c r="S169" s="97"/>
      <c r="T169" s="97"/>
      <c r="V169" s="108"/>
    </row>
    <row r="170" ht="15.75" customHeight="1">
      <c r="A170" s="91"/>
      <c r="B170" s="171"/>
      <c r="C170" s="143"/>
      <c r="D170" s="97"/>
      <c r="E170" s="143"/>
      <c r="F170" s="143"/>
      <c r="G170" s="97"/>
      <c r="H170" s="143"/>
      <c r="I170" s="97"/>
      <c r="J170" s="97"/>
      <c r="K170" s="114"/>
      <c r="L170" s="114"/>
      <c r="M170" s="102"/>
      <c r="N170" s="124"/>
      <c r="O170" s="125"/>
      <c r="P170" s="97"/>
      <c r="Q170" s="131"/>
      <c r="R170" s="126"/>
      <c r="S170" s="97"/>
      <c r="T170" s="97"/>
      <c r="V170" s="108"/>
    </row>
    <row r="171" ht="15.75" customHeight="1">
      <c r="A171" s="91"/>
      <c r="B171" s="171"/>
      <c r="C171" s="143"/>
      <c r="D171" s="97"/>
      <c r="E171" s="143"/>
      <c r="F171" s="143"/>
      <c r="G171" s="97"/>
      <c r="H171" s="143"/>
      <c r="I171" s="97"/>
      <c r="J171" s="97"/>
      <c r="K171" s="101"/>
      <c r="L171" s="101"/>
      <c r="M171" s="102"/>
      <c r="N171" s="124"/>
      <c r="O171" s="125"/>
      <c r="P171" s="97"/>
      <c r="Q171" s="131"/>
      <c r="R171" s="126"/>
      <c r="S171" s="97"/>
      <c r="T171" s="97"/>
      <c r="V171" s="108"/>
    </row>
    <row r="172" ht="15.75" customHeight="1">
      <c r="A172" s="91"/>
      <c r="B172" s="171"/>
      <c r="C172" s="143"/>
      <c r="D172" s="97"/>
      <c r="E172" s="143"/>
      <c r="F172" s="143"/>
      <c r="G172" s="97"/>
      <c r="H172" s="143"/>
      <c r="I172" s="97"/>
      <c r="J172" s="97"/>
      <c r="K172" s="114"/>
      <c r="L172" s="114"/>
      <c r="M172" s="102"/>
      <c r="N172" s="124"/>
      <c r="O172" s="125"/>
      <c r="P172" s="97"/>
      <c r="Q172" s="131"/>
      <c r="R172" s="126"/>
      <c r="S172" s="97"/>
      <c r="T172" s="97"/>
      <c r="V172" s="108"/>
    </row>
    <row r="173" ht="15.75" customHeight="1">
      <c r="A173" s="91"/>
      <c r="B173" s="171"/>
      <c r="C173" s="143"/>
      <c r="D173" s="97"/>
      <c r="E173" s="143"/>
      <c r="F173" s="143"/>
      <c r="G173" s="97"/>
      <c r="H173" s="143"/>
      <c r="I173" s="97"/>
      <c r="J173" s="97"/>
      <c r="K173" s="101"/>
      <c r="L173" s="101"/>
      <c r="M173" s="102"/>
      <c r="N173" s="124"/>
      <c r="O173" s="125"/>
      <c r="P173" s="97"/>
      <c r="Q173" s="131"/>
      <c r="R173" s="126"/>
      <c r="S173" s="97"/>
      <c r="T173" s="97"/>
      <c r="V173" s="108"/>
    </row>
    <row r="174" ht="15.75" customHeight="1">
      <c r="A174" s="91"/>
      <c r="B174" s="171"/>
      <c r="C174" s="143"/>
      <c r="D174" s="97"/>
      <c r="E174" s="143"/>
      <c r="F174" s="143"/>
      <c r="G174" s="97"/>
      <c r="H174" s="143"/>
      <c r="I174" s="97"/>
      <c r="J174" s="97"/>
      <c r="K174" s="114"/>
      <c r="L174" s="114"/>
      <c r="M174" s="102"/>
      <c r="N174" s="124"/>
      <c r="O174" s="125"/>
      <c r="P174" s="97"/>
      <c r="Q174" s="131"/>
      <c r="R174" s="126"/>
      <c r="S174" s="97"/>
      <c r="T174" s="97"/>
      <c r="V174" s="108"/>
    </row>
    <row r="175" ht="15.75" customHeight="1">
      <c r="A175" s="91"/>
      <c r="B175" s="171"/>
      <c r="C175" s="108"/>
      <c r="D175" s="97"/>
      <c r="E175" s="143"/>
      <c r="F175" s="143"/>
      <c r="G175" s="97"/>
      <c r="H175" s="143"/>
      <c r="I175" s="97"/>
      <c r="J175" s="97"/>
      <c r="K175" s="101"/>
      <c r="L175" s="101"/>
      <c r="M175" s="102"/>
      <c r="N175" s="124"/>
      <c r="O175" s="125"/>
      <c r="P175" s="97"/>
      <c r="Q175" s="131"/>
      <c r="R175" s="126"/>
      <c r="S175" s="97"/>
      <c r="T175" s="97"/>
      <c r="V175" s="108"/>
    </row>
    <row r="176" ht="15.75" customHeight="1">
      <c r="A176" s="91"/>
      <c r="B176" s="171"/>
      <c r="C176" s="143"/>
      <c r="D176" s="97"/>
      <c r="E176" s="143"/>
      <c r="F176" s="143"/>
      <c r="G176" s="97"/>
      <c r="H176" s="143"/>
      <c r="I176" s="97"/>
      <c r="J176" s="97"/>
      <c r="K176" s="114"/>
      <c r="L176" s="114"/>
      <c r="M176" s="102"/>
      <c r="N176" s="124"/>
      <c r="O176" s="125"/>
      <c r="P176" s="97"/>
      <c r="Q176" s="131"/>
      <c r="R176" s="126"/>
      <c r="S176" s="97"/>
      <c r="T176" s="97"/>
      <c r="V176" s="108"/>
    </row>
    <row r="177" ht="15.75" customHeight="1">
      <c r="A177" s="91"/>
      <c r="B177" s="171"/>
      <c r="C177" s="143"/>
      <c r="D177" s="97"/>
      <c r="E177" s="143"/>
      <c r="F177" s="143"/>
      <c r="G177" s="97"/>
      <c r="H177" s="143"/>
      <c r="I177" s="97"/>
      <c r="J177" s="97"/>
      <c r="K177" s="101"/>
      <c r="L177" s="101"/>
      <c r="M177" s="102"/>
      <c r="N177" s="124"/>
      <c r="O177" s="125"/>
      <c r="P177" s="97"/>
      <c r="Q177" s="131"/>
      <c r="R177" s="126"/>
      <c r="S177" s="97"/>
      <c r="T177" s="97"/>
      <c r="V177" s="108"/>
    </row>
    <row r="178" ht="15.75" customHeight="1">
      <c r="A178" s="91"/>
      <c r="B178" s="171"/>
      <c r="C178" s="143"/>
      <c r="D178" s="97"/>
      <c r="E178" s="143"/>
      <c r="F178" s="143"/>
      <c r="G178" s="97"/>
      <c r="H178" s="143"/>
      <c r="I178" s="97"/>
      <c r="J178" s="97"/>
      <c r="K178" s="114"/>
      <c r="L178" s="114"/>
      <c r="M178" s="102"/>
      <c r="N178" s="124"/>
      <c r="O178" s="125"/>
      <c r="P178" s="97"/>
      <c r="Q178" s="131"/>
      <c r="R178" s="126"/>
      <c r="S178" s="97"/>
      <c r="T178" s="97"/>
      <c r="V178" s="108"/>
    </row>
    <row r="179" ht="15.75" customHeight="1">
      <c r="A179" s="91"/>
      <c r="B179" s="171"/>
      <c r="C179" s="143"/>
      <c r="D179" s="97"/>
      <c r="E179" s="143"/>
      <c r="F179" s="143"/>
      <c r="G179" s="97"/>
      <c r="H179" s="143"/>
      <c r="I179" s="97"/>
      <c r="J179" s="97"/>
      <c r="K179" s="101"/>
      <c r="L179" s="101"/>
      <c r="M179" s="102"/>
      <c r="N179" s="124"/>
      <c r="O179" s="125"/>
      <c r="P179" s="97"/>
      <c r="Q179" s="131"/>
      <c r="R179" s="126"/>
      <c r="S179" s="97"/>
      <c r="T179" s="97"/>
      <c r="V179" s="108"/>
    </row>
    <row r="180" ht="15.75" customHeight="1">
      <c r="A180" s="91"/>
      <c r="B180" s="171"/>
      <c r="C180" s="143"/>
      <c r="D180" s="97"/>
      <c r="E180" s="143"/>
      <c r="F180" s="143"/>
      <c r="G180" s="97"/>
      <c r="H180" s="143"/>
      <c r="I180" s="97"/>
      <c r="J180" s="97"/>
      <c r="K180" s="114"/>
      <c r="L180" s="114"/>
      <c r="M180" s="102"/>
      <c r="N180" s="124"/>
      <c r="O180" s="125"/>
      <c r="P180" s="97"/>
      <c r="Q180" s="131"/>
      <c r="R180" s="126"/>
      <c r="S180" s="97"/>
      <c r="T180" s="97"/>
      <c r="V180" s="108"/>
    </row>
    <row r="181" ht="15.75" customHeight="1">
      <c r="A181" s="91"/>
      <c r="B181" s="171"/>
      <c r="C181" s="108"/>
      <c r="D181" s="97"/>
      <c r="E181" s="143"/>
      <c r="F181" s="143"/>
      <c r="G181" s="97"/>
      <c r="H181" s="143"/>
      <c r="I181" s="97"/>
      <c r="J181" s="97"/>
      <c r="K181" s="101"/>
      <c r="L181" s="101"/>
      <c r="M181" s="102"/>
      <c r="N181" s="124"/>
      <c r="O181" s="125"/>
      <c r="P181" s="97"/>
      <c r="Q181" s="131"/>
      <c r="R181" s="126"/>
      <c r="S181" s="97"/>
      <c r="T181" s="97"/>
      <c r="V181" s="108"/>
    </row>
    <row r="182" ht="15.75" customHeight="1">
      <c r="A182" s="91"/>
      <c r="B182" s="171"/>
      <c r="C182" s="143"/>
      <c r="D182" s="97"/>
      <c r="E182" s="143"/>
      <c r="F182" s="143"/>
      <c r="G182" s="97"/>
      <c r="H182" s="143"/>
      <c r="I182" s="97"/>
      <c r="J182" s="97"/>
      <c r="K182" s="114"/>
      <c r="L182" s="114"/>
      <c r="M182" s="102"/>
      <c r="N182" s="124"/>
      <c r="O182" s="125"/>
      <c r="P182" s="97"/>
      <c r="Q182" s="131"/>
      <c r="R182" s="126"/>
      <c r="S182" s="97"/>
      <c r="T182" s="97"/>
      <c r="V182" s="108"/>
    </row>
    <row r="183" ht="15.75" customHeight="1">
      <c r="A183" s="91"/>
      <c r="B183" s="171"/>
      <c r="C183" s="143"/>
      <c r="D183" s="97"/>
      <c r="E183" s="143"/>
      <c r="F183" s="143"/>
      <c r="G183" s="97"/>
      <c r="H183" s="143"/>
      <c r="I183" s="97"/>
      <c r="J183" s="97"/>
      <c r="K183" s="101"/>
      <c r="L183" s="101"/>
      <c r="M183" s="102"/>
      <c r="N183" s="124"/>
      <c r="O183" s="125"/>
      <c r="P183" s="97"/>
      <c r="Q183" s="131"/>
      <c r="R183" s="126"/>
      <c r="S183" s="97"/>
      <c r="T183" s="97"/>
      <c r="V183" s="108"/>
    </row>
    <row r="184" ht="15.75" customHeight="1">
      <c r="A184" s="91"/>
      <c r="B184" s="171"/>
      <c r="C184" s="143"/>
      <c r="D184" s="97"/>
      <c r="E184" s="143"/>
      <c r="F184" s="143"/>
      <c r="G184" s="97"/>
      <c r="H184" s="143"/>
      <c r="I184" s="97"/>
      <c r="J184" s="97"/>
      <c r="K184" s="114"/>
      <c r="L184" s="114"/>
      <c r="M184" s="102"/>
      <c r="N184" s="124"/>
      <c r="O184" s="125"/>
      <c r="P184" s="97"/>
      <c r="Q184" s="131"/>
      <c r="R184" s="126"/>
      <c r="S184" s="97"/>
      <c r="T184" s="97"/>
      <c r="V184" s="108"/>
    </row>
    <row r="185" ht="15.75" customHeight="1">
      <c r="A185" s="91"/>
      <c r="B185" s="171"/>
      <c r="C185" s="143"/>
      <c r="D185" s="97"/>
      <c r="E185" s="143"/>
      <c r="F185" s="143"/>
      <c r="G185" s="97"/>
      <c r="H185" s="143"/>
      <c r="I185" s="97"/>
      <c r="J185" s="97"/>
      <c r="K185" s="101"/>
      <c r="L185" s="101"/>
      <c r="M185" s="102"/>
      <c r="N185" s="124"/>
      <c r="O185" s="125"/>
      <c r="P185" s="97"/>
      <c r="Q185" s="131"/>
      <c r="R185" s="126"/>
      <c r="S185" s="97"/>
      <c r="T185" s="97"/>
      <c r="V185" s="108"/>
    </row>
    <row r="186" ht="15.75" customHeight="1">
      <c r="A186" s="91"/>
      <c r="B186" s="171"/>
      <c r="C186" s="143"/>
      <c r="D186" s="97"/>
      <c r="E186" s="143"/>
      <c r="F186" s="143"/>
      <c r="G186" s="97"/>
      <c r="H186" s="143"/>
      <c r="I186" s="97"/>
      <c r="J186" s="97"/>
      <c r="K186" s="114"/>
      <c r="L186" s="114"/>
      <c r="M186" s="102"/>
      <c r="N186" s="124"/>
      <c r="O186" s="125"/>
      <c r="P186" s="97"/>
      <c r="Q186" s="131"/>
      <c r="R186" s="126"/>
      <c r="S186" s="97"/>
      <c r="T186" s="97"/>
      <c r="V186" s="108"/>
    </row>
    <row r="187" ht="15.75" customHeight="1">
      <c r="A187" s="91"/>
      <c r="B187" s="171"/>
      <c r="C187" s="108"/>
      <c r="D187" s="97"/>
      <c r="E187" s="143"/>
      <c r="F187" s="143"/>
      <c r="G187" s="97"/>
      <c r="H187" s="143"/>
      <c r="I187" s="97"/>
      <c r="J187" s="97"/>
      <c r="K187" s="101"/>
      <c r="L187" s="101"/>
      <c r="M187" s="102"/>
      <c r="N187" s="124"/>
      <c r="O187" s="125"/>
      <c r="P187" s="97"/>
      <c r="Q187" s="131"/>
      <c r="R187" s="126"/>
      <c r="S187" s="97"/>
      <c r="T187" s="97"/>
      <c r="V187" s="108"/>
    </row>
    <row r="188" ht="15.75" customHeight="1">
      <c r="A188" s="91"/>
      <c r="B188" s="171"/>
      <c r="C188" s="143"/>
      <c r="D188" s="97"/>
      <c r="E188" s="143"/>
      <c r="F188" s="143"/>
      <c r="G188" s="97"/>
      <c r="H188" s="143"/>
      <c r="I188" s="97"/>
      <c r="J188" s="97"/>
      <c r="K188" s="114"/>
      <c r="L188" s="114"/>
      <c r="M188" s="102"/>
      <c r="N188" s="124"/>
      <c r="O188" s="125"/>
      <c r="P188" s="97"/>
      <c r="Q188" s="131"/>
      <c r="R188" s="126"/>
      <c r="S188" s="97"/>
      <c r="T188" s="97"/>
      <c r="V188" s="108"/>
    </row>
    <row r="189" ht="15.75" customHeight="1">
      <c r="A189" s="91"/>
      <c r="B189" s="171"/>
      <c r="C189" s="143"/>
      <c r="D189" s="97"/>
      <c r="E189" s="143"/>
      <c r="F189" s="143"/>
      <c r="G189" s="97"/>
      <c r="H189" s="143"/>
      <c r="I189" s="97"/>
      <c r="J189" s="97"/>
      <c r="K189" s="101"/>
      <c r="L189" s="101"/>
      <c r="M189" s="102"/>
      <c r="N189" s="124"/>
      <c r="O189" s="125"/>
      <c r="P189" s="97"/>
      <c r="Q189" s="131"/>
      <c r="R189" s="126"/>
      <c r="S189" s="97"/>
      <c r="T189" s="97"/>
      <c r="V189" s="108"/>
    </row>
    <row r="190" ht="15.75" customHeight="1">
      <c r="A190" s="91"/>
      <c r="B190" s="171"/>
      <c r="C190" s="143"/>
      <c r="D190" s="97"/>
      <c r="E190" s="143"/>
      <c r="F190" s="143"/>
      <c r="G190" s="97"/>
      <c r="H190" s="143"/>
      <c r="I190" s="97"/>
      <c r="J190" s="97"/>
      <c r="K190" s="114"/>
      <c r="L190" s="114"/>
      <c r="M190" s="102"/>
      <c r="N190" s="124"/>
      <c r="O190" s="125"/>
      <c r="P190" s="97"/>
      <c r="Q190" s="131"/>
      <c r="R190" s="126"/>
      <c r="S190" s="97"/>
      <c r="T190" s="97"/>
      <c r="V190" s="108"/>
    </row>
    <row r="191" ht="15.75" customHeight="1">
      <c r="A191" s="91"/>
      <c r="B191" s="171"/>
      <c r="C191" s="143"/>
      <c r="D191" s="97"/>
      <c r="E191" s="143"/>
      <c r="F191" s="143"/>
      <c r="G191" s="97"/>
      <c r="H191" s="143"/>
      <c r="I191" s="97"/>
      <c r="J191" s="97"/>
      <c r="K191" s="101"/>
      <c r="L191" s="101"/>
      <c r="M191" s="102"/>
      <c r="N191" s="124"/>
      <c r="O191" s="125"/>
      <c r="P191" s="97"/>
      <c r="Q191" s="131"/>
      <c r="R191" s="126"/>
      <c r="S191" s="97"/>
      <c r="T191" s="97"/>
      <c r="V191" s="108"/>
    </row>
    <row r="192" ht="15.75" customHeight="1">
      <c r="A192" s="91"/>
      <c r="B192" s="171"/>
      <c r="C192" s="143"/>
      <c r="D192" s="97"/>
      <c r="E192" s="143"/>
      <c r="F192" s="143"/>
      <c r="G192" s="97"/>
      <c r="H192" s="143"/>
      <c r="I192" s="97"/>
      <c r="J192" s="97"/>
      <c r="K192" s="114"/>
      <c r="L192" s="114"/>
      <c r="M192" s="102"/>
      <c r="N192" s="124"/>
      <c r="O192" s="125"/>
      <c r="P192" s="97"/>
      <c r="Q192" s="131"/>
      <c r="R192" s="126"/>
      <c r="S192" s="97"/>
      <c r="T192" s="97"/>
      <c r="V192" s="108"/>
    </row>
    <row r="193" ht="15.75" customHeight="1">
      <c r="A193" s="91"/>
      <c r="B193" s="171"/>
      <c r="C193" s="108"/>
      <c r="D193" s="97"/>
      <c r="E193" s="143"/>
      <c r="F193" s="143"/>
      <c r="G193" s="97"/>
      <c r="H193" s="143"/>
      <c r="I193" s="97"/>
      <c r="J193" s="97"/>
      <c r="K193" s="101"/>
      <c r="L193" s="101"/>
      <c r="M193" s="102"/>
      <c r="N193" s="124"/>
      <c r="O193" s="125"/>
      <c r="P193" s="97"/>
      <c r="Q193" s="131"/>
      <c r="R193" s="126"/>
      <c r="S193" s="97"/>
      <c r="T193" s="97"/>
      <c r="V193" s="108"/>
    </row>
    <row r="194" ht="15.75" customHeight="1">
      <c r="A194" s="91"/>
      <c r="B194" s="171"/>
      <c r="C194" s="143"/>
      <c r="D194" s="97"/>
      <c r="E194" s="143"/>
      <c r="F194" s="143"/>
      <c r="G194" s="97"/>
      <c r="H194" s="143"/>
      <c r="I194" s="97"/>
      <c r="J194" s="97"/>
      <c r="K194" s="114"/>
      <c r="L194" s="114"/>
      <c r="M194" s="102"/>
      <c r="N194" s="124"/>
      <c r="O194" s="125"/>
      <c r="P194" s="97"/>
      <c r="Q194" s="131"/>
      <c r="R194" s="126"/>
      <c r="S194" s="97"/>
      <c r="T194" s="97"/>
      <c r="V194" s="108"/>
    </row>
    <row r="195" ht="15.75" customHeight="1">
      <c r="A195" s="91"/>
      <c r="B195" s="171"/>
      <c r="C195" s="143"/>
      <c r="D195" s="97"/>
      <c r="E195" s="143"/>
      <c r="F195" s="143"/>
      <c r="G195" s="97"/>
      <c r="H195" s="143"/>
      <c r="I195" s="97"/>
      <c r="J195" s="97"/>
      <c r="K195" s="101"/>
      <c r="L195" s="101"/>
      <c r="M195" s="102"/>
      <c r="N195" s="124"/>
      <c r="O195" s="125"/>
      <c r="P195" s="97"/>
      <c r="Q195" s="131"/>
      <c r="R195" s="126"/>
      <c r="S195" s="97"/>
      <c r="T195" s="97"/>
      <c r="V195" s="108"/>
    </row>
    <row r="196" ht="15.75" customHeight="1">
      <c r="A196" s="91"/>
      <c r="B196" s="171"/>
      <c r="C196" s="143"/>
      <c r="D196" s="97"/>
      <c r="E196" s="143"/>
      <c r="F196" s="143"/>
      <c r="G196" s="97"/>
      <c r="H196" s="143"/>
      <c r="I196" s="97"/>
      <c r="J196" s="97"/>
      <c r="K196" s="114"/>
      <c r="L196" s="114"/>
      <c r="M196" s="102"/>
      <c r="N196" s="124"/>
      <c r="O196" s="125"/>
      <c r="P196" s="97"/>
      <c r="Q196" s="131"/>
      <c r="R196" s="126"/>
      <c r="S196" s="97"/>
      <c r="T196" s="97"/>
      <c r="V196" s="108"/>
    </row>
    <row r="197" ht="15.75" customHeight="1">
      <c r="A197" s="91"/>
      <c r="B197" s="171"/>
      <c r="C197" s="143"/>
      <c r="D197" s="97"/>
      <c r="E197" s="143"/>
      <c r="F197" s="143"/>
      <c r="G197" s="97"/>
      <c r="H197" s="143"/>
      <c r="I197" s="97"/>
      <c r="J197" s="97"/>
      <c r="K197" s="101"/>
      <c r="L197" s="101"/>
      <c r="M197" s="102"/>
      <c r="N197" s="124"/>
      <c r="O197" s="125"/>
      <c r="P197" s="97"/>
      <c r="Q197" s="131"/>
      <c r="R197" s="126"/>
      <c r="S197" s="97"/>
      <c r="T197" s="97"/>
      <c r="V197" s="108"/>
    </row>
    <row r="198" ht="15.75" customHeight="1">
      <c r="A198" s="91"/>
      <c r="B198" s="171"/>
      <c r="C198" s="143"/>
      <c r="D198" s="97"/>
      <c r="E198" s="143"/>
      <c r="F198" s="143"/>
      <c r="G198" s="97"/>
      <c r="H198" s="143"/>
      <c r="I198" s="97"/>
      <c r="J198" s="97"/>
      <c r="K198" s="114"/>
      <c r="L198" s="114"/>
      <c r="M198" s="102"/>
      <c r="N198" s="124"/>
      <c r="O198" s="125"/>
      <c r="P198" s="97"/>
      <c r="Q198" s="131"/>
      <c r="R198" s="126"/>
      <c r="S198" s="97"/>
      <c r="T198" s="97"/>
      <c r="V198" s="108"/>
    </row>
    <row r="199" ht="15.75" customHeight="1">
      <c r="A199" s="91"/>
      <c r="B199" s="171"/>
      <c r="C199" s="108"/>
      <c r="D199" s="97"/>
      <c r="E199" s="143"/>
      <c r="F199" s="143"/>
      <c r="G199" s="97"/>
      <c r="H199" s="143"/>
      <c r="I199" s="97"/>
      <c r="J199" s="97"/>
      <c r="K199" s="101"/>
      <c r="L199" s="101"/>
      <c r="M199" s="102"/>
      <c r="N199" s="124"/>
      <c r="O199" s="125"/>
      <c r="P199" s="97"/>
      <c r="Q199" s="131"/>
      <c r="R199" s="126"/>
      <c r="S199" s="97"/>
      <c r="T199" s="97"/>
      <c r="V199" s="108"/>
    </row>
    <row r="200" ht="15.75" customHeight="1">
      <c r="A200" s="91"/>
      <c r="B200" s="171"/>
      <c r="C200" s="143"/>
      <c r="D200" s="97"/>
      <c r="E200" s="143"/>
      <c r="F200" s="143"/>
      <c r="G200" s="97"/>
      <c r="H200" s="143"/>
      <c r="I200" s="97"/>
      <c r="J200" s="97"/>
      <c r="K200" s="114"/>
      <c r="L200" s="114"/>
      <c r="M200" s="102"/>
      <c r="N200" s="124"/>
      <c r="O200" s="125"/>
      <c r="P200" s="97"/>
      <c r="Q200" s="131"/>
      <c r="R200" s="126"/>
      <c r="S200" s="97"/>
      <c r="T200" s="97"/>
      <c r="V200" s="108"/>
    </row>
    <row r="201" ht="15.75" customHeight="1">
      <c r="A201" s="91"/>
      <c r="B201" s="171"/>
      <c r="C201" s="143"/>
      <c r="D201" s="97"/>
      <c r="E201" s="143"/>
      <c r="F201" s="143"/>
      <c r="G201" s="97"/>
      <c r="H201" s="143"/>
      <c r="I201" s="97"/>
      <c r="J201" s="97"/>
      <c r="K201" s="101"/>
      <c r="L201" s="101"/>
      <c r="M201" s="102"/>
      <c r="N201" s="124"/>
      <c r="O201" s="125"/>
      <c r="P201" s="97"/>
      <c r="Q201" s="131"/>
      <c r="R201" s="126"/>
      <c r="S201" s="97"/>
      <c r="T201" s="97"/>
      <c r="V201" s="108"/>
    </row>
    <row r="202" ht="15.75" customHeight="1">
      <c r="A202" s="91"/>
      <c r="B202" s="171"/>
      <c r="C202" s="143"/>
      <c r="D202" s="97"/>
      <c r="E202" s="143"/>
      <c r="F202" s="143"/>
      <c r="G202" s="97"/>
      <c r="H202" s="143"/>
      <c r="I202" s="97"/>
      <c r="J202" s="97"/>
      <c r="K202" s="114"/>
      <c r="L202" s="114"/>
      <c r="M202" s="102"/>
      <c r="N202" s="124"/>
      <c r="O202" s="125"/>
      <c r="P202" s="97"/>
      <c r="Q202" s="131"/>
      <c r="R202" s="126"/>
      <c r="S202" s="97"/>
      <c r="T202" s="97"/>
      <c r="V202" s="108"/>
    </row>
    <row r="203" ht="15.75" customHeight="1">
      <c r="A203" s="91"/>
      <c r="B203" s="171"/>
      <c r="C203" s="143"/>
      <c r="D203" s="97"/>
      <c r="E203" s="143"/>
      <c r="F203" s="143"/>
      <c r="G203" s="97"/>
      <c r="H203" s="143"/>
      <c r="I203" s="97"/>
      <c r="J203" s="97"/>
      <c r="K203" s="101"/>
      <c r="L203" s="101"/>
      <c r="M203" s="102"/>
      <c r="N203" s="124"/>
      <c r="O203" s="125"/>
      <c r="P203" s="97"/>
      <c r="Q203" s="131"/>
      <c r="R203" s="126"/>
      <c r="S203" s="97"/>
      <c r="T203" s="97"/>
      <c r="V203" s="108"/>
    </row>
    <row r="204" ht="15.75" customHeight="1">
      <c r="A204" s="91"/>
      <c r="B204" s="171"/>
      <c r="C204" s="143"/>
      <c r="D204" s="97"/>
      <c r="E204" s="143"/>
      <c r="F204" s="143"/>
      <c r="G204" s="97"/>
      <c r="H204" s="143"/>
      <c r="I204" s="97"/>
      <c r="J204" s="97"/>
      <c r="K204" s="114"/>
      <c r="L204" s="114"/>
      <c r="M204" s="102"/>
      <c r="N204" s="124"/>
      <c r="O204" s="125"/>
      <c r="P204" s="97"/>
      <c r="Q204" s="131"/>
      <c r="R204" s="126"/>
      <c r="S204" s="97"/>
      <c r="T204" s="97"/>
      <c r="V204" s="108"/>
    </row>
    <row r="205" ht="15.75" customHeight="1">
      <c r="A205" s="91"/>
      <c r="B205" s="171"/>
      <c r="C205" s="108"/>
      <c r="D205" s="97"/>
      <c r="E205" s="143"/>
      <c r="F205" s="143"/>
      <c r="G205" s="97"/>
      <c r="H205" s="143"/>
      <c r="I205" s="97"/>
      <c r="J205" s="97"/>
      <c r="K205" s="101"/>
      <c r="L205" s="101"/>
      <c r="M205" s="102"/>
      <c r="N205" s="124"/>
      <c r="O205" s="125"/>
      <c r="P205" s="97"/>
      <c r="Q205" s="131"/>
      <c r="R205" s="126"/>
      <c r="S205" s="97"/>
      <c r="T205" s="97"/>
      <c r="V205" s="108"/>
    </row>
    <row r="206" ht="15.75" customHeight="1">
      <c r="A206" s="91"/>
      <c r="B206" s="171"/>
      <c r="C206" s="143"/>
      <c r="D206" s="97"/>
      <c r="E206" s="143"/>
      <c r="F206" s="143"/>
      <c r="G206" s="97"/>
      <c r="H206" s="143"/>
      <c r="I206" s="97"/>
      <c r="J206" s="97"/>
      <c r="K206" s="114"/>
      <c r="L206" s="114"/>
      <c r="M206" s="102"/>
      <c r="N206" s="124"/>
      <c r="O206" s="125"/>
      <c r="P206" s="97"/>
      <c r="Q206" s="131"/>
      <c r="R206" s="126"/>
      <c r="S206" s="97"/>
      <c r="T206" s="97"/>
      <c r="V206" s="108"/>
    </row>
    <row r="207" ht="15.75" customHeight="1">
      <c r="A207" s="91"/>
      <c r="B207" s="171"/>
      <c r="C207" s="143"/>
      <c r="D207" s="97"/>
      <c r="E207" s="143"/>
      <c r="F207" s="143"/>
      <c r="G207" s="97"/>
      <c r="H207" s="143"/>
      <c r="I207" s="97"/>
      <c r="J207" s="97"/>
      <c r="K207" s="101"/>
      <c r="L207" s="101"/>
      <c r="M207" s="102"/>
      <c r="N207" s="124"/>
      <c r="O207" s="125"/>
      <c r="P207" s="97"/>
      <c r="Q207" s="131"/>
      <c r="R207" s="126"/>
      <c r="S207" s="97"/>
      <c r="T207" s="97"/>
      <c r="V207" s="108"/>
    </row>
    <row r="208" ht="15.75" customHeight="1">
      <c r="A208" s="91"/>
      <c r="B208" s="171"/>
      <c r="C208" s="143"/>
      <c r="D208" s="97"/>
      <c r="E208" s="143"/>
      <c r="F208" s="143"/>
      <c r="G208" s="97"/>
      <c r="H208" s="143"/>
      <c r="I208" s="97"/>
      <c r="J208" s="97"/>
      <c r="K208" s="114"/>
      <c r="L208" s="114"/>
      <c r="M208" s="102"/>
      <c r="N208" s="124"/>
      <c r="O208" s="125"/>
      <c r="P208" s="97"/>
      <c r="Q208" s="131"/>
      <c r="R208" s="126"/>
      <c r="S208" s="97"/>
      <c r="T208" s="97"/>
      <c r="V208" s="108"/>
    </row>
    <row r="209" ht="15.75" customHeight="1">
      <c r="A209" s="91"/>
      <c r="B209" s="171"/>
      <c r="C209" s="143"/>
      <c r="D209" s="97"/>
      <c r="E209" s="143"/>
      <c r="F209" s="143"/>
      <c r="G209" s="97"/>
      <c r="H209" s="143"/>
      <c r="I209" s="97"/>
      <c r="J209" s="97"/>
      <c r="K209" s="101"/>
      <c r="L209" s="101"/>
      <c r="M209" s="102"/>
      <c r="N209" s="124"/>
      <c r="O209" s="125"/>
      <c r="P209" s="97"/>
      <c r="Q209" s="131"/>
      <c r="R209" s="126"/>
      <c r="S209" s="97"/>
      <c r="T209" s="97"/>
      <c r="V209" s="108"/>
    </row>
    <row r="210" ht="15.75" customHeight="1">
      <c r="A210" s="91"/>
      <c r="B210" s="171"/>
      <c r="C210" s="143"/>
      <c r="D210" s="97"/>
      <c r="E210" s="143"/>
      <c r="F210" s="143"/>
      <c r="G210" s="97"/>
      <c r="H210" s="143"/>
      <c r="I210" s="97"/>
      <c r="J210" s="97"/>
      <c r="K210" s="114"/>
      <c r="L210" s="114"/>
      <c r="M210" s="102"/>
      <c r="N210" s="124"/>
      <c r="O210" s="125"/>
      <c r="P210" s="97"/>
      <c r="Q210" s="131"/>
      <c r="R210" s="126"/>
      <c r="S210" s="97"/>
      <c r="T210" s="97"/>
      <c r="V210" s="108"/>
    </row>
    <row r="211" ht="15.75" customHeight="1">
      <c r="A211" s="91"/>
      <c r="B211" s="171"/>
      <c r="C211" s="108"/>
      <c r="D211" s="97"/>
      <c r="E211" s="143"/>
      <c r="F211" s="143"/>
      <c r="G211" s="97"/>
      <c r="H211" s="143"/>
      <c r="I211" s="97"/>
      <c r="J211" s="97"/>
      <c r="K211" s="101"/>
      <c r="L211" s="101"/>
      <c r="M211" s="102"/>
      <c r="N211" s="124"/>
      <c r="O211" s="125"/>
      <c r="P211" s="97"/>
      <c r="Q211" s="131"/>
      <c r="R211" s="126"/>
      <c r="S211" s="97"/>
      <c r="T211" s="97"/>
      <c r="V211" s="108"/>
    </row>
    <row r="212" ht="15.75" customHeight="1">
      <c r="A212" s="91"/>
      <c r="B212" s="171"/>
      <c r="C212" s="143"/>
      <c r="D212" s="97"/>
      <c r="E212" s="143"/>
      <c r="F212" s="143"/>
      <c r="G212" s="97"/>
      <c r="H212" s="143"/>
      <c r="I212" s="97"/>
      <c r="J212" s="97"/>
      <c r="K212" s="114"/>
      <c r="L212" s="114"/>
      <c r="M212" s="102"/>
      <c r="N212" s="124"/>
      <c r="O212" s="125"/>
      <c r="P212" s="97"/>
      <c r="Q212" s="131"/>
      <c r="R212" s="126"/>
      <c r="S212" s="97"/>
      <c r="T212" s="97"/>
      <c r="V212" s="108"/>
    </row>
    <row r="213" ht="15.75" customHeight="1">
      <c r="A213" s="91"/>
      <c r="B213" s="171"/>
      <c r="C213" s="143"/>
      <c r="D213" s="97"/>
      <c r="E213" s="143"/>
      <c r="F213" s="143"/>
      <c r="G213" s="97"/>
      <c r="H213" s="143"/>
      <c r="I213" s="97"/>
      <c r="J213" s="97"/>
      <c r="K213" s="101"/>
      <c r="L213" s="101"/>
      <c r="M213" s="102"/>
      <c r="N213" s="124"/>
      <c r="O213" s="125"/>
      <c r="P213" s="97"/>
      <c r="Q213" s="131"/>
      <c r="R213" s="126"/>
      <c r="S213" s="97"/>
      <c r="T213" s="97"/>
      <c r="V213" s="108"/>
    </row>
    <row r="214" ht="15.75" customHeight="1">
      <c r="A214" s="91"/>
      <c r="B214" s="171"/>
      <c r="C214" s="143"/>
      <c r="D214" s="97"/>
      <c r="E214" s="143"/>
      <c r="F214" s="143"/>
      <c r="G214" s="97"/>
      <c r="H214" s="143"/>
      <c r="I214" s="97"/>
      <c r="J214" s="97"/>
      <c r="K214" s="114"/>
      <c r="L214" s="114"/>
      <c r="M214" s="102"/>
      <c r="N214" s="124"/>
      <c r="O214" s="125"/>
      <c r="P214" s="97"/>
      <c r="Q214" s="131"/>
      <c r="R214" s="126"/>
      <c r="S214" s="97"/>
      <c r="T214" s="97"/>
      <c r="V214" s="108"/>
    </row>
    <row r="215" ht="15.75" customHeight="1">
      <c r="A215" s="91"/>
      <c r="B215" s="171"/>
      <c r="C215" s="143"/>
      <c r="D215" s="97"/>
      <c r="E215" s="143"/>
      <c r="F215" s="143"/>
      <c r="G215" s="97"/>
      <c r="H215" s="143"/>
      <c r="I215" s="97"/>
      <c r="J215" s="97"/>
      <c r="K215" s="101"/>
      <c r="L215" s="101"/>
      <c r="M215" s="102"/>
      <c r="N215" s="124"/>
      <c r="O215" s="125"/>
      <c r="P215" s="97"/>
      <c r="Q215" s="131"/>
      <c r="R215" s="126"/>
      <c r="S215" s="97"/>
      <c r="T215" s="97"/>
      <c r="V215" s="108"/>
    </row>
    <row r="216" ht="15.75" customHeight="1">
      <c r="A216" s="91"/>
      <c r="B216" s="171"/>
      <c r="C216" s="143"/>
      <c r="D216" s="97"/>
      <c r="E216" s="143"/>
      <c r="F216" s="143"/>
      <c r="G216" s="97"/>
      <c r="H216" s="143"/>
      <c r="I216" s="97"/>
      <c r="J216" s="97"/>
      <c r="K216" s="114"/>
      <c r="L216" s="114"/>
      <c r="M216" s="102"/>
      <c r="N216" s="124"/>
      <c r="O216" s="125"/>
      <c r="P216" s="97"/>
      <c r="Q216" s="131"/>
      <c r="R216" s="126"/>
      <c r="S216" s="97"/>
      <c r="T216" s="97"/>
      <c r="V216" s="108"/>
    </row>
    <row r="217" ht="15.75" customHeight="1">
      <c r="A217" s="91"/>
      <c r="B217" s="171"/>
      <c r="C217" s="108"/>
      <c r="D217" s="97"/>
      <c r="E217" s="143"/>
      <c r="F217" s="143"/>
      <c r="G217" s="97"/>
      <c r="H217" s="143"/>
      <c r="I217" s="97"/>
      <c r="J217" s="97"/>
      <c r="K217" s="101"/>
      <c r="L217" s="101"/>
      <c r="M217" s="102"/>
      <c r="N217" s="124"/>
      <c r="O217" s="125"/>
      <c r="P217" s="97"/>
      <c r="Q217" s="131"/>
      <c r="R217" s="126"/>
      <c r="S217" s="97"/>
      <c r="T217" s="97"/>
      <c r="V217" s="108"/>
    </row>
    <row r="218" ht="15.75" customHeight="1">
      <c r="A218" s="91"/>
      <c r="B218" s="171"/>
      <c r="C218" s="143"/>
      <c r="D218" s="97"/>
      <c r="E218" s="143"/>
      <c r="F218" s="143"/>
      <c r="G218" s="97"/>
      <c r="H218" s="143"/>
      <c r="I218" s="97"/>
      <c r="J218" s="97"/>
      <c r="K218" s="114"/>
      <c r="L218" s="114"/>
      <c r="M218" s="102"/>
      <c r="N218" s="124"/>
      <c r="O218" s="125"/>
      <c r="P218" s="97"/>
      <c r="Q218" s="131"/>
      <c r="R218" s="126"/>
      <c r="S218" s="97"/>
      <c r="T218" s="97"/>
      <c r="V218" s="108"/>
    </row>
    <row r="219" ht="15.75" customHeight="1">
      <c r="A219" s="91"/>
      <c r="B219" s="171"/>
      <c r="C219" s="143"/>
      <c r="D219" s="97"/>
      <c r="E219" s="143"/>
      <c r="F219" s="143"/>
      <c r="G219" s="97"/>
      <c r="H219" s="143"/>
      <c r="I219" s="97"/>
      <c r="J219" s="97"/>
      <c r="K219" s="101"/>
      <c r="L219" s="101"/>
      <c r="M219" s="102"/>
      <c r="N219" s="124"/>
      <c r="O219" s="125"/>
      <c r="P219" s="97"/>
      <c r="Q219" s="131"/>
      <c r="R219" s="126"/>
      <c r="S219" s="97"/>
      <c r="T219" s="97"/>
      <c r="V219" s="108"/>
    </row>
    <row r="220" ht="15.75" customHeight="1">
      <c r="A220" s="91"/>
      <c r="B220" s="171"/>
      <c r="C220" s="143"/>
      <c r="D220" s="97"/>
      <c r="E220" s="143"/>
      <c r="F220" s="143"/>
      <c r="G220" s="97"/>
      <c r="H220" s="143"/>
      <c r="I220" s="97"/>
      <c r="J220" s="97"/>
      <c r="K220" s="114"/>
      <c r="L220" s="114"/>
      <c r="M220" s="102"/>
      <c r="N220" s="124"/>
      <c r="O220" s="125"/>
      <c r="P220" s="97"/>
      <c r="Q220" s="131"/>
      <c r="R220" s="126"/>
      <c r="S220" s="97"/>
      <c r="T220" s="97"/>
      <c r="V220" s="108"/>
    </row>
    <row r="221" ht="15.75" customHeight="1">
      <c r="A221" s="91"/>
      <c r="B221" s="171"/>
      <c r="C221" s="143"/>
      <c r="D221" s="97"/>
      <c r="E221" s="143"/>
      <c r="F221" s="143"/>
      <c r="G221" s="97"/>
      <c r="H221" s="143"/>
      <c r="I221" s="97"/>
      <c r="J221" s="97"/>
      <c r="K221" s="101"/>
      <c r="L221" s="101"/>
      <c r="M221" s="102"/>
      <c r="N221" s="124"/>
      <c r="O221" s="125"/>
      <c r="P221" s="97"/>
      <c r="Q221" s="131"/>
      <c r="R221" s="126"/>
      <c r="S221" s="97"/>
      <c r="T221" s="97"/>
      <c r="V221" s="108"/>
    </row>
    <row r="222" ht="15.75" customHeight="1">
      <c r="A222" s="91"/>
      <c r="B222" s="171"/>
      <c r="C222" s="143"/>
      <c r="D222" s="97"/>
      <c r="E222" s="143"/>
      <c r="F222" s="143"/>
      <c r="G222" s="97"/>
      <c r="H222" s="143"/>
      <c r="I222" s="97"/>
      <c r="J222" s="97"/>
      <c r="K222" s="114"/>
      <c r="L222" s="114"/>
      <c r="M222" s="102"/>
      <c r="N222" s="124"/>
      <c r="O222" s="125"/>
      <c r="P222" s="97"/>
      <c r="Q222" s="131"/>
      <c r="R222" s="126"/>
      <c r="S222" s="97"/>
      <c r="T222" s="97"/>
      <c r="V222" s="108"/>
    </row>
    <row r="223" ht="15.75" customHeight="1">
      <c r="A223" s="91"/>
      <c r="B223" s="171"/>
      <c r="C223" s="108"/>
      <c r="D223" s="97"/>
      <c r="E223" s="143"/>
      <c r="F223" s="143"/>
      <c r="G223" s="97"/>
      <c r="H223" s="143"/>
      <c r="I223" s="97"/>
      <c r="J223" s="97"/>
      <c r="K223" s="101"/>
      <c r="L223" s="101"/>
      <c r="M223" s="102"/>
      <c r="N223" s="124"/>
      <c r="O223" s="125"/>
      <c r="P223" s="97"/>
      <c r="Q223" s="131"/>
      <c r="R223" s="126"/>
      <c r="S223" s="97"/>
      <c r="T223" s="97"/>
      <c r="V223" s="108"/>
    </row>
    <row r="224" ht="15.75" customHeight="1">
      <c r="A224" s="91"/>
      <c r="B224" s="171"/>
      <c r="C224" s="143"/>
      <c r="D224" s="97"/>
      <c r="E224" s="143"/>
      <c r="F224" s="143"/>
      <c r="G224" s="97"/>
      <c r="H224" s="143"/>
      <c r="I224" s="97"/>
      <c r="J224" s="97"/>
      <c r="K224" s="114"/>
      <c r="L224" s="114"/>
      <c r="M224" s="102"/>
      <c r="N224" s="124"/>
      <c r="O224" s="125"/>
      <c r="P224" s="97"/>
      <c r="Q224" s="131"/>
      <c r="R224" s="126"/>
      <c r="S224" s="97"/>
      <c r="T224" s="97"/>
      <c r="V224" s="108"/>
    </row>
    <row r="225" ht="15.75" customHeight="1">
      <c r="A225" s="91"/>
      <c r="B225" s="171"/>
      <c r="C225" s="143"/>
      <c r="D225" s="97"/>
      <c r="E225" s="143"/>
      <c r="F225" s="143"/>
      <c r="G225" s="97"/>
      <c r="H225" s="143"/>
      <c r="I225" s="97"/>
      <c r="J225" s="97"/>
      <c r="K225" s="101"/>
      <c r="L225" s="101"/>
      <c r="M225" s="102"/>
      <c r="N225" s="124"/>
      <c r="O225" s="125"/>
      <c r="P225" s="97"/>
      <c r="Q225" s="131"/>
      <c r="R225" s="126"/>
      <c r="S225" s="97"/>
      <c r="T225" s="97"/>
      <c r="V225" s="108"/>
    </row>
    <row r="226" ht="15.75" customHeight="1">
      <c r="A226" s="91"/>
      <c r="B226" s="171"/>
      <c r="C226" s="143"/>
      <c r="D226" s="97"/>
      <c r="E226" s="143"/>
      <c r="F226" s="143"/>
      <c r="G226" s="97"/>
      <c r="H226" s="143"/>
      <c r="I226" s="97"/>
      <c r="J226" s="97"/>
      <c r="K226" s="114"/>
      <c r="L226" s="114"/>
      <c r="M226" s="102"/>
      <c r="N226" s="124"/>
      <c r="O226" s="125"/>
      <c r="P226" s="97"/>
      <c r="Q226" s="131"/>
      <c r="R226" s="126"/>
      <c r="S226" s="97"/>
      <c r="T226" s="97"/>
      <c r="V226" s="108"/>
    </row>
    <row r="227" ht="15.75" customHeight="1">
      <c r="A227" s="91"/>
      <c r="B227" s="171"/>
      <c r="C227" s="143"/>
      <c r="D227" s="97"/>
      <c r="E227" s="143"/>
      <c r="F227" s="143"/>
      <c r="G227" s="97"/>
      <c r="H227" s="143"/>
      <c r="I227" s="97"/>
      <c r="J227" s="97"/>
      <c r="K227" s="101"/>
      <c r="L227" s="101"/>
      <c r="M227" s="102"/>
      <c r="N227" s="124"/>
      <c r="O227" s="125"/>
      <c r="P227" s="97"/>
      <c r="Q227" s="131"/>
      <c r="R227" s="126"/>
      <c r="S227" s="97"/>
      <c r="T227" s="97"/>
      <c r="V227" s="108"/>
    </row>
    <row r="228" ht="15.75" customHeight="1">
      <c r="A228" s="91"/>
      <c r="B228" s="171"/>
      <c r="C228" s="143"/>
      <c r="D228" s="97"/>
      <c r="E228" s="143"/>
      <c r="F228" s="143"/>
      <c r="G228" s="97"/>
      <c r="H228" s="143"/>
      <c r="I228" s="97"/>
      <c r="J228" s="97"/>
      <c r="K228" s="114"/>
      <c r="L228" s="114"/>
      <c r="M228" s="102"/>
      <c r="N228" s="124"/>
      <c r="O228" s="125"/>
      <c r="P228" s="97"/>
      <c r="Q228" s="131"/>
      <c r="R228" s="126"/>
      <c r="S228" s="97"/>
      <c r="T228" s="97"/>
      <c r="V228" s="108"/>
    </row>
    <row r="229" ht="15.75" customHeight="1">
      <c r="A229" s="91"/>
      <c r="B229" s="171"/>
      <c r="C229" s="108"/>
      <c r="D229" s="97"/>
      <c r="E229" s="143"/>
      <c r="F229" s="143"/>
      <c r="G229" s="97"/>
      <c r="H229" s="143"/>
      <c r="I229" s="97"/>
      <c r="J229" s="97"/>
      <c r="K229" s="101"/>
      <c r="L229" s="101"/>
      <c r="M229" s="102"/>
      <c r="N229" s="124"/>
      <c r="O229" s="125"/>
      <c r="P229" s="97"/>
      <c r="Q229" s="131"/>
      <c r="R229" s="126"/>
      <c r="S229" s="97"/>
      <c r="T229" s="97"/>
      <c r="V229" s="108"/>
    </row>
    <row r="230" ht="15.75" customHeight="1">
      <c r="A230" s="91"/>
      <c r="B230" s="171"/>
      <c r="C230" s="143"/>
      <c r="D230" s="97"/>
      <c r="E230" s="143"/>
      <c r="F230" s="143"/>
      <c r="G230" s="97"/>
      <c r="H230" s="143"/>
      <c r="I230" s="97"/>
      <c r="J230" s="97"/>
      <c r="K230" s="114"/>
      <c r="L230" s="114"/>
      <c r="M230" s="102"/>
      <c r="N230" s="124"/>
      <c r="O230" s="125"/>
      <c r="P230" s="97"/>
      <c r="Q230" s="131"/>
      <c r="R230" s="126"/>
      <c r="S230" s="97"/>
      <c r="T230" s="97"/>
      <c r="V230" s="108"/>
    </row>
    <row r="231" ht="15.75" customHeight="1">
      <c r="A231" s="91"/>
      <c r="B231" s="171"/>
      <c r="C231" s="143"/>
      <c r="D231" s="97"/>
      <c r="E231" s="143"/>
      <c r="F231" s="143"/>
      <c r="G231" s="97"/>
      <c r="H231" s="143"/>
      <c r="I231" s="97"/>
      <c r="J231" s="97"/>
      <c r="K231" s="101"/>
      <c r="L231" s="101"/>
      <c r="M231" s="102"/>
      <c r="N231" s="124"/>
      <c r="O231" s="125"/>
      <c r="P231" s="97"/>
      <c r="Q231" s="131"/>
      <c r="R231" s="126"/>
      <c r="S231" s="97"/>
      <c r="T231" s="97"/>
      <c r="V231" s="108"/>
    </row>
    <row r="232" ht="15.75" customHeight="1">
      <c r="A232" s="91"/>
      <c r="B232" s="171"/>
      <c r="C232" s="143"/>
      <c r="D232" s="97"/>
      <c r="E232" s="143"/>
      <c r="F232" s="143"/>
      <c r="G232" s="97"/>
      <c r="H232" s="143"/>
      <c r="I232" s="97"/>
      <c r="J232" s="97"/>
      <c r="K232" s="114"/>
      <c r="L232" s="114"/>
      <c r="M232" s="102"/>
      <c r="N232" s="124"/>
      <c r="O232" s="125"/>
      <c r="P232" s="97"/>
      <c r="Q232" s="131"/>
      <c r="R232" s="126"/>
      <c r="S232" s="97"/>
      <c r="T232" s="97"/>
      <c r="V232" s="108"/>
    </row>
    <row r="233" ht="15.75" customHeight="1">
      <c r="A233" s="91"/>
      <c r="B233" s="171"/>
      <c r="C233" s="143"/>
      <c r="D233" s="97"/>
      <c r="E233" s="143"/>
      <c r="F233" s="143"/>
      <c r="G233" s="97"/>
      <c r="H233" s="143"/>
      <c r="I233" s="97"/>
      <c r="J233" s="97"/>
      <c r="K233" s="101"/>
      <c r="L233" s="101"/>
      <c r="M233" s="102"/>
      <c r="N233" s="124"/>
      <c r="O233" s="125"/>
      <c r="P233" s="97"/>
      <c r="Q233" s="131"/>
      <c r="R233" s="126"/>
      <c r="S233" s="97"/>
      <c r="T233" s="97"/>
      <c r="V233" s="108"/>
    </row>
    <row r="234" ht="15.75" customHeight="1">
      <c r="A234" s="91"/>
      <c r="B234" s="171"/>
      <c r="C234" s="143"/>
      <c r="D234" s="97"/>
      <c r="E234" s="143"/>
      <c r="F234" s="143"/>
      <c r="G234" s="97"/>
      <c r="H234" s="143"/>
      <c r="I234" s="97"/>
      <c r="J234" s="97"/>
      <c r="K234" s="114"/>
      <c r="L234" s="114"/>
      <c r="M234" s="102"/>
      <c r="N234" s="124"/>
      <c r="O234" s="125"/>
      <c r="P234" s="97"/>
      <c r="Q234" s="131"/>
      <c r="R234" s="126"/>
      <c r="S234" s="97"/>
      <c r="T234" s="97"/>
      <c r="V234" s="108"/>
    </row>
    <row r="235" ht="15.75" customHeight="1">
      <c r="A235" s="91"/>
      <c r="B235" s="171"/>
      <c r="C235" s="108"/>
      <c r="D235" s="97"/>
      <c r="E235" s="143"/>
      <c r="F235" s="143"/>
      <c r="G235" s="97"/>
      <c r="H235" s="143"/>
      <c r="I235" s="97"/>
      <c r="J235" s="97"/>
      <c r="K235" s="101"/>
      <c r="L235" s="101"/>
      <c r="M235" s="102"/>
      <c r="N235" s="124"/>
      <c r="O235" s="125"/>
      <c r="P235" s="97"/>
      <c r="Q235" s="131"/>
      <c r="R235" s="126"/>
      <c r="S235" s="97"/>
      <c r="T235" s="97"/>
      <c r="V235" s="108"/>
    </row>
    <row r="236" ht="15.75" customHeight="1">
      <c r="A236" s="91"/>
      <c r="B236" s="171"/>
      <c r="C236" s="143"/>
      <c r="D236" s="97"/>
      <c r="E236" s="143"/>
      <c r="F236" s="143"/>
      <c r="G236" s="97"/>
      <c r="H236" s="143"/>
      <c r="I236" s="97"/>
      <c r="J236" s="97"/>
      <c r="K236" s="114"/>
      <c r="L236" s="114"/>
      <c r="M236" s="102"/>
      <c r="N236" s="124"/>
      <c r="O236" s="125"/>
      <c r="P236" s="97"/>
      <c r="Q236" s="131"/>
      <c r="R236" s="126"/>
      <c r="S236" s="97"/>
      <c r="T236" s="97"/>
      <c r="V236" s="108"/>
    </row>
    <row r="237" ht="15.75" customHeight="1">
      <c r="A237" s="91"/>
      <c r="B237" s="171"/>
      <c r="C237" s="143"/>
      <c r="D237" s="97"/>
      <c r="E237" s="143"/>
      <c r="F237" s="143"/>
      <c r="G237" s="97"/>
      <c r="H237" s="143"/>
      <c r="I237" s="97"/>
      <c r="J237" s="97"/>
      <c r="K237" s="101"/>
      <c r="L237" s="101"/>
      <c r="M237" s="102"/>
      <c r="N237" s="124"/>
      <c r="O237" s="125"/>
      <c r="P237" s="97"/>
      <c r="Q237" s="131"/>
      <c r="R237" s="126"/>
      <c r="S237" s="97"/>
      <c r="T237" s="97"/>
      <c r="V237" s="108"/>
    </row>
    <row r="238" ht="15.75" customHeight="1">
      <c r="A238" s="91"/>
      <c r="B238" s="171"/>
      <c r="C238" s="143"/>
      <c r="D238" s="97"/>
      <c r="E238" s="143"/>
      <c r="F238" s="143"/>
      <c r="G238" s="97"/>
      <c r="H238" s="143"/>
      <c r="I238" s="97"/>
      <c r="J238" s="97"/>
      <c r="K238" s="114"/>
      <c r="L238" s="114"/>
      <c r="M238" s="102"/>
      <c r="N238" s="124"/>
      <c r="O238" s="125"/>
      <c r="P238" s="97"/>
      <c r="Q238" s="131"/>
      <c r="R238" s="126"/>
      <c r="S238" s="97"/>
      <c r="T238" s="97"/>
      <c r="V238" s="108"/>
    </row>
    <row r="239" ht="15.75" customHeight="1">
      <c r="A239" s="91"/>
      <c r="B239" s="171"/>
      <c r="C239" s="143"/>
      <c r="D239" s="97"/>
      <c r="E239" s="143"/>
      <c r="F239" s="143"/>
      <c r="G239" s="97"/>
      <c r="H239" s="143"/>
      <c r="I239" s="97"/>
      <c r="J239" s="97"/>
      <c r="K239" s="101"/>
      <c r="L239" s="101"/>
      <c r="M239" s="102"/>
      <c r="N239" s="124"/>
      <c r="O239" s="125"/>
      <c r="P239" s="97"/>
      <c r="Q239" s="131"/>
      <c r="R239" s="126"/>
      <c r="S239" s="97"/>
      <c r="T239" s="97"/>
      <c r="V239" s="108"/>
    </row>
    <row r="240" ht="15.75" customHeight="1">
      <c r="A240" s="91"/>
      <c r="B240" s="171"/>
      <c r="C240" s="143"/>
      <c r="D240" s="97"/>
      <c r="E240" s="143"/>
      <c r="F240" s="143"/>
      <c r="G240" s="97"/>
      <c r="H240" s="143"/>
      <c r="I240" s="97"/>
      <c r="J240" s="97"/>
      <c r="K240" s="114"/>
      <c r="L240" s="114"/>
      <c r="M240" s="102"/>
      <c r="N240" s="124"/>
      <c r="O240" s="125"/>
      <c r="P240" s="97"/>
      <c r="Q240" s="131"/>
      <c r="R240" s="126"/>
      <c r="S240" s="97"/>
      <c r="T240" s="97"/>
      <c r="V240" s="108"/>
    </row>
    <row r="241" ht="15.75" customHeight="1">
      <c r="A241" s="91"/>
      <c r="B241" s="171"/>
      <c r="C241" s="108"/>
      <c r="D241" s="97"/>
      <c r="E241" s="143"/>
      <c r="F241" s="143"/>
      <c r="G241" s="97"/>
      <c r="H241" s="143"/>
      <c r="I241" s="97"/>
      <c r="J241" s="97"/>
      <c r="K241" s="101"/>
      <c r="L241" s="101"/>
      <c r="M241" s="102"/>
      <c r="N241" s="124"/>
      <c r="O241" s="125"/>
      <c r="P241" s="97"/>
      <c r="Q241" s="131"/>
      <c r="R241" s="126"/>
      <c r="S241" s="97"/>
      <c r="T241" s="97"/>
      <c r="V241" s="108"/>
    </row>
    <row r="242" ht="15.75" customHeight="1">
      <c r="A242" s="91"/>
      <c r="B242" s="171"/>
      <c r="C242" s="143"/>
      <c r="D242" s="97"/>
      <c r="E242" s="143"/>
      <c r="F242" s="143"/>
      <c r="G242" s="97"/>
      <c r="H242" s="143"/>
      <c r="I242" s="97"/>
      <c r="J242" s="97"/>
      <c r="K242" s="114"/>
      <c r="L242" s="114"/>
      <c r="M242" s="102"/>
      <c r="N242" s="124"/>
      <c r="O242" s="125"/>
      <c r="P242" s="97"/>
      <c r="Q242" s="131"/>
      <c r="R242" s="126"/>
      <c r="S242" s="97"/>
      <c r="T242" s="97"/>
      <c r="V242" s="108"/>
    </row>
    <row r="243" ht="15.75" customHeight="1">
      <c r="A243" s="91"/>
      <c r="B243" s="171"/>
      <c r="C243" s="143"/>
      <c r="D243" s="97"/>
      <c r="E243" s="143"/>
      <c r="F243" s="143"/>
      <c r="G243" s="97"/>
      <c r="H243" s="143"/>
      <c r="I243" s="97"/>
      <c r="J243" s="97"/>
      <c r="K243" s="101"/>
      <c r="L243" s="101"/>
      <c r="M243" s="102"/>
      <c r="N243" s="124"/>
      <c r="O243" s="125"/>
      <c r="P243" s="97"/>
      <c r="Q243" s="131"/>
      <c r="R243" s="126"/>
      <c r="S243" s="97"/>
      <c r="T243" s="97"/>
      <c r="V243" s="108"/>
    </row>
    <row r="244" ht="15.75" customHeight="1">
      <c r="A244" s="91"/>
      <c r="B244" s="171"/>
      <c r="C244" s="143"/>
      <c r="D244" s="97"/>
      <c r="E244" s="143"/>
      <c r="F244" s="143"/>
      <c r="G244" s="97"/>
      <c r="H244" s="143"/>
      <c r="I244" s="97"/>
      <c r="J244" s="97"/>
      <c r="K244" s="148"/>
      <c r="L244" s="148"/>
      <c r="M244" s="102"/>
      <c r="N244" s="124"/>
      <c r="O244" s="125"/>
      <c r="P244" s="97"/>
      <c r="Q244" s="131"/>
      <c r="R244" s="126"/>
      <c r="S244" s="97"/>
      <c r="T244" s="97"/>
      <c r="V244" s="108"/>
    </row>
    <row r="245" ht="15.75" customHeight="1">
      <c r="A245" s="91"/>
      <c r="B245" s="171"/>
      <c r="C245" s="143"/>
      <c r="D245" s="97"/>
      <c r="E245" s="143"/>
      <c r="F245" s="143"/>
      <c r="G245" s="97"/>
      <c r="H245" s="143"/>
      <c r="I245" s="97"/>
      <c r="J245" s="97"/>
      <c r="K245" s="150"/>
      <c r="L245" s="150"/>
      <c r="M245" s="102"/>
      <c r="N245" s="124"/>
      <c r="O245" s="125"/>
      <c r="P245" s="97"/>
      <c r="Q245" s="131"/>
      <c r="R245" s="126"/>
      <c r="S245" s="97"/>
      <c r="T245" s="97"/>
      <c r="V245" s="108"/>
    </row>
    <row r="246" ht="15.75" customHeight="1">
      <c r="A246" s="91"/>
      <c r="B246" s="171"/>
      <c r="C246" s="143"/>
      <c r="D246" s="97"/>
      <c r="E246" s="143"/>
      <c r="F246" s="143"/>
      <c r="G246" s="97"/>
      <c r="H246" s="143"/>
      <c r="I246" s="97"/>
      <c r="J246" s="97"/>
      <c r="K246" s="148"/>
      <c r="L246" s="148"/>
      <c r="M246" s="102"/>
      <c r="N246" s="124"/>
      <c r="O246" s="125"/>
      <c r="P246" s="97"/>
      <c r="Q246" s="131"/>
      <c r="R246" s="126"/>
      <c r="S246" s="97"/>
      <c r="T246" s="97"/>
      <c r="V246" s="108"/>
    </row>
    <row r="247" ht="15.75" customHeight="1">
      <c r="A247" s="91"/>
      <c r="B247" s="171"/>
      <c r="C247" s="108"/>
      <c r="D247" s="97"/>
      <c r="E247" s="143"/>
      <c r="F247" s="143"/>
      <c r="G247" s="97"/>
      <c r="H247" s="143"/>
      <c r="I247" s="97"/>
      <c r="J247" s="97"/>
      <c r="K247" s="150"/>
      <c r="L247" s="150"/>
      <c r="M247" s="102"/>
      <c r="N247" s="124"/>
      <c r="O247" s="125"/>
      <c r="P247" s="97"/>
      <c r="Q247" s="131"/>
      <c r="R247" s="126"/>
      <c r="S247" s="97"/>
      <c r="T247" s="97"/>
      <c r="V247" s="108"/>
    </row>
    <row r="248" ht="15.75" customHeight="1">
      <c r="A248" s="91"/>
      <c r="B248" s="171"/>
      <c r="C248" s="143"/>
      <c r="D248" s="97"/>
      <c r="E248" s="143"/>
      <c r="F248" s="143"/>
      <c r="G248" s="97"/>
      <c r="H248" s="143"/>
      <c r="I248" s="97"/>
      <c r="J248" s="97"/>
      <c r="K248" s="148"/>
      <c r="L248" s="148"/>
      <c r="M248" s="102"/>
      <c r="N248" s="124"/>
      <c r="O248" s="125"/>
      <c r="P248" s="97"/>
      <c r="Q248" s="131"/>
      <c r="R248" s="126"/>
      <c r="S248" s="97"/>
      <c r="T248" s="97"/>
      <c r="V248" s="108"/>
    </row>
    <row r="249" ht="15.75" customHeight="1">
      <c r="A249" s="91"/>
      <c r="B249" s="171"/>
      <c r="C249" s="143"/>
      <c r="D249" s="97"/>
      <c r="E249" s="143"/>
      <c r="F249" s="143"/>
      <c r="G249" s="97"/>
      <c r="H249" s="143"/>
      <c r="I249" s="97"/>
      <c r="J249" s="97"/>
      <c r="K249" s="150"/>
      <c r="L249" s="150"/>
      <c r="M249" s="102"/>
      <c r="N249" s="124"/>
      <c r="O249" s="125"/>
      <c r="P249" s="97"/>
      <c r="Q249" s="131"/>
      <c r="R249" s="126"/>
      <c r="S249" s="97"/>
      <c r="T249" s="97"/>
      <c r="V249" s="108"/>
    </row>
    <row r="250" ht="15.75" customHeight="1">
      <c r="A250" s="91"/>
      <c r="B250" s="171"/>
      <c r="C250" s="143"/>
      <c r="D250" s="97"/>
      <c r="E250" s="143"/>
      <c r="F250" s="143"/>
      <c r="G250" s="97"/>
      <c r="H250" s="143"/>
      <c r="I250" s="97"/>
      <c r="J250" s="97"/>
      <c r="K250" s="148"/>
      <c r="L250" s="148"/>
      <c r="M250" s="102"/>
      <c r="N250" s="124"/>
      <c r="O250" s="125"/>
      <c r="P250" s="97"/>
      <c r="Q250" s="131"/>
      <c r="R250" s="126"/>
      <c r="S250" s="97"/>
      <c r="T250" s="97"/>
      <c r="V250" s="108"/>
    </row>
    <row r="251" ht="15.75" customHeight="1">
      <c r="A251" s="91"/>
      <c r="B251" s="171"/>
      <c r="C251" s="143"/>
      <c r="D251" s="97"/>
      <c r="E251" s="143"/>
      <c r="F251" s="143"/>
      <c r="G251" s="97"/>
      <c r="H251" s="143"/>
      <c r="I251" s="97"/>
      <c r="J251" s="97"/>
      <c r="K251" s="150"/>
      <c r="L251" s="150"/>
      <c r="M251" s="102"/>
      <c r="N251" s="124"/>
      <c r="O251" s="125"/>
      <c r="P251" s="97"/>
      <c r="Q251" s="131"/>
      <c r="R251" s="126"/>
      <c r="S251" s="97"/>
      <c r="T251" s="97"/>
      <c r="V251" s="108"/>
    </row>
    <row r="252" ht="15.75" customHeight="1">
      <c r="A252" s="91"/>
      <c r="B252" s="171"/>
      <c r="C252" s="143"/>
      <c r="D252" s="97"/>
      <c r="E252" s="143"/>
      <c r="F252" s="143"/>
      <c r="G252" s="97"/>
      <c r="H252" s="143"/>
      <c r="I252" s="97"/>
      <c r="J252" s="97"/>
      <c r="K252" s="148"/>
      <c r="L252" s="148"/>
      <c r="M252" s="102"/>
      <c r="N252" s="124"/>
      <c r="O252" s="125"/>
      <c r="P252" s="97"/>
      <c r="Q252" s="131"/>
      <c r="R252" s="126"/>
      <c r="S252" s="97"/>
      <c r="T252" s="97"/>
      <c r="V252" s="108"/>
    </row>
    <row r="253" ht="15.75" customHeight="1">
      <c r="A253" s="91"/>
      <c r="B253" s="171"/>
      <c r="C253" s="108"/>
      <c r="D253" s="97"/>
      <c r="E253" s="143"/>
      <c r="F253" s="143"/>
      <c r="G253" s="97"/>
      <c r="H253" s="143"/>
      <c r="I253" s="97"/>
      <c r="J253" s="97"/>
      <c r="K253" s="150"/>
      <c r="L253" s="150"/>
      <c r="M253" s="102"/>
      <c r="N253" s="124"/>
      <c r="O253" s="125"/>
      <c r="P253" s="97"/>
      <c r="Q253" s="131"/>
      <c r="R253" s="126"/>
      <c r="S253" s="97"/>
      <c r="T253" s="97"/>
      <c r="V253" s="108"/>
    </row>
    <row r="254" ht="15.75" customHeight="1">
      <c r="A254" s="91"/>
      <c r="B254" s="171"/>
      <c r="C254" s="143"/>
      <c r="D254" s="97"/>
      <c r="E254" s="143"/>
      <c r="F254" s="143"/>
      <c r="G254" s="97"/>
      <c r="H254" s="143"/>
      <c r="I254" s="97"/>
      <c r="J254" s="97"/>
      <c r="K254" s="148"/>
      <c r="L254" s="148"/>
      <c r="M254" s="102"/>
      <c r="N254" s="124"/>
      <c r="O254" s="125"/>
      <c r="P254" s="97"/>
      <c r="Q254" s="131"/>
      <c r="R254" s="126"/>
      <c r="S254" s="97"/>
      <c r="T254" s="97"/>
      <c r="V254" s="108"/>
    </row>
    <row r="255" ht="15.75" customHeight="1">
      <c r="A255" s="91"/>
      <c r="B255" s="171"/>
      <c r="C255" s="143"/>
      <c r="D255" s="97"/>
      <c r="E255" s="143"/>
      <c r="F255" s="143"/>
      <c r="G255" s="97"/>
      <c r="H255" s="143"/>
      <c r="I255" s="97"/>
      <c r="J255" s="97"/>
      <c r="K255" s="150"/>
      <c r="L255" s="150"/>
      <c r="M255" s="102"/>
      <c r="N255" s="124"/>
      <c r="O255" s="125"/>
      <c r="P255" s="97"/>
      <c r="Q255" s="131"/>
      <c r="R255" s="126"/>
      <c r="S255" s="97"/>
      <c r="T255" s="97"/>
      <c r="V255" s="108"/>
    </row>
    <row r="256" ht="15.75" customHeight="1">
      <c r="A256" s="91"/>
      <c r="B256" s="171"/>
      <c r="C256" s="143"/>
      <c r="D256" s="97"/>
      <c r="E256" s="143"/>
      <c r="F256" s="143"/>
      <c r="G256" s="97"/>
      <c r="H256" s="143"/>
      <c r="I256" s="97"/>
      <c r="J256" s="97"/>
      <c r="K256" s="148"/>
      <c r="L256" s="148"/>
      <c r="M256" s="102"/>
      <c r="N256" s="124"/>
      <c r="O256" s="125"/>
      <c r="P256" s="97"/>
      <c r="Q256" s="131"/>
      <c r="R256" s="126"/>
      <c r="S256" s="97"/>
      <c r="T256" s="97"/>
      <c r="V256" s="108"/>
    </row>
    <row r="257" ht="15.75" customHeight="1">
      <c r="A257" s="91"/>
      <c r="B257" s="171"/>
      <c r="C257" s="143"/>
      <c r="D257" s="97"/>
      <c r="E257" s="143"/>
      <c r="F257" s="143"/>
      <c r="G257" s="97"/>
      <c r="H257" s="143"/>
      <c r="I257" s="97"/>
      <c r="J257" s="97"/>
      <c r="K257" s="150"/>
      <c r="L257" s="150"/>
      <c r="M257" s="102"/>
      <c r="N257" s="124"/>
      <c r="O257" s="125"/>
      <c r="P257" s="97"/>
      <c r="Q257" s="131"/>
      <c r="R257" s="126"/>
      <c r="S257" s="97"/>
      <c r="T257" s="97"/>
      <c r="V257" s="108"/>
    </row>
    <row r="258" ht="15.75" customHeight="1">
      <c r="A258" s="91"/>
      <c r="B258" s="171"/>
      <c r="C258" s="143"/>
      <c r="D258" s="97"/>
      <c r="E258" s="143"/>
      <c r="F258" s="143"/>
      <c r="G258" s="97"/>
      <c r="H258" s="143"/>
      <c r="I258" s="97"/>
      <c r="J258" s="97"/>
      <c r="K258" s="148"/>
      <c r="L258" s="148"/>
      <c r="M258" s="102"/>
      <c r="N258" s="124"/>
      <c r="O258" s="125"/>
      <c r="P258" s="97"/>
      <c r="Q258" s="131"/>
      <c r="R258" s="126"/>
      <c r="S258" s="97"/>
      <c r="T258" s="97"/>
      <c r="V258" s="108"/>
    </row>
    <row r="259" ht="15.75" customHeight="1">
      <c r="A259" s="91"/>
      <c r="B259" s="171"/>
      <c r="C259" s="108"/>
      <c r="D259" s="97"/>
      <c r="E259" s="143"/>
      <c r="F259" s="143"/>
      <c r="G259" s="97"/>
      <c r="H259" s="143"/>
      <c r="I259" s="97"/>
      <c r="J259" s="97"/>
      <c r="K259" s="150"/>
      <c r="L259" s="150"/>
      <c r="M259" s="102"/>
      <c r="N259" s="124"/>
      <c r="O259" s="125"/>
      <c r="P259" s="97"/>
      <c r="Q259" s="131"/>
      <c r="R259" s="126"/>
      <c r="S259" s="97"/>
      <c r="T259" s="97"/>
      <c r="V259" s="108"/>
    </row>
    <row r="260" ht="15.75" customHeight="1">
      <c r="A260" s="91"/>
      <c r="B260" s="171"/>
      <c r="C260" s="143"/>
      <c r="D260" s="97"/>
      <c r="E260" s="143"/>
      <c r="F260" s="143"/>
      <c r="G260" s="97"/>
      <c r="H260" s="143"/>
      <c r="I260" s="97"/>
      <c r="J260" s="97"/>
      <c r="K260" s="148"/>
      <c r="L260" s="148"/>
      <c r="M260" s="102"/>
      <c r="N260" s="124"/>
      <c r="O260" s="125"/>
      <c r="P260" s="97"/>
      <c r="Q260" s="131"/>
      <c r="R260" s="126"/>
      <c r="S260" s="97"/>
      <c r="T260" s="97"/>
      <c r="V260" s="108"/>
    </row>
    <row r="261" ht="15.75" customHeight="1">
      <c r="A261" s="91"/>
      <c r="B261" s="171"/>
      <c r="C261" s="143"/>
      <c r="D261" s="97"/>
      <c r="E261" s="143"/>
      <c r="F261" s="143"/>
      <c r="G261" s="97"/>
      <c r="H261" s="143"/>
      <c r="I261" s="97"/>
      <c r="J261" s="97"/>
      <c r="K261" s="150"/>
      <c r="L261" s="150"/>
      <c r="M261" s="102"/>
      <c r="N261" s="124"/>
      <c r="O261" s="125"/>
      <c r="P261" s="97"/>
      <c r="Q261" s="131"/>
      <c r="R261" s="126"/>
      <c r="S261" s="97"/>
      <c r="T261" s="97"/>
      <c r="V261" s="108"/>
    </row>
    <row r="262" ht="15.75" customHeight="1">
      <c r="A262" s="91"/>
      <c r="B262" s="171"/>
      <c r="C262" s="143"/>
      <c r="D262" s="97"/>
      <c r="E262" s="143"/>
      <c r="F262" s="143"/>
      <c r="G262" s="97"/>
      <c r="H262" s="143"/>
      <c r="I262" s="97"/>
      <c r="J262" s="97"/>
      <c r="K262" s="148"/>
      <c r="L262" s="148"/>
      <c r="M262" s="102"/>
      <c r="N262" s="124"/>
      <c r="O262" s="125"/>
      <c r="P262" s="97"/>
      <c r="Q262" s="131"/>
      <c r="R262" s="126"/>
      <c r="S262" s="97"/>
      <c r="T262" s="97"/>
      <c r="V262" s="108"/>
    </row>
    <row r="263" ht="15.75" customHeight="1">
      <c r="A263" s="91"/>
      <c r="B263" s="171"/>
      <c r="C263" s="143"/>
      <c r="D263" s="97"/>
      <c r="E263" s="143"/>
      <c r="F263" s="143"/>
      <c r="G263" s="97"/>
      <c r="H263" s="143"/>
      <c r="I263" s="97"/>
      <c r="J263" s="97"/>
      <c r="K263" s="150"/>
      <c r="L263" s="150"/>
      <c r="M263" s="102"/>
      <c r="N263" s="124"/>
      <c r="O263" s="125"/>
      <c r="P263" s="97"/>
      <c r="Q263" s="131"/>
      <c r="R263" s="126"/>
      <c r="S263" s="97"/>
      <c r="T263" s="97"/>
      <c r="V263" s="108"/>
    </row>
    <row r="264" ht="15.75" customHeight="1">
      <c r="A264" s="91"/>
      <c r="B264" s="171"/>
      <c r="C264" s="143"/>
      <c r="D264" s="97"/>
      <c r="E264" s="143"/>
      <c r="F264" s="143"/>
      <c r="G264" s="97"/>
      <c r="H264" s="143"/>
      <c r="I264" s="97"/>
      <c r="J264" s="97"/>
      <c r="K264" s="148"/>
      <c r="L264" s="148"/>
      <c r="M264" s="102"/>
      <c r="N264" s="124"/>
      <c r="O264" s="125"/>
      <c r="P264" s="97"/>
      <c r="Q264" s="131"/>
      <c r="R264" s="126"/>
      <c r="S264" s="97"/>
      <c r="T264" s="97"/>
      <c r="V264" s="108"/>
    </row>
    <row r="265" ht="15.75" customHeight="1">
      <c r="A265" s="91"/>
      <c r="B265" s="171"/>
      <c r="C265" s="108"/>
      <c r="D265" s="97"/>
      <c r="E265" s="143"/>
      <c r="F265" s="143"/>
      <c r="G265" s="97"/>
      <c r="H265" s="143"/>
      <c r="I265" s="97"/>
      <c r="J265" s="97"/>
      <c r="K265" s="150"/>
      <c r="L265" s="150"/>
      <c r="M265" s="102"/>
      <c r="N265" s="124"/>
      <c r="O265" s="125"/>
      <c r="P265" s="97"/>
      <c r="Q265" s="131"/>
      <c r="R265" s="126"/>
      <c r="S265" s="97"/>
      <c r="T265" s="97"/>
      <c r="V265" s="108"/>
    </row>
    <row r="266" ht="15.75" customHeight="1">
      <c r="A266" s="91"/>
      <c r="B266" s="171"/>
      <c r="C266" s="143"/>
      <c r="D266" s="97"/>
      <c r="E266" s="143"/>
      <c r="F266" s="143"/>
      <c r="G266" s="97"/>
      <c r="H266" s="143"/>
      <c r="I266" s="97"/>
      <c r="J266" s="97"/>
      <c r="K266" s="148"/>
      <c r="L266" s="148"/>
      <c r="M266" s="102"/>
      <c r="N266" s="124"/>
      <c r="O266" s="125"/>
      <c r="P266" s="97"/>
      <c r="Q266" s="131"/>
      <c r="R266" s="126"/>
      <c r="S266" s="97"/>
      <c r="T266" s="97"/>
      <c r="V266" s="108"/>
    </row>
    <row r="267" ht="15.75" customHeight="1">
      <c r="A267" s="91"/>
      <c r="B267" s="171"/>
      <c r="C267" s="143"/>
      <c r="D267" s="97"/>
      <c r="E267" s="143"/>
      <c r="F267" s="143"/>
      <c r="G267" s="97"/>
      <c r="H267" s="143"/>
      <c r="I267" s="97"/>
      <c r="J267" s="97"/>
      <c r="K267" s="150"/>
      <c r="L267" s="150"/>
      <c r="M267" s="102"/>
      <c r="N267" s="124"/>
      <c r="O267" s="125"/>
      <c r="P267" s="97"/>
      <c r="Q267" s="131"/>
      <c r="R267" s="126"/>
      <c r="S267" s="97"/>
      <c r="T267" s="97"/>
      <c r="V267" s="108"/>
    </row>
    <row r="268" ht="15.75" customHeight="1">
      <c r="A268" s="91"/>
      <c r="B268" s="171"/>
      <c r="C268" s="143"/>
      <c r="D268" s="97"/>
      <c r="E268" s="143"/>
      <c r="F268" s="143"/>
      <c r="G268" s="97"/>
      <c r="H268" s="143"/>
      <c r="I268" s="97"/>
      <c r="J268" s="97"/>
      <c r="K268" s="148"/>
      <c r="L268" s="148"/>
      <c r="M268" s="102"/>
      <c r="N268" s="124"/>
      <c r="O268" s="125"/>
      <c r="P268" s="97"/>
      <c r="Q268" s="131"/>
      <c r="R268" s="126"/>
      <c r="S268" s="97"/>
      <c r="T268" s="97"/>
      <c r="V268" s="108"/>
    </row>
    <row r="269" ht="15.75" customHeight="1">
      <c r="A269" s="91"/>
      <c r="B269" s="171"/>
      <c r="C269" s="143"/>
      <c r="D269" s="97"/>
      <c r="E269" s="143"/>
      <c r="F269" s="143"/>
      <c r="G269" s="97"/>
      <c r="H269" s="143"/>
      <c r="I269" s="97"/>
      <c r="J269" s="97"/>
      <c r="K269" s="150"/>
      <c r="L269" s="150"/>
      <c r="M269" s="102"/>
      <c r="N269" s="124"/>
      <c r="O269" s="125"/>
      <c r="P269" s="97"/>
      <c r="Q269" s="131"/>
      <c r="R269" s="126"/>
      <c r="S269" s="97"/>
      <c r="T269" s="97"/>
      <c r="V269" s="108"/>
    </row>
    <row r="270" ht="15.75" customHeight="1">
      <c r="A270" s="91"/>
      <c r="B270" s="171"/>
      <c r="C270" s="143"/>
      <c r="D270" s="97"/>
      <c r="E270" s="143"/>
      <c r="F270" s="143"/>
      <c r="G270" s="97"/>
      <c r="H270" s="143"/>
      <c r="I270" s="97"/>
      <c r="J270" s="97"/>
      <c r="K270" s="148"/>
      <c r="L270" s="148"/>
      <c r="M270" s="102"/>
      <c r="N270" s="124"/>
      <c r="O270" s="125"/>
      <c r="P270" s="97"/>
      <c r="Q270" s="131"/>
      <c r="R270" s="126"/>
      <c r="S270" s="97"/>
      <c r="T270" s="97"/>
      <c r="V270" s="108"/>
    </row>
    <row r="271" ht="15.75" customHeight="1">
      <c r="A271" s="91"/>
      <c r="B271" s="171"/>
      <c r="C271" s="108"/>
      <c r="D271" s="97"/>
      <c r="E271" s="143"/>
      <c r="F271" s="143"/>
      <c r="G271" s="97"/>
      <c r="H271" s="143"/>
      <c r="I271" s="97"/>
      <c r="J271" s="97"/>
      <c r="K271" s="150"/>
      <c r="L271" s="150"/>
      <c r="M271" s="102"/>
      <c r="N271" s="124"/>
      <c r="O271" s="125"/>
      <c r="P271" s="97"/>
      <c r="Q271" s="131"/>
      <c r="R271" s="126"/>
      <c r="S271" s="97"/>
      <c r="T271" s="97"/>
      <c r="V271" s="108"/>
    </row>
    <row r="272" ht="15.75" customHeight="1">
      <c r="A272" s="91"/>
      <c r="B272" s="171"/>
      <c r="C272" s="143"/>
      <c r="D272" s="97"/>
      <c r="E272" s="143"/>
      <c r="F272" s="143"/>
      <c r="G272" s="97"/>
      <c r="H272" s="143"/>
      <c r="I272" s="97"/>
      <c r="J272" s="97"/>
      <c r="K272" s="148"/>
      <c r="L272" s="148"/>
      <c r="M272" s="102"/>
      <c r="N272" s="124"/>
      <c r="O272" s="125"/>
      <c r="P272" s="97"/>
      <c r="Q272" s="131"/>
      <c r="R272" s="126"/>
      <c r="S272" s="97"/>
      <c r="T272" s="97"/>
      <c r="V272" s="108"/>
    </row>
    <row r="273" ht="15.75" customHeight="1">
      <c r="A273" s="91"/>
      <c r="B273" s="171"/>
      <c r="C273" s="143"/>
      <c r="D273" s="97"/>
      <c r="E273" s="143"/>
      <c r="F273" s="143"/>
      <c r="G273" s="97"/>
      <c r="H273" s="143"/>
      <c r="I273" s="97"/>
      <c r="J273" s="97"/>
      <c r="K273" s="150"/>
      <c r="L273" s="150"/>
      <c r="M273" s="102"/>
      <c r="N273" s="124"/>
      <c r="O273" s="125"/>
      <c r="P273" s="97"/>
      <c r="Q273" s="131"/>
      <c r="R273" s="126"/>
      <c r="S273" s="97"/>
      <c r="T273" s="97"/>
      <c r="V273" s="108"/>
    </row>
    <row r="274" ht="15.75" customHeight="1">
      <c r="A274" s="91"/>
      <c r="B274" s="171"/>
      <c r="C274" s="143"/>
      <c r="D274" s="97"/>
      <c r="E274" s="143"/>
      <c r="F274" s="143"/>
      <c r="G274" s="97"/>
      <c r="H274" s="143"/>
      <c r="I274" s="97"/>
      <c r="J274" s="97"/>
      <c r="K274" s="148"/>
      <c r="L274" s="148"/>
      <c r="M274" s="102"/>
      <c r="N274" s="124"/>
      <c r="O274" s="125"/>
      <c r="P274" s="97"/>
      <c r="Q274" s="131"/>
      <c r="R274" s="126"/>
      <c r="S274" s="97"/>
      <c r="T274" s="97"/>
      <c r="V274" s="108"/>
    </row>
    <row r="275" ht="15.75" customHeight="1">
      <c r="A275" s="91"/>
      <c r="B275" s="171"/>
      <c r="C275" s="143"/>
      <c r="D275" s="97"/>
      <c r="E275" s="143"/>
      <c r="F275" s="143"/>
      <c r="G275" s="97"/>
      <c r="H275" s="143"/>
      <c r="I275" s="97"/>
      <c r="J275" s="97"/>
      <c r="K275" s="150"/>
      <c r="L275" s="150"/>
      <c r="M275" s="102"/>
      <c r="N275" s="124"/>
      <c r="O275" s="125"/>
      <c r="P275" s="97"/>
      <c r="Q275" s="131"/>
      <c r="R275" s="126"/>
      <c r="S275" s="97"/>
      <c r="T275" s="97"/>
      <c r="V275" s="108"/>
    </row>
    <row r="276" ht="15.75" customHeight="1">
      <c r="A276" s="91"/>
      <c r="B276" s="171"/>
      <c r="C276" s="143"/>
      <c r="D276" s="97"/>
      <c r="E276" s="143"/>
      <c r="F276" s="143"/>
      <c r="G276" s="97"/>
      <c r="H276" s="143"/>
      <c r="I276" s="97"/>
      <c r="J276" s="97"/>
      <c r="K276" s="148"/>
      <c r="L276" s="148"/>
      <c r="M276" s="102"/>
      <c r="N276" s="124"/>
      <c r="O276" s="125"/>
      <c r="P276" s="97"/>
      <c r="Q276" s="131"/>
      <c r="R276" s="126"/>
      <c r="S276" s="97"/>
      <c r="T276" s="97"/>
      <c r="V276" s="108"/>
    </row>
    <row r="277" ht="15.75" customHeight="1">
      <c r="A277" s="91"/>
      <c r="B277" s="171"/>
      <c r="C277" s="108"/>
      <c r="D277" s="97"/>
      <c r="E277" s="143"/>
      <c r="F277" s="143"/>
      <c r="G277" s="97"/>
      <c r="H277" s="143"/>
      <c r="I277" s="97"/>
      <c r="J277" s="97"/>
      <c r="K277" s="150"/>
      <c r="L277" s="150"/>
      <c r="M277" s="102"/>
      <c r="N277" s="124"/>
      <c r="O277" s="125"/>
      <c r="P277" s="97"/>
      <c r="Q277" s="131"/>
      <c r="R277" s="126"/>
      <c r="S277" s="97"/>
      <c r="T277" s="97"/>
      <c r="V277" s="108"/>
    </row>
    <row r="278" ht="15.75" customHeight="1">
      <c r="A278" s="91"/>
      <c r="B278" s="171"/>
      <c r="C278" s="143"/>
      <c r="D278" s="97"/>
      <c r="E278" s="143"/>
      <c r="F278" s="143"/>
      <c r="G278" s="97"/>
      <c r="H278" s="143"/>
      <c r="I278" s="97"/>
      <c r="J278" s="97"/>
      <c r="K278" s="148"/>
      <c r="L278" s="148"/>
      <c r="M278" s="102"/>
      <c r="N278" s="124"/>
      <c r="O278" s="125"/>
      <c r="P278" s="97"/>
      <c r="Q278" s="131"/>
      <c r="R278" s="126"/>
      <c r="S278" s="97"/>
      <c r="T278" s="97"/>
      <c r="V278" s="108"/>
    </row>
    <row r="279" ht="15.75" customHeight="1">
      <c r="A279" s="91"/>
      <c r="B279" s="171"/>
      <c r="C279" s="143"/>
      <c r="D279" s="97"/>
      <c r="E279" s="143"/>
      <c r="F279" s="143"/>
      <c r="G279" s="97"/>
      <c r="H279" s="143"/>
      <c r="I279" s="97"/>
      <c r="J279" s="97"/>
      <c r="K279" s="150"/>
      <c r="L279" s="150"/>
      <c r="M279" s="102"/>
      <c r="N279" s="124"/>
      <c r="O279" s="125"/>
      <c r="P279" s="97"/>
      <c r="Q279" s="131"/>
      <c r="R279" s="126"/>
      <c r="S279" s="97"/>
      <c r="T279" s="97"/>
      <c r="V279" s="108"/>
    </row>
    <row r="280" ht="15.75" customHeight="1">
      <c r="A280" s="91"/>
      <c r="B280" s="171"/>
      <c r="C280" s="143"/>
      <c r="D280" s="97"/>
      <c r="E280" s="143"/>
      <c r="F280" s="143"/>
      <c r="G280" s="97"/>
      <c r="H280" s="143"/>
      <c r="I280" s="97"/>
      <c r="J280" s="97"/>
      <c r="K280" s="148"/>
      <c r="L280" s="148"/>
      <c r="M280" s="102"/>
      <c r="N280" s="124"/>
      <c r="O280" s="125"/>
      <c r="P280" s="97"/>
      <c r="Q280" s="131"/>
      <c r="R280" s="126"/>
      <c r="S280" s="97"/>
      <c r="T280" s="97"/>
      <c r="V280" s="108"/>
    </row>
    <row r="281" ht="15.75" customHeight="1">
      <c r="A281" s="91"/>
      <c r="B281" s="171"/>
      <c r="C281" s="143"/>
      <c r="D281" s="97"/>
      <c r="E281" s="143"/>
      <c r="F281" s="143"/>
      <c r="G281" s="97"/>
      <c r="H281" s="143"/>
      <c r="I281" s="97"/>
      <c r="J281" s="97"/>
      <c r="K281" s="150"/>
      <c r="L281" s="150"/>
      <c r="M281" s="102"/>
      <c r="N281" s="124"/>
      <c r="O281" s="125"/>
      <c r="P281" s="97"/>
      <c r="Q281" s="131"/>
      <c r="R281" s="126"/>
      <c r="S281" s="97"/>
      <c r="T281" s="97"/>
      <c r="V281" s="108"/>
    </row>
    <row r="282" ht="15.75" customHeight="1">
      <c r="A282" s="91"/>
      <c r="B282" s="171"/>
      <c r="C282" s="143"/>
      <c r="D282" s="97"/>
      <c r="E282" s="143"/>
      <c r="F282" s="143"/>
      <c r="G282" s="97"/>
      <c r="H282" s="143"/>
      <c r="I282" s="97"/>
      <c r="J282" s="97"/>
      <c r="K282" s="148"/>
      <c r="L282" s="148"/>
      <c r="M282" s="102"/>
      <c r="N282" s="124"/>
      <c r="O282" s="125"/>
      <c r="P282" s="97"/>
      <c r="Q282" s="131"/>
      <c r="R282" s="126"/>
      <c r="S282" s="97"/>
      <c r="T282" s="97"/>
      <c r="V282" s="108"/>
    </row>
    <row r="283" ht="15.75" customHeight="1">
      <c r="A283" s="91"/>
      <c r="B283" s="171"/>
      <c r="C283" s="108"/>
      <c r="D283" s="97"/>
      <c r="E283" s="143"/>
      <c r="F283" s="143"/>
      <c r="G283" s="97"/>
      <c r="H283" s="143"/>
      <c r="I283" s="97"/>
      <c r="J283" s="97"/>
      <c r="K283" s="150"/>
      <c r="L283" s="150"/>
      <c r="M283" s="102"/>
      <c r="N283" s="124"/>
      <c r="O283" s="125"/>
      <c r="P283" s="97"/>
      <c r="Q283" s="131"/>
      <c r="R283" s="126"/>
      <c r="S283" s="97"/>
      <c r="T283" s="97"/>
      <c r="V283" s="108"/>
    </row>
    <row r="284" ht="15.75" customHeight="1">
      <c r="A284" s="91"/>
      <c r="B284" s="171"/>
      <c r="C284" s="143"/>
      <c r="D284" s="97"/>
      <c r="E284" s="143"/>
      <c r="F284" s="143"/>
      <c r="G284" s="97"/>
      <c r="H284" s="143"/>
      <c r="I284" s="97"/>
      <c r="J284" s="97"/>
      <c r="K284" s="148"/>
      <c r="L284" s="148"/>
      <c r="M284" s="102"/>
      <c r="N284" s="124"/>
      <c r="O284" s="125"/>
      <c r="P284" s="97"/>
      <c r="Q284" s="131"/>
      <c r="R284" s="126"/>
      <c r="S284" s="97"/>
      <c r="T284" s="97"/>
      <c r="V284" s="108"/>
    </row>
    <row r="285" ht="15.75" customHeight="1">
      <c r="A285" s="91"/>
      <c r="B285" s="171"/>
      <c r="C285" s="143"/>
      <c r="D285" s="97"/>
      <c r="E285" s="143"/>
      <c r="F285" s="143"/>
      <c r="G285" s="97"/>
      <c r="H285" s="143"/>
      <c r="I285" s="97"/>
      <c r="J285" s="97"/>
      <c r="K285" s="150"/>
      <c r="L285" s="150"/>
      <c r="M285" s="102"/>
      <c r="N285" s="124"/>
      <c r="O285" s="125"/>
      <c r="P285" s="97"/>
      <c r="Q285" s="131"/>
      <c r="R285" s="126"/>
      <c r="S285" s="97"/>
      <c r="T285" s="97"/>
      <c r="V285" s="108"/>
    </row>
    <row r="286" ht="15.75" customHeight="1">
      <c r="A286" s="91"/>
      <c r="B286" s="171"/>
      <c r="C286" s="143"/>
      <c r="D286" s="97"/>
      <c r="E286" s="143"/>
      <c r="F286" s="143"/>
      <c r="G286" s="97"/>
      <c r="H286" s="143"/>
      <c r="I286" s="97"/>
      <c r="J286" s="97"/>
      <c r="K286" s="148"/>
      <c r="L286" s="148"/>
      <c r="M286" s="102"/>
      <c r="N286" s="124"/>
      <c r="O286" s="125"/>
      <c r="P286" s="97"/>
      <c r="Q286" s="131"/>
      <c r="R286" s="126"/>
      <c r="S286" s="97"/>
      <c r="T286" s="97"/>
      <c r="V286" s="108"/>
    </row>
    <row r="287" ht="15.75" customHeight="1">
      <c r="A287" s="91"/>
      <c r="B287" s="171"/>
      <c r="C287" s="143"/>
      <c r="D287" s="97"/>
      <c r="E287" s="143"/>
      <c r="F287" s="143"/>
      <c r="G287" s="97"/>
      <c r="H287" s="143"/>
      <c r="I287" s="97"/>
      <c r="J287" s="97"/>
      <c r="K287" s="150"/>
      <c r="L287" s="150"/>
      <c r="M287" s="102"/>
      <c r="N287" s="124"/>
      <c r="O287" s="125"/>
      <c r="P287" s="97"/>
      <c r="Q287" s="131"/>
      <c r="R287" s="126"/>
      <c r="S287" s="97"/>
      <c r="T287" s="97"/>
      <c r="V287" s="108"/>
    </row>
    <row r="288" ht="15.75" customHeight="1">
      <c r="A288" s="91"/>
      <c r="B288" s="171"/>
      <c r="C288" s="143"/>
      <c r="D288" s="97"/>
      <c r="E288" s="143"/>
      <c r="F288" s="143"/>
      <c r="G288" s="97"/>
      <c r="H288" s="143"/>
      <c r="I288" s="97"/>
      <c r="J288" s="97"/>
      <c r="K288" s="148"/>
      <c r="L288" s="148"/>
      <c r="M288" s="102"/>
      <c r="N288" s="124"/>
      <c r="O288" s="125"/>
      <c r="P288" s="97"/>
      <c r="Q288" s="131"/>
      <c r="R288" s="126"/>
      <c r="S288" s="97"/>
      <c r="T288" s="97"/>
      <c r="V288" s="108"/>
    </row>
    <row r="289" ht="15.75" customHeight="1">
      <c r="A289" s="91"/>
      <c r="B289" s="171"/>
      <c r="C289" s="108"/>
      <c r="D289" s="97"/>
      <c r="E289" s="143"/>
      <c r="F289" s="143"/>
      <c r="G289" s="97"/>
      <c r="H289" s="143"/>
      <c r="I289" s="97"/>
      <c r="J289" s="97"/>
      <c r="K289" s="150"/>
      <c r="L289" s="150"/>
      <c r="M289" s="102"/>
      <c r="N289" s="124"/>
      <c r="O289" s="125"/>
      <c r="P289" s="97"/>
      <c r="Q289" s="131"/>
      <c r="R289" s="126"/>
      <c r="S289" s="97"/>
      <c r="T289" s="97"/>
      <c r="V289" s="108"/>
    </row>
    <row r="290" ht="15.75" customHeight="1">
      <c r="A290" s="91"/>
      <c r="B290" s="171"/>
      <c r="C290" s="143"/>
      <c r="D290" s="97"/>
      <c r="E290" s="143"/>
      <c r="F290" s="143"/>
      <c r="G290" s="97"/>
      <c r="H290" s="143"/>
      <c r="I290" s="97"/>
      <c r="J290" s="97"/>
      <c r="K290" s="148"/>
      <c r="L290" s="148"/>
      <c r="M290" s="102"/>
      <c r="N290" s="124"/>
      <c r="O290" s="125"/>
      <c r="P290" s="97"/>
      <c r="Q290" s="131"/>
      <c r="R290" s="126"/>
      <c r="S290" s="97"/>
      <c r="T290" s="97"/>
      <c r="V290" s="108"/>
    </row>
    <row r="291" ht="15.75" customHeight="1">
      <c r="A291" s="91"/>
      <c r="B291" s="171"/>
      <c r="C291" s="143"/>
      <c r="D291" s="97"/>
      <c r="E291" s="143"/>
      <c r="F291" s="143"/>
      <c r="G291" s="97"/>
      <c r="H291" s="143"/>
      <c r="I291" s="97"/>
      <c r="J291" s="97"/>
      <c r="K291" s="150"/>
      <c r="L291" s="150"/>
      <c r="M291" s="102"/>
      <c r="N291" s="124"/>
      <c r="O291" s="125"/>
      <c r="P291" s="97"/>
      <c r="Q291" s="131"/>
      <c r="R291" s="126"/>
      <c r="S291" s="97"/>
      <c r="T291" s="97"/>
      <c r="V291" s="108"/>
    </row>
    <row r="292" ht="15.75" customHeight="1">
      <c r="A292" s="91"/>
      <c r="B292" s="171"/>
      <c r="C292" s="143"/>
      <c r="D292" s="97"/>
      <c r="E292" s="143"/>
      <c r="F292" s="143"/>
      <c r="G292" s="97"/>
      <c r="H292" s="143"/>
      <c r="I292" s="97"/>
      <c r="J292" s="97"/>
      <c r="K292" s="148"/>
      <c r="L292" s="148"/>
      <c r="M292" s="102"/>
      <c r="N292" s="124"/>
      <c r="O292" s="125"/>
      <c r="P292" s="97"/>
      <c r="Q292" s="131"/>
      <c r="R292" s="126"/>
      <c r="S292" s="97"/>
      <c r="T292" s="97"/>
      <c r="V292" s="108"/>
    </row>
    <row r="293" ht="15.75" customHeight="1">
      <c r="A293" s="91"/>
      <c r="B293" s="171"/>
      <c r="C293" s="143"/>
      <c r="D293" s="97"/>
      <c r="E293" s="143"/>
      <c r="F293" s="143"/>
      <c r="G293" s="97"/>
      <c r="H293" s="143"/>
      <c r="I293" s="97"/>
      <c r="J293" s="97"/>
      <c r="K293" s="150"/>
      <c r="L293" s="150"/>
      <c r="M293" s="102"/>
      <c r="N293" s="124"/>
      <c r="O293" s="125"/>
      <c r="P293" s="97"/>
      <c r="Q293" s="131"/>
      <c r="R293" s="126"/>
      <c r="S293" s="97"/>
      <c r="T293" s="97"/>
      <c r="V293" s="108"/>
    </row>
    <row r="294" ht="15.75" customHeight="1">
      <c r="A294" s="91"/>
      <c r="B294" s="171"/>
      <c r="C294" s="143"/>
      <c r="D294" s="97"/>
      <c r="E294" s="143"/>
      <c r="F294" s="143"/>
      <c r="G294" s="97"/>
      <c r="H294" s="143"/>
      <c r="I294" s="97"/>
      <c r="J294" s="97"/>
      <c r="K294" s="148"/>
      <c r="L294" s="148"/>
      <c r="M294" s="102"/>
      <c r="N294" s="124"/>
      <c r="O294" s="125"/>
      <c r="P294" s="97"/>
      <c r="Q294" s="131"/>
      <c r="R294" s="126"/>
      <c r="S294" s="97"/>
      <c r="T294" s="97"/>
      <c r="V294" s="108"/>
    </row>
    <row r="295" ht="15.75" customHeight="1">
      <c r="A295" s="91"/>
      <c r="B295" s="171"/>
      <c r="C295" s="108"/>
      <c r="D295" s="97"/>
      <c r="E295" s="143"/>
      <c r="F295" s="143"/>
      <c r="G295" s="97"/>
      <c r="H295" s="143"/>
      <c r="I295" s="97"/>
      <c r="J295" s="97"/>
      <c r="K295" s="150"/>
      <c r="L295" s="150"/>
      <c r="M295" s="102"/>
      <c r="N295" s="124"/>
      <c r="O295" s="125"/>
      <c r="P295" s="97"/>
      <c r="Q295" s="131"/>
      <c r="R295" s="126"/>
      <c r="S295" s="97"/>
      <c r="T295" s="97"/>
      <c r="V295" s="108"/>
    </row>
    <row r="296" ht="15.75" customHeight="1">
      <c r="A296" s="91"/>
      <c r="B296" s="171"/>
      <c r="C296" s="143"/>
      <c r="D296" s="97"/>
      <c r="E296" s="143"/>
      <c r="F296" s="143"/>
      <c r="G296" s="97"/>
      <c r="H296" s="143"/>
      <c r="I296" s="97"/>
      <c r="J296" s="97"/>
      <c r="K296" s="148"/>
      <c r="L296" s="148"/>
      <c r="M296" s="102"/>
      <c r="N296" s="124"/>
      <c r="O296" s="125"/>
      <c r="P296" s="97"/>
      <c r="Q296" s="131"/>
      <c r="R296" s="126"/>
      <c r="S296" s="97"/>
      <c r="T296" s="97"/>
      <c r="V296" s="108"/>
    </row>
    <row r="297" ht="15.75" customHeight="1">
      <c r="A297" s="91"/>
      <c r="B297" s="171"/>
      <c r="C297" s="143"/>
      <c r="D297" s="97"/>
      <c r="E297" s="143"/>
      <c r="F297" s="143"/>
      <c r="G297" s="97"/>
      <c r="H297" s="143"/>
      <c r="I297" s="97"/>
      <c r="J297" s="97"/>
      <c r="K297" s="150"/>
      <c r="L297" s="150"/>
      <c r="M297" s="102"/>
      <c r="N297" s="124"/>
      <c r="O297" s="125"/>
      <c r="P297" s="97"/>
      <c r="Q297" s="131"/>
      <c r="R297" s="126"/>
      <c r="S297" s="97"/>
      <c r="T297" s="97"/>
      <c r="V297" s="108"/>
    </row>
    <row r="298" ht="15.75" customHeight="1">
      <c r="A298" s="91"/>
      <c r="B298" s="171"/>
      <c r="C298" s="143"/>
      <c r="D298" s="97"/>
      <c r="E298" s="143"/>
      <c r="F298" s="143"/>
      <c r="G298" s="97"/>
      <c r="H298" s="143"/>
      <c r="I298" s="97"/>
      <c r="J298" s="97"/>
      <c r="K298" s="148"/>
      <c r="L298" s="148"/>
      <c r="M298" s="102"/>
      <c r="N298" s="124"/>
      <c r="O298" s="125"/>
      <c r="P298" s="97"/>
      <c r="Q298" s="131"/>
      <c r="R298" s="126"/>
      <c r="S298" s="97"/>
      <c r="T298" s="97"/>
      <c r="V298" s="108"/>
    </row>
    <row r="299" ht="15.75" customHeight="1">
      <c r="A299" s="91"/>
      <c r="B299" s="171"/>
      <c r="C299" s="143"/>
      <c r="D299" s="97"/>
      <c r="E299" s="143"/>
      <c r="F299" s="143"/>
      <c r="G299" s="97"/>
      <c r="H299" s="143"/>
      <c r="I299" s="97"/>
      <c r="J299" s="97"/>
      <c r="K299" s="150"/>
      <c r="L299" s="150"/>
      <c r="M299" s="102"/>
      <c r="N299" s="124"/>
      <c r="O299" s="125"/>
      <c r="P299" s="97"/>
      <c r="Q299" s="131"/>
      <c r="R299" s="126"/>
      <c r="S299" s="97"/>
      <c r="T299" s="97"/>
      <c r="V299" s="108"/>
    </row>
    <row r="300" ht="15.75" customHeight="1">
      <c r="A300" s="91"/>
      <c r="B300" s="171"/>
      <c r="C300" s="143"/>
      <c r="D300" s="97"/>
      <c r="E300" s="143"/>
      <c r="F300" s="143"/>
      <c r="G300" s="97"/>
      <c r="H300" s="143"/>
      <c r="I300" s="97"/>
      <c r="J300" s="97"/>
      <c r="K300" s="148"/>
      <c r="L300" s="148"/>
      <c r="M300" s="102"/>
      <c r="N300" s="124"/>
      <c r="O300" s="125"/>
      <c r="P300" s="97"/>
      <c r="Q300" s="131"/>
      <c r="R300" s="126"/>
      <c r="S300" s="97"/>
      <c r="T300" s="97"/>
      <c r="V300" s="108"/>
    </row>
    <row r="301" ht="15.75" customHeight="1">
      <c r="A301" s="91"/>
      <c r="B301" s="171"/>
      <c r="C301" s="108"/>
      <c r="D301" s="97"/>
      <c r="E301" s="143"/>
      <c r="F301" s="143"/>
      <c r="G301" s="97"/>
      <c r="H301" s="143"/>
      <c r="I301" s="97"/>
      <c r="J301" s="97"/>
      <c r="K301" s="150"/>
      <c r="L301" s="150"/>
      <c r="M301" s="102"/>
      <c r="N301" s="124"/>
      <c r="O301" s="125"/>
      <c r="P301" s="97"/>
      <c r="Q301" s="131"/>
      <c r="R301" s="126"/>
      <c r="S301" s="97"/>
      <c r="T301" s="97"/>
      <c r="V301" s="108"/>
    </row>
    <row r="302" ht="15.75" customHeight="1">
      <c r="A302" s="91"/>
      <c r="B302" s="171"/>
      <c r="C302" s="143"/>
      <c r="D302" s="97"/>
      <c r="E302" s="143"/>
      <c r="F302" s="143"/>
      <c r="G302" s="97"/>
      <c r="H302" s="143"/>
      <c r="I302" s="97"/>
      <c r="J302" s="97"/>
      <c r="K302" s="148"/>
      <c r="L302" s="148"/>
      <c r="M302" s="102"/>
      <c r="N302" s="124"/>
      <c r="O302" s="125"/>
      <c r="P302" s="97"/>
      <c r="Q302" s="131"/>
      <c r="R302" s="126"/>
      <c r="S302" s="97"/>
      <c r="T302" s="97"/>
      <c r="V302" s="108"/>
    </row>
    <row r="303" ht="15.75" customHeight="1">
      <c r="A303" s="91"/>
      <c r="B303" s="171"/>
      <c r="C303" s="143"/>
      <c r="D303" s="97"/>
      <c r="E303" s="143"/>
      <c r="F303" s="143"/>
      <c r="G303" s="97"/>
      <c r="H303" s="143"/>
      <c r="I303" s="97"/>
      <c r="J303" s="97"/>
      <c r="K303" s="150"/>
      <c r="L303" s="150"/>
      <c r="M303" s="102"/>
      <c r="N303" s="124"/>
      <c r="O303" s="125"/>
      <c r="P303" s="97"/>
      <c r="Q303" s="131"/>
      <c r="R303" s="126"/>
      <c r="S303" s="97"/>
      <c r="T303" s="97"/>
      <c r="V303" s="108"/>
    </row>
    <row r="304" ht="15.75" customHeight="1">
      <c r="A304" s="91"/>
      <c r="B304" s="171"/>
      <c r="C304" s="143"/>
      <c r="D304" s="97"/>
      <c r="E304" s="143"/>
      <c r="F304" s="143"/>
      <c r="G304" s="97"/>
      <c r="H304" s="143"/>
      <c r="I304" s="97"/>
      <c r="J304" s="97"/>
      <c r="K304" s="148"/>
      <c r="L304" s="148"/>
      <c r="M304" s="102"/>
      <c r="N304" s="124"/>
      <c r="O304" s="125"/>
      <c r="P304" s="97"/>
      <c r="Q304" s="131"/>
      <c r="R304" s="126"/>
      <c r="S304" s="97"/>
      <c r="T304" s="97"/>
      <c r="V304" s="108"/>
    </row>
    <row r="305" ht="15.75" customHeight="1">
      <c r="A305" s="91"/>
      <c r="B305" s="171"/>
      <c r="C305" s="143"/>
      <c r="D305" s="97"/>
      <c r="E305" s="143"/>
      <c r="F305" s="143"/>
      <c r="G305" s="97"/>
      <c r="H305" s="143"/>
      <c r="I305" s="97"/>
      <c r="J305" s="97"/>
      <c r="K305" s="150"/>
      <c r="L305" s="150"/>
      <c r="M305" s="102"/>
      <c r="N305" s="124"/>
      <c r="O305" s="125"/>
      <c r="P305" s="97"/>
      <c r="Q305" s="131"/>
      <c r="R305" s="126"/>
      <c r="S305" s="97"/>
      <c r="T305" s="97"/>
      <c r="V305" s="108"/>
    </row>
    <row r="306" ht="15.75" customHeight="1">
      <c r="A306" s="91"/>
      <c r="B306" s="171"/>
      <c r="C306" s="143"/>
      <c r="D306" s="97"/>
      <c r="E306" s="143"/>
      <c r="F306" s="143"/>
      <c r="G306" s="97"/>
      <c r="H306" s="143"/>
      <c r="I306" s="97"/>
      <c r="J306" s="97"/>
      <c r="K306" s="148"/>
      <c r="L306" s="148"/>
      <c r="M306" s="102"/>
      <c r="N306" s="124"/>
      <c r="O306" s="125"/>
      <c r="P306" s="97"/>
      <c r="Q306" s="131"/>
      <c r="R306" s="126"/>
      <c r="S306" s="97"/>
      <c r="T306" s="97"/>
      <c r="V306" s="108"/>
    </row>
    <row r="307" ht="15.75" customHeight="1">
      <c r="A307" s="91"/>
      <c r="B307" s="171"/>
      <c r="C307" s="108"/>
      <c r="D307" s="97"/>
      <c r="E307" s="143"/>
      <c r="F307" s="143"/>
      <c r="G307" s="97"/>
      <c r="H307" s="143"/>
      <c r="I307" s="97"/>
      <c r="J307" s="97"/>
      <c r="K307" s="150"/>
      <c r="L307" s="150"/>
      <c r="M307" s="102"/>
      <c r="N307" s="124"/>
      <c r="O307" s="125"/>
      <c r="P307" s="97"/>
      <c r="Q307" s="131"/>
      <c r="R307" s="126"/>
      <c r="S307" s="97"/>
      <c r="T307" s="97"/>
      <c r="V307" s="108"/>
    </row>
    <row r="308" ht="15.75" customHeight="1">
      <c r="A308" s="91"/>
      <c r="B308" s="171"/>
      <c r="C308" s="143"/>
      <c r="D308" s="97"/>
      <c r="E308" s="143"/>
      <c r="F308" s="143"/>
      <c r="G308" s="97"/>
      <c r="H308" s="143"/>
      <c r="I308" s="97"/>
      <c r="J308" s="97"/>
      <c r="K308" s="148"/>
      <c r="L308" s="148"/>
      <c r="M308" s="102"/>
      <c r="N308" s="124"/>
      <c r="O308" s="125"/>
      <c r="P308" s="97"/>
      <c r="Q308" s="131"/>
      <c r="R308" s="126"/>
      <c r="S308" s="97"/>
      <c r="T308" s="97"/>
      <c r="V308" s="108"/>
    </row>
    <row r="309" ht="15.75" customHeight="1">
      <c r="A309" s="91"/>
      <c r="B309" s="171"/>
      <c r="C309" s="143"/>
      <c r="D309" s="97"/>
      <c r="E309" s="143"/>
      <c r="F309" s="143"/>
      <c r="G309" s="97"/>
      <c r="H309" s="143"/>
      <c r="I309" s="97"/>
      <c r="J309" s="97"/>
      <c r="K309" s="150"/>
      <c r="L309" s="150"/>
      <c r="M309" s="102"/>
      <c r="N309" s="124"/>
      <c r="O309" s="125"/>
      <c r="P309" s="97"/>
      <c r="Q309" s="131"/>
      <c r="R309" s="126"/>
      <c r="S309" s="97"/>
      <c r="T309" s="97"/>
      <c r="V309" s="108"/>
    </row>
    <row r="310" ht="15.75" customHeight="1">
      <c r="A310" s="91"/>
      <c r="B310" s="171"/>
      <c r="C310" s="143"/>
      <c r="D310" s="97"/>
      <c r="E310" s="143"/>
      <c r="F310" s="143"/>
      <c r="G310" s="97"/>
      <c r="H310" s="143"/>
      <c r="I310" s="97"/>
      <c r="J310" s="97"/>
      <c r="K310" s="148"/>
      <c r="L310" s="148"/>
      <c r="M310" s="102"/>
      <c r="N310" s="124"/>
      <c r="O310" s="125"/>
      <c r="P310" s="97"/>
      <c r="Q310" s="131"/>
      <c r="R310" s="126"/>
      <c r="S310" s="97"/>
      <c r="T310" s="97"/>
      <c r="V310" s="108"/>
    </row>
    <row r="311" ht="15.75" customHeight="1">
      <c r="A311" s="91"/>
      <c r="B311" s="171"/>
      <c r="C311" s="143"/>
      <c r="D311" s="97"/>
      <c r="E311" s="143"/>
      <c r="F311" s="143"/>
      <c r="G311" s="97"/>
      <c r="H311" s="143"/>
      <c r="I311" s="97"/>
      <c r="J311" s="97"/>
      <c r="K311" s="150"/>
      <c r="L311" s="150"/>
      <c r="M311" s="102"/>
      <c r="N311" s="124"/>
      <c r="O311" s="125"/>
      <c r="P311" s="97"/>
      <c r="Q311" s="131"/>
      <c r="R311" s="126"/>
      <c r="S311" s="97"/>
      <c r="T311" s="97"/>
      <c r="V311" s="108"/>
    </row>
    <row r="312" ht="15.75" customHeight="1">
      <c r="A312" s="91"/>
      <c r="B312" s="171"/>
      <c r="C312" s="143"/>
      <c r="D312" s="97"/>
      <c r="E312" s="143"/>
      <c r="F312" s="143"/>
      <c r="G312" s="97"/>
      <c r="H312" s="143"/>
      <c r="I312" s="97"/>
      <c r="J312" s="97"/>
      <c r="K312" s="148"/>
      <c r="L312" s="148"/>
      <c r="M312" s="102"/>
      <c r="N312" s="124"/>
      <c r="O312" s="125"/>
      <c r="P312" s="97"/>
      <c r="Q312" s="131"/>
      <c r="R312" s="126"/>
      <c r="S312" s="97"/>
      <c r="T312" s="97"/>
      <c r="V312" s="108"/>
    </row>
    <row r="313" ht="15.75" customHeight="1">
      <c r="A313" s="91"/>
      <c r="B313" s="171"/>
      <c r="C313" s="108"/>
      <c r="D313" s="97"/>
      <c r="E313" s="143"/>
      <c r="F313" s="143"/>
      <c r="G313" s="97"/>
      <c r="H313" s="143"/>
      <c r="I313" s="97"/>
      <c r="J313" s="97"/>
      <c r="K313" s="150"/>
      <c r="L313" s="150"/>
      <c r="M313" s="102"/>
      <c r="N313" s="124"/>
      <c r="O313" s="125"/>
      <c r="P313" s="97"/>
      <c r="Q313" s="131"/>
      <c r="R313" s="126"/>
      <c r="S313" s="97"/>
      <c r="T313" s="97"/>
      <c r="V313" s="108"/>
    </row>
    <row r="314" ht="15.75" customHeight="1">
      <c r="A314" s="91"/>
      <c r="B314" s="171"/>
      <c r="C314" s="143"/>
      <c r="D314" s="97"/>
      <c r="E314" s="143"/>
      <c r="F314" s="143"/>
      <c r="G314" s="97"/>
      <c r="H314" s="143"/>
      <c r="I314" s="97"/>
      <c r="J314" s="97"/>
      <c r="K314" s="148"/>
      <c r="L314" s="148"/>
      <c r="M314" s="102"/>
      <c r="N314" s="124"/>
      <c r="O314" s="125"/>
      <c r="P314" s="97"/>
      <c r="Q314" s="131"/>
      <c r="R314" s="126"/>
      <c r="S314" s="97"/>
      <c r="T314" s="97"/>
      <c r="V314" s="108"/>
    </row>
    <row r="315" ht="15.75" customHeight="1">
      <c r="A315" s="91"/>
      <c r="B315" s="171"/>
      <c r="C315" s="143"/>
      <c r="D315" s="97"/>
      <c r="E315" s="143"/>
      <c r="F315" s="143"/>
      <c r="G315" s="97"/>
      <c r="H315" s="143"/>
      <c r="I315" s="97"/>
      <c r="J315" s="97"/>
      <c r="K315" s="150"/>
      <c r="L315" s="150"/>
      <c r="M315" s="102"/>
      <c r="N315" s="124"/>
      <c r="O315" s="125"/>
      <c r="P315" s="97"/>
      <c r="Q315" s="131"/>
      <c r="R315" s="126"/>
      <c r="S315" s="97"/>
      <c r="T315" s="97"/>
      <c r="V315" s="108"/>
    </row>
    <row r="316" ht="15.75" customHeight="1">
      <c r="A316" s="91"/>
      <c r="B316" s="171"/>
      <c r="C316" s="143"/>
      <c r="D316" s="97"/>
      <c r="E316" s="143"/>
      <c r="F316" s="143"/>
      <c r="G316" s="97"/>
      <c r="H316" s="143"/>
      <c r="I316" s="97"/>
      <c r="J316" s="97"/>
      <c r="K316" s="148"/>
      <c r="L316" s="148"/>
      <c r="M316" s="102"/>
      <c r="N316" s="124"/>
      <c r="O316" s="125"/>
      <c r="P316" s="97"/>
      <c r="Q316" s="131"/>
      <c r="R316" s="126"/>
      <c r="S316" s="97"/>
      <c r="T316" s="97"/>
      <c r="V316" s="108"/>
    </row>
    <row r="317" ht="15.75" customHeight="1">
      <c r="A317" s="91"/>
      <c r="B317" s="171"/>
      <c r="C317" s="143"/>
      <c r="D317" s="97"/>
      <c r="E317" s="143"/>
      <c r="F317" s="143"/>
      <c r="G317" s="97"/>
      <c r="H317" s="143"/>
      <c r="I317" s="97"/>
      <c r="J317" s="97"/>
      <c r="K317" s="150"/>
      <c r="L317" s="150"/>
      <c r="M317" s="102"/>
      <c r="N317" s="124"/>
      <c r="O317" s="125"/>
      <c r="P317" s="97"/>
      <c r="Q317" s="131"/>
      <c r="R317" s="126"/>
      <c r="S317" s="97"/>
      <c r="T317" s="97"/>
      <c r="V317" s="108"/>
    </row>
    <row r="318" ht="15.75" customHeight="1">
      <c r="A318" s="91"/>
      <c r="B318" s="171"/>
      <c r="C318" s="143"/>
      <c r="D318" s="97"/>
      <c r="E318" s="143"/>
      <c r="F318" s="143"/>
      <c r="G318" s="97"/>
      <c r="H318" s="143"/>
      <c r="I318" s="97"/>
      <c r="J318" s="97"/>
      <c r="K318" s="148"/>
      <c r="L318" s="148"/>
      <c r="M318" s="102"/>
      <c r="N318" s="124"/>
      <c r="O318" s="125"/>
      <c r="P318" s="97"/>
      <c r="Q318" s="131"/>
      <c r="R318" s="126"/>
      <c r="S318" s="97"/>
      <c r="T318" s="97"/>
      <c r="V318" s="108"/>
    </row>
    <row r="319" ht="15.75" customHeight="1">
      <c r="A319" s="91"/>
      <c r="B319" s="171"/>
      <c r="C319" s="108"/>
      <c r="D319" s="97"/>
      <c r="E319" s="143"/>
      <c r="F319" s="143"/>
      <c r="G319" s="97"/>
      <c r="H319" s="143"/>
      <c r="I319" s="97"/>
      <c r="J319" s="97"/>
      <c r="K319" s="150"/>
      <c r="L319" s="150"/>
      <c r="M319" s="102"/>
      <c r="N319" s="124"/>
      <c r="O319" s="125"/>
      <c r="P319" s="97"/>
      <c r="Q319" s="131"/>
      <c r="R319" s="126"/>
      <c r="S319" s="97"/>
      <c r="T319" s="97"/>
      <c r="V319" s="108"/>
    </row>
    <row r="320" ht="15.75" customHeight="1">
      <c r="A320" s="91"/>
      <c r="B320" s="171"/>
      <c r="C320" s="143"/>
      <c r="D320" s="97"/>
      <c r="E320" s="143"/>
      <c r="F320" s="143"/>
      <c r="G320" s="97"/>
      <c r="H320" s="143"/>
      <c r="I320" s="97"/>
      <c r="J320" s="97"/>
      <c r="K320" s="148"/>
      <c r="L320" s="148"/>
      <c r="M320" s="102"/>
      <c r="N320" s="124"/>
      <c r="O320" s="125"/>
      <c r="P320" s="97"/>
      <c r="Q320" s="131"/>
      <c r="R320" s="126"/>
      <c r="S320" s="97"/>
      <c r="T320" s="97"/>
      <c r="V320" s="108"/>
    </row>
    <row r="321" ht="15.75" customHeight="1">
      <c r="A321" s="91"/>
      <c r="B321" s="171"/>
      <c r="C321" s="143"/>
      <c r="D321" s="97"/>
      <c r="E321" s="143"/>
      <c r="F321" s="143"/>
      <c r="G321" s="97"/>
      <c r="H321" s="143"/>
      <c r="I321" s="97"/>
      <c r="J321" s="97"/>
      <c r="K321" s="150"/>
      <c r="L321" s="150"/>
      <c r="M321" s="102"/>
      <c r="N321" s="124"/>
      <c r="O321" s="125"/>
      <c r="P321" s="97"/>
      <c r="Q321" s="131"/>
      <c r="R321" s="126"/>
      <c r="S321" s="97"/>
      <c r="T321" s="97"/>
      <c r="V321" s="108"/>
    </row>
    <row r="322" ht="15.75" customHeight="1">
      <c r="A322" s="91"/>
      <c r="B322" s="171"/>
      <c r="C322" s="143"/>
      <c r="D322" s="97"/>
      <c r="E322" s="143"/>
      <c r="F322" s="143"/>
      <c r="G322" s="97"/>
      <c r="H322" s="143"/>
      <c r="I322" s="97"/>
      <c r="J322" s="97"/>
      <c r="K322" s="148"/>
      <c r="L322" s="148"/>
      <c r="M322" s="102"/>
      <c r="N322" s="124"/>
      <c r="O322" s="125"/>
      <c r="P322" s="97"/>
      <c r="Q322" s="131"/>
      <c r="R322" s="126"/>
      <c r="S322" s="97"/>
      <c r="T322" s="97"/>
      <c r="V322" s="108"/>
    </row>
    <row r="323" ht="15.75" customHeight="1">
      <c r="A323" s="91"/>
      <c r="B323" s="171"/>
      <c r="C323" s="143"/>
      <c r="D323" s="97"/>
      <c r="E323" s="143"/>
      <c r="F323" s="143"/>
      <c r="G323" s="97"/>
      <c r="H323" s="143"/>
      <c r="I323" s="97"/>
      <c r="J323" s="97"/>
      <c r="K323" s="150"/>
      <c r="L323" s="150"/>
      <c r="M323" s="102"/>
      <c r="N323" s="124"/>
      <c r="O323" s="125"/>
      <c r="P323" s="97"/>
      <c r="Q323" s="131"/>
      <c r="R323" s="126"/>
      <c r="S323" s="97"/>
      <c r="T323" s="97"/>
      <c r="V323" s="108"/>
    </row>
    <row r="324" ht="15.75" customHeight="1">
      <c r="A324" s="91"/>
      <c r="B324" s="171"/>
      <c r="C324" s="143"/>
      <c r="D324" s="97"/>
      <c r="E324" s="143"/>
      <c r="F324" s="143"/>
      <c r="G324" s="97"/>
      <c r="H324" s="143"/>
      <c r="I324" s="97"/>
      <c r="J324" s="97"/>
      <c r="K324" s="148"/>
      <c r="L324" s="148"/>
      <c r="M324" s="102"/>
      <c r="N324" s="124"/>
      <c r="O324" s="125"/>
      <c r="P324" s="97"/>
      <c r="Q324" s="131"/>
      <c r="R324" s="126"/>
      <c r="S324" s="97"/>
      <c r="T324" s="97"/>
      <c r="V324" s="108"/>
    </row>
    <row r="325" ht="15.75" customHeight="1">
      <c r="A325" s="91"/>
      <c r="B325" s="171"/>
      <c r="C325" s="108"/>
      <c r="D325" s="97"/>
      <c r="E325" s="143"/>
      <c r="F325" s="143"/>
      <c r="G325" s="97"/>
      <c r="H325" s="143"/>
      <c r="I325" s="97"/>
      <c r="J325" s="97"/>
      <c r="K325" s="150"/>
      <c r="L325" s="150"/>
      <c r="M325" s="102"/>
      <c r="N325" s="124"/>
      <c r="O325" s="125"/>
      <c r="P325" s="97"/>
      <c r="Q325" s="131"/>
      <c r="R325" s="126"/>
      <c r="S325" s="97"/>
      <c r="T325" s="97"/>
      <c r="V325" s="108"/>
    </row>
    <row r="326" ht="15.75" customHeight="1">
      <c r="A326" s="91"/>
      <c r="B326" s="171"/>
      <c r="C326" s="143"/>
      <c r="D326" s="97"/>
      <c r="E326" s="143"/>
      <c r="F326" s="143"/>
      <c r="G326" s="97"/>
      <c r="H326" s="143"/>
      <c r="I326" s="97"/>
      <c r="J326" s="97"/>
      <c r="K326" s="148"/>
      <c r="L326" s="148"/>
      <c r="M326" s="102"/>
      <c r="N326" s="124"/>
      <c r="O326" s="125"/>
      <c r="P326" s="97"/>
      <c r="Q326" s="131"/>
      <c r="R326" s="126"/>
      <c r="S326" s="97"/>
      <c r="T326" s="97"/>
      <c r="V326" s="108"/>
    </row>
    <row r="327" ht="15.75" customHeight="1">
      <c r="A327" s="91"/>
      <c r="B327" s="171"/>
      <c r="C327" s="143"/>
      <c r="D327" s="97"/>
      <c r="E327" s="143"/>
      <c r="F327" s="143"/>
      <c r="G327" s="97"/>
      <c r="H327" s="143"/>
      <c r="I327" s="97"/>
      <c r="J327" s="97"/>
      <c r="K327" s="150"/>
      <c r="L327" s="150"/>
      <c r="M327" s="102"/>
      <c r="N327" s="124"/>
      <c r="O327" s="125"/>
      <c r="P327" s="97"/>
      <c r="Q327" s="131"/>
      <c r="R327" s="126"/>
      <c r="S327" s="97"/>
      <c r="T327" s="97"/>
      <c r="V327" s="108"/>
    </row>
    <row r="328" ht="15.75" customHeight="1">
      <c r="A328" s="91"/>
      <c r="B328" s="171"/>
      <c r="C328" s="143"/>
      <c r="D328" s="97"/>
      <c r="E328" s="143"/>
      <c r="F328" s="143"/>
      <c r="G328" s="97"/>
      <c r="H328" s="143"/>
      <c r="I328" s="97"/>
      <c r="J328" s="97"/>
      <c r="K328" s="152"/>
      <c r="L328" s="152"/>
      <c r="M328" s="102"/>
      <c r="N328" s="124"/>
      <c r="O328" s="125"/>
      <c r="P328" s="97"/>
      <c r="Q328" s="131"/>
      <c r="R328" s="126"/>
      <c r="S328" s="97"/>
      <c r="T328" s="97"/>
      <c r="V328" s="108"/>
    </row>
    <row r="329" ht="15.75" customHeight="1">
      <c r="A329" s="91"/>
      <c r="B329" s="171"/>
      <c r="C329" s="143"/>
      <c r="D329" s="97"/>
      <c r="E329" s="143"/>
      <c r="F329" s="143"/>
      <c r="G329" s="97"/>
      <c r="H329" s="143"/>
      <c r="I329" s="97"/>
      <c r="J329" s="97"/>
      <c r="K329" s="152"/>
      <c r="L329" s="152"/>
      <c r="M329" s="102"/>
      <c r="N329" s="124"/>
      <c r="O329" s="125"/>
      <c r="P329" s="97"/>
      <c r="Q329" s="131"/>
      <c r="R329" s="126"/>
      <c r="S329" s="97"/>
      <c r="T329" s="97"/>
      <c r="V329" s="108"/>
    </row>
    <row r="330" ht="15.75" customHeight="1">
      <c r="A330" s="91"/>
      <c r="B330" s="171"/>
      <c r="C330" s="143"/>
      <c r="D330" s="97"/>
      <c r="E330" s="143"/>
      <c r="F330" s="143"/>
      <c r="G330" s="97"/>
      <c r="H330" s="143"/>
      <c r="I330" s="97"/>
      <c r="J330" s="97"/>
      <c r="K330" s="152"/>
      <c r="L330" s="152"/>
      <c r="M330" s="102"/>
      <c r="N330" s="124"/>
      <c r="O330" s="125"/>
      <c r="P330" s="97"/>
      <c r="Q330" s="131"/>
      <c r="R330" s="126"/>
      <c r="S330" s="97"/>
      <c r="T330" s="97"/>
      <c r="V330" s="108"/>
    </row>
    <row r="331" ht="15.75" customHeight="1">
      <c r="A331" s="91"/>
      <c r="B331" s="171"/>
      <c r="C331" s="108"/>
      <c r="D331" s="97"/>
      <c r="E331" s="143"/>
      <c r="F331" s="143"/>
      <c r="G331" s="97"/>
      <c r="H331" s="143"/>
      <c r="I331" s="97"/>
      <c r="J331" s="97"/>
      <c r="K331" s="152"/>
      <c r="L331" s="152"/>
      <c r="M331" s="102"/>
      <c r="N331" s="124"/>
      <c r="O331" s="125"/>
      <c r="P331" s="97"/>
      <c r="Q331" s="131"/>
      <c r="R331" s="126"/>
      <c r="S331" s="97"/>
      <c r="T331" s="97"/>
      <c r="V331" s="108"/>
    </row>
    <row r="332" ht="15.75" customHeight="1">
      <c r="A332" s="91"/>
      <c r="B332" s="171"/>
      <c r="C332" s="143"/>
      <c r="D332" s="97"/>
      <c r="E332" s="143"/>
      <c r="F332" s="143"/>
      <c r="G332" s="97"/>
      <c r="H332" s="143"/>
      <c r="I332" s="97"/>
      <c r="J332" s="97"/>
      <c r="K332" s="152"/>
      <c r="L332" s="152"/>
      <c r="M332" s="102"/>
      <c r="N332" s="124"/>
      <c r="O332" s="125"/>
      <c r="P332" s="97"/>
      <c r="Q332" s="131"/>
      <c r="R332" s="126"/>
      <c r="S332" s="97"/>
      <c r="T332" s="97"/>
      <c r="V332" s="108"/>
    </row>
    <row r="333" ht="15.75" customHeight="1">
      <c r="A333" s="91"/>
      <c r="B333" s="171"/>
      <c r="C333" s="143"/>
      <c r="D333" s="97"/>
      <c r="E333" s="143"/>
      <c r="F333" s="143"/>
      <c r="G333" s="97"/>
      <c r="H333" s="143"/>
      <c r="I333" s="97"/>
      <c r="J333" s="97"/>
      <c r="K333" s="152"/>
      <c r="L333" s="152"/>
      <c r="M333" s="102"/>
      <c r="N333" s="124"/>
      <c r="O333" s="125"/>
      <c r="P333" s="97"/>
      <c r="Q333" s="131"/>
      <c r="R333" s="126"/>
      <c r="S333" s="97"/>
      <c r="T333" s="97"/>
      <c r="V333" s="108"/>
    </row>
    <row r="334" ht="15.75" customHeight="1">
      <c r="A334" s="91"/>
      <c r="B334" s="171"/>
      <c r="C334" s="143"/>
      <c r="D334" s="97"/>
      <c r="E334" s="143"/>
      <c r="F334" s="143"/>
      <c r="G334" s="97"/>
      <c r="H334" s="143"/>
      <c r="I334" s="97"/>
      <c r="J334" s="97"/>
      <c r="K334" s="152"/>
      <c r="L334" s="152"/>
      <c r="M334" s="102"/>
      <c r="N334" s="124"/>
      <c r="O334" s="125"/>
      <c r="P334" s="97"/>
      <c r="Q334" s="131"/>
      <c r="R334" s="126"/>
      <c r="S334" s="97"/>
      <c r="T334" s="97"/>
      <c r="V334" s="108"/>
    </row>
    <row r="335" ht="15.75" customHeight="1">
      <c r="A335" s="91"/>
      <c r="B335" s="171"/>
      <c r="C335" s="143"/>
      <c r="D335" s="97"/>
      <c r="E335" s="143"/>
      <c r="F335" s="143"/>
      <c r="G335" s="97"/>
      <c r="H335" s="143"/>
      <c r="I335" s="97"/>
      <c r="J335" s="97"/>
      <c r="K335" s="152"/>
      <c r="L335" s="152"/>
      <c r="M335" s="102"/>
      <c r="N335" s="124"/>
      <c r="O335" s="125"/>
      <c r="P335" s="97"/>
      <c r="Q335" s="131"/>
      <c r="R335" s="126"/>
      <c r="S335" s="97"/>
      <c r="T335" s="97"/>
      <c r="V335" s="108"/>
    </row>
    <row r="336" ht="15.75" customHeight="1">
      <c r="A336" s="91"/>
      <c r="B336" s="171"/>
      <c r="C336" s="143"/>
      <c r="D336" s="97"/>
      <c r="E336" s="143"/>
      <c r="F336" s="143"/>
      <c r="G336" s="97"/>
      <c r="H336" s="143"/>
      <c r="I336" s="97"/>
      <c r="J336" s="97"/>
      <c r="K336" s="152"/>
      <c r="L336" s="152"/>
      <c r="M336" s="102"/>
      <c r="N336" s="124"/>
      <c r="O336" s="125"/>
      <c r="P336" s="97"/>
      <c r="Q336" s="131"/>
      <c r="R336" s="126"/>
      <c r="S336" s="97"/>
      <c r="T336" s="97"/>
      <c r="V336" s="108"/>
    </row>
    <row r="337" ht="15.75" customHeight="1">
      <c r="A337" s="91"/>
      <c r="B337" s="171"/>
      <c r="C337" s="108"/>
      <c r="D337" s="97"/>
      <c r="E337" s="143"/>
      <c r="F337" s="143"/>
      <c r="G337" s="97"/>
      <c r="H337" s="143"/>
      <c r="I337" s="97"/>
      <c r="J337" s="97"/>
      <c r="K337" s="152"/>
      <c r="L337" s="152"/>
      <c r="M337" s="102"/>
      <c r="N337" s="124"/>
      <c r="O337" s="125"/>
      <c r="P337" s="97"/>
      <c r="Q337" s="131"/>
      <c r="R337" s="126"/>
      <c r="S337" s="97"/>
      <c r="T337" s="97"/>
      <c r="V337" s="108"/>
    </row>
    <row r="338" ht="15.75" customHeight="1">
      <c r="A338" s="91"/>
      <c r="B338" s="171"/>
      <c r="C338" s="143"/>
      <c r="D338" s="97"/>
      <c r="E338" s="143"/>
      <c r="F338" s="143"/>
      <c r="G338" s="97"/>
      <c r="H338" s="143"/>
      <c r="I338" s="97"/>
      <c r="J338" s="97"/>
      <c r="K338" s="152"/>
      <c r="L338" s="152"/>
      <c r="M338" s="102"/>
      <c r="N338" s="124"/>
      <c r="O338" s="125"/>
      <c r="P338" s="97"/>
      <c r="Q338" s="131"/>
      <c r="R338" s="126"/>
      <c r="S338" s="97"/>
      <c r="T338" s="97"/>
      <c r="V338" s="108"/>
    </row>
    <row r="339" ht="15.75" customHeight="1">
      <c r="A339" s="91"/>
      <c r="B339" s="171"/>
      <c r="C339" s="143"/>
      <c r="D339" s="97"/>
      <c r="E339" s="143"/>
      <c r="F339" s="143"/>
      <c r="G339" s="97"/>
      <c r="H339" s="143"/>
      <c r="I339" s="97"/>
      <c r="J339" s="97"/>
      <c r="K339" s="152"/>
      <c r="L339" s="152"/>
      <c r="M339" s="102"/>
      <c r="N339" s="124"/>
      <c r="O339" s="125"/>
      <c r="P339" s="97"/>
      <c r="Q339" s="131"/>
      <c r="R339" s="126"/>
      <c r="S339" s="97"/>
      <c r="T339" s="97"/>
      <c r="V339" s="108"/>
    </row>
    <row r="340" ht="15.75" customHeight="1">
      <c r="A340" s="91"/>
      <c r="B340" s="171"/>
      <c r="C340" s="143"/>
      <c r="D340" s="97"/>
      <c r="E340" s="143"/>
      <c r="F340" s="143"/>
      <c r="G340" s="97"/>
      <c r="H340" s="143"/>
      <c r="I340" s="97"/>
      <c r="J340" s="97"/>
      <c r="K340" s="152"/>
      <c r="L340" s="152"/>
      <c r="M340" s="102"/>
      <c r="N340" s="124"/>
      <c r="O340" s="125"/>
      <c r="P340" s="97"/>
      <c r="Q340" s="131"/>
      <c r="R340" s="126"/>
      <c r="S340" s="97"/>
      <c r="T340" s="97"/>
      <c r="V340" s="108"/>
    </row>
    <row r="341" ht="15.75" customHeight="1">
      <c r="A341" s="91"/>
      <c r="B341" s="171"/>
      <c r="C341" s="143"/>
      <c r="D341" s="97"/>
      <c r="E341" s="143"/>
      <c r="F341" s="143"/>
      <c r="G341" s="97"/>
      <c r="H341" s="143"/>
      <c r="I341" s="97"/>
      <c r="J341" s="97"/>
      <c r="K341" s="152"/>
      <c r="L341" s="152"/>
      <c r="M341" s="102"/>
      <c r="N341" s="124"/>
      <c r="O341" s="125"/>
      <c r="P341" s="97"/>
      <c r="Q341" s="131"/>
      <c r="R341" s="126"/>
      <c r="S341" s="97"/>
      <c r="T341" s="97"/>
      <c r="V341" s="108"/>
    </row>
    <row r="342" ht="15.75" customHeight="1">
      <c r="A342" s="91"/>
      <c r="B342" s="171"/>
      <c r="C342" s="143"/>
      <c r="D342" s="97"/>
      <c r="E342" s="143"/>
      <c r="F342" s="143"/>
      <c r="G342" s="97"/>
      <c r="H342" s="143"/>
      <c r="I342" s="97"/>
      <c r="J342" s="97"/>
      <c r="K342" s="152"/>
      <c r="L342" s="152"/>
      <c r="M342" s="102"/>
      <c r="N342" s="124"/>
      <c r="O342" s="125"/>
      <c r="P342" s="97"/>
      <c r="Q342" s="131"/>
      <c r="R342" s="126"/>
      <c r="S342" s="97"/>
      <c r="T342" s="97"/>
      <c r="V342" s="108"/>
    </row>
    <row r="343" ht="15.75" customHeight="1">
      <c r="A343" s="91"/>
      <c r="B343" s="171"/>
      <c r="C343" s="108"/>
      <c r="D343" s="97"/>
      <c r="E343" s="143"/>
      <c r="F343" s="143"/>
      <c r="G343" s="97"/>
      <c r="H343" s="143"/>
      <c r="I343" s="97"/>
      <c r="J343" s="97"/>
      <c r="K343" s="152"/>
      <c r="L343" s="152"/>
      <c r="M343" s="102"/>
      <c r="N343" s="124"/>
      <c r="O343" s="125"/>
      <c r="P343" s="97"/>
      <c r="Q343" s="131"/>
      <c r="R343" s="126"/>
      <c r="S343" s="97"/>
      <c r="T343" s="97"/>
      <c r="V343" s="108"/>
    </row>
    <row r="344" ht="15.75" customHeight="1">
      <c r="A344" s="91"/>
      <c r="B344" s="171"/>
      <c r="C344" s="143"/>
      <c r="D344" s="97"/>
      <c r="E344" s="143"/>
      <c r="F344" s="143"/>
      <c r="G344" s="97"/>
      <c r="H344" s="143"/>
      <c r="I344" s="97"/>
      <c r="J344" s="97"/>
      <c r="K344" s="152"/>
      <c r="L344" s="152"/>
      <c r="M344" s="102"/>
      <c r="N344" s="124"/>
      <c r="O344" s="125"/>
      <c r="P344" s="97"/>
      <c r="Q344" s="131"/>
      <c r="R344" s="126"/>
      <c r="S344" s="97"/>
      <c r="T344" s="97"/>
      <c r="V344" s="108"/>
    </row>
    <row r="345" ht="15.75" customHeight="1">
      <c r="A345" s="91"/>
      <c r="B345" s="171"/>
      <c r="C345" s="143"/>
      <c r="D345" s="97"/>
      <c r="E345" s="143"/>
      <c r="F345" s="143"/>
      <c r="G345" s="97"/>
      <c r="H345" s="143"/>
      <c r="I345" s="97"/>
      <c r="J345" s="97"/>
      <c r="K345" s="152"/>
      <c r="L345" s="152"/>
      <c r="M345" s="102"/>
      <c r="N345" s="124"/>
      <c r="O345" s="125"/>
      <c r="P345" s="97"/>
      <c r="Q345" s="131"/>
      <c r="R345" s="126"/>
      <c r="S345" s="97"/>
      <c r="T345" s="97"/>
      <c r="V345" s="108"/>
    </row>
    <row r="346" ht="15.75" customHeight="1">
      <c r="A346" s="91"/>
      <c r="B346" s="171"/>
      <c r="C346" s="143"/>
      <c r="D346" s="97"/>
      <c r="E346" s="143"/>
      <c r="F346" s="143"/>
      <c r="G346" s="97"/>
      <c r="H346" s="143"/>
      <c r="I346" s="97"/>
      <c r="J346" s="97"/>
      <c r="K346" s="152"/>
      <c r="L346" s="152"/>
      <c r="M346" s="102"/>
      <c r="N346" s="124"/>
      <c r="O346" s="125"/>
      <c r="P346" s="97"/>
      <c r="Q346" s="131"/>
      <c r="R346" s="126"/>
      <c r="S346" s="97"/>
      <c r="T346" s="97"/>
      <c r="V346" s="108"/>
    </row>
    <row r="347" ht="15.75" customHeight="1">
      <c r="A347" s="91"/>
      <c r="B347" s="171"/>
      <c r="C347" s="143"/>
      <c r="D347" s="97"/>
      <c r="E347" s="143"/>
      <c r="F347" s="143"/>
      <c r="G347" s="97"/>
      <c r="H347" s="143"/>
      <c r="I347" s="97"/>
      <c r="J347" s="97"/>
      <c r="K347" s="152"/>
      <c r="L347" s="152"/>
      <c r="M347" s="102"/>
      <c r="N347" s="124"/>
      <c r="O347" s="125"/>
      <c r="P347" s="97"/>
      <c r="Q347" s="131"/>
      <c r="R347" s="126"/>
      <c r="S347" s="97"/>
      <c r="T347" s="97"/>
      <c r="V347" s="108"/>
    </row>
    <row r="348" ht="15.75" customHeight="1">
      <c r="A348" s="91"/>
      <c r="B348" s="171"/>
      <c r="C348" s="143"/>
      <c r="D348" s="97"/>
      <c r="E348" s="143"/>
      <c r="F348" s="143"/>
      <c r="G348" s="97"/>
      <c r="H348" s="143"/>
      <c r="I348" s="97"/>
      <c r="J348" s="97"/>
      <c r="K348" s="152"/>
      <c r="L348" s="152"/>
      <c r="M348" s="102"/>
      <c r="N348" s="124"/>
      <c r="O348" s="125"/>
      <c r="P348" s="97"/>
      <c r="Q348" s="131"/>
      <c r="R348" s="126"/>
      <c r="S348" s="97"/>
      <c r="T348" s="97"/>
      <c r="V348" s="108"/>
    </row>
    <row r="349" ht="15.75" customHeight="1">
      <c r="A349" s="91"/>
      <c r="B349" s="171"/>
      <c r="C349" s="108"/>
      <c r="D349" s="97"/>
      <c r="E349" s="143"/>
      <c r="F349" s="143"/>
      <c r="G349" s="97"/>
      <c r="H349" s="143"/>
      <c r="I349" s="97"/>
      <c r="J349" s="97"/>
      <c r="K349" s="152"/>
      <c r="L349" s="152"/>
      <c r="M349" s="102"/>
      <c r="N349" s="124"/>
      <c r="O349" s="125"/>
      <c r="P349" s="97"/>
      <c r="Q349" s="131"/>
      <c r="R349" s="126"/>
      <c r="S349" s="97"/>
      <c r="T349" s="97"/>
      <c r="V349" s="108"/>
    </row>
    <row r="350" ht="15.75" customHeight="1">
      <c r="A350" s="91"/>
      <c r="B350" s="171"/>
      <c r="C350" s="143"/>
      <c r="D350" s="97"/>
      <c r="E350" s="143"/>
      <c r="F350" s="143"/>
      <c r="G350" s="97"/>
      <c r="H350" s="143"/>
      <c r="I350" s="97"/>
      <c r="J350" s="97"/>
      <c r="K350" s="152"/>
      <c r="L350" s="152"/>
      <c r="M350" s="102"/>
      <c r="N350" s="124"/>
      <c r="O350" s="125"/>
      <c r="P350" s="97"/>
      <c r="Q350" s="131"/>
      <c r="R350" s="126"/>
      <c r="S350" s="97"/>
      <c r="T350" s="97"/>
      <c r="V350" s="108"/>
    </row>
    <row r="351" ht="15.75" customHeight="1">
      <c r="A351" s="91"/>
      <c r="B351" s="171"/>
      <c r="C351" s="143"/>
      <c r="D351" s="97"/>
      <c r="E351" s="143"/>
      <c r="F351" s="143"/>
      <c r="G351" s="97"/>
      <c r="H351" s="143"/>
      <c r="I351" s="97"/>
      <c r="J351" s="97"/>
      <c r="K351" s="152"/>
      <c r="L351" s="152"/>
      <c r="M351" s="102"/>
      <c r="N351" s="124"/>
      <c r="O351" s="125"/>
      <c r="P351" s="97"/>
      <c r="Q351" s="131"/>
      <c r="R351" s="126"/>
      <c r="S351" s="97"/>
      <c r="T351" s="97"/>
      <c r="V351" s="108"/>
    </row>
    <row r="352" ht="15.75" customHeight="1">
      <c r="A352" s="91"/>
      <c r="B352" s="171"/>
      <c r="C352" s="143"/>
      <c r="D352" s="97"/>
      <c r="E352" s="143"/>
      <c r="F352" s="143"/>
      <c r="G352" s="97"/>
      <c r="H352" s="143"/>
      <c r="I352" s="97"/>
      <c r="J352" s="97"/>
      <c r="K352" s="152"/>
      <c r="L352" s="152"/>
      <c r="M352" s="102"/>
      <c r="N352" s="124"/>
      <c r="O352" s="125"/>
      <c r="P352" s="97"/>
      <c r="Q352" s="131"/>
      <c r="R352" s="126"/>
      <c r="S352" s="97"/>
      <c r="T352" s="97"/>
      <c r="V352" s="108"/>
    </row>
    <row r="353" ht="15.75" customHeight="1">
      <c r="A353" s="91"/>
      <c r="B353" s="171"/>
      <c r="C353" s="143"/>
      <c r="D353" s="97"/>
      <c r="E353" s="143"/>
      <c r="F353" s="143"/>
      <c r="G353" s="97"/>
      <c r="H353" s="143"/>
      <c r="I353" s="97"/>
      <c r="J353" s="97"/>
      <c r="K353" s="152"/>
      <c r="L353" s="152"/>
      <c r="M353" s="102"/>
      <c r="N353" s="124"/>
      <c r="O353" s="125"/>
      <c r="P353" s="97"/>
      <c r="Q353" s="131"/>
      <c r="R353" s="126"/>
      <c r="S353" s="97"/>
      <c r="T353" s="97"/>
      <c r="V353" s="108"/>
    </row>
    <row r="354" ht="15.75" customHeight="1">
      <c r="A354" s="91"/>
      <c r="B354" s="171"/>
      <c r="C354" s="143"/>
      <c r="D354" s="97"/>
      <c r="E354" s="143"/>
      <c r="F354" s="143"/>
      <c r="G354" s="97"/>
      <c r="H354" s="143"/>
      <c r="I354" s="97"/>
      <c r="J354" s="97"/>
      <c r="K354" s="152"/>
      <c r="L354" s="152"/>
      <c r="M354" s="102"/>
      <c r="N354" s="124"/>
      <c r="O354" s="125"/>
      <c r="P354" s="97"/>
      <c r="Q354" s="131"/>
      <c r="R354" s="126"/>
      <c r="S354" s="97"/>
      <c r="T354" s="97"/>
      <c r="V354" s="108"/>
    </row>
    <row r="355" ht="15.75" customHeight="1">
      <c r="A355" s="91"/>
      <c r="B355" s="171"/>
      <c r="C355" s="108"/>
      <c r="D355" s="97"/>
      <c r="E355" s="143"/>
      <c r="F355" s="143"/>
      <c r="G355" s="97"/>
      <c r="H355" s="143"/>
      <c r="I355" s="97"/>
      <c r="J355" s="97"/>
      <c r="K355" s="152"/>
      <c r="L355" s="152"/>
      <c r="M355" s="102"/>
      <c r="N355" s="124"/>
      <c r="O355" s="125"/>
      <c r="P355" s="97"/>
      <c r="Q355" s="131"/>
      <c r="R355" s="126"/>
      <c r="S355" s="97"/>
      <c r="T355" s="97"/>
      <c r="V355" s="108"/>
    </row>
    <row r="356" ht="15.75" customHeight="1">
      <c r="A356" s="91"/>
      <c r="B356" s="171"/>
      <c r="C356" s="143"/>
      <c r="D356" s="97"/>
      <c r="E356" s="143"/>
      <c r="F356" s="143"/>
      <c r="G356" s="97"/>
      <c r="H356" s="143"/>
      <c r="I356" s="97"/>
      <c r="J356" s="97"/>
      <c r="K356" s="152"/>
      <c r="L356" s="152"/>
      <c r="M356" s="102"/>
      <c r="N356" s="124"/>
      <c r="O356" s="125"/>
      <c r="P356" s="97"/>
      <c r="Q356" s="131"/>
      <c r="R356" s="126"/>
      <c r="S356" s="97"/>
      <c r="T356" s="97"/>
      <c r="V356" s="108"/>
    </row>
    <row r="357" ht="15.75" customHeight="1">
      <c r="A357" s="91"/>
      <c r="B357" s="171"/>
      <c r="C357" s="143"/>
      <c r="D357" s="97"/>
      <c r="E357" s="143"/>
      <c r="F357" s="143"/>
      <c r="G357" s="97"/>
      <c r="H357" s="143"/>
      <c r="I357" s="97"/>
      <c r="J357" s="97"/>
      <c r="K357" s="152"/>
      <c r="L357" s="152"/>
      <c r="M357" s="102"/>
      <c r="N357" s="124"/>
      <c r="O357" s="125"/>
      <c r="P357" s="97"/>
      <c r="Q357" s="131"/>
      <c r="R357" s="126"/>
      <c r="S357" s="97"/>
      <c r="T357" s="97"/>
      <c r="V357" s="108"/>
    </row>
    <row r="358" ht="15.75" customHeight="1">
      <c r="A358" s="91"/>
      <c r="B358" s="171"/>
      <c r="C358" s="143"/>
      <c r="D358" s="97"/>
      <c r="E358" s="143"/>
      <c r="F358" s="143"/>
      <c r="G358" s="97"/>
      <c r="H358" s="143"/>
      <c r="I358" s="97"/>
      <c r="J358" s="97"/>
      <c r="K358" s="152"/>
      <c r="L358" s="152"/>
      <c r="M358" s="102"/>
      <c r="N358" s="124"/>
      <c r="O358" s="125"/>
      <c r="P358" s="97"/>
      <c r="Q358" s="131"/>
      <c r="R358" s="126"/>
      <c r="S358" s="97"/>
      <c r="T358" s="97"/>
      <c r="V358" s="108"/>
    </row>
    <row r="359" ht="15.75" customHeight="1">
      <c r="A359" s="91"/>
      <c r="B359" s="171"/>
      <c r="C359" s="143"/>
      <c r="D359" s="97"/>
      <c r="E359" s="143"/>
      <c r="F359" s="143"/>
      <c r="G359" s="97"/>
      <c r="H359" s="143"/>
      <c r="I359" s="97"/>
      <c r="J359" s="97"/>
      <c r="K359" s="152"/>
      <c r="L359" s="152"/>
      <c r="M359" s="102"/>
      <c r="N359" s="124"/>
      <c r="O359" s="125"/>
      <c r="P359" s="97"/>
      <c r="Q359" s="131"/>
      <c r="R359" s="126"/>
      <c r="S359" s="97"/>
      <c r="T359" s="97"/>
      <c r="V359" s="108"/>
    </row>
    <row r="360" ht="15.75" customHeight="1">
      <c r="A360" s="91"/>
      <c r="B360" s="171"/>
      <c r="C360" s="143"/>
      <c r="D360" s="97"/>
      <c r="E360" s="143"/>
      <c r="F360" s="143"/>
      <c r="G360" s="97"/>
      <c r="H360" s="143"/>
      <c r="I360" s="97"/>
      <c r="J360" s="97"/>
      <c r="K360" s="152"/>
      <c r="L360" s="152"/>
      <c r="M360" s="102"/>
      <c r="N360" s="124"/>
      <c r="O360" s="125"/>
      <c r="P360" s="97"/>
      <c r="Q360" s="131"/>
      <c r="R360" s="126"/>
      <c r="S360" s="97"/>
      <c r="T360" s="97"/>
      <c r="V360" s="108"/>
    </row>
  </sheetData>
  <autoFilter ref="$A$12:$V$109"/>
  <customSheetViews>
    <customSheetView guid="{13FBEE33-5560-4ECB-B707-C73777468090}" filter="1" showAutoFilter="1">
      <autoFilter ref="$R$18"/>
    </customSheetView>
  </customSheetViews>
  <mergeCells count="342">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page,Lost lead"</formula1>
    </dataValidation>
  </dataValidations>
  <hyperlinks>
    <hyperlink r:id="rId2" ref="F13"/>
    <hyperlink r:id="rId3" ref="F14"/>
    <hyperlink r:id="rId4" ref="F15"/>
    <hyperlink r:id="rId5" ref="F16"/>
    <hyperlink r:id="rId6" ref="F17"/>
    <hyperlink r:id="rId7" ref="F18"/>
    <hyperlink r:id="rId8" ref="F19"/>
    <hyperlink r:id="rId9" ref="F20"/>
    <hyperlink r:id="rId10" ref="F21"/>
    <hyperlink r:id="rId11" ref="F22"/>
    <hyperlink r:id="rId12" ref="F23"/>
    <hyperlink r:id="rId13" ref="F24"/>
    <hyperlink r:id="rId14" ref="F25"/>
    <hyperlink r:id="rId15" ref="F26"/>
    <hyperlink r:id="rId16" ref="F27"/>
    <hyperlink r:id="rId17" ref="F28"/>
    <hyperlink r:id="rId18" ref="F29"/>
    <hyperlink r:id="rId19" ref="F31"/>
    <hyperlink r:id="rId20" ref="F33"/>
    <hyperlink r:id="rId21" ref="F34"/>
    <hyperlink r:id="rId22" ref="F35"/>
    <hyperlink r:id="rId23" ref="F36"/>
    <hyperlink r:id="rId24" ref="F37"/>
    <hyperlink r:id="rId25" ref="F38"/>
    <hyperlink r:id="rId26" ref="F39"/>
    <hyperlink r:id="rId27" ref="F40"/>
    <hyperlink r:id="rId28" ref="F41"/>
    <hyperlink r:id="rId29" ref="F42"/>
    <hyperlink r:id="rId30" ref="F43"/>
    <hyperlink r:id="rId31" ref="F44"/>
    <hyperlink r:id="rId32" ref="F45"/>
    <hyperlink r:id="rId33" ref="F46"/>
    <hyperlink r:id="rId34" ref="F47"/>
    <hyperlink r:id="rId35" ref="F48"/>
    <hyperlink r:id="rId36" ref="F49"/>
    <hyperlink r:id="rId37" ref="F50"/>
    <hyperlink r:id="rId38" ref="F51"/>
    <hyperlink r:id="rId39" ref="F52"/>
    <hyperlink r:id="rId40" ref="F53"/>
    <hyperlink r:id="rId41" ref="F54"/>
    <hyperlink r:id="rId42" ref="F55"/>
    <hyperlink r:id="rId43" ref="F56"/>
    <hyperlink r:id="rId44" ref="F57"/>
    <hyperlink r:id="rId45" ref="F58"/>
    <hyperlink r:id="rId46" ref="F59"/>
    <hyperlink r:id="rId47" ref="F60"/>
    <hyperlink r:id="rId48" ref="F61"/>
    <hyperlink r:id="rId49" ref="F62"/>
    <hyperlink r:id="rId50" ref="F63"/>
    <hyperlink r:id="rId51" ref="F64"/>
    <hyperlink r:id="rId52" ref="F65"/>
    <hyperlink r:id="rId53" ref="F66"/>
    <hyperlink r:id="rId54" ref="F67"/>
    <hyperlink r:id="rId55" ref="F68"/>
    <hyperlink r:id="rId56" ref="F69"/>
    <hyperlink r:id="rId57" ref="F70"/>
    <hyperlink r:id="rId58" ref="F71"/>
    <hyperlink r:id="rId59" ref="F72"/>
    <hyperlink r:id="rId60" ref="F73"/>
    <hyperlink r:id="rId61" ref="F74"/>
    <hyperlink r:id="rId62" ref="F75"/>
    <hyperlink r:id="rId63" ref="F76"/>
  </hyperlinks>
  <drawing r:id="rId64"/>
  <legacyDrawing r:id="rId6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9.63"/>
    <col customWidth="1" min="4" max="4" width="0.38"/>
    <col customWidth="1" min="5" max="5" width="15.13"/>
    <col customWidth="1" min="6" max="6" width="21.0"/>
    <col customWidth="1" min="7" max="7" width="0.38"/>
    <col customWidth="1" min="8" max="8" width="15.63"/>
    <col customWidth="1" min="9" max="9" width="13.88"/>
    <col customWidth="1" min="10" max="10" width="0.38"/>
    <col customWidth="1" min="11" max="11" width="16.25"/>
    <col customWidth="1" min="13" max="13" width="0.38"/>
    <col customWidth="1" min="15" max="15" width="16.5"/>
    <col customWidth="1" min="16" max="16" width="0.38"/>
    <col customWidth="1" min="17" max="17" width="13.13"/>
    <col customWidth="1" min="18" max="18" width="13.88"/>
    <col customWidth="1" min="19" max="19" width="19.13"/>
    <col customWidth="1" min="21" max="21" width="23.75"/>
    <col customWidth="1" min="22" max="22" width="0.38"/>
  </cols>
  <sheetData>
    <row r="1">
      <c r="A1" s="34"/>
      <c r="B1" s="35" t="s">
        <v>31</v>
      </c>
      <c r="C1" s="36" t="s">
        <v>32</v>
      </c>
      <c r="D1" s="34"/>
      <c r="E1" s="239" t="s">
        <v>515</v>
      </c>
      <c r="F1" s="34"/>
      <c r="H1" s="37" t="s">
        <v>33</v>
      </c>
      <c r="I1" s="38"/>
      <c r="J1" s="34"/>
      <c r="K1" s="39" t="s">
        <v>34</v>
      </c>
      <c r="L1" s="40"/>
      <c r="M1" s="13"/>
      <c r="N1" s="41" t="s">
        <v>35</v>
      </c>
      <c r="O1" s="42"/>
      <c r="P1" s="13"/>
      <c r="Q1" s="39" t="s">
        <v>36</v>
      </c>
      <c r="R1" s="43"/>
      <c r="S1" s="34"/>
      <c r="T1" s="39" t="s">
        <v>37</v>
      </c>
      <c r="U1" s="44"/>
      <c r="V1" s="34"/>
    </row>
    <row r="2">
      <c r="A2" s="34"/>
      <c r="B2" s="38"/>
      <c r="C2" s="40"/>
      <c r="D2" s="13"/>
      <c r="E2" s="241" t="s">
        <v>517</v>
      </c>
      <c r="F2" s="242">
        <f>C3/C6</f>
        <v>5254.545455</v>
      </c>
      <c r="H2" s="45" t="s">
        <v>26</v>
      </c>
      <c r="I2" s="46">
        <f>IFERROR(COUNTIFS(I13:I288, "Full-Pay"),"")</f>
        <v>4</v>
      </c>
      <c r="J2" s="13"/>
      <c r="K2" s="47" t="s">
        <v>16</v>
      </c>
      <c r="L2" s="48">
        <f>iferror(L10/L8,"")</f>
        <v>0.4181818182</v>
      </c>
      <c r="M2" s="12"/>
      <c r="N2" s="49" t="s">
        <v>39</v>
      </c>
      <c r="O2" s="50">
        <f>iferror(I8/L6,"")</f>
        <v>0.09375</v>
      </c>
      <c r="P2" s="12"/>
      <c r="Q2" s="51" t="s">
        <v>40</v>
      </c>
      <c r="R2" s="52">
        <f>IFERROR(COUNTIFS(N13:N287, "think about it"),"")</f>
        <v>6</v>
      </c>
      <c r="S2" s="13"/>
      <c r="T2" s="53" t="s">
        <v>41</v>
      </c>
      <c r="U2" s="54">
        <f>IFERROR(COUNTIF(H13:H287,T2),"")</f>
        <v>0</v>
      </c>
      <c r="V2" s="56"/>
    </row>
    <row r="3">
      <c r="A3" s="13"/>
      <c r="B3" s="57" t="s">
        <v>43</v>
      </c>
      <c r="C3" s="58">
        <f>IFERROR(SUM(K13:K285),"")</f>
        <v>289000</v>
      </c>
      <c r="D3" s="59"/>
      <c r="E3" s="244" t="s">
        <v>519</v>
      </c>
      <c r="F3" s="245">
        <f>C4/C6</f>
        <v>2151.509091</v>
      </c>
      <c r="H3" s="45" t="s">
        <v>27</v>
      </c>
      <c r="I3" s="46">
        <f>IFERROR(COUNTIFS(I13:I288, "Split-Pay"),"")</f>
        <v>19</v>
      </c>
      <c r="J3" s="13"/>
      <c r="K3" s="47" t="s">
        <v>17</v>
      </c>
      <c r="L3" s="48">
        <f>IFERROR(L10/L9,"")</f>
        <v>0.4339622642</v>
      </c>
      <c r="M3" s="12"/>
      <c r="N3" s="49" t="s">
        <v>44</v>
      </c>
      <c r="O3" s="50">
        <f>iferror(I9/L6,"")</f>
        <v>0.015625</v>
      </c>
      <c r="P3" s="12"/>
      <c r="Q3" s="51" t="s">
        <v>45</v>
      </c>
      <c r="R3" s="60">
        <f>IFERROR(COUNTIFS(N13:N287, "money"),"")</f>
        <v>18</v>
      </c>
      <c r="S3" s="13"/>
      <c r="T3" s="53" t="s">
        <v>46</v>
      </c>
      <c r="U3" s="54">
        <f>IFERROR(COUNTIF(H13:H287,T3),"")</f>
        <v>0</v>
      </c>
      <c r="V3" s="56"/>
    </row>
    <row r="4">
      <c r="A4" s="13"/>
      <c r="B4" s="61" t="s">
        <v>48</v>
      </c>
      <c r="C4" s="62">
        <f>IFERROR(SUM(L13:L285),"")</f>
        <v>118333</v>
      </c>
      <c r="D4" s="59"/>
      <c r="E4" s="244" t="s">
        <v>521</v>
      </c>
      <c r="F4" s="246">
        <f>C4/C3*100</f>
        <v>40.94567474</v>
      </c>
      <c r="H4" s="45" t="s">
        <v>28</v>
      </c>
      <c r="I4" s="46">
        <f>IFERROR(COUNTIFS(I13:I288, "Deposit"),"")</f>
        <v>1</v>
      </c>
      <c r="J4" s="13"/>
      <c r="K4" s="47" t="s">
        <v>18</v>
      </c>
      <c r="L4" s="48">
        <f>IFERROR(L9/L8,"")</f>
        <v>0.9636363636</v>
      </c>
      <c r="M4" s="12"/>
      <c r="N4" s="49" t="s">
        <v>49</v>
      </c>
      <c r="O4" s="50">
        <f>iferror(I10/L6,"")</f>
        <v>0.03125</v>
      </c>
      <c r="P4" s="12"/>
      <c r="Q4" s="51" t="s">
        <v>50</v>
      </c>
      <c r="R4" s="52">
        <f>IFERROR(COUNTIFS(N13:N287, "time"),"")</f>
        <v>1</v>
      </c>
      <c r="S4" s="13"/>
      <c r="T4" s="53" t="s">
        <v>51</v>
      </c>
      <c r="U4" s="54">
        <f>IFERROR(COUNTIF(H13:H287,T4),"")</f>
        <v>0</v>
      </c>
      <c r="V4" s="34"/>
    </row>
    <row r="5">
      <c r="A5" s="34"/>
      <c r="B5" s="38"/>
      <c r="C5" s="40"/>
      <c r="D5" s="13"/>
      <c r="E5" s="244" t="s">
        <v>523</v>
      </c>
      <c r="F5" s="247">
        <f>I2/C7*100</f>
        <v>17.39130435</v>
      </c>
      <c r="H5" s="45" t="s">
        <v>53</v>
      </c>
      <c r="I5" s="46">
        <f>IFERROR(COUNTIFS(I13:I288, "Offer &amp; Didn't Buy"),"")</f>
        <v>29</v>
      </c>
      <c r="J5" s="13"/>
      <c r="K5" s="47" t="s">
        <v>54</v>
      </c>
      <c r="L5" s="48">
        <f>IFERROR(I7/(C6+I7+I8),"")</f>
        <v>0</v>
      </c>
      <c r="M5" s="13"/>
      <c r="N5" s="49" t="s">
        <v>54</v>
      </c>
      <c r="O5" s="50">
        <f>iferror(I7/L6,"")</f>
        <v>0</v>
      </c>
      <c r="P5" s="12"/>
      <c r="Q5" s="51" t="s">
        <v>55</v>
      </c>
      <c r="R5" s="52">
        <f>IFERROR(COUNTIFS(N13:N287, "partner"),"")</f>
        <v>3</v>
      </c>
      <c r="S5" s="13"/>
      <c r="T5" s="53" t="s">
        <v>56</v>
      </c>
      <c r="U5" s="54">
        <f>IFERROR(COUNTIF(H13:H287,T5),"")</f>
        <v>0</v>
      </c>
      <c r="V5" s="56"/>
    </row>
    <row r="6">
      <c r="A6" s="13"/>
      <c r="B6" s="63" t="s">
        <v>58</v>
      </c>
      <c r="C6" s="64">
        <f>IFERROR(SUM(I2:I6),"")</f>
        <v>55</v>
      </c>
      <c r="D6" s="13"/>
      <c r="E6" s="244" t="s">
        <v>525</v>
      </c>
      <c r="F6" s="248">
        <f>AVERAGE(Q13:Q105)</f>
        <v>5.894736842</v>
      </c>
      <c r="H6" s="45" t="s">
        <v>59</v>
      </c>
      <c r="I6" s="46">
        <f>IFERROR(COUNTIFS(I13:I288, "Bad Fit &amp; No Offer"),"")</f>
        <v>2</v>
      </c>
      <c r="J6" s="13"/>
      <c r="K6" s="47" t="s">
        <v>21</v>
      </c>
      <c r="L6" s="65">
        <f>IFERROR(SUM(I2:I10),"")</f>
        <v>64</v>
      </c>
      <c r="M6" s="13"/>
      <c r="N6" s="66" t="s">
        <v>29</v>
      </c>
      <c r="O6" s="50">
        <f>iferror(L7/L6,"")</f>
        <v>0.859375</v>
      </c>
      <c r="P6" s="12"/>
      <c r="Q6" s="51" t="s">
        <v>60</v>
      </c>
      <c r="R6" s="52">
        <f>IFERROR(COUNTIFS(N13:N287, "fear"),"")</f>
        <v>2</v>
      </c>
      <c r="S6" s="13"/>
      <c r="T6" s="53" t="s">
        <v>61</v>
      </c>
      <c r="U6" s="54">
        <f>IFERROR(COUNTIF(H13:H287,T6),"")</f>
        <v>0</v>
      </c>
      <c r="V6" s="56"/>
    </row>
    <row r="7">
      <c r="A7" s="13"/>
      <c r="B7" s="63" t="s">
        <v>63</v>
      </c>
      <c r="C7" s="67">
        <f>IFERROR(I2+I3,"")</f>
        <v>23</v>
      </c>
      <c r="D7" s="13"/>
      <c r="E7" s="244" t="s">
        <v>527</v>
      </c>
      <c r="F7" s="245">
        <f>C3/C7</f>
        <v>12565.21739</v>
      </c>
      <c r="H7" s="45" t="s">
        <v>64</v>
      </c>
      <c r="I7" s="46">
        <f>IFERROR(COUNTIFS(I13:I288, "Drag Over &amp; Show"),"")</f>
        <v>0</v>
      </c>
      <c r="J7" s="13"/>
      <c r="K7" s="47" t="s">
        <v>22</v>
      </c>
      <c r="L7" s="65">
        <f>IFERROR(SUM(I2:I7),"")</f>
        <v>55</v>
      </c>
      <c r="M7" s="13"/>
      <c r="N7" s="68" t="s">
        <v>30</v>
      </c>
      <c r="O7" s="69">
        <f>IFERROR(L8/L6,"")</f>
        <v>0.859375</v>
      </c>
      <c r="P7" s="12"/>
      <c r="Q7" s="70" t="s">
        <v>65</v>
      </c>
      <c r="R7" s="71">
        <f>IFERROR(COUNTIFS(N14:N288, "value"),"")</f>
        <v>4</v>
      </c>
      <c r="S7" s="13"/>
      <c r="T7" s="53" t="s">
        <v>66</v>
      </c>
      <c r="U7" s="54">
        <f>IFERROR(COUNTIF(H13:H287,T7),"")</f>
        <v>0</v>
      </c>
      <c r="V7" s="34"/>
    </row>
    <row r="8">
      <c r="A8" s="13"/>
      <c r="B8" s="63" t="s">
        <v>68</v>
      </c>
      <c r="C8" s="72">
        <f>COUNTIF(I13:I287,"offer &amp; didn't buy")+countif(I13:I287,"deposit")+countif(I13:I287,"bad fit &amp; no offer")</f>
        <v>32</v>
      </c>
      <c r="D8" s="73"/>
      <c r="E8" s="244" t="s">
        <v>529</v>
      </c>
      <c r="F8" s="245">
        <f>C4/C7</f>
        <v>5144.913043</v>
      </c>
      <c r="H8" s="45" t="s">
        <v>69</v>
      </c>
      <c r="I8" s="46">
        <f>IFERROR(COUNTIFS(I13:I288, "Rescheduled"),"")</f>
        <v>6</v>
      </c>
      <c r="J8" s="13"/>
      <c r="K8" s="47" t="s">
        <v>23</v>
      </c>
      <c r="L8" s="65">
        <f>IFERROR(SUM(I2:I6),"")</f>
        <v>55</v>
      </c>
      <c r="M8" s="34"/>
      <c r="N8" s="74"/>
      <c r="O8" s="34"/>
      <c r="P8" s="34"/>
      <c r="Q8" s="34"/>
      <c r="R8" s="75"/>
      <c r="S8" s="13"/>
      <c r="T8" s="76" t="s">
        <v>70</v>
      </c>
      <c r="U8" s="77">
        <f>IFERROR(COUNTIF(H13:H287,T8),"")</f>
        <v>0</v>
      </c>
      <c r="V8" s="34"/>
    </row>
    <row r="9">
      <c r="A9" s="13"/>
      <c r="B9" s="63" t="s">
        <v>72</v>
      </c>
      <c r="C9" s="79">
        <f>iferror(SUM(C7/C6),"")</f>
        <v>0.4181818182</v>
      </c>
      <c r="D9" s="12"/>
      <c r="E9" s="249"/>
      <c r="F9" s="250"/>
      <c r="H9" s="45" t="s">
        <v>73</v>
      </c>
      <c r="I9" s="46">
        <f>IFERROR(COUNTIFS(I13:I288, "Cancelled"),"")</f>
        <v>1</v>
      </c>
      <c r="J9" s="13"/>
      <c r="K9" s="47" t="s">
        <v>24</v>
      </c>
      <c r="L9" s="65">
        <f>IFERROR(sum(I2:I5),"")</f>
        <v>53</v>
      </c>
      <c r="M9" s="34"/>
      <c r="N9" s="74"/>
      <c r="O9" s="34"/>
      <c r="P9" s="34"/>
      <c r="Q9" s="34"/>
      <c r="R9" s="75"/>
      <c r="S9" s="34"/>
      <c r="T9" s="34"/>
      <c r="U9" s="34"/>
      <c r="V9" s="34"/>
    </row>
    <row r="10">
      <c r="A10" s="34"/>
      <c r="B10" s="74"/>
      <c r="C10" s="34"/>
      <c r="D10" s="13"/>
      <c r="E10" s="251"/>
      <c r="F10" s="252"/>
      <c r="H10" s="80" t="s">
        <v>74</v>
      </c>
      <c r="I10" s="81">
        <f>IFERROR(COUNTIFS(I13:I288, "No-Show"),"")</f>
        <v>2</v>
      </c>
      <c r="J10" s="13"/>
      <c r="K10" s="82" t="s">
        <v>75</v>
      </c>
      <c r="L10" s="83">
        <f>I2+I3</f>
        <v>23</v>
      </c>
      <c r="M10" s="34"/>
      <c r="N10" s="74"/>
      <c r="O10" s="34"/>
      <c r="P10" s="34"/>
      <c r="Q10" s="34"/>
      <c r="R10" s="75"/>
      <c r="S10" s="34"/>
      <c r="T10" s="34"/>
      <c r="U10" s="34"/>
      <c r="V10" s="34"/>
    </row>
    <row r="11" ht="6.0" customHeight="1">
      <c r="A11" s="34"/>
      <c r="B11" s="74"/>
      <c r="C11" s="34"/>
      <c r="D11" s="34"/>
      <c r="E11" s="84"/>
      <c r="F11" s="74"/>
      <c r="G11" s="34"/>
      <c r="H11" s="34"/>
      <c r="I11" s="34"/>
      <c r="J11" s="34"/>
      <c r="K11" s="74"/>
      <c r="L11" s="34"/>
      <c r="M11" s="34"/>
      <c r="N11" s="34"/>
      <c r="O11" s="75"/>
      <c r="P11" s="34"/>
      <c r="Q11" s="34"/>
      <c r="R11" s="34"/>
      <c r="S11" s="34"/>
      <c r="T11" s="34"/>
      <c r="V11" s="34"/>
    </row>
    <row r="12">
      <c r="A12" s="34"/>
      <c r="B12" s="277" t="s">
        <v>76</v>
      </c>
      <c r="C12" s="86" t="s">
        <v>77</v>
      </c>
      <c r="D12" s="34"/>
      <c r="E12" s="87" t="s">
        <v>78</v>
      </c>
      <c r="F12" s="88" t="s">
        <v>79</v>
      </c>
      <c r="G12" s="34"/>
      <c r="H12" s="89" t="s">
        <v>37</v>
      </c>
      <c r="I12" s="89" t="s">
        <v>33</v>
      </c>
      <c r="J12" s="34"/>
      <c r="K12" s="35" t="s">
        <v>80</v>
      </c>
      <c r="L12" s="89" t="s">
        <v>48</v>
      </c>
      <c r="M12" s="34"/>
      <c r="N12" s="89" t="s">
        <v>81</v>
      </c>
      <c r="O12" s="90" t="s">
        <v>82</v>
      </c>
      <c r="P12" s="34"/>
      <c r="Q12" s="89" t="s">
        <v>83</v>
      </c>
      <c r="R12" s="89" t="s">
        <v>84</v>
      </c>
      <c r="S12" s="89" t="s">
        <v>85</v>
      </c>
      <c r="T12" s="89" t="s">
        <v>86</v>
      </c>
      <c r="V12" s="56"/>
    </row>
    <row r="13" ht="15.75" customHeight="1">
      <c r="A13" s="91"/>
      <c r="B13" s="278">
        <v>46023.0</v>
      </c>
      <c r="C13" s="258" t="s">
        <v>1179</v>
      </c>
      <c r="D13" s="94"/>
      <c r="E13" s="127" t="s">
        <v>1180</v>
      </c>
      <c r="F13" s="216" t="s">
        <v>1181</v>
      </c>
      <c r="G13" s="97"/>
      <c r="H13" s="98" t="s">
        <v>90</v>
      </c>
      <c r="I13" s="99" t="s">
        <v>107</v>
      </c>
      <c r="J13" s="97"/>
      <c r="K13" s="100">
        <v>10500.0</v>
      </c>
      <c r="L13" s="101">
        <v>3000.0</v>
      </c>
      <c r="M13" s="102"/>
      <c r="N13" s="103"/>
      <c r="O13" s="104"/>
      <c r="P13" s="97"/>
      <c r="Q13" s="105">
        <v>6.0</v>
      </c>
      <c r="S13" s="105" t="s">
        <v>110</v>
      </c>
      <c r="T13" s="105"/>
      <c r="V13" s="108"/>
    </row>
    <row r="14" ht="15.75" customHeight="1">
      <c r="A14" s="97"/>
      <c r="B14" s="278">
        <v>46023.0</v>
      </c>
      <c r="C14" s="109" t="s">
        <v>989</v>
      </c>
      <c r="D14" s="97"/>
      <c r="E14" s="127" t="s">
        <v>990</v>
      </c>
      <c r="F14" s="216" t="s">
        <v>991</v>
      </c>
      <c r="G14" s="97"/>
      <c r="H14" s="98" t="s">
        <v>90</v>
      </c>
      <c r="I14" s="99" t="s">
        <v>107</v>
      </c>
      <c r="J14" s="97"/>
      <c r="K14" s="100">
        <v>10500.0</v>
      </c>
      <c r="L14" s="101">
        <v>3500.0</v>
      </c>
      <c r="M14" s="102"/>
      <c r="N14" s="103"/>
      <c r="O14" s="104"/>
      <c r="P14" s="97"/>
      <c r="Q14" s="105">
        <v>6.0</v>
      </c>
      <c r="S14" s="105" t="s">
        <v>110</v>
      </c>
      <c r="T14" s="105"/>
      <c r="V14" s="108"/>
    </row>
    <row r="15" ht="15.75" customHeight="1">
      <c r="A15" s="97"/>
      <c r="B15" s="278">
        <v>46023.0</v>
      </c>
      <c r="C15" s="258" t="s">
        <v>1232</v>
      </c>
      <c r="D15" s="105"/>
      <c r="E15" s="127" t="s">
        <v>1233</v>
      </c>
      <c r="F15" s="216" t="s">
        <v>1234</v>
      </c>
      <c r="G15" s="97"/>
      <c r="H15" s="98" t="s">
        <v>90</v>
      </c>
      <c r="I15" s="99" t="s">
        <v>107</v>
      </c>
      <c r="J15" s="97"/>
      <c r="K15" s="100">
        <v>6000.0</v>
      </c>
      <c r="L15" s="101">
        <v>1500.0</v>
      </c>
      <c r="M15" s="102"/>
      <c r="N15" s="103"/>
      <c r="O15" s="104"/>
      <c r="P15" s="97"/>
      <c r="Q15" s="105">
        <v>4.0</v>
      </c>
      <c r="R15" s="116"/>
      <c r="S15" s="105" t="s">
        <v>110</v>
      </c>
      <c r="T15" s="105"/>
      <c r="V15" s="108"/>
    </row>
    <row r="16" ht="15.75" customHeight="1">
      <c r="A16" s="97"/>
      <c r="B16" s="278">
        <v>46024.0</v>
      </c>
      <c r="C16" s="258" t="s">
        <v>1397</v>
      </c>
      <c r="D16" s="97"/>
      <c r="E16" s="127" t="s">
        <v>1398</v>
      </c>
      <c r="F16" s="216" t="s">
        <v>1399</v>
      </c>
      <c r="G16" s="97"/>
      <c r="H16" s="98" t="s">
        <v>90</v>
      </c>
      <c r="I16" s="99" t="s">
        <v>107</v>
      </c>
      <c r="J16" s="97"/>
      <c r="K16" s="100">
        <v>10500.0</v>
      </c>
      <c r="L16" s="101">
        <v>3000.0</v>
      </c>
      <c r="M16" s="102"/>
      <c r="N16" s="103"/>
      <c r="O16" s="104"/>
      <c r="P16" s="97"/>
      <c r="Q16" s="105">
        <v>6.0</v>
      </c>
      <c r="S16" s="105" t="s">
        <v>110</v>
      </c>
      <c r="T16" s="105"/>
      <c r="V16" s="108"/>
    </row>
    <row r="17" ht="15.75" customHeight="1">
      <c r="A17" s="97"/>
      <c r="B17" s="278">
        <v>46024.0</v>
      </c>
      <c r="C17" s="258" t="s">
        <v>1453</v>
      </c>
      <c r="D17" s="97"/>
      <c r="E17" s="127" t="s">
        <v>1454</v>
      </c>
      <c r="F17" s="216" t="s">
        <v>1455</v>
      </c>
      <c r="G17" s="97"/>
      <c r="H17" s="98" t="s">
        <v>90</v>
      </c>
      <c r="I17" s="99" t="s">
        <v>107</v>
      </c>
      <c r="J17" s="97"/>
      <c r="K17" s="100">
        <v>10500.0</v>
      </c>
      <c r="L17" s="101">
        <v>3000.0</v>
      </c>
      <c r="M17" s="102"/>
      <c r="N17" s="103"/>
      <c r="O17" s="104"/>
      <c r="P17" s="97"/>
      <c r="Q17" s="105">
        <v>6.0</v>
      </c>
      <c r="S17" s="105" t="s">
        <v>110</v>
      </c>
      <c r="T17" s="105"/>
      <c r="V17" s="108"/>
    </row>
    <row r="18" ht="15.75" customHeight="1">
      <c r="A18" s="97"/>
      <c r="B18" s="278">
        <v>46024.0</v>
      </c>
      <c r="C18" s="258" t="s">
        <v>758</v>
      </c>
      <c r="D18" s="97"/>
      <c r="E18" s="127" t="s">
        <v>759</v>
      </c>
      <c r="F18" s="216" t="s">
        <v>760</v>
      </c>
      <c r="G18" s="97"/>
      <c r="H18" s="98" t="s">
        <v>90</v>
      </c>
      <c r="I18" s="99" t="s">
        <v>107</v>
      </c>
      <c r="J18" s="97"/>
      <c r="K18" s="100">
        <v>9000.0</v>
      </c>
      <c r="L18" s="101">
        <v>1500.0</v>
      </c>
      <c r="M18" s="102"/>
      <c r="N18" s="103"/>
      <c r="O18" s="104"/>
      <c r="P18" s="97"/>
      <c r="Q18" s="105">
        <v>6.0</v>
      </c>
      <c r="S18" s="105" t="s">
        <v>110</v>
      </c>
      <c r="T18" s="105"/>
      <c r="V18" s="108"/>
    </row>
    <row r="19" ht="15.75" customHeight="1">
      <c r="A19" s="97"/>
      <c r="B19" s="279">
        <v>46024.0</v>
      </c>
      <c r="C19" s="258" t="s">
        <v>1539</v>
      </c>
      <c r="D19" s="97"/>
      <c r="E19" s="127" t="s">
        <v>1540</v>
      </c>
      <c r="F19" s="216" t="s">
        <v>1541</v>
      </c>
      <c r="G19" s="97"/>
      <c r="H19" s="98" t="s">
        <v>90</v>
      </c>
      <c r="I19" s="99" t="s">
        <v>107</v>
      </c>
      <c r="J19" s="97"/>
      <c r="K19" s="280">
        <v>13500.0</v>
      </c>
      <c r="L19" s="101">
        <v>3500.0</v>
      </c>
      <c r="M19" s="102"/>
      <c r="N19" s="103"/>
      <c r="O19" s="104"/>
      <c r="P19" s="97"/>
      <c r="Q19" s="105">
        <v>6.0</v>
      </c>
      <c r="S19" s="105" t="s">
        <v>110</v>
      </c>
      <c r="T19" s="105"/>
      <c r="V19" s="108"/>
    </row>
    <row r="20" ht="15.75" customHeight="1">
      <c r="A20" s="91"/>
      <c r="B20" s="278">
        <v>46025.0</v>
      </c>
      <c r="C20" s="258" t="s">
        <v>1542</v>
      </c>
      <c r="D20" s="97"/>
      <c r="E20" s="127" t="s">
        <v>1543</v>
      </c>
      <c r="F20" s="216" t="s">
        <v>1544</v>
      </c>
      <c r="G20" s="97"/>
      <c r="H20" s="98" t="s">
        <v>90</v>
      </c>
      <c r="I20" s="99" t="s">
        <v>91</v>
      </c>
      <c r="J20" s="97"/>
      <c r="K20" s="97"/>
      <c r="L20" s="97"/>
      <c r="M20" s="97"/>
      <c r="N20" s="103" t="s">
        <v>45</v>
      </c>
      <c r="O20" s="104" t="s">
        <v>1545</v>
      </c>
      <c r="P20" s="97"/>
      <c r="Q20" s="105"/>
      <c r="S20" s="105" t="s">
        <v>93</v>
      </c>
      <c r="T20" s="105" t="s">
        <v>1546</v>
      </c>
      <c r="V20" s="108"/>
    </row>
    <row r="21" ht="15.75" customHeight="1">
      <c r="A21" s="91"/>
      <c r="B21" s="278">
        <v>46025.0</v>
      </c>
      <c r="C21" s="258" t="s">
        <v>1547</v>
      </c>
      <c r="D21" s="97"/>
      <c r="E21" s="127" t="s">
        <v>1548</v>
      </c>
      <c r="F21" s="216" t="s">
        <v>1549</v>
      </c>
      <c r="G21" s="97"/>
      <c r="H21" s="98" t="s">
        <v>90</v>
      </c>
      <c r="I21" s="99" t="s">
        <v>98</v>
      </c>
      <c r="J21" s="97"/>
      <c r="K21" s="97"/>
      <c r="L21" s="97"/>
      <c r="M21" s="97"/>
      <c r="N21" s="103"/>
      <c r="O21" s="104"/>
      <c r="P21" s="97"/>
      <c r="Q21" s="115"/>
      <c r="S21" s="105"/>
      <c r="T21" s="105"/>
      <c r="V21" s="108"/>
    </row>
    <row r="22" ht="15.75" customHeight="1">
      <c r="A22" s="91"/>
      <c r="B22" s="278">
        <v>46026.0</v>
      </c>
      <c r="C22" s="258" t="s">
        <v>1547</v>
      </c>
      <c r="D22" s="97"/>
      <c r="E22" s="127" t="s">
        <v>1548</v>
      </c>
      <c r="F22" s="216" t="s">
        <v>1549</v>
      </c>
      <c r="G22" s="97"/>
      <c r="H22" s="98" t="s">
        <v>90</v>
      </c>
      <c r="I22" s="105" t="s">
        <v>125</v>
      </c>
      <c r="J22" s="97"/>
      <c r="K22" s="97"/>
      <c r="L22" s="97"/>
      <c r="M22" s="97"/>
      <c r="N22" s="103"/>
      <c r="O22" s="104"/>
      <c r="P22" s="97"/>
      <c r="Q22" s="115"/>
      <c r="S22" s="105"/>
      <c r="T22" s="105"/>
      <c r="V22" s="108"/>
    </row>
    <row r="23" ht="15.75" customHeight="1">
      <c r="A23" s="91"/>
      <c r="B23" s="278">
        <v>46026.0</v>
      </c>
      <c r="C23" s="254" t="s">
        <v>1550</v>
      </c>
      <c r="D23" s="97"/>
      <c r="E23" s="257" t="s">
        <v>1551</v>
      </c>
      <c r="F23" s="203" t="s">
        <v>1552</v>
      </c>
      <c r="G23" s="97"/>
      <c r="H23" s="98" t="s">
        <v>97</v>
      </c>
      <c r="I23" s="105" t="s">
        <v>91</v>
      </c>
      <c r="J23" s="97"/>
      <c r="K23" s="97"/>
      <c r="L23" s="97"/>
      <c r="M23" s="97"/>
      <c r="N23" s="103" t="s">
        <v>143</v>
      </c>
      <c r="O23" s="104" t="s">
        <v>1553</v>
      </c>
      <c r="P23" s="97"/>
      <c r="Q23" s="97"/>
      <c r="S23" s="105" t="s">
        <v>99</v>
      </c>
      <c r="T23" s="105" t="s">
        <v>1554</v>
      </c>
      <c r="V23" s="108"/>
    </row>
    <row r="24" ht="15.0" customHeight="1">
      <c r="A24" s="91"/>
      <c r="B24" s="278">
        <v>46026.0</v>
      </c>
      <c r="C24" s="127" t="s">
        <v>1555</v>
      </c>
      <c r="D24" s="94"/>
      <c r="E24" s="127" t="s">
        <v>1556</v>
      </c>
      <c r="F24" s="216" t="s">
        <v>1557</v>
      </c>
      <c r="G24" s="97"/>
      <c r="H24" s="98" t="s">
        <v>90</v>
      </c>
      <c r="I24" s="99" t="s">
        <v>91</v>
      </c>
      <c r="J24" s="97"/>
      <c r="K24" s="97"/>
      <c r="L24" s="97"/>
      <c r="M24" s="97"/>
      <c r="N24" s="103" t="s">
        <v>65</v>
      </c>
      <c r="O24" s="104" t="s">
        <v>1558</v>
      </c>
      <c r="P24" s="97"/>
      <c r="Q24" s="105"/>
      <c r="S24" s="105" t="s">
        <v>93</v>
      </c>
      <c r="T24" s="105" t="s">
        <v>1559</v>
      </c>
      <c r="V24" s="108"/>
    </row>
    <row r="25" ht="15.75" customHeight="1">
      <c r="A25" s="91"/>
      <c r="B25" s="278">
        <v>46026.0</v>
      </c>
      <c r="C25" s="258" t="s">
        <v>1560</v>
      </c>
      <c r="D25" s="97"/>
      <c r="E25" s="127" t="s">
        <v>1561</v>
      </c>
      <c r="F25" s="216" t="s">
        <v>1562</v>
      </c>
      <c r="G25" s="97"/>
      <c r="H25" s="98" t="s">
        <v>90</v>
      </c>
      <c r="I25" s="105" t="s">
        <v>91</v>
      </c>
      <c r="J25" s="97"/>
      <c r="K25" s="97"/>
      <c r="L25" s="97"/>
      <c r="M25" s="97"/>
      <c r="N25" s="103" t="s">
        <v>45</v>
      </c>
      <c r="O25" s="104" t="s">
        <v>1563</v>
      </c>
      <c r="P25" s="97"/>
      <c r="Q25" s="115"/>
      <c r="S25" s="105" t="s">
        <v>99</v>
      </c>
      <c r="T25" s="105" t="s">
        <v>1564</v>
      </c>
      <c r="V25" s="108"/>
    </row>
    <row r="26" ht="15.75" customHeight="1">
      <c r="A26" s="91"/>
      <c r="B26" s="278">
        <v>46026.0</v>
      </c>
      <c r="C26" s="258" t="s">
        <v>1565</v>
      </c>
      <c r="D26" s="97"/>
      <c r="E26" s="127" t="s">
        <v>1566</v>
      </c>
      <c r="F26" s="216" t="s">
        <v>1567</v>
      </c>
      <c r="G26" s="97"/>
      <c r="H26" s="98" t="s">
        <v>90</v>
      </c>
      <c r="I26" s="105" t="s">
        <v>149</v>
      </c>
      <c r="J26" s="97"/>
      <c r="K26" s="97"/>
      <c r="L26" s="97"/>
      <c r="M26" s="97"/>
      <c r="N26" s="103"/>
      <c r="O26" s="104"/>
      <c r="P26" s="97"/>
      <c r="Q26" s="115"/>
      <c r="S26" s="105" t="s">
        <v>93</v>
      </c>
      <c r="T26" s="105" t="s">
        <v>1568</v>
      </c>
      <c r="V26" s="108"/>
    </row>
    <row r="27" ht="15.75" customHeight="1">
      <c r="A27" s="91"/>
      <c r="B27" s="278">
        <v>46026.0</v>
      </c>
      <c r="C27" s="258" t="s">
        <v>1569</v>
      </c>
      <c r="D27" s="97"/>
      <c r="E27" s="127" t="s">
        <v>1570</v>
      </c>
      <c r="F27" s="216" t="s">
        <v>1571</v>
      </c>
      <c r="G27" s="97"/>
      <c r="H27" s="98" t="s">
        <v>90</v>
      </c>
      <c r="I27" s="105" t="s">
        <v>107</v>
      </c>
      <c r="J27" s="97"/>
      <c r="K27" s="100">
        <v>13500.0</v>
      </c>
      <c r="L27" s="101">
        <v>3500.0</v>
      </c>
      <c r="M27" s="102"/>
      <c r="N27" s="103"/>
      <c r="P27" s="97"/>
      <c r="Q27" s="105">
        <v>6.0</v>
      </c>
      <c r="S27" s="105" t="s">
        <v>110</v>
      </c>
      <c r="T27" s="105"/>
      <c r="V27" s="108"/>
    </row>
    <row r="28" ht="15.75" customHeight="1">
      <c r="A28" s="91"/>
      <c r="B28" s="278">
        <v>46027.0</v>
      </c>
      <c r="C28" s="258" t="s">
        <v>1572</v>
      </c>
      <c r="D28" s="97"/>
      <c r="E28" s="127" t="s">
        <v>1573</v>
      </c>
      <c r="F28" s="216" t="s">
        <v>1574</v>
      </c>
      <c r="G28" s="97"/>
      <c r="H28" s="98" t="s">
        <v>90</v>
      </c>
      <c r="I28" s="105" t="s">
        <v>107</v>
      </c>
      <c r="J28" s="97"/>
      <c r="K28" s="100">
        <v>11500.0</v>
      </c>
      <c r="L28" s="101">
        <v>5750.0</v>
      </c>
      <c r="M28" s="102"/>
      <c r="N28" s="103" t="s">
        <v>143</v>
      </c>
      <c r="O28" s="104" t="s">
        <v>1575</v>
      </c>
      <c r="P28" s="97"/>
      <c r="Q28" s="105">
        <v>6.0</v>
      </c>
      <c r="R28" s="126"/>
      <c r="S28" s="105" t="s">
        <v>110</v>
      </c>
      <c r="T28" s="105" t="s">
        <v>1576</v>
      </c>
      <c r="V28" s="108"/>
    </row>
    <row r="29" ht="15.75" customHeight="1">
      <c r="A29" s="91"/>
      <c r="B29" s="278">
        <v>46028.0</v>
      </c>
      <c r="C29" s="254" t="s">
        <v>1577</v>
      </c>
      <c r="D29" s="97"/>
      <c r="E29" s="257" t="s">
        <v>1578</v>
      </c>
      <c r="F29" s="219"/>
      <c r="G29" s="97"/>
      <c r="H29" s="98" t="s">
        <v>97</v>
      </c>
      <c r="I29" s="105" t="s">
        <v>107</v>
      </c>
      <c r="J29" s="97"/>
      <c r="K29" s="100">
        <v>13500.0</v>
      </c>
      <c r="L29" s="101">
        <v>3500.0</v>
      </c>
      <c r="M29" s="102"/>
      <c r="N29" s="103"/>
      <c r="O29" s="104"/>
      <c r="P29" s="97"/>
      <c r="Q29" s="115"/>
      <c r="R29" s="116"/>
      <c r="S29" s="105" t="s">
        <v>110</v>
      </c>
      <c r="T29" s="105" t="s">
        <v>1579</v>
      </c>
      <c r="V29" s="108"/>
    </row>
    <row r="30" ht="15.75" customHeight="1">
      <c r="A30" s="91"/>
      <c r="B30" s="278">
        <v>46028.0</v>
      </c>
      <c r="C30" s="254" t="s">
        <v>1580</v>
      </c>
      <c r="D30" s="97"/>
      <c r="E30" s="127" t="s">
        <v>1581</v>
      </c>
      <c r="F30" s="110"/>
      <c r="G30" s="97"/>
      <c r="H30" s="98" t="s">
        <v>97</v>
      </c>
      <c r="I30" s="105" t="s">
        <v>91</v>
      </c>
      <c r="J30" s="97"/>
      <c r="K30" s="100"/>
      <c r="L30" s="101"/>
      <c r="M30" s="102"/>
      <c r="N30" s="103" t="s">
        <v>45</v>
      </c>
      <c r="O30" s="104" t="s">
        <v>1582</v>
      </c>
      <c r="P30" s="97"/>
      <c r="Q30" s="105"/>
      <c r="R30" s="107"/>
      <c r="S30" s="105" t="s">
        <v>99</v>
      </c>
      <c r="T30" s="105" t="s">
        <v>1583</v>
      </c>
      <c r="V30" s="108"/>
    </row>
    <row r="31" ht="15.75" customHeight="1">
      <c r="A31" s="91"/>
      <c r="B31" s="278">
        <v>46028.0</v>
      </c>
      <c r="C31" s="258" t="s">
        <v>1584</v>
      </c>
      <c r="D31" s="97"/>
      <c r="E31" s="127" t="s">
        <v>1585</v>
      </c>
      <c r="F31" s="211" t="s">
        <v>1586</v>
      </c>
      <c r="G31" s="97"/>
      <c r="H31" s="98" t="s">
        <v>90</v>
      </c>
      <c r="I31" s="105" t="s">
        <v>91</v>
      </c>
      <c r="J31" s="97"/>
      <c r="K31" s="100"/>
      <c r="L31" s="101"/>
      <c r="M31" s="102"/>
      <c r="N31" s="103"/>
      <c r="O31" s="104"/>
      <c r="P31" s="97"/>
      <c r="Q31" s="115"/>
      <c r="R31" s="107"/>
      <c r="S31" s="105" t="s">
        <v>99</v>
      </c>
      <c r="T31" s="105" t="s">
        <v>1587</v>
      </c>
      <c r="V31" s="108"/>
    </row>
    <row r="32" ht="15.75" customHeight="1">
      <c r="A32" s="91"/>
      <c r="B32" s="278">
        <v>46030.0</v>
      </c>
      <c r="C32" s="258" t="s">
        <v>1588</v>
      </c>
      <c r="D32" s="97"/>
      <c r="E32" s="127" t="s">
        <v>1589</v>
      </c>
      <c r="F32" s="216" t="s">
        <v>1590</v>
      </c>
      <c r="G32" s="97"/>
      <c r="H32" s="98" t="s">
        <v>90</v>
      </c>
      <c r="I32" s="105" t="s">
        <v>91</v>
      </c>
      <c r="J32" s="97"/>
      <c r="K32" s="113"/>
      <c r="L32" s="114"/>
      <c r="M32" s="102"/>
      <c r="N32" s="103" t="s">
        <v>45</v>
      </c>
      <c r="O32" s="104" t="s">
        <v>1591</v>
      </c>
      <c r="P32" s="97"/>
      <c r="Q32" s="97"/>
      <c r="R32" s="107"/>
      <c r="S32" s="105" t="s">
        <v>570</v>
      </c>
      <c r="T32" s="105" t="s">
        <v>1592</v>
      </c>
      <c r="V32" s="108"/>
    </row>
    <row r="33" ht="15.75" customHeight="1">
      <c r="A33" s="91"/>
      <c r="B33" s="278">
        <v>46031.0</v>
      </c>
      <c r="C33" s="127" t="s">
        <v>1593</v>
      </c>
      <c r="D33" s="97"/>
      <c r="E33" s="127" t="s">
        <v>1594</v>
      </c>
      <c r="F33" s="216" t="s">
        <v>1595</v>
      </c>
      <c r="G33" s="97"/>
      <c r="H33" s="98" t="s">
        <v>90</v>
      </c>
      <c r="I33" s="105" t="s">
        <v>178</v>
      </c>
      <c r="J33" s="97"/>
      <c r="K33" s="100">
        <v>11500.0</v>
      </c>
      <c r="L33" s="101">
        <v>11500.0</v>
      </c>
      <c r="M33" s="102"/>
      <c r="N33" s="103"/>
      <c r="O33" s="104"/>
      <c r="P33" s="97"/>
      <c r="Q33" s="105">
        <v>6.0</v>
      </c>
      <c r="R33" s="107"/>
      <c r="S33" s="105" t="s">
        <v>110</v>
      </c>
      <c r="T33" s="105" t="s">
        <v>1596</v>
      </c>
      <c r="V33" s="108"/>
    </row>
    <row r="34" ht="15.75" customHeight="1">
      <c r="A34" s="91"/>
      <c r="B34" s="278">
        <v>46031.0</v>
      </c>
      <c r="C34" s="258" t="s">
        <v>1597</v>
      </c>
      <c r="D34" s="97"/>
      <c r="E34" s="127" t="s">
        <v>1598</v>
      </c>
      <c r="F34" s="216" t="s">
        <v>1599</v>
      </c>
      <c r="G34" s="97"/>
      <c r="H34" s="98" t="s">
        <v>90</v>
      </c>
      <c r="I34" s="105" t="s">
        <v>91</v>
      </c>
      <c r="J34" s="97"/>
      <c r="K34" s="100"/>
      <c r="L34" s="101"/>
      <c r="M34" s="102"/>
      <c r="N34" s="103" t="s">
        <v>45</v>
      </c>
      <c r="O34" s="104" t="s">
        <v>1600</v>
      </c>
      <c r="P34" s="97"/>
      <c r="Q34" s="105"/>
      <c r="R34" s="107"/>
      <c r="S34" s="105" t="s">
        <v>93</v>
      </c>
      <c r="T34" s="105" t="s">
        <v>1601</v>
      </c>
      <c r="V34" s="108"/>
    </row>
    <row r="35" ht="15.75" customHeight="1">
      <c r="A35" s="91"/>
      <c r="B35" s="278">
        <v>46034.0</v>
      </c>
      <c r="C35" s="258" t="s">
        <v>1602</v>
      </c>
      <c r="D35" s="97"/>
      <c r="E35" s="127" t="s">
        <v>1603</v>
      </c>
      <c r="F35" s="216" t="s">
        <v>1604</v>
      </c>
      <c r="G35" s="97"/>
      <c r="H35" s="98" t="s">
        <v>90</v>
      </c>
      <c r="I35" s="105" t="s">
        <v>91</v>
      </c>
      <c r="J35" s="97"/>
      <c r="K35" s="100"/>
      <c r="L35" s="101"/>
      <c r="M35" s="102"/>
      <c r="N35" s="103" t="s">
        <v>60</v>
      </c>
      <c r="O35" s="104" t="s">
        <v>1605</v>
      </c>
      <c r="P35" s="97"/>
      <c r="Q35" s="105"/>
      <c r="R35" s="107"/>
      <c r="S35" s="105" t="s">
        <v>99</v>
      </c>
      <c r="T35" s="105" t="s">
        <v>1606</v>
      </c>
      <c r="V35" s="108"/>
    </row>
    <row r="36" ht="15.75" customHeight="1">
      <c r="A36" s="91"/>
      <c r="B36" s="129">
        <v>46034.0</v>
      </c>
      <c r="C36" s="258" t="s">
        <v>1607</v>
      </c>
      <c r="D36" s="97"/>
      <c r="E36" s="127" t="s">
        <v>1608</v>
      </c>
      <c r="F36" s="216" t="s">
        <v>1609</v>
      </c>
      <c r="G36" s="97"/>
      <c r="H36" s="98" t="s">
        <v>90</v>
      </c>
      <c r="I36" s="105" t="s">
        <v>91</v>
      </c>
      <c r="J36" s="97"/>
      <c r="K36" s="113"/>
      <c r="L36" s="114"/>
      <c r="M36" s="102"/>
      <c r="N36" s="103" t="s">
        <v>45</v>
      </c>
      <c r="O36" s="104" t="s">
        <v>1610</v>
      </c>
      <c r="P36" s="97"/>
      <c r="Q36" s="97"/>
      <c r="R36" s="126"/>
      <c r="S36" s="105" t="s">
        <v>99</v>
      </c>
      <c r="T36" s="105" t="s">
        <v>1611</v>
      </c>
      <c r="V36" s="108"/>
    </row>
    <row r="37" ht="15.75" customHeight="1">
      <c r="A37" s="91"/>
      <c r="B37" s="129">
        <v>46036.0</v>
      </c>
      <c r="C37" s="258" t="s">
        <v>1612</v>
      </c>
      <c r="D37" s="97"/>
      <c r="E37" s="127" t="s">
        <v>1613</v>
      </c>
      <c r="F37" s="216" t="s">
        <v>1614</v>
      </c>
      <c r="G37" s="97"/>
      <c r="H37" s="98" t="s">
        <v>90</v>
      </c>
      <c r="I37" s="105" t="s">
        <v>91</v>
      </c>
      <c r="J37" s="97"/>
      <c r="K37" s="100"/>
      <c r="L37" s="101"/>
      <c r="M37" s="102"/>
      <c r="N37" s="103" t="s">
        <v>143</v>
      </c>
      <c r="O37" s="104" t="s">
        <v>1615</v>
      </c>
      <c r="P37" s="97"/>
      <c r="Q37" s="115"/>
      <c r="R37" s="107"/>
      <c r="S37" s="105" t="s">
        <v>99</v>
      </c>
      <c r="T37" s="105" t="s">
        <v>1616</v>
      </c>
      <c r="V37" s="108"/>
    </row>
    <row r="38" ht="15.75" customHeight="1">
      <c r="A38" s="91"/>
      <c r="B38" s="129">
        <v>46036.0</v>
      </c>
      <c r="C38" s="258" t="s">
        <v>1617</v>
      </c>
      <c r="D38" s="97"/>
      <c r="E38" s="127" t="s">
        <v>1618</v>
      </c>
      <c r="F38" s="216" t="s">
        <v>1619</v>
      </c>
      <c r="G38" s="97"/>
      <c r="H38" s="98" t="s">
        <v>90</v>
      </c>
      <c r="I38" s="105" t="s">
        <v>175</v>
      </c>
      <c r="J38" s="97"/>
      <c r="K38" s="113"/>
      <c r="L38" s="114"/>
      <c r="M38" s="102"/>
      <c r="N38" s="124"/>
      <c r="O38" s="125"/>
      <c r="P38" s="97"/>
      <c r="Q38" s="130"/>
      <c r="R38" s="107"/>
      <c r="S38" s="97"/>
      <c r="V38" s="108"/>
    </row>
    <row r="39" ht="15.75" customHeight="1">
      <c r="A39" s="91"/>
      <c r="B39" s="129">
        <v>46038.0</v>
      </c>
      <c r="C39" s="270" t="s">
        <v>1620</v>
      </c>
      <c r="D39" s="97"/>
      <c r="E39" s="127" t="s">
        <v>1621</v>
      </c>
      <c r="F39" s="216" t="s">
        <v>1619</v>
      </c>
      <c r="G39" s="97"/>
      <c r="H39" s="98" t="s">
        <v>90</v>
      </c>
      <c r="I39" s="105" t="s">
        <v>107</v>
      </c>
      <c r="J39" s="97"/>
      <c r="K39" s="100">
        <v>13500.0</v>
      </c>
      <c r="L39" s="101">
        <v>1500.0</v>
      </c>
      <c r="M39" s="102"/>
      <c r="N39" s="124"/>
      <c r="O39" s="125"/>
      <c r="P39" s="97"/>
      <c r="Q39" s="105">
        <v>6.0</v>
      </c>
      <c r="R39" s="107"/>
      <c r="S39" s="105" t="s">
        <v>110</v>
      </c>
      <c r="T39" s="105" t="s">
        <v>1622</v>
      </c>
      <c r="V39" s="108"/>
    </row>
    <row r="40" ht="15.75" customHeight="1">
      <c r="A40" s="91"/>
      <c r="B40" s="129">
        <v>46038.0</v>
      </c>
      <c r="C40" s="258" t="s">
        <v>1623</v>
      </c>
      <c r="D40" s="97"/>
      <c r="E40" s="127" t="s">
        <v>1624</v>
      </c>
      <c r="F40" s="216" t="s">
        <v>1625</v>
      </c>
      <c r="G40" s="97"/>
      <c r="H40" s="98" t="s">
        <v>90</v>
      </c>
      <c r="I40" s="105" t="s">
        <v>91</v>
      </c>
      <c r="J40" s="97"/>
      <c r="K40" s="113"/>
      <c r="L40" s="114"/>
      <c r="M40" s="102"/>
      <c r="N40" s="103" t="s">
        <v>55</v>
      </c>
      <c r="O40" s="104" t="s">
        <v>1626</v>
      </c>
      <c r="P40" s="97"/>
      <c r="Q40" s="105"/>
      <c r="R40" s="107"/>
      <c r="S40" s="105" t="s">
        <v>99</v>
      </c>
      <c r="T40" s="105" t="s">
        <v>1627</v>
      </c>
      <c r="V40" s="108"/>
    </row>
    <row r="41" ht="15.75" customHeight="1">
      <c r="A41" s="91"/>
      <c r="B41" s="129">
        <v>46038.0</v>
      </c>
      <c r="C41" s="275" t="s">
        <v>609</v>
      </c>
      <c r="D41" s="97"/>
      <c r="E41" s="127" t="s">
        <v>1628</v>
      </c>
      <c r="F41" s="216" t="s">
        <v>1629</v>
      </c>
      <c r="G41" s="97"/>
      <c r="H41" s="98" t="s">
        <v>90</v>
      </c>
      <c r="I41" s="105" t="s">
        <v>107</v>
      </c>
      <c r="J41" s="97"/>
      <c r="K41" s="100">
        <v>13500.0</v>
      </c>
      <c r="L41" s="101">
        <v>1500.0</v>
      </c>
      <c r="M41" s="102"/>
      <c r="N41" s="103" t="s">
        <v>50</v>
      </c>
      <c r="O41" s="104" t="s">
        <v>1630</v>
      </c>
      <c r="P41" s="97"/>
      <c r="Q41" s="105">
        <v>6.0</v>
      </c>
      <c r="R41" s="126"/>
      <c r="S41" s="105" t="s">
        <v>110</v>
      </c>
      <c r="T41" s="97"/>
      <c r="V41" s="108"/>
    </row>
    <row r="42" ht="15.75" customHeight="1">
      <c r="A42" s="91"/>
      <c r="B42" s="129">
        <v>46038.0</v>
      </c>
      <c r="C42" s="258" t="s">
        <v>1631</v>
      </c>
      <c r="D42" s="97"/>
      <c r="E42" s="127" t="s">
        <v>1632</v>
      </c>
      <c r="F42" s="216" t="s">
        <v>1633</v>
      </c>
      <c r="G42" s="97"/>
      <c r="H42" s="98" t="s">
        <v>90</v>
      </c>
      <c r="I42" s="105" t="s">
        <v>91</v>
      </c>
      <c r="J42" s="97"/>
      <c r="K42" s="113"/>
      <c r="L42" s="114"/>
      <c r="M42" s="102"/>
      <c r="N42" s="103" t="s">
        <v>60</v>
      </c>
      <c r="O42" s="104" t="s">
        <v>1634</v>
      </c>
      <c r="P42" s="97"/>
      <c r="Q42" s="115"/>
      <c r="R42" s="107"/>
      <c r="S42" s="105" t="s">
        <v>570</v>
      </c>
      <c r="T42" s="105"/>
      <c r="V42" s="108"/>
    </row>
    <row r="43" ht="15.75" customHeight="1">
      <c r="A43" s="91"/>
      <c r="B43" s="129">
        <v>46040.0</v>
      </c>
      <c r="C43" s="270" t="s">
        <v>1635</v>
      </c>
      <c r="D43" s="97"/>
      <c r="E43" s="127" t="s">
        <v>1636</v>
      </c>
      <c r="F43" s="216" t="s">
        <v>1637</v>
      </c>
      <c r="G43" s="97"/>
      <c r="H43" s="98" t="s">
        <v>90</v>
      </c>
      <c r="I43" s="105" t="s">
        <v>107</v>
      </c>
      <c r="J43" s="97"/>
      <c r="K43" s="100">
        <v>11500.0</v>
      </c>
      <c r="L43" s="101">
        <v>5750.0</v>
      </c>
      <c r="M43" s="102"/>
      <c r="N43" s="124"/>
      <c r="O43" s="125"/>
      <c r="P43" s="97"/>
      <c r="Q43" s="105">
        <v>6.0</v>
      </c>
      <c r="R43" s="126"/>
      <c r="S43" s="105" t="s">
        <v>110</v>
      </c>
      <c r="T43" s="105" t="s">
        <v>1638</v>
      </c>
      <c r="V43" s="108"/>
    </row>
    <row r="44" ht="15.75" customHeight="1">
      <c r="A44" s="91"/>
      <c r="B44" s="129">
        <v>46040.0</v>
      </c>
      <c r="C44" s="270" t="s">
        <v>1303</v>
      </c>
      <c r="D44" s="97"/>
      <c r="E44" s="127" t="s">
        <v>1304</v>
      </c>
      <c r="F44" s="216" t="s">
        <v>1419</v>
      </c>
      <c r="G44" s="97"/>
      <c r="H44" s="98" t="s">
        <v>90</v>
      </c>
      <c r="I44" s="105" t="s">
        <v>107</v>
      </c>
      <c r="J44" s="97"/>
      <c r="K44" s="100">
        <v>13500.0</v>
      </c>
      <c r="L44" s="101">
        <v>3500.0</v>
      </c>
      <c r="M44" s="102"/>
      <c r="N44" s="124"/>
      <c r="O44" s="125"/>
      <c r="P44" s="97"/>
      <c r="Q44" s="105">
        <v>6.0</v>
      </c>
      <c r="R44" s="126"/>
      <c r="S44" s="105" t="s">
        <v>110</v>
      </c>
      <c r="T44" s="105" t="s">
        <v>1639</v>
      </c>
      <c r="V44" s="108"/>
    </row>
    <row r="45" ht="15.75" customHeight="1">
      <c r="A45" s="91"/>
      <c r="B45" s="129">
        <v>46041.0</v>
      </c>
      <c r="C45" s="258" t="s">
        <v>1640</v>
      </c>
      <c r="D45" s="97"/>
      <c r="E45" s="127" t="s">
        <v>1641</v>
      </c>
      <c r="F45" s="216" t="s">
        <v>1642</v>
      </c>
      <c r="G45" s="97"/>
      <c r="H45" s="98" t="s">
        <v>90</v>
      </c>
      <c r="I45" s="105" t="s">
        <v>91</v>
      </c>
      <c r="J45" s="97"/>
      <c r="K45" s="100"/>
      <c r="L45" s="101"/>
      <c r="M45" s="102"/>
      <c r="N45" s="103" t="s">
        <v>143</v>
      </c>
      <c r="O45" s="104" t="s">
        <v>1643</v>
      </c>
      <c r="P45" s="97"/>
      <c r="Q45" s="97"/>
      <c r="R45" s="126"/>
      <c r="S45" s="105" t="s">
        <v>116</v>
      </c>
      <c r="T45" s="105" t="s">
        <v>1644</v>
      </c>
      <c r="V45" s="108"/>
    </row>
    <row r="46" ht="15.75" customHeight="1">
      <c r="A46" s="91"/>
      <c r="B46" s="129">
        <v>46041.0</v>
      </c>
      <c r="C46" s="127" t="s">
        <v>1645</v>
      </c>
      <c r="D46" s="97"/>
      <c r="E46" s="127" t="s">
        <v>1646</v>
      </c>
      <c r="F46" s="216" t="s">
        <v>1647</v>
      </c>
      <c r="G46" s="97"/>
      <c r="H46" s="98" t="s">
        <v>90</v>
      </c>
      <c r="I46" s="105" t="s">
        <v>98</v>
      </c>
      <c r="J46" s="97"/>
      <c r="K46" s="113"/>
      <c r="L46" s="114"/>
      <c r="M46" s="102"/>
      <c r="N46" s="124"/>
      <c r="O46" s="125"/>
      <c r="P46" s="97"/>
      <c r="Q46" s="97"/>
      <c r="R46" s="126"/>
      <c r="S46" s="97"/>
      <c r="T46" s="97"/>
      <c r="V46" s="108"/>
    </row>
    <row r="47" ht="15.75" customHeight="1">
      <c r="A47" s="91"/>
      <c r="B47" s="129">
        <v>46041.0</v>
      </c>
      <c r="C47" s="270" t="s">
        <v>1648</v>
      </c>
      <c r="D47" s="97"/>
      <c r="E47" s="127" t="s">
        <v>1649</v>
      </c>
      <c r="F47" s="216" t="s">
        <v>1650</v>
      </c>
      <c r="G47" s="97"/>
      <c r="H47" s="98" t="s">
        <v>90</v>
      </c>
      <c r="I47" s="105" t="s">
        <v>178</v>
      </c>
      <c r="J47" s="97"/>
      <c r="K47" s="100">
        <v>24000.0</v>
      </c>
      <c r="L47" s="101">
        <v>24000.0</v>
      </c>
      <c r="M47" s="102"/>
      <c r="N47" s="103"/>
      <c r="O47" s="104"/>
      <c r="P47" s="97"/>
      <c r="Q47" s="105">
        <v>6.0</v>
      </c>
      <c r="R47" s="116"/>
      <c r="S47" s="105" t="s">
        <v>110</v>
      </c>
      <c r="T47" s="105"/>
      <c r="V47" s="108"/>
    </row>
    <row r="48" ht="15.75" customHeight="1">
      <c r="A48" s="91"/>
      <c r="B48" s="129">
        <v>46041.0</v>
      </c>
      <c r="C48" s="258" t="s">
        <v>1651</v>
      </c>
      <c r="D48" s="97"/>
      <c r="E48" s="127" t="s">
        <v>1652</v>
      </c>
      <c r="F48" s="211" t="s">
        <v>1653</v>
      </c>
      <c r="G48" s="97"/>
      <c r="H48" s="98" t="s">
        <v>90</v>
      </c>
      <c r="I48" s="105" t="s">
        <v>91</v>
      </c>
      <c r="J48" s="97"/>
      <c r="K48" s="113"/>
      <c r="L48" s="114"/>
      <c r="M48" s="102"/>
      <c r="N48" s="103" t="s">
        <v>45</v>
      </c>
      <c r="O48" s="104" t="s">
        <v>1654</v>
      </c>
      <c r="P48" s="97"/>
      <c r="Q48" s="130"/>
      <c r="R48" s="107"/>
      <c r="S48" s="105" t="s">
        <v>116</v>
      </c>
      <c r="T48" s="105" t="s">
        <v>1655</v>
      </c>
      <c r="V48" s="108"/>
    </row>
    <row r="49" ht="15.75" customHeight="1">
      <c r="A49" s="91"/>
      <c r="B49" s="129">
        <v>46041.0</v>
      </c>
      <c r="C49" s="258" t="s">
        <v>1656</v>
      </c>
      <c r="D49" s="97"/>
      <c r="E49" s="127" t="s">
        <v>1657</v>
      </c>
      <c r="F49" s="216" t="s">
        <v>1658</v>
      </c>
      <c r="G49" s="97"/>
      <c r="H49" s="98" t="s">
        <v>90</v>
      </c>
      <c r="I49" s="105" t="s">
        <v>91</v>
      </c>
      <c r="J49" s="97"/>
      <c r="K49" s="100"/>
      <c r="L49" s="101"/>
      <c r="M49" s="102"/>
      <c r="N49" s="103" t="s">
        <v>65</v>
      </c>
      <c r="O49" s="104" t="s">
        <v>1659</v>
      </c>
      <c r="P49" s="97"/>
      <c r="Q49" s="130"/>
      <c r="R49" s="107"/>
      <c r="S49" s="105" t="s">
        <v>116</v>
      </c>
      <c r="T49" s="105" t="s">
        <v>1660</v>
      </c>
      <c r="V49" s="108"/>
    </row>
    <row r="50" ht="15.75" customHeight="1">
      <c r="A50" s="91"/>
      <c r="B50" s="129">
        <v>46041.0</v>
      </c>
      <c r="C50" s="270" t="s">
        <v>1661</v>
      </c>
      <c r="D50" s="97"/>
      <c r="E50" s="127" t="s">
        <v>1662</v>
      </c>
      <c r="F50" s="216" t="s">
        <v>1663</v>
      </c>
      <c r="G50" s="97"/>
      <c r="H50" s="98" t="s">
        <v>90</v>
      </c>
      <c r="I50" s="105" t="s">
        <v>107</v>
      </c>
      <c r="J50" s="97"/>
      <c r="K50" s="100">
        <v>13500.0</v>
      </c>
      <c r="L50" s="101">
        <v>3500.0</v>
      </c>
      <c r="M50" s="102"/>
      <c r="N50" s="124"/>
      <c r="O50" s="125"/>
      <c r="P50" s="97"/>
      <c r="Q50" s="105">
        <v>6.0</v>
      </c>
      <c r="R50" s="126"/>
      <c r="S50" s="105" t="s">
        <v>110</v>
      </c>
      <c r="T50" s="105"/>
      <c r="V50" s="108"/>
    </row>
    <row r="51" ht="15.75" customHeight="1">
      <c r="A51" s="91"/>
      <c r="B51" s="129">
        <v>46042.0</v>
      </c>
      <c r="C51" s="258" t="s">
        <v>1664</v>
      </c>
      <c r="D51" s="97"/>
      <c r="E51" s="127" t="s">
        <v>1665</v>
      </c>
      <c r="F51" s="216" t="s">
        <v>1666</v>
      </c>
      <c r="G51" s="97"/>
      <c r="H51" s="98" t="s">
        <v>90</v>
      </c>
      <c r="I51" s="105" t="s">
        <v>91</v>
      </c>
      <c r="J51" s="97"/>
      <c r="K51" s="100"/>
      <c r="L51" s="101"/>
      <c r="M51" s="102"/>
      <c r="N51" s="103" t="s">
        <v>45</v>
      </c>
      <c r="O51" s="104" t="s">
        <v>1667</v>
      </c>
      <c r="P51" s="97"/>
      <c r="Q51" s="131"/>
      <c r="R51" s="126"/>
      <c r="S51" s="105" t="s">
        <v>99</v>
      </c>
      <c r="T51" s="105" t="s">
        <v>1668</v>
      </c>
      <c r="V51" s="108"/>
    </row>
    <row r="52" ht="15.75" customHeight="1">
      <c r="A52" s="91"/>
      <c r="B52" s="129">
        <v>46042.0</v>
      </c>
      <c r="C52" s="270" t="s">
        <v>1669</v>
      </c>
      <c r="D52" s="97"/>
      <c r="E52" s="127" t="s">
        <v>1670</v>
      </c>
      <c r="F52" s="216" t="s">
        <v>1671</v>
      </c>
      <c r="G52" s="97"/>
      <c r="H52" s="98" t="s">
        <v>90</v>
      </c>
      <c r="I52" s="105" t="s">
        <v>178</v>
      </c>
      <c r="J52" s="97"/>
      <c r="K52" s="100">
        <v>11500.0</v>
      </c>
      <c r="L52" s="101">
        <v>11500.0</v>
      </c>
      <c r="M52" s="102"/>
      <c r="N52" s="103" t="s">
        <v>55</v>
      </c>
      <c r="O52" s="104" t="s">
        <v>1672</v>
      </c>
      <c r="P52" s="97"/>
      <c r="Q52" s="105">
        <v>6.0</v>
      </c>
      <c r="R52" s="126"/>
      <c r="S52" s="105" t="s">
        <v>110</v>
      </c>
      <c r="T52" s="105" t="s">
        <v>1673</v>
      </c>
      <c r="V52" s="108"/>
    </row>
    <row r="53" ht="15.75" customHeight="1">
      <c r="A53" s="91"/>
      <c r="B53" s="129">
        <v>46042.0</v>
      </c>
      <c r="C53" s="258" t="s">
        <v>1674</v>
      </c>
      <c r="D53" s="97"/>
      <c r="E53" s="127" t="s">
        <v>1675</v>
      </c>
      <c r="F53" s="216" t="s">
        <v>1676</v>
      </c>
      <c r="G53" s="97"/>
      <c r="H53" s="98" t="s">
        <v>90</v>
      </c>
      <c r="I53" s="105" t="s">
        <v>91</v>
      </c>
      <c r="J53" s="97"/>
      <c r="K53" s="100"/>
      <c r="L53" s="101"/>
      <c r="M53" s="102"/>
      <c r="N53" s="103" t="s">
        <v>45</v>
      </c>
      <c r="O53" s="104" t="s">
        <v>1677</v>
      </c>
      <c r="P53" s="97"/>
      <c r="Q53" s="130"/>
      <c r="R53" s="107"/>
      <c r="S53" s="105" t="s">
        <v>116</v>
      </c>
      <c r="T53" s="105" t="s">
        <v>1678</v>
      </c>
      <c r="V53" s="108"/>
    </row>
    <row r="54" ht="15.75" customHeight="1">
      <c r="A54" s="91"/>
      <c r="B54" s="129">
        <v>46042.0</v>
      </c>
      <c r="C54" s="258" t="s">
        <v>1679</v>
      </c>
      <c r="D54" s="97"/>
      <c r="E54" s="127" t="s">
        <v>1680</v>
      </c>
      <c r="F54" s="216" t="s">
        <v>1681</v>
      </c>
      <c r="G54" s="97"/>
      <c r="H54" s="98" t="s">
        <v>90</v>
      </c>
      <c r="I54" s="105" t="s">
        <v>149</v>
      </c>
      <c r="J54" s="97"/>
      <c r="K54" s="113"/>
      <c r="L54" s="114"/>
      <c r="M54" s="102"/>
      <c r="N54" s="103"/>
      <c r="O54" s="104"/>
      <c r="P54" s="97"/>
      <c r="Q54" s="130"/>
      <c r="R54" s="133"/>
      <c r="S54" s="105" t="s">
        <v>570</v>
      </c>
      <c r="T54" s="105" t="s">
        <v>1682</v>
      </c>
      <c r="V54" s="108"/>
    </row>
    <row r="55" ht="15.75" customHeight="1">
      <c r="A55" s="91"/>
      <c r="B55" s="129">
        <v>46043.0</v>
      </c>
      <c r="C55" s="270" t="s">
        <v>1683</v>
      </c>
      <c r="D55" s="97"/>
      <c r="E55" s="127" t="s">
        <v>1684</v>
      </c>
      <c r="F55" s="216" t="s">
        <v>1685</v>
      </c>
      <c r="G55" s="97"/>
      <c r="H55" s="98" t="s">
        <v>90</v>
      </c>
      <c r="I55" s="105" t="s">
        <v>178</v>
      </c>
      <c r="J55" s="97"/>
      <c r="K55" s="100">
        <v>12000.0</v>
      </c>
      <c r="L55" s="101">
        <v>12000.0</v>
      </c>
      <c r="M55" s="102"/>
      <c r="N55" s="103"/>
      <c r="O55" s="104"/>
      <c r="P55" s="97"/>
      <c r="Q55" s="105">
        <v>6.0</v>
      </c>
      <c r="R55" s="107"/>
      <c r="S55" s="105" t="s">
        <v>110</v>
      </c>
      <c r="T55" s="105" t="s">
        <v>1686</v>
      </c>
      <c r="V55" s="108"/>
    </row>
    <row r="56" ht="15.75" customHeight="1">
      <c r="A56" s="91"/>
      <c r="B56" s="129">
        <v>46043.0</v>
      </c>
      <c r="C56" s="281" t="s">
        <v>1687</v>
      </c>
      <c r="D56" s="97"/>
      <c r="E56" s="122" t="s">
        <v>1688</v>
      </c>
      <c r="F56" s="216" t="s">
        <v>1689</v>
      </c>
      <c r="G56" s="97"/>
      <c r="H56" s="98" t="s">
        <v>90</v>
      </c>
      <c r="I56" s="105" t="s">
        <v>107</v>
      </c>
      <c r="J56" s="97"/>
      <c r="K56" s="100">
        <v>14000.0</v>
      </c>
      <c r="L56" s="101">
        <v>2333.0</v>
      </c>
      <c r="M56" s="102"/>
      <c r="N56" s="103" t="s">
        <v>45</v>
      </c>
      <c r="O56" s="104" t="s">
        <v>1690</v>
      </c>
      <c r="P56" s="97"/>
      <c r="Q56" s="115"/>
      <c r="R56" s="107"/>
      <c r="S56" s="105" t="s">
        <v>335</v>
      </c>
      <c r="T56" s="105"/>
      <c r="V56" s="108"/>
    </row>
    <row r="57" ht="15.75" customHeight="1">
      <c r="A57" s="91"/>
      <c r="B57" s="129">
        <v>46043.0</v>
      </c>
      <c r="C57" s="258" t="s">
        <v>1691</v>
      </c>
      <c r="D57" s="97"/>
      <c r="E57" s="127" t="s">
        <v>1692</v>
      </c>
      <c r="F57" s="216" t="s">
        <v>1693</v>
      </c>
      <c r="G57" s="97"/>
      <c r="H57" s="98" t="s">
        <v>90</v>
      </c>
      <c r="I57" s="105" t="s">
        <v>91</v>
      </c>
      <c r="J57" s="97"/>
      <c r="K57" s="100"/>
      <c r="L57" s="101"/>
      <c r="M57" s="102"/>
      <c r="N57" s="103" t="s">
        <v>65</v>
      </c>
      <c r="O57" s="104" t="s">
        <v>1694</v>
      </c>
      <c r="P57" s="97"/>
      <c r="Q57" s="131"/>
      <c r="R57" s="126"/>
      <c r="S57" s="105" t="s">
        <v>99</v>
      </c>
      <c r="T57" s="105" t="s">
        <v>1695</v>
      </c>
      <c r="V57" s="108"/>
    </row>
    <row r="58" ht="15.75" customHeight="1">
      <c r="A58" s="91"/>
      <c r="B58" s="129">
        <v>46044.0</v>
      </c>
      <c r="C58" s="258" t="s">
        <v>1696</v>
      </c>
      <c r="D58" s="97"/>
      <c r="E58" s="127" t="s">
        <v>1697</v>
      </c>
      <c r="F58" s="216" t="s">
        <v>1698</v>
      </c>
      <c r="G58" s="97"/>
      <c r="H58" s="98" t="s">
        <v>90</v>
      </c>
      <c r="I58" s="105" t="s">
        <v>91</v>
      </c>
      <c r="J58" s="97"/>
      <c r="K58" s="113"/>
      <c r="L58" s="114"/>
      <c r="M58" s="102"/>
      <c r="N58" s="103" t="s">
        <v>65</v>
      </c>
      <c r="O58" s="104" t="s">
        <v>1699</v>
      </c>
      <c r="P58" s="97"/>
      <c r="Q58" s="115"/>
      <c r="R58" s="107"/>
      <c r="S58" s="105" t="s">
        <v>116</v>
      </c>
      <c r="T58" s="105" t="s">
        <v>1700</v>
      </c>
      <c r="V58" s="108"/>
    </row>
    <row r="59" ht="15.75" customHeight="1">
      <c r="A59" s="91"/>
      <c r="B59" s="129">
        <v>46044.0</v>
      </c>
      <c r="C59" s="270" t="s">
        <v>1392</v>
      </c>
      <c r="D59" s="97"/>
      <c r="E59" s="127" t="s">
        <v>1393</v>
      </c>
      <c r="F59" s="211" t="s">
        <v>1394</v>
      </c>
      <c r="G59" s="97"/>
      <c r="H59" s="98" t="s">
        <v>90</v>
      </c>
      <c r="I59" s="105" t="s">
        <v>107</v>
      </c>
      <c r="J59" s="97"/>
      <c r="K59" s="282">
        <v>13500.0</v>
      </c>
      <c r="L59" s="101">
        <v>3500.0</v>
      </c>
      <c r="M59" s="102"/>
      <c r="N59" s="103"/>
      <c r="O59" s="104"/>
      <c r="P59" s="97"/>
      <c r="Q59" s="97"/>
      <c r="R59" s="126"/>
      <c r="S59" s="105"/>
      <c r="T59" s="105"/>
      <c r="U59" s="105"/>
      <c r="V59" s="108"/>
    </row>
    <row r="60" ht="15.75" customHeight="1">
      <c r="A60" s="91"/>
      <c r="B60" s="129">
        <v>46044.0</v>
      </c>
      <c r="C60" s="258" t="s">
        <v>1701</v>
      </c>
      <c r="D60" s="97"/>
      <c r="E60" s="127" t="s">
        <v>1702</v>
      </c>
      <c r="F60" s="216" t="s">
        <v>1703</v>
      </c>
      <c r="G60" s="97"/>
      <c r="H60" s="98" t="s">
        <v>90</v>
      </c>
      <c r="I60" s="105" t="s">
        <v>91</v>
      </c>
      <c r="J60" s="97"/>
      <c r="L60" s="101"/>
      <c r="M60" s="102"/>
      <c r="N60" s="103" t="s">
        <v>45</v>
      </c>
      <c r="O60" s="104" t="s">
        <v>295</v>
      </c>
      <c r="P60" s="97"/>
      <c r="Q60" s="97"/>
      <c r="R60" s="126"/>
      <c r="S60" s="105" t="s">
        <v>99</v>
      </c>
      <c r="T60" s="105" t="s">
        <v>1704</v>
      </c>
      <c r="V60" s="108"/>
    </row>
    <row r="61" ht="15.75" customHeight="1">
      <c r="A61" s="91"/>
      <c r="B61" s="129">
        <v>46044.0</v>
      </c>
      <c r="C61" s="258" t="s">
        <v>1705</v>
      </c>
      <c r="D61" s="97"/>
      <c r="E61" s="127" t="s">
        <v>1706</v>
      </c>
      <c r="F61" s="216" t="s">
        <v>1707</v>
      </c>
      <c r="G61" s="97"/>
      <c r="H61" s="98" t="s">
        <v>90</v>
      </c>
      <c r="I61" s="105" t="s">
        <v>91</v>
      </c>
      <c r="J61" s="97"/>
      <c r="K61" s="100"/>
      <c r="L61" s="101"/>
      <c r="M61" s="102"/>
      <c r="N61" s="103" t="s">
        <v>45</v>
      </c>
      <c r="O61" s="104" t="s">
        <v>1708</v>
      </c>
      <c r="P61" s="97"/>
      <c r="Q61" s="105">
        <v>6.0</v>
      </c>
      <c r="R61" s="107"/>
      <c r="S61" s="105" t="s">
        <v>99</v>
      </c>
      <c r="T61" s="105" t="s">
        <v>1709</v>
      </c>
      <c r="V61" s="108"/>
    </row>
    <row r="62" ht="15.75" customHeight="1">
      <c r="A62" s="91"/>
      <c r="B62" s="129">
        <v>46045.0</v>
      </c>
      <c r="C62" s="258" t="s">
        <v>1710</v>
      </c>
      <c r="D62" s="97"/>
      <c r="E62" s="127" t="s">
        <v>1711</v>
      </c>
      <c r="F62" s="216" t="s">
        <v>1712</v>
      </c>
      <c r="G62" s="97"/>
      <c r="H62" s="98" t="s">
        <v>90</v>
      </c>
      <c r="I62" s="105" t="s">
        <v>98</v>
      </c>
      <c r="J62" s="97"/>
      <c r="K62" s="100"/>
      <c r="L62" s="101"/>
      <c r="M62" s="102"/>
      <c r="N62" s="124"/>
      <c r="O62" s="125"/>
      <c r="P62" s="97"/>
      <c r="Q62" s="97"/>
      <c r="R62" s="126"/>
      <c r="S62" s="97"/>
      <c r="T62" s="97"/>
      <c r="V62" s="108"/>
    </row>
    <row r="63" ht="15.75" customHeight="1">
      <c r="A63" s="91"/>
      <c r="B63" s="129">
        <v>46045.0</v>
      </c>
      <c r="C63" s="270" t="s">
        <v>1713</v>
      </c>
      <c r="D63" s="97"/>
      <c r="E63" s="127" t="s">
        <v>1714</v>
      </c>
      <c r="F63" s="216" t="s">
        <v>1715</v>
      </c>
      <c r="G63" s="97"/>
      <c r="H63" s="98" t="s">
        <v>90</v>
      </c>
      <c r="I63" s="105" t="s">
        <v>107</v>
      </c>
      <c r="J63" s="97"/>
      <c r="K63" s="100">
        <v>14000.0</v>
      </c>
      <c r="L63" s="101">
        <v>2000.0</v>
      </c>
      <c r="M63" s="102"/>
      <c r="N63" s="103" t="s">
        <v>45</v>
      </c>
      <c r="O63" s="125"/>
      <c r="P63" s="97"/>
      <c r="Q63" s="97"/>
      <c r="R63" s="126"/>
      <c r="S63" s="105" t="s">
        <v>110</v>
      </c>
      <c r="T63" s="105" t="s">
        <v>1716</v>
      </c>
      <c r="V63" s="108"/>
    </row>
    <row r="64" ht="15.75" customHeight="1">
      <c r="A64" s="91"/>
      <c r="B64" s="129">
        <v>46045.0</v>
      </c>
      <c r="C64" s="258" t="s">
        <v>1717</v>
      </c>
      <c r="D64" s="97"/>
      <c r="E64" s="127" t="s">
        <v>1718</v>
      </c>
      <c r="F64" s="216" t="s">
        <v>1719</v>
      </c>
      <c r="G64" s="97"/>
      <c r="H64" s="98" t="s">
        <v>90</v>
      </c>
      <c r="I64" s="105" t="s">
        <v>91</v>
      </c>
      <c r="J64" s="97"/>
      <c r="K64" s="100"/>
      <c r="L64" s="101"/>
      <c r="M64" s="102"/>
      <c r="N64" s="103" t="s">
        <v>45</v>
      </c>
      <c r="O64" s="104" t="s">
        <v>1720</v>
      </c>
      <c r="P64" s="97"/>
      <c r="Q64" s="97"/>
      <c r="R64" s="126"/>
      <c r="S64" s="105" t="s">
        <v>99</v>
      </c>
      <c r="T64" s="105" t="s">
        <v>1721</v>
      </c>
      <c r="V64" s="108"/>
    </row>
    <row r="65" ht="15.75" customHeight="1">
      <c r="A65" s="91"/>
      <c r="B65" s="129">
        <v>46045.0</v>
      </c>
      <c r="C65" s="127" t="s">
        <v>1722</v>
      </c>
      <c r="D65" s="97"/>
      <c r="E65" s="127" t="s">
        <v>1723</v>
      </c>
      <c r="F65" s="216" t="s">
        <v>1724</v>
      </c>
      <c r="G65" s="97"/>
      <c r="H65" s="98" t="s">
        <v>90</v>
      </c>
      <c r="I65" s="105" t="s">
        <v>125</v>
      </c>
      <c r="J65" s="97"/>
      <c r="K65" s="113"/>
      <c r="L65" s="114"/>
      <c r="M65" s="102"/>
      <c r="N65" s="103"/>
      <c r="O65" s="104"/>
      <c r="P65" s="97"/>
      <c r="Q65" s="115"/>
      <c r="R65" s="116"/>
      <c r="S65" s="105"/>
      <c r="T65" s="105"/>
      <c r="V65" s="108"/>
    </row>
    <row r="66" ht="15.75" customHeight="1">
      <c r="A66" s="91"/>
      <c r="B66" s="129">
        <v>46046.0</v>
      </c>
      <c r="C66" s="258" t="s">
        <v>1710</v>
      </c>
      <c r="D66" s="97"/>
      <c r="E66" s="127" t="s">
        <v>1711</v>
      </c>
      <c r="F66" s="216" t="s">
        <v>1712</v>
      </c>
      <c r="G66" s="97"/>
      <c r="H66" s="98" t="s">
        <v>90</v>
      </c>
      <c r="I66" s="105" t="s">
        <v>98</v>
      </c>
      <c r="J66" s="97"/>
      <c r="K66" s="100"/>
      <c r="L66" s="101"/>
      <c r="M66" s="102"/>
      <c r="N66" s="103"/>
      <c r="O66" s="104"/>
      <c r="P66" s="97"/>
      <c r="Q66" s="130"/>
      <c r="R66" s="116"/>
      <c r="S66" s="105"/>
      <c r="T66" s="105"/>
      <c r="V66" s="108"/>
    </row>
    <row r="67" ht="15.75" customHeight="1">
      <c r="A67" s="91"/>
      <c r="B67" s="129">
        <v>46046.0</v>
      </c>
      <c r="C67" s="127" t="s">
        <v>1725</v>
      </c>
      <c r="D67" s="97"/>
      <c r="E67" s="127" t="s">
        <v>1726</v>
      </c>
      <c r="F67" s="216" t="s">
        <v>1727</v>
      </c>
      <c r="G67" s="97"/>
      <c r="H67" s="98" t="s">
        <v>90</v>
      </c>
      <c r="I67" s="105" t="s">
        <v>91</v>
      </c>
      <c r="J67" s="97"/>
      <c r="K67" s="113"/>
      <c r="L67" s="114"/>
      <c r="M67" s="102"/>
      <c r="N67" s="103" t="s">
        <v>143</v>
      </c>
      <c r="O67" s="104" t="s">
        <v>1728</v>
      </c>
      <c r="P67" s="97"/>
      <c r="Q67" s="97"/>
      <c r="R67" s="126"/>
      <c r="S67" s="105" t="s">
        <v>116</v>
      </c>
      <c r="T67" s="105" t="s">
        <v>1729</v>
      </c>
      <c r="V67" s="108"/>
    </row>
    <row r="68" ht="15.75" customHeight="1">
      <c r="A68" s="91"/>
      <c r="B68" s="129">
        <v>46046.0</v>
      </c>
      <c r="C68" s="258" t="s">
        <v>1730</v>
      </c>
      <c r="D68" s="97"/>
      <c r="E68" s="127" t="s">
        <v>1731</v>
      </c>
      <c r="F68" s="216" t="s">
        <v>1732</v>
      </c>
      <c r="G68" s="97"/>
      <c r="H68" s="98" t="s">
        <v>90</v>
      </c>
      <c r="I68" s="105" t="s">
        <v>91</v>
      </c>
      <c r="J68" s="97"/>
      <c r="K68" s="100"/>
      <c r="L68" s="101"/>
      <c r="M68" s="102"/>
      <c r="N68" s="103" t="s">
        <v>143</v>
      </c>
      <c r="O68" s="104" t="s">
        <v>1733</v>
      </c>
      <c r="P68" s="97"/>
      <c r="Q68" s="130"/>
      <c r="R68" s="107"/>
      <c r="S68" s="105" t="s">
        <v>570</v>
      </c>
      <c r="T68" s="105" t="s">
        <v>1734</v>
      </c>
      <c r="V68" s="108"/>
    </row>
    <row r="69" ht="15.75" customHeight="1">
      <c r="A69" s="91"/>
      <c r="B69" s="129">
        <v>46046.0</v>
      </c>
      <c r="C69" s="258" t="s">
        <v>1735</v>
      </c>
      <c r="D69" s="97"/>
      <c r="E69" s="127" t="s">
        <v>1736</v>
      </c>
      <c r="F69" s="216" t="s">
        <v>1737</v>
      </c>
      <c r="G69" s="97"/>
      <c r="H69" s="98" t="s">
        <v>90</v>
      </c>
      <c r="I69" s="105" t="s">
        <v>98</v>
      </c>
      <c r="J69" s="97"/>
      <c r="K69" s="113"/>
      <c r="L69" s="114"/>
      <c r="M69" s="102"/>
      <c r="N69" s="124"/>
      <c r="O69" s="125"/>
      <c r="P69" s="97"/>
      <c r="Q69" s="130"/>
      <c r="R69" s="126"/>
      <c r="S69" s="97"/>
      <c r="T69" s="105"/>
      <c r="V69" s="108"/>
    </row>
    <row r="70" ht="15.75" customHeight="1">
      <c r="A70" s="91"/>
      <c r="B70" s="129">
        <v>46051.0</v>
      </c>
      <c r="C70" s="258" t="s">
        <v>1645</v>
      </c>
      <c r="D70" s="97"/>
      <c r="E70" s="127" t="s">
        <v>1646</v>
      </c>
      <c r="F70" s="216" t="s">
        <v>1647</v>
      </c>
      <c r="G70" s="97"/>
      <c r="H70" s="98" t="s">
        <v>90</v>
      </c>
      <c r="I70" s="105" t="s">
        <v>91</v>
      </c>
      <c r="J70" s="97"/>
      <c r="K70" s="100"/>
      <c r="L70" s="101"/>
      <c r="M70" s="102"/>
      <c r="N70" s="103" t="s">
        <v>55</v>
      </c>
      <c r="O70" s="104" t="s">
        <v>1738</v>
      </c>
      <c r="P70" s="97"/>
      <c r="Q70" s="115"/>
      <c r="R70" s="107"/>
      <c r="S70" s="105" t="s">
        <v>116</v>
      </c>
      <c r="T70" s="105" t="s">
        <v>1739</v>
      </c>
      <c r="V70" s="108"/>
    </row>
    <row r="71" ht="15.75" customHeight="1">
      <c r="A71" s="91"/>
      <c r="B71" s="129">
        <v>46051.0</v>
      </c>
      <c r="C71" s="258" t="s">
        <v>1740</v>
      </c>
      <c r="D71" s="97"/>
      <c r="E71" s="127" t="s">
        <v>1741</v>
      </c>
      <c r="F71" s="216" t="s">
        <v>1742</v>
      </c>
      <c r="G71" s="97"/>
      <c r="H71" s="98" t="s">
        <v>90</v>
      </c>
      <c r="I71" s="105" t="s">
        <v>333</v>
      </c>
      <c r="J71" s="97"/>
      <c r="K71" s="113"/>
      <c r="L71" s="114"/>
      <c r="M71" s="102"/>
      <c r="N71" s="103" t="s">
        <v>45</v>
      </c>
      <c r="O71" s="104" t="s">
        <v>1743</v>
      </c>
      <c r="P71" s="97"/>
      <c r="Q71" s="131"/>
      <c r="R71" s="126"/>
      <c r="S71" s="105" t="s">
        <v>116</v>
      </c>
      <c r="T71" s="105" t="s">
        <v>1744</v>
      </c>
      <c r="V71" s="108"/>
    </row>
    <row r="72" ht="15.75" customHeight="1">
      <c r="A72" s="91"/>
      <c r="B72" s="129">
        <v>46052.0</v>
      </c>
      <c r="C72" s="258" t="s">
        <v>1745</v>
      </c>
      <c r="D72" s="97"/>
      <c r="E72" s="127" t="s">
        <v>1746</v>
      </c>
      <c r="F72" s="216" t="s">
        <v>1747</v>
      </c>
      <c r="G72" s="97"/>
      <c r="H72" s="98" t="s">
        <v>90</v>
      </c>
      <c r="I72" s="105" t="s">
        <v>98</v>
      </c>
      <c r="J72" s="97"/>
      <c r="K72" s="100"/>
      <c r="L72" s="101"/>
      <c r="M72" s="102"/>
      <c r="N72" s="124"/>
      <c r="O72" s="125"/>
      <c r="P72" s="97"/>
      <c r="Q72" s="130"/>
      <c r="R72" s="107"/>
      <c r="S72" s="105"/>
      <c r="T72" s="105"/>
      <c r="V72" s="108"/>
    </row>
    <row r="73" ht="15.75" customHeight="1">
      <c r="A73" s="91"/>
      <c r="B73" s="129">
        <v>46052.0</v>
      </c>
      <c r="C73" s="258" t="s">
        <v>1710</v>
      </c>
      <c r="D73" s="97"/>
      <c r="E73" s="127" t="s">
        <v>1711</v>
      </c>
      <c r="F73" s="216" t="s">
        <v>1712</v>
      </c>
      <c r="G73" s="97"/>
      <c r="H73" s="98" t="s">
        <v>90</v>
      </c>
      <c r="I73" s="105" t="s">
        <v>91</v>
      </c>
      <c r="J73" s="97"/>
      <c r="K73" s="113"/>
      <c r="L73" s="114"/>
      <c r="M73" s="102"/>
      <c r="N73" s="103" t="s">
        <v>45</v>
      </c>
      <c r="O73" s="104" t="s">
        <v>295</v>
      </c>
      <c r="P73" s="97"/>
      <c r="Q73" s="130"/>
      <c r="R73" s="107"/>
      <c r="S73" s="105"/>
      <c r="T73" s="105" t="s">
        <v>1748</v>
      </c>
      <c r="V73" s="108"/>
    </row>
    <row r="74" ht="15.75" customHeight="1">
      <c r="A74" s="91"/>
      <c r="B74" s="129">
        <v>46053.0</v>
      </c>
      <c r="C74" s="258" t="s">
        <v>1749</v>
      </c>
      <c r="D74" s="97"/>
      <c r="E74" s="127" t="s">
        <v>1750</v>
      </c>
      <c r="F74" s="216" t="s">
        <v>1751</v>
      </c>
      <c r="G74" s="97"/>
      <c r="H74" s="98" t="s">
        <v>90</v>
      </c>
      <c r="I74" s="105" t="s">
        <v>91</v>
      </c>
      <c r="J74" s="97"/>
      <c r="K74" s="100"/>
      <c r="L74" s="101"/>
      <c r="M74" s="102"/>
      <c r="N74" s="103" t="s">
        <v>45</v>
      </c>
      <c r="O74" s="125"/>
      <c r="P74" s="97"/>
      <c r="Q74" s="115"/>
      <c r="R74" s="107"/>
      <c r="S74" s="105" t="s">
        <v>93</v>
      </c>
      <c r="T74" s="105" t="s">
        <v>1752</v>
      </c>
      <c r="V74" s="108"/>
    </row>
    <row r="75" ht="15.75" customHeight="1">
      <c r="A75" s="91"/>
      <c r="B75" s="129">
        <v>46053.0</v>
      </c>
      <c r="C75" s="258" t="s">
        <v>1753</v>
      </c>
      <c r="D75" s="97"/>
      <c r="E75" s="127" t="s">
        <v>1754</v>
      </c>
      <c r="F75" s="216" t="s">
        <v>1755</v>
      </c>
      <c r="G75" s="97"/>
      <c r="H75" s="98" t="s">
        <v>90</v>
      </c>
      <c r="I75" s="105" t="s">
        <v>91</v>
      </c>
      <c r="J75" s="97"/>
      <c r="K75" s="113"/>
      <c r="L75" s="114"/>
      <c r="M75" s="102"/>
      <c r="N75" s="103" t="s">
        <v>45</v>
      </c>
      <c r="O75" s="104" t="s">
        <v>1756</v>
      </c>
      <c r="P75" s="97"/>
      <c r="Q75" s="115"/>
      <c r="R75" s="107"/>
      <c r="S75" s="105" t="s">
        <v>93</v>
      </c>
      <c r="T75" s="105" t="s">
        <v>1757</v>
      </c>
      <c r="V75" s="108"/>
    </row>
    <row r="76" ht="15.75" customHeight="1">
      <c r="A76" s="91"/>
      <c r="B76" s="129">
        <v>46053.0</v>
      </c>
      <c r="C76" s="275" t="s">
        <v>1758</v>
      </c>
      <c r="D76" s="127" t="s">
        <v>1759</v>
      </c>
      <c r="E76" s="127" t="s">
        <v>1759</v>
      </c>
      <c r="F76" s="216" t="s">
        <v>1760</v>
      </c>
      <c r="G76" s="97"/>
      <c r="H76" s="98" t="s">
        <v>90</v>
      </c>
      <c r="I76" s="105" t="s">
        <v>107</v>
      </c>
      <c r="J76" s="97"/>
      <c r="K76" s="100">
        <v>14000.0</v>
      </c>
      <c r="L76" s="101">
        <v>4000.0</v>
      </c>
      <c r="M76" s="102"/>
      <c r="N76" s="124"/>
      <c r="O76" s="125"/>
      <c r="P76" s="97"/>
      <c r="Q76" s="131"/>
      <c r="R76" s="126"/>
      <c r="S76" s="105" t="s">
        <v>110</v>
      </c>
      <c r="T76" s="97"/>
      <c r="V76" s="108"/>
    </row>
    <row r="77" ht="15.75" customHeight="1">
      <c r="A77" s="91"/>
      <c r="B77" s="129"/>
      <c r="C77" s="98"/>
      <c r="D77" s="97"/>
      <c r="E77" s="122"/>
      <c r="F77" s="219"/>
      <c r="G77" s="97"/>
      <c r="H77" s="98"/>
      <c r="I77" s="105"/>
      <c r="J77" s="97"/>
      <c r="K77" s="113"/>
      <c r="L77" s="114"/>
      <c r="M77" s="102"/>
      <c r="N77" s="103"/>
      <c r="O77" s="125"/>
      <c r="P77" s="97"/>
      <c r="Q77" s="115"/>
      <c r="R77" s="107"/>
      <c r="S77" s="105"/>
      <c r="T77" s="105"/>
      <c r="V77" s="108"/>
    </row>
    <row r="78" ht="15.75" customHeight="1">
      <c r="A78" s="91"/>
      <c r="B78" s="129"/>
      <c r="C78" s="98"/>
      <c r="D78" s="97"/>
      <c r="E78" s="92"/>
      <c r="F78" s="121"/>
      <c r="G78" s="97"/>
      <c r="H78" s="98"/>
      <c r="I78" s="105"/>
      <c r="J78" s="97"/>
      <c r="K78" s="100"/>
      <c r="L78" s="101"/>
      <c r="M78" s="102"/>
      <c r="N78" s="124"/>
      <c r="O78" s="125"/>
      <c r="P78" s="97"/>
      <c r="Q78" s="131"/>
      <c r="R78" s="126"/>
      <c r="S78" s="97"/>
      <c r="T78" s="97"/>
      <c r="V78" s="108"/>
    </row>
    <row r="79" ht="15.75" customHeight="1">
      <c r="A79" s="91"/>
      <c r="B79" s="129"/>
      <c r="C79" s="98"/>
      <c r="D79" s="97"/>
      <c r="E79" s="122"/>
      <c r="F79" s="121"/>
      <c r="G79" s="97"/>
      <c r="H79" s="98"/>
      <c r="I79" s="105"/>
      <c r="J79" s="97"/>
      <c r="K79" s="113"/>
      <c r="L79" s="114"/>
      <c r="M79" s="102"/>
      <c r="N79" s="103"/>
      <c r="O79" s="125"/>
      <c r="P79" s="97"/>
      <c r="Q79" s="115"/>
      <c r="R79" s="107"/>
      <c r="S79" s="105"/>
      <c r="T79" s="105"/>
      <c r="V79" s="108"/>
    </row>
    <row r="80" ht="15.75" customHeight="1">
      <c r="A80" s="91"/>
      <c r="B80" s="129"/>
      <c r="C80" s="98"/>
      <c r="D80" s="97"/>
      <c r="E80" s="122"/>
      <c r="F80" s="121"/>
      <c r="G80" s="97"/>
      <c r="H80" s="98"/>
      <c r="I80" s="105"/>
      <c r="J80" s="97"/>
      <c r="K80" s="100"/>
      <c r="L80" s="101"/>
      <c r="M80" s="102"/>
      <c r="N80" s="124"/>
      <c r="O80" s="125"/>
      <c r="P80" s="97"/>
      <c r="Q80" s="131"/>
      <c r="R80" s="126"/>
      <c r="S80" s="97"/>
      <c r="T80" s="97"/>
      <c r="V80" s="108"/>
    </row>
    <row r="81" ht="15.75" customHeight="1">
      <c r="A81" s="91"/>
      <c r="B81" s="129"/>
      <c r="C81" s="98"/>
      <c r="D81" s="97"/>
      <c r="E81" s="122"/>
      <c r="F81" s="121"/>
      <c r="G81" s="97"/>
      <c r="H81" s="98"/>
      <c r="I81" s="105"/>
      <c r="J81" s="97"/>
      <c r="K81" s="113"/>
      <c r="L81" s="114"/>
      <c r="M81" s="102"/>
      <c r="N81" s="103"/>
      <c r="O81" s="104"/>
      <c r="P81" s="97"/>
      <c r="Q81" s="130"/>
      <c r="R81" s="107"/>
      <c r="S81" s="105"/>
      <c r="T81" s="105"/>
      <c r="V81" s="108"/>
    </row>
    <row r="82" ht="15.75" customHeight="1">
      <c r="A82" s="91"/>
      <c r="B82" s="129"/>
      <c r="C82" s="107"/>
      <c r="D82" s="97"/>
      <c r="E82" s="122"/>
      <c r="F82" s="121"/>
      <c r="G82" s="97"/>
      <c r="H82" s="98"/>
      <c r="I82" s="105"/>
      <c r="J82" s="97"/>
      <c r="K82" s="100"/>
      <c r="L82" s="101"/>
      <c r="M82" s="102"/>
      <c r="N82" s="103"/>
      <c r="O82" s="104"/>
      <c r="P82" s="97"/>
      <c r="Q82" s="115"/>
      <c r="R82" s="136"/>
      <c r="S82" s="105"/>
      <c r="T82" s="105"/>
      <c r="V82" s="108"/>
    </row>
    <row r="83" ht="15.75" customHeight="1">
      <c r="A83" s="91"/>
      <c r="B83" s="129"/>
      <c r="C83" s="107"/>
      <c r="D83" s="97"/>
      <c r="E83" s="122"/>
      <c r="F83" s="121"/>
      <c r="G83" s="97"/>
      <c r="H83" s="98"/>
      <c r="I83" s="105"/>
      <c r="J83" s="97"/>
      <c r="K83" s="113"/>
      <c r="L83" s="114"/>
      <c r="M83" s="102"/>
      <c r="N83" s="103"/>
      <c r="O83" s="104"/>
      <c r="P83" s="97"/>
      <c r="Q83" s="115"/>
      <c r="R83" s="107"/>
      <c r="S83" s="105"/>
      <c r="T83" s="105"/>
      <c r="V83" s="108"/>
    </row>
    <row r="84" ht="15.75" customHeight="1">
      <c r="A84" s="91"/>
      <c r="B84" s="129"/>
      <c r="C84" s="98"/>
      <c r="D84" s="97"/>
      <c r="E84" s="122"/>
      <c r="F84" s="121"/>
      <c r="G84" s="97"/>
      <c r="H84" s="98"/>
      <c r="I84" s="105"/>
      <c r="J84" s="97"/>
      <c r="K84" s="100"/>
      <c r="L84" s="101"/>
      <c r="M84" s="102"/>
      <c r="N84" s="124"/>
      <c r="O84" s="125"/>
      <c r="P84" s="97"/>
      <c r="Q84" s="131"/>
      <c r="R84" s="126"/>
      <c r="S84" s="97"/>
      <c r="T84" s="97"/>
      <c r="V84" s="108"/>
    </row>
    <row r="85" ht="15.75" customHeight="1">
      <c r="A85" s="91"/>
      <c r="B85" s="129"/>
      <c r="C85" s="98"/>
      <c r="D85" s="97"/>
      <c r="E85" s="122"/>
      <c r="F85" s="121"/>
      <c r="G85" s="97"/>
      <c r="H85" s="98"/>
      <c r="I85" s="105"/>
      <c r="J85" s="97"/>
      <c r="K85" s="113"/>
      <c r="L85" s="114"/>
      <c r="M85" s="102"/>
      <c r="N85" s="124"/>
      <c r="O85" s="125"/>
      <c r="P85" s="97"/>
      <c r="Q85" s="97"/>
      <c r="R85" s="126"/>
      <c r="S85" s="97"/>
      <c r="T85" s="97"/>
      <c r="V85" s="108"/>
    </row>
    <row r="86" ht="15.75" customHeight="1">
      <c r="A86" s="91"/>
      <c r="B86" s="129"/>
      <c r="C86" s="137"/>
      <c r="D86" s="97"/>
      <c r="E86" s="122"/>
      <c r="F86" s="121"/>
      <c r="G86" s="97"/>
      <c r="H86" s="98"/>
      <c r="I86" s="105"/>
      <c r="J86" s="97"/>
      <c r="K86" s="100"/>
      <c r="L86" s="101"/>
      <c r="M86" s="102"/>
      <c r="N86" s="124"/>
      <c r="O86" s="125"/>
      <c r="P86" s="97"/>
      <c r="Q86" s="131"/>
      <c r="R86" s="126"/>
      <c r="S86" s="97"/>
      <c r="T86" s="97"/>
      <c r="V86" s="108"/>
    </row>
    <row r="87" ht="15.75" customHeight="1">
      <c r="A87" s="91"/>
      <c r="B87" s="129"/>
      <c r="C87" s="99"/>
      <c r="D87" s="97"/>
      <c r="E87" s="122"/>
      <c r="F87" s="121"/>
      <c r="G87" s="97"/>
      <c r="H87" s="98"/>
      <c r="I87" s="105"/>
      <c r="J87" s="97"/>
      <c r="K87" s="113"/>
      <c r="L87" s="114"/>
      <c r="M87" s="102"/>
      <c r="N87" s="103"/>
      <c r="O87" s="104"/>
      <c r="P87" s="97"/>
      <c r="Q87" s="130"/>
      <c r="R87" s="116"/>
      <c r="S87" s="105"/>
      <c r="T87" s="105"/>
      <c r="V87" s="108"/>
    </row>
    <row r="88" ht="15.75" customHeight="1">
      <c r="A88" s="91"/>
      <c r="B88" s="129"/>
      <c r="C88" s="98"/>
      <c r="D88" s="97"/>
      <c r="E88" s="122"/>
      <c r="F88" s="121"/>
      <c r="G88" s="97"/>
      <c r="H88" s="98"/>
      <c r="I88" s="105"/>
      <c r="J88" s="97"/>
      <c r="K88" s="100"/>
      <c r="L88" s="101"/>
      <c r="M88" s="102"/>
      <c r="N88" s="124"/>
      <c r="O88" s="104"/>
      <c r="P88" s="97"/>
      <c r="Q88" s="131"/>
      <c r="R88" s="107"/>
      <c r="S88" s="105"/>
      <c r="T88" s="105"/>
      <c r="V88" s="108"/>
    </row>
    <row r="89" ht="15.75" customHeight="1">
      <c r="A89" s="91"/>
      <c r="B89" s="129"/>
      <c r="C89" s="98"/>
      <c r="D89" s="97"/>
      <c r="E89" s="122"/>
      <c r="F89" s="121"/>
      <c r="G89" s="97"/>
      <c r="H89" s="98"/>
      <c r="I89" s="105"/>
      <c r="J89" s="97"/>
      <c r="K89" s="113"/>
      <c r="L89" s="114"/>
      <c r="M89" s="102"/>
      <c r="N89" s="103"/>
      <c r="O89" s="104"/>
      <c r="P89" s="97"/>
      <c r="Q89" s="115"/>
      <c r="R89" s="107"/>
      <c r="S89" s="105"/>
      <c r="T89" s="105"/>
      <c r="V89" s="108"/>
    </row>
    <row r="90" ht="15.75" customHeight="1">
      <c r="A90" s="91"/>
      <c r="B90" s="129"/>
      <c r="C90" s="98"/>
      <c r="D90" s="97"/>
      <c r="E90" s="122"/>
      <c r="F90" s="121"/>
      <c r="G90" s="97"/>
      <c r="H90" s="98"/>
      <c r="I90" s="105"/>
      <c r="J90" s="97"/>
      <c r="K90" s="100"/>
      <c r="L90" s="101"/>
      <c r="M90" s="102"/>
      <c r="N90" s="124"/>
      <c r="O90" s="125"/>
      <c r="P90" s="97"/>
      <c r="Q90" s="97"/>
      <c r="R90" s="126"/>
      <c r="S90" s="97"/>
      <c r="T90" s="97"/>
      <c r="V90" s="108"/>
    </row>
    <row r="91" ht="15.75" customHeight="1">
      <c r="A91" s="91"/>
      <c r="B91" s="129"/>
      <c r="C91" s="138"/>
      <c r="D91" s="97"/>
      <c r="E91" s="122"/>
      <c r="F91" s="139"/>
      <c r="G91" s="97"/>
      <c r="H91" s="98"/>
      <c r="I91" s="105"/>
      <c r="J91" s="97"/>
      <c r="K91" s="113"/>
      <c r="L91" s="114"/>
      <c r="M91" s="102"/>
      <c r="N91" s="103"/>
      <c r="O91" s="104"/>
      <c r="P91" s="97"/>
      <c r="Q91" s="105"/>
      <c r="R91" s="107"/>
      <c r="S91" s="105"/>
      <c r="T91" s="105"/>
      <c r="V91" s="108"/>
    </row>
    <row r="92" ht="15.75" customHeight="1">
      <c r="A92" s="91"/>
      <c r="B92" s="129"/>
      <c r="C92" s="140"/>
      <c r="D92" s="97"/>
      <c r="E92" s="122"/>
      <c r="F92" s="121"/>
      <c r="G92" s="97"/>
      <c r="H92" s="98"/>
      <c r="I92" s="105"/>
      <c r="J92" s="97"/>
      <c r="K92" s="100"/>
      <c r="L92" s="101"/>
      <c r="M92" s="102"/>
      <c r="N92" s="124"/>
      <c r="O92" s="125"/>
      <c r="P92" s="97"/>
      <c r="Q92" s="97"/>
      <c r="R92" s="126"/>
      <c r="S92" s="97"/>
      <c r="T92" s="97"/>
      <c r="V92" s="108"/>
    </row>
    <row r="93" ht="15.75" customHeight="1">
      <c r="A93" s="91"/>
      <c r="B93" s="129"/>
      <c r="C93" s="138"/>
      <c r="D93" s="97"/>
      <c r="E93" s="122"/>
      <c r="F93" s="121"/>
      <c r="G93" s="97"/>
      <c r="H93" s="98"/>
      <c r="I93" s="105"/>
      <c r="J93" s="97"/>
      <c r="K93" s="113"/>
      <c r="L93" s="114"/>
      <c r="M93" s="102"/>
      <c r="N93" s="103"/>
      <c r="O93" s="104"/>
      <c r="P93" s="97"/>
      <c r="Q93" s="130"/>
      <c r="R93" s="107"/>
      <c r="S93" s="105"/>
      <c r="T93" s="105"/>
      <c r="V93" s="108"/>
    </row>
    <row r="94" ht="15.75" customHeight="1">
      <c r="A94" s="91"/>
      <c r="B94" s="129"/>
      <c r="C94" s="140"/>
      <c r="D94" s="97"/>
      <c r="E94" s="121"/>
      <c r="F94" s="121"/>
      <c r="G94" s="97"/>
      <c r="H94" s="98"/>
      <c r="I94" s="105"/>
      <c r="J94" s="97"/>
      <c r="K94" s="100"/>
      <c r="L94" s="101"/>
      <c r="M94" s="102"/>
      <c r="N94" s="124"/>
      <c r="O94" s="125"/>
      <c r="P94" s="97"/>
      <c r="Q94" s="131"/>
      <c r="R94" s="126"/>
      <c r="S94" s="97"/>
      <c r="T94" s="97"/>
      <c r="V94" s="108"/>
    </row>
    <row r="95" ht="15.75" customHeight="1">
      <c r="A95" s="91"/>
      <c r="B95" s="129"/>
      <c r="C95" s="98"/>
      <c r="D95" s="97"/>
      <c r="E95" s="122"/>
      <c r="F95" s="121"/>
      <c r="G95" s="97"/>
      <c r="H95" s="98"/>
      <c r="I95" s="105"/>
      <c r="J95" s="97"/>
      <c r="K95" s="113"/>
      <c r="L95" s="114"/>
      <c r="M95" s="102"/>
      <c r="N95" s="124"/>
      <c r="O95" s="125"/>
      <c r="P95" s="97"/>
      <c r="Q95" s="97"/>
      <c r="R95" s="126"/>
      <c r="S95" s="97"/>
      <c r="T95" s="97"/>
      <c r="V95" s="108"/>
    </row>
    <row r="96" ht="15.75" customHeight="1">
      <c r="A96" s="91"/>
      <c r="B96" s="129"/>
      <c r="C96" s="98"/>
      <c r="D96" s="97"/>
      <c r="E96" s="122"/>
      <c r="F96" s="121"/>
      <c r="G96" s="97"/>
      <c r="H96" s="98"/>
      <c r="I96" s="105"/>
      <c r="J96" s="97"/>
      <c r="K96" s="100"/>
      <c r="L96" s="101"/>
      <c r="M96" s="102"/>
      <c r="N96" s="103"/>
      <c r="O96" s="104"/>
      <c r="P96" s="97"/>
      <c r="Q96" s="115"/>
      <c r="R96" s="107"/>
      <c r="S96" s="105"/>
      <c r="T96" s="105"/>
      <c r="V96" s="108"/>
    </row>
    <row r="97" ht="15.75" customHeight="1">
      <c r="A97" s="91"/>
      <c r="B97" s="129"/>
      <c r="C97" s="98"/>
      <c r="D97" s="97"/>
      <c r="E97" s="122"/>
      <c r="F97" s="121"/>
      <c r="G97" s="97"/>
      <c r="H97" s="98"/>
      <c r="I97" s="105"/>
      <c r="J97" s="97"/>
      <c r="K97" s="113"/>
      <c r="L97" s="114"/>
      <c r="M97" s="102"/>
      <c r="N97" s="124"/>
      <c r="O97" s="125"/>
      <c r="P97" s="97"/>
      <c r="Q97" s="97"/>
      <c r="R97" s="126"/>
      <c r="S97" s="97"/>
      <c r="T97" s="97"/>
      <c r="V97" s="108"/>
    </row>
    <row r="98" ht="15.75" customHeight="1">
      <c r="A98" s="91"/>
      <c r="B98" s="129"/>
      <c r="C98" s="98"/>
      <c r="D98" s="97"/>
      <c r="E98" s="141"/>
      <c r="F98" s="121"/>
      <c r="G98" s="97"/>
      <c r="H98" s="98"/>
      <c r="I98" s="105"/>
      <c r="J98" s="97"/>
      <c r="K98" s="100"/>
      <c r="L98" s="101"/>
      <c r="M98" s="102"/>
      <c r="N98" s="124"/>
      <c r="O98" s="125"/>
      <c r="P98" s="97"/>
      <c r="Q98" s="131"/>
      <c r="R98" s="126"/>
      <c r="S98" s="97"/>
      <c r="T98" s="97"/>
      <c r="V98" s="108"/>
    </row>
    <row r="99" ht="15.75" customHeight="1">
      <c r="A99" s="91"/>
      <c r="B99" s="129"/>
      <c r="C99" s="107"/>
      <c r="D99" s="97"/>
      <c r="E99" s="122"/>
      <c r="F99" s="121"/>
      <c r="G99" s="97"/>
      <c r="H99" s="98"/>
      <c r="I99" s="105"/>
      <c r="J99" s="97"/>
      <c r="K99" s="113"/>
      <c r="L99" s="114"/>
      <c r="M99" s="102"/>
      <c r="N99" s="124"/>
      <c r="O99" s="125"/>
      <c r="P99" s="97"/>
      <c r="Q99" s="130"/>
      <c r="R99" s="107"/>
      <c r="S99" s="97"/>
      <c r="T99" s="105"/>
      <c r="V99" s="108"/>
    </row>
    <row r="100" ht="15.75" customHeight="1">
      <c r="A100" s="91"/>
      <c r="B100" s="129"/>
      <c r="C100" s="107"/>
      <c r="D100" s="97"/>
      <c r="E100" s="122"/>
      <c r="F100" s="121"/>
      <c r="G100" s="97"/>
      <c r="H100" s="98"/>
      <c r="I100" s="105"/>
      <c r="J100" s="97"/>
      <c r="K100" s="100"/>
      <c r="L100" s="101"/>
      <c r="M100" s="102"/>
      <c r="N100" s="124"/>
      <c r="O100" s="125"/>
      <c r="P100" s="97"/>
      <c r="Q100" s="130"/>
      <c r="R100" s="107"/>
      <c r="S100" s="97"/>
      <c r="T100" s="105"/>
      <c r="V100" s="108"/>
    </row>
    <row r="101" ht="15.75" customHeight="1">
      <c r="A101" s="91"/>
      <c r="B101" s="129"/>
      <c r="C101" s="98"/>
      <c r="D101" s="97"/>
      <c r="E101" s="92"/>
      <c r="F101" s="123"/>
      <c r="G101" s="97"/>
      <c r="H101" s="98"/>
      <c r="I101" s="105"/>
      <c r="J101" s="97"/>
      <c r="K101" s="113"/>
      <c r="L101" s="114"/>
      <c r="M101" s="102"/>
      <c r="N101" s="124"/>
      <c r="O101" s="125"/>
      <c r="P101" s="97"/>
      <c r="Q101" s="131"/>
      <c r="R101" s="126"/>
      <c r="S101" s="97"/>
      <c r="T101" s="97"/>
      <c r="V101" s="108"/>
    </row>
    <row r="102" ht="15.75" customHeight="1">
      <c r="A102" s="91"/>
      <c r="B102" s="129"/>
      <c r="C102" s="98"/>
      <c r="D102" s="97"/>
      <c r="E102" s="122"/>
      <c r="F102" s="121"/>
      <c r="G102" s="97"/>
      <c r="H102" s="98"/>
      <c r="I102" s="105"/>
      <c r="J102" s="97"/>
      <c r="K102" s="100"/>
      <c r="L102" s="101"/>
      <c r="M102" s="102"/>
      <c r="N102" s="124"/>
      <c r="O102" s="125"/>
      <c r="P102" s="97"/>
      <c r="Q102" s="97"/>
      <c r="R102" s="126"/>
      <c r="S102" s="97"/>
      <c r="T102" s="97"/>
      <c r="V102" s="108"/>
    </row>
    <row r="103" ht="15.75" customHeight="1">
      <c r="A103" s="91"/>
      <c r="B103" s="129"/>
      <c r="C103" s="98"/>
      <c r="D103" s="97"/>
      <c r="E103" s="122"/>
      <c r="F103" s="121"/>
      <c r="G103" s="97"/>
      <c r="H103" s="98"/>
      <c r="I103" s="105"/>
      <c r="J103" s="97"/>
      <c r="K103" s="113"/>
      <c r="L103" s="114"/>
      <c r="M103" s="102"/>
      <c r="N103" s="103"/>
      <c r="O103" s="104"/>
      <c r="P103" s="97"/>
      <c r="Q103" s="115"/>
      <c r="R103" s="116"/>
      <c r="S103" s="105"/>
      <c r="T103" s="105"/>
      <c r="V103" s="108"/>
    </row>
    <row r="104" ht="15.75" customHeight="1">
      <c r="A104" s="91"/>
      <c r="B104" s="142"/>
      <c r="C104" s="143"/>
      <c r="D104" s="97"/>
      <c r="E104" s="144"/>
      <c r="F104" s="139"/>
      <c r="G104" s="97"/>
      <c r="H104" s="98"/>
      <c r="I104" s="105"/>
      <c r="J104" s="97"/>
      <c r="K104" s="100"/>
      <c r="L104" s="101"/>
      <c r="M104" s="102"/>
      <c r="N104" s="103"/>
      <c r="O104" s="125"/>
      <c r="P104" s="97"/>
      <c r="Q104" s="131"/>
      <c r="R104" s="126"/>
      <c r="S104" s="105"/>
      <c r="T104" s="97"/>
      <c r="V104" s="108"/>
    </row>
    <row r="105" ht="15.75" customHeight="1">
      <c r="A105" s="91"/>
      <c r="B105" s="142"/>
      <c r="C105" s="143"/>
      <c r="D105" s="97"/>
      <c r="E105" s="144"/>
      <c r="F105" s="144"/>
      <c r="G105" s="97"/>
      <c r="H105" s="98"/>
      <c r="I105" s="105"/>
      <c r="J105" s="97"/>
      <c r="K105" s="113"/>
      <c r="L105" s="114"/>
      <c r="M105" s="102"/>
      <c r="N105" s="103"/>
      <c r="O105" s="125"/>
      <c r="P105" s="97"/>
      <c r="Q105" s="97"/>
      <c r="R105" s="126"/>
      <c r="S105" s="105"/>
      <c r="T105" s="97"/>
      <c r="V105" s="108"/>
    </row>
    <row r="106" ht="15.75" customHeight="1">
      <c r="A106" s="91"/>
      <c r="B106" s="142"/>
      <c r="C106" s="108"/>
      <c r="D106" s="97"/>
      <c r="E106" s="144"/>
      <c r="F106" s="144"/>
      <c r="G106" s="97"/>
      <c r="H106" s="98"/>
      <c r="I106" s="105"/>
      <c r="J106" s="97"/>
      <c r="K106" s="100"/>
      <c r="L106" s="101"/>
      <c r="M106" s="102"/>
      <c r="N106" s="103"/>
      <c r="O106" s="125"/>
      <c r="P106" s="97"/>
      <c r="Q106" s="131"/>
      <c r="R106" s="126"/>
      <c r="S106" s="105"/>
      <c r="T106" s="97"/>
      <c r="V106" s="108"/>
    </row>
    <row r="107" ht="15.75" customHeight="1">
      <c r="A107" s="91"/>
      <c r="B107" s="142"/>
      <c r="C107" s="108"/>
      <c r="D107" s="97"/>
      <c r="E107" s="144"/>
      <c r="F107" s="144"/>
      <c r="G107" s="97"/>
      <c r="H107" s="98"/>
      <c r="I107" s="105"/>
      <c r="J107" s="97"/>
      <c r="K107" s="113"/>
      <c r="L107" s="114"/>
      <c r="M107" s="102"/>
      <c r="N107" s="103"/>
      <c r="O107" s="125"/>
      <c r="P107" s="97"/>
      <c r="Q107" s="131"/>
      <c r="R107" s="126"/>
      <c r="S107" s="105"/>
      <c r="T107" s="97"/>
      <c r="V107" s="108"/>
    </row>
    <row r="108" ht="15.75" customHeight="1">
      <c r="A108" s="91"/>
      <c r="B108" s="142"/>
      <c r="C108" s="143"/>
      <c r="D108" s="97"/>
      <c r="E108" s="144"/>
      <c r="F108" s="144"/>
      <c r="G108" s="97"/>
      <c r="H108" s="98"/>
      <c r="I108" s="105"/>
      <c r="J108" s="97"/>
      <c r="K108" s="100"/>
      <c r="L108" s="101"/>
      <c r="M108" s="102"/>
      <c r="N108" s="103"/>
      <c r="O108" s="125"/>
      <c r="P108" s="97"/>
      <c r="Q108" s="131"/>
      <c r="R108" s="126"/>
      <c r="S108" s="105"/>
      <c r="T108" s="97"/>
      <c r="V108" s="108"/>
    </row>
    <row r="109" ht="15.75" customHeight="1">
      <c r="A109" s="91"/>
      <c r="B109" s="142"/>
      <c r="C109" s="143"/>
      <c r="D109" s="97"/>
      <c r="E109" s="144"/>
      <c r="F109" s="144"/>
      <c r="G109" s="97"/>
      <c r="H109" s="98"/>
      <c r="I109" s="105"/>
      <c r="J109" s="97"/>
      <c r="K109" s="113"/>
      <c r="L109" s="114"/>
      <c r="M109" s="102"/>
      <c r="N109" s="103"/>
      <c r="O109" s="125"/>
      <c r="P109" s="97"/>
      <c r="Q109" s="97"/>
      <c r="R109" s="126"/>
      <c r="S109" s="105"/>
      <c r="T109" s="97"/>
      <c r="V109" s="108"/>
    </row>
    <row r="110" ht="15.75" customHeight="1">
      <c r="A110" s="91"/>
      <c r="B110" s="142"/>
      <c r="C110" s="143"/>
      <c r="D110" s="97"/>
      <c r="E110" s="144"/>
      <c r="F110" s="144"/>
      <c r="G110" s="97"/>
      <c r="H110" s="98"/>
      <c r="I110" s="105"/>
      <c r="J110" s="97"/>
      <c r="K110" s="100"/>
      <c r="L110" s="101"/>
      <c r="M110" s="102"/>
      <c r="N110" s="103"/>
      <c r="O110" s="125"/>
      <c r="P110" s="97"/>
      <c r="Q110" s="131"/>
      <c r="R110" s="126"/>
      <c r="S110" s="105"/>
      <c r="T110" s="97"/>
      <c r="V110" s="108"/>
    </row>
    <row r="111" ht="15.75" customHeight="1">
      <c r="A111" s="91"/>
      <c r="B111" s="142"/>
      <c r="C111" s="143"/>
      <c r="D111" s="97"/>
      <c r="E111" s="144"/>
      <c r="F111" s="144"/>
      <c r="G111" s="97"/>
      <c r="H111" s="143"/>
      <c r="I111" s="145"/>
      <c r="J111" s="97"/>
      <c r="K111" s="113"/>
      <c r="L111" s="114"/>
      <c r="M111" s="102"/>
      <c r="N111" s="124"/>
      <c r="O111" s="125"/>
      <c r="P111" s="97"/>
      <c r="Q111" s="97"/>
      <c r="R111" s="126"/>
      <c r="S111" s="97"/>
      <c r="T111" s="97"/>
      <c r="V111" s="108"/>
    </row>
    <row r="112" ht="15.75" customHeight="1">
      <c r="A112" s="91"/>
      <c r="B112" s="142"/>
      <c r="C112" s="143"/>
      <c r="D112" s="97"/>
      <c r="E112" s="144"/>
      <c r="F112" s="144"/>
      <c r="G112" s="97"/>
      <c r="H112" s="143"/>
      <c r="I112" s="97"/>
      <c r="J112" s="97"/>
      <c r="K112" s="100"/>
      <c r="L112" s="101"/>
      <c r="M112" s="102"/>
      <c r="N112" s="124"/>
      <c r="O112" s="125"/>
      <c r="P112" s="97"/>
      <c r="Q112" s="131"/>
      <c r="R112" s="126"/>
      <c r="S112" s="97"/>
      <c r="T112" s="97"/>
      <c r="V112" s="108"/>
    </row>
    <row r="113" ht="15.75" customHeight="1">
      <c r="A113" s="91"/>
      <c r="B113" s="142"/>
      <c r="C113" s="108"/>
      <c r="D113" s="97"/>
      <c r="E113" s="144"/>
      <c r="F113" s="144"/>
      <c r="G113" s="97"/>
      <c r="H113" s="143"/>
      <c r="I113" s="97"/>
      <c r="J113" s="97"/>
      <c r="K113" s="113"/>
      <c r="L113" s="114"/>
      <c r="M113" s="102"/>
      <c r="N113" s="124"/>
      <c r="O113" s="125"/>
      <c r="P113" s="97"/>
      <c r="Q113" s="97"/>
      <c r="R113" s="126"/>
      <c r="S113" s="97"/>
      <c r="T113" s="97"/>
      <c r="V113" s="108"/>
    </row>
    <row r="114" ht="15.75" customHeight="1">
      <c r="A114" s="91"/>
      <c r="B114" s="142"/>
      <c r="C114" s="108"/>
      <c r="D114" s="97"/>
      <c r="E114" s="144"/>
      <c r="F114" s="144"/>
      <c r="G114" s="97"/>
      <c r="H114" s="143"/>
      <c r="I114" s="97"/>
      <c r="J114" s="97"/>
      <c r="K114" s="100"/>
      <c r="L114" s="101"/>
      <c r="M114" s="102"/>
      <c r="N114" s="124"/>
      <c r="O114" s="125"/>
      <c r="P114" s="97"/>
      <c r="Q114" s="97"/>
      <c r="R114" s="126"/>
      <c r="S114" s="97"/>
      <c r="T114" s="97"/>
      <c r="V114" s="108"/>
    </row>
    <row r="115" ht="15.75" customHeight="1">
      <c r="A115" s="91"/>
      <c r="B115" s="142"/>
      <c r="C115" s="108"/>
      <c r="D115" s="97"/>
      <c r="E115" s="144"/>
      <c r="F115" s="144"/>
      <c r="G115" s="97"/>
      <c r="H115" s="143"/>
      <c r="I115" s="97"/>
      <c r="J115" s="97"/>
      <c r="K115" s="113"/>
      <c r="L115" s="114"/>
      <c r="M115" s="102"/>
      <c r="N115" s="124"/>
      <c r="O115" s="125"/>
      <c r="P115" s="97"/>
      <c r="Q115" s="97"/>
      <c r="R115" s="126"/>
      <c r="S115" s="97"/>
      <c r="T115" s="97"/>
      <c r="V115" s="108"/>
    </row>
    <row r="116" ht="15.75" customHeight="1">
      <c r="A116" s="91"/>
      <c r="B116" s="142"/>
      <c r="C116" s="143"/>
      <c r="D116" s="97"/>
      <c r="E116" s="144"/>
      <c r="F116" s="144"/>
      <c r="G116" s="97"/>
      <c r="H116" s="143"/>
      <c r="I116" s="97"/>
      <c r="J116" s="97"/>
      <c r="K116" s="100"/>
      <c r="L116" s="101"/>
      <c r="M116" s="102"/>
      <c r="N116" s="124"/>
      <c r="O116" s="125"/>
      <c r="P116" s="97"/>
      <c r="Q116" s="97"/>
      <c r="R116" s="126"/>
      <c r="S116" s="97"/>
      <c r="T116" s="97"/>
      <c r="V116" s="108"/>
    </row>
    <row r="117" ht="15.75" customHeight="1">
      <c r="A117" s="91"/>
      <c r="B117" s="142"/>
      <c r="C117" s="143"/>
      <c r="D117" s="97"/>
      <c r="E117" s="144"/>
      <c r="F117" s="144"/>
      <c r="G117" s="97"/>
      <c r="H117" s="143"/>
      <c r="I117" s="97"/>
      <c r="J117" s="97"/>
      <c r="K117" s="113"/>
      <c r="L117" s="114"/>
      <c r="M117" s="102"/>
      <c r="N117" s="124"/>
      <c r="O117" s="125"/>
      <c r="P117" s="97"/>
      <c r="Q117" s="97"/>
      <c r="R117" s="126"/>
      <c r="S117" s="97"/>
      <c r="T117" s="97"/>
      <c r="V117" s="108"/>
    </row>
    <row r="118" ht="15.75" customHeight="1">
      <c r="A118" s="91"/>
      <c r="B118" s="142"/>
      <c r="C118" s="143"/>
      <c r="D118" s="97"/>
      <c r="E118" s="144"/>
      <c r="F118" s="144"/>
      <c r="G118" s="97"/>
      <c r="H118" s="143"/>
      <c r="I118" s="97"/>
      <c r="J118" s="97"/>
      <c r="K118" s="100"/>
      <c r="L118" s="101"/>
      <c r="M118" s="102"/>
      <c r="N118" s="124"/>
      <c r="O118" s="125"/>
      <c r="P118" s="97"/>
      <c r="Q118" s="97"/>
      <c r="R118" s="126"/>
      <c r="S118" s="97"/>
      <c r="T118" s="97"/>
      <c r="V118" s="108"/>
    </row>
    <row r="119" ht="15.75" customHeight="1">
      <c r="A119" s="91"/>
      <c r="B119" s="142"/>
      <c r="C119" s="143"/>
      <c r="D119" s="97"/>
      <c r="E119" s="144"/>
      <c r="F119" s="144"/>
      <c r="G119" s="97"/>
      <c r="H119" s="143"/>
      <c r="I119" s="97"/>
      <c r="J119" s="97"/>
      <c r="K119" s="113"/>
      <c r="L119" s="114"/>
      <c r="M119" s="102"/>
      <c r="N119" s="124"/>
      <c r="O119" s="125"/>
      <c r="P119" s="97"/>
      <c r="Q119" s="97"/>
      <c r="R119" s="126"/>
      <c r="S119" s="97"/>
      <c r="T119" s="97"/>
      <c r="V119" s="108"/>
    </row>
    <row r="120" ht="15.75" customHeight="1">
      <c r="A120" s="91"/>
      <c r="B120" s="142"/>
      <c r="C120" s="143"/>
      <c r="D120" s="97"/>
      <c r="E120" s="144"/>
      <c r="F120" s="144"/>
      <c r="G120" s="97"/>
      <c r="H120" s="143"/>
      <c r="I120" s="97"/>
      <c r="J120" s="97"/>
      <c r="K120" s="100"/>
      <c r="L120" s="101"/>
      <c r="M120" s="102"/>
      <c r="N120" s="124"/>
      <c r="O120" s="125"/>
      <c r="P120" s="97"/>
      <c r="Q120" s="131"/>
      <c r="R120" s="126"/>
      <c r="S120" s="97"/>
      <c r="T120" s="97"/>
      <c r="V120" s="108"/>
    </row>
    <row r="121" ht="15.75" customHeight="1">
      <c r="A121" s="91"/>
      <c r="B121" s="142"/>
      <c r="C121" s="108"/>
      <c r="D121" s="97"/>
      <c r="E121" s="144"/>
      <c r="F121" s="144"/>
      <c r="G121" s="97"/>
      <c r="H121" s="143"/>
      <c r="I121" s="97"/>
      <c r="J121" s="97"/>
      <c r="K121" s="113"/>
      <c r="L121" s="114"/>
      <c r="M121" s="102"/>
      <c r="N121" s="124"/>
      <c r="O121" s="125"/>
      <c r="P121" s="97"/>
      <c r="Q121" s="97"/>
      <c r="R121" s="126"/>
      <c r="S121" s="97"/>
      <c r="T121" s="97"/>
      <c r="V121" s="108"/>
    </row>
    <row r="122" ht="15.75" customHeight="1">
      <c r="A122" s="91"/>
      <c r="B122" s="142"/>
      <c r="C122" s="108"/>
      <c r="D122" s="97"/>
      <c r="E122" s="144"/>
      <c r="F122" s="144"/>
      <c r="G122" s="97"/>
      <c r="H122" s="143"/>
      <c r="I122" s="97"/>
      <c r="J122" s="97"/>
      <c r="K122" s="100"/>
      <c r="L122" s="101"/>
      <c r="M122" s="102"/>
      <c r="N122" s="124"/>
      <c r="O122" s="125"/>
      <c r="P122" s="97"/>
      <c r="Q122" s="97"/>
      <c r="R122" s="126"/>
      <c r="S122" s="97"/>
      <c r="T122" s="97"/>
      <c r="V122" s="108"/>
    </row>
    <row r="123" ht="15.75" customHeight="1">
      <c r="A123" s="91"/>
      <c r="B123" s="142"/>
      <c r="C123" s="108"/>
      <c r="D123" s="97"/>
      <c r="E123" s="144"/>
      <c r="F123" s="144"/>
      <c r="G123" s="97"/>
      <c r="H123" s="143"/>
      <c r="I123" s="97"/>
      <c r="J123" s="97"/>
      <c r="K123" s="113"/>
      <c r="L123" s="114"/>
      <c r="M123" s="102"/>
      <c r="N123" s="124"/>
      <c r="O123" s="125"/>
      <c r="P123" s="97"/>
      <c r="Q123" s="131"/>
      <c r="R123" s="126"/>
      <c r="S123" s="97"/>
      <c r="T123" s="97"/>
      <c r="V123" s="108"/>
    </row>
    <row r="124" ht="15.75" customHeight="1">
      <c r="A124" s="91"/>
      <c r="B124" s="142"/>
      <c r="C124" s="143"/>
      <c r="D124" s="97"/>
      <c r="E124" s="144"/>
      <c r="F124" s="144"/>
      <c r="G124" s="97"/>
      <c r="H124" s="143"/>
      <c r="I124" s="97"/>
      <c r="J124" s="97"/>
      <c r="K124" s="100"/>
      <c r="L124" s="101"/>
      <c r="M124" s="102"/>
      <c r="N124" s="124"/>
      <c r="O124" s="125"/>
      <c r="P124" s="97"/>
      <c r="Q124" s="131"/>
      <c r="R124" s="126"/>
      <c r="S124" s="97"/>
      <c r="T124" s="97"/>
      <c r="V124" s="108"/>
    </row>
    <row r="125" ht="15.75" customHeight="1">
      <c r="A125" s="91"/>
      <c r="B125" s="142"/>
      <c r="C125" s="143"/>
      <c r="D125" s="97"/>
      <c r="E125" s="144"/>
      <c r="F125" s="144"/>
      <c r="G125" s="97"/>
      <c r="H125" s="143"/>
      <c r="I125" s="97"/>
      <c r="J125" s="97"/>
      <c r="K125" s="113"/>
      <c r="L125" s="114"/>
      <c r="M125" s="102"/>
      <c r="N125" s="124"/>
      <c r="O125" s="125"/>
      <c r="P125" s="97"/>
      <c r="Q125" s="131"/>
      <c r="R125" s="126"/>
      <c r="S125" s="97"/>
      <c r="T125" s="97"/>
      <c r="V125" s="108"/>
    </row>
    <row r="126" ht="15.75" customHeight="1">
      <c r="A126" s="91"/>
      <c r="B126" s="142"/>
      <c r="C126" s="143"/>
      <c r="D126" s="97"/>
      <c r="E126" s="144"/>
      <c r="F126" s="144"/>
      <c r="G126" s="97"/>
      <c r="H126" s="143"/>
      <c r="I126" s="97"/>
      <c r="J126" s="97"/>
      <c r="K126" s="100"/>
      <c r="L126" s="101"/>
      <c r="M126" s="102"/>
      <c r="N126" s="124"/>
      <c r="O126" s="125"/>
      <c r="P126" s="97"/>
      <c r="Q126" s="131"/>
      <c r="R126" s="126"/>
      <c r="S126" s="97"/>
      <c r="T126" s="97"/>
      <c r="V126" s="108"/>
    </row>
    <row r="127" ht="15.75" customHeight="1">
      <c r="A127" s="91"/>
      <c r="B127" s="142"/>
      <c r="C127" s="143"/>
      <c r="D127" s="97"/>
      <c r="E127" s="144"/>
      <c r="F127" s="144"/>
      <c r="G127" s="97"/>
      <c r="H127" s="143"/>
      <c r="I127" s="97"/>
      <c r="J127" s="97"/>
      <c r="K127" s="113"/>
      <c r="L127" s="114"/>
      <c r="M127" s="102"/>
      <c r="N127" s="124"/>
      <c r="O127" s="125"/>
      <c r="P127" s="97"/>
      <c r="Q127" s="131"/>
      <c r="R127" s="126"/>
      <c r="S127" s="97"/>
      <c r="T127" s="97"/>
      <c r="V127" s="108"/>
    </row>
    <row r="128" ht="15.75" customHeight="1">
      <c r="A128" s="91"/>
      <c r="B128" s="142"/>
      <c r="C128" s="143"/>
      <c r="D128" s="97"/>
      <c r="E128" s="144"/>
      <c r="F128" s="144"/>
      <c r="G128" s="97"/>
      <c r="H128" s="143"/>
      <c r="I128" s="97"/>
      <c r="J128" s="97"/>
      <c r="K128" s="100"/>
      <c r="L128" s="101"/>
      <c r="M128" s="102"/>
      <c r="N128" s="124"/>
      <c r="O128" s="125"/>
      <c r="P128" s="97"/>
      <c r="Q128" s="131"/>
      <c r="R128" s="126"/>
      <c r="S128" s="97"/>
      <c r="T128" s="97"/>
      <c r="V128" s="108"/>
    </row>
    <row r="129" ht="15.75" customHeight="1">
      <c r="A129" s="91"/>
      <c r="B129" s="142"/>
      <c r="C129" s="108"/>
      <c r="D129" s="97"/>
      <c r="E129" s="144"/>
      <c r="F129" s="144"/>
      <c r="G129" s="97"/>
      <c r="H129" s="143"/>
      <c r="I129" s="97"/>
      <c r="J129" s="97"/>
      <c r="K129" s="113"/>
      <c r="L129" s="114"/>
      <c r="M129" s="102"/>
      <c r="N129" s="124"/>
      <c r="O129" s="125"/>
      <c r="P129" s="97"/>
      <c r="Q129" s="97"/>
      <c r="R129" s="126"/>
      <c r="S129" s="97"/>
      <c r="T129" s="97"/>
      <c r="V129" s="108"/>
    </row>
    <row r="130" ht="15.75" customHeight="1">
      <c r="A130" s="91"/>
      <c r="B130" s="142"/>
      <c r="C130" s="108"/>
      <c r="D130" s="97"/>
      <c r="E130" s="144"/>
      <c r="F130" s="144"/>
      <c r="G130" s="97"/>
      <c r="H130" s="143"/>
      <c r="I130" s="97"/>
      <c r="J130" s="97"/>
      <c r="K130" s="100"/>
      <c r="L130" s="101"/>
      <c r="M130" s="102"/>
      <c r="N130" s="124"/>
      <c r="O130" s="125"/>
      <c r="P130" s="97"/>
      <c r="Q130" s="131"/>
      <c r="R130" s="126"/>
      <c r="S130" s="97"/>
      <c r="T130" s="97"/>
      <c r="V130" s="108"/>
    </row>
    <row r="131" ht="15.75" customHeight="1">
      <c r="A131" s="91"/>
      <c r="B131" s="142"/>
      <c r="C131" s="108"/>
      <c r="D131" s="97"/>
      <c r="E131" s="144"/>
      <c r="F131" s="144"/>
      <c r="G131" s="97"/>
      <c r="H131" s="143"/>
      <c r="I131" s="97"/>
      <c r="J131" s="97"/>
      <c r="K131" s="113"/>
      <c r="L131" s="114"/>
      <c r="M131" s="102"/>
      <c r="N131" s="124"/>
      <c r="O131" s="125"/>
      <c r="P131" s="97"/>
      <c r="Q131" s="97"/>
      <c r="R131" s="126"/>
      <c r="S131" s="97"/>
      <c r="T131" s="97"/>
      <c r="V131" s="108"/>
    </row>
    <row r="132" ht="15.75" customHeight="1">
      <c r="A132" s="91"/>
      <c r="B132" s="142"/>
      <c r="C132" s="143"/>
      <c r="D132" s="97"/>
      <c r="E132" s="144"/>
      <c r="F132" s="144"/>
      <c r="G132" s="97"/>
      <c r="H132" s="143"/>
      <c r="I132" s="97"/>
      <c r="J132" s="97"/>
      <c r="K132" s="100"/>
      <c r="L132" s="101"/>
      <c r="M132" s="102"/>
      <c r="N132" s="124"/>
      <c r="O132" s="125"/>
      <c r="P132" s="97"/>
      <c r="Q132" s="97"/>
      <c r="R132" s="126"/>
      <c r="S132" s="97"/>
      <c r="T132" s="97"/>
      <c r="V132" s="108"/>
    </row>
    <row r="133" ht="15.75" customHeight="1">
      <c r="A133" s="91"/>
      <c r="B133" s="142"/>
      <c r="C133" s="143"/>
      <c r="D133" s="97"/>
      <c r="E133" s="144"/>
      <c r="F133" s="144"/>
      <c r="G133" s="97"/>
      <c r="H133" s="143"/>
      <c r="I133" s="97"/>
      <c r="J133" s="97"/>
      <c r="K133" s="113"/>
      <c r="L133" s="114"/>
      <c r="M133" s="102"/>
      <c r="N133" s="124"/>
      <c r="O133" s="125"/>
      <c r="P133" s="97"/>
      <c r="Q133" s="131"/>
      <c r="R133" s="126"/>
      <c r="S133" s="97"/>
      <c r="T133" s="97"/>
      <c r="V133" s="108"/>
    </row>
    <row r="134" ht="15.75" customHeight="1">
      <c r="A134" s="91"/>
      <c r="B134" s="142"/>
      <c r="C134" s="143"/>
      <c r="D134" s="97"/>
      <c r="E134" s="144"/>
      <c r="F134" s="144"/>
      <c r="G134" s="97"/>
      <c r="H134" s="143"/>
      <c r="I134" s="97"/>
      <c r="J134" s="97"/>
      <c r="K134" s="100"/>
      <c r="L134" s="101"/>
      <c r="M134" s="102"/>
      <c r="N134" s="124"/>
      <c r="O134" s="125"/>
      <c r="P134" s="97"/>
      <c r="Q134" s="97"/>
      <c r="R134" s="126"/>
      <c r="S134" s="97"/>
      <c r="T134" s="97"/>
      <c r="V134" s="108"/>
    </row>
    <row r="135" ht="15.75" customHeight="1">
      <c r="A135" s="91"/>
      <c r="B135" s="142"/>
      <c r="C135" s="143"/>
      <c r="D135" s="97"/>
      <c r="E135" s="144"/>
      <c r="F135" s="144"/>
      <c r="G135" s="97"/>
      <c r="H135" s="143"/>
      <c r="I135" s="97"/>
      <c r="J135" s="97"/>
      <c r="K135" s="113"/>
      <c r="L135" s="114"/>
      <c r="M135" s="102"/>
      <c r="N135" s="124"/>
      <c r="O135" s="125"/>
      <c r="P135" s="97"/>
      <c r="Q135" s="97"/>
      <c r="R135" s="126"/>
      <c r="S135" s="97"/>
      <c r="T135" s="97"/>
      <c r="V135" s="108"/>
    </row>
    <row r="136" ht="15.75" customHeight="1">
      <c r="A136" s="91"/>
      <c r="B136" s="142"/>
      <c r="C136" s="143"/>
      <c r="D136" s="97"/>
      <c r="E136" s="144"/>
      <c r="F136" s="144"/>
      <c r="G136" s="97"/>
      <c r="H136" s="143"/>
      <c r="I136" s="97"/>
      <c r="J136" s="97"/>
      <c r="K136" s="100"/>
      <c r="L136" s="101"/>
      <c r="M136" s="102"/>
      <c r="N136" s="124"/>
      <c r="O136" s="125"/>
      <c r="P136" s="97"/>
      <c r="Q136" s="131"/>
      <c r="R136" s="126"/>
      <c r="S136" s="97"/>
      <c r="T136" s="97"/>
      <c r="V136" s="108"/>
    </row>
    <row r="137" ht="15.75" customHeight="1">
      <c r="A137" s="91"/>
      <c r="B137" s="142"/>
      <c r="C137" s="108"/>
      <c r="D137" s="97"/>
      <c r="E137" s="144"/>
      <c r="F137" s="144"/>
      <c r="G137" s="97"/>
      <c r="H137" s="143"/>
      <c r="I137" s="97"/>
      <c r="J137" s="97"/>
      <c r="K137" s="113"/>
      <c r="L137" s="114"/>
      <c r="M137" s="102"/>
      <c r="N137" s="124"/>
      <c r="O137" s="125"/>
      <c r="P137" s="97"/>
      <c r="Q137" s="97"/>
      <c r="R137" s="126"/>
      <c r="S137" s="97"/>
      <c r="T137" s="97"/>
      <c r="V137" s="108"/>
    </row>
    <row r="138" ht="15.75" customHeight="1">
      <c r="A138" s="91"/>
      <c r="B138" s="142"/>
      <c r="C138" s="108"/>
      <c r="D138" s="97"/>
      <c r="E138" s="144"/>
      <c r="F138" s="144"/>
      <c r="G138" s="97"/>
      <c r="H138" s="143"/>
      <c r="I138" s="97"/>
      <c r="J138" s="97"/>
      <c r="K138" s="100"/>
      <c r="L138" s="101"/>
      <c r="M138" s="102"/>
      <c r="N138" s="124"/>
      <c r="O138" s="125"/>
      <c r="P138" s="97"/>
      <c r="Q138" s="131"/>
      <c r="R138" s="126"/>
      <c r="S138" s="97"/>
      <c r="T138" s="97"/>
      <c r="V138" s="108"/>
    </row>
    <row r="139" ht="15.75" customHeight="1">
      <c r="A139" s="91"/>
      <c r="B139" s="142"/>
      <c r="C139" s="108"/>
      <c r="D139" s="97"/>
      <c r="E139" s="144"/>
      <c r="F139" s="144"/>
      <c r="G139" s="97"/>
      <c r="H139" s="143"/>
      <c r="I139" s="97"/>
      <c r="J139" s="97"/>
      <c r="K139" s="113"/>
      <c r="L139" s="114"/>
      <c r="M139" s="102"/>
      <c r="N139" s="124"/>
      <c r="O139" s="125"/>
      <c r="P139" s="97"/>
      <c r="Q139" s="131"/>
      <c r="R139" s="126"/>
      <c r="S139" s="97"/>
      <c r="T139" s="97"/>
      <c r="V139" s="108"/>
    </row>
    <row r="140" ht="15.75" customHeight="1">
      <c r="A140" s="91"/>
      <c r="B140" s="142"/>
      <c r="C140" s="143"/>
      <c r="D140" s="97"/>
      <c r="E140" s="144"/>
      <c r="F140" s="144"/>
      <c r="G140" s="97"/>
      <c r="H140" s="143"/>
      <c r="I140" s="97"/>
      <c r="J140" s="97"/>
      <c r="K140" s="100"/>
      <c r="L140" s="101"/>
      <c r="M140" s="102"/>
      <c r="N140" s="124"/>
      <c r="O140" s="125"/>
      <c r="P140" s="97"/>
      <c r="Q140" s="131"/>
      <c r="R140" s="126"/>
      <c r="S140" s="97"/>
      <c r="T140" s="97"/>
      <c r="V140" s="108"/>
    </row>
    <row r="141" ht="15.75" customHeight="1">
      <c r="A141" s="91"/>
      <c r="B141" s="142"/>
      <c r="C141" s="143"/>
      <c r="D141" s="97"/>
      <c r="E141" s="144"/>
      <c r="F141" s="144"/>
      <c r="G141" s="97"/>
      <c r="H141" s="143"/>
      <c r="I141" s="97"/>
      <c r="J141" s="97"/>
      <c r="K141" s="113"/>
      <c r="L141" s="114"/>
      <c r="M141" s="102"/>
      <c r="N141" s="124"/>
      <c r="O141" s="125"/>
      <c r="P141" s="97"/>
      <c r="Q141" s="97"/>
      <c r="R141" s="126"/>
      <c r="S141" s="97"/>
      <c r="T141" s="97"/>
      <c r="V141" s="108"/>
    </row>
    <row r="142" ht="15.75" customHeight="1">
      <c r="A142" s="91"/>
      <c r="B142" s="142"/>
      <c r="C142" s="143"/>
      <c r="D142" s="97"/>
      <c r="E142" s="144"/>
      <c r="F142" s="144"/>
      <c r="G142" s="97"/>
      <c r="H142" s="143"/>
      <c r="I142" s="97"/>
      <c r="J142" s="97"/>
      <c r="K142" s="100"/>
      <c r="L142" s="101"/>
      <c r="M142" s="102"/>
      <c r="N142" s="124"/>
      <c r="O142" s="125"/>
      <c r="P142" s="97"/>
      <c r="Q142" s="131"/>
      <c r="R142" s="126"/>
      <c r="S142" s="97"/>
      <c r="T142" s="97"/>
      <c r="V142" s="108"/>
    </row>
    <row r="143" ht="15.75" customHeight="1">
      <c r="A143" s="91"/>
      <c r="B143" s="142"/>
      <c r="C143" s="143"/>
      <c r="D143" s="97"/>
      <c r="E143" s="144"/>
      <c r="F143" s="144"/>
      <c r="G143" s="97"/>
      <c r="H143" s="143"/>
      <c r="I143" s="97"/>
      <c r="J143" s="97"/>
      <c r="K143" s="113"/>
      <c r="L143" s="114"/>
      <c r="M143" s="102"/>
      <c r="N143" s="124"/>
      <c r="O143" s="125"/>
      <c r="P143" s="97"/>
      <c r="Q143" s="97"/>
      <c r="R143" s="126"/>
      <c r="S143" s="97"/>
      <c r="T143" s="97"/>
      <c r="V143" s="108"/>
    </row>
    <row r="144" ht="15.75" customHeight="1">
      <c r="A144" s="91"/>
      <c r="B144" s="142"/>
      <c r="C144" s="143"/>
      <c r="D144" s="97"/>
      <c r="E144" s="144"/>
      <c r="F144" s="146"/>
      <c r="G144" s="97"/>
      <c r="H144" s="143"/>
      <c r="I144" s="97"/>
      <c r="J144" s="97"/>
      <c r="K144" s="100"/>
      <c r="L144" s="101"/>
      <c r="M144" s="102"/>
      <c r="N144" s="124"/>
      <c r="O144" s="125"/>
      <c r="P144" s="97"/>
      <c r="Q144" s="131"/>
      <c r="R144" s="126"/>
      <c r="S144" s="97"/>
      <c r="T144" s="97"/>
      <c r="V144" s="108"/>
    </row>
    <row r="145" ht="15.75" customHeight="1">
      <c r="A145" s="91"/>
      <c r="B145" s="142"/>
      <c r="C145" s="108"/>
      <c r="D145" s="97"/>
      <c r="E145" s="144"/>
      <c r="F145" s="144"/>
      <c r="G145" s="97"/>
      <c r="H145" s="143"/>
      <c r="I145" s="97"/>
      <c r="J145" s="97"/>
      <c r="K145" s="113"/>
      <c r="L145" s="114"/>
      <c r="M145" s="102"/>
      <c r="N145" s="124"/>
      <c r="O145" s="125"/>
      <c r="P145" s="97"/>
      <c r="Q145" s="97"/>
      <c r="R145" s="126"/>
      <c r="S145" s="97"/>
      <c r="T145" s="97"/>
      <c r="V145" s="108"/>
    </row>
    <row r="146" ht="15.75" customHeight="1">
      <c r="A146" s="91"/>
      <c r="B146" s="142"/>
      <c r="C146" s="108"/>
      <c r="D146" s="97"/>
      <c r="E146" s="144"/>
      <c r="F146" s="144"/>
      <c r="G146" s="97"/>
      <c r="H146" s="143"/>
      <c r="I146" s="97"/>
      <c r="J146" s="97"/>
      <c r="K146" s="100"/>
      <c r="L146" s="101"/>
      <c r="M146" s="102"/>
      <c r="N146" s="124"/>
      <c r="O146" s="125"/>
      <c r="P146" s="97"/>
      <c r="Q146" s="131"/>
      <c r="R146" s="126"/>
      <c r="S146" s="97"/>
      <c r="T146" s="97"/>
      <c r="V146" s="108"/>
    </row>
    <row r="147" ht="15.75" customHeight="1">
      <c r="A147" s="91"/>
      <c r="B147" s="142"/>
      <c r="C147" s="143"/>
      <c r="D147" s="97"/>
      <c r="E147" s="144"/>
      <c r="F147" s="144"/>
      <c r="G147" s="97"/>
      <c r="H147" s="143"/>
      <c r="I147" s="97"/>
      <c r="J147" s="97"/>
      <c r="K147" s="113"/>
      <c r="L147" s="114"/>
      <c r="M147" s="102"/>
      <c r="N147" s="124"/>
      <c r="O147" s="125"/>
      <c r="P147" s="97"/>
      <c r="Q147" s="131"/>
      <c r="R147" s="126"/>
      <c r="S147" s="97"/>
      <c r="T147" s="97"/>
      <c r="V147" s="108"/>
    </row>
    <row r="148" ht="15.75" customHeight="1">
      <c r="A148" s="91"/>
      <c r="B148" s="142"/>
      <c r="C148" s="143"/>
      <c r="D148" s="97"/>
      <c r="E148" s="144"/>
      <c r="F148" s="144"/>
      <c r="G148" s="97"/>
      <c r="H148" s="143"/>
      <c r="I148" s="97"/>
      <c r="J148" s="97"/>
      <c r="K148" s="100"/>
      <c r="L148" s="101"/>
      <c r="M148" s="102"/>
      <c r="N148" s="124"/>
      <c r="O148" s="125"/>
      <c r="P148" s="97"/>
      <c r="Q148" s="131"/>
      <c r="R148" s="126"/>
      <c r="S148" s="97"/>
      <c r="T148" s="97"/>
      <c r="V148" s="108"/>
    </row>
    <row r="149" ht="15.75" customHeight="1">
      <c r="A149" s="91"/>
      <c r="B149" s="142"/>
      <c r="C149" s="143"/>
      <c r="D149" s="97"/>
      <c r="E149" s="144"/>
      <c r="F149" s="144"/>
      <c r="G149" s="97"/>
      <c r="H149" s="143"/>
      <c r="I149" s="97"/>
      <c r="J149" s="97"/>
      <c r="K149" s="113"/>
      <c r="L149" s="114"/>
      <c r="M149" s="102"/>
      <c r="N149" s="124"/>
      <c r="O149" s="125"/>
      <c r="P149" s="97"/>
      <c r="Q149" s="131"/>
      <c r="R149" s="126"/>
      <c r="S149" s="97"/>
      <c r="T149" s="97"/>
      <c r="V149" s="108"/>
    </row>
    <row r="150" ht="15.75" customHeight="1">
      <c r="A150" s="91"/>
      <c r="B150" s="142"/>
      <c r="C150" s="143"/>
      <c r="D150" s="97"/>
      <c r="E150" s="144"/>
      <c r="F150" s="144"/>
      <c r="G150" s="97"/>
      <c r="H150" s="143"/>
      <c r="I150" s="97"/>
      <c r="J150" s="97"/>
      <c r="K150" s="100"/>
      <c r="L150" s="101"/>
      <c r="M150" s="102"/>
      <c r="N150" s="124"/>
      <c r="O150" s="125"/>
      <c r="P150" s="97"/>
      <c r="Q150" s="131"/>
      <c r="R150" s="126"/>
      <c r="S150" s="97"/>
      <c r="T150" s="97"/>
      <c r="V150" s="108"/>
    </row>
    <row r="151" ht="15.75" customHeight="1">
      <c r="A151" s="91"/>
      <c r="B151" s="142"/>
      <c r="C151" s="143"/>
      <c r="D151" s="97"/>
      <c r="E151" s="144"/>
      <c r="F151" s="144"/>
      <c r="G151" s="97"/>
      <c r="H151" s="143"/>
      <c r="I151" s="97"/>
      <c r="J151" s="97"/>
      <c r="K151" s="113"/>
      <c r="L151" s="114"/>
      <c r="M151" s="102"/>
      <c r="N151" s="124"/>
      <c r="O151" s="125"/>
      <c r="P151" s="97"/>
      <c r="Q151" s="131"/>
      <c r="R151" s="126"/>
      <c r="S151" s="97"/>
      <c r="T151" s="97"/>
      <c r="V151" s="108"/>
    </row>
    <row r="152" ht="15.75" customHeight="1">
      <c r="A152" s="91"/>
      <c r="B152" s="142"/>
      <c r="C152" s="108"/>
      <c r="D152" s="97"/>
      <c r="E152" s="144"/>
      <c r="F152" s="144"/>
      <c r="G152" s="97"/>
      <c r="H152" s="143"/>
      <c r="I152" s="97"/>
      <c r="J152" s="97"/>
      <c r="K152" s="100"/>
      <c r="L152" s="101"/>
      <c r="M152" s="102"/>
      <c r="N152" s="124"/>
      <c r="O152" s="125"/>
      <c r="P152" s="97"/>
      <c r="Q152" s="131"/>
      <c r="R152" s="126"/>
      <c r="S152" s="97"/>
      <c r="T152" s="97"/>
      <c r="V152" s="108"/>
    </row>
    <row r="153" ht="15.75" customHeight="1">
      <c r="A153" s="91"/>
      <c r="B153" s="142"/>
      <c r="C153" s="143"/>
      <c r="D153" s="97"/>
      <c r="E153" s="144"/>
      <c r="F153" s="144"/>
      <c r="G153" s="97"/>
      <c r="H153" s="143"/>
      <c r="I153" s="97"/>
      <c r="J153" s="97"/>
      <c r="K153" s="113"/>
      <c r="L153" s="114"/>
      <c r="M153" s="102"/>
      <c r="N153" s="124"/>
      <c r="O153" s="125"/>
      <c r="P153" s="97"/>
      <c r="Q153" s="131"/>
      <c r="R153" s="126"/>
      <c r="S153" s="97"/>
      <c r="T153" s="97"/>
      <c r="V153" s="108"/>
    </row>
    <row r="154" ht="15.75" customHeight="1">
      <c r="A154" s="91"/>
      <c r="B154" s="142"/>
      <c r="C154" s="143"/>
      <c r="D154" s="97"/>
      <c r="E154" s="144"/>
      <c r="F154" s="144"/>
      <c r="G154" s="97"/>
      <c r="H154" s="143"/>
      <c r="I154" s="97"/>
      <c r="J154" s="97"/>
      <c r="K154" s="100"/>
      <c r="L154" s="101"/>
      <c r="M154" s="102"/>
      <c r="N154" s="124"/>
      <c r="O154" s="125"/>
      <c r="P154" s="97"/>
      <c r="Q154" s="131"/>
      <c r="R154" s="126"/>
      <c r="S154" s="97"/>
      <c r="T154" s="97"/>
      <c r="V154" s="108"/>
    </row>
    <row r="155" ht="15.75" customHeight="1">
      <c r="A155" s="91"/>
      <c r="B155" s="142"/>
      <c r="C155" s="143"/>
      <c r="D155" s="97"/>
      <c r="E155" s="144"/>
      <c r="F155" s="144"/>
      <c r="G155" s="97"/>
      <c r="H155" s="143"/>
      <c r="I155" s="97"/>
      <c r="J155" s="97"/>
      <c r="K155" s="113"/>
      <c r="L155" s="114"/>
      <c r="M155" s="102"/>
      <c r="N155" s="124"/>
      <c r="O155" s="125"/>
      <c r="P155" s="97"/>
      <c r="Q155" s="131"/>
      <c r="R155" s="126"/>
      <c r="S155" s="97"/>
      <c r="T155" s="97"/>
      <c r="V155" s="108"/>
    </row>
    <row r="156" ht="15.75" customHeight="1">
      <c r="A156" s="91"/>
      <c r="B156" s="142"/>
      <c r="C156" s="143"/>
      <c r="D156" s="97"/>
      <c r="E156" s="144"/>
      <c r="F156" s="144"/>
      <c r="G156" s="97"/>
      <c r="H156" s="143"/>
      <c r="I156" s="97"/>
      <c r="J156" s="97"/>
      <c r="K156" s="100"/>
      <c r="L156" s="101"/>
      <c r="M156" s="102"/>
      <c r="N156" s="124"/>
      <c r="O156" s="125"/>
      <c r="P156" s="97"/>
      <c r="Q156" s="131"/>
      <c r="R156" s="126"/>
      <c r="S156" s="97"/>
      <c r="T156" s="97"/>
      <c r="V156" s="108"/>
    </row>
    <row r="157" ht="15.75" customHeight="1">
      <c r="A157" s="91"/>
      <c r="B157" s="142"/>
      <c r="C157" s="143"/>
      <c r="D157" s="97"/>
      <c r="E157" s="144"/>
      <c r="F157" s="144"/>
      <c r="G157" s="97"/>
      <c r="H157" s="143"/>
      <c r="I157" s="97"/>
      <c r="J157" s="97"/>
      <c r="K157" s="113"/>
      <c r="L157" s="114"/>
      <c r="M157" s="102"/>
      <c r="N157" s="124"/>
      <c r="O157" s="125"/>
      <c r="P157" s="97"/>
      <c r="Q157" s="131"/>
      <c r="R157" s="126"/>
      <c r="S157" s="97"/>
      <c r="T157" s="97"/>
      <c r="V157" s="108"/>
    </row>
    <row r="158" ht="15.75" customHeight="1">
      <c r="A158" s="91"/>
      <c r="B158" s="142"/>
      <c r="C158" s="108"/>
      <c r="D158" s="97"/>
      <c r="E158" s="144"/>
      <c r="F158" s="144"/>
      <c r="G158" s="97"/>
      <c r="H158" s="143"/>
      <c r="I158" s="97"/>
      <c r="J158" s="97"/>
      <c r="K158" s="100"/>
      <c r="L158" s="101"/>
      <c r="M158" s="102"/>
      <c r="N158" s="124"/>
      <c r="O158" s="125"/>
      <c r="P158" s="97"/>
      <c r="Q158" s="131"/>
      <c r="R158" s="126"/>
      <c r="S158" s="97"/>
      <c r="T158" s="97"/>
      <c r="V158" s="108"/>
    </row>
    <row r="159" ht="15.75" customHeight="1">
      <c r="A159" s="91"/>
      <c r="B159" s="142"/>
      <c r="C159" s="143"/>
      <c r="D159" s="97"/>
      <c r="E159" s="144"/>
      <c r="F159" s="144"/>
      <c r="G159" s="97"/>
      <c r="H159" s="143"/>
      <c r="I159" s="97"/>
      <c r="J159" s="97"/>
      <c r="K159" s="113"/>
      <c r="L159" s="114"/>
      <c r="M159" s="102"/>
      <c r="N159" s="124"/>
      <c r="O159" s="125"/>
      <c r="P159" s="97"/>
      <c r="Q159" s="131"/>
      <c r="R159" s="126"/>
      <c r="S159" s="97"/>
      <c r="T159" s="97"/>
      <c r="V159" s="108"/>
    </row>
    <row r="160" ht="15.75" customHeight="1">
      <c r="A160" s="91"/>
      <c r="B160" s="142"/>
      <c r="C160" s="143"/>
      <c r="D160" s="97"/>
      <c r="E160" s="144"/>
      <c r="F160" s="144"/>
      <c r="G160" s="97"/>
      <c r="H160" s="143"/>
      <c r="I160" s="97"/>
      <c r="J160" s="97"/>
      <c r="K160" s="100"/>
      <c r="L160" s="101"/>
      <c r="M160" s="102"/>
      <c r="N160" s="124"/>
      <c r="O160" s="125"/>
      <c r="P160" s="97"/>
      <c r="Q160" s="131"/>
      <c r="R160" s="126"/>
      <c r="S160" s="97"/>
      <c r="T160" s="97"/>
      <c r="V160" s="108"/>
    </row>
    <row r="161" ht="15.75" customHeight="1">
      <c r="A161" s="91"/>
      <c r="B161" s="142"/>
      <c r="C161" s="143"/>
      <c r="D161" s="97"/>
      <c r="E161" s="144"/>
      <c r="F161" s="144"/>
      <c r="G161" s="97"/>
      <c r="H161" s="143"/>
      <c r="I161" s="97"/>
      <c r="J161" s="97"/>
      <c r="K161" s="113"/>
      <c r="L161" s="114"/>
      <c r="M161" s="102"/>
      <c r="N161" s="124"/>
      <c r="O161" s="125"/>
      <c r="P161" s="97"/>
      <c r="Q161" s="131"/>
      <c r="R161" s="126"/>
      <c r="S161" s="97"/>
      <c r="T161" s="97"/>
      <c r="V161" s="108"/>
    </row>
    <row r="162" ht="15.75" customHeight="1">
      <c r="A162" s="91"/>
      <c r="B162" s="142"/>
      <c r="C162" s="143"/>
      <c r="D162" s="97"/>
      <c r="E162" s="144"/>
      <c r="F162" s="144"/>
      <c r="G162" s="97"/>
      <c r="H162" s="143"/>
      <c r="I162" s="97"/>
      <c r="J162" s="97"/>
      <c r="K162" s="100"/>
      <c r="L162" s="101"/>
      <c r="M162" s="102"/>
      <c r="N162" s="124"/>
      <c r="O162" s="125"/>
      <c r="P162" s="97"/>
      <c r="Q162" s="131"/>
      <c r="R162" s="126"/>
      <c r="S162" s="97"/>
      <c r="T162" s="97"/>
      <c r="V162" s="108"/>
    </row>
    <row r="163" ht="15.75" customHeight="1">
      <c r="A163" s="91"/>
      <c r="B163" s="142"/>
      <c r="C163" s="143"/>
      <c r="D163" s="97"/>
      <c r="E163" s="144"/>
      <c r="F163" s="144"/>
      <c r="G163" s="97"/>
      <c r="H163" s="143"/>
      <c r="I163" s="97"/>
      <c r="J163" s="97"/>
      <c r="K163" s="113"/>
      <c r="L163" s="114"/>
      <c r="M163" s="102"/>
      <c r="N163" s="124"/>
      <c r="O163" s="125"/>
      <c r="P163" s="97"/>
      <c r="Q163" s="131"/>
      <c r="R163" s="126"/>
      <c r="S163" s="97"/>
      <c r="T163" s="97"/>
      <c r="V163" s="108"/>
    </row>
    <row r="164" ht="15.75" customHeight="1">
      <c r="A164" s="91"/>
      <c r="B164" s="142"/>
      <c r="C164" s="108"/>
      <c r="D164" s="97"/>
      <c r="E164" s="144"/>
      <c r="F164" s="144"/>
      <c r="G164" s="97"/>
      <c r="H164" s="143"/>
      <c r="I164" s="97"/>
      <c r="J164" s="97"/>
      <c r="K164" s="100"/>
      <c r="L164" s="101"/>
      <c r="M164" s="102"/>
      <c r="N164" s="124"/>
      <c r="O164" s="125"/>
      <c r="P164" s="97"/>
      <c r="Q164" s="131"/>
      <c r="R164" s="126"/>
      <c r="S164" s="97"/>
      <c r="T164" s="97"/>
      <c r="V164" s="108"/>
    </row>
    <row r="165" ht="15.75" customHeight="1">
      <c r="A165" s="91"/>
      <c r="B165" s="142"/>
      <c r="C165" s="143"/>
      <c r="D165" s="97"/>
      <c r="E165" s="144"/>
      <c r="F165" s="144"/>
      <c r="G165" s="97"/>
      <c r="H165" s="143"/>
      <c r="I165" s="97"/>
      <c r="J165" s="97"/>
      <c r="K165" s="113"/>
      <c r="L165" s="114"/>
      <c r="M165" s="102"/>
      <c r="N165" s="124"/>
      <c r="O165" s="125"/>
      <c r="P165" s="97"/>
      <c r="Q165" s="131"/>
      <c r="R165" s="126"/>
      <c r="S165" s="97"/>
      <c r="T165" s="97"/>
      <c r="V165" s="108"/>
    </row>
    <row r="166" ht="15.75" customHeight="1">
      <c r="A166" s="91"/>
      <c r="B166" s="142"/>
      <c r="C166" s="143"/>
      <c r="D166" s="97"/>
      <c r="E166" s="144"/>
      <c r="F166" s="144"/>
      <c r="G166" s="97"/>
      <c r="H166" s="143"/>
      <c r="I166" s="97"/>
      <c r="J166" s="97"/>
      <c r="K166" s="100"/>
      <c r="L166" s="101"/>
      <c r="M166" s="102"/>
      <c r="N166" s="124"/>
      <c r="O166" s="125"/>
      <c r="P166" s="97"/>
      <c r="Q166" s="131"/>
      <c r="R166" s="126"/>
      <c r="S166" s="97"/>
      <c r="T166" s="97"/>
      <c r="V166" s="108"/>
    </row>
    <row r="167" ht="15.75" customHeight="1">
      <c r="A167" s="91"/>
      <c r="B167" s="142"/>
      <c r="C167" s="143"/>
      <c r="D167" s="97"/>
      <c r="E167" s="144"/>
      <c r="F167" s="144"/>
      <c r="G167" s="97"/>
      <c r="H167" s="143"/>
      <c r="I167" s="97"/>
      <c r="J167" s="97"/>
      <c r="K167" s="113"/>
      <c r="L167" s="114"/>
      <c r="M167" s="102"/>
      <c r="N167" s="124"/>
      <c r="O167" s="125"/>
      <c r="P167" s="97"/>
      <c r="Q167" s="131"/>
      <c r="R167" s="126"/>
      <c r="S167" s="97"/>
      <c r="T167" s="97"/>
      <c r="V167" s="108"/>
    </row>
    <row r="168" ht="15.75" customHeight="1">
      <c r="A168" s="91"/>
      <c r="B168" s="142"/>
      <c r="C168" s="143"/>
      <c r="D168" s="97"/>
      <c r="E168" s="144"/>
      <c r="F168" s="144"/>
      <c r="G168" s="97"/>
      <c r="H168" s="143"/>
      <c r="I168" s="97"/>
      <c r="J168" s="97"/>
      <c r="K168" s="100"/>
      <c r="L168" s="101"/>
      <c r="M168" s="102"/>
      <c r="N168" s="124"/>
      <c r="O168" s="125"/>
      <c r="P168" s="97"/>
      <c r="Q168" s="131"/>
      <c r="R168" s="126"/>
      <c r="S168" s="97"/>
      <c r="T168" s="97"/>
      <c r="V168" s="108"/>
    </row>
    <row r="169" ht="15.75" customHeight="1">
      <c r="A169" s="91"/>
      <c r="B169" s="142"/>
      <c r="C169" s="143"/>
      <c r="D169" s="97"/>
      <c r="E169" s="144"/>
      <c r="F169" s="144"/>
      <c r="G169" s="97"/>
      <c r="H169" s="143"/>
      <c r="I169" s="97"/>
      <c r="J169" s="97"/>
      <c r="K169" s="113"/>
      <c r="L169" s="114"/>
      <c r="M169" s="102"/>
      <c r="N169" s="124"/>
      <c r="O169" s="125"/>
      <c r="P169" s="97"/>
      <c r="Q169" s="131"/>
      <c r="R169" s="126"/>
      <c r="S169" s="97"/>
      <c r="T169" s="97"/>
      <c r="V169" s="108"/>
    </row>
    <row r="170" ht="15.75" customHeight="1">
      <c r="A170" s="91"/>
      <c r="B170" s="142"/>
      <c r="C170" s="108"/>
      <c r="D170" s="97"/>
      <c r="E170" s="144"/>
      <c r="F170" s="144"/>
      <c r="G170" s="97"/>
      <c r="H170" s="143"/>
      <c r="I170" s="97"/>
      <c r="J170" s="97"/>
      <c r="K170" s="100"/>
      <c r="L170" s="101"/>
      <c r="M170" s="102"/>
      <c r="N170" s="124"/>
      <c r="O170" s="125"/>
      <c r="P170" s="97"/>
      <c r="Q170" s="131"/>
      <c r="R170" s="126"/>
      <c r="S170" s="97"/>
      <c r="T170" s="97"/>
      <c r="V170" s="108"/>
    </row>
    <row r="171" ht="15.75" customHeight="1">
      <c r="A171" s="91"/>
      <c r="B171" s="142"/>
      <c r="C171" s="143"/>
      <c r="D171" s="97"/>
      <c r="E171" s="144"/>
      <c r="F171" s="144"/>
      <c r="G171" s="97"/>
      <c r="H171" s="143"/>
      <c r="I171" s="97"/>
      <c r="J171" s="97"/>
      <c r="K171" s="113"/>
      <c r="L171" s="114"/>
      <c r="M171" s="102"/>
      <c r="N171" s="124"/>
      <c r="O171" s="125"/>
      <c r="P171" s="97"/>
      <c r="Q171" s="131"/>
      <c r="R171" s="126"/>
      <c r="S171" s="97"/>
      <c r="T171" s="97"/>
      <c r="V171" s="108"/>
    </row>
    <row r="172" ht="15.75" customHeight="1">
      <c r="A172" s="91"/>
      <c r="B172" s="142"/>
      <c r="C172" s="143"/>
      <c r="D172" s="97"/>
      <c r="E172" s="144"/>
      <c r="F172" s="144"/>
      <c r="G172" s="97"/>
      <c r="H172" s="143"/>
      <c r="I172" s="97"/>
      <c r="J172" s="97"/>
      <c r="K172" s="100"/>
      <c r="L172" s="101"/>
      <c r="M172" s="102"/>
      <c r="N172" s="124"/>
      <c r="O172" s="125"/>
      <c r="P172" s="97"/>
      <c r="Q172" s="131"/>
      <c r="R172" s="126"/>
      <c r="S172" s="97"/>
      <c r="T172" s="97"/>
      <c r="V172" s="108"/>
    </row>
    <row r="173" ht="15.75" customHeight="1">
      <c r="A173" s="91"/>
      <c r="B173" s="142"/>
      <c r="C173" s="143"/>
      <c r="D173" s="97"/>
      <c r="E173" s="144"/>
      <c r="F173" s="144"/>
      <c r="G173" s="97"/>
      <c r="H173" s="143"/>
      <c r="I173" s="97"/>
      <c r="J173" s="97"/>
      <c r="K173" s="113"/>
      <c r="L173" s="114"/>
      <c r="M173" s="102"/>
      <c r="N173" s="124"/>
      <c r="O173" s="125"/>
      <c r="P173" s="97"/>
      <c r="Q173" s="131"/>
      <c r="R173" s="126"/>
      <c r="S173" s="97"/>
      <c r="T173" s="97"/>
      <c r="V173" s="108"/>
    </row>
    <row r="174" ht="15.75" customHeight="1">
      <c r="A174" s="91"/>
      <c r="B174" s="142"/>
      <c r="C174" s="143"/>
      <c r="D174" s="97"/>
      <c r="E174" s="144"/>
      <c r="F174" s="144"/>
      <c r="G174" s="97"/>
      <c r="H174" s="143"/>
      <c r="I174" s="97"/>
      <c r="J174" s="97"/>
      <c r="K174" s="100"/>
      <c r="L174" s="101"/>
      <c r="M174" s="102"/>
      <c r="N174" s="124"/>
      <c r="O174" s="125"/>
      <c r="P174" s="97"/>
      <c r="Q174" s="131"/>
      <c r="R174" s="126"/>
      <c r="S174" s="97"/>
      <c r="T174" s="97"/>
      <c r="V174" s="108"/>
    </row>
    <row r="175" ht="15.75" customHeight="1">
      <c r="A175" s="91"/>
      <c r="B175" s="142"/>
      <c r="C175" s="143"/>
      <c r="D175" s="97"/>
      <c r="E175" s="144"/>
      <c r="F175" s="144"/>
      <c r="G175" s="97"/>
      <c r="H175" s="143"/>
      <c r="I175" s="97"/>
      <c r="J175" s="97"/>
      <c r="K175" s="113"/>
      <c r="L175" s="114"/>
      <c r="M175" s="102"/>
      <c r="N175" s="124"/>
      <c r="O175" s="125"/>
      <c r="P175" s="97"/>
      <c r="Q175" s="131"/>
      <c r="R175" s="126"/>
      <c r="S175" s="97"/>
      <c r="T175" s="97"/>
      <c r="V175" s="108"/>
    </row>
    <row r="176" ht="15.75" customHeight="1">
      <c r="A176" s="91"/>
      <c r="B176" s="142"/>
      <c r="C176" s="108"/>
      <c r="D176" s="97"/>
      <c r="E176" s="144"/>
      <c r="F176" s="144"/>
      <c r="G176" s="97"/>
      <c r="H176" s="143"/>
      <c r="I176" s="97"/>
      <c r="J176" s="97"/>
      <c r="K176" s="100"/>
      <c r="L176" s="101"/>
      <c r="M176" s="102"/>
      <c r="N176" s="124"/>
      <c r="O176" s="125"/>
      <c r="P176" s="97"/>
      <c r="Q176" s="131"/>
      <c r="R176" s="126"/>
      <c r="S176" s="97"/>
      <c r="T176" s="97"/>
      <c r="V176" s="108"/>
    </row>
    <row r="177" ht="15.75" customHeight="1">
      <c r="A177" s="91"/>
      <c r="B177" s="142"/>
      <c r="C177" s="143"/>
      <c r="D177" s="97"/>
      <c r="E177" s="144"/>
      <c r="F177" s="144"/>
      <c r="G177" s="97"/>
      <c r="H177" s="143"/>
      <c r="I177" s="97"/>
      <c r="J177" s="97"/>
      <c r="K177" s="113"/>
      <c r="L177" s="114"/>
      <c r="M177" s="102"/>
      <c r="N177" s="124"/>
      <c r="O177" s="125"/>
      <c r="P177" s="97"/>
      <c r="Q177" s="131"/>
      <c r="R177" s="126"/>
      <c r="S177" s="97"/>
      <c r="T177" s="97"/>
      <c r="V177" s="108"/>
    </row>
    <row r="178" ht="15.75" customHeight="1">
      <c r="A178" s="91"/>
      <c r="B178" s="142"/>
      <c r="C178" s="143"/>
      <c r="D178" s="97"/>
      <c r="E178" s="144"/>
      <c r="F178" s="144"/>
      <c r="G178" s="97"/>
      <c r="H178" s="143"/>
      <c r="I178" s="97"/>
      <c r="J178" s="97"/>
      <c r="K178" s="100"/>
      <c r="L178" s="101"/>
      <c r="M178" s="102"/>
      <c r="N178" s="124"/>
      <c r="O178" s="125"/>
      <c r="P178" s="97"/>
      <c r="Q178" s="131"/>
      <c r="R178" s="126"/>
      <c r="S178" s="97"/>
      <c r="T178" s="97"/>
      <c r="V178" s="108"/>
    </row>
    <row r="179" ht="15.75" customHeight="1">
      <c r="A179" s="91"/>
      <c r="B179" s="142"/>
      <c r="C179" s="143"/>
      <c r="D179" s="97"/>
      <c r="E179" s="144"/>
      <c r="F179" s="144"/>
      <c r="G179" s="97"/>
      <c r="H179" s="143"/>
      <c r="I179" s="97"/>
      <c r="J179" s="97"/>
      <c r="K179" s="113"/>
      <c r="L179" s="114"/>
      <c r="M179" s="102"/>
      <c r="N179" s="124"/>
      <c r="O179" s="125"/>
      <c r="P179" s="97"/>
      <c r="Q179" s="131"/>
      <c r="R179" s="126"/>
      <c r="S179" s="97"/>
      <c r="T179" s="97"/>
      <c r="V179" s="108"/>
    </row>
    <row r="180" ht="15.75" customHeight="1">
      <c r="A180" s="91"/>
      <c r="B180" s="142"/>
      <c r="C180" s="143"/>
      <c r="D180" s="97"/>
      <c r="E180" s="144"/>
      <c r="F180" s="144"/>
      <c r="G180" s="97"/>
      <c r="H180" s="143"/>
      <c r="I180" s="97"/>
      <c r="J180" s="97"/>
      <c r="K180" s="100"/>
      <c r="L180" s="101"/>
      <c r="M180" s="102"/>
      <c r="N180" s="124"/>
      <c r="O180" s="125"/>
      <c r="P180" s="97"/>
      <c r="Q180" s="131"/>
      <c r="R180" s="126"/>
      <c r="S180" s="97"/>
      <c r="T180" s="97"/>
      <c r="V180" s="108"/>
    </row>
    <row r="181" ht="15.75" customHeight="1">
      <c r="A181" s="91"/>
      <c r="B181" s="142"/>
      <c r="C181" s="143"/>
      <c r="D181" s="97"/>
      <c r="E181" s="144"/>
      <c r="F181" s="144"/>
      <c r="G181" s="97"/>
      <c r="H181" s="143"/>
      <c r="I181" s="97"/>
      <c r="J181" s="97"/>
      <c r="K181" s="113"/>
      <c r="L181" s="114"/>
      <c r="M181" s="102"/>
      <c r="N181" s="124"/>
      <c r="O181" s="125"/>
      <c r="P181" s="97"/>
      <c r="Q181" s="131"/>
      <c r="R181" s="126"/>
      <c r="S181" s="97"/>
      <c r="T181" s="97"/>
      <c r="V181" s="108"/>
    </row>
    <row r="182" ht="15.75" customHeight="1">
      <c r="A182" s="91"/>
      <c r="B182" s="142"/>
      <c r="C182" s="108"/>
      <c r="D182" s="97"/>
      <c r="E182" s="144"/>
      <c r="F182" s="144"/>
      <c r="G182" s="97"/>
      <c r="H182" s="143"/>
      <c r="I182" s="97"/>
      <c r="J182" s="97"/>
      <c r="K182" s="100"/>
      <c r="L182" s="101"/>
      <c r="M182" s="102"/>
      <c r="N182" s="124"/>
      <c r="O182" s="125"/>
      <c r="P182" s="97"/>
      <c r="Q182" s="131"/>
      <c r="R182" s="126"/>
      <c r="S182" s="97"/>
      <c r="T182" s="97"/>
      <c r="V182" s="108"/>
    </row>
    <row r="183" ht="15.75" customHeight="1">
      <c r="A183" s="91"/>
      <c r="B183" s="142"/>
      <c r="C183" s="143"/>
      <c r="D183" s="97"/>
      <c r="E183" s="144"/>
      <c r="F183" s="144"/>
      <c r="G183" s="97"/>
      <c r="H183" s="143"/>
      <c r="I183" s="97"/>
      <c r="J183" s="97"/>
      <c r="K183" s="113"/>
      <c r="L183" s="114"/>
      <c r="M183" s="102"/>
      <c r="N183" s="124"/>
      <c r="O183" s="125"/>
      <c r="P183" s="97"/>
      <c r="Q183" s="131"/>
      <c r="R183" s="126"/>
      <c r="S183" s="97"/>
      <c r="T183" s="97"/>
      <c r="V183" s="108"/>
    </row>
    <row r="184" ht="15.75" customHeight="1">
      <c r="A184" s="91"/>
      <c r="B184" s="142"/>
      <c r="C184" s="143"/>
      <c r="D184" s="97"/>
      <c r="E184" s="144"/>
      <c r="F184" s="144"/>
      <c r="G184" s="97"/>
      <c r="H184" s="143"/>
      <c r="I184" s="97"/>
      <c r="J184" s="97"/>
      <c r="K184" s="100"/>
      <c r="L184" s="101"/>
      <c r="M184" s="102"/>
      <c r="N184" s="124"/>
      <c r="O184" s="125"/>
      <c r="P184" s="97"/>
      <c r="Q184" s="131"/>
      <c r="R184" s="126"/>
      <c r="S184" s="97"/>
      <c r="T184" s="97"/>
      <c r="V184" s="108"/>
    </row>
    <row r="185" ht="15.75" customHeight="1">
      <c r="A185" s="91"/>
      <c r="B185" s="142"/>
      <c r="C185" s="143"/>
      <c r="D185" s="97"/>
      <c r="E185" s="144"/>
      <c r="F185" s="144"/>
      <c r="G185" s="97"/>
      <c r="H185" s="143"/>
      <c r="I185" s="97"/>
      <c r="J185" s="97"/>
      <c r="K185" s="113"/>
      <c r="L185" s="114"/>
      <c r="M185" s="102"/>
      <c r="N185" s="124"/>
      <c r="O185" s="125"/>
      <c r="P185" s="97"/>
      <c r="Q185" s="131"/>
      <c r="R185" s="126"/>
      <c r="S185" s="97"/>
      <c r="T185" s="97"/>
      <c r="V185" s="108"/>
    </row>
    <row r="186" ht="15.75" customHeight="1">
      <c r="A186" s="91"/>
      <c r="B186" s="142"/>
      <c r="C186" s="143"/>
      <c r="D186" s="97"/>
      <c r="E186" s="144"/>
      <c r="F186" s="144"/>
      <c r="G186" s="97"/>
      <c r="H186" s="143"/>
      <c r="I186" s="97"/>
      <c r="J186" s="97"/>
      <c r="K186" s="100"/>
      <c r="L186" s="101"/>
      <c r="M186" s="102"/>
      <c r="N186" s="124"/>
      <c r="O186" s="125"/>
      <c r="P186" s="97"/>
      <c r="Q186" s="131"/>
      <c r="R186" s="126"/>
      <c r="S186" s="97"/>
      <c r="T186" s="97"/>
      <c r="V186" s="108"/>
    </row>
    <row r="187" ht="15.75" customHeight="1">
      <c r="A187" s="91"/>
      <c r="B187" s="142"/>
      <c r="C187" s="143"/>
      <c r="D187" s="97"/>
      <c r="E187" s="144"/>
      <c r="F187" s="144"/>
      <c r="G187" s="97"/>
      <c r="H187" s="143"/>
      <c r="I187" s="97"/>
      <c r="J187" s="97"/>
      <c r="K187" s="113"/>
      <c r="L187" s="114"/>
      <c r="M187" s="102"/>
      <c r="N187" s="124"/>
      <c r="O187" s="125"/>
      <c r="P187" s="97"/>
      <c r="Q187" s="131"/>
      <c r="R187" s="126"/>
      <c r="S187" s="97"/>
      <c r="T187" s="97"/>
      <c r="V187" s="108"/>
    </row>
    <row r="188" ht="15.75" customHeight="1">
      <c r="A188" s="91"/>
      <c r="B188" s="142"/>
      <c r="C188" s="108"/>
      <c r="D188" s="97"/>
      <c r="E188" s="144"/>
      <c r="F188" s="144"/>
      <c r="G188" s="97"/>
      <c r="H188" s="143"/>
      <c r="I188" s="97"/>
      <c r="J188" s="97"/>
      <c r="K188" s="100"/>
      <c r="L188" s="101"/>
      <c r="M188" s="102"/>
      <c r="N188" s="124"/>
      <c r="O188" s="125"/>
      <c r="P188" s="97"/>
      <c r="Q188" s="131"/>
      <c r="R188" s="126"/>
      <c r="S188" s="97"/>
      <c r="T188" s="97"/>
      <c r="V188" s="108"/>
    </row>
    <row r="189" ht="15.75" customHeight="1">
      <c r="A189" s="91"/>
      <c r="B189" s="142"/>
      <c r="C189" s="143"/>
      <c r="D189" s="97"/>
      <c r="E189" s="144"/>
      <c r="F189" s="144"/>
      <c r="G189" s="97"/>
      <c r="H189" s="143"/>
      <c r="I189" s="97"/>
      <c r="J189" s="97"/>
      <c r="K189" s="113"/>
      <c r="L189" s="114"/>
      <c r="M189" s="102"/>
      <c r="N189" s="124"/>
      <c r="O189" s="125"/>
      <c r="P189" s="97"/>
      <c r="Q189" s="131"/>
      <c r="R189" s="126"/>
      <c r="S189" s="97"/>
      <c r="T189" s="97"/>
      <c r="V189" s="108"/>
    </row>
    <row r="190" ht="15.75" customHeight="1">
      <c r="A190" s="91"/>
      <c r="B190" s="142"/>
      <c r="C190" s="143"/>
      <c r="D190" s="97"/>
      <c r="E190" s="144"/>
      <c r="F190" s="144"/>
      <c r="G190" s="97"/>
      <c r="H190" s="143"/>
      <c r="I190" s="97"/>
      <c r="J190" s="97"/>
      <c r="K190" s="100"/>
      <c r="L190" s="101"/>
      <c r="M190" s="102"/>
      <c r="N190" s="124"/>
      <c r="O190" s="125"/>
      <c r="P190" s="97"/>
      <c r="Q190" s="131"/>
      <c r="R190" s="126"/>
      <c r="S190" s="97"/>
      <c r="T190" s="97"/>
      <c r="V190" s="108"/>
    </row>
    <row r="191" ht="15.75" customHeight="1">
      <c r="A191" s="91"/>
      <c r="B191" s="142"/>
      <c r="C191" s="143"/>
      <c r="D191" s="97"/>
      <c r="E191" s="144"/>
      <c r="F191" s="144"/>
      <c r="G191" s="97"/>
      <c r="H191" s="143"/>
      <c r="I191" s="97"/>
      <c r="J191" s="97"/>
      <c r="K191" s="113"/>
      <c r="L191" s="114"/>
      <c r="M191" s="102"/>
      <c r="N191" s="124"/>
      <c r="O191" s="125"/>
      <c r="P191" s="97"/>
      <c r="Q191" s="131"/>
      <c r="R191" s="126"/>
      <c r="S191" s="97"/>
      <c r="T191" s="97"/>
      <c r="V191" s="108"/>
    </row>
    <row r="192" ht="15.75" customHeight="1">
      <c r="A192" s="91"/>
      <c r="B192" s="142"/>
      <c r="C192" s="143"/>
      <c r="D192" s="97"/>
      <c r="E192" s="144"/>
      <c r="F192" s="144"/>
      <c r="G192" s="97"/>
      <c r="H192" s="143"/>
      <c r="I192" s="97"/>
      <c r="J192" s="97"/>
      <c r="K192" s="100"/>
      <c r="L192" s="101"/>
      <c r="M192" s="102"/>
      <c r="N192" s="124"/>
      <c r="O192" s="125"/>
      <c r="P192" s="97"/>
      <c r="Q192" s="131"/>
      <c r="R192" s="126"/>
      <c r="S192" s="97"/>
      <c r="T192" s="97"/>
      <c r="V192" s="108"/>
    </row>
    <row r="193" ht="15.75" customHeight="1">
      <c r="A193" s="91"/>
      <c r="B193" s="142"/>
      <c r="C193" s="143"/>
      <c r="D193" s="97"/>
      <c r="E193" s="144"/>
      <c r="F193" s="144"/>
      <c r="G193" s="97"/>
      <c r="H193" s="143"/>
      <c r="I193" s="97"/>
      <c r="J193" s="97"/>
      <c r="K193" s="113"/>
      <c r="L193" s="114"/>
      <c r="M193" s="102"/>
      <c r="N193" s="124"/>
      <c r="O193" s="125"/>
      <c r="P193" s="97"/>
      <c r="Q193" s="131"/>
      <c r="R193" s="126"/>
      <c r="S193" s="97"/>
      <c r="T193" s="97"/>
      <c r="V193" s="108"/>
    </row>
    <row r="194" ht="15.75" customHeight="1">
      <c r="A194" s="91"/>
      <c r="B194" s="142"/>
      <c r="C194" s="108"/>
      <c r="D194" s="97"/>
      <c r="E194" s="144"/>
      <c r="F194" s="144"/>
      <c r="G194" s="97"/>
      <c r="H194" s="143"/>
      <c r="I194" s="97"/>
      <c r="J194" s="97"/>
      <c r="K194" s="100"/>
      <c r="L194" s="101"/>
      <c r="M194" s="102"/>
      <c r="N194" s="124"/>
      <c r="O194" s="125"/>
      <c r="P194" s="97"/>
      <c r="Q194" s="131"/>
      <c r="R194" s="126"/>
      <c r="S194" s="97"/>
      <c r="T194" s="97"/>
      <c r="V194" s="108"/>
    </row>
    <row r="195" ht="15.75" customHeight="1">
      <c r="A195" s="91"/>
      <c r="B195" s="142"/>
      <c r="C195" s="143"/>
      <c r="D195" s="97"/>
      <c r="E195" s="144"/>
      <c r="F195" s="144"/>
      <c r="G195" s="97"/>
      <c r="H195" s="143"/>
      <c r="I195" s="97"/>
      <c r="J195" s="97"/>
      <c r="K195" s="113"/>
      <c r="L195" s="114"/>
      <c r="M195" s="102"/>
      <c r="N195" s="124"/>
      <c r="O195" s="125"/>
      <c r="P195" s="97"/>
      <c r="Q195" s="131"/>
      <c r="R195" s="126"/>
      <c r="S195" s="97"/>
      <c r="T195" s="97"/>
      <c r="V195" s="108"/>
    </row>
    <row r="196" ht="15.75" customHeight="1">
      <c r="A196" s="91"/>
      <c r="B196" s="142"/>
      <c r="C196" s="143"/>
      <c r="D196" s="97"/>
      <c r="E196" s="144"/>
      <c r="F196" s="144"/>
      <c r="G196" s="97"/>
      <c r="H196" s="143"/>
      <c r="I196" s="97"/>
      <c r="J196" s="97"/>
      <c r="K196" s="100"/>
      <c r="L196" s="101"/>
      <c r="M196" s="102"/>
      <c r="N196" s="124"/>
      <c r="O196" s="125"/>
      <c r="P196" s="97"/>
      <c r="Q196" s="131"/>
      <c r="R196" s="126"/>
      <c r="S196" s="97"/>
      <c r="T196" s="97"/>
      <c r="V196" s="108"/>
    </row>
    <row r="197" ht="15.75" customHeight="1">
      <c r="A197" s="91"/>
      <c r="B197" s="142"/>
      <c r="C197" s="143"/>
      <c r="D197" s="97"/>
      <c r="E197" s="144"/>
      <c r="F197" s="144"/>
      <c r="G197" s="97"/>
      <c r="H197" s="143"/>
      <c r="I197" s="97"/>
      <c r="J197" s="97"/>
      <c r="K197" s="113"/>
      <c r="L197" s="114"/>
      <c r="M197" s="102"/>
      <c r="N197" s="124"/>
      <c r="O197" s="125"/>
      <c r="P197" s="97"/>
      <c r="Q197" s="131"/>
      <c r="R197" s="126"/>
      <c r="S197" s="97"/>
      <c r="T197" s="97"/>
      <c r="V197" s="108"/>
    </row>
    <row r="198" ht="15.75" customHeight="1">
      <c r="A198" s="91"/>
      <c r="B198" s="142"/>
      <c r="C198" s="143"/>
      <c r="D198" s="97"/>
      <c r="E198" s="144"/>
      <c r="F198" s="144"/>
      <c r="G198" s="97"/>
      <c r="H198" s="143"/>
      <c r="I198" s="97"/>
      <c r="J198" s="97"/>
      <c r="K198" s="100"/>
      <c r="L198" s="101"/>
      <c r="M198" s="102"/>
      <c r="N198" s="124"/>
      <c r="O198" s="125"/>
      <c r="P198" s="97"/>
      <c r="Q198" s="131"/>
      <c r="R198" s="126"/>
      <c r="S198" s="97"/>
      <c r="T198" s="97"/>
      <c r="V198" s="108"/>
    </row>
    <row r="199" ht="15.75" customHeight="1">
      <c r="A199" s="91"/>
      <c r="B199" s="142"/>
      <c r="C199" s="143"/>
      <c r="D199" s="97"/>
      <c r="E199" s="144"/>
      <c r="F199" s="144"/>
      <c r="G199" s="97"/>
      <c r="H199" s="143"/>
      <c r="I199" s="97"/>
      <c r="J199" s="97"/>
      <c r="K199" s="113"/>
      <c r="L199" s="114"/>
      <c r="M199" s="102"/>
      <c r="N199" s="124"/>
      <c r="O199" s="125"/>
      <c r="P199" s="97"/>
      <c r="Q199" s="131"/>
      <c r="R199" s="126"/>
      <c r="S199" s="97"/>
      <c r="T199" s="97"/>
      <c r="V199" s="108"/>
    </row>
    <row r="200" ht="15.75" customHeight="1">
      <c r="A200" s="91"/>
      <c r="B200" s="142"/>
      <c r="C200" s="108"/>
      <c r="D200" s="97"/>
      <c r="E200" s="144"/>
      <c r="F200" s="144"/>
      <c r="G200" s="97"/>
      <c r="H200" s="143"/>
      <c r="I200" s="97"/>
      <c r="J200" s="97"/>
      <c r="K200" s="100"/>
      <c r="L200" s="101"/>
      <c r="M200" s="102"/>
      <c r="N200" s="124"/>
      <c r="O200" s="125"/>
      <c r="P200" s="97"/>
      <c r="Q200" s="131"/>
      <c r="R200" s="126"/>
      <c r="S200" s="97"/>
      <c r="T200" s="97"/>
      <c r="V200" s="108"/>
    </row>
    <row r="201" ht="15.75" customHeight="1">
      <c r="A201" s="91"/>
      <c r="B201" s="142"/>
      <c r="C201" s="143"/>
      <c r="D201" s="97"/>
      <c r="E201" s="144"/>
      <c r="F201" s="144"/>
      <c r="G201" s="97"/>
      <c r="H201" s="143"/>
      <c r="I201" s="97"/>
      <c r="J201" s="97"/>
      <c r="K201" s="113"/>
      <c r="L201" s="114"/>
      <c r="M201" s="102"/>
      <c r="N201" s="124"/>
      <c r="O201" s="125"/>
      <c r="P201" s="97"/>
      <c r="Q201" s="131"/>
      <c r="R201" s="126"/>
      <c r="S201" s="97"/>
      <c r="T201" s="97"/>
      <c r="V201" s="108"/>
    </row>
    <row r="202" ht="15.75" customHeight="1">
      <c r="A202" s="91"/>
      <c r="B202" s="142"/>
      <c r="C202" s="143"/>
      <c r="D202" s="97"/>
      <c r="E202" s="144"/>
      <c r="F202" s="144"/>
      <c r="G202" s="97"/>
      <c r="H202" s="143"/>
      <c r="I202" s="97"/>
      <c r="J202" s="97"/>
      <c r="K202" s="100"/>
      <c r="L202" s="101"/>
      <c r="M202" s="102"/>
      <c r="N202" s="124"/>
      <c r="O202" s="125"/>
      <c r="P202" s="97"/>
      <c r="Q202" s="131"/>
      <c r="R202" s="126"/>
      <c r="S202" s="97"/>
      <c r="T202" s="97"/>
      <c r="V202" s="108"/>
    </row>
    <row r="203" ht="15.75" customHeight="1">
      <c r="A203" s="91"/>
      <c r="B203" s="142"/>
      <c r="C203" s="143"/>
      <c r="D203" s="97"/>
      <c r="E203" s="144"/>
      <c r="F203" s="144"/>
      <c r="G203" s="97"/>
      <c r="H203" s="143"/>
      <c r="I203" s="97"/>
      <c r="J203" s="97"/>
      <c r="K203" s="113"/>
      <c r="L203" s="114"/>
      <c r="M203" s="102"/>
      <c r="N203" s="124"/>
      <c r="O203" s="125"/>
      <c r="P203" s="97"/>
      <c r="Q203" s="131"/>
      <c r="R203" s="126"/>
      <c r="S203" s="97"/>
      <c r="T203" s="97"/>
      <c r="V203" s="108"/>
    </row>
    <row r="204" ht="15.75" customHeight="1">
      <c r="A204" s="91"/>
      <c r="B204" s="142"/>
      <c r="C204" s="143"/>
      <c r="D204" s="97"/>
      <c r="E204" s="144"/>
      <c r="F204" s="144"/>
      <c r="G204" s="97"/>
      <c r="H204" s="143"/>
      <c r="I204" s="97"/>
      <c r="J204" s="97"/>
      <c r="K204" s="100"/>
      <c r="L204" s="101"/>
      <c r="M204" s="102"/>
      <c r="N204" s="124"/>
      <c r="O204" s="125"/>
      <c r="P204" s="97"/>
      <c r="Q204" s="131"/>
      <c r="R204" s="126"/>
      <c r="S204" s="97"/>
      <c r="T204" s="97"/>
      <c r="V204" s="108"/>
    </row>
    <row r="205" ht="15.75" customHeight="1">
      <c r="A205" s="91"/>
      <c r="B205" s="142"/>
      <c r="C205" s="143"/>
      <c r="D205" s="97"/>
      <c r="E205" s="144"/>
      <c r="F205" s="144"/>
      <c r="G205" s="97"/>
      <c r="H205" s="143"/>
      <c r="I205" s="97"/>
      <c r="J205" s="97"/>
      <c r="K205" s="113"/>
      <c r="L205" s="114"/>
      <c r="M205" s="102"/>
      <c r="N205" s="124"/>
      <c r="O205" s="125"/>
      <c r="P205" s="97"/>
      <c r="Q205" s="131"/>
      <c r="R205" s="126"/>
      <c r="S205" s="97"/>
      <c r="T205" s="97"/>
      <c r="V205" s="108"/>
    </row>
    <row r="206" ht="15.75" customHeight="1">
      <c r="A206" s="91"/>
      <c r="B206" s="142"/>
      <c r="C206" s="108"/>
      <c r="D206" s="97"/>
      <c r="E206" s="144"/>
      <c r="F206" s="144"/>
      <c r="G206" s="97"/>
      <c r="H206" s="143"/>
      <c r="I206" s="97"/>
      <c r="J206" s="97"/>
      <c r="K206" s="100"/>
      <c r="L206" s="101"/>
      <c r="M206" s="102"/>
      <c r="N206" s="124"/>
      <c r="O206" s="125"/>
      <c r="P206" s="97"/>
      <c r="Q206" s="131"/>
      <c r="R206" s="126"/>
      <c r="S206" s="97"/>
      <c r="T206" s="97"/>
      <c r="V206" s="108"/>
    </row>
    <row r="207" ht="15.75" customHeight="1">
      <c r="A207" s="91"/>
      <c r="B207" s="142"/>
      <c r="C207" s="143"/>
      <c r="D207" s="97"/>
      <c r="E207" s="144"/>
      <c r="F207" s="144"/>
      <c r="G207" s="97"/>
      <c r="H207" s="143"/>
      <c r="I207" s="97"/>
      <c r="J207" s="97"/>
      <c r="K207" s="113"/>
      <c r="L207" s="114"/>
      <c r="M207" s="102"/>
      <c r="N207" s="124"/>
      <c r="O207" s="125"/>
      <c r="P207" s="97"/>
      <c r="Q207" s="131"/>
      <c r="R207" s="126"/>
      <c r="S207" s="97"/>
      <c r="T207" s="97"/>
      <c r="V207" s="108"/>
    </row>
    <row r="208" ht="15.75" customHeight="1">
      <c r="A208" s="91"/>
      <c r="B208" s="142"/>
      <c r="C208" s="143"/>
      <c r="D208" s="97"/>
      <c r="E208" s="144"/>
      <c r="F208" s="144"/>
      <c r="G208" s="97"/>
      <c r="H208" s="143"/>
      <c r="I208" s="97"/>
      <c r="J208" s="97"/>
      <c r="K208" s="100"/>
      <c r="L208" s="101"/>
      <c r="M208" s="102"/>
      <c r="N208" s="124"/>
      <c r="O208" s="125"/>
      <c r="P208" s="97"/>
      <c r="Q208" s="131"/>
      <c r="R208" s="126"/>
      <c r="S208" s="97"/>
      <c r="T208" s="97"/>
      <c r="V208" s="108"/>
    </row>
    <row r="209" ht="15.75" customHeight="1">
      <c r="A209" s="91"/>
      <c r="B209" s="142"/>
      <c r="C209" s="143"/>
      <c r="D209" s="97"/>
      <c r="E209" s="144"/>
      <c r="F209" s="144"/>
      <c r="G209" s="97"/>
      <c r="H209" s="143"/>
      <c r="I209" s="97"/>
      <c r="J209" s="97"/>
      <c r="K209" s="113"/>
      <c r="L209" s="114"/>
      <c r="M209" s="102"/>
      <c r="N209" s="124"/>
      <c r="O209" s="125"/>
      <c r="P209" s="97"/>
      <c r="Q209" s="131"/>
      <c r="R209" s="126"/>
      <c r="S209" s="97"/>
      <c r="T209" s="97"/>
      <c r="V209" s="108"/>
    </row>
    <row r="210" ht="15.75" customHeight="1">
      <c r="A210" s="91"/>
      <c r="B210" s="142"/>
      <c r="C210" s="143"/>
      <c r="D210" s="97"/>
      <c r="E210" s="144"/>
      <c r="F210" s="144"/>
      <c r="G210" s="97"/>
      <c r="H210" s="143"/>
      <c r="I210" s="97"/>
      <c r="J210" s="97"/>
      <c r="K210" s="100"/>
      <c r="L210" s="101"/>
      <c r="M210" s="102"/>
      <c r="N210" s="124"/>
      <c r="O210" s="125"/>
      <c r="P210" s="97"/>
      <c r="Q210" s="131"/>
      <c r="R210" s="126"/>
      <c r="S210" s="97"/>
      <c r="T210" s="97"/>
      <c r="V210" s="108"/>
    </row>
    <row r="211" ht="15.75" customHeight="1">
      <c r="A211" s="91"/>
      <c r="B211" s="142"/>
      <c r="C211" s="143"/>
      <c r="D211" s="97"/>
      <c r="E211" s="144"/>
      <c r="F211" s="144"/>
      <c r="G211" s="97"/>
      <c r="H211" s="143"/>
      <c r="I211" s="97"/>
      <c r="J211" s="97"/>
      <c r="K211" s="113"/>
      <c r="L211" s="114"/>
      <c r="M211" s="102"/>
      <c r="N211" s="124"/>
      <c r="O211" s="125"/>
      <c r="P211" s="97"/>
      <c r="Q211" s="131"/>
      <c r="R211" s="126"/>
      <c r="S211" s="97"/>
      <c r="T211" s="97"/>
      <c r="V211" s="108"/>
    </row>
    <row r="212" ht="15.75" customHeight="1">
      <c r="A212" s="91"/>
      <c r="B212" s="142"/>
      <c r="C212" s="108"/>
      <c r="D212" s="97"/>
      <c r="E212" s="144"/>
      <c r="F212" s="144"/>
      <c r="G212" s="97"/>
      <c r="H212" s="143"/>
      <c r="I212" s="97"/>
      <c r="J212" s="97"/>
      <c r="K212" s="100"/>
      <c r="L212" s="101"/>
      <c r="M212" s="102"/>
      <c r="N212" s="124"/>
      <c r="O212" s="125"/>
      <c r="P212" s="97"/>
      <c r="Q212" s="131"/>
      <c r="R212" s="126"/>
      <c r="S212" s="97"/>
      <c r="T212" s="97"/>
      <c r="V212" s="108"/>
    </row>
    <row r="213" ht="15.75" customHeight="1">
      <c r="A213" s="91"/>
      <c r="B213" s="142"/>
      <c r="C213" s="143"/>
      <c r="D213" s="97"/>
      <c r="E213" s="144"/>
      <c r="F213" s="144"/>
      <c r="G213" s="97"/>
      <c r="H213" s="143"/>
      <c r="I213" s="97"/>
      <c r="J213" s="97"/>
      <c r="K213" s="113"/>
      <c r="L213" s="114"/>
      <c r="M213" s="102"/>
      <c r="N213" s="124"/>
      <c r="O213" s="125"/>
      <c r="P213" s="97"/>
      <c r="Q213" s="131"/>
      <c r="R213" s="126"/>
      <c r="S213" s="97"/>
      <c r="T213" s="97"/>
      <c r="V213" s="108"/>
    </row>
    <row r="214" ht="15.75" customHeight="1">
      <c r="A214" s="91"/>
      <c r="B214" s="142"/>
      <c r="C214" s="143"/>
      <c r="D214" s="97"/>
      <c r="E214" s="144"/>
      <c r="F214" s="144"/>
      <c r="G214" s="97"/>
      <c r="H214" s="143"/>
      <c r="I214" s="97"/>
      <c r="J214" s="97"/>
      <c r="K214" s="100"/>
      <c r="L214" s="101"/>
      <c r="M214" s="102"/>
      <c r="N214" s="124"/>
      <c r="O214" s="125"/>
      <c r="P214" s="97"/>
      <c r="Q214" s="131"/>
      <c r="R214" s="126"/>
      <c r="S214" s="97"/>
      <c r="T214" s="97"/>
      <c r="V214" s="108"/>
    </row>
    <row r="215" ht="15.75" customHeight="1">
      <c r="A215" s="91"/>
      <c r="B215" s="142"/>
      <c r="C215" s="143"/>
      <c r="D215" s="97"/>
      <c r="E215" s="144"/>
      <c r="F215" s="144"/>
      <c r="G215" s="97"/>
      <c r="H215" s="143"/>
      <c r="I215" s="97"/>
      <c r="J215" s="97"/>
      <c r="K215" s="113"/>
      <c r="L215" s="114"/>
      <c r="M215" s="102"/>
      <c r="N215" s="124"/>
      <c r="O215" s="125"/>
      <c r="P215" s="97"/>
      <c r="Q215" s="131"/>
      <c r="R215" s="126"/>
      <c r="S215" s="97"/>
      <c r="T215" s="97"/>
      <c r="V215" s="108"/>
    </row>
    <row r="216" ht="15.75" customHeight="1">
      <c r="A216" s="91"/>
      <c r="B216" s="142"/>
      <c r="C216" s="143"/>
      <c r="D216" s="97"/>
      <c r="E216" s="144"/>
      <c r="F216" s="144"/>
      <c r="G216" s="97"/>
      <c r="H216" s="143"/>
      <c r="I216" s="97"/>
      <c r="J216" s="97"/>
      <c r="K216" s="100"/>
      <c r="L216" s="101"/>
      <c r="M216" s="102"/>
      <c r="N216" s="124"/>
      <c r="O216" s="125"/>
      <c r="P216" s="97"/>
      <c r="Q216" s="131"/>
      <c r="R216" s="126"/>
      <c r="S216" s="97"/>
      <c r="T216" s="97"/>
      <c r="V216" s="108"/>
    </row>
    <row r="217" ht="15.75" customHeight="1">
      <c r="A217" s="91"/>
      <c r="B217" s="142"/>
      <c r="C217" s="143"/>
      <c r="D217" s="97"/>
      <c r="E217" s="144"/>
      <c r="F217" s="144"/>
      <c r="G217" s="97"/>
      <c r="H217" s="143"/>
      <c r="I217" s="97"/>
      <c r="J217" s="97"/>
      <c r="K217" s="113"/>
      <c r="L217" s="114"/>
      <c r="M217" s="102"/>
      <c r="N217" s="124"/>
      <c r="O217" s="125"/>
      <c r="P217" s="97"/>
      <c r="Q217" s="131"/>
      <c r="R217" s="126"/>
      <c r="S217" s="97"/>
      <c r="T217" s="97"/>
      <c r="V217" s="108"/>
    </row>
    <row r="218" ht="15.75" customHeight="1">
      <c r="A218" s="91"/>
      <c r="B218" s="142"/>
      <c r="C218" s="108"/>
      <c r="D218" s="97"/>
      <c r="E218" s="144"/>
      <c r="F218" s="144"/>
      <c r="G218" s="97"/>
      <c r="H218" s="143"/>
      <c r="I218" s="97"/>
      <c r="J218" s="97"/>
      <c r="K218" s="100"/>
      <c r="L218" s="101"/>
      <c r="M218" s="102"/>
      <c r="N218" s="124"/>
      <c r="O218" s="125"/>
      <c r="P218" s="97"/>
      <c r="Q218" s="131"/>
      <c r="R218" s="126"/>
      <c r="S218" s="97"/>
      <c r="T218" s="97"/>
      <c r="V218" s="108"/>
    </row>
    <row r="219" ht="15.75" customHeight="1">
      <c r="A219" s="91"/>
      <c r="B219" s="142"/>
      <c r="C219" s="143"/>
      <c r="D219" s="97"/>
      <c r="E219" s="144"/>
      <c r="F219" s="144"/>
      <c r="G219" s="97"/>
      <c r="H219" s="143"/>
      <c r="I219" s="97"/>
      <c r="J219" s="97"/>
      <c r="K219" s="113"/>
      <c r="L219" s="114"/>
      <c r="M219" s="102"/>
      <c r="N219" s="124"/>
      <c r="O219" s="125"/>
      <c r="P219" s="97"/>
      <c r="Q219" s="131"/>
      <c r="R219" s="126"/>
      <c r="S219" s="97"/>
      <c r="T219" s="97"/>
      <c r="V219" s="108"/>
    </row>
    <row r="220" ht="15.75" customHeight="1">
      <c r="A220" s="91"/>
      <c r="B220" s="142"/>
      <c r="C220" s="143"/>
      <c r="D220" s="97"/>
      <c r="E220" s="144"/>
      <c r="F220" s="144"/>
      <c r="G220" s="97"/>
      <c r="H220" s="143"/>
      <c r="I220" s="97"/>
      <c r="J220" s="97"/>
      <c r="K220" s="100"/>
      <c r="L220" s="101"/>
      <c r="M220" s="102"/>
      <c r="N220" s="124"/>
      <c r="O220" s="125"/>
      <c r="P220" s="97"/>
      <c r="Q220" s="131"/>
      <c r="R220" s="126"/>
      <c r="S220" s="97"/>
      <c r="T220" s="97"/>
      <c r="V220" s="108"/>
    </row>
    <row r="221" ht="15.75" customHeight="1">
      <c r="A221" s="91"/>
      <c r="B221" s="142"/>
      <c r="C221" s="143"/>
      <c r="D221" s="97"/>
      <c r="E221" s="144"/>
      <c r="F221" s="144"/>
      <c r="G221" s="97"/>
      <c r="H221" s="143"/>
      <c r="I221" s="97"/>
      <c r="J221" s="97"/>
      <c r="K221" s="113"/>
      <c r="L221" s="114"/>
      <c r="M221" s="102"/>
      <c r="N221" s="124"/>
      <c r="O221" s="125"/>
      <c r="P221" s="97"/>
      <c r="Q221" s="131"/>
      <c r="R221" s="126"/>
      <c r="S221" s="97"/>
      <c r="T221" s="97"/>
      <c r="V221" s="108"/>
    </row>
    <row r="222" ht="15.75" customHeight="1">
      <c r="A222" s="91"/>
      <c r="B222" s="142"/>
      <c r="C222" s="143"/>
      <c r="D222" s="97"/>
      <c r="E222" s="144"/>
      <c r="F222" s="144"/>
      <c r="G222" s="97"/>
      <c r="H222" s="143"/>
      <c r="I222" s="97"/>
      <c r="J222" s="97"/>
      <c r="K222" s="100"/>
      <c r="L222" s="101"/>
      <c r="M222" s="102"/>
      <c r="N222" s="124"/>
      <c r="O222" s="125"/>
      <c r="P222" s="97"/>
      <c r="Q222" s="131"/>
      <c r="R222" s="126"/>
      <c r="S222" s="97"/>
      <c r="T222" s="97"/>
      <c r="V222" s="108"/>
    </row>
    <row r="223" ht="15.75" customHeight="1">
      <c r="A223" s="91"/>
      <c r="B223" s="142"/>
      <c r="C223" s="143"/>
      <c r="D223" s="97"/>
      <c r="E223" s="144"/>
      <c r="F223" s="144"/>
      <c r="G223" s="97"/>
      <c r="H223" s="143"/>
      <c r="I223" s="97"/>
      <c r="J223" s="97"/>
      <c r="K223" s="113"/>
      <c r="L223" s="114"/>
      <c r="M223" s="102"/>
      <c r="N223" s="124"/>
      <c r="O223" s="125"/>
      <c r="P223" s="97"/>
      <c r="Q223" s="131"/>
      <c r="R223" s="126"/>
      <c r="S223" s="97"/>
      <c r="T223" s="97"/>
      <c r="V223" s="108"/>
    </row>
    <row r="224" ht="15.75" customHeight="1">
      <c r="A224" s="91"/>
      <c r="B224" s="142"/>
      <c r="C224" s="108"/>
      <c r="D224" s="97"/>
      <c r="E224" s="144"/>
      <c r="F224" s="144"/>
      <c r="G224" s="97"/>
      <c r="H224" s="143"/>
      <c r="I224" s="97"/>
      <c r="J224" s="97"/>
      <c r="K224" s="100"/>
      <c r="L224" s="101"/>
      <c r="M224" s="102"/>
      <c r="N224" s="124"/>
      <c r="O224" s="125"/>
      <c r="P224" s="97"/>
      <c r="Q224" s="131"/>
      <c r="R224" s="126"/>
      <c r="S224" s="97"/>
      <c r="T224" s="97"/>
      <c r="V224" s="108"/>
    </row>
    <row r="225" ht="15.75" customHeight="1">
      <c r="A225" s="91"/>
      <c r="B225" s="142"/>
      <c r="C225" s="143"/>
      <c r="D225" s="97"/>
      <c r="E225" s="144"/>
      <c r="F225" s="144"/>
      <c r="G225" s="97"/>
      <c r="H225" s="143"/>
      <c r="I225" s="97"/>
      <c r="J225" s="97"/>
      <c r="K225" s="113"/>
      <c r="L225" s="114"/>
      <c r="M225" s="102"/>
      <c r="N225" s="124"/>
      <c r="O225" s="125"/>
      <c r="P225" s="97"/>
      <c r="Q225" s="131"/>
      <c r="R225" s="126"/>
      <c r="S225" s="97"/>
      <c r="T225" s="97"/>
      <c r="V225" s="108"/>
    </row>
    <row r="226" ht="15.75" customHeight="1">
      <c r="A226" s="91"/>
      <c r="B226" s="142"/>
      <c r="C226" s="143"/>
      <c r="D226" s="97"/>
      <c r="E226" s="144"/>
      <c r="F226" s="144"/>
      <c r="G226" s="97"/>
      <c r="H226" s="143"/>
      <c r="I226" s="97"/>
      <c r="J226" s="97"/>
      <c r="K226" s="100"/>
      <c r="L226" s="101"/>
      <c r="M226" s="102"/>
      <c r="N226" s="124"/>
      <c r="O226" s="125"/>
      <c r="P226" s="97"/>
      <c r="Q226" s="131"/>
      <c r="R226" s="126"/>
      <c r="S226" s="97"/>
      <c r="T226" s="97"/>
      <c r="V226" s="108"/>
    </row>
    <row r="227" ht="15.75" customHeight="1">
      <c r="A227" s="91"/>
      <c r="B227" s="142"/>
      <c r="C227" s="143"/>
      <c r="D227" s="97"/>
      <c r="E227" s="144"/>
      <c r="F227" s="144"/>
      <c r="G227" s="97"/>
      <c r="H227" s="143"/>
      <c r="I227" s="97"/>
      <c r="J227" s="97"/>
      <c r="K227" s="113"/>
      <c r="L227" s="114"/>
      <c r="M227" s="102"/>
      <c r="N227" s="124"/>
      <c r="O227" s="125"/>
      <c r="P227" s="97"/>
      <c r="Q227" s="131"/>
      <c r="R227" s="126"/>
      <c r="S227" s="97"/>
      <c r="T227" s="97"/>
      <c r="V227" s="108"/>
    </row>
    <row r="228" ht="15.75" customHeight="1">
      <c r="A228" s="91"/>
      <c r="B228" s="142"/>
      <c r="C228" s="143"/>
      <c r="D228" s="97"/>
      <c r="E228" s="144"/>
      <c r="F228" s="144"/>
      <c r="G228" s="97"/>
      <c r="H228" s="143"/>
      <c r="I228" s="97"/>
      <c r="J228" s="97"/>
      <c r="K228" s="100"/>
      <c r="L228" s="101"/>
      <c r="M228" s="102"/>
      <c r="N228" s="124"/>
      <c r="O228" s="125"/>
      <c r="P228" s="97"/>
      <c r="Q228" s="131"/>
      <c r="R228" s="126"/>
      <c r="S228" s="97"/>
      <c r="T228" s="97"/>
      <c r="V228" s="108"/>
    </row>
    <row r="229" ht="15.75" customHeight="1">
      <c r="A229" s="91"/>
      <c r="B229" s="142"/>
      <c r="C229" s="143"/>
      <c r="D229" s="97"/>
      <c r="E229" s="144"/>
      <c r="F229" s="144"/>
      <c r="G229" s="97"/>
      <c r="H229" s="143"/>
      <c r="I229" s="97"/>
      <c r="J229" s="97"/>
      <c r="K229" s="113"/>
      <c r="L229" s="114"/>
      <c r="M229" s="102"/>
      <c r="N229" s="124"/>
      <c r="O229" s="125"/>
      <c r="P229" s="97"/>
      <c r="Q229" s="131"/>
      <c r="R229" s="126"/>
      <c r="S229" s="97"/>
      <c r="T229" s="97"/>
      <c r="V229" s="108"/>
    </row>
    <row r="230" ht="15.75" customHeight="1">
      <c r="A230" s="91"/>
      <c r="B230" s="142"/>
      <c r="C230" s="108"/>
      <c r="D230" s="97"/>
      <c r="E230" s="144"/>
      <c r="F230" s="144"/>
      <c r="G230" s="97"/>
      <c r="H230" s="143"/>
      <c r="I230" s="97"/>
      <c r="J230" s="97"/>
      <c r="K230" s="100"/>
      <c r="L230" s="101"/>
      <c r="M230" s="102"/>
      <c r="N230" s="124"/>
      <c r="O230" s="125"/>
      <c r="P230" s="97"/>
      <c r="Q230" s="131"/>
      <c r="R230" s="126"/>
      <c r="S230" s="97"/>
      <c r="T230" s="97"/>
      <c r="V230" s="108"/>
    </row>
    <row r="231" ht="15.75" customHeight="1">
      <c r="A231" s="91"/>
      <c r="B231" s="142"/>
      <c r="C231" s="143"/>
      <c r="D231" s="97"/>
      <c r="E231" s="144"/>
      <c r="F231" s="144"/>
      <c r="G231" s="97"/>
      <c r="H231" s="143"/>
      <c r="I231" s="97"/>
      <c r="J231" s="97"/>
      <c r="K231" s="113"/>
      <c r="L231" s="114"/>
      <c r="M231" s="102"/>
      <c r="N231" s="124"/>
      <c r="O231" s="125"/>
      <c r="P231" s="97"/>
      <c r="Q231" s="131"/>
      <c r="R231" s="126"/>
      <c r="S231" s="97"/>
      <c r="T231" s="97"/>
      <c r="V231" s="108"/>
    </row>
    <row r="232" ht="15.75" customHeight="1">
      <c r="A232" s="91"/>
      <c r="B232" s="142"/>
      <c r="C232" s="143"/>
      <c r="D232" s="97"/>
      <c r="E232" s="144"/>
      <c r="F232" s="144"/>
      <c r="G232" s="97"/>
      <c r="H232" s="143"/>
      <c r="I232" s="97"/>
      <c r="J232" s="97"/>
      <c r="K232" s="100"/>
      <c r="L232" s="101"/>
      <c r="M232" s="102"/>
      <c r="N232" s="124"/>
      <c r="O232" s="125"/>
      <c r="P232" s="97"/>
      <c r="Q232" s="131"/>
      <c r="R232" s="126"/>
      <c r="S232" s="97"/>
      <c r="T232" s="97"/>
      <c r="V232" s="108"/>
    </row>
    <row r="233" ht="15.75" customHeight="1">
      <c r="A233" s="91"/>
      <c r="B233" s="142"/>
      <c r="C233" s="143"/>
      <c r="D233" s="97"/>
      <c r="E233" s="144"/>
      <c r="F233" s="144"/>
      <c r="G233" s="97"/>
      <c r="H233" s="143"/>
      <c r="I233" s="97"/>
      <c r="J233" s="97"/>
      <c r="K233" s="113"/>
      <c r="L233" s="114"/>
      <c r="M233" s="102"/>
      <c r="N233" s="124"/>
      <c r="O233" s="125"/>
      <c r="P233" s="97"/>
      <c r="Q233" s="131"/>
      <c r="R233" s="126"/>
      <c r="S233" s="97"/>
      <c r="T233" s="97"/>
      <c r="V233" s="108"/>
    </row>
    <row r="234" ht="15.75" customHeight="1">
      <c r="A234" s="91"/>
      <c r="B234" s="142"/>
      <c r="C234" s="143"/>
      <c r="D234" s="97"/>
      <c r="E234" s="144"/>
      <c r="F234" s="144"/>
      <c r="G234" s="97"/>
      <c r="H234" s="143"/>
      <c r="I234" s="97"/>
      <c r="J234" s="97"/>
      <c r="K234" s="100"/>
      <c r="L234" s="101"/>
      <c r="M234" s="102"/>
      <c r="N234" s="124"/>
      <c r="O234" s="125"/>
      <c r="P234" s="97"/>
      <c r="Q234" s="131"/>
      <c r="R234" s="126"/>
      <c r="S234" s="97"/>
      <c r="T234" s="97"/>
      <c r="V234" s="108"/>
    </row>
    <row r="235" ht="15.75" customHeight="1">
      <c r="A235" s="91"/>
      <c r="B235" s="142"/>
      <c r="C235" s="143"/>
      <c r="D235" s="97"/>
      <c r="E235" s="144"/>
      <c r="F235" s="144"/>
      <c r="G235" s="97"/>
      <c r="H235" s="143"/>
      <c r="I235" s="97"/>
      <c r="J235" s="97"/>
      <c r="K235" s="113"/>
      <c r="L235" s="114"/>
      <c r="M235" s="102"/>
      <c r="N235" s="124"/>
      <c r="O235" s="125"/>
      <c r="P235" s="97"/>
      <c r="Q235" s="131"/>
      <c r="R235" s="126"/>
      <c r="S235" s="97"/>
      <c r="T235" s="97"/>
      <c r="V235" s="108"/>
    </row>
    <row r="236" ht="15.75" customHeight="1">
      <c r="A236" s="91"/>
      <c r="B236" s="142"/>
      <c r="C236" s="108"/>
      <c r="D236" s="97"/>
      <c r="E236" s="144"/>
      <c r="F236" s="144"/>
      <c r="G236" s="97"/>
      <c r="H236" s="143"/>
      <c r="I236" s="97"/>
      <c r="J236" s="97"/>
      <c r="K236" s="100"/>
      <c r="L236" s="101"/>
      <c r="M236" s="102"/>
      <c r="N236" s="124"/>
      <c r="O236" s="125"/>
      <c r="P236" s="97"/>
      <c r="Q236" s="131"/>
      <c r="R236" s="126"/>
      <c r="S236" s="97"/>
      <c r="T236" s="97"/>
      <c r="V236" s="108"/>
    </row>
    <row r="237" ht="15.75" customHeight="1">
      <c r="A237" s="91"/>
      <c r="B237" s="142"/>
      <c r="C237" s="143"/>
      <c r="D237" s="97"/>
      <c r="E237" s="144"/>
      <c r="F237" s="144"/>
      <c r="G237" s="97"/>
      <c r="H237" s="143"/>
      <c r="I237" s="97"/>
      <c r="J237" s="97"/>
      <c r="K237" s="113"/>
      <c r="L237" s="114"/>
      <c r="M237" s="102"/>
      <c r="N237" s="124"/>
      <c r="O237" s="125"/>
      <c r="P237" s="97"/>
      <c r="Q237" s="131"/>
      <c r="R237" s="126"/>
      <c r="S237" s="97"/>
      <c r="T237" s="97"/>
      <c r="V237" s="108"/>
    </row>
    <row r="238" ht="15.75" customHeight="1">
      <c r="A238" s="91"/>
      <c r="B238" s="142"/>
      <c r="C238" s="143"/>
      <c r="D238" s="97"/>
      <c r="E238" s="144"/>
      <c r="F238" s="144"/>
      <c r="G238" s="97"/>
      <c r="H238" s="143"/>
      <c r="I238" s="97"/>
      <c r="J238" s="97"/>
      <c r="K238" s="100"/>
      <c r="L238" s="101"/>
      <c r="M238" s="102"/>
      <c r="N238" s="124"/>
      <c r="O238" s="125"/>
      <c r="P238" s="97"/>
      <c r="Q238" s="131"/>
      <c r="R238" s="126"/>
      <c r="S238" s="97"/>
      <c r="T238" s="97"/>
      <c r="V238" s="108"/>
    </row>
    <row r="239" ht="15.75" customHeight="1">
      <c r="A239" s="91"/>
      <c r="B239" s="142"/>
      <c r="C239" s="143"/>
      <c r="D239" s="97"/>
      <c r="E239" s="144"/>
      <c r="F239" s="144"/>
      <c r="G239" s="97"/>
      <c r="H239" s="143"/>
      <c r="I239" s="97"/>
      <c r="J239" s="97"/>
      <c r="K239" s="113"/>
      <c r="L239" s="114"/>
      <c r="M239" s="102"/>
      <c r="N239" s="124"/>
      <c r="O239" s="125"/>
      <c r="P239" s="97"/>
      <c r="Q239" s="131"/>
      <c r="R239" s="126"/>
      <c r="S239" s="97"/>
      <c r="T239" s="97"/>
      <c r="V239" s="108"/>
    </row>
    <row r="240" ht="15.75" customHeight="1">
      <c r="A240" s="91"/>
      <c r="B240" s="142"/>
      <c r="C240" s="143"/>
      <c r="D240" s="97"/>
      <c r="E240" s="144"/>
      <c r="F240" s="144"/>
      <c r="G240" s="97"/>
      <c r="H240" s="143"/>
      <c r="I240" s="97"/>
      <c r="J240" s="97"/>
      <c r="K240" s="100"/>
      <c r="L240" s="101"/>
      <c r="M240" s="102"/>
      <c r="N240" s="124"/>
      <c r="O240" s="125"/>
      <c r="P240" s="97"/>
      <c r="Q240" s="131"/>
      <c r="R240" s="126"/>
      <c r="S240" s="97"/>
      <c r="T240" s="97"/>
      <c r="V240" s="108"/>
    </row>
    <row r="241" ht="15.75" customHeight="1">
      <c r="A241" s="91"/>
      <c r="B241" s="142"/>
      <c r="C241" s="143"/>
      <c r="D241" s="97"/>
      <c r="E241" s="144"/>
      <c r="F241" s="144"/>
      <c r="G241" s="97"/>
      <c r="H241" s="143"/>
      <c r="I241" s="97"/>
      <c r="J241" s="97"/>
      <c r="K241" s="113"/>
      <c r="L241" s="114"/>
      <c r="M241" s="102"/>
      <c r="N241" s="124"/>
      <c r="O241" s="125"/>
      <c r="P241" s="97"/>
      <c r="Q241" s="131"/>
      <c r="R241" s="126"/>
      <c r="S241" s="97"/>
      <c r="T241" s="97"/>
      <c r="V241" s="108"/>
    </row>
    <row r="242" ht="15.75" customHeight="1">
      <c r="A242" s="91"/>
      <c r="B242" s="142"/>
      <c r="C242" s="108"/>
      <c r="D242" s="97"/>
      <c r="E242" s="144"/>
      <c r="F242" s="144"/>
      <c r="G242" s="97"/>
      <c r="H242" s="143"/>
      <c r="I242" s="97"/>
      <c r="J242" s="97"/>
      <c r="K242" s="100"/>
      <c r="L242" s="101"/>
      <c r="M242" s="102"/>
      <c r="N242" s="124"/>
      <c r="O242" s="125"/>
      <c r="P242" s="97"/>
      <c r="Q242" s="131"/>
      <c r="R242" s="126"/>
      <c r="S242" s="97"/>
      <c r="T242" s="97"/>
      <c r="V242" s="108"/>
    </row>
    <row r="243" ht="15.75" customHeight="1">
      <c r="A243" s="91"/>
      <c r="B243" s="142"/>
      <c r="C243" s="143"/>
      <c r="D243" s="97"/>
      <c r="E243" s="144"/>
      <c r="F243" s="144"/>
      <c r="G243" s="97"/>
      <c r="H243" s="143"/>
      <c r="I243" s="97"/>
      <c r="J243" s="97"/>
      <c r="K243" s="113"/>
      <c r="L243" s="114"/>
      <c r="M243" s="102"/>
      <c r="N243" s="124"/>
      <c r="O243" s="125"/>
      <c r="P243" s="97"/>
      <c r="Q243" s="131"/>
      <c r="R243" s="126"/>
      <c r="S243" s="97"/>
      <c r="T243" s="97"/>
      <c r="V243" s="108"/>
    </row>
    <row r="244" ht="15.75" customHeight="1">
      <c r="A244" s="91"/>
      <c r="B244" s="142"/>
      <c r="C244" s="143"/>
      <c r="D244" s="97"/>
      <c r="E244" s="144"/>
      <c r="F244" s="144"/>
      <c r="G244" s="97"/>
      <c r="H244" s="143"/>
      <c r="I244" s="97"/>
      <c r="J244" s="97"/>
      <c r="K244" s="100"/>
      <c r="L244" s="101"/>
      <c r="M244" s="102"/>
      <c r="N244" s="124"/>
      <c r="O244" s="125"/>
      <c r="P244" s="97"/>
      <c r="Q244" s="131"/>
      <c r="R244" s="126"/>
      <c r="S244" s="97"/>
      <c r="T244" s="97"/>
      <c r="V244" s="108"/>
    </row>
    <row r="245" ht="15.75" customHeight="1">
      <c r="A245" s="91"/>
      <c r="B245" s="142"/>
      <c r="C245" s="143"/>
      <c r="D245" s="97"/>
      <c r="E245" s="144"/>
      <c r="F245" s="144"/>
      <c r="G245" s="97"/>
      <c r="H245" s="143"/>
      <c r="I245" s="97"/>
      <c r="J245" s="97"/>
      <c r="K245" s="147"/>
      <c r="L245" s="148"/>
      <c r="M245" s="102"/>
      <c r="N245" s="124"/>
      <c r="O245" s="125"/>
      <c r="P245" s="97"/>
      <c r="Q245" s="131"/>
      <c r="R245" s="126"/>
      <c r="S245" s="97"/>
      <c r="T245" s="97"/>
      <c r="V245" s="108"/>
    </row>
    <row r="246" ht="15.75" customHeight="1">
      <c r="A246" s="91"/>
      <c r="B246" s="142"/>
      <c r="C246" s="143"/>
      <c r="D246" s="97"/>
      <c r="E246" s="144"/>
      <c r="F246" s="144"/>
      <c r="G246" s="97"/>
      <c r="H246" s="143"/>
      <c r="I246" s="97"/>
      <c r="J246" s="97"/>
      <c r="K246" s="149"/>
      <c r="L246" s="150"/>
      <c r="M246" s="102"/>
      <c r="N246" s="124"/>
      <c r="O246" s="125"/>
      <c r="P246" s="97"/>
      <c r="Q246" s="131"/>
      <c r="R246" s="126"/>
      <c r="S246" s="97"/>
      <c r="T246" s="97"/>
      <c r="V246" s="108"/>
    </row>
    <row r="247" ht="15.75" customHeight="1">
      <c r="A247" s="91"/>
      <c r="B247" s="142"/>
      <c r="C247" s="143"/>
      <c r="D247" s="97"/>
      <c r="E247" s="144"/>
      <c r="F247" s="144"/>
      <c r="G247" s="97"/>
      <c r="H247" s="143"/>
      <c r="I247" s="97"/>
      <c r="J247" s="97"/>
      <c r="K247" s="147"/>
      <c r="L247" s="148"/>
      <c r="M247" s="102"/>
      <c r="N247" s="124"/>
      <c r="O247" s="125"/>
      <c r="P247" s="97"/>
      <c r="Q247" s="131"/>
      <c r="R247" s="126"/>
      <c r="S247" s="97"/>
      <c r="T247" s="97"/>
      <c r="V247" s="108"/>
    </row>
    <row r="248" ht="15.75" customHeight="1">
      <c r="A248" s="91"/>
      <c r="B248" s="142"/>
      <c r="C248" s="108"/>
      <c r="D248" s="97"/>
      <c r="E248" s="144"/>
      <c r="F248" s="144"/>
      <c r="G248" s="97"/>
      <c r="H248" s="143"/>
      <c r="I248" s="97"/>
      <c r="J248" s="97"/>
      <c r="K248" s="149"/>
      <c r="L248" s="150"/>
      <c r="M248" s="102"/>
      <c r="N248" s="124"/>
      <c r="O248" s="125"/>
      <c r="P248" s="97"/>
      <c r="Q248" s="131"/>
      <c r="R248" s="126"/>
      <c r="S248" s="97"/>
      <c r="T248" s="97"/>
      <c r="V248" s="108"/>
    </row>
    <row r="249" ht="15.75" customHeight="1">
      <c r="A249" s="91"/>
      <c r="B249" s="142"/>
      <c r="C249" s="143"/>
      <c r="D249" s="97"/>
      <c r="E249" s="144"/>
      <c r="F249" s="144"/>
      <c r="G249" s="97"/>
      <c r="H249" s="143"/>
      <c r="I249" s="97"/>
      <c r="J249" s="97"/>
      <c r="K249" s="147"/>
      <c r="L249" s="148"/>
      <c r="M249" s="102"/>
      <c r="N249" s="124"/>
      <c r="O249" s="125"/>
      <c r="P249" s="97"/>
      <c r="Q249" s="131"/>
      <c r="R249" s="126"/>
      <c r="S249" s="97"/>
      <c r="T249" s="97"/>
      <c r="V249" s="108"/>
    </row>
    <row r="250" ht="15.75" customHeight="1">
      <c r="A250" s="91"/>
      <c r="B250" s="142"/>
      <c r="C250" s="143"/>
      <c r="D250" s="97"/>
      <c r="E250" s="144"/>
      <c r="F250" s="144"/>
      <c r="G250" s="97"/>
      <c r="H250" s="143"/>
      <c r="I250" s="97"/>
      <c r="J250" s="97"/>
      <c r="K250" s="149"/>
      <c r="L250" s="150"/>
      <c r="M250" s="102"/>
      <c r="N250" s="124"/>
      <c r="O250" s="125"/>
      <c r="P250" s="97"/>
      <c r="Q250" s="131"/>
      <c r="R250" s="126"/>
      <c r="S250" s="97"/>
      <c r="T250" s="97"/>
      <c r="V250" s="108"/>
    </row>
    <row r="251" ht="15.75" customHeight="1">
      <c r="A251" s="91"/>
      <c r="B251" s="142"/>
      <c r="C251" s="143"/>
      <c r="D251" s="97"/>
      <c r="E251" s="144"/>
      <c r="F251" s="144"/>
      <c r="G251" s="97"/>
      <c r="H251" s="143"/>
      <c r="I251" s="97"/>
      <c r="J251" s="97"/>
      <c r="K251" s="147"/>
      <c r="L251" s="148"/>
      <c r="M251" s="102"/>
      <c r="N251" s="124"/>
      <c r="O251" s="125"/>
      <c r="P251" s="97"/>
      <c r="Q251" s="131"/>
      <c r="R251" s="126"/>
      <c r="S251" s="97"/>
      <c r="T251" s="97"/>
      <c r="V251" s="108"/>
    </row>
    <row r="252" ht="15.75" customHeight="1">
      <c r="A252" s="91"/>
      <c r="B252" s="142"/>
      <c r="C252" s="143"/>
      <c r="D252" s="97"/>
      <c r="E252" s="144"/>
      <c r="F252" s="144"/>
      <c r="G252" s="97"/>
      <c r="H252" s="143"/>
      <c r="I252" s="97"/>
      <c r="J252" s="97"/>
      <c r="K252" s="149"/>
      <c r="L252" s="150"/>
      <c r="M252" s="102"/>
      <c r="N252" s="124"/>
      <c r="O252" s="125"/>
      <c r="P252" s="97"/>
      <c r="Q252" s="131"/>
      <c r="R252" s="126"/>
      <c r="S252" s="97"/>
      <c r="T252" s="97"/>
      <c r="V252" s="108"/>
    </row>
    <row r="253" ht="15.75" customHeight="1">
      <c r="A253" s="91"/>
      <c r="B253" s="142"/>
      <c r="C253" s="143"/>
      <c r="D253" s="97"/>
      <c r="E253" s="144"/>
      <c r="F253" s="144"/>
      <c r="G253" s="97"/>
      <c r="H253" s="143"/>
      <c r="I253" s="97"/>
      <c r="J253" s="97"/>
      <c r="K253" s="147"/>
      <c r="L253" s="148"/>
      <c r="M253" s="102"/>
      <c r="N253" s="124"/>
      <c r="O253" s="125"/>
      <c r="P253" s="97"/>
      <c r="Q253" s="131"/>
      <c r="R253" s="126"/>
      <c r="S253" s="97"/>
      <c r="T253" s="97"/>
      <c r="V253" s="108"/>
    </row>
    <row r="254" ht="15.75" customHeight="1">
      <c r="A254" s="91"/>
      <c r="B254" s="142"/>
      <c r="C254" s="108"/>
      <c r="D254" s="97"/>
      <c r="E254" s="144"/>
      <c r="F254" s="144"/>
      <c r="G254" s="97"/>
      <c r="H254" s="143"/>
      <c r="I254" s="97"/>
      <c r="J254" s="97"/>
      <c r="K254" s="149"/>
      <c r="L254" s="150"/>
      <c r="M254" s="102"/>
      <c r="N254" s="124"/>
      <c r="O254" s="125"/>
      <c r="P254" s="97"/>
      <c r="Q254" s="131"/>
      <c r="R254" s="126"/>
      <c r="S254" s="97"/>
      <c r="T254" s="97"/>
      <c r="V254" s="108"/>
    </row>
    <row r="255" ht="15.75" customHeight="1">
      <c r="A255" s="91"/>
      <c r="B255" s="142"/>
      <c r="C255" s="143"/>
      <c r="D255" s="97"/>
      <c r="E255" s="144"/>
      <c r="F255" s="144"/>
      <c r="G255" s="97"/>
      <c r="H255" s="143"/>
      <c r="I255" s="97"/>
      <c r="J255" s="97"/>
      <c r="K255" s="147"/>
      <c r="L255" s="148"/>
      <c r="M255" s="102"/>
      <c r="N255" s="124"/>
      <c r="O255" s="125"/>
      <c r="P255" s="97"/>
      <c r="Q255" s="131"/>
      <c r="R255" s="126"/>
      <c r="S255" s="97"/>
      <c r="T255" s="97"/>
      <c r="V255" s="108"/>
    </row>
    <row r="256" ht="15.75" customHeight="1">
      <c r="A256" s="91"/>
      <c r="B256" s="142"/>
      <c r="C256" s="143"/>
      <c r="D256" s="97"/>
      <c r="E256" s="144"/>
      <c r="F256" s="144"/>
      <c r="G256" s="97"/>
      <c r="H256" s="143"/>
      <c r="I256" s="97"/>
      <c r="J256" s="97"/>
      <c r="K256" s="149"/>
      <c r="L256" s="150"/>
      <c r="M256" s="102"/>
      <c r="N256" s="124"/>
      <c r="O256" s="125"/>
      <c r="P256" s="97"/>
      <c r="Q256" s="131"/>
      <c r="R256" s="126"/>
      <c r="S256" s="97"/>
      <c r="T256" s="97"/>
      <c r="V256" s="108"/>
    </row>
    <row r="257" ht="15.75" customHeight="1">
      <c r="A257" s="91"/>
      <c r="B257" s="142"/>
      <c r="C257" s="143"/>
      <c r="D257" s="97"/>
      <c r="E257" s="144"/>
      <c r="F257" s="144"/>
      <c r="G257" s="97"/>
      <c r="H257" s="143"/>
      <c r="I257" s="97"/>
      <c r="J257" s="97"/>
      <c r="K257" s="147"/>
      <c r="L257" s="148"/>
      <c r="M257" s="102"/>
      <c r="N257" s="124"/>
      <c r="O257" s="125"/>
      <c r="P257" s="97"/>
      <c r="Q257" s="131"/>
      <c r="R257" s="126"/>
      <c r="S257" s="97"/>
      <c r="T257" s="97"/>
      <c r="V257" s="108"/>
    </row>
    <row r="258" ht="15.75" customHeight="1">
      <c r="A258" s="91"/>
      <c r="B258" s="142"/>
      <c r="C258" s="143"/>
      <c r="D258" s="97"/>
      <c r="E258" s="144"/>
      <c r="F258" s="144"/>
      <c r="G258" s="97"/>
      <c r="H258" s="143"/>
      <c r="I258" s="97"/>
      <c r="J258" s="97"/>
      <c r="K258" s="149"/>
      <c r="L258" s="150"/>
      <c r="M258" s="102"/>
      <c r="N258" s="124"/>
      <c r="O258" s="125"/>
      <c r="P258" s="97"/>
      <c r="Q258" s="131"/>
      <c r="R258" s="126"/>
      <c r="S258" s="97"/>
      <c r="T258" s="97"/>
      <c r="V258" s="108"/>
    </row>
    <row r="259" ht="15.75" customHeight="1">
      <c r="A259" s="91"/>
      <c r="B259" s="142"/>
      <c r="C259" s="143"/>
      <c r="D259" s="97"/>
      <c r="E259" s="144"/>
      <c r="F259" s="144"/>
      <c r="G259" s="97"/>
      <c r="H259" s="143"/>
      <c r="I259" s="97"/>
      <c r="J259" s="97"/>
      <c r="K259" s="147"/>
      <c r="L259" s="148"/>
      <c r="M259" s="102"/>
      <c r="N259" s="124"/>
      <c r="O259" s="125"/>
      <c r="P259" s="97"/>
      <c r="Q259" s="131"/>
      <c r="R259" s="126"/>
      <c r="S259" s="97"/>
      <c r="T259" s="97"/>
      <c r="V259" s="108"/>
    </row>
    <row r="260" ht="15.75" customHeight="1">
      <c r="A260" s="91"/>
      <c r="B260" s="142"/>
      <c r="C260" s="108"/>
      <c r="D260" s="97"/>
      <c r="E260" s="144"/>
      <c r="F260" s="144"/>
      <c r="G260" s="97"/>
      <c r="H260" s="143"/>
      <c r="I260" s="97"/>
      <c r="J260" s="97"/>
      <c r="K260" s="149"/>
      <c r="L260" s="150"/>
      <c r="M260" s="102"/>
      <c r="N260" s="124"/>
      <c r="O260" s="125"/>
      <c r="P260" s="97"/>
      <c r="Q260" s="131"/>
      <c r="R260" s="126"/>
      <c r="S260" s="97"/>
      <c r="T260" s="97"/>
      <c r="V260" s="108"/>
    </row>
    <row r="261" ht="15.75" customHeight="1">
      <c r="A261" s="91"/>
      <c r="B261" s="142"/>
      <c r="C261" s="143"/>
      <c r="D261" s="97"/>
      <c r="E261" s="144"/>
      <c r="F261" s="144"/>
      <c r="G261" s="97"/>
      <c r="H261" s="143"/>
      <c r="I261" s="97"/>
      <c r="J261" s="97"/>
      <c r="K261" s="147"/>
      <c r="L261" s="148"/>
      <c r="M261" s="102"/>
      <c r="N261" s="124"/>
      <c r="O261" s="125"/>
      <c r="P261" s="97"/>
      <c r="Q261" s="131"/>
      <c r="R261" s="126"/>
      <c r="S261" s="97"/>
      <c r="T261" s="97"/>
      <c r="V261" s="108"/>
    </row>
    <row r="262" ht="15.75" customHeight="1">
      <c r="A262" s="91"/>
      <c r="B262" s="142"/>
      <c r="C262" s="143"/>
      <c r="D262" s="97"/>
      <c r="E262" s="144"/>
      <c r="F262" s="144"/>
      <c r="G262" s="97"/>
      <c r="H262" s="143"/>
      <c r="I262" s="97"/>
      <c r="J262" s="97"/>
      <c r="K262" s="149"/>
      <c r="L262" s="150"/>
      <c r="M262" s="102"/>
      <c r="N262" s="124"/>
      <c r="O262" s="125"/>
      <c r="P262" s="97"/>
      <c r="Q262" s="131"/>
      <c r="R262" s="126"/>
      <c r="S262" s="97"/>
      <c r="T262" s="97"/>
      <c r="V262" s="108"/>
    </row>
    <row r="263" ht="15.75" customHeight="1">
      <c r="A263" s="91"/>
      <c r="B263" s="142"/>
      <c r="C263" s="143"/>
      <c r="D263" s="97"/>
      <c r="E263" s="144"/>
      <c r="F263" s="144"/>
      <c r="G263" s="97"/>
      <c r="H263" s="143"/>
      <c r="I263" s="97"/>
      <c r="J263" s="97"/>
      <c r="K263" s="147"/>
      <c r="L263" s="148"/>
      <c r="M263" s="102"/>
      <c r="N263" s="124"/>
      <c r="O263" s="125"/>
      <c r="P263" s="97"/>
      <c r="Q263" s="131"/>
      <c r="R263" s="126"/>
      <c r="S263" s="97"/>
      <c r="T263" s="97"/>
      <c r="V263" s="108"/>
    </row>
    <row r="264" ht="15.75" customHeight="1">
      <c r="A264" s="91"/>
      <c r="B264" s="142"/>
      <c r="C264" s="143"/>
      <c r="D264" s="97"/>
      <c r="E264" s="144"/>
      <c r="F264" s="144"/>
      <c r="G264" s="97"/>
      <c r="H264" s="143"/>
      <c r="I264" s="97"/>
      <c r="J264" s="97"/>
      <c r="K264" s="149"/>
      <c r="L264" s="150"/>
      <c r="M264" s="102"/>
      <c r="N264" s="124"/>
      <c r="O264" s="125"/>
      <c r="P264" s="97"/>
      <c r="Q264" s="131"/>
      <c r="R264" s="126"/>
      <c r="S264" s="97"/>
      <c r="T264" s="97"/>
      <c r="V264" s="108"/>
    </row>
    <row r="265" ht="15.75" customHeight="1">
      <c r="A265" s="91"/>
      <c r="B265" s="142"/>
      <c r="C265" s="143"/>
      <c r="D265" s="97"/>
      <c r="E265" s="144"/>
      <c r="F265" s="144"/>
      <c r="G265" s="97"/>
      <c r="H265" s="143"/>
      <c r="I265" s="97"/>
      <c r="J265" s="97"/>
      <c r="K265" s="147"/>
      <c r="L265" s="148"/>
      <c r="M265" s="102"/>
      <c r="N265" s="124"/>
      <c r="O265" s="125"/>
      <c r="P265" s="97"/>
      <c r="Q265" s="131"/>
      <c r="R265" s="126"/>
      <c r="S265" s="97"/>
      <c r="T265" s="97"/>
      <c r="V265" s="108"/>
    </row>
    <row r="266" ht="15.75" customHeight="1">
      <c r="A266" s="91"/>
      <c r="B266" s="142"/>
      <c r="C266" s="108"/>
      <c r="D266" s="97"/>
      <c r="E266" s="144"/>
      <c r="F266" s="144"/>
      <c r="G266" s="97"/>
      <c r="H266" s="143"/>
      <c r="I266" s="97"/>
      <c r="J266" s="97"/>
      <c r="K266" s="149"/>
      <c r="L266" s="150"/>
      <c r="M266" s="102"/>
      <c r="N266" s="124"/>
      <c r="O266" s="125"/>
      <c r="P266" s="97"/>
      <c r="Q266" s="131"/>
      <c r="R266" s="126"/>
      <c r="S266" s="97"/>
      <c r="T266" s="97"/>
      <c r="V266" s="108"/>
    </row>
    <row r="267" ht="15.75" customHeight="1">
      <c r="A267" s="91"/>
      <c r="B267" s="142"/>
      <c r="C267" s="143"/>
      <c r="D267" s="97"/>
      <c r="E267" s="144"/>
      <c r="F267" s="144"/>
      <c r="G267" s="97"/>
      <c r="H267" s="143"/>
      <c r="I267" s="97"/>
      <c r="J267" s="97"/>
      <c r="K267" s="147"/>
      <c r="L267" s="148"/>
      <c r="M267" s="102"/>
      <c r="N267" s="124"/>
      <c r="O267" s="125"/>
      <c r="P267" s="97"/>
      <c r="Q267" s="131"/>
      <c r="R267" s="126"/>
      <c r="S267" s="97"/>
      <c r="T267" s="97"/>
      <c r="V267" s="108"/>
    </row>
    <row r="268" ht="15.75" customHeight="1">
      <c r="A268" s="91"/>
      <c r="B268" s="142"/>
      <c r="C268" s="143"/>
      <c r="D268" s="97"/>
      <c r="E268" s="144"/>
      <c r="F268" s="144"/>
      <c r="G268" s="97"/>
      <c r="H268" s="143"/>
      <c r="I268" s="97"/>
      <c r="J268" s="97"/>
      <c r="K268" s="149"/>
      <c r="L268" s="150"/>
      <c r="M268" s="102"/>
      <c r="N268" s="124"/>
      <c r="O268" s="125"/>
      <c r="P268" s="97"/>
      <c r="Q268" s="131"/>
      <c r="R268" s="126"/>
      <c r="S268" s="97"/>
      <c r="T268" s="97"/>
      <c r="V268" s="108"/>
    </row>
    <row r="269" ht="15.75" customHeight="1">
      <c r="A269" s="91"/>
      <c r="B269" s="142"/>
      <c r="C269" s="143"/>
      <c r="D269" s="97"/>
      <c r="E269" s="144"/>
      <c r="F269" s="144"/>
      <c r="G269" s="97"/>
      <c r="H269" s="143"/>
      <c r="I269" s="97"/>
      <c r="J269" s="97"/>
      <c r="K269" s="147"/>
      <c r="L269" s="148"/>
      <c r="M269" s="102"/>
      <c r="N269" s="124"/>
      <c r="O269" s="125"/>
      <c r="P269" s="97"/>
      <c r="Q269" s="131"/>
      <c r="R269" s="126"/>
      <c r="S269" s="97"/>
      <c r="T269" s="97"/>
      <c r="V269" s="108"/>
    </row>
    <row r="270" ht="15.75" customHeight="1">
      <c r="A270" s="91"/>
      <c r="B270" s="142"/>
      <c r="C270" s="143"/>
      <c r="D270" s="97"/>
      <c r="E270" s="144"/>
      <c r="F270" s="144"/>
      <c r="G270" s="97"/>
      <c r="H270" s="143"/>
      <c r="I270" s="97"/>
      <c r="J270" s="97"/>
      <c r="K270" s="149"/>
      <c r="L270" s="150"/>
      <c r="M270" s="102"/>
      <c r="N270" s="124"/>
      <c r="O270" s="125"/>
      <c r="P270" s="97"/>
      <c r="Q270" s="131"/>
      <c r="R270" s="126"/>
      <c r="S270" s="97"/>
      <c r="T270" s="97"/>
      <c r="V270" s="108"/>
    </row>
    <row r="271" ht="15.75" customHeight="1">
      <c r="A271" s="91"/>
      <c r="B271" s="142"/>
      <c r="C271" s="143"/>
      <c r="D271" s="97"/>
      <c r="E271" s="144"/>
      <c r="F271" s="144"/>
      <c r="G271" s="97"/>
      <c r="H271" s="143"/>
      <c r="I271" s="97"/>
      <c r="J271" s="97"/>
      <c r="K271" s="147"/>
      <c r="L271" s="148"/>
      <c r="M271" s="102"/>
      <c r="N271" s="124"/>
      <c r="O271" s="125"/>
      <c r="P271" s="97"/>
      <c r="Q271" s="131"/>
      <c r="R271" s="126"/>
      <c r="S271" s="97"/>
      <c r="T271" s="97"/>
      <c r="V271" s="108"/>
    </row>
    <row r="272" ht="15.75" customHeight="1">
      <c r="A272" s="91"/>
      <c r="B272" s="142"/>
      <c r="C272" s="108"/>
      <c r="D272" s="97"/>
      <c r="E272" s="144"/>
      <c r="F272" s="144"/>
      <c r="G272" s="97"/>
      <c r="H272" s="143"/>
      <c r="I272" s="97"/>
      <c r="J272" s="97"/>
      <c r="K272" s="149"/>
      <c r="L272" s="150"/>
      <c r="M272" s="102"/>
      <c r="N272" s="124"/>
      <c r="O272" s="125"/>
      <c r="P272" s="97"/>
      <c r="Q272" s="131"/>
      <c r="R272" s="126"/>
      <c r="S272" s="97"/>
      <c r="T272" s="97"/>
      <c r="V272" s="108"/>
    </row>
    <row r="273" ht="15.75" customHeight="1">
      <c r="A273" s="91"/>
      <c r="B273" s="142"/>
      <c r="C273" s="143"/>
      <c r="D273" s="97"/>
      <c r="E273" s="144"/>
      <c r="F273" s="144"/>
      <c r="G273" s="97"/>
      <c r="H273" s="143"/>
      <c r="I273" s="97"/>
      <c r="J273" s="97"/>
      <c r="K273" s="147"/>
      <c r="L273" s="148"/>
      <c r="M273" s="102"/>
      <c r="N273" s="124"/>
      <c r="O273" s="125"/>
      <c r="P273" s="97"/>
      <c r="Q273" s="131"/>
      <c r="R273" s="126"/>
      <c r="S273" s="97"/>
      <c r="T273" s="97"/>
      <c r="V273" s="108"/>
    </row>
    <row r="274" ht="15.75" customHeight="1">
      <c r="A274" s="91"/>
      <c r="B274" s="142"/>
      <c r="C274" s="143"/>
      <c r="D274" s="97"/>
      <c r="E274" s="144"/>
      <c r="F274" s="144"/>
      <c r="G274" s="97"/>
      <c r="H274" s="143"/>
      <c r="I274" s="97"/>
      <c r="J274" s="97"/>
      <c r="K274" s="149"/>
      <c r="L274" s="150"/>
      <c r="M274" s="102"/>
      <c r="N274" s="124"/>
      <c r="O274" s="125"/>
      <c r="P274" s="97"/>
      <c r="Q274" s="131"/>
      <c r="R274" s="126"/>
      <c r="S274" s="97"/>
      <c r="T274" s="97"/>
      <c r="V274" s="108"/>
    </row>
    <row r="275" ht="15.75" customHeight="1">
      <c r="A275" s="91"/>
      <c r="B275" s="142"/>
      <c r="C275" s="143"/>
      <c r="D275" s="97"/>
      <c r="E275" s="144"/>
      <c r="F275" s="144"/>
      <c r="G275" s="97"/>
      <c r="H275" s="143"/>
      <c r="I275" s="97"/>
      <c r="J275" s="97"/>
      <c r="K275" s="147"/>
      <c r="L275" s="148"/>
      <c r="M275" s="102"/>
      <c r="N275" s="124"/>
      <c r="O275" s="125"/>
      <c r="P275" s="97"/>
      <c r="Q275" s="131"/>
      <c r="R275" s="126"/>
      <c r="S275" s="97"/>
      <c r="T275" s="97"/>
      <c r="V275" s="108"/>
    </row>
    <row r="276" ht="15.75" customHeight="1">
      <c r="A276" s="91"/>
      <c r="B276" s="142"/>
      <c r="C276" s="143"/>
      <c r="D276" s="97"/>
      <c r="E276" s="144"/>
      <c r="F276" s="144"/>
      <c r="G276" s="97"/>
      <c r="H276" s="143"/>
      <c r="I276" s="97"/>
      <c r="J276" s="97"/>
      <c r="K276" s="149"/>
      <c r="L276" s="150"/>
      <c r="M276" s="102"/>
      <c r="N276" s="124"/>
      <c r="O276" s="125"/>
      <c r="P276" s="97"/>
      <c r="Q276" s="131"/>
      <c r="R276" s="126"/>
      <c r="S276" s="97"/>
      <c r="T276" s="97"/>
      <c r="V276" s="108"/>
    </row>
    <row r="277" ht="15.75" customHeight="1">
      <c r="A277" s="91"/>
      <c r="B277" s="142"/>
      <c r="C277" s="143"/>
      <c r="D277" s="97"/>
      <c r="E277" s="144"/>
      <c r="F277" s="144"/>
      <c r="G277" s="97"/>
      <c r="H277" s="143"/>
      <c r="I277" s="97"/>
      <c r="J277" s="97"/>
      <c r="K277" s="147"/>
      <c r="L277" s="148"/>
      <c r="M277" s="102"/>
      <c r="N277" s="124"/>
      <c r="O277" s="125"/>
      <c r="P277" s="97"/>
      <c r="Q277" s="131"/>
      <c r="R277" s="126"/>
      <c r="S277" s="97"/>
      <c r="T277" s="97"/>
      <c r="V277" s="108"/>
    </row>
    <row r="278" ht="15.75" customHeight="1">
      <c r="A278" s="91"/>
      <c r="B278" s="142"/>
      <c r="C278" s="108"/>
      <c r="D278" s="97"/>
      <c r="E278" s="144"/>
      <c r="F278" s="144"/>
      <c r="G278" s="97"/>
      <c r="H278" s="143"/>
      <c r="I278" s="97"/>
      <c r="J278" s="97"/>
      <c r="K278" s="149"/>
      <c r="L278" s="150"/>
      <c r="M278" s="102"/>
      <c r="N278" s="124"/>
      <c r="O278" s="125"/>
      <c r="P278" s="97"/>
      <c r="Q278" s="131"/>
      <c r="R278" s="126"/>
      <c r="S278" s="97"/>
      <c r="T278" s="97"/>
      <c r="V278" s="108"/>
    </row>
    <row r="279" ht="15.75" customHeight="1">
      <c r="A279" s="91"/>
      <c r="B279" s="142"/>
      <c r="C279" s="143"/>
      <c r="D279" s="97"/>
      <c r="E279" s="144"/>
      <c r="F279" s="144"/>
      <c r="G279" s="97"/>
      <c r="H279" s="143"/>
      <c r="I279" s="97"/>
      <c r="J279" s="97"/>
      <c r="K279" s="147"/>
      <c r="L279" s="148"/>
      <c r="M279" s="102"/>
      <c r="N279" s="124"/>
      <c r="O279" s="125"/>
      <c r="P279" s="97"/>
      <c r="Q279" s="131"/>
      <c r="R279" s="126"/>
      <c r="S279" s="97"/>
      <c r="T279" s="97"/>
      <c r="V279" s="108"/>
    </row>
    <row r="280" ht="15.75" customHeight="1">
      <c r="A280" s="91"/>
      <c r="B280" s="142"/>
      <c r="C280" s="143"/>
      <c r="D280" s="97"/>
      <c r="E280" s="144"/>
      <c r="F280" s="144"/>
      <c r="G280" s="97"/>
      <c r="H280" s="143"/>
      <c r="I280" s="97"/>
      <c r="J280" s="97"/>
      <c r="K280" s="149"/>
      <c r="L280" s="150"/>
      <c r="M280" s="102"/>
      <c r="N280" s="124"/>
      <c r="O280" s="125"/>
      <c r="P280" s="97"/>
      <c r="Q280" s="131"/>
      <c r="R280" s="126"/>
      <c r="S280" s="97"/>
      <c r="T280" s="97"/>
      <c r="V280" s="108"/>
    </row>
    <row r="281" ht="15.75" customHeight="1">
      <c r="A281" s="91"/>
      <c r="B281" s="142"/>
      <c r="C281" s="143"/>
      <c r="D281" s="97"/>
      <c r="E281" s="144"/>
      <c r="F281" s="144"/>
      <c r="G281" s="97"/>
      <c r="H281" s="143"/>
      <c r="I281" s="97"/>
      <c r="J281" s="97"/>
      <c r="K281" s="147"/>
      <c r="L281" s="148"/>
      <c r="M281" s="102"/>
      <c r="N281" s="124"/>
      <c r="O281" s="125"/>
      <c r="P281" s="97"/>
      <c r="Q281" s="131"/>
      <c r="R281" s="126"/>
      <c r="S281" s="97"/>
      <c r="T281" s="97"/>
      <c r="V281" s="108"/>
    </row>
    <row r="282" ht="15.75" customHeight="1">
      <c r="A282" s="91"/>
      <c r="B282" s="142"/>
      <c r="C282" s="143"/>
      <c r="D282" s="97"/>
      <c r="E282" s="144"/>
      <c r="F282" s="144"/>
      <c r="G282" s="97"/>
      <c r="H282" s="143"/>
      <c r="I282" s="97"/>
      <c r="J282" s="97"/>
      <c r="K282" s="149"/>
      <c r="L282" s="150"/>
      <c r="M282" s="102"/>
      <c r="N282" s="124"/>
      <c r="O282" s="125"/>
      <c r="P282" s="97"/>
      <c r="Q282" s="131"/>
      <c r="R282" s="126"/>
      <c r="S282" s="97"/>
      <c r="T282" s="97"/>
      <c r="V282" s="108"/>
    </row>
    <row r="283" ht="15.75" customHeight="1">
      <c r="A283" s="91"/>
      <c r="B283" s="142"/>
      <c r="C283" s="143"/>
      <c r="D283" s="97"/>
      <c r="E283" s="144"/>
      <c r="F283" s="144"/>
      <c r="G283" s="97"/>
      <c r="H283" s="143"/>
      <c r="I283" s="97"/>
      <c r="J283" s="97"/>
      <c r="K283" s="147"/>
      <c r="L283" s="148"/>
      <c r="M283" s="102"/>
      <c r="N283" s="124"/>
      <c r="O283" s="125"/>
      <c r="P283" s="97"/>
      <c r="Q283" s="131"/>
      <c r="R283" s="126"/>
      <c r="S283" s="97"/>
      <c r="T283" s="97"/>
      <c r="V283" s="108"/>
    </row>
    <row r="284" ht="15.75" customHeight="1">
      <c r="A284" s="91"/>
      <c r="B284" s="142"/>
      <c r="C284" s="108"/>
      <c r="D284" s="97"/>
      <c r="E284" s="144"/>
      <c r="F284" s="144"/>
      <c r="G284" s="97"/>
      <c r="H284" s="143"/>
      <c r="I284" s="97"/>
      <c r="J284" s="97"/>
      <c r="K284" s="149"/>
      <c r="L284" s="150"/>
      <c r="M284" s="102"/>
      <c r="N284" s="124"/>
      <c r="O284" s="125"/>
      <c r="P284" s="97"/>
      <c r="Q284" s="131"/>
      <c r="R284" s="126"/>
      <c r="S284" s="97"/>
      <c r="T284" s="97"/>
      <c r="V284" s="108"/>
    </row>
    <row r="285" ht="15.75" customHeight="1">
      <c r="A285" s="91"/>
      <c r="B285" s="142"/>
      <c r="C285" s="143"/>
      <c r="D285" s="97"/>
      <c r="E285" s="144"/>
      <c r="F285" s="144"/>
      <c r="G285" s="97"/>
      <c r="H285" s="143"/>
      <c r="I285" s="97"/>
      <c r="J285" s="97"/>
      <c r="K285" s="147"/>
      <c r="L285" s="148"/>
      <c r="M285" s="102"/>
      <c r="N285" s="124"/>
      <c r="O285" s="125"/>
      <c r="P285" s="97"/>
      <c r="Q285" s="131"/>
      <c r="R285" s="126"/>
      <c r="S285" s="97"/>
      <c r="T285" s="97"/>
      <c r="V285" s="108"/>
    </row>
    <row r="286" ht="15.75" customHeight="1">
      <c r="A286" s="91"/>
      <c r="B286" s="142"/>
      <c r="C286" s="143"/>
      <c r="D286" s="97"/>
      <c r="E286" s="144"/>
      <c r="F286" s="144"/>
      <c r="G286" s="97"/>
      <c r="H286" s="143"/>
      <c r="I286" s="97"/>
      <c r="J286" s="97"/>
      <c r="K286" s="149"/>
      <c r="L286" s="150"/>
      <c r="M286" s="102"/>
      <c r="N286" s="124"/>
      <c r="O286" s="125"/>
      <c r="P286" s="97"/>
      <c r="Q286" s="131"/>
      <c r="R286" s="126"/>
      <c r="S286" s="97"/>
      <c r="T286" s="97"/>
      <c r="V286" s="108"/>
    </row>
    <row r="287" ht="15.75" customHeight="1">
      <c r="A287" s="91"/>
      <c r="B287" s="142"/>
      <c r="C287" s="143"/>
      <c r="D287" s="97"/>
      <c r="E287" s="144"/>
      <c r="F287" s="144"/>
      <c r="G287" s="97"/>
      <c r="H287" s="143"/>
      <c r="I287" s="97"/>
      <c r="J287" s="97"/>
      <c r="K287" s="147"/>
      <c r="L287" s="148"/>
      <c r="M287" s="102"/>
      <c r="N287" s="124"/>
      <c r="O287" s="125"/>
      <c r="P287" s="97"/>
      <c r="Q287" s="131"/>
      <c r="R287" s="126"/>
      <c r="S287" s="97"/>
      <c r="T287" s="97"/>
      <c r="V287" s="108"/>
    </row>
    <row r="288" ht="15.75" customHeight="1">
      <c r="A288" s="91"/>
      <c r="B288" s="142"/>
      <c r="C288" s="143"/>
      <c r="D288" s="97"/>
      <c r="E288" s="144"/>
      <c r="F288" s="144"/>
      <c r="G288" s="97"/>
      <c r="H288" s="143"/>
      <c r="I288" s="97"/>
      <c r="J288" s="97"/>
      <c r="K288" s="149"/>
      <c r="L288" s="150"/>
      <c r="M288" s="102"/>
      <c r="N288" s="124"/>
      <c r="O288" s="125"/>
      <c r="P288" s="97"/>
      <c r="Q288" s="131"/>
      <c r="R288" s="126"/>
      <c r="S288" s="97"/>
      <c r="T288" s="97"/>
      <c r="V288" s="108"/>
    </row>
    <row r="289" ht="15.75" customHeight="1">
      <c r="A289" s="91"/>
      <c r="B289" s="142"/>
      <c r="C289" s="143"/>
      <c r="D289" s="97"/>
      <c r="E289" s="144"/>
      <c r="F289" s="144"/>
      <c r="G289" s="97"/>
      <c r="H289" s="143"/>
      <c r="I289" s="97"/>
      <c r="J289" s="97"/>
      <c r="K289" s="147"/>
      <c r="L289" s="148"/>
      <c r="M289" s="102"/>
      <c r="N289" s="124"/>
      <c r="O289" s="125"/>
      <c r="P289" s="97"/>
      <c r="Q289" s="131"/>
      <c r="R289" s="126"/>
      <c r="S289" s="97"/>
      <c r="T289" s="97"/>
      <c r="V289" s="108"/>
    </row>
    <row r="290" ht="15.75" customHeight="1">
      <c r="A290" s="91"/>
      <c r="B290" s="142"/>
      <c r="C290" s="108"/>
      <c r="D290" s="97"/>
      <c r="E290" s="144"/>
      <c r="F290" s="144"/>
      <c r="G290" s="97"/>
      <c r="H290" s="143"/>
      <c r="I290" s="97"/>
      <c r="J290" s="97"/>
      <c r="K290" s="149"/>
      <c r="L290" s="150"/>
      <c r="M290" s="102"/>
      <c r="N290" s="124"/>
      <c r="O290" s="125"/>
      <c r="P290" s="97"/>
      <c r="Q290" s="131"/>
      <c r="R290" s="126"/>
      <c r="S290" s="97"/>
      <c r="T290" s="97"/>
      <c r="V290" s="108"/>
    </row>
    <row r="291" ht="15.75" customHeight="1">
      <c r="A291" s="91"/>
      <c r="B291" s="142"/>
      <c r="C291" s="143"/>
      <c r="D291" s="97"/>
      <c r="E291" s="144"/>
      <c r="F291" s="144"/>
      <c r="G291" s="97"/>
      <c r="H291" s="143"/>
      <c r="I291" s="97"/>
      <c r="J291" s="97"/>
      <c r="K291" s="147"/>
      <c r="L291" s="148"/>
      <c r="M291" s="102"/>
      <c r="N291" s="124"/>
      <c r="O291" s="125"/>
      <c r="P291" s="97"/>
      <c r="Q291" s="131"/>
      <c r="R291" s="126"/>
      <c r="S291" s="97"/>
      <c r="T291" s="97"/>
      <c r="V291" s="108"/>
    </row>
    <row r="292" ht="15.75" customHeight="1">
      <c r="A292" s="91"/>
      <c r="B292" s="142"/>
      <c r="C292" s="143"/>
      <c r="D292" s="97"/>
      <c r="E292" s="144"/>
      <c r="F292" s="144"/>
      <c r="G292" s="97"/>
      <c r="H292" s="143"/>
      <c r="I292" s="97"/>
      <c r="J292" s="97"/>
      <c r="K292" s="149"/>
      <c r="L292" s="150"/>
      <c r="M292" s="102"/>
      <c r="N292" s="124"/>
      <c r="O292" s="125"/>
      <c r="P292" s="97"/>
      <c r="Q292" s="131"/>
      <c r="R292" s="126"/>
      <c r="S292" s="97"/>
      <c r="T292" s="97"/>
      <c r="V292" s="108"/>
    </row>
    <row r="293" ht="15.75" customHeight="1">
      <c r="A293" s="91"/>
      <c r="B293" s="142"/>
      <c r="C293" s="143"/>
      <c r="D293" s="97"/>
      <c r="E293" s="144"/>
      <c r="F293" s="144"/>
      <c r="G293" s="97"/>
      <c r="H293" s="143"/>
      <c r="I293" s="97"/>
      <c r="J293" s="97"/>
      <c r="K293" s="147"/>
      <c r="L293" s="148"/>
      <c r="M293" s="102"/>
      <c r="N293" s="124"/>
      <c r="O293" s="125"/>
      <c r="P293" s="97"/>
      <c r="Q293" s="131"/>
      <c r="R293" s="126"/>
      <c r="S293" s="97"/>
      <c r="T293" s="97"/>
      <c r="V293" s="108"/>
    </row>
    <row r="294" ht="15.75" customHeight="1">
      <c r="A294" s="91"/>
      <c r="B294" s="142"/>
      <c r="C294" s="143"/>
      <c r="D294" s="97"/>
      <c r="E294" s="144"/>
      <c r="F294" s="144"/>
      <c r="G294" s="97"/>
      <c r="H294" s="143"/>
      <c r="I294" s="97"/>
      <c r="J294" s="97"/>
      <c r="K294" s="149"/>
      <c r="L294" s="150"/>
      <c r="M294" s="102"/>
      <c r="N294" s="124"/>
      <c r="O294" s="125"/>
      <c r="P294" s="97"/>
      <c r="Q294" s="131"/>
      <c r="R294" s="126"/>
      <c r="S294" s="97"/>
      <c r="T294" s="97"/>
      <c r="V294" s="108"/>
    </row>
    <row r="295" ht="15.75" customHeight="1">
      <c r="A295" s="91"/>
      <c r="B295" s="142"/>
      <c r="C295" s="143"/>
      <c r="D295" s="97"/>
      <c r="E295" s="144"/>
      <c r="F295" s="144"/>
      <c r="G295" s="97"/>
      <c r="H295" s="143"/>
      <c r="I295" s="97"/>
      <c r="J295" s="97"/>
      <c r="K295" s="147"/>
      <c r="L295" s="148"/>
      <c r="M295" s="102"/>
      <c r="N295" s="124"/>
      <c r="O295" s="125"/>
      <c r="P295" s="97"/>
      <c r="Q295" s="131"/>
      <c r="R295" s="126"/>
      <c r="S295" s="97"/>
      <c r="T295" s="97"/>
      <c r="V295" s="108"/>
    </row>
    <row r="296" ht="15.75" customHeight="1">
      <c r="A296" s="91"/>
      <c r="B296" s="142"/>
      <c r="C296" s="108"/>
      <c r="D296" s="97"/>
      <c r="E296" s="144"/>
      <c r="F296" s="144"/>
      <c r="G296" s="97"/>
      <c r="H296" s="143"/>
      <c r="I296" s="97"/>
      <c r="J296" s="97"/>
      <c r="K296" s="149"/>
      <c r="L296" s="150"/>
      <c r="M296" s="102"/>
      <c r="N296" s="124"/>
      <c r="O296" s="125"/>
      <c r="P296" s="97"/>
      <c r="Q296" s="131"/>
      <c r="R296" s="126"/>
      <c r="S296" s="97"/>
      <c r="T296" s="97"/>
      <c r="V296" s="108"/>
    </row>
    <row r="297" ht="15.75" customHeight="1">
      <c r="A297" s="91"/>
      <c r="B297" s="142"/>
      <c r="C297" s="143"/>
      <c r="D297" s="97"/>
      <c r="E297" s="144"/>
      <c r="F297" s="144"/>
      <c r="G297" s="97"/>
      <c r="H297" s="143"/>
      <c r="I297" s="97"/>
      <c r="J297" s="97"/>
      <c r="K297" s="147"/>
      <c r="L297" s="148"/>
      <c r="M297" s="102"/>
      <c r="N297" s="124"/>
      <c r="O297" s="125"/>
      <c r="P297" s="97"/>
      <c r="Q297" s="131"/>
      <c r="R297" s="126"/>
      <c r="S297" s="97"/>
      <c r="T297" s="97"/>
      <c r="V297" s="108"/>
    </row>
    <row r="298" ht="15.75" customHeight="1">
      <c r="A298" s="91"/>
      <c r="B298" s="142"/>
      <c r="C298" s="143"/>
      <c r="D298" s="97"/>
      <c r="E298" s="144"/>
      <c r="F298" s="144"/>
      <c r="G298" s="97"/>
      <c r="H298" s="143"/>
      <c r="I298" s="97"/>
      <c r="J298" s="97"/>
      <c r="K298" s="149"/>
      <c r="L298" s="150"/>
      <c r="M298" s="102"/>
      <c r="N298" s="124"/>
      <c r="O298" s="125"/>
      <c r="P298" s="97"/>
      <c r="Q298" s="131"/>
      <c r="R298" s="126"/>
      <c r="S298" s="97"/>
      <c r="T298" s="97"/>
      <c r="V298" s="108"/>
    </row>
    <row r="299" ht="15.75" customHeight="1">
      <c r="A299" s="91"/>
      <c r="B299" s="142"/>
      <c r="C299" s="143"/>
      <c r="D299" s="97"/>
      <c r="E299" s="144"/>
      <c r="F299" s="144"/>
      <c r="G299" s="97"/>
      <c r="H299" s="143"/>
      <c r="I299" s="97"/>
      <c r="J299" s="97"/>
      <c r="K299" s="147"/>
      <c r="L299" s="148"/>
      <c r="M299" s="102"/>
      <c r="N299" s="124"/>
      <c r="O299" s="125"/>
      <c r="P299" s="97"/>
      <c r="Q299" s="131"/>
      <c r="R299" s="126"/>
      <c r="S299" s="97"/>
      <c r="T299" s="97"/>
      <c r="V299" s="108"/>
    </row>
    <row r="300" ht="15.75" customHeight="1">
      <c r="A300" s="91"/>
      <c r="B300" s="142"/>
      <c r="C300" s="143"/>
      <c r="D300" s="97"/>
      <c r="E300" s="144"/>
      <c r="F300" s="144"/>
      <c r="G300" s="97"/>
      <c r="H300" s="143"/>
      <c r="I300" s="97"/>
      <c r="J300" s="97"/>
      <c r="K300" s="149"/>
      <c r="L300" s="150"/>
      <c r="M300" s="102"/>
      <c r="N300" s="124"/>
      <c r="O300" s="125"/>
      <c r="P300" s="97"/>
      <c r="Q300" s="131"/>
      <c r="R300" s="126"/>
      <c r="S300" s="97"/>
      <c r="T300" s="97"/>
      <c r="V300" s="108"/>
    </row>
    <row r="301" ht="15.75" customHeight="1">
      <c r="A301" s="91"/>
      <c r="B301" s="142"/>
      <c r="C301" s="143"/>
      <c r="D301" s="97"/>
      <c r="E301" s="144"/>
      <c r="F301" s="144"/>
      <c r="G301" s="97"/>
      <c r="H301" s="143"/>
      <c r="I301" s="97"/>
      <c r="J301" s="97"/>
      <c r="K301" s="147"/>
      <c r="L301" s="148"/>
      <c r="M301" s="102"/>
      <c r="N301" s="124"/>
      <c r="O301" s="125"/>
      <c r="P301" s="97"/>
      <c r="Q301" s="131"/>
      <c r="R301" s="126"/>
      <c r="S301" s="97"/>
      <c r="T301" s="97"/>
      <c r="V301" s="108"/>
    </row>
    <row r="302" ht="15.75" customHeight="1">
      <c r="A302" s="91"/>
      <c r="B302" s="142"/>
      <c r="C302" s="108"/>
      <c r="D302" s="97"/>
      <c r="E302" s="144"/>
      <c r="F302" s="144"/>
      <c r="G302" s="97"/>
      <c r="H302" s="143"/>
      <c r="I302" s="97"/>
      <c r="J302" s="97"/>
      <c r="K302" s="149"/>
      <c r="L302" s="150"/>
      <c r="M302" s="102"/>
      <c r="N302" s="124"/>
      <c r="O302" s="125"/>
      <c r="P302" s="97"/>
      <c r="Q302" s="131"/>
      <c r="R302" s="126"/>
      <c r="S302" s="97"/>
      <c r="T302" s="97"/>
      <c r="V302" s="108"/>
    </row>
    <row r="303" ht="15.75" customHeight="1">
      <c r="A303" s="91"/>
      <c r="B303" s="142"/>
      <c r="C303" s="143"/>
      <c r="D303" s="97"/>
      <c r="E303" s="144"/>
      <c r="F303" s="144"/>
      <c r="G303" s="97"/>
      <c r="H303" s="143"/>
      <c r="I303" s="97"/>
      <c r="J303" s="97"/>
      <c r="K303" s="147"/>
      <c r="L303" s="148"/>
      <c r="M303" s="102"/>
      <c r="N303" s="124"/>
      <c r="O303" s="125"/>
      <c r="P303" s="97"/>
      <c r="Q303" s="131"/>
      <c r="R303" s="126"/>
      <c r="S303" s="97"/>
      <c r="T303" s="97"/>
      <c r="V303" s="108"/>
    </row>
    <row r="304" ht="15.75" customHeight="1">
      <c r="A304" s="91"/>
      <c r="B304" s="142"/>
      <c r="C304" s="143"/>
      <c r="D304" s="97"/>
      <c r="E304" s="144"/>
      <c r="F304" s="144"/>
      <c r="G304" s="97"/>
      <c r="H304" s="143"/>
      <c r="I304" s="97"/>
      <c r="J304" s="97"/>
      <c r="K304" s="149"/>
      <c r="L304" s="150"/>
      <c r="M304" s="102"/>
      <c r="N304" s="124"/>
      <c r="O304" s="125"/>
      <c r="P304" s="97"/>
      <c r="Q304" s="131"/>
      <c r="R304" s="126"/>
      <c r="S304" s="97"/>
      <c r="T304" s="97"/>
      <c r="V304" s="108"/>
    </row>
    <row r="305" ht="15.75" customHeight="1">
      <c r="A305" s="91"/>
      <c r="B305" s="142"/>
      <c r="C305" s="143"/>
      <c r="D305" s="97"/>
      <c r="E305" s="144"/>
      <c r="F305" s="144"/>
      <c r="G305" s="97"/>
      <c r="H305" s="143"/>
      <c r="I305" s="97"/>
      <c r="J305" s="97"/>
      <c r="K305" s="147"/>
      <c r="L305" s="148"/>
      <c r="M305" s="102"/>
      <c r="N305" s="124"/>
      <c r="O305" s="125"/>
      <c r="P305" s="97"/>
      <c r="Q305" s="131"/>
      <c r="R305" s="126"/>
      <c r="S305" s="97"/>
      <c r="T305" s="97"/>
      <c r="V305" s="108"/>
    </row>
    <row r="306" ht="15.75" customHeight="1">
      <c r="A306" s="91"/>
      <c r="B306" s="142"/>
      <c r="C306" s="143"/>
      <c r="D306" s="97"/>
      <c r="E306" s="144"/>
      <c r="F306" s="144"/>
      <c r="G306" s="97"/>
      <c r="H306" s="143"/>
      <c r="I306" s="97"/>
      <c r="J306" s="97"/>
      <c r="K306" s="149"/>
      <c r="L306" s="150"/>
      <c r="M306" s="102"/>
      <c r="N306" s="124"/>
      <c r="O306" s="125"/>
      <c r="P306" s="97"/>
      <c r="Q306" s="131"/>
      <c r="R306" s="126"/>
      <c r="S306" s="97"/>
      <c r="T306" s="97"/>
      <c r="V306" s="108"/>
    </row>
    <row r="307" ht="15.75" customHeight="1">
      <c r="A307" s="91"/>
      <c r="B307" s="142"/>
      <c r="C307" s="143"/>
      <c r="D307" s="97"/>
      <c r="E307" s="144"/>
      <c r="F307" s="144"/>
      <c r="G307" s="97"/>
      <c r="H307" s="143"/>
      <c r="I307" s="97"/>
      <c r="J307" s="97"/>
      <c r="K307" s="147"/>
      <c r="L307" s="148"/>
      <c r="M307" s="102"/>
      <c r="N307" s="124"/>
      <c r="O307" s="125"/>
      <c r="P307" s="97"/>
      <c r="Q307" s="131"/>
      <c r="R307" s="126"/>
      <c r="S307" s="97"/>
      <c r="T307" s="97"/>
      <c r="V307" s="108"/>
    </row>
    <row r="308" ht="15.75" customHeight="1">
      <c r="A308" s="91"/>
      <c r="B308" s="142"/>
      <c r="C308" s="108"/>
      <c r="D308" s="97"/>
      <c r="E308" s="144"/>
      <c r="F308" s="144"/>
      <c r="G308" s="97"/>
      <c r="H308" s="143"/>
      <c r="I308" s="97"/>
      <c r="J308" s="97"/>
      <c r="K308" s="149"/>
      <c r="L308" s="150"/>
      <c r="M308" s="102"/>
      <c r="N308" s="124"/>
      <c r="O308" s="125"/>
      <c r="P308" s="97"/>
      <c r="Q308" s="131"/>
      <c r="R308" s="126"/>
      <c r="S308" s="97"/>
      <c r="T308" s="97"/>
      <c r="V308" s="108"/>
    </row>
    <row r="309" ht="15.75" customHeight="1">
      <c r="A309" s="91"/>
      <c r="B309" s="142"/>
      <c r="C309" s="143"/>
      <c r="D309" s="97"/>
      <c r="E309" s="144"/>
      <c r="F309" s="144"/>
      <c r="G309" s="97"/>
      <c r="H309" s="143"/>
      <c r="I309" s="97"/>
      <c r="J309" s="97"/>
      <c r="K309" s="147"/>
      <c r="L309" s="148"/>
      <c r="M309" s="102"/>
      <c r="N309" s="124"/>
      <c r="O309" s="125"/>
      <c r="P309" s="97"/>
      <c r="Q309" s="131"/>
      <c r="R309" s="126"/>
      <c r="S309" s="97"/>
      <c r="T309" s="97"/>
      <c r="V309" s="108"/>
    </row>
    <row r="310" ht="15.75" customHeight="1">
      <c r="A310" s="91"/>
      <c r="B310" s="142"/>
      <c r="C310" s="143"/>
      <c r="D310" s="97"/>
      <c r="E310" s="144"/>
      <c r="F310" s="144"/>
      <c r="G310" s="97"/>
      <c r="H310" s="143"/>
      <c r="I310" s="97"/>
      <c r="J310" s="97"/>
      <c r="K310" s="149"/>
      <c r="L310" s="150"/>
      <c r="M310" s="102"/>
      <c r="N310" s="124"/>
      <c r="O310" s="125"/>
      <c r="P310" s="97"/>
      <c r="Q310" s="131"/>
      <c r="R310" s="126"/>
      <c r="S310" s="97"/>
      <c r="T310" s="97"/>
      <c r="V310" s="108"/>
    </row>
    <row r="311" ht="15.75" customHeight="1">
      <c r="A311" s="91"/>
      <c r="B311" s="142"/>
      <c r="C311" s="143"/>
      <c r="D311" s="97"/>
      <c r="E311" s="144"/>
      <c r="F311" s="144"/>
      <c r="G311" s="97"/>
      <c r="H311" s="143"/>
      <c r="I311" s="97"/>
      <c r="J311" s="97"/>
      <c r="K311" s="147"/>
      <c r="L311" s="148"/>
      <c r="M311" s="102"/>
      <c r="N311" s="124"/>
      <c r="O311" s="125"/>
      <c r="P311" s="97"/>
      <c r="Q311" s="131"/>
      <c r="R311" s="126"/>
      <c r="S311" s="97"/>
      <c r="T311" s="97"/>
      <c r="V311" s="108"/>
    </row>
    <row r="312" ht="15.75" customHeight="1">
      <c r="A312" s="91"/>
      <c r="B312" s="142"/>
      <c r="C312" s="143"/>
      <c r="D312" s="97"/>
      <c r="E312" s="144"/>
      <c r="F312" s="144"/>
      <c r="G312" s="97"/>
      <c r="H312" s="143"/>
      <c r="I312" s="97"/>
      <c r="J312" s="97"/>
      <c r="K312" s="149"/>
      <c r="L312" s="150"/>
      <c r="M312" s="102"/>
      <c r="N312" s="124"/>
      <c r="O312" s="125"/>
      <c r="P312" s="97"/>
      <c r="Q312" s="131"/>
      <c r="R312" s="126"/>
      <c r="S312" s="97"/>
      <c r="T312" s="97"/>
      <c r="V312" s="108"/>
    </row>
    <row r="313" ht="15.75" customHeight="1">
      <c r="A313" s="91"/>
      <c r="B313" s="142"/>
      <c r="C313" s="143"/>
      <c r="D313" s="97"/>
      <c r="E313" s="144"/>
      <c r="F313" s="144"/>
      <c r="G313" s="97"/>
      <c r="H313" s="143"/>
      <c r="I313" s="97"/>
      <c r="J313" s="97"/>
      <c r="K313" s="147"/>
      <c r="L313" s="148"/>
      <c r="M313" s="102"/>
      <c r="N313" s="124"/>
      <c r="O313" s="125"/>
      <c r="P313" s="97"/>
      <c r="Q313" s="131"/>
      <c r="R313" s="126"/>
      <c r="S313" s="97"/>
      <c r="T313" s="97"/>
      <c r="V313" s="108"/>
    </row>
    <row r="314" ht="15.75" customHeight="1">
      <c r="A314" s="91"/>
      <c r="B314" s="142"/>
      <c r="C314" s="108"/>
      <c r="D314" s="97"/>
      <c r="E314" s="144"/>
      <c r="F314" s="144"/>
      <c r="G314" s="97"/>
      <c r="H314" s="143"/>
      <c r="I314" s="97"/>
      <c r="J314" s="97"/>
      <c r="K314" s="149"/>
      <c r="L314" s="150"/>
      <c r="M314" s="102"/>
      <c r="N314" s="124"/>
      <c r="O314" s="125"/>
      <c r="P314" s="97"/>
      <c r="Q314" s="131"/>
      <c r="R314" s="126"/>
      <c r="S314" s="97"/>
      <c r="T314" s="97"/>
      <c r="V314" s="108"/>
    </row>
    <row r="315" ht="15.75" customHeight="1">
      <c r="A315" s="91"/>
      <c r="B315" s="142"/>
      <c r="C315" s="143"/>
      <c r="D315" s="97"/>
      <c r="E315" s="144"/>
      <c r="F315" s="144"/>
      <c r="G315" s="97"/>
      <c r="H315" s="143"/>
      <c r="I315" s="97"/>
      <c r="J315" s="97"/>
      <c r="K315" s="147"/>
      <c r="L315" s="148"/>
      <c r="M315" s="102"/>
      <c r="N315" s="124"/>
      <c r="O315" s="125"/>
      <c r="P315" s="97"/>
      <c r="Q315" s="131"/>
      <c r="R315" s="126"/>
      <c r="S315" s="97"/>
      <c r="T315" s="97"/>
      <c r="V315" s="108"/>
    </row>
    <row r="316" ht="15.75" customHeight="1">
      <c r="A316" s="91"/>
      <c r="B316" s="142"/>
      <c r="C316" s="143"/>
      <c r="D316" s="97"/>
      <c r="E316" s="144"/>
      <c r="F316" s="144"/>
      <c r="G316" s="97"/>
      <c r="H316" s="143"/>
      <c r="I316" s="97"/>
      <c r="J316" s="97"/>
      <c r="K316" s="149"/>
      <c r="L316" s="150"/>
      <c r="M316" s="102"/>
      <c r="N316" s="124"/>
      <c r="O316" s="125"/>
      <c r="P316" s="97"/>
      <c r="Q316" s="131"/>
      <c r="R316" s="126"/>
      <c r="S316" s="97"/>
      <c r="T316" s="97"/>
      <c r="V316" s="108"/>
    </row>
    <row r="317" ht="15.75" customHeight="1">
      <c r="A317" s="91"/>
      <c r="B317" s="142"/>
      <c r="C317" s="143"/>
      <c r="D317" s="97"/>
      <c r="E317" s="144"/>
      <c r="F317" s="144"/>
      <c r="G317" s="97"/>
      <c r="H317" s="143"/>
      <c r="I317" s="97"/>
      <c r="J317" s="97"/>
      <c r="K317" s="147"/>
      <c r="L317" s="148"/>
      <c r="M317" s="102"/>
      <c r="N317" s="124"/>
      <c r="O317" s="125"/>
      <c r="P317" s="97"/>
      <c r="Q317" s="131"/>
      <c r="R317" s="126"/>
      <c r="S317" s="97"/>
      <c r="T317" s="97"/>
      <c r="V317" s="108"/>
    </row>
    <row r="318" ht="15.75" customHeight="1">
      <c r="A318" s="91"/>
      <c r="B318" s="142"/>
      <c r="C318" s="143"/>
      <c r="D318" s="97"/>
      <c r="E318" s="144"/>
      <c r="F318" s="144"/>
      <c r="G318" s="97"/>
      <c r="H318" s="143"/>
      <c r="I318" s="97"/>
      <c r="J318" s="97"/>
      <c r="K318" s="149"/>
      <c r="L318" s="150"/>
      <c r="M318" s="102"/>
      <c r="N318" s="124"/>
      <c r="O318" s="125"/>
      <c r="P318" s="97"/>
      <c r="Q318" s="131"/>
      <c r="R318" s="126"/>
      <c r="S318" s="97"/>
      <c r="T318" s="97"/>
      <c r="V318" s="108"/>
    </row>
    <row r="319" ht="15.75" customHeight="1">
      <c r="A319" s="91"/>
      <c r="B319" s="142"/>
      <c r="C319" s="143"/>
      <c r="D319" s="97"/>
      <c r="E319" s="144"/>
      <c r="F319" s="144"/>
      <c r="G319" s="97"/>
      <c r="H319" s="143"/>
      <c r="I319" s="97"/>
      <c r="J319" s="97"/>
      <c r="K319" s="147"/>
      <c r="L319" s="148"/>
      <c r="M319" s="102"/>
      <c r="N319" s="124"/>
      <c r="O319" s="125"/>
      <c r="P319" s="97"/>
      <c r="Q319" s="131"/>
      <c r="R319" s="126"/>
      <c r="S319" s="97"/>
      <c r="T319" s="97"/>
      <c r="V319" s="108"/>
    </row>
    <row r="320" ht="15.75" customHeight="1">
      <c r="A320" s="91"/>
      <c r="B320" s="142"/>
      <c r="C320" s="108"/>
      <c r="D320" s="97"/>
      <c r="E320" s="144"/>
      <c r="F320" s="144"/>
      <c r="G320" s="97"/>
      <c r="H320" s="143"/>
      <c r="I320" s="97"/>
      <c r="J320" s="97"/>
      <c r="K320" s="149"/>
      <c r="L320" s="150"/>
      <c r="M320" s="102"/>
      <c r="N320" s="124"/>
      <c r="O320" s="125"/>
      <c r="P320" s="97"/>
      <c r="Q320" s="131"/>
      <c r="R320" s="126"/>
      <c r="S320" s="97"/>
      <c r="T320" s="97"/>
      <c r="V320" s="108"/>
    </row>
    <row r="321" ht="15.75" customHeight="1">
      <c r="A321" s="91"/>
      <c r="B321" s="142"/>
      <c r="C321" s="143"/>
      <c r="D321" s="97"/>
      <c r="E321" s="144"/>
      <c r="F321" s="144"/>
      <c r="G321" s="97"/>
      <c r="H321" s="143"/>
      <c r="I321" s="97"/>
      <c r="J321" s="97"/>
      <c r="K321" s="147"/>
      <c r="L321" s="148"/>
      <c r="M321" s="102"/>
      <c r="N321" s="124"/>
      <c r="O321" s="125"/>
      <c r="P321" s="97"/>
      <c r="Q321" s="131"/>
      <c r="R321" s="126"/>
      <c r="S321" s="97"/>
      <c r="T321" s="97"/>
      <c r="V321" s="108"/>
    </row>
    <row r="322" ht="15.75" customHeight="1">
      <c r="A322" s="91"/>
      <c r="B322" s="142"/>
      <c r="C322" s="143"/>
      <c r="D322" s="97"/>
      <c r="E322" s="144"/>
      <c r="F322" s="144"/>
      <c r="G322" s="97"/>
      <c r="H322" s="143"/>
      <c r="I322" s="97"/>
      <c r="J322" s="97"/>
      <c r="K322" s="149"/>
      <c r="L322" s="150"/>
      <c r="M322" s="102"/>
      <c r="N322" s="124"/>
      <c r="O322" s="125"/>
      <c r="P322" s="97"/>
      <c r="Q322" s="131"/>
      <c r="R322" s="126"/>
      <c r="S322" s="97"/>
      <c r="T322" s="97"/>
      <c r="V322" s="108"/>
    </row>
    <row r="323" ht="15.75" customHeight="1">
      <c r="A323" s="91"/>
      <c r="B323" s="142"/>
      <c r="C323" s="143"/>
      <c r="D323" s="97"/>
      <c r="E323" s="144"/>
      <c r="F323" s="144"/>
      <c r="G323" s="97"/>
      <c r="H323" s="143"/>
      <c r="I323" s="97"/>
      <c r="J323" s="97"/>
      <c r="K323" s="147"/>
      <c r="L323" s="148"/>
      <c r="M323" s="102"/>
      <c r="N323" s="124"/>
      <c r="O323" s="125"/>
      <c r="P323" s="97"/>
      <c r="Q323" s="131"/>
      <c r="R323" s="126"/>
      <c r="S323" s="97"/>
      <c r="T323" s="97"/>
      <c r="V323" s="108"/>
    </row>
    <row r="324" ht="15.75" customHeight="1">
      <c r="A324" s="91"/>
      <c r="B324" s="142"/>
      <c r="C324" s="143"/>
      <c r="D324" s="97"/>
      <c r="E324" s="144"/>
      <c r="F324" s="144"/>
      <c r="G324" s="97"/>
      <c r="H324" s="143"/>
      <c r="I324" s="97"/>
      <c r="J324" s="97"/>
      <c r="K324" s="149"/>
      <c r="L324" s="150"/>
      <c r="M324" s="102"/>
      <c r="N324" s="124"/>
      <c r="O324" s="125"/>
      <c r="P324" s="97"/>
      <c r="Q324" s="131"/>
      <c r="R324" s="126"/>
      <c r="S324" s="97"/>
      <c r="T324" s="97"/>
      <c r="V324" s="108"/>
    </row>
    <row r="325" ht="15.75" customHeight="1">
      <c r="A325" s="91"/>
      <c r="B325" s="142"/>
      <c r="C325" s="143"/>
      <c r="D325" s="97"/>
      <c r="E325" s="144"/>
      <c r="F325" s="144"/>
      <c r="G325" s="97"/>
      <c r="H325" s="143"/>
      <c r="I325" s="97"/>
      <c r="J325" s="97"/>
      <c r="K325" s="147"/>
      <c r="L325" s="148"/>
      <c r="M325" s="102"/>
      <c r="N325" s="124"/>
      <c r="O325" s="125"/>
      <c r="P325" s="97"/>
      <c r="Q325" s="131"/>
      <c r="R325" s="126"/>
      <c r="S325" s="97"/>
      <c r="T325" s="97"/>
      <c r="V325" s="108"/>
    </row>
    <row r="326" ht="15.75" customHeight="1">
      <c r="A326" s="91"/>
      <c r="B326" s="142"/>
      <c r="C326" s="108"/>
      <c r="D326" s="97"/>
      <c r="E326" s="144"/>
      <c r="F326" s="144"/>
      <c r="G326" s="97"/>
      <c r="H326" s="143"/>
      <c r="I326" s="97"/>
      <c r="J326" s="97"/>
      <c r="K326" s="149"/>
      <c r="L326" s="150"/>
      <c r="M326" s="102"/>
      <c r="N326" s="124"/>
      <c r="O326" s="125"/>
      <c r="P326" s="97"/>
      <c r="Q326" s="131"/>
      <c r="R326" s="126"/>
      <c r="S326" s="97"/>
      <c r="T326" s="97"/>
      <c r="V326" s="108"/>
    </row>
    <row r="327" ht="15.75" customHeight="1">
      <c r="A327" s="91"/>
      <c r="B327" s="142"/>
      <c r="C327" s="143"/>
      <c r="D327" s="97"/>
      <c r="E327" s="144"/>
      <c r="F327" s="144"/>
      <c r="G327" s="97"/>
      <c r="H327" s="143"/>
      <c r="I327" s="97"/>
      <c r="J327" s="97"/>
      <c r="K327" s="147"/>
      <c r="L327" s="148"/>
      <c r="M327" s="102"/>
      <c r="N327" s="124"/>
      <c r="O327" s="125"/>
      <c r="P327" s="97"/>
      <c r="Q327" s="131"/>
      <c r="R327" s="126"/>
      <c r="S327" s="97"/>
      <c r="T327" s="97"/>
      <c r="V327" s="108"/>
    </row>
    <row r="328" ht="15.75" customHeight="1">
      <c r="A328" s="91"/>
      <c r="B328" s="142"/>
      <c r="C328" s="143"/>
      <c r="D328" s="97"/>
      <c r="E328" s="144"/>
      <c r="F328" s="144"/>
      <c r="G328" s="97"/>
      <c r="H328" s="143"/>
      <c r="I328" s="97"/>
      <c r="J328" s="97"/>
      <c r="K328" s="149"/>
      <c r="L328" s="150"/>
      <c r="M328" s="102"/>
      <c r="N328" s="124"/>
      <c r="O328" s="125"/>
      <c r="P328" s="97"/>
      <c r="Q328" s="131"/>
      <c r="R328" s="126"/>
      <c r="S328" s="97"/>
      <c r="T328" s="97"/>
      <c r="V328" s="108"/>
    </row>
    <row r="329" ht="15.75" customHeight="1">
      <c r="A329" s="91"/>
      <c r="B329" s="142"/>
      <c r="C329" s="143"/>
      <c r="D329" s="97"/>
      <c r="E329" s="144"/>
      <c r="F329" s="144"/>
      <c r="G329" s="97"/>
      <c r="H329" s="143"/>
      <c r="I329" s="97"/>
      <c r="J329" s="97"/>
      <c r="K329" s="151"/>
      <c r="L329" s="152"/>
      <c r="M329" s="102"/>
      <c r="N329" s="124"/>
      <c r="O329" s="125"/>
      <c r="P329" s="97"/>
      <c r="Q329" s="131"/>
      <c r="R329" s="126"/>
      <c r="S329" s="97"/>
      <c r="T329" s="97"/>
      <c r="V329" s="108"/>
    </row>
    <row r="330" ht="15.75" customHeight="1">
      <c r="A330" s="91"/>
      <c r="B330" s="142"/>
      <c r="C330" s="143"/>
      <c r="D330" s="97"/>
      <c r="E330" s="144"/>
      <c r="F330" s="144"/>
      <c r="G330" s="97"/>
      <c r="H330" s="143"/>
      <c r="I330" s="97"/>
      <c r="J330" s="97"/>
      <c r="K330" s="151"/>
      <c r="L330" s="152"/>
      <c r="M330" s="102"/>
      <c r="N330" s="124"/>
      <c r="O330" s="125"/>
      <c r="P330" s="97"/>
      <c r="Q330" s="131"/>
      <c r="R330" s="126"/>
      <c r="S330" s="97"/>
      <c r="T330" s="97"/>
      <c r="V330" s="108"/>
    </row>
    <row r="331" ht="15.75" customHeight="1">
      <c r="A331" s="91"/>
      <c r="B331" s="142"/>
      <c r="C331" s="143"/>
      <c r="D331" s="97"/>
      <c r="E331" s="144"/>
      <c r="F331" s="144"/>
      <c r="G331" s="97"/>
      <c r="H331" s="143"/>
      <c r="I331" s="97"/>
      <c r="J331" s="97"/>
      <c r="K331" s="151"/>
      <c r="L331" s="152"/>
      <c r="M331" s="102"/>
      <c r="N331" s="124"/>
      <c r="O331" s="125"/>
      <c r="P331" s="97"/>
      <c r="Q331" s="131"/>
      <c r="R331" s="126"/>
      <c r="S331" s="97"/>
      <c r="T331" s="97"/>
      <c r="V331" s="108"/>
    </row>
    <row r="332" ht="15.75" customHeight="1">
      <c r="A332" s="91"/>
      <c r="B332" s="142"/>
      <c r="C332" s="108"/>
      <c r="D332" s="97"/>
      <c r="E332" s="144"/>
      <c r="F332" s="144"/>
      <c r="G332" s="97"/>
      <c r="H332" s="143"/>
      <c r="I332" s="97"/>
      <c r="J332" s="97"/>
      <c r="K332" s="151"/>
      <c r="L332" s="152"/>
      <c r="M332" s="102"/>
      <c r="N332" s="124"/>
      <c r="O332" s="125"/>
      <c r="P332" s="97"/>
      <c r="Q332" s="131"/>
      <c r="R332" s="126"/>
      <c r="S332" s="97"/>
      <c r="T332" s="97"/>
      <c r="V332" s="108"/>
    </row>
    <row r="333" ht="15.75" customHeight="1">
      <c r="A333" s="91"/>
      <c r="B333" s="142"/>
      <c r="C333" s="143"/>
      <c r="D333" s="97"/>
      <c r="E333" s="144"/>
      <c r="F333" s="144"/>
      <c r="G333" s="97"/>
      <c r="H333" s="143"/>
      <c r="I333" s="97"/>
      <c r="J333" s="97"/>
      <c r="K333" s="151"/>
      <c r="L333" s="152"/>
      <c r="M333" s="102"/>
      <c r="N333" s="124"/>
      <c r="O333" s="125"/>
      <c r="P333" s="97"/>
      <c r="Q333" s="131"/>
      <c r="R333" s="126"/>
      <c r="S333" s="97"/>
      <c r="T333" s="97"/>
      <c r="V333" s="108"/>
    </row>
    <row r="334" ht="15.75" customHeight="1">
      <c r="A334" s="91"/>
      <c r="B334" s="142"/>
      <c r="C334" s="143"/>
      <c r="D334" s="97"/>
      <c r="E334" s="144"/>
      <c r="F334" s="144"/>
      <c r="G334" s="97"/>
      <c r="H334" s="143"/>
      <c r="I334" s="97"/>
      <c r="J334" s="97"/>
      <c r="K334" s="151"/>
      <c r="L334" s="152"/>
      <c r="M334" s="102"/>
      <c r="N334" s="124"/>
      <c r="O334" s="125"/>
      <c r="P334" s="97"/>
      <c r="Q334" s="131"/>
      <c r="R334" s="126"/>
      <c r="S334" s="97"/>
      <c r="T334" s="97"/>
      <c r="V334" s="108"/>
    </row>
    <row r="335" ht="15.75" customHeight="1">
      <c r="A335" s="91"/>
      <c r="B335" s="142"/>
      <c r="C335" s="143"/>
      <c r="D335" s="97"/>
      <c r="E335" s="144"/>
      <c r="F335" s="144"/>
      <c r="G335" s="97"/>
      <c r="H335" s="143"/>
      <c r="I335" s="97"/>
      <c r="J335" s="97"/>
      <c r="K335" s="151"/>
      <c r="L335" s="152"/>
      <c r="M335" s="102"/>
      <c r="N335" s="124"/>
      <c r="O335" s="125"/>
      <c r="P335" s="97"/>
      <c r="Q335" s="131"/>
      <c r="R335" s="126"/>
      <c r="S335" s="97"/>
      <c r="T335" s="97"/>
      <c r="V335" s="108"/>
    </row>
    <row r="336" ht="15.75" customHeight="1">
      <c r="A336" s="91"/>
      <c r="B336" s="142"/>
      <c r="C336" s="143"/>
      <c r="D336" s="97"/>
      <c r="E336" s="144"/>
      <c r="F336" s="144"/>
      <c r="G336" s="97"/>
      <c r="H336" s="143"/>
      <c r="I336" s="97"/>
      <c r="J336" s="97"/>
      <c r="K336" s="151"/>
      <c r="L336" s="152"/>
      <c r="M336" s="102"/>
      <c r="N336" s="124"/>
      <c r="O336" s="125"/>
      <c r="P336" s="97"/>
      <c r="Q336" s="131"/>
      <c r="R336" s="126"/>
      <c r="S336" s="97"/>
      <c r="T336" s="97"/>
      <c r="V336" s="108"/>
    </row>
    <row r="337" ht="15.75" customHeight="1">
      <c r="A337" s="91"/>
      <c r="B337" s="142"/>
      <c r="C337" s="143"/>
      <c r="D337" s="97"/>
      <c r="E337" s="144"/>
      <c r="F337" s="144"/>
      <c r="G337" s="97"/>
      <c r="H337" s="143"/>
      <c r="I337" s="97"/>
      <c r="J337" s="97"/>
      <c r="K337" s="151"/>
      <c r="L337" s="152"/>
      <c r="M337" s="102"/>
      <c r="N337" s="124"/>
      <c r="O337" s="125"/>
      <c r="P337" s="97"/>
      <c r="Q337" s="131"/>
      <c r="R337" s="126"/>
      <c r="S337" s="97"/>
      <c r="T337" s="97"/>
      <c r="V337" s="108"/>
    </row>
    <row r="338" ht="15.75" customHeight="1">
      <c r="A338" s="91"/>
      <c r="B338" s="142"/>
      <c r="C338" s="108"/>
      <c r="D338" s="97"/>
      <c r="E338" s="144"/>
      <c r="F338" s="144"/>
      <c r="G338" s="97"/>
      <c r="H338" s="143"/>
      <c r="I338" s="97"/>
      <c r="J338" s="97"/>
      <c r="K338" s="151"/>
      <c r="L338" s="152"/>
      <c r="M338" s="102"/>
      <c r="N338" s="124"/>
      <c r="O338" s="125"/>
      <c r="P338" s="97"/>
      <c r="Q338" s="131"/>
      <c r="R338" s="126"/>
      <c r="S338" s="97"/>
      <c r="T338" s="97"/>
      <c r="V338" s="108"/>
    </row>
    <row r="339" ht="15.75" customHeight="1">
      <c r="A339" s="91"/>
      <c r="B339" s="142"/>
      <c r="C339" s="143"/>
      <c r="D339" s="97"/>
      <c r="E339" s="144"/>
      <c r="F339" s="144"/>
      <c r="G339" s="97"/>
      <c r="H339" s="143"/>
      <c r="I339" s="97"/>
      <c r="J339" s="97"/>
      <c r="K339" s="151"/>
      <c r="L339" s="152"/>
      <c r="M339" s="102"/>
      <c r="N339" s="124"/>
      <c r="O339" s="125"/>
      <c r="P339" s="97"/>
      <c r="Q339" s="131"/>
      <c r="R339" s="126"/>
      <c r="S339" s="97"/>
      <c r="T339" s="97"/>
      <c r="V339" s="108"/>
    </row>
    <row r="340" ht="15.75" customHeight="1">
      <c r="A340" s="91"/>
      <c r="B340" s="142"/>
      <c r="C340" s="143"/>
      <c r="D340" s="97"/>
      <c r="E340" s="144"/>
      <c r="F340" s="144"/>
      <c r="G340" s="97"/>
      <c r="H340" s="143"/>
      <c r="I340" s="97"/>
      <c r="J340" s="97"/>
      <c r="K340" s="151"/>
      <c r="L340" s="152"/>
      <c r="M340" s="102"/>
      <c r="N340" s="124"/>
      <c r="O340" s="125"/>
      <c r="P340" s="97"/>
      <c r="Q340" s="131"/>
      <c r="R340" s="126"/>
      <c r="S340" s="97"/>
      <c r="T340" s="97"/>
      <c r="V340" s="108"/>
    </row>
    <row r="341" ht="15.75" customHeight="1">
      <c r="A341" s="91"/>
      <c r="B341" s="142"/>
      <c r="C341" s="143"/>
      <c r="D341" s="97"/>
      <c r="E341" s="144"/>
      <c r="F341" s="144"/>
      <c r="G341" s="97"/>
      <c r="H341" s="143"/>
      <c r="I341" s="97"/>
      <c r="J341" s="97"/>
      <c r="K341" s="151"/>
      <c r="L341" s="152"/>
      <c r="M341" s="102"/>
      <c r="N341" s="124"/>
      <c r="O341" s="125"/>
      <c r="P341" s="97"/>
      <c r="Q341" s="131"/>
      <c r="R341" s="126"/>
      <c r="S341" s="97"/>
      <c r="T341" s="97"/>
      <c r="V341" s="108"/>
    </row>
    <row r="342" ht="15.75" customHeight="1">
      <c r="A342" s="91"/>
      <c r="B342" s="142"/>
      <c r="C342" s="143"/>
      <c r="D342" s="97"/>
      <c r="E342" s="144"/>
      <c r="F342" s="144"/>
      <c r="G342" s="97"/>
      <c r="H342" s="143"/>
      <c r="I342" s="97"/>
      <c r="J342" s="97"/>
      <c r="K342" s="151"/>
      <c r="L342" s="152"/>
      <c r="M342" s="102"/>
      <c r="N342" s="124"/>
      <c r="O342" s="125"/>
      <c r="P342" s="97"/>
      <c r="Q342" s="131"/>
      <c r="R342" s="126"/>
      <c r="S342" s="97"/>
      <c r="T342" s="97"/>
      <c r="V342" s="108"/>
    </row>
    <row r="343" ht="15.75" customHeight="1">
      <c r="A343" s="91"/>
      <c r="B343" s="142"/>
      <c r="C343" s="143"/>
      <c r="D343" s="97"/>
      <c r="E343" s="144"/>
      <c r="F343" s="144"/>
      <c r="G343" s="97"/>
      <c r="H343" s="143"/>
      <c r="I343" s="97"/>
      <c r="J343" s="97"/>
      <c r="K343" s="151"/>
      <c r="L343" s="152"/>
      <c r="M343" s="102"/>
      <c r="N343" s="124"/>
      <c r="O343" s="125"/>
      <c r="P343" s="97"/>
      <c r="Q343" s="131"/>
      <c r="R343" s="126"/>
      <c r="S343" s="97"/>
      <c r="T343" s="97"/>
      <c r="V343" s="108"/>
    </row>
    <row r="344" ht="15.75" customHeight="1">
      <c r="A344" s="91"/>
      <c r="B344" s="142"/>
      <c r="C344" s="108"/>
      <c r="D344" s="97"/>
      <c r="E344" s="144"/>
      <c r="F344" s="144"/>
      <c r="G344" s="97"/>
      <c r="H344" s="143"/>
      <c r="I344" s="97"/>
      <c r="J344" s="97"/>
      <c r="K344" s="151"/>
      <c r="L344" s="152"/>
      <c r="M344" s="102"/>
      <c r="N344" s="124"/>
      <c r="O344" s="125"/>
      <c r="P344" s="97"/>
      <c r="Q344" s="131"/>
      <c r="R344" s="126"/>
      <c r="S344" s="97"/>
      <c r="T344" s="97"/>
      <c r="V344" s="108"/>
    </row>
    <row r="345" ht="15.75" customHeight="1">
      <c r="A345" s="91"/>
      <c r="B345" s="142"/>
      <c r="C345" s="143"/>
      <c r="D345" s="97"/>
      <c r="E345" s="144"/>
      <c r="F345" s="144"/>
      <c r="G345" s="97"/>
      <c r="H345" s="143"/>
      <c r="I345" s="97"/>
      <c r="J345" s="97"/>
      <c r="K345" s="151"/>
      <c r="L345" s="152"/>
      <c r="M345" s="102"/>
      <c r="N345" s="124"/>
      <c r="O345" s="125"/>
      <c r="P345" s="97"/>
      <c r="Q345" s="131"/>
      <c r="R345" s="126"/>
      <c r="S345" s="97"/>
      <c r="T345" s="97"/>
      <c r="V345" s="108"/>
    </row>
    <row r="346" ht="15.75" customHeight="1">
      <c r="A346" s="91"/>
      <c r="B346" s="142"/>
      <c r="C346" s="143"/>
      <c r="D346" s="97"/>
      <c r="E346" s="144"/>
      <c r="F346" s="144"/>
      <c r="G346" s="97"/>
      <c r="H346" s="143"/>
      <c r="I346" s="97"/>
      <c r="J346" s="97"/>
      <c r="K346" s="151"/>
      <c r="L346" s="152"/>
      <c r="M346" s="102"/>
      <c r="N346" s="124"/>
      <c r="O346" s="125"/>
      <c r="P346" s="97"/>
      <c r="Q346" s="131"/>
      <c r="R346" s="126"/>
      <c r="S346" s="97"/>
      <c r="T346" s="97"/>
      <c r="V346" s="108"/>
    </row>
    <row r="347" ht="15.75" customHeight="1">
      <c r="A347" s="91"/>
      <c r="B347" s="142"/>
      <c r="C347" s="143"/>
      <c r="D347" s="97"/>
      <c r="E347" s="144"/>
      <c r="F347" s="144"/>
      <c r="G347" s="97"/>
      <c r="H347" s="143"/>
      <c r="I347" s="97"/>
      <c r="J347" s="97"/>
      <c r="K347" s="151"/>
      <c r="L347" s="152"/>
      <c r="M347" s="102"/>
      <c r="N347" s="124"/>
      <c r="O347" s="125"/>
      <c r="P347" s="97"/>
      <c r="Q347" s="131"/>
      <c r="R347" s="126"/>
      <c r="S347" s="97"/>
      <c r="T347" s="97"/>
      <c r="V347" s="108"/>
    </row>
    <row r="348" ht="15.75" customHeight="1">
      <c r="A348" s="91"/>
      <c r="B348" s="142"/>
      <c r="C348" s="143"/>
      <c r="D348" s="97"/>
      <c r="E348" s="144"/>
      <c r="F348" s="144"/>
      <c r="G348" s="97"/>
      <c r="H348" s="143"/>
      <c r="I348" s="97"/>
      <c r="J348" s="97"/>
      <c r="K348" s="151"/>
      <c r="L348" s="152"/>
      <c r="M348" s="102"/>
      <c r="N348" s="124"/>
      <c r="O348" s="125"/>
      <c r="P348" s="97"/>
      <c r="Q348" s="131"/>
      <c r="R348" s="126"/>
      <c r="S348" s="97"/>
      <c r="T348" s="97"/>
      <c r="V348" s="108"/>
    </row>
    <row r="349" ht="15.75" customHeight="1">
      <c r="A349" s="91"/>
      <c r="B349" s="142"/>
      <c r="C349" s="143"/>
      <c r="D349" s="97"/>
      <c r="E349" s="144"/>
      <c r="F349" s="144"/>
      <c r="G349" s="97"/>
      <c r="H349" s="143"/>
      <c r="I349" s="97"/>
      <c r="J349" s="97"/>
      <c r="K349" s="151"/>
      <c r="L349" s="152"/>
      <c r="M349" s="102"/>
      <c r="N349" s="124"/>
      <c r="O349" s="125"/>
      <c r="P349" s="97"/>
      <c r="Q349" s="131"/>
      <c r="R349" s="126"/>
      <c r="S349" s="97"/>
      <c r="T349" s="97"/>
      <c r="V349" s="108"/>
    </row>
    <row r="350" ht="15.75" customHeight="1">
      <c r="A350" s="91"/>
      <c r="B350" s="142"/>
      <c r="C350" s="108"/>
      <c r="D350" s="97"/>
      <c r="E350" s="144"/>
      <c r="F350" s="144"/>
      <c r="G350" s="97"/>
      <c r="H350" s="143"/>
      <c r="I350" s="97"/>
      <c r="J350" s="97"/>
      <c r="K350" s="151"/>
      <c r="L350" s="152"/>
      <c r="M350" s="102"/>
      <c r="N350" s="124"/>
      <c r="O350" s="125"/>
      <c r="P350" s="97"/>
      <c r="Q350" s="131"/>
      <c r="R350" s="126"/>
      <c r="S350" s="97"/>
      <c r="T350" s="97"/>
      <c r="V350" s="108"/>
    </row>
    <row r="351" ht="15.75" customHeight="1">
      <c r="A351" s="91"/>
      <c r="B351" s="142"/>
      <c r="C351" s="143"/>
      <c r="D351" s="97"/>
      <c r="E351" s="144"/>
      <c r="F351" s="144"/>
      <c r="G351" s="97"/>
      <c r="H351" s="143"/>
      <c r="I351" s="97"/>
      <c r="J351" s="97"/>
      <c r="K351" s="151"/>
      <c r="L351" s="152"/>
      <c r="M351" s="102"/>
      <c r="N351" s="124"/>
      <c r="O351" s="125"/>
      <c r="P351" s="97"/>
      <c r="Q351" s="131"/>
      <c r="R351" s="126"/>
      <c r="S351" s="97"/>
      <c r="T351" s="97"/>
      <c r="V351" s="108"/>
    </row>
    <row r="352" ht="15.75" customHeight="1">
      <c r="A352" s="91"/>
      <c r="B352" s="142"/>
      <c r="C352" s="143"/>
      <c r="D352" s="97"/>
      <c r="E352" s="144"/>
      <c r="F352" s="144"/>
      <c r="G352" s="97"/>
      <c r="H352" s="143"/>
      <c r="I352" s="97"/>
      <c r="J352" s="97"/>
      <c r="K352" s="151"/>
      <c r="L352" s="152"/>
      <c r="M352" s="102"/>
      <c r="N352" s="124"/>
      <c r="O352" s="125"/>
      <c r="P352" s="97"/>
      <c r="Q352" s="131"/>
      <c r="R352" s="126"/>
      <c r="S352" s="97"/>
      <c r="T352" s="97"/>
      <c r="V352" s="108"/>
    </row>
    <row r="353" ht="15.75" customHeight="1">
      <c r="A353" s="91"/>
      <c r="B353" s="142"/>
      <c r="C353" s="143"/>
      <c r="D353" s="97"/>
      <c r="E353" s="144"/>
      <c r="F353" s="144"/>
      <c r="G353" s="97"/>
      <c r="H353" s="143"/>
      <c r="I353" s="97"/>
      <c r="J353" s="97"/>
      <c r="K353" s="151"/>
      <c r="L353" s="152"/>
      <c r="M353" s="102"/>
      <c r="N353" s="124"/>
      <c r="O353" s="125"/>
      <c r="P353" s="97"/>
      <c r="Q353" s="131"/>
      <c r="R353" s="126"/>
      <c r="S353" s="97"/>
      <c r="T353" s="97"/>
      <c r="V353" s="108"/>
    </row>
    <row r="354" ht="15.75" customHeight="1">
      <c r="A354" s="91"/>
      <c r="B354" s="142"/>
      <c r="C354" s="143"/>
      <c r="D354" s="97"/>
      <c r="E354" s="144"/>
      <c r="F354" s="144"/>
      <c r="G354" s="97"/>
      <c r="H354" s="143"/>
      <c r="I354" s="97"/>
      <c r="J354" s="97"/>
      <c r="K354" s="151"/>
      <c r="L354" s="152"/>
      <c r="M354" s="102"/>
      <c r="N354" s="124"/>
      <c r="O354" s="125"/>
      <c r="P354" s="97"/>
      <c r="Q354" s="131"/>
      <c r="R354" s="126"/>
      <c r="S354" s="97"/>
      <c r="T354" s="97"/>
      <c r="V354" s="108"/>
    </row>
    <row r="355" ht="15.75" customHeight="1">
      <c r="A355" s="91"/>
      <c r="B355" s="142"/>
      <c r="C355" s="143"/>
      <c r="D355" s="97"/>
      <c r="E355" s="144"/>
      <c r="F355" s="144"/>
      <c r="G355" s="97"/>
      <c r="H355" s="143"/>
      <c r="I355" s="97"/>
      <c r="J355" s="97"/>
      <c r="K355" s="151"/>
      <c r="L355" s="152"/>
      <c r="M355" s="102"/>
      <c r="N355" s="124"/>
      <c r="O355" s="125"/>
      <c r="P355" s="97"/>
      <c r="Q355" s="131"/>
      <c r="R355" s="126"/>
      <c r="S355" s="97"/>
      <c r="T355" s="97"/>
      <c r="V355" s="108"/>
    </row>
    <row r="356" ht="15.75" customHeight="1">
      <c r="A356" s="91"/>
      <c r="B356" s="142"/>
      <c r="C356" s="108"/>
      <c r="D356" s="97"/>
      <c r="E356" s="144"/>
      <c r="F356" s="144"/>
      <c r="G356" s="97"/>
      <c r="H356" s="143"/>
      <c r="I356" s="97"/>
      <c r="J356" s="97"/>
      <c r="K356" s="151"/>
      <c r="L356" s="152"/>
      <c r="M356" s="102"/>
      <c r="N356" s="124"/>
      <c r="O356" s="125"/>
      <c r="P356" s="97"/>
      <c r="Q356" s="131"/>
      <c r="R356" s="126"/>
      <c r="S356" s="97"/>
      <c r="T356" s="97"/>
      <c r="V356" s="108"/>
    </row>
    <row r="357" ht="15.75" customHeight="1">
      <c r="A357" s="91"/>
      <c r="B357" s="142"/>
      <c r="C357" s="143"/>
      <c r="D357" s="97"/>
      <c r="E357" s="144"/>
      <c r="F357" s="144"/>
      <c r="G357" s="97"/>
      <c r="H357" s="143"/>
      <c r="I357" s="97"/>
      <c r="J357" s="97"/>
      <c r="K357" s="151"/>
      <c r="L357" s="152"/>
      <c r="M357" s="102"/>
      <c r="N357" s="124"/>
      <c r="O357" s="125"/>
      <c r="P357" s="97"/>
      <c r="Q357" s="131"/>
      <c r="R357" s="126"/>
      <c r="S357" s="97"/>
      <c r="T357" s="97"/>
      <c r="V357" s="108"/>
    </row>
    <row r="358" ht="15.75" customHeight="1">
      <c r="A358" s="91"/>
      <c r="B358" s="142"/>
      <c r="C358" s="143"/>
      <c r="D358" s="97"/>
      <c r="E358" s="144"/>
      <c r="F358" s="144"/>
      <c r="G358" s="97"/>
      <c r="H358" s="143"/>
      <c r="I358" s="97"/>
      <c r="J358" s="97"/>
      <c r="K358" s="151"/>
      <c r="L358" s="152"/>
      <c r="M358" s="102"/>
      <c r="N358" s="124"/>
      <c r="O358" s="125"/>
      <c r="P358" s="97"/>
      <c r="Q358" s="131"/>
      <c r="R358" s="126"/>
      <c r="S358" s="97"/>
      <c r="T358" s="97"/>
      <c r="V358" s="108"/>
    </row>
    <row r="359" ht="15.75" customHeight="1">
      <c r="A359" s="91"/>
      <c r="B359" s="142"/>
      <c r="C359" s="143"/>
      <c r="D359" s="97"/>
      <c r="E359" s="144"/>
      <c r="F359" s="144"/>
      <c r="G359" s="97"/>
      <c r="H359" s="143"/>
      <c r="I359" s="97"/>
      <c r="J359" s="97"/>
      <c r="K359" s="151"/>
      <c r="L359" s="152"/>
      <c r="M359" s="102"/>
      <c r="N359" s="124"/>
      <c r="O359" s="125"/>
      <c r="P359" s="97"/>
      <c r="Q359" s="131"/>
      <c r="R359" s="126"/>
      <c r="S359" s="97"/>
      <c r="T359" s="97"/>
      <c r="V359" s="108"/>
    </row>
    <row r="360" ht="15.75" customHeight="1">
      <c r="A360" s="91"/>
      <c r="B360" s="142"/>
      <c r="C360" s="143"/>
      <c r="D360" s="97"/>
      <c r="E360" s="144"/>
      <c r="F360" s="144"/>
      <c r="G360" s="97"/>
      <c r="H360" s="143"/>
      <c r="I360" s="97"/>
      <c r="J360" s="97"/>
      <c r="K360" s="151"/>
      <c r="L360" s="152"/>
      <c r="M360" s="102"/>
      <c r="N360" s="124"/>
      <c r="O360" s="125"/>
      <c r="P360" s="97"/>
      <c r="Q360" s="131"/>
      <c r="R360" s="126"/>
      <c r="S360" s="97"/>
      <c r="T360" s="97"/>
      <c r="V360" s="108"/>
    </row>
    <row r="361" ht="15.75" customHeight="1">
      <c r="A361" s="91"/>
      <c r="B361" s="142"/>
      <c r="C361" s="143"/>
      <c r="D361" s="97"/>
      <c r="E361" s="144"/>
      <c r="F361" s="144"/>
      <c r="G361" s="97"/>
      <c r="H361" s="143"/>
      <c r="I361" s="97"/>
      <c r="J361" s="97"/>
      <c r="K361" s="151"/>
      <c r="L361" s="152"/>
      <c r="M361" s="102"/>
      <c r="N361" s="124"/>
      <c r="O361" s="125"/>
      <c r="P361" s="97"/>
      <c r="Q361" s="131"/>
      <c r="R361" s="126"/>
      <c r="S361" s="97"/>
      <c r="T361" s="97"/>
      <c r="V361" s="108"/>
    </row>
  </sheetData>
  <autoFilter ref="$A$12:$V$110"/>
  <customSheetViews>
    <customSheetView guid="{13FBEE33-5560-4ECB-B707-C73777468090}" filter="1" showAutoFilter="1">
      <autoFilter ref="$R$17:$R$22"/>
    </customSheetView>
  </customSheetViews>
  <mergeCells count="349">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56:U356"/>
    <mergeCell ref="T357:U357"/>
    <mergeCell ref="T358:U358"/>
    <mergeCell ref="T359:U359"/>
    <mergeCell ref="T360:U360"/>
    <mergeCell ref="T361:U361"/>
    <mergeCell ref="T349:U349"/>
    <mergeCell ref="T350:U350"/>
    <mergeCell ref="T351:U351"/>
    <mergeCell ref="T352:U352"/>
    <mergeCell ref="T353:U353"/>
    <mergeCell ref="T354:U354"/>
    <mergeCell ref="T355:U355"/>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s>
  <dataValidations>
    <dataValidation type="list" allowBlank="1" showErrorMessage="1" sqref="N13:N361">
      <formula1>"Think About It,Money,Partner,Time,Fear,Value"</formula1>
    </dataValidation>
    <dataValidation type="list" allowBlank="1" showErrorMessage="1" sqref="J15">
      <formula1>"Option 1,Option 2"</formula1>
    </dataValidation>
    <dataValidation type="list" allowBlank="1" showErrorMessage="1" sqref="I13:J14 I15 I16:J19 I20:I26 I27:J35 I36 I37:J103 I104:I110 I111:J361">
      <formula1>"Full-Pay,Split-pay,Deposit,Offer &amp; Didn't Buy,Bad Fit &amp; No Offer,Rescheduled,Cancelled,No-Show"</formula1>
    </dataValidation>
    <dataValidation type="list" allowBlank="1" showErrorMessage="1" sqref="S13:S361">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1">
      <formula1>"IG,Setter,Facebook Ads,Landing page"</formula1>
    </dataValidation>
  </dataValidations>
  <hyperlinks>
    <hyperlink r:id="rId2" ref="F13"/>
    <hyperlink r:id="rId3" ref="F14"/>
    <hyperlink r:id="rId4" ref="F15"/>
    <hyperlink r:id="rId5" ref="F16"/>
    <hyperlink r:id="rId6" ref="F17"/>
    <hyperlink r:id="rId7" ref="F18"/>
    <hyperlink r:id="rId8" ref="F19"/>
    <hyperlink r:id="rId9" ref="F20"/>
    <hyperlink r:id="rId10" ref="F21"/>
    <hyperlink r:id="rId11" ref="F22"/>
    <hyperlink r:id="rId12" ref="F23"/>
    <hyperlink r:id="rId13" ref="F24"/>
    <hyperlink r:id="rId14" ref="F25"/>
    <hyperlink r:id="rId15" ref="F26"/>
    <hyperlink r:id="rId16" ref="F27"/>
    <hyperlink r:id="rId17" ref="F28"/>
    <hyperlink r:id="rId18" ref="F31"/>
    <hyperlink r:id="rId19" ref="F32"/>
    <hyperlink r:id="rId20" ref="F33"/>
    <hyperlink r:id="rId21" ref="F34"/>
    <hyperlink r:id="rId22" ref="F35"/>
    <hyperlink r:id="rId23" ref="F36"/>
    <hyperlink r:id="rId24" ref="F37"/>
    <hyperlink r:id="rId25" ref="F38"/>
    <hyperlink r:id="rId26" ref="F39"/>
    <hyperlink r:id="rId27" ref="F40"/>
    <hyperlink r:id="rId28" ref="F41"/>
    <hyperlink r:id="rId29" ref="F42"/>
    <hyperlink r:id="rId30" ref="F43"/>
    <hyperlink r:id="rId31" ref="F44"/>
    <hyperlink r:id="rId32" ref="F45"/>
    <hyperlink r:id="rId33" ref="F46"/>
    <hyperlink r:id="rId34" ref="F47"/>
    <hyperlink r:id="rId35" ref="F48"/>
    <hyperlink r:id="rId36" ref="F49"/>
    <hyperlink r:id="rId37" ref="F50"/>
    <hyperlink r:id="rId38" ref="F51"/>
    <hyperlink r:id="rId39" ref="F52"/>
    <hyperlink r:id="rId40" ref="F53"/>
    <hyperlink r:id="rId41" ref="F54"/>
    <hyperlink r:id="rId42" ref="F55"/>
    <hyperlink r:id="rId43" ref="F56"/>
    <hyperlink r:id="rId44" ref="F57"/>
    <hyperlink r:id="rId45" ref="F58"/>
    <hyperlink r:id="rId46" ref="F59"/>
    <hyperlink r:id="rId47" ref="F60"/>
    <hyperlink r:id="rId48" ref="F61"/>
    <hyperlink r:id="rId49" ref="F62"/>
    <hyperlink r:id="rId50" ref="F63"/>
    <hyperlink r:id="rId51" ref="F64"/>
    <hyperlink r:id="rId52" ref="F65"/>
    <hyperlink r:id="rId53" ref="F66"/>
    <hyperlink r:id="rId54" ref="F67"/>
    <hyperlink r:id="rId55" ref="F68"/>
    <hyperlink r:id="rId56" ref="F69"/>
    <hyperlink r:id="rId57" ref="F70"/>
    <hyperlink r:id="rId58" ref="F71"/>
    <hyperlink r:id="rId59" ref="F72"/>
    <hyperlink r:id="rId60" ref="F73"/>
    <hyperlink r:id="rId61" ref="F74"/>
    <hyperlink r:id="rId62" ref="F75"/>
    <hyperlink r:id="rId63" ref="F76"/>
  </hyperlinks>
  <drawing r:id="rId64"/>
  <legacyDrawing r:id="rId6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9.63"/>
    <col customWidth="1" min="4" max="4" width="0.38"/>
    <col customWidth="1" min="5" max="5" width="15.13"/>
    <col customWidth="1" min="6" max="6" width="21.0"/>
    <col customWidth="1" min="7" max="7" width="0.38"/>
    <col customWidth="1" min="8" max="8" width="15.63"/>
    <col customWidth="1" min="9" max="9" width="13.88"/>
    <col customWidth="1" min="10" max="10" width="0.38"/>
    <col customWidth="1" min="11" max="11" width="16.25"/>
    <col customWidth="1" min="13" max="13" width="0.38"/>
    <col customWidth="1" min="15" max="15" width="16.5"/>
    <col customWidth="1" min="16" max="16" width="0.38"/>
    <col customWidth="1" min="17" max="17" width="13.13"/>
    <col customWidth="1" min="18" max="18" width="13.88"/>
    <col customWidth="1" min="19" max="19" width="19.13"/>
    <col customWidth="1" min="21" max="21" width="23.75"/>
    <col customWidth="1" min="22" max="22" width="0.38"/>
  </cols>
  <sheetData>
    <row r="1">
      <c r="A1" s="220">
        <v>2.0</v>
      </c>
      <c r="B1" s="35" t="s">
        <v>31</v>
      </c>
      <c r="C1" s="36" t="s">
        <v>32</v>
      </c>
      <c r="D1" s="34"/>
      <c r="E1" s="239" t="s">
        <v>515</v>
      </c>
      <c r="F1" s="34"/>
      <c r="H1" s="37" t="s">
        <v>33</v>
      </c>
      <c r="I1" s="38"/>
      <c r="J1" s="34"/>
      <c r="K1" s="39" t="s">
        <v>34</v>
      </c>
      <c r="L1" s="40"/>
      <c r="M1" s="13"/>
      <c r="N1" s="41" t="s">
        <v>35</v>
      </c>
      <c r="O1" s="42"/>
      <c r="P1" s="13"/>
      <c r="Q1" s="39" t="s">
        <v>36</v>
      </c>
      <c r="R1" s="43"/>
      <c r="S1" s="34"/>
      <c r="T1" s="39" t="s">
        <v>37</v>
      </c>
      <c r="U1" s="44"/>
      <c r="V1" s="34"/>
    </row>
    <row r="2">
      <c r="A2" s="34"/>
      <c r="B2" s="38"/>
      <c r="C2" s="40"/>
      <c r="D2" s="13"/>
      <c r="E2" s="241" t="s">
        <v>517</v>
      </c>
      <c r="F2" s="242">
        <f>C3/C6</f>
        <v>4091.052632</v>
      </c>
      <c r="H2" s="45" t="s">
        <v>26</v>
      </c>
      <c r="I2" s="46">
        <f>IFERROR(COUNTIFS(I13:I287, "Full-Pay"),"")</f>
        <v>1</v>
      </c>
      <c r="J2" s="13"/>
      <c r="K2" s="47" t="s">
        <v>16</v>
      </c>
      <c r="L2" s="48">
        <f>iferror(L10/L8,"")</f>
        <v>0.2894736842</v>
      </c>
      <c r="M2" s="12"/>
      <c r="N2" s="49" t="s">
        <v>39</v>
      </c>
      <c r="O2" s="50">
        <f>iferror(I8/L6,"")</f>
        <v>0.1132075472</v>
      </c>
      <c r="P2" s="12"/>
      <c r="Q2" s="51" t="s">
        <v>40</v>
      </c>
      <c r="R2" s="52">
        <f>IFERROR(COUNTIFS(N13:N286, "think about it"),"")</f>
        <v>3</v>
      </c>
      <c r="S2" s="13"/>
      <c r="T2" s="53" t="s">
        <v>41</v>
      </c>
      <c r="U2" s="54">
        <f>IFERROR(COUNTIF(H13:H286,T2),"")</f>
        <v>0</v>
      </c>
      <c r="V2" s="56"/>
    </row>
    <row r="3">
      <c r="A3" s="13"/>
      <c r="B3" s="57" t="s">
        <v>43</v>
      </c>
      <c r="C3" s="58">
        <f>IFERROR(SUM(K13:K284),"")</f>
        <v>155460</v>
      </c>
      <c r="D3" s="59"/>
      <c r="E3" s="244" t="s">
        <v>519</v>
      </c>
      <c r="F3" s="245">
        <f>C4/C6</f>
        <v>1310.526316</v>
      </c>
      <c r="H3" s="45" t="s">
        <v>27</v>
      </c>
      <c r="I3" s="46">
        <f>IFERROR(COUNTIFS(I13:I287, "Split-Pay"),"")</f>
        <v>10</v>
      </c>
      <c r="J3" s="13"/>
      <c r="K3" s="47" t="s">
        <v>17</v>
      </c>
      <c r="L3" s="48">
        <f>IFERROR(L10/L9,"")</f>
        <v>0.2972972973</v>
      </c>
      <c r="M3" s="12"/>
      <c r="N3" s="49" t="s">
        <v>44</v>
      </c>
      <c r="O3" s="50">
        <f>iferror(I9/L6,"")</f>
        <v>0.03773584906</v>
      </c>
      <c r="P3" s="12"/>
      <c r="Q3" s="51" t="s">
        <v>45</v>
      </c>
      <c r="R3" s="60">
        <f>IFERROR(COUNTIFS(N13:N286, "money"),"")</f>
        <v>19</v>
      </c>
      <c r="S3" s="13"/>
      <c r="T3" s="53" t="s">
        <v>46</v>
      </c>
      <c r="U3" s="54">
        <f>IFERROR(COUNTIF(H13:H286,T3),"")</f>
        <v>0</v>
      </c>
      <c r="V3" s="56"/>
    </row>
    <row r="4">
      <c r="A4" s="13"/>
      <c r="B4" s="61" t="s">
        <v>48</v>
      </c>
      <c r="C4" s="62">
        <f>IFERROR(SUM(L13:L284),"")</f>
        <v>49800</v>
      </c>
      <c r="D4" s="59"/>
      <c r="E4" s="244" t="s">
        <v>521</v>
      </c>
      <c r="F4" s="246">
        <f>C4/C3*100</f>
        <v>32.03396372</v>
      </c>
      <c r="H4" s="45" t="s">
        <v>28</v>
      </c>
      <c r="I4" s="46">
        <f>IFERROR(COUNTIFS(I13:I287, "Deposit"),"")</f>
        <v>1</v>
      </c>
      <c r="J4" s="13"/>
      <c r="K4" s="47" t="s">
        <v>18</v>
      </c>
      <c r="L4" s="48">
        <f>IFERROR(L9/L8,"")</f>
        <v>0.9736842105</v>
      </c>
      <c r="M4" s="12"/>
      <c r="N4" s="49" t="s">
        <v>49</v>
      </c>
      <c r="O4" s="50">
        <f>iferror(I10/L6,"")</f>
        <v>0.1320754717</v>
      </c>
      <c r="P4" s="12"/>
      <c r="Q4" s="51" t="s">
        <v>50</v>
      </c>
      <c r="R4" s="52">
        <f>IFERROR(COUNTIFS(N13:N286, "time"),"")</f>
        <v>0</v>
      </c>
      <c r="S4" s="13"/>
      <c r="T4" s="53" t="s">
        <v>51</v>
      </c>
      <c r="U4" s="54">
        <f>IFERROR(COUNTIF(H13:H286,T4),"")</f>
        <v>0</v>
      </c>
      <c r="V4" s="34"/>
    </row>
    <row r="5">
      <c r="A5" s="34"/>
      <c r="B5" s="38"/>
      <c r="C5" s="40"/>
      <c r="D5" s="13"/>
      <c r="E5" s="244" t="s">
        <v>523</v>
      </c>
      <c r="F5" s="247">
        <f>I2/C7*100</f>
        <v>9.090909091</v>
      </c>
      <c r="H5" s="45" t="s">
        <v>53</v>
      </c>
      <c r="I5" s="46">
        <f>IFERROR(COUNTIFS(I13:I287, "Offer &amp; Didn't Buy"),"")</f>
        <v>25</v>
      </c>
      <c r="J5" s="13"/>
      <c r="K5" s="47" t="s">
        <v>54</v>
      </c>
      <c r="L5" s="48">
        <f>IFERROR(I7/(C6+I7+I8),"")</f>
        <v>0</v>
      </c>
      <c r="M5" s="13"/>
      <c r="N5" s="49" t="s">
        <v>54</v>
      </c>
      <c r="O5" s="50">
        <f>iferror(I7/L6,"")</f>
        <v>0</v>
      </c>
      <c r="P5" s="12"/>
      <c r="Q5" s="51" t="s">
        <v>55</v>
      </c>
      <c r="R5" s="52">
        <f>IFERROR(COUNTIFS(N13:N286, "partner"),"")</f>
        <v>0</v>
      </c>
      <c r="S5" s="13"/>
      <c r="T5" s="53" t="s">
        <v>56</v>
      </c>
      <c r="U5" s="54">
        <f>IFERROR(COUNTIF(H13:H286,T5),"")</f>
        <v>0</v>
      </c>
      <c r="V5" s="56"/>
    </row>
    <row r="6">
      <c r="A6" s="13"/>
      <c r="B6" s="63" t="s">
        <v>58</v>
      </c>
      <c r="C6" s="64">
        <f>IFERROR(SUM(I2:I6),"")</f>
        <v>38</v>
      </c>
      <c r="D6" s="13"/>
      <c r="E6" s="244" t="s">
        <v>525</v>
      </c>
      <c r="F6" s="248">
        <f>AVERAGE(Q13:Q105)</f>
        <v>5.75</v>
      </c>
      <c r="H6" s="45" t="s">
        <v>59</v>
      </c>
      <c r="I6" s="46">
        <f>IFERROR(COUNTIFS(I13:I287, "Bad Fit &amp; No Offer"),"")</f>
        <v>1</v>
      </c>
      <c r="J6" s="13"/>
      <c r="K6" s="47" t="s">
        <v>21</v>
      </c>
      <c r="L6" s="65">
        <f>IFERROR(SUM(I2:I10),"")</f>
        <v>53</v>
      </c>
      <c r="M6" s="13"/>
      <c r="N6" s="66" t="s">
        <v>29</v>
      </c>
      <c r="O6" s="50">
        <f>iferror(L7/L6,"")</f>
        <v>0.7169811321</v>
      </c>
      <c r="P6" s="12"/>
      <c r="Q6" s="51" t="s">
        <v>60</v>
      </c>
      <c r="R6" s="52">
        <f>IFERROR(COUNTIFS(N13:N286, "fear"),"")</f>
        <v>2</v>
      </c>
      <c r="S6" s="13"/>
      <c r="T6" s="53" t="s">
        <v>61</v>
      </c>
      <c r="U6" s="54">
        <f>IFERROR(COUNTIF(H13:H286,T6),"")</f>
        <v>0</v>
      </c>
      <c r="V6" s="56"/>
    </row>
    <row r="7">
      <c r="A7" s="13"/>
      <c r="B7" s="63" t="s">
        <v>63</v>
      </c>
      <c r="C7" s="67">
        <f>IFERROR(I2+I3,"")</f>
        <v>11</v>
      </c>
      <c r="D7" s="13"/>
      <c r="E7" s="244" t="s">
        <v>527</v>
      </c>
      <c r="F7" s="245">
        <f>C3/C7</f>
        <v>14132.72727</v>
      </c>
      <c r="H7" s="45" t="s">
        <v>64</v>
      </c>
      <c r="I7" s="46">
        <f>IFERROR(COUNTIFS(I13:I287, "Drag Over &amp; Show"),"")</f>
        <v>0</v>
      </c>
      <c r="J7" s="13"/>
      <c r="K7" s="47" t="s">
        <v>22</v>
      </c>
      <c r="L7" s="65">
        <f>IFERROR(SUM(I2:I7),"")</f>
        <v>38</v>
      </c>
      <c r="M7" s="13"/>
      <c r="N7" s="68" t="s">
        <v>30</v>
      </c>
      <c r="O7" s="69">
        <f>IFERROR(L8/L6,"")</f>
        <v>0.7169811321</v>
      </c>
      <c r="P7" s="12"/>
      <c r="Q7" s="70" t="s">
        <v>65</v>
      </c>
      <c r="R7" s="71">
        <f>IFERROR(COUNTIFS(N14:N287, "value"),"")</f>
        <v>2</v>
      </c>
      <c r="S7" s="13"/>
      <c r="T7" s="53" t="s">
        <v>66</v>
      </c>
      <c r="U7" s="54">
        <f>IFERROR(COUNTIF(H13:H286,T7),"")</f>
        <v>0</v>
      </c>
      <c r="V7" s="34"/>
    </row>
    <row r="8">
      <c r="A8" s="13"/>
      <c r="B8" s="63" t="s">
        <v>68</v>
      </c>
      <c r="C8" s="72">
        <f>COUNTIF(I13:I286,"offer &amp; didn't buy")+countif(I13:I286,"deposit")+countif(I13:I286,"bad fit &amp; no offer")</f>
        <v>27</v>
      </c>
      <c r="D8" s="73"/>
      <c r="E8" s="244" t="s">
        <v>529</v>
      </c>
      <c r="F8" s="245">
        <f>C4/C7</f>
        <v>4527.272727</v>
      </c>
      <c r="H8" s="45" t="s">
        <v>69</v>
      </c>
      <c r="I8" s="46">
        <f>IFERROR(COUNTIFS(I13:I287, "Rescheduled"),"")</f>
        <v>6</v>
      </c>
      <c r="J8" s="13"/>
      <c r="K8" s="47" t="s">
        <v>23</v>
      </c>
      <c r="L8" s="65">
        <f>IFERROR(SUM(I2:I6),"")</f>
        <v>38</v>
      </c>
      <c r="M8" s="34"/>
      <c r="N8" s="74"/>
      <c r="O8" s="34"/>
      <c r="P8" s="34"/>
      <c r="Q8" s="34"/>
      <c r="R8" s="75"/>
      <c r="S8" s="13"/>
      <c r="T8" s="76" t="s">
        <v>70</v>
      </c>
      <c r="U8" s="77">
        <f>IFERROR(COUNTIF(H13:H286,T8),"")</f>
        <v>0</v>
      </c>
      <c r="V8" s="34"/>
    </row>
    <row r="9">
      <c r="A9" s="13"/>
      <c r="B9" s="63" t="s">
        <v>72</v>
      </c>
      <c r="C9" s="79">
        <f>iferror(SUM(C7/C6),"")</f>
        <v>0.2894736842</v>
      </c>
      <c r="D9" s="12"/>
      <c r="E9" s="249"/>
      <c r="F9" s="250"/>
      <c r="H9" s="45" t="s">
        <v>73</v>
      </c>
      <c r="I9" s="46">
        <f>IFERROR(COUNTIFS(I13:I287, "Cancelled"),"")</f>
        <v>2</v>
      </c>
      <c r="J9" s="13"/>
      <c r="K9" s="47" t="s">
        <v>24</v>
      </c>
      <c r="L9" s="65">
        <f>IFERROR(sum(I2:I5),"")</f>
        <v>37</v>
      </c>
      <c r="M9" s="34"/>
      <c r="N9" s="74"/>
      <c r="O9" s="34"/>
      <c r="P9" s="34"/>
      <c r="Q9" s="34"/>
      <c r="R9" s="75"/>
      <c r="S9" s="34"/>
      <c r="T9" s="34"/>
      <c r="U9" s="34"/>
      <c r="V9" s="34"/>
    </row>
    <row r="10">
      <c r="A10" s="34"/>
      <c r="B10" s="74"/>
      <c r="C10" s="34"/>
      <c r="D10" s="13"/>
      <c r="E10" s="251"/>
      <c r="F10" s="252"/>
      <c r="H10" s="80" t="s">
        <v>74</v>
      </c>
      <c r="I10" s="81">
        <f>IFERROR(COUNTIFS(I13:I287, "No-Show"),"")</f>
        <v>7</v>
      </c>
      <c r="J10" s="13"/>
      <c r="K10" s="82" t="s">
        <v>75</v>
      </c>
      <c r="L10" s="83">
        <f>I2+I3</f>
        <v>11</v>
      </c>
      <c r="M10" s="34"/>
      <c r="N10" s="74"/>
      <c r="O10" s="34"/>
      <c r="P10" s="34"/>
      <c r="Q10" s="34"/>
      <c r="R10" s="75"/>
      <c r="S10" s="34"/>
      <c r="T10" s="34"/>
      <c r="U10" s="34"/>
      <c r="V10" s="34"/>
    </row>
    <row r="11" ht="6.0" customHeight="1">
      <c r="A11" s="34"/>
      <c r="B11" s="74"/>
      <c r="C11" s="34"/>
      <c r="D11" s="34"/>
      <c r="E11" s="84"/>
      <c r="F11" s="74"/>
      <c r="G11" s="34"/>
      <c r="H11" s="34"/>
      <c r="I11" s="34"/>
      <c r="J11" s="34"/>
      <c r="K11" s="74"/>
      <c r="L11" s="34"/>
      <c r="M11" s="34"/>
      <c r="N11" s="34"/>
      <c r="O11" s="75"/>
      <c r="P11" s="34"/>
      <c r="Q11" s="34"/>
      <c r="R11" s="34"/>
      <c r="S11" s="34"/>
      <c r="T11" s="34"/>
      <c r="V11" s="34"/>
    </row>
    <row r="12">
      <c r="A12" s="34"/>
      <c r="B12" s="85" t="s">
        <v>76</v>
      </c>
      <c r="C12" s="86" t="s">
        <v>77</v>
      </c>
      <c r="D12" s="34"/>
      <c r="E12" s="87" t="s">
        <v>78</v>
      </c>
      <c r="F12" s="88" t="s">
        <v>79</v>
      </c>
      <c r="G12" s="34"/>
      <c r="H12" s="89" t="s">
        <v>37</v>
      </c>
      <c r="I12" s="89" t="s">
        <v>33</v>
      </c>
      <c r="J12" s="34"/>
      <c r="K12" s="35" t="s">
        <v>80</v>
      </c>
      <c r="L12" s="89" t="s">
        <v>48</v>
      </c>
      <c r="M12" s="34"/>
      <c r="N12" s="89" t="s">
        <v>81</v>
      </c>
      <c r="O12" s="90" t="s">
        <v>82</v>
      </c>
      <c r="P12" s="34"/>
      <c r="Q12" s="89" t="s">
        <v>83</v>
      </c>
      <c r="R12" s="89" t="s">
        <v>84</v>
      </c>
      <c r="S12" s="89" t="s">
        <v>85</v>
      </c>
      <c r="T12" s="89" t="s">
        <v>86</v>
      </c>
      <c r="V12" s="56"/>
    </row>
    <row r="13" ht="15.75" customHeight="1">
      <c r="A13" s="91"/>
      <c r="B13" s="278">
        <v>46055.0</v>
      </c>
      <c r="C13" s="86" t="s">
        <v>77</v>
      </c>
      <c r="D13" s="94"/>
      <c r="E13" s="127" t="s">
        <v>1761</v>
      </c>
      <c r="F13" s="216" t="s">
        <v>1762</v>
      </c>
      <c r="G13" s="97"/>
      <c r="H13" s="98" t="s">
        <v>90</v>
      </c>
      <c r="I13" s="99" t="s">
        <v>91</v>
      </c>
      <c r="J13" s="97"/>
      <c r="K13" s="100"/>
      <c r="L13" s="101"/>
      <c r="M13" s="102"/>
      <c r="N13" s="103" t="s">
        <v>45</v>
      </c>
      <c r="O13" s="104" t="s">
        <v>1363</v>
      </c>
      <c r="P13" s="97"/>
      <c r="Q13" s="105"/>
      <c r="S13" s="105"/>
      <c r="T13" s="106" t="s">
        <v>1763</v>
      </c>
      <c r="U13" s="107"/>
      <c r="V13" s="108"/>
    </row>
    <row r="14" ht="15.75" customHeight="1">
      <c r="A14" s="97"/>
      <c r="B14" s="278">
        <v>46055.0</v>
      </c>
      <c r="C14" s="258" t="s">
        <v>1735</v>
      </c>
      <c r="D14" s="97"/>
      <c r="E14" s="127" t="s">
        <v>1736</v>
      </c>
      <c r="F14" s="216" t="s">
        <v>1737</v>
      </c>
      <c r="G14" s="97"/>
      <c r="H14" s="98" t="s">
        <v>90</v>
      </c>
      <c r="I14" s="99" t="s">
        <v>125</v>
      </c>
      <c r="J14" s="97"/>
      <c r="K14" s="100"/>
      <c r="L14" s="101"/>
      <c r="M14" s="102"/>
      <c r="N14" s="103"/>
      <c r="O14" s="104"/>
      <c r="P14" s="97"/>
      <c r="Q14" s="105"/>
      <c r="S14" s="105"/>
      <c r="T14" s="111"/>
      <c r="U14" s="105"/>
      <c r="V14" s="108"/>
    </row>
    <row r="15" ht="15.75" customHeight="1">
      <c r="A15" s="97"/>
      <c r="B15" s="278">
        <v>46055.0</v>
      </c>
      <c r="C15" s="258" t="s">
        <v>1764</v>
      </c>
      <c r="D15" s="105"/>
      <c r="E15" s="127" t="s">
        <v>1765</v>
      </c>
      <c r="F15" s="216" t="s">
        <v>1766</v>
      </c>
      <c r="G15" s="97"/>
      <c r="H15" s="98" t="s">
        <v>90</v>
      </c>
      <c r="I15" s="99" t="s">
        <v>98</v>
      </c>
      <c r="J15" s="97"/>
      <c r="K15" s="113"/>
      <c r="L15" s="114"/>
      <c r="M15" s="102"/>
      <c r="N15" s="103"/>
      <c r="O15" s="104"/>
      <c r="P15" s="97"/>
      <c r="Q15" s="115"/>
      <c r="R15" s="116"/>
      <c r="S15" s="105"/>
      <c r="T15" s="117"/>
      <c r="U15" s="105"/>
      <c r="V15" s="108"/>
    </row>
    <row r="16" ht="15.75" customHeight="1">
      <c r="A16" s="97"/>
      <c r="B16" s="278">
        <v>46055.0</v>
      </c>
      <c r="C16" s="127" t="s">
        <v>1767</v>
      </c>
      <c r="D16" s="97"/>
      <c r="E16" s="127" t="s">
        <v>1768</v>
      </c>
      <c r="F16" s="216" t="s">
        <v>1769</v>
      </c>
      <c r="G16" s="97"/>
      <c r="H16" s="98" t="s">
        <v>90</v>
      </c>
      <c r="I16" s="99" t="s">
        <v>98</v>
      </c>
      <c r="J16" s="97"/>
      <c r="K16" s="100"/>
      <c r="L16" s="101"/>
      <c r="M16" s="102"/>
      <c r="N16" s="103"/>
      <c r="O16" s="104"/>
      <c r="P16" s="97"/>
      <c r="Q16" s="105"/>
      <c r="S16" s="105"/>
      <c r="T16" s="105"/>
      <c r="V16" s="108"/>
    </row>
    <row r="17" ht="15.75" customHeight="1">
      <c r="A17" s="97"/>
      <c r="B17" s="278">
        <v>46055.0</v>
      </c>
      <c r="C17" s="281" t="s">
        <v>1770</v>
      </c>
      <c r="D17" s="97"/>
      <c r="E17" s="257" t="s">
        <v>1771</v>
      </c>
      <c r="F17" s="219"/>
      <c r="G17" s="97"/>
      <c r="H17" s="98" t="s">
        <v>97</v>
      </c>
      <c r="I17" s="99" t="s">
        <v>1772</v>
      </c>
      <c r="J17" s="97"/>
      <c r="K17" s="100">
        <v>24000.0</v>
      </c>
      <c r="L17" s="101">
        <v>4000.0</v>
      </c>
      <c r="M17" s="102"/>
      <c r="N17" s="103"/>
      <c r="O17" s="104"/>
      <c r="P17" s="97"/>
      <c r="Q17" s="105">
        <v>6.0</v>
      </c>
      <c r="S17" s="105" t="s">
        <v>110</v>
      </c>
      <c r="T17" s="119" t="s">
        <v>1773</v>
      </c>
      <c r="U17" s="97"/>
      <c r="V17" s="108"/>
    </row>
    <row r="18" ht="15.75" customHeight="1">
      <c r="A18" s="97"/>
      <c r="B18" s="278">
        <v>46056.0</v>
      </c>
      <c r="C18" s="258" t="s">
        <v>1774</v>
      </c>
      <c r="D18" s="97"/>
      <c r="E18" s="127" t="s">
        <v>1775</v>
      </c>
      <c r="F18" s="211" t="s">
        <v>1776</v>
      </c>
      <c r="G18" s="97"/>
      <c r="H18" s="98" t="s">
        <v>90</v>
      </c>
      <c r="I18" s="99" t="s">
        <v>91</v>
      </c>
      <c r="J18" s="97"/>
      <c r="K18" s="100"/>
      <c r="L18" s="101">
        <v>500.0</v>
      </c>
      <c r="M18" s="102"/>
      <c r="N18" s="103"/>
      <c r="O18" s="104"/>
      <c r="P18" s="97"/>
      <c r="Q18" s="97"/>
      <c r="S18" s="105"/>
      <c r="T18" s="119"/>
      <c r="U18" s="97"/>
      <c r="V18" s="108"/>
    </row>
    <row r="19" ht="15.75" customHeight="1">
      <c r="A19" s="97"/>
      <c r="B19" s="279">
        <v>46056.0</v>
      </c>
      <c r="C19" s="270" t="s">
        <v>1777</v>
      </c>
      <c r="D19" s="97"/>
      <c r="E19" s="127" t="s">
        <v>1778</v>
      </c>
      <c r="F19" s="211" t="s">
        <v>1779</v>
      </c>
      <c r="G19" s="97"/>
      <c r="H19" s="98" t="s">
        <v>90</v>
      </c>
      <c r="I19" s="99" t="s">
        <v>1772</v>
      </c>
      <c r="J19" s="97"/>
      <c r="K19" s="280">
        <v>11660.0</v>
      </c>
      <c r="L19" s="101">
        <v>4000.0</v>
      </c>
      <c r="M19" s="102"/>
      <c r="N19" s="103" t="s">
        <v>60</v>
      </c>
      <c r="O19" s="104" t="s">
        <v>1780</v>
      </c>
      <c r="P19" s="97"/>
      <c r="Q19" s="105">
        <v>5.0</v>
      </c>
      <c r="S19" s="105" t="s">
        <v>110</v>
      </c>
      <c r="T19" s="119" t="s">
        <v>1781</v>
      </c>
      <c r="U19" s="97"/>
      <c r="V19" s="108"/>
    </row>
    <row r="20" ht="15.75" customHeight="1">
      <c r="A20" s="91"/>
      <c r="B20" s="278">
        <v>46056.0</v>
      </c>
      <c r="C20" s="258" t="s">
        <v>1782</v>
      </c>
      <c r="D20" s="97"/>
      <c r="E20" s="127" t="s">
        <v>1783</v>
      </c>
      <c r="F20" s="216" t="s">
        <v>1784</v>
      </c>
      <c r="G20" s="97"/>
      <c r="H20" s="98" t="s">
        <v>90</v>
      </c>
      <c r="I20" s="99" t="s">
        <v>91</v>
      </c>
      <c r="J20" s="97"/>
      <c r="K20" s="113"/>
      <c r="L20" s="114"/>
      <c r="M20" s="102"/>
      <c r="N20" s="103" t="s">
        <v>45</v>
      </c>
      <c r="O20" s="104"/>
      <c r="P20" s="97"/>
      <c r="Q20" s="105"/>
      <c r="S20" s="105" t="s">
        <v>116</v>
      </c>
      <c r="T20" s="105" t="s">
        <v>1785</v>
      </c>
      <c r="V20" s="108"/>
    </row>
    <row r="21" ht="15.75" customHeight="1">
      <c r="A21" s="91"/>
      <c r="B21" s="278">
        <v>46057.0</v>
      </c>
      <c r="C21" s="258" t="s">
        <v>1786</v>
      </c>
      <c r="D21" s="97"/>
      <c r="E21" s="127" t="s">
        <v>1787</v>
      </c>
      <c r="F21" s="216" t="s">
        <v>1788</v>
      </c>
      <c r="G21" s="97"/>
      <c r="H21" s="98" t="s">
        <v>90</v>
      </c>
      <c r="I21" s="99" t="s">
        <v>91</v>
      </c>
      <c r="J21" s="97"/>
      <c r="K21" s="100"/>
      <c r="L21" s="101"/>
      <c r="M21" s="102"/>
      <c r="N21" s="103"/>
      <c r="O21" s="104"/>
      <c r="P21" s="97"/>
      <c r="Q21" s="115"/>
      <c r="S21" s="105" t="s">
        <v>116</v>
      </c>
      <c r="T21" s="105" t="s">
        <v>1789</v>
      </c>
      <c r="V21" s="108"/>
    </row>
    <row r="22" ht="15.75" customHeight="1">
      <c r="A22" s="91"/>
      <c r="B22" s="278">
        <v>46057.0</v>
      </c>
      <c r="C22" s="281" t="s">
        <v>1790</v>
      </c>
      <c r="D22" s="97"/>
      <c r="E22" s="95" t="s">
        <v>1791</v>
      </c>
      <c r="F22" s="219"/>
      <c r="G22" s="97"/>
      <c r="H22" s="98" t="s">
        <v>97</v>
      </c>
      <c r="I22" s="105" t="s">
        <v>178</v>
      </c>
      <c r="J22" s="97"/>
      <c r="K22" s="100">
        <v>12000.0</v>
      </c>
      <c r="L22" s="101">
        <v>12000.0</v>
      </c>
      <c r="M22" s="102"/>
      <c r="N22" s="103"/>
      <c r="O22" s="104"/>
      <c r="P22" s="97"/>
      <c r="Q22" s="105">
        <v>6.0</v>
      </c>
      <c r="S22" s="105" t="s">
        <v>110</v>
      </c>
      <c r="T22" s="105"/>
      <c r="V22" s="108"/>
    </row>
    <row r="23" ht="15.75" customHeight="1">
      <c r="A23" s="91"/>
      <c r="B23" s="278">
        <v>46057.0</v>
      </c>
      <c r="C23" s="281" t="s">
        <v>1792</v>
      </c>
      <c r="D23" s="97"/>
      <c r="E23" s="112" t="s">
        <v>1793</v>
      </c>
      <c r="F23" s="110"/>
      <c r="G23" s="97"/>
      <c r="H23" s="98" t="s">
        <v>97</v>
      </c>
      <c r="I23" s="105" t="s">
        <v>1772</v>
      </c>
      <c r="J23" s="97"/>
      <c r="K23" s="100">
        <v>14000.0</v>
      </c>
      <c r="L23" s="101">
        <v>4000.0</v>
      </c>
      <c r="M23" s="102"/>
      <c r="N23" s="103"/>
      <c r="O23" s="104"/>
      <c r="P23" s="97"/>
      <c r="Q23" s="105">
        <v>6.0</v>
      </c>
      <c r="S23" s="105" t="s">
        <v>110</v>
      </c>
      <c r="T23" s="105"/>
      <c r="V23" s="108"/>
    </row>
    <row r="24" ht="15.0" customHeight="1">
      <c r="A24" s="91"/>
      <c r="B24" s="278">
        <v>46057.0</v>
      </c>
      <c r="C24" s="258" t="s">
        <v>1767</v>
      </c>
      <c r="D24" s="94"/>
      <c r="E24" s="127" t="s">
        <v>1768</v>
      </c>
      <c r="F24" s="216" t="s">
        <v>1769</v>
      </c>
      <c r="G24" s="97"/>
      <c r="H24" s="98" t="s">
        <v>90</v>
      </c>
      <c r="I24" s="99" t="s">
        <v>91</v>
      </c>
      <c r="J24" s="97"/>
      <c r="K24" s="113"/>
      <c r="L24" s="114"/>
      <c r="M24" s="102"/>
      <c r="N24" s="103" t="s">
        <v>143</v>
      </c>
      <c r="O24" s="104" t="s">
        <v>1794</v>
      </c>
      <c r="P24" s="97"/>
      <c r="Q24" s="105"/>
      <c r="S24" s="105" t="s">
        <v>116</v>
      </c>
      <c r="T24" s="106" t="s">
        <v>1795</v>
      </c>
      <c r="U24" s="107"/>
      <c r="V24" s="108"/>
    </row>
    <row r="25" ht="15.75" customHeight="1">
      <c r="A25" s="91"/>
      <c r="B25" s="278">
        <v>46057.0</v>
      </c>
      <c r="C25" s="258" t="s">
        <v>1796</v>
      </c>
      <c r="D25" s="97"/>
      <c r="E25" s="127" t="s">
        <v>1797</v>
      </c>
      <c r="F25" s="216" t="s">
        <v>1798</v>
      </c>
      <c r="G25" s="97"/>
      <c r="H25" s="98" t="s">
        <v>90</v>
      </c>
      <c r="I25" s="105" t="s">
        <v>91</v>
      </c>
      <c r="J25" s="97"/>
      <c r="K25" s="100"/>
      <c r="L25" s="101"/>
      <c r="M25" s="102"/>
      <c r="N25" s="103" t="s">
        <v>65</v>
      </c>
      <c r="O25" s="104" t="s">
        <v>1799</v>
      </c>
      <c r="P25" s="97"/>
      <c r="Q25" s="115"/>
      <c r="S25" s="105"/>
      <c r="T25" s="105" t="s">
        <v>1800</v>
      </c>
      <c r="V25" s="108"/>
    </row>
    <row r="26" ht="15.75" customHeight="1">
      <c r="A26" s="91"/>
      <c r="B26" s="278">
        <v>46058.0</v>
      </c>
      <c r="C26" s="270" t="s">
        <v>1801</v>
      </c>
      <c r="D26" s="97"/>
      <c r="E26" s="127" t="s">
        <v>1802</v>
      </c>
      <c r="F26" s="216" t="s">
        <v>1803</v>
      </c>
      <c r="G26" s="97"/>
      <c r="H26" s="98" t="s">
        <v>90</v>
      </c>
      <c r="I26" s="105" t="s">
        <v>1772</v>
      </c>
      <c r="J26" s="97"/>
      <c r="K26" s="283">
        <v>14000.0</v>
      </c>
      <c r="L26" s="284">
        <v>4000.0</v>
      </c>
      <c r="M26" s="102"/>
      <c r="N26" s="103" t="s">
        <v>45</v>
      </c>
      <c r="O26" s="104" t="s">
        <v>1804</v>
      </c>
      <c r="P26" s="97"/>
      <c r="Q26" s="115"/>
      <c r="S26" s="105" t="s">
        <v>110</v>
      </c>
      <c r="T26" s="105" t="s">
        <v>1805</v>
      </c>
      <c r="V26" s="108"/>
    </row>
    <row r="27" ht="15.75" customHeight="1">
      <c r="A27" s="91"/>
      <c r="B27" s="278">
        <v>46058.0</v>
      </c>
      <c r="C27" s="258" t="s">
        <v>1806</v>
      </c>
      <c r="D27" s="97"/>
      <c r="E27" s="127" t="s">
        <v>1807</v>
      </c>
      <c r="F27" s="211" t="s">
        <v>1808</v>
      </c>
      <c r="G27" s="97"/>
      <c r="H27" s="98" t="s">
        <v>90</v>
      </c>
      <c r="I27" s="105" t="s">
        <v>149</v>
      </c>
      <c r="J27" s="97"/>
      <c r="K27" s="285"/>
      <c r="L27" s="285"/>
      <c r="M27" s="102"/>
      <c r="N27" s="103"/>
      <c r="O27" s="104"/>
      <c r="P27" s="97"/>
      <c r="Q27" s="97"/>
      <c r="S27" s="105"/>
      <c r="T27" s="105" t="s">
        <v>1809</v>
      </c>
      <c r="V27" s="108"/>
    </row>
    <row r="28" ht="15.75" customHeight="1">
      <c r="A28" s="91"/>
      <c r="B28" s="278">
        <v>46060.0</v>
      </c>
      <c r="C28" s="258" t="s">
        <v>1810</v>
      </c>
      <c r="D28" s="97"/>
      <c r="E28" s="127" t="s">
        <v>1811</v>
      </c>
      <c r="F28" s="216" t="s">
        <v>1812</v>
      </c>
      <c r="G28" s="97"/>
      <c r="H28" s="98" t="s">
        <v>90</v>
      </c>
      <c r="I28" s="105" t="s">
        <v>91</v>
      </c>
      <c r="J28" s="97"/>
      <c r="K28" s="100"/>
      <c r="L28" s="101"/>
      <c r="M28" s="102"/>
      <c r="N28" s="103" t="s">
        <v>45</v>
      </c>
      <c r="O28" s="104" t="s">
        <v>295</v>
      </c>
      <c r="P28" s="97"/>
      <c r="Q28" s="97"/>
      <c r="R28" s="126"/>
      <c r="S28" s="105" t="s">
        <v>570</v>
      </c>
      <c r="T28" s="105" t="s">
        <v>1813</v>
      </c>
      <c r="V28" s="108"/>
    </row>
    <row r="29" ht="15.75" customHeight="1">
      <c r="A29" s="91"/>
      <c r="B29" s="278">
        <v>46060.0</v>
      </c>
      <c r="C29" s="258" t="s">
        <v>1814</v>
      </c>
      <c r="D29" s="97"/>
      <c r="E29" s="127" t="s">
        <v>1815</v>
      </c>
      <c r="F29" s="216" t="s">
        <v>1816</v>
      </c>
      <c r="G29" s="97"/>
      <c r="H29" s="98" t="s">
        <v>90</v>
      </c>
      <c r="I29" s="105" t="s">
        <v>91</v>
      </c>
      <c r="J29" s="97"/>
      <c r="K29" s="113"/>
      <c r="L29" s="114"/>
      <c r="M29" s="102"/>
      <c r="N29" s="103" t="s">
        <v>45</v>
      </c>
      <c r="O29" s="104"/>
      <c r="P29" s="97"/>
      <c r="Q29" s="115"/>
      <c r="R29" s="116"/>
      <c r="S29" s="105" t="s">
        <v>99</v>
      </c>
      <c r="T29" s="105" t="s">
        <v>1817</v>
      </c>
      <c r="V29" s="108"/>
    </row>
    <row r="30" ht="15.75" customHeight="1">
      <c r="A30" s="91"/>
      <c r="B30" s="278">
        <v>46061.0</v>
      </c>
      <c r="C30" s="127" t="s">
        <v>1818</v>
      </c>
      <c r="D30" s="97"/>
      <c r="E30" s="127" t="s">
        <v>1819</v>
      </c>
      <c r="F30" s="216" t="s">
        <v>1820</v>
      </c>
      <c r="G30" s="97"/>
      <c r="H30" s="98" t="s">
        <v>90</v>
      </c>
      <c r="I30" s="105" t="s">
        <v>91</v>
      </c>
      <c r="J30" s="97"/>
      <c r="K30" s="100"/>
      <c r="L30" s="101"/>
      <c r="M30" s="102"/>
      <c r="N30" s="103" t="s">
        <v>45</v>
      </c>
      <c r="O30" s="125"/>
      <c r="P30" s="97"/>
      <c r="Q30" s="105"/>
      <c r="R30" s="107"/>
      <c r="S30" s="105" t="s">
        <v>99</v>
      </c>
      <c r="T30" s="105" t="s">
        <v>1821</v>
      </c>
      <c r="V30" s="108"/>
    </row>
    <row r="31" ht="15.75" customHeight="1">
      <c r="A31" s="91"/>
      <c r="B31" s="278">
        <v>46062.0</v>
      </c>
      <c r="C31" s="258" t="s">
        <v>1822</v>
      </c>
      <c r="D31" s="97"/>
      <c r="E31" s="127" t="s">
        <v>1823</v>
      </c>
      <c r="F31" s="216" t="s">
        <v>1824</v>
      </c>
      <c r="G31" s="97"/>
      <c r="H31" s="98" t="s">
        <v>90</v>
      </c>
      <c r="I31" s="105" t="s">
        <v>91</v>
      </c>
      <c r="J31" s="97"/>
      <c r="K31" s="100"/>
      <c r="L31" s="101"/>
      <c r="M31" s="102"/>
      <c r="N31" s="103" t="s">
        <v>143</v>
      </c>
      <c r="O31" s="104" t="s">
        <v>1825</v>
      </c>
      <c r="P31" s="97"/>
      <c r="Q31" s="115"/>
      <c r="R31" s="107"/>
      <c r="S31" s="105" t="s">
        <v>116</v>
      </c>
      <c r="T31" s="105" t="s">
        <v>1826</v>
      </c>
      <c r="V31" s="108"/>
    </row>
    <row r="32" ht="15.75" customHeight="1">
      <c r="A32" s="91"/>
      <c r="B32" s="278">
        <v>46063.0</v>
      </c>
      <c r="C32" s="127" t="s">
        <v>1827</v>
      </c>
      <c r="D32" s="97"/>
      <c r="E32" s="127" t="s">
        <v>1828</v>
      </c>
      <c r="F32" s="216" t="s">
        <v>1829</v>
      </c>
      <c r="G32" s="97"/>
      <c r="H32" s="98" t="s">
        <v>90</v>
      </c>
      <c r="I32" s="105" t="s">
        <v>91</v>
      </c>
      <c r="J32" s="97"/>
      <c r="K32" s="113"/>
      <c r="L32" s="114"/>
      <c r="M32" s="102"/>
      <c r="N32" s="103" t="s">
        <v>60</v>
      </c>
      <c r="O32" s="104" t="s">
        <v>1830</v>
      </c>
      <c r="P32" s="97"/>
      <c r="Q32" s="97"/>
      <c r="R32" s="107"/>
      <c r="S32" s="105" t="s">
        <v>116</v>
      </c>
      <c r="T32" s="105" t="s">
        <v>1831</v>
      </c>
      <c r="V32" s="108"/>
    </row>
    <row r="33" ht="15.75" customHeight="1">
      <c r="A33" s="91"/>
      <c r="B33" s="278">
        <v>46063.0</v>
      </c>
      <c r="C33" s="258" t="s">
        <v>1832</v>
      </c>
      <c r="D33" s="97"/>
      <c r="E33" s="127" t="s">
        <v>1833</v>
      </c>
      <c r="F33" s="216" t="s">
        <v>1834</v>
      </c>
      <c r="G33" s="97"/>
      <c r="H33" s="98" t="s">
        <v>90</v>
      </c>
      <c r="I33" s="105" t="s">
        <v>91</v>
      </c>
      <c r="J33" s="97"/>
      <c r="K33" s="100"/>
      <c r="L33" s="101"/>
      <c r="M33" s="102"/>
      <c r="N33" s="103" t="s">
        <v>65</v>
      </c>
      <c r="O33" s="104" t="s">
        <v>1835</v>
      </c>
      <c r="P33" s="97"/>
      <c r="Q33" s="105"/>
      <c r="R33" s="107"/>
      <c r="S33" s="105" t="s">
        <v>116</v>
      </c>
      <c r="T33" s="105" t="s">
        <v>1836</v>
      </c>
      <c r="V33" s="108"/>
    </row>
    <row r="34" ht="15.75" customHeight="1">
      <c r="A34" s="91"/>
      <c r="B34" s="278">
        <v>46065.0</v>
      </c>
      <c r="C34" s="258" t="s">
        <v>1837</v>
      </c>
      <c r="D34" s="97"/>
      <c r="E34" s="127" t="s">
        <v>1838</v>
      </c>
      <c r="F34" s="216" t="s">
        <v>1839</v>
      </c>
      <c r="G34" s="97"/>
      <c r="H34" s="98" t="s">
        <v>90</v>
      </c>
      <c r="I34" s="105" t="s">
        <v>91</v>
      </c>
      <c r="J34" s="97"/>
      <c r="K34" s="113"/>
      <c r="L34" s="114"/>
      <c r="M34" s="102"/>
      <c r="N34" s="103" t="s">
        <v>45</v>
      </c>
      <c r="O34" s="104" t="s">
        <v>1840</v>
      </c>
      <c r="P34" s="97"/>
      <c r="Q34" s="97"/>
      <c r="R34" s="107"/>
      <c r="S34" s="105" t="s">
        <v>99</v>
      </c>
      <c r="T34" s="105" t="s">
        <v>1841</v>
      </c>
      <c r="V34" s="108"/>
    </row>
    <row r="35" ht="15.75" customHeight="1">
      <c r="A35" s="91"/>
      <c r="B35" s="278">
        <v>46065.0</v>
      </c>
      <c r="C35" s="258" t="s">
        <v>1842</v>
      </c>
      <c r="D35" s="97"/>
      <c r="E35" s="127" t="s">
        <v>1843</v>
      </c>
      <c r="F35" s="216" t="s">
        <v>1844</v>
      </c>
      <c r="G35" s="97"/>
      <c r="H35" s="98" t="s">
        <v>90</v>
      </c>
      <c r="I35" s="105" t="s">
        <v>1772</v>
      </c>
      <c r="J35" s="97"/>
      <c r="K35" s="100">
        <v>14000.0</v>
      </c>
      <c r="L35" s="101">
        <v>4000.0</v>
      </c>
      <c r="M35" s="102"/>
      <c r="N35" s="103"/>
      <c r="O35" s="125"/>
      <c r="P35" s="97"/>
      <c r="Q35" s="105"/>
      <c r="R35" s="107"/>
      <c r="S35" s="105" t="s">
        <v>110</v>
      </c>
      <c r="T35" s="105" t="s">
        <v>1845</v>
      </c>
      <c r="V35" s="108"/>
    </row>
    <row r="36" ht="15.75" customHeight="1">
      <c r="A36" s="91"/>
      <c r="B36" s="278">
        <v>46068.0</v>
      </c>
      <c r="C36" s="258" t="s">
        <v>1846</v>
      </c>
      <c r="D36" s="97"/>
      <c r="E36" s="127" t="s">
        <v>1847</v>
      </c>
      <c r="F36" s="216" t="s">
        <v>1848</v>
      </c>
      <c r="G36" s="97"/>
      <c r="H36" s="98" t="s">
        <v>90</v>
      </c>
      <c r="I36" s="105" t="s">
        <v>333</v>
      </c>
      <c r="J36" s="97"/>
      <c r="K36" s="113"/>
      <c r="L36" s="114"/>
      <c r="M36" s="102"/>
      <c r="N36" s="103" t="s">
        <v>45</v>
      </c>
      <c r="O36" s="104" t="s">
        <v>1849</v>
      </c>
      <c r="P36" s="97"/>
      <c r="Q36" s="97"/>
      <c r="R36" s="126"/>
      <c r="S36" s="105" t="s">
        <v>335</v>
      </c>
      <c r="T36" s="105" t="s">
        <v>1850</v>
      </c>
      <c r="V36" s="108"/>
    </row>
    <row r="37" ht="15.75" customHeight="1">
      <c r="A37" s="91"/>
      <c r="B37" s="278">
        <v>46068.0</v>
      </c>
      <c r="C37" s="258" t="s">
        <v>1479</v>
      </c>
      <c r="D37" s="97"/>
      <c r="E37" s="127" t="s">
        <v>1851</v>
      </c>
      <c r="F37" s="216" t="s">
        <v>1852</v>
      </c>
      <c r="G37" s="97"/>
      <c r="H37" s="98" t="s">
        <v>90</v>
      </c>
      <c r="I37" s="105" t="s">
        <v>91</v>
      </c>
      <c r="J37" s="97"/>
      <c r="K37" s="100"/>
      <c r="L37" s="101"/>
      <c r="M37" s="102"/>
      <c r="N37" s="103" t="s">
        <v>45</v>
      </c>
      <c r="O37" s="104" t="s">
        <v>1853</v>
      </c>
      <c r="P37" s="97"/>
      <c r="Q37" s="115"/>
      <c r="R37" s="107"/>
      <c r="S37" s="105" t="s">
        <v>99</v>
      </c>
      <c r="T37" s="105" t="s">
        <v>1854</v>
      </c>
      <c r="V37" s="108"/>
    </row>
    <row r="38" ht="15.75" customHeight="1">
      <c r="A38" s="91"/>
      <c r="B38" s="278">
        <v>46068.0</v>
      </c>
      <c r="C38" s="258" t="s">
        <v>1855</v>
      </c>
      <c r="D38" s="97"/>
      <c r="E38" s="127" t="s">
        <v>1856</v>
      </c>
      <c r="F38" s="216" t="s">
        <v>1857</v>
      </c>
      <c r="G38" s="97"/>
      <c r="H38" s="98" t="s">
        <v>90</v>
      </c>
      <c r="I38" s="105" t="s">
        <v>91</v>
      </c>
      <c r="J38" s="97"/>
      <c r="K38" s="113"/>
      <c r="L38" s="114"/>
      <c r="M38" s="102"/>
      <c r="N38" s="103" t="s">
        <v>143</v>
      </c>
      <c r="O38" s="104" t="s">
        <v>1858</v>
      </c>
      <c r="P38" s="97"/>
      <c r="Q38" s="130"/>
      <c r="R38" s="107"/>
      <c r="S38" s="105" t="s">
        <v>116</v>
      </c>
      <c r="T38" s="188" t="s">
        <v>1859</v>
      </c>
      <c r="V38" s="108"/>
    </row>
    <row r="39" ht="15.75" customHeight="1">
      <c r="A39" s="91"/>
      <c r="B39" s="129">
        <v>46069.0</v>
      </c>
      <c r="C39" s="258" t="s">
        <v>1860</v>
      </c>
      <c r="D39" s="97"/>
      <c r="E39" s="127" t="s">
        <v>1861</v>
      </c>
      <c r="F39" s="216" t="s">
        <v>1862</v>
      </c>
      <c r="G39" s="97"/>
      <c r="H39" s="98" t="s">
        <v>90</v>
      </c>
      <c r="I39" s="105" t="s">
        <v>91</v>
      </c>
      <c r="J39" s="97"/>
      <c r="K39" s="113"/>
      <c r="L39" s="101"/>
      <c r="M39" s="102"/>
      <c r="N39" s="103" t="s">
        <v>45</v>
      </c>
      <c r="O39" s="104" t="s">
        <v>1863</v>
      </c>
      <c r="P39" s="97"/>
      <c r="Q39" s="115"/>
      <c r="R39" s="107"/>
      <c r="S39" s="105" t="s">
        <v>99</v>
      </c>
      <c r="T39" s="105" t="s">
        <v>1864</v>
      </c>
      <c r="V39" s="108"/>
    </row>
    <row r="40" ht="15.75" customHeight="1">
      <c r="A40" s="91"/>
      <c r="B40" s="278">
        <v>46069.0</v>
      </c>
      <c r="C40" s="258" t="s">
        <v>1865</v>
      </c>
      <c r="D40" s="97"/>
      <c r="E40" s="127" t="s">
        <v>1866</v>
      </c>
      <c r="F40" s="216" t="s">
        <v>1867</v>
      </c>
      <c r="G40" s="97"/>
      <c r="H40" s="98" t="s">
        <v>90</v>
      </c>
      <c r="I40" s="105" t="s">
        <v>125</v>
      </c>
      <c r="J40" s="97"/>
      <c r="L40" s="114"/>
      <c r="M40" s="102"/>
      <c r="N40" s="103"/>
      <c r="O40" s="104"/>
      <c r="P40" s="97"/>
      <c r="Q40" s="115"/>
      <c r="R40" s="107"/>
      <c r="S40" s="105"/>
      <c r="T40" s="105"/>
      <c r="V40" s="108"/>
    </row>
    <row r="41" ht="15.75" customHeight="1">
      <c r="A41" s="91"/>
      <c r="B41" s="129">
        <v>46071.0</v>
      </c>
      <c r="C41" s="286" t="s">
        <v>1868</v>
      </c>
      <c r="D41" s="97"/>
      <c r="E41" s="92" t="s">
        <v>1869</v>
      </c>
      <c r="F41" s="219"/>
      <c r="G41" s="97"/>
      <c r="H41" s="98" t="s">
        <v>97</v>
      </c>
      <c r="I41" s="105" t="s">
        <v>91</v>
      </c>
      <c r="J41" s="97"/>
      <c r="K41" s="100"/>
      <c r="L41" s="101"/>
      <c r="M41" s="102"/>
      <c r="N41" s="103" t="s">
        <v>45</v>
      </c>
      <c r="O41" s="104" t="s">
        <v>1870</v>
      </c>
      <c r="P41" s="97"/>
      <c r="Q41" s="97"/>
      <c r="R41" s="126"/>
      <c r="S41" s="105" t="s">
        <v>116</v>
      </c>
      <c r="T41" s="105" t="s">
        <v>1871</v>
      </c>
      <c r="V41" s="108"/>
    </row>
    <row r="42" ht="15.75" customHeight="1">
      <c r="A42" s="91"/>
      <c r="B42" s="129">
        <v>46072.0</v>
      </c>
      <c r="C42" s="258" t="s">
        <v>1872</v>
      </c>
      <c r="D42" s="97"/>
      <c r="E42" s="127" t="s">
        <v>1873</v>
      </c>
      <c r="F42" s="216" t="s">
        <v>1874</v>
      </c>
      <c r="G42" s="97"/>
      <c r="H42" s="98" t="s">
        <v>90</v>
      </c>
      <c r="I42" s="105" t="s">
        <v>125</v>
      </c>
      <c r="J42" s="97"/>
      <c r="K42" s="113"/>
      <c r="L42" s="114"/>
      <c r="M42" s="102"/>
      <c r="N42" s="103"/>
      <c r="O42" s="104"/>
      <c r="P42" s="97"/>
      <c r="Q42" s="115"/>
      <c r="R42" s="107"/>
      <c r="S42" s="105"/>
      <c r="T42" s="105"/>
      <c r="V42" s="108"/>
    </row>
    <row r="43" ht="15.75" customHeight="1">
      <c r="A43" s="91"/>
      <c r="B43" s="129">
        <v>46073.0</v>
      </c>
      <c r="C43" s="258" t="s">
        <v>1875</v>
      </c>
      <c r="D43" s="97"/>
      <c r="E43" s="127" t="s">
        <v>1876</v>
      </c>
      <c r="F43" s="216" t="s">
        <v>1877</v>
      </c>
      <c r="G43" s="97"/>
      <c r="H43" s="98" t="s">
        <v>90</v>
      </c>
      <c r="I43" s="105" t="s">
        <v>125</v>
      </c>
      <c r="J43" s="97"/>
      <c r="K43" s="100"/>
      <c r="L43" s="101"/>
      <c r="M43" s="102"/>
      <c r="N43" s="124"/>
      <c r="O43" s="125"/>
      <c r="P43" s="97"/>
      <c r="Q43" s="131"/>
      <c r="R43" s="126"/>
      <c r="S43" s="97"/>
      <c r="T43" s="97"/>
      <c r="V43" s="108"/>
    </row>
    <row r="44" ht="15.75" customHeight="1">
      <c r="A44" s="91"/>
      <c r="B44" s="129">
        <v>46075.0</v>
      </c>
      <c r="C44" s="270" t="s">
        <v>1865</v>
      </c>
      <c r="D44" s="97"/>
      <c r="E44" s="127" t="s">
        <v>1866</v>
      </c>
      <c r="F44" s="216" t="s">
        <v>1867</v>
      </c>
      <c r="G44" s="97"/>
      <c r="H44" s="98" t="s">
        <v>90</v>
      </c>
      <c r="I44" s="105" t="s">
        <v>1772</v>
      </c>
      <c r="J44" s="97"/>
      <c r="K44" s="100">
        <v>14000.0</v>
      </c>
      <c r="L44" s="101">
        <v>2000.0</v>
      </c>
      <c r="M44" s="102"/>
      <c r="N44" s="124"/>
      <c r="O44" s="104" t="s">
        <v>1878</v>
      </c>
      <c r="P44" s="97"/>
      <c r="Q44" s="97"/>
      <c r="R44" s="126"/>
      <c r="S44" s="105" t="s">
        <v>110</v>
      </c>
      <c r="T44" s="97"/>
      <c r="V44" s="108"/>
    </row>
    <row r="45" ht="15.75" customHeight="1">
      <c r="A45" s="91"/>
      <c r="B45" s="129">
        <v>46075.0</v>
      </c>
      <c r="C45" s="258" t="s">
        <v>1872</v>
      </c>
      <c r="D45" s="97"/>
      <c r="E45" s="127" t="s">
        <v>1873</v>
      </c>
      <c r="F45" s="216" t="s">
        <v>1874</v>
      </c>
      <c r="G45" s="97"/>
      <c r="H45" s="98" t="s">
        <v>90</v>
      </c>
      <c r="I45" s="105" t="s">
        <v>91</v>
      </c>
      <c r="J45" s="97"/>
      <c r="K45" s="100"/>
      <c r="L45" s="101"/>
      <c r="M45" s="102"/>
      <c r="N45" s="103" t="s">
        <v>45</v>
      </c>
      <c r="O45" s="104" t="s">
        <v>1879</v>
      </c>
      <c r="P45" s="97"/>
      <c r="Q45" s="97"/>
      <c r="R45" s="126"/>
      <c r="S45" s="105" t="s">
        <v>116</v>
      </c>
      <c r="T45" s="105" t="s">
        <v>1880</v>
      </c>
      <c r="V45" s="108"/>
    </row>
    <row r="46" ht="15.75" customHeight="1">
      <c r="A46" s="91"/>
      <c r="B46" s="129">
        <v>46075.0</v>
      </c>
      <c r="C46" s="258" t="s">
        <v>1881</v>
      </c>
      <c r="D46" s="97"/>
      <c r="E46" s="127" t="s">
        <v>1882</v>
      </c>
      <c r="F46" s="216" t="s">
        <v>1883</v>
      </c>
      <c r="G46" s="97"/>
      <c r="H46" s="98" t="s">
        <v>90</v>
      </c>
      <c r="I46" s="105" t="s">
        <v>125</v>
      </c>
      <c r="J46" s="97"/>
      <c r="K46" s="113"/>
      <c r="L46" s="114"/>
      <c r="M46" s="102"/>
      <c r="N46" s="124"/>
      <c r="O46" s="125"/>
      <c r="P46" s="97"/>
      <c r="Q46" s="97"/>
      <c r="R46" s="126"/>
      <c r="S46" s="97"/>
      <c r="T46" s="97"/>
      <c r="V46" s="108"/>
    </row>
    <row r="47" ht="15.75" customHeight="1">
      <c r="A47" s="91"/>
      <c r="B47" s="129">
        <v>46075.0</v>
      </c>
      <c r="C47" s="258" t="s">
        <v>1884</v>
      </c>
      <c r="D47" s="97"/>
      <c r="E47" s="127" t="s">
        <v>1885</v>
      </c>
      <c r="F47" s="216" t="s">
        <v>1886</v>
      </c>
      <c r="G47" s="97"/>
      <c r="H47" s="98" t="s">
        <v>90</v>
      </c>
      <c r="I47" s="105" t="s">
        <v>98</v>
      </c>
      <c r="J47" s="97"/>
      <c r="K47" s="100"/>
      <c r="L47" s="101"/>
      <c r="M47" s="102"/>
      <c r="N47" s="103"/>
      <c r="O47" s="104"/>
      <c r="P47" s="97"/>
      <c r="Q47" s="115"/>
      <c r="R47" s="116"/>
      <c r="S47" s="105"/>
      <c r="T47" s="105"/>
      <c r="V47" s="108"/>
    </row>
    <row r="48" ht="15.75" customHeight="1">
      <c r="A48" s="91"/>
      <c r="B48" s="129">
        <v>46075.0</v>
      </c>
      <c r="C48" s="258" t="s">
        <v>1887</v>
      </c>
      <c r="D48" s="97"/>
      <c r="E48" s="127" t="s">
        <v>1888</v>
      </c>
      <c r="F48" s="216" t="s">
        <v>1889</v>
      </c>
      <c r="G48" s="97"/>
      <c r="H48" s="98" t="s">
        <v>90</v>
      </c>
      <c r="I48" s="105" t="s">
        <v>91</v>
      </c>
      <c r="J48" s="97"/>
      <c r="K48" s="113"/>
      <c r="L48" s="114"/>
      <c r="M48" s="102"/>
      <c r="N48" s="103" t="s">
        <v>45</v>
      </c>
      <c r="O48" s="104" t="s">
        <v>1890</v>
      </c>
      <c r="P48" s="97"/>
      <c r="Q48" s="130"/>
      <c r="R48" s="107"/>
      <c r="S48" s="105" t="s">
        <v>116</v>
      </c>
      <c r="T48" s="105" t="s">
        <v>1891</v>
      </c>
      <c r="V48" s="108"/>
    </row>
    <row r="49" ht="15.75" customHeight="1">
      <c r="A49" s="91"/>
      <c r="B49" s="129">
        <v>46075.0</v>
      </c>
      <c r="C49" s="127" t="s">
        <v>1892</v>
      </c>
      <c r="D49" s="97"/>
      <c r="E49" s="127" t="s">
        <v>1893</v>
      </c>
      <c r="F49" s="216" t="s">
        <v>1894</v>
      </c>
      <c r="G49" s="97"/>
      <c r="H49" s="98" t="s">
        <v>90</v>
      </c>
      <c r="I49" s="105" t="s">
        <v>98</v>
      </c>
      <c r="J49" s="97"/>
      <c r="K49" s="100"/>
      <c r="L49" s="101"/>
      <c r="M49" s="102"/>
      <c r="N49" s="103"/>
      <c r="O49" s="104"/>
      <c r="P49" s="97"/>
      <c r="Q49" s="130"/>
      <c r="R49" s="107"/>
      <c r="S49" s="105"/>
      <c r="T49" s="105"/>
      <c r="V49" s="108"/>
    </row>
    <row r="50" ht="15.75" customHeight="1">
      <c r="A50" s="91"/>
      <c r="B50" s="129">
        <v>46075.0</v>
      </c>
      <c r="C50" s="127" t="s">
        <v>1895</v>
      </c>
      <c r="D50" s="97"/>
      <c r="E50" s="127" t="s">
        <v>1896</v>
      </c>
      <c r="F50" s="216" t="s">
        <v>1897</v>
      </c>
      <c r="G50" s="97"/>
      <c r="H50" s="98" t="s">
        <v>90</v>
      </c>
      <c r="I50" s="105" t="s">
        <v>98</v>
      </c>
      <c r="J50" s="97"/>
      <c r="K50" s="113"/>
      <c r="L50" s="114"/>
      <c r="M50" s="102"/>
      <c r="N50" s="124"/>
      <c r="O50" s="125"/>
      <c r="P50" s="97"/>
      <c r="Q50" s="97"/>
      <c r="R50" s="126"/>
      <c r="S50" s="97"/>
      <c r="T50" s="105"/>
      <c r="V50" s="108"/>
    </row>
    <row r="51" ht="15.75" customHeight="1">
      <c r="A51" s="91"/>
      <c r="B51" s="129">
        <v>46076.0</v>
      </c>
      <c r="C51" s="258" t="s">
        <v>1884</v>
      </c>
      <c r="D51" s="97"/>
      <c r="E51" s="127" t="s">
        <v>1885</v>
      </c>
      <c r="F51" s="216" t="s">
        <v>1886</v>
      </c>
      <c r="G51" s="97"/>
      <c r="H51" s="98" t="s">
        <v>90</v>
      </c>
      <c r="I51" s="105" t="s">
        <v>175</v>
      </c>
      <c r="J51" s="97"/>
      <c r="K51" s="100"/>
      <c r="L51" s="101"/>
      <c r="M51" s="102"/>
      <c r="N51" s="103"/>
      <c r="O51" s="104"/>
      <c r="P51" s="97"/>
      <c r="Q51" s="131"/>
      <c r="R51" s="126"/>
      <c r="S51" s="105"/>
      <c r="T51" s="105"/>
      <c r="V51" s="108"/>
    </row>
    <row r="52" ht="15.75" customHeight="1">
      <c r="A52" s="91"/>
      <c r="B52" s="129">
        <v>46076.0</v>
      </c>
      <c r="C52" s="258" t="s">
        <v>1898</v>
      </c>
      <c r="D52" s="97"/>
      <c r="E52" s="127" t="s">
        <v>1899</v>
      </c>
      <c r="F52" s="216" t="s">
        <v>1900</v>
      </c>
      <c r="G52" s="97"/>
      <c r="H52" s="98" t="s">
        <v>90</v>
      </c>
      <c r="I52" s="105" t="s">
        <v>91</v>
      </c>
      <c r="J52" s="97"/>
      <c r="K52" s="113"/>
      <c r="L52" s="114"/>
      <c r="M52" s="102"/>
      <c r="N52" s="103" t="s">
        <v>45</v>
      </c>
      <c r="O52" s="104" t="s">
        <v>1901</v>
      </c>
      <c r="P52" s="97"/>
      <c r="Q52" s="131"/>
      <c r="R52" s="126"/>
      <c r="S52" s="105" t="s">
        <v>335</v>
      </c>
      <c r="T52" s="105" t="s">
        <v>1902</v>
      </c>
      <c r="V52" s="108"/>
    </row>
    <row r="53" ht="15.75" customHeight="1">
      <c r="A53" s="91"/>
      <c r="B53" s="129">
        <v>46076.0</v>
      </c>
      <c r="C53" s="127" t="s">
        <v>1903</v>
      </c>
      <c r="D53" s="97"/>
      <c r="E53" s="127" t="s">
        <v>1904</v>
      </c>
      <c r="F53" s="216" t="s">
        <v>1905</v>
      </c>
      <c r="G53" s="97"/>
      <c r="H53" s="98" t="s">
        <v>90</v>
      </c>
      <c r="I53" s="105" t="s">
        <v>91</v>
      </c>
      <c r="J53" s="97"/>
      <c r="K53" s="100"/>
      <c r="L53" s="101"/>
      <c r="M53" s="102"/>
      <c r="N53" s="103"/>
      <c r="O53" s="125"/>
      <c r="P53" s="97"/>
      <c r="Q53" s="130"/>
      <c r="R53" s="107"/>
      <c r="S53" s="105"/>
      <c r="T53" s="105"/>
      <c r="V53" s="108"/>
    </row>
    <row r="54" ht="15.75" customHeight="1">
      <c r="A54" s="91"/>
      <c r="B54" s="129">
        <v>46077.0</v>
      </c>
      <c r="C54" s="270" t="s">
        <v>1860</v>
      </c>
      <c r="D54" s="97"/>
      <c r="E54" s="127" t="s">
        <v>1906</v>
      </c>
      <c r="F54" s="216" t="s">
        <v>1907</v>
      </c>
      <c r="G54" s="97"/>
      <c r="H54" s="98" t="s">
        <v>90</v>
      </c>
      <c r="I54" s="105" t="s">
        <v>1772</v>
      </c>
      <c r="J54" s="97"/>
      <c r="K54" s="100">
        <v>14000.0</v>
      </c>
      <c r="L54" s="101">
        <v>4000.0</v>
      </c>
      <c r="M54" s="102"/>
      <c r="N54" s="103"/>
      <c r="O54" s="104"/>
      <c r="P54" s="97"/>
      <c r="Q54" s="130"/>
      <c r="R54" s="133"/>
      <c r="S54" s="105" t="s">
        <v>110</v>
      </c>
      <c r="T54" s="105" t="s">
        <v>1908</v>
      </c>
      <c r="V54" s="108"/>
    </row>
    <row r="55" ht="15.75" customHeight="1">
      <c r="A55" s="91"/>
      <c r="B55" s="129">
        <v>46077.0</v>
      </c>
      <c r="C55" s="270" t="s">
        <v>1909</v>
      </c>
      <c r="D55" s="97"/>
      <c r="E55" s="127" t="s">
        <v>1910</v>
      </c>
      <c r="F55" s="216" t="s">
        <v>1911</v>
      </c>
      <c r="G55" s="97"/>
      <c r="H55" s="98" t="s">
        <v>90</v>
      </c>
      <c r="I55" s="105" t="s">
        <v>1772</v>
      </c>
      <c r="J55" s="97"/>
      <c r="K55" s="100">
        <v>14000.0</v>
      </c>
      <c r="L55" s="101">
        <v>4000.0</v>
      </c>
      <c r="M55" s="102"/>
      <c r="N55" s="103"/>
      <c r="O55" s="104"/>
      <c r="P55" s="97"/>
      <c r="Q55" s="130"/>
      <c r="R55" s="107"/>
      <c r="S55" s="105" t="s">
        <v>110</v>
      </c>
      <c r="T55" s="105" t="s">
        <v>1912</v>
      </c>
      <c r="V55" s="108"/>
    </row>
    <row r="56" ht="15.75" customHeight="1">
      <c r="A56" s="91"/>
      <c r="B56" s="129">
        <v>46077.0</v>
      </c>
      <c r="C56" s="258" t="s">
        <v>1881</v>
      </c>
      <c r="D56" s="97"/>
      <c r="E56" s="127" t="s">
        <v>1882</v>
      </c>
      <c r="F56" s="216" t="s">
        <v>1883</v>
      </c>
      <c r="G56" s="97"/>
      <c r="H56" s="98" t="s">
        <v>90</v>
      </c>
      <c r="I56" s="105" t="s">
        <v>91</v>
      </c>
      <c r="J56" s="97"/>
      <c r="K56" s="113"/>
      <c r="L56" s="114"/>
      <c r="M56" s="102"/>
      <c r="N56" s="103" t="s">
        <v>45</v>
      </c>
      <c r="O56" s="125"/>
      <c r="P56" s="97"/>
      <c r="Q56" s="115"/>
      <c r="R56" s="107"/>
      <c r="S56" s="105" t="s">
        <v>570</v>
      </c>
      <c r="T56" s="105" t="s">
        <v>1913</v>
      </c>
      <c r="V56" s="108"/>
    </row>
    <row r="57" ht="15.75" customHeight="1">
      <c r="A57" s="91"/>
      <c r="B57" s="129">
        <v>46077.0</v>
      </c>
      <c r="C57" s="127" t="s">
        <v>1895</v>
      </c>
      <c r="D57" s="97"/>
      <c r="E57" s="127" t="s">
        <v>1896</v>
      </c>
      <c r="F57" s="216" t="s">
        <v>1897</v>
      </c>
      <c r="G57" s="97"/>
      <c r="H57" s="98" t="s">
        <v>90</v>
      </c>
      <c r="I57" s="105" t="s">
        <v>125</v>
      </c>
      <c r="J57" s="97"/>
      <c r="K57" s="100"/>
      <c r="L57" s="101"/>
      <c r="M57" s="102"/>
      <c r="N57" s="124"/>
      <c r="O57" s="125"/>
      <c r="P57" s="97"/>
      <c r="Q57" s="131"/>
      <c r="R57" s="126"/>
      <c r="S57" s="97"/>
      <c r="T57" s="105"/>
      <c r="V57" s="108"/>
    </row>
    <row r="58" ht="15.75" customHeight="1">
      <c r="A58" s="91"/>
      <c r="B58" s="129">
        <v>46078.0</v>
      </c>
      <c r="C58" s="258" t="s">
        <v>1914</v>
      </c>
      <c r="D58" s="97"/>
      <c r="E58" s="127" t="s">
        <v>1915</v>
      </c>
      <c r="F58" s="216" t="s">
        <v>1916</v>
      </c>
      <c r="G58" s="97"/>
      <c r="H58" s="98" t="s">
        <v>90</v>
      </c>
      <c r="I58" s="105" t="s">
        <v>1772</v>
      </c>
      <c r="J58" s="97"/>
      <c r="K58" s="100">
        <v>9800.0</v>
      </c>
      <c r="L58" s="101">
        <v>3300.0</v>
      </c>
      <c r="M58" s="102"/>
      <c r="N58" s="103" t="s">
        <v>45</v>
      </c>
      <c r="O58" s="104" t="s">
        <v>1917</v>
      </c>
      <c r="P58" s="97"/>
      <c r="Q58" s="115"/>
      <c r="R58" s="107"/>
      <c r="S58" s="105" t="s">
        <v>110</v>
      </c>
      <c r="T58" s="105" t="s">
        <v>1918</v>
      </c>
      <c r="V58" s="108"/>
    </row>
    <row r="59" ht="15.75" customHeight="1">
      <c r="A59" s="91"/>
      <c r="B59" s="129">
        <v>46078.0</v>
      </c>
      <c r="C59" s="127" t="s">
        <v>1919</v>
      </c>
      <c r="D59" s="97"/>
      <c r="E59" s="127" t="s">
        <v>1920</v>
      </c>
      <c r="F59" s="216" t="s">
        <v>1921</v>
      </c>
      <c r="G59" s="97"/>
      <c r="H59" s="98" t="s">
        <v>90</v>
      </c>
      <c r="I59" s="105" t="s">
        <v>1772</v>
      </c>
      <c r="J59" s="97"/>
      <c r="K59" s="100">
        <v>14000.0</v>
      </c>
      <c r="L59" s="101">
        <v>4000.0</v>
      </c>
      <c r="M59" s="102"/>
      <c r="N59" s="124"/>
      <c r="O59" s="125"/>
      <c r="P59" s="97"/>
      <c r="Q59" s="97"/>
      <c r="R59" s="126"/>
      <c r="S59" s="105" t="s">
        <v>110</v>
      </c>
      <c r="T59" s="105" t="s">
        <v>1922</v>
      </c>
      <c r="V59" s="108"/>
    </row>
    <row r="60" ht="15.75" customHeight="1">
      <c r="A60" s="91"/>
      <c r="B60" s="129">
        <v>46078.0</v>
      </c>
      <c r="C60" s="258" t="s">
        <v>1923</v>
      </c>
      <c r="D60" s="97"/>
      <c r="E60" s="127" t="s">
        <v>1924</v>
      </c>
      <c r="F60" s="216" t="s">
        <v>1925</v>
      </c>
      <c r="G60" s="97"/>
      <c r="H60" s="98" t="s">
        <v>90</v>
      </c>
      <c r="I60" s="105" t="s">
        <v>91</v>
      </c>
      <c r="J60" s="97"/>
      <c r="K60" s="113"/>
      <c r="L60" s="114"/>
      <c r="M60" s="102"/>
      <c r="N60" s="103" t="s">
        <v>45</v>
      </c>
      <c r="O60" s="104" t="s">
        <v>1926</v>
      </c>
      <c r="P60" s="97"/>
      <c r="Q60" s="115"/>
      <c r="R60" s="107"/>
      <c r="S60" s="105" t="s">
        <v>116</v>
      </c>
      <c r="T60" s="105" t="s">
        <v>1927</v>
      </c>
      <c r="V60" s="108"/>
    </row>
    <row r="61" ht="15.75" customHeight="1">
      <c r="A61" s="91"/>
      <c r="B61" s="129">
        <v>46079.0</v>
      </c>
      <c r="C61" s="127" t="s">
        <v>1892</v>
      </c>
      <c r="D61" s="97"/>
      <c r="E61" s="127" t="s">
        <v>1893</v>
      </c>
      <c r="F61" s="216" t="s">
        <v>1894</v>
      </c>
      <c r="G61" s="97"/>
      <c r="H61" s="98" t="s">
        <v>90</v>
      </c>
      <c r="I61" s="105" t="s">
        <v>125</v>
      </c>
      <c r="J61" s="97"/>
      <c r="K61" s="100"/>
      <c r="L61" s="101"/>
      <c r="M61" s="102"/>
      <c r="N61" s="124"/>
      <c r="O61" s="125"/>
      <c r="P61" s="97"/>
      <c r="Q61" s="97"/>
      <c r="R61" s="126"/>
      <c r="S61" s="97"/>
      <c r="T61" s="97"/>
      <c r="V61" s="108"/>
    </row>
    <row r="62" ht="15.75" customHeight="1">
      <c r="A62" s="91"/>
      <c r="B62" s="129">
        <v>46079.0</v>
      </c>
      <c r="C62" s="258" t="s">
        <v>1884</v>
      </c>
      <c r="D62" s="97"/>
      <c r="E62" s="127" t="s">
        <v>1885</v>
      </c>
      <c r="F62" s="216" t="s">
        <v>1886</v>
      </c>
      <c r="G62" s="97"/>
      <c r="H62" s="98" t="s">
        <v>90</v>
      </c>
      <c r="I62" s="105" t="s">
        <v>91</v>
      </c>
      <c r="J62" s="97"/>
      <c r="K62" s="114"/>
      <c r="M62" s="102"/>
      <c r="N62" s="103" t="s">
        <v>45</v>
      </c>
      <c r="O62" s="104" t="s">
        <v>1928</v>
      </c>
      <c r="P62" s="97"/>
      <c r="Q62" s="97"/>
      <c r="R62" s="126"/>
      <c r="S62" s="105" t="s">
        <v>116</v>
      </c>
      <c r="T62" s="105" t="s">
        <v>1929</v>
      </c>
      <c r="V62" s="108"/>
    </row>
    <row r="63" ht="15.75" customHeight="1">
      <c r="A63" s="91"/>
      <c r="B63" s="129">
        <v>46080.0</v>
      </c>
      <c r="C63" s="127" t="s">
        <v>1930</v>
      </c>
      <c r="D63" s="97"/>
      <c r="E63" s="127" t="s">
        <v>1931</v>
      </c>
      <c r="F63" s="216" t="s">
        <v>1932</v>
      </c>
      <c r="G63" s="97"/>
      <c r="H63" s="98" t="s">
        <v>90</v>
      </c>
      <c r="I63" s="105" t="s">
        <v>91</v>
      </c>
      <c r="J63" s="97"/>
      <c r="K63" s="100"/>
      <c r="L63" s="101"/>
      <c r="M63" s="102"/>
      <c r="N63" s="103" t="s">
        <v>45</v>
      </c>
      <c r="O63" s="104" t="s">
        <v>1933</v>
      </c>
      <c r="P63" s="97"/>
      <c r="Q63" s="97"/>
      <c r="R63" s="126"/>
      <c r="S63" s="105" t="s">
        <v>116</v>
      </c>
      <c r="T63" s="105" t="s">
        <v>1934</v>
      </c>
      <c r="V63" s="108"/>
    </row>
    <row r="64" ht="15.75" customHeight="1">
      <c r="A64" s="91"/>
      <c r="B64" s="129">
        <v>46081.0</v>
      </c>
      <c r="C64" s="127" t="s">
        <v>1935</v>
      </c>
      <c r="D64" s="97"/>
      <c r="E64" s="127" t="s">
        <v>1936</v>
      </c>
      <c r="F64" s="216" t="s">
        <v>1937</v>
      </c>
      <c r="G64" s="97"/>
      <c r="H64" s="98" t="s">
        <v>90</v>
      </c>
      <c r="I64" s="105" t="s">
        <v>175</v>
      </c>
      <c r="J64" s="97"/>
      <c r="K64" s="113"/>
      <c r="L64" s="114"/>
      <c r="M64" s="102"/>
      <c r="N64" s="103"/>
      <c r="O64" s="104"/>
      <c r="P64" s="97"/>
      <c r="Q64" s="115"/>
      <c r="R64" s="116"/>
      <c r="S64" s="105"/>
      <c r="T64" s="105"/>
      <c r="V64" s="108"/>
    </row>
    <row r="65" ht="15.75" customHeight="1">
      <c r="A65" s="91"/>
      <c r="B65" s="129">
        <v>46081.0</v>
      </c>
      <c r="C65" s="127" t="s">
        <v>1938</v>
      </c>
      <c r="D65" s="97"/>
      <c r="E65" s="127" t="s">
        <v>1939</v>
      </c>
      <c r="F65" s="216" t="s">
        <v>1940</v>
      </c>
      <c r="G65" s="97"/>
      <c r="H65" s="98" t="s">
        <v>90</v>
      </c>
      <c r="I65" s="105" t="s">
        <v>98</v>
      </c>
      <c r="J65" s="97"/>
      <c r="K65" s="100"/>
      <c r="L65" s="101"/>
      <c r="M65" s="102"/>
      <c r="N65" s="103"/>
      <c r="O65" s="104"/>
      <c r="P65" s="97"/>
      <c r="Q65" s="130"/>
      <c r="R65" s="116"/>
      <c r="S65" s="105"/>
      <c r="T65" s="105"/>
      <c r="V65" s="108"/>
    </row>
    <row r="66" ht="15.75" customHeight="1">
      <c r="A66" s="91"/>
      <c r="B66" s="129"/>
      <c r="C66" s="107"/>
      <c r="D66" s="97"/>
      <c r="E66" s="122"/>
      <c r="F66" s="219"/>
      <c r="G66" s="97"/>
      <c r="H66" s="98"/>
      <c r="I66" s="105"/>
      <c r="J66" s="97"/>
      <c r="K66" s="113"/>
      <c r="L66" s="114"/>
      <c r="M66" s="102"/>
      <c r="N66" s="124"/>
      <c r="O66" s="125"/>
      <c r="P66" s="97"/>
      <c r="Q66" s="97"/>
      <c r="R66" s="126"/>
      <c r="S66" s="97"/>
      <c r="T66" s="97"/>
      <c r="V66" s="108"/>
    </row>
    <row r="67" ht="15.75" customHeight="1">
      <c r="A67" s="91"/>
      <c r="B67" s="129"/>
      <c r="C67" s="107"/>
      <c r="D67" s="97"/>
      <c r="E67" s="92"/>
      <c r="F67" s="121"/>
      <c r="G67" s="97"/>
      <c r="H67" s="98"/>
      <c r="I67" s="105"/>
      <c r="J67" s="97"/>
      <c r="K67" s="100"/>
      <c r="L67" s="101"/>
      <c r="M67" s="102"/>
      <c r="N67" s="124"/>
      <c r="O67" s="125"/>
      <c r="P67" s="97"/>
      <c r="Q67" s="130"/>
      <c r="R67" s="107"/>
      <c r="S67" s="105"/>
      <c r="T67" s="105"/>
      <c r="V67" s="108"/>
    </row>
    <row r="68" ht="15.75" customHeight="1">
      <c r="A68" s="91"/>
      <c r="B68" s="129"/>
      <c r="C68" s="107"/>
      <c r="D68" s="97"/>
      <c r="E68" s="92"/>
      <c r="F68" s="121"/>
      <c r="G68" s="97"/>
      <c r="H68" s="98"/>
      <c r="I68" s="105"/>
      <c r="J68" s="97"/>
      <c r="K68" s="113"/>
      <c r="L68" s="114"/>
      <c r="M68" s="102"/>
      <c r="N68" s="124"/>
      <c r="O68" s="125"/>
      <c r="P68" s="97"/>
      <c r="Q68" s="130"/>
      <c r="R68" s="126"/>
      <c r="S68" s="97"/>
      <c r="T68" s="105"/>
      <c r="V68" s="108"/>
    </row>
    <row r="69" ht="15.75" customHeight="1">
      <c r="A69" s="91"/>
      <c r="B69" s="129"/>
      <c r="C69" s="98"/>
      <c r="D69" s="97"/>
      <c r="E69" s="92"/>
      <c r="F69" s="123"/>
      <c r="G69" s="97"/>
      <c r="H69" s="98"/>
      <c r="I69" s="105"/>
      <c r="J69" s="97"/>
      <c r="K69" s="100"/>
      <c r="L69" s="101"/>
      <c r="M69" s="102"/>
      <c r="N69" s="124"/>
      <c r="O69" s="125"/>
      <c r="P69" s="97"/>
      <c r="Q69" s="115"/>
      <c r="R69" s="107"/>
      <c r="S69" s="105"/>
      <c r="T69" s="105"/>
      <c r="V69" s="108"/>
    </row>
    <row r="70" ht="15.75" customHeight="1">
      <c r="A70" s="91"/>
      <c r="B70" s="129"/>
      <c r="C70" s="98"/>
      <c r="D70" s="97"/>
      <c r="E70" s="92"/>
      <c r="F70" s="121"/>
      <c r="G70" s="97"/>
      <c r="H70" s="98"/>
      <c r="I70" s="105"/>
      <c r="J70" s="97"/>
      <c r="K70" s="113"/>
      <c r="L70" s="114"/>
      <c r="M70" s="102"/>
      <c r="N70" s="124"/>
      <c r="O70" s="125"/>
      <c r="P70" s="97"/>
      <c r="Q70" s="131"/>
      <c r="R70" s="126"/>
      <c r="S70" s="97"/>
      <c r="T70" s="97"/>
      <c r="V70" s="108"/>
    </row>
    <row r="71" ht="15.75" customHeight="1">
      <c r="A71" s="91"/>
      <c r="B71" s="129"/>
      <c r="C71" s="98"/>
      <c r="D71" s="97"/>
      <c r="E71" s="92"/>
      <c r="F71" s="121"/>
      <c r="G71" s="97"/>
      <c r="H71" s="98"/>
      <c r="I71" s="105"/>
      <c r="J71" s="97"/>
      <c r="K71" s="100"/>
      <c r="L71" s="101"/>
      <c r="M71" s="102"/>
      <c r="N71" s="124"/>
      <c r="O71" s="125"/>
      <c r="P71" s="97"/>
      <c r="Q71" s="130"/>
      <c r="R71" s="107"/>
      <c r="S71" s="105"/>
      <c r="T71" s="105"/>
      <c r="V71" s="108"/>
    </row>
    <row r="72" ht="15.75" customHeight="1">
      <c r="A72" s="91"/>
      <c r="B72" s="129"/>
      <c r="C72" s="98"/>
      <c r="D72" s="97"/>
      <c r="E72" s="122"/>
      <c r="F72" s="121"/>
      <c r="G72" s="97"/>
      <c r="H72" s="98"/>
      <c r="I72" s="105"/>
      <c r="J72" s="97"/>
      <c r="K72" s="113"/>
      <c r="L72" s="114"/>
      <c r="M72" s="102"/>
      <c r="N72" s="103"/>
      <c r="O72" s="125"/>
      <c r="P72" s="97"/>
      <c r="Q72" s="130"/>
      <c r="R72" s="107"/>
      <c r="S72" s="105"/>
      <c r="T72" s="105"/>
      <c r="V72" s="108"/>
    </row>
    <row r="73" ht="15.75" customHeight="1">
      <c r="A73" s="91"/>
      <c r="B73" s="129"/>
      <c r="C73" s="98"/>
      <c r="D73" s="97"/>
      <c r="E73" s="122"/>
      <c r="F73" s="123"/>
      <c r="G73" s="97"/>
      <c r="H73" s="98"/>
      <c r="I73" s="105"/>
      <c r="J73" s="97"/>
      <c r="K73" s="100"/>
      <c r="L73" s="101"/>
      <c r="M73" s="102"/>
      <c r="N73" s="103"/>
      <c r="O73" s="125"/>
      <c r="P73" s="97"/>
      <c r="Q73" s="115"/>
      <c r="R73" s="107"/>
      <c r="S73" s="105"/>
      <c r="T73" s="105"/>
      <c r="V73" s="108"/>
    </row>
    <row r="74" ht="15.75" customHeight="1">
      <c r="A74" s="91"/>
      <c r="B74" s="129"/>
      <c r="C74" s="107"/>
      <c r="D74" s="97"/>
      <c r="E74" s="122"/>
      <c r="F74" s="121"/>
      <c r="G74" s="97"/>
      <c r="H74" s="98"/>
      <c r="I74" s="105"/>
      <c r="J74" s="97"/>
      <c r="K74" s="113"/>
      <c r="L74" s="114"/>
      <c r="M74" s="102"/>
      <c r="N74" s="103"/>
      <c r="O74" s="125"/>
      <c r="P74" s="97"/>
      <c r="Q74" s="115"/>
      <c r="R74" s="107"/>
      <c r="S74" s="105"/>
      <c r="T74" s="105"/>
      <c r="V74" s="108"/>
    </row>
    <row r="75" ht="15.75" customHeight="1">
      <c r="A75" s="91"/>
      <c r="B75" s="129"/>
      <c r="C75" s="107"/>
      <c r="D75" s="97"/>
      <c r="E75" s="122"/>
      <c r="F75" s="121"/>
      <c r="G75" s="97"/>
      <c r="H75" s="98"/>
      <c r="I75" s="105"/>
      <c r="J75" s="97"/>
      <c r="K75" s="100"/>
      <c r="L75" s="101"/>
      <c r="M75" s="102"/>
      <c r="N75" s="124"/>
      <c r="O75" s="125"/>
      <c r="P75" s="97"/>
      <c r="Q75" s="131"/>
      <c r="R75" s="126"/>
      <c r="S75" s="97"/>
      <c r="T75" s="97"/>
      <c r="V75" s="108"/>
    </row>
    <row r="76" ht="15.75" customHeight="1">
      <c r="A76" s="91"/>
      <c r="B76" s="129"/>
      <c r="C76" s="98"/>
      <c r="D76" s="97"/>
      <c r="E76" s="122"/>
      <c r="F76" s="121"/>
      <c r="G76" s="97"/>
      <c r="H76" s="98"/>
      <c r="I76" s="105"/>
      <c r="J76" s="97"/>
      <c r="K76" s="113"/>
      <c r="L76" s="114"/>
      <c r="M76" s="102"/>
      <c r="N76" s="103"/>
      <c r="O76" s="125"/>
      <c r="P76" s="97"/>
      <c r="Q76" s="115"/>
      <c r="R76" s="107"/>
      <c r="S76" s="105"/>
      <c r="T76" s="105"/>
      <c r="V76" s="108"/>
    </row>
    <row r="77" ht="15.75" customHeight="1">
      <c r="A77" s="91"/>
      <c r="B77" s="129"/>
      <c r="C77" s="98"/>
      <c r="D77" s="97"/>
      <c r="E77" s="92"/>
      <c r="F77" s="121"/>
      <c r="G77" s="97"/>
      <c r="H77" s="98"/>
      <c r="I77" s="105"/>
      <c r="J77" s="97"/>
      <c r="K77" s="100"/>
      <c r="L77" s="101"/>
      <c r="M77" s="102"/>
      <c r="N77" s="124"/>
      <c r="O77" s="125"/>
      <c r="P77" s="97"/>
      <c r="Q77" s="131"/>
      <c r="R77" s="126"/>
      <c r="S77" s="97"/>
      <c r="T77" s="97"/>
      <c r="V77" s="108"/>
    </row>
    <row r="78" ht="15.75" customHeight="1">
      <c r="A78" s="91"/>
      <c r="B78" s="129"/>
      <c r="C78" s="98"/>
      <c r="D78" s="97"/>
      <c r="E78" s="122"/>
      <c r="F78" s="121"/>
      <c r="G78" s="97"/>
      <c r="H78" s="98"/>
      <c r="I78" s="105"/>
      <c r="J78" s="97"/>
      <c r="K78" s="113"/>
      <c r="L78" s="114"/>
      <c r="M78" s="102"/>
      <c r="N78" s="103"/>
      <c r="O78" s="125"/>
      <c r="P78" s="97"/>
      <c r="Q78" s="115"/>
      <c r="R78" s="107"/>
      <c r="S78" s="105"/>
      <c r="T78" s="105"/>
      <c r="V78" s="108"/>
    </row>
    <row r="79" ht="15.75" customHeight="1">
      <c r="A79" s="91"/>
      <c r="B79" s="129"/>
      <c r="C79" s="98"/>
      <c r="D79" s="97"/>
      <c r="E79" s="122"/>
      <c r="F79" s="121"/>
      <c r="G79" s="97"/>
      <c r="H79" s="98"/>
      <c r="I79" s="105"/>
      <c r="J79" s="97"/>
      <c r="K79" s="100"/>
      <c r="L79" s="101"/>
      <c r="M79" s="102"/>
      <c r="N79" s="124"/>
      <c r="O79" s="125"/>
      <c r="P79" s="97"/>
      <c r="Q79" s="131"/>
      <c r="R79" s="126"/>
      <c r="S79" s="97"/>
      <c r="T79" s="97"/>
      <c r="V79" s="108"/>
    </row>
    <row r="80" ht="15.75" customHeight="1">
      <c r="A80" s="91"/>
      <c r="B80" s="129"/>
      <c r="C80" s="98"/>
      <c r="D80" s="97"/>
      <c r="E80" s="122"/>
      <c r="F80" s="121"/>
      <c r="G80" s="97"/>
      <c r="H80" s="98"/>
      <c r="I80" s="105"/>
      <c r="J80" s="97"/>
      <c r="K80" s="113"/>
      <c r="L80" s="114"/>
      <c r="M80" s="102"/>
      <c r="N80" s="103"/>
      <c r="O80" s="104"/>
      <c r="P80" s="97"/>
      <c r="Q80" s="130"/>
      <c r="R80" s="107"/>
      <c r="S80" s="105"/>
      <c r="T80" s="105"/>
      <c r="V80" s="108"/>
    </row>
    <row r="81" ht="15.75" customHeight="1">
      <c r="A81" s="91"/>
      <c r="B81" s="129"/>
      <c r="C81" s="107"/>
      <c r="D81" s="97"/>
      <c r="E81" s="122"/>
      <c r="F81" s="121"/>
      <c r="G81" s="97"/>
      <c r="H81" s="98"/>
      <c r="I81" s="105"/>
      <c r="J81" s="97"/>
      <c r="K81" s="100"/>
      <c r="L81" s="101"/>
      <c r="M81" s="102"/>
      <c r="N81" s="103"/>
      <c r="O81" s="104"/>
      <c r="P81" s="97"/>
      <c r="Q81" s="115"/>
      <c r="R81" s="136"/>
      <c r="S81" s="105"/>
      <c r="T81" s="105"/>
      <c r="V81" s="108"/>
    </row>
    <row r="82" ht="15.75" customHeight="1">
      <c r="A82" s="91"/>
      <c r="B82" s="129"/>
      <c r="C82" s="107"/>
      <c r="D82" s="97"/>
      <c r="E82" s="122"/>
      <c r="F82" s="121"/>
      <c r="G82" s="97"/>
      <c r="H82" s="98"/>
      <c r="I82" s="105"/>
      <c r="J82" s="97"/>
      <c r="K82" s="113"/>
      <c r="L82" s="114"/>
      <c r="M82" s="102"/>
      <c r="N82" s="103"/>
      <c r="O82" s="104"/>
      <c r="P82" s="97"/>
      <c r="Q82" s="115"/>
      <c r="R82" s="107"/>
      <c r="S82" s="105"/>
      <c r="T82" s="105"/>
      <c r="V82" s="108"/>
    </row>
    <row r="83" ht="15.75" customHeight="1">
      <c r="A83" s="91"/>
      <c r="B83" s="129"/>
      <c r="C83" s="98"/>
      <c r="D83" s="97"/>
      <c r="E83" s="122"/>
      <c r="F83" s="121"/>
      <c r="G83" s="97"/>
      <c r="H83" s="98"/>
      <c r="I83" s="105"/>
      <c r="J83" s="97"/>
      <c r="K83" s="100"/>
      <c r="L83" s="101"/>
      <c r="M83" s="102"/>
      <c r="N83" s="124"/>
      <c r="O83" s="125"/>
      <c r="P83" s="97"/>
      <c r="Q83" s="131"/>
      <c r="R83" s="126"/>
      <c r="S83" s="97"/>
      <c r="T83" s="97"/>
      <c r="V83" s="108"/>
    </row>
    <row r="84" ht="15.75" customHeight="1">
      <c r="A84" s="91"/>
      <c r="B84" s="129"/>
      <c r="C84" s="98"/>
      <c r="D84" s="97"/>
      <c r="E84" s="122"/>
      <c r="F84" s="121"/>
      <c r="G84" s="97"/>
      <c r="H84" s="98"/>
      <c r="I84" s="105"/>
      <c r="J84" s="97"/>
      <c r="K84" s="113"/>
      <c r="L84" s="114"/>
      <c r="M84" s="102"/>
      <c r="N84" s="124"/>
      <c r="O84" s="125"/>
      <c r="P84" s="97"/>
      <c r="Q84" s="97"/>
      <c r="R84" s="126"/>
      <c r="S84" s="97"/>
      <c r="T84" s="97"/>
      <c r="V84" s="108"/>
    </row>
    <row r="85" ht="15.75" customHeight="1">
      <c r="A85" s="91"/>
      <c r="B85" s="129"/>
      <c r="C85" s="137"/>
      <c r="D85" s="97"/>
      <c r="E85" s="122"/>
      <c r="F85" s="121"/>
      <c r="G85" s="97"/>
      <c r="H85" s="98"/>
      <c r="I85" s="105"/>
      <c r="J85" s="97"/>
      <c r="K85" s="100"/>
      <c r="L85" s="101"/>
      <c r="M85" s="102"/>
      <c r="N85" s="124"/>
      <c r="O85" s="125"/>
      <c r="P85" s="97"/>
      <c r="Q85" s="131"/>
      <c r="R85" s="126"/>
      <c r="S85" s="97"/>
      <c r="T85" s="97"/>
      <c r="V85" s="108"/>
    </row>
    <row r="86" ht="15.75" customHeight="1">
      <c r="A86" s="91"/>
      <c r="B86" s="129"/>
      <c r="C86" s="99"/>
      <c r="D86" s="97"/>
      <c r="E86" s="122"/>
      <c r="F86" s="121"/>
      <c r="G86" s="97"/>
      <c r="H86" s="98"/>
      <c r="I86" s="105"/>
      <c r="J86" s="97"/>
      <c r="K86" s="113"/>
      <c r="L86" s="114"/>
      <c r="M86" s="102"/>
      <c r="N86" s="103"/>
      <c r="O86" s="104"/>
      <c r="P86" s="97"/>
      <c r="Q86" s="130"/>
      <c r="R86" s="116"/>
      <c r="S86" s="105"/>
      <c r="T86" s="105"/>
      <c r="V86" s="108"/>
    </row>
    <row r="87" ht="15.75" customHeight="1">
      <c r="A87" s="91"/>
      <c r="B87" s="129"/>
      <c r="C87" s="98"/>
      <c r="D87" s="97"/>
      <c r="E87" s="122"/>
      <c r="F87" s="121"/>
      <c r="G87" s="97"/>
      <c r="H87" s="98"/>
      <c r="I87" s="105"/>
      <c r="J87" s="97"/>
      <c r="K87" s="100"/>
      <c r="L87" s="101"/>
      <c r="M87" s="102"/>
      <c r="N87" s="124"/>
      <c r="O87" s="104"/>
      <c r="P87" s="97"/>
      <c r="Q87" s="131"/>
      <c r="R87" s="107"/>
      <c r="S87" s="105"/>
      <c r="T87" s="105"/>
      <c r="V87" s="108"/>
    </row>
    <row r="88" ht="15.75" customHeight="1">
      <c r="A88" s="91"/>
      <c r="B88" s="129"/>
      <c r="C88" s="98"/>
      <c r="D88" s="97"/>
      <c r="E88" s="122"/>
      <c r="F88" s="121"/>
      <c r="G88" s="97"/>
      <c r="H88" s="98"/>
      <c r="I88" s="105"/>
      <c r="J88" s="97"/>
      <c r="K88" s="113"/>
      <c r="L88" s="114"/>
      <c r="M88" s="102"/>
      <c r="N88" s="103"/>
      <c r="O88" s="104"/>
      <c r="P88" s="97"/>
      <c r="Q88" s="115"/>
      <c r="R88" s="107"/>
      <c r="S88" s="105"/>
      <c r="T88" s="105"/>
      <c r="V88" s="108"/>
    </row>
    <row r="89" ht="15.75" customHeight="1">
      <c r="A89" s="91"/>
      <c r="B89" s="129"/>
      <c r="C89" s="98"/>
      <c r="D89" s="97"/>
      <c r="E89" s="122"/>
      <c r="F89" s="121"/>
      <c r="G89" s="97"/>
      <c r="H89" s="98"/>
      <c r="I89" s="105"/>
      <c r="J89" s="97"/>
      <c r="K89" s="100"/>
      <c r="L89" s="101"/>
      <c r="M89" s="102"/>
      <c r="N89" s="124"/>
      <c r="O89" s="125"/>
      <c r="P89" s="97"/>
      <c r="Q89" s="97"/>
      <c r="R89" s="126"/>
      <c r="S89" s="97"/>
      <c r="T89" s="97"/>
      <c r="V89" s="108"/>
    </row>
    <row r="90" ht="15.75" customHeight="1">
      <c r="A90" s="91"/>
      <c r="B90" s="129"/>
      <c r="C90" s="138"/>
      <c r="D90" s="97"/>
      <c r="E90" s="122"/>
      <c r="F90" s="139"/>
      <c r="G90" s="97"/>
      <c r="H90" s="98"/>
      <c r="I90" s="105"/>
      <c r="J90" s="97"/>
      <c r="K90" s="113"/>
      <c r="L90" s="114"/>
      <c r="M90" s="102"/>
      <c r="N90" s="103"/>
      <c r="O90" s="104"/>
      <c r="P90" s="97"/>
      <c r="Q90" s="105"/>
      <c r="R90" s="107"/>
      <c r="S90" s="105"/>
      <c r="T90" s="105"/>
      <c r="V90" s="108"/>
    </row>
    <row r="91" ht="15.75" customHeight="1">
      <c r="A91" s="91"/>
      <c r="B91" s="129"/>
      <c r="C91" s="140"/>
      <c r="D91" s="97"/>
      <c r="E91" s="122"/>
      <c r="F91" s="121"/>
      <c r="G91" s="97"/>
      <c r="H91" s="98"/>
      <c r="I91" s="105"/>
      <c r="J91" s="97"/>
      <c r="K91" s="100"/>
      <c r="L91" s="101"/>
      <c r="M91" s="102"/>
      <c r="N91" s="124"/>
      <c r="O91" s="125"/>
      <c r="P91" s="97"/>
      <c r="Q91" s="97"/>
      <c r="R91" s="126"/>
      <c r="S91" s="97"/>
      <c r="T91" s="97"/>
      <c r="V91" s="108"/>
    </row>
    <row r="92" ht="15.75" customHeight="1">
      <c r="A92" s="91"/>
      <c r="B92" s="129"/>
      <c r="C92" s="138"/>
      <c r="D92" s="97"/>
      <c r="E92" s="122"/>
      <c r="F92" s="121"/>
      <c r="G92" s="97"/>
      <c r="H92" s="98"/>
      <c r="I92" s="105"/>
      <c r="J92" s="97"/>
      <c r="K92" s="113"/>
      <c r="L92" s="114"/>
      <c r="M92" s="102"/>
      <c r="N92" s="103"/>
      <c r="O92" s="104"/>
      <c r="P92" s="97"/>
      <c r="Q92" s="130"/>
      <c r="R92" s="107"/>
      <c r="S92" s="105"/>
      <c r="T92" s="105"/>
      <c r="V92" s="108"/>
    </row>
    <row r="93" ht="15.75" customHeight="1">
      <c r="A93" s="91"/>
      <c r="B93" s="129"/>
      <c r="C93" s="140"/>
      <c r="D93" s="97"/>
      <c r="E93" s="121"/>
      <c r="F93" s="121"/>
      <c r="G93" s="97"/>
      <c r="H93" s="98"/>
      <c r="I93" s="105"/>
      <c r="J93" s="97"/>
      <c r="K93" s="100"/>
      <c r="L93" s="101"/>
      <c r="M93" s="102"/>
      <c r="N93" s="124"/>
      <c r="O93" s="125"/>
      <c r="P93" s="97"/>
      <c r="Q93" s="131"/>
      <c r="R93" s="126"/>
      <c r="S93" s="97"/>
      <c r="T93" s="97"/>
      <c r="V93" s="108"/>
    </row>
    <row r="94" ht="15.75" customHeight="1">
      <c r="A94" s="91"/>
      <c r="B94" s="129"/>
      <c r="C94" s="98"/>
      <c r="D94" s="97"/>
      <c r="E94" s="122"/>
      <c r="F94" s="121"/>
      <c r="G94" s="97"/>
      <c r="H94" s="98"/>
      <c r="I94" s="105"/>
      <c r="J94" s="97"/>
      <c r="K94" s="113"/>
      <c r="L94" s="114"/>
      <c r="M94" s="102"/>
      <c r="N94" s="124"/>
      <c r="O94" s="125"/>
      <c r="P94" s="97"/>
      <c r="Q94" s="97"/>
      <c r="R94" s="126"/>
      <c r="S94" s="97"/>
      <c r="T94" s="97"/>
      <c r="V94" s="108"/>
    </row>
    <row r="95" ht="15.75" customHeight="1">
      <c r="A95" s="91"/>
      <c r="B95" s="129"/>
      <c r="C95" s="98"/>
      <c r="D95" s="97"/>
      <c r="E95" s="122"/>
      <c r="F95" s="121"/>
      <c r="G95" s="97"/>
      <c r="H95" s="98"/>
      <c r="I95" s="105"/>
      <c r="J95" s="97"/>
      <c r="K95" s="100"/>
      <c r="L95" s="101"/>
      <c r="M95" s="102"/>
      <c r="N95" s="103"/>
      <c r="O95" s="104"/>
      <c r="P95" s="97"/>
      <c r="Q95" s="115"/>
      <c r="R95" s="107"/>
      <c r="S95" s="105"/>
      <c r="T95" s="105"/>
      <c r="V95" s="108"/>
    </row>
    <row r="96" ht="15.75" customHeight="1">
      <c r="A96" s="91"/>
      <c r="B96" s="129"/>
      <c r="C96" s="98"/>
      <c r="D96" s="97"/>
      <c r="E96" s="122"/>
      <c r="F96" s="121"/>
      <c r="G96" s="97"/>
      <c r="H96" s="98"/>
      <c r="I96" s="105"/>
      <c r="J96" s="97"/>
      <c r="K96" s="113"/>
      <c r="L96" s="114"/>
      <c r="M96" s="102"/>
      <c r="N96" s="124"/>
      <c r="O96" s="125"/>
      <c r="P96" s="97"/>
      <c r="Q96" s="97"/>
      <c r="R96" s="126"/>
      <c r="S96" s="97"/>
      <c r="T96" s="97"/>
      <c r="V96" s="108"/>
    </row>
    <row r="97" ht="15.75" customHeight="1">
      <c r="A97" s="91"/>
      <c r="B97" s="129"/>
      <c r="C97" s="98"/>
      <c r="D97" s="97"/>
      <c r="E97" s="141"/>
      <c r="F97" s="121"/>
      <c r="G97" s="97"/>
      <c r="H97" s="98"/>
      <c r="I97" s="105"/>
      <c r="J97" s="97"/>
      <c r="K97" s="100"/>
      <c r="L97" s="101"/>
      <c r="M97" s="102"/>
      <c r="N97" s="124"/>
      <c r="O97" s="125"/>
      <c r="P97" s="97"/>
      <c r="Q97" s="131"/>
      <c r="R97" s="126"/>
      <c r="S97" s="97"/>
      <c r="T97" s="97"/>
      <c r="V97" s="108"/>
    </row>
    <row r="98" ht="15.75" customHeight="1">
      <c r="A98" s="91"/>
      <c r="B98" s="129"/>
      <c r="C98" s="107"/>
      <c r="D98" s="97"/>
      <c r="E98" s="122"/>
      <c r="F98" s="121"/>
      <c r="G98" s="97"/>
      <c r="H98" s="98"/>
      <c r="I98" s="105"/>
      <c r="J98" s="97"/>
      <c r="K98" s="113"/>
      <c r="L98" s="114"/>
      <c r="M98" s="102"/>
      <c r="N98" s="124"/>
      <c r="O98" s="125"/>
      <c r="P98" s="97"/>
      <c r="Q98" s="130"/>
      <c r="R98" s="107"/>
      <c r="S98" s="97"/>
      <c r="T98" s="105"/>
      <c r="V98" s="108"/>
    </row>
    <row r="99" ht="15.75" customHeight="1">
      <c r="A99" s="91"/>
      <c r="B99" s="129"/>
      <c r="C99" s="107"/>
      <c r="D99" s="97"/>
      <c r="E99" s="122"/>
      <c r="F99" s="121"/>
      <c r="G99" s="97"/>
      <c r="H99" s="98"/>
      <c r="I99" s="105"/>
      <c r="J99" s="97"/>
      <c r="K99" s="100"/>
      <c r="L99" s="101"/>
      <c r="M99" s="102"/>
      <c r="N99" s="124"/>
      <c r="O99" s="125"/>
      <c r="P99" s="97"/>
      <c r="Q99" s="130"/>
      <c r="R99" s="107"/>
      <c r="S99" s="97"/>
      <c r="T99" s="105"/>
      <c r="V99" s="108"/>
    </row>
    <row r="100" ht="15.75" customHeight="1">
      <c r="A100" s="91"/>
      <c r="B100" s="129"/>
      <c r="C100" s="98"/>
      <c r="D100" s="97"/>
      <c r="E100" s="92"/>
      <c r="F100" s="123"/>
      <c r="G100" s="97"/>
      <c r="H100" s="98"/>
      <c r="I100" s="105"/>
      <c r="J100" s="97"/>
      <c r="K100" s="113"/>
      <c r="L100" s="114"/>
      <c r="M100" s="102"/>
      <c r="N100" s="124"/>
      <c r="O100" s="125"/>
      <c r="P100" s="97"/>
      <c r="Q100" s="131"/>
      <c r="R100" s="126"/>
      <c r="S100" s="97"/>
      <c r="T100" s="97"/>
      <c r="V100" s="108"/>
    </row>
    <row r="101" ht="15.75" customHeight="1">
      <c r="A101" s="91"/>
      <c r="B101" s="129"/>
      <c r="C101" s="98"/>
      <c r="D101" s="97"/>
      <c r="E101" s="122"/>
      <c r="F101" s="121"/>
      <c r="G101" s="97"/>
      <c r="H101" s="98"/>
      <c r="I101" s="105"/>
      <c r="J101" s="97"/>
      <c r="K101" s="100"/>
      <c r="L101" s="101"/>
      <c r="M101" s="102"/>
      <c r="N101" s="124"/>
      <c r="O101" s="125"/>
      <c r="P101" s="97"/>
      <c r="Q101" s="97"/>
      <c r="R101" s="126"/>
      <c r="S101" s="97"/>
      <c r="T101" s="97"/>
      <c r="V101" s="108"/>
    </row>
    <row r="102" ht="15.75" customHeight="1">
      <c r="A102" s="91"/>
      <c r="B102" s="129"/>
      <c r="C102" s="98"/>
      <c r="D102" s="97"/>
      <c r="E102" s="122"/>
      <c r="F102" s="121"/>
      <c r="G102" s="97"/>
      <c r="H102" s="98"/>
      <c r="I102" s="105"/>
      <c r="J102" s="97"/>
      <c r="K102" s="113"/>
      <c r="L102" s="114"/>
      <c r="M102" s="102"/>
      <c r="N102" s="103"/>
      <c r="O102" s="104"/>
      <c r="P102" s="97"/>
      <c r="Q102" s="115"/>
      <c r="R102" s="116"/>
      <c r="S102" s="105"/>
      <c r="T102" s="105"/>
      <c r="V102" s="108"/>
    </row>
    <row r="103" ht="15.75" customHeight="1">
      <c r="A103" s="91"/>
      <c r="B103" s="142"/>
      <c r="C103" s="143"/>
      <c r="D103" s="97"/>
      <c r="E103" s="144"/>
      <c r="F103" s="139"/>
      <c r="G103" s="97"/>
      <c r="H103" s="98"/>
      <c r="I103" s="105"/>
      <c r="J103" s="97"/>
      <c r="K103" s="100"/>
      <c r="L103" s="101"/>
      <c r="M103" s="102"/>
      <c r="N103" s="103"/>
      <c r="O103" s="125"/>
      <c r="P103" s="97"/>
      <c r="Q103" s="131"/>
      <c r="R103" s="126"/>
      <c r="S103" s="105"/>
      <c r="T103" s="97"/>
      <c r="V103" s="108"/>
    </row>
    <row r="104" ht="15.75" customHeight="1">
      <c r="A104" s="91"/>
      <c r="B104" s="142"/>
      <c r="C104" s="143"/>
      <c r="D104" s="97"/>
      <c r="E104" s="144"/>
      <c r="F104" s="144"/>
      <c r="G104" s="97"/>
      <c r="H104" s="98"/>
      <c r="I104" s="105"/>
      <c r="J104" s="97"/>
      <c r="K104" s="113"/>
      <c r="L104" s="114"/>
      <c r="M104" s="102"/>
      <c r="N104" s="103"/>
      <c r="O104" s="125"/>
      <c r="P104" s="97"/>
      <c r="Q104" s="97"/>
      <c r="R104" s="126"/>
      <c r="S104" s="105"/>
      <c r="T104" s="97"/>
      <c r="V104" s="108"/>
    </row>
    <row r="105" ht="15.75" customHeight="1">
      <c r="A105" s="91"/>
      <c r="B105" s="142"/>
      <c r="C105" s="108"/>
      <c r="D105" s="97"/>
      <c r="E105" s="144"/>
      <c r="F105" s="144"/>
      <c r="G105" s="97"/>
      <c r="H105" s="98"/>
      <c r="I105" s="105"/>
      <c r="J105" s="97"/>
      <c r="K105" s="100"/>
      <c r="L105" s="101"/>
      <c r="M105" s="102"/>
      <c r="N105" s="103"/>
      <c r="O105" s="125"/>
      <c r="P105" s="97"/>
      <c r="Q105" s="131"/>
      <c r="R105" s="126"/>
      <c r="S105" s="105"/>
      <c r="T105" s="97"/>
      <c r="V105" s="108"/>
    </row>
    <row r="106" ht="15.75" customHeight="1">
      <c r="A106" s="91"/>
      <c r="B106" s="142"/>
      <c r="C106" s="108"/>
      <c r="D106" s="97"/>
      <c r="E106" s="144"/>
      <c r="F106" s="144"/>
      <c r="G106" s="97"/>
      <c r="H106" s="98"/>
      <c r="I106" s="105"/>
      <c r="J106" s="97"/>
      <c r="K106" s="113"/>
      <c r="L106" s="114"/>
      <c r="M106" s="102"/>
      <c r="N106" s="103"/>
      <c r="O106" s="125"/>
      <c r="P106" s="97"/>
      <c r="Q106" s="131"/>
      <c r="R106" s="126"/>
      <c r="S106" s="105"/>
      <c r="T106" s="97"/>
      <c r="V106" s="108"/>
    </row>
    <row r="107" ht="15.75" customHeight="1">
      <c r="A107" s="91"/>
      <c r="B107" s="142"/>
      <c r="C107" s="143"/>
      <c r="D107" s="97"/>
      <c r="E107" s="144"/>
      <c r="F107" s="144"/>
      <c r="G107" s="97"/>
      <c r="H107" s="98"/>
      <c r="I107" s="105"/>
      <c r="J107" s="97"/>
      <c r="K107" s="100"/>
      <c r="L107" s="101"/>
      <c r="M107" s="102"/>
      <c r="N107" s="103"/>
      <c r="O107" s="125"/>
      <c r="P107" s="97"/>
      <c r="Q107" s="131"/>
      <c r="R107" s="126"/>
      <c r="S107" s="105"/>
      <c r="T107" s="97"/>
      <c r="V107" s="108"/>
    </row>
    <row r="108" ht="15.75" customHeight="1">
      <c r="A108" s="91"/>
      <c r="B108" s="142"/>
      <c r="C108" s="143"/>
      <c r="D108" s="97"/>
      <c r="E108" s="144"/>
      <c r="F108" s="144"/>
      <c r="G108" s="97"/>
      <c r="H108" s="98"/>
      <c r="I108" s="105"/>
      <c r="J108" s="97"/>
      <c r="K108" s="113"/>
      <c r="L108" s="114"/>
      <c r="M108" s="102"/>
      <c r="N108" s="103"/>
      <c r="O108" s="125"/>
      <c r="P108" s="97"/>
      <c r="Q108" s="97"/>
      <c r="R108" s="126"/>
      <c r="S108" s="105"/>
      <c r="T108" s="97"/>
      <c r="V108" s="108"/>
    </row>
    <row r="109" ht="15.75" customHeight="1">
      <c r="A109" s="91"/>
      <c r="B109" s="142"/>
      <c r="C109" s="143"/>
      <c r="D109" s="97"/>
      <c r="E109" s="144"/>
      <c r="F109" s="144"/>
      <c r="G109" s="97"/>
      <c r="H109" s="98"/>
      <c r="I109" s="105"/>
      <c r="J109" s="97"/>
      <c r="K109" s="100"/>
      <c r="L109" s="101"/>
      <c r="M109" s="102"/>
      <c r="N109" s="103"/>
      <c r="O109" s="125"/>
      <c r="P109" s="97"/>
      <c r="Q109" s="131"/>
      <c r="R109" s="126"/>
      <c r="S109" s="105"/>
      <c r="T109" s="97"/>
      <c r="V109" s="108"/>
    </row>
    <row r="110" ht="15.75" customHeight="1">
      <c r="A110" s="91"/>
      <c r="B110" s="142"/>
      <c r="C110" s="143"/>
      <c r="D110" s="97"/>
      <c r="E110" s="144"/>
      <c r="F110" s="144"/>
      <c r="G110" s="97"/>
      <c r="H110" s="143"/>
      <c r="I110" s="145"/>
      <c r="J110" s="97"/>
      <c r="K110" s="113"/>
      <c r="L110" s="114"/>
      <c r="M110" s="102"/>
      <c r="N110" s="124"/>
      <c r="O110" s="125"/>
      <c r="P110" s="97"/>
      <c r="Q110" s="97"/>
      <c r="R110" s="126"/>
      <c r="S110" s="97"/>
      <c r="T110" s="97"/>
      <c r="V110" s="108"/>
    </row>
    <row r="111" ht="15.75" customHeight="1">
      <c r="A111" s="91"/>
      <c r="B111" s="142"/>
      <c r="C111" s="143"/>
      <c r="D111" s="97"/>
      <c r="E111" s="144"/>
      <c r="F111" s="144"/>
      <c r="G111" s="97"/>
      <c r="H111" s="143"/>
      <c r="I111" s="97"/>
      <c r="J111" s="97"/>
      <c r="K111" s="100"/>
      <c r="L111" s="101"/>
      <c r="M111" s="102"/>
      <c r="N111" s="124"/>
      <c r="O111" s="125"/>
      <c r="P111" s="97"/>
      <c r="Q111" s="131"/>
      <c r="R111" s="126"/>
      <c r="S111" s="97"/>
      <c r="T111" s="97"/>
      <c r="V111" s="108"/>
    </row>
    <row r="112" ht="15.75" customHeight="1">
      <c r="A112" s="91"/>
      <c r="B112" s="142"/>
      <c r="C112" s="108"/>
      <c r="D112" s="97"/>
      <c r="E112" s="144"/>
      <c r="F112" s="144"/>
      <c r="G112" s="97"/>
      <c r="H112" s="143"/>
      <c r="I112" s="97"/>
      <c r="J112" s="97"/>
      <c r="K112" s="113"/>
      <c r="L112" s="114"/>
      <c r="M112" s="102"/>
      <c r="N112" s="124"/>
      <c r="O112" s="125"/>
      <c r="P112" s="97"/>
      <c r="Q112" s="97"/>
      <c r="R112" s="126"/>
      <c r="S112" s="97"/>
      <c r="T112" s="97"/>
      <c r="V112" s="108"/>
    </row>
    <row r="113" ht="15.75" customHeight="1">
      <c r="A113" s="91"/>
      <c r="B113" s="142"/>
      <c r="C113" s="108"/>
      <c r="D113" s="97"/>
      <c r="E113" s="144"/>
      <c r="F113" s="144"/>
      <c r="G113" s="97"/>
      <c r="H113" s="143"/>
      <c r="I113" s="97"/>
      <c r="J113" s="97"/>
      <c r="K113" s="100"/>
      <c r="L113" s="101"/>
      <c r="M113" s="102"/>
      <c r="N113" s="124"/>
      <c r="O113" s="125"/>
      <c r="P113" s="97"/>
      <c r="Q113" s="97"/>
      <c r="R113" s="126"/>
      <c r="S113" s="97"/>
      <c r="T113" s="97"/>
      <c r="V113" s="108"/>
    </row>
    <row r="114" ht="15.75" customHeight="1">
      <c r="A114" s="91"/>
      <c r="B114" s="142"/>
      <c r="C114" s="108"/>
      <c r="D114" s="97"/>
      <c r="E114" s="144"/>
      <c r="F114" s="144"/>
      <c r="G114" s="97"/>
      <c r="H114" s="143"/>
      <c r="I114" s="97"/>
      <c r="J114" s="97"/>
      <c r="K114" s="113"/>
      <c r="L114" s="114"/>
      <c r="M114" s="102"/>
      <c r="N114" s="124"/>
      <c r="O114" s="125"/>
      <c r="P114" s="97"/>
      <c r="Q114" s="97"/>
      <c r="R114" s="126"/>
      <c r="S114" s="97"/>
      <c r="T114" s="97"/>
      <c r="V114" s="108"/>
    </row>
    <row r="115" ht="15.75" customHeight="1">
      <c r="A115" s="91"/>
      <c r="B115" s="142"/>
      <c r="C115" s="143"/>
      <c r="D115" s="97"/>
      <c r="E115" s="144"/>
      <c r="F115" s="144"/>
      <c r="G115" s="97"/>
      <c r="H115" s="143"/>
      <c r="I115" s="97"/>
      <c r="J115" s="97"/>
      <c r="K115" s="100"/>
      <c r="L115" s="101"/>
      <c r="M115" s="102"/>
      <c r="N115" s="124"/>
      <c r="O115" s="125"/>
      <c r="P115" s="97"/>
      <c r="Q115" s="97"/>
      <c r="R115" s="126"/>
      <c r="S115" s="97"/>
      <c r="T115" s="97"/>
      <c r="V115" s="108"/>
    </row>
    <row r="116" ht="15.75" customHeight="1">
      <c r="A116" s="91"/>
      <c r="B116" s="142"/>
      <c r="C116" s="143"/>
      <c r="D116" s="97"/>
      <c r="E116" s="144"/>
      <c r="F116" s="144"/>
      <c r="G116" s="97"/>
      <c r="H116" s="143"/>
      <c r="I116" s="97"/>
      <c r="J116" s="97"/>
      <c r="K116" s="113"/>
      <c r="L116" s="114"/>
      <c r="M116" s="102"/>
      <c r="N116" s="124"/>
      <c r="O116" s="125"/>
      <c r="P116" s="97"/>
      <c r="Q116" s="97"/>
      <c r="R116" s="126"/>
      <c r="S116" s="97"/>
      <c r="T116" s="97"/>
      <c r="V116" s="108"/>
    </row>
    <row r="117" ht="15.75" customHeight="1">
      <c r="A117" s="91"/>
      <c r="B117" s="142"/>
      <c r="C117" s="143"/>
      <c r="D117" s="97"/>
      <c r="E117" s="144"/>
      <c r="F117" s="144"/>
      <c r="G117" s="97"/>
      <c r="H117" s="143"/>
      <c r="I117" s="97"/>
      <c r="J117" s="97"/>
      <c r="K117" s="100"/>
      <c r="L117" s="101"/>
      <c r="M117" s="102"/>
      <c r="N117" s="124"/>
      <c r="O117" s="125"/>
      <c r="P117" s="97"/>
      <c r="Q117" s="97"/>
      <c r="R117" s="126"/>
      <c r="S117" s="97"/>
      <c r="T117" s="97"/>
      <c r="V117" s="108"/>
    </row>
    <row r="118" ht="15.75" customHeight="1">
      <c r="A118" s="91"/>
      <c r="B118" s="142"/>
      <c r="C118" s="143"/>
      <c r="D118" s="97"/>
      <c r="E118" s="144"/>
      <c r="F118" s="144"/>
      <c r="G118" s="97"/>
      <c r="H118" s="143"/>
      <c r="I118" s="97"/>
      <c r="J118" s="97"/>
      <c r="K118" s="113"/>
      <c r="L118" s="114"/>
      <c r="M118" s="102"/>
      <c r="N118" s="124"/>
      <c r="O118" s="125"/>
      <c r="P118" s="97"/>
      <c r="Q118" s="97"/>
      <c r="R118" s="126"/>
      <c r="S118" s="97"/>
      <c r="T118" s="97"/>
      <c r="V118" s="108"/>
    </row>
    <row r="119" ht="15.75" customHeight="1">
      <c r="A119" s="91"/>
      <c r="B119" s="142"/>
      <c r="C119" s="143"/>
      <c r="D119" s="97"/>
      <c r="E119" s="144"/>
      <c r="F119" s="144"/>
      <c r="G119" s="97"/>
      <c r="H119" s="143"/>
      <c r="I119" s="97"/>
      <c r="J119" s="97"/>
      <c r="K119" s="100"/>
      <c r="L119" s="101"/>
      <c r="M119" s="102"/>
      <c r="N119" s="124"/>
      <c r="O119" s="125"/>
      <c r="P119" s="97"/>
      <c r="Q119" s="131"/>
      <c r="R119" s="126"/>
      <c r="S119" s="97"/>
      <c r="T119" s="97"/>
      <c r="V119" s="108"/>
    </row>
    <row r="120" ht="15.75" customHeight="1">
      <c r="A120" s="91"/>
      <c r="B120" s="142"/>
      <c r="C120" s="108"/>
      <c r="D120" s="97"/>
      <c r="E120" s="144"/>
      <c r="F120" s="144"/>
      <c r="G120" s="97"/>
      <c r="H120" s="143"/>
      <c r="I120" s="97"/>
      <c r="J120" s="97"/>
      <c r="K120" s="113"/>
      <c r="L120" s="114"/>
      <c r="M120" s="102"/>
      <c r="N120" s="124"/>
      <c r="O120" s="125"/>
      <c r="P120" s="97"/>
      <c r="Q120" s="97"/>
      <c r="R120" s="126"/>
      <c r="S120" s="97"/>
      <c r="T120" s="97"/>
      <c r="V120" s="108"/>
    </row>
    <row r="121" ht="15.75" customHeight="1">
      <c r="A121" s="91"/>
      <c r="B121" s="142"/>
      <c r="C121" s="108"/>
      <c r="D121" s="97"/>
      <c r="E121" s="144"/>
      <c r="F121" s="144"/>
      <c r="G121" s="97"/>
      <c r="H121" s="143"/>
      <c r="I121" s="97"/>
      <c r="J121" s="97"/>
      <c r="K121" s="100"/>
      <c r="L121" s="101"/>
      <c r="M121" s="102"/>
      <c r="N121" s="124"/>
      <c r="O121" s="125"/>
      <c r="P121" s="97"/>
      <c r="Q121" s="97"/>
      <c r="R121" s="126"/>
      <c r="S121" s="97"/>
      <c r="T121" s="97"/>
      <c r="V121" s="108"/>
    </row>
    <row r="122" ht="15.75" customHeight="1">
      <c r="A122" s="91"/>
      <c r="B122" s="142"/>
      <c r="C122" s="108"/>
      <c r="D122" s="97"/>
      <c r="E122" s="144"/>
      <c r="F122" s="144"/>
      <c r="G122" s="97"/>
      <c r="H122" s="143"/>
      <c r="I122" s="97"/>
      <c r="J122" s="97"/>
      <c r="K122" s="113"/>
      <c r="L122" s="114"/>
      <c r="M122" s="102"/>
      <c r="N122" s="124"/>
      <c r="O122" s="125"/>
      <c r="P122" s="97"/>
      <c r="Q122" s="131"/>
      <c r="R122" s="126"/>
      <c r="S122" s="97"/>
      <c r="T122" s="97"/>
      <c r="V122" s="108"/>
    </row>
    <row r="123" ht="15.75" customHeight="1">
      <c r="A123" s="91"/>
      <c r="B123" s="142"/>
      <c r="C123" s="143"/>
      <c r="D123" s="97"/>
      <c r="E123" s="144"/>
      <c r="F123" s="144"/>
      <c r="G123" s="97"/>
      <c r="H123" s="143"/>
      <c r="I123" s="97"/>
      <c r="J123" s="97"/>
      <c r="K123" s="100"/>
      <c r="L123" s="101"/>
      <c r="M123" s="102"/>
      <c r="N123" s="124"/>
      <c r="O123" s="125"/>
      <c r="P123" s="97"/>
      <c r="Q123" s="131"/>
      <c r="R123" s="126"/>
      <c r="S123" s="97"/>
      <c r="T123" s="97"/>
      <c r="V123" s="108"/>
    </row>
    <row r="124" ht="15.75" customHeight="1">
      <c r="A124" s="91"/>
      <c r="B124" s="142"/>
      <c r="C124" s="143"/>
      <c r="D124" s="97"/>
      <c r="E124" s="144"/>
      <c r="F124" s="144"/>
      <c r="G124" s="97"/>
      <c r="H124" s="143"/>
      <c r="I124" s="97"/>
      <c r="J124" s="97"/>
      <c r="K124" s="113"/>
      <c r="L124" s="114"/>
      <c r="M124" s="102"/>
      <c r="N124" s="124"/>
      <c r="O124" s="125"/>
      <c r="P124" s="97"/>
      <c r="Q124" s="131"/>
      <c r="R124" s="126"/>
      <c r="S124" s="97"/>
      <c r="T124" s="97"/>
      <c r="V124" s="108"/>
    </row>
    <row r="125" ht="15.75" customHeight="1">
      <c r="A125" s="91"/>
      <c r="B125" s="142"/>
      <c r="C125" s="143"/>
      <c r="D125" s="97"/>
      <c r="E125" s="144"/>
      <c r="F125" s="144"/>
      <c r="G125" s="97"/>
      <c r="H125" s="143"/>
      <c r="I125" s="97"/>
      <c r="J125" s="97"/>
      <c r="K125" s="100"/>
      <c r="L125" s="101"/>
      <c r="M125" s="102"/>
      <c r="N125" s="124"/>
      <c r="O125" s="125"/>
      <c r="P125" s="97"/>
      <c r="Q125" s="131"/>
      <c r="R125" s="126"/>
      <c r="S125" s="97"/>
      <c r="T125" s="97"/>
      <c r="V125" s="108"/>
    </row>
    <row r="126" ht="15.75" customHeight="1">
      <c r="A126" s="91"/>
      <c r="B126" s="142"/>
      <c r="C126" s="143"/>
      <c r="D126" s="97"/>
      <c r="E126" s="144"/>
      <c r="F126" s="144"/>
      <c r="G126" s="97"/>
      <c r="H126" s="143"/>
      <c r="I126" s="97"/>
      <c r="J126" s="97"/>
      <c r="K126" s="113"/>
      <c r="L126" s="114"/>
      <c r="M126" s="102"/>
      <c r="N126" s="124"/>
      <c r="O126" s="125"/>
      <c r="P126" s="97"/>
      <c r="Q126" s="131"/>
      <c r="R126" s="126"/>
      <c r="S126" s="97"/>
      <c r="T126" s="97"/>
      <c r="V126" s="108"/>
    </row>
    <row r="127" ht="15.75" customHeight="1">
      <c r="A127" s="91"/>
      <c r="B127" s="142"/>
      <c r="C127" s="143"/>
      <c r="D127" s="97"/>
      <c r="E127" s="144"/>
      <c r="F127" s="144"/>
      <c r="G127" s="97"/>
      <c r="H127" s="143"/>
      <c r="I127" s="97"/>
      <c r="J127" s="97"/>
      <c r="K127" s="100"/>
      <c r="L127" s="101"/>
      <c r="M127" s="102"/>
      <c r="N127" s="124"/>
      <c r="O127" s="125"/>
      <c r="P127" s="97"/>
      <c r="Q127" s="131"/>
      <c r="R127" s="126"/>
      <c r="S127" s="97"/>
      <c r="T127" s="97"/>
      <c r="V127" s="108"/>
    </row>
    <row r="128" ht="15.75" customHeight="1">
      <c r="A128" s="91"/>
      <c r="B128" s="142"/>
      <c r="C128" s="108"/>
      <c r="D128" s="97"/>
      <c r="E128" s="144"/>
      <c r="F128" s="144"/>
      <c r="G128" s="97"/>
      <c r="H128" s="143"/>
      <c r="I128" s="97"/>
      <c r="J128" s="97"/>
      <c r="K128" s="113"/>
      <c r="L128" s="114"/>
      <c r="M128" s="102"/>
      <c r="N128" s="124"/>
      <c r="O128" s="125"/>
      <c r="P128" s="97"/>
      <c r="Q128" s="97"/>
      <c r="R128" s="126"/>
      <c r="S128" s="97"/>
      <c r="T128" s="97"/>
      <c r="V128" s="108"/>
    </row>
    <row r="129" ht="15.75" customHeight="1">
      <c r="A129" s="91"/>
      <c r="B129" s="142"/>
      <c r="C129" s="108"/>
      <c r="D129" s="97"/>
      <c r="E129" s="144"/>
      <c r="F129" s="144"/>
      <c r="G129" s="97"/>
      <c r="H129" s="143"/>
      <c r="I129" s="97"/>
      <c r="J129" s="97"/>
      <c r="K129" s="100"/>
      <c r="L129" s="101"/>
      <c r="M129" s="102"/>
      <c r="N129" s="124"/>
      <c r="O129" s="125"/>
      <c r="P129" s="97"/>
      <c r="Q129" s="131"/>
      <c r="R129" s="126"/>
      <c r="S129" s="97"/>
      <c r="T129" s="97"/>
      <c r="V129" s="108"/>
    </row>
    <row r="130" ht="15.75" customHeight="1">
      <c r="A130" s="91"/>
      <c r="B130" s="142"/>
      <c r="C130" s="108"/>
      <c r="D130" s="97"/>
      <c r="E130" s="144"/>
      <c r="F130" s="144"/>
      <c r="G130" s="97"/>
      <c r="H130" s="143"/>
      <c r="I130" s="97"/>
      <c r="J130" s="97"/>
      <c r="K130" s="113"/>
      <c r="L130" s="114"/>
      <c r="M130" s="102"/>
      <c r="N130" s="124"/>
      <c r="O130" s="125"/>
      <c r="P130" s="97"/>
      <c r="Q130" s="97"/>
      <c r="R130" s="126"/>
      <c r="S130" s="97"/>
      <c r="T130" s="97"/>
      <c r="V130" s="108"/>
    </row>
    <row r="131" ht="15.75" customHeight="1">
      <c r="A131" s="91"/>
      <c r="B131" s="142"/>
      <c r="C131" s="143"/>
      <c r="D131" s="97"/>
      <c r="E131" s="144"/>
      <c r="F131" s="144"/>
      <c r="G131" s="97"/>
      <c r="H131" s="143"/>
      <c r="I131" s="97"/>
      <c r="J131" s="97"/>
      <c r="K131" s="100"/>
      <c r="L131" s="101"/>
      <c r="M131" s="102"/>
      <c r="N131" s="124"/>
      <c r="O131" s="125"/>
      <c r="P131" s="97"/>
      <c r="Q131" s="97"/>
      <c r="R131" s="126"/>
      <c r="S131" s="97"/>
      <c r="T131" s="97"/>
      <c r="V131" s="108"/>
    </row>
    <row r="132" ht="15.75" customHeight="1">
      <c r="A132" s="91"/>
      <c r="B132" s="142"/>
      <c r="C132" s="143"/>
      <c r="D132" s="97"/>
      <c r="E132" s="144"/>
      <c r="F132" s="144"/>
      <c r="G132" s="97"/>
      <c r="H132" s="143"/>
      <c r="I132" s="97"/>
      <c r="J132" s="97"/>
      <c r="K132" s="113"/>
      <c r="L132" s="114"/>
      <c r="M132" s="102"/>
      <c r="N132" s="124"/>
      <c r="O132" s="125"/>
      <c r="P132" s="97"/>
      <c r="Q132" s="131"/>
      <c r="R132" s="126"/>
      <c r="S132" s="97"/>
      <c r="T132" s="97"/>
      <c r="V132" s="108"/>
    </row>
    <row r="133" ht="15.75" customHeight="1">
      <c r="A133" s="91"/>
      <c r="B133" s="142"/>
      <c r="C133" s="143"/>
      <c r="D133" s="97"/>
      <c r="E133" s="144"/>
      <c r="F133" s="144"/>
      <c r="G133" s="97"/>
      <c r="H133" s="143"/>
      <c r="I133" s="97"/>
      <c r="J133" s="97"/>
      <c r="K133" s="100"/>
      <c r="L133" s="101"/>
      <c r="M133" s="102"/>
      <c r="N133" s="124"/>
      <c r="O133" s="125"/>
      <c r="P133" s="97"/>
      <c r="Q133" s="97"/>
      <c r="R133" s="126"/>
      <c r="S133" s="97"/>
      <c r="T133" s="97"/>
      <c r="V133" s="108"/>
    </row>
    <row r="134" ht="15.75" customHeight="1">
      <c r="A134" s="91"/>
      <c r="B134" s="142"/>
      <c r="C134" s="143"/>
      <c r="D134" s="97"/>
      <c r="E134" s="144"/>
      <c r="F134" s="144"/>
      <c r="G134" s="97"/>
      <c r="H134" s="143"/>
      <c r="I134" s="97"/>
      <c r="J134" s="97"/>
      <c r="K134" s="113"/>
      <c r="L134" s="114"/>
      <c r="M134" s="102"/>
      <c r="N134" s="124"/>
      <c r="O134" s="125"/>
      <c r="P134" s="97"/>
      <c r="Q134" s="97"/>
      <c r="R134" s="126"/>
      <c r="S134" s="97"/>
      <c r="T134" s="97"/>
      <c r="V134" s="108"/>
    </row>
    <row r="135" ht="15.75" customHeight="1">
      <c r="A135" s="91"/>
      <c r="B135" s="142"/>
      <c r="C135" s="143"/>
      <c r="D135" s="97"/>
      <c r="E135" s="144"/>
      <c r="F135" s="144"/>
      <c r="G135" s="97"/>
      <c r="H135" s="143"/>
      <c r="I135" s="97"/>
      <c r="J135" s="97"/>
      <c r="K135" s="100"/>
      <c r="L135" s="101"/>
      <c r="M135" s="102"/>
      <c r="N135" s="124"/>
      <c r="O135" s="125"/>
      <c r="P135" s="97"/>
      <c r="Q135" s="131"/>
      <c r="R135" s="126"/>
      <c r="S135" s="97"/>
      <c r="T135" s="97"/>
      <c r="V135" s="108"/>
    </row>
    <row r="136" ht="15.75" customHeight="1">
      <c r="A136" s="91"/>
      <c r="B136" s="142"/>
      <c r="C136" s="108"/>
      <c r="D136" s="97"/>
      <c r="E136" s="144"/>
      <c r="F136" s="144"/>
      <c r="G136" s="97"/>
      <c r="H136" s="143"/>
      <c r="I136" s="97"/>
      <c r="J136" s="97"/>
      <c r="K136" s="113"/>
      <c r="L136" s="114"/>
      <c r="M136" s="102"/>
      <c r="N136" s="124"/>
      <c r="O136" s="125"/>
      <c r="P136" s="97"/>
      <c r="Q136" s="97"/>
      <c r="R136" s="126"/>
      <c r="S136" s="97"/>
      <c r="T136" s="97"/>
      <c r="V136" s="108"/>
    </row>
    <row r="137" ht="15.75" customHeight="1">
      <c r="A137" s="91"/>
      <c r="B137" s="142"/>
      <c r="C137" s="108"/>
      <c r="D137" s="97"/>
      <c r="E137" s="144"/>
      <c r="F137" s="144"/>
      <c r="G137" s="97"/>
      <c r="H137" s="143"/>
      <c r="I137" s="97"/>
      <c r="J137" s="97"/>
      <c r="K137" s="100"/>
      <c r="L137" s="101"/>
      <c r="M137" s="102"/>
      <c r="N137" s="124"/>
      <c r="O137" s="125"/>
      <c r="P137" s="97"/>
      <c r="Q137" s="131"/>
      <c r="R137" s="126"/>
      <c r="S137" s="97"/>
      <c r="T137" s="97"/>
      <c r="V137" s="108"/>
    </row>
    <row r="138" ht="15.75" customHeight="1">
      <c r="A138" s="91"/>
      <c r="B138" s="142"/>
      <c r="C138" s="108"/>
      <c r="D138" s="97"/>
      <c r="E138" s="144"/>
      <c r="F138" s="144"/>
      <c r="G138" s="97"/>
      <c r="H138" s="143"/>
      <c r="I138" s="97"/>
      <c r="J138" s="97"/>
      <c r="K138" s="113"/>
      <c r="L138" s="114"/>
      <c r="M138" s="102"/>
      <c r="N138" s="124"/>
      <c r="O138" s="125"/>
      <c r="P138" s="97"/>
      <c r="Q138" s="131"/>
      <c r="R138" s="126"/>
      <c r="S138" s="97"/>
      <c r="T138" s="97"/>
      <c r="V138" s="108"/>
    </row>
    <row r="139" ht="15.75" customHeight="1">
      <c r="A139" s="91"/>
      <c r="B139" s="142"/>
      <c r="C139" s="143"/>
      <c r="D139" s="97"/>
      <c r="E139" s="144"/>
      <c r="F139" s="144"/>
      <c r="G139" s="97"/>
      <c r="H139" s="143"/>
      <c r="I139" s="97"/>
      <c r="J139" s="97"/>
      <c r="K139" s="100"/>
      <c r="L139" s="101"/>
      <c r="M139" s="102"/>
      <c r="N139" s="124"/>
      <c r="O139" s="125"/>
      <c r="P139" s="97"/>
      <c r="Q139" s="131"/>
      <c r="R139" s="126"/>
      <c r="S139" s="97"/>
      <c r="T139" s="97"/>
      <c r="V139" s="108"/>
    </row>
    <row r="140" ht="15.75" customHeight="1">
      <c r="A140" s="91"/>
      <c r="B140" s="142"/>
      <c r="C140" s="143"/>
      <c r="D140" s="97"/>
      <c r="E140" s="144"/>
      <c r="F140" s="144"/>
      <c r="G140" s="97"/>
      <c r="H140" s="143"/>
      <c r="I140" s="97"/>
      <c r="J140" s="97"/>
      <c r="K140" s="113"/>
      <c r="L140" s="114"/>
      <c r="M140" s="102"/>
      <c r="N140" s="124"/>
      <c r="O140" s="125"/>
      <c r="P140" s="97"/>
      <c r="Q140" s="97"/>
      <c r="R140" s="126"/>
      <c r="S140" s="97"/>
      <c r="T140" s="97"/>
      <c r="V140" s="108"/>
    </row>
    <row r="141" ht="15.75" customHeight="1">
      <c r="A141" s="91"/>
      <c r="B141" s="142"/>
      <c r="C141" s="143"/>
      <c r="D141" s="97"/>
      <c r="E141" s="144"/>
      <c r="F141" s="144"/>
      <c r="G141" s="97"/>
      <c r="H141" s="143"/>
      <c r="I141" s="97"/>
      <c r="J141" s="97"/>
      <c r="K141" s="100"/>
      <c r="L141" s="101"/>
      <c r="M141" s="102"/>
      <c r="N141" s="124"/>
      <c r="O141" s="125"/>
      <c r="P141" s="97"/>
      <c r="Q141" s="131"/>
      <c r="R141" s="126"/>
      <c r="S141" s="97"/>
      <c r="T141" s="97"/>
      <c r="V141" s="108"/>
    </row>
    <row r="142" ht="15.75" customHeight="1">
      <c r="A142" s="91"/>
      <c r="B142" s="142"/>
      <c r="C142" s="143"/>
      <c r="D142" s="97"/>
      <c r="E142" s="144"/>
      <c r="F142" s="144"/>
      <c r="G142" s="97"/>
      <c r="H142" s="143"/>
      <c r="I142" s="97"/>
      <c r="J142" s="97"/>
      <c r="K142" s="113"/>
      <c r="L142" s="114"/>
      <c r="M142" s="102"/>
      <c r="N142" s="124"/>
      <c r="O142" s="125"/>
      <c r="P142" s="97"/>
      <c r="Q142" s="97"/>
      <c r="R142" s="126"/>
      <c r="S142" s="97"/>
      <c r="T142" s="97"/>
      <c r="V142" s="108"/>
    </row>
    <row r="143" ht="15.75" customHeight="1">
      <c r="A143" s="91"/>
      <c r="B143" s="142"/>
      <c r="C143" s="143"/>
      <c r="D143" s="97"/>
      <c r="E143" s="144"/>
      <c r="F143" s="146"/>
      <c r="G143" s="97"/>
      <c r="H143" s="143"/>
      <c r="I143" s="97"/>
      <c r="J143" s="97"/>
      <c r="K143" s="100"/>
      <c r="L143" s="101"/>
      <c r="M143" s="102"/>
      <c r="N143" s="124"/>
      <c r="O143" s="125"/>
      <c r="P143" s="97"/>
      <c r="Q143" s="131"/>
      <c r="R143" s="126"/>
      <c r="S143" s="97"/>
      <c r="T143" s="97"/>
      <c r="V143" s="108"/>
    </row>
    <row r="144" ht="15.75" customHeight="1">
      <c r="A144" s="91"/>
      <c r="B144" s="142"/>
      <c r="C144" s="108"/>
      <c r="D144" s="97"/>
      <c r="E144" s="144"/>
      <c r="F144" s="144"/>
      <c r="G144" s="97"/>
      <c r="H144" s="143"/>
      <c r="I144" s="97"/>
      <c r="J144" s="97"/>
      <c r="K144" s="113"/>
      <c r="L144" s="114"/>
      <c r="M144" s="102"/>
      <c r="N144" s="124"/>
      <c r="O144" s="125"/>
      <c r="P144" s="97"/>
      <c r="Q144" s="97"/>
      <c r="R144" s="126"/>
      <c r="S144" s="97"/>
      <c r="T144" s="97"/>
      <c r="V144" s="108"/>
    </row>
    <row r="145" ht="15.75" customHeight="1">
      <c r="A145" s="91"/>
      <c r="B145" s="142"/>
      <c r="C145" s="108"/>
      <c r="D145" s="97"/>
      <c r="E145" s="144"/>
      <c r="F145" s="144"/>
      <c r="G145" s="97"/>
      <c r="H145" s="143"/>
      <c r="I145" s="97"/>
      <c r="J145" s="97"/>
      <c r="K145" s="100"/>
      <c r="L145" s="101"/>
      <c r="M145" s="102"/>
      <c r="N145" s="124"/>
      <c r="O145" s="125"/>
      <c r="P145" s="97"/>
      <c r="Q145" s="131"/>
      <c r="R145" s="126"/>
      <c r="S145" s="97"/>
      <c r="T145" s="97"/>
      <c r="V145" s="108"/>
    </row>
    <row r="146" ht="15.75" customHeight="1">
      <c r="A146" s="91"/>
      <c r="B146" s="142"/>
      <c r="C146" s="143"/>
      <c r="D146" s="97"/>
      <c r="E146" s="144"/>
      <c r="F146" s="144"/>
      <c r="G146" s="97"/>
      <c r="H146" s="143"/>
      <c r="I146" s="97"/>
      <c r="J146" s="97"/>
      <c r="K146" s="113"/>
      <c r="L146" s="114"/>
      <c r="M146" s="102"/>
      <c r="N146" s="124"/>
      <c r="O146" s="125"/>
      <c r="P146" s="97"/>
      <c r="Q146" s="131"/>
      <c r="R146" s="126"/>
      <c r="S146" s="97"/>
      <c r="T146" s="97"/>
      <c r="V146" s="108"/>
    </row>
    <row r="147" ht="15.75" customHeight="1">
      <c r="A147" s="91"/>
      <c r="B147" s="142"/>
      <c r="C147" s="143"/>
      <c r="D147" s="97"/>
      <c r="E147" s="144"/>
      <c r="F147" s="144"/>
      <c r="G147" s="97"/>
      <c r="H147" s="143"/>
      <c r="I147" s="97"/>
      <c r="J147" s="97"/>
      <c r="K147" s="100"/>
      <c r="L147" s="101"/>
      <c r="M147" s="102"/>
      <c r="N147" s="124"/>
      <c r="O147" s="125"/>
      <c r="P147" s="97"/>
      <c r="Q147" s="131"/>
      <c r="R147" s="126"/>
      <c r="S147" s="97"/>
      <c r="T147" s="97"/>
      <c r="V147" s="108"/>
    </row>
    <row r="148" ht="15.75" customHeight="1">
      <c r="A148" s="91"/>
      <c r="B148" s="142"/>
      <c r="C148" s="143"/>
      <c r="D148" s="97"/>
      <c r="E148" s="144"/>
      <c r="F148" s="144"/>
      <c r="G148" s="97"/>
      <c r="H148" s="143"/>
      <c r="I148" s="97"/>
      <c r="J148" s="97"/>
      <c r="K148" s="113"/>
      <c r="L148" s="114"/>
      <c r="M148" s="102"/>
      <c r="N148" s="124"/>
      <c r="O148" s="125"/>
      <c r="P148" s="97"/>
      <c r="Q148" s="131"/>
      <c r="R148" s="126"/>
      <c r="S148" s="97"/>
      <c r="T148" s="97"/>
      <c r="V148" s="108"/>
    </row>
    <row r="149" ht="15.75" customHeight="1">
      <c r="A149" s="91"/>
      <c r="B149" s="142"/>
      <c r="C149" s="143"/>
      <c r="D149" s="97"/>
      <c r="E149" s="144"/>
      <c r="F149" s="144"/>
      <c r="G149" s="97"/>
      <c r="H149" s="143"/>
      <c r="I149" s="97"/>
      <c r="J149" s="97"/>
      <c r="K149" s="100"/>
      <c r="L149" s="101"/>
      <c r="M149" s="102"/>
      <c r="N149" s="124"/>
      <c r="O149" s="125"/>
      <c r="P149" s="97"/>
      <c r="Q149" s="131"/>
      <c r="R149" s="126"/>
      <c r="S149" s="97"/>
      <c r="T149" s="97"/>
      <c r="V149" s="108"/>
    </row>
    <row r="150" ht="15.75" customHeight="1">
      <c r="A150" s="91"/>
      <c r="B150" s="142"/>
      <c r="C150" s="143"/>
      <c r="D150" s="97"/>
      <c r="E150" s="144"/>
      <c r="F150" s="144"/>
      <c r="G150" s="97"/>
      <c r="H150" s="143"/>
      <c r="I150" s="97"/>
      <c r="J150" s="97"/>
      <c r="K150" s="113"/>
      <c r="L150" s="114"/>
      <c r="M150" s="102"/>
      <c r="N150" s="124"/>
      <c r="O150" s="125"/>
      <c r="P150" s="97"/>
      <c r="Q150" s="131"/>
      <c r="R150" s="126"/>
      <c r="S150" s="97"/>
      <c r="T150" s="97"/>
      <c r="V150" s="108"/>
    </row>
    <row r="151" ht="15.75" customHeight="1">
      <c r="A151" s="91"/>
      <c r="B151" s="142"/>
      <c r="C151" s="108"/>
      <c r="D151" s="97"/>
      <c r="E151" s="144"/>
      <c r="F151" s="144"/>
      <c r="G151" s="97"/>
      <c r="H151" s="143"/>
      <c r="I151" s="97"/>
      <c r="J151" s="97"/>
      <c r="K151" s="100"/>
      <c r="L151" s="101"/>
      <c r="M151" s="102"/>
      <c r="N151" s="124"/>
      <c r="O151" s="125"/>
      <c r="P151" s="97"/>
      <c r="Q151" s="131"/>
      <c r="R151" s="126"/>
      <c r="S151" s="97"/>
      <c r="T151" s="97"/>
      <c r="V151" s="108"/>
    </row>
    <row r="152" ht="15.75" customHeight="1">
      <c r="A152" s="91"/>
      <c r="B152" s="142"/>
      <c r="C152" s="143"/>
      <c r="D152" s="97"/>
      <c r="E152" s="144"/>
      <c r="F152" s="144"/>
      <c r="G152" s="97"/>
      <c r="H152" s="143"/>
      <c r="I152" s="97"/>
      <c r="J152" s="97"/>
      <c r="K152" s="113"/>
      <c r="L152" s="114"/>
      <c r="M152" s="102"/>
      <c r="N152" s="124"/>
      <c r="O152" s="125"/>
      <c r="P152" s="97"/>
      <c r="Q152" s="131"/>
      <c r="R152" s="126"/>
      <c r="S152" s="97"/>
      <c r="T152" s="97"/>
      <c r="V152" s="108"/>
    </row>
    <row r="153" ht="15.75" customHeight="1">
      <c r="A153" s="91"/>
      <c r="B153" s="142"/>
      <c r="C153" s="143"/>
      <c r="D153" s="97"/>
      <c r="E153" s="144"/>
      <c r="F153" s="144"/>
      <c r="G153" s="97"/>
      <c r="H153" s="143"/>
      <c r="I153" s="97"/>
      <c r="J153" s="97"/>
      <c r="K153" s="100"/>
      <c r="L153" s="101"/>
      <c r="M153" s="102"/>
      <c r="N153" s="124"/>
      <c r="O153" s="125"/>
      <c r="P153" s="97"/>
      <c r="Q153" s="131"/>
      <c r="R153" s="126"/>
      <c r="S153" s="97"/>
      <c r="T153" s="97"/>
      <c r="V153" s="108"/>
    </row>
    <row r="154" ht="15.75" customHeight="1">
      <c r="A154" s="91"/>
      <c r="B154" s="142"/>
      <c r="C154" s="143"/>
      <c r="D154" s="97"/>
      <c r="E154" s="144"/>
      <c r="F154" s="144"/>
      <c r="G154" s="97"/>
      <c r="H154" s="143"/>
      <c r="I154" s="97"/>
      <c r="J154" s="97"/>
      <c r="K154" s="113"/>
      <c r="L154" s="114"/>
      <c r="M154" s="102"/>
      <c r="N154" s="124"/>
      <c r="O154" s="125"/>
      <c r="P154" s="97"/>
      <c r="Q154" s="131"/>
      <c r="R154" s="126"/>
      <c r="S154" s="97"/>
      <c r="T154" s="97"/>
      <c r="V154" s="108"/>
    </row>
    <row r="155" ht="15.75" customHeight="1">
      <c r="A155" s="91"/>
      <c r="B155" s="142"/>
      <c r="C155" s="143"/>
      <c r="D155" s="97"/>
      <c r="E155" s="144"/>
      <c r="F155" s="144"/>
      <c r="G155" s="97"/>
      <c r="H155" s="143"/>
      <c r="I155" s="97"/>
      <c r="J155" s="97"/>
      <c r="K155" s="100"/>
      <c r="L155" s="101"/>
      <c r="M155" s="102"/>
      <c r="N155" s="124"/>
      <c r="O155" s="125"/>
      <c r="P155" s="97"/>
      <c r="Q155" s="131"/>
      <c r="R155" s="126"/>
      <c r="S155" s="97"/>
      <c r="T155" s="97"/>
      <c r="V155" s="108"/>
    </row>
    <row r="156" ht="15.75" customHeight="1">
      <c r="A156" s="91"/>
      <c r="B156" s="142"/>
      <c r="C156" s="143"/>
      <c r="D156" s="97"/>
      <c r="E156" s="144"/>
      <c r="F156" s="144"/>
      <c r="G156" s="97"/>
      <c r="H156" s="143"/>
      <c r="I156" s="97"/>
      <c r="J156" s="97"/>
      <c r="K156" s="113"/>
      <c r="L156" s="114"/>
      <c r="M156" s="102"/>
      <c r="N156" s="124"/>
      <c r="O156" s="125"/>
      <c r="P156" s="97"/>
      <c r="Q156" s="131"/>
      <c r="R156" s="126"/>
      <c r="S156" s="97"/>
      <c r="T156" s="97"/>
      <c r="V156" s="108"/>
    </row>
    <row r="157" ht="15.75" customHeight="1">
      <c r="A157" s="91"/>
      <c r="B157" s="142"/>
      <c r="C157" s="108"/>
      <c r="D157" s="97"/>
      <c r="E157" s="144"/>
      <c r="F157" s="144"/>
      <c r="G157" s="97"/>
      <c r="H157" s="143"/>
      <c r="I157" s="97"/>
      <c r="J157" s="97"/>
      <c r="K157" s="100"/>
      <c r="L157" s="101"/>
      <c r="M157" s="102"/>
      <c r="N157" s="124"/>
      <c r="O157" s="125"/>
      <c r="P157" s="97"/>
      <c r="Q157" s="131"/>
      <c r="R157" s="126"/>
      <c r="S157" s="97"/>
      <c r="T157" s="97"/>
      <c r="V157" s="108"/>
    </row>
    <row r="158" ht="15.75" customHeight="1">
      <c r="A158" s="91"/>
      <c r="B158" s="142"/>
      <c r="C158" s="143"/>
      <c r="D158" s="97"/>
      <c r="E158" s="144"/>
      <c r="F158" s="144"/>
      <c r="G158" s="97"/>
      <c r="H158" s="143"/>
      <c r="I158" s="97"/>
      <c r="J158" s="97"/>
      <c r="K158" s="113"/>
      <c r="L158" s="114"/>
      <c r="M158" s="102"/>
      <c r="N158" s="124"/>
      <c r="O158" s="125"/>
      <c r="P158" s="97"/>
      <c r="Q158" s="131"/>
      <c r="R158" s="126"/>
      <c r="S158" s="97"/>
      <c r="T158" s="97"/>
      <c r="V158" s="108"/>
    </row>
    <row r="159" ht="15.75" customHeight="1">
      <c r="A159" s="91"/>
      <c r="B159" s="142"/>
      <c r="C159" s="143"/>
      <c r="D159" s="97"/>
      <c r="E159" s="144"/>
      <c r="F159" s="144"/>
      <c r="G159" s="97"/>
      <c r="H159" s="143"/>
      <c r="I159" s="97"/>
      <c r="J159" s="97"/>
      <c r="K159" s="100"/>
      <c r="L159" s="101"/>
      <c r="M159" s="102"/>
      <c r="N159" s="124"/>
      <c r="O159" s="125"/>
      <c r="P159" s="97"/>
      <c r="Q159" s="131"/>
      <c r="R159" s="126"/>
      <c r="S159" s="97"/>
      <c r="T159" s="97"/>
      <c r="V159" s="108"/>
    </row>
    <row r="160" ht="15.75" customHeight="1">
      <c r="A160" s="91"/>
      <c r="B160" s="142"/>
      <c r="C160" s="143"/>
      <c r="D160" s="97"/>
      <c r="E160" s="144"/>
      <c r="F160" s="144"/>
      <c r="G160" s="97"/>
      <c r="H160" s="143"/>
      <c r="I160" s="97"/>
      <c r="J160" s="97"/>
      <c r="K160" s="113"/>
      <c r="L160" s="114"/>
      <c r="M160" s="102"/>
      <c r="N160" s="124"/>
      <c r="O160" s="125"/>
      <c r="P160" s="97"/>
      <c r="Q160" s="131"/>
      <c r="R160" s="126"/>
      <c r="S160" s="97"/>
      <c r="T160" s="97"/>
      <c r="V160" s="108"/>
    </row>
    <row r="161" ht="15.75" customHeight="1">
      <c r="A161" s="91"/>
      <c r="B161" s="142"/>
      <c r="C161" s="143"/>
      <c r="D161" s="97"/>
      <c r="E161" s="144"/>
      <c r="F161" s="144"/>
      <c r="G161" s="97"/>
      <c r="H161" s="143"/>
      <c r="I161" s="97"/>
      <c r="J161" s="97"/>
      <c r="K161" s="100"/>
      <c r="L161" s="101"/>
      <c r="M161" s="102"/>
      <c r="N161" s="124"/>
      <c r="O161" s="125"/>
      <c r="P161" s="97"/>
      <c r="Q161" s="131"/>
      <c r="R161" s="126"/>
      <c r="S161" s="97"/>
      <c r="T161" s="97"/>
      <c r="V161" s="108"/>
    </row>
    <row r="162" ht="15.75" customHeight="1">
      <c r="A162" s="91"/>
      <c r="B162" s="142"/>
      <c r="C162" s="143"/>
      <c r="D162" s="97"/>
      <c r="E162" s="144"/>
      <c r="F162" s="144"/>
      <c r="G162" s="97"/>
      <c r="H162" s="143"/>
      <c r="I162" s="97"/>
      <c r="J162" s="97"/>
      <c r="K162" s="113"/>
      <c r="L162" s="114"/>
      <c r="M162" s="102"/>
      <c r="N162" s="124"/>
      <c r="O162" s="125"/>
      <c r="P162" s="97"/>
      <c r="Q162" s="131"/>
      <c r="R162" s="126"/>
      <c r="S162" s="97"/>
      <c r="T162" s="97"/>
      <c r="V162" s="108"/>
    </row>
    <row r="163" ht="15.75" customHeight="1">
      <c r="A163" s="91"/>
      <c r="B163" s="142"/>
      <c r="C163" s="108"/>
      <c r="D163" s="97"/>
      <c r="E163" s="144"/>
      <c r="F163" s="144"/>
      <c r="G163" s="97"/>
      <c r="H163" s="143"/>
      <c r="I163" s="97"/>
      <c r="J163" s="97"/>
      <c r="K163" s="100"/>
      <c r="L163" s="101"/>
      <c r="M163" s="102"/>
      <c r="N163" s="124"/>
      <c r="O163" s="125"/>
      <c r="P163" s="97"/>
      <c r="Q163" s="131"/>
      <c r="R163" s="126"/>
      <c r="S163" s="97"/>
      <c r="T163" s="97"/>
      <c r="V163" s="108"/>
    </row>
    <row r="164" ht="15.75" customHeight="1">
      <c r="A164" s="91"/>
      <c r="B164" s="142"/>
      <c r="C164" s="143"/>
      <c r="D164" s="97"/>
      <c r="E164" s="144"/>
      <c r="F164" s="144"/>
      <c r="G164" s="97"/>
      <c r="H164" s="143"/>
      <c r="I164" s="97"/>
      <c r="J164" s="97"/>
      <c r="K164" s="113"/>
      <c r="L164" s="114"/>
      <c r="M164" s="102"/>
      <c r="N164" s="124"/>
      <c r="O164" s="125"/>
      <c r="P164" s="97"/>
      <c r="Q164" s="131"/>
      <c r="R164" s="126"/>
      <c r="S164" s="97"/>
      <c r="T164" s="97"/>
      <c r="V164" s="108"/>
    </row>
    <row r="165" ht="15.75" customHeight="1">
      <c r="A165" s="91"/>
      <c r="B165" s="142"/>
      <c r="C165" s="143"/>
      <c r="D165" s="97"/>
      <c r="E165" s="144"/>
      <c r="F165" s="144"/>
      <c r="G165" s="97"/>
      <c r="H165" s="143"/>
      <c r="I165" s="97"/>
      <c r="J165" s="97"/>
      <c r="K165" s="100"/>
      <c r="L165" s="101"/>
      <c r="M165" s="102"/>
      <c r="N165" s="124"/>
      <c r="O165" s="125"/>
      <c r="P165" s="97"/>
      <c r="Q165" s="131"/>
      <c r="R165" s="126"/>
      <c r="S165" s="97"/>
      <c r="T165" s="97"/>
      <c r="V165" s="108"/>
    </row>
    <row r="166" ht="15.75" customHeight="1">
      <c r="A166" s="91"/>
      <c r="B166" s="142"/>
      <c r="C166" s="143"/>
      <c r="D166" s="97"/>
      <c r="E166" s="144"/>
      <c r="F166" s="144"/>
      <c r="G166" s="97"/>
      <c r="H166" s="143"/>
      <c r="I166" s="97"/>
      <c r="J166" s="97"/>
      <c r="K166" s="113"/>
      <c r="L166" s="114"/>
      <c r="M166" s="102"/>
      <c r="N166" s="124"/>
      <c r="O166" s="125"/>
      <c r="P166" s="97"/>
      <c r="Q166" s="131"/>
      <c r="R166" s="126"/>
      <c r="S166" s="97"/>
      <c r="T166" s="97"/>
      <c r="V166" s="108"/>
    </row>
    <row r="167" ht="15.75" customHeight="1">
      <c r="A167" s="91"/>
      <c r="B167" s="142"/>
      <c r="C167" s="143"/>
      <c r="D167" s="97"/>
      <c r="E167" s="144"/>
      <c r="F167" s="144"/>
      <c r="G167" s="97"/>
      <c r="H167" s="143"/>
      <c r="I167" s="97"/>
      <c r="J167" s="97"/>
      <c r="K167" s="100"/>
      <c r="L167" s="101"/>
      <c r="M167" s="102"/>
      <c r="N167" s="124"/>
      <c r="O167" s="125"/>
      <c r="P167" s="97"/>
      <c r="Q167" s="131"/>
      <c r="R167" s="126"/>
      <c r="S167" s="97"/>
      <c r="T167" s="97"/>
      <c r="V167" s="108"/>
    </row>
    <row r="168" ht="15.75" customHeight="1">
      <c r="A168" s="91"/>
      <c r="B168" s="142"/>
      <c r="C168" s="143"/>
      <c r="D168" s="97"/>
      <c r="E168" s="144"/>
      <c r="F168" s="144"/>
      <c r="G168" s="97"/>
      <c r="H168" s="143"/>
      <c r="I168" s="97"/>
      <c r="J168" s="97"/>
      <c r="K168" s="113"/>
      <c r="L168" s="114"/>
      <c r="M168" s="102"/>
      <c r="N168" s="124"/>
      <c r="O168" s="125"/>
      <c r="P168" s="97"/>
      <c r="Q168" s="131"/>
      <c r="R168" s="126"/>
      <c r="S168" s="97"/>
      <c r="T168" s="97"/>
      <c r="V168" s="108"/>
    </row>
    <row r="169" ht="15.75" customHeight="1">
      <c r="A169" s="91"/>
      <c r="B169" s="142"/>
      <c r="C169" s="108"/>
      <c r="D169" s="97"/>
      <c r="E169" s="144"/>
      <c r="F169" s="144"/>
      <c r="G169" s="97"/>
      <c r="H169" s="143"/>
      <c r="I169" s="97"/>
      <c r="J169" s="97"/>
      <c r="K169" s="100"/>
      <c r="L169" s="101"/>
      <c r="M169" s="102"/>
      <c r="N169" s="124"/>
      <c r="O169" s="125"/>
      <c r="P169" s="97"/>
      <c r="Q169" s="131"/>
      <c r="R169" s="126"/>
      <c r="S169" s="97"/>
      <c r="T169" s="97"/>
      <c r="V169" s="108"/>
    </row>
    <row r="170" ht="15.75" customHeight="1">
      <c r="A170" s="91"/>
      <c r="B170" s="142"/>
      <c r="C170" s="143"/>
      <c r="D170" s="97"/>
      <c r="E170" s="144"/>
      <c r="F170" s="144"/>
      <c r="G170" s="97"/>
      <c r="H170" s="143"/>
      <c r="I170" s="97"/>
      <c r="J170" s="97"/>
      <c r="K170" s="113"/>
      <c r="L170" s="114"/>
      <c r="M170" s="102"/>
      <c r="N170" s="124"/>
      <c r="O170" s="125"/>
      <c r="P170" s="97"/>
      <c r="Q170" s="131"/>
      <c r="R170" s="126"/>
      <c r="S170" s="97"/>
      <c r="T170" s="97"/>
      <c r="V170" s="108"/>
    </row>
    <row r="171" ht="15.75" customHeight="1">
      <c r="A171" s="91"/>
      <c r="B171" s="142"/>
      <c r="C171" s="143"/>
      <c r="D171" s="97"/>
      <c r="E171" s="144"/>
      <c r="F171" s="144"/>
      <c r="G171" s="97"/>
      <c r="H171" s="143"/>
      <c r="I171" s="97"/>
      <c r="J171" s="97"/>
      <c r="K171" s="100"/>
      <c r="L171" s="101"/>
      <c r="M171" s="102"/>
      <c r="N171" s="124"/>
      <c r="O171" s="125"/>
      <c r="P171" s="97"/>
      <c r="Q171" s="131"/>
      <c r="R171" s="126"/>
      <c r="S171" s="97"/>
      <c r="T171" s="97"/>
      <c r="V171" s="108"/>
    </row>
    <row r="172" ht="15.75" customHeight="1">
      <c r="A172" s="91"/>
      <c r="B172" s="142"/>
      <c r="C172" s="143"/>
      <c r="D172" s="97"/>
      <c r="E172" s="144"/>
      <c r="F172" s="144"/>
      <c r="G172" s="97"/>
      <c r="H172" s="143"/>
      <c r="I172" s="97"/>
      <c r="J172" s="97"/>
      <c r="K172" s="113"/>
      <c r="L172" s="114"/>
      <c r="M172" s="102"/>
      <c r="N172" s="124"/>
      <c r="O172" s="125"/>
      <c r="P172" s="97"/>
      <c r="Q172" s="131"/>
      <c r="R172" s="126"/>
      <c r="S172" s="97"/>
      <c r="T172" s="97"/>
      <c r="V172" s="108"/>
    </row>
    <row r="173" ht="15.75" customHeight="1">
      <c r="A173" s="91"/>
      <c r="B173" s="142"/>
      <c r="C173" s="143"/>
      <c r="D173" s="97"/>
      <c r="E173" s="144"/>
      <c r="F173" s="144"/>
      <c r="G173" s="97"/>
      <c r="H173" s="143"/>
      <c r="I173" s="97"/>
      <c r="J173" s="97"/>
      <c r="K173" s="100"/>
      <c r="L173" s="101"/>
      <c r="M173" s="102"/>
      <c r="N173" s="124"/>
      <c r="O173" s="125"/>
      <c r="P173" s="97"/>
      <c r="Q173" s="131"/>
      <c r="R173" s="126"/>
      <c r="S173" s="97"/>
      <c r="T173" s="97"/>
      <c r="V173" s="108"/>
    </row>
    <row r="174" ht="15.75" customHeight="1">
      <c r="A174" s="91"/>
      <c r="B174" s="142"/>
      <c r="C174" s="143"/>
      <c r="D174" s="97"/>
      <c r="E174" s="144"/>
      <c r="F174" s="144"/>
      <c r="G174" s="97"/>
      <c r="H174" s="143"/>
      <c r="I174" s="97"/>
      <c r="J174" s="97"/>
      <c r="K174" s="113"/>
      <c r="L174" s="114"/>
      <c r="M174" s="102"/>
      <c r="N174" s="124"/>
      <c r="O174" s="125"/>
      <c r="P174" s="97"/>
      <c r="Q174" s="131"/>
      <c r="R174" s="126"/>
      <c r="S174" s="97"/>
      <c r="T174" s="97"/>
      <c r="V174" s="108"/>
    </row>
    <row r="175" ht="15.75" customHeight="1">
      <c r="A175" s="91"/>
      <c r="B175" s="142"/>
      <c r="C175" s="108"/>
      <c r="D175" s="97"/>
      <c r="E175" s="144"/>
      <c r="F175" s="144"/>
      <c r="G175" s="97"/>
      <c r="H175" s="143"/>
      <c r="I175" s="97"/>
      <c r="J175" s="97"/>
      <c r="K175" s="100"/>
      <c r="L175" s="101"/>
      <c r="M175" s="102"/>
      <c r="N175" s="124"/>
      <c r="O175" s="125"/>
      <c r="P175" s="97"/>
      <c r="Q175" s="131"/>
      <c r="R175" s="126"/>
      <c r="S175" s="97"/>
      <c r="T175" s="97"/>
      <c r="V175" s="108"/>
    </row>
    <row r="176" ht="15.75" customHeight="1">
      <c r="A176" s="91"/>
      <c r="B176" s="142"/>
      <c r="C176" s="143"/>
      <c r="D176" s="97"/>
      <c r="E176" s="144"/>
      <c r="F176" s="144"/>
      <c r="G176" s="97"/>
      <c r="H176" s="143"/>
      <c r="I176" s="97"/>
      <c r="J176" s="97"/>
      <c r="K176" s="113"/>
      <c r="L176" s="114"/>
      <c r="M176" s="102"/>
      <c r="N176" s="124"/>
      <c r="O176" s="125"/>
      <c r="P176" s="97"/>
      <c r="Q176" s="131"/>
      <c r="R176" s="126"/>
      <c r="S176" s="97"/>
      <c r="T176" s="97"/>
      <c r="V176" s="108"/>
    </row>
    <row r="177" ht="15.75" customHeight="1">
      <c r="A177" s="91"/>
      <c r="B177" s="142"/>
      <c r="C177" s="143"/>
      <c r="D177" s="97"/>
      <c r="E177" s="144"/>
      <c r="F177" s="144"/>
      <c r="G177" s="97"/>
      <c r="H177" s="143"/>
      <c r="I177" s="97"/>
      <c r="J177" s="97"/>
      <c r="K177" s="100"/>
      <c r="L177" s="101"/>
      <c r="M177" s="102"/>
      <c r="N177" s="124"/>
      <c r="O177" s="125"/>
      <c r="P177" s="97"/>
      <c r="Q177" s="131"/>
      <c r="R177" s="126"/>
      <c r="S177" s="97"/>
      <c r="T177" s="97"/>
      <c r="V177" s="108"/>
    </row>
    <row r="178" ht="15.75" customHeight="1">
      <c r="A178" s="91"/>
      <c r="B178" s="142"/>
      <c r="C178" s="143"/>
      <c r="D178" s="97"/>
      <c r="E178" s="144"/>
      <c r="F178" s="144"/>
      <c r="G178" s="97"/>
      <c r="H178" s="143"/>
      <c r="I178" s="97"/>
      <c r="J178" s="97"/>
      <c r="K178" s="113"/>
      <c r="L178" s="114"/>
      <c r="M178" s="102"/>
      <c r="N178" s="124"/>
      <c r="O178" s="125"/>
      <c r="P178" s="97"/>
      <c r="Q178" s="131"/>
      <c r="R178" s="126"/>
      <c r="S178" s="97"/>
      <c r="T178" s="97"/>
      <c r="V178" s="108"/>
    </row>
    <row r="179" ht="15.75" customHeight="1">
      <c r="A179" s="91"/>
      <c r="B179" s="142"/>
      <c r="C179" s="143"/>
      <c r="D179" s="97"/>
      <c r="E179" s="144"/>
      <c r="F179" s="144"/>
      <c r="G179" s="97"/>
      <c r="H179" s="143"/>
      <c r="I179" s="97"/>
      <c r="J179" s="97"/>
      <c r="K179" s="100"/>
      <c r="L179" s="101"/>
      <c r="M179" s="102"/>
      <c r="N179" s="124"/>
      <c r="O179" s="125"/>
      <c r="P179" s="97"/>
      <c r="Q179" s="131"/>
      <c r="R179" s="126"/>
      <c r="S179" s="97"/>
      <c r="T179" s="97"/>
      <c r="V179" s="108"/>
    </row>
    <row r="180" ht="15.75" customHeight="1">
      <c r="A180" s="91"/>
      <c r="B180" s="142"/>
      <c r="C180" s="143"/>
      <c r="D180" s="97"/>
      <c r="E180" s="144"/>
      <c r="F180" s="144"/>
      <c r="G180" s="97"/>
      <c r="H180" s="143"/>
      <c r="I180" s="97"/>
      <c r="J180" s="97"/>
      <c r="K180" s="113"/>
      <c r="L180" s="114"/>
      <c r="M180" s="102"/>
      <c r="N180" s="124"/>
      <c r="O180" s="125"/>
      <c r="P180" s="97"/>
      <c r="Q180" s="131"/>
      <c r="R180" s="126"/>
      <c r="S180" s="97"/>
      <c r="T180" s="97"/>
      <c r="V180" s="108"/>
    </row>
    <row r="181" ht="15.75" customHeight="1">
      <c r="A181" s="91"/>
      <c r="B181" s="142"/>
      <c r="C181" s="108"/>
      <c r="D181" s="97"/>
      <c r="E181" s="144"/>
      <c r="F181" s="144"/>
      <c r="G181" s="97"/>
      <c r="H181" s="143"/>
      <c r="I181" s="97"/>
      <c r="J181" s="97"/>
      <c r="K181" s="100"/>
      <c r="L181" s="101"/>
      <c r="M181" s="102"/>
      <c r="N181" s="124"/>
      <c r="O181" s="125"/>
      <c r="P181" s="97"/>
      <c r="Q181" s="131"/>
      <c r="R181" s="126"/>
      <c r="S181" s="97"/>
      <c r="T181" s="97"/>
      <c r="V181" s="108"/>
    </row>
    <row r="182" ht="15.75" customHeight="1">
      <c r="A182" s="91"/>
      <c r="B182" s="142"/>
      <c r="C182" s="143"/>
      <c r="D182" s="97"/>
      <c r="E182" s="144"/>
      <c r="F182" s="144"/>
      <c r="G182" s="97"/>
      <c r="H182" s="143"/>
      <c r="I182" s="97"/>
      <c r="J182" s="97"/>
      <c r="K182" s="113"/>
      <c r="L182" s="114"/>
      <c r="M182" s="102"/>
      <c r="N182" s="124"/>
      <c r="O182" s="125"/>
      <c r="P182" s="97"/>
      <c r="Q182" s="131"/>
      <c r="R182" s="126"/>
      <c r="S182" s="97"/>
      <c r="T182" s="97"/>
      <c r="V182" s="108"/>
    </row>
    <row r="183" ht="15.75" customHeight="1">
      <c r="A183" s="91"/>
      <c r="B183" s="142"/>
      <c r="C183" s="143"/>
      <c r="D183" s="97"/>
      <c r="E183" s="144"/>
      <c r="F183" s="144"/>
      <c r="G183" s="97"/>
      <c r="H183" s="143"/>
      <c r="I183" s="97"/>
      <c r="J183" s="97"/>
      <c r="K183" s="100"/>
      <c r="L183" s="101"/>
      <c r="M183" s="102"/>
      <c r="N183" s="124"/>
      <c r="O183" s="125"/>
      <c r="P183" s="97"/>
      <c r="Q183" s="131"/>
      <c r="R183" s="126"/>
      <c r="S183" s="97"/>
      <c r="T183" s="97"/>
      <c r="V183" s="108"/>
    </row>
    <row r="184" ht="15.75" customHeight="1">
      <c r="A184" s="91"/>
      <c r="B184" s="142"/>
      <c r="C184" s="143"/>
      <c r="D184" s="97"/>
      <c r="E184" s="144"/>
      <c r="F184" s="144"/>
      <c r="G184" s="97"/>
      <c r="H184" s="143"/>
      <c r="I184" s="97"/>
      <c r="J184" s="97"/>
      <c r="K184" s="113"/>
      <c r="L184" s="114"/>
      <c r="M184" s="102"/>
      <c r="N184" s="124"/>
      <c r="O184" s="125"/>
      <c r="P184" s="97"/>
      <c r="Q184" s="131"/>
      <c r="R184" s="126"/>
      <c r="S184" s="97"/>
      <c r="T184" s="97"/>
      <c r="V184" s="108"/>
    </row>
    <row r="185" ht="15.75" customHeight="1">
      <c r="A185" s="91"/>
      <c r="B185" s="142"/>
      <c r="C185" s="143"/>
      <c r="D185" s="97"/>
      <c r="E185" s="144"/>
      <c r="F185" s="144"/>
      <c r="G185" s="97"/>
      <c r="H185" s="143"/>
      <c r="I185" s="97"/>
      <c r="J185" s="97"/>
      <c r="K185" s="100"/>
      <c r="L185" s="101"/>
      <c r="M185" s="102"/>
      <c r="N185" s="124"/>
      <c r="O185" s="125"/>
      <c r="P185" s="97"/>
      <c r="Q185" s="131"/>
      <c r="R185" s="126"/>
      <c r="S185" s="97"/>
      <c r="T185" s="97"/>
      <c r="V185" s="108"/>
    </row>
    <row r="186" ht="15.75" customHeight="1">
      <c r="A186" s="91"/>
      <c r="B186" s="142"/>
      <c r="C186" s="143"/>
      <c r="D186" s="97"/>
      <c r="E186" s="144"/>
      <c r="F186" s="144"/>
      <c r="G186" s="97"/>
      <c r="H186" s="143"/>
      <c r="I186" s="97"/>
      <c r="J186" s="97"/>
      <c r="K186" s="113"/>
      <c r="L186" s="114"/>
      <c r="M186" s="102"/>
      <c r="N186" s="124"/>
      <c r="O186" s="125"/>
      <c r="P186" s="97"/>
      <c r="Q186" s="131"/>
      <c r="R186" s="126"/>
      <c r="S186" s="97"/>
      <c r="T186" s="97"/>
      <c r="V186" s="108"/>
    </row>
    <row r="187" ht="15.75" customHeight="1">
      <c r="A187" s="91"/>
      <c r="B187" s="142"/>
      <c r="C187" s="108"/>
      <c r="D187" s="97"/>
      <c r="E187" s="144"/>
      <c r="F187" s="144"/>
      <c r="G187" s="97"/>
      <c r="H187" s="143"/>
      <c r="I187" s="97"/>
      <c r="J187" s="97"/>
      <c r="K187" s="100"/>
      <c r="L187" s="101"/>
      <c r="M187" s="102"/>
      <c r="N187" s="124"/>
      <c r="O187" s="125"/>
      <c r="P187" s="97"/>
      <c r="Q187" s="131"/>
      <c r="R187" s="126"/>
      <c r="S187" s="97"/>
      <c r="T187" s="97"/>
      <c r="V187" s="108"/>
    </row>
    <row r="188" ht="15.75" customHeight="1">
      <c r="A188" s="91"/>
      <c r="B188" s="142"/>
      <c r="C188" s="143"/>
      <c r="D188" s="97"/>
      <c r="E188" s="144"/>
      <c r="F188" s="144"/>
      <c r="G188" s="97"/>
      <c r="H188" s="143"/>
      <c r="I188" s="97"/>
      <c r="J188" s="97"/>
      <c r="K188" s="113"/>
      <c r="L188" s="114"/>
      <c r="M188" s="102"/>
      <c r="N188" s="124"/>
      <c r="O188" s="125"/>
      <c r="P188" s="97"/>
      <c r="Q188" s="131"/>
      <c r="R188" s="126"/>
      <c r="S188" s="97"/>
      <c r="T188" s="97"/>
      <c r="V188" s="108"/>
    </row>
    <row r="189" ht="15.75" customHeight="1">
      <c r="A189" s="91"/>
      <c r="B189" s="142"/>
      <c r="C189" s="143"/>
      <c r="D189" s="97"/>
      <c r="E189" s="144"/>
      <c r="F189" s="144"/>
      <c r="G189" s="97"/>
      <c r="H189" s="143"/>
      <c r="I189" s="97"/>
      <c r="J189" s="97"/>
      <c r="K189" s="100"/>
      <c r="L189" s="101"/>
      <c r="M189" s="102"/>
      <c r="N189" s="124"/>
      <c r="O189" s="125"/>
      <c r="P189" s="97"/>
      <c r="Q189" s="131"/>
      <c r="R189" s="126"/>
      <c r="S189" s="97"/>
      <c r="T189" s="97"/>
      <c r="V189" s="108"/>
    </row>
    <row r="190" ht="15.75" customHeight="1">
      <c r="A190" s="91"/>
      <c r="B190" s="142"/>
      <c r="C190" s="143"/>
      <c r="D190" s="97"/>
      <c r="E190" s="144"/>
      <c r="F190" s="144"/>
      <c r="G190" s="97"/>
      <c r="H190" s="143"/>
      <c r="I190" s="97"/>
      <c r="J190" s="97"/>
      <c r="K190" s="113"/>
      <c r="L190" s="114"/>
      <c r="M190" s="102"/>
      <c r="N190" s="124"/>
      <c r="O190" s="125"/>
      <c r="P190" s="97"/>
      <c r="Q190" s="131"/>
      <c r="R190" s="126"/>
      <c r="S190" s="97"/>
      <c r="T190" s="97"/>
      <c r="V190" s="108"/>
    </row>
    <row r="191" ht="15.75" customHeight="1">
      <c r="A191" s="91"/>
      <c r="B191" s="142"/>
      <c r="C191" s="143"/>
      <c r="D191" s="97"/>
      <c r="E191" s="144"/>
      <c r="F191" s="144"/>
      <c r="G191" s="97"/>
      <c r="H191" s="143"/>
      <c r="I191" s="97"/>
      <c r="J191" s="97"/>
      <c r="K191" s="100"/>
      <c r="L191" s="101"/>
      <c r="M191" s="102"/>
      <c r="N191" s="124"/>
      <c r="O191" s="125"/>
      <c r="P191" s="97"/>
      <c r="Q191" s="131"/>
      <c r="R191" s="126"/>
      <c r="S191" s="97"/>
      <c r="T191" s="97"/>
      <c r="V191" s="108"/>
    </row>
    <row r="192" ht="15.75" customHeight="1">
      <c r="A192" s="91"/>
      <c r="B192" s="142"/>
      <c r="C192" s="143"/>
      <c r="D192" s="97"/>
      <c r="E192" s="144"/>
      <c r="F192" s="144"/>
      <c r="G192" s="97"/>
      <c r="H192" s="143"/>
      <c r="I192" s="97"/>
      <c r="J192" s="97"/>
      <c r="K192" s="113"/>
      <c r="L192" s="114"/>
      <c r="M192" s="102"/>
      <c r="N192" s="124"/>
      <c r="O192" s="125"/>
      <c r="P192" s="97"/>
      <c r="Q192" s="131"/>
      <c r="R192" s="126"/>
      <c r="S192" s="97"/>
      <c r="T192" s="97"/>
      <c r="V192" s="108"/>
    </row>
    <row r="193" ht="15.75" customHeight="1">
      <c r="A193" s="91"/>
      <c r="B193" s="142"/>
      <c r="C193" s="108"/>
      <c r="D193" s="97"/>
      <c r="E193" s="144"/>
      <c r="F193" s="144"/>
      <c r="G193" s="97"/>
      <c r="H193" s="143"/>
      <c r="I193" s="97"/>
      <c r="J193" s="97"/>
      <c r="K193" s="100"/>
      <c r="L193" s="101"/>
      <c r="M193" s="102"/>
      <c r="N193" s="124"/>
      <c r="O193" s="125"/>
      <c r="P193" s="97"/>
      <c r="Q193" s="131"/>
      <c r="R193" s="126"/>
      <c r="S193" s="97"/>
      <c r="T193" s="97"/>
      <c r="V193" s="108"/>
    </row>
    <row r="194" ht="15.75" customHeight="1">
      <c r="A194" s="91"/>
      <c r="B194" s="142"/>
      <c r="C194" s="143"/>
      <c r="D194" s="97"/>
      <c r="E194" s="144"/>
      <c r="F194" s="144"/>
      <c r="G194" s="97"/>
      <c r="H194" s="143"/>
      <c r="I194" s="97"/>
      <c r="J194" s="97"/>
      <c r="K194" s="113"/>
      <c r="L194" s="114"/>
      <c r="M194" s="102"/>
      <c r="N194" s="124"/>
      <c r="O194" s="125"/>
      <c r="P194" s="97"/>
      <c r="Q194" s="131"/>
      <c r="R194" s="126"/>
      <c r="S194" s="97"/>
      <c r="T194" s="97"/>
      <c r="V194" s="108"/>
    </row>
    <row r="195" ht="15.75" customHeight="1">
      <c r="A195" s="91"/>
      <c r="B195" s="142"/>
      <c r="C195" s="143"/>
      <c r="D195" s="97"/>
      <c r="E195" s="144"/>
      <c r="F195" s="144"/>
      <c r="G195" s="97"/>
      <c r="H195" s="143"/>
      <c r="I195" s="97"/>
      <c r="J195" s="97"/>
      <c r="K195" s="100"/>
      <c r="L195" s="101"/>
      <c r="M195" s="102"/>
      <c r="N195" s="124"/>
      <c r="O195" s="125"/>
      <c r="P195" s="97"/>
      <c r="Q195" s="131"/>
      <c r="R195" s="126"/>
      <c r="S195" s="97"/>
      <c r="T195" s="97"/>
      <c r="V195" s="108"/>
    </row>
    <row r="196" ht="15.75" customHeight="1">
      <c r="A196" s="91"/>
      <c r="B196" s="142"/>
      <c r="C196" s="143"/>
      <c r="D196" s="97"/>
      <c r="E196" s="144"/>
      <c r="F196" s="144"/>
      <c r="G196" s="97"/>
      <c r="H196" s="143"/>
      <c r="I196" s="97"/>
      <c r="J196" s="97"/>
      <c r="K196" s="113"/>
      <c r="L196" s="114"/>
      <c r="M196" s="102"/>
      <c r="N196" s="124"/>
      <c r="O196" s="125"/>
      <c r="P196" s="97"/>
      <c r="Q196" s="131"/>
      <c r="R196" s="126"/>
      <c r="S196" s="97"/>
      <c r="T196" s="97"/>
      <c r="V196" s="108"/>
    </row>
    <row r="197" ht="15.75" customHeight="1">
      <c r="A197" s="91"/>
      <c r="B197" s="142"/>
      <c r="C197" s="143"/>
      <c r="D197" s="97"/>
      <c r="E197" s="144"/>
      <c r="F197" s="144"/>
      <c r="G197" s="97"/>
      <c r="H197" s="143"/>
      <c r="I197" s="97"/>
      <c r="J197" s="97"/>
      <c r="K197" s="100"/>
      <c r="L197" s="101"/>
      <c r="M197" s="102"/>
      <c r="N197" s="124"/>
      <c r="O197" s="125"/>
      <c r="P197" s="97"/>
      <c r="Q197" s="131"/>
      <c r="R197" s="126"/>
      <c r="S197" s="97"/>
      <c r="T197" s="97"/>
      <c r="V197" s="108"/>
    </row>
    <row r="198" ht="15.75" customHeight="1">
      <c r="A198" s="91"/>
      <c r="B198" s="142"/>
      <c r="C198" s="143"/>
      <c r="D198" s="97"/>
      <c r="E198" s="144"/>
      <c r="F198" s="144"/>
      <c r="G198" s="97"/>
      <c r="H198" s="143"/>
      <c r="I198" s="97"/>
      <c r="J198" s="97"/>
      <c r="K198" s="113"/>
      <c r="L198" s="114"/>
      <c r="M198" s="102"/>
      <c r="N198" s="124"/>
      <c r="O198" s="125"/>
      <c r="P198" s="97"/>
      <c r="Q198" s="131"/>
      <c r="R198" s="126"/>
      <c r="S198" s="97"/>
      <c r="T198" s="97"/>
      <c r="V198" s="108"/>
    </row>
    <row r="199" ht="15.75" customHeight="1">
      <c r="A199" s="91"/>
      <c r="B199" s="142"/>
      <c r="C199" s="108"/>
      <c r="D199" s="97"/>
      <c r="E199" s="144"/>
      <c r="F199" s="144"/>
      <c r="G199" s="97"/>
      <c r="H199" s="143"/>
      <c r="I199" s="97"/>
      <c r="J199" s="97"/>
      <c r="K199" s="100"/>
      <c r="L199" s="101"/>
      <c r="M199" s="102"/>
      <c r="N199" s="124"/>
      <c r="O199" s="125"/>
      <c r="P199" s="97"/>
      <c r="Q199" s="131"/>
      <c r="R199" s="126"/>
      <c r="S199" s="97"/>
      <c r="T199" s="97"/>
      <c r="V199" s="108"/>
    </row>
    <row r="200" ht="15.75" customHeight="1">
      <c r="A200" s="91"/>
      <c r="B200" s="142"/>
      <c r="C200" s="143"/>
      <c r="D200" s="97"/>
      <c r="E200" s="144"/>
      <c r="F200" s="144"/>
      <c r="G200" s="97"/>
      <c r="H200" s="143"/>
      <c r="I200" s="97"/>
      <c r="J200" s="97"/>
      <c r="K200" s="113"/>
      <c r="L200" s="114"/>
      <c r="M200" s="102"/>
      <c r="N200" s="124"/>
      <c r="O200" s="125"/>
      <c r="P200" s="97"/>
      <c r="Q200" s="131"/>
      <c r="R200" s="126"/>
      <c r="S200" s="97"/>
      <c r="T200" s="97"/>
      <c r="V200" s="108"/>
    </row>
    <row r="201" ht="15.75" customHeight="1">
      <c r="A201" s="91"/>
      <c r="B201" s="142"/>
      <c r="C201" s="143"/>
      <c r="D201" s="97"/>
      <c r="E201" s="144"/>
      <c r="F201" s="144"/>
      <c r="G201" s="97"/>
      <c r="H201" s="143"/>
      <c r="I201" s="97"/>
      <c r="J201" s="97"/>
      <c r="K201" s="100"/>
      <c r="L201" s="101"/>
      <c r="M201" s="102"/>
      <c r="N201" s="124"/>
      <c r="O201" s="125"/>
      <c r="P201" s="97"/>
      <c r="Q201" s="131"/>
      <c r="R201" s="126"/>
      <c r="S201" s="97"/>
      <c r="T201" s="97"/>
      <c r="V201" s="108"/>
    </row>
    <row r="202" ht="15.75" customHeight="1">
      <c r="A202" s="91"/>
      <c r="B202" s="142"/>
      <c r="C202" s="143"/>
      <c r="D202" s="97"/>
      <c r="E202" s="144"/>
      <c r="F202" s="144"/>
      <c r="G202" s="97"/>
      <c r="H202" s="143"/>
      <c r="I202" s="97"/>
      <c r="J202" s="97"/>
      <c r="K202" s="113"/>
      <c r="L202" s="114"/>
      <c r="M202" s="102"/>
      <c r="N202" s="124"/>
      <c r="O202" s="125"/>
      <c r="P202" s="97"/>
      <c r="Q202" s="131"/>
      <c r="R202" s="126"/>
      <c r="S202" s="97"/>
      <c r="T202" s="97"/>
      <c r="V202" s="108"/>
    </row>
    <row r="203" ht="15.75" customHeight="1">
      <c r="A203" s="91"/>
      <c r="B203" s="142"/>
      <c r="C203" s="143"/>
      <c r="D203" s="97"/>
      <c r="E203" s="144"/>
      <c r="F203" s="144"/>
      <c r="G203" s="97"/>
      <c r="H203" s="143"/>
      <c r="I203" s="97"/>
      <c r="J203" s="97"/>
      <c r="K203" s="100"/>
      <c r="L203" s="101"/>
      <c r="M203" s="102"/>
      <c r="N203" s="124"/>
      <c r="O203" s="125"/>
      <c r="P203" s="97"/>
      <c r="Q203" s="131"/>
      <c r="R203" s="126"/>
      <c r="S203" s="97"/>
      <c r="T203" s="97"/>
      <c r="V203" s="108"/>
    </row>
    <row r="204" ht="15.75" customHeight="1">
      <c r="A204" s="91"/>
      <c r="B204" s="142"/>
      <c r="C204" s="143"/>
      <c r="D204" s="97"/>
      <c r="E204" s="144"/>
      <c r="F204" s="144"/>
      <c r="G204" s="97"/>
      <c r="H204" s="143"/>
      <c r="I204" s="97"/>
      <c r="J204" s="97"/>
      <c r="K204" s="113"/>
      <c r="L204" s="114"/>
      <c r="M204" s="102"/>
      <c r="N204" s="124"/>
      <c r="O204" s="125"/>
      <c r="P204" s="97"/>
      <c r="Q204" s="131"/>
      <c r="R204" s="126"/>
      <c r="S204" s="97"/>
      <c r="T204" s="97"/>
      <c r="V204" s="108"/>
    </row>
    <row r="205" ht="15.75" customHeight="1">
      <c r="A205" s="91"/>
      <c r="B205" s="142"/>
      <c r="C205" s="108"/>
      <c r="D205" s="97"/>
      <c r="E205" s="144"/>
      <c r="F205" s="144"/>
      <c r="G205" s="97"/>
      <c r="H205" s="143"/>
      <c r="I205" s="97"/>
      <c r="J205" s="97"/>
      <c r="K205" s="100"/>
      <c r="L205" s="101"/>
      <c r="M205" s="102"/>
      <c r="N205" s="124"/>
      <c r="O205" s="125"/>
      <c r="P205" s="97"/>
      <c r="Q205" s="131"/>
      <c r="R205" s="126"/>
      <c r="S205" s="97"/>
      <c r="T205" s="97"/>
      <c r="V205" s="108"/>
    </row>
    <row r="206" ht="15.75" customHeight="1">
      <c r="A206" s="91"/>
      <c r="B206" s="142"/>
      <c r="C206" s="143"/>
      <c r="D206" s="97"/>
      <c r="E206" s="144"/>
      <c r="F206" s="144"/>
      <c r="G206" s="97"/>
      <c r="H206" s="143"/>
      <c r="I206" s="97"/>
      <c r="J206" s="97"/>
      <c r="K206" s="113"/>
      <c r="L206" s="114"/>
      <c r="M206" s="102"/>
      <c r="N206" s="124"/>
      <c r="O206" s="125"/>
      <c r="P206" s="97"/>
      <c r="Q206" s="131"/>
      <c r="R206" s="126"/>
      <c r="S206" s="97"/>
      <c r="T206" s="97"/>
      <c r="V206" s="108"/>
    </row>
    <row r="207" ht="15.75" customHeight="1">
      <c r="A207" s="91"/>
      <c r="B207" s="142"/>
      <c r="C207" s="143"/>
      <c r="D207" s="97"/>
      <c r="E207" s="144"/>
      <c r="F207" s="144"/>
      <c r="G207" s="97"/>
      <c r="H207" s="143"/>
      <c r="I207" s="97"/>
      <c r="J207" s="97"/>
      <c r="K207" s="100"/>
      <c r="L207" s="101"/>
      <c r="M207" s="102"/>
      <c r="N207" s="124"/>
      <c r="O207" s="125"/>
      <c r="P207" s="97"/>
      <c r="Q207" s="131"/>
      <c r="R207" s="126"/>
      <c r="S207" s="97"/>
      <c r="T207" s="97"/>
      <c r="V207" s="108"/>
    </row>
    <row r="208" ht="15.75" customHeight="1">
      <c r="A208" s="91"/>
      <c r="B208" s="142"/>
      <c r="C208" s="143"/>
      <c r="D208" s="97"/>
      <c r="E208" s="144"/>
      <c r="F208" s="144"/>
      <c r="G208" s="97"/>
      <c r="H208" s="143"/>
      <c r="I208" s="97"/>
      <c r="J208" s="97"/>
      <c r="K208" s="113"/>
      <c r="L208" s="114"/>
      <c r="M208" s="102"/>
      <c r="N208" s="124"/>
      <c r="O208" s="125"/>
      <c r="P208" s="97"/>
      <c r="Q208" s="131"/>
      <c r="R208" s="126"/>
      <c r="S208" s="97"/>
      <c r="T208" s="97"/>
      <c r="V208" s="108"/>
    </row>
    <row r="209" ht="15.75" customHeight="1">
      <c r="A209" s="91"/>
      <c r="B209" s="142"/>
      <c r="C209" s="143"/>
      <c r="D209" s="97"/>
      <c r="E209" s="144"/>
      <c r="F209" s="144"/>
      <c r="G209" s="97"/>
      <c r="H209" s="143"/>
      <c r="I209" s="97"/>
      <c r="J209" s="97"/>
      <c r="K209" s="100"/>
      <c r="L209" s="101"/>
      <c r="M209" s="102"/>
      <c r="N209" s="124"/>
      <c r="O209" s="125"/>
      <c r="P209" s="97"/>
      <c r="Q209" s="131"/>
      <c r="R209" s="126"/>
      <c r="S209" s="97"/>
      <c r="T209" s="97"/>
      <c r="V209" s="108"/>
    </row>
    <row r="210" ht="15.75" customHeight="1">
      <c r="A210" s="91"/>
      <c r="B210" s="142"/>
      <c r="C210" s="143"/>
      <c r="D210" s="97"/>
      <c r="E210" s="144"/>
      <c r="F210" s="144"/>
      <c r="G210" s="97"/>
      <c r="H210" s="143"/>
      <c r="I210" s="97"/>
      <c r="J210" s="97"/>
      <c r="K210" s="113"/>
      <c r="L210" s="114"/>
      <c r="M210" s="102"/>
      <c r="N210" s="124"/>
      <c r="O210" s="125"/>
      <c r="P210" s="97"/>
      <c r="Q210" s="131"/>
      <c r="R210" s="126"/>
      <c r="S210" s="97"/>
      <c r="T210" s="97"/>
      <c r="V210" s="108"/>
    </row>
    <row r="211" ht="15.75" customHeight="1">
      <c r="A211" s="91"/>
      <c r="B211" s="142"/>
      <c r="C211" s="108"/>
      <c r="D211" s="97"/>
      <c r="E211" s="144"/>
      <c r="F211" s="144"/>
      <c r="G211" s="97"/>
      <c r="H211" s="143"/>
      <c r="I211" s="97"/>
      <c r="J211" s="97"/>
      <c r="K211" s="100"/>
      <c r="L211" s="101"/>
      <c r="M211" s="102"/>
      <c r="N211" s="124"/>
      <c r="O211" s="125"/>
      <c r="P211" s="97"/>
      <c r="Q211" s="131"/>
      <c r="R211" s="126"/>
      <c r="S211" s="97"/>
      <c r="T211" s="97"/>
      <c r="V211" s="108"/>
    </row>
    <row r="212" ht="15.75" customHeight="1">
      <c r="A212" s="91"/>
      <c r="B212" s="142"/>
      <c r="C212" s="143"/>
      <c r="D212" s="97"/>
      <c r="E212" s="144"/>
      <c r="F212" s="144"/>
      <c r="G212" s="97"/>
      <c r="H212" s="143"/>
      <c r="I212" s="97"/>
      <c r="J212" s="97"/>
      <c r="K212" s="113"/>
      <c r="L212" s="114"/>
      <c r="M212" s="102"/>
      <c r="N212" s="124"/>
      <c r="O212" s="125"/>
      <c r="P212" s="97"/>
      <c r="Q212" s="131"/>
      <c r="R212" s="126"/>
      <c r="S212" s="97"/>
      <c r="T212" s="97"/>
      <c r="V212" s="108"/>
    </row>
    <row r="213" ht="15.75" customHeight="1">
      <c r="A213" s="91"/>
      <c r="B213" s="142"/>
      <c r="C213" s="143"/>
      <c r="D213" s="97"/>
      <c r="E213" s="144"/>
      <c r="F213" s="144"/>
      <c r="G213" s="97"/>
      <c r="H213" s="143"/>
      <c r="I213" s="97"/>
      <c r="J213" s="97"/>
      <c r="K213" s="100"/>
      <c r="L213" s="101"/>
      <c r="M213" s="102"/>
      <c r="N213" s="124"/>
      <c r="O213" s="125"/>
      <c r="P213" s="97"/>
      <c r="Q213" s="131"/>
      <c r="R213" s="126"/>
      <c r="S213" s="97"/>
      <c r="T213" s="97"/>
      <c r="V213" s="108"/>
    </row>
    <row r="214" ht="15.75" customHeight="1">
      <c r="A214" s="91"/>
      <c r="B214" s="142"/>
      <c r="C214" s="143"/>
      <c r="D214" s="97"/>
      <c r="E214" s="144"/>
      <c r="F214" s="144"/>
      <c r="G214" s="97"/>
      <c r="H214" s="143"/>
      <c r="I214" s="97"/>
      <c r="J214" s="97"/>
      <c r="K214" s="113"/>
      <c r="L214" s="114"/>
      <c r="M214" s="102"/>
      <c r="N214" s="124"/>
      <c r="O214" s="125"/>
      <c r="P214" s="97"/>
      <c r="Q214" s="131"/>
      <c r="R214" s="126"/>
      <c r="S214" s="97"/>
      <c r="T214" s="97"/>
      <c r="V214" s="108"/>
    </row>
    <row r="215" ht="15.75" customHeight="1">
      <c r="A215" s="91"/>
      <c r="B215" s="142"/>
      <c r="C215" s="143"/>
      <c r="D215" s="97"/>
      <c r="E215" s="144"/>
      <c r="F215" s="144"/>
      <c r="G215" s="97"/>
      <c r="H215" s="143"/>
      <c r="I215" s="97"/>
      <c r="J215" s="97"/>
      <c r="K215" s="100"/>
      <c r="L215" s="101"/>
      <c r="M215" s="102"/>
      <c r="N215" s="124"/>
      <c r="O215" s="125"/>
      <c r="P215" s="97"/>
      <c r="Q215" s="131"/>
      <c r="R215" s="126"/>
      <c r="S215" s="97"/>
      <c r="T215" s="97"/>
      <c r="V215" s="108"/>
    </row>
    <row r="216" ht="15.75" customHeight="1">
      <c r="A216" s="91"/>
      <c r="B216" s="142"/>
      <c r="C216" s="143"/>
      <c r="D216" s="97"/>
      <c r="E216" s="144"/>
      <c r="F216" s="144"/>
      <c r="G216" s="97"/>
      <c r="H216" s="143"/>
      <c r="I216" s="97"/>
      <c r="J216" s="97"/>
      <c r="K216" s="113"/>
      <c r="L216" s="114"/>
      <c r="M216" s="102"/>
      <c r="N216" s="124"/>
      <c r="O216" s="125"/>
      <c r="P216" s="97"/>
      <c r="Q216" s="131"/>
      <c r="R216" s="126"/>
      <c r="S216" s="97"/>
      <c r="T216" s="97"/>
      <c r="V216" s="108"/>
    </row>
    <row r="217" ht="15.75" customHeight="1">
      <c r="A217" s="91"/>
      <c r="B217" s="142"/>
      <c r="C217" s="108"/>
      <c r="D217" s="97"/>
      <c r="E217" s="144"/>
      <c r="F217" s="144"/>
      <c r="G217" s="97"/>
      <c r="H217" s="143"/>
      <c r="I217" s="97"/>
      <c r="J217" s="97"/>
      <c r="K217" s="100"/>
      <c r="L217" s="101"/>
      <c r="M217" s="102"/>
      <c r="N217" s="124"/>
      <c r="O217" s="125"/>
      <c r="P217" s="97"/>
      <c r="Q217" s="131"/>
      <c r="R217" s="126"/>
      <c r="S217" s="97"/>
      <c r="T217" s="97"/>
      <c r="V217" s="108"/>
    </row>
    <row r="218" ht="15.75" customHeight="1">
      <c r="A218" s="91"/>
      <c r="B218" s="142"/>
      <c r="C218" s="143"/>
      <c r="D218" s="97"/>
      <c r="E218" s="144"/>
      <c r="F218" s="144"/>
      <c r="G218" s="97"/>
      <c r="H218" s="143"/>
      <c r="I218" s="97"/>
      <c r="J218" s="97"/>
      <c r="K218" s="113"/>
      <c r="L218" s="114"/>
      <c r="M218" s="102"/>
      <c r="N218" s="124"/>
      <c r="O218" s="125"/>
      <c r="P218" s="97"/>
      <c r="Q218" s="131"/>
      <c r="R218" s="126"/>
      <c r="S218" s="97"/>
      <c r="T218" s="97"/>
      <c r="V218" s="108"/>
    </row>
    <row r="219" ht="15.75" customHeight="1">
      <c r="A219" s="91"/>
      <c r="B219" s="142"/>
      <c r="C219" s="143"/>
      <c r="D219" s="97"/>
      <c r="E219" s="144"/>
      <c r="F219" s="144"/>
      <c r="G219" s="97"/>
      <c r="H219" s="143"/>
      <c r="I219" s="97"/>
      <c r="J219" s="97"/>
      <c r="K219" s="100"/>
      <c r="L219" s="101"/>
      <c r="M219" s="102"/>
      <c r="N219" s="124"/>
      <c r="O219" s="125"/>
      <c r="P219" s="97"/>
      <c r="Q219" s="131"/>
      <c r="R219" s="126"/>
      <c r="S219" s="97"/>
      <c r="T219" s="97"/>
      <c r="V219" s="108"/>
    </row>
    <row r="220" ht="15.75" customHeight="1">
      <c r="A220" s="91"/>
      <c r="B220" s="142"/>
      <c r="C220" s="143"/>
      <c r="D220" s="97"/>
      <c r="E220" s="144"/>
      <c r="F220" s="144"/>
      <c r="G220" s="97"/>
      <c r="H220" s="143"/>
      <c r="I220" s="97"/>
      <c r="J220" s="97"/>
      <c r="K220" s="113"/>
      <c r="L220" s="114"/>
      <c r="M220" s="102"/>
      <c r="N220" s="124"/>
      <c r="O220" s="125"/>
      <c r="P220" s="97"/>
      <c r="Q220" s="131"/>
      <c r="R220" s="126"/>
      <c r="S220" s="97"/>
      <c r="T220" s="97"/>
      <c r="V220" s="108"/>
    </row>
    <row r="221" ht="15.75" customHeight="1">
      <c r="A221" s="91"/>
      <c r="B221" s="142"/>
      <c r="C221" s="143"/>
      <c r="D221" s="97"/>
      <c r="E221" s="144"/>
      <c r="F221" s="144"/>
      <c r="G221" s="97"/>
      <c r="H221" s="143"/>
      <c r="I221" s="97"/>
      <c r="J221" s="97"/>
      <c r="K221" s="100"/>
      <c r="L221" s="101"/>
      <c r="M221" s="102"/>
      <c r="N221" s="124"/>
      <c r="O221" s="125"/>
      <c r="P221" s="97"/>
      <c r="Q221" s="131"/>
      <c r="R221" s="126"/>
      <c r="S221" s="97"/>
      <c r="T221" s="97"/>
      <c r="V221" s="108"/>
    </row>
    <row r="222" ht="15.75" customHeight="1">
      <c r="A222" s="91"/>
      <c r="B222" s="142"/>
      <c r="C222" s="143"/>
      <c r="D222" s="97"/>
      <c r="E222" s="144"/>
      <c r="F222" s="144"/>
      <c r="G222" s="97"/>
      <c r="H222" s="143"/>
      <c r="I222" s="97"/>
      <c r="J222" s="97"/>
      <c r="K222" s="113"/>
      <c r="L222" s="114"/>
      <c r="M222" s="102"/>
      <c r="N222" s="124"/>
      <c r="O222" s="125"/>
      <c r="P222" s="97"/>
      <c r="Q222" s="131"/>
      <c r="R222" s="126"/>
      <c r="S222" s="97"/>
      <c r="T222" s="97"/>
      <c r="V222" s="108"/>
    </row>
    <row r="223" ht="15.75" customHeight="1">
      <c r="A223" s="91"/>
      <c r="B223" s="142"/>
      <c r="C223" s="108"/>
      <c r="D223" s="97"/>
      <c r="E223" s="144"/>
      <c r="F223" s="144"/>
      <c r="G223" s="97"/>
      <c r="H223" s="143"/>
      <c r="I223" s="97"/>
      <c r="J223" s="97"/>
      <c r="K223" s="100"/>
      <c r="L223" s="101"/>
      <c r="M223" s="102"/>
      <c r="N223" s="124"/>
      <c r="O223" s="125"/>
      <c r="P223" s="97"/>
      <c r="Q223" s="131"/>
      <c r="R223" s="126"/>
      <c r="S223" s="97"/>
      <c r="T223" s="97"/>
      <c r="V223" s="108"/>
    </row>
    <row r="224" ht="15.75" customHeight="1">
      <c r="A224" s="91"/>
      <c r="B224" s="142"/>
      <c r="C224" s="143"/>
      <c r="D224" s="97"/>
      <c r="E224" s="144"/>
      <c r="F224" s="144"/>
      <c r="G224" s="97"/>
      <c r="H224" s="143"/>
      <c r="I224" s="97"/>
      <c r="J224" s="97"/>
      <c r="K224" s="113"/>
      <c r="L224" s="114"/>
      <c r="M224" s="102"/>
      <c r="N224" s="124"/>
      <c r="O224" s="125"/>
      <c r="P224" s="97"/>
      <c r="Q224" s="131"/>
      <c r="R224" s="126"/>
      <c r="S224" s="97"/>
      <c r="T224" s="97"/>
      <c r="V224" s="108"/>
    </row>
    <row r="225" ht="15.75" customHeight="1">
      <c r="A225" s="91"/>
      <c r="B225" s="142"/>
      <c r="C225" s="143"/>
      <c r="D225" s="97"/>
      <c r="E225" s="144"/>
      <c r="F225" s="144"/>
      <c r="G225" s="97"/>
      <c r="H225" s="143"/>
      <c r="I225" s="97"/>
      <c r="J225" s="97"/>
      <c r="K225" s="100"/>
      <c r="L225" s="101"/>
      <c r="M225" s="102"/>
      <c r="N225" s="124"/>
      <c r="O225" s="125"/>
      <c r="P225" s="97"/>
      <c r="Q225" s="131"/>
      <c r="R225" s="126"/>
      <c r="S225" s="97"/>
      <c r="T225" s="97"/>
      <c r="V225" s="108"/>
    </row>
    <row r="226" ht="15.75" customHeight="1">
      <c r="A226" s="91"/>
      <c r="B226" s="142"/>
      <c r="C226" s="143"/>
      <c r="D226" s="97"/>
      <c r="E226" s="144"/>
      <c r="F226" s="144"/>
      <c r="G226" s="97"/>
      <c r="H226" s="143"/>
      <c r="I226" s="97"/>
      <c r="J226" s="97"/>
      <c r="K226" s="113"/>
      <c r="L226" s="114"/>
      <c r="M226" s="102"/>
      <c r="N226" s="124"/>
      <c r="O226" s="125"/>
      <c r="P226" s="97"/>
      <c r="Q226" s="131"/>
      <c r="R226" s="126"/>
      <c r="S226" s="97"/>
      <c r="T226" s="97"/>
      <c r="V226" s="108"/>
    </row>
    <row r="227" ht="15.75" customHeight="1">
      <c r="A227" s="91"/>
      <c r="B227" s="142"/>
      <c r="C227" s="143"/>
      <c r="D227" s="97"/>
      <c r="E227" s="144"/>
      <c r="F227" s="144"/>
      <c r="G227" s="97"/>
      <c r="H227" s="143"/>
      <c r="I227" s="97"/>
      <c r="J227" s="97"/>
      <c r="K227" s="100"/>
      <c r="L227" s="101"/>
      <c r="M227" s="102"/>
      <c r="N227" s="124"/>
      <c r="O227" s="125"/>
      <c r="P227" s="97"/>
      <c r="Q227" s="131"/>
      <c r="R227" s="126"/>
      <c r="S227" s="97"/>
      <c r="T227" s="97"/>
      <c r="V227" s="108"/>
    </row>
    <row r="228" ht="15.75" customHeight="1">
      <c r="A228" s="91"/>
      <c r="B228" s="142"/>
      <c r="C228" s="143"/>
      <c r="D228" s="97"/>
      <c r="E228" s="144"/>
      <c r="F228" s="144"/>
      <c r="G228" s="97"/>
      <c r="H228" s="143"/>
      <c r="I228" s="97"/>
      <c r="J228" s="97"/>
      <c r="K228" s="113"/>
      <c r="L228" s="114"/>
      <c r="M228" s="102"/>
      <c r="N228" s="124"/>
      <c r="O228" s="125"/>
      <c r="P228" s="97"/>
      <c r="Q228" s="131"/>
      <c r="R228" s="126"/>
      <c r="S228" s="97"/>
      <c r="T228" s="97"/>
      <c r="V228" s="108"/>
    </row>
    <row r="229" ht="15.75" customHeight="1">
      <c r="A229" s="91"/>
      <c r="B229" s="142"/>
      <c r="C229" s="108"/>
      <c r="D229" s="97"/>
      <c r="E229" s="144"/>
      <c r="F229" s="144"/>
      <c r="G229" s="97"/>
      <c r="H229" s="143"/>
      <c r="I229" s="97"/>
      <c r="J229" s="97"/>
      <c r="K229" s="100"/>
      <c r="L229" s="101"/>
      <c r="M229" s="102"/>
      <c r="N229" s="124"/>
      <c r="O229" s="125"/>
      <c r="P229" s="97"/>
      <c r="Q229" s="131"/>
      <c r="R229" s="126"/>
      <c r="S229" s="97"/>
      <c r="T229" s="97"/>
      <c r="V229" s="108"/>
    </row>
    <row r="230" ht="15.75" customHeight="1">
      <c r="A230" s="91"/>
      <c r="B230" s="142"/>
      <c r="C230" s="143"/>
      <c r="D230" s="97"/>
      <c r="E230" s="144"/>
      <c r="F230" s="144"/>
      <c r="G230" s="97"/>
      <c r="H230" s="143"/>
      <c r="I230" s="97"/>
      <c r="J230" s="97"/>
      <c r="K230" s="113"/>
      <c r="L230" s="114"/>
      <c r="M230" s="102"/>
      <c r="N230" s="124"/>
      <c r="O230" s="125"/>
      <c r="P230" s="97"/>
      <c r="Q230" s="131"/>
      <c r="R230" s="126"/>
      <c r="S230" s="97"/>
      <c r="T230" s="97"/>
      <c r="V230" s="108"/>
    </row>
    <row r="231" ht="15.75" customHeight="1">
      <c r="A231" s="91"/>
      <c r="B231" s="142"/>
      <c r="C231" s="143"/>
      <c r="D231" s="97"/>
      <c r="E231" s="144"/>
      <c r="F231" s="144"/>
      <c r="G231" s="97"/>
      <c r="H231" s="143"/>
      <c r="I231" s="97"/>
      <c r="J231" s="97"/>
      <c r="K231" s="100"/>
      <c r="L231" s="101"/>
      <c r="M231" s="102"/>
      <c r="N231" s="124"/>
      <c r="O231" s="125"/>
      <c r="P231" s="97"/>
      <c r="Q231" s="131"/>
      <c r="R231" s="126"/>
      <c r="S231" s="97"/>
      <c r="T231" s="97"/>
      <c r="V231" s="108"/>
    </row>
    <row r="232" ht="15.75" customHeight="1">
      <c r="A232" s="91"/>
      <c r="B232" s="142"/>
      <c r="C232" s="143"/>
      <c r="D232" s="97"/>
      <c r="E232" s="144"/>
      <c r="F232" s="144"/>
      <c r="G232" s="97"/>
      <c r="H232" s="143"/>
      <c r="I232" s="97"/>
      <c r="J232" s="97"/>
      <c r="K232" s="113"/>
      <c r="L232" s="114"/>
      <c r="M232" s="102"/>
      <c r="N232" s="124"/>
      <c r="O232" s="125"/>
      <c r="P232" s="97"/>
      <c r="Q232" s="131"/>
      <c r="R232" s="126"/>
      <c r="S232" s="97"/>
      <c r="T232" s="97"/>
      <c r="V232" s="108"/>
    </row>
    <row r="233" ht="15.75" customHeight="1">
      <c r="A233" s="91"/>
      <c r="B233" s="142"/>
      <c r="C233" s="143"/>
      <c r="D233" s="97"/>
      <c r="E233" s="144"/>
      <c r="F233" s="144"/>
      <c r="G233" s="97"/>
      <c r="H233" s="143"/>
      <c r="I233" s="97"/>
      <c r="J233" s="97"/>
      <c r="K233" s="100"/>
      <c r="L233" s="101"/>
      <c r="M233" s="102"/>
      <c r="N233" s="124"/>
      <c r="O233" s="125"/>
      <c r="P233" s="97"/>
      <c r="Q233" s="131"/>
      <c r="R233" s="126"/>
      <c r="S233" s="97"/>
      <c r="T233" s="97"/>
      <c r="V233" s="108"/>
    </row>
    <row r="234" ht="15.75" customHeight="1">
      <c r="A234" s="91"/>
      <c r="B234" s="142"/>
      <c r="C234" s="143"/>
      <c r="D234" s="97"/>
      <c r="E234" s="144"/>
      <c r="F234" s="144"/>
      <c r="G234" s="97"/>
      <c r="H234" s="143"/>
      <c r="I234" s="97"/>
      <c r="J234" s="97"/>
      <c r="K234" s="113"/>
      <c r="L234" s="114"/>
      <c r="M234" s="102"/>
      <c r="N234" s="124"/>
      <c r="O234" s="125"/>
      <c r="P234" s="97"/>
      <c r="Q234" s="131"/>
      <c r="R234" s="126"/>
      <c r="S234" s="97"/>
      <c r="T234" s="97"/>
      <c r="V234" s="108"/>
    </row>
    <row r="235" ht="15.75" customHeight="1">
      <c r="A235" s="91"/>
      <c r="B235" s="142"/>
      <c r="C235" s="108"/>
      <c r="D235" s="97"/>
      <c r="E235" s="144"/>
      <c r="F235" s="144"/>
      <c r="G235" s="97"/>
      <c r="H235" s="143"/>
      <c r="I235" s="97"/>
      <c r="J235" s="97"/>
      <c r="K235" s="100"/>
      <c r="L235" s="101"/>
      <c r="M235" s="102"/>
      <c r="N235" s="124"/>
      <c r="O235" s="125"/>
      <c r="P235" s="97"/>
      <c r="Q235" s="131"/>
      <c r="R235" s="126"/>
      <c r="S235" s="97"/>
      <c r="T235" s="97"/>
      <c r="V235" s="108"/>
    </row>
    <row r="236" ht="15.75" customHeight="1">
      <c r="A236" s="91"/>
      <c r="B236" s="142"/>
      <c r="C236" s="143"/>
      <c r="D236" s="97"/>
      <c r="E236" s="144"/>
      <c r="F236" s="144"/>
      <c r="G236" s="97"/>
      <c r="H236" s="143"/>
      <c r="I236" s="97"/>
      <c r="J236" s="97"/>
      <c r="K236" s="113"/>
      <c r="L236" s="114"/>
      <c r="M236" s="102"/>
      <c r="N236" s="124"/>
      <c r="O236" s="125"/>
      <c r="P236" s="97"/>
      <c r="Q236" s="131"/>
      <c r="R236" s="126"/>
      <c r="S236" s="97"/>
      <c r="T236" s="97"/>
      <c r="V236" s="108"/>
    </row>
    <row r="237" ht="15.75" customHeight="1">
      <c r="A237" s="91"/>
      <c r="B237" s="142"/>
      <c r="C237" s="143"/>
      <c r="D237" s="97"/>
      <c r="E237" s="144"/>
      <c r="F237" s="144"/>
      <c r="G237" s="97"/>
      <c r="H237" s="143"/>
      <c r="I237" s="97"/>
      <c r="J237" s="97"/>
      <c r="K237" s="100"/>
      <c r="L237" s="101"/>
      <c r="M237" s="102"/>
      <c r="N237" s="124"/>
      <c r="O237" s="125"/>
      <c r="P237" s="97"/>
      <c r="Q237" s="131"/>
      <c r="R237" s="126"/>
      <c r="S237" s="97"/>
      <c r="T237" s="97"/>
      <c r="V237" s="108"/>
    </row>
    <row r="238" ht="15.75" customHeight="1">
      <c r="A238" s="91"/>
      <c r="B238" s="142"/>
      <c r="C238" s="143"/>
      <c r="D238" s="97"/>
      <c r="E238" s="144"/>
      <c r="F238" s="144"/>
      <c r="G238" s="97"/>
      <c r="H238" s="143"/>
      <c r="I238" s="97"/>
      <c r="J238" s="97"/>
      <c r="K238" s="113"/>
      <c r="L238" s="114"/>
      <c r="M238" s="102"/>
      <c r="N238" s="124"/>
      <c r="O238" s="125"/>
      <c r="P238" s="97"/>
      <c r="Q238" s="131"/>
      <c r="R238" s="126"/>
      <c r="S238" s="97"/>
      <c r="T238" s="97"/>
      <c r="V238" s="108"/>
    </row>
    <row r="239" ht="15.75" customHeight="1">
      <c r="A239" s="91"/>
      <c r="B239" s="142"/>
      <c r="C239" s="143"/>
      <c r="D239" s="97"/>
      <c r="E239" s="144"/>
      <c r="F239" s="144"/>
      <c r="G239" s="97"/>
      <c r="H239" s="143"/>
      <c r="I239" s="97"/>
      <c r="J239" s="97"/>
      <c r="K239" s="100"/>
      <c r="L239" s="101"/>
      <c r="M239" s="102"/>
      <c r="N239" s="124"/>
      <c r="O239" s="125"/>
      <c r="P239" s="97"/>
      <c r="Q239" s="131"/>
      <c r="R239" s="126"/>
      <c r="S239" s="97"/>
      <c r="T239" s="97"/>
      <c r="V239" s="108"/>
    </row>
    <row r="240" ht="15.75" customHeight="1">
      <c r="A240" s="91"/>
      <c r="B240" s="142"/>
      <c r="C240" s="143"/>
      <c r="D240" s="97"/>
      <c r="E240" s="144"/>
      <c r="F240" s="144"/>
      <c r="G240" s="97"/>
      <c r="H240" s="143"/>
      <c r="I240" s="97"/>
      <c r="J240" s="97"/>
      <c r="K240" s="113"/>
      <c r="L240" s="114"/>
      <c r="M240" s="102"/>
      <c r="N240" s="124"/>
      <c r="O240" s="125"/>
      <c r="P240" s="97"/>
      <c r="Q240" s="131"/>
      <c r="R240" s="126"/>
      <c r="S240" s="97"/>
      <c r="T240" s="97"/>
      <c r="V240" s="108"/>
    </row>
    <row r="241" ht="15.75" customHeight="1">
      <c r="A241" s="91"/>
      <c r="B241" s="142"/>
      <c r="C241" s="108"/>
      <c r="D241" s="97"/>
      <c r="E241" s="144"/>
      <c r="F241" s="144"/>
      <c r="G241" s="97"/>
      <c r="H241" s="143"/>
      <c r="I241" s="97"/>
      <c r="J241" s="97"/>
      <c r="K241" s="100"/>
      <c r="L241" s="101"/>
      <c r="M241" s="102"/>
      <c r="N241" s="124"/>
      <c r="O241" s="125"/>
      <c r="P241" s="97"/>
      <c r="Q241" s="131"/>
      <c r="R241" s="126"/>
      <c r="S241" s="97"/>
      <c r="T241" s="97"/>
      <c r="V241" s="108"/>
    </row>
    <row r="242" ht="15.75" customHeight="1">
      <c r="A242" s="91"/>
      <c r="B242" s="142"/>
      <c r="C242" s="143"/>
      <c r="D242" s="97"/>
      <c r="E242" s="144"/>
      <c r="F242" s="144"/>
      <c r="G242" s="97"/>
      <c r="H242" s="143"/>
      <c r="I242" s="97"/>
      <c r="J242" s="97"/>
      <c r="K242" s="113"/>
      <c r="L242" s="114"/>
      <c r="M242" s="102"/>
      <c r="N242" s="124"/>
      <c r="O242" s="125"/>
      <c r="P242" s="97"/>
      <c r="Q242" s="131"/>
      <c r="R242" s="126"/>
      <c r="S242" s="97"/>
      <c r="T242" s="97"/>
      <c r="V242" s="108"/>
    </row>
    <row r="243" ht="15.75" customHeight="1">
      <c r="A243" s="91"/>
      <c r="B243" s="142"/>
      <c r="C243" s="143"/>
      <c r="D243" s="97"/>
      <c r="E243" s="144"/>
      <c r="F243" s="144"/>
      <c r="G243" s="97"/>
      <c r="H243" s="143"/>
      <c r="I243" s="97"/>
      <c r="J243" s="97"/>
      <c r="K243" s="100"/>
      <c r="L243" s="101"/>
      <c r="M243" s="102"/>
      <c r="N243" s="124"/>
      <c r="O243" s="125"/>
      <c r="P243" s="97"/>
      <c r="Q243" s="131"/>
      <c r="R243" s="126"/>
      <c r="S243" s="97"/>
      <c r="T243" s="97"/>
      <c r="V243" s="108"/>
    </row>
    <row r="244" ht="15.75" customHeight="1">
      <c r="A244" s="91"/>
      <c r="B244" s="142"/>
      <c r="C244" s="143"/>
      <c r="D244" s="97"/>
      <c r="E244" s="144"/>
      <c r="F244" s="144"/>
      <c r="G244" s="97"/>
      <c r="H244" s="143"/>
      <c r="I244" s="97"/>
      <c r="J244" s="97"/>
      <c r="K244" s="147"/>
      <c r="L244" s="148"/>
      <c r="M244" s="102"/>
      <c r="N244" s="124"/>
      <c r="O244" s="125"/>
      <c r="P244" s="97"/>
      <c r="Q244" s="131"/>
      <c r="R244" s="126"/>
      <c r="S244" s="97"/>
      <c r="T244" s="97"/>
      <c r="V244" s="108"/>
    </row>
    <row r="245" ht="15.75" customHeight="1">
      <c r="A245" s="91"/>
      <c r="B245" s="142"/>
      <c r="C245" s="143"/>
      <c r="D245" s="97"/>
      <c r="E245" s="144"/>
      <c r="F245" s="144"/>
      <c r="G245" s="97"/>
      <c r="H245" s="143"/>
      <c r="I245" s="97"/>
      <c r="J245" s="97"/>
      <c r="K245" s="149"/>
      <c r="L245" s="150"/>
      <c r="M245" s="102"/>
      <c r="N245" s="124"/>
      <c r="O245" s="125"/>
      <c r="P245" s="97"/>
      <c r="Q245" s="131"/>
      <c r="R245" s="126"/>
      <c r="S245" s="97"/>
      <c r="T245" s="97"/>
      <c r="V245" s="108"/>
    </row>
    <row r="246" ht="15.75" customHeight="1">
      <c r="A246" s="91"/>
      <c r="B246" s="142"/>
      <c r="C246" s="143"/>
      <c r="D246" s="97"/>
      <c r="E246" s="144"/>
      <c r="F246" s="144"/>
      <c r="G246" s="97"/>
      <c r="H246" s="143"/>
      <c r="I246" s="97"/>
      <c r="J246" s="97"/>
      <c r="K246" s="147"/>
      <c r="L246" s="148"/>
      <c r="M246" s="102"/>
      <c r="N246" s="124"/>
      <c r="O246" s="125"/>
      <c r="P246" s="97"/>
      <c r="Q246" s="131"/>
      <c r="R246" s="126"/>
      <c r="S246" s="97"/>
      <c r="T246" s="97"/>
      <c r="V246" s="108"/>
    </row>
    <row r="247" ht="15.75" customHeight="1">
      <c r="A247" s="91"/>
      <c r="B247" s="142"/>
      <c r="C247" s="108"/>
      <c r="D247" s="97"/>
      <c r="E247" s="144"/>
      <c r="F247" s="144"/>
      <c r="G247" s="97"/>
      <c r="H247" s="143"/>
      <c r="I247" s="97"/>
      <c r="J247" s="97"/>
      <c r="K247" s="149"/>
      <c r="L247" s="150"/>
      <c r="M247" s="102"/>
      <c r="N247" s="124"/>
      <c r="O247" s="125"/>
      <c r="P247" s="97"/>
      <c r="Q247" s="131"/>
      <c r="R247" s="126"/>
      <c r="S247" s="97"/>
      <c r="T247" s="97"/>
      <c r="V247" s="108"/>
    </row>
    <row r="248" ht="15.75" customHeight="1">
      <c r="A248" s="91"/>
      <c r="B248" s="142"/>
      <c r="C248" s="143"/>
      <c r="D248" s="97"/>
      <c r="E248" s="144"/>
      <c r="F248" s="144"/>
      <c r="G248" s="97"/>
      <c r="H248" s="143"/>
      <c r="I248" s="97"/>
      <c r="J248" s="97"/>
      <c r="K248" s="147"/>
      <c r="L248" s="148"/>
      <c r="M248" s="102"/>
      <c r="N248" s="124"/>
      <c r="O248" s="125"/>
      <c r="P248" s="97"/>
      <c r="Q248" s="131"/>
      <c r="R248" s="126"/>
      <c r="S248" s="97"/>
      <c r="T248" s="97"/>
      <c r="V248" s="108"/>
    </row>
    <row r="249" ht="15.75" customHeight="1">
      <c r="A249" s="91"/>
      <c r="B249" s="142"/>
      <c r="C249" s="143"/>
      <c r="D249" s="97"/>
      <c r="E249" s="144"/>
      <c r="F249" s="144"/>
      <c r="G249" s="97"/>
      <c r="H249" s="143"/>
      <c r="I249" s="97"/>
      <c r="J249" s="97"/>
      <c r="K249" s="149"/>
      <c r="L249" s="150"/>
      <c r="M249" s="102"/>
      <c r="N249" s="124"/>
      <c r="O249" s="125"/>
      <c r="P249" s="97"/>
      <c r="Q249" s="131"/>
      <c r="R249" s="126"/>
      <c r="S249" s="97"/>
      <c r="T249" s="97"/>
      <c r="V249" s="108"/>
    </row>
    <row r="250" ht="15.75" customHeight="1">
      <c r="A250" s="91"/>
      <c r="B250" s="142"/>
      <c r="C250" s="143"/>
      <c r="D250" s="97"/>
      <c r="E250" s="144"/>
      <c r="F250" s="144"/>
      <c r="G250" s="97"/>
      <c r="H250" s="143"/>
      <c r="I250" s="97"/>
      <c r="J250" s="97"/>
      <c r="K250" s="147"/>
      <c r="L250" s="148"/>
      <c r="M250" s="102"/>
      <c r="N250" s="124"/>
      <c r="O250" s="125"/>
      <c r="P250" s="97"/>
      <c r="Q250" s="131"/>
      <c r="R250" s="126"/>
      <c r="S250" s="97"/>
      <c r="T250" s="97"/>
      <c r="V250" s="108"/>
    </row>
    <row r="251" ht="15.75" customHeight="1">
      <c r="A251" s="91"/>
      <c r="B251" s="142"/>
      <c r="C251" s="143"/>
      <c r="D251" s="97"/>
      <c r="E251" s="144"/>
      <c r="F251" s="144"/>
      <c r="G251" s="97"/>
      <c r="H251" s="143"/>
      <c r="I251" s="97"/>
      <c r="J251" s="97"/>
      <c r="K251" s="149"/>
      <c r="L251" s="150"/>
      <c r="M251" s="102"/>
      <c r="N251" s="124"/>
      <c r="O251" s="125"/>
      <c r="P251" s="97"/>
      <c r="Q251" s="131"/>
      <c r="R251" s="126"/>
      <c r="S251" s="97"/>
      <c r="T251" s="97"/>
      <c r="V251" s="108"/>
    </row>
    <row r="252" ht="15.75" customHeight="1">
      <c r="A252" s="91"/>
      <c r="B252" s="142"/>
      <c r="C252" s="143"/>
      <c r="D252" s="97"/>
      <c r="E252" s="144"/>
      <c r="F252" s="144"/>
      <c r="G252" s="97"/>
      <c r="H252" s="143"/>
      <c r="I252" s="97"/>
      <c r="J252" s="97"/>
      <c r="K252" s="147"/>
      <c r="L252" s="148"/>
      <c r="M252" s="102"/>
      <c r="N252" s="124"/>
      <c r="O252" s="125"/>
      <c r="P252" s="97"/>
      <c r="Q252" s="131"/>
      <c r="R252" s="126"/>
      <c r="S252" s="97"/>
      <c r="T252" s="97"/>
      <c r="V252" s="108"/>
    </row>
    <row r="253" ht="15.75" customHeight="1">
      <c r="A253" s="91"/>
      <c r="B253" s="142"/>
      <c r="C253" s="108"/>
      <c r="D253" s="97"/>
      <c r="E253" s="144"/>
      <c r="F253" s="144"/>
      <c r="G253" s="97"/>
      <c r="H253" s="143"/>
      <c r="I253" s="97"/>
      <c r="J253" s="97"/>
      <c r="K253" s="149"/>
      <c r="L253" s="150"/>
      <c r="M253" s="102"/>
      <c r="N253" s="124"/>
      <c r="O253" s="125"/>
      <c r="P253" s="97"/>
      <c r="Q253" s="131"/>
      <c r="R253" s="126"/>
      <c r="S253" s="97"/>
      <c r="T253" s="97"/>
      <c r="V253" s="108"/>
    </row>
    <row r="254" ht="15.75" customHeight="1">
      <c r="A254" s="91"/>
      <c r="B254" s="142"/>
      <c r="C254" s="143"/>
      <c r="D254" s="97"/>
      <c r="E254" s="144"/>
      <c r="F254" s="144"/>
      <c r="G254" s="97"/>
      <c r="H254" s="143"/>
      <c r="I254" s="97"/>
      <c r="J254" s="97"/>
      <c r="K254" s="147"/>
      <c r="L254" s="148"/>
      <c r="M254" s="102"/>
      <c r="N254" s="124"/>
      <c r="O254" s="125"/>
      <c r="P254" s="97"/>
      <c r="Q254" s="131"/>
      <c r="R254" s="126"/>
      <c r="S254" s="97"/>
      <c r="T254" s="97"/>
      <c r="V254" s="108"/>
    </row>
    <row r="255" ht="15.75" customHeight="1">
      <c r="A255" s="91"/>
      <c r="B255" s="142"/>
      <c r="C255" s="143"/>
      <c r="D255" s="97"/>
      <c r="E255" s="144"/>
      <c r="F255" s="144"/>
      <c r="G255" s="97"/>
      <c r="H255" s="143"/>
      <c r="I255" s="97"/>
      <c r="J255" s="97"/>
      <c r="K255" s="149"/>
      <c r="L255" s="150"/>
      <c r="M255" s="102"/>
      <c r="N255" s="124"/>
      <c r="O255" s="125"/>
      <c r="P255" s="97"/>
      <c r="Q255" s="131"/>
      <c r="R255" s="126"/>
      <c r="S255" s="97"/>
      <c r="T255" s="97"/>
      <c r="V255" s="108"/>
    </row>
    <row r="256" ht="15.75" customHeight="1">
      <c r="A256" s="91"/>
      <c r="B256" s="142"/>
      <c r="C256" s="143"/>
      <c r="D256" s="97"/>
      <c r="E256" s="144"/>
      <c r="F256" s="144"/>
      <c r="G256" s="97"/>
      <c r="H256" s="143"/>
      <c r="I256" s="97"/>
      <c r="J256" s="97"/>
      <c r="K256" s="147"/>
      <c r="L256" s="148"/>
      <c r="M256" s="102"/>
      <c r="N256" s="124"/>
      <c r="O256" s="125"/>
      <c r="P256" s="97"/>
      <c r="Q256" s="131"/>
      <c r="R256" s="126"/>
      <c r="S256" s="97"/>
      <c r="T256" s="97"/>
      <c r="V256" s="108"/>
    </row>
    <row r="257" ht="15.75" customHeight="1">
      <c r="A257" s="91"/>
      <c r="B257" s="142"/>
      <c r="C257" s="143"/>
      <c r="D257" s="97"/>
      <c r="E257" s="144"/>
      <c r="F257" s="144"/>
      <c r="G257" s="97"/>
      <c r="H257" s="143"/>
      <c r="I257" s="97"/>
      <c r="J257" s="97"/>
      <c r="K257" s="149"/>
      <c r="L257" s="150"/>
      <c r="M257" s="102"/>
      <c r="N257" s="124"/>
      <c r="O257" s="125"/>
      <c r="P257" s="97"/>
      <c r="Q257" s="131"/>
      <c r="R257" s="126"/>
      <c r="S257" s="97"/>
      <c r="T257" s="97"/>
      <c r="V257" s="108"/>
    </row>
    <row r="258" ht="15.75" customHeight="1">
      <c r="A258" s="91"/>
      <c r="B258" s="142"/>
      <c r="C258" s="143"/>
      <c r="D258" s="97"/>
      <c r="E258" s="144"/>
      <c r="F258" s="144"/>
      <c r="G258" s="97"/>
      <c r="H258" s="143"/>
      <c r="I258" s="97"/>
      <c r="J258" s="97"/>
      <c r="K258" s="147"/>
      <c r="L258" s="148"/>
      <c r="M258" s="102"/>
      <c r="N258" s="124"/>
      <c r="O258" s="125"/>
      <c r="P258" s="97"/>
      <c r="Q258" s="131"/>
      <c r="R258" s="126"/>
      <c r="S258" s="97"/>
      <c r="T258" s="97"/>
      <c r="V258" s="108"/>
    </row>
    <row r="259" ht="15.75" customHeight="1">
      <c r="A259" s="91"/>
      <c r="B259" s="142"/>
      <c r="C259" s="108"/>
      <c r="D259" s="97"/>
      <c r="E259" s="144"/>
      <c r="F259" s="144"/>
      <c r="G259" s="97"/>
      <c r="H259" s="143"/>
      <c r="I259" s="97"/>
      <c r="J259" s="97"/>
      <c r="K259" s="149"/>
      <c r="L259" s="150"/>
      <c r="M259" s="102"/>
      <c r="N259" s="124"/>
      <c r="O259" s="125"/>
      <c r="P259" s="97"/>
      <c r="Q259" s="131"/>
      <c r="R259" s="126"/>
      <c r="S259" s="97"/>
      <c r="T259" s="97"/>
      <c r="V259" s="108"/>
    </row>
    <row r="260" ht="15.75" customHeight="1">
      <c r="A260" s="91"/>
      <c r="B260" s="142"/>
      <c r="C260" s="143"/>
      <c r="D260" s="97"/>
      <c r="E260" s="144"/>
      <c r="F260" s="144"/>
      <c r="G260" s="97"/>
      <c r="H260" s="143"/>
      <c r="I260" s="97"/>
      <c r="J260" s="97"/>
      <c r="K260" s="147"/>
      <c r="L260" s="148"/>
      <c r="M260" s="102"/>
      <c r="N260" s="124"/>
      <c r="O260" s="125"/>
      <c r="P260" s="97"/>
      <c r="Q260" s="131"/>
      <c r="R260" s="126"/>
      <c r="S260" s="97"/>
      <c r="T260" s="97"/>
      <c r="V260" s="108"/>
    </row>
    <row r="261" ht="15.75" customHeight="1">
      <c r="A261" s="91"/>
      <c r="B261" s="142"/>
      <c r="C261" s="143"/>
      <c r="D261" s="97"/>
      <c r="E261" s="144"/>
      <c r="F261" s="144"/>
      <c r="G261" s="97"/>
      <c r="H261" s="143"/>
      <c r="I261" s="97"/>
      <c r="J261" s="97"/>
      <c r="K261" s="149"/>
      <c r="L261" s="150"/>
      <c r="M261" s="102"/>
      <c r="N261" s="124"/>
      <c r="O261" s="125"/>
      <c r="P261" s="97"/>
      <c r="Q261" s="131"/>
      <c r="R261" s="126"/>
      <c r="S261" s="97"/>
      <c r="T261" s="97"/>
      <c r="V261" s="108"/>
    </row>
    <row r="262" ht="15.75" customHeight="1">
      <c r="A262" s="91"/>
      <c r="B262" s="142"/>
      <c r="C262" s="143"/>
      <c r="D262" s="97"/>
      <c r="E262" s="144"/>
      <c r="F262" s="144"/>
      <c r="G262" s="97"/>
      <c r="H262" s="143"/>
      <c r="I262" s="97"/>
      <c r="J262" s="97"/>
      <c r="K262" s="147"/>
      <c r="L262" s="148"/>
      <c r="M262" s="102"/>
      <c r="N262" s="124"/>
      <c r="O262" s="125"/>
      <c r="P262" s="97"/>
      <c r="Q262" s="131"/>
      <c r="R262" s="126"/>
      <c r="S262" s="97"/>
      <c r="T262" s="97"/>
      <c r="V262" s="108"/>
    </row>
    <row r="263" ht="15.75" customHeight="1">
      <c r="A263" s="91"/>
      <c r="B263" s="142"/>
      <c r="C263" s="143"/>
      <c r="D263" s="97"/>
      <c r="E263" s="144"/>
      <c r="F263" s="144"/>
      <c r="G263" s="97"/>
      <c r="H263" s="143"/>
      <c r="I263" s="97"/>
      <c r="J263" s="97"/>
      <c r="K263" s="149"/>
      <c r="L263" s="150"/>
      <c r="M263" s="102"/>
      <c r="N263" s="124"/>
      <c r="O263" s="125"/>
      <c r="P263" s="97"/>
      <c r="Q263" s="131"/>
      <c r="R263" s="126"/>
      <c r="S263" s="97"/>
      <c r="T263" s="97"/>
      <c r="V263" s="108"/>
    </row>
    <row r="264" ht="15.75" customHeight="1">
      <c r="A264" s="91"/>
      <c r="B264" s="142"/>
      <c r="C264" s="143"/>
      <c r="D264" s="97"/>
      <c r="E264" s="144"/>
      <c r="F264" s="144"/>
      <c r="G264" s="97"/>
      <c r="H264" s="143"/>
      <c r="I264" s="97"/>
      <c r="J264" s="97"/>
      <c r="K264" s="147"/>
      <c r="L264" s="148"/>
      <c r="M264" s="102"/>
      <c r="N264" s="124"/>
      <c r="O264" s="125"/>
      <c r="P264" s="97"/>
      <c r="Q264" s="131"/>
      <c r="R264" s="126"/>
      <c r="S264" s="97"/>
      <c r="T264" s="97"/>
      <c r="V264" s="108"/>
    </row>
    <row r="265" ht="15.75" customHeight="1">
      <c r="A265" s="91"/>
      <c r="B265" s="142"/>
      <c r="C265" s="108"/>
      <c r="D265" s="97"/>
      <c r="E265" s="144"/>
      <c r="F265" s="144"/>
      <c r="G265" s="97"/>
      <c r="H265" s="143"/>
      <c r="I265" s="97"/>
      <c r="J265" s="97"/>
      <c r="K265" s="149"/>
      <c r="L265" s="150"/>
      <c r="M265" s="102"/>
      <c r="N265" s="124"/>
      <c r="O265" s="125"/>
      <c r="P265" s="97"/>
      <c r="Q265" s="131"/>
      <c r="R265" s="126"/>
      <c r="S265" s="97"/>
      <c r="T265" s="97"/>
      <c r="V265" s="108"/>
    </row>
    <row r="266" ht="15.75" customHeight="1">
      <c r="A266" s="91"/>
      <c r="B266" s="142"/>
      <c r="C266" s="143"/>
      <c r="D266" s="97"/>
      <c r="E266" s="144"/>
      <c r="F266" s="144"/>
      <c r="G266" s="97"/>
      <c r="H266" s="143"/>
      <c r="I266" s="97"/>
      <c r="J266" s="97"/>
      <c r="K266" s="147"/>
      <c r="L266" s="148"/>
      <c r="M266" s="102"/>
      <c r="N266" s="124"/>
      <c r="O266" s="125"/>
      <c r="P266" s="97"/>
      <c r="Q266" s="131"/>
      <c r="R266" s="126"/>
      <c r="S266" s="97"/>
      <c r="T266" s="97"/>
      <c r="V266" s="108"/>
    </row>
    <row r="267" ht="15.75" customHeight="1">
      <c r="A267" s="91"/>
      <c r="B267" s="142"/>
      <c r="C267" s="143"/>
      <c r="D267" s="97"/>
      <c r="E267" s="144"/>
      <c r="F267" s="144"/>
      <c r="G267" s="97"/>
      <c r="H267" s="143"/>
      <c r="I267" s="97"/>
      <c r="J267" s="97"/>
      <c r="K267" s="149"/>
      <c r="L267" s="150"/>
      <c r="M267" s="102"/>
      <c r="N267" s="124"/>
      <c r="O267" s="125"/>
      <c r="P267" s="97"/>
      <c r="Q267" s="131"/>
      <c r="R267" s="126"/>
      <c r="S267" s="97"/>
      <c r="T267" s="97"/>
      <c r="V267" s="108"/>
    </row>
    <row r="268" ht="15.75" customHeight="1">
      <c r="A268" s="91"/>
      <c r="B268" s="142"/>
      <c r="C268" s="143"/>
      <c r="D268" s="97"/>
      <c r="E268" s="144"/>
      <c r="F268" s="144"/>
      <c r="G268" s="97"/>
      <c r="H268" s="143"/>
      <c r="I268" s="97"/>
      <c r="J268" s="97"/>
      <c r="K268" s="147"/>
      <c r="L268" s="148"/>
      <c r="M268" s="102"/>
      <c r="N268" s="124"/>
      <c r="O268" s="125"/>
      <c r="P268" s="97"/>
      <c r="Q268" s="131"/>
      <c r="R268" s="126"/>
      <c r="S268" s="97"/>
      <c r="T268" s="97"/>
      <c r="V268" s="108"/>
    </row>
    <row r="269" ht="15.75" customHeight="1">
      <c r="A269" s="91"/>
      <c r="B269" s="142"/>
      <c r="C269" s="143"/>
      <c r="D269" s="97"/>
      <c r="E269" s="144"/>
      <c r="F269" s="144"/>
      <c r="G269" s="97"/>
      <c r="H269" s="143"/>
      <c r="I269" s="97"/>
      <c r="J269" s="97"/>
      <c r="K269" s="149"/>
      <c r="L269" s="150"/>
      <c r="M269" s="102"/>
      <c r="N269" s="124"/>
      <c r="O269" s="125"/>
      <c r="P269" s="97"/>
      <c r="Q269" s="131"/>
      <c r="R269" s="126"/>
      <c r="S269" s="97"/>
      <c r="T269" s="97"/>
      <c r="V269" s="108"/>
    </row>
    <row r="270" ht="15.75" customHeight="1">
      <c r="A270" s="91"/>
      <c r="B270" s="142"/>
      <c r="C270" s="143"/>
      <c r="D270" s="97"/>
      <c r="E270" s="144"/>
      <c r="F270" s="144"/>
      <c r="G270" s="97"/>
      <c r="H270" s="143"/>
      <c r="I270" s="97"/>
      <c r="J270" s="97"/>
      <c r="K270" s="147"/>
      <c r="L270" s="148"/>
      <c r="M270" s="102"/>
      <c r="N270" s="124"/>
      <c r="O270" s="125"/>
      <c r="P270" s="97"/>
      <c r="Q270" s="131"/>
      <c r="R270" s="126"/>
      <c r="S270" s="97"/>
      <c r="T270" s="97"/>
      <c r="V270" s="108"/>
    </row>
    <row r="271" ht="15.75" customHeight="1">
      <c r="A271" s="91"/>
      <c r="B271" s="142"/>
      <c r="C271" s="108"/>
      <c r="D271" s="97"/>
      <c r="E271" s="144"/>
      <c r="F271" s="144"/>
      <c r="G271" s="97"/>
      <c r="H271" s="143"/>
      <c r="I271" s="97"/>
      <c r="J271" s="97"/>
      <c r="K271" s="149"/>
      <c r="L271" s="150"/>
      <c r="M271" s="102"/>
      <c r="N271" s="124"/>
      <c r="O271" s="125"/>
      <c r="P271" s="97"/>
      <c r="Q271" s="131"/>
      <c r="R271" s="126"/>
      <c r="S271" s="97"/>
      <c r="T271" s="97"/>
      <c r="V271" s="108"/>
    </row>
    <row r="272" ht="15.75" customHeight="1">
      <c r="A272" s="91"/>
      <c r="B272" s="142"/>
      <c r="C272" s="143"/>
      <c r="D272" s="97"/>
      <c r="E272" s="144"/>
      <c r="F272" s="144"/>
      <c r="G272" s="97"/>
      <c r="H272" s="143"/>
      <c r="I272" s="97"/>
      <c r="J272" s="97"/>
      <c r="K272" s="147"/>
      <c r="L272" s="148"/>
      <c r="M272" s="102"/>
      <c r="N272" s="124"/>
      <c r="O272" s="125"/>
      <c r="P272" s="97"/>
      <c r="Q272" s="131"/>
      <c r="R272" s="126"/>
      <c r="S272" s="97"/>
      <c r="T272" s="97"/>
      <c r="V272" s="108"/>
    </row>
    <row r="273" ht="15.75" customHeight="1">
      <c r="A273" s="91"/>
      <c r="B273" s="142"/>
      <c r="C273" s="143"/>
      <c r="D273" s="97"/>
      <c r="E273" s="144"/>
      <c r="F273" s="144"/>
      <c r="G273" s="97"/>
      <c r="H273" s="143"/>
      <c r="I273" s="97"/>
      <c r="J273" s="97"/>
      <c r="K273" s="149"/>
      <c r="L273" s="150"/>
      <c r="M273" s="102"/>
      <c r="N273" s="124"/>
      <c r="O273" s="125"/>
      <c r="P273" s="97"/>
      <c r="Q273" s="131"/>
      <c r="R273" s="126"/>
      <c r="S273" s="97"/>
      <c r="T273" s="97"/>
      <c r="V273" s="108"/>
    </row>
    <row r="274" ht="15.75" customHeight="1">
      <c r="A274" s="91"/>
      <c r="B274" s="142"/>
      <c r="C274" s="143"/>
      <c r="D274" s="97"/>
      <c r="E274" s="144"/>
      <c r="F274" s="144"/>
      <c r="G274" s="97"/>
      <c r="H274" s="143"/>
      <c r="I274" s="97"/>
      <c r="J274" s="97"/>
      <c r="K274" s="147"/>
      <c r="L274" s="148"/>
      <c r="M274" s="102"/>
      <c r="N274" s="124"/>
      <c r="O274" s="125"/>
      <c r="P274" s="97"/>
      <c r="Q274" s="131"/>
      <c r="R274" s="126"/>
      <c r="S274" s="97"/>
      <c r="T274" s="97"/>
      <c r="V274" s="108"/>
    </row>
    <row r="275" ht="15.75" customHeight="1">
      <c r="A275" s="91"/>
      <c r="B275" s="142"/>
      <c r="C275" s="143"/>
      <c r="D275" s="97"/>
      <c r="E275" s="144"/>
      <c r="F275" s="144"/>
      <c r="G275" s="97"/>
      <c r="H275" s="143"/>
      <c r="I275" s="97"/>
      <c r="J275" s="97"/>
      <c r="K275" s="149"/>
      <c r="L275" s="150"/>
      <c r="M275" s="102"/>
      <c r="N275" s="124"/>
      <c r="O275" s="125"/>
      <c r="P275" s="97"/>
      <c r="Q275" s="131"/>
      <c r="R275" s="126"/>
      <c r="S275" s="97"/>
      <c r="T275" s="97"/>
      <c r="V275" s="108"/>
    </row>
    <row r="276" ht="15.75" customHeight="1">
      <c r="A276" s="91"/>
      <c r="B276" s="142"/>
      <c r="C276" s="143"/>
      <c r="D276" s="97"/>
      <c r="E276" s="144"/>
      <c r="F276" s="144"/>
      <c r="G276" s="97"/>
      <c r="H276" s="143"/>
      <c r="I276" s="97"/>
      <c r="J276" s="97"/>
      <c r="K276" s="147"/>
      <c r="L276" s="148"/>
      <c r="M276" s="102"/>
      <c r="N276" s="124"/>
      <c r="O276" s="125"/>
      <c r="P276" s="97"/>
      <c r="Q276" s="131"/>
      <c r="R276" s="126"/>
      <c r="S276" s="97"/>
      <c r="T276" s="97"/>
      <c r="V276" s="108"/>
    </row>
    <row r="277" ht="15.75" customHeight="1">
      <c r="A277" s="91"/>
      <c r="B277" s="142"/>
      <c r="C277" s="108"/>
      <c r="D277" s="97"/>
      <c r="E277" s="144"/>
      <c r="F277" s="144"/>
      <c r="G277" s="97"/>
      <c r="H277" s="143"/>
      <c r="I277" s="97"/>
      <c r="J277" s="97"/>
      <c r="K277" s="149"/>
      <c r="L277" s="150"/>
      <c r="M277" s="102"/>
      <c r="N277" s="124"/>
      <c r="O277" s="125"/>
      <c r="P277" s="97"/>
      <c r="Q277" s="131"/>
      <c r="R277" s="126"/>
      <c r="S277" s="97"/>
      <c r="T277" s="97"/>
      <c r="V277" s="108"/>
    </row>
    <row r="278" ht="15.75" customHeight="1">
      <c r="A278" s="91"/>
      <c r="B278" s="142"/>
      <c r="C278" s="143"/>
      <c r="D278" s="97"/>
      <c r="E278" s="144"/>
      <c r="F278" s="144"/>
      <c r="G278" s="97"/>
      <c r="H278" s="143"/>
      <c r="I278" s="97"/>
      <c r="J278" s="97"/>
      <c r="K278" s="147"/>
      <c r="L278" s="148"/>
      <c r="M278" s="102"/>
      <c r="N278" s="124"/>
      <c r="O278" s="125"/>
      <c r="P278" s="97"/>
      <c r="Q278" s="131"/>
      <c r="R278" s="126"/>
      <c r="S278" s="97"/>
      <c r="T278" s="97"/>
      <c r="V278" s="108"/>
    </row>
    <row r="279" ht="15.75" customHeight="1">
      <c r="A279" s="91"/>
      <c r="B279" s="142"/>
      <c r="C279" s="143"/>
      <c r="D279" s="97"/>
      <c r="E279" s="144"/>
      <c r="F279" s="144"/>
      <c r="G279" s="97"/>
      <c r="H279" s="143"/>
      <c r="I279" s="97"/>
      <c r="J279" s="97"/>
      <c r="K279" s="149"/>
      <c r="L279" s="150"/>
      <c r="M279" s="102"/>
      <c r="N279" s="124"/>
      <c r="O279" s="125"/>
      <c r="P279" s="97"/>
      <c r="Q279" s="131"/>
      <c r="R279" s="126"/>
      <c r="S279" s="97"/>
      <c r="T279" s="97"/>
      <c r="V279" s="108"/>
    </row>
    <row r="280" ht="15.75" customHeight="1">
      <c r="A280" s="91"/>
      <c r="B280" s="142"/>
      <c r="C280" s="143"/>
      <c r="D280" s="97"/>
      <c r="E280" s="144"/>
      <c r="F280" s="144"/>
      <c r="G280" s="97"/>
      <c r="H280" s="143"/>
      <c r="I280" s="97"/>
      <c r="J280" s="97"/>
      <c r="K280" s="147"/>
      <c r="L280" s="148"/>
      <c r="M280" s="102"/>
      <c r="N280" s="124"/>
      <c r="O280" s="125"/>
      <c r="P280" s="97"/>
      <c r="Q280" s="131"/>
      <c r="R280" s="126"/>
      <c r="S280" s="97"/>
      <c r="T280" s="97"/>
      <c r="V280" s="108"/>
    </row>
    <row r="281" ht="15.75" customHeight="1">
      <c r="A281" s="91"/>
      <c r="B281" s="142"/>
      <c r="C281" s="143"/>
      <c r="D281" s="97"/>
      <c r="E281" s="144"/>
      <c r="F281" s="144"/>
      <c r="G281" s="97"/>
      <c r="H281" s="143"/>
      <c r="I281" s="97"/>
      <c r="J281" s="97"/>
      <c r="K281" s="149"/>
      <c r="L281" s="150"/>
      <c r="M281" s="102"/>
      <c r="N281" s="124"/>
      <c r="O281" s="125"/>
      <c r="P281" s="97"/>
      <c r="Q281" s="131"/>
      <c r="R281" s="126"/>
      <c r="S281" s="97"/>
      <c r="T281" s="97"/>
      <c r="V281" s="108"/>
    </row>
    <row r="282" ht="15.75" customHeight="1">
      <c r="A282" s="91"/>
      <c r="B282" s="142"/>
      <c r="C282" s="143"/>
      <c r="D282" s="97"/>
      <c r="E282" s="144"/>
      <c r="F282" s="144"/>
      <c r="G282" s="97"/>
      <c r="H282" s="143"/>
      <c r="I282" s="97"/>
      <c r="J282" s="97"/>
      <c r="K282" s="147"/>
      <c r="L282" s="148"/>
      <c r="M282" s="102"/>
      <c r="N282" s="124"/>
      <c r="O282" s="125"/>
      <c r="P282" s="97"/>
      <c r="Q282" s="131"/>
      <c r="R282" s="126"/>
      <c r="S282" s="97"/>
      <c r="T282" s="97"/>
      <c r="V282" s="108"/>
    </row>
    <row r="283" ht="15.75" customHeight="1">
      <c r="A283" s="91"/>
      <c r="B283" s="142"/>
      <c r="C283" s="108"/>
      <c r="D283" s="97"/>
      <c r="E283" s="144"/>
      <c r="F283" s="144"/>
      <c r="G283" s="97"/>
      <c r="H283" s="143"/>
      <c r="I283" s="97"/>
      <c r="J283" s="97"/>
      <c r="K283" s="149"/>
      <c r="L283" s="150"/>
      <c r="M283" s="102"/>
      <c r="N283" s="124"/>
      <c r="O283" s="125"/>
      <c r="P283" s="97"/>
      <c r="Q283" s="131"/>
      <c r="R283" s="126"/>
      <c r="S283" s="97"/>
      <c r="T283" s="97"/>
      <c r="V283" s="108"/>
    </row>
    <row r="284" ht="15.75" customHeight="1">
      <c r="A284" s="91"/>
      <c r="B284" s="142"/>
      <c r="C284" s="143"/>
      <c r="D284" s="97"/>
      <c r="E284" s="144"/>
      <c r="F284" s="144"/>
      <c r="G284" s="97"/>
      <c r="H284" s="143"/>
      <c r="I284" s="97"/>
      <c r="J284" s="97"/>
      <c r="K284" s="147"/>
      <c r="L284" s="148"/>
      <c r="M284" s="102"/>
      <c r="N284" s="124"/>
      <c r="O284" s="125"/>
      <c r="P284" s="97"/>
      <c r="Q284" s="131"/>
      <c r="R284" s="126"/>
      <c r="S284" s="97"/>
      <c r="T284" s="97"/>
      <c r="V284" s="108"/>
    </row>
    <row r="285" ht="15.75" customHeight="1">
      <c r="A285" s="91"/>
      <c r="B285" s="142"/>
      <c r="C285" s="143"/>
      <c r="D285" s="97"/>
      <c r="E285" s="144"/>
      <c r="F285" s="144"/>
      <c r="G285" s="97"/>
      <c r="H285" s="143"/>
      <c r="I285" s="97"/>
      <c r="J285" s="97"/>
      <c r="K285" s="149"/>
      <c r="L285" s="150"/>
      <c r="M285" s="102"/>
      <c r="N285" s="124"/>
      <c r="O285" s="125"/>
      <c r="P285" s="97"/>
      <c r="Q285" s="131"/>
      <c r="R285" s="126"/>
      <c r="S285" s="97"/>
      <c r="T285" s="97"/>
      <c r="V285" s="108"/>
    </row>
    <row r="286" ht="15.75" customHeight="1">
      <c r="A286" s="91"/>
      <c r="B286" s="142"/>
      <c r="C286" s="143"/>
      <c r="D286" s="97"/>
      <c r="E286" s="144"/>
      <c r="F286" s="144"/>
      <c r="G286" s="97"/>
      <c r="H286" s="143"/>
      <c r="I286" s="97"/>
      <c r="J286" s="97"/>
      <c r="K286" s="147"/>
      <c r="L286" s="148"/>
      <c r="M286" s="102"/>
      <c r="N286" s="124"/>
      <c r="O286" s="125"/>
      <c r="P286" s="97"/>
      <c r="Q286" s="131"/>
      <c r="R286" s="126"/>
      <c r="S286" s="97"/>
      <c r="T286" s="97"/>
      <c r="V286" s="108"/>
    </row>
    <row r="287" ht="15.75" customHeight="1">
      <c r="A287" s="91"/>
      <c r="B287" s="142"/>
      <c r="C287" s="143"/>
      <c r="D287" s="97"/>
      <c r="E287" s="144"/>
      <c r="F287" s="144"/>
      <c r="G287" s="97"/>
      <c r="H287" s="143"/>
      <c r="I287" s="97"/>
      <c r="J287" s="97"/>
      <c r="K287" s="149"/>
      <c r="L287" s="150"/>
      <c r="M287" s="102"/>
      <c r="N287" s="124"/>
      <c r="O287" s="125"/>
      <c r="P287" s="97"/>
      <c r="Q287" s="131"/>
      <c r="R287" s="126"/>
      <c r="S287" s="97"/>
      <c r="T287" s="97"/>
      <c r="V287" s="108"/>
    </row>
    <row r="288" ht="15.75" customHeight="1">
      <c r="A288" s="91"/>
      <c r="B288" s="142"/>
      <c r="C288" s="143"/>
      <c r="D288" s="97"/>
      <c r="E288" s="144"/>
      <c r="F288" s="144"/>
      <c r="G288" s="97"/>
      <c r="H288" s="143"/>
      <c r="I288" s="97"/>
      <c r="J288" s="97"/>
      <c r="K288" s="147"/>
      <c r="L288" s="148"/>
      <c r="M288" s="102"/>
      <c r="N288" s="124"/>
      <c r="O288" s="125"/>
      <c r="P288" s="97"/>
      <c r="Q288" s="131"/>
      <c r="R288" s="126"/>
      <c r="S288" s="97"/>
      <c r="T288" s="97"/>
      <c r="V288" s="108"/>
    </row>
    <row r="289" ht="15.75" customHeight="1">
      <c r="A289" s="91"/>
      <c r="B289" s="142"/>
      <c r="C289" s="108"/>
      <c r="D289" s="97"/>
      <c r="E289" s="144"/>
      <c r="F289" s="144"/>
      <c r="G289" s="97"/>
      <c r="H289" s="143"/>
      <c r="I289" s="97"/>
      <c r="J289" s="97"/>
      <c r="K289" s="149"/>
      <c r="L289" s="150"/>
      <c r="M289" s="102"/>
      <c r="N289" s="124"/>
      <c r="O289" s="125"/>
      <c r="P289" s="97"/>
      <c r="Q289" s="131"/>
      <c r="R289" s="126"/>
      <c r="S289" s="97"/>
      <c r="T289" s="97"/>
      <c r="V289" s="108"/>
    </row>
    <row r="290" ht="15.75" customHeight="1">
      <c r="A290" s="91"/>
      <c r="B290" s="142"/>
      <c r="C290" s="143"/>
      <c r="D290" s="97"/>
      <c r="E290" s="144"/>
      <c r="F290" s="144"/>
      <c r="G290" s="97"/>
      <c r="H290" s="143"/>
      <c r="I290" s="97"/>
      <c r="J290" s="97"/>
      <c r="K290" s="147"/>
      <c r="L290" s="148"/>
      <c r="M290" s="102"/>
      <c r="N290" s="124"/>
      <c r="O290" s="125"/>
      <c r="P290" s="97"/>
      <c r="Q290" s="131"/>
      <c r="R290" s="126"/>
      <c r="S290" s="97"/>
      <c r="T290" s="97"/>
      <c r="V290" s="108"/>
    </row>
    <row r="291" ht="15.75" customHeight="1">
      <c r="A291" s="91"/>
      <c r="B291" s="142"/>
      <c r="C291" s="143"/>
      <c r="D291" s="97"/>
      <c r="E291" s="144"/>
      <c r="F291" s="144"/>
      <c r="G291" s="97"/>
      <c r="H291" s="143"/>
      <c r="I291" s="97"/>
      <c r="J291" s="97"/>
      <c r="K291" s="149"/>
      <c r="L291" s="150"/>
      <c r="M291" s="102"/>
      <c r="N291" s="124"/>
      <c r="O291" s="125"/>
      <c r="P291" s="97"/>
      <c r="Q291" s="131"/>
      <c r="R291" s="126"/>
      <c r="S291" s="97"/>
      <c r="T291" s="97"/>
      <c r="V291" s="108"/>
    </row>
    <row r="292" ht="15.75" customHeight="1">
      <c r="A292" s="91"/>
      <c r="B292" s="142"/>
      <c r="C292" s="143"/>
      <c r="D292" s="97"/>
      <c r="E292" s="144"/>
      <c r="F292" s="144"/>
      <c r="G292" s="97"/>
      <c r="H292" s="143"/>
      <c r="I292" s="97"/>
      <c r="J292" s="97"/>
      <c r="K292" s="147"/>
      <c r="L292" s="148"/>
      <c r="M292" s="102"/>
      <c r="N292" s="124"/>
      <c r="O292" s="125"/>
      <c r="P292" s="97"/>
      <c r="Q292" s="131"/>
      <c r="R292" s="126"/>
      <c r="S292" s="97"/>
      <c r="T292" s="97"/>
      <c r="V292" s="108"/>
    </row>
    <row r="293" ht="15.75" customHeight="1">
      <c r="A293" s="91"/>
      <c r="B293" s="142"/>
      <c r="C293" s="143"/>
      <c r="D293" s="97"/>
      <c r="E293" s="144"/>
      <c r="F293" s="144"/>
      <c r="G293" s="97"/>
      <c r="H293" s="143"/>
      <c r="I293" s="97"/>
      <c r="J293" s="97"/>
      <c r="K293" s="149"/>
      <c r="L293" s="150"/>
      <c r="M293" s="102"/>
      <c r="N293" s="124"/>
      <c r="O293" s="125"/>
      <c r="P293" s="97"/>
      <c r="Q293" s="131"/>
      <c r="R293" s="126"/>
      <c r="S293" s="97"/>
      <c r="T293" s="97"/>
      <c r="V293" s="108"/>
    </row>
    <row r="294" ht="15.75" customHeight="1">
      <c r="A294" s="91"/>
      <c r="B294" s="142"/>
      <c r="C294" s="143"/>
      <c r="D294" s="97"/>
      <c r="E294" s="144"/>
      <c r="F294" s="144"/>
      <c r="G294" s="97"/>
      <c r="H294" s="143"/>
      <c r="I294" s="97"/>
      <c r="J294" s="97"/>
      <c r="K294" s="147"/>
      <c r="L294" s="148"/>
      <c r="M294" s="102"/>
      <c r="N294" s="124"/>
      <c r="O294" s="125"/>
      <c r="P294" s="97"/>
      <c r="Q294" s="131"/>
      <c r="R294" s="126"/>
      <c r="S294" s="97"/>
      <c r="T294" s="97"/>
      <c r="V294" s="108"/>
    </row>
    <row r="295" ht="15.75" customHeight="1">
      <c r="A295" s="91"/>
      <c r="B295" s="142"/>
      <c r="C295" s="108"/>
      <c r="D295" s="97"/>
      <c r="E295" s="144"/>
      <c r="F295" s="144"/>
      <c r="G295" s="97"/>
      <c r="H295" s="143"/>
      <c r="I295" s="97"/>
      <c r="J295" s="97"/>
      <c r="K295" s="149"/>
      <c r="L295" s="150"/>
      <c r="M295" s="102"/>
      <c r="N295" s="124"/>
      <c r="O295" s="125"/>
      <c r="P295" s="97"/>
      <c r="Q295" s="131"/>
      <c r="R295" s="126"/>
      <c r="S295" s="97"/>
      <c r="T295" s="97"/>
      <c r="V295" s="108"/>
    </row>
    <row r="296" ht="15.75" customHeight="1">
      <c r="A296" s="91"/>
      <c r="B296" s="142"/>
      <c r="C296" s="143"/>
      <c r="D296" s="97"/>
      <c r="E296" s="144"/>
      <c r="F296" s="144"/>
      <c r="G296" s="97"/>
      <c r="H296" s="143"/>
      <c r="I296" s="97"/>
      <c r="J296" s="97"/>
      <c r="K296" s="147"/>
      <c r="L296" s="148"/>
      <c r="M296" s="102"/>
      <c r="N296" s="124"/>
      <c r="O296" s="125"/>
      <c r="P296" s="97"/>
      <c r="Q296" s="131"/>
      <c r="R296" s="126"/>
      <c r="S296" s="97"/>
      <c r="T296" s="97"/>
      <c r="V296" s="108"/>
    </row>
    <row r="297" ht="15.75" customHeight="1">
      <c r="A297" s="91"/>
      <c r="B297" s="142"/>
      <c r="C297" s="143"/>
      <c r="D297" s="97"/>
      <c r="E297" s="144"/>
      <c r="F297" s="144"/>
      <c r="G297" s="97"/>
      <c r="H297" s="143"/>
      <c r="I297" s="97"/>
      <c r="J297" s="97"/>
      <c r="K297" s="149"/>
      <c r="L297" s="150"/>
      <c r="M297" s="102"/>
      <c r="N297" s="124"/>
      <c r="O297" s="125"/>
      <c r="P297" s="97"/>
      <c r="Q297" s="131"/>
      <c r="R297" s="126"/>
      <c r="S297" s="97"/>
      <c r="T297" s="97"/>
      <c r="V297" s="108"/>
    </row>
    <row r="298" ht="15.75" customHeight="1">
      <c r="A298" s="91"/>
      <c r="B298" s="142"/>
      <c r="C298" s="143"/>
      <c r="D298" s="97"/>
      <c r="E298" s="144"/>
      <c r="F298" s="144"/>
      <c r="G298" s="97"/>
      <c r="H298" s="143"/>
      <c r="I298" s="97"/>
      <c r="J298" s="97"/>
      <c r="K298" s="147"/>
      <c r="L298" s="148"/>
      <c r="M298" s="102"/>
      <c r="N298" s="124"/>
      <c r="O298" s="125"/>
      <c r="P298" s="97"/>
      <c r="Q298" s="131"/>
      <c r="R298" s="126"/>
      <c r="S298" s="97"/>
      <c r="T298" s="97"/>
      <c r="V298" s="108"/>
    </row>
    <row r="299" ht="15.75" customHeight="1">
      <c r="A299" s="91"/>
      <c r="B299" s="142"/>
      <c r="C299" s="143"/>
      <c r="D299" s="97"/>
      <c r="E299" s="144"/>
      <c r="F299" s="144"/>
      <c r="G299" s="97"/>
      <c r="H299" s="143"/>
      <c r="I299" s="97"/>
      <c r="J299" s="97"/>
      <c r="K299" s="149"/>
      <c r="L299" s="150"/>
      <c r="M299" s="102"/>
      <c r="N299" s="124"/>
      <c r="O299" s="125"/>
      <c r="P299" s="97"/>
      <c r="Q299" s="131"/>
      <c r="R299" s="126"/>
      <c r="S299" s="97"/>
      <c r="T299" s="97"/>
      <c r="V299" s="108"/>
    </row>
    <row r="300" ht="15.75" customHeight="1">
      <c r="A300" s="91"/>
      <c r="B300" s="142"/>
      <c r="C300" s="143"/>
      <c r="D300" s="97"/>
      <c r="E300" s="144"/>
      <c r="F300" s="144"/>
      <c r="G300" s="97"/>
      <c r="H300" s="143"/>
      <c r="I300" s="97"/>
      <c r="J300" s="97"/>
      <c r="K300" s="147"/>
      <c r="L300" s="148"/>
      <c r="M300" s="102"/>
      <c r="N300" s="124"/>
      <c r="O300" s="125"/>
      <c r="P300" s="97"/>
      <c r="Q300" s="131"/>
      <c r="R300" s="126"/>
      <c r="S300" s="97"/>
      <c r="T300" s="97"/>
      <c r="V300" s="108"/>
    </row>
    <row r="301" ht="15.75" customHeight="1">
      <c r="A301" s="91"/>
      <c r="B301" s="142"/>
      <c r="C301" s="108"/>
      <c r="D301" s="97"/>
      <c r="E301" s="144"/>
      <c r="F301" s="144"/>
      <c r="G301" s="97"/>
      <c r="H301" s="143"/>
      <c r="I301" s="97"/>
      <c r="J301" s="97"/>
      <c r="K301" s="149"/>
      <c r="L301" s="150"/>
      <c r="M301" s="102"/>
      <c r="N301" s="124"/>
      <c r="O301" s="125"/>
      <c r="P301" s="97"/>
      <c r="Q301" s="131"/>
      <c r="R301" s="126"/>
      <c r="S301" s="97"/>
      <c r="T301" s="97"/>
      <c r="V301" s="108"/>
    </row>
    <row r="302" ht="15.75" customHeight="1">
      <c r="A302" s="91"/>
      <c r="B302" s="142"/>
      <c r="C302" s="143"/>
      <c r="D302" s="97"/>
      <c r="E302" s="144"/>
      <c r="F302" s="144"/>
      <c r="G302" s="97"/>
      <c r="H302" s="143"/>
      <c r="I302" s="97"/>
      <c r="J302" s="97"/>
      <c r="K302" s="147"/>
      <c r="L302" s="148"/>
      <c r="M302" s="102"/>
      <c r="N302" s="124"/>
      <c r="O302" s="125"/>
      <c r="P302" s="97"/>
      <c r="Q302" s="131"/>
      <c r="R302" s="126"/>
      <c r="S302" s="97"/>
      <c r="T302" s="97"/>
      <c r="V302" s="108"/>
    </row>
    <row r="303" ht="15.75" customHeight="1">
      <c r="A303" s="91"/>
      <c r="B303" s="142"/>
      <c r="C303" s="143"/>
      <c r="D303" s="97"/>
      <c r="E303" s="144"/>
      <c r="F303" s="144"/>
      <c r="G303" s="97"/>
      <c r="H303" s="143"/>
      <c r="I303" s="97"/>
      <c r="J303" s="97"/>
      <c r="K303" s="149"/>
      <c r="L303" s="150"/>
      <c r="M303" s="102"/>
      <c r="N303" s="124"/>
      <c r="O303" s="125"/>
      <c r="P303" s="97"/>
      <c r="Q303" s="131"/>
      <c r="R303" s="126"/>
      <c r="S303" s="97"/>
      <c r="T303" s="97"/>
      <c r="V303" s="108"/>
    </row>
    <row r="304" ht="15.75" customHeight="1">
      <c r="A304" s="91"/>
      <c r="B304" s="142"/>
      <c r="C304" s="143"/>
      <c r="D304" s="97"/>
      <c r="E304" s="144"/>
      <c r="F304" s="144"/>
      <c r="G304" s="97"/>
      <c r="H304" s="143"/>
      <c r="I304" s="97"/>
      <c r="J304" s="97"/>
      <c r="K304" s="147"/>
      <c r="L304" s="148"/>
      <c r="M304" s="102"/>
      <c r="N304" s="124"/>
      <c r="O304" s="125"/>
      <c r="P304" s="97"/>
      <c r="Q304" s="131"/>
      <c r="R304" s="126"/>
      <c r="S304" s="97"/>
      <c r="T304" s="97"/>
      <c r="V304" s="108"/>
    </row>
    <row r="305" ht="15.75" customHeight="1">
      <c r="A305" s="91"/>
      <c r="B305" s="142"/>
      <c r="C305" s="143"/>
      <c r="D305" s="97"/>
      <c r="E305" s="144"/>
      <c r="F305" s="144"/>
      <c r="G305" s="97"/>
      <c r="H305" s="143"/>
      <c r="I305" s="97"/>
      <c r="J305" s="97"/>
      <c r="K305" s="149"/>
      <c r="L305" s="150"/>
      <c r="M305" s="102"/>
      <c r="N305" s="124"/>
      <c r="O305" s="125"/>
      <c r="P305" s="97"/>
      <c r="Q305" s="131"/>
      <c r="R305" s="126"/>
      <c r="S305" s="97"/>
      <c r="T305" s="97"/>
      <c r="V305" s="108"/>
    </row>
    <row r="306" ht="15.75" customHeight="1">
      <c r="A306" s="91"/>
      <c r="B306" s="142"/>
      <c r="C306" s="143"/>
      <c r="D306" s="97"/>
      <c r="E306" s="144"/>
      <c r="F306" s="144"/>
      <c r="G306" s="97"/>
      <c r="H306" s="143"/>
      <c r="I306" s="97"/>
      <c r="J306" s="97"/>
      <c r="K306" s="147"/>
      <c r="L306" s="148"/>
      <c r="M306" s="102"/>
      <c r="N306" s="124"/>
      <c r="O306" s="125"/>
      <c r="P306" s="97"/>
      <c r="Q306" s="131"/>
      <c r="R306" s="126"/>
      <c r="S306" s="97"/>
      <c r="T306" s="97"/>
      <c r="V306" s="108"/>
    </row>
    <row r="307" ht="15.75" customHeight="1">
      <c r="A307" s="91"/>
      <c r="B307" s="142"/>
      <c r="C307" s="108"/>
      <c r="D307" s="97"/>
      <c r="E307" s="144"/>
      <c r="F307" s="144"/>
      <c r="G307" s="97"/>
      <c r="H307" s="143"/>
      <c r="I307" s="97"/>
      <c r="J307" s="97"/>
      <c r="K307" s="149"/>
      <c r="L307" s="150"/>
      <c r="M307" s="102"/>
      <c r="N307" s="124"/>
      <c r="O307" s="125"/>
      <c r="P307" s="97"/>
      <c r="Q307" s="131"/>
      <c r="R307" s="126"/>
      <c r="S307" s="97"/>
      <c r="T307" s="97"/>
      <c r="V307" s="108"/>
    </row>
    <row r="308" ht="15.75" customHeight="1">
      <c r="A308" s="91"/>
      <c r="B308" s="142"/>
      <c r="C308" s="143"/>
      <c r="D308" s="97"/>
      <c r="E308" s="144"/>
      <c r="F308" s="144"/>
      <c r="G308" s="97"/>
      <c r="H308" s="143"/>
      <c r="I308" s="97"/>
      <c r="J308" s="97"/>
      <c r="K308" s="147"/>
      <c r="L308" s="148"/>
      <c r="M308" s="102"/>
      <c r="N308" s="124"/>
      <c r="O308" s="125"/>
      <c r="P308" s="97"/>
      <c r="Q308" s="131"/>
      <c r="R308" s="126"/>
      <c r="S308" s="97"/>
      <c r="T308" s="97"/>
      <c r="V308" s="108"/>
    </row>
    <row r="309" ht="15.75" customHeight="1">
      <c r="A309" s="91"/>
      <c r="B309" s="142"/>
      <c r="C309" s="143"/>
      <c r="D309" s="97"/>
      <c r="E309" s="144"/>
      <c r="F309" s="144"/>
      <c r="G309" s="97"/>
      <c r="H309" s="143"/>
      <c r="I309" s="97"/>
      <c r="J309" s="97"/>
      <c r="K309" s="149"/>
      <c r="L309" s="150"/>
      <c r="M309" s="102"/>
      <c r="N309" s="124"/>
      <c r="O309" s="125"/>
      <c r="P309" s="97"/>
      <c r="Q309" s="131"/>
      <c r="R309" s="126"/>
      <c r="S309" s="97"/>
      <c r="T309" s="97"/>
      <c r="V309" s="108"/>
    </row>
    <row r="310" ht="15.75" customHeight="1">
      <c r="A310" s="91"/>
      <c r="B310" s="142"/>
      <c r="C310" s="143"/>
      <c r="D310" s="97"/>
      <c r="E310" s="144"/>
      <c r="F310" s="144"/>
      <c r="G310" s="97"/>
      <c r="H310" s="143"/>
      <c r="I310" s="97"/>
      <c r="J310" s="97"/>
      <c r="K310" s="147"/>
      <c r="L310" s="148"/>
      <c r="M310" s="102"/>
      <c r="N310" s="124"/>
      <c r="O310" s="125"/>
      <c r="P310" s="97"/>
      <c r="Q310" s="131"/>
      <c r="R310" s="126"/>
      <c r="S310" s="97"/>
      <c r="T310" s="97"/>
      <c r="V310" s="108"/>
    </row>
    <row r="311" ht="15.75" customHeight="1">
      <c r="A311" s="91"/>
      <c r="B311" s="142"/>
      <c r="C311" s="143"/>
      <c r="D311" s="97"/>
      <c r="E311" s="144"/>
      <c r="F311" s="144"/>
      <c r="G311" s="97"/>
      <c r="H311" s="143"/>
      <c r="I311" s="97"/>
      <c r="J311" s="97"/>
      <c r="K311" s="149"/>
      <c r="L311" s="150"/>
      <c r="M311" s="102"/>
      <c r="N311" s="124"/>
      <c r="O311" s="125"/>
      <c r="P311" s="97"/>
      <c r="Q311" s="131"/>
      <c r="R311" s="126"/>
      <c r="S311" s="97"/>
      <c r="T311" s="97"/>
      <c r="V311" s="108"/>
    </row>
    <row r="312" ht="15.75" customHeight="1">
      <c r="A312" s="91"/>
      <c r="B312" s="142"/>
      <c r="C312" s="143"/>
      <c r="D312" s="97"/>
      <c r="E312" s="144"/>
      <c r="F312" s="144"/>
      <c r="G312" s="97"/>
      <c r="H312" s="143"/>
      <c r="I312" s="97"/>
      <c r="J312" s="97"/>
      <c r="K312" s="147"/>
      <c r="L312" s="148"/>
      <c r="M312" s="102"/>
      <c r="N312" s="124"/>
      <c r="O312" s="125"/>
      <c r="P312" s="97"/>
      <c r="Q312" s="131"/>
      <c r="R312" s="126"/>
      <c r="S312" s="97"/>
      <c r="T312" s="97"/>
      <c r="V312" s="108"/>
    </row>
    <row r="313" ht="15.75" customHeight="1">
      <c r="A313" s="91"/>
      <c r="B313" s="142"/>
      <c r="C313" s="108"/>
      <c r="D313" s="97"/>
      <c r="E313" s="144"/>
      <c r="F313" s="144"/>
      <c r="G313" s="97"/>
      <c r="H313" s="143"/>
      <c r="I313" s="97"/>
      <c r="J313" s="97"/>
      <c r="K313" s="149"/>
      <c r="L313" s="150"/>
      <c r="M313" s="102"/>
      <c r="N313" s="124"/>
      <c r="O313" s="125"/>
      <c r="P313" s="97"/>
      <c r="Q313" s="131"/>
      <c r="R313" s="126"/>
      <c r="S313" s="97"/>
      <c r="T313" s="97"/>
      <c r="V313" s="108"/>
    </row>
    <row r="314" ht="15.75" customHeight="1">
      <c r="A314" s="91"/>
      <c r="B314" s="142"/>
      <c r="C314" s="143"/>
      <c r="D314" s="97"/>
      <c r="E314" s="144"/>
      <c r="F314" s="144"/>
      <c r="G314" s="97"/>
      <c r="H314" s="143"/>
      <c r="I314" s="97"/>
      <c r="J314" s="97"/>
      <c r="K314" s="147"/>
      <c r="L314" s="148"/>
      <c r="M314" s="102"/>
      <c r="N314" s="124"/>
      <c r="O314" s="125"/>
      <c r="P314" s="97"/>
      <c r="Q314" s="131"/>
      <c r="R314" s="126"/>
      <c r="S314" s="97"/>
      <c r="T314" s="97"/>
      <c r="V314" s="108"/>
    </row>
    <row r="315" ht="15.75" customHeight="1">
      <c r="A315" s="91"/>
      <c r="B315" s="142"/>
      <c r="C315" s="143"/>
      <c r="D315" s="97"/>
      <c r="E315" s="144"/>
      <c r="F315" s="144"/>
      <c r="G315" s="97"/>
      <c r="H315" s="143"/>
      <c r="I315" s="97"/>
      <c r="J315" s="97"/>
      <c r="K315" s="149"/>
      <c r="L315" s="150"/>
      <c r="M315" s="102"/>
      <c r="N315" s="124"/>
      <c r="O315" s="125"/>
      <c r="P315" s="97"/>
      <c r="Q315" s="131"/>
      <c r="R315" s="126"/>
      <c r="S315" s="97"/>
      <c r="T315" s="97"/>
      <c r="V315" s="108"/>
    </row>
    <row r="316" ht="15.75" customHeight="1">
      <c r="A316" s="91"/>
      <c r="B316" s="142"/>
      <c r="C316" s="143"/>
      <c r="D316" s="97"/>
      <c r="E316" s="144"/>
      <c r="F316" s="144"/>
      <c r="G316" s="97"/>
      <c r="H316" s="143"/>
      <c r="I316" s="97"/>
      <c r="J316" s="97"/>
      <c r="K316" s="147"/>
      <c r="L316" s="148"/>
      <c r="M316" s="102"/>
      <c r="N316" s="124"/>
      <c r="O316" s="125"/>
      <c r="P316" s="97"/>
      <c r="Q316" s="131"/>
      <c r="R316" s="126"/>
      <c r="S316" s="97"/>
      <c r="T316" s="97"/>
      <c r="V316" s="108"/>
    </row>
    <row r="317" ht="15.75" customHeight="1">
      <c r="A317" s="91"/>
      <c r="B317" s="142"/>
      <c r="C317" s="143"/>
      <c r="D317" s="97"/>
      <c r="E317" s="144"/>
      <c r="F317" s="144"/>
      <c r="G317" s="97"/>
      <c r="H317" s="143"/>
      <c r="I317" s="97"/>
      <c r="J317" s="97"/>
      <c r="K317" s="149"/>
      <c r="L317" s="150"/>
      <c r="M317" s="102"/>
      <c r="N317" s="124"/>
      <c r="O317" s="125"/>
      <c r="P317" s="97"/>
      <c r="Q317" s="131"/>
      <c r="R317" s="126"/>
      <c r="S317" s="97"/>
      <c r="T317" s="97"/>
      <c r="V317" s="108"/>
    </row>
    <row r="318" ht="15.75" customHeight="1">
      <c r="A318" s="91"/>
      <c r="B318" s="142"/>
      <c r="C318" s="143"/>
      <c r="D318" s="97"/>
      <c r="E318" s="144"/>
      <c r="F318" s="144"/>
      <c r="G318" s="97"/>
      <c r="H318" s="143"/>
      <c r="I318" s="97"/>
      <c r="J318" s="97"/>
      <c r="K318" s="147"/>
      <c r="L318" s="148"/>
      <c r="M318" s="102"/>
      <c r="N318" s="124"/>
      <c r="O318" s="125"/>
      <c r="P318" s="97"/>
      <c r="Q318" s="131"/>
      <c r="R318" s="126"/>
      <c r="S318" s="97"/>
      <c r="T318" s="97"/>
      <c r="V318" s="108"/>
    </row>
    <row r="319" ht="15.75" customHeight="1">
      <c r="A319" s="91"/>
      <c r="B319" s="142"/>
      <c r="C319" s="108"/>
      <c r="D319" s="97"/>
      <c r="E319" s="144"/>
      <c r="F319" s="144"/>
      <c r="G319" s="97"/>
      <c r="H319" s="143"/>
      <c r="I319" s="97"/>
      <c r="J319" s="97"/>
      <c r="K319" s="149"/>
      <c r="L319" s="150"/>
      <c r="M319" s="102"/>
      <c r="N319" s="124"/>
      <c r="O319" s="125"/>
      <c r="P319" s="97"/>
      <c r="Q319" s="131"/>
      <c r="R319" s="126"/>
      <c r="S319" s="97"/>
      <c r="T319" s="97"/>
      <c r="V319" s="108"/>
    </row>
    <row r="320" ht="15.75" customHeight="1">
      <c r="A320" s="91"/>
      <c r="B320" s="142"/>
      <c r="C320" s="143"/>
      <c r="D320" s="97"/>
      <c r="E320" s="144"/>
      <c r="F320" s="144"/>
      <c r="G320" s="97"/>
      <c r="H320" s="143"/>
      <c r="I320" s="97"/>
      <c r="J320" s="97"/>
      <c r="K320" s="147"/>
      <c r="L320" s="148"/>
      <c r="M320" s="102"/>
      <c r="N320" s="124"/>
      <c r="O320" s="125"/>
      <c r="P320" s="97"/>
      <c r="Q320" s="131"/>
      <c r="R320" s="126"/>
      <c r="S320" s="97"/>
      <c r="T320" s="97"/>
      <c r="V320" s="108"/>
    </row>
    <row r="321" ht="15.75" customHeight="1">
      <c r="A321" s="91"/>
      <c r="B321" s="142"/>
      <c r="C321" s="143"/>
      <c r="D321" s="97"/>
      <c r="E321" s="144"/>
      <c r="F321" s="144"/>
      <c r="G321" s="97"/>
      <c r="H321" s="143"/>
      <c r="I321" s="97"/>
      <c r="J321" s="97"/>
      <c r="K321" s="149"/>
      <c r="L321" s="150"/>
      <c r="M321" s="102"/>
      <c r="N321" s="124"/>
      <c r="O321" s="125"/>
      <c r="P321" s="97"/>
      <c r="Q321" s="131"/>
      <c r="R321" s="126"/>
      <c r="S321" s="97"/>
      <c r="T321" s="97"/>
      <c r="V321" s="108"/>
    </row>
    <row r="322" ht="15.75" customHeight="1">
      <c r="A322" s="91"/>
      <c r="B322" s="142"/>
      <c r="C322" s="143"/>
      <c r="D322" s="97"/>
      <c r="E322" s="144"/>
      <c r="F322" s="144"/>
      <c r="G322" s="97"/>
      <c r="H322" s="143"/>
      <c r="I322" s="97"/>
      <c r="J322" s="97"/>
      <c r="K322" s="147"/>
      <c r="L322" s="148"/>
      <c r="M322" s="102"/>
      <c r="N322" s="124"/>
      <c r="O322" s="125"/>
      <c r="P322" s="97"/>
      <c r="Q322" s="131"/>
      <c r="R322" s="126"/>
      <c r="S322" s="97"/>
      <c r="T322" s="97"/>
      <c r="V322" s="108"/>
    </row>
    <row r="323" ht="15.75" customHeight="1">
      <c r="A323" s="91"/>
      <c r="B323" s="142"/>
      <c r="C323" s="143"/>
      <c r="D323" s="97"/>
      <c r="E323" s="144"/>
      <c r="F323" s="144"/>
      <c r="G323" s="97"/>
      <c r="H323" s="143"/>
      <c r="I323" s="97"/>
      <c r="J323" s="97"/>
      <c r="K323" s="149"/>
      <c r="L323" s="150"/>
      <c r="M323" s="102"/>
      <c r="N323" s="124"/>
      <c r="O323" s="125"/>
      <c r="P323" s="97"/>
      <c r="Q323" s="131"/>
      <c r="R323" s="126"/>
      <c r="S323" s="97"/>
      <c r="T323" s="97"/>
      <c r="V323" s="108"/>
    </row>
    <row r="324" ht="15.75" customHeight="1">
      <c r="A324" s="91"/>
      <c r="B324" s="142"/>
      <c r="C324" s="143"/>
      <c r="D324" s="97"/>
      <c r="E324" s="144"/>
      <c r="F324" s="144"/>
      <c r="G324" s="97"/>
      <c r="H324" s="143"/>
      <c r="I324" s="97"/>
      <c r="J324" s="97"/>
      <c r="K324" s="147"/>
      <c r="L324" s="148"/>
      <c r="M324" s="102"/>
      <c r="N324" s="124"/>
      <c r="O324" s="125"/>
      <c r="P324" s="97"/>
      <c r="Q324" s="131"/>
      <c r="R324" s="126"/>
      <c r="S324" s="97"/>
      <c r="T324" s="97"/>
      <c r="V324" s="108"/>
    </row>
    <row r="325" ht="15.75" customHeight="1">
      <c r="A325" s="91"/>
      <c r="B325" s="142"/>
      <c r="C325" s="108"/>
      <c r="D325" s="97"/>
      <c r="E325" s="144"/>
      <c r="F325" s="144"/>
      <c r="G325" s="97"/>
      <c r="H325" s="143"/>
      <c r="I325" s="97"/>
      <c r="J325" s="97"/>
      <c r="K325" s="149"/>
      <c r="L325" s="150"/>
      <c r="M325" s="102"/>
      <c r="N325" s="124"/>
      <c r="O325" s="125"/>
      <c r="P325" s="97"/>
      <c r="Q325" s="131"/>
      <c r="R325" s="126"/>
      <c r="S325" s="97"/>
      <c r="T325" s="97"/>
      <c r="V325" s="108"/>
    </row>
    <row r="326" ht="15.75" customHeight="1">
      <c r="A326" s="91"/>
      <c r="B326" s="142"/>
      <c r="C326" s="143"/>
      <c r="D326" s="97"/>
      <c r="E326" s="144"/>
      <c r="F326" s="144"/>
      <c r="G326" s="97"/>
      <c r="H326" s="143"/>
      <c r="I326" s="97"/>
      <c r="J326" s="97"/>
      <c r="K326" s="147"/>
      <c r="L326" s="148"/>
      <c r="M326" s="102"/>
      <c r="N326" s="124"/>
      <c r="O326" s="125"/>
      <c r="P326" s="97"/>
      <c r="Q326" s="131"/>
      <c r="R326" s="126"/>
      <c r="S326" s="97"/>
      <c r="T326" s="97"/>
      <c r="V326" s="108"/>
    </row>
    <row r="327" ht="15.75" customHeight="1">
      <c r="A327" s="91"/>
      <c r="B327" s="142"/>
      <c r="C327" s="143"/>
      <c r="D327" s="97"/>
      <c r="E327" s="144"/>
      <c r="F327" s="144"/>
      <c r="G327" s="97"/>
      <c r="H327" s="143"/>
      <c r="I327" s="97"/>
      <c r="J327" s="97"/>
      <c r="K327" s="149"/>
      <c r="L327" s="150"/>
      <c r="M327" s="102"/>
      <c r="N327" s="124"/>
      <c r="O327" s="125"/>
      <c r="P327" s="97"/>
      <c r="Q327" s="131"/>
      <c r="R327" s="126"/>
      <c r="S327" s="97"/>
      <c r="T327" s="97"/>
      <c r="V327" s="108"/>
    </row>
    <row r="328" ht="15.75" customHeight="1">
      <c r="A328" s="91"/>
      <c r="B328" s="142"/>
      <c r="C328" s="143"/>
      <c r="D328" s="97"/>
      <c r="E328" s="144"/>
      <c r="F328" s="144"/>
      <c r="G328" s="97"/>
      <c r="H328" s="143"/>
      <c r="I328" s="97"/>
      <c r="J328" s="97"/>
      <c r="K328" s="151"/>
      <c r="L328" s="152"/>
      <c r="M328" s="102"/>
      <c r="N328" s="124"/>
      <c r="O328" s="125"/>
      <c r="P328" s="97"/>
      <c r="Q328" s="131"/>
      <c r="R328" s="126"/>
      <c r="S328" s="97"/>
      <c r="T328" s="97"/>
      <c r="V328" s="108"/>
    </row>
    <row r="329" ht="15.75" customHeight="1">
      <c r="A329" s="91"/>
      <c r="B329" s="142"/>
      <c r="C329" s="143"/>
      <c r="D329" s="97"/>
      <c r="E329" s="144"/>
      <c r="F329" s="144"/>
      <c r="G329" s="97"/>
      <c r="H329" s="143"/>
      <c r="I329" s="97"/>
      <c r="J329" s="97"/>
      <c r="K329" s="151"/>
      <c r="L329" s="152"/>
      <c r="M329" s="102"/>
      <c r="N329" s="124"/>
      <c r="O329" s="125"/>
      <c r="P329" s="97"/>
      <c r="Q329" s="131"/>
      <c r="R329" s="126"/>
      <c r="S329" s="97"/>
      <c r="T329" s="97"/>
      <c r="V329" s="108"/>
    </row>
    <row r="330" ht="15.75" customHeight="1">
      <c r="A330" s="91"/>
      <c r="B330" s="142"/>
      <c r="C330" s="143"/>
      <c r="D330" s="97"/>
      <c r="E330" s="144"/>
      <c r="F330" s="144"/>
      <c r="G330" s="97"/>
      <c r="H330" s="143"/>
      <c r="I330" s="97"/>
      <c r="J330" s="97"/>
      <c r="K330" s="151"/>
      <c r="L330" s="152"/>
      <c r="M330" s="102"/>
      <c r="N330" s="124"/>
      <c r="O330" s="125"/>
      <c r="P330" s="97"/>
      <c r="Q330" s="131"/>
      <c r="R330" s="126"/>
      <c r="S330" s="97"/>
      <c r="T330" s="97"/>
      <c r="V330" s="108"/>
    </row>
    <row r="331" ht="15.75" customHeight="1">
      <c r="A331" s="91"/>
      <c r="B331" s="142"/>
      <c r="C331" s="108"/>
      <c r="D331" s="97"/>
      <c r="E331" s="144"/>
      <c r="F331" s="144"/>
      <c r="G331" s="97"/>
      <c r="H331" s="143"/>
      <c r="I331" s="97"/>
      <c r="J331" s="97"/>
      <c r="K331" s="151"/>
      <c r="L331" s="152"/>
      <c r="M331" s="102"/>
      <c r="N331" s="124"/>
      <c r="O331" s="125"/>
      <c r="P331" s="97"/>
      <c r="Q331" s="131"/>
      <c r="R331" s="126"/>
      <c r="S331" s="97"/>
      <c r="T331" s="97"/>
      <c r="V331" s="108"/>
    </row>
    <row r="332" ht="15.75" customHeight="1">
      <c r="A332" s="91"/>
      <c r="B332" s="142"/>
      <c r="C332" s="143"/>
      <c r="D332" s="97"/>
      <c r="E332" s="144"/>
      <c r="F332" s="144"/>
      <c r="G332" s="97"/>
      <c r="H332" s="143"/>
      <c r="I332" s="97"/>
      <c r="J332" s="97"/>
      <c r="K332" s="151"/>
      <c r="L332" s="152"/>
      <c r="M332" s="102"/>
      <c r="N332" s="124"/>
      <c r="O332" s="125"/>
      <c r="P332" s="97"/>
      <c r="Q332" s="131"/>
      <c r="R332" s="126"/>
      <c r="S332" s="97"/>
      <c r="T332" s="97"/>
      <c r="V332" s="108"/>
    </row>
    <row r="333" ht="15.75" customHeight="1">
      <c r="A333" s="91"/>
      <c r="B333" s="142"/>
      <c r="C333" s="143"/>
      <c r="D333" s="97"/>
      <c r="E333" s="144"/>
      <c r="F333" s="144"/>
      <c r="G333" s="97"/>
      <c r="H333" s="143"/>
      <c r="I333" s="97"/>
      <c r="J333" s="97"/>
      <c r="K333" s="151"/>
      <c r="L333" s="152"/>
      <c r="M333" s="102"/>
      <c r="N333" s="124"/>
      <c r="O333" s="125"/>
      <c r="P333" s="97"/>
      <c r="Q333" s="131"/>
      <c r="R333" s="126"/>
      <c r="S333" s="97"/>
      <c r="T333" s="97"/>
      <c r="V333" s="108"/>
    </row>
    <row r="334" ht="15.75" customHeight="1">
      <c r="A334" s="91"/>
      <c r="B334" s="142"/>
      <c r="C334" s="143"/>
      <c r="D334" s="97"/>
      <c r="E334" s="144"/>
      <c r="F334" s="144"/>
      <c r="G334" s="97"/>
      <c r="H334" s="143"/>
      <c r="I334" s="97"/>
      <c r="J334" s="97"/>
      <c r="K334" s="151"/>
      <c r="L334" s="152"/>
      <c r="M334" s="102"/>
      <c r="N334" s="124"/>
      <c r="O334" s="125"/>
      <c r="P334" s="97"/>
      <c r="Q334" s="131"/>
      <c r="R334" s="126"/>
      <c r="S334" s="97"/>
      <c r="T334" s="97"/>
      <c r="V334" s="108"/>
    </row>
    <row r="335" ht="15.75" customHeight="1">
      <c r="A335" s="91"/>
      <c r="B335" s="142"/>
      <c r="C335" s="143"/>
      <c r="D335" s="97"/>
      <c r="E335" s="144"/>
      <c r="F335" s="144"/>
      <c r="G335" s="97"/>
      <c r="H335" s="143"/>
      <c r="I335" s="97"/>
      <c r="J335" s="97"/>
      <c r="K335" s="151"/>
      <c r="L335" s="152"/>
      <c r="M335" s="102"/>
      <c r="N335" s="124"/>
      <c r="O335" s="125"/>
      <c r="P335" s="97"/>
      <c r="Q335" s="131"/>
      <c r="R335" s="126"/>
      <c r="S335" s="97"/>
      <c r="T335" s="97"/>
      <c r="V335" s="108"/>
    </row>
    <row r="336" ht="15.75" customHeight="1">
      <c r="A336" s="91"/>
      <c r="B336" s="142"/>
      <c r="C336" s="143"/>
      <c r="D336" s="97"/>
      <c r="E336" s="144"/>
      <c r="F336" s="144"/>
      <c r="G336" s="97"/>
      <c r="H336" s="143"/>
      <c r="I336" s="97"/>
      <c r="J336" s="97"/>
      <c r="K336" s="151"/>
      <c r="L336" s="152"/>
      <c r="M336" s="102"/>
      <c r="N336" s="124"/>
      <c r="O336" s="125"/>
      <c r="P336" s="97"/>
      <c r="Q336" s="131"/>
      <c r="R336" s="126"/>
      <c r="S336" s="97"/>
      <c r="T336" s="97"/>
      <c r="V336" s="108"/>
    </row>
    <row r="337" ht="15.75" customHeight="1">
      <c r="A337" s="91"/>
      <c r="B337" s="142"/>
      <c r="C337" s="108"/>
      <c r="D337" s="97"/>
      <c r="E337" s="144"/>
      <c r="F337" s="144"/>
      <c r="G337" s="97"/>
      <c r="H337" s="143"/>
      <c r="I337" s="97"/>
      <c r="J337" s="97"/>
      <c r="K337" s="151"/>
      <c r="L337" s="152"/>
      <c r="M337" s="102"/>
      <c r="N337" s="124"/>
      <c r="O337" s="125"/>
      <c r="P337" s="97"/>
      <c r="Q337" s="131"/>
      <c r="R337" s="126"/>
      <c r="S337" s="97"/>
      <c r="T337" s="97"/>
      <c r="V337" s="108"/>
    </row>
    <row r="338" ht="15.75" customHeight="1">
      <c r="A338" s="91"/>
      <c r="B338" s="142"/>
      <c r="C338" s="143"/>
      <c r="D338" s="97"/>
      <c r="E338" s="144"/>
      <c r="F338" s="144"/>
      <c r="G338" s="97"/>
      <c r="H338" s="143"/>
      <c r="I338" s="97"/>
      <c r="J338" s="97"/>
      <c r="K338" s="151"/>
      <c r="L338" s="152"/>
      <c r="M338" s="102"/>
      <c r="N338" s="124"/>
      <c r="O338" s="125"/>
      <c r="P338" s="97"/>
      <c r="Q338" s="131"/>
      <c r="R338" s="126"/>
      <c r="S338" s="97"/>
      <c r="T338" s="97"/>
      <c r="V338" s="108"/>
    </row>
    <row r="339" ht="15.75" customHeight="1">
      <c r="A339" s="91"/>
      <c r="B339" s="142"/>
      <c r="C339" s="143"/>
      <c r="D339" s="97"/>
      <c r="E339" s="144"/>
      <c r="F339" s="144"/>
      <c r="G339" s="97"/>
      <c r="H339" s="143"/>
      <c r="I339" s="97"/>
      <c r="J339" s="97"/>
      <c r="K339" s="151"/>
      <c r="L339" s="152"/>
      <c r="M339" s="102"/>
      <c r="N339" s="124"/>
      <c r="O339" s="125"/>
      <c r="P339" s="97"/>
      <c r="Q339" s="131"/>
      <c r="R339" s="126"/>
      <c r="S339" s="97"/>
      <c r="T339" s="97"/>
      <c r="V339" s="108"/>
    </row>
    <row r="340" ht="15.75" customHeight="1">
      <c r="A340" s="91"/>
      <c r="B340" s="142"/>
      <c r="C340" s="143"/>
      <c r="D340" s="97"/>
      <c r="E340" s="144"/>
      <c r="F340" s="144"/>
      <c r="G340" s="97"/>
      <c r="H340" s="143"/>
      <c r="I340" s="97"/>
      <c r="J340" s="97"/>
      <c r="K340" s="151"/>
      <c r="L340" s="152"/>
      <c r="M340" s="102"/>
      <c r="N340" s="124"/>
      <c r="O340" s="125"/>
      <c r="P340" s="97"/>
      <c r="Q340" s="131"/>
      <c r="R340" s="126"/>
      <c r="S340" s="97"/>
      <c r="T340" s="97"/>
      <c r="V340" s="108"/>
    </row>
    <row r="341" ht="15.75" customHeight="1">
      <c r="A341" s="91"/>
      <c r="B341" s="142"/>
      <c r="C341" s="143"/>
      <c r="D341" s="97"/>
      <c r="E341" s="144"/>
      <c r="F341" s="144"/>
      <c r="G341" s="97"/>
      <c r="H341" s="143"/>
      <c r="I341" s="97"/>
      <c r="J341" s="97"/>
      <c r="K341" s="151"/>
      <c r="L341" s="152"/>
      <c r="M341" s="102"/>
      <c r="N341" s="124"/>
      <c r="O341" s="125"/>
      <c r="P341" s="97"/>
      <c r="Q341" s="131"/>
      <c r="R341" s="126"/>
      <c r="S341" s="97"/>
      <c r="T341" s="97"/>
      <c r="V341" s="108"/>
    </row>
    <row r="342" ht="15.75" customHeight="1">
      <c r="A342" s="91"/>
      <c r="B342" s="142"/>
      <c r="C342" s="143"/>
      <c r="D342" s="97"/>
      <c r="E342" s="144"/>
      <c r="F342" s="144"/>
      <c r="G342" s="97"/>
      <c r="H342" s="143"/>
      <c r="I342" s="97"/>
      <c r="J342" s="97"/>
      <c r="K342" s="151"/>
      <c r="L342" s="152"/>
      <c r="M342" s="102"/>
      <c r="N342" s="124"/>
      <c r="O342" s="125"/>
      <c r="P342" s="97"/>
      <c r="Q342" s="131"/>
      <c r="R342" s="126"/>
      <c r="S342" s="97"/>
      <c r="T342" s="97"/>
      <c r="V342" s="108"/>
    </row>
    <row r="343" ht="15.75" customHeight="1">
      <c r="A343" s="91"/>
      <c r="B343" s="142"/>
      <c r="C343" s="108"/>
      <c r="D343" s="97"/>
      <c r="E343" s="144"/>
      <c r="F343" s="144"/>
      <c r="G343" s="97"/>
      <c r="H343" s="143"/>
      <c r="I343" s="97"/>
      <c r="J343" s="97"/>
      <c r="K343" s="151"/>
      <c r="L343" s="152"/>
      <c r="M343" s="102"/>
      <c r="N343" s="124"/>
      <c r="O343" s="125"/>
      <c r="P343" s="97"/>
      <c r="Q343" s="131"/>
      <c r="R343" s="126"/>
      <c r="S343" s="97"/>
      <c r="T343" s="97"/>
      <c r="V343" s="108"/>
    </row>
    <row r="344" ht="15.75" customHeight="1">
      <c r="A344" s="91"/>
      <c r="B344" s="142"/>
      <c r="C344" s="143"/>
      <c r="D344" s="97"/>
      <c r="E344" s="144"/>
      <c r="F344" s="144"/>
      <c r="G344" s="97"/>
      <c r="H344" s="143"/>
      <c r="I344" s="97"/>
      <c r="J344" s="97"/>
      <c r="K344" s="151"/>
      <c r="L344" s="152"/>
      <c r="M344" s="102"/>
      <c r="N344" s="124"/>
      <c r="O344" s="125"/>
      <c r="P344" s="97"/>
      <c r="Q344" s="131"/>
      <c r="R344" s="126"/>
      <c r="S344" s="97"/>
      <c r="T344" s="97"/>
      <c r="V344" s="108"/>
    </row>
    <row r="345" ht="15.75" customHeight="1">
      <c r="A345" s="91"/>
      <c r="B345" s="142"/>
      <c r="C345" s="143"/>
      <c r="D345" s="97"/>
      <c r="E345" s="144"/>
      <c r="F345" s="144"/>
      <c r="G345" s="97"/>
      <c r="H345" s="143"/>
      <c r="I345" s="97"/>
      <c r="J345" s="97"/>
      <c r="K345" s="151"/>
      <c r="L345" s="152"/>
      <c r="M345" s="102"/>
      <c r="N345" s="124"/>
      <c r="O345" s="125"/>
      <c r="P345" s="97"/>
      <c r="Q345" s="131"/>
      <c r="R345" s="126"/>
      <c r="S345" s="97"/>
      <c r="T345" s="97"/>
      <c r="V345" s="108"/>
    </row>
    <row r="346" ht="15.75" customHeight="1">
      <c r="A346" s="91"/>
      <c r="B346" s="142"/>
      <c r="C346" s="143"/>
      <c r="D346" s="97"/>
      <c r="E346" s="144"/>
      <c r="F346" s="144"/>
      <c r="G346" s="97"/>
      <c r="H346" s="143"/>
      <c r="I346" s="97"/>
      <c r="J346" s="97"/>
      <c r="K346" s="151"/>
      <c r="L346" s="152"/>
      <c r="M346" s="102"/>
      <c r="N346" s="124"/>
      <c r="O346" s="125"/>
      <c r="P346" s="97"/>
      <c r="Q346" s="131"/>
      <c r="R346" s="126"/>
      <c r="S346" s="97"/>
      <c r="T346" s="97"/>
      <c r="V346" s="108"/>
    </row>
    <row r="347" ht="15.75" customHeight="1">
      <c r="A347" s="91"/>
      <c r="B347" s="142"/>
      <c r="C347" s="143"/>
      <c r="D347" s="97"/>
      <c r="E347" s="144"/>
      <c r="F347" s="144"/>
      <c r="G347" s="97"/>
      <c r="H347" s="143"/>
      <c r="I347" s="97"/>
      <c r="J347" s="97"/>
      <c r="K347" s="151"/>
      <c r="L347" s="152"/>
      <c r="M347" s="102"/>
      <c r="N347" s="124"/>
      <c r="O347" s="125"/>
      <c r="P347" s="97"/>
      <c r="Q347" s="131"/>
      <c r="R347" s="126"/>
      <c r="S347" s="97"/>
      <c r="T347" s="97"/>
      <c r="V347" s="108"/>
    </row>
    <row r="348" ht="15.75" customHeight="1">
      <c r="A348" s="91"/>
      <c r="B348" s="142"/>
      <c r="C348" s="143"/>
      <c r="D348" s="97"/>
      <c r="E348" s="144"/>
      <c r="F348" s="144"/>
      <c r="G348" s="97"/>
      <c r="H348" s="143"/>
      <c r="I348" s="97"/>
      <c r="J348" s="97"/>
      <c r="K348" s="151"/>
      <c r="L348" s="152"/>
      <c r="M348" s="102"/>
      <c r="N348" s="124"/>
      <c r="O348" s="125"/>
      <c r="P348" s="97"/>
      <c r="Q348" s="131"/>
      <c r="R348" s="126"/>
      <c r="S348" s="97"/>
      <c r="T348" s="97"/>
      <c r="V348" s="108"/>
    </row>
    <row r="349" ht="15.75" customHeight="1">
      <c r="A349" s="91"/>
      <c r="B349" s="142"/>
      <c r="C349" s="108"/>
      <c r="D349" s="97"/>
      <c r="E349" s="144"/>
      <c r="F349" s="144"/>
      <c r="G349" s="97"/>
      <c r="H349" s="143"/>
      <c r="I349" s="97"/>
      <c r="J349" s="97"/>
      <c r="K349" s="151"/>
      <c r="L349" s="152"/>
      <c r="M349" s="102"/>
      <c r="N349" s="124"/>
      <c r="O349" s="125"/>
      <c r="P349" s="97"/>
      <c r="Q349" s="131"/>
      <c r="R349" s="126"/>
      <c r="S349" s="97"/>
      <c r="T349" s="97"/>
      <c r="V349" s="108"/>
    </row>
    <row r="350" ht="15.75" customHeight="1">
      <c r="A350" s="91"/>
      <c r="B350" s="142"/>
      <c r="C350" s="143"/>
      <c r="D350" s="97"/>
      <c r="E350" s="144"/>
      <c r="F350" s="144"/>
      <c r="G350" s="97"/>
      <c r="H350" s="143"/>
      <c r="I350" s="97"/>
      <c r="J350" s="97"/>
      <c r="K350" s="151"/>
      <c r="L350" s="152"/>
      <c r="M350" s="102"/>
      <c r="N350" s="124"/>
      <c r="O350" s="125"/>
      <c r="P350" s="97"/>
      <c r="Q350" s="131"/>
      <c r="R350" s="126"/>
      <c r="S350" s="97"/>
      <c r="T350" s="97"/>
      <c r="V350" s="108"/>
    </row>
    <row r="351" ht="15.75" customHeight="1">
      <c r="A351" s="91"/>
      <c r="B351" s="142"/>
      <c r="C351" s="143"/>
      <c r="D351" s="97"/>
      <c r="E351" s="144"/>
      <c r="F351" s="144"/>
      <c r="G351" s="97"/>
      <c r="H351" s="143"/>
      <c r="I351" s="97"/>
      <c r="J351" s="97"/>
      <c r="K351" s="151"/>
      <c r="L351" s="152"/>
      <c r="M351" s="102"/>
      <c r="N351" s="124"/>
      <c r="O351" s="125"/>
      <c r="P351" s="97"/>
      <c r="Q351" s="131"/>
      <c r="R351" s="126"/>
      <c r="S351" s="97"/>
      <c r="T351" s="97"/>
      <c r="V351" s="108"/>
    </row>
    <row r="352" ht="15.75" customHeight="1">
      <c r="A352" s="91"/>
      <c r="B352" s="142"/>
      <c r="C352" s="143"/>
      <c r="D352" s="97"/>
      <c r="E352" s="144"/>
      <c r="F352" s="144"/>
      <c r="G352" s="97"/>
      <c r="H352" s="143"/>
      <c r="I352" s="97"/>
      <c r="J352" s="97"/>
      <c r="K352" s="151"/>
      <c r="L352" s="152"/>
      <c r="M352" s="102"/>
      <c r="N352" s="124"/>
      <c r="O352" s="125"/>
      <c r="P352" s="97"/>
      <c r="Q352" s="131"/>
      <c r="R352" s="126"/>
      <c r="S352" s="97"/>
      <c r="T352" s="97"/>
      <c r="V352" s="108"/>
    </row>
    <row r="353" ht="15.75" customHeight="1">
      <c r="A353" s="91"/>
      <c r="B353" s="142"/>
      <c r="C353" s="143"/>
      <c r="D353" s="97"/>
      <c r="E353" s="144"/>
      <c r="F353" s="144"/>
      <c r="G353" s="97"/>
      <c r="H353" s="143"/>
      <c r="I353" s="97"/>
      <c r="J353" s="97"/>
      <c r="K353" s="151"/>
      <c r="L353" s="152"/>
      <c r="M353" s="102"/>
      <c r="N353" s="124"/>
      <c r="O353" s="125"/>
      <c r="P353" s="97"/>
      <c r="Q353" s="131"/>
      <c r="R353" s="126"/>
      <c r="S353" s="97"/>
      <c r="T353" s="97"/>
      <c r="V353" s="108"/>
    </row>
    <row r="354" ht="15.75" customHeight="1">
      <c r="A354" s="91"/>
      <c r="B354" s="142"/>
      <c r="C354" s="143"/>
      <c r="D354" s="97"/>
      <c r="E354" s="144"/>
      <c r="F354" s="144"/>
      <c r="G354" s="97"/>
      <c r="H354" s="143"/>
      <c r="I354" s="97"/>
      <c r="J354" s="97"/>
      <c r="K354" s="151"/>
      <c r="L354" s="152"/>
      <c r="M354" s="102"/>
      <c r="N354" s="124"/>
      <c r="O354" s="125"/>
      <c r="P354" s="97"/>
      <c r="Q354" s="131"/>
      <c r="R354" s="126"/>
      <c r="S354" s="97"/>
      <c r="T354" s="97"/>
      <c r="V354" s="108"/>
    </row>
    <row r="355" ht="15.75" customHeight="1">
      <c r="A355" s="91"/>
      <c r="B355" s="142"/>
      <c r="C355" s="108"/>
      <c r="D355" s="97"/>
      <c r="E355" s="144"/>
      <c r="F355" s="144"/>
      <c r="G355" s="97"/>
      <c r="H355" s="143"/>
      <c r="I355" s="97"/>
      <c r="J355" s="97"/>
      <c r="K355" s="151"/>
      <c r="L355" s="152"/>
      <c r="M355" s="102"/>
      <c r="N355" s="124"/>
      <c r="O355" s="125"/>
      <c r="P355" s="97"/>
      <c r="Q355" s="131"/>
      <c r="R355" s="126"/>
      <c r="S355" s="97"/>
      <c r="T355" s="97"/>
      <c r="V355" s="108"/>
    </row>
    <row r="356" ht="15.75" customHeight="1">
      <c r="A356" s="91"/>
      <c r="B356" s="142"/>
      <c r="C356" s="143"/>
      <c r="D356" s="97"/>
      <c r="E356" s="144"/>
      <c r="F356" s="144"/>
      <c r="G356" s="97"/>
      <c r="H356" s="143"/>
      <c r="I356" s="97"/>
      <c r="J356" s="97"/>
      <c r="K356" s="151"/>
      <c r="L356" s="152"/>
      <c r="M356" s="102"/>
      <c r="N356" s="124"/>
      <c r="O356" s="125"/>
      <c r="P356" s="97"/>
      <c r="Q356" s="131"/>
      <c r="R356" s="126"/>
      <c r="S356" s="97"/>
      <c r="T356" s="97"/>
      <c r="V356" s="108"/>
    </row>
    <row r="357" ht="15.75" customHeight="1">
      <c r="A357" s="91"/>
      <c r="B357" s="142"/>
      <c r="C357" s="143"/>
      <c r="D357" s="97"/>
      <c r="E357" s="144"/>
      <c r="F357" s="144"/>
      <c r="G357" s="97"/>
      <c r="H357" s="143"/>
      <c r="I357" s="97"/>
      <c r="J357" s="97"/>
      <c r="K357" s="151"/>
      <c r="L357" s="152"/>
      <c r="M357" s="102"/>
      <c r="N357" s="124"/>
      <c r="O357" s="125"/>
      <c r="P357" s="97"/>
      <c r="Q357" s="131"/>
      <c r="R357" s="126"/>
      <c r="S357" s="97"/>
      <c r="T357" s="97"/>
      <c r="V357" s="108"/>
    </row>
    <row r="358" ht="15.75" customHeight="1">
      <c r="A358" s="91"/>
      <c r="B358" s="142"/>
      <c r="C358" s="143"/>
      <c r="D358" s="97"/>
      <c r="E358" s="144"/>
      <c r="F358" s="144"/>
      <c r="G358" s="97"/>
      <c r="H358" s="143"/>
      <c r="I358" s="97"/>
      <c r="J358" s="97"/>
      <c r="K358" s="151"/>
      <c r="L358" s="152"/>
      <c r="M358" s="102"/>
      <c r="N358" s="124"/>
      <c r="O358" s="125"/>
      <c r="P358" s="97"/>
      <c r="Q358" s="131"/>
      <c r="R358" s="126"/>
      <c r="S358" s="97"/>
      <c r="T358" s="97"/>
      <c r="V358" s="108"/>
    </row>
    <row r="359" ht="15.75" customHeight="1">
      <c r="A359" s="91"/>
      <c r="B359" s="142"/>
      <c r="C359" s="143"/>
      <c r="D359" s="97"/>
      <c r="E359" s="144"/>
      <c r="F359" s="144"/>
      <c r="G359" s="97"/>
      <c r="H359" s="143"/>
      <c r="I359" s="97"/>
      <c r="J359" s="97"/>
      <c r="K359" s="151"/>
      <c r="L359" s="152"/>
      <c r="M359" s="102"/>
      <c r="N359" s="124"/>
      <c r="O359" s="125"/>
      <c r="P359" s="97"/>
      <c r="Q359" s="131"/>
      <c r="R359" s="126"/>
      <c r="S359" s="97"/>
      <c r="T359" s="97"/>
      <c r="V359" s="108"/>
    </row>
    <row r="360" ht="15.75" customHeight="1">
      <c r="A360" s="91"/>
      <c r="B360" s="142"/>
      <c r="C360" s="143"/>
      <c r="D360" s="97"/>
      <c r="E360" s="144"/>
      <c r="F360" s="144"/>
      <c r="G360" s="97"/>
      <c r="H360" s="143"/>
      <c r="I360" s="97"/>
      <c r="J360" s="97"/>
      <c r="K360" s="151"/>
      <c r="L360" s="152"/>
      <c r="M360" s="102"/>
      <c r="N360" s="124"/>
      <c r="O360" s="125"/>
      <c r="P360" s="97"/>
      <c r="Q360" s="131"/>
      <c r="R360" s="126"/>
      <c r="S360" s="97"/>
      <c r="T360" s="97"/>
      <c r="V360" s="108"/>
    </row>
  </sheetData>
  <autoFilter ref="$A$12:$V$109"/>
  <customSheetViews>
    <customSheetView guid="{13FBEE33-5560-4ECB-B707-C73777468090}" filter="1" showAutoFilter="1">
      <autoFilter ref="$R$17:$R$22"/>
    </customSheetView>
  </customSheetViews>
  <mergeCells count="342">
    <mergeCell ref="T11:U11"/>
    <mergeCell ref="T12:U12"/>
    <mergeCell ref="T16:U16"/>
    <mergeCell ref="T20:U20"/>
    <mergeCell ref="T21:U21"/>
    <mergeCell ref="T22:U22"/>
    <mergeCell ref="T23:U23"/>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s>
  <dataValidations>
    <dataValidation type="list" allowBlank="1" showErrorMessage="1" sqref="N13:N360">
      <formula1>"Think About It,Money,Partner,Time,Fear,Value"</formula1>
    </dataValidation>
    <dataValidation type="list" allowBlank="1" showErrorMessage="1" sqref="J15">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 type="list" allowBlank="1" showErrorMessage="1" sqref="I13:J14 I15 I16:J19 I20 I21:J35 I36 I37:J102 I103:I109 I110:J360">
      <formula1>"Full-Pay,split-pay,Deposit,Offer &amp; Didn't Buy,Bad Fit &amp; No Offer,Rescheduled,Cancelled,No-Show"</formula1>
    </dataValidation>
  </dataValidations>
  <hyperlinks>
    <hyperlink r:id="rId2" ref="F13"/>
    <hyperlink r:id="rId3" ref="F14"/>
    <hyperlink r:id="rId4" ref="F15"/>
    <hyperlink r:id="rId5" ref="F16"/>
    <hyperlink r:id="rId6" ref="F18"/>
    <hyperlink r:id="rId7" ref="F19"/>
    <hyperlink r:id="rId8" ref="F20"/>
    <hyperlink r:id="rId9" ref="F21"/>
    <hyperlink r:id="rId10" ref="F24"/>
    <hyperlink r:id="rId11" ref="F25"/>
    <hyperlink r:id="rId12" ref="F26"/>
    <hyperlink r:id="rId13" ref="F27"/>
    <hyperlink r:id="rId14" ref="F28"/>
    <hyperlink r:id="rId15" ref="F29"/>
    <hyperlink r:id="rId16" ref="F30"/>
    <hyperlink r:id="rId17" ref="F31"/>
    <hyperlink r:id="rId18" ref="F32"/>
    <hyperlink r:id="rId19" ref="F33"/>
    <hyperlink r:id="rId20" ref="F34"/>
    <hyperlink r:id="rId21" ref="F35"/>
    <hyperlink r:id="rId22" ref="F36"/>
    <hyperlink r:id="rId23" ref="F37"/>
    <hyperlink r:id="rId24" ref="F38"/>
    <hyperlink r:id="rId25" ref="F39"/>
    <hyperlink r:id="rId26" ref="F40"/>
    <hyperlink r:id="rId27" ref="F42"/>
    <hyperlink r:id="rId28" ref="F43"/>
    <hyperlink r:id="rId29" ref="F44"/>
    <hyperlink r:id="rId30" ref="F45"/>
    <hyperlink r:id="rId31" ref="F46"/>
    <hyperlink r:id="rId32" ref="F47"/>
    <hyperlink r:id="rId33" ref="F48"/>
    <hyperlink r:id="rId34" ref="F49"/>
    <hyperlink r:id="rId35" ref="F50"/>
    <hyperlink r:id="rId36" ref="F51"/>
    <hyperlink r:id="rId37" ref="F52"/>
    <hyperlink r:id="rId38" ref="F53"/>
    <hyperlink r:id="rId39" ref="F54"/>
    <hyperlink r:id="rId40" ref="F55"/>
    <hyperlink r:id="rId41" ref="F56"/>
    <hyperlink r:id="rId42" ref="F57"/>
    <hyperlink r:id="rId43" ref="F58"/>
    <hyperlink r:id="rId44" ref="F59"/>
    <hyperlink r:id="rId45" ref="F60"/>
    <hyperlink r:id="rId46" ref="F61"/>
    <hyperlink r:id="rId47" ref="F62"/>
    <hyperlink r:id="rId48" ref="F63"/>
    <hyperlink r:id="rId49" ref="F64"/>
    <hyperlink r:id="rId50" ref="F65"/>
  </hyperlinks>
  <drawing r:id="rId51"/>
  <legacyDrawing r:id="rId5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9.63"/>
    <col customWidth="1" min="4" max="4" width="0.38"/>
    <col customWidth="1" min="5" max="5" width="15.13"/>
    <col customWidth="1" min="6" max="6" width="21.0"/>
    <col customWidth="1" min="7" max="7" width="0.38"/>
    <col customWidth="1" min="8" max="8" width="15.63"/>
    <col customWidth="1" min="9" max="9" width="13.88"/>
    <col customWidth="1" min="10" max="10" width="0.38"/>
    <col customWidth="1" min="11" max="11" width="16.25"/>
    <col customWidth="1" min="13" max="13" width="0.38"/>
    <col customWidth="1" min="15" max="15" width="16.5"/>
    <col customWidth="1" min="16" max="16" width="0.38"/>
    <col customWidth="1" min="17" max="17" width="13.13"/>
    <col customWidth="1" min="18" max="18" width="13.88"/>
    <col customWidth="1" min="19" max="19" width="19.13"/>
    <col customWidth="1" min="21" max="21" width="23.75"/>
    <col customWidth="1" min="22" max="22" width="0.38"/>
  </cols>
  <sheetData>
    <row r="1">
      <c r="A1" s="287" t="s">
        <v>1941</v>
      </c>
      <c r="B1" s="35" t="s">
        <v>31</v>
      </c>
      <c r="C1" s="36" t="s">
        <v>32</v>
      </c>
      <c r="D1" s="34"/>
      <c r="E1" s="37" t="s">
        <v>33</v>
      </c>
      <c r="F1" s="38"/>
      <c r="G1" s="34"/>
      <c r="H1" s="39" t="s">
        <v>34</v>
      </c>
      <c r="I1" s="40"/>
      <c r="J1" s="13"/>
      <c r="K1" s="41" t="s">
        <v>35</v>
      </c>
      <c r="L1" s="42"/>
      <c r="M1" s="13"/>
      <c r="N1" s="39" t="s">
        <v>36</v>
      </c>
      <c r="O1" s="43"/>
      <c r="P1" s="34"/>
      <c r="Q1" s="39" t="s">
        <v>37</v>
      </c>
      <c r="R1" s="44"/>
      <c r="S1" s="40"/>
      <c r="T1" s="40"/>
      <c r="U1" s="34" t="s">
        <v>38</v>
      </c>
      <c r="V1" s="34"/>
    </row>
    <row r="2">
      <c r="A2" s="34"/>
      <c r="B2" s="38"/>
      <c r="C2" s="40"/>
      <c r="D2" s="13"/>
      <c r="E2" s="45" t="s">
        <v>26</v>
      </c>
      <c r="F2" s="46">
        <f>IFERROR(COUNTIFS(I13:I286, "Full-Pay"),"")</f>
        <v>3</v>
      </c>
      <c r="G2" s="13"/>
      <c r="H2" s="47" t="s">
        <v>16</v>
      </c>
      <c r="I2" s="48">
        <f>iferror(I10/I8,"")</f>
        <v>0.3823529412</v>
      </c>
      <c r="J2" s="12"/>
      <c r="K2" s="49" t="s">
        <v>39</v>
      </c>
      <c r="L2" s="50">
        <f>iferror(F8/I6,"")</f>
        <v>0.1489361702</v>
      </c>
      <c r="M2" s="12"/>
      <c r="N2" s="51" t="s">
        <v>40</v>
      </c>
      <c r="O2" s="52">
        <f>IFERROR(COUNTIFS(N13:N285, "think about it"),"")</f>
        <v>0</v>
      </c>
      <c r="P2" s="13"/>
      <c r="Q2" s="53" t="s">
        <v>41</v>
      </c>
      <c r="R2" s="54">
        <f>IFERROR(COUNTIF(H13:H285,Q2),"")</f>
        <v>0</v>
      </c>
      <c r="S2" s="53" t="s">
        <v>42</v>
      </c>
      <c r="T2" s="55">
        <f>IFERROR(COUNTIF(H13:H285,S2),"")</f>
        <v>0</v>
      </c>
      <c r="U2" s="34"/>
      <c r="V2" s="56"/>
    </row>
    <row r="3">
      <c r="A3" s="13"/>
      <c r="B3" s="57" t="s">
        <v>43</v>
      </c>
      <c r="C3" s="58">
        <f>IFERROR(SUM(K13:K283),"")</f>
        <v>158300</v>
      </c>
      <c r="D3" s="59"/>
      <c r="E3" s="45" t="s">
        <v>27</v>
      </c>
      <c r="F3" s="46">
        <f>IFERROR(COUNTIFS(I13:I286, "Split-Pay"),"")</f>
        <v>10</v>
      </c>
      <c r="G3" s="13"/>
      <c r="H3" s="47" t="s">
        <v>17</v>
      </c>
      <c r="I3" s="48">
        <f>IFERROR(I10/I9,"")</f>
        <v>0.40625</v>
      </c>
      <c r="J3" s="12"/>
      <c r="K3" s="49" t="s">
        <v>44</v>
      </c>
      <c r="L3" s="50">
        <f>iferror(F9/I6,"")</f>
        <v>0.08510638298</v>
      </c>
      <c r="M3" s="12"/>
      <c r="N3" s="51" t="s">
        <v>45</v>
      </c>
      <c r="O3" s="60">
        <f>IFERROR(COUNTIFS(N13:N285, "money"),"")</f>
        <v>10</v>
      </c>
      <c r="P3" s="13"/>
      <c r="Q3" s="53" t="s">
        <v>46</v>
      </c>
      <c r="R3" s="54">
        <f>IFERROR(COUNTIF(H13:H285,Q3),"")</f>
        <v>0</v>
      </c>
      <c r="S3" s="53" t="s">
        <v>47</v>
      </c>
      <c r="T3" s="55">
        <f>IFERROR(COUNTIF(H13:H285,S3),"")</f>
        <v>0</v>
      </c>
      <c r="U3" s="34"/>
      <c r="V3" s="56"/>
    </row>
    <row r="4">
      <c r="A4" s="13"/>
      <c r="B4" s="61" t="s">
        <v>48</v>
      </c>
      <c r="C4" s="62">
        <f>IFERROR(SUM(L13:L283),"")</f>
        <v>70850</v>
      </c>
      <c r="D4" s="59"/>
      <c r="E4" s="45" t="s">
        <v>28</v>
      </c>
      <c r="F4" s="46">
        <f>IFERROR(COUNTIFS(I13:I286, "Deposit"),"")</f>
        <v>5</v>
      </c>
      <c r="G4" s="13"/>
      <c r="H4" s="47" t="s">
        <v>18</v>
      </c>
      <c r="I4" s="48">
        <f>IFERROR(I9/I8,"")</f>
        <v>0.9411764706</v>
      </c>
      <c r="J4" s="12"/>
      <c r="K4" s="49" t="s">
        <v>49</v>
      </c>
      <c r="L4" s="50">
        <f>iferror(F10/I6,"")</f>
        <v>0.04255319149</v>
      </c>
      <c r="M4" s="12"/>
      <c r="N4" s="51" t="s">
        <v>50</v>
      </c>
      <c r="O4" s="52">
        <f>IFERROR(COUNTIFS(N13:N285, "time"),"")</f>
        <v>1</v>
      </c>
      <c r="P4" s="13"/>
      <c r="Q4" s="53" t="s">
        <v>51</v>
      </c>
      <c r="R4" s="54">
        <f>IFERROR(COUNTIF(H13:H285,Q4),"")</f>
        <v>0</v>
      </c>
      <c r="S4" s="53" t="s">
        <v>52</v>
      </c>
      <c r="T4" s="55">
        <f>IFERROR(COUNTIF(H13:H285,S4),"")</f>
        <v>0</v>
      </c>
      <c r="U4" s="34"/>
      <c r="V4" s="34"/>
    </row>
    <row r="5">
      <c r="A5" s="34"/>
      <c r="B5" s="38"/>
      <c r="C5" s="40"/>
      <c r="D5" s="13"/>
      <c r="E5" s="45" t="s">
        <v>53</v>
      </c>
      <c r="F5" s="46">
        <f>IFERROR(COUNTIFS(I13:I286, "Offer &amp; Didn't Buy"),"")</f>
        <v>14</v>
      </c>
      <c r="G5" s="13"/>
      <c r="H5" s="47" t="s">
        <v>54</v>
      </c>
      <c r="I5" s="48">
        <f>IFERROR(F7/(C6+F7+F8),"")</f>
        <v>0</v>
      </c>
      <c r="J5" s="13"/>
      <c r="K5" s="49" t="s">
        <v>54</v>
      </c>
      <c r="L5" s="50">
        <f>iferror(F7/I6,"")</f>
        <v>0</v>
      </c>
      <c r="M5" s="12"/>
      <c r="N5" s="51" t="s">
        <v>55</v>
      </c>
      <c r="O5" s="52">
        <f>IFERROR(COUNTIFS(N13:N285, "partner"),"")</f>
        <v>1</v>
      </c>
      <c r="P5" s="13"/>
      <c r="Q5" s="53" t="s">
        <v>56</v>
      </c>
      <c r="R5" s="54">
        <f>IFERROR(COUNTIF(H13:H285,Q5),"")</f>
        <v>0</v>
      </c>
      <c r="S5" s="53" t="s">
        <v>57</v>
      </c>
      <c r="T5" s="55">
        <f>IFERROR(COUNTIF(H13:H285,S5),"")</f>
        <v>0</v>
      </c>
      <c r="U5" s="34"/>
      <c r="V5" s="56"/>
    </row>
    <row r="6">
      <c r="A6" s="13"/>
      <c r="B6" s="63" t="s">
        <v>58</v>
      </c>
      <c r="C6" s="64">
        <f>IFERROR(SUM(F2:F6),"")</f>
        <v>34</v>
      </c>
      <c r="D6" s="13"/>
      <c r="E6" s="45" t="s">
        <v>59</v>
      </c>
      <c r="F6" s="46">
        <f>IFERROR(COUNTIFS(I13:I286, "Bad Fit &amp; No Offer"),"")</f>
        <v>2</v>
      </c>
      <c r="G6" s="13"/>
      <c r="H6" s="47" t="s">
        <v>21</v>
      </c>
      <c r="I6" s="65">
        <f>IFERROR(SUM(F2:F10),"")</f>
        <v>47</v>
      </c>
      <c r="J6" s="13"/>
      <c r="K6" s="66" t="s">
        <v>29</v>
      </c>
      <c r="L6" s="50">
        <f>iferror(I7/I6,"")</f>
        <v>0.7234042553</v>
      </c>
      <c r="M6" s="12"/>
      <c r="N6" s="51" t="s">
        <v>60</v>
      </c>
      <c r="O6" s="52">
        <f>IFERROR(COUNTIFS(N13:N285, "fear"),"")</f>
        <v>2</v>
      </c>
      <c r="P6" s="13"/>
      <c r="Q6" s="53" t="s">
        <v>61</v>
      </c>
      <c r="R6" s="54">
        <f>IFERROR(COUNTIF(H13:H285,Q6),"")</f>
        <v>0</v>
      </c>
      <c r="S6" s="53" t="s">
        <v>62</v>
      </c>
      <c r="T6" s="55">
        <f>IFERROR(COUNTIF(H13:H285,S6),"")</f>
        <v>0</v>
      </c>
      <c r="U6" s="34"/>
      <c r="V6" s="56"/>
    </row>
    <row r="7">
      <c r="A7" s="13"/>
      <c r="B7" s="63" t="s">
        <v>63</v>
      </c>
      <c r="C7" s="67">
        <f>IFERROR(F2+F3,"")</f>
        <v>13</v>
      </c>
      <c r="D7" s="13"/>
      <c r="E7" s="45" t="s">
        <v>64</v>
      </c>
      <c r="F7" s="46">
        <f>IFERROR(COUNTIFS(I13:I286, "Drag Over &amp; Show"),"")</f>
        <v>0</v>
      </c>
      <c r="G7" s="13"/>
      <c r="H7" s="47" t="s">
        <v>22</v>
      </c>
      <c r="I7" s="65">
        <f>IFERROR(SUM(F2:F7),"")</f>
        <v>34</v>
      </c>
      <c r="J7" s="13"/>
      <c r="K7" s="68" t="s">
        <v>30</v>
      </c>
      <c r="L7" s="69">
        <f>IFERROR(I8/I6,"")</f>
        <v>0.7234042553</v>
      </c>
      <c r="M7" s="12"/>
      <c r="N7" s="70" t="s">
        <v>65</v>
      </c>
      <c r="O7" s="71">
        <f>IFERROR(COUNTIFS(N14:N286, "value"),"")</f>
        <v>1</v>
      </c>
      <c r="P7" s="13"/>
      <c r="Q7" s="53" t="s">
        <v>66</v>
      </c>
      <c r="R7" s="54">
        <f>IFERROR(COUNTIF(H13:H285,Q7),"")</f>
        <v>0</v>
      </c>
      <c r="S7" s="53" t="s">
        <v>67</v>
      </c>
      <c r="T7" s="55">
        <f>IFERROR(COUNTIF(H13:H285,S7),"")</f>
        <v>0</v>
      </c>
      <c r="U7" s="34"/>
      <c r="V7" s="34"/>
    </row>
    <row r="8">
      <c r="A8" s="13"/>
      <c r="B8" s="63" t="s">
        <v>68</v>
      </c>
      <c r="C8" s="72">
        <f>COUNTIF(I13:I285,"offer &amp; didn't buy")+countif(I13:I285,"deposit")+countif(I13:I285,"bad fit &amp; no offer")</f>
        <v>21</v>
      </c>
      <c r="D8" s="73"/>
      <c r="E8" s="45" t="s">
        <v>69</v>
      </c>
      <c r="F8" s="46">
        <f>IFERROR(COUNTIFS(I13:I286, "Rescheduled"),"")</f>
        <v>7</v>
      </c>
      <c r="G8" s="13"/>
      <c r="H8" s="47" t="s">
        <v>23</v>
      </c>
      <c r="I8" s="65">
        <f>IFERROR(SUM(F2:F6),"")</f>
        <v>34</v>
      </c>
      <c r="J8" s="34"/>
      <c r="K8" s="74"/>
      <c r="L8" s="34"/>
      <c r="M8" s="34"/>
      <c r="N8" s="34"/>
      <c r="O8" s="75"/>
      <c r="P8" s="13"/>
      <c r="Q8" s="76" t="s">
        <v>70</v>
      </c>
      <c r="R8" s="77">
        <f>IFERROR(COUNTIF(H13:H285,Q8),"")</f>
        <v>0</v>
      </c>
      <c r="S8" s="76" t="s">
        <v>71</v>
      </c>
      <c r="T8" s="78">
        <f>IFERROR(COUNTIF(H13:H285,S8),"")</f>
        <v>0</v>
      </c>
      <c r="U8" s="34"/>
      <c r="V8" s="34"/>
    </row>
    <row r="9">
      <c r="A9" s="13"/>
      <c r="B9" s="63" t="s">
        <v>72</v>
      </c>
      <c r="C9" s="79">
        <f>iferror(SUM(C7/C6),"")</f>
        <v>0.3823529412</v>
      </c>
      <c r="D9" s="12"/>
      <c r="E9" s="45" t="s">
        <v>73</v>
      </c>
      <c r="F9" s="46">
        <f>IFERROR(COUNTIFS(I13:I286, "Cancelled"),"")</f>
        <v>4</v>
      </c>
      <c r="G9" s="13"/>
      <c r="H9" s="47" t="s">
        <v>24</v>
      </c>
      <c r="I9" s="65">
        <f>IFERROR(sum(F2:F5),"")</f>
        <v>32</v>
      </c>
      <c r="J9" s="34"/>
      <c r="K9" s="74"/>
      <c r="L9" s="34"/>
      <c r="M9" s="34"/>
      <c r="N9" s="34"/>
      <c r="O9" s="75"/>
      <c r="P9" s="34"/>
      <c r="Q9" s="34"/>
      <c r="R9" s="34"/>
      <c r="S9" s="34"/>
      <c r="T9" s="34"/>
      <c r="V9" s="34"/>
    </row>
    <row r="10">
      <c r="A10" s="34"/>
      <c r="B10" s="74"/>
      <c r="C10" s="34"/>
      <c r="D10" s="13"/>
      <c r="E10" s="80" t="s">
        <v>74</v>
      </c>
      <c r="F10" s="81">
        <f>IFERROR(COUNTIFS(I13:I286, "No-Show"),"")</f>
        <v>2</v>
      </c>
      <c r="G10" s="13"/>
      <c r="H10" s="82" t="s">
        <v>75</v>
      </c>
      <c r="I10" s="83">
        <f>F2+F3</f>
        <v>13</v>
      </c>
      <c r="J10" s="34"/>
      <c r="K10" s="74"/>
      <c r="L10" s="34"/>
      <c r="M10" s="34"/>
      <c r="N10" s="34"/>
      <c r="O10" s="75"/>
      <c r="P10" s="34"/>
      <c r="Q10" s="34"/>
      <c r="R10" s="34"/>
      <c r="S10" s="34"/>
      <c r="T10" s="34"/>
      <c r="V10" s="34"/>
    </row>
    <row r="11" ht="6.0" customHeight="1">
      <c r="A11" s="34"/>
      <c r="B11" s="74"/>
      <c r="C11" s="34"/>
      <c r="D11" s="34"/>
      <c r="E11" s="84"/>
      <c r="F11" s="74"/>
      <c r="G11" s="34"/>
      <c r="H11" s="34"/>
      <c r="I11" s="34"/>
      <c r="J11" s="34"/>
      <c r="K11" s="74"/>
      <c r="L11" s="34"/>
      <c r="M11" s="34"/>
      <c r="N11" s="34"/>
      <c r="O11" s="75"/>
      <c r="P11" s="34"/>
      <c r="Q11" s="34"/>
      <c r="R11" s="34"/>
      <c r="S11" s="34"/>
      <c r="T11" s="34"/>
      <c r="V11" s="34"/>
    </row>
    <row r="12">
      <c r="A12" s="34"/>
      <c r="B12" s="85" t="s">
        <v>76</v>
      </c>
      <c r="C12" s="86" t="s">
        <v>77</v>
      </c>
      <c r="D12" s="34"/>
      <c r="E12" s="87" t="s">
        <v>78</v>
      </c>
      <c r="F12" s="88" t="s">
        <v>79</v>
      </c>
      <c r="G12" s="34"/>
      <c r="H12" s="89" t="s">
        <v>37</v>
      </c>
      <c r="I12" s="89" t="s">
        <v>33</v>
      </c>
      <c r="J12" s="34"/>
      <c r="K12" s="35" t="s">
        <v>80</v>
      </c>
      <c r="L12" s="89" t="s">
        <v>48</v>
      </c>
      <c r="M12" s="34"/>
      <c r="N12" s="89" t="s">
        <v>81</v>
      </c>
      <c r="O12" s="90" t="s">
        <v>82</v>
      </c>
      <c r="P12" s="34"/>
      <c r="Q12" s="89" t="s">
        <v>83</v>
      </c>
      <c r="R12" s="89" t="s">
        <v>84</v>
      </c>
      <c r="S12" s="89" t="s">
        <v>85</v>
      </c>
      <c r="T12" s="89" t="s">
        <v>86</v>
      </c>
      <c r="V12" s="56"/>
    </row>
    <row r="13" ht="15.75" customHeight="1">
      <c r="A13" s="91"/>
      <c r="B13" s="278">
        <v>46082.0</v>
      </c>
      <c r="C13" s="270" t="s">
        <v>1846</v>
      </c>
      <c r="D13" s="94"/>
      <c r="E13" s="127" t="s">
        <v>1847</v>
      </c>
      <c r="F13" s="216" t="s">
        <v>1848</v>
      </c>
      <c r="G13" s="97"/>
      <c r="H13" s="98" t="s">
        <v>90</v>
      </c>
      <c r="I13" s="99" t="s">
        <v>1772</v>
      </c>
      <c r="J13" s="97"/>
      <c r="K13" s="100">
        <v>14000.0</v>
      </c>
      <c r="L13" s="101">
        <v>4000.0</v>
      </c>
      <c r="M13" s="102"/>
      <c r="N13" s="103"/>
      <c r="O13" s="104"/>
      <c r="P13" s="97"/>
      <c r="Q13" s="105"/>
      <c r="S13" s="105" t="s">
        <v>110</v>
      </c>
      <c r="T13" s="106"/>
      <c r="U13" s="107"/>
      <c r="V13" s="108"/>
    </row>
    <row r="14" ht="15.75" customHeight="1">
      <c r="A14" s="97"/>
      <c r="B14" s="278">
        <v>46082.0</v>
      </c>
      <c r="C14" s="288" t="s">
        <v>366</v>
      </c>
      <c r="D14" s="97"/>
      <c r="E14" s="257" t="s">
        <v>367</v>
      </c>
      <c r="F14" s="216" t="s">
        <v>368</v>
      </c>
      <c r="G14" s="97"/>
      <c r="H14" s="98" t="s">
        <v>90</v>
      </c>
      <c r="I14" s="99" t="s">
        <v>1772</v>
      </c>
      <c r="J14" s="97"/>
      <c r="K14" s="100">
        <v>11000.0</v>
      </c>
      <c r="L14" s="101">
        <v>3500.0</v>
      </c>
      <c r="M14" s="102"/>
      <c r="N14" s="103"/>
      <c r="O14" s="104"/>
      <c r="P14" s="97"/>
      <c r="Q14" s="105"/>
      <c r="S14" s="105" t="s">
        <v>110</v>
      </c>
      <c r="T14" s="111"/>
      <c r="U14" s="105"/>
      <c r="V14" s="108"/>
    </row>
    <row r="15" ht="15.75" customHeight="1">
      <c r="A15" s="97"/>
      <c r="B15" s="278">
        <v>46082.0</v>
      </c>
      <c r="C15" s="127" t="s">
        <v>1942</v>
      </c>
      <c r="D15" s="105"/>
      <c r="E15" s="127" t="s">
        <v>1943</v>
      </c>
      <c r="F15" s="216" t="s">
        <v>1944</v>
      </c>
      <c r="G15" s="97"/>
      <c r="H15" s="98" t="s">
        <v>90</v>
      </c>
      <c r="I15" s="99" t="s">
        <v>91</v>
      </c>
      <c r="J15" s="97"/>
      <c r="K15" s="113"/>
      <c r="L15" s="114"/>
      <c r="M15" s="102"/>
      <c r="N15" s="103" t="s">
        <v>45</v>
      </c>
      <c r="O15" s="104" t="s">
        <v>1945</v>
      </c>
      <c r="P15" s="97"/>
      <c r="Q15" s="115"/>
      <c r="R15" s="116"/>
      <c r="S15" s="105" t="s">
        <v>99</v>
      </c>
      <c r="T15" s="117" t="s">
        <v>1946</v>
      </c>
      <c r="U15" s="105"/>
      <c r="V15" s="108"/>
    </row>
    <row r="16" ht="15.75" customHeight="1">
      <c r="A16" s="97"/>
      <c r="B16" s="278">
        <v>46082.0</v>
      </c>
      <c r="C16" s="258" t="s">
        <v>1947</v>
      </c>
      <c r="D16" s="97"/>
      <c r="E16" s="127" t="s">
        <v>1948</v>
      </c>
      <c r="F16" s="216" t="s">
        <v>1949</v>
      </c>
      <c r="G16" s="97"/>
      <c r="H16" s="98" t="s">
        <v>90</v>
      </c>
      <c r="I16" s="99" t="s">
        <v>91</v>
      </c>
      <c r="J16" s="97"/>
      <c r="K16" s="100"/>
      <c r="L16" s="101"/>
      <c r="M16" s="102"/>
      <c r="N16" s="103"/>
      <c r="O16" s="104"/>
      <c r="P16" s="97"/>
      <c r="Q16" s="105"/>
      <c r="S16" s="105"/>
      <c r="T16" s="105" t="s">
        <v>1950</v>
      </c>
      <c r="V16" s="108"/>
    </row>
    <row r="17" ht="15.75" customHeight="1">
      <c r="A17" s="97"/>
      <c r="B17" s="278">
        <v>46082.0</v>
      </c>
      <c r="C17" s="127" t="s">
        <v>1938</v>
      </c>
      <c r="D17" s="97"/>
      <c r="E17" s="127" t="s">
        <v>1939</v>
      </c>
      <c r="F17" s="211" t="s">
        <v>1940</v>
      </c>
      <c r="G17" s="97"/>
      <c r="H17" s="98" t="s">
        <v>90</v>
      </c>
      <c r="I17" s="99" t="s">
        <v>175</v>
      </c>
      <c r="J17" s="97"/>
      <c r="K17" s="113"/>
      <c r="L17" s="114"/>
      <c r="M17" s="102"/>
      <c r="N17" s="103"/>
      <c r="O17" s="104"/>
      <c r="P17" s="97"/>
      <c r="Q17" s="97"/>
      <c r="S17" s="105"/>
      <c r="T17" s="119"/>
      <c r="U17" s="97"/>
      <c r="V17" s="108"/>
    </row>
    <row r="18" ht="15.75" customHeight="1">
      <c r="A18" s="97"/>
      <c r="B18" s="278">
        <v>46082.0</v>
      </c>
      <c r="C18" s="270" t="s">
        <v>1951</v>
      </c>
      <c r="D18" s="97"/>
      <c r="E18" s="127" t="s">
        <v>1952</v>
      </c>
      <c r="F18" s="216" t="s">
        <v>1953</v>
      </c>
      <c r="G18" s="97"/>
      <c r="H18" s="98" t="s">
        <v>90</v>
      </c>
      <c r="I18" s="99" t="s">
        <v>1772</v>
      </c>
      <c r="J18" s="97"/>
      <c r="K18" s="100">
        <v>14000.0</v>
      </c>
      <c r="L18" s="101">
        <v>4000.0</v>
      </c>
      <c r="M18" s="102"/>
      <c r="N18" s="103"/>
      <c r="O18" s="104"/>
      <c r="P18" s="97"/>
      <c r="Q18" s="97"/>
      <c r="S18" s="105" t="s">
        <v>110</v>
      </c>
      <c r="T18" s="119" t="s">
        <v>1954</v>
      </c>
      <c r="U18" s="97"/>
      <c r="V18" s="108"/>
    </row>
    <row r="19" ht="15.75" customHeight="1">
      <c r="A19" s="97"/>
      <c r="B19" s="279">
        <v>46083.0</v>
      </c>
      <c r="C19" s="270" t="s">
        <v>1955</v>
      </c>
      <c r="D19" s="97"/>
      <c r="E19" s="95" t="s">
        <v>1956</v>
      </c>
      <c r="F19" s="219"/>
      <c r="G19" s="97"/>
      <c r="H19" s="98" t="s">
        <v>97</v>
      </c>
      <c r="I19" s="99" t="s">
        <v>178</v>
      </c>
      <c r="J19" s="97"/>
      <c r="K19" s="101">
        <v>8000.0</v>
      </c>
      <c r="L19" s="101">
        <v>8000.0</v>
      </c>
      <c r="M19" s="102"/>
      <c r="N19" s="103"/>
      <c r="O19" s="104"/>
      <c r="P19" s="97"/>
      <c r="Q19" s="105"/>
      <c r="S19" s="105" t="s">
        <v>110</v>
      </c>
      <c r="T19" s="119" t="s">
        <v>1957</v>
      </c>
      <c r="U19" s="97"/>
      <c r="V19" s="108"/>
    </row>
    <row r="20" ht="15.75" customHeight="1">
      <c r="A20" s="91"/>
      <c r="B20" s="278">
        <v>46083.0</v>
      </c>
      <c r="C20" s="258" t="s">
        <v>1958</v>
      </c>
      <c r="D20" s="97"/>
      <c r="E20" s="127" t="s">
        <v>1959</v>
      </c>
      <c r="F20" s="211" t="s">
        <v>1960</v>
      </c>
      <c r="G20" s="97"/>
      <c r="H20" s="98" t="s">
        <v>90</v>
      </c>
      <c r="I20" s="99" t="s">
        <v>125</v>
      </c>
      <c r="J20" s="97"/>
      <c r="K20" s="113"/>
      <c r="L20" s="114"/>
      <c r="M20" s="102"/>
      <c r="N20" s="103"/>
      <c r="O20" s="104"/>
      <c r="P20" s="97"/>
      <c r="Q20" s="105"/>
      <c r="S20" s="105"/>
      <c r="T20" s="105"/>
      <c r="V20" s="108"/>
    </row>
    <row r="21" ht="15.75" customHeight="1">
      <c r="A21" s="91"/>
      <c r="B21" s="278">
        <v>46084.0</v>
      </c>
      <c r="C21" s="258" t="s">
        <v>1961</v>
      </c>
      <c r="D21" s="97"/>
      <c r="E21" s="95" t="s">
        <v>1962</v>
      </c>
      <c r="F21" s="219"/>
      <c r="G21" s="97"/>
      <c r="H21" s="98" t="s">
        <v>97</v>
      </c>
      <c r="I21" s="99" t="s">
        <v>333</v>
      </c>
      <c r="J21" s="97"/>
      <c r="K21" s="100"/>
      <c r="L21" s="101"/>
      <c r="M21" s="102"/>
      <c r="N21" s="103" t="s">
        <v>45</v>
      </c>
      <c r="O21" s="104" t="s">
        <v>1963</v>
      </c>
      <c r="P21" s="97"/>
      <c r="Q21" s="115"/>
      <c r="S21" s="105" t="s">
        <v>335</v>
      </c>
      <c r="T21" s="105" t="s">
        <v>1964</v>
      </c>
      <c r="V21" s="108"/>
    </row>
    <row r="22" ht="15.75" customHeight="1">
      <c r="A22" s="91"/>
      <c r="B22" s="278">
        <v>46084.0</v>
      </c>
      <c r="C22" s="289" t="s">
        <v>1965</v>
      </c>
      <c r="D22" s="97"/>
      <c r="E22" s="95" t="s">
        <v>1966</v>
      </c>
      <c r="F22" s="121"/>
      <c r="G22" s="97"/>
      <c r="H22" s="98" t="s">
        <v>97</v>
      </c>
      <c r="I22" s="105" t="s">
        <v>178</v>
      </c>
      <c r="J22" s="97"/>
      <c r="K22" s="100">
        <v>12000.0</v>
      </c>
      <c r="L22" s="101">
        <v>12000.0</v>
      </c>
      <c r="M22" s="102"/>
      <c r="N22" s="103"/>
      <c r="O22" s="104"/>
      <c r="P22" s="97"/>
      <c r="Q22" s="115"/>
      <c r="S22" s="105" t="s">
        <v>110</v>
      </c>
      <c r="T22" s="105"/>
      <c r="V22" s="108"/>
    </row>
    <row r="23" ht="15.75" customHeight="1">
      <c r="A23" s="91"/>
      <c r="B23" s="278">
        <v>46085.0</v>
      </c>
      <c r="C23" s="275" t="s">
        <v>1967</v>
      </c>
      <c r="D23" s="97"/>
      <c r="E23" s="127" t="s">
        <v>1968</v>
      </c>
      <c r="F23" s="216" t="s">
        <v>1969</v>
      </c>
      <c r="G23" s="97"/>
      <c r="H23" s="98" t="s">
        <v>90</v>
      </c>
      <c r="I23" s="105" t="s">
        <v>1772</v>
      </c>
      <c r="J23" s="97"/>
      <c r="K23" s="100">
        <v>14000.0</v>
      </c>
      <c r="L23" s="101">
        <v>4000.0</v>
      </c>
      <c r="M23" s="102"/>
      <c r="N23" s="103"/>
      <c r="O23" s="104"/>
      <c r="P23" s="97"/>
      <c r="Q23" s="97"/>
      <c r="S23" s="105" t="s">
        <v>110</v>
      </c>
      <c r="T23" s="105" t="s">
        <v>1970</v>
      </c>
      <c r="V23" s="108"/>
    </row>
    <row r="24" ht="15.0" customHeight="1">
      <c r="A24" s="91"/>
      <c r="B24" s="278">
        <v>46085.0</v>
      </c>
      <c r="C24" s="258" t="s">
        <v>1971</v>
      </c>
      <c r="D24" s="94"/>
      <c r="E24" s="127" t="s">
        <v>1972</v>
      </c>
      <c r="F24" s="216" t="s">
        <v>1973</v>
      </c>
      <c r="G24" s="97"/>
      <c r="H24" s="98" t="s">
        <v>90</v>
      </c>
      <c r="I24" s="99" t="s">
        <v>91</v>
      </c>
      <c r="J24" s="97"/>
      <c r="K24" s="100"/>
      <c r="L24" s="101"/>
      <c r="M24" s="102"/>
      <c r="N24" s="103" t="s">
        <v>60</v>
      </c>
      <c r="O24" s="104" t="s">
        <v>1974</v>
      </c>
      <c r="P24" s="97"/>
      <c r="Q24" s="105"/>
      <c r="S24" s="105" t="s">
        <v>116</v>
      </c>
      <c r="T24" s="106" t="s">
        <v>1975</v>
      </c>
      <c r="U24" s="107"/>
      <c r="V24" s="108"/>
    </row>
    <row r="25" ht="15.75" customHeight="1">
      <c r="A25" s="91"/>
      <c r="B25" s="278">
        <v>46087.0</v>
      </c>
      <c r="C25" s="270" t="s">
        <v>1976</v>
      </c>
      <c r="D25" s="97"/>
      <c r="E25" s="127" t="s">
        <v>1977</v>
      </c>
      <c r="F25" s="216" t="s">
        <v>1978</v>
      </c>
      <c r="G25" s="97"/>
      <c r="H25" s="98" t="s">
        <v>90</v>
      </c>
      <c r="I25" s="105" t="s">
        <v>1772</v>
      </c>
      <c r="J25" s="97"/>
      <c r="K25" s="100">
        <v>9800.0</v>
      </c>
      <c r="L25" s="101">
        <v>3300.0</v>
      </c>
      <c r="M25" s="102"/>
      <c r="N25" s="103"/>
      <c r="O25" s="104"/>
      <c r="P25" s="97"/>
      <c r="Q25" s="115"/>
      <c r="S25" s="105"/>
      <c r="T25" s="105"/>
      <c r="V25" s="108"/>
    </row>
    <row r="26" ht="15.75" customHeight="1">
      <c r="A26" s="91"/>
      <c r="B26" s="278">
        <v>46087.0</v>
      </c>
      <c r="C26" s="258" t="s">
        <v>1979</v>
      </c>
      <c r="D26" s="97"/>
      <c r="E26" s="127" t="s">
        <v>1980</v>
      </c>
      <c r="F26" s="216" t="s">
        <v>1981</v>
      </c>
      <c r="G26" s="97"/>
      <c r="H26" s="98" t="s">
        <v>90</v>
      </c>
      <c r="I26" s="105" t="s">
        <v>98</v>
      </c>
      <c r="J26" s="97"/>
      <c r="K26" s="113"/>
      <c r="L26" s="114"/>
      <c r="M26" s="102"/>
      <c r="N26" s="103"/>
      <c r="O26" s="104"/>
      <c r="P26" s="97"/>
      <c r="Q26" s="115"/>
      <c r="S26" s="105"/>
      <c r="T26" s="105"/>
      <c r="V26" s="108"/>
    </row>
    <row r="27" ht="15.75" customHeight="1">
      <c r="A27" s="91"/>
      <c r="B27" s="278">
        <v>46087.0</v>
      </c>
      <c r="C27" s="258" t="s">
        <v>1651</v>
      </c>
      <c r="D27" s="97"/>
      <c r="E27" s="127" t="s">
        <v>1652</v>
      </c>
      <c r="F27" s="216" t="s">
        <v>1653</v>
      </c>
      <c r="G27" s="97"/>
      <c r="H27" s="98" t="s">
        <v>90</v>
      </c>
      <c r="I27" s="105" t="s">
        <v>333</v>
      </c>
      <c r="J27" s="97"/>
      <c r="K27" s="100"/>
      <c r="L27" s="101">
        <v>500.0</v>
      </c>
      <c r="M27" s="102"/>
      <c r="N27" s="103" t="s">
        <v>45</v>
      </c>
      <c r="O27" s="104" t="s">
        <v>1982</v>
      </c>
      <c r="P27" s="97"/>
      <c r="Q27" s="97"/>
      <c r="S27" s="105" t="s">
        <v>335</v>
      </c>
      <c r="T27" s="105" t="s">
        <v>1983</v>
      </c>
      <c r="V27" s="108"/>
    </row>
    <row r="28" ht="15.75" customHeight="1">
      <c r="A28" s="91"/>
      <c r="B28" s="278">
        <v>46089.0</v>
      </c>
      <c r="C28" s="270" t="s">
        <v>1984</v>
      </c>
      <c r="D28" s="97"/>
      <c r="E28" s="127" t="s">
        <v>1985</v>
      </c>
      <c r="F28" s="216" t="s">
        <v>1986</v>
      </c>
      <c r="G28" s="97"/>
      <c r="H28" s="98" t="s">
        <v>90</v>
      </c>
      <c r="I28" s="105" t="s">
        <v>1772</v>
      </c>
      <c r="J28" s="97"/>
      <c r="K28" s="100">
        <v>14000.0</v>
      </c>
      <c r="L28" s="101">
        <v>4000.0</v>
      </c>
      <c r="M28" s="102"/>
      <c r="N28" s="124"/>
      <c r="O28" s="125"/>
      <c r="P28" s="97"/>
      <c r="Q28" s="97"/>
      <c r="R28" s="126"/>
      <c r="S28" s="105" t="s">
        <v>110</v>
      </c>
      <c r="T28" s="105" t="s">
        <v>1987</v>
      </c>
      <c r="V28" s="108"/>
    </row>
    <row r="29" ht="15.75" customHeight="1">
      <c r="A29" s="91"/>
      <c r="B29" s="278">
        <v>46089.0</v>
      </c>
      <c r="C29" s="270" t="s">
        <v>1988</v>
      </c>
      <c r="D29" s="97"/>
      <c r="E29" s="257" t="s">
        <v>1989</v>
      </c>
      <c r="F29" s="216" t="s">
        <v>1990</v>
      </c>
      <c r="G29" s="97"/>
      <c r="H29" s="98" t="s">
        <v>97</v>
      </c>
      <c r="I29" s="105" t="s">
        <v>1772</v>
      </c>
      <c r="J29" s="97"/>
      <c r="K29" s="100">
        <v>14000.0</v>
      </c>
      <c r="L29" s="101">
        <v>4000.0</v>
      </c>
      <c r="M29" s="102"/>
      <c r="N29" s="103"/>
      <c r="O29" s="104"/>
      <c r="P29" s="97"/>
      <c r="Q29" s="115"/>
      <c r="R29" s="116"/>
      <c r="S29" s="105" t="s">
        <v>110</v>
      </c>
      <c r="T29" s="105"/>
      <c r="V29" s="108"/>
    </row>
    <row r="30" ht="15.75" customHeight="1">
      <c r="A30" s="91"/>
      <c r="B30" s="278">
        <v>46090.0</v>
      </c>
      <c r="C30" s="258" t="s">
        <v>1991</v>
      </c>
      <c r="D30" s="97"/>
      <c r="E30" s="127" t="s">
        <v>1992</v>
      </c>
      <c r="F30" s="216" t="s">
        <v>1993</v>
      </c>
      <c r="G30" s="97"/>
      <c r="H30" s="98" t="s">
        <v>90</v>
      </c>
      <c r="I30" s="105" t="s">
        <v>98</v>
      </c>
      <c r="J30" s="97"/>
      <c r="K30" s="100"/>
      <c r="L30" s="101"/>
      <c r="M30" s="102"/>
      <c r="N30" s="124"/>
      <c r="O30" s="125"/>
      <c r="P30" s="97"/>
      <c r="Q30" s="105"/>
      <c r="R30" s="107"/>
      <c r="S30" s="105"/>
      <c r="T30" s="105"/>
      <c r="V30" s="108"/>
    </row>
    <row r="31" ht="15.75" customHeight="1">
      <c r="A31" s="91"/>
      <c r="B31" s="278">
        <v>46090.0</v>
      </c>
      <c r="C31" s="258" t="s">
        <v>1979</v>
      </c>
      <c r="D31" s="97"/>
      <c r="E31" s="127" t="s">
        <v>1980</v>
      </c>
      <c r="F31" s="216" t="s">
        <v>1981</v>
      </c>
      <c r="G31" s="97"/>
      <c r="H31" s="98" t="s">
        <v>90</v>
      </c>
      <c r="I31" s="105" t="s">
        <v>98</v>
      </c>
      <c r="J31" s="97"/>
      <c r="K31" s="100"/>
      <c r="L31" s="101"/>
      <c r="M31" s="102"/>
      <c r="N31" s="103"/>
      <c r="O31" s="104"/>
      <c r="P31" s="97"/>
      <c r="Q31" s="115"/>
      <c r="R31" s="107"/>
      <c r="S31" s="105"/>
      <c r="T31" s="105"/>
      <c r="V31" s="108"/>
    </row>
    <row r="32" ht="15.75" customHeight="1">
      <c r="A32" s="91"/>
      <c r="B32" s="278">
        <v>46090.0</v>
      </c>
      <c r="C32" s="270" t="s">
        <v>1994</v>
      </c>
      <c r="D32" s="97"/>
      <c r="E32" s="127" t="s">
        <v>1995</v>
      </c>
      <c r="F32" s="216" t="s">
        <v>1996</v>
      </c>
      <c r="G32" s="97"/>
      <c r="H32" s="98" t="s">
        <v>90</v>
      </c>
      <c r="I32" s="105" t="s">
        <v>1772</v>
      </c>
      <c r="J32" s="97"/>
      <c r="K32" s="100">
        <v>14000.0</v>
      </c>
      <c r="L32" s="101">
        <v>4000.0</v>
      </c>
      <c r="M32" s="102"/>
      <c r="N32" s="103"/>
      <c r="O32" s="104"/>
      <c r="P32" s="97"/>
      <c r="Q32" s="97"/>
      <c r="R32" s="107"/>
      <c r="S32" s="105" t="s">
        <v>110</v>
      </c>
      <c r="T32" s="105" t="s">
        <v>1997</v>
      </c>
      <c r="V32" s="108"/>
    </row>
    <row r="33" ht="15.75" customHeight="1">
      <c r="A33" s="91"/>
      <c r="B33" s="278">
        <v>46090.0</v>
      </c>
      <c r="C33" s="275" t="s">
        <v>1998</v>
      </c>
      <c r="D33" s="97"/>
      <c r="E33" s="127" t="s">
        <v>1999</v>
      </c>
      <c r="F33" s="216" t="s">
        <v>2000</v>
      </c>
      <c r="G33" s="97"/>
      <c r="H33" s="98" t="s">
        <v>90</v>
      </c>
      <c r="I33" s="105" t="s">
        <v>1772</v>
      </c>
      <c r="J33" s="97"/>
      <c r="K33" s="100">
        <v>7500.0</v>
      </c>
      <c r="L33" s="101">
        <v>2500.0</v>
      </c>
      <c r="M33" s="102"/>
      <c r="N33" s="103"/>
      <c r="O33" s="104"/>
      <c r="P33" s="97"/>
      <c r="Q33" s="105"/>
      <c r="R33" s="107"/>
      <c r="S33" s="105" t="s">
        <v>110</v>
      </c>
      <c r="T33" s="105"/>
      <c r="V33" s="108"/>
    </row>
    <row r="34" ht="15.75" customHeight="1">
      <c r="A34" s="91"/>
      <c r="B34" s="278">
        <v>46090.0</v>
      </c>
      <c r="C34" s="258" t="s">
        <v>2001</v>
      </c>
      <c r="D34" s="97"/>
      <c r="E34" s="127" t="s">
        <v>2002</v>
      </c>
      <c r="F34" s="216" t="s">
        <v>2003</v>
      </c>
      <c r="G34" s="97"/>
      <c r="H34" s="98" t="s">
        <v>90</v>
      </c>
      <c r="I34" s="105" t="s">
        <v>91</v>
      </c>
      <c r="J34" s="97"/>
      <c r="K34" s="113"/>
      <c r="L34" s="114"/>
      <c r="M34" s="102"/>
      <c r="N34" s="103" t="s">
        <v>45</v>
      </c>
      <c r="O34" s="104" t="s">
        <v>2004</v>
      </c>
      <c r="P34" s="97"/>
      <c r="Q34" s="97"/>
      <c r="R34" s="107"/>
      <c r="S34" s="105" t="s">
        <v>99</v>
      </c>
      <c r="T34" s="105" t="s">
        <v>2005</v>
      </c>
      <c r="V34" s="108"/>
    </row>
    <row r="35" ht="15.75" customHeight="1">
      <c r="A35" s="91"/>
      <c r="B35" s="278">
        <v>46091.0</v>
      </c>
      <c r="C35" s="258" t="s">
        <v>2006</v>
      </c>
      <c r="D35" s="97"/>
      <c r="E35" s="127" t="s">
        <v>2007</v>
      </c>
      <c r="F35" s="216" t="s">
        <v>2008</v>
      </c>
      <c r="G35" s="97"/>
      <c r="H35" s="98" t="s">
        <v>90</v>
      </c>
      <c r="I35" s="105" t="s">
        <v>98</v>
      </c>
      <c r="J35" s="97"/>
      <c r="K35" s="100"/>
      <c r="L35" s="101"/>
      <c r="M35" s="102"/>
      <c r="N35" s="103"/>
      <c r="O35" s="125"/>
      <c r="P35" s="97"/>
      <c r="Q35" s="105"/>
      <c r="R35" s="107"/>
      <c r="S35" s="105"/>
      <c r="T35" s="105"/>
      <c r="V35" s="108"/>
    </row>
    <row r="36" ht="15.75" customHeight="1">
      <c r="A36" s="91"/>
      <c r="B36" s="278">
        <v>46091.0</v>
      </c>
      <c r="C36" s="258" t="s">
        <v>2009</v>
      </c>
      <c r="D36" s="97"/>
      <c r="E36" s="127" t="s">
        <v>2010</v>
      </c>
      <c r="F36" s="216" t="s">
        <v>2011</v>
      </c>
      <c r="G36" s="97"/>
      <c r="H36" s="98" t="s">
        <v>90</v>
      </c>
      <c r="I36" s="105" t="s">
        <v>333</v>
      </c>
      <c r="J36" s="97"/>
      <c r="K36" s="113"/>
      <c r="L36" s="101">
        <v>500.0</v>
      </c>
      <c r="M36" s="102"/>
      <c r="N36" s="124"/>
      <c r="O36" s="125"/>
      <c r="P36" s="97"/>
      <c r="Q36" s="97"/>
      <c r="R36" s="126"/>
      <c r="S36" s="105" t="s">
        <v>335</v>
      </c>
      <c r="T36" s="105" t="s">
        <v>2012</v>
      </c>
      <c r="V36" s="108"/>
    </row>
    <row r="37" ht="15.75" customHeight="1">
      <c r="A37" s="91"/>
      <c r="B37" s="129">
        <v>46092.0</v>
      </c>
      <c r="C37" s="127" t="s">
        <v>2013</v>
      </c>
      <c r="D37" s="97"/>
      <c r="E37" s="127" t="s">
        <v>2014</v>
      </c>
      <c r="F37" s="216" t="s">
        <v>2015</v>
      </c>
      <c r="G37" s="97"/>
      <c r="H37" s="98" t="s">
        <v>90</v>
      </c>
      <c r="I37" s="105" t="s">
        <v>333</v>
      </c>
      <c r="J37" s="97"/>
      <c r="K37" s="100"/>
      <c r="L37" s="101">
        <v>50.0</v>
      </c>
      <c r="M37" s="102"/>
      <c r="N37" s="103" t="s">
        <v>45</v>
      </c>
      <c r="O37" s="104" t="s">
        <v>2016</v>
      </c>
      <c r="P37" s="97"/>
      <c r="Q37" s="115"/>
      <c r="R37" s="107"/>
      <c r="S37" s="105" t="s">
        <v>335</v>
      </c>
      <c r="T37" s="105" t="s">
        <v>2017</v>
      </c>
      <c r="V37" s="108"/>
    </row>
    <row r="38" ht="15.75" customHeight="1">
      <c r="A38" s="91"/>
      <c r="B38" s="129">
        <v>46092.0</v>
      </c>
      <c r="C38" s="258" t="s">
        <v>1979</v>
      </c>
      <c r="D38" s="97"/>
      <c r="E38" s="127" t="s">
        <v>1980</v>
      </c>
      <c r="F38" s="216" t="s">
        <v>1981</v>
      </c>
      <c r="G38" s="97"/>
      <c r="H38" s="98" t="s">
        <v>90</v>
      </c>
      <c r="I38" s="105" t="s">
        <v>91</v>
      </c>
      <c r="J38" s="97"/>
      <c r="K38" s="113"/>
      <c r="L38" s="114"/>
      <c r="M38" s="102"/>
      <c r="N38" s="124"/>
      <c r="O38" s="125"/>
      <c r="P38" s="97"/>
      <c r="Q38" s="130"/>
      <c r="R38" s="107"/>
      <c r="S38" s="105" t="s">
        <v>116</v>
      </c>
      <c r="T38" s="188" t="s">
        <v>2018</v>
      </c>
      <c r="V38" s="108"/>
    </row>
    <row r="39" ht="15.75" customHeight="1">
      <c r="A39" s="91"/>
      <c r="B39" s="129">
        <v>46097.0</v>
      </c>
      <c r="C39" s="127" t="s">
        <v>2019</v>
      </c>
      <c r="D39" s="97"/>
      <c r="E39" s="127" t="s">
        <v>2020</v>
      </c>
      <c r="F39" s="216" t="s">
        <v>2021</v>
      </c>
      <c r="G39" s="97"/>
      <c r="H39" s="98" t="s">
        <v>90</v>
      </c>
      <c r="I39" s="105" t="s">
        <v>149</v>
      </c>
      <c r="J39" s="97"/>
      <c r="K39" s="100"/>
      <c r="L39" s="101"/>
      <c r="M39" s="102"/>
      <c r="N39" s="124"/>
      <c r="O39" s="104" t="s">
        <v>2022</v>
      </c>
      <c r="P39" s="97"/>
      <c r="Q39" s="115"/>
      <c r="R39" s="107"/>
      <c r="S39" s="105" t="s">
        <v>93</v>
      </c>
      <c r="T39" s="105" t="s">
        <v>2023</v>
      </c>
      <c r="V39" s="108"/>
    </row>
    <row r="40" ht="15.75" customHeight="1">
      <c r="A40" s="91"/>
      <c r="B40" s="129">
        <v>46097.0</v>
      </c>
      <c r="C40" s="258" t="s">
        <v>2024</v>
      </c>
      <c r="D40" s="97"/>
      <c r="E40" s="127" t="s">
        <v>2025</v>
      </c>
      <c r="F40" s="216" t="s">
        <v>2026</v>
      </c>
      <c r="G40" s="97"/>
      <c r="H40" s="98" t="s">
        <v>90</v>
      </c>
      <c r="I40" s="105" t="s">
        <v>175</v>
      </c>
      <c r="J40" s="97"/>
      <c r="K40" s="113"/>
      <c r="L40" s="114"/>
      <c r="M40" s="102"/>
      <c r="N40" s="103"/>
      <c r="O40" s="104"/>
      <c r="P40" s="97"/>
      <c r="Q40" s="115"/>
      <c r="R40" s="107"/>
      <c r="S40" s="105"/>
      <c r="T40" s="105"/>
      <c r="V40" s="108"/>
    </row>
    <row r="41" ht="15.75" customHeight="1">
      <c r="A41" s="91"/>
      <c r="B41" s="129">
        <v>46098.0</v>
      </c>
      <c r="C41" s="127" t="s">
        <v>2027</v>
      </c>
      <c r="D41" s="97"/>
      <c r="E41" s="127" t="s">
        <v>2028</v>
      </c>
      <c r="F41" s="216" t="s">
        <v>2029</v>
      </c>
      <c r="G41" s="97"/>
      <c r="H41" s="98" t="s">
        <v>90</v>
      </c>
      <c r="I41" s="105" t="s">
        <v>175</v>
      </c>
      <c r="J41" s="97"/>
      <c r="K41" s="100"/>
      <c r="L41" s="101"/>
      <c r="M41" s="102"/>
      <c r="N41" s="124"/>
      <c r="O41" s="125"/>
      <c r="P41" s="97"/>
      <c r="Q41" s="97"/>
      <c r="R41" s="126"/>
      <c r="S41" s="97"/>
      <c r="T41" s="97"/>
      <c r="V41" s="108"/>
    </row>
    <row r="42" ht="15.75" customHeight="1">
      <c r="A42" s="91"/>
      <c r="B42" s="129">
        <v>46098.0</v>
      </c>
      <c r="C42" s="258" t="s">
        <v>2030</v>
      </c>
      <c r="D42" s="97"/>
      <c r="E42" s="127" t="s">
        <v>2031</v>
      </c>
      <c r="F42" s="216" t="s">
        <v>2032</v>
      </c>
      <c r="G42" s="97"/>
      <c r="H42" s="98" t="s">
        <v>90</v>
      </c>
      <c r="I42" s="105" t="s">
        <v>98</v>
      </c>
      <c r="J42" s="97"/>
      <c r="K42" s="113"/>
      <c r="L42" s="114"/>
      <c r="M42" s="102"/>
      <c r="N42" s="103"/>
      <c r="O42" s="104"/>
      <c r="P42" s="97"/>
      <c r="Q42" s="115"/>
      <c r="R42" s="107"/>
      <c r="S42" s="105"/>
      <c r="T42" s="105"/>
      <c r="V42" s="108"/>
    </row>
    <row r="43" ht="15.75" customHeight="1">
      <c r="A43" s="91"/>
      <c r="B43" s="129">
        <v>46098.0</v>
      </c>
      <c r="C43" s="127" t="s">
        <v>2033</v>
      </c>
      <c r="D43" s="97"/>
      <c r="E43" s="127" t="s">
        <v>2034</v>
      </c>
      <c r="F43" s="216" t="s">
        <v>2035</v>
      </c>
      <c r="G43" s="97"/>
      <c r="H43" s="98" t="s">
        <v>90</v>
      </c>
      <c r="I43" s="105" t="s">
        <v>91</v>
      </c>
      <c r="J43" s="97"/>
      <c r="K43" s="100"/>
      <c r="L43" s="101"/>
      <c r="M43" s="102"/>
      <c r="N43" s="103" t="s">
        <v>45</v>
      </c>
      <c r="O43" s="125"/>
      <c r="P43" s="97"/>
      <c r="Q43" s="131"/>
      <c r="R43" s="126"/>
      <c r="S43" s="97"/>
      <c r="T43" s="105" t="s">
        <v>2036</v>
      </c>
      <c r="V43" s="108"/>
    </row>
    <row r="44" ht="15.75" customHeight="1">
      <c r="A44" s="91"/>
      <c r="B44" s="129">
        <v>46098.0</v>
      </c>
      <c r="C44" s="127" t="s">
        <v>2037</v>
      </c>
      <c r="D44" s="97"/>
      <c r="E44" s="127" t="s">
        <v>2038</v>
      </c>
      <c r="F44" s="216" t="s">
        <v>2039</v>
      </c>
      <c r="G44" s="97"/>
      <c r="H44" s="98" t="s">
        <v>90</v>
      </c>
      <c r="I44" s="105" t="s">
        <v>91</v>
      </c>
      <c r="J44" s="97"/>
      <c r="K44" s="113"/>
      <c r="L44" s="114"/>
      <c r="M44" s="102"/>
      <c r="N44" s="103" t="s">
        <v>65</v>
      </c>
      <c r="O44" s="104" t="s">
        <v>2040</v>
      </c>
      <c r="P44" s="97"/>
      <c r="Q44" s="97"/>
      <c r="R44" s="126"/>
      <c r="S44" s="105" t="s">
        <v>116</v>
      </c>
      <c r="T44" s="105" t="s">
        <v>2041</v>
      </c>
      <c r="V44" s="108"/>
    </row>
    <row r="45" ht="15.75" customHeight="1">
      <c r="A45" s="91"/>
      <c r="B45" s="129">
        <v>46098.0</v>
      </c>
      <c r="C45" s="258" t="s">
        <v>2042</v>
      </c>
      <c r="D45" s="97"/>
      <c r="E45" s="127" t="s">
        <v>2043</v>
      </c>
      <c r="F45" s="216" t="s">
        <v>2044</v>
      </c>
      <c r="G45" s="97"/>
      <c r="H45" s="98" t="s">
        <v>90</v>
      </c>
      <c r="I45" s="105" t="s">
        <v>91</v>
      </c>
      <c r="J45" s="97"/>
      <c r="K45" s="100"/>
      <c r="L45" s="101"/>
      <c r="M45" s="102"/>
      <c r="N45" s="124"/>
      <c r="O45" s="125"/>
      <c r="P45" s="97"/>
      <c r="Q45" s="97"/>
      <c r="R45" s="126"/>
      <c r="S45" s="105" t="s">
        <v>99</v>
      </c>
      <c r="T45" s="105" t="s">
        <v>2045</v>
      </c>
      <c r="V45" s="108"/>
    </row>
    <row r="46" ht="15.75" customHeight="1">
      <c r="A46" s="91"/>
      <c r="B46" s="129">
        <v>46099.0</v>
      </c>
      <c r="C46" s="127" t="s">
        <v>2046</v>
      </c>
      <c r="D46" s="97"/>
      <c r="E46" s="127" t="s">
        <v>2047</v>
      </c>
      <c r="F46" s="216" t="s">
        <v>2048</v>
      </c>
      <c r="G46" s="97"/>
      <c r="H46" s="98" t="s">
        <v>90</v>
      </c>
      <c r="I46" s="105" t="s">
        <v>333</v>
      </c>
      <c r="J46" s="97"/>
      <c r="K46" s="100"/>
      <c r="L46" s="101">
        <v>500.0</v>
      </c>
      <c r="M46" s="102"/>
      <c r="N46" s="103" t="s">
        <v>60</v>
      </c>
      <c r="O46" s="104" t="s">
        <v>2049</v>
      </c>
      <c r="P46" s="97"/>
      <c r="Q46" s="115"/>
      <c r="R46" s="116"/>
      <c r="S46" s="105" t="s">
        <v>116</v>
      </c>
      <c r="T46" s="105" t="s">
        <v>2050</v>
      </c>
      <c r="V46" s="108"/>
    </row>
    <row r="47" ht="15.75" customHeight="1">
      <c r="A47" s="91"/>
      <c r="B47" s="129">
        <v>46100.0</v>
      </c>
      <c r="C47" s="99" t="s">
        <v>2051</v>
      </c>
      <c r="D47" s="97"/>
      <c r="E47" s="122" t="s">
        <v>2052</v>
      </c>
      <c r="F47" s="219"/>
      <c r="G47" s="97"/>
      <c r="H47" s="98" t="s">
        <v>97</v>
      </c>
      <c r="I47" s="105" t="s">
        <v>1772</v>
      </c>
      <c r="J47" s="97"/>
      <c r="K47" s="100">
        <v>14000.0</v>
      </c>
      <c r="L47" s="101">
        <v>4000.0</v>
      </c>
      <c r="M47" s="102"/>
      <c r="N47" s="103"/>
      <c r="O47" s="104"/>
      <c r="P47" s="97"/>
      <c r="Q47" s="130"/>
      <c r="R47" s="107"/>
      <c r="S47" s="105" t="s">
        <v>110</v>
      </c>
      <c r="T47" s="105" t="s">
        <v>2053</v>
      </c>
      <c r="V47" s="108"/>
    </row>
    <row r="48" ht="15.75" customHeight="1">
      <c r="A48" s="91"/>
      <c r="B48" s="129">
        <v>46100.0</v>
      </c>
      <c r="C48" s="258" t="s">
        <v>2054</v>
      </c>
      <c r="D48" s="97"/>
      <c r="E48" s="127" t="s">
        <v>2055</v>
      </c>
      <c r="F48" s="216" t="s">
        <v>2056</v>
      </c>
      <c r="G48" s="97"/>
      <c r="H48" s="98" t="s">
        <v>90</v>
      </c>
      <c r="I48" s="105"/>
      <c r="J48" s="97"/>
      <c r="K48" s="100"/>
      <c r="L48" s="101"/>
      <c r="M48" s="102"/>
      <c r="N48" s="103"/>
      <c r="O48" s="104"/>
      <c r="P48" s="97"/>
      <c r="Q48" s="130"/>
      <c r="R48" s="107"/>
      <c r="S48" s="105"/>
      <c r="T48" s="105" t="s">
        <v>2057</v>
      </c>
      <c r="V48" s="108"/>
    </row>
    <row r="49" ht="15.75" customHeight="1">
      <c r="A49" s="91"/>
      <c r="B49" s="129">
        <v>46100.0</v>
      </c>
      <c r="C49" s="127" t="s">
        <v>2058</v>
      </c>
      <c r="D49" s="97"/>
      <c r="E49" s="127" t="s">
        <v>2059</v>
      </c>
      <c r="F49" s="216" t="s">
        <v>2060</v>
      </c>
      <c r="G49" s="97"/>
      <c r="H49" s="98" t="s">
        <v>90</v>
      </c>
      <c r="I49" s="105" t="s">
        <v>91</v>
      </c>
      <c r="J49" s="97"/>
      <c r="K49" s="113"/>
      <c r="L49" s="114"/>
      <c r="M49" s="102"/>
      <c r="N49" s="103" t="s">
        <v>55</v>
      </c>
      <c r="O49" s="104" t="s">
        <v>2061</v>
      </c>
      <c r="P49" s="97"/>
      <c r="Q49" s="97"/>
      <c r="R49" s="126"/>
      <c r="S49" s="105" t="s">
        <v>116</v>
      </c>
      <c r="T49" s="105" t="s">
        <v>2062</v>
      </c>
      <c r="V49" s="108"/>
    </row>
    <row r="50" ht="15.75" customHeight="1">
      <c r="A50" s="91"/>
      <c r="B50" s="129">
        <v>46100.0</v>
      </c>
      <c r="C50" s="127" t="s">
        <v>2063</v>
      </c>
      <c r="D50" s="97"/>
      <c r="E50" s="127" t="s">
        <v>2064</v>
      </c>
      <c r="F50" s="216" t="s">
        <v>2065</v>
      </c>
      <c r="G50" s="97"/>
      <c r="H50" s="98" t="s">
        <v>90</v>
      </c>
      <c r="I50" s="105" t="s">
        <v>91</v>
      </c>
      <c r="J50" s="97"/>
      <c r="K50" s="100"/>
      <c r="L50" s="101"/>
      <c r="M50" s="102"/>
      <c r="N50" s="103" t="s">
        <v>45</v>
      </c>
      <c r="O50" s="104" t="s">
        <v>2066</v>
      </c>
      <c r="P50" s="97"/>
      <c r="Q50" s="131"/>
      <c r="R50" s="126"/>
      <c r="S50" s="105" t="s">
        <v>116</v>
      </c>
      <c r="T50" s="105" t="s">
        <v>2067</v>
      </c>
      <c r="V50" s="108"/>
    </row>
    <row r="51" ht="15.75" customHeight="1">
      <c r="A51" s="91"/>
      <c r="B51" s="129">
        <v>46103.0</v>
      </c>
      <c r="C51" s="258" t="s">
        <v>2068</v>
      </c>
      <c r="D51" s="97"/>
      <c r="E51" s="127" t="s">
        <v>2069</v>
      </c>
      <c r="F51" s="216" t="s">
        <v>2070</v>
      </c>
      <c r="G51" s="97"/>
      <c r="H51" s="98" t="s">
        <v>90</v>
      </c>
      <c r="I51" s="105" t="s">
        <v>91</v>
      </c>
      <c r="J51" s="97"/>
      <c r="K51" s="113"/>
      <c r="L51" s="114"/>
      <c r="M51" s="102"/>
      <c r="N51" s="103" t="s">
        <v>50</v>
      </c>
      <c r="O51" s="104" t="s">
        <v>2071</v>
      </c>
      <c r="P51" s="97"/>
      <c r="Q51" s="131"/>
      <c r="R51" s="126"/>
      <c r="S51" s="105" t="s">
        <v>99</v>
      </c>
      <c r="T51" s="105" t="s">
        <v>2072</v>
      </c>
      <c r="V51" s="108"/>
    </row>
    <row r="52" ht="15.75" customHeight="1">
      <c r="A52" s="91"/>
      <c r="B52" s="129">
        <v>46103.0</v>
      </c>
      <c r="C52" s="127" t="s">
        <v>2073</v>
      </c>
      <c r="D52" s="97"/>
      <c r="E52" s="127" t="s">
        <v>2074</v>
      </c>
      <c r="F52" s="216" t="s">
        <v>2075</v>
      </c>
      <c r="G52" s="97"/>
      <c r="H52" s="98" t="s">
        <v>90</v>
      </c>
      <c r="I52" s="105" t="s">
        <v>91</v>
      </c>
      <c r="J52" s="97"/>
      <c r="K52" s="100"/>
      <c r="L52" s="101"/>
      <c r="M52" s="102"/>
      <c r="N52" s="103" t="s">
        <v>45</v>
      </c>
      <c r="O52" s="104" t="s">
        <v>2076</v>
      </c>
      <c r="P52" s="97"/>
      <c r="Q52" s="130"/>
      <c r="R52" s="107"/>
      <c r="S52" s="105" t="s">
        <v>99</v>
      </c>
      <c r="T52" s="105" t="s">
        <v>2077</v>
      </c>
      <c r="V52" s="108"/>
    </row>
    <row r="53" ht="15.75" customHeight="1">
      <c r="A53" s="91"/>
      <c r="B53" s="129">
        <v>46103.0</v>
      </c>
      <c r="C53" s="258" t="s">
        <v>2078</v>
      </c>
      <c r="D53" s="97"/>
      <c r="E53" s="127" t="s">
        <v>2079</v>
      </c>
      <c r="F53" s="216" t="s">
        <v>2080</v>
      </c>
      <c r="G53" s="97"/>
      <c r="H53" s="98" t="s">
        <v>90</v>
      </c>
      <c r="I53" s="105" t="s">
        <v>175</v>
      </c>
      <c r="J53" s="97"/>
      <c r="K53" s="113"/>
      <c r="L53" s="114"/>
      <c r="M53" s="102"/>
      <c r="N53" s="103"/>
      <c r="O53" s="104"/>
      <c r="P53" s="97"/>
      <c r="Q53" s="130"/>
      <c r="R53" s="133"/>
      <c r="S53" s="105"/>
      <c r="T53" s="105"/>
      <c r="V53" s="108"/>
    </row>
    <row r="54" ht="15.75" customHeight="1">
      <c r="A54" s="91"/>
      <c r="B54" s="129">
        <v>46103.0</v>
      </c>
      <c r="C54" s="258" t="s">
        <v>2081</v>
      </c>
      <c r="D54" s="97"/>
      <c r="E54" s="127" t="s">
        <v>2082</v>
      </c>
      <c r="F54" s="216" t="s">
        <v>2083</v>
      </c>
      <c r="G54" s="97"/>
      <c r="H54" s="98" t="s">
        <v>90</v>
      </c>
      <c r="I54" s="105" t="s">
        <v>98</v>
      </c>
      <c r="J54" s="97"/>
      <c r="K54" s="100"/>
      <c r="L54" s="101"/>
      <c r="M54" s="102"/>
      <c r="N54" s="103"/>
      <c r="O54" s="104"/>
      <c r="P54" s="97"/>
      <c r="Q54" s="130"/>
      <c r="R54" s="107"/>
      <c r="S54" s="105"/>
      <c r="T54" s="105"/>
      <c r="V54" s="108"/>
    </row>
    <row r="55" ht="15.75" customHeight="1">
      <c r="A55" s="91"/>
      <c r="B55" s="278">
        <v>46104.0</v>
      </c>
      <c r="C55" s="258" t="s">
        <v>2006</v>
      </c>
      <c r="D55" s="97"/>
      <c r="E55" s="127" t="s">
        <v>2007</v>
      </c>
      <c r="F55" s="216" t="s">
        <v>2008</v>
      </c>
      <c r="G55" s="97"/>
      <c r="H55" s="98" t="s">
        <v>90</v>
      </c>
      <c r="I55" s="105" t="s">
        <v>91</v>
      </c>
      <c r="J55" s="97"/>
      <c r="K55" s="113"/>
      <c r="L55" s="114"/>
      <c r="M55" s="102"/>
      <c r="N55" s="103" t="s">
        <v>45</v>
      </c>
      <c r="O55" s="104" t="s">
        <v>2084</v>
      </c>
      <c r="P55" s="97"/>
      <c r="Q55" s="115"/>
      <c r="R55" s="107"/>
      <c r="S55" s="105" t="s">
        <v>570</v>
      </c>
      <c r="T55" s="105" t="s">
        <v>2085</v>
      </c>
      <c r="V55" s="108"/>
    </row>
    <row r="56" ht="15.75" customHeight="1">
      <c r="A56" s="91"/>
      <c r="B56" s="129">
        <v>46107.0</v>
      </c>
      <c r="C56" s="127" t="s">
        <v>1749</v>
      </c>
      <c r="D56" s="97"/>
      <c r="E56" s="127" t="s">
        <v>2086</v>
      </c>
      <c r="F56" s="216" t="s">
        <v>2087</v>
      </c>
      <c r="G56" s="97"/>
      <c r="H56" s="98" t="s">
        <v>90</v>
      </c>
      <c r="I56" s="105" t="s">
        <v>91</v>
      </c>
      <c r="J56" s="97"/>
      <c r="K56" s="100"/>
      <c r="L56" s="101"/>
      <c r="M56" s="102"/>
      <c r="N56" s="103" t="s">
        <v>45</v>
      </c>
      <c r="O56" s="104" t="s">
        <v>2088</v>
      </c>
      <c r="P56" s="97"/>
      <c r="Q56" s="131"/>
      <c r="R56" s="126"/>
      <c r="S56" s="105" t="s">
        <v>570</v>
      </c>
      <c r="T56" s="105" t="s">
        <v>2089</v>
      </c>
      <c r="V56" s="108"/>
    </row>
    <row r="57" ht="15.75" customHeight="1">
      <c r="A57" s="91"/>
      <c r="B57" s="129">
        <v>46107.0</v>
      </c>
      <c r="C57" s="107" t="s">
        <v>2090</v>
      </c>
      <c r="D57" s="97"/>
      <c r="E57" s="127" t="s">
        <v>2091</v>
      </c>
      <c r="F57" s="216" t="s">
        <v>2092</v>
      </c>
      <c r="G57" s="97"/>
      <c r="H57" s="98" t="s">
        <v>90</v>
      </c>
      <c r="I57" s="105" t="s">
        <v>98</v>
      </c>
      <c r="J57" s="97"/>
      <c r="K57" s="113"/>
      <c r="L57" s="114"/>
      <c r="M57" s="102"/>
      <c r="N57" s="103"/>
      <c r="O57" s="104"/>
      <c r="P57" s="97"/>
      <c r="Q57" s="115"/>
      <c r="R57" s="107"/>
      <c r="S57" s="105"/>
      <c r="T57" s="105"/>
      <c r="V57" s="108"/>
    </row>
    <row r="58" ht="15.75" customHeight="1">
      <c r="A58" s="91"/>
      <c r="B58" s="129">
        <v>46107.0</v>
      </c>
      <c r="C58" s="258" t="s">
        <v>2078</v>
      </c>
      <c r="D58" s="97"/>
      <c r="E58" s="127" t="s">
        <v>2079</v>
      </c>
      <c r="F58" s="216" t="s">
        <v>2080</v>
      </c>
      <c r="G58" s="97"/>
      <c r="H58" s="98" t="s">
        <v>90</v>
      </c>
      <c r="I58" s="105" t="s">
        <v>149</v>
      </c>
      <c r="J58" s="97"/>
      <c r="K58" s="100"/>
      <c r="L58" s="101"/>
      <c r="M58" s="102"/>
      <c r="N58" s="124"/>
      <c r="O58" s="125"/>
      <c r="P58" s="97"/>
      <c r="Q58" s="97"/>
      <c r="R58" s="126"/>
      <c r="S58" s="105" t="s">
        <v>99</v>
      </c>
      <c r="T58" s="105" t="s">
        <v>2093</v>
      </c>
      <c r="V58" s="108"/>
    </row>
    <row r="59" ht="15.75" customHeight="1">
      <c r="A59" s="91"/>
      <c r="B59" s="278">
        <v>46108.0</v>
      </c>
      <c r="C59" s="127" t="s">
        <v>2094</v>
      </c>
      <c r="D59" s="97"/>
      <c r="E59" s="127" t="s">
        <v>2095</v>
      </c>
      <c r="F59" s="211" t="s">
        <v>2096</v>
      </c>
      <c r="G59" s="97"/>
      <c r="H59" s="98" t="s">
        <v>90</v>
      </c>
      <c r="I59" s="105" t="s">
        <v>125</v>
      </c>
      <c r="J59" s="97"/>
      <c r="K59" s="113"/>
      <c r="M59" s="114"/>
      <c r="N59" s="124"/>
      <c r="O59" s="125"/>
      <c r="P59" s="97"/>
      <c r="Q59" s="115"/>
      <c r="R59" s="107"/>
      <c r="S59" s="97"/>
      <c r="T59" s="105"/>
      <c r="V59" s="108"/>
    </row>
    <row r="60" ht="15.75" customHeight="1">
      <c r="A60" s="91"/>
      <c r="B60" s="129">
        <v>46109.0</v>
      </c>
      <c r="C60" s="258" t="s">
        <v>2097</v>
      </c>
      <c r="D60" s="97"/>
      <c r="E60" s="127" t="s">
        <v>2098</v>
      </c>
      <c r="F60" s="216" t="s">
        <v>2099</v>
      </c>
      <c r="G60" s="97"/>
      <c r="H60" s="98" t="s">
        <v>90</v>
      </c>
      <c r="I60" s="105" t="s">
        <v>178</v>
      </c>
      <c r="J60" s="97"/>
      <c r="K60" s="100">
        <v>12000.0</v>
      </c>
      <c r="L60" s="101">
        <v>12000.0</v>
      </c>
      <c r="M60" s="102"/>
      <c r="N60" s="124"/>
      <c r="O60" s="125"/>
      <c r="P60" s="97"/>
      <c r="Q60" s="97"/>
      <c r="R60" s="126"/>
      <c r="S60" s="105" t="s">
        <v>110</v>
      </c>
      <c r="T60" s="105" t="s">
        <v>2100</v>
      </c>
      <c r="V60" s="108"/>
    </row>
    <row r="61" ht="15.75" customHeight="1">
      <c r="A61" s="91"/>
      <c r="B61" s="129"/>
      <c r="C61" s="238"/>
      <c r="D61" s="97"/>
      <c r="E61" s="122"/>
      <c r="F61" s="219"/>
      <c r="G61" s="97"/>
      <c r="H61" s="98"/>
      <c r="I61" s="105"/>
      <c r="J61" s="97"/>
      <c r="K61" s="113"/>
      <c r="L61" s="114"/>
      <c r="M61" s="102"/>
      <c r="N61" s="124"/>
      <c r="O61" s="125"/>
      <c r="P61" s="97"/>
      <c r="Q61" s="97"/>
      <c r="R61" s="126"/>
      <c r="S61" s="97"/>
      <c r="T61" s="97"/>
      <c r="V61" s="108"/>
    </row>
    <row r="62" ht="15.75" customHeight="1">
      <c r="A62" s="91"/>
      <c r="B62" s="129"/>
      <c r="C62" s="134"/>
      <c r="D62" s="97"/>
      <c r="E62" s="122"/>
      <c r="F62" s="123"/>
      <c r="G62" s="97"/>
      <c r="H62" s="98"/>
      <c r="I62" s="105"/>
      <c r="J62" s="97"/>
      <c r="K62" s="100"/>
      <c r="L62" s="101"/>
      <c r="M62" s="102"/>
      <c r="N62" s="124"/>
      <c r="O62" s="125"/>
      <c r="P62" s="97"/>
      <c r="Q62" s="97"/>
      <c r="R62" s="126"/>
      <c r="S62" s="97"/>
      <c r="T62" s="97"/>
      <c r="V62" s="108"/>
    </row>
    <row r="63" ht="15.75" customHeight="1">
      <c r="A63" s="91"/>
      <c r="B63" s="129"/>
      <c r="C63" s="135"/>
      <c r="D63" s="97"/>
      <c r="E63" s="122"/>
      <c r="F63" s="121"/>
      <c r="G63" s="97"/>
      <c r="H63" s="98"/>
      <c r="I63" s="105"/>
      <c r="J63" s="97"/>
      <c r="K63" s="113"/>
      <c r="L63" s="114"/>
      <c r="M63" s="102"/>
      <c r="N63" s="103"/>
      <c r="O63" s="104"/>
      <c r="P63" s="97"/>
      <c r="Q63" s="115"/>
      <c r="R63" s="116"/>
      <c r="S63" s="105"/>
      <c r="T63" s="105"/>
      <c r="V63" s="108"/>
    </row>
    <row r="64" ht="15.75" customHeight="1">
      <c r="A64" s="91"/>
      <c r="B64" s="129"/>
      <c r="C64" s="99"/>
      <c r="D64" s="97"/>
      <c r="E64" s="122"/>
      <c r="F64" s="121"/>
      <c r="G64" s="97"/>
      <c r="H64" s="98"/>
      <c r="I64" s="105"/>
      <c r="J64" s="97"/>
      <c r="K64" s="100"/>
      <c r="L64" s="101"/>
      <c r="M64" s="102"/>
      <c r="N64" s="103"/>
      <c r="O64" s="104"/>
      <c r="P64" s="97"/>
      <c r="Q64" s="130"/>
      <c r="R64" s="116"/>
      <c r="S64" s="105"/>
      <c r="T64" s="105"/>
      <c r="V64" s="108"/>
    </row>
    <row r="65" ht="15.75" customHeight="1">
      <c r="A65" s="91"/>
      <c r="B65" s="129"/>
      <c r="C65" s="107"/>
      <c r="D65" s="97"/>
      <c r="E65" s="122"/>
      <c r="F65" s="121"/>
      <c r="G65" s="97"/>
      <c r="H65" s="98"/>
      <c r="I65" s="105"/>
      <c r="J65" s="97"/>
      <c r="K65" s="113"/>
      <c r="L65" s="114"/>
      <c r="M65" s="102"/>
      <c r="N65" s="124"/>
      <c r="O65" s="125"/>
      <c r="P65" s="97"/>
      <c r="Q65" s="97"/>
      <c r="R65" s="126"/>
      <c r="S65" s="97"/>
      <c r="T65" s="97"/>
      <c r="V65" s="108"/>
    </row>
    <row r="66" ht="15.75" customHeight="1">
      <c r="A66" s="91"/>
      <c r="B66" s="129"/>
      <c r="C66" s="107"/>
      <c r="D66" s="97"/>
      <c r="E66" s="92"/>
      <c r="F66" s="121"/>
      <c r="G66" s="97"/>
      <c r="H66" s="98"/>
      <c r="I66" s="105"/>
      <c r="J66" s="97"/>
      <c r="K66" s="100"/>
      <c r="L66" s="101"/>
      <c r="M66" s="102"/>
      <c r="N66" s="124"/>
      <c r="O66" s="125"/>
      <c r="P66" s="97"/>
      <c r="Q66" s="130"/>
      <c r="R66" s="107"/>
      <c r="S66" s="105"/>
      <c r="T66" s="105"/>
      <c r="V66" s="108"/>
    </row>
    <row r="67" ht="15.75" customHeight="1">
      <c r="A67" s="91"/>
      <c r="B67" s="129"/>
      <c r="C67" s="107"/>
      <c r="D67" s="97"/>
      <c r="E67" s="92"/>
      <c r="F67" s="121"/>
      <c r="G67" s="97"/>
      <c r="H67" s="98"/>
      <c r="I67" s="105"/>
      <c r="J67" s="97"/>
      <c r="K67" s="113"/>
      <c r="L67" s="114"/>
      <c r="M67" s="102"/>
      <c r="N67" s="124"/>
      <c r="O67" s="125"/>
      <c r="P67" s="97"/>
      <c r="Q67" s="130"/>
      <c r="R67" s="126"/>
      <c r="S67" s="97"/>
      <c r="T67" s="105"/>
      <c r="V67" s="108"/>
    </row>
    <row r="68" ht="15.75" customHeight="1">
      <c r="A68" s="91"/>
      <c r="B68" s="129"/>
      <c r="C68" s="98"/>
      <c r="D68" s="97"/>
      <c r="E68" s="92"/>
      <c r="F68" s="123"/>
      <c r="G68" s="97"/>
      <c r="H68" s="98"/>
      <c r="I68" s="105"/>
      <c r="J68" s="97"/>
      <c r="K68" s="100"/>
      <c r="L68" s="101"/>
      <c r="M68" s="102"/>
      <c r="N68" s="124"/>
      <c r="O68" s="125"/>
      <c r="P68" s="97"/>
      <c r="Q68" s="115"/>
      <c r="R68" s="107"/>
      <c r="S68" s="105"/>
      <c r="T68" s="105"/>
      <c r="V68" s="108"/>
    </row>
    <row r="69" ht="15.75" customHeight="1">
      <c r="A69" s="91"/>
      <c r="B69" s="129"/>
      <c r="C69" s="98"/>
      <c r="D69" s="97"/>
      <c r="E69" s="92"/>
      <c r="F69" s="121"/>
      <c r="G69" s="97"/>
      <c r="H69" s="98"/>
      <c r="I69" s="105"/>
      <c r="J69" s="97"/>
      <c r="K69" s="113"/>
      <c r="L69" s="114"/>
      <c r="M69" s="102"/>
      <c r="N69" s="124"/>
      <c r="O69" s="125"/>
      <c r="P69" s="97"/>
      <c r="Q69" s="131"/>
      <c r="R69" s="126"/>
      <c r="S69" s="97"/>
      <c r="T69" s="97"/>
      <c r="V69" s="108"/>
    </row>
    <row r="70" ht="15.75" customHeight="1">
      <c r="A70" s="91"/>
      <c r="B70" s="129"/>
      <c r="C70" s="98"/>
      <c r="D70" s="97"/>
      <c r="E70" s="92"/>
      <c r="F70" s="121"/>
      <c r="G70" s="97"/>
      <c r="H70" s="98"/>
      <c r="I70" s="105"/>
      <c r="J70" s="97"/>
      <c r="K70" s="100"/>
      <c r="L70" s="101"/>
      <c r="M70" s="102"/>
      <c r="N70" s="124"/>
      <c r="O70" s="125"/>
      <c r="P70" s="97"/>
      <c r="Q70" s="130"/>
      <c r="R70" s="107"/>
      <c r="S70" s="105"/>
      <c r="T70" s="105"/>
      <c r="V70" s="108"/>
    </row>
    <row r="71" ht="15.75" customHeight="1">
      <c r="A71" s="91"/>
      <c r="B71" s="129"/>
      <c r="C71" s="98"/>
      <c r="D71" s="97"/>
      <c r="E71" s="122"/>
      <c r="F71" s="121"/>
      <c r="G71" s="97"/>
      <c r="H71" s="98"/>
      <c r="I71" s="105"/>
      <c r="J71" s="97"/>
      <c r="K71" s="113"/>
      <c r="L71" s="114"/>
      <c r="M71" s="102"/>
      <c r="N71" s="103"/>
      <c r="O71" s="125"/>
      <c r="P71" s="97"/>
      <c r="Q71" s="130"/>
      <c r="R71" s="107"/>
      <c r="S71" s="105"/>
      <c r="T71" s="105"/>
      <c r="V71" s="108"/>
    </row>
    <row r="72" ht="15.75" customHeight="1">
      <c r="A72" s="91"/>
      <c r="B72" s="129"/>
      <c r="C72" s="98"/>
      <c r="D72" s="97"/>
      <c r="E72" s="122"/>
      <c r="F72" s="123"/>
      <c r="G72" s="97"/>
      <c r="H72" s="98"/>
      <c r="I72" s="105"/>
      <c r="J72" s="97"/>
      <c r="K72" s="100"/>
      <c r="L72" s="101"/>
      <c r="M72" s="102"/>
      <c r="N72" s="103"/>
      <c r="O72" s="125"/>
      <c r="P72" s="97"/>
      <c r="Q72" s="115"/>
      <c r="R72" s="107"/>
      <c r="S72" s="105"/>
      <c r="T72" s="105"/>
      <c r="V72" s="108"/>
    </row>
    <row r="73" ht="15.75" customHeight="1">
      <c r="A73" s="91"/>
      <c r="B73" s="129"/>
      <c r="C73" s="107"/>
      <c r="D73" s="97"/>
      <c r="E73" s="122"/>
      <c r="F73" s="121"/>
      <c r="G73" s="97"/>
      <c r="H73" s="98"/>
      <c r="I73" s="105"/>
      <c r="J73" s="97"/>
      <c r="K73" s="113"/>
      <c r="L73" s="114"/>
      <c r="M73" s="102"/>
      <c r="N73" s="103"/>
      <c r="O73" s="125"/>
      <c r="P73" s="97"/>
      <c r="Q73" s="115"/>
      <c r="R73" s="107"/>
      <c r="S73" s="105"/>
      <c r="T73" s="105"/>
      <c r="V73" s="108"/>
    </row>
    <row r="74" ht="15.75" customHeight="1">
      <c r="A74" s="91"/>
      <c r="B74" s="129"/>
      <c r="C74" s="107"/>
      <c r="D74" s="97"/>
      <c r="E74" s="122"/>
      <c r="F74" s="121"/>
      <c r="G74" s="97"/>
      <c r="H74" s="98"/>
      <c r="I74" s="105"/>
      <c r="J74" s="97"/>
      <c r="K74" s="100"/>
      <c r="L74" s="101"/>
      <c r="M74" s="102"/>
      <c r="N74" s="124"/>
      <c r="O74" s="125"/>
      <c r="P74" s="97"/>
      <c r="Q74" s="131"/>
      <c r="R74" s="126"/>
      <c r="S74" s="97"/>
      <c r="T74" s="97"/>
      <c r="V74" s="108"/>
    </row>
    <row r="75" ht="15.75" customHeight="1">
      <c r="A75" s="91"/>
      <c r="B75" s="129"/>
      <c r="C75" s="98"/>
      <c r="D75" s="97"/>
      <c r="E75" s="122"/>
      <c r="F75" s="121"/>
      <c r="G75" s="97"/>
      <c r="H75" s="98"/>
      <c r="I75" s="105"/>
      <c r="J75" s="97"/>
      <c r="K75" s="113"/>
      <c r="L75" s="114"/>
      <c r="M75" s="102"/>
      <c r="N75" s="103"/>
      <c r="O75" s="125"/>
      <c r="P75" s="97"/>
      <c r="Q75" s="115"/>
      <c r="R75" s="107"/>
      <c r="S75" s="105"/>
      <c r="T75" s="105"/>
      <c r="V75" s="108"/>
    </row>
    <row r="76" ht="15.75" customHeight="1">
      <c r="A76" s="91"/>
      <c r="B76" s="129"/>
      <c r="C76" s="98"/>
      <c r="D76" s="97"/>
      <c r="E76" s="92"/>
      <c r="F76" s="121"/>
      <c r="G76" s="97"/>
      <c r="H76" s="98"/>
      <c r="I76" s="105"/>
      <c r="J76" s="97"/>
      <c r="K76" s="100"/>
      <c r="L76" s="101"/>
      <c r="M76" s="102"/>
      <c r="N76" s="124"/>
      <c r="O76" s="125"/>
      <c r="P76" s="97"/>
      <c r="Q76" s="131"/>
      <c r="R76" s="126"/>
      <c r="S76" s="97"/>
      <c r="T76" s="97"/>
      <c r="V76" s="108"/>
    </row>
    <row r="77" ht="15.75" customHeight="1">
      <c r="A77" s="91"/>
      <c r="B77" s="129"/>
      <c r="C77" s="98"/>
      <c r="D77" s="97"/>
      <c r="E77" s="122"/>
      <c r="F77" s="121"/>
      <c r="G77" s="97"/>
      <c r="H77" s="98"/>
      <c r="I77" s="105"/>
      <c r="J77" s="97"/>
      <c r="K77" s="113"/>
      <c r="L77" s="114"/>
      <c r="M77" s="102"/>
      <c r="N77" s="103"/>
      <c r="O77" s="125"/>
      <c r="P77" s="97"/>
      <c r="Q77" s="115"/>
      <c r="R77" s="107"/>
      <c r="S77" s="105"/>
      <c r="T77" s="105"/>
      <c r="V77" s="108"/>
    </row>
    <row r="78" ht="15.75" customHeight="1">
      <c r="A78" s="91"/>
      <c r="B78" s="129"/>
      <c r="C78" s="98"/>
      <c r="D78" s="97"/>
      <c r="E78" s="122"/>
      <c r="F78" s="121"/>
      <c r="G78" s="97"/>
      <c r="H78" s="98"/>
      <c r="I78" s="105"/>
      <c r="J78" s="97"/>
      <c r="K78" s="100"/>
      <c r="L78" s="101"/>
      <c r="M78" s="102"/>
      <c r="N78" s="124"/>
      <c r="O78" s="125"/>
      <c r="P78" s="97"/>
      <c r="Q78" s="131"/>
      <c r="R78" s="126"/>
      <c r="S78" s="97"/>
      <c r="T78" s="97"/>
      <c r="V78" s="108"/>
    </row>
    <row r="79" ht="15.75" customHeight="1">
      <c r="A79" s="91"/>
      <c r="B79" s="129"/>
      <c r="C79" s="98"/>
      <c r="D79" s="97"/>
      <c r="E79" s="122"/>
      <c r="F79" s="121"/>
      <c r="G79" s="97"/>
      <c r="H79" s="98"/>
      <c r="I79" s="105"/>
      <c r="J79" s="97"/>
      <c r="K79" s="113"/>
      <c r="L79" s="114"/>
      <c r="M79" s="102"/>
      <c r="N79" s="103"/>
      <c r="O79" s="104"/>
      <c r="P79" s="97"/>
      <c r="Q79" s="130"/>
      <c r="R79" s="107"/>
      <c r="S79" s="105"/>
      <c r="T79" s="105"/>
      <c r="V79" s="108"/>
    </row>
    <row r="80" ht="15.75" customHeight="1">
      <c r="A80" s="91"/>
      <c r="B80" s="129"/>
      <c r="C80" s="107"/>
      <c r="D80" s="97"/>
      <c r="E80" s="122"/>
      <c r="F80" s="121"/>
      <c r="G80" s="97"/>
      <c r="H80" s="98"/>
      <c r="I80" s="105"/>
      <c r="J80" s="97"/>
      <c r="K80" s="100"/>
      <c r="L80" s="101"/>
      <c r="M80" s="102"/>
      <c r="N80" s="103"/>
      <c r="O80" s="104"/>
      <c r="P80" s="97"/>
      <c r="Q80" s="115"/>
      <c r="R80" s="136"/>
      <c r="S80" s="105"/>
      <c r="T80" s="105"/>
      <c r="V80" s="108"/>
    </row>
    <row r="81" ht="15.75" customHeight="1">
      <c r="A81" s="91"/>
      <c r="B81" s="129"/>
      <c r="C81" s="107"/>
      <c r="D81" s="97"/>
      <c r="E81" s="122"/>
      <c r="F81" s="121"/>
      <c r="G81" s="97"/>
      <c r="H81" s="98"/>
      <c r="I81" s="105"/>
      <c r="J81" s="97"/>
      <c r="K81" s="113"/>
      <c r="L81" s="114"/>
      <c r="M81" s="102"/>
      <c r="N81" s="103"/>
      <c r="O81" s="104"/>
      <c r="P81" s="97"/>
      <c r="Q81" s="115"/>
      <c r="R81" s="107"/>
      <c r="S81" s="105"/>
      <c r="T81" s="105"/>
      <c r="V81" s="108"/>
    </row>
    <row r="82" ht="15.75" customHeight="1">
      <c r="A82" s="91"/>
      <c r="B82" s="129"/>
      <c r="C82" s="98"/>
      <c r="D82" s="97"/>
      <c r="E82" s="122"/>
      <c r="F82" s="121"/>
      <c r="G82" s="97"/>
      <c r="H82" s="98"/>
      <c r="I82" s="105"/>
      <c r="J82" s="97"/>
      <c r="K82" s="100"/>
      <c r="L82" s="101"/>
      <c r="M82" s="102"/>
      <c r="N82" s="124"/>
      <c r="O82" s="125"/>
      <c r="P82" s="97"/>
      <c r="Q82" s="131"/>
      <c r="R82" s="126"/>
      <c r="S82" s="97"/>
      <c r="T82" s="97"/>
      <c r="V82" s="108"/>
    </row>
    <row r="83" ht="15.75" customHeight="1">
      <c r="A83" s="91"/>
      <c r="B83" s="129"/>
      <c r="C83" s="98"/>
      <c r="D83" s="97"/>
      <c r="E83" s="122"/>
      <c r="F83" s="121"/>
      <c r="G83" s="97"/>
      <c r="H83" s="98"/>
      <c r="I83" s="105"/>
      <c r="J83" s="97"/>
      <c r="K83" s="113"/>
      <c r="L83" s="114"/>
      <c r="M83" s="102"/>
      <c r="N83" s="124"/>
      <c r="O83" s="125"/>
      <c r="P83" s="97"/>
      <c r="Q83" s="97"/>
      <c r="R83" s="126"/>
      <c r="S83" s="97"/>
      <c r="T83" s="97"/>
      <c r="V83" s="108"/>
    </row>
    <row r="84" ht="15.75" customHeight="1">
      <c r="A84" s="91"/>
      <c r="B84" s="129"/>
      <c r="C84" s="137"/>
      <c r="D84" s="97"/>
      <c r="E84" s="122"/>
      <c r="F84" s="121"/>
      <c r="G84" s="97"/>
      <c r="H84" s="98"/>
      <c r="I84" s="105"/>
      <c r="J84" s="97"/>
      <c r="K84" s="100"/>
      <c r="L84" s="101"/>
      <c r="M84" s="102"/>
      <c r="N84" s="124"/>
      <c r="O84" s="125"/>
      <c r="P84" s="97"/>
      <c r="Q84" s="131"/>
      <c r="R84" s="126"/>
      <c r="S84" s="97"/>
      <c r="T84" s="97"/>
      <c r="V84" s="108"/>
    </row>
    <row r="85" ht="15.75" customHeight="1">
      <c r="A85" s="91"/>
      <c r="B85" s="129"/>
      <c r="C85" s="99"/>
      <c r="D85" s="97"/>
      <c r="E85" s="122"/>
      <c r="F85" s="121"/>
      <c r="G85" s="97"/>
      <c r="H85" s="98"/>
      <c r="I85" s="105"/>
      <c r="J85" s="97"/>
      <c r="K85" s="113"/>
      <c r="L85" s="114"/>
      <c r="M85" s="102"/>
      <c r="N85" s="103"/>
      <c r="O85" s="104"/>
      <c r="P85" s="97"/>
      <c r="Q85" s="130"/>
      <c r="R85" s="116"/>
      <c r="S85" s="105"/>
      <c r="T85" s="105"/>
      <c r="V85" s="108"/>
    </row>
    <row r="86" ht="15.75" customHeight="1">
      <c r="A86" s="91"/>
      <c r="B86" s="129"/>
      <c r="C86" s="98"/>
      <c r="D86" s="97"/>
      <c r="E86" s="122"/>
      <c r="F86" s="121"/>
      <c r="G86" s="97"/>
      <c r="H86" s="98"/>
      <c r="I86" s="105"/>
      <c r="J86" s="97"/>
      <c r="K86" s="100"/>
      <c r="L86" s="101"/>
      <c r="M86" s="102"/>
      <c r="N86" s="124"/>
      <c r="O86" s="104"/>
      <c r="P86" s="97"/>
      <c r="Q86" s="131"/>
      <c r="R86" s="107"/>
      <c r="S86" s="105"/>
      <c r="T86" s="105"/>
      <c r="V86" s="108"/>
    </row>
    <row r="87" ht="15.75" customHeight="1">
      <c r="A87" s="91"/>
      <c r="B87" s="129"/>
      <c r="C87" s="98"/>
      <c r="D87" s="97"/>
      <c r="E87" s="122"/>
      <c r="F87" s="121"/>
      <c r="G87" s="97"/>
      <c r="H87" s="98"/>
      <c r="I87" s="105"/>
      <c r="J87" s="97"/>
      <c r="K87" s="113"/>
      <c r="L87" s="114"/>
      <c r="M87" s="102"/>
      <c r="N87" s="103"/>
      <c r="O87" s="104"/>
      <c r="P87" s="97"/>
      <c r="Q87" s="115"/>
      <c r="R87" s="107"/>
      <c r="S87" s="105"/>
      <c r="T87" s="105"/>
      <c r="V87" s="108"/>
    </row>
    <row r="88" ht="15.75" customHeight="1">
      <c r="A88" s="91"/>
      <c r="B88" s="129"/>
      <c r="C88" s="98"/>
      <c r="D88" s="97"/>
      <c r="E88" s="122"/>
      <c r="F88" s="121"/>
      <c r="G88" s="97"/>
      <c r="H88" s="98"/>
      <c r="I88" s="105"/>
      <c r="J88" s="97"/>
      <c r="K88" s="100"/>
      <c r="L88" s="101"/>
      <c r="M88" s="102"/>
      <c r="N88" s="124"/>
      <c r="O88" s="125"/>
      <c r="P88" s="97"/>
      <c r="Q88" s="97"/>
      <c r="R88" s="126"/>
      <c r="S88" s="97"/>
      <c r="T88" s="97"/>
      <c r="V88" s="108"/>
    </row>
    <row r="89" ht="15.75" customHeight="1">
      <c r="A89" s="91"/>
      <c r="B89" s="129"/>
      <c r="C89" s="138"/>
      <c r="D89" s="97"/>
      <c r="E89" s="122"/>
      <c r="F89" s="139"/>
      <c r="G89" s="97"/>
      <c r="H89" s="98"/>
      <c r="I89" s="105"/>
      <c r="J89" s="97"/>
      <c r="K89" s="113"/>
      <c r="L89" s="114"/>
      <c r="M89" s="102"/>
      <c r="N89" s="103"/>
      <c r="O89" s="104"/>
      <c r="P89" s="97"/>
      <c r="Q89" s="105"/>
      <c r="R89" s="107"/>
      <c r="S89" s="105"/>
      <c r="T89" s="105"/>
      <c r="V89" s="108"/>
    </row>
    <row r="90" ht="15.75" customHeight="1">
      <c r="A90" s="91"/>
      <c r="B90" s="129"/>
      <c r="C90" s="140"/>
      <c r="D90" s="97"/>
      <c r="E90" s="122"/>
      <c r="F90" s="121"/>
      <c r="G90" s="97"/>
      <c r="H90" s="98"/>
      <c r="I90" s="105"/>
      <c r="J90" s="97"/>
      <c r="K90" s="100"/>
      <c r="L90" s="101"/>
      <c r="M90" s="102"/>
      <c r="N90" s="124"/>
      <c r="O90" s="125"/>
      <c r="P90" s="97"/>
      <c r="Q90" s="97"/>
      <c r="R90" s="126"/>
      <c r="S90" s="97"/>
      <c r="T90" s="97"/>
      <c r="V90" s="108"/>
    </row>
    <row r="91" ht="15.75" customHeight="1">
      <c r="A91" s="91"/>
      <c r="B91" s="129"/>
      <c r="C91" s="138"/>
      <c r="D91" s="97"/>
      <c r="E91" s="122"/>
      <c r="F91" s="121"/>
      <c r="G91" s="97"/>
      <c r="H91" s="98"/>
      <c r="I91" s="105"/>
      <c r="J91" s="97"/>
      <c r="K91" s="113"/>
      <c r="L91" s="114"/>
      <c r="M91" s="102"/>
      <c r="N91" s="103"/>
      <c r="O91" s="104"/>
      <c r="P91" s="97"/>
      <c r="Q91" s="130"/>
      <c r="R91" s="107"/>
      <c r="S91" s="105"/>
      <c r="T91" s="105"/>
      <c r="V91" s="108"/>
    </row>
    <row r="92" ht="15.75" customHeight="1">
      <c r="A92" s="91"/>
      <c r="B92" s="129"/>
      <c r="C92" s="140"/>
      <c r="D92" s="97"/>
      <c r="E92" s="121"/>
      <c r="F92" s="121"/>
      <c r="G92" s="97"/>
      <c r="H92" s="98"/>
      <c r="I92" s="105"/>
      <c r="J92" s="97"/>
      <c r="K92" s="100"/>
      <c r="L92" s="101"/>
      <c r="M92" s="102"/>
      <c r="N92" s="124"/>
      <c r="O92" s="125"/>
      <c r="P92" s="97"/>
      <c r="Q92" s="131"/>
      <c r="R92" s="126"/>
      <c r="S92" s="97"/>
      <c r="T92" s="97"/>
      <c r="V92" s="108"/>
    </row>
    <row r="93" ht="15.75" customHeight="1">
      <c r="A93" s="91"/>
      <c r="B93" s="129"/>
      <c r="C93" s="98"/>
      <c r="D93" s="97"/>
      <c r="E93" s="122"/>
      <c r="F93" s="121"/>
      <c r="G93" s="97"/>
      <c r="H93" s="98"/>
      <c r="I93" s="105"/>
      <c r="J93" s="97"/>
      <c r="K93" s="113"/>
      <c r="L93" s="114"/>
      <c r="M93" s="102"/>
      <c r="N93" s="124"/>
      <c r="O93" s="125"/>
      <c r="P93" s="97"/>
      <c r="Q93" s="97"/>
      <c r="R93" s="126"/>
      <c r="S93" s="97"/>
      <c r="T93" s="97"/>
      <c r="V93" s="108"/>
    </row>
    <row r="94" ht="15.75" customHeight="1">
      <c r="A94" s="91"/>
      <c r="B94" s="129"/>
      <c r="C94" s="98"/>
      <c r="D94" s="97"/>
      <c r="E94" s="122"/>
      <c r="F94" s="121"/>
      <c r="G94" s="97"/>
      <c r="H94" s="98"/>
      <c r="I94" s="105"/>
      <c r="J94" s="97"/>
      <c r="K94" s="100"/>
      <c r="L94" s="101"/>
      <c r="M94" s="102"/>
      <c r="N94" s="103"/>
      <c r="O94" s="104"/>
      <c r="P94" s="97"/>
      <c r="Q94" s="115"/>
      <c r="R94" s="107"/>
      <c r="S94" s="105"/>
      <c r="T94" s="105"/>
      <c r="V94" s="108"/>
    </row>
    <row r="95" ht="15.75" customHeight="1">
      <c r="A95" s="91"/>
      <c r="B95" s="129"/>
      <c r="C95" s="98"/>
      <c r="D95" s="97"/>
      <c r="E95" s="122"/>
      <c r="F95" s="121"/>
      <c r="G95" s="97"/>
      <c r="H95" s="98"/>
      <c r="I95" s="105"/>
      <c r="J95" s="97"/>
      <c r="K95" s="113"/>
      <c r="L95" s="114"/>
      <c r="M95" s="102"/>
      <c r="N95" s="124"/>
      <c r="O95" s="125"/>
      <c r="P95" s="97"/>
      <c r="Q95" s="97"/>
      <c r="R95" s="126"/>
      <c r="S95" s="97"/>
      <c r="T95" s="97"/>
      <c r="V95" s="108"/>
    </row>
    <row r="96" ht="15.75" customHeight="1">
      <c r="A96" s="91"/>
      <c r="B96" s="129"/>
      <c r="C96" s="98"/>
      <c r="D96" s="97"/>
      <c r="E96" s="141"/>
      <c r="F96" s="121"/>
      <c r="G96" s="97"/>
      <c r="H96" s="98"/>
      <c r="I96" s="105"/>
      <c r="J96" s="97"/>
      <c r="K96" s="100"/>
      <c r="L96" s="101"/>
      <c r="M96" s="102"/>
      <c r="N96" s="124"/>
      <c r="O96" s="125"/>
      <c r="P96" s="97"/>
      <c r="Q96" s="131"/>
      <c r="R96" s="126"/>
      <c r="S96" s="97"/>
      <c r="T96" s="97"/>
      <c r="V96" s="108"/>
    </row>
    <row r="97" ht="15.75" customHeight="1">
      <c r="A97" s="91"/>
      <c r="B97" s="129"/>
      <c r="C97" s="107"/>
      <c r="D97" s="97"/>
      <c r="E97" s="122"/>
      <c r="F97" s="121"/>
      <c r="G97" s="97"/>
      <c r="H97" s="98"/>
      <c r="I97" s="105"/>
      <c r="J97" s="97"/>
      <c r="K97" s="113"/>
      <c r="L97" s="114"/>
      <c r="M97" s="102"/>
      <c r="N97" s="124"/>
      <c r="O97" s="125"/>
      <c r="P97" s="97"/>
      <c r="Q97" s="130"/>
      <c r="R97" s="107"/>
      <c r="S97" s="97"/>
      <c r="T97" s="105"/>
      <c r="V97" s="108"/>
    </row>
    <row r="98" ht="15.75" customHeight="1">
      <c r="A98" s="91"/>
      <c r="B98" s="129"/>
      <c r="C98" s="107"/>
      <c r="D98" s="97"/>
      <c r="E98" s="122"/>
      <c r="F98" s="121"/>
      <c r="G98" s="97"/>
      <c r="H98" s="98"/>
      <c r="I98" s="105"/>
      <c r="J98" s="97"/>
      <c r="K98" s="100"/>
      <c r="L98" s="101"/>
      <c r="M98" s="102"/>
      <c r="N98" s="124"/>
      <c r="O98" s="125"/>
      <c r="P98" s="97"/>
      <c r="Q98" s="130"/>
      <c r="R98" s="107"/>
      <c r="S98" s="97"/>
      <c r="T98" s="105"/>
      <c r="V98" s="108"/>
    </row>
    <row r="99" ht="15.75" customHeight="1">
      <c r="A99" s="91"/>
      <c r="B99" s="129"/>
      <c r="C99" s="98"/>
      <c r="D99" s="97"/>
      <c r="E99" s="92"/>
      <c r="F99" s="123"/>
      <c r="G99" s="97"/>
      <c r="H99" s="98"/>
      <c r="I99" s="105"/>
      <c r="J99" s="97"/>
      <c r="K99" s="113"/>
      <c r="L99" s="114"/>
      <c r="M99" s="102"/>
      <c r="N99" s="124"/>
      <c r="O99" s="125"/>
      <c r="P99" s="97"/>
      <c r="Q99" s="131"/>
      <c r="R99" s="126"/>
      <c r="S99" s="97"/>
      <c r="T99" s="97"/>
      <c r="V99" s="108"/>
    </row>
    <row r="100" ht="15.75" customHeight="1">
      <c r="A100" s="91"/>
      <c r="B100" s="129"/>
      <c r="C100" s="98"/>
      <c r="D100" s="97"/>
      <c r="E100" s="122"/>
      <c r="F100" s="121"/>
      <c r="G100" s="97"/>
      <c r="H100" s="98"/>
      <c r="I100" s="105"/>
      <c r="J100" s="97"/>
      <c r="K100" s="100"/>
      <c r="L100" s="101"/>
      <c r="M100" s="102"/>
      <c r="N100" s="124"/>
      <c r="O100" s="125"/>
      <c r="P100" s="97"/>
      <c r="Q100" s="97"/>
      <c r="R100" s="126"/>
      <c r="S100" s="97"/>
      <c r="T100" s="97"/>
      <c r="V100" s="108"/>
    </row>
    <row r="101" ht="15.75" customHeight="1">
      <c r="A101" s="91"/>
      <c r="B101" s="129"/>
      <c r="C101" s="98"/>
      <c r="D101" s="97"/>
      <c r="E101" s="122"/>
      <c r="F101" s="121"/>
      <c r="G101" s="97"/>
      <c r="H101" s="98"/>
      <c r="I101" s="105"/>
      <c r="J101" s="97"/>
      <c r="K101" s="113"/>
      <c r="L101" s="114"/>
      <c r="M101" s="102"/>
      <c r="N101" s="103"/>
      <c r="O101" s="104"/>
      <c r="P101" s="97"/>
      <c r="Q101" s="115"/>
      <c r="R101" s="116"/>
      <c r="S101" s="105"/>
      <c r="T101" s="105"/>
      <c r="V101" s="108"/>
    </row>
    <row r="102" ht="15.75" customHeight="1">
      <c r="A102" s="91"/>
      <c r="B102" s="142"/>
      <c r="C102" s="143"/>
      <c r="D102" s="97"/>
      <c r="E102" s="144"/>
      <c r="F102" s="139"/>
      <c r="G102" s="97"/>
      <c r="H102" s="98"/>
      <c r="I102" s="105"/>
      <c r="J102" s="97"/>
      <c r="K102" s="100"/>
      <c r="L102" s="101"/>
      <c r="M102" s="102"/>
      <c r="N102" s="103"/>
      <c r="O102" s="125"/>
      <c r="P102" s="97"/>
      <c r="Q102" s="131"/>
      <c r="R102" s="126"/>
      <c r="S102" s="105"/>
      <c r="T102" s="97"/>
      <c r="V102" s="108"/>
    </row>
    <row r="103" ht="15.75" customHeight="1">
      <c r="A103" s="91"/>
      <c r="B103" s="142"/>
      <c r="C103" s="143"/>
      <c r="D103" s="97"/>
      <c r="E103" s="144"/>
      <c r="F103" s="144"/>
      <c r="G103" s="97"/>
      <c r="H103" s="98"/>
      <c r="I103" s="105"/>
      <c r="J103" s="97"/>
      <c r="K103" s="113"/>
      <c r="L103" s="114"/>
      <c r="M103" s="102"/>
      <c r="N103" s="103"/>
      <c r="O103" s="125"/>
      <c r="P103" s="97"/>
      <c r="Q103" s="97"/>
      <c r="R103" s="126"/>
      <c r="S103" s="105"/>
      <c r="T103" s="97"/>
      <c r="V103" s="108"/>
    </row>
    <row r="104" ht="15.75" customHeight="1">
      <c r="A104" s="91"/>
      <c r="B104" s="142"/>
      <c r="C104" s="108"/>
      <c r="D104" s="97"/>
      <c r="E104" s="144"/>
      <c r="F104" s="144"/>
      <c r="G104" s="97"/>
      <c r="H104" s="98"/>
      <c r="I104" s="105"/>
      <c r="J104" s="97"/>
      <c r="K104" s="100"/>
      <c r="L104" s="101"/>
      <c r="M104" s="102"/>
      <c r="N104" s="103"/>
      <c r="O104" s="125"/>
      <c r="P104" s="97"/>
      <c r="Q104" s="131"/>
      <c r="R104" s="126"/>
      <c r="S104" s="105"/>
      <c r="T104" s="97"/>
      <c r="V104" s="108"/>
    </row>
    <row r="105" ht="15.75" customHeight="1">
      <c r="A105" s="91"/>
      <c r="B105" s="142"/>
      <c r="C105" s="108"/>
      <c r="D105" s="97"/>
      <c r="E105" s="144"/>
      <c r="F105" s="144"/>
      <c r="G105" s="97"/>
      <c r="H105" s="98"/>
      <c r="I105" s="105"/>
      <c r="J105" s="97"/>
      <c r="K105" s="113"/>
      <c r="L105" s="114"/>
      <c r="M105" s="102"/>
      <c r="N105" s="103"/>
      <c r="O105" s="125"/>
      <c r="P105" s="97"/>
      <c r="Q105" s="131"/>
      <c r="R105" s="126"/>
      <c r="S105" s="105"/>
      <c r="T105" s="97"/>
      <c r="V105" s="108"/>
    </row>
    <row r="106" ht="15.75" customHeight="1">
      <c r="A106" s="91"/>
      <c r="B106" s="142"/>
      <c r="C106" s="143"/>
      <c r="D106" s="97"/>
      <c r="E106" s="144"/>
      <c r="F106" s="144"/>
      <c r="G106" s="97"/>
      <c r="H106" s="98"/>
      <c r="I106" s="105"/>
      <c r="J106" s="97"/>
      <c r="K106" s="100"/>
      <c r="L106" s="101"/>
      <c r="M106" s="102"/>
      <c r="N106" s="103"/>
      <c r="O106" s="125"/>
      <c r="P106" s="97"/>
      <c r="Q106" s="131"/>
      <c r="R106" s="126"/>
      <c r="S106" s="105"/>
      <c r="T106" s="97"/>
      <c r="V106" s="108"/>
    </row>
    <row r="107" ht="15.75" customHeight="1">
      <c r="A107" s="91"/>
      <c r="B107" s="142"/>
      <c r="C107" s="143"/>
      <c r="D107" s="97"/>
      <c r="E107" s="144"/>
      <c r="F107" s="144"/>
      <c r="G107" s="97"/>
      <c r="H107" s="98"/>
      <c r="I107" s="105"/>
      <c r="J107" s="97"/>
      <c r="K107" s="113"/>
      <c r="L107" s="114"/>
      <c r="M107" s="102"/>
      <c r="N107" s="103"/>
      <c r="O107" s="125"/>
      <c r="P107" s="97"/>
      <c r="Q107" s="97"/>
      <c r="R107" s="126"/>
      <c r="S107" s="105"/>
      <c r="T107" s="97"/>
      <c r="V107" s="108"/>
    </row>
    <row r="108" ht="15.75" customHeight="1">
      <c r="A108" s="91"/>
      <c r="B108" s="142"/>
      <c r="C108" s="143"/>
      <c r="D108" s="97"/>
      <c r="E108" s="144"/>
      <c r="F108" s="144"/>
      <c r="G108" s="97"/>
      <c r="H108" s="98"/>
      <c r="I108" s="105"/>
      <c r="J108" s="97"/>
      <c r="K108" s="100"/>
      <c r="L108" s="101"/>
      <c r="M108" s="102"/>
      <c r="N108" s="103"/>
      <c r="O108" s="125"/>
      <c r="P108" s="97"/>
      <c r="Q108" s="131"/>
      <c r="R108" s="126"/>
      <c r="S108" s="105"/>
      <c r="T108" s="97"/>
      <c r="V108" s="108"/>
    </row>
    <row r="109" ht="15.75" customHeight="1">
      <c r="A109" s="91"/>
      <c r="B109" s="142"/>
      <c r="C109" s="143"/>
      <c r="D109" s="97"/>
      <c r="E109" s="144"/>
      <c r="F109" s="144"/>
      <c r="G109" s="97"/>
      <c r="H109" s="143"/>
      <c r="I109" s="145"/>
      <c r="J109" s="97"/>
      <c r="K109" s="113"/>
      <c r="L109" s="114"/>
      <c r="M109" s="102"/>
      <c r="N109" s="124"/>
      <c r="O109" s="125"/>
      <c r="P109" s="97"/>
      <c r="Q109" s="97"/>
      <c r="R109" s="126"/>
      <c r="S109" s="97"/>
      <c r="T109" s="97"/>
      <c r="V109" s="108"/>
    </row>
    <row r="110" ht="15.75" customHeight="1">
      <c r="A110" s="91"/>
      <c r="B110" s="142"/>
      <c r="C110" s="143"/>
      <c r="D110" s="97"/>
      <c r="E110" s="144"/>
      <c r="F110" s="144"/>
      <c r="G110" s="97"/>
      <c r="H110" s="143"/>
      <c r="I110" s="97"/>
      <c r="J110" s="97"/>
      <c r="K110" s="100"/>
      <c r="L110" s="101"/>
      <c r="M110" s="102"/>
      <c r="N110" s="124"/>
      <c r="O110" s="125"/>
      <c r="P110" s="97"/>
      <c r="Q110" s="131"/>
      <c r="R110" s="126"/>
      <c r="S110" s="97"/>
      <c r="T110" s="97"/>
      <c r="V110" s="108"/>
    </row>
    <row r="111" ht="15.75" customHeight="1">
      <c r="A111" s="91"/>
      <c r="B111" s="142"/>
      <c r="C111" s="108"/>
      <c r="D111" s="97"/>
      <c r="E111" s="144"/>
      <c r="F111" s="144"/>
      <c r="G111" s="97"/>
      <c r="H111" s="143"/>
      <c r="I111" s="97"/>
      <c r="J111" s="97"/>
      <c r="K111" s="113"/>
      <c r="L111" s="114"/>
      <c r="M111" s="102"/>
      <c r="N111" s="124"/>
      <c r="O111" s="125"/>
      <c r="P111" s="97"/>
      <c r="Q111" s="97"/>
      <c r="R111" s="126"/>
      <c r="S111" s="97"/>
      <c r="T111" s="97"/>
      <c r="V111" s="108"/>
    </row>
    <row r="112" ht="15.75" customHeight="1">
      <c r="A112" s="91"/>
      <c r="B112" s="142"/>
      <c r="C112" s="108"/>
      <c r="D112" s="97"/>
      <c r="E112" s="144"/>
      <c r="F112" s="144"/>
      <c r="G112" s="97"/>
      <c r="H112" s="143"/>
      <c r="I112" s="97"/>
      <c r="J112" s="97"/>
      <c r="K112" s="100"/>
      <c r="L112" s="101"/>
      <c r="M112" s="102"/>
      <c r="N112" s="124"/>
      <c r="O112" s="125"/>
      <c r="P112" s="97"/>
      <c r="Q112" s="97"/>
      <c r="R112" s="126"/>
      <c r="S112" s="97"/>
      <c r="T112" s="97"/>
      <c r="V112" s="108"/>
    </row>
    <row r="113" ht="15.75" customHeight="1">
      <c r="A113" s="91"/>
      <c r="B113" s="142"/>
      <c r="C113" s="108"/>
      <c r="D113" s="97"/>
      <c r="E113" s="144"/>
      <c r="F113" s="144"/>
      <c r="G113" s="97"/>
      <c r="H113" s="143"/>
      <c r="I113" s="97"/>
      <c r="J113" s="97"/>
      <c r="K113" s="113"/>
      <c r="L113" s="114"/>
      <c r="M113" s="102"/>
      <c r="N113" s="124"/>
      <c r="O113" s="125"/>
      <c r="P113" s="97"/>
      <c r="Q113" s="97"/>
      <c r="R113" s="126"/>
      <c r="S113" s="97"/>
      <c r="T113" s="97"/>
      <c r="V113" s="108"/>
    </row>
    <row r="114" ht="15.75" customHeight="1">
      <c r="A114" s="91"/>
      <c r="B114" s="142"/>
      <c r="C114" s="143"/>
      <c r="D114" s="97"/>
      <c r="E114" s="144"/>
      <c r="F114" s="144"/>
      <c r="G114" s="97"/>
      <c r="H114" s="143"/>
      <c r="I114" s="97"/>
      <c r="J114" s="97"/>
      <c r="K114" s="100"/>
      <c r="L114" s="101"/>
      <c r="M114" s="102"/>
      <c r="N114" s="124"/>
      <c r="O114" s="125"/>
      <c r="P114" s="97"/>
      <c r="Q114" s="97"/>
      <c r="R114" s="126"/>
      <c r="S114" s="97"/>
      <c r="T114" s="97"/>
      <c r="V114" s="108"/>
    </row>
    <row r="115" ht="15.75" customHeight="1">
      <c r="A115" s="91"/>
      <c r="B115" s="142"/>
      <c r="C115" s="143"/>
      <c r="D115" s="97"/>
      <c r="E115" s="144"/>
      <c r="F115" s="144"/>
      <c r="G115" s="97"/>
      <c r="H115" s="143"/>
      <c r="I115" s="97"/>
      <c r="J115" s="97"/>
      <c r="K115" s="113"/>
      <c r="L115" s="114"/>
      <c r="M115" s="102"/>
      <c r="N115" s="124"/>
      <c r="O115" s="125"/>
      <c r="P115" s="97"/>
      <c r="Q115" s="97"/>
      <c r="R115" s="126"/>
      <c r="S115" s="97"/>
      <c r="T115" s="97"/>
      <c r="V115" s="108"/>
    </row>
    <row r="116" ht="15.75" customHeight="1">
      <c r="A116" s="91"/>
      <c r="B116" s="142"/>
      <c r="C116" s="143"/>
      <c r="D116" s="97"/>
      <c r="E116" s="144"/>
      <c r="F116" s="144"/>
      <c r="G116" s="97"/>
      <c r="H116" s="143"/>
      <c r="I116" s="97"/>
      <c r="J116" s="97"/>
      <c r="K116" s="100"/>
      <c r="L116" s="101"/>
      <c r="M116" s="102"/>
      <c r="N116" s="124"/>
      <c r="O116" s="125"/>
      <c r="P116" s="97"/>
      <c r="Q116" s="97"/>
      <c r="R116" s="126"/>
      <c r="S116" s="97"/>
      <c r="T116" s="97"/>
      <c r="V116" s="108"/>
    </row>
    <row r="117" ht="15.75" customHeight="1">
      <c r="A117" s="91"/>
      <c r="B117" s="142"/>
      <c r="C117" s="143"/>
      <c r="D117" s="97"/>
      <c r="E117" s="144"/>
      <c r="F117" s="144"/>
      <c r="G117" s="97"/>
      <c r="H117" s="143"/>
      <c r="I117" s="97"/>
      <c r="J117" s="97"/>
      <c r="K117" s="113"/>
      <c r="L117" s="114"/>
      <c r="M117" s="102"/>
      <c r="N117" s="124"/>
      <c r="O117" s="125"/>
      <c r="P117" s="97"/>
      <c r="Q117" s="97"/>
      <c r="R117" s="126"/>
      <c r="S117" s="97"/>
      <c r="T117" s="97"/>
      <c r="V117" s="108"/>
    </row>
    <row r="118" ht="15.75" customHeight="1">
      <c r="A118" s="91"/>
      <c r="B118" s="142"/>
      <c r="C118" s="143"/>
      <c r="D118" s="97"/>
      <c r="E118" s="144"/>
      <c r="F118" s="144"/>
      <c r="G118" s="97"/>
      <c r="H118" s="143"/>
      <c r="I118" s="97"/>
      <c r="J118" s="97"/>
      <c r="K118" s="100"/>
      <c r="L118" s="101"/>
      <c r="M118" s="102"/>
      <c r="N118" s="124"/>
      <c r="O118" s="125"/>
      <c r="P118" s="97"/>
      <c r="Q118" s="131"/>
      <c r="R118" s="126"/>
      <c r="S118" s="97"/>
      <c r="T118" s="97"/>
      <c r="V118" s="108"/>
    </row>
    <row r="119" ht="15.75" customHeight="1">
      <c r="A119" s="91"/>
      <c r="B119" s="142"/>
      <c r="C119" s="108"/>
      <c r="D119" s="97"/>
      <c r="E119" s="144"/>
      <c r="F119" s="144"/>
      <c r="G119" s="97"/>
      <c r="H119" s="143"/>
      <c r="I119" s="97"/>
      <c r="J119" s="97"/>
      <c r="K119" s="113"/>
      <c r="L119" s="114"/>
      <c r="M119" s="102"/>
      <c r="N119" s="124"/>
      <c r="O119" s="125"/>
      <c r="P119" s="97"/>
      <c r="Q119" s="97"/>
      <c r="R119" s="126"/>
      <c r="S119" s="97"/>
      <c r="T119" s="97"/>
      <c r="V119" s="108"/>
    </row>
    <row r="120" ht="15.75" customHeight="1">
      <c r="A120" s="91"/>
      <c r="B120" s="142"/>
      <c r="C120" s="108"/>
      <c r="D120" s="97"/>
      <c r="E120" s="144"/>
      <c r="F120" s="144"/>
      <c r="G120" s="97"/>
      <c r="H120" s="143"/>
      <c r="I120" s="97"/>
      <c r="J120" s="97"/>
      <c r="K120" s="100"/>
      <c r="L120" s="101"/>
      <c r="M120" s="102"/>
      <c r="N120" s="124"/>
      <c r="O120" s="125"/>
      <c r="P120" s="97"/>
      <c r="Q120" s="97"/>
      <c r="R120" s="126"/>
      <c r="S120" s="97"/>
      <c r="T120" s="97"/>
      <c r="V120" s="108"/>
    </row>
    <row r="121" ht="15.75" customHeight="1">
      <c r="A121" s="91"/>
      <c r="B121" s="142"/>
      <c r="C121" s="108"/>
      <c r="D121" s="97"/>
      <c r="E121" s="144"/>
      <c r="F121" s="144"/>
      <c r="G121" s="97"/>
      <c r="H121" s="143"/>
      <c r="I121" s="97"/>
      <c r="J121" s="97"/>
      <c r="K121" s="113"/>
      <c r="L121" s="114"/>
      <c r="M121" s="102"/>
      <c r="N121" s="124"/>
      <c r="O121" s="125"/>
      <c r="P121" s="97"/>
      <c r="Q121" s="131"/>
      <c r="R121" s="126"/>
      <c r="S121" s="97"/>
      <c r="T121" s="97"/>
      <c r="V121" s="108"/>
    </row>
    <row r="122" ht="15.75" customHeight="1">
      <c r="A122" s="91"/>
      <c r="B122" s="142"/>
      <c r="C122" s="143"/>
      <c r="D122" s="97"/>
      <c r="E122" s="144"/>
      <c r="F122" s="144"/>
      <c r="G122" s="97"/>
      <c r="H122" s="143"/>
      <c r="I122" s="97"/>
      <c r="J122" s="97"/>
      <c r="K122" s="100"/>
      <c r="L122" s="101"/>
      <c r="M122" s="102"/>
      <c r="N122" s="124"/>
      <c r="O122" s="125"/>
      <c r="P122" s="97"/>
      <c r="Q122" s="131"/>
      <c r="R122" s="126"/>
      <c r="S122" s="97"/>
      <c r="T122" s="97"/>
      <c r="V122" s="108"/>
    </row>
    <row r="123" ht="15.75" customHeight="1">
      <c r="A123" s="91"/>
      <c r="B123" s="142"/>
      <c r="C123" s="143"/>
      <c r="D123" s="97"/>
      <c r="E123" s="144"/>
      <c r="F123" s="144"/>
      <c r="G123" s="97"/>
      <c r="H123" s="143"/>
      <c r="I123" s="97"/>
      <c r="J123" s="97"/>
      <c r="K123" s="113"/>
      <c r="L123" s="114"/>
      <c r="M123" s="102"/>
      <c r="N123" s="124"/>
      <c r="O123" s="125"/>
      <c r="P123" s="97"/>
      <c r="Q123" s="131"/>
      <c r="R123" s="126"/>
      <c r="S123" s="97"/>
      <c r="T123" s="97"/>
      <c r="V123" s="108"/>
    </row>
    <row r="124" ht="15.75" customHeight="1">
      <c r="A124" s="91"/>
      <c r="B124" s="142"/>
      <c r="C124" s="143"/>
      <c r="D124" s="97"/>
      <c r="E124" s="144"/>
      <c r="F124" s="144"/>
      <c r="G124" s="97"/>
      <c r="H124" s="143"/>
      <c r="I124" s="97"/>
      <c r="J124" s="97"/>
      <c r="K124" s="100"/>
      <c r="L124" s="101"/>
      <c r="M124" s="102"/>
      <c r="N124" s="124"/>
      <c r="O124" s="125"/>
      <c r="P124" s="97"/>
      <c r="Q124" s="131"/>
      <c r="R124" s="126"/>
      <c r="S124" s="97"/>
      <c r="T124" s="97"/>
      <c r="V124" s="108"/>
    </row>
    <row r="125" ht="15.75" customHeight="1">
      <c r="A125" s="91"/>
      <c r="B125" s="142"/>
      <c r="C125" s="143"/>
      <c r="D125" s="97"/>
      <c r="E125" s="144"/>
      <c r="F125" s="144"/>
      <c r="G125" s="97"/>
      <c r="H125" s="143"/>
      <c r="I125" s="97"/>
      <c r="J125" s="97"/>
      <c r="K125" s="113"/>
      <c r="L125" s="114"/>
      <c r="M125" s="102"/>
      <c r="N125" s="124"/>
      <c r="O125" s="125"/>
      <c r="P125" s="97"/>
      <c r="Q125" s="131"/>
      <c r="R125" s="126"/>
      <c r="S125" s="97"/>
      <c r="T125" s="97"/>
      <c r="V125" s="108"/>
    </row>
    <row r="126" ht="15.75" customHeight="1">
      <c r="A126" s="91"/>
      <c r="B126" s="142"/>
      <c r="C126" s="143"/>
      <c r="D126" s="97"/>
      <c r="E126" s="144"/>
      <c r="F126" s="144"/>
      <c r="G126" s="97"/>
      <c r="H126" s="143"/>
      <c r="I126" s="97"/>
      <c r="J126" s="97"/>
      <c r="K126" s="100"/>
      <c r="L126" s="101"/>
      <c r="M126" s="102"/>
      <c r="N126" s="124"/>
      <c r="O126" s="125"/>
      <c r="P126" s="97"/>
      <c r="Q126" s="131"/>
      <c r="R126" s="126"/>
      <c r="S126" s="97"/>
      <c r="T126" s="97"/>
      <c r="V126" s="108"/>
    </row>
    <row r="127" ht="15.75" customHeight="1">
      <c r="A127" s="91"/>
      <c r="B127" s="142"/>
      <c r="C127" s="108"/>
      <c r="D127" s="97"/>
      <c r="E127" s="144"/>
      <c r="F127" s="144"/>
      <c r="G127" s="97"/>
      <c r="H127" s="143"/>
      <c r="I127" s="97"/>
      <c r="J127" s="97"/>
      <c r="K127" s="113"/>
      <c r="L127" s="114"/>
      <c r="M127" s="102"/>
      <c r="N127" s="124"/>
      <c r="O127" s="125"/>
      <c r="P127" s="97"/>
      <c r="Q127" s="97"/>
      <c r="R127" s="126"/>
      <c r="S127" s="97"/>
      <c r="T127" s="97"/>
      <c r="V127" s="108"/>
    </row>
    <row r="128" ht="15.75" customHeight="1">
      <c r="A128" s="91"/>
      <c r="B128" s="142"/>
      <c r="C128" s="108"/>
      <c r="D128" s="97"/>
      <c r="E128" s="144"/>
      <c r="F128" s="144"/>
      <c r="G128" s="97"/>
      <c r="H128" s="143"/>
      <c r="I128" s="97"/>
      <c r="J128" s="97"/>
      <c r="K128" s="100"/>
      <c r="L128" s="101"/>
      <c r="M128" s="102"/>
      <c r="N128" s="124"/>
      <c r="O128" s="125"/>
      <c r="P128" s="97"/>
      <c r="Q128" s="131"/>
      <c r="R128" s="126"/>
      <c r="S128" s="97"/>
      <c r="T128" s="97"/>
      <c r="V128" s="108"/>
    </row>
    <row r="129" ht="15.75" customHeight="1">
      <c r="A129" s="91"/>
      <c r="B129" s="142"/>
      <c r="C129" s="108"/>
      <c r="D129" s="97"/>
      <c r="E129" s="144"/>
      <c r="F129" s="144"/>
      <c r="G129" s="97"/>
      <c r="H129" s="143"/>
      <c r="I129" s="97"/>
      <c r="J129" s="97"/>
      <c r="K129" s="113"/>
      <c r="L129" s="114"/>
      <c r="M129" s="102"/>
      <c r="N129" s="124"/>
      <c r="O129" s="125"/>
      <c r="P129" s="97"/>
      <c r="Q129" s="97"/>
      <c r="R129" s="126"/>
      <c r="S129" s="97"/>
      <c r="T129" s="97"/>
      <c r="V129" s="108"/>
    </row>
    <row r="130" ht="15.75" customHeight="1">
      <c r="A130" s="91"/>
      <c r="B130" s="142"/>
      <c r="C130" s="143"/>
      <c r="D130" s="97"/>
      <c r="E130" s="144"/>
      <c r="F130" s="144"/>
      <c r="G130" s="97"/>
      <c r="H130" s="143"/>
      <c r="I130" s="97"/>
      <c r="J130" s="97"/>
      <c r="K130" s="100"/>
      <c r="L130" s="101"/>
      <c r="M130" s="102"/>
      <c r="N130" s="124"/>
      <c r="O130" s="125"/>
      <c r="P130" s="97"/>
      <c r="Q130" s="97"/>
      <c r="R130" s="126"/>
      <c r="S130" s="97"/>
      <c r="T130" s="97"/>
      <c r="V130" s="108"/>
    </row>
    <row r="131" ht="15.75" customHeight="1">
      <c r="A131" s="91"/>
      <c r="B131" s="142"/>
      <c r="C131" s="143"/>
      <c r="D131" s="97"/>
      <c r="E131" s="144"/>
      <c r="F131" s="144"/>
      <c r="G131" s="97"/>
      <c r="H131" s="143"/>
      <c r="I131" s="97"/>
      <c r="J131" s="97"/>
      <c r="K131" s="113"/>
      <c r="L131" s="114"/>
      <c r="M131" s="102"/>
      <c r="N131" s="124"/>
      <c r="O131" s="125"/>
      <c r="P131" s="97"/>
      <c r="Q131" s="131"/>
      <c r="R131" s="126"/>
      <c r="S131" s="97"/>
      <c r="T131" s="97"/>
      <c r="V131" s="108"/>
    </row>
    <row r="132" ht="15.75" customHeight="1">
      <c r="A132" s="91"/>
      <c r="B132" s="142"/>
      <c r="C132" s="143"/>
      <c r="D132" s="97"/>
      <c r="E132" s="144"/>
      <c r="F132" s="144"/>
      <c r="G132" s="97"/>
      <c r="H132" s="143"/>
      <c r="I132" s="97"/>
      <c r="J132" s="97"/>
      <c r="K132" s="100"/>
      <c r="L132" s="101"/>
      <c r="M132" s="102"/>
      <c r="N132" s="124"/>
      <c r="O132" s="125"/>
      <c r="P132" s="97"/>
      <c r="Q132" s="97"/>
      <c r="R132" s="126"/>
      <c r="S132" s="97"/>
      <c r="T132" s="97"/>
      <c r="V132" s="108"/>
    </row>
    <row r="133" ht="15.75" customHeight="1">
      <c r="A133" s="91"/>
      <c r="B133" s="142"/>
      <c r="C133" s="143"/>
      <c r="D133" s="97"/>
      <c r="E133" s="144"/>
      <c r="F133" s="144"/>
      <c r="G133" s="97"/>
      <c r="H133" s="143"/>
      <c r="I133" s="97"/>
      <c r="J133" s="97"/>
      <c r="K133" s="113"/>
      <c r="L133" s="114"/>
      <c r="M133" s="102"/>
      <c r="N133" s="124"/>
      <c r="O133" s="125"/>
      <c r="P133" s="97"/>
      <c r="Q133" s="97"/>
      <c r="R133" s="126"/>
      <c r="S133" s="97"/>
      <c r="T133" s="97"/>
      <c r="V133" s="108"/>
    </row>
    <row r="134" ht="15.75" customHeight="1">
      <c r="A134" s="91"/>
      <c r="B134" s="142"/>
      <c r="C134" s="143"/>
      <c r="D134" s="97"/>
      <c r="E134" s="144"/>
      <c r="F134" s="144"/>
      <c r="G134" s="97"/>
      <c r="H134" s="143"/>
      <c r="I134" s="97"/>
      <c r="J134" s="97"/>
      <c r="K134" s="100"/>
      <c r="L134" s="101"/>
      <c r="M134" s="102"/>
      <c r="N134" s="124"/>
      <c r="O134" s="125"/>
      <c r="P134" s="97"/>
      <c r="Q134" s="131"/>
      <c r="R134" s="126"/>
      <c r="S134" s="97"/>
      <c r="T134" s="97"/>
      <c r="V134" s="108"/>
    </row>
    <row r="135" ht="15.75" customHeight="1">
      <c r="A135" s="91"/>
      <c r="B135" s="142"/>
      <c r="C135" s="108"/>
      <c r="D135" s="97"/>
      <c r="E135" s="144"/>
      <c r="F135" s="144"/>
      <c r="G135" s="97"/>
      <c r="H135" s="143"/>
      <c r="I135" s="97"/>
      <c r="J135" s="97"/>
      <c r="K135" s="113"/>
      <c r="L135" s="114"/>
      <c r="M135" s="102"/>
      <c r="N135" s="124"/>
      <c r="O135" s="125"/>
      <c r="P135" s="97"/>
      <c r="Q135" s="97"/>
      <c r="R135" s="126"/>
      <c r="S135" s="97"/>
      <c r="T135" s="97"/>
      <c r="V135" s="108"/>
    </row>
    <row r="136" ht="15.75" customHeight="1">
      <c r="A136" s="91"/>
      <c r="B136" s="142"/>
      <c r="C136" s="108"/>
      <c r="D136" s="97"/>
      <c r="E136" s="144"/>
      <c r="F136" s="144"/>
      <c r="G136" s="97"/>
      <c r="H136" s="143"/>
      <c r="I136" s="97"/>
      <c r="J136" s="97"/>
      <c r="K136" s="100"/>
      <c r="L136" s="101"/>
      <c r="M136" s="102"/>
      <c r="N136" s="124"/>
      <c r="O136" s="125"/>
      <c r="P136" s="97"/>
      <c r="Q136" s="131"/>
      <c r="R136" s="126"/>
      <c r="S136" s="97"/>
      <c r="T136" s="97"/>
      <c r="V136" s="108"/>
    </row>
    <row r="137" ht="15.75" customHeight="1">
      <c r="A137" s="91"/>
      <c r="B137" s="142"/>
      <c r="C137" s="108"/>
      <c r="D137" s="97"/>
      <c r="E137" s="144"/>
      <c r="F137" s="144"/>
      <c r="G137" s="97"/>
      <c r="H137" s="143"/>
      <c r="I137" s="97"/>
      <c r="J137" s="97"/>
      <c r="K137" s="113"/>
      <c r="L137" s="114"/>
      <c r="M137" s="102"/>
      <c r="N137" s="124"/>
      <c r="O137" s="125"/>
      <c r="P137" s="97"/>
      <c r="Q137" s="131"/>
      <c r="R137" s="126"/>
      <c r="S137" s="97"/>
      <c r="T137" s="97"/>
      <c r="V137" s="108"/>
    </row>
    <row r="138" ht="15.75" customHeight="1">
      <c r="A138" s="91"/>
      <c r="B138" s="142"/>
      <c r="C138" s="143"/>
      <c r="D138" s="97"/>
      <c r="E138" s="144"/>
      <c r="F138" s="144"/>
      <c r="G138" s="97"/>
      <c r="H138" s="143"/>
      <c r="I138" s="97"/>
      <c r="J138" s="97"/>
      <c r="K138" s="100"/>
      <c r="L138" s="101"/>
      <c r="M138" s="102"/>
      <c r="N138" s="124"/>
      <c r="O138" s="125"/>
      <c r="P138" s="97"/>
      <c r="Q138" s="131"/>
      <c r="R138" s="126"/>
      <c r="S138" s="97"/>
      <c r="T138" s="97"/>
      <c r="V138" s="108"/>
    </row>
    <row r="139" ht="15.75" customHeight="1">
      <c r="A139" s="91"/>
      <c r="B139" s="142"/>
      <c r="C139" s="143"/>
      <c r="D139" s="97"/>
      <c r="E139" s="144"/>
      <c r="F139" s="144"/>
      <c r="G139" s="97"/>
      <c r="H139" s="143"/>
      <c r="I139" s="97"/>
      <c r="J139" s="97"/>
      <c r="K139" s="113"/>
      <c r="L139" s="114"/>
      <c r="M139" s="102"/>
      <c r="N139" s="124"/>
      <c r="O139" s="125"/>
      <c r="P139" s="97"/>
      <c r="Q139" s="97"/>
      <c r="R139" s="126"/>
      <c r="S139" s="97"/>
      <c r="T139" s="97"/>
      <c r="V139" s="108"/>
    </row>
    <row r="140" ht="15.75" customHeight="1">
      <c r="A140" s="91"/>
      <c r="B140" s="142"/>
      <c r="C140" s="143"/>
      <c r="D140" s="97"/>
      <c r="E140" s="144"/>
      <c r="F140" s="144"/>
      <c r="G140" s="97"/>
      <c r="H140" s="143"/>
      <c r="I140" s="97"/>
      <c r="J140" s="97"/>
      <c r="K140" s="100"/>
      <c r="L140" s="101"/>
      <c r="M140" s="102"/>
      <c r="N140" s="124"/>
      <c r="O140" s="125"/>
      <c r="P140" s="97"/>
      <c r="Q140" s="131"/>
      <c r="R140" s="126"/>
      <c r="S140" s="97"/>
      <c r="T140" s="97"/>
      <c r="V140" s="108"/>
    </row>
    <row r="141" ht="15.75" customHeight="1">
      <c r="A141" s="91"/>
      <c r="B141" s="142"/>
      <c r="C141" s="143"/>
      <c r="D141" s="97"/>
      <c r="E141" s="144"/>
      <c r="F141" s="144"/>
      <c r="G141" s="97"/>
      <c r="H141" s="143"/>
      <c r="I141" s="97"/>
      <c r="J141" s="97"/>
      <c r="K141" s="113"/>
      <c r="L141" s="114"/>
      <c r="M141" s="102"/>
      <c r="N141" s="124"/>
      <c r="O141" s="125"/>
      <c r="P141" s="97"/>
      <c r="Q141" s="97"/>
      <c r="R141" s="126"/>
      <c r="S141" s="97"/>
      <c r="T141" s="97"/>
      <c r="V141" s="108"/>
    </row>
    <row r="142" ht="15.75" customHeight="1">
      <c r="A142" s="91"/>
      <c r="B142" s="142"/>
      <c r="C142" s="143"/>
      <c r="D142" s="97"/>
      <c r="E142" s="144"/>
      <c r="F142" s="146"/>
      <c r="G142" s="97"/>
      <c r="H142" s="143"/>
      <c r="I142" s="97"/>
      <c r="J142" s="97"/>
      <c r="K142" s="100"/>
      <c r="L142" s="101"/>
      <c r="M142" s="102"/>
      <c r="N142" s="124"/>
      <c r="O142" s="125"/>
      <c r="P142" s="97"/>
      <c r="Q142" s="131"/>
      <c r="R142" s="126"/>
      <c r="S142" s="97"/>
      <c r="T142" s="97"/>
      <c r="V142" s="108"/>
    </row>
    <row r="143" ht="15.75" customHeight="1">
      <c r="A143" s="91"/>
      <c r="B143" s="142"/>
      <c r="C143" s="108"/>
      <c r="D143" s="97"/>
      <c r="E143" s="144"/>
      <c r="F143" s="144"/>
      <c r="G143" s="97"/>
      <c r="H143" s="143"/>
      <c r="I143" s="97"/>
      <c r="J143" s="97"/>
      <c r="K143" s="113"/>
      <c r="L143" s="114"/>
      <c r="M143" s="102"/>
      <c r="N143" s="124"/>
      <c r="O143" s="125"/>
      <c r="P143" s="97"/>
      <c r="Q143" s="97"/>
      <c r="R143" s="126"/>
      <c r="S143" s="97"/>
      <c r="T143" s="97"/>
      <c r="V143" s="108"/>
    </row>
    <row r="144" ht="15.75" customHeight="1">
      <c r="A144" s="91"/>
      <c r="B144" s="142"/>
      <c r="C144" s="108"/>
      <c r="D144" s="97"/>
      <c r="E144" s="144"/>
      <c r="F144" s="144"/>
      <c r="G144" s="97"/>
      <c r="H144" s="143"/>
      <c r="I144" s="97"/>
      <c r="J144" s="97"/>
      <c r="K144" s="100"/>
      <c r="L144" s="101"/>
      <c r="M144" s="102"/>
      <c r="N144" s="124"/>
      <c r="O144" s="125"/>
      <c r="P144" s="97"/>
      <c r="Q144" s="131"/>
      <c r="R144" s="126"/>
      <c r="S144" s="97"/>
      <c r="T144" s="97"/>
      <c r="V144" s="108"/>
    </row>
    <row r="145" ht="15.75" customHeight="1">
      <c r="A145" s="91"/>
      <c r="B145" s="142"/>
      <c r="C145" s="143"/>
      <c r="D145" s="97"/>
      <c r="E145" s="144"/>
      <c r="F145" s="144"/>
      <c r="G145" s="97"/>
      <c r="H145" s="143"/>
      <c r="I145" s="97"/>
      <c r="J145" s="97"/>
      <c r="K145" s="113"/>
      <c r="L145" s="114"/>
      <c r="M145" s="102"/>
      <c r="N145" s="124"/>
      <c r="O145" s="125"/>
      <c r="P145" s="97"/>
      <c r="Q145" s="131"/>
      <c r="R145" s="126"/>
      <c r="S145" s="97"/>
      <c r="T145" s="97"/>
      <c r="V145" s="108"/>
    </row>
    <row r="146" ht="15.75" customHeight="1">
      <c r="A146" s="91"/>
      <c r="B146" s="142"/>
      <c r="C146" s="143"/>
      <c r="D146" s="97"/>
      <c r="E146" s="144"/>
      <c r="F146" s="144"/>
      <c r="G146" s="97"/>
      <c r="H146" s="143"/>
      <c r="I146" s="97"/>
      <c r="J146" s="97"/>
      <c r="K146" s="100"/>
      <c r="L146" s="101"/>
      <c r="M146" s="102"/>
      <c r="N146" s="124"/>
      <c r="O146" s="125"/>
      <c r="P146" s="97"/>
      <c r="Q146" s="131"/>
      <c r="R146" s="126"/>
      <c r="S146" s="97"/>
      <c r="T146" s="97"/>
      <c r="V146" s="108"/>
    </row>
    <row r="147" ht="15.75" customHeight="1">
      <c r="A147" s="91"/>
      <c r="B147" s="142"/>
      <c r="C147" s="143"/>
      <c r="D147" s="97"/>
      <c r="E147" s="144"/>
      <c r="F147" s="144"/>
      <c r="G147" s="97"/>
      <c r="H147" s="143"/>
      <c r="I147" s="97"/>
      <c r="J147" s="97"/>
      <c r="K147" s="113"/>
      <c r="L147" s="114"/>
      <c r="M147" s="102"/>
      <c r="N147" s="124"/>
      <c r="O147" s="125"/>
      <c r="P147" s="97"/>
      <c r="Q147" s="131"/>
      <c r="R147" s="126"/>
      <c r="S147" s="97"/>
      <c r="T147" s="97"/>
      <c r="V147" s="108"/>
    </row>
    <row r="148" ht="15.75" customHeight="1">
      <c r="A148" s="91"/>
      <c r="B148" s="142"/>
      <c r="C148" s="143"/>
      <c r="D148" s="97"/>
      <c r="E148" s="144"/>
      <c r="F148" s="144"/>
      <c r="G148" s="97"/>
      <c r="H148" s="143"/>
      <c r="I148" s="97"/>
      <c r="J148" s="97"/>
      <c r="K148" s="100"/>
      <c r="L148" s="101"/>
      <c r="M148" s="102"/>
      <c r="N148" s="124"/>
      <c r="O148" s="125"/>
      <c r="P148" s="97"/>
      <c r="Q148" s="131"/>
      <c r="R148" s="126"/>
      <c r="S148" s="97"/>
      <c r="T148" s="97"/>
      <c r="V148" s="108"/>
    </row>
    <row r="149" ht="15.75" customHeight="1">
      <c r="A149" s="91"/>
      <c r="B149" s="142"/>
      <c r="C149" s="143"/>
      <c r="D149" s="97"/>
      <c r="E149" s="144"/>
      <c r="F149" s="144"/>
      <c r="G149" s="97"/>
      <c r="H149" s="143"/>
      <c r="I149" s="97"/>
      <c r="J149" s="97"/>
      <c r="K149" s="113"/>
      <c r="L149" s="114"/>
      <c r="M149" s="102"/>
      <c r="N149" s="124"/>
      <c r="O149" s="125"/>
      <c r="P149" s="97"/>
      <c r="Q149" s="131"/>
      <c r="R149" s="126"/>
      <c r="S149" s="97"/>
      <c r="T149" s="97"/>
      <c r="V149" s="108"/>
    </row>
    <row r="150" ht="15.75" customHeight="1">
      <c r="A150" s="91"/>
      <c r="B150" s="142"/>
      <c r="C150" s="108"/>
      <c r="D150" s="97"/>
      <c r="E150" s="144"/>
      <c r="F150" s="144"/>
      <c r="G150" s="97"/>
      <c r="H150" s="143"/>
      <c r="I150" s="97"/>
      <c r="J150" s="97"/>
      <c r="K150" s="100"/>
      <c r="L150" s="101"/>
      <c r="M150" s="102"/>
      <c r="N150" s="124"/>
      <c r="O150" s="125"/>
      <c r="P150" s="97"/>
      <c r="Q150" s="131"/>
      <c r="R150" s="126"/>
      <c r="S150" s="97"/>
      <c r="T150" s="97"/>
      <c r="V150" s="108"/>
    </row>
    <row r="151" ht="15.75" customHeight="1">
      <c r="A151" s="91"/>
      <c r="B151" s="142"/>
      <c r="C151" s="143"/>
      <c r="D151" s="97"/>
      <c r="E151" s="144"/>
      <c r="F151" s="144"/>
      <c r="G151" s="97"/>
      <c r="H151" s="143"/>
      <c r="I151" s="97"/>
      <c r="J151" s="97"/>
      <c r="K151" s="113"/>
      <c r="L151" s="114"/>
      <c r="M151" s="102"/>
      <c r="N151" s="124"/>
      <c r="O151" s="125"/>
      <c r="P151" s="97"/>
      <c r="Q151" s="131"/>
      <c r="R151" s="126"/>
      <c r="S151" s="97"/>
      <c r="T151" s="97"/>
      <c r="V151" s="108"/>
    </row>
    <row r="152" ht="15.75" customHeight="1">
      <c r="A152" s="91"/>
      <c r="B152" s="142"/>
      <c r="C152" s="143"/>
      <c r="D152" s="97"/>
      <c r="E152" s="144"/>
      <c r="F152" s="144"/>
      <c r="G152" s="97"/>
      <c r="H152" s="143"/>
      <c r="I152" s="97"/>
      <c r="J152" s="97"/>
      <c r="K152" s="100"/>
      <c r="L152" s="101"/>
      <c r="M152" s="102"/>
      <c r="N152" s="124"/>
      <c r="O152" s="125"/>
      <c r="P152" s="97"/>
      <c r="Q152" s="131"/>
      <c r="R152" s="126"/>
      <c r="S152" s="97"/>
      <c r="T152" s="97"/>
      <c r="V152" s="108"/>
    </row>
    <row r="153" ht="15.75" customHeight="1">
      <c r="A153" s="91"/>
      <c r="B153" s="142"/>
      <c r="C153" s="143"/>
      <c r="D153" s="97"/>
      <c r="E153" s="144"/>
      <c r="F153" s="144"/>
      <c r="G153" s="97"/>
      <c r="H153" s="143"/>
      <c r="I153" s="97"/>
      <c r="J153" s="97"/>
      <c r="K153" s="113"/>
      <c r="L153" s="114"/>
      <c r="M153" s="102"/>
      <c r="N153" s="124"/>
      <c r="O153" s="125"/>
      <c r="P153" s="97"/>
      <c r="Q153" s="131"/>
      <c r="R153" s="126"/>
      <c r="S153" s="97"/>
      <c r="T153" s="97"/>
      <c r="V153" s="108"/>
    </row>
    <row r="154" ht="15.75" customHeight="1">
      <c r="A154" s="91"/>
      <c r="B154" s="142"/>
      <c r="C154" s="143"/>
      <c r="D154" s="97"/>
      <c r="E154" s="144"/>
      <c r="F154" s="144"/>
      <c r="G154" s="97"/>
      <c r="H154" s="143"/>
      <c r="I154" s="97"/>
      <c r="J154" s="97"/>
      <c r="K154" s="100"/>
      <c r="L154" s="101"/>
      <c r="M154" s="102"/>
      <c r="N154" s="124"/>
      <c r="O154" s="125"/>
      <c r="P154" s="97"/>
      <c r="Q154" s="131"/>
      <c r="R154" s="126"/>
      <c r="S154" s="97"/>
      <c r="T154" s="97"/>
      <c r="V154" s="108"/>
    </row>
    <row r="155" ht="15.75" customHeight="1">
      <c r="A155" s="91"/>
      <c r="B155" s="142"/>
      <c r="C155" s="143"/>
      <c r="D155" s="97"/>
      <c r="E155" s="144"/>
      <c r="F155" s="144"/>
      <c r="G155" s="97"/>
      <c r="H155" s="143"/>
      <c r="I155" s="97"/>
      <c r="J155" s="97"/>
      <c r="K155" s="113"/>
      <c r="L155" s="114"/>
      <c r="M155" s="102"/>
      <c r="N155" s="124"/>
      <c r="O155" s="125"/>
      <c r="P155" s="97"/>
      <c r="Q155" s="131"/>
      <c r="R155" s="126"/>
      <c r="S155" s="97"/>
      <c r="T155" s="97"/>
      <c r="V155" s="108"/>
    </row>
    <row r="156" ht="15.75" customHeight="1">
      <c r="A156" s="91"/>
      <c r="B156" s="142"/>
      <c r="C156" s="108"/>
      <c r="D156" s="97"/>
      <c r="E156" s="144"/>
      <c r="F156" s="144"/>
      <c r="G156" s="97"/>
      <c r="H156" s="143"/>
      <c r="I156" s="97"/>
      <c r="J156" s="97"/>
      <c r="K156" s="100"/>
      <c r="L156" s="101"/>
      <c r="M156" s="102"/>
      <c r="N156" s="124"/>
      <c r="O156" s="125"/>
      <c r="P156" s="97"/>
      <c r="Q156" s="131"/>
      <c r="R156" s="126"/>
      <c r="S156" s="97"/>
      <c r="T156" s="97"/>
      <c r="V156" s="108"/>
    </row>
    <row r="157" ht="15.75" customHeight="1">
      <c r="A157" s="91"/>
      <c r="B157" s="142"/>
      <c r="C157" s="143"/>
      <c r="D157" s="97"/>
      <c r="E157" s="144"/>
      <c r="F157" s="144"/>
      <c r="G157" s="97"/>
      <c r="H157" s="143"/>
      <c r="I157" s="97"/>
      <c r="J157" s="97"/>
      <c r="K157" s="113"/>
      <c r="L157" s="114"/>
      <c r="M157" s="102"/>
      <c r="N157" s="124"/>
      <c r="O157" s="125"/>
      <c r="P157" s="97"/>
      <c r="Q157" s="131"/>
      <c r="R157" s="126"/>
      <c r="S157" s="97"/>
      <c r="T157" s="97"/>
      <c r="V157" s="108"/>
    </row>
    <row r="158" ht="15.75" customHeight="1">
      <c r="A158" s="91"/>
      <c r="B158" s="142"/>
      <c r="C158" s="143"/>
      <c r="D158" s="97"/>
      <c r="E158" s="144"/>
      <c r="F158" s="144"/>
      <c r="G158" s="97"/>
      <c r="H158" s="143"/>
      <c r="I158" s="97"/>
      <c r="J158" s="97"/>
      <c r="K158" s="100"/>
      <c r="L158" s="101"/>
      <c r="M158" s="102"/>
      <c r="N158" s="124"/>
      <c r="O158" s="125"/>
      <c r="P158" s="97"/>
      <c r="Q158" s="131"/>
      <c r="R158" s="126"/>
      <c r="S158" s="97"/>
      <c r="T158" s="97"/>
      <c r="V158" s="108"/>
    </row>
    <row r="159" ht="15.75" customHeight="1">
      <c r="A159" s="91"/>
      <c r="B159" s="142"/>
      <c r="C159" s="143"/>
      <c r="D159" s="97"/>
      <c r="E159" s="144"/>
      <c r="F159" s="144"/>
      <c r="G159" s="97"/>
      <c r="H159" s="143"/>
      <c r="I159" s="97"/>
      <c r="J159" s="97"/>
      <c r="K159" s="113"/>
      <c r="L159" s="114"/>
      <c r="M159" s="102"/>
      <c r="N159" s="124"/>
      <c r="O159" s="125"/>
      <c r="P159" s="97"/>
      <c r="Q159" s="131"/>
      <c r="R159" s="126"/>
      <c r="S159" s="97"/>
      <c r="T159" s="97"/>
      <c r="V159" s="108"/>
    </row>
    <row r="160" ht="15.75" customHeight="1">
      <c r="A160" s="91"/>
      <c r="B160" s="142"/>
      <c r="C160" s="143"/>
      <c r="D160" s="97"/>
      <c r="E160" s="144"/>
      <c r="F160" s="144"/>
      <c r="G160" s="97"/>
      <c r="H160" s="143"/>
      <c r="I160" s="97"/>
      <c r="J160" s="97"/>
      <c r="K160" s="100"/>
      <c r="L160" s="101"/>
      <c r="M160" s="102"/>
      <c r="N160" s="124"/>
      <c r="O160" s="125"/>
      <c r="P160" s="97"/>
      <c r="Q160" s="131"/>
      <c r="R160" s="126"/>
      <c r="S160" s="97"/>
      <c r="T160" s="97"/>
      <c r="V160" s="108"/>
    </row>
    <row r="161" ht="15.75" customHeight="1">
      <c r="A161" s="91"/>
      <c r="B161" s="142"/>
      <c r="C161" s="143"/>
      <c r="D161" s="97"/>
      <c r="E161" s="144"/>
      <c r="F161" s="144"/>
      <c r="G161" s="97"/>
      <c r="H161" s="143"/>
      <c r="I161" s="97"/>
      <c r="J161" s="97"/>
      <c r="K161" s="113"/>
      <c r="L161" s="114"/>
      <c r="M161" s="102"/>
      <c r="N161" s="124"/>
      <c r="O161" s="125"/>
      <c r="P161" s="97"/>
      <c r="Q161" s="131"/>
      <c r="R161" s="126"/>
      <c r="S161" s="97"/>
      <c r="T161" s="97"/>
      <c r="V161" s="108"/>
    </row>
    <row r="162" ht="15.75" customHeight="1">
      <c r="A162" s="91"/>
      <c r="B162" s="142"/>
      <c r="C162" s="108"/>
      <c r="D162" s="97"/>
      <c r="E162" s="144"/>
      <c r="F162" s="144"/>
      <c r="G162" s="97"/>
      <c r="H162" s="143"/>
      <c r="I162" s="97"/>
      <c r="J162" s="97"/>
      <c r="K162" s="100"/>
      <c r="L162" s="101"/>
      <c r="M162" s="102"/>
      <c r="N162" s="124"/>
      <c r="O162" s="125"/>
      <c r="P162" s="97"/>
      <c r="Q162" s="131"/>
      <c r="R162" s="126"/>
      <c r="S162" s="97"/>
      <c r="T162" s="97"/>
      <c r="V162" s="108"/>
    </row>
    <row r="163" ht="15.75" customHeight="1">
      <c r="A163" s="91"/>
      <c r="B163" s="142"/>
      <c r="C163" s="143"/>
      <c r="D163" s="97"/>
      <c r="E163" s="144"/>
      <c r="F163" s="144"/>
      <c r="G163" s="97"/>
      <c r="H163" s="143"/>
      <c r="I163" s="97"/>
      <c r="J163" s="97"/>
      <c r="K163" s="113"/>
      <c r="L163" s="114"/>
      <c r="M163" s="102"/>
      <c r="N163" s="124"/>
      <c r="O163" s="125"/>
      <c r="P163" s="97"/>
      <c r="Q163" s="131"/>
      <c r="R163" s="126"/>
      <c r="S163" s="97"/>
      <c r="T163" s="97"/>
      <c r="V163" s="108"/>
    </row>
    <row r="164" ht="15.75" customHeight="1">
      <c r="A164" s="91"/>
      <c r="B164" s="142"/>
      <c r="C164" s="143"/>
      <c r="D164" s="97"/>
      <c r="E164" s="144"/>
      <c r="F164" s="144"/>
      <c r="G164" s="97"/>
      <c r="H164" s="143"/>
      <c r="I164" s="97"/>
      <c r="J164" s="97"/>
      <c r="K164" s="100"/>
      <c r="L164" s="101"/>
      <c r="M164" s="102"/>
      <c r="N164" s="124"/>
      <c r="O164" s="125"/>
      <c r="P164" s="97"/>
      <c r="Q164" s="131"/>
      <c r="R164" s="126"/>
      <c r="S164" s="97"/>
      <c r="T164" s="97"/>
      <c r="V164" s="108"/>
    </row>
    <row r="165" ht="15.75" customHeight="1">
      <c r="A165" s="91"/>
      <c r="B165" s="142"/>
      <c r="C165" s="143"/>
      <c r="D165" s="97"/>
      <c r="E165" s="144"/>
      <c r="F165" s="144"/>
      <c r="G165" s="97"/>
      <c r="H165" s="143"/>
      <c r="I165" s="97"/>
      <c r="J165" s="97"/>
      <c r="K165" s="113"/>
      <c r="L165" s="114"/>
      <c r="M165" s="102"/>
      <c r="N165" s="124"/>
      <c r="O165" s="125"/>
      <c r="P165" s="97"/>
      <c r="Q165" s="131"/>
      <c r="R165" s="126"/>
      <c r="S165" s="97"/>
      <c r="T165" s="97"/>
      <c r="V165" s="108"/>
    </row>
    <row r="166" ht="15.75" customHeight="1">
      <c r="A166" s="91"/>
      <c r="B166" s="142"/>
      <c r="C166" s="143"/>
      <c r="D166" s="97"/>
      <c r="E166" s="144"/>
      <c r="F166" s="144"/>
      <c r="G166" s="97"/>
      <c r="H166" s="143"/>
      <c r="I166" s="97"/>
      <c r="J166" s="97"/>
      <c r="K166" s="100"/>
      <c r="L166" s="101"/>
      <c r="M166" s="102"/>
      <c r="N166" s="124"/>
      <c r="O166" s="125"/>
      <c r="P166" s="97"/>
      <c r="Q166" s="131"/>
      <c r="R166" s="126"/>
      <c r="S166" s="97"/>
      <c r="T166" s="97"/>
      <c r="V166" s="108"/>
    </row>
    <row r="167" ht="15.75" customHeight="1">
      <c r="A167" s="91"/>
      <c r="B167" s="142"/>
      <c r="C167" s="143"/>
      <c r="D167" s="97"/>
      <c r="E167" s="144"/>
      <c r="F167" s="144"/>
      <c r="G167" s="97"/>
      <c r="H167" s="143"/>
      <c r="I167" s="97"/>
      <c r="J167" s="97"/>
      <c r="K167" s="113"/>
      <c r="L167" s="114"/>
      <c r="M167" s="102"/>
      <c r="N167" s="124"/>
      <c r="O167" s="125"/>
      <c r="P167" s="97"/>
      <c r="Q167" s="131"/>
      <c r="R167" s="126"/>
      <c r="S167" s="97"/>
      <c r="T167" s="97"/>
      <c r="V167" s="108"/>
    </row>
    <row r="168" ht="15.75" customHeight="1">
      <c r="A168" s="91"/>
      <c r="B168" s="142"/>
      <c r="C168" s="108"/>
      <c r="D168" s="97"/>
      <c r="E168" s="144"/>
      <c r="F168" s="144"/>
      <c r="G168" s="97"/>
      <c r="H168" s="143"/>
      <c r="I168" s="97"/>
      <c r="J168" s="97"/>
      <c r="K168" s="100"/>
      <c r="L168" s="101"/>
      <c r="M168" s="102"/>
      <c r="N168" s="124"/>
      <c r="O168" s="125"/>
      <c r="P168" s="97"/>
      <c r="Q168" s="131"/>
      <c r="R168" s="126"/>
      <c r="S168" s="97"/>
      <c r="T168" s="97"/>
      <c r="V168" s="108"/>
    </row>
    <row r="169" ht="15.75" customHeight="1">
      <c r="A169" s="91"/>
      <c r="B169" s="142"/>
      <c r="C169" s="143"/>
      <c r="D169" s="97"/>
      <c r="E169" s="144"/>
      <c r="F169" s="144"/>
      <c r="G169" s="97"/>
      <c r="H169" s="143"/>
      <c r="I169" s="97"/>
      <c r="J169" s="97"/>
      <c r="K169" s="113"/>
      <c r="L169" s="114"/>
      <c r="M169" s="102"/>
      <c r="N169" s="124"/>
      <c r="O169" s="125"/>
      <c r="P169" s="97"/>
      <c r="Q169" s="131"/>
      <c r="R169" s="126"/>
      <c r="S169" s="97"/>
      <c r="T169" s="97"/>
      <c r="V169" s="108"/>
    </row>
    <row r="170" ht="15.75" customHeight="1">
      <c r="A170" s="91"/>
      <c r="B170" s="142"/>
      <c r="C170" s="143"/>
      <c r="D170" s="97"/>
      <c r="E170" s="144"/>
      <c r="F170" s="144"/>
      <c r="G170" s="97"/>
      <c r="H170" s="143"/>
      <c r="I170" s="97"/>
      <c r="J170" s="97"/>
      <c r="K170" s="100"/>
      <c r="L170" s="101"/>
      <c r="M170" s="102"/>
      <c r="N170" s="124"/>
      <c r="O170" s="125"/>
      <c r="P170" s="97"/>
      <c r="Q170" s="131"/>
      <c r="R170" s="126"/>
      <c r="S170" s="97"/>
      <c r="T170" s="97"/>
      <c r="V170" s="108"/>
    </row>
    <row r="171" ht="15.75" customHeight="1">
      <c r="A171" s="91"/>
      <c r="B171" s="142"/>
      <c r="C171" s="143"/>
      <c r="D171" s="97"/>
      <c r="E171" s="144"/>
      <c r="F171" s="144"/>
      <c r="G171" s="97"/>
      <c r="H171" s="143"/>
      <c r="I171" s="97"/>
      <c r="J171" s="97"/>
      <c r="K171" s="113"/>
      <c r="L171" s="114"/>
      <c r="M171" s="102"/>
      <c r="N171" s="124"/>
      <c r="O171" s="125"/>
      <c r="P171" s="97"/>
      <c r="Q171" s="131"/>
      <c r="R171" s="126"/>
      <c r="S171" s="97"/>
      <c r="T171" s="97"/>
      <c r="V171" s="108"/>
    </row>
    <row r="172" ht="15.75" customHeight="1">
      <c r="A172" s="91"/>
      <c r="B172" s="142"/>
      <c r="C172" s="143"/>
      <c r="D172" s="97"/>
      <c r="E172" s="144"/>
      <c r="F172" s="144"/>
      <c r="G172" s="97"/>
      <c r="H172" s="143"/>
      <c r="I172" s="97"/>
      <c r="J172" s="97"/>
      <c r="K172" s="100"/>
      <c r="L172" s="101"/>
      <c r="M172" s="102"/>
      <c r="N172" s="124"/>
      <c r="O172" s="125"/>
      <c r="P172" s="97"/>
      <c r="Q172" s="131"/>
      <c r="R172" s="126"/>
      <c r="S172" s="97"/>
      <c r="T172" s="97"/>
      <c r="V172" s="108"/>
    </row>
    <row r="173" ht="15.75" customHeight="1">
      <c r="A173" s="91"/>
      <c r="B173" s="142"/>
      <c r="C173" s="143"/>
      <c r="D173" s="97"/>
      <c r="E173" s="144"/>
      <c r="F173" s="144"/>
      <c r="G173" s="97"/>
      <c r="H173" s="143"/>
      <c r="I173" s="97"/>
      <c r="J173" s="97"/>
      <c r="K173" s="113"/>
      <c r="L173" s="114"/>
      <c r="M173" s="102"/>
      <c r="N173" s="124"/>
      <c r="O173" s="125"/>
      <c r="P173" s="97"/>
      <c r="Q173" s="131"/>
      <c r="R173" s="126"/>
      <c r="S173" s="97"/>
      <c r="T173" s="97"/>
      <c r="V173" s="108"/>
    </row>
    <row r="174" ht="15.75" customHeight="1">
      <c r="A174" s="91"/>
      <c r="B174" s="142"/>
      <c r="C174" s="108"/>
      <c r="D174" s="97"/>
      <c r="E174" s="144"/>
      <c r="F174" s="144"/>
      <c r="G174" s="97"/>
      <c r="H174" s="143"/>
      <c r="I174" s="97"/>
      <c r="J174" s="97"/>
      <c r="K174" s="100"/>
      <c r="L174" s="101"/>
      <c r="M174" s="102"/>
      <c r="N174" s="124"/>
      <c r="O174" s="125"/>
      <c r="P174" s="97"/>
      <c r="Q174" s="131"/>
      <c r="R174" s="126"/>
      <c r="S174" s="97"/>
      <c r="T174" s="97"/>
      <c r="V174" s="108"/>
    </row>
    <row r="175" ht="15.75" customHeight="1">
      <c r="A175" s="91"/>
      <c r="B175" s="142"/>
      <c r="C175" s="143"/>
      <c r="D175" s="97"/>
      <c r="E175" s="144"/>
      <c r="F175" s="144"/>
      <c r="G175" s="97"/>
      <c r="H175" s="143"/>
      <c r="I175" s="97"/>
      <c r="J175" s="97"/>
      <c r="K175" s="113"/>
      <c r="L175" s="114"/>
      <c r="M175" s="102"/>
      <c r="N175" s="124"/>
      <c r="O175" s="125"/>
      <c r="P175" s="97"/>
      <c r="Q175" s="131"/>
      <c r="R175" s="126"/>
      <c r="S175" s="97"/>
      <c r="T175" s="97"/>
      <c r="V175" s="108"/>
    </row>
    <row r="176" ht="15.75" customHeight="1">
      <c r="A176" s="91"/>
      <c r="B176" s="142"/>
      <c r="C176" s="143"/>
      <c r="D176" s="97"/>
      <c r="E176" s="144"/>
      <c r="F176" s="144"/>
      <c r="G176" s="97"/>
      <c r="H176" s="143"/>
      <c r="I176" s="97"/>
      <c r="J176" s="97"/>
      <c r="K176" s="100"/>
      <c r="L176" s="101"/>
      <c r="M176" s="102"/>
      <c r="N176" s="124"/>
      <c r="O176" s="125"/>
      <c r="P176" s="97"/>
      <c r="Q176" s="131"/>
      <c r="R176" s="126"/>
      <c r="S176" s="97"/>
      <c r="T176" s="97"/>
      <c r="V176" s="108"/>
    </row>
    <row r="177" ht="15.75" customHeight="1">
      <c r="A177" s="91"/>
      <c r="B177" s="142"/>
      <c r="C177" s="143"/>
      <c r="D177" s="97"/>
      <c r="E177" s="144"/>
      <c r="F177" s="144"/>
      <c r="G177" s="97"/>
      <c r="H177" s="143"/>
      <c r="I177" s="97"/>
      <c r="J177" s="97"/>
      <c r="K177" s="113"/>
      <c r="L177" s="114"/>
      <c r="M177" s="102"/>
      <c r="N177" s="124"/>
      <c r="O177" s="125"/>
      <c r="P177" s="97"/>
      <c r="Q177" s="131"/>
      <c r="R177" s="126"/>
      <c r="S177" s="97"/>
      <c r="T177" s="97"/>
      <c r="V177" s="108"/>
    </row>
    <row r="178" ht="15.75" customHeight="1">
      <c r="A178" s="91"/>
      <c r="B178" s="142"/>
      <c r="C178" s="143"/>
      <c r="D178" s="97"/>
      <c r="E178" s="144"/>
      <c r="F178" s="144"/>
      <c r="G178" s="97"/>
      <c r="H178" s="143"/>
      <c r="I178" s="97"/>
      <c r="J178" s="97"/>
      <c r="K178" s="100"/>
      <c r="L178" s="101"/>
      <c r="M178" s="102"/>
      <c r="N178" s="124"/>
      <c r="O178" s="125"/>
      <c r="P178" s="97"/>
      <c r="Q178" s="131"/>
      <c r="R178" s="126"/>
      <c r="S178" s="97"/>
      <c r="T178" s="97"/>
      <c r="V178" s="108"/>
    </row>
    <row r="179" ht="15.75" customHeight="1">
      <c r="A179" s="91"/>
      <c r="B179" s="142"/>
      <c r="C179" s="143"/>
      <c r="D179" s="97"/>
      <c r="E179" s="144"/>
      <c r="F179" s="144"/>
      <c r="G179" s="97"/>
      <c r="H179" s="143"/>
      <c r="I179" s="97"/>
      <c r="J179" s="97"/>
      <c r="K179" s="113"/>
      <c r="L179" s="114"/>
      <c r="M179" s="102"/>
      <c r="N179" s="124"/>
      <c r="O179" s="125"/>
      <c r="P179" s="97"/>
      <c r="Q179" s="131"/>
      <c r="R179" s="126"/>
      <c r="S179" s="97"/>
      <c r="T179" s="97"/>
      <c r="V179" s="108"/>
    </row>
    <row r="180" ht="15.75" customHeight="1">
      <c r="A180" s="91"/>
      <c r="B180" s="142"/>
      <c r="C180" s="108"/>
      <c r="D180" s="97"/>
      <c r="E180" s="144"/>
      <c r="F180" s="144"/>
      <c r="G180" s="97"/>
      <c r="H180" s="143"/>
      <c r="I180" s="97"/>
      <c r="J180" s="97"/>
      <c r="K180" s="100"/>
      <c r="L180" s="101"/>
      <c r="M180" s="102"/>
      <c r="N180" s="124"/>
      <c r="O180" s="125"/>
      <c r="P180" s="97"/>
      <c r="Q180" s="131"/>
      <c r="R180" s="126"/>
      <c r="S180" s="97"/>
      <c r="T180" s="97"/>
      <c r="V180" s="108"/>
    </row>
    <row r="181" ht="15.75" customHeight="1">
      <c r="A181" s="91"/>
      <c r="B181" s="142"/>
      <c r="C181" s="143"/>
      <c r="D181" s="97"/>
      <c r="E181" s="144"/>
      <c r="F181" s="144"/>
      <c r="G181" s="97"/>
      <c r="H181" s="143"/>
      <c r="I181" s="97"/>
      <c r="J181" s="97"/>
      <c r="K181" s="113"/>
      <c r="L181" s="114"/>
      <c r="M181" s="102"/>
      <c r="N181" s="124"/>
      <c r="O181" s="125"/>
      <c r="P181" s="97"/>
      <c r="Q181" s="131"/>
      <c r="R181" s="126"/>
      <c r="S181" s="97"/>
      <c r="T181" s="97"/>
      <c r="V181" s="108"/>
    </row>
    <row r="182" ht="15.75" customHeight="1">
      <c r="A182" s="91"/>
      <c r="B182" s="142"/>
      <c r="C182" s="143"/>
      <c r="D182" s="97"/>
      <c r="E182" s="144"/>
      <c r="F182" s="144"/>
      <c r="G182" s="97"/>
      <c r="H182" s="143"/>
      <c r="I182" s="97"/>
      <c r="J182" s="97"/>
      <c r="K182" s="100"/>
      <c r="L182" s="101"/>
      <c r="M182" s="102"/>
      <c r="N182" s="124"/>
      <c r="O182" s="125"/>
      <c r="P182" s="97"/>
      <c r="Q182" s="131"/>
      <c r="R182" s="126"/>
      <c r="S182" s="97"/>
      <c r="T182" s="97"/>
      <c r="V182" s="108"/>
    </row>
    <row r="183" ht="15.75" customHeight="1">
      <c r="A183" s="91"/>
      <c r="B183" s="142"/>
      <c r="C183" s="143"/>
      <c r="D183" s="97"/>
      <c r="E183" s="144"/>
      <c r="F183" s="144"/>
      <c r="G183" s="97"/>
      <c r="H183" s="143"/>
      <c r="I183" s="97"/>
      <c r="J183" s="97"/>
      <c r="K183" s="113"/>
      <c r="L183" s="114"/>
      <c r="M183" s="102"/>
      <c r="N183" s="124"/>
      <c r="O183" s="125"/>
      <c r="P183" s="97"/>
      <c r="Q183" s="131"/>
      <c r="R183" s="126"/>
      <c r="S183" s="97"/>
      <c r="T183" s="97"/>
      <c r="V183" s="108"/>
    </row>
    <row r="184" ht="15.75" customHeight="1">
      <c r="A184" s="91"/>
      <c r="B184" s="142"/>
      <c r="C184" s="143"/>
      <c r="D184" s="97"/>
      <c r="E184" s="144"/>
      <c r="F184" s="144"/>
      <c r="G184" s="97"/>
      <c r="H184" s="143"/>
      <c r="I184" s="97"/>
      <c r="J184" s="97"/>
      <c r="K184" s="100"/>
      <c r="L184" s="101"/>
      <c r="M184" s="102"/>
      <c r="N184" s="124"/>
      <c r="O184" s="125"/>
      <c r="P184" s="97"/>
      <c r="Q184" s="131"/>
      <c r="R184" s="126"/>
      <c r="S184" s="97"/>
      <c r="T184" s="97"/>
      <c r="V184" s="108"/>
    </row>
    <row r="185" ht="15.75" customHeight="1">
      <c r="A185" s="91"/>
      <c r="B185" s="142"/>
      <c r="C185" s="143"/>
      <c r="D185" s="97"/>
      <c r="E185" s="144"/>
      <c r="F185" s="144"/>
      <c r="G185" s="97"/>
      <c r="H185" s="143"/>
      <c r="I185" s="97"/>
      <c r="J185" s="97"/>
      <c r="K185" s="113"/>
      <c r="L185" s="114"/>
      <c r="M185" s="102"/>
      <c r="N185" s="124"/>
      <c r="O185" s="125"/>
      <c r="P185" s="97"/>
      <c r="Q185" s="131"/>
      <c r="R185" s="126"/>
      <c r="S185" s="97"/>
      <c r="T185" s="97"/>
      <c r="V185" s="108"/>
    </row>
    <row r="186" ht="15.75" customHeight="1">
      <c r="A186" s="91"/>
      <c r="B186" s="142"/>
      <c r="C186" s="108"/>
      <c r="D186" s="97"/>
      <c r="E186" s="144"/>
      <c r="F186" s="144"/>
      <c r="G186" s="97"/>
      <c r="H186" s="143"/>
      <c r="I186" s="97"/>
      <c r="J186" s="97"/>
      <c r="K186" s="100"/>
      <c r="L186" s="101"/>
      <c r="M186" s="102"/>
      <c r="N186" s="124"/>
      <c r="O186" s="125"/>
      <c r="P186" s="97"/>
      <c r="Q186" s="131"/>
      <c r="R186" s="126"/>
      <c r="S186" s="97"/>
      <c r="T186" s="97"/>
      <c r="V186" s="108"/>
    </row>
    <row r="187" ht="15.75" customHeight="1">
      <c r="A187" s="91"/>
      <c r="B187" s="142"/>
      <c r="C187" s="143"/>
      <c r="D187" s="97"/>
      <c r="E187" s="144"/>
      <c r="F187" s="144"/>
      <c r="G187" s="97"/>
      <c r="H187" s="143"/>
      <c r="I187" s="97"/>
      <c r="J187" s="97"/>
      <c r="K187" s="113"/>
      <c r="L187" s="114"/>
      <c r="M187" s="102"/>
      <c r="N187" s="124"/>
      <c r="O187" s="125"/>
      <c r="P187" s="97"/>
      <c r="Q187" s="131"/>
      <c r="R187" s="126"/>
      <c r="S187" s="97"/>
      <c r="T187" s="97"/>
      <c r="V187" s="108"/>
    </row>
    <row r="188" ht="15.75" customHeight="1">
      <c r="A188" s="91"/>
      <c r="B188" s="142"/>
      <c r="C188" s="143"/>
      <c r="D188" s="97"/>
      <c r="E188" s="144"/>
      <c r="F188" s="144"/>
      <c r="G188" s="97"/>
      <c r="H188" s="143"/>
      <c r="I188" s="97"/>
      <c r="J188" s="97"/>
      <c r="K188" s="100"/>
      <c r="L188" s="101"/>
      <c r="M188" s="102"/>
      <c r="N188" s="124"/>
      <c r="O188" s="125"/>
      <c r="P188" s="97"/>
      <c r="Q188" s="131"/>
      <c r="R188" s="126"/>
      <c r="S188" s="97"/>
      <c r="T188" s="97"/>
      <c r="V188" s="108"/>
    </row>
    <row r="189" ht="15.75" customHeight="1">
      <c r="A189" s="91"/>
      <c r="B189" s="142"/>
      <c r="C189" s="143"/>
      <c r="D189" s="97"/>
      <c r="E189" s="144"/>
      <c r="F189" s="144"/>
      <c r="G189" s="97"/>
      <c r="H189" s="143"/>
      <c r="I189" s="97"/>
      <c r="J189" s="97"/>
      <c r="K189" s="113"/>
      <c r="L189" s="114"/>
      <c r="M189" s="102"/>
      <c r="N189" s="124"/>
      <c r="O189" s="125"/>
      <c r="P189" s="97"/>
      <c r="Q189" s="131"/>
      <c r="R189" s="126"/>
      <c r="S189" s="97"/>
      <c r="T189" s="97"/>
      <c r="V189" s="108"/>
    </row>
    <row r="190" ht="15.75" customHeight="1">
      <c r="A190" s="91"/>
      <c r="B190" s="142"/>
      <c r="C190" s="143"/>
      <c r="D190" s="97"/>
      <c r="E190" s="144"/>
      <c r="F190" s="144"/>
      <c r="G190" s="97"/>
      <c r="H190" s="143"/>
      <c r="I190" s="97"/>
      <c r="J190" s="97"/>
      <c r="K190" s="100"/>
      <c r="L190" s="101"/>
      <c r="M190" s="102"/>
      <c r="N190" s="124"/>
      <c r="O190" s="125"/>
      <c r="P190" s="97"/>
      <c r="Q190" s="131"/>
      <c r="R190" s="126"/>
      <c r="S190" s="97"/>
      <c r="T190" s="97"/>
      <c r="V190" s="108"/>
    </row>
    <row r="191" ht="15.75" customHeight="1">
      <c r="A191" s="91"/>
      <c r="B191" s="142"/>
      <c r="C191" s="143"/>
      <c r="D191" s="97"/>
      <c r="E191" s="144"/>
      <c r="F191" s="144"/>
      <c r="G191" s="97"/>
      <c r="H191" s="143"/>
      <c r="I191" s="97"/>
      <c r="J191" s="97"/>
      <c r="K191" s="113"/>
      <c r="L191" s="114"/>
      <c r="M191" s="102"/>
      <c r="N191" s="124"/>
      <c r="O191" s="125"/>
      <c r="P191" s="97"/>
      <c r="Q191" s="131"/>
      <c r="R191" s="126"/>
      <c r="S191" s="97"/>
      <c r="T191" s="97"/>
      <c r="V191" s="108"/>
    </row>
    <row r="192" ht="15.75" customHeight="1">
      <c r="A192" s="91"/>
      <c r="B192" s="142"/>
      <c r="C192" s="108"/>
      <c r="D192" s="97"/>
      <c r="E192" s="144"/>
      <c r="F192" s="144"/>
      <c r="G192" s="97"/>
      <c r="H192" s="143"/>
      <c r="I192" s="97"/>
      <c r="J192" s="97"/>
      <c r="K192" s="100"/>
      <c r="L192" s="101"/>
      <c r="M192" s="102"/>
      <c r="N192" s="124"/>
      <c r="O192" s="125"/>
      <c r="P192" s="97"/>
      <c r="Q192" s="131"/>
      <c r="R192" s="126"/>
      <c r="S192" s="97"/>
      <c r="T192" s="97"/>
      <c r="V192" s="108"/>
    </row>
    <row r="193" ht="15.75" customHeight="1">
      <c r="A193" s="91"/>
      <c r="B193" s="142"/>
      <c r="C193" s="143"/>
      <c r="D193" s="97"/>
      <c r="E193" s="144"/>
      <c r="F193" s="144"/>
      <c r="G193" s="97"/>
      <c r="H193" s="143"/>
      <c r="I193" s="97"/>
      <c r="J193" s="97"/>
      <c r="K193" s="113"/>
      <c r="L193" s="114"/>
      <c r="M193" s="102"/>
      <c r="N193" s="124"/>
      <c r="O193" s="125"/>
      <c r="P193" s="97"/>
      <c r="Q193" s="131"/>
      <c r="R193" s="126"/>
      <c r="S193" s="97"/>
      <c r="T193" s="97"/>
      <c r="V193" s="108"/>
    </row>
    <row r="194" ht="15.75" customHeight="1">
      <c r="A194" s="91"/>
      <c r="B194" s="142"/>
      <c r="C194" s="143"/>
      <c r="D194" s="97"/>
      <c r="E194" s="144"/>
      <c r="F194" s="144"/>
      <c r="G194" s="97"/>
      <c r="H194" s="143"/>
      <c r="I194" s="97"/>
      <c r="J194" s="97"/>
      <c r="K194" s="100"/>
      <c r="L194" s="101"/>
      <c r="M194" s="102"/>
      <c r="N194" s="124"/>
      <c r="O194" s="125"/>
      <c r="P194" s="97"/>
      <c r="Q194" s="131"/>
      <c r="R194" s="126"/>
      <c r="S194" s="97"/>
      <c r="T194" s="97"/>
      <c r="V194" s="108"/>
    </row>
    <row r="195" ht="15.75" customHeight="1">
      <c r="A195" s="91"/>
      <c r="B195" s="142"/>
      <c r="C195" s="143"/>
      <c r="D195" s="97"/>
      <c r="E195" s="144"/>
      <c r="F195" s="144"/>
      <c r="G195" s="97"/>
      <c r="H195" s="143"/>
      <c r="I195" s="97"/>
      <c r="J195" s="97"/>
      <c r="K195" s="113"/>
      <c r="L195" s="114"/>
      <c r="M195" s="102"/>
      <c r="N195" s="124"/>
      <c r="O195" s="125"/>
      <c r="P195" s="97"/>
      <c r="Q195" s="131"/>
      <c r="R195" s="126"/>
      <c r="S195" s="97"/>
      <c r="T195" s="97"/>
      <c r="V195" s="108"/>
    </row>
    <row r="196" ht="15.75" customHeight="1">
      <c r="A196" s="91"/>
      <c r="B196" s="142"/>
      <c r="C196" s="143"/>
      <c r="D196" s="97"/>
      <c r="E196" s="144"/>
      <c r="F196" s="144"/>
      <c r="G196" s="97"/>
      <c r="H196" s="143"/>
      <c r="I196" s="97"/>
      <c r="J196" s="97"/>
      <c r="K196" s="100"/>
      <c r="L196" s="101"/>
      <c r="M196" s="102"/>
      <c r="N196" s="124"/>
      <c r="O196" s="125"/>
      <c r="P196" s="97"/>
      <c r="Q196" s="131"/>
      <c r="R196" s="126"/>
      <c r="S196" s="97"/>
      <c r="T196" s="97"/>
      <c r="V196" s="108"/>
    </row>
    <row r="197" ht="15.75" customHeight="1">
      <c r="A197" s="91"/>
      <c r="B197" s="142"/>
      <c r="C197" s="143"/>
      <c r="D197" s="97"/>
      <c r="E197" s="144"/>
      <c r="F197" s="144"/>
      <c r="G197" s="97"/>
      <c r="H197" s="143"/>
      <c r="I197" s="97"/>
      <c r="J197" s="97"/>
      <c r="K197" s="113"/>
      <c r="L197" s="114"/>
      <c r="M197" s="102"/>
      <c r="N197" s="124"/>
      <c r="O197" s="125"/>
      <c r="P197" s="97"/>
      <c r="Q197" s="131"/>
      <c r="R197" s="126"/>
      <c r="S197" s="97"/>
      <c r="T197" s="97"/>
      <c r="V197" s="108"/>
    </row>
    <row r="198" ht="15.75" customHeight="1">
      <c r="A198" s="91"/>
      <c r="B198" s="142"/>
      <c r="C198" s="108"/>
      <c r="D198" s="97"/>
      <c r="E198" s="144"/>
      <c r="F198" s="144"/>
      <c r="G198" s="97"/>
      <c r="H198" s="143"/>
      <c r="I198" s="97"/>
      <c r="J198" s="97"/>
      <c r="K198" s="100"/>
      <c r="L198" s="101"/>
      <c r="M198" s="102"/>
      <c r="N198" s="124"/>
      <c r="O198" s="125"/>
      <c r="P198" s="97"/>
      <c r="Q198" s="131"/>
      <c r="R198" s="126"/>
      <c r="S198" s="97"/>
      <c r="T198" s="97"/>
      <c r="V198" s="108"/>
    </row>
    <row r="199" ht="15.75" customHeight="1">
      <c r="A199" s="91"/>
      <c r="B199" s="142"/>
      <c r="C199" s="143"/>
      <c r="D199" s="97"/>
      <c r="E199" s="144"/>
      <c r="F199" s="144"/>
      <c r="G199" s="97"/>
      <c r="H199" s="143"/>
      <c r="I199" s="97"/>
      <c r="J199" s="97"/>
      <c r="K199" s="113"/>
      <c r="L199" s="114"/>
      <c r="M199" s="102"/>
      <c r="N199" s="124"/>
      <c r="O199" s="125"/>
      <c r="P199" s="97"/>
      <c r="Q199" s="131"/>
      <c r="R199" s="126"/>
      <c r="S199" s="97"/>
      <c r="T199" s="97"/>
      <c r="V199" s="108"/>
    </row>
    <row r="200" ht="15.75" customHeight="1">
      <c r="A200" s="91"/>
      <c r="B200" s="142"/>
      <c r="C200" s="143"/>
      <c r="D200" s="97"/>
      <c r="E200" s="144"/>
      <c r="F200" s="144"/>
      <c r="G200" s="97"/>
      <c r="H200" s="143"/>
      <c r="I200" s="97"/>
      <c r="J200" s="97"/>
      <c r="K200" s="100"/>
      <c r="L200" s="101"/>
      <c r="M200" s="102"/>
      <c r="N200" s="124"/>
      <c r="O200" s="125"/>
      <c r="P200" s="97"/>
      <c r="Q200" s="131"/>
      <c r="R200" s="126"/>
      <c r="S200" s="97"/>
      <c r="T200" s="97"/>
      <c r="V200" s="108"/>
    </row>
    <row r="201" ht="15.75" customHeight="1">
      <c r="A201" s="91"/>
      <c r="B201" s="142"/>
      <c r="C201" s="143"/>
      <c r="D201" s="97"/>
      <c r="E201" s="144"/>
      <c r="F201" s="144"/>
      <c r="G201" s="97"/>
      <c r="H201" s="143"/>
      <c r="I201" s="97"/>
      <c r="J201" s="97"/>
      <c r="K201" s="113"/>
      <c r="L201" s="114"/>
      <c r="M201" s="102"/>
      <c r="N201" s="124"/>
      <c r="O201" s="125"/>
      <c r="P201" s="97"/>
      <c r="Q201" s="131"/>
      <c r="R201" s="126"/>
      <c r="S201" s="97"/>
      <c r="T201" s="97"/>
      <c r="V201" s="108"/>
    </row>
    <row r="202" ht="15.75" customHeight="1">
      <c r="A202" s="91"/>
      <c r="B202" s="142"/>
      <c r="C202" s="143"/>
      <c r="D202" s="97"/>
      <c r="E202" s="144"/>
      <c r="F202" s="144"/>
      <c r="G202" s="97"/>
      <c r="H202" s="143"/>
      <c r="I202" s="97"/>
      <c r="J202" s="97"/>
      <c r="K202" s="100"/>
      <c r="L202" s="101"/>
      <c r="M202" s="102"/>
      <c r="N202" s="124"/>
      <c r="O202" s="125"/>
      <c r="P202" s="97"/>
      <c r="Q202" s="131"/>
      <c r="R202" s="126"/>
      <c r="S202" s="97"/>
      <c r="T202" s="97"/>
      <c r="V202" s="108"/>
    </row>
    <row r="203" ht="15.75" customHeight="1">
      <c r="A203" s="91"/>
      <c r="B203" s="142"/>
      <c r="C203" s="143"/>
      <c r="D203" s="97"/>
      <c r="E203" s="144"/>
      <c r="F203" s="144"/>
      <c r="G203" s="97"/>
      <c r="H203" s="143"/>
      <c r="I203" s="97"/>
      <c r="J203" s="97"/>
      <c r="K203" s="113"/>
      <c r="L203" s="114"/>
      <c r="M203" s="102"/>
      <c r="N203" s="124"/>
      <c r="O203" s="125"/>
      <c r="P203" s="97"/>
      <c r="Q203" s="131"/>
      <c r="R203" s="126"/>
      <c r="S203" s="97"/>
      <c r="T203" s="97"/>
      <c r="V203" s="108"/>
    </row>
    <row r="204" ht="15.75" customHeight="1">
      <c r="A204" s="91"/>
      <c r="B204" s="142"/>
      <c r="C204" s="108"/>
      <c r="D204" s="97"/>
      <c r="E204" s="144"/>
      <c r="F204" s="144"/>
      <c r="G204" s="97"/>
      <c r="H204" s="143"/>
      <c r="I204" s="97"/>
      <c r="J204" s="97"/>
      <c r="K204" s="100"/>
      <c r="L204" s="101"/>
      <c r="M204" s="102"/>
      <c r="N204" s="124"/>
      <c r="O204" s="125"/>
      <c r="P204" s="97"/>
      <c r="Q204" s="131"/>
      <c r="R204" s="126"/>
      <c r="S204" s="97"/>
      <c r="T204" s="97"/>
      <c r="V204" s="108"/>
    </row>
    <row r="205" ht="15.75" customHeight="1">
      <c r="A205" s="91"/>
      <c r="B205" s="142"/>
      <c r="C205" s="143"/>
      <c r="D205" s="97"/>
      <c r="E205" s="144"/>
      <c r="F205" s="144"/>
      <c r="G205" s="97"/>
      <c r="H205" s="143"/>
      <c r="I205" s="97"/>
      <c r="J205" s="97"/>
      <c r="K205" s="113"/>
      <c r="L205" s="114"/>
      <c r="M205" s="102"/>
      <c r="N205" s="124"/>
      <c r="O205" s="125"/>
      <c r="P205" s="97"/>
      <c r="Q205" s="131"/>
      <c r="R205" s="126"/>
      <c r="S205" s="97"/>
      <c r="T205" s="97"/>
      <c r="V205" s="108"/>
    </row>
    <row r="206" ht="15.75" customHeight="1">
      <c r="A206" s="91"/>
      <c r="B206" s="142"/>
      <c r="C206" s="143"/>
      <c r="D206" s="97"/>
      <c r="E206" s="144"/>
      <c r="F206" s="144"/>
      <c r="G206" s="97"/>
      <c r="H206" s="143"/>
      <c r="I206" s="97"/>
      <c r="J206" s="97"/>
      <c r="K206" s="100"/>
      <c r="L206" s="101"/>
      <c r="M206" s="102"/>
      <c r="N206" s="124"/>
      <c r="O206" s="125"/>
      <c r="P206" s="97"/>
      <c r="Q206" s="131"/>
      <c r="R206" s="126"/>
      <c r="S206" s="97"/>
      <c r="T206" s="97"/>
      <c r="V206" s="108"/>
    </row>
    <row r="207" ht="15.75" customHeight="1">
      <c r="A207" s="91"/>
      <c r="B207" s="142"/>
      <c r="C207" s="143"/>
      <c r="D207" s="97"/>
      <c r="E207" s="144"/>
      <c r="F207" s="144"/>
      <c r="G207" s="97"/>
      <c r="H207" s="143"/>
      <c r="I207" s="97"/>
      <c r="J207" s="97"/>
      <c r="K207" s="113"/>
      <c r="L207" s="114"/>
      <c r="M207" s="102"/>
      <c r="N207" s="124"/>
      <c r="O207" s="125"/>
      <c r="P207" s="97"/>
      <c r="Q207" s="131"/>
      <c r="R207" s="126"/>
      <c r="S207" s="97"/>
      <c r="T207" s="97"/>
      <c r="V207" s="108"/>
    </row>
    <row r="208" ht="15.75" customHeight="1">
      <c r="A208" s="91"/>
      <c r="B208" s="142"/>
      <c r="C208" s="143"/>
      <c r="D208" s="97"/>
      <c r="E208" s="144"/>
      <c r="F208" s="144"/>
      <c r="G208" s="97"/>
      <c r="H208" s="143"/>
      <c r="I208" s="97"/>
      <c r="J208" s="97"/>
      <c r="K208" s="100"/>
      <c r="L208" s="101"/>
      <c r="M208" s="102"/>
      <c r="N208" s="124"/>
      <c r="O208" s="125"/>
      <c r="P208" s="97"/>
      <c r="Q208" s="131"/>
      <c r="R208" s="126"/>
      <c r="S208" s="97"/>
      <c r="T208" s="97"/>
      <c r="V208" s="108"/>
    </row>
    <row r="209" ht="15.75" customHeight="1">
      <c r="A209" s="91"/>
      <c r="B209" s="142"/>
      <c r="C209" s="143"/>
      <c r="D209" s="97"/>
      <c r="E209" s="144"/>
      <c r="F209" s="144"/>
      <c r="G209" s="97"/>
      <c r="H209" s="143"/>
      <c r="I209" s="97"/>
      <c r="J209" s="97"/>
      <c r="K209" s="113"/>
      <c r="L209" s="114"/>
      <c r="M209" s="102"/>
      <c r="N209" s="124"/>
      <c r="O209" s="125"/>
      <c r="P209" s="97"/>
      <c r="Q209" s="131"/>
      <c r="R209" s="126"/>
      <c r="S209" s="97"/>
      <c r="T209" s="97"/>
      <c r="V209" s="108"/>
    </row>
    <row r="210" ht="15.75" customHeight="1">
      <c r="A210" s="91"/>
      <c r="B210" s="142"/>
      <c r="C210" s="108"/>
      <c r="D210" s="97"/>
      <c r="E210" s="144"/>
      <c r="F210" s="144"/>
      <c r="G210" s="97"/>
      <c r="H210" s="143"/>
      <c r="I210" s="97"/>
      <c r="J210" s="97"/>
      <c r="K210" s="100"/>
      <c r="L210" s="101"/>
      <c r="M210" s="102"/>
      <c r="N210" s="124"/>
      <c r="O210" s="125"/>
      <c r="P210" s="97"/>
      <c r="Q210" s="131"/>
      <c r="R210" s="126"/>
      <c r="S210" s="97"/>
      <c r="T210" s="97"/>
      <c r="V210" s="108"/>
    </row>
    <row r="211" ht="15.75" customHeight="1">
      <c r="A211" s="91"/>
      <c r="B211" s="142"/>
      <c r="C211" s="143"/>
      <c r="D211" s="97"/>
      <c r="E211" s="144"/>
      <c r="F211" s="144"/>
      <c r="G211" s="97"/>
      <c r="H211" s="143"/>
      <c r="I211" s="97"/>
      <c r="J211" s="97"/>
      <c r="K211" s="113"/>
      <c r="L211" s="114"/>
      <c r="M211" s="102"/>
      <c r="N211" s="124"/>
      <c r="O211" s="125"/>
      <c r="P211" s="97"/>
      <c r="Q211" s="131"/>
      <c r="R211" s="126"/>
      <c r="S211" s="97"/>
      <c r="T211" s="97"/>
      <c r="V211" s="108"/>
    </row>
    <row r="212" ht="15.75" customHeight="1">
      <c r="A212" s="91"/>
      <c r="B212" s="142"/>
      <c r="C212" s="143"/>
      <c r="D212" s="97"/>
      <c r="E212" s="144"/>
      <c r="F212" s="144"/>
      <c r="G212" s="97"/>
      <c r="H212" s="143"/>
      <c r="I212" s="97"/>
      <c r="J212" s="97"/>
      <c r="K212" s="100"/>
      <c r="L212" s="101"/>
      <c r="M212" s="102"/>
      <c r="N212" s="124"/>
      <c r="O212" s="125"/>
      <c r="P212" s="97"/>
      <c r="Q212" s="131"/>
      <c r="R212" s="126"/>
      <c r="S212" s="97"/>
      <c r="T212" s="97"/>
      <c r="V212" s="108"/>
    </row>
    <row r="213" ht="15.75" customHeight="1">
      <c r="A213" s="91"/>
      <c r="B213" s="142"/>
      <c r="C213" s="143"/>
      <c r="D213" s="97"/>
      <c r="E213" s="144"/>
      <c r="F213" s="144"/>
      <c r="G213" s="97"/>
      <c r="H213" s="143"/>
      <c r="I213" s="97"/>
      <c r="J213" s="97"/>
      <c r="K213" s="113"/>
      <c r="L213" s="114"/>
      <c r="M213" s="102"/>
      <c r="N213" s="124"/>
      <c r="O213" s="125"/>
      <c r="P213" s="97"/>
      <c r="Q213" s="131"/>
      <c r="R213" s="126"/>
      <c r="S213" s="97"/>
      <c r="T213" s="97"/>
      <c r="V213" s="108"/>
    </row>
    <row r="214" ht="15.75" customHeight="1">
      <c r="A214" s="91"/>
      <c r="B214" s="142"/>
      <c r="C214" s="143"/>
      <c r="D214" s="97"/>
      <c r="E214" s="144"/>
      <c r="F214" s="144"/>
      <c r="G214" s="97"/>
      <c r="H214" s="143"/>
      <c r="I214" s="97"/>
      <c r="J214" s="97"/>
      <c r="K214" s="100"/>
      <c r="L214" s="101"/>
      <c r="M214" s="102"/>
      <c r="N214" s="124"/>
      <c r="O214" s="125"/>
      <c r="P214" s="97"/>
      <c r="Q214" s="131"/>
      <c r="R214" s="126"/>
      <c r="S214" s="97"/>
      <c r="T214" s="97"/>
      <c r="V214" s="108"/>
    </row>
    <row r="215" ht="15.75" customHeight="1">
      <c r="A215" s="91"/>
      <c r="B215" s="142"/>
      <c r="C215" s="143"/>
      <c r="D215" s="97"/>
      <c r="E215" s="144"/>
      <c r="F215" s="144"/>
      <c r="G215" s="97"/>
      <c r="H215" s="143"/>
      <c r="I215" s="97"/>
      <c r="J215" s="97"/>
      <c r="K215" s="113"/>
      <c r="L215" s="114"/>
      <c r="M215" s="102"/>
      <c r="N215" s="124"/>
      <c r="O215" s="125"/>
      <c r="P215" s="97"/>
      <c r="Q215" s="131"/>
      <c r="R215" s="126"/>
      <c r="S215" s="97"/>
      <c r="T215" s="97"/>
      <c r="V215" s="108"/>
    </row>
    <row r="216" ht="15.75" customHeight="1">
      <c r="A216" s="91"/>
      <c r="B216" s="142"/>
      <c r="C216" s="108"/>
      <c r="D216" s="97"/>
      <c r="E216" s="144"/>
      <c r="F216" s="144"/>
      <c r="G216" s="97"/>
      <c r="H216" s="143"/>
      <c r="I216" s="97"/>
      <c r="J216" s="97"/>
      <c r="K216" s="100"/>
      <c r="L216" s="101"/>
      <c r="M216" s="102"/>
      <c r="N216" s="124"/>
      <c r="O216" s="125"/>
      <c r="P216" s="97"/>
      <c r="Q216" s="131"/>
      <c r="R216" s="126"/>
      <c r="S216" s="97"/>
      <c r="T216" s="97"/>
      <c r="V216" s="108"/>
    </row>
    <row r="217" ht="15.75" customHeight="1">
      <c r="A217" s="91"/>
      <c r="B217" s="142"/>
      <c r="C217" s="143"/>
      <c r="D217" s="97"/>
      <c r="E217" s="144"/>
      <c r="F217" s="144"/>
      <c r="G217" s="97"/>
      <c r="H217" s="143"/>
      <c r="I217" s="97"/>
      <c r="J217" s="97"/>
      <c r="K217" s="113"/>
      <c r="L217" s="114"/>
      <c r="M217" s="102"/>
      <c r="N217" s="124"/>
      <c r="O217" s="125"/>
      <c r="P217" s="97"/>
      <c r="Q217" s="131"/>
      <c r="R217" s="126"/>
      <c r="S217" s="97"/>
      <c r="T217" s="97"/>
      <c r="V217" s="108"/>
    </row>
    <row r="218" ht="15.75" customHeight="1">
      <c r="A218" s="91"/>
      <c r="B218" s="142"/>
      <c r="C218" s="143"/>
      <c r="D218" s="97"/>
      <c r="E218" s="144"/>
      <c r="F218" s="144"/>
      <c r="G218" s="97"/>
      <c r="H218" s="143"/>
      <c r="I218" s="97"/>
      <c r="J218" s="97"/>
      <c r="K218" s="100"/>
      <c r="L218" s="101"/>
      <c r="M218" s="102"/>
      <c r="N218" s="124"/>
      <c r="O218" s="125"/>
      <c r="P218" s="97"/>
      <c r="Q218" s="131"/>
      <c r="R218" s="126"/>
      <c r="S218" s="97"/>
      <c r="T218" s="97"/>
      <c r="V218" s="108"/>
    </row>
    <row r="219" ht="15.75" customHeight="1">
      <c r="A219" s="91"/>
      <c r="B219" s="142"/>
      <c r="C219" s="143"/>
      <c r="D219" s="97"/>
      <c r="E219" s="144"/>
      <c r="F219" s="144"/>
      <c r="G219" s="97"/>
      <c r="H219" s="143"/>
      <c r="I219" s="97"/>
      <c r="J219" s="97"/>
      <c r="K219" s="113"/>
      <c r="L219" s="114"/>
      <c r="M219" s="102"/>
      <c r="N219" s="124"/>
      <c r="O219" s="125"/>
      <c r="P219" s="97"/>
      <c r="Q219" s="131"/>
      <c r="R219" s="126"/>
      <c r="S219" s="97"/>
      <c r="T219" s="97"/>
      <c r="V219" s="108"/>
    </row>
    <row r="220" ht="15.75" customHeight="1">
      <c r="A220" s="91"/>
      <c r="B220" s="142"/>
      <c r="C220" s="143"/>
      <c r="D220" s="97"/>
      <c r="E220" s="144"/>
      <c r="F220" s="144"/>
      <c r="G220" s="97"/>
      <c r="H220" s="143"/>
      <c r="I220" s="97"/>
      <c r="J220" s="97"/>
      <c r="K220" s="100"/>
      <c r="L220" s="101"/>
      <c r="M220" s="102"/>
      <c r="N220" s="124"/>
      <c r="O220" s="125"/>
      <c r="P220" s="97"/>
      <c r="Q220" s="131"/>
      <c r="R220" s="126"/>
      <c r="S220" s="97"/>
      <c r="T220" s="97"/>
      <c r="V220" s="108"/>
    </row>
    <row r="221" ht="15.75" customHeight="1">
      <c r="A221" s="91"/>
      <c r="B221" s="142"/>
      <c r="C221" s="143"/>
      <c r="D221" s="97"/>
      <c r="E221" s="144"/>
      <c r="F221" s="144"/>
      <c r="G221" s="97"/>
      <c r="H221" s="143"/>
      <c r="I221" s="97"/>
      <c r="J221" s="97"/>
      <c r="K221" s="113"/>
      <c r="L221" s="114"/>
      <c r="M221" s="102"/>
      <c r="N221" s="124"/>
      <c r="O221" s="125"/>
      <c r="P221" s="97"/>
      <c r="Q221" s="131"/>
      <c r="R221" s="126"/>
      <c r="S221" s="97"/>
      <c r="T221" s="97"/>
      <c r="V221" s="108"/>
    </row>
    <row r="222" ht="15.75" customHeight="1">
      <c r="A222" s="91"/>
      <c r="B222" s="142"/>
      <c r="C222" s="108"/>
      <c r="D222" s="97"/>
      <c r="E222" s="144"/>
      <c r="F222" s="144"/>
      <c r="G222" s="97"/>
      <c r="H222" s="143"/>
      <c r="I222" s="97"/>
      <c r="J222" s="97"/>
      <c r="K222" s="100"/>
      <c r="L222" s="101"/>
      <c r="M222" s="102"/>
      <c r="N222" s="124"/>
      <c r="O222" s="125"/>
      <c r="P222" s="97"/>
      <c r="Q222" s="131"/>
      <c r="R222" s="126"/>
      <c r="S222" s="97"/>
      <c r="T222" s="97"/>
      <c r="V222" s="108"/>
    </row>
    <row r="223" ht="15.75" customHeight="1">
      <c r="A223" s="91"/>
      <c r="B223" s="142"/>
      <c r="C223" s="143"/>
      <c r="D223" s="97"/>
      <c r="E223" s="144"/>
      <c r="F223" s="144"/>
      <c r="G223" s="97"/>
      <c r="H223" s="143"/>
      <c r="I223" s="97"/>
      <c r="J223" s="97"/>
      <c r="K223" s="113"/>
      <c r="L223" s="114"/>
      <c r="M223" s="102"/>
      <c r="N223" s="124"/>
      <c r="O223" s="125"/>
      <c r="P223" s="97"/>
      <c r="Q223" s="131"/>
      <c r="R223" s="126"/>
      <c r="S223" s="97"/>
      <c r="T223" s="97"/>
      <c r="V223" s="108"/>
    </row>
    <row r="224" ht="15.75" customHeight="1">
      <c r="A224" s="91"/>
      <c r="B224" s="142"/>
      <c r="C224" s="143"/>
      <c r="D224" s="97"/>
      <c r="E224" s="144"/>
      <c r="F224" s="144"/>
      <c r="G224" s="97"/>
      <c r="H224" s="143"/>
      <c r="I224" s="97"/>
      <c r="J224" s="97"/>
      <c r="K224" s="100"/>
      <c r="L224" s="101"/>
      <c r="M224" s="102"/>
      <c r="N224" s="124"/>
      <c r="O224" s="125"/>
      <c r="P224" s="97"/>
      <c r="Q224" s="131"/>
      <c r="R224" s="126"/>
      <c r="S224" s="97"/>
      <c r="T224" s="97"/>
      <c r="V224" s="108"/>
    </row>
    <row r="225" ht="15.75" customHeight="1">
      <c r="A225" s="91"/>
      <c r="B225" s="142"/>
      <c r="C225" s="143"/>
      <c r="D225" s="97"/>
      <c r="E225" s="144"/>
      <c r="F225" s="144"/>
      <c r="G225" s="97"/>
      <c r="H225" s="143"/>
      <c r="I225" s="97"/>
      <c r="J225" s="97"/>
      <c r="K225" s="113"/>
      <c r="L225" s="114"/>
      <c r="M225" s="102"/>
      <c r="N225" s="124"/>
      <c r="O225" s="125"/>
      <c r="P225" s="97"/>
      <c r="Q225" s="131"/>
      <c r="R225" s="126"/>
      <c r="S225" s="97"/>
      <c r="T225" s="97"/>
      <c r="V225" s="108"/>
    </row>
    <row r="226" ht="15.75" customHeight="1">
      <c r="A226" s="91"/>
      <c r="B226" s="142"/>
      <c r="C226" s="143"/>
      <c r="D226" s="97"/>
      <c r="E226" s="144"/>
      <c r="F226" s="144"/>
      <c r="G226" s="97"/>
      <c r="H226" s="143"/>
      <c r="I226" s="97"/>
      <c r="J226" s="97"/>
      <c r="K226" s="100"/>
      <c r="L226" s="101"/>
      <c r="M226" s="102"/>
      <c r="N226" s="124"/>
      <c r="O226" s="125"/>
      <c r="P226" s="97"/>
      <c r="Q226" s="131"/>
      <c r="R226" s="126"/>
      <c r="S226" s="97"/>
      <c r="T226" s="97"/>
      <c r="V226" s="108"/>
    </row>
    <row r="227" ht="15.75" customHeight="1">
      <c r="A227" s="91"/>
      <c r="B227" s="142"/>
      <c r="C227" s="143"/>
      <c r="D227" s="97"/>
      <c r="E227" s="144"/>
      <c r="F227" s="144"/>
      <c r="G227" s="97"/>
      <c r="H227" s="143"/>
      <c r="I227" s="97"/>
      <c r="J227" s="97"/>
      <c r="K227" s="113"/>
      <c r="L227" s="114"/>
      <c r="M227" s="102"/>
      <c r="N227" s="124"/>
      <c r="O227" s="125"/>
      <c r="P227" s="97"/>
      <c r="Q227" s="131"/>
      <c r="R227" s="126"/>
      <c r="S227" s="97"/>
      <c r="T227" s="97"/>
      <c r="V227" s="108"/>
    </row>
    <row r="228" ht="15.75" customHeight="1">
      <c r="A228" s="91"/>
      <c r="B228" s="142"/>
      <c r="C228" s="108"/>
      <c r="D228" s="97"/>
      <c r="E228" s="144"/>
      <c r="F228" s="144"/>
      <c r="G228" s="97"/>
      <c r="H228" s="143"/>
      <c r="I228" s="97"/>
      <c r="J228" s="97"/>
      <c r="K228" s="100"/>
      <c r="L228" s="101"/>
      <c r="M228" s="102"/>
      <c r="N228" s="124"/>
      <c r="O228" s="125"/>
      <c r="P228" s="97"/>
      <c r="Q228" s="131"/>
      <c r="R228" s="126"/>
      <c r="S228" s="97"/>
      <c r="T228" s="97"/>
      <c r="V228" s="108"/>
    </row>
    <row r="229" ht="15.75" customHeight="1">
      <c r="A229" s="91"/>
      <c r="B229" s="142"/>
      <c r="C229" s="143"/>
      <c r="D229" s="97"/>
      <c r="E229" s="144"/>
      <c r="F229" s="144"/>
      <c r="G229" s="97"/>
      <c r="H229" s="143"/>
      <c r="I229" s="97"/>
      <c r="J229" s="97"/>
      <c r="K229" s="113"/>
      <c r="L229" s="114"/>
      <c r="M229" s="102"/>
      <c r="N229" s="124"/>
      <c r="O229" s="125"/>
      <c r="P229" s="97"/>
      <c r="Q229" s="131"/>
      <c r="R229" s="126"/>
      <c r="S229" s="97"/>
      <c r="T229" s="97"/>
      <c r="V229" s="108"/>
    </row>
    <row r="230" ht="15.75" customHeight="1">
      <c r="A230" s="91"/>
      <c r="B230" s="142"/>
      <c r="C230" s="143"/>
      <c r="D230" s="97"/>
      <c r="E230" s="144"/>
      <c r="F230" s="144"/>
      <c r="G230" s="97"/>
      <c r="H230" s="143"/>
      <c r="I230" s="97"/>
      <c r="J230" s="97"/>
      <c r="K230" s="100"/>
      <c r="L230" s="101"/>
      <c r="M230" s="102"/>
      <c r="N230" s="124"/>
      <c r="O230" s="125"/>
      <c r="P230" s="97"/>
      <c r="Q230" s="131"/>
      <c r="R230" s="126"/>
      <c r="S230" s="97"/>
      <c r="T230" s="97"/>
      <c r="V230" s="108"/>
    </row>
    <row r="231" ht="15.75" customHeight="1">
      <c r="A231" s="91"/>
      <c r="B231" s="142"/>
      <c r="C231" s="143"/>
      <c r="D231" s="97"/>
      <c r="E231" s="144"/>
      <c r="F231" s="144"/>
      <c r="G231" s="97"/>
      <c r="H231" s="143"/>
      <c r="I231" s="97"/>
      <c r="J231" s="97"/>
      <c r="K231" s="113"/>
      <c r="L231" s="114"/>
      <c r="M231" s="102"/>
      <c r="N231" s="124"/>
      <c r="O231" s="125"/>
      <c r="P231" s="97"/>
      <c r="Q231" s="131"/>
      <c r="R231" s="126"/>
      <c r="S231" s="97"/>
      <c r="T231" s="97"/>
      <c r="V231" s="108"/>
    </row>
    <row r="232" ht="15.75" customHeight="1">
      <c r="A232" s="91"/>
      <c r="B232" s="142"/>
      <c r="C232" s="143"/>
      <c r="D232" s="97"/>
      <c r="E232" s="144"/>
      <c r="F232" s="144"/>
      <c r="G232" s="97"/>
      <c r="H232" s="143"/>
      <c r="I232" s="97"/>
      <c r="J232" s="97"/>
      <c r="K232" s="100"/>
      <c r="L232" s="101"/>
      <c r="M232" s="102"/>
      <c r="N232" s="124"/>
      <c r="O232" s="125"/>
      <c r="P232" s="97"/>
      <c r="Q232" s="131"/>
      <c r="R232" s="126"/>
      <c r="S232" s="97"/>
      <c r="T232" s="97"/>
      <c r="V232" s="108"/>
    </row>
    <row r="233" ht="15.75" customHeight="1">
      <c r="A233" s="91"/>
      <c r="B233" s="142"/>
      <c r="C233" s="143"/>
      <c r="D233" s="97"/>
      <c r="E233" s="144"/>
      <c r="F233" s="144"/>
      <c r="G233" s="97"/>
      <c r="H233" s="143"/>
      <c r="I233" s="97"/>
      <c r="J233" s="97"/>
      <c r="K233" s="113"/>
      <c r="L233" s="114"/>
      <c r="M233" s="102"/>
      <c r="N233" s="124"/>
      <c r="O233" s="125"/>
      <c r="P233" s="97"/>
      <c r="Q233" s="131"/>
      <c r="R233" s="126"/>
      <c r="S233" s="97"/>
      <c r="T233" s="97"/>
      <c r="V233" s="108"/>
    </row>
    <row r="234" ht="15.75" customHeight="1">
      <c r="A234" s="91"/>
      <c r="B234" s="142"/>
      <c r="C234" s="108"/>
      <c r="D234" s="97"/>
      <c r="E234" s="144"/>
      <c r="F234" s="144"/>
      <c r="G234" s="97"/>
      <c r="H234" s="143"/>
      <c r="I234" s="97"/>
      <c r="J234" s="97"/>
      <c r="K234" s="100"/>
      <c r="L234" s="101"/>
      <c r="M234" s="102"/>
      <c r="N234" s="124"/>
      <c r="O234" s="125"/>
      <c r="P234" s="97"/>
      <c r="Q234" s="131"/>
      <c r="R234" s="126"/>
      <c r="S234" s="97"/>
      <c r="T234" s="97"/>
      <c r="V234" s="108"/>
    </row>
    <row r="235" ht="15.75" customHeight="1">
      <c r="A235" s="91"/>
      <c r="B235" s="142"/>
      <c r="C235" s="143"/>
      <c r="D235" s="97"/>
      <c r="E235" s="144"/>
      <c r="F235" s="144"/>
      <c r="G235" s="97"/>
      <c r="H235" s="143"/>
      <c r="I235" s="97"/>
      <c r="J235" s="97"/>
      <c r="K235" s="113"/>
      <c r="L235" s="114"/>
      <c r="M235" s="102"/>
      <c r="N235" s="124"/>
      <c r="O235" s="125"/>
      <c r="P235" s="97"/>
      <c r="Q235" s="131"/>
      <c r="R235" s="126"/>
      <c r="S235" s="97"/>
      <c r="T235" s="97"/>
      <c r="V235" s="108"/>
    </row>
    <row r="236" ht="15.75" customHeight="1">
      <c r="A236" s="91"/>
      <c r="B236" s="142"/>
      <c r="C236" s="143"/>
      <c r="D236" s="97"/>
      <c r="E236" s="144"/>
      <c r="F236" s="144"/>
      <c r="G236" s="97"/>
      <c r="H236" s="143"/>
      <c r="I236" s="97"/>
      <c r="J236" s="97"/>
      <c r="K236" s="100"/>
      <c r="L236" s="101"/>
      <c r="M236" s="102"/>
      <c r="N236" s="124"/>
      <c r="O236" s="125"/>
      <c r="P236" s="97"/>
      <c r="Q236" s="131"/>
      <c r="R236" s="126"/>
      <c r="S236" s="97"/>
      <c r="T236" s="97"/>
      <c r="V236" s="108"/>
    </row>
    <row r="237" ht="15.75" customHeight="1">
      <c r="A237" s="91"/>
      <c r="B237" s="142"/>
      <c r="C237" s="143"/>
      <c r="D237" s="97"/>
      <c r="E237" s="144"/>
      <c r="F237" s="144"/>
      <c r="G237" s="97"/>
      <c r="H237" s="143"/>
      <c r="I237" s="97"/>
      <c r="J237" s="97"/>
      <c r="K237" s="113"/>
      <c r="L237" s="114"/>
      <c r="M237" s="102"/>
      <c r="N237" s="124"/>
      <c r="O237" s="125"/>
      <c r="P237" s="97"/>
      <c r="Q237" s="131"/>
      <c r="R237" s="126"/>
      <c r="S237" s="97"/>
      <c r="T237" s="97"/>
      <c r="V237" s="108"/>
    </row>
    <row r="238" ht="15.75" customHeight="1">
      <c r="A238" s="91"/>
      <c r="B238" s="142"/>
      <c r="C238" s="143"/>
      <c r="D238" s="97"/>
      <c r="E238" s="144"/>
      <c r="F238" s="144"/>
      <c r="G238" s="97"/>
      <c r="H238" s="143"/>
      <c r="I238" s="97"/>
      <c r="J238" s="97"/>
      <c r="K238" s="100"/>
      <c r="L238" s="101"/>
      <c r="M238" s="102"/>
      <c r="N238" s="124"/>
      <c r="O238" s="125"/>
      <c r="P238" s="97"/>
      <c r="Q238" s="131"/>
      <c r="R238" s="126"/>
      <c r="S238" s="97"/>
      <c r="T238" s="97"/>
      <c r="V238" s="108"/>
    </row>
    <row r="239" ht="15.75" customHeight="1">
      <c r="A239" s="91"/>
      <c r="B239" s="142"/>
      <c r="C239" s="143"/>
      <c r="D239" s="97"/>
      <c r="E239" s="144"/>
      <c r="F239" s="144"/>
      <c r="G239" s="97"/>
      <c r="H239" s="143"/>
      <c r="I239" s="97"/>
      <c r="J239" s="97"/>
      <c r="K239" s="113"/>
      <c r="L239" s="114"/>
      <c r="M239" s="102"/>
      <c r="N239" s="124"/>
      <c r="O239" s="125"/>
      <c r="P239" s="97"/>
      <c r="Q239" s="131"/>
      <c r="R239" s="126"/>
      <c r="S239" s="97"/>
      <c r="T239" s="97"/>
      <c r="V239" s="108"/>
    </row>
    <row r="240" ht="15.75" customHeight="1">
      <c r="A240" s="91"/>
      <c r="B240" s="142"/>
      <c r="C240" s="108"/>
      <c r="D240" s="97"/>
      <c r="E240" s="144"/>
      <c r="F240" s="144"/>
      <c r="G240" s="97"/>
      <c r="H240" s="143"/>
      <c r="I240" s="97"/>
      <c r="J240" s="97"/>
      <c r="K240" s="100"/>
      <c r="L240" s="101"/>
      <c r="M240" s="102"/>
      <c r="N240" s="124"/>
      <c r="O240" s="125"/>
      <c r="P240" s="97"/>
      <c r="Q240" s="131"/>
      <c r="R240" s="126"/>
      <c r="S240" s="97"/>
      <c r="T240" s="97"/>
      <c r="V240" s="108"/>
    </row>
    <row r="241" ht="15.75" customHeight="1">
      <c r="A241" s="91"/>
      <c r="B241" s="142"/>
      <c r="C241" s="143"/>
      <c r="D241" s="97"/>
      <c r="E241" s="144"/>
      <c r="F241" s="144"/>
      <c r="G241" s="97"/>
      <c r="H241" s="143"/>
      <c r="I241" s="97"/>
      <c r="J241" s="97"/>
      <c r="K241" s="113"/>
      <c r="L241" s="114"/>
      <c r="M241" s="102"/>
      <c r="N241" s="124"/>
      <c r="O241" s="125"/>
      <c r="P241" s="97"/>
      <c r="Q241" s="131"/>
      <c r="R241" s="126"/>
      <c r="S241" s="97"/>
      <c r="T241" s="97"/>
      <c r="V241" s="108"/>
    </row>
    <row r="242" ht="15.75" customHeight="1">
      <c r="A242" s="91"/>
      <c r="B242" s="142"/>
      <c r="C242" s="143"/>
      <c r="D242" s="97"/>
      <c r="E242" s="144"/>
      <c r="F242" s="144"/>
      <c r="G242" s="97"/>
      <c r="H242" s="143"/>
      <c r="I242" s="97"/>
      <c r="J242" s="97"/>
      <c r="K242" s="100"/>
      <c r="L242" s="101"/>
      <c r="M242" s="102"/>
      <c r="N242" s="124"/>
      <c r="O242" s="125"/>
      <c r="P242" s="97"/>
      <c r="Q242" s="131"/>
      <c r="R242" s="126"/>
      <c r="S242" s="97"/>
      <c r="T242" s="97"/>
      <c r="V242" s="108"/>
    </row>
    <row r="243" ht="15.75" customHeight="1">
      <c r="A243" s="91"/>
      <c r="B243" s="142"/>
      <c r="C243" s="143"/>
      <c r="D243" s="97"/>
      <c r="E243" s="144"/>
      <c r="F243" s="144"/>
      <c r="G243" s="97"/>
      <c r="H243" s="143"/>
      <c r="I243" s="97"/>
      <c r="J243" s="97"/>
      <c r="K243" s="147"/>
      <c r="L243" s="148"/>
      <c r="M243" s="102"/>
      <c r="N243" s="124"/>
      <c r="O243" s="125"/>
      <c r="P243" s="97"/>
      <c r="Q243" s="131"/>
      <c r="R243" s="126"/>
      <c r="S243" s="97"/>
      <c r="T243" s="97"/>
      <c r="V243" s="108"/>
    </row>
    <row r="244" ht="15.75" customHeight="1">
      <c r="A244" s="91"/>
      <c r="B244" s="142"/>
      <c r="C244" s="143"/>
      <c r="D244" s="97"/>
      <c r="E244" s="144"/>
      <c r="F244" s="144"/>
      <c r="G244" s="97"/>
      <c r="H244" s="143"/>
      <c r="I244" s="97"/>
      <c r="J244" s="97"/>
      <c r="K244" s="149"/>
      <c r="L244" s="150"/>
      <c r="M244" s="102"/>
      <c r="N244" s="124"/>
      <c r="O244" s="125"/>
      <c r="P244" s="97"/>
      <c r="Q244" s="131"/>
      <c r="R244" s="126"/>
      <c r="S244" s="97"/>
      <c r="T244" s="97"/>
      <c r="V244" s="108"/>
    </row>
    <row r="245" ht="15.75" customHeight="1">
      <c r="A245" s="91"/>
      <c r="B245" s="142"/>
      <c r="C245" s="143"/>
      <c r="D245" s="97"/>
      <c r="E245" s="144"/>
      <c r="F245" s="144"/>
      <c r="G245" s="97"/>
      <c r="H245" s="143"/>
      <c r="I245" s="97"/>
      <c r="J245" s="97"/>
      <c r="K245" s="147"/>
      <c r="L245" s="148"/>
      <c r="M245" s="102"/>
      <c r="N245" s="124"/>
      <c r="O245" s="125"/>
      <c r="P245" s="97"/>
      <c r="Q245" s="131"/>
      <c r="R245" s="126"/>
      <c r="S245" s="97"/>
      <c r="T245" s="97"/>
      <c r="V245" s="108"/>
    </row>
    <row r="246" ht="15.75" customHeight="1">
      <c r="A246" s="91"/>
      <c r="B246" s="142"/>
      <c r="C246" s="108"/>
      <c r="D246" s="97"/>
      <c r="E246" s="144"/>
      <c r="F246" s="144"/>
      <c r="G246" s="97"/>
      <c r="H246" s="143"/>
      <c r="I246" s="97"/>
      <c r="J246" s="97"/>
      <c r="K246" s="149"/>
      <c r="L246" s="150"/>
      <c r="M246" s="102"/>
      <c r="N246" s="124"/>
      <c r="O246" s="125"/>
      <c r="P246" s="97"/>
      <c r="Q246" s="131"/>
      <c r="R246" s="126"/>
      <c r="S246" s="97"/>
      <c r="T246" s="97"/>
      <c r="V246" s="108"/>
    </row>
    <row r="247" ht="15.75" customHeight="1">
      <c r="A247" s="91"/>
      <c r="B247" s="142"/>
      <c r="C247" s="143"/>
      <c r="D247" s="97"/>
      <c r="E247" s="144"/>
      <c r="F247" s="144"/>
      <c r="G247" s="97"/>
      <c r="H247" s="143"/>
      <c r="I247" s="97"/>
      <c r="J247" s="97"/>
      <c r="K247" s="147"/>
      <c r="L247" s="148"/>
      <c r="M247" s="102"/>
      <c r="N247" s="124"/>
      <c r="O247" s="125"/>
      <c r="P247" s="97"/>
      <c r="Q247" s="131"/>
      <c r="R247" s="126"/>
      <c r="S247" s="97"/>
      <c r="T247" s="97"/>
      <c r="V247" s="108"/>
    </row>
    <row r="248" ht="15.75" customHeight="1">
      <c r="A248" s="91"/>
      <c r="B248" s="142"/>
      <c r="C248" s="143"/>
      <c r="D248" s="97"/>
      <c r="E248" s="144"/>
      <c r="F248" s="144"/>
      <c r="G248" s="97"/>
      <c r="H248" s="143"/>
      <c r="I248" s="97"/>
      <c r="J248" s="97"/>
      <c r="K248" s="149"/>
      <c r="L248" s="150"/>
      <c r="M248" s="102"/>
      <c r="N248" s="124"/>
      <c r="O248" s="125"/>
      <c r="P248" s="97"/>
      <c r="Q248" s="131"/>
      <c r="R248" s="126"/>
      <c r="S248" s="97"/>
      <c r="T248" s="97"/>
      <c r="V248" s="108"/>
    </row>
    <row r="249" ht="15.75" customHeight="1">
      <c r="A249" s="91"/>
      <c r="B249" s="142"/>
      <c r="C249" s="143"/>
      <c r="D249" s="97"/>
      <c r="E249" s="144"/>
      <c r="F249" s="144"/>
      <c r="G249" s="97"/>
      <c r="H249" s="143"/>
      <c r="I249" s="97"/>
      <c r="J249" s="97"/>
      <c r="K249" s="147"/>
      <c r="L249" s="148"/>
      <c r="M249" s="102"/>
      <c r="N249" s="124"/>
      <c r="O249" s="125"/>
      <c r="P249" s="97"/>
      <c r="Q249" s="131"/>
      <c r="R249" s="126"/>
      <c r="S249" s="97"/>
      <c r="T249" s="97"/>
      <c r="V249" s="108"/>
    </row>
    <row r="250" ht="15.75" customHeight="1">
      <c r="A250" s="91"/>
      <c r="B250" s="142"/>
      <c r="C250" s="143"/>
      <c r="D250" s="97"/>
      <c r="E250" s="144"/>
      <c r="F250" s="144"/>
      <c r="G250" s="97"/>
      <c r="H250" s="143"/>
      <c r="I250" s="97"/>
      <c r="J250" s="97"/>
      <c r="K250" s="149"/>
      <c r="L250" s="150"/>
      <c r="M250" s="102"/>
      <c r="N250" s="124"/>
      <c r="O250" s="125"/>
      <c r="P250" s="97"/>
      <c r="Q250" s="131"/>
      <c r="R250" s="126"/>
      <c r="S250" s="97"/>
      <c r="T250" s="97"/>
      <c r="V250" s="108"/>
    </row>
    <row r="251" ht="15.75" customHeight="1">
      <c r="A251" s="91"/>
      <c r="B251" s="142"/>
      <c r="C251" s="143"/>
      <c r="D251" s="97"/>
      <c r="E251" s="144"/>
      <c r="F251" s="144"/>
      <c r="G251" s="97"/>
      <c r="H251" s="143"/>
      <c r="I251" s="97"/>
      <c r="J251" s="97"/>
      <c r="K251" s="147"/>
      <c r="L251" s="148"/>
      <c r="M251" s="102"/>
      <c r="N251" s="124"/>
      <c r="O251" s="125"/>
      <c r="P251" s="97"/>
      <c r="Q251" s="131"/>
      <c r="R251" s="126"/>
      <c r="S251" s="97"/>
      <c r="T251" s="97"/>
      <c r="V251" s="108"/>
    </row>
    <row r="252" ht="15.75" customHeight="1">
      <c r="A252" s="91"/>
      <c r="B252" s="142"/>
      <c r="C252" s="108"/>
      <c r="D252" s="97"/>
      <c r="E252" s="144"/>
      <c r="F252" s="144"/>
      <c r="G252" s="97"/>
      <c r="H252" s="143"/>
      <c r="I252" s="97"/>
      <c r="J252" s="97"/>
      <c r="K252" s="149"/>
      <c r="L252" s="150"/>
      <c r="M252" s="102"/>
      <c r="N252" s="124"/>
      <c r="O252" s="125"/>
      <c r="P252" s="97"/>
      <c r="Q252" s="131"/>
      <c r="R252" s="126"/>
      <c r="S252" s="97"/>
      <c r="T252" s="97"/>
      <c r="V252" s="108"/>
    </row>
    <row r="253" ht="15.75" customHeight="1">
      <c r="A253" s="91"/>
      <c r="B253" s="142"/>
      <c r="C253" s="143"/>
      <c r="D253" s="97"/>
      <c r="E253" s="144"/>
      <c r="F253" s="144"/>
      <c r="G253" s="97"/>
      <c r="H253" s="143"/>
      <c r="I253" s="97"/>
      <c r="J253" s="97"/>
      <c r="K253" s="147"/>
      <c r="L253" s="148"/>
      <c r="M253" s="102"/>
      <c r="N253" s="124"/>
      <c r="O253" s="125"/>
      <c r="P253" s="97"/>
      <c r="Q253" s="131"/>
      <c r="R253" s="126"/>
      <c r="S253" s="97"/>
      <c r="T253" s="97"/>
      <c r="V253" s="108"/>
    </row>
    <row r="254" ht="15.75" customHeight="1">
      <c r="A254" s="91"/>
      <c r="B254" s="142"/>
      <c r="C254" s="143"/>
      <c r="D254" s="97"/>
      <c r="E254" s="144"/>
      <c r="F254" s="144"/>
      <c r="G254" s="97"/>
      <c r="H254" s="143"/>
      <c r="I254" s="97"/>
      <c r="J254" s="97"/>
      <c r="K254" s="149"/>
      <c r="L254" s="150"/>
      <c r="M254" s="102"/>
      <c r="N254" s="124"/>
      <c r="O254" s="125"/>
      <c r="P254" s="97"/>
      <c r="Q254" s="131"/>
      <c r="R254" s="126"/>
      <c r="S254" s="97"/>
      <c r="T254" s="97"/>
      <c r="V254" s="108"/>
    </row>
    <row r="255" ht="15.75" customHeight="1">
      <c r="A255" s="91"/>
      <c r="B255" s="142"/>
      <c r="C255" s="143"/>
      <c r="D255" s="97"/>
      <c r="E255" s="144"/>
      <c r="F255" s="144"/>
      <c r="G255" s="97"/>
      <c r="H255" s="143"/>
      <c r="I255" s="97"/>
      <c r="J255" s="97"/>
      <c r="K255" s="147"/>
      <c r="L255" s="148"/>
      <c r="M255" s="102"/>
      <c r="N255" s="124"/>
      <c r="O255" s="125"/>
      <c r="P255" s="97"/>
      <c r="Q255" s="131"/>
      <c r="R255" s="126"/>
      <c r="S255" s="97"/>
      <c r="T255" s="97"/>
      <c r="V255" s="108"/>
    </row>
    <row r="256" ht="15.75" customHeight="1">
      <c r="A256" s="91"/>
      <c r="B256" s="142"/>
      <c r="C256" s="143"/>
      <c r="D256" s="97"/>
      <c r="E256" s="144"/>
      <c r="F256" s="144"/>
      <c r="G256" s="97"/>
      <c r="H256" s="143"/>
      <c r="I256" s="97"/>
      <c r="J256" s="97"/>
      <c r="K256" s="149"/>
      <c r="L256" s="150"/>
      <c r="M256" s="102"/>
      <c r="N256" s="124"/>
      <c r="O256" s="125"/>
      <c r="P256" s="97"/>
      <c r="Q256" s="131"/>
      <c r="R256" s="126"/>
      <c r="S256" s="97"/>
      <c r="T256" s="97"/>
      <c r="V256" s="108"/>
    </row>
    <row r="257" ht="15.75" customHeight="1">
      <c r="A257" s="91"/>
      <c r="B257" s="142"/>
      <c r="C257" s="143"/>
      <c r="D257" s="97"/>
      <c r="E257" s="144"/>
      <c r="F257" s="144"/>
      <c r="G257" s="97"/>
      <c r="H257" s="143"/>
      <c r="I257" s="97"/>
      <c r="J257" s="97"/>
      <c r="K257" s="147"/>
      <c r="L257" s="148"/>
      <c r="M257" s="102"/>
      <c r="N257" s="124"/>
      <c r="O257" s="125"/>
      <c r="P257" s="97"/>
      <c r="Q257" s="131"/>
      <c r="R257" s="126"/>
      <c r="S257" s="97"/>
      <c r="T257" s="97"/>
      <c r="V257" s="108"/>
    </row>
    <row r="258" ht="15.75" customHeight="1">
      <c r="A258" s="91"/>
      <c r="B258" s="142"/>
      <c r="C258" s="108"/>
      <c r="D258" s="97"/>
      <c r="E258" s="144"/>
      <c r="F258" s="144"/>
      <c r="G258" s="97"/>
      <c r="H258" s="143"/>
      <c r="I258" s="97"/>
      <c r="J258" s="97"/>
      <c r="K258" s="149"/>
      <c r="L258" s="150"/>
      <c r="M258" s="102"/>
      <c r="N258" s="124"/>
      <c r="O258" s="125"/>
      <c r="P258" s="97"/>
      <c r="Q258" s="131"/>
      <c r="R258" s="126"/>
      <c r="S258" s="97"/>
      <c r="T258" s="97"/>
      <c r="V258" s="108"/>
    </row>
    <row r="259" ht="15.75" customHeight="1">
      <c r="A259" s="91"/>
      <c r="B259" s="142"/>
      <c r="C259" s="143"/>
      <c r="D259" s="97"/>
      <c r="E259" s="144"/>
      <c r="F259" s="144"/>
      <c r="G259" s="97"/>
      <c r="H259" s="143"/>
      <c r="I259" s="97"/>
      <c r="J259" s="97"/>
      <c r="K259" s="147"/>
      <c r="L259" s="148"/>
      <c r="M259" s="102"/>
      <c r="N259" s="124"/>
      <c r="O259" s="125"/>
      <c r="P259" s="97"/>
      <c r="Q259" s="131"/>
      <c r="R259" s="126"/>
      <c r="S259" s="97"/>
      <c r="T259" s="97"/>
      <c r="V259" s="108"/>
    </row>
    <row r="260" ht="15.75" customHeight="1">
      <c r="A260" s="91"/>
      <c r="B260" s="142"/>
      <c r="C260" s="143"/>
      <c r="D260" s="97"/>
      <c r="E260" s="144"/>
      <c r="F260" s="144"/>
      <c r="G260" s="97"/>
      <c r="H260" s="143"/>
      <c r="I260" s="97"/>
      <c r="J260" s="97"/>
      <c r="K260" s="149"/>
      <c r="L260" s="150"/>
      <c r="M260" s="102"/>
      <c r="N260" s="124"/>
      <c r="O260" s="125"/>
      <c r="P260" s="97"/>
      <c r="Q260" s="131"/>
      <c r="R260" s="126"/>
      <c r="S260" s="97"/>
      <c r="T260" s="97"/>
      <c r="V260" s="108"/>
    </row>
    <row r="261" ht="15.75" customHeight="1">
      <c r="A261" s="91"/>
      <c r="B261" s="142"/>
      <c r="C261" s="143"/>
      <c r="D261" s="97"/>
      <c r="E261" s="144"/>
      <c r="F261" s="144"/>
      <c r="G261" s="97"/>
      <c r="H261" s="143"/>
      <c r="I261" s="97"/>
      <c r="J261" s="97"/>
      <c r="K261" s="147"/>
      <c r="L261" s="148"/>
      <c r="M261" s="102"/>
      <c r="N261" s="124"/>
      <c r="O261" s="125"/>
      <c r="P261" s="97"/>
      <c r="Q261" s="131"/>
      <c r="R261" s="126"/>
      <c r="S261" s="97"/>
      <c r="T261" s="97"/>
      <c r="V261" s="108"/>
    </row>
    <row r="262" ht="15.75" customHeight="1">
      <c r="A262" s="91"/>
      <c r="B262" s="142"/>
      <c r="C262" s="143"/>
      <c r="D262" s="97"/>
      <c r="E262" s="144"/>
      <c r="F262" s="144"/>
      <c r="G262" s="97"/>
      <c r="H262" s="143"/>
      <c r="I262" s="97"/>
      <c r="J262" s="97"/>
      <c r="K262" s="149"/>
      <c r="L262" s="150"/>
      <c r="M262" s="102"/>
      <c r="N262" s="124"/>
      <c r="O262" s="125"/>
      <c r="P262" s="97"/>
      <c r="Q262" s="131"/>
      <c r="R262" s="126"/>
      <c r="S262" s="97"/>
      <c r="T262" s="97"/>
      <c r="V262" s="108"/>
    </row>
    <row r="263" ht="15.75" customHeight="1">
      <c r="A263" s="91"/>
      <c r="B263" s="142"/>
      <c r="C263" s="143"/>
      <c r="D263" s="97"/>
      <c r="E263" s="144"/>
      <c r="F263" s="144"/>
      <c r="G263" s="97"/>
      <c r="H263" s="143"/>
      <c r="I263" s="97"/>
      <c r="J263" s="97"/>
      <c r="K263" s="147"/>
      <c r="L263" s="148"/>
      <c r="M263" s="102"/>
      <c r="N263" s="124"/>
      <c r="O263" s="125"/>
      <c r="P263" s="97"/>
      <c r="Q263" s="131"/>
      <c r="R263" s="126"/>
      <c r="S263" s="97"/>
      <c r="T263" s="97"/>
      <c r="V263" s="108"/>
    </row>
    <row r="264" ht="15.75" customHeight="1">
      <c r="A264" s="91"/>
      <c r="B264" s="142"/>
      <c r="C264" s="108"/>
      <c r="D264" s="97"/>
      <c r="E264" s="144"/>
      <c r="F264" s="144"/>
      <c r="G264" s="97"/>
      <c r="H264" s="143"/>
      <c r="I264" s="97"/>
      <c r="J264" s="97"/>
      <c r="K264" s="149"/>
      <c r="L264" s="150"/>
      <c r="M264" s="102"/>
      <c r="N264" s="124"/>
      <c r="O264" s="125"/>
      <c r="P264" s="97"/>
      <c r="Q264" s="131"/>
      <c r="R264" s="126"/>
      <c r="S264" s="97"/>
      <c r="T264" s="97"/>
      <c r="V264" s="108"/>
    </row>
    <row r="265" ht="15.75" customHeight="1">
      <c r="A265" s="91"/>
      <c r="B265" s="142"/>
      <c r="C265" s="143"/>
      <c r="D265" s="97"/>
      <c r="E265" s="144"/>
      <c r="F265" s="144"/>
      <c r="G265" s="97"/>
      <c r="H265" s="143"/>
      <c r="I265" s="97"/>
      <c r="J265" s="97"/>
      <c r="K265" s="147"/>
      <c r="L265" s="148"/>
      <c r="M265" s="102"/>
      <c r="N265" s="124"/>
      <c r="O265" s="125"/>
      <c r="P265" s="97"/>
      <c r="Q265" s="131"/>
      <c r="R265" s="126"/>
      <c r="S265" s="97"/>
      <c r="T265" s="97"/>
      <c r="V265" s="108"/>
    </row>
    <row r="266" ht="15.75" customHeight="1">
      <c r="A266" s="91"/>
      <c r="B266" s="142"/>
      <c r="C266" s="143"/>
      <c r="D266" s="97"/>
      <c r="E266" s="144"/>
      <c r="F266" s="144"/>
      <c r="G266" s="97"/>
      <c r="H266" s="143"/>
      <c r="I266" s="97"/>
      <c r="J266" s="97"/>
      <c r="K266" s="149"/>
      <c r="L266" s="150"/>
      <c r="M266" s="102"/>
      <c r="N266" s="124"/>
      <c r="O266" s="125"/>
      <c r="P266" s="97"/>
      <c r="Q266" s="131"/>
      <c r="R266" s="126"/>
      <c r="S266" s="97"/>
      <c r="T266" s="97"/>
      <c r="V266" s="108"/>
    </row>
    <row r="267" ht="15.75" customHeight="1">
      <c r="A267" s="91"/>
      <c r="B267" s="142"/>
      <c r="C267" s="143"/>
      <c r="D267" s="97"/>
      <c r="E267" s="144"/>
      <c r="F267" s="144"/>
      <c r="G267" s="97"/>
      <c r="H267" s="143"/>
      <c r="I267" s="97"/>
      <c r="J267" s="97"/>
      <c r="K267" s="147"/>
      <c r="L267" s="148"/>
      <c r="M267" s="102"/>
      <c r="N267" s="124"/>
      <c r="O267" s="125"/>
      <c r="P267" s="97"/>
      <c r="Q267" s="131"/>
      <c r="R267" s="126"/>
      <c r="S267" s="97"/>
      <c r="T267" s="97"/>
      <c r="V267" s="108"/>
    </row>
    <row r="268" ht="15.75" customHeight="1">
      <c r="A268" s="91"/>
      <c r="B268" s="142"/>
      <c r="C268" s="143"/>
      <c r="D268" s="97"/>
      <c r="E268" s="144"/>
      <c r="F268" s="144"/>
      <c r="G268" s="97"/>
      <c r="H268" s="143"/>
      <c r="I268" s="97"/>
      <c r="J268" s="97"/>
      <c r="K268" s="149"/>
      <c r="L268" s="150"/>
      <c r="M268" s="102"/>
      <c r="N268" s="124"/>
      <c r="O268" s="125"/>
      <c r="P268" s="97"/>
      <c r="Q268" s="131"/>
      <c r="R268" s="126"/>
      <c r="S268" s="97"/>
      <c r="T268" s="97"/>
      <c r="V268" s="108"/>
    </row>
    <row r="269" ht="15.75" customHeight="1">
      <c r="A269" s="91"/>
      <c r="B269" s="142"/>
      <c r="C269" s="143"/>
      <c r="D269" s="97"/>
      <c r="E269" s="144"/>
      <c r="F269" s="144"/>
      <c r="G269" s="97"/>
      <c r="H269" s="143"/>
      <c r="I269" s="97"/>
      <c r="J269" s="97"/>
      <c r="K269" s="147"/>
      <c r="L269" s="148"/>
      <c r="M269" s="102"/>
      <c r="N269" s="124"/>
      <c r="O269" s="125"/>
      <c r="P269" s="97"/>
      <c r="Q269" s="131"/>
      <c r="R269" s="126"/>
      <c r="S269" s="97"/>
      <c r="T269" s="97"/>
      <c r="V269" s="108"/>
    </row>
    <row r="270" ht="15.75" customHeight="1">
      <c r="A270" s="91"/>
      <c r="B270" s="142"/>
      <c r="C270" s="108"/>
      <c r="D270" s="97"/>
      <c r="E270" s="144"/>
      <c r="F270" s="144"/>
      <c r="G270" s="97"/>
      <c r="H270" s="143"/>
      <c r="I270" s="97"/>
      <c r="J270" s="97"/>
      <c r="K270" s="149"/>
      <c r="L270" s="150"/>
      <c r="M270" s="102"/>
      <c r="N270" s="124"/>
      <c r="O270" s="125"/>
      <c r="P270" s="97"/>
      <c r="Q270" s="131"/>
      <c r="R270" s="126"/>
      <c r="S270" s="97"/>
      <c r="T270" s="97"/>
      <c r="V270" s="108"/>
    </row>
    <row r="271" ht="15.75" customHeight="1">
      <c r="A271" s="91"/>
      <c r="B271" s="142"/>
      <c r="C271" s="143"/>
      <c r="D271" s="97"/>
      <c r="E271" s="144"/>
      <c r="F271" s="144"/>
      <c r="G271" s="97"/>
      <c r="H271" s="143"/>
      <c r="I271" s="97"/>
      <c r="J271" s="97"/>
      <c r="K271" s="147"/>
      <c r="L271" s="148"/>
      <c r="M271" s="102"/>
      <c r="N271" s="124"/>
      <c r="O271" s="125"/>
      <c r="P271" s="97"/>
      <c r="Q271" s="131"/>
      <c r="R271" s="126"/>
      <c r="S271" s="97"/>
      <c r="T271" s="97"/>
      <c r="V271" s="108"/>
    </row>
    <row r="272" ht="15.75" customHeight="1">
      <c r="A272" s="91"/>
      <c r="B272" s="142"/>
      <c r="C272" s="143"/>
      <c r="D272" s="97"/>
      <c r="E272" s="144"/>
      <c r="F272" s="144"/>
      <c r="G272" s="97"/>
      <c r="H272" s="143"/>
      <c r="I272" s="97"/>
      <c r="J272" s="97"/>
      <c r="K272" s="149"/>
      <c r="L272" s="150"/>
      <c r="M272" s="102"/>
      <c r="N272" s="124"/>
      <c r="O272" s="125"/>
      <c r="P272" s="97"/>
      <c r="Q272" s="131"/>
      <c r="R272" s="126"/>
      <c r="S272" s="97"/>
      <c r="T272" s="97"/>
      <c r="V272" s="108"/>
    </row>
    <row r="273" ht="15.75" customHeight="1">
      <c r="A273" s="91"/>
      <c r="B273" s="142"/>
      <c r="C273" s="143"/>
      <c r="D273" s="97"/>
      <c r="E273" s="144"/>
      <c r="F273" s="144"/>
      <c r="G273" s="97"/>
      <c r="H273" s="143"/>
      <c r="I273" s="97"/>
      <c r="J273" s="97"/>
      <c r="K273" s="147"/>
      <c r="L273" s="148"/>
      <c r="M273" s="102"/>
      <c r="N273" s="124"/>
      <c r="O273" s="125"/>
      <c r="P273" s="97"/>
      <c r="Q273" s="131"/>
      <c r="R273" s="126"/>
      <c r="S273" s="97"/>
      <c r="T273" s="97"/>
      <c r="V273" s="108"/>
    </row>
    <row r="274" ht="15.75" customHeight="1">
      <c r="A274" s="91"/>
      <c r="B274" s="142"/>
      <c r="C274" s="143"/>
      <c r="D274" s="97"/>
      <c r="E274" s="144"/>
      <c r="F274" s="144"/>
      <c r="G274" s="97"/>
      <c r="H274" s="143"/>
      <c r="I274" s="97"/>
      <c r="J274" s="97"/>
      <c r="K274" s="149"/>
      <c r="L274" s="150"/>
      <c r="M274" s="102"/>
      <c r="N274" s="124"/>
      <c r="O274" s="125"/>
      <c r="P274" s="97"/>
      <c r="Q274" s="131"/>
      <c r="R274" s="126"/>
      <c r="S274" s="97"/>
      <c r="T274" s="97"/>
      <c r="V274" s="108"/>
    </row>
    <row r="275" ht="15.75" customHeight="1">
      <c r="A275" s="91"/>
      <c r="B275" s="142"/>
      <c r="C275" s="143"/>
      <c r="D275" s="97"/>
      <c r="E275" s="144"/>
      <c r="F275" s="144"/>
      <c r="G275" s="97"/>
      <c r="H275" s="143"/>
      <c r="I275" s="97"/>
      <c r="J275" s="97"/>
      <c r="K275" s="147"/>
      <c r="L275" s="148"/>
      <c r="M275" s="102"/>
      <c r="N275" s="124"/>
      <c r="O275" s="125"/>
      <c r="P275" s="97"/>
      <c r="Q275" s="131"/>
      <c r="R275" s="126"/>
      <c r="S275" s="97"/>
      <c r="T275" s="97"/>
      <c r="V275" s="108"/>
    </row>
    <row r="276" ht="15.75" customHeight="1">
      <c r="A276" s="91"/>
      <c r="B276" s="142"/>
      <c r="C276" s="108"/>
      <c r="D276" s="97"/>
      <c r="E276" s="144"/>
      <c r="F276" s="144"/>
      <c r="G276" s="97"/>
      <c r="H276" s="143"/>
      <c r="I276" s="97"/>
      <c r="J276" s="97"/>
      <c r="K276" s="149"/>
      <c r="L276" s="150"/>
      <c r="M276" s="102"/>
      <c r="N276" s="124"/>
      <c r="O276" s="125"/>
      <c r="P276" s="97"/>
      <c r="Q276" s="131"/>
      <c r="R276" s="126"/>
      <c r="S276" s="97"/>
      <c r="T276" s="97"/>
      <c r="V276" s="108"/>
    </row>
    <row r="277" ht="15.75" customHeight="1">
      <c r="A277" s="91"/>
      <c r="B277" s="142"/>
      <c r="C277" s="143"/>
      <c r="D277" s="97"/>
      <c r="E277" s="144"/>
      <c r="F277" s="144"/>
      <c r="G277" s="97"/>
      <c r="H277" s="143"/>
      <c r="I277" s="97"/>
      <c r="J277" s="97"/>
      <c r="K277" s="147"/>
      <c r="L277" s="148"/>
      <c r="M277" s="102"/>
      <c r="N277" s="124"/>
      <c r="O277" s="125"/>
      <c r="P277" s="97"/>
      <c r="Q277" s="131"/>
      <c r="R277" s="126"/>
      <c r="S277" s="97"/>
      <c r="T277" s="97"/>
      <c r="V277" s="108"/>
    </row>
    <row r="278" ht="15.75" customHeight="1">
      <c r="A278" s="91"/>
      <c r="B278" s="142"/>
      <c r="C278" s="143"/>
      <c r="D278" s="97"/>
      <c r="E278" s="144"/>
      <c r="F278" s="144"/>
      <c r="G278" s="97"/>
      <c r="H278" s="143"/>
      <c r="I278" s="97"/>
      <c r="J278" s="97"/>
      <c r="K278" s="149"/>
      <c r="L278" s="150"/>
      <c r="M278" s="102"/>
      <c r="N278" s="124"/>
      <c r="O278" s="125"/>
      <c r="P278" s="97"/>
      <c r="Q278" s="131"/>
      <c r="R278" s="126"/>
      <c r="S278" s="97"/>
      <c r="T278" s="97"/>
      <c r="V278" s="108"/>
    </row>
    <row r="279" ht="15.75" customHeight="1">
      <c r="A279" s="91"/>
      <c r="B279" s="142"/>
      <c r="C279" s="143"/>
      <c r="D279" s="97"/>
      <c r="E279" s="144"/>
      <c r="F279" s="144"/>
      <c r="G279" s="97"/>
      <c r="H279" s="143"/>
      <c r="I279" s="97"/>
      <c r="J279" s="97"/>
      <c r="K279" s="147"/>
      <c r="L279" s="148"/>
      <c r="M279" s="102"/>
      <c r="N279" s="124"/>
      <c r="O279" s="125"/>
      <c r="P279" s="97"/>
      <c r="Q279" s="131"/>
      <c r="R279" s="126"/>
      <c r="S279" s="97"/>
      <c r="T279" s="97"/>
      <c r="V279" s="108"/>
    </row>
    <row r="280" ht="15.75" customHeight="1">
      <c r="A280" s="91"/>
      <c r="B280" s="142"/>
      <c r="C280" s="143"/>
      <c r="D280" s="97"/>
      <c r="E280" s="144"/>
      <c r="F280" s="144"/>
      <c r="G280" s="97"/>
      <c r="H280" s="143"/>
      <c r="I280" s="97"/>
      <c r="J280" s="97"/>
      <c r="K280" s="149"/>
      <c r="L280" s="150"/>
      <c r="M280" s="102"/>
      <c r="N280" s="124"/>
      <c r="O280" s="125"/>
      <c r="P280" s="97"/>
      <c r="Q280" s="131"/>
      <c r="R280" s="126"/>
      <c r="S280" s="97"/>
      <c r="T280" s="97"/>
      <c r="V280" s="108"/>
    </row>
    <row r="281" ht="15.75" customHeight="1">
      <c r="A281" s="91"/>
      <c r="B281" s="142"/>
      <c r="C281" s="143"/>
      <c r="D281" s="97"/>
      <c r="E281" s="144"/>
      <c r="F281" s="144"/>
      <c r="G281" s="97"/>
      <c r="H281" s="143"/>
      <c r="I281" s="97"/>
      <c r="J281" s="97"/>
      <c r="K281" s="147"/>
      <c r="L281" s="148"/>
      <c r="M281" s="102"/>
      <c r="N281" s="124"/>
      <c r="O281" s="125"/>
      <c r="P281" s="97"/>
      <c r="Q281" s="131"/>
      <c r="R281" s="126"/>
      <c r="S281" s="97"/>
      <c r="T281" s="97"/>
      <c r="V281" s="108"/>
    </row>
    <row r="282" ht="15.75" customHeight="1">
      <c r="A282" s="91"/>
      <c r="B282" s="142"/>
      <c r="C282" s="108"/>
      <c r="D282" s="97"/>
      <c r="E282" s="144"/>
      <c r="F282" s="144"/>
      <c r="G282" s="97"/>
      <c r="H282" s="143"/>
      <c r="I282" s="97"/>
      <c r="J282" s="97"/>
      <c r="K282" s="149"/>
      <c r="L282" s="150"/>
      <c r="M282" s="102"/>
      <c r="N282" s="124"/>
      <c r="O282" s="125"/>
      <c r="P282" s="97"/>
      <c r="Q282" s="131"/>
      <c r="R282" s="126"/>
      <c r="S282" s="97"/>
      <c r="T282" s="97"/>
      <c r="V282" s="108"/>
    </row>
    <row r="283" ht="15.75" customHeight="1">
      <c r="A283" s="91"/>
      <c r="B283" s="142"/>
      <c r="C283" s="143"/>
      <c r="D283" s="97"/>
      <c r="E283" s="144"/>
      <c r="F283" s="144"/>
      <c r="G283" s="97"/>
      <c r="H283" s="143"/>
      <c r="I283" s="97"/>
      <c r="J283" s="97"/>
      <c r="K283" s="147"/>
      <c r="L283" s="148"/>
      <c r="M283" s="102"/>
      <c r="N283" s="124"/>
      <c r="O283" s="125"/>
      <c r="P283" s="97"/>
      <c r="Q283" s="131"/>
      <c r="R283" s="126"/>
      <c r="S283" s="97"/>
      <c r="T283" s="97"/>
      <c r="V283" s="108"/>
    </row>
    <row r="284" ht="15.75" customHeight="1">
      <c r="A284" s="91"/>
      <c r="B284" s="142"/>
      <c r="C284" s="143"/>
      <c r="D284" s="97"/>
      <c r="E284" s="144"/>
      <c r="F284" s="144"/>
      <c r="G284" s="97"/>
      <c r="H284" s="143"/>
      <c r="I284" s="97"/>
      <c r="J284" s="97"/>
      <c r="K284" s="149"/>
      <c r="L284" s="150"/>
      <c r="M284" s="102"/>
      <c r="N284" s="124"/>
      <c r="O284" s="125"/>
      <c r="P284" s="97"/>
      <c r="Q284" s="131"/>
      <c r="R284" s="126"/>
      <c r="S284" s="97"/>
      <c r="T284" s="97"/>
      <c r="V284" s="108"/>
    </row>
    <row r="285" ht="15.75" customHeight="1">
      <c r="A285" s="91"/>
      <c r="B285" s="142"/>
      <c r="C285" s="143"/>
      <c r="D285" s="97"/>
      <c r="E285" s="144"/>
      <c r="F285" s="144"/>
      <c r="G285" s="97"/>
      <c r="H285" s="143"/>
      <c r="I285" s="97"/>
      <c r="J285" s="97"/>
      <c r="K285" s="147"/>
      <c r="L285" s="148"/>
      <c r="M285" s="102"/>
      <c r="N285" s="124"/>
      <c r="O285" s="125"/>
      <c r="P285" s="97"/>
      <c r="Q285" s="131"/>
      <c r="R285" s="126"/>
      <c r="S285" s="97"/>
      <c r="T285" s="97"/>
      <c r="V285" s="108"/>
    </row>
    <row r="286" ht="15.75" customHeight="1">
      <c r="A286" s="91"/>
      <c r="B286" s="142"/>
      <c r="C286" s="143"/>
      <c r="D286" s="97"/>
      <c r="E286" s="144"/>
      <c r="F286" s="144"/>
      <c r="G286" s="97"/>
      <c r="H286" s="143"/>
      <c r="I286" s="97"/>
      <c r="J286" s="97"/>
      <c r="K286" s="149"/>
      <c r="L286" s="150"/>
      <c r="M286" s="102"/>
      <c r="N286" s="124"/>
      <c r="O286" s="125"/>
      <c r="P286" s="97"/>
      <c r="Q286" s="131"/>
      <c r="R286" s="126"/>
      <c r="S286" s="97"/>
      <c r="T286" s="97"/>
      <c r="V286" s="108"/>
    </row>
    <row r="287" ht="15.75" customHeight="1">
      <c r="A287" s="91"/>
      <c r="B287" s="142"/>
      <c r="C287" s="143"/>
      <c r="D287" s="97"/>
      <c r="E287" s="144"/>
      <c r="F287" s="144"/>
      <c r="G287" s="97"/>
      <c r="H287" s="143"/>
      <c r="I287" s="97"/>
      <c r="J287" s="97"/>
      <c r="K287" s="147"/>
      <c r="L287" s="148"/>
      <c r="M287" s="102"/>
      <c r="N287" s="124"/>
      <c r="O287" s="125"/>
      <c r="P287" s="97"/>
      <c r="Q287" s="131"/>
      <c r="R287" s="126"/>
      <c r="S287" s="97"/>
      <c r="T287" s="97"/>
      <c r="V287" s="108"/>
    </row>
    <row r="288" ht="15.75" customHeight="1">
      <c r="A288" s="91"/>
      <c r="B288" s="142"/>
      <c r="C288" s="108"/>
      <c r="D288" s="97"/>
      <c r="E288" s="144"/>
      <c r="F288" s="144"/>
      <c r="G288" s="97"/>
      <c r="H288" s="143"/>
      <c r="I288" s="97"/>
      <c r="J288" s="97"/>
      <c r="K288" s="149"/>
      <c r="L288" s="150"/>
      <c r="M288" s="102"/>
      <c r="N288" s="124"/>
      <c r="O288" s="125"/>
      <c r="P288" s="97"/>
      <c r="Q288" s="131"/>
      <c r="R288" s="126"/>
      <c r="S288" s="97"/>
      <c r="T288" s="97"/>
      <c r="V288" s="108"/>
    </row>
    <row r="289" ht="15.75" customHeight="1">
      <c r="A289" s="91"/>
      <c r="B289" s="142"/>
      <c r="C289" s="143"/>
      <c r="D289" s="97"/>
      <c r="E289" s="144"/>
      <c r="F289" s="144"/>
      <c r="G289" s="97"/>
      <c r="H289" s="143"/>
      <c r="I289" s="97"/>
      <c r="J289" s="97"/>
      <c r="K289" s="147"/>
      <c r="L289" s="148"/>
      <c r="M289" s="102"/>
      <c r="N289" s="124"/>
      <c r="O289" s="125"/>
      <c r="P289" s="97"/>
      <c r="Q289" s="131"/>
      <c r="R289" s="126"/>
      <c r="S289" s="97"/>
      <c r="T289" s="97"/>
      <c r="V289" s="108"/>
    </row>
    <row r="290" ht="15.75" customHeight="1">
      <c r="A290" s="91"/>
      <c r="B290" s="142"/>
      <c r="C290" s="143"/>
      <c r="D290" s="97"/>
      <c r="E290" s="144"/>
      <c r="F290" s="144"/>
      <c r="G290" s="97"/>
      <c r="H290" s="143"/>
      <c r="I290" s="97"/>
      <c r="J290" s="97"/>
      <c r="K290" s="149"/>
      <c r="L290" s="150"/>
      <c r="M290" s="102"/>
      <c r="N290" s="124"/>
      <c r="O290" s="125"/>
      <c r="P290" s="97"/>
      <c r="Q290" s="131"/>
      <c r="R290" s="126"/>
      <c r="S290" s="97"/>
      <c r="T290" s="97"/>
      <c r="V290" s="108"/>
    </row>
    <row r="291" ht="15.75" customHeight="1">
      <c r="A291" s="91"/>
      <c r="B291" s="142"/>
      <c r="C291" s="143"/>
      <c r="D291" s="97"/>
      <c r="E291" s="144"/>
      <c r="F291" s="144"/>
      <c r="G291" s="97"/>
      <c r="H291" s="143"/>
      <c r="I291" s="97"/>
      <c r="J291" s="97"/>
      <c r="K291" s="147"/>
      <c r="L291" s="148"/>
      <c r="M291" s="102"/>
      <c r="N291" s="124"/>
      <c r="O291" s="125"/>
      <c r="P291" s="97"/>
      <c r="Q291" s="131"/>
      <c r="R291" s="126"/>
      <c r="S291" s="97"/>
      <c r="T291" s="97"/>
      <c r="V291" s="108"/>
    </row>
    <row r="292" ht="15.75" customHeight="1">
      <c r="A292" s="91"/>
      <c r="B292" s="142"/>
      <c r="C292" s="143"/>
      <c r="D292" s="97"/>
      <c r="E292" s="144"/>
      <c r="F292" s="144"/>
      <c r="G292" s="97"/>
      <c r="H292" s="143"/>
      <c r="I292" s="97"/>
      <c r="J292" s="97"/>
      <c r="K292" s="149"/>
      <c r="L292" s="150"/>
      <c r="M292" s="102"/>
      <c r="N292" s="124"/>
      <c r="O292" s="125"/>
      <c r="P292" s="97"/>
      <c r="Q292" s="131"/>
      <c r="R292" s="126"/>
      <c r="S292" s="97"/>
      <c r="T292" s="97"/>
      <c r="V292" s="108"/>
    </row>
    <row r="293" ht="15.75" customHeight="1">
      <c r="A293" s="91"/>
      <c r="B293" s="142"/>
      <c r="C293" s="143"/>
      <c r="D293" s="97"/>
      <c r="E293" s="144"/>
      <c r="F293" s="144"/>
      <c r="G293" s="97"/>
      <c r="H293" s="143"/>
      <c r="I293" s="97"/>
      <c r="J293" s="97"/>
      <c r="K293" s="147"/>
      <c r="L293" s="148"/>
      <c r="M293" s="102"/>
      <c r="N293" s="124"/>
      <c r="O293" s="125"/>
      <c r="P293" s="97"/>
      <c r="Q293" s="131"/>
      <c r="R293" s="126"/>
      <c r="S293" s="97"/>
      <c r="T293" s="97"/>
      <c r="V293" s="108"/>
    </row>
    <row r="294" ht="15.75" customHeight="1">
      <c r="A294" s="91"/>
      <c r="B294" s="142"/>
      <c r="C294" s="108"/>
      <c r="D294" s="97"/>
      <c r="E294" s="144"/>
      <c r="F294" s="144"/>
      <c r="G294" s="97"/>
      <c r="H294" s="143"/>
      <c r="I294" s="97"/>
      <c r="J294" s="97"/>
      <c r="K294" s="149"/>
      <c r="L294" s="150"/>
      <c r="M294" s="102"/>
      <c r="N294" s="124"/>
      <c r="O294" s="125"/>
      <c r="P294" s="97"/>
      <c r="Q294" s="131"/>
      <c r="R294" s="126"/>
      <c r="S294" s="97"/>
      <c r="T294" s="97"/>
      <c r="V294" s="108"/>
    </row>
    <row r="295" ht="15.75" customHeight="1">
      <c r="A295" s="91"/>
      <c r="B295" s="142"/>
      <c r="C295" s="143"/>
      <c r="D295" s="97"/>
      <c r="E295" s="144"/>
      <c r="F295" s="144"/>
      <c r="G295" s="97"/>
      <c r="H295" s="143"/>
      <c r="I295" s="97"/>
      <c r="J295" s="97"/>
      <c r="K295" s="147"/>
      <c r="L295" s="148"/>
      <c r="M295" s="102"/>
      <c r="N295" s="124"/>
      <c r="O295" s="125"/>
      <c r="P295" s="97"/>
      <c r="Q295" s="131"/>
      <c r="R295" s="126"/>
      <c r="S295" s="97"/>
      <c r="T295" s="97"/>
      <c r="V295" s="108"/>
    </row>
    <row r="296" ht="15.75" customHeight="1">
      <c r="A296" s="91"/>
      <c r="B296" s="142"/>
      <c r="C296" s="143"/>
      <c r="D296" s="97"/>
      <c r="E296" s="144"/>
      <c r="F296" s="144"/>
      <c r="G296" s="97"/>
      <c r="H296" s="143"/>
      <c r="I296" s="97"/>
      <c r="J296" s="97"/>
      <c r="K296" s="149"/>
      <c r="L296" s="150"/>
      <c r="M296" s="102"/>
      <c r="N296" s="124"/>
      <c r="O296" s="125"/>
      <c r="P296" s="97"/>
      <c r="Q296" s="131"/>
      <c r="R296" s="126"/>
      <c r="S296" s="97"/>
      <c r="T296" s="97"/>
      <c r="V296" s="108"/>
    </row>
    <row r="297" ht="15.75" customHeight="1">
      <c r="A297" s="91"/>
      <c r="B297" s="142"/>
      <c r="C297" s="143"/>
      <c r="D297" s="97"/>
      <c r="E297" s="144"/>
      <c r="F297" s="144"/>
      <c r="G297" s="97"/>
      <c r="H297" s="143"/>
      <c r="I297" s="97"/>
      <c r="J297" s="97"/>
      <c r="K297" s="147"/>
      <c r="L297" s="148"/>
      <c r="M297" s="102"/>
      <c r="N297" s="124"/>
      <c r="O297" s="125"/>
      <c r="P297" s="97"/>
      <c r="Q297" s="131"/>
      <c r="R297" s="126"/>
      <c r="S297" s="97"/>
      <c r="T297" s="97"/>
      <c r="V297" s="108"/>
    </row>
    <row r="298" ht="15.75" customHeight="1">
      <c r="A298" s="91"/>
      <c r="B298" s="142"/>
      <c r="C298" s="143"/>
      <c r="D298" s="97"/>
      <c r="E298" s="144"/>
      <c r="F298" s="144"/>
      <c r="G298" s="97"/>
      <c r="H298" s="143"/>
      <c r="I298" s="97"/>
      <c r="J298" s="97"/>
      <c r="K298" s="149"/>
      <c r="L298" s="150"/>
      <c r="M298" s="102"/>
      <c r="N298" s="124"/>
      <c r="O298" s="125"/>
      <c r="P298" s="97"/>
      <c r="Q298" s="131"/>
      <c r="R298" s="126"/>
      <c r="S298" s="97"/>
      <c r="T298" s="97"/>
      <c r="V298" s="108"/>
    </row>
    <row r="299" ht="15.75" customHeight="1">
      <c r="A299" s="91"/>
      <c r="B299" s="142"/>
      <c r="C299" s="143"/>
      <c r="D299" s="97"/>
      <c r="E299" s="144"/>
      <c r="F299" s="144"/>
      <c r="G299" s="97"/>
      <c r="H299" s="143"/>
      <c r="I299" s="97"/>
      <c r="J299" s="97"/>
      <c r="K299" s="147"/>
      <c r="L299" s="148"/>
      <c r="M299" s="102"/>
      <c r="N299" s="124"/>
      <c r="O299" s="125"/>
      <c r="P299" s="97"/>
      <c r="Q299" s="131"/>
      <c r="R299" s="126"/>
      <c r="S299" s="97"/>
      <c r="T299" s="97"/>
      <c r="V299" s="108"/>
    </row>
    <row r="300" ht="15.75" customHeight="1">
      <c r="A300" s="91"/>
      <c r="B300" s="142"/>
      <c r="C300" s="108"/>
      <c r="D300" s="97"/>
      <c r="E300" s="144"/>
      <c r="F300" s="144"/>
      <c r="G300" s="97"/>
      <c r="H300" s="143"/>
      <c r="I300" s="97"/>
      <c r="J300" s="97"/>
      <c r="K300" s="149"/>
      <c r="L300" s="150"/>
      <c r="M300" s="102"/>
      <c r="N300" s="124"/>
      <c r="O300" s="125"/>
      <c r="P300" s="97"/>
      <c r="Q300" s="131"/>
      <c r="R300" s="126"/>
      <c r="S300" s="97"/>
      <c r="T300" s="97"/>
      <c r="V300" s="108"/>
    </row>
    <row r="301" ht="15.75" customHeight="1">
      <c r="A301" s="91"/>
      <c r="B301" s="142"/>
      <c r="C301" s="143"/>
      <c r="D301" s="97"/>
      <c r="E301" s="144"/>
      <c r="F301" s="144"/>
      <c r="G301" s="97"/>
      <c r="H301" s="143"/>
      <c r="I301" s="97"/>
      <c r="J301" s="97"/>
      <c r="K301" s="147"/>
      <c r="L301" s="148"/>
      <c r="M301" s="102"/>
      <c r="N301" s="124"/>
      <c r="O301" s="125"/>
      <c r="P301" s="97"/>
      <c r="Q301" s="131"/>
      <c r="R301" s="126"/>
      <c r="S301" s="97"/>
      <c r="T301" s="97"/>
      <c r="V301" s="108"/>
    </row>
    <row r="302" ht="15.75" customHeight="1">
      <c r="A302" s="91"/>
      <c r="B302" s="142"/>
      <c r="C302" s="143"/>
      <c r="D302" s="97"/>
      <c r="E302" s="144"/>
      <c r="F302" s="144"/>
      <c r="G302" s="97"/>
      <c r="H302" s="143"/>
      <c r="I302" s="97"/>
      <c r="J302" s="97"/>
      <c r="K302" s="149"/>
      <c r="L302" s="150"/>
      <c r="M302" s="102"/>
      <c r="N302" s="124"/>
      <c r="O302" s="125"/>
      <c r="P302" s="97"/>
      <c r="Q302" s="131"/>
      <c r="R302" s="126"/>
      <c r="S302" s="97"/>
      <c r="T302" s="97"/>
      <c r="V302" s="108"/>
    </row>
    <row r="303" ht="15.75" customHeight="1">
      <c r="A303" s="91"/>
      <c r="B303" s="142"/>
      <c r="C303" s="143"/>
      <c r="D303" s="97"/>
      <c r="E303" s="144"/>
      <c r="F303" s="144"/>
      <c r="G303" s="97"/>
      <c r="H303" s="143"/>
      <c r="I303" s="97"/>
      <c r="J303" s="97"/>
      <c r="K303" s="147"/>
      <c r="L303" s="148"/>
      <c r="M303" s="102"/>
      <c r="N303" s="124"/>
      <c r="O303" s="125"/>
      <c r="P303" s="97"/>
      <c r="Q303" s="131"/>
      <c r="R303" s="126"/>
      <c r="S303" s="97"/>
      <c r="T303" s="97"/>
      <c r="V303" s="108"/>
    </row>
    <row r="304" ht="15.75" customHeight="1">
      <c r="A304" s="91"/>
      <c r="B304" s="142"/>
      <c r="C304" s="143"/>
      <c r="D304" s="97"/>
      <c r="E304" s="144"/>
      <c r="F304" s="144"/>
      <c r="G304" s="97"/>
      <c r="H304" s="143"/>
      <c r="I304" s="97"/>
      <c r="J304" s="97"/>
      <c r="K304" s="149"/>
      <c r="L304" s="150"/>
      <c r="M304" s="102"/>
      <c r="N304" s="124"/>
      <c r="O304" s="125"/>
      <c r="P304" s="97"/>
      <c r="Q304" s="131"/>
      <c r="R304" s="126"/>
      <c r="S304" s="97"/>
      <c r="T304" s="97"/>
      <c r="V304" s="108"/>
    </row>
    <row r="305" ht="15.75" customHeight="1">
      <c r="A305" s="91"/>
      <c r="B305" s="142"/>
      <c r="C305" s="143"/>
      <c r="D305" s="97"/>
      <c r="E305" s="144"/>
      <c r="F305" s="144"/>
      <c r="G305" s="97"/>
      <c r="H305" s="143"/>
      <c r="I305" s="97"/>
      <c r="J305" s="97"/>
      <c r="K305" s="147"/>
      <c r="L305" s="148"/>
      <c r="M305" s="102"/>
      <c r="N305" s="124"/>
      <c r="O305" s="125"/>
      <c r="P305" s="97"/>
      <c r="Q305" s="131"/>
      <c r="R305" s="126"/>
      <c r="S305" s="97"/>
      <c r="T305" s="97"/>
      <c r="V305" s="108"/>
    </row>
    <row r="306" ht="15.75" customHeight="1">
      <c r="A306" s="91"/>
      <c r="B306" s="142"/>
      <c r="C306" s="108"/>
      <c r="D306" s="97"/>
      <c r="E306" s="144"/>
      <c r="F306" s="144"/>
      <c r="G306" s="97"/>
      <c r="H306" s="143"/>
      <c r="I306" s="97"/>
      <c r="J306" s="97"/>
      <c r="K306" s="149"/>
      <c r="L306" s="150"/>
      <c r="M306" s="102"/>
      <c r="N306" s="124"/>
      <c r="O306" s="125"/>
      <c r="P306" s="97"/>
      <c r="Q306" s="131"/>
      <c r="R306" s="126"/>
      <c r="S306" s="97"/>
      <c r="T306" s="97"/>
      <c r="V306" s="108"/>
    </row>
    <row r="307" ht="15.75" customHeight="1">
      <c r="A307" s="91"/>
      <c r="B307" s="142"/>
      <c r="C307" s="143"/>
      <c r="D307" s="97"/>
      <c r="E307" s="144"/>
      <c r="F307" s="144"/>
      <c r="G307" s="97"/>
      <c r="H307" s="143"/>
      <c r="I307" s="97"/>
      <c r="J307" s="97"/>
      <c r="K307" s="147"/>
      <c r="L307" s="148"/>
      <c r="M307" s="102"/>
      <c r="N307" s="124"/>
      <c r="O307" s="125"/>
      <c r="P307" s="97"/>
      <c r="Q307" s="131"/>
      <c r="R307" s="126"/>
      <c r="S307" s="97"/>
      <c r="T307" s="97"/>
      <c r="V307" s="108"/>
    </row>
    <row r="308" ht="15.75" customHeight="1">
      <c r="A308" s="91"/>
      <c r="B308" s="142"/>
      <c r="C308" s="143"/>
      <c r="D308" s="97"/>
      <c r="E308" s="144"/>
      <c r="F308" s="144"/>
      <c r="G308" s="97"/>
      <c r="H308" s="143"/>
      <c r="I308" s="97"/>
      <c r="J308" s="97"/>
      <c r="K308" s="149"/>
      <c r="L308" s="150"/>
      <c r="M308" s="102"/>
      <c r="N308" s="124"/>
      <c r="O308" s="125"/>
      <c r="P308" s="97"/>
      <c r="Q308" s="131"/>
      <c r="R308" s="126"/>
      <c r="S308" s="97"/>
      <c r="T308" s="97"/>
      <c r="V308" s="108"/>
    </row>
    <row r="309" ht="15.75" customHeight="1">
      <c r="A309" s="91"/>
      <c r="B309" s="142"/>
      <c r="C309" s="143"/>
      <c r="D309" s="97"/>
      <c r="E309" s="144"/>
      <c r="F309" s="144"/>
      <c r="G309" s="97"/>
      <c r="H309" s="143"/>
      <c r="I309" s="97"/>
      <c r="J309" s="97"/>
      <c r="K309" s="147"/>
      <c r="L309" s="148"/>
      <c r="M309" s="102"/>
      <c r="N309" s="124"/>
      <c r="O309" s="125"/>
      <c r="P309" s="97"/>
      <c r="Q309" s="131"/>
      <c r="R309" s="126"/>
      <c r="S309" s="97"/>
      <c r="T309" s="97"/>
      <c r="V309" s="108"/>
    </row>
    <row r="310" ht="15.75" customHeight="1">
      <c r="A310" s="91"/>
      <c r="B310" s="142"/>
      <c r="C310" s="143"/>
      <c r="D310" s="97"/>
      <c r="E310" s="144"/>
      <c r="F310" s="144"/>
      <c r="G310" s="97"/>
      <c r="H310" s="143"/>
      <c r="I310" s="97"/>
      <c r="J310" s="97"/>
      <c r="K310" s="149"/>
      <c r="L310" s="150"/>
      <c r="M310" s="102"/>
      <c r="N310" s="124"/>
      <c r="O310" s="125"/>
      <c r="P310" s="97"/>
      <c r="Q310" s="131"/>
      <c r="R310" s="126"/>
      <c r="S310" s="97"/>
      <c r="T310" s="97"/>
      <c r="V310" s="108"/>
    </row>
    <row r="311" ht="15.75" customHeight="1">
      <c r="A311" s="91"/>
      <c r="B311" s="142"/>
      <c r="C311" s="143"/>
      <c r="D311" s="97"/>
      <c r="E311" s="144"/>
      <c r="F311" s="144"/>
      <c r="G311" s="97"/>
      <c r="H311" s="143"/>
      <c r="I311" s="97"/>
      <c r="J311" s="97"/>
      <c r="K311" s="147"/>
      <c r="L311" s="148"/>
      <c r="M311" s="102"/>
      <c r="N311" s="124"/>
      <c r="O311" s="125"/>
      <c r="P311" s="97"/>
      <c r="Q311" s="131"/>
      <c r="R311" s="126"/>
      <c r="S311" s="97"/>
      <c r="T311" s="97"/>
      <c r="V311" s="108"/>
    </row>
    <row r="312" ht="15.75" customHeight="1">
      <c r="A312" s="91"/>
      <c r="B312" s="142"/>
      <c r="C312" s="108"/>
      <c r="D312" s="97"/>
      <c r="E312" s="144"/>
      <c r="F312" s="144"/>
      <c r="G312" s="97"/>
      <c r="H312" s="143"/>
      <c r="I312" s="97"/>
      <c r="J312" s="97"/>
      <c r="K312" s="149"/>
      <c r="L312" s="150"/>
      <c r="M312" s="102"/>
      <c r="N312" s="124"/>
      <c r="O312" s="125"/>
      <c r="P312" s="97"/>
      <c r="Q312" s="131"/>
      <c r="R312" s="126"/>
      <c r="S312" s="97"/>
      <c r="T312" s="97"/>
      <c r="V312" s="108"/>
    </row>
    <row r="313" ht="15.75" customHeight="1">
      <c r="A313" s="91"/>
      <c r="B313" s="142"/>
      <c r="C313" s="143"/>
      <c r="D313" s="97"/>
      <c r="E313" s="144"/>
      <c r="F313" s="144"/>
      <c r="G313" s="97"/>
      <c r="H313" s="143"/>
      <c r="I313" s="97"/>
      <c r="J313" s="97"/>
      <c r="K313" s="147"/>
      <c r="L313" s="148"/>
      <c r="M313" s="102"/>
      <c r="N313" s="124"/>
      <c r="O313" s="125"/>
      <c r="P313" s="97"/>
      <c r="Q313" s="131"/>
      <c r="R313" s="126"/>
      <c r="S313" s="97"/>
      <c r="T313" s="97"/>
      <c r="V313" s="108"/>
    </row>
    <row r="314" ht="15.75" customHeight="1">
      <c r="A314" s="91"/>
      <c r="B314" s="142"/>
      <c r="C314" s="143"/>
      <c r="D314" s="97"/>
      <c r="E314" s="144"/>
      <c r="F314" s="144"/>
      <c r="G314" s="97"/>
      <c r="H314" s="143"/>
      <c r="I314" s="97"/>
      <c r="J314" s="97"/>
      <c r="K314" s="149"/>
      <c r="L314" s="150"/>
      <c r="M314" s="102"/>
      <c r="N314" s="124"/>
      <c r="O314" s="125"/>
      <c r="P314" s="97"/>
      <c r="Q314" s="131"/>
      <c r="R314" s="126"/>
      <c r="S314" s="97"/>
      <c r="T314" s="97"/>
      <c r="V314" s="108"/>
    </row>
    <row r="315" ht="15.75" customHeight="1">
      <c r="A315" s="91"/>
      <c r="B315" s="142"/>
      <c r="C315" s="143"/>
      <c r="D315" s="97"/>
      <c r="E315" s="144"/>
      <c r="F315" s="144"/>
      <c r="G315" s="97"/>
      <c r="H315" s="143"/>
      <c r="I315" s="97"/>
      <c r="J315" s="97"/>
      <c r="K315" s="147"/>
      <c r="L315" s="148"/>
      <c r="M315" s="102"/>
      <c r="N315" s="124"/>
      <c r="O315" s="125"/>
      <c r="P315" s="97"/>
      <c r="Q315" s="131"/>
      <c r="R315" s="126"/>
      <c r="S315" s="97"/>
      <c r="T315" s="97"/>
      <c r="V315" s="108"/>
    </row>
    <row r="316" ht="15.75" customHeight="1">
      <c r="A316" s="91"/>
      <c r="B316" s="142"/>
      <c r="C316" s="143"/>
      <c r="D316" s="97"/>
      <c r="E316" s="144"/>
      <c r="F316" s="144"/>
      <c r="G316" s="97"/>
      <c r="H316" s="143"/>
      <c r="I316" s="97"/>
      <c r="J316" s="97"/>
      <c r="K316" s="149"/>
      <c r="L316" s="150"/>
      <c r="M316" s="102"/>
      <c r="N316" s="124"/>
      <c r="O316" s="125"/>
      <c r="P316" s="97"/>
      <c r="Q316" s="131"/>
      <c r="R316" s="126"/>
      <c r="S316" s="97"/>
      <c r="T316" s="97"/>
      <c r="V316" s="108"/>
    </row>
    <row r="317" ht="15.75" customHeight="1">
      <c r="A317" s="91"/>
      <c r="B317" s="142"/>
      <c r="C317" s="143"/>
      <c r="D317" s="97"/>
      <c r="E317" s="144"/>
      <c r="F317" s="144"/>
      <c r="G317" s="97"/>
      <c r="H317" s="143"/>
      <c r="I317" s="97"/>
      <c r="J317" s="97"/>
      <c r="K317" s="147"/>
      <c r="L317" s="148"/>
      <c r="M317" s="102"/>
      <c r="N317" s="124"/>
      <c r="O317" s="125"/>
      <c r="P317" s="97"/>
      <c r="Q317" s="131"/>
      <c r="R317" s="126"/>
      <c r="S317" s="97"/>
      <c r="T317" s="97"/>
      <c r="V317" s="108"/>
    </row>
    <row r="318" ht="15.75" customHeight="1">
      <c r="A318" s="91"/>
      <c r="B318" s="142"/>
      <c r="C318" s="108"/>
      <c r="D318" s="97"/>
      <c r="E318" s="144"/>
      <c r="F318" s="144"/>
      <c r="G318" s="97"/>
      <c r="H318" s="143"/>
      <c r="I318" s="97"/>
      <c r="J318" s="97"/>
      <c r="K318" s="149"/>
      <c r="L318" s="150"/>
      <c r="M318" s="102"/>
      <c r="N318" s="124"/>
      <c r="O318" s="125"/>
      <c r="P318" s="97"/>
      <c r="Q318" s="131"/>
      <c r="R318" s="126"/>
      <c r="S318" s="97"/>
      <c r="T318" s="97"/>
      <c r="V318" s="108"/>
    </row>
    <row r="319" ht="15.75" customHeight="1">
      <c r="A319" s="91"/>
      <c r="B319" s="142"/>
      <c r="C319" s="143"/>
      <c r="D319" s="97"/>
      <c r="E319" s="144"/>
      <c r="F319" s="144"/>
      <c r="G319" s="97"/>
      <c r="H319" s="143"/>
      <c r="I319" s="97"/>
      <c r="J319" s="97"/>
      <c r="K319" s="147"/>
      <c r="L319" s="148"/>
      <c r="M319" s="102"/>
      <c r="N319" s="124"/>
      <c r="O319" s="125"/>
      <c r="P319" s="97"/>
      <c r="Q319" s="131"/>
      <c r="R319" s="126"/>
      <c r="S319" s="97"/>
      <c r="T319" s="97"/>
      <c r="V319" s="108"/>
    </row>
    <row r="320" ht="15.75" customHeight="1">
      <c r="A320" s="91"/>
      <c r="B320" s="142"/>
      <c r="C320" s="143"/>
      <c r="D320" s="97"/>
      <c r="E320" s="144"/>
      <c r="F320" s="144"/>
      <c r="G320" s="97"/>
      <c r="H320" s="143"/>
      <c r="I320" s="97"/>
      <c r="J320" s="97"/>
      <c r="K320" s="149"/>
      <c r="L320" s="150"/>
      <c r="M320" s="102"/>
      <c r="N320" s="124"/>
      <c r="O320" s="125"/>
      <c r="P320" s="97"/>
      <c r="Q320" s="131"/>
      <c r="R320" s="126"/>
      <c r="S320" s="97"/>
      <c r="T320" s="97"/>
      <c r="V320" s="108"/>
    </row>
    <row r="321" ht="15.75" customHeight="1">
      <c r="A321" s="91"/>
      <c r="B321" s="142"/>
      <c r="C321" s="143"/>
      <c r="D321" s="97"/>
      <c r="E321" s="144"/>
      <c r="F321" s="144"/>
      <c r="G321" s="97"/>
      <c r="H321" s="143"/>
      <c r="I321" s="97"/>
      <c r="J321" s="97"/>
      <c r="K321" s="147"/>
      <c r="L321" s="148"/>
      <c r="M321" s="102"/>
      <c r="N321" s="124"/>
      <c r="O321" s="125"/>
      <c r="P321" s="97"/>
      <c r="Q321" s="131"/>
      <c r="R321" s="126"/>
      <c r="S321" s="97"/>
      <c r="T321" s="97"/>
      <c r="V321" s="108"/>
    </row>
    <row r="322" ht="15.75" customHeight="1">
      <c r="A322" s="91"/>
      <c r="B322" s="142"/>
      <c r="C322" s="143"/>
      <c r="D322" s="97"/>
      <c r="E322" s="144"/>
      <c r="F322" s="144"/>
      <c r="G322" s="97"/>
      <c r="H322" s="143"/>
      <c r="I322" s="97"/>
      <c r="J322" s="97"/>
      <c r="K322" s="149"/>
      <c r="L322" s="150"/>
      <c r="M322" s="102"/>
      <c r="N322" s="124"/>
      <c r="O322" s="125"/>
      <c r="P322" s="97"/>
      <c r="Q322" s="131"/>
      <c r="R322" s="126"/>
      <c r="S322" s="97"/>
      <c r="T322" s="97"/>
      <c r="V322" s="108"/>
    </row>
    <row r="323" ht="15.75" customHeight="1">
      <c r="A323" s="91"/>
      <c r="B323" s="142"/>
      <c r="C323" s="143"/>
      <c r="D323" s="97"/>
      <c r="E323" s="144"/>
      <c r="F323" s="144"/>
      <c r="G323" s="97"/>
      <c r="H323" s="143"/>
      <c r="I323" s="97"/>
      <c r="J323" s="97"/>
      <c r="K323" s="147"/>
      <c r="L323" s="148"/>
      <c r="M323" s="102"/>
      <c r="N323" s="124"/>
      <c r="O323" s="125"/>
      <c r="P323" s="97"/>
      <c r="Q323" s="131"/>
      <c r="R323" s="126"/>
      <c r="S323" s="97"/>
      <c r="T323" s="97"/>
      <c r="V323" s="108"/>
    </row>
    <row r="324" ht="15.75" customHeight="1">
      <c r="A324" s="91"/>
      <c r="B324" s="142"/>
      <c r="C324" s="108"/>
      <c r="D324" s="97"/>
      <c r="E324" s="144"/>
      <c r="F324" s="144"/>
      <c r="G324" s="97"/>
      <c r="H324" s="143"/>
      <c r="I324" s="97"/>
      <c r="J324" s="97"/>
      <c r="K324" s="149"/>
      <c r="L324" s="150"/>
      <c r="M324" s="102"/>
      <c r="N324" s="124"/>
      <c r="O324" s="125"/>
      <c r="P324" s="97"/>
      <c r="Q324" s="131"/>
      <c r="R324" s="126"/>
      <c r="S324" s="97"/>
      <c r="T324" s="97"/>
      <c r="V324" s="108"/>
    </row>
    <row r="325" ht="15.75" customHeight="1">
      <c r="A325" s="91"/>
      <c r="B325" s="142"/>
      <c r="C325" s="143"/>
      <c r="D325" s="97"/>
      <c r="E325" s="144"/>
      <c r="F325" s="144"/>
      <c r="G325" s="97"/>
      <c r="H325" s="143"/>
      <c r="I325" s="97"/>
      <c r="J325" s="97"/>
      <c r="K325" s="147"/>
      <c r="L325" s="148"/>
      <c r="M325" s="102"/>
      <c r="N325" s="124"/>
      <c r="O325" s="125"/>
      <c r="P325" s="97"/>
      <c r="Q325" s="131"/>
      <c r="R325" s="126"/>
      <c r="S325" s="97"/>
      <c r="T325" s="97"/>
      <c r="V325" s="108"/>
    </row>
    <row r="326" ht="15.75" customHeight="1">
      <c r="A326" s="91"/>
      <c r="B326" s="142"/>
      <c r="C326" s="143"/>
      <c r="D326" s="97"/>
      <c r="E326" s="144"/>
      <c r="F326" s="144"/>
      <c r="G326" s="97"/>
      <c r="H326" s="143"/>
      <c r="I326" s="97"/>
      <c r="J326" s="97"/>
      <c r="K326" s="149"/>
      <c r="L326" s="150"/>
      <c r="M326" s="102"/>
      <c r="N326" s="124"/>
      <c r="O326" s="125"/>
      <c r="P326" s="97"/>
      <c r="Q326" s="131"/>
      <c r="R326" s="126"/>
      <c r="S326" s="97"/>
      <c r="T326" s="97"/>
      <c r="V326" s="108"/>
    </row>
    <row r="327" ht="15.75" customHeight="1">
      <c r="A327" s="91"/>
      <c r="B327" s="142"/>
      <c r="C327" s="143"/>
      <c r="D327" s="97"/>
      <c r="E327" s="144"/>
      <c r="F327" s="144"/>
      <c r="G327" s="97"/>
      <c r="H327" s="143"/>
      <c r="I327" s="97"/>
      <c r="J327" s="97"/>
      <c r="K327" s="151"/>
      <c r="L327" s="152"/>
      <c r="M327" s="102"/>
      <c r="N327" s="124"/>
      <c r="O327" s="125"/>
      <c r="P327" s="97"/>
      <c r="Q327" s="131"/>
      <c r="R327" s="126"/>
      <c r="S327" s="97"/>
      <c r="T327" s="97"/>
      <c r="V327" s="108"/>
    </row>
    <row r="328" ht="15.75" customHeight="1">
      <c r="A328" s="91"/>
      <c r="B328" s="142"/>
      <c r="C328" s="143"/>
      <c r="D328" s="97"/>
      <c r="E328" s="144"/>
      <c r="F328" s="144"/>
      <c r="G328" s="97"/>
      <c r="H328" s="143"/>
      <c r="I328" s="97"/>
      <c r="J328" s="97"/>
      <c r="K328" s="151"/>
      <c r="L328" s="152"/>
      <c r="M328" s="102"/>
      <c r="N328" s="124"/>
      <c r="O328" s="125"/>
      <c r="P328" s="97"/>
      <c r="Q328" s="131"/>
      <c r="R328" s="126"/>
      <c r="S328" s="97"/>
      <c r="T328" s="97"/>
      <c r="V328" s="108"/>
    </row>
    <row r="329" ht="15.75" customHeight="1">
      <c r="A329" s="91"/>
      <c r="B329" s="142"/>
      <c r="C329" s="143"/>
      <c r="D329" s="97"/>
      <c r="E329" s="144"/>
      <c r="F329" s="144"/>
      <c r="G329" s="97"/>
      <c r="H329" s="143"/>
      <c r="I329" s="97"/>
      <c r="J329" s="97"/>
      <c r="K329" s="151"/>
      <c r="L329" s="152"/>
      <c r="M329" s="102"/>
      <c r="N329" s="124"/>
      <c r="O329" s="125"/>
      <c r="P329" s="97"/>
      <c r="Q329" s="131"/>
      <c r="R329" s="126"/>
      <c r="S329" s="97"/>
      <c r="T329" s="97"/>
      <c r="V329" s="108"/>
    </row>
    <row r="330" ht="15.75" customHeight="1">
      <c r="A330" s="91"/>
      <c r="B330" s="142"/>
      <c r="C330" s="108"/>
      <c r="D330" s="97"/>
      <c r="E330" s="144"/>
      <c r="F330" s="144"/>
      <c r="G330" s="97"/>
      <c r="H330" s="143"/>
      <c r="I330" s="97"/>
      <c r="J330" s="97"/>
      <c r="K330" s="151"/>
      <c r="L330" s="152"/>
      <c r="M330" s="102"/>
      <c r="N330" s="124"/>
      <c r="O330" s="125"/>
      <c r="P330" s="97"/>
      <c r="Q330" s="131"/>
      <c r="R330" s="126"/>
      <c r="S330" s="97"/>
      <c r="T330" s="97"/>
      <c r="V330" s="108"/>
    </row>
    <row r="331" ht="15.75" customHeight="1">
      <c r="A331" s="91"/>
      <c r="B331" s="142"/>
      <c r="C331" s="143"/>
      <c r="D331" s="97"/>
      <c r="E331" s="144"/>
      <c r="F331" s="144"/>
      <c r="G331" s="97"/>
      <c r="H331" s="143"/>
      <c r="I331" s="97"/>
      <c r="J331" s="97"/>
      <c r="K331" s="151"/>
      <c r="L331" s="152"/>
      <c r="M331" s="102"/>
      <c r="N331" s="124"/>
      <c r="O331" s="125"/>
      <c r="P331" s="97"/>
      <c r="Q331" s="131"/>
      <c r="R331" s="126"/>
      <c r="S331" s="97"/>
      <c r="T331" s="97"/>
      <c r="V331" s="108"/>
    </row>
    <row r="332" ht="15.75" customHeight="1">
      <c r="A332" s="91"/>
      <c r="B332" s="142"/>
      <c r="C332" s="143"/>
      <c r="D332" s="97"/>
      <c r="E332" s="144"/>
      <c r="F332" s="144"/>
      <c r="G332" s="97"/>
      <c r="H332" s="143"/>
      <c r="I332" s="97"/>
      <c r="J332" s="97"/>
      <c r="K332" s="151"/>
      <c r="L332" s="152"/>
      <c r="M332" s="102"/>
      <c r="N332" s="124"/>
      <c r="O332" s="125"/>
      <c r="P332" s="97"/>
      <c r="Q332" s="131"/>
      <c r="R332" s="126"/>
      <c r="S332" s="97"/>
      <c r="T332" s="97"/>
      <c r="V332" s="108"/>
    </row>
    <row r="333" ht="15.75" customHeight="1">
      <c r="A333" s="91"/>
      <c r="B333" s="142"/>
      <c r="C333" s="143"/>
      <c r="D333" s="97"/>
      <c r="E333" s="144"/>
      <c r="F333" s="144"/>
      <c r="G333" s="97"/>
      <c r="H333" s="143"/>
      <c r="I333" s="97"/>
      <c r="J333" s="97"/>
      <c r="K333" s="151"/>
      <c r="L333" s="152"/>
      <c r="M333" s="102"/>
      <c r="N333" s="124"/>
      <c r="O333" s="125"/>
      <c r="P333" s="97"/>
      <c r="Q333" s="131"/>
      <c r="R333" s="126"/>
      <c r="S333" s="97"/>
      <c r="T333" s="97"/>
      <c r="V333" s="108"/>
    </row>
    <row r="334" ht="15.75" customHeight="1">
      <c r="A334" s="91"/>
      <c r="B334" s="142"/>
      <c r="C334" s="143"/>
      <c r="D334" s="97"/>
      <c r="E334" s="144"/>
      <c r="F334" s="144"/>
      <c r="G334" s="97"/>
      <c r="H334" s="143"/>
      <c r="I334" s="97"/>
      <c r="J334" s="97"/>
      <c r="K334" s="151"/>
      <c r="L334" s="152"/>
      <c r="M334" s="102"/>
      <c r="N334" s="124"/>
      <c r="O334" s="125"/>
      <c r="P334" s="97"/>
      <c r="Q334" s="131"/>
      <c r="R334" s="126"/>
      <c r="S334" s="97"/>
      <c r="T334" s="97"/>
      <c r="V334" s="108"/>
    </row>
    <row r="335" ht="15.75" customHeight="1">
      <c r="A335" s="91"/>
      <c r="B335" s="142"/>
      <c r="C335" s="143"/>
      <c r="D335" s="97"/>
      <c r="E335" s="144"/>
      <c r="F335" s="144"/>
      <c r="G335" s="97"/>
      <c r="H335" s="143"/>
      <c r="I335" s="97"/>
      <c r="J335" s="97"/>
      <c r="K335" s="151"/>
      <c r="L335" s="152"/>
      <c r="M335" s="102"/>
      <c r="N335" s="124"/>
      <c r="O335" s="125"/>
      <c r="P335" s="97"/>
      <c r="Q335" s="131"/>
      <c r="R335" s="126"/>
      <c r="S335" s="97"/>
      <c r="T335" s="97"/>
      <c r="V335" s="108"/>
    </row>
    <row r="336" ht="15.75" customHeight="1">
      <c r="A336" s="91"/>
      <c r="B336" s="142"/>
      <c r="C336" s="108"/>
      <c r="D336" s="97"/>
      <c r="E336" s="144"/>
      <c r="F336" s="144"/>
      <c r="G336" s="97"/>
      <c r="H336" s="143"/>
      <c r="I336" s="97"/>
      <c r="J336" s="97"/>
      <c r="K336" s="151"/>
      <c r="L336" s="152"/>
      <c r="M336" s="102"/>
      <c r="N336" s="124"/>
      <c r="O336" s="125"/>
      <c r="P336" s="97"/>
      <c r="Q336" s="131"/>
      <c r="R336" s="126"/>
      <c r="S336" s="97"/>
      <c r="T336" s="97"/>
      <c r="V336" s="108"/>
    </row>
    <row r="337" ht="15.75" customHeight="1">
      <c r="A337" s="91"/>
      <c r="B337" s="142"/>
      <c r="C337" s="143"/>
      <c r="D337" s="97"/>
      <c r="E337" s="144"/>
      <c r="F337" s="144"/>
      <c r="G337" s="97"/>
      <c r="H337" s="143"/>
      <c r="I337" s="97"/>
      <c r="J337" s="97"/>
      <c r="K337" s="151"/>
      <c r="L337" s="152"/>
      <c r="M337" s="102"/>
      <c r="N337" s="124"/>
      <c r="O337" s="125"/>
      <c r="P337" s="97"/>
      <c r="Q337" s="131"/>
      <c r="R337" s="126"/>
      <c r="S337" s="97"/>
      <c r="T337" s="97"/>
      <c r="V337" s="108"/>
    </row>
    <row r="338" ht="15.75" customHeight="1">
      <c r="A338" s="91"/>
      <c r="B338" s="142"/>
      <c r="C338" s="143"/>
      <c r="D338" s="97"/>
      <c r="E338" s="144"/>
      <c r="F338" s="144"/>
      <c r="G338" s="97"/>
      <c r="H338" s="143"/>
      <c r="I338" s="97"/>
      <c r="J338" s="97"/>
      <c r="K338" s="151"/>
      <c r="L338" s="152"/>
      <c r="M338" s="102"/>
      <c r="N338" s="124"/>
      <c r="O338" s="125"/>
      <c r="P338" s="97"/>
      <c r="Q338" s="131"/>
      <c r="R338" s="126"/>
      <c r="S338" s="97"/>
      <c r="T338" s="97"/>
      <c r="V338" s="108"/>
    </row>
    <row r="339" ht="15.75" customHeight="1">
      <c r="A339" s="91"/>
      <c r="B339" s="142"/>
      <c r="C339" s="143"/>
      <c r="D339" s="97"/>
      <c r="E339" s="144"/>
      <c r="F339" s="144"/>
      <c r="G339" s="97"/>
      <c r="H339" s="143"/>
      <c r="I339" s="97"/>
      <c r="J339" s="97"/>
      <c r="K339" s="151"/>
      <c r="L339" s="152"/>
      <c r="M339" s="102"/>
      <c r="N339" s="124"/>
      <c r="O339" s="125"/>
      <c r="P339" s="97"/>
      <c r="Q339" s="131"/>
      <c r="R339" s="126"/>
      <c r="S339" s="97"/>
      <c r="T339" s="97"/>
      <c r="V339" s="108"/>
    </row>
    <row r="340" ht="15.75" customHeight="1">
      <c r="A340" s="91"/>
      <c r="B340" s="142"/>
      <c r="C340" s="143"/>
      <c r="D340" s="97"/>
      <c r="E340" s="144"/>
      <c r="F340" s="144"/>
      <c r="G340" s="97"/>
      <c r="H340" s="143"/>
      <c r="I340" s="97"/>
      <c r="J340" s="97"/>
      <c r="K340" s="151"/>
      <c r="L340" s="152"/>
      <c r="M340" s="102"/>
      <c r="N340" s="124"/>
      <c r="O340" s="125"/>
      <c r="P340" s="97"/>
      <c r="Q340" s="131"/>
      <c r="R340" s="126"/>
      <c r="S340" s="97"/>
      <c r="T340" s="97"/>
      <c r="V340" s="108"/>
    </row>
    <row r="341" ht="15.75" customHeight="1">
      <c r="A341" s="91"/>
      <c r="B341" s="142"/>
      <c r="C341" s="143"/>
      <c r="D341" s="97"/>
      <c r="E341" s="144"/>
      <c r="F341" s="144"/>
      <c r="G341" s="97"/>
      <c r="H341" s="143"/>
      <c r="I341" s="97"/>
      <c r="J341" s="97"/>
      <c r="K341" s="151"/>
      <c r="L341" s="152"/>
      <c r="M341" s="102"/>
      <c r="N341" s="124"/>
      <c r="O341" s="125"/>
      <c r="P341" s="97"/>
      <c r="Q341" s="131"/>
      <c r="R341" s="126"/>
      <c r="S341" s="97"/>
      <c r="T341" s="97"/>
      <c r="V341" s="108"/>
    </row>
    <row r="342" ht="15.75" customHeight="1">
      <c r="A342" s="91"/>
      <c r="B342" s="142"/>
      <c r="C342" s="108"/>
      <c r="D342" s="97"/>
      <c r="E342" s="144"/>
      <c r="F342" s="144"/>
      <c r="G342" s="97"/>
      <c r="H342" s="143"/>
      <c r="I342" s="97"/>
      <c r="J342" s="97"/>
      <c r="K342" s="151"/>
      <c r="L342" s="152"/>
      <c r="M342" s="102"/>
      <c r="N342" s="124"/>
      <c r="O342" s="125"/>
      <c r="P342" s="97"/>
      <c r="Q342" s="131"/>
      <c r="R342" s="126"/>
      <c r="S342" s="97"/>
      <c r="T342" s="97"/>
      <c r="V342" s="108"/>
    </row>
    <row r="343" ht="15.75" customHeight="1">
      <c r="A343" s="91"/>
      <c r="B343" s="142"/>
      <c r="C343" s="143"/>
      <c r="D343" s="97"/>
      <c r="E343" s="144"/>
      <c r="F343" s="144"/>
      <c r="G343" s="97"/>
      <c r="H343" s="143"/>
      <c r="I343" s="97"/>
      <c r="J343" s="97"/>
      <c r="K343" s="151"/>
      <c r="L343" s="152"/>
      <c r="M343" s="102"/>
      <c r="N343" s="124"/>
      <c r="O343" s="125"/>
      <c r="P343" s="97"/>
      <c r="Q343" s="131"/>
      <c r="R343" s="126"/>
      <c r="S343" s="97"/>
      <c r="T343" s="97"/>
      <c r="V343" s="108"/>
    </row>
    <row r="344" ht="15.75" customHeight="1">
      <c r="A344" s="91"/>
      <c r="B344" s="142"/>
      <c r="C344" s="143"/>
      <c r="D344" s="97"/>
      <c r="E344" s="144"/>
      <c r="F344" s="144"/>
      <c r="G344" s="97"/>
      <c r="H344" s="143"/>
      <c r="I344" s="97"/>
      <c r="J344" s="97"/>
      <c r="K344" s="151"/>
      <c r="L344" s="152"/>
      <c r="M344" s="102"/>
      <c r="N344" s="124"/>
      <c r="O344" s="125"/>
      <c r="P344" s="97"/>
      <c r="Q344" s="131"/>
      <c r="R344" s="126"/>
      <c r="S344" s="97"/>
      <c r="T344" s="97"/>
      <c r="V344" s="108"/>
    </row>
    <row r="345" ht="15.75" customHeight="1">
      <c r="A345" s="91"/>
      <c r="B345" s="142"/>
      <c r="C345" s="143"/>
      <c r="D345" s="97"/>
      <c r="E345" s="144"/>
      <c r="F345" s="144"/>
      <c r="G345" s="97"/>
      <c r="H345" s="143"/>
      <c r="I345" s="97"/>
      <c r="J345" s="97"/>
      <c r="K345" s="151"/>
      <c r="L345" s="152"/>
      <c r="M345" s="102"/>
      <c r="N345" s="124"/>
      <c r="O345" s="125"/>
      <c r="P345" s="97"/>
      <c r="Q345" s="131"/>
      <c r="R345" s="126"/>
      <c r="S345" s="97"/>
      <c r="T345" s="97"/>
      <c r="V345" s="108"/>
    </row>
    <row r="346" ht="15.75" customHeight="1">
      <c r="A346" s="91"/>
      <c r="B346" s="142"/>
      <c r="C346" s="143"/>
      <c r="D346" s="97"/>
      <c r="E346" s="144"/>
      <c r="F346" s="144"/>
      <c r="G346" s="97"/>
      <c r="H346" s="143"/>
      <c r="I346" s="97"/>
      <c r="J346" s="97"/>
      <c r="K346" s="151"/>
      <c r="L346" s="152"/>
      <c r="M346" s="102"/>
      <c r="N346" s="124"/>
      <c r="O346" s="125"/>
      <c r="P346" s="97"/>
      <c r="Q346" s="131"/>
      <c r="R346" s="126"/>
      <c r="S346" s="97"/>
      <c r="T346" s="97"/>
      <c r="V346" s="108"/>
    </row>
    <row r="347" ht="15.75" customHeight="1">
      <c r="A347" s="91"/>
      <c r="B347" s="142"/>
      <c r="C347" s="143"/>
      <c r="D347" s="97"/>
      <c r="E347" s="144"/>
      <c r="F347" s="144"/>
      <c r="G347" s="97"/>
      <c r="H347" s="143"/>
      <c r="I347" s="97"/>
      <c r="J347" s="97"/>
      <c r="K347" s="151"/>
      <c r="L347" s="152"/>
      <c r="M347" s="102"/>
      <c r="N347" s="124"/>
      <c r="O347" s="125"/>
      <c r="P347" s="97"/>
      <c r="Q347" s="131"/>
      <c r="R347" s="126"/>
      <c r="S347" s="97"/>
      <c r="T347" s="97"/>
      <c r="V347" s="108"/>
    </row>
    <row r="348" ht="15.75" customHeight="1">
      <c r="A348" s="91"/>
      <c r="B348" s="142"/>
      <c r="C348" s="108"/>
      <c r="D348" s="97"/>
      <c r="E348" s="144"/>
      <c r="F348" s="144"/>
      <c r="G348" s="97"/>
      <c r="H348" s="143"/>
      <c r="I348" s="97"/>
      <c r="J348" s="97"/>
      <c r="K348" s="151"/>
      <c r="L348" s="152"/>
      <c r="M348" s="102"/>
      <c r="N348" s="124"/>
      <c r="O348" s="125"/>
      <c r="P348" s="97"/>
      <c r="Q348" s="131"/>
      <c r="R348" s="126"/>
      <c r="S348" s="97"/>
      <c r="T348" s="97"/>
      <c r="V348" s="108"/>
    </row>
    <row r="349" ht="15.75" customHeight="1">
      <c r="A349" s="91"/>
      <c r="B349" s="142"/>
      <c r="C349" s="143"/>
      <c r="D349" s="97"/>
      <c r="E349" s="144"/>
      <c r="F349" s="144"/>
      <c r="G349" s="97"/>
      <c r="H349" s="143"/>
      <c r="I349" s="97"/>
      <c r="J349" s="97"/>
      <c r="K349" s="151"/>
      <c r="L349" s="152"/>
      <c r="M349" s="102"/>
      <c r="N349" s="124"/>
      <c r="O349" s="125"/>
      <c r="P349" s="97"/>
      <c r="Q349" s="131"/>
      <c r="R349" s="126"/>
      <c r="S349" s="97"/>
      <c r="T349" s="97"/>
      <c r="V349" s="108"/>
    </row>
    <row r="350" ht="15.75" customHeight="1">
      <c r="A350" s="91"/>
      <c r="B350" s="142"/>
      <c r="C350" s="143"/>
      <c r="D350" s="97"/>
      <c r="E350" s="144"/>
      <c r="F350" s="144"/>
      <c r="G350" s="97"/>
      <c r="H350" s="143"/>
      <c r="I350" s="97"/>
      <c r="J350" s="97"/>
      <c r="K350" s="151"/>
      <c r="L350" s="152"/>
      <c r="M350" s="102"/>
      <c r="N350" s="124"/>
      <c r="O350" s="125"/>
      <c r="P350" s="97"/>
      <c r="Q350" s="131"/>
      <c r="R350" s="126"/>
      <c r="S350" s="97"/>
      <c r="T350" s="97"/>
      <c r="V350" s="108"/>
    </row>
    <row r="351" ht="15.75" customHeight="1">
      <c r="A351" s="91"/>
      <c r="B351" s="142"/>
      <c r="C351" s="143"/>
      <c r="D351" s="97"/>
      <c r="E351" s="144"/>
      <c r="F351" s="144"/>
      <c r="G351" s="97"/>
      <c r="H351" s="143"/>
      <c r="I351" s="97"/>
      <c r="J351" s="97"/>
      <c r="K351" s="151"/>
      <c r="L351" s="152"/>
      <c r="M351" s="102"/>
      <c r="N351" s="124"/>
      <c r="O351" s="125"/>
      <c r="P351" s="97"/>
      <c r="Q351" s="131"/>
      <c r="R351" s="126"/>
      <c r="S351" s="97"/>
      <c r="T351" s="97"/>
      <c r="V351" s="108"/>
    </row>
    <row r="352" ht="15.75" customHeight="1">
      <c r="A352" s="91"/>
      <c r="B352" s="142"/>
      <c r="C352" s="143"/>
      <c r="D352" s="97"/>
      <c r="E352" s="144"/>
      <c r="F352" s="144"/>
      <c r="G352" s="97"/>
      <c r="H352" s="143"/>
      <c r="I352" s="97"/>
      <c r="J352" s="97"/>
      <c r="K352" s="151"/>
      <c r="L352" s="152"/>
      <c r="M352" s="102"/>
      <c r="N352" s="124"/>
      <c r="O352" s="125"/>
      <c r="P352" s="97"/>
      <c r="Q352" s="131"/>
      <c r="R352" s="126"/>
      <c r="S352" s="97"/>
      <c r="T352" s="97"/>
      <c r="V352" s="108"/>
    </row>
    <row r="353" ht="15.75" customHeight="1">
      <c r="A353" s="91"/>
      <c r="B353" s="142"/>
      <c r="C353" s="143"/>
      <c r="D353" s="97"/>
      <c r="E353" s="144"/>
      <c r="F353" s="144"/>
      <c r="G353" s="97"/>
      <c r="H353" s="143"/>
      <c r="I353" s="97"/>
      <c r="J353" s="97"/>
      <c r="K353" s="151"/>
      <c r="L353" s="152"/>
      <c r="M353" s="102"/>
      <c r="N353" s="124"/>
      <c r="O353" s="125"/>
      <c r="P353" s="97"/>
      <c r="Q353" s="131"/>
      <c r="R353" s="126"/>
      <c r="S353" s="97"/>
      <c r="T353" s="97"/>
      <c r="V353" s="108"/>
    </row>
    <row r="354" ht="15.75" customHeight="1">
      <c r="A354" s="91"/>
      <c r="B354" s="142"/>
      <c r="C354" s="108"/>
      <c r="D354" s="97"/>
      <c r="E354" s="144"/>
      <c r="F354" s="144"/>
      <c r="G354" s="97"/>
      <c r="H354" s="143"/>
      <c r="I354" s="97"/>
      <c r="J354" s="97"/>
      <c r="K354" s="151"/>
      <c r="L354" s="152"/>
      <c r="M354" s="102"/>
      <c r="N354" s="124"/>
      <c r="O354" s="125"/>
      <c r="P354" s="97"/>
      <c r="Q354" s="131"/>
      <c r="R354" s="126"/>
      <c r="S354" s="97"/>
      <c r="T354" s="97"/>
      <c r="V354" s="108"/>
    </row>
    <row r="355" ht="15.75" customHeight="1">
      <c r="A355" s="91"/>
      <c r="B355" s="142"/>
      <c r="C355" s="143"/>
      <c r="D355" s="97"/>
      <c r="E355" s="144"/>
      <c r="F355" s="144"/>
      <c r="G355" s="97"/>
      <c r="H355" s="143"/>
      <c r="I355" s="97"/>
      <c r="J355" s="97"/>
      <c r="K355" s="151"/>
      <c r="L355" s="152"/>
      <c r="M355" s="102"/>
      <c r="N355" s="124"/>
      <c r="O355" s="125"/>
      <c r="P355" s="97"/>
      <c r="Q355" s="131"/>
      <c r="R355" s="126"/>
      <c r="S355" s="97"/>
      <c r="T355" s="97"/>
      <c r="V355" s="108"/>
    </row>
    <row r="356" ht="15.75" customHeight="1">
      <c r="A356" s="91"/>
      <c r="B356" s="142"/>
      <c r="C356" s="143"/>
      <c r="D356" s="97"/>
      <c r="E356" s="144"/>
      <c r="F356" s="144"/>
      <c r="G356" s="97"/>
      <c r="H356" s="143"/>
      <c r="I356" s="97"/>
      <c r="J356" s="97"/>
      <c r="K356" s="151"/>
      <c r="L356" s="152"/>
      <c r="M356" s="102"/>
      <c r="N356" s="124"/>
      <c r="O356" s="125"/>
      <c r="P356" s="97"/>
      <c r="Q356" s="131"/>
      <c r="R356" s="126"/>
      <c r="S356" s="97"/>
      <c r="T356" s="97"/>
      <c r="V356" s="108"/>
    </row>
    <row r="357" ht="15.75" customHeight="1">
      <c r="A357" s="91"/>
      <c r="B357" s="142"/>
      <c r="C357" s="143"/>
      <c r="D357" s="97"/>
      <c r="E357" s="144"/>
      <c r="F357" s="144"/>
      <c r="G357" s="97"/>
      <c r="H357" s="143"/>
      <c r="I357" s="97"/>
      <c r="J357" s="97"/>
      <c r="K357" s="151"/>
      <c r="L357" s="152"/>
      <c r="M357" s="102"/>
      <c r="N357" s="124"/>
      <c r="O357" s="125"/>
      <c r="P357" s="97"/>
      <c r="Q357" s="131"/>
      <c r="R357" s="126"/>
      <c r="S357" s="97"/>
      <c r="T357" s="97"/>
      <c r="V357" s="108"/>
    </row>
    <row r="358" ht="15.75" customHeight="1">
      <c r="A358" s="91"/>
      <c r="B358" s="142"/>
      <c r="C358" s="143"/>
      <c r="D358" s="97"/>
      <c r="E358" s="144"/>
      <c r="F358" s="144"/>
      <c r="G358" s="97"/>
      <c r="H358" s="143"/>
      <c r="I358" s="97"/>
      <c r="J358" s="97"/>
      <c r="K358" s="151"/>
      <c r="L358" s="152"/>
      <c r="M358" s="102"/>
      <c r="N358" s="124"/>
      <c r="O358" s="125"/>
      <c r="P358" s="97"/>
      <c r="Q358" s="131"/>
      <c r="R358" s="126"/>
      <c r="S358" s="97"/>
      <c r="T358" s="97"/>
      <c r="V358" s="108"/>
    </row>
    <row r="359" ht="15.75" customHeight="1">
      <c r="A359" s="91"/>
      <c r="B359" s="142"/>
      <c r="C359" s="143"/>
      <c r="D359" s="97"/>
      <c r="E359" s="144"/>
      <c r="F359" s="144"/>
      <c r="G359" s="97"/>
      <c r="H359" s="143"/>
      <c r="I359" s="97"/>
      <c r="J359" s="97"/>
      <c r="K359" s="151"/>
      <c r="L359" s="152"/>
      <c r="M359" s="102"/>
      <c r="N359" s="124"/>
      <c r="O359" s="125"/>
      <c r="P359" s="97"/>
      <c r="Q359" s="131"/>
      <c r="R359" s="126"/>
      <c r="S359" s="97"/>
      <c r="T359" s="97"/>
      <c r="V359" s="108"/>
    </row>
  </sheetData>
  <autoFilter ref="$A$12:$V$108"/>
  <customSheetViews>
    <customSheetView guid="{13FBEE33-5560-4ECB-B707-C73777468090}" filter="1" showAutoFilter="1">
      <autoFilter ref="$R$17:$R$22"/>
    </customSheetView>
  </customSheetViews>
  <mergeCells count="343">
    <mergeCell ref="T9:U9"/>
    <mergeCell ref="T10:U10"/>
    <mergeCell ref="T11:U11"/>
    <mergeCell ref="T12:U12"/>
    <mergeCell ref="T16:U16"/>
    <mergeCell ref="T20:U20"/>
    <mergeCell ref="T21:U21"/>
    <mergeCell ref="T22:U22"/>
    <mergeCell ref="T23:U23"/>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59">
      <formula1>"Think About It,Money,Partner,Time,Fear,Value"</formula1>
    </dataValidation>
    <dataValidation type="list" allowBlank="1" showErrorMessage="1" sqref="J15">
      <formula1>"Option 1,Option 2"</formula1>
    </dataValidation>
    <dataValidation type="list" allowBlank="1" showErrorMessage="1" sqref="S13:S359">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59">
      <formula1>"IG,Setter,Facebook Ads,Landing page"</formula1>
    </dataValidation>
    <dataValidation type="list" allowBlank="1" showErrorMessage="1" sqref="I13:J14 I15 I16:J19 I20 I21:J35 I36 I37:J101 I102:I108 I109:J359">
      <formula1>"Full-Pay,split-pay,Deposit,Offer &amp; Didn't Buy,Bad Fit &amp; No Offer,Rescheduled,Cancelled,No-Show"</formula1>
    </dataValidation>
  </dataValidations>
  <hyperlinks>
    <hyperlink r:id="rId2" ref="F13"/>
    <hyperlink r:id="rId3" ref="F14"/>
    <hyperlink r:id="rId4" ref="F15"/>
    <hyperlink r:id="rId5" ref="F16"/>
    <hyperlink r:id="rId6" ref="F17"/>
    <hyperlink r:id="rId7" ref="F18"/>
    <hyperlink r:id="rId8" ref="F20"/>
    <hyperlink r:id="rId9" ref="F23"/>
    <hyperlink r:id="rId10" ref="F24"/>
    <hyperlink r:id="rId11" ref="F25"/>
    <hyperlink r:id="rId12" ref="F26"/>
    <hyperlink r:id="rId13" ref="F27"/>
    <hyperlink r:id="rId14" ref="F28"/>
    <hyperlink r:id="rId15" ref="F29"/>
    <hyperlink r:id="rId16" ref="F30"/>
    <hyperlink r:id="rId17" ref="F31"/>
    <hyperlink r:id="rId18" ref="F32"/>
    <hyperlink r:id="rId19" ref="F33"/>
    <hyperlink r:id="rId20" ref="F34"/>
    <hyperlink r:id="rId21" ref="F35"/>
    <hyperlink r:id="rId22" ref="F36"/>
    <hyperlink r:id="rId23" ref="F37"/>
    <hyperlink r:id="rId24" ref="F38"/>
    <hyperlink r:id="rId25" ref="F39"/>
    <hyperlink r:id="rId26" ref="F40"/>
    <hyperlink r:id="rId27" ref="F41"/>
    <hyperlink r:id="rId28" ref="F42"/>
    <hyperlink r:id="rId29" ref="F43"/>
    <hyperlink r:id="rId30" ref="F44"/>
    <hyperlink r:id="rId31" ref="F45"/>
    <hyperlink r:id="rId32" ref="F46"/>
    <hyperlink r:id="rId33" ref="F48"/>
    <hyperlink r:id="rId34" ref="F49"/>
    <hyperlink r:id="rId35" ref="F50"/>
    <hyperlink r:id="rId36" ref="F51"/>
    <hyperlink r:id="rId37" ref="F52"/>
    <hyperlink r:id="rId38" ref="F53"/>
    <hyperlink r:id="rId39" ref="F54"/>
    <hyperlink r:id="rId40" ref="F55"/>
    <hyperlink r:id="rId41" ref="F56"/>
    <hyperlink r:id="rId42" ref="F57"/>
    <hyperlink r:id="rId43" ref="F58"/>
    <hyperlink r:id="rId44" ref="F59"/>
    <hyperlink r:id="rId45" ref="F60"/>
  </hyperlinks>
  <drawing r:id="rId46"/>
  <legacyDrawing r:id="rId47"/>
</worksheet>
</file>